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995" yWindow="60" windowWidth="18225" windowHeight="7815"/>
  </bookViews>
  <sheets>
    <sheet name="Instructions" sheetId="1" r:id="rId1"/>
    <sheet name="Global" sheetId="2" r:id="rId2"/>
    <sheet name="CAD" sheetId="10" r:id="rId3"/>
    <sheet name="CAD Mobile" sheetId="12" r:id="rId4"/>
    <sheet name="RMS" sheetId="5" r:id="rId5"/>
    <sheet name="RMS Field Reporting" sheetId="6" r:id="rId6"/>
    <sheet name="Interfaces" sheetId="7" r:id="rId7"/>
    <sheet name=" " sheetId="8" r:id="rId8"/>
  </sheets>
  <externalReferences>
    <externalReference r:id="rId9"/>
    <externalReference r:id="rId10"/>
    <externalReference r:id="rId11"/>
  </externalReferences>
  <definedNames>
    <definedName name="Accident_Reporting" localSheetId="2">'RMS Field Reporting'!#REF!</definedName>
    <definedName name="Accident_Reporting" localSheetId="3">'RMS Field Reporting'!#REF!</definedName>
    <definedName name="Accident_Reporting">'RMS Field Reporting'!#REF!</definedName>
    <definedName name="Additional_Property_and_Evidence_Interfaces" localSheetId="2">'[1]Property and Evidence'!#REF!</definedName>
    <definedName name="Additional_Property_and_Evidence_Interfaces" localSheetId="3">'[1]Property and Evidence'!#REF!</definedName>
    <definedName name="Additional_Property_and_Evidence_Interfaces">'[1]Property and Evidence'!#REF!</definedName>
    <definedName name="Additional_Report_Forms">'RMS Field Reporting'!$B$173</definedName>
    <definedName name="Application_Integration" localSheetId="2">#REF!</definedName>
    <definedName name="Application_Integration" localSheetId="3">'CAD Mobile'!$B$135</definedName>
    <definedName name="Application_Integration" localSheetId="6">#REF!</definedName>
    <definedName name="Application_Integration" localSheetId="4">#REF!</definedName>
    <definedName name="Application_Integration" localSheetId="5">#REF!</definedName>
    <definedName name="Application_Integration">[2]Mobile!$B$208</definedName>
    <definedName name="Arrest_Reporting" localSheetId="2">#REF!</definedName>
    <definedName name="Arrest_Reporting" localSheetId="3">#REF!</definedName>
    <definedName name="Arrest_Reporting" localSheetId="6">#REF!</definedName>
    <definedName name="Arrest_Reporting" localSheetId="4">'RMS Field Reporting'!#REF!</definedName>
    <definedName name="Arrest_Reporting" localSheetId="5">'RMS Field Reporting'!#REF!</definedName>
    <definedName name="Arrest_Reporting">#REF!</definedName>
    <definedName name="Asset_Mgmt" localSheetId="2">#REF!</definedName>
    <definedName name="Asset_Mgmt" localSheetId="3">#REF!</definedName>
    <definedName name="Asset_Mgmt" localSheetId="6">#REF!</definedName>
    <definedName name="Asset_Mgmt">#REF!</definedName>
    <definedName name="Audit_Trails" localSheetId="2">[3]Global!$B$258</definedName>
    <definedName name="Audit_Trails" localSheetId="3">[3]Global!$B$258</definedName>
    <definedName name="Audit_Trails" localSheetId="6">[3]Global!$B$258</definedName>
    <definedName name="Audit_Trails" localSheetId="4">#REF!</definedName>
    <definedName name="Audit_Trails" localSheetId="5">#REF!</definedName>
    <definedName name="Audit_Trails">Global!$B$110</definedName>
    <definedName name="Automatic_Vehicle_Location__AVL" localSheetId="2">CAD!$B$449</definedName>
    <definedName name="Automatic_Vehicle_Location__AVL">#REF!</definedName>
    <definedName name="BOLOs" localSheetId="2">CAD!$B$823</definedName>
    <definedName name="BOLOs">#REF!</definedName>
    <definedName name="BOLs" localSheetId="4">#REF!</definedName>
    <definedName name="BOLs" localSheetId="5">#REF!</definedName>
    <definedName name="BOLs">[2]CAD!$B$1107</definedName>
    <definedName name="CAD_and_Mobile_Messaging" localSheetId="2">CAD!$B$972</definedName>
    <definedName name="CAD_and_Mobile_Messaging">#REF!</definedName>
    <definedName name="CAD_AVL" localSheetId="2">CAD!$B$449</definedName>
    <definedName name="CAD_AVL" localSheetId="3">#REF!</definedName>
    <definedName name="CAD_AVL" localSheetId="6">#REF!</definedName>
    <definedName name="CAD_AVL" localSheetId="4">#REF!</definedName>
    <definedName name="CAD_AVL" localSheetId="5">#REF!</definedName>
    <definedName name="CAD_AVL">[2]CAD!$B$542</definedName>
    <definedName name="CAD_BOLOs" localSheetId="2">CAD!$B$823</definedName>
    <definedName name="CAD_BOLOs">#REF!</definedName>
    <definedName name="CAD_Call_Disposition" localSheetId="2">CAD!$B$771</definedName>
    <definedName name="CAD_Call_Disposition">#REF!</definedName>
    <definedName name="CAD_Call_Management" localSheetId="2">CAD!$B$679</definedName>
    <definedName name="CAD_Call_Management">#REF!</definedName>
    <definedName name="CAD_Communications_Supervisor_Report" localSheetId="2">CAD!$B$863</definedName>
    <definedName name="CAD_Communications_Supervisor_Report">#REF!</definedName>
    <definedName name="CAD_Communications_Supervisor_Support" localSheetId="2">CAD!$B$863</definedName>
    <definedName name="CAD_Communications_Supervisor_Support">#REF!</definedName>
    <definedName name="CAD_Dispatching" localSheetId="2">CAD!$B$465</definedName>
    <definedName name="CAD_Dispatching">#REF!</definedName>
    <definedName name="CAD_Mapping" localSheetId="2">CAD!$B$313</definedName>
    <definedName name="CAD_Mapping" localSheetId="3">#REF!</definedName>
    <definedName name="CAD_Mapping" localSheetId="6">#REF!</definedName>
    <definedName name="CAD_Mapping" localSheetId="4">#REF!</definedName>
    <definedName name="CAD_Mapping" localSheetId="5">#REF!</definedName>
    <definedName name="CAD_Mapping">[2]CAD!$B$430</definedName>
    <definedName name="CAD_Mapping_Requirements" localSheetId="2">CAD!$B$313</definedName>
    <definedName name="CAD_Mapping_Requirements">#REF!</definedName>
    <definedName name="CAD_Mgmt_Reporting" localSheetId="2">CAD!#REF!</definedName>
    <definedName name="CAD_Mgmt_Reporting" localSheetId="3">#REF!</definedName>
    <definedName name="CAD_Mgmt_Reporting" localSheetId="6">#REF!</definedName>
    <definedName name="CAD_Mgmt_Reporting" localSheetId="4">#REF!</definedName>
    <definedName name="CAD_Mgmt_Reporting" localSheetId="5">#REF!</definedName>
    <definedName name="CAD_Mgmt_Reporting">[2]CAD!#REF!</definedName>
    <definedName name="CAD_Reporting_And_Query" localSheetId="2">CAD!$B$881</definedName>
    <definedName name="CAD_Reporting_And_Query">#REF!</definedName>
    <definedName name="CAD_Reporting_and_Query_Features" localSheetId="2">CAD!$B$881</definedName>
    <definedName name="CAD_Reporting_and_Query_Features">#REF!</definedName>
    <definedName name="CAD_System_Admin" localSheetId="2">CAD!$B$1045</definedName>
    <definedName name="CAD_System_Admin" localSheetId="3">#REF!</definedName>
    <definedName name="CAD_System_Admin" localSheetId="6">#REF!</definedName>
    <definedName name="CAD_System_Admin" localSheetId="4">#REF!</definedName>
    <definedName name="CAD_System_Admin" localSheetId="5">#REF!</definedName>
    <definedName name="CAD_System_Admin">[2]CAD!$B$1373</definedName>
    <definedName name="CAD_Towed_Vehicles" localSheetId="2">CAD!$B$741</definedName>
    <definedName name="CAD_Towed_Vehicles">#REF!</definedName>
    <definedName name="CAD_Unit_Management" localSheetId="2">CAD!$B$597</definedName>
    <definedName name="CAD_Unit_Management">#REF!</definedName>
    <definedName name="Call_Disposition" localSheetId="2">CAD!$B$771</definedName>
    <definedName name="Call_Disposition" localSheetId="3">#REF!</definedName>
    <definedName name="Call_Disposition" localSheetId="6">#REF!</definedName>
    <definedName name="Call_Disposition" localSheetId="4">#REF!</definedName>
    <definedName name="Call_Disposition" localSheetId="5">#REF!</definedName>
    <definedName name="Call_Disposition">[2]CAD!$B$969</definedName>
    <definedName name="Call_Management" localSheetId="2">CAD!$B$679</definedName>
    <definedName name="Call_Management" localSheetId="3">#REF!</definedName>
    <definedName name="Call_Management" localSheetId="6">#REF!</definedName>
    <definedName name="Call_Management" localSheetId="4">#REF!</definedName>
    <definedName name="Call_Management" localSheetId="5">#REF!</definedName>
    <definedName name="Call_Management">[2]CAD!$B$867</definedName>
    <definedName name="Call_Taking" localSheetId="2">CAD!$B$7</definedName>
    <definedName name="Call_Taking" localSheetId="3">#REF!</definedName>
    <definedName name="Call_Taking" localSheetId="6">#REF!</definedName>
    <definedName name="Call_Taking" localSheetId="4">#REF!</definedName>
    <definedName name="Call_Taking" localSheetId="5">#REF!</definedName>
    <definedName name="Call_Taking">[2]CAD!$B$184</definedName>
    <definedName name="Calls_For_Service" localSheetId="2">#REF!</definedName>
    <definedName name="Calls_For_Service" localSheetId="3">#REF!</definedName>
    <definedName name="Calls_For_Service" localSheetId="6">#REF!</definedName>
    <definedName name="Calls_For_Service">#REF!</definedName>
    <definedName name="Case_Management" localSheetId="2">#REF!</definedName>
    <definedName name="Case_Management" localSheetId="3">#REF!</definedName>
    <definedName name="Case_Management" localSheetId="6">#REF!</definedName>
    <definedName name="Case_Management">#REF!</definedName>
    <definedName name="Case_Management_Interfaces" localSheetId="2">#REF!</definedName>
    <definedName name="Case_Management_Interfaces" localSheetId="3">#REF!</definedName>
    <definedName name="Case_Management_Interfaces">#REF!</definedName>
    <definedName name="Citations" localSheetId="2">#REF!</definedName>
    <definedName name="Citations" localSheetId="3">#REF!</definedName>
    <definedName name="Citations" localSheetId="4">[1]Citations!#REF!</definedName>
    <definedName name="Citations" localSheetId="5">[1]Citations!#REF!</definedName>
    <definedName name="Citations">#REF!</definedName>
    <definedName name="Civil_Service" localSheetId="2">#REF!</definedName>
    <definedName name="Civil_Service" localSheetId="3">#REF!</definedName>
    <definedName name="Civil_Service">#REF!</definedName>
    <definedName name="Code_Table_Admin" localSheetId="2">[3]Global!$B$31</definedName>
    <definedName name="Code_Table_Admin" localSheetId="3">[3]Global!$B$31</definedName>
    <definedName name="Code_Table_Admin" localSheetId="6">[3]Global!$B$31</definedName>
    <definedName name="Code_Table_Admin" localSheetId="4">#REF!</definedName>
    <definedName name="Code_Table_Admin" localSheetId="5">#REF!</definedName>
    <definedName name="Code_Table_Admin">Global!$B$28</definedName>
    <definedName name="Communications_Supervisor_Support" localSheetId="2">CAD!$B$863</definedName>
    <definedName name="Communications_Supervisor_Support" localSheetId="3">#REF!</definedName>
    <definedName name="Communications_Supervisor_Support" localSheetId="6">#REF!</definedName>
    <definedName name="Communications_Supervisor_Support" localSheetId="4">#REF!</definedName>
    <definedName name="Communications_Supervisor_Support" localSheetId="5">#REF!</definedName>
    <definedName name="Communications_Supervisor_Support">[2]CAD!$B$1009</definedName>
    <definedName name="Crash_Reporting" localSheetId="2">#REF!</definedName>
    <definedName name="Crash_Reporting" localSheetId="3">#REF!</definedName>
    <definedName name="Crash_Reporting" localSheetId="6">#REF!</definedName>
    <definedName name="Crash_Reporting" localSheetId="4">'RMS Field Reporting'!#REF!</definedName>
    <definedName name="Crash_Reporting" localSheetId="5">'RMS Field Reporting'!#REF!</definedName>
    <definedName name="Crash_Reporting">#REF!</definedName>
    <definedName name="Create_Supplementa">'RMS Field Reporting'!$B$181</definedName>
    <definedName name="Data_Analysis" localSheetId="2">#REF!</definedName>
    <definedName name="Data_Analysis" localSheetId="3">#REF!</definedName>
    <definedName name="Data_Analysis" localSheetId="6">#REF!</definedName>
    <definedName name="Data_Analysis" localSheetId="5">#REF!</definedName>
    <definedName name="Data_Analysis">#REF!</definedName>
    <definedName name="Data_Analysis_Interfaces" localSheetId="2">#REF!</definedName>
    <definedName name="Data_Analysis_Interfaces" localSheetId="3">#REF!</definedName>
    <definedName name="Data_Analysis_Interfaces">#REF!</definedName>
    <definedName name="Data_Entry" localSheetId="2">#REF!</definedName>
    <definedName name="Data_Entry" localSheetId="3">#REF!</definedName>
    <definedName name="Data_Entry" localSheetId="5">'RMS Field Reporting'!$B$75</definedName>
    <definedName name="Data_Entry">#REF!</definedName>
    <definedName name="Data_Validation" localSheetId="2">'RMS Field Reporting'!#REF!</definedName>
    <definedName name="Data_Validation" localSheetId="3">'RMS Field Reporting'!#REF!</definedName>
    <definedName name="Data_Validation">'RMS Field Reporting'!#REF!</definedName>
    <definedName name="Dispatching" localSheetId="2">CAD!$B$465</definedName>
    <definedName name="Dispatching" localSheetId="3">#REF!</definedName>
    <definedName name="Dispatching" localSheetId="6">#REF!</definedName>
    <definedName name="Dispatching" localSheetId="4">#REF!</definedName>
    <definedName name="Dispatching" localSheetId="5">#REF!</definedName>
    <definedName name="Dispatching">[2]CAD!$B$560</definedName>
    <definedName name="Emergency_Key" localSheetId="2">#REF!</definedName>
    <definedName name="Emergency_Key" localSheetId="3">'CAD Mobile'!$B$95</definedName>
    <definedName name="Emergency_Key" localSheetId="6">#REF!</definedName>
    <definedName name="Emergency_Key" localSheetId="4">#REF!</definedName>
    <definedName name="Emergency_Key" localSheetId="5">#REF!</definedName>
    <definedName name="Emergency_Key">[2]Mobile!$B$334</definedName>
    <definedName name="Emergency_Key_Functionality" localSheetId="3">'CAD Mobile'!$B$95</definedName>
    <definedName name="Emergency_Key_Functionality">#REF!</definedName>
    <definedName name="Field_Contacts" localSheetId="2">#REF!</definedName>
    <definedName name="Field_Contacts" localSheetId="3">#REF!</definedName>
    <definedName name="Field_Contacts" localSheetId="6">#REF!</definedName>
    <definedName name="Field_Contacts" localSheetId="5">'RMS Field Reporting'!$B$247</definedName>
    <definedName name="Field_Contacts">#REF!</definedName>
    <definedName name="Field_Reporting_Functional_Requirements">'RMS Field Reporting'!$B$16</definedName>
    <definedName name="Field_Reporting_Interfaces" localSheetId="2">#REF!</definedName>
    <definedName name="Field_Reporting_Interfaces" localSheetId="3">#REF!</definedName>
    <definedName name="Field_Reporting_Interfaces">#REF!</definedName>
    <definedName name="Function_Keys" localSheetId="2">#REF!</definedName>
    <definedName name="Function_Keys" localSheetId="3">'CAD Mobile'!$B$89</definedName>
    <definedName name="Function_Keys" localSheetId="6">#REF!</definedName>
    <definedName name="Function_Keys" localSheetId="4">#REF!</definedName>
    <definedName name="Function_Keys" localSheetId="5">#REF!</definedName>
    <definedName name="Function_Keys">[2]Mobile!$B$114</definedName>
    <definedName name="Function_Keys_Commands" localSheetId="3">'CAD Mobile'!$B$89</definedName>
    <definedName name="Function_Keys_Commands">#REF!</definedName>
    <definedName name="General__Mobile_Data_Computing_Features" localSheetId="3">'CAD Mobile'!$B$18</definedName>
    <definedName name="General__Mobile_Data_Computing_Features">#REF!</definedName>
    <definedName name="General_AFR_Requirements" localSheetId="2">#REF!</definedName>
    <definedName name="General_AFR_Requirements" localSheetId="3">#REF!</definedName>
    <definedName name="General_AFR_Requirements" localSheetId="6">#REF!</definedName>
    <definedName name="General_AFR_Requirements" localSheetId="5">'RMS Field Reporting'!$B$17</definedName>
    <definedName name="General_AFR_Requirements">#REF!</definedName>
    <definedName name="General_CAD_Requirements" localSheetId="2">CAD!$B$22</definedName>
    <definedName name="General_CAD_Requirements">#REF!</definedName>
    <definedName name="General_Calls_for_Service_Requirements" localSheetId="2">#REF!</definedName>
    <definedName name="General_Calls_for_Service_Requirements" localSheetId="3">#REF!</definedName>
    <definedName name="General_Calls_for_Service_Requirements">#REF!</definedName>
    <definedName name="General_Interfaces" localSheetId="2">#REF!</definedName>
    <definedName name="General_Interfaces" localSheetId="3">#REF!</definedName>
    <definedName name="General_Interfaces">#REF!</definedName>
    <definedName name="General_Master_Index_Requirements" localSheetId="2">#REF!</definedName>
    <definedName name="General_Master_Index_Requirements" localSheetId="3">#REF!</definedName>
    <definedName name="General_Master_Index_Requirements">#REF!</definedName>
    <definedName name="General_Mobile_Requirements" localSheetId="2">#REF!</definedName>
    <definedName name="General_Mobile_Requirements" localSheetId="3">'CAD Mobile'!$B$18</definedName>
    <definedName name="General_Mobile_Requirements" localSheetId="6">#REF!</definedName>
    <definedName name="General_Mobile_Requirements" localSheetId="4">#REF!</definedName>
    <definedName name="General_Mobile_Requirements" localSheetId="5">#REF!</definedName>
    <definedName name="General_Mobile_Requirements">[2]Mobile!$B$21</definedName>
    <definedName name="General_Property_and_Evidence_Management_Requirements___The_BEAST_Interface" localSheetId="2">'[1]Property and Evidence'!#REF!</definedName>
    <definedName name="General_Property_and_Evidence_Management_Requirements___The_BEAST_Interface" localSheetId="3">'[1]Property and Evidence'!#REF!</definedName>
    <definedName name="General_Property_and_Evidence_Management_Requirements___The_BEAST_Interface">'[1]Property and Evidence'!#REF!</definedName>
    <definedName name="General_Requirements" localSheetId="2">#REF!</definedName>
    <definedName name="General_Requirements" localSheetId="3">#REF!</definedName>
    <definedName name="General_Requirements">#REF!</definedName>
    <definedName name="General_RMS_Requirements" localSheetId="2">#REF!</definedName>
    <definedName name="General_RMS_Requirements" localSheetId="3">#REF!</definedName>
    <definedName name="General_RMS_Requirements" localSheetId="6">#REF!</definedName>
    <definedName name="General_RMS_Requirements" localSheetId="4">RMS!#REF!</definedName>
    <definedName name="General_RMS_Requirements" localSheetId="5">RMS!#REF!</definedName>
    <definedName name="General_RMS_Requirements">#REF!</definedName>
    <definedName name="General_Warrant_Requirements___County_Interface" localSheetId="2">#REF!</definedName>
    <definedName name="General_Warrant_Requirements___County_Interface" localSheetId="3">#REF!</definedName>
    <definedName name="General_Warrant_Requirements___County_Interface">#REF!</definedName>
    <definedName name="Geofile_Admin" localSheetId="2">[3]Global!$B$102</definedName>
    <definedName name="Geofile_Admin" localSheetId="3">[3]Global!$B$102</definedName>
    <definedName name="Geofile_Admin" localSheetId="6">[3]Global!$B$102</definedName>
    <definedName name="Geofile_Admin" localSheetId="4">#REF!</definedName>
    <definedName name="Geofile_Admin" localSheetId="5">#REF!</definedName>
    <definedName name="Geofile_Admin">#REF!</definedName>
    <definedName name="Global_CAD_Features" localSheetId="2">CAD!$B$22</definedName>
    <definedName name="Global_CAD_Features" localSheetId="3">#REF!</definedName>
    <definedName name="Global_CAD_Features" localSheetId="6">#REF!</definedName>
    <definedName name="Global_CAD_Features" localSheetId="4">#REF!</definedName>
    <definedName name="Global_CAD_Features" localSheetId="5">#REF!</definedName>
    <definedName name="Global_CAD_Features">[2]CAD!$B$22</definedName>
    <definedName name="Global_Features" localSheetId="2">[3]Global!$B$18</definedName>
    <definedName name="Global_Features" localSheetId="3">[3]Global!$B$18</definedName>
    <definedName name="Global_Features" localSheetId="6">[3]Global!$B$18</definedName>
    <definedName name="Global_Features" localSheetId="4">#REF!</definedName>
    <definedName name="Global_Features" localSheetId="5">#REF!</definedName>
    <definedName name="Global_Features">Global!$B$16</definedName>
    <definedName name="Global_Report_and_Query">Global!$B$161</definedName>
    <definedName name="Global_System_Features">Global!$B$16</definedName>
    <definedName name="Incident_Command" localSheetId="2">#REF!</definedName>
    <definedName name="Incident_Command" localSheetId="3">'CAD Mobile'!#REF!</definedName>
    <definedName name="Incident_Command" localSheetId="6">#REF!</definedName>
    <definedName name="Incident_Command" localSheetId="4">#REF!</definedName>
    <definedName name="Incident_Command" localSheetId="5">#REF!</definedName>
    <definedName name="Incident_Command">[2]Mobile!$B$560</definedName>
    <definedName name="Intelligence" localSheetId="2">#REF!</definedName>
    <definedName name="Intelligence" localSheetId="3">#REF!</definedName>
    <definedName name="Intelligence" localSheetId="6">#REF!</definedName>
    <definedName name="Intelligence">#REF!</definedName>
    <definedName name="Intelligence_Interfaces" localSheetId="2">#REF!</definedName>
    <definedName name="Intelligence_Interfaces" localSheetId="3">#REF!</definedName>
    <definedName name="Intelligence_Interfaces">#REF!</definedName>
    <definedName name="Interfaces" localSheetId="2">Interfaces!#REF!</definedName>
    <definedName name="Interfaces" localSheetId="3">Interfaces!#REF!</definedName>
    <definedName name="Interfaces">Interfaces!#REF!</definedName>
    <definedName name="Juvenile" localSheetId="2">#REF!</definedName>
    <definedName name="Juvenile" localSheetId="3">#REF!</definedName>
    <definedName name="Juvenile" localSheetId="6">#REF!</definedName>
    <definedName name="Juvenile">#REF!</definedName>
    <definedName name="Logons" localSheetId="2">[3]Global!$B$207</definedName>
    <definedName name="Logons" localSheetId="3">[3]Global!$B$207</definedName>
    <definedName name="Logons" localSheetId="6">[3]Global!$B$207</definedName>
    <definedName name="Logons" localSheetId="4">#REF!</definedName>
    <definedName name="Logons" localSheetId="5">#REF!</definedName>
    <definedName name="Logons">Global!$B$81</definedName>
    <definedName name="Management_Reporting" localSheetId="2">CAD!#REF!</definedName>
    <definedName name="Management_Reporting" localSheetId="3">#REF!</definedName>
    <definedName name="Management_Reporting" localSheetId="6">#REF!</definedName>
    <definedName name="Management_Reporting" localSheetId="4">#REF!</definedName>
    <definedName name="Management_Reporting" localSheetId="5">#REF!</definedName>
    <definedName name="Management_Reporting">[2]CAD!$B$1148</definedName>
    <definedName name="Map_Data" localSheetId="2">CAD!$B$370</definedName>
    <definedName name="Map_Data">#REF!</definedName>
    <definedName name="Map_Functionality" localSheetId="2">CAD!$B$402</definedName>
    <definedName name="Map_Functionality">#REF!</definedName>
    <definedName name="Map_Nav" localSheetId="2">CAD!$B$419</definedName>
    <definedName name="Map_Nav">#REF!</definedName>
    <definedName name="Master_Indices" localSheetId="2">#REF!</definedName>
    <definedName name="Master_Indices" localSheetId="3">#REF!</definedName>
    <definedName name="Master_Indices" localSheetId="6">#REF!</definedName>
    <definedName name="Master_Indices" localSheetId="5">#REF!</definedName>
    <definedName name="Master_Indices">#REF!</definedName>
    <definedName name="Messaging" localSheetId="2">CAD!$B$972</definedName>
    <definedName name="Messaging" localSheetId="4">#REF!</definedName>
    <definedName name="Messaging" localSheetId="5">#REF!</definedName>
    <definedName name="Messaging">#REF!</definedName>
    <definedName name="Mobile_Application_Integration" localSheetId="3">'CAD Mobile'!$B$135</definedName>
    <definedName name="Mobile_Application_Integration">#REF!</definedName>
    <definedName name="Mobile_Application_User_Interface" localSheetId="3">'CAD Mobile'!$B$27</definedName>
    <definedName name="Mobile_Application_User_Interface">#REF!</definedName>
    <definedName name="Mobile_AVL" localSheetId="2">#REF!</definedName>
    <definedName name="Mobile_AVL" localSheetId="3">'CAD Mobile'!#REF!</definedName>
    <definedName name="Mobile_AVL" localSheetId="6">#REF!</definedName>
    <definedName name="Mobile_AVL" localSheetId="4">#REF!</definedName>
    <definedName name="Mobile_AVL" localSheetId="5">#REF!</definedName>
    <definedName name="Mobile_AVL">[2]Mobile!$B$322</definedName>
    <definedName name="Mobile_Dispatch_Operations" localSheetId="2">#REF!</definedName>
    <definedName name="Mobile_Dispatch_Operations" localSheetId="3">'CAD Mobile'!$B$212</definedName>
    <definedName name="Mobile_Dispatch_Operations" localSheetId="6">#REF!</definedName>
    <definedName name="Mobile_Dispatch_Operations" localSheetId="4">#REF!</definedName>
    <definedName name="Mobile_Dispatch_Operations" localSheetId="5">#REF!</definedName>
    <definedName name="Mobile_Dispatch_Operations">[2]Mobile!$B$351</definedName>
    <definedName name="Mobile_Integration">'RMS Field Reporting'!$B$32</definedName>
    <definedName name="Mobile_Mapping" localSheetId="2">#REF!</definedName>
    <definedName name="Mobile_Mapping" localSheetId="3">'CAD Mobile'!$B$143</definedName>
    <definedName name="Mobile_Mapping" localSheetId="6">#REF!</definedName>
    <definedName name="Mobile_Mapping" localSheetId="4">#REF!</definedName>
    <definedName name="Mobile_Mapping" localSheetId="5">#REF!</definedName>
    <definedName name="Mobile_Mapping">[2]Mobile!$B$235</definedName>
    <definedName name="Mobile_Mobile_Mapping" localSheetId="3">'CAD Mobile'!$B$143</definedName>
    <definedName name="Mobile_Mobile_Mapping">#REF!</definedName>
    <definedName name="Mobile_Security" localSheetId="3">'CAD Mobile'!$B$113</definedName>
    <definedName name="Mobile_Security">#REF!</definedName>
    <definedName name="Mobile_User_Interface" localSheetId="2">#REF!</definedName>
    <definedName name="Mobile_User_Interface" localSheetId="3">'CAD Mobile'!$B$27</definedName>
    <definedName name="Mobile_User_Interface" localSheetId="6">#REF!</definedName>
    <definedName name="Mobile_User_Interface" localSheetId="4">#REF!</definedName>
    <definedName name="Mobile_User_Interface" localSheetId="5">#REF!</definedName>
    <definedName name="Mobile_User_Interface">[2]Mobile!$B$56</definedName>
    <definedName name="Offender_Registration" localSheetId="2">#REF!</definedName>
    <definedName name="Offender_Registration" localSheetId="3">#REF!</definedName>
    <definedName name="Offender_Registration" localSheetId="6">#REF!</definedName>
    <definedName name="Offender_Registration">#REF!</definedName>
    <definedName name="Officer_Activity" localSheetId="2">#REF!</definedName>
    <definedName name="Officer_Activity" localSheetId="3">#REF!</definedName>
    <definedName name="Officer_Activity" localSheetId="6">#REF!</definedName>
    <definedName name="Officer_Activity">#REF!</definedName>
    <definedName name="Online_Documentation" localSheetId="2">[3]Global!$B$177</definedName>
    <definedName name="Online_Documentation" localSheetId="3">[3]Global!$B$177</definedName>
    <definedName name="Online_Documentation" localSheetId="6">[3]Global!$B$177</definedName>
    <definedName name="Online_Documentation" localSheetId="4">#REF!</definedName>
    <definedName name="Online_Documentation" localSheetId="5">#REF!</definedName>
    <definedName name="Online_Documentation">Global!$B$249</definedName>
    <definedName name="Operational_Queries" localSheetId="2">CAD!$B$922</definedName>
    <definedName name="Operational_Queries" localSheetId="3">#REF!</definedName>
    <definedName name="Operational_Queries" localSheetId="6">#REF!</definedName>
    <definedName name="Operational_Queries" localSheetId="4">#REF!</definedName>
    <definedName name="Operational_Queries" localSheetId="5">#REF!</definedName>
    <definedName name="Operational_Queries">[2]CAD!$B$1032</definedName>
    <definedName name="Pawn" localSheetId="2">#REF!</definedName>
    <definedName name="Pawn" localSheetId="3">#REF!</definedName>
    <definedName name="Pawn" localSheetId="6">#REF!</definedName>
    <definedName name="Pawn" localSheetId="4">#REF!</definedName>
    <definedName name="Pawn" localSheetId="5">#REF!</definedName>
    <definedName name="Pawn">#REF!</definedName>
    <definedName name="Personnel" localSheetId="2">#REF!</definedName>
    <definedName name="Personnel" localSheetId="3">#REF!</definedName>
    <definedName name="Personnel" localSheetId="6">#REF!</definedName>
    <definedName name="Personnel">#REF!</definedName>
    <definedName name="Photograph_Management" localSheetId="2">#REF!</definedName>
    <definedName name="Photograph_Management" localSheetId="3">#REF!</definedName>
    <definedName name="Photograph_Management">#REF!</definedName>
    <definedName name="Premise_History" localSheetId="2">CAD!#REF!</definedName>
    <definedName name="Premise_History" localSheetId="3">#REF!</definedName>
    <definedName name="Premise_History" localSheetId="6">#REF!</definedName>
    <definedName name="Premise_History" localSheetId="4">#REF!</definedName>
    <definedName name="Premise_History" localSheetId="5">#REF!</definedName>
    <definedName name="Premise_History">[2]CAD!#REF!</definedName>
    <definedName name="_xlnm.Print_Area" localSheetId="2">CAD!$A$1:$H$1140</definedName>
    <definedName name="_xlnm.Print_Area" localSheetId="3">'CAD Mobile'!$A$1:$H$362</definedName>
    <definedName name="_xlnm.Print_Area" localSheetId="1">Global!$A$1:$H$270</definedName>
    <definedName name="_xlnm.Print_Area" localSheetId="6">Interfaces!$A$1:$H$130</definedName>
    <definedName name="_xlnm.Print_Area" localSheetId="4">RMS!$A$1:$H$1882</definedName>
    <definedName name="_xlnm.Print_Area" localSheetId="5">'RMS Field Reporting'!$A$1:$H$285</definedName>
    <definedName name="_xlnm.Print_Titles" localSheetId="2">CAD!$21:$21</definedName>
    <definedName name="_xlnm.Print_Titles" localSheetId="3">'CAD Mobile'!$17:$17</definedName>
    <definedName name="_xlnm.Print_Titles" localSheetId="1">Global!$15:$15</definedName>
    <definedName name="_xlnm.Print_Titles" localSheetId="4">RMS!#REF!</definedName>
    <definedName name="_xlnm.Print_Titles" localSheetId="5">'RMS Field Reporting'!$16:$16</definedName>
    <definedName name="Property_and_Evidence" localSheetId="2">#REF!</definedName>
    <definedName name="Property_and_Evidence" localSheetId="3">#REF!</definedName>
    <definedName name="Property_and_Evidence" localSheetId="6">#REF!</definedName>
    <definedName name="Property_and_Evidence">#REF!</definedName>
    <definedName name="Queries" localSheetId="2">#REF!</definedName>
    <definedName name="Queries" localSheetId="3">'CAD Mobile'!$B$287</definedName>
    <definedName name="Queries" localSheetId="6">#REF!</definedName>
    <definedName name="Queries" localSheetId="4">#REF!</definedName>
    <definedName name="Queries" localSheetId="5">#REF!</definedName>
    <definedName name="Queries">[2]Mobile!$B$445</definedName>
    <definedName name="Report_Access" localSheetId="2">#REF!</definedName>
    <definedName name="Report_Access" localSheetId="3">#REF!</definedName>
    <definedName name="Report_Access" localSheetId="6">#REF!</definedName>
    <definedName name="Report_Access" localSheetId="5">'RMS Field Reporting'!$B$240</definedName>
    <definedName name="Report_Access">#REF!</definedName>
    <definedName name="Report_Approval" localSheetId="2">#REF!</definedName>
    <definedName name="Report_Approval" localSheetId="3">#REF!</definedName>
    <definedName name="Report_Approval" localSheetId="6">#REF!</definedName>
    <definedName name="Report_Approval" localSheetId="5">'RMS Field Reporting'!$B$208</definedName>
    <definedName name="Report_Approval">#REF!</definedName>
    <definedName name="Report_Initiation" localSheetId="2">#REF!</definedName>
    <definedName name="Report_Initiation" localSheetId="3">#REF!</definedName>
    <definedName name="Report_Initiation" localSheetId="5">'RMS Field Reporting'!$B$72</definedName>
    <definedName name="Report_Initiation">#REF!</definedName>
    <definedName name="Report_Submission" localSheetId="2">#REF!</definedName>
    <definedName name="Report_Submission" localSheetId="3">#REF!</definedName>
    <definedName name="Report_Submission" localSheetId="5">'RMS Field Reporting'!$B$189</definedName>
    <definedName name="Report_Submission">#REF!</definedName>
    <definedName name="Report_Workload_Management" localSheetId="2">#REF!</definedName>
    <definedName name="Report_Workload_Management" localSheetId="3">#REF!</definedName>
    <definedName name="Report_Workload_Management" localSheetId="5">'RMS Field Reporting'!$B$49</definedName>
    <definedName name="Report_Workload_Management">#REF!</definedName>
    <definedName name="Restraints" localSheetId="2">#REF!</definedName>
    <definedName name="Restraints" localSheetId="3">#REF!</definedName>
    <definedName name="Restraints" localSheetId="4">[1]Civil!#REF!</definedName>
    <definedName name="Restraints" localSheetId="5">[1]Civil!#REF!</definedName>
    <definedName name="Restraints">#REF!</definedName>
    <definedName name="RMS_Citations" localSheetId="2">#REF!</definedName>
    <definedName name="RMS_Citations" localSheetId="3">#REF!</definedName>
    <definedName name="RMS_Citations">#REF!</definedName>
    <definedName name="RMS_General_Requirements">RMS!$B$30</definedName>
    <definedName name="RMS_Integration">'RMS Field Reporting'!$B$37</definedName>
    <definedName name="RMS_Interfaces" localSheetId="2">#REF!</definedName>
    <definedName name="RMS_Interfaces" localSheetId="3">#REF!</definedName>
    <definedName name="RMS_Interfaces">#REF!</definedName>
    <definedName name="RMS_Reporting" localSheetId="2">#REF!</definedName>
    <definedName name="RMS_Reporting" localSheetId="3">#REF!</definedName>
    <definedName name="RMS_Reporting" localSheetId="4">#REF!</definedName>
    <definedName name="RMS_Reporting" localSheetId="5">#REF!</definedName>
    <definedName name="RMS_Reporting">#REF!</definedName>
    <definedName name="Roll_Call" localSheetId="2">#REF!</definedName>
    <definedName name="Roll_Call" localSheetId="3">#REF!</definedName>
    <definedName name="Roll_Call" localSheetId="4">#REF!</definedName>
    <definedName name="Roll_Call" localSheetId="5">#REF!</definedName>
    <definedName name="Roll_Call">#REF!</definedName>
    <definedName name="Security" localSheetId="2">#REF!</definedName>
    <definedName name="Security" localSheetId="3">'CAD Mobile'!$B$113</definedName>
    <definedName name="Security" localSheetId="6">#REF!</definedName>
    <definedName name="Security" localSheetId="4">#REF!</definedName>
    <definedName name="Security" localSheetId="5">#REF!</definedName>
    <definedName name="Security">[2]Mobile!$B$152</definedName>
    <definedName name="Security_Admin" localSheetId="2">[3]Global!$B$46</definedName>
    <definedName name="Security_Admin" localSheetId="3">[3]Global!$B$46</definedName>
    <definedName name="Security_Admin" localSheetId="6">[3]Global!$B$46</definedName>
    <definedName name="Security_Admin" localSheetId="4">#REF!</definedName>
    <definedName name="Security_Admin" localSheetId="5">#REF!</definedName>
    <definedName name="Security_Admin">Global!$B$43</definedName>
    <definedName name="Status_Views" localSheetId="3">'CAD Mobile'!$B$201</definedName>
    <definedName name="Status_Views">#REF!</definedName>
    <definedName name="Supplemental_Resource" localSheetId="2">CAD!$B$741</definedName>
    <definedName name="Supplemental_Resource" localSheetId="4">#REF!</definedName>
    <definedName name="Supplemental_Resource" localSheetId="5">#REF!</definedName>
    <definedName name="Supplemental_Resource">#REF!</definedName>
    <definedName name="Towed">'RMS Field Reporting'!$B$265</definedName>
    <definedName name="Towed_Vehicles" localSheetId="2">CAD!$B$741</definedName>
    <definedName name="Towed_Vehicles" localSheetId="3">#REF!</definedName>
    <definedName name="Towed_Vehicles" localSheetId="6">#REF!</definedName>
    <definedName name="Towed_Vehicles">#REF!</definedName>
    <definedName name="Training" localSheetId="2">#REF!</definedName>
    <definedName name="Training" localSheetId="3">#REF!</definedName>
    <definedName name="Training" localSheetId="6">#REF!</definedName>
    <definedName name="Training">#REF!</definedName>
    <definedName name="Unit_Management" localSheetId="2">CAD!$B$597</definedName>
    <definedName name="Unit_Management" localSheetId="3">#REF!</definedName>
    <definedName name="Unit_Management" localSheetId="6">#REF!</definedName>
    <definedName name="Unit_Management" localSheetId="4">#REF!</definedName>
    <definedName name="Unit_Management" localSheetId="5">#REF!</definedName>
    <definedName name="Unit_Management">[2]CAD!$B$718</definedName>
    <definedName name="User_IDs" localSheetId="2">[3]Global!$B$240</definedName>
    <definedName name="User_IDs" localSheetId="3">[3]Global!$B$240</definedName>
    <definedName name="User_IDs" localSheetId="6">[3]Global!$B$240</definedName>
    <definedName name="User_IDs" localSheetId="4">#REF!</definedName>
    <definedName name="User_IDs" localSheetId="5">#REF!</definedName>
    <definedName name="User_IDs">Global!$B$96</definedName>
    <definedName name="User_interface" localSheetId="2">CAD!$B$412</definedName>
    <definedName name="User_interface">#REF!</definedName>
    <definedName name="Warrants" localSheetId="2">#REF!</definedName>
    <definedName name="Warrants" localSheetId="3">#REF!</definedName>
    <definedName name="Warrants" localSheetId="6">#REF!</definedName>
    <definedName name="Warrants" localSheetId="5">#REF!</definedName>
    <definedName name="Warrants">#REF!</definedName>
    <definedName name="Z_9208F210_2ED8_4398_A0D6_491045D9FDEB_.wvu.PrintArea" localSheetId="2" hidden="1">CAD!$A$1:$H$1140</definedName>
    <definedName name="Z_9208F210_2ED8_4398_A0D6_491045D9FDEB_.wvu.PrintArea" localSheetId="3" hidden="1">'CAD Mobile'!$A$1:$H$362</definedName>
    <definedName name="Z_9208F210_2ED8_4398_A0D6_491045D9FDEB_.wvu.PrintArea" localSheetId="1" hidden="1">Global!$A$1:$H$270</definedName>
    <definedName name="Z_9208F210_2ED8_4398_A0D6_491045D9FDEB_.wvu.PrintArea" localSheetId="6" hidden="1">Interfaces!$A$1:$H$130</definedName>
    <definedName name="Z_9208F210_2ED8_4398_A0D6_491045D9FDEB_.wvu.PrintArea" localSheetId="4" hidden="1">RMS!$A$1:$H$1882</definedName>
    <definedName name="Z_9208F210_2ED8_4398_A0D6_491045D9FDEB_.wvu.PrintArea" localSheetId="5" hidden="1">'RMS Field Reporting'!$A$1:$H$285</definedName>
    <definedName name="Z_9208F210_2ED8_4398_A0D6_491045D9FDEB_.wvu.PrintTitles" localSheetId="2" hidden="1">CAD!$21:$21</definedName>
    <definedName name="Z_9208F210_2ED8_4398_A0D6_491045D9FDEB_.wvu.PrintTitles" localSheetId="3" hidden="1">'CAD Mobile'!$17:$17</definedName>
    <definedName name="Z_9208F210_2ED8_4398_A0D6_491045D9FDEB_.wvu.PrintTitles" localSheetId="1" hidden="1">Global!$15:$15</definedName>
    <definedName name="Z_9208F210_2ED8_4398_A0D6_491045D9FDEB_.wvu.PrintTitles" localSheetId="5" hidden="1">'RMS Field Reporting'!$16:$16</definedName>
    <definedName name="Z_A68BF0CC_C2ED_4B16_81B1_1B708EA22356_.wvu.PrintArea" localSheetId="2" hidden="1">CAD!$A$1:$H$1140</definedName>
    <definedName name="Z_A68BF0CC_C2ED_4B16_81B1_1B708EA22356_.wvu.PrintArea" localSheetId="3" hidden="1">'CAD Mobile'!$A$1:$H$362</definedName>
    <definedName name="Z_A68BF0CC_C2ED_4B16_81B1_1B708EA22356_.wvu.PrintArea" localSheetId="1" hidden="1">Global!$A$1:$H$270</definedName>
    <definedName name="Z_A68BF0CC_C2ED_4B16_81B1_1B708EA22356_.wvu.PrintArea" localSheetId="6" hidden="1">Interfaces!$A$1:$H$130</definedName>
    <definedName name="Z_A68BF0CC_C2ED_4B16_81B1_1B708EA22356_.wvu.PrintArea" localSheetId="4" hidden="1">RMS!$A$1:$H$1882</definedName>
    <definedName name="Z_A68BF0CC_C2ED_4B16_81B1_1B708EA22356_.wvu.PrintArea" localSheetId="5" hidden="1">'RMS Field Reporting'!$A$1:$H$285</definedName>
    <definedName name="Z_A68BF0CC_C2ED_4B16_81B1_1B708EA22356_.wvu.PrintTitles" localSheetId="2" hidden="1">CAD!$21:$21</definedName>
    <definedName name="Z_A68BF0CC_C2ED_4B16_81B1_1B708EA22356_.wvu.PrintTitles" localSheetId="3" hidden="1">'CAD Mobile'!$17:$17</definedName>
    <definedName name="Z_A68BF0CC_C2ED_4B16_81B1_1B708EA22356_.wvu.PrintTitles" localSheetId="1" hidden="1">Global!$15:$15</definedName>
    <definedName name="Z_A68BF0CC_C2ED_4B16_81B1_1B708EA22356_.wvu.PrintTitles" localSheetId="5" hidden="1">'RMS Field Reporting'!$16:$16</definedName>
    <definedName name="Z_C0DA29AC_16E2_4A15_8C4F_F71595E8BC75_.wvu.PrintArea" localSheetId="2" hidden="1">CAD!$A$1:$H$1140</definedName>
    <definedName name="Z_C0DA29AC_16E2_4A15_8C4F_F71595E8BC75_.wvu.PrintArea" localSheetId="3" hidden="1">'CAD Mobile'!$A$1:$H$362</definedName>
    <definedName name="Z_C0DA29AC_16E2_4A15_8C4F_F71595E8BC75_.wvu.PrintArea" localSheetId="1" hidden="1">Global!$A$1:$H$270</definedName>
    <definedName name="Z_C0DA29AC_16E2_4A15_8C4F_F71595E8BC75_.wvu.PrintArea" localSheetId="6" hidden="1">Interfaces!$A$1:$H$130</definedName>
    <definedName name="Z_C0DA29AC_16E2_4A15_8C4F_F71595E8BC75_.wvu.PrintArea" localSheetId="4" hidden="1">RMS!$A$1:$H$1882</definedName>
    <definedName name="Z_C0DA29AC_16E2_4A15_8C4F_F71595E8BC75_.wvu.PrintArea" localSheetId="5" hidden="1">'RMS Field Reporting'!$A$1:$H$285</definedName>
    <definedName name="Z_C0DA29AC_16E2_4A15_8C4F_F71595E8BC75_.wvu.PrintTitles" localSheetId="2" hidden="1">CAD!$21:$21</definedName>
    <definedName name="Z_C0DA29AC_16E2_4A15_8C4F_F71595E8BC75_.wvu.PrintTitles" localSheetId="3" hidden="1">'CAD Mobile'!$17:$17</definedName>
    <definedName name="Z_C0DA29AC_16E2_4A15_8C4F_F71595E8BC75_.wvu.PrintTitles" localSheetId="1" hidden="1">Global!$15:$15</definedName>
    <definedName name="Z_C0DA29AC_16E2_4A15_8C4F_F71595E8BC75_.wvu.PrintTitles" localSheetId="5" hidden="1">'RMS Field Reporting'!$16:$16</definedName>
    <definedName name="Z_D97329D5_B649_4B2F_86D7_C6BEAE913806_.wvu.PrintArea" localSheetId="2" hidden="1">CAD!$A$1:$H$1140</definedName>
    <definedName name="Z_D97329D5_B649_4B2F_86D7_C6BEAE913806_.wvu.PrintArea" localSheetId="3" hidden="1">'CAD Mobile'!$A$1:$H$362</definedName>
    <definedName name="Z_D97329D5_B649_4B2F_86D7_C6BEAE913806_.wvu.PrintArea" localSheetId="1" hidden="1">Global!$A$1:$H$270</definedName>
    <definedName name="Z_D97329D5_B649_4B2F_86D7_C6BEAE913806_.wvu.PrintArea" localSheetId="6" hidden="1">Interfaces!$A$1:$H$130</definedName>
    <definedName name="Z_D97329D5_B649_4B2F_86D7_C6BEAE913806_.wvu.PrintArea" localSheetId="4" hidden="1">RMS!$A$1:$H$1882</definedName>
    <definedName name="Z_D97329D5_B649_4B2F_86D7_C6BEAE913806_.wvu.PrintArea" localSheetId="5" hidden="1">'RMS Field Reporting'!$A$1:$H$285</definedName>
    <definedName name="Z_D97329D5_B649_4B2F_86D7_C6BEAE913806_.wvu.PrintTitles" localSheetId="2" hidden="1">CAD!$21:$21</definedName>
    <definedName name="Z_D97329D5_B649_4B2F_86D7_C6BEAE913806_.wvu.PrintTitles" localSheetId="3" hidden="1">'CAD Mobile'!$17:$17</definedName>
    <definedName name="Z_D97329D5_B649_4B2F_86D7_C6BEAE913806_.wvu.PrintTitles" localSheetId="1" hidden="1">Global!$15:$15</definedName>
    <definedName name="Z_D97329D5_B649_4B2F_86D7_C6BEAE913806_.wvu.PrintTitles" localSheetId="5" hidden="1">'RMS Field Reporting'!$16:$16</definedName>
    <definedName name="Z_FF37031A_F1B7_4AA7_A7E7_E41A94ECF4B1_.wvu.PrintArea" localSheetId="2" hidden="1">CAD!$A$1:$H$1140</definedName>
    <definedName name="Z_FF37031A_F1B7_4AA7_A7E7_E41A94ECF4B1_.wvu.PrintArea" localSheetId="3" hidden="1">'CAD Mobile'!$A$1:$H$362</definedName>
    <definedName name="Z_FF37031A_F1B7_4AA7_A7E7_E41A94ECF4B1_.wvu.PrintArea" localSheetId="1" hidden="1">Global!$A$1:$H$270</definedName>
    <definedName name="Z_FF37031A_F1B7_4AA7_A7E7_E41A94ECF4B1_.wvu.PrintArea" localSheetId="6" hidden="1">Interfaces!$A$1:$H$130</definedName>
    <definedName name="Z_FF37031A_F1B7_4AA7_A7E7_E41A94ECF4B1_.wvu.PrintArea" localSheetId="4" hidden="1">RMS!$A$1:$H$1882</definedName>
    <definedName name="Z_FF37031A_F1B7_4AA7_A7E7_E41A94ECF4B1_.wvu.PrintArea" localSheetId="5" hidden="1">'RMS Field Reporting'!$A$1:$H$285</definedName>
    <definedName name="Z_FF37031A_F1B7_4AA7_A7E7_E41A94ECF4B1_.wvu.PrintTitles" localSheetId="2" hidden="1">CAD!$21:$21</definedName>
    <definedName name="Z_FF37031A_F1B7_4AA7_A7E7_E41A94ECF4B1_.wvu.PrintTitles" localSheetId="3" hidden="1">'CAD Mobile'!$17:$17</definedName>
    <definedName name="Z_FF37031A_F1B7_4AA7_A7E7_E41A94ECF4B1_.wvu.PrintTitles" localSheetId="1" hidden="1">Global!$15:$15</definedName>
    <definedName name="Z_FF37031A_F1B7_4AA7_A7E7_E41A94ECF4B1_.wvu.PrintTitles" localSheetId="5" hidden="1">'RMS Field Reporting'!$16:$16</definedName>
  </definedNames>
  <calcPr calcId="145621"/>
  <customWorkbookViews>
    <customWorkbookView name="Barber, Heather - Personal View" guid="{D97329D5-B649-4B2F-86D7-C6BEAE913806}" mergeInterval="0" personalView="1" maximized="1" windowWidth="1897" windowHeight="799" activeSheetId="7"/>
    <customWorkbookView name="Eileen Egeland - Personal View" guid="{9208F210-2ED8-4398-A0D6-491045D9FDEB}" mergeInterval="0" personalView="1" maximized="1" windowWidth="1857" windowHeight="874" activeSheetId="8" showComments="commIndAndComment"/>
    <customWorkbookView name="Nelson, Steve - Personal View" guid="{A68BF0CC-C2ED-4B16-81B1-1B708EA22356}" mergeInterval="0" personalView="1" maximized="1" windowWidth="1732" windowHeight="742" activeSheetId="7"/>
    <customWorkbookView name="Gehret, Becky - Personal View" guid="{FF37031A-F1B7-4AA7-A7E7-E41A94ECF4B1}" mergeInterval="0" personalView="1" xWindow="143" yWindow="36" windowWidth="1285" windowHeight="603" activeSheetId="7"/>
    <customWorkbookView name="Michael Galvin - Personal View" guid="{C0DA29AC-16E2-4A15-8C4F-F71595E8BC75}" mergeInterval="0" personalView="1" maximized="1" windowWidth="1680" windowHeight="864" activeSheetId="3"/>
  </customWorkbookViews>
</workbook>
</file>

<file path=xl/calcChain.xml><?xml version="1.0" encoding="utf-8"?>
<calcChain xmlns="http://schemas.openxmlformats.org/spreadsheetml/2006/main">
  <c r="B30" i="7" l="1"/>
  <c r="B29" i="7"/>
  <c r="B28" i="7"/>
  <c r="B27" i="7"/>
  <c r="B26" i="7"/>
  <c r="B16" i="7"/>
  <c r="A21" i="12"/>
  <c r="A22" i="12" s="1"/>
  <c r="A23" i="12" s="1"/>
  <c r="A24" i="12" s="1"/>
  <c r="A25" i="12" s="1"/>
  <c r="A26" i="12" s="1"/>
  <c r="A27" i="12" s="1"/>
  <c r="A20" i="12"/>
  <c r="A19" i="12"/>
  <c r="B15" i="12"/>
  <c r="B14" i="12"/>
  <c r="B12" i="12"/>
  <c r="B11" i="12"/>
  <c r="B10" i="12"/>
  <c r="B9" i="12"/>
  <c r="B8" i="12"/>
  <c r="B7" i="12"/>
  <c r="B6" i="12"/>
  <c r="A6" i="12"/>
  <c r="B19" i="10"/>
  <c r="B18" i="10"/>
  <c r="B16" i="10"/>
  <c r="B14" i="10"/>
  <c r="B12" i="10"/>
  <c r="B11" i="10"/>
  <c r="B10" i="10"/>
  <c r="B9" i="10"/>
  <c r="B8" i="10"/>
  <c r="B6" i="10"/>
  <c r="A6" i="10"/>
  <c r="A28" i="12" l="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7" i="12"/>
  <c r="A7" i="10"/>
  <c r="A8" i="12" l="1"/>
  <c r="A90" i="12"/>
  <c r="A91" i="12" s="1"/>
  <c r="A92" i="12" s="1"/>
  <c r="A93" i="12" s="1"/>
  <c r="A94" i="12" s="1"/>
  <c r="A95" i="12" s="1"/>
  <c r="A8" i="10"/>
  <c r="B25" i="7"/>
  <c r="A96" i="12" l="1"/>
  <c r="A97" i="12" s="1"/>
  <c r="A98" i="12" s="1"/>
  <c r="A99" i="12" s="1"/>
  <c r="A100" i="12" s="1"/>
  <c r="A101" i="12" s="1"/>
  <c r="A102" i="12" s="1"/>
  <c r="A103" i="12" s="1"/>
  <c r="A104" i="12" s="1"/>
  <c r="A105" i="12" s="1"/>
  <c r="A106" i="12" s="1"/>
  <c r="A107" i="12" s="1"/>
  <c r="A108" i="12" s="1"/>
  <c r="A109" i="12" s="1"/>
  <c r="A110" i="12" s="1"/>
  <c r="A111" i="12" s="1"/>
  <c r="A112" i="12" s="1"/>
  <c r="A113" i="12" s="1"/>
  <c r="A9" i="12"/>
  <c r="A9" i="10"/>
  <c r="B24" i="7"/>
  <c r="B23" i="7"/>
  <c r="B22" i="7"/>
  <c r="B21" i="7"/>
  <c r="B20" i="7"/>
  <c r="B19" i="7"/>
  <c r="B17" i="7"/>
  <c r="B18" i="7"/>
  <c r="B15" i="7"/>
  <c r="B14" i="7"/>
  <c r="B13" i="7"/>
  <c r="B12" i="7"/>
  <c r="B11" i="7"/>
  <c r="B10" i="7"/>
  <c r="B9" i="7"/>
  <c r="B8" i="7"/>
  <c r="B7" i="7"/>
  <c r="B6" i="7"/>
  <c r="B13" i="6"/>
  <c r="B12" i="6"/>
  <c r="B11" i="6"/>
  <c r="B10" i="6"/>
  <c r="B9" i="6"/>
  <c r="B8" i="6"/>
  <c r="B7" i="6"/>
  <c r="A18" i="6"/>
  <c r="A19" i="6" s="1"/>
  <c r="A20" i="6" s="1"/>
  <c r="A21" i="6" s="1"/>
  <c r="A22" i="6" s="1"/>
  <c r="A23" i="6" s="1"/>
  <c r="A24" i="6" s="1"/>
  <c r="A25" i="6" s="1"/>
  <c r="A26" i="6" s="1"/>
  <c r="A27" i="6" s="1"/>
  <c r="A28" i="6" s="1"/>
  <c r="A29" i="6" s="1"/>
  <c r="A30" i="6" s="1"/>
  <c r="A31" i="6" s="1"/>
  <c r="B6" i="6"/>
  <c r="A6" i="6"/>
  <c r="B23" i="5"/>
  <c r="B22" i="5"/>
  <c r="B21" i="5"/>
  <c r="B20" i="5"/>
  <c r="B19" i="5"/>
  <c r="B18" i="5"/>
  <c r="B17" i="5"/>
  <c r="B16" i="5"/>
  <c r="B15" i="5"/>
  <c r="B14" i="5"/>
  <c r="B13" i="5"/>
  <c r="B12" i="5"/>
  <c r="B11" i="5"/>
  <c r="B10" i="5"/>
  <c r="B9" i="5"/>
  <c r="B8" i="5"/>
  <c r="B7" i="5"/>
  <c r="B6" i="5"/>
  <c r="A6" i="5"/>
  <c r="A34" i="7"/>
  <c r="A35" i="7" s="1"/>
  <c r="A36" i="7" s="1"/>
  <c r="A37" i="7" s="1"/>
  <c r="A38" i="7" s="1"/>
  <c r="A39" i="7" s="1"/>
  <c r="A40" i="7" s="1"/>
  <c r="A41" i="7" s="1"/>
  <c r="A42" i="7" s="1"/>
  <c r="A43" i="7" s="1"/>
  <c r="A44" i="7" s="1"/>
  <c r="A45" i="7" s="1"/>
  <c r="A32" i="6" l="1"/>
  <c r="A33" i="6" s="1"/>
  <c r="A34" i="6" s="1"/>
  <c r="A35" i="6" s="1"/>
  <c r="A36" i="6" s="1"/>
  <c r="A37" i="6" s="1"/>
  <c r="A38" i="6" s="1"/>
  <c r="A39" i="6" s="1"/>
  <c r="A40" i="6" s="1"/>
  <c r="A41" i="6" s="1"/>
  <c r="A42" i="6" s="1"/>
  <c r="A43" i="6" s="1"/>
  <c r="A44" i="6" s="1"/>
  <c r="A45" i="6" s="1"/>
  <c r="A46" i="6" s="1"/>
  <c r="A47" i="6" s="1"/>
  <c r="A48" i="6" s="1"/>
  <c r="A7" i="6"/>
  <c r="A10" i="12"/>
  <c r="A114" i="12"/>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0" i="10"/>
  <c r="A7" i="5"/>
  <c r="A9" i="5"/>
  <c r="A11" i="5"/>
  <c r="A13" i="5"/>
  <c r="A15" i="5"/>
  <c r="A17" i="5"/>
  <c r="A19" i="5"/>
  <c r="A21" i="5"/>
  <c r="A23" i="5"/>
  <c r="A8" i="5"/>
  <c r="A10" i="5"/>
  <c r="A12" i="5"/>
  <c r="A14" i="5"/>
  <c r="A16" i="5"/>
  <c r="A18" i="5"/>
  <c r="A20" i="5"/>
  <c r="A22" i="5"/>
  <c r="M345" i="5"/>
  <c r="L345" i="5"/>
  <c r="K345" i="5"/>
  <c r="J345" i="5"/>
  <c r="M344" i="5"/>
  <c r="L344" i="5"/>
  <c r="K344" i="5"/>
  <c r="J344" i="5"/>
  <c r="M343" i="5"/>
  <c r="L343" i="5"/>
  <c r="K343" i="5"/>
  <c r="J343" i="5"/>
  <c r="M342" i="5"/>
  <c r="L342" i="5"/>
  <c r="K342" i="5"/>
  <c r="J342" i="5"/>
  <c r="M341" i="5"/>
  <c r="L341" i="5"/>
  <c r="K341" i="5"/>
  <c r="J341" i="5"/>
  <c r="M340" i="5"/>
  <c r="L340" i="5"/>
  <c r="K340" i="5"/>
  <c r="J340" i="5"/>
  <c r="M339" i="5"/>
  <c r="L339" i="5"/>
  <c r="K339" i="5"/>
  <c r="J339" i="5"/>
  <c r="M338" i="5"/>
  <c r="L338" i="5"/>
  <c r="K338" i="5"/>
  <c r="J338" i="5"/>
  <c r="M337" i="5"/>
  <c r="L337" i="5"/>
  <c r="K337" i="5"/>
  <c r="J337" i="5"/>
  <c r="M336" i="5"/>
  <c r="L336" i="5"/>
  <c r="K336" i="5"/>
  <c r="J336" i="5"/>
  <c r="M335" i="5"/>
  <c r="L335" i="5"/>
  <c r="K335" i="5"/>
  <c r="J335" i="5"/>
  <c r="M334" i="5"/>
  <c r="L334" i="5"/>
  <c r="K334" i="5"/>
  <c r="J334" i="5"/>
  <c r="M333" i="5"/>
  <c r="L333" i="5"/>
  <c r="K333" i="5"/>
  <c r="J333" i="5"/>
  <c r="M332" i="5"/>
  <c r="L332" i="5"/>
  <c r="K332" i="5"/>
  <c r="J332" i="5"/>
  <c r="M329" i="5"/>
  <c r="L329" i="5"/>
  <c r="K329" i="5"/>
  <c r="J329" i="5"/>
  <c r="M328" i="5"/>
  <c r="L328" i="5"/>
  <c r="K328" i="5"/>
  <c r="J328" i="5"/>
  <c r="M327" i="5"/>
  <c r="L327" i="5"/>
  <c r="K327" i="5"/>
  <c r="J327" i="5"/>
  <c r="M326" i="5"/>
  <c r="L326" i="5"/>
  <c r="K326" i="5"/>
  <c r="J326" i="5"/>
  <c r="M325" i="5"/>
  <c r="L325" i="5"/>
  <c r="K325" i="5"/>
  <c r="J325" i="5"/>
  <c r="M324" i="5"/>
  <c r="L324" i="5"/>
  <c r="K324" i="5"/>
  <c r="J324" i="5"/>
  <c r="M323" i="5"/>
  <c r="L323" i="5"/>
  <c r="K323" i="5"/>
  <c r="J323" i="5"/>
  <c r="M322" i="5"/>
  <c r="L322" i="5"/>
  <c r="K322" i="5"/>
  <c r="J322" i="5"/>
  <c r="M321" i="5"/>
  <c r="L321" i="5"/>
  <c r="K321" i="5"/>
  <c r="J321" i="5"/>
  <c r="M320" i="5"/>
  <c r="L320" i="5"/>
  <c r="K320" i="5"/>
  <c r="J320" i="5"/>
  <c r="M319" i="5"/>
  <c r="L319" i="5"/>
  <c r="K319" i="5"/>
  <c r="J319" i="5"/>
  <c r="M318" i="5"/>
  <c r="L318" i="5"/>
  <c r="K318" i="5"/>
  <c r="J318" i="5"/>
  <c r="M317" i="5"/>
  <c r="L317" i="5"/>
  <c r="K317" i="5"/>
  <c r="J317" i="5"/>
  <c r="M316" i="5"/>
  <c r="L316" i="5"/>
  <c r="K316" i="5"/>
  <c r="J316" i="5"/>
  <c r="M315" i="5"/>
  <c r="L315" i="5"/>
  <c r="K315" i="5"/>
  <c r="J315" i="5"/>
  <c r="M314" i="5"/>
  <c r="L314" i="5"/>
  <c r="K314" i="5"/>
  <c r="J314" i="5"/>
  <c r="M307" i="5"/>
  <c r="L307" i="5"/>
  <c r="K307" i="5"/>
  <c r="J307" i="5"/>
  <c r="M306" i="5"/>
  <c r="L306" i="5"/>
  <c r="K306" i="5"/>
  <c r="J306" i="5"/>
  <c r="M305" i="5"/>
  <c r="L305" i="5"/>
  <c r="K305" i="5"/>
  <c r="J305" i="5"/>
  <c r="M304" i="5"/>
  <c r="L304" i="5"/>
  <c r="K304" i="5"/>
  <c r="J304" i="5"/>
  <c r="M303" i="5"/>
  <c r="L303" i="5"/>
  <c r="K303" i="5"/>
  <c r="J303" i="5"/>
  <c r="M302" i="5"/>
  <c r="L302" i="5"/>
  <c r="K302" i="5"/>
  <c r="J302" i="5"/>
  <c r="M301" i="5"/>
  <c r="L301" i="5"/>
  <c r="K301" i="5"/>
  <c r="J301" i="5"/>
  <c r="M300" i="5"/>
  <c r="L300" i="5"/>
  <c r="K300" i="5"/>
  <c r="J300" i="5"/>
  <c r="M299" i="5"/>
  <c r="L299" i="5"/>
  <c r="K299" i="5"/>
  <c r="J299" i="5"/>
  <c r="M298" i="5"/>
  <c r="L298" i="5"/>
  <c r="K298" i="5"/>
  <c r="J298" i="5"/>
  <c r="M297" i="5"/>
  <c r="L297" i="5"/>
  <c r="K297" i="5"/>
  <c r="J297" i="5"/>
  <c r="M296" i="5"/>
  <c r="L296" i="5"/>
  <c r="K296" i="5"/>
  <c r="J296" i="5"/>
  <c r="M295" i="5"/>
  <c r="L295" i="5"/>
  <c r="K295" i="5"/>
  <c r="J295" i="5"/>
  <c r="M294" i="5"/>
  <c r="L294" i="5"/>
  <c r="K294" i="5"/>
  <c r="J294" i="5"/>
  <c r="M293" i="5"/>
  <c r="L293" i="5"/>
  <c r="K293" i="5"/>
  <c r="J293" i="5"/>
  <c r="M292" i="5"/>
  <c r="L292" i="5"/>
  <c r="K292" i="5"/>
  <c r="J292" i="5"/>
  <c r="M291" i="5"/>
  <c r="L291" i="5"/>
  <c r="K291" i="5"/>
  <c r="J291" i="5"/>
  <c r="M290" i="5"/>
  <c r="L290" i="5"/>
  <c r="K290" i="5"/>
  <c r="J290" i="5"/>
  <c r="M289" i="5"/>
  <c r="L289" i="5"/>
  <c r="K289" i="5"/>
  <c r="J289" i="5"/>
  <c r="M288" i="5"/>
  <c r="L288" i="5"/>
  <c r="K288" i="5"/>
  <c r="J288" i="5"/>
  <c r="M287" i="5"/>
  <c r="L287" i="5"/>
  <c r="K287" i="5"/>
  <c r="J287" i="5"/>
  <c r="M286" i="5"/>
  <c r="L286" i="5"/>
  <c r="K286" i="5"/>
  <c r="J286" i="5"/>
  <c r="M285" i="5"/>
  <c r="L285" i="5"/>
  <c r="K285" i="5"/>
  <c r="J285" i="5"/>
  <c r="M284" i="5"/>
  <c r="L284" i="5"/>
  <c r="K284" i="5"/>
  <c r="J284" i="5"/>
  <c r="M283" i="5"/>
  <c r="L283" i="5"/>
  <c r="K283" i="5"/>
  <c r="J283" i="5"/>
  <c r="M282" i="5"/>
  <c r="L282" i="5"/>
  <c r="K282" i="5"/>
  <c r="J282" i="5"/>
  <c r="A49" i="7" l="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49" i="6"/>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8" i="6"/>
  <c r="A136" i="12"/>
  <c r="A137" i="12" s="1"/>
  <c r="A138" i="12" s="1"/>
  <c r="A139" i="12" s="1"/>
  <c r="A140" i="12" s="1"/>
  <c r="A141" i="12" s="1"/>
  <c r="A142" i="12" s="1"/>
  <c r="A143" i="12" s="1"/>
  <c r="A11" i="12"/>
  <c r="A11" i="10"/>
  <c r="A76" i="7" l="1"/>
  <c r="A77" i="7" s="1"/>
  <c r="A78" i="7" s="1"/>
  <c r="A79" i="7" s="1"/>
  <c r="A80" i="7" s="1"/>
  <c r="A190" i="6"/>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243" i="6" s="1"/>
  <c r="A244" i="6" s="1"/>
  <c r="A245" i="6" s="1"/>
  <c r="A246" i="6" s="1"/>
  <c r="A247" i="6" s="1"/>
  <c r="A9" i="6"/>
  <c r="A12" i="12"/>
  <c r="A144" i="12"/>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A169" i="12" s="1"/>
  <c r="A170" i="12" s="1"/>
  <c r="A171" i="12" s="1"/>
  <c r="A172" i="12" s="1"/>
  <c r="A173" i="12" s="1"/>
  <c r="A174" i="12" s="1"/>
  <c r="A175" i="12" s="1"/>
  <c r="A176" i="12" s="1"/>
  <c r="A177" i="12" s="1"/>
  <c r="A178" i="12" s="1"/>
  <c r="A179" i="12" s="1"/>
  <c r="A180" i="12" s="1"/>
  <c r="A181" i="12" s="1"/>
  <c r="A182" i="12" s="1"/>
  <c r="A183" i="12" s="1"/>
  <c r="A184" i="12" s="1"/>
  <c r="A185" i="12" s="1"/>
  <c r="A186" i="12" s="1"/>
  <c r="A187" i="12" s="1"/>
  <c r="A188" i="12" s="1"/>
  <c r="A189" i="12" s="1"/>
  <c r="A190" i="12" s="1"/>
  <c r="A191" i="12" s="1"/>
  <c r="A192" i="12" s="1"/>
  <c r="A193" i="12" s="1"/>
  <c r="A194" i="12" s="1"/>
  <c r="A195" i="12" s="1"/>
  <c r="A196" i="12" s="1"/>
  <c r="A197" i="12" s="1"/>
  <c r="A198" i="12" s="1"/>
  <c r="A199" i="12" s="1"/>
  <c r="A200" i="12" s="1"/>
  <c r="A201" i="12" s="1"/>
  <c r="A12" i="10"/>
  <c r="A81" i="7" l="1"/>
  <c r="A82" i="7" s="1"/>
  <c r="A83" i="7" s="1"/>
  <c r="A84" i="7" s="1"/>
  <c r="A85" i="7" s="1"/>
  <c r="A248" i="6"/>
  <c r="A249" i="6" s="1"/>
  <c r="A250" i="6" s="1"/>
  <c r="A251" i="6" s="1"/>
  <c r="A252" i="6" s="1"/>
  <c r="A253" i="6" s="1"/>
  <c r="A254" i="6" s="1"/>
  <c r="A255" i="6" s="1"/>
  <c r="A10" i="6"/>
  <c r="A13" i="12"/>
  <c r="A202" i="12"/>
  <c r="A203" i="12" s="1"/>
  <c r="A204" i="12" s="1"/>
  <c r="A205" i="12" s="1"/>
  <c r="A206" i="12" s="1"/>
  <c r="A207" i="12" s="1"/>
  <c r="A208" i="12" s="1"/>
  <c r="A209" i="12" s="1"/>
  <c r="A210" i="12" s="1"/>
  <c r="A211" i="12" s="1"/>
  <c r="A212" i="12" s="1"/>
  <c r="A13" i="10"/>
  <c r="A86" i="7" l="1"/>
  <c r="A87" i="7" s="1"/>
  <c r="A88" i="7" s="1"/>
  <c r="A89" i="7" s="1"/>
  <c r="A90" i="7" s="1"/>
  <c r="A91" i="7" s="1"/>
  <c r="A169" i="7" s="1"/>
  <c r="A256" i="6"/>
  <c r="A257" i="6" s="1"/>
  <c r="A258" i="6" s="1"/>
  <c r="A259" i="6" s="1"/>
  <c r="A260" i="6" s="1"/>
  <c r="A261" i="6" s="1"/>
  <c r="A262" i="6" s="1"/>
  <c r="A263" i="6" s="1"/>
  <c r="A264" i="6" s="1"/>
  <c r="A265" i="6" s="1"/>
  <c r="A11" i="6"/>
  <c r="A213" i="12"/>
  <c r="A214" i="12" s="1"/>
  <c r="A215" i="12" s="1"/>
  <c r="A216" i="12" s="1"/>
  <c r="A217" i="12" s="1"/>
  <c r="A218" i="12" s="1"/>
  <c r="A219" i="12" s="1"/>
  <c r="A220" i="12" s="1"/>
  <c r="A221" i="12" s="1"/>
  <c r="A222" i="12" s="1"/>
  <c r="A223" i="12" s="1"/>
  <c r="A224" i="12" s="1"/>
  <c r="A225" i="12" s="1"/>
  <c r="A226" i="12" s="1"/>
  <c r="A227" i="12" s="1"/>
  <c r="A228" i="12" s="1"/>
  <c r="A229" i="12" s="1"/>
  <c r="A230" i="12" s="1"/>
  <c r="A231" i="12" s="1"/>
  <c r="A232" i="12" s="1"/>
  <c r="A233" i="12" s="1"/>
  <c r="A234" i="12" s="1"/>
  <c r="A235" i="12" s="1"/>
  <c r="A236" i="12" s="1"/>
  <c r="A237" i="12" s="1"/>
  <c r="A238" i="12" s="1"/>
  <c r="A239" i="12" s="1"/>
  <c r="A240" i="12" s="1"/>
  <c r="A241" i="12" s="1"/>
  <c r="A242" i="12" s="1"/>
  <c r="A243" i="12" s="1"/>
  <c r="A244" i="12" s="1"/>
  <c r="A245" i="12" s="1"/>
  <c r="A246" i="12" s="1"/>
  <c r="A247" i="12" s="1"/>
  <c r="A248" i="12" s="1"/>
  <c r="A249" i="12" s="1"/>
  <c r="A250" i="12" s="1"/>
  <c r="A251" i="12" s="1"/>
  <c r="A252" i="12" s="1"/>
  <c r="A253" i="12" s="1"/>
  <c r="A254" i="12" s="1"/>
  <c r="A255" i="12" s="1"/>
  <c r="A256" i="12" s="1"/>
  <c r="A257" i="12" s="1"/>
  <c r="A258" i="12" s="1"/>
  <c r="A259" i="12" s="1"/>
  <c r="A260" i="12" s="1"/>
  <c r="A261" i="12" s="1"/>
  <c r="A262" i="12" s="1"/>
  <c r="A263" i="12" s="1"/>
  <c r="A264" i="12" s="1"/>
  <c r="A265" i="12" s="1"/>
  <c r="A266" i="12" s="1"/>
  <c r="A267" i="12" s="1"/>
  <c r="A268" i="12" s="1"/>
  <c r="A269" i="12" s="1"/>
  <c r="A270" i="12" s="1"/>
  <c r="A271" i="12" s="1"/>
  <c r="A272" i="12" s="1"/>
  <c r="A273" i="12" s="1"/>
  <c r="A274" i="12" s="1"/>
  <c r="A275" i="12" s="1"/>
  <c r="A276" i="12" s="1"/>
  <c r="A277" i="12" s="1"/>
  <c r="A278" i="12" s="1"/>
  <c r="A279" i="12" s="1"/>
  <c r="A280" i="12" s="1"/>
  <c r="A281" i="12" s="1"/>
  <c r="A282" i="12" s="1"/>
  <c r="A283" i="12" s="1"/>
  <c r="A284" i="12" s="1"/>
  <c r="A285" i="12" s="1"/>
  <c r="A286" i="12" s="1"/>
  <c r="A287" i="12" s="1"/>
  <c r="A14" i="12"/>
  <c r="A14" i="10"/>
  <c r="A170" i="7" l="1"/>
  <c r="A171" i="7" s="1"/>
  <c r="A172" i="7" s="1"/>
  <c r="A266" i="6"/>
  <c r="A267" i="6" s="1"/>
  <c r="A268" i="6" s="1"/>
  <c r="A269" i="6" s="1"/>
  <c r="A270" i="6" s="1"/>
  <c r="A271" i="6" s="1"/>
  <c r="A272" i="6" s="1"/>
  <c r="A273" i="6" s="1"/>
  <c r="A274" i="6" s="1"/>
  <c r="A275" i="6" s="1"/>
  <c r="A12" i="6"/>
  <c r="A288" i="12"/>
  <c r="A289" i="12" s="1"/>
  <c r="A290" i="12" s="1"/>
  <c r="A291" i="12" s="1"/>
  <c r="A292" i="12" s="1"/>
  <c r="A293" i="12" s="1"/>
  <c r="A294" i="12" s="1"/>
  <c r="A295" i="12" s="1"/>
  <c r="A296" i="12" s="1"/>
  <c r="A297" i="12" s="1"/>
  <c r="A298" i="12" s="1"/>
  <c r="A299" i="12" s="1"/>
  <c r="A300" i="12" s="1"/>
  <c r="A301" i="12" s="1"/>
  <c r="A302" i="12" s="1"/>
  <c r="A303" i="12" s="1"/>
  <c r="A304" i="12" s="1"/>
  <c r="A305" i="12" s="1"/>
  <c r="A306" i="12" s="1"/>
  <c r="A307" i="12" s="1"/>
  <c r="A308" i="12" s="1"/>
  <c r="A309" i="12" s="1"/>
  <c r="A310" i="12" s="1"/>
  <c r="A311" i="12" s="1"/>
  <c r="A312" i="12" s="1"/>
  <c r="A313" i="12" s="1"/>
  <c r="A314" i="12" s="1"/>
  <c r="A315" i="12" s="1"/>
  <c r="A316" i="12" s="1"/>
  <c r="A317" i="12" s="1"/>
  <c r="A318" i="12" s="1"/>
  <c r="A319" i="12" s="1"/>
  <c r="A320" i="12" s="1"/>
  <c r="A321" i="12" s="1"/>
  <c r="A322" i="12" s="1"/>
  <c r="A323" i="12" s="1"/>
  <c r="A324" i="12" s="1"/>
  <c r="A325" i="12" s="1"/>
  <c r="A326" i="12" s="1"/>
  <c r="A327" i="12" s="1"/>
  <c r="A328" i="12" s="1"/>
  <c r="A329" i="12" s="1"/>
  <c r="A330" i="12" s="1"/>
  <c r="A331" i="12" s="1"/>
  <c r="A332" i="12" s="1"/>
  <c r="A333" i="12" s="1"/>
  <c r="A334" i="12" s="1"/>
  <c r="A335" i="12" s="1"/>
  <c r="A336" i="12" s="1"/>
  <c r="A337" i="12" s="1"/>
  <c r="A338" i="12" s="1"/>
  <c r="A339" i="12" s="1"/>
  <c r="A340" i="12" s="1"/>
  <c r="A341" i="12" s="1"/>
  <c r="A342" i="12" s="1"/>
  <c r="A343" i="12" s="1"/>
  <c r="A344" i="12" s="1"/>
  <c r="A345" i="12" s="1"/>
  <c r="A346" i="12" s="1"/>
  <c r="A347" i="12" s="1"/>
  <c r="A348" i="12" s="1"/>
  <c r="A349" i="12" s="1"/>
  <c r="A350" i="12" s="1"/>
  <c r="A351" i="12" s="1"/>
  <c r="A352" i="12" s="1"/>
  <c r="A353" i="12" s="1"/>
  <c r="A354" i="12" s="1"/>
  <c r="A355" i="12" s="1"/>
  <c r="A356" i="12" s="1"/>
  <c r="A357" i="12" s="1"/>
  <c r="A358" i="12" s="1"/>
  <c r="A359" i="12" s="1"/>
  <c r="A360" i="12" s="1"/>
  <c r="A361" i="12" s="1"/>
  <c r="A362" i="12" s="1"/>
  <c r="A15" i="12"/>
  <c r="A15" i="10"/>
  <c r="A276" i="6" l="1"/>
  <c r="A277" i="6" s="1"/>
  <c r="A278" i="6" s="1"/>
  <c r="A279" i="6" s="1"/>
  <c r="A280" i="6" s="1"/>
  <c r="A281" i="6" s="1"/>
  <c r="A282" i="6" s="1"/>
  <c r="A283" i="6" s="1"/>
  <c r="A284" i="6" s="1"/>
  <c r="A285" i="6" s="1"/>
  <c r="A13" i="6"/>
  <c r="A16" i="10"/>
  <c r="A174" i="7" l="1"/>
  <c r="A175" i="7" s="1"/>
  <c r="A176" i="7" s="1"/>
  <c r="A177" i="7" s="1"/>
  <c r="A178" i="7" s="1"/>
  <c r="A17" i="10"/>
  <c r="A179" i="7" l="1"/>
  <c r="A180" i="7" s="1"/>
  <c r="A181" i="7" s="1"/>
  <c r="A182" i="7" s="1"/>
  <c r="A183" i="7" s="1"/>
  <c r="A184" i="7" s="1"/>
  <c r="A185" i="7" s="1"/>
  <c r="A186" i="7" s="1"/>
  <c r="A187" i="7" s="1"/>
  <c r="A18" i="10"/>
  <c r="A19" i="10" l="1"/>
  <c r="A198" i="7" l="1"/>
  <c r="A199" i="7" s="1"/>
  <c r="A200" i="7" s="1"/>
  <c r="A201" i="7" s="1"/>
  <c r="A202" i="7" s="1"/>
  <c r="A203" i="7" s="1"/>
  <c r="A204" i="7" s="1"/>
  <c r="A205" i="7" s="1"/>
  <c r="A206" i="7" s="1"/>
  <c r="A207" i="7" s="1"/>
  <c r="A209" i="7" s="1"/>
  <c r="A210" i="7" s="1"/>
  <c r="A188" i="7" s="1"/>
  <c r="A189" i="7" l="1"/>
  <c r="A190" i="7" s="1"/>
  <c r="A191" i="7" s="1"/>
  <c r="A192" i="7" s="1"/>
  <c r="A193" i="7" s="1"/>
  <c r="A194" i="7" l="1"/>
  <c r="A92" i="7" s="1"/>
  <c r="A93" i="7" l="1"/>
  <c r="A94" i="7" s="1"/>
  <c r="A95" i="7" s="1"/>
  <c r="A96" i="7" s="1"/>
  <c r="A97" i="7" l="1"/>
  <c r="A98" i="7" s="1"/>
  <c r="A99" i="7" s="1"/>
  <c r="A100" i="7" s="1"/>
  <c r="A101" i="7" l="1"/>
  <c r="A102" i="7" s="1"/>
  <c r="A103" i="7" l="1"/>
  <c r="A104" i="7" s="1"/>
  <c r="A105" i="7" s="1"/>
  <c r="A106" i="7" s="1"/>
  <c r="A107" i="7" s="1"/>
  <c r="A108" i="7" s="1"/>
  <c r="A109" i="7" s="1"/>
  <c r="A110" i="7" s="1"/>
  <c r="A111" i="7" s="1"/>
  <c r="A112" i="7" s="1"/>
  <c r="A113" i="7" s="1"/>
  <c r="A17" i="2"/>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114" i="7" l="1"/>
  <c r="A115" i="7" s="1"/>
  <c r="A116" i="7" s="1"/>
  <c r="A118" i="7" s="1"/>
  <c r="A81" i="2"/>
  <c r="A82" i="2" s="1"/>
  <c r="A83" i="2" s="1"/>
  <c r="A84" i="2" s="1"/>
  <c r="A85" i="2" s="1"/>
  <c r="A86" i="2" s="1"/>
  <c r="A87" i="2" s="1"/>
  <c r="A88" i="2" s="1"/>
  <c r="A89" i="2" s="1"/>
  <c r="A90" i="2" s="1"/>
  <c r="A91" i="2" s="1"/>
  <c r="A92" i="2" s="1"/>
  <c r="A93" i="2" s="1"/>
  <c r="A94" i="2" s="1"/>
  <c r="A95" i="2" s="1"/>
  <c r="A96" i="2" s="1"/>
  <c r="A6" i="2"/>
  <c r="B6" i="2"/>
  <c r="A7" i="2"/>
  <c r="A8" i="2"/>
  <c r="B8" i="2"/>
  <c r="B13" i="2"/>
  <c r="B9" i="2"/>
  <c r="B10" i="2"/>
  <c r="B11" i="2"/>
  <c r="A119" i="7" l="1"/>
  <c r="A120" i="7" s="1"/>
  <c r="A121" i="7" s="1"/>
  <c r="A122" i="7" s="1"/>
  <c r="A123" i="7" s="1"/>
  <c r="A97" i="2"/>
  <c r="A98" i="2" s="1"/>
  <c r="A99" i="2" s="1"/>
  <c r="A100" i="2" s="1"/>
  <c r="A101" i="2" s="1"/>
  <c r="A102" i="2" s="1"/>
  <c r="A103" i="2" s="1"/>
  <c r="A104" i="2" s="1"/>
  <c r="A105" i="2" s="1"/>
  <c r="A106" i="2" s="1"/>
  <c r="A107" i="2" s="1"/>
  <c r="A108" i="2" s="1"/>
  <c r="A109" i="2" s="1"/>
  <c r="A110" i="2" s="1"/>
  <c r="A10" i="2"/>
  <c r="A9" i="2"/>
  <c r="A124" i="7" l="1"/>
  <c r="A125" i="7" s="1"/>
  <c r="A126" i="7" s="1"/>
  <c r="A127" i="7" s="1"/>
  <c r="A128" i="7" s="1"/>
  <c r="A111" i="2"/>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1" i="2"/>
  <c r="A129" i="7" l="1"/>
  <c r="A130" i="7" s="1"/>
  <c r="A132" i="7" s="1"/>
  <c r="A162" i="2"/>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12" i="2"/>
  <c r="A133" i="7" l="1"/>
  <c r="A250" i="2"/>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13" i="2"/>
  <c r="A135" i="7" l="1"/>
  <c r="A136" i="7" s="1"/>
  <c r="A137" i="7" l="1"/>
  <c r="A138" i="7" s="1"/>
  <c r="A139" i="7" s="1"/>
  <c r="A140" i="7" l="1"/>
  <c r="A141" i="7" s="1"/>
  <c r="A142" i="7" s="1"/>
  <c r="A143" i="7" s="1"/>
  <c r="A144" i="7" s="1"/>
  <c r="A145" i="7" s="1"/>
  <c r="A146" i="7" s="1"/>
  <c r="A147" i="7" s="1"/>
  <c r="A148" i="7" s="1"/>
  <c r="A149" i="7" s="1"/>
  <c r="A150" i="7" s="1"/>
  <c r="A151" i="7" s="1"/>
  <c r="A152" i="7" s="1"/>
  <c r="A153" i="7" s="1"/>
  <c r="A154" i="7" s="1"/>
  <c r="A155" i="7" s="1"/>
  <c r="A156" i="7" s="1"/>
  <c r="A157" i="7" l="1"/>
  <c r="A158" i="7" s="1"/>
  <c r="A159" i="7" s="1"/>
  <c r="A160" i="7" s="1"/>
  <c r="A161" i="7" s="1"/>
  <c r="A162" i="7" l="1"/>
  <c r="A163" i="7" s="1"/>
  <c r="A164" i="7" s="1"/>
  <c r="A165" i="7" s="1"/>
  <c r="A166" i="7" s="1"/>
  <c r="A167" i="7" l="1"/>
</calcChain>
</file>

<file path=xl/sharedStrings.xml><?xml version="1.0" encoding="utf-8"?>
<sst xmlns="http://schemas.openxmlformats.org/spreadsheetml/2006/main" count="4179" uniqueCount="3607">
  <si>
    <t>Ability to maintain file history so that field value changes can be viewed both before and after change occurred.</t>
  </si>
  <si>
    <t>Ability to archive audit trails based on transaction type and/or date.</t>
  </si>
  <si>
    <t>Ability to secure audit log from user tampering.</t>
  </si>
  <si>
    <t>Ability to extract reports from the audit trail.</t>
  </si>
  <si>
    <t>Modifications made to record (before and after values)</t>
  </si>
  <si>
    <t>Time and date stamp of last change to record</t>
  </si>
  <si>
    <t>Who made last change to record</t>
  </si>
  <si>
    <t>Ability to view audit trails online.</t>
  </si>
  <si>
    <t>Ability to comply with NCIC III logging requirements.</t>
  </si>
  <si>
    <t>Ability to date, timestamp, view and audit all inquiries.</t>
  </si>
  <si>
    <t>Ability to perform purge based on criteria.</t>
  </si>
  <si>
    <t>Ability to set audit log purge criteria.</t>
  </si>
  <si>
    <t>Ability to log all vendor access to system (e.g., record a description of all vendor activity).</t>
  </si>
  <si>
    <t>Ability to review all computer activity performed by a specified user during a period of time.</t>
  </si>
  <si>
    <t>Before and after values of modified data</t>
  </si>
  <si>
    <t>Transaction type</t>
  </si>
  <si>
    <t>Date and time stamp</t>
  </si>
  <si>
    <t>Security level</t>
  </si>
  <si>
    <t>Printer ID</t>
  </si>
  <si>
    <t>Terminal ID</t>
  </si>
  <si>
    <t>User name</t>
  </si>
  <si>
    <t>User ID</t>
  </si>
  <si>
    <t>Ability to store audit trail data including, but not limited to:</t>
  </si>
  <si>
    <t>Unsuccessful sign-on attempts</t>
  </si>
  <si>
    <t>Successful sign-on</t>
  </si>
  <si>
    <t>Override</t>
  </si>
  <si>
    <t>Inquiries to all internal and external systems</t>
  </si>
  <si>
    <t>File maintenance transactions (e.g., create, read, add, update, delete transactions)</t>
  </si>
  <si>
    <t>Attempted breaches</t>
  </si>
  <si>
    <t>Errors</t>
  </si>
  <si>
    <t>Updates</t>
  </si>
  <si>
    <t>Changes</t>
  </si>
  <si>
    <t>Ability to log all actions including, but not limited to :</t>
  </si>
  <si>
    <t>Application</t>
  </si>
  <si>
    <t>Module</t>
  </si>
  <si>
    <t>Record</t>
  </si>
  <si>
    <t>Individual</t>
  </si>
  <si>
    <t>Ability to maintain an audit trail at the following levels:</t>
  </si>
  <si>
    <t>Ability to create a security group defining who has audit trail access permissions.</t>
  </si>
  <si>
    <t>Audit Trails</t>
  </si>
  <si>
    <t>Ability for system administrator to disable an account.</t>
  </si>
  <si>
    <t xml:space="preserve">Ability for system administrator to add and delete users. </t>
  </si>
  <si>
    <t>Ability for individual system users to change their own passwords.</t>
  </si>
  <si>
    <t>Ability to produce auto-notification of impending password expiration.</t>
  </si>
  <si>
    <t>Ability to disable password expiration feature.</t>
  </si>
  <si>
    <t>Ability to maintain a history of de-activated user IDs.</t>
  </si>
  <si>
    <t>User IDs and Passwords</t>
  </si>
  <si>
    <t>Date and time</t>
  </si>
  <si>
    <t>Ability to save user's data or session prior to automatically logging off the user.</t>
  </si>
  <si>
    <t>Ability to disable automatic logoff for secured workstations.</t>
  </si>
  <si>
    <t>Ability to support two-factor logon.</t>
  </si>
  <si>
    <t>Ability to support LDAP or Active Directory authentication.</t>
  </si>
  <si>
    <t>Ability to track user logon/logoff times and locations for time reporting purposes.</t>
  </si>
  <si>
    <t>Same types of workstations (e.g., two desktops)</t>
  </si>
  <si>
    <t>Different types of workstation (e.g., desktop and laptop)</t>
  </si>
  <si>
    <t>Ability for system administrator to change user IDs.</t>
  </si>
  <si>
    <t>Logons and Logoffs</t>
  </si>
  <si>
    <t>Ability to provide help files in a Windows help format.</t>
  </si>
  <si>
    <t>Ability for system administrator to edit error messages.</t>
  </si>
  <si>
    <t>Ability for system administrator to create error messages.</t>
  </si>
  <si>
    <t>Ability for help file to automatically update at the time of all version/release updates.</t>
  </si>
  <si>
    <t>Ability to augment vendor-supplied online help tables with additional information (e.g., add notes to a topic that are viewable along with the vendor-supplied information).</t>
  </si>
  <si>
    <t>Glossary of error codes</t>
  </si>
  <si>
    <t>Glossary of terms</t>
  </si>
  <si>
    <t>Ability to provide help facility via function key or icon from any screen or field within any application.</t>
  </si>
  <si>
    <t>Ability to search help files by keywords.</t>
  </si>
  <si>
    <t>Ability to provide training modules through help menu.</t>
  </si>
  <si>
    <t>Ability to provide context-sensitive help in the form of prompts and instructions.</t>
  </si>
  <si>
    <t>Ability to access an online help menu.</t>
  </si>
  <si>
    <t xml:space="preserve">Online Documentation </t>
  </si>
  <si>
    <t>Ability to support a map layer for aerial spatial images.</t>
  </si>
  <si>
    <t>Ability to display flags on locations containing additional information (e.g. fire pre-plans, hazards, incident history).</t>
  </si>
  <si>
    <t>Ability to click on a location on a map and pull up any supplemental information (e.g. fire pre-plan, hazards, incident history) associated with that location.</t>
  </si>
  <si>
    <t>Ability to attach premise information (e.g., hazards) to addresses.</t>
  </si>
  <si>
    <t>Ability to attach files to addresses (e.g., apartment maps, photos, aerial images).</t>
  </si>
  <si>
    <t>Ability for geofile updates to be recognized without requiring logging off and logging back on to the system.</t>
  </si>
  <si>
    <t>Ability to test new geofile updates "offline" for accuracy and errors, prior to updating the "live" geofile.</t>
  </si>
  <si>
    <t>X/Y/Z coordinates</t>
  </si>
  <si>
    <t>X/Y coordinates</t>
  </si>
  <si>
    <t>Suffix</t>
  </si>
  <si>
    <t>Street type</t>
  </si>
  <si>
    <t>Street name</t>
  </si>
  <si>
    <t>Street abbreviation</t>
  </si>
  <si>
    <t>Prefix</t>
  </si>
  <si>
    <t>On ramps, off ramps, exit numbers (including direction)</t>
  </si>
  <si>
    <t>Intersections</t>
  </si>
  <si>
    <t>Exact address</t>
  </si>
  <si>
    <t>County</t>
  </si>
  <si>
    <t>Common place name</t>
  </si>
  <si>
    <t>Civic associations (e.g., COPS areas, neighborhoods, community names)</t>
  </si>
  <si>
    <t>City</t>
  </si>
  <si>
    <t>Business name</t>
  </si>
  <si>
    <t>Block range</t>
  </si>
  <si>
    <t>Apartment number (e.g., ½, #5, 2D, D2)</t>
  </si>
  <si>
    <t>Apartment building name</t>
  </si>
  <si>
    <t>Ability to change reporting boundaries (e.g., areas, beats, districts, etc.).</t>
  </si>
  <si>
    <t>Entire common place or business name and aliases</t>
  </si>
  <si>
    <t>Ability to force adherence to user-defined addressing standards (e.g., abbreviations, directions, etc.).</t>
  </si>
  <si>
    <t>High and low cross streets</t>
  </si>
  <si>
    <t>Census tract</t>
  </si>
  <si>
    <t>Address</t>
  </si>
  <si>
    <t>Ability to associate geofile data with the following:</t>
  </si>
  <si>
    <t>Ability to turn map layers off and on.</t>
  </si>
  <si>
    <t>Ability to add geofile layers as needed.</t>
  </si>
  <si>
    <t>Ability to accommodate an unlimited number of map layers.</t>
  </si>
  <si>
    <t>Geofile Administration</t>
  </si>
  <si>
    <t>Ability to flag a data element as confidential information for security purposes.</t>
  </si>
  <si>
    <t>Ability to support alternate authentication technologies (i.e., ID card, security token, biometrics, etc.).</t>
  </si>
  <si>
    <t>Ability for applications to work independently in the event Active Directory becomes unavailable.</t>
  </si>
  <si>
    <t>Ability to tie security profiles to Active Directory user groups.</t>
  </si>
  <si>
    <t>Ability to create temporary security profiles.</t>
  </si>
  <si>
    <t>Agency</t>
  </si>
  <si>
    <t>System</t>
  </si>
  <si>
    <t>Screen/Transaction</t>
  </si>
  <si>
    <t>Field</t>
  </si>
  <si>
    <t>Database</t>
  </si>
  <si>
    <t>Ability to provide security at the following levels:</t>
  </si>
  <si>
    <t>Ability to remotely log out a workstation (mobile or desktop).</t>
  </si>
  <si>
    <t>Ability to separately secure add, modify, delete, and inquiry functions.</t>
  </si>
  <si>
    <t>View</t>
  </si>
  <si>
    <t>Print</t>
  </si>
  <si>
    <t>Modify</t>
  </si>
  <si>
    <t>Inquiry</t>
  </si>
  <si>
    <t>Delete</t>
  </si>
  <si>
    <t>Attach to email or send via other electronic method</t>
  </si>
  <si>
    <t>Add/create</t>
  </si>
  <si>
    <t>Ability to restrict user access or security group access to files and data fields for specified transactions:</t>
  </si>
  <si>
    <t>Any combination of the above</t>
  </si>
  <si>
    <t>Security group</t>
  </si>
  <si>
    <t>Ability to view, add, maintain, modify and delete user profiles based on:</t>
  </si>
  <si>
    <t>Ability to assign users to multiple security groups.</t>
  </si>
  <si>
    <t>Ability to create multiple security groups.</t>
  </si>
  <si>
    <t>Security Administration</t>
  </si>
  <si>
    <t>Ability to share code tables among application components.</t>
  </si>
  <si>
    <t>Ability to prevent display of obsolete code table values on drop down lists.</t>
  </si>
  <si>
    <t>Ability to store the date a code table value becomes effective.</t>
  </si>
  <si>
    <t>Ability to store the date a code table value becomes obsolete.</t>
  </si>
  <si>
    <t>Ability to create a new code and merge/link historical records to a new code.</t>
  </si>
  <si>
    <t>Ability to designate code table values as obsolete and unavailable for current use, preventing further entry of that value, yet retain the value in the table for inquiries on historical data.</t>
  </si>
  <si>
    <t>Ability for code table updates to propagate throughout the system (e.g. an update in a code table for one application component updates the same code table in other application components).</t>
  </si>
  <si>
    <t>Ability to make changes and additions to the code tables without modification to or recompilation of the application software.</t>
  </si>
  <si>
    <t xml:space="preserve"> Code Table Administration</t>
  </si>
  <si>
    <t xml:space="preserve">Other  </t>
  </si>
  <si>
    <t>Visual alert</t>
  </si>
  <si>
    <t>Audible alert</t>
  </si>
  <si>
    <t>Ability to have a single master time stamp for all application components.</t>
  </si>
  <si>
    <t>Ability for system to automatically account for daylight savings time and any required parameter changes to daylight savings.</t>
  </si>
  <si>
    <t>Ability for system to automatically adjust number sequencing for new calendar years.</t>
  </si>
  <si>
    <t>Global System Features</t>
  </si>
  <si>
    <t>Comments</t>
  </si>
  <si>
    <t>M</t>
  </si>
  <si>
    <t>A</t>
  </si>
  <si>
    <t>N</t>
  </si>
  <si>
    <t>C</t>
  </si>
  <si>
    <t>Global Functional Requirements</t>
  </si>
  <si>
    <t>Item #</t>
  </si>
  <si>
    <t>Global System Functional Requirements</t>
  </si>
  <si>
    <t>Ability to date and time stamp all system transactions.</t>
  </si>
  <si>
    <t>Ability to provide the user with feedback as to the success or failure of a system task, including, but not limited to:</t>
  </si>
  <si>
    <t>Ability to update the system with a new geofile without system performance degradation.</t>
  </si>
  <si>
    <t>Ability to update the system with a new geofile without system downtime.</t>
  </si>
  <si>
    <t>Ability to track revisions to online documentation and help files, including:</t>
  </si>
  <si>
    <t>Ability to mask passwords when typed.</t>
  </si>
  <si>
    <t>Print jobs</t>
  </si>
  <si>
    <t>Ability to assign personnel to security groups.</t>
  </si>
  <si>
    <t>Ability for agencies to define access permissions for each security group.</t>
  </si>
  <si>
    <t>Ability to tie security to personnel module for automated security provisioning driven by certification status (e.g., NCIC certification).</t>
  </si>
  <si>
    <t>Ability to determine which map layers are available for each application  (e.g., CAD, Mobile, RMS).</t>
  </si>
  <si>
    <t>Map Functionality</t>
  </si>
  <si>
    <t>Map Data</t>
  </si>
  <si>
    <t>Ability to support the following location fields, including, but not limited to:</t>
  </si>
  <si>
    <t>User Interface</t>
  </si>
  <si>
    <t>Ability to allow users to customize map views including, but not limited to:</t>
  </si>
  <si>
    <t>Font size</t>
  </si>
  <si>
    <t>Level of detail</t>
  </si>
  <si>
    <t>Screen size</t>
  </si>
  <si>
    <t>Map Navigation</t>
  </si>
  <si>
    <t>Block number or address range</t>
  </si>
  <si>
    <t>Street name (including alias)</t>
  </si>
  <si>
    <t>Ability to use a mouse to "click on" a point at any zoom level and have the following information displayed:</t>
  </si>
  <si>
    <t>Ability to provide the following map navigation functionality:</t>
  </si>
  <si>
    <t xml:space="preserve">Pan from given area to adjacent area </t>
  </si>
  <si>
    <t xml:space="preserve">Return back to previous view </t>
  </si>
  <si>
    <t xml:space="preserve">Zoom in on area for enhanced detail </t>
  </si>
  <si>
    <t xml:space="preserve">Zoom out of an area </t>
  </si>
  <si>
    <t>Move up and down</t>
  </si>
  <si>
    <t>Move left and right</t>
  </si>
  <si>
    <t>Ability for user to update/modify map displays (e.g., preset default zoom levels and views).</t>
  </si>
  <si>
    <t>Ability to zoom to relevant map location by searching on available map layer information including, but not limited to:</t>
  </si>
  <si>
    <t>Hydrants</t>
  </si>
  <si>
    <t>Incident number</t>
  </si>
  <si>
    <t>Intersection</t>
  </si>
  <si>
    <t>Landmark</t>
  </si>
  <si>
    <t>Parcel owner</t>
  </si>
  <si>
    <t>Street names</t>
  </si>
  <si>
    <t>Ability for users to define which map layers are displayed.</t>
  </si>
  <si>
    <t>Ability for the user to define which street information is displayed, when clicking on a map location.</t>
  </si>
  <si>
    <t xml:space="preserve">Ability for users who are not authorized to access confidential information to see that the information exists, but not view the actual information. </t>
  </si>
  <si>
    <t>Ability to view all audit trail records.</t>
  </si>
  <si>
    <t>Ability to manually archive information based upon user-specified parameters (time, file size, etc.).</t>
  </si>
  <si>
    <t>Ability to provide a native reporting tool that can:</t>
  </si>
  <si>
    <t>Allow the end user to design report format</t>
  </si>
  <si>
    <t>Access multiple files and tables</t>
  </si>
  <si>
    <t>Ability to maintain a general library of user-created reports.</t>
  </si>
  <si>
    <t>Ability for all authorized users to access the general library of user-created reports.</t>
  </si>
  <si>
    <t>Ability for the report generating tool to handle:</t>
  </si>
  <si>
    <t>Arithmetic operations, including fractiles and percentiles</t>
  </si>
  <si>
    <t>A full suite of statistical operations</t>
  </si>
  <si>
    <t>Logic operations</t>
  </si>
  <si>
    <t>Ability for users to put their own reports in a "dashboard" for later use.</t>
  </si>
  <si>
    <t>Ability to generate reports on a pre-determined schedule.</t>
  </si>
  <si>
    <t>Ability to send reports to individuals or groups (via system or agency email).</t>
  </si>
  <si>
    <t>Global Report and Query Features</t>
  </si>
  <si>
    <t>Reporting</t>
  </si>
  <si>
    <t>Queries</t>
  </si>
  <si>
    <t>Ability to run a query on:</t>
  </si>
  <si>
    <t>Ability to search on any operational data field.</t>
  </si>
  <si>
    <t>Ability to search narrative fields.</t>
  </si>
  <si>
    <t>Ability to conduct searches based on:</t>
  </si>
  <si>
    <t>Soundex</t>
  </si>
  <si>
    <t>Partial information</t>
  </si>
  <si>
    <t>Ability to search on multiple operational data fields.</t>
  </si>
  <si>
    <t>Ability to narrow down searches (search within a search).</t>
  </si>
  <si>
    <t>Ability to select any result from a query and drill down for detailed information (e.g., hyperlink).</t>
  </si>
  <si>
    <t>Ability to select any result from a search and drill down for detailed information (e.g., hyperlink).</t>
  </si>
  <si>
    <t>Excel</t>
  </si>
  <si>
    <t>Providing a warning of the size of records found</t>
  </si>
  <si>
    <t>Ability to restrict searches that result in large volumes of data by:</t>
  </si>
  <si>
    <t>Requesting users to prompt the system to continue the search</t>
  </si>
  <si>
    <t>Requesting users to prompt the system to cancel the search</t>
  </si>
  <si>
    <t>Ability to automatically send scheduled reports to distribution groups.</t>
  </si>
  <si>
    <t>Ability to exclude specified text when conducting narrative text searches.</t>
  </si>
  <si>
    <t>Ability to preserve all user-created reports during updates and upgrades.</t>
  </si>
  <si>
    <t>Ability to save queries for later use.</t>
  </si>
  <si>
    <t>Date ranges</t>
  </si>
  <si>
    <t>Report number</t>
  </si>
  <si>
    <t>Name</t>
  </si>
  <si>
    <t>ID</t>
  </si>
  <si>
    <t>Unit number</t>
  </si>
  <si>
    <t>Street</t>
  </si>
  <si>
    <t>Common name</t>
  </si>
  <si>
    <t>Vehicle identification number</t>
  </si>
  <si>
    <t>License plate number</t>
  </si>
  <si>
    <t>Officer information, including:</t>
  </si>
  <si>
    <t>Name information, including:</t>
  </si>
  <si>
    <t>Address information, including:</t>
  </si>
  <si>
    <t>Vehicle information, including:</t>
  </si>
  <si>
    <t>Global Report, Query and Search Features</t>
  </si>
  <si>
    <t>Create reports based on any operational data field in any system database</t>
  </si>
  <si>
    <t>Create reports based on multiple operational data fields in any system database</t>
  </si>
  <si>
    <t>IP address</t>
  </si>
  <si>
    <t>Ability to encrypt data transmissions, per NCIC requirements.</t>
  </si>
  <si>
    <t>Ability to search and query all appropriate databases with one query request.</t>
  </si>
  <si>
    <t>Ability to provide check boxes for users to indicate which databases to query.</t>
  </si>
  <si>
    <t>"Wild cards"</t>
  </si>
  <si>
    <t>Exact match</t>
  </si>
  <si>
    <t>Code Table Administration</t>
  </si>
  <si>
    <t>Ability to be logged onto multiple workstations at the same time (e.g., logged into mobile computer in a vehicle and logged onto a station computer at the same time):</t>
  </si>
  <si>
    <t>Public Safety Information Systems Replacement Project</t>
  </si>
  <si>
    <t>System is compatible with ESRI products.</t>
  </si>
  <si>
    <t>Address number</t>
  </si>
  <si>
    <t>Reporting area (e.g., district, beat)</t>
  </si>
  <si>
    <t>Reporting area (e.g., district, beat, jurisdiction, etc.)</t>
  </si>
  <si>
    <t>X/Y Coordinates</t>
  </si>
  <si>
    <t>Ability for the County to define codes for drop down menus (e.g., BN for brown, BL for blue, etc.).</t>
  </si>
  <si>
    <t>Ability for the County to maintain code tables, without contacting vendor.</t>
  </si>
  <si>
    <t>Ability to automatically logoff a user after a County-defined predetermined period of inactivity.</t>
  </si>
  <si>
    <t>Ability for the County to define password and user ID creation criteria.</t>
  </si>
  <si>
    <t>Ability to require passwords to be changed at a County-defined date.</t>
  </si>
  <si>
    <t>Ability to require passwords be changed at County-defined intervals, by user, with the ability to set a global maximum time.</t>
  </si>
  <si>
    <t>Ability for the County to configure which transactions are recorded in the audit log.</t>
  </si>
  <si>
    <t>Ability to maintain historical data based on a County-defined length of time.</t>
  </si>
  <si>
    <t>Ability to pull up a record and  see:</t>
  </si>
  <si>
    <t>Ability to set County-defined defaults for databases to query within each application.</t>
  </si>
  <si>
    <t>Ability for query returns to indicate the information source (e.g., NCIC, RMS, etc.).</t>
  </si>
  <si>
    <t>Ability to edit text in help files to address County-specific topics.</t>
  </si>
  <si>
    <t>Ability to maintain online the County-specific documentation and procedures, including:</t>
  </si>
  <si>
    <t>Ability to prevent software updates from overriding County-specific online documentation and help files.</t>
  </si>
  <si>
    <t>Functional Requirements</t>
  </si>
  <si>
    <t>Response</t>
  </si>
  <si>
    <t>Code</t>
  </si>
  <si>
    <t>Please respond to each requirement.  Omitted responses will be evaluated as response codes of "N" (proposed system does not comply with requirement).</t>
  </si>
  <si>
    <t>Ability to comply with all NCIC software/application security requirements.</t>
  </si>
  <si>
    <t>Ability to enforce passwords per NCIC requirements.</t>
  </si>
  <si>
    <t>Address range</t>
  </si>
  <si>
    <t>Place an "X" within the appropriate response column next to each requirement.  Where applicable and where requested, provide additional information that describes the way in which the proposed system fulfills the given requirement or how an alternative to the requirement will meet Spokane County's needs.  Short responses may be provided in the "Comments" column, while longer answers may be provided on a separate page.  Do not insert rows into any portion of the document.</t>
  </si>
  <si>
    <t>Ability to sort and search code tables.</t>
  </si>
  <si>
    <t>Ability to maintain an archive of all deleted information.</t>
  </si>
  <si>
    <t>Ability to query the archive of deleted information.</t>
  </si>
  <si>
    <t>Ability to identify method of log-on (e.g., desktop, remotely, etc.)</t>
  </si>
  <si>
    <t>Ability to tie security to both device and user (e.g., both the workstation and User ID both require NCIC access)</t>
  </si>
  <si>
    <t>Workstation</t>
  </si>
  <si>
    <t>Ability to display audit trail data in a sequential manner.</t>
  </si>
  <si>
    <t>Ability to export audit trail data to standard formats.</t>
  </si>
  <si>
    <t xml:space="preserve">Make </t>
  </si>
  <si>
    <t>Model</t>
  </si>
  <si>
    <t>Color</t>
  </si>
  <si>
    <t>Any standard vehicle identifier</t>
  </si>
  <si>
    <t>Agency type</t>
  </si>
  <si>
    <t>Date</t>
  </si>
  <si>
    <t>Date Range</t>
  </si>
  <si>
    <t>ORI</t>
  </si>
  <si>
    <t>Incident type</t>
  </si>
  <si>
    <t>Ability to perform ad hoc queries</t>
  </si>
  <si>
    <t>Phone number</t>
  </si>
  <si>
    <t>Ability to query upon any data element stored within the database.</t>
  </si>
  <si>
    <t>Microsoft Wildcard set</t>
  </si>
  <si>
    <t>Boolean operators (e.g., "and," "or," "not", etc.)</t>
  </si>
  <si>
    <t>Ability to provide a recommended  course of action upon encountering an error.</t>
  </si>
  <si>
    <t>Ability to support aliases for code tables (e.g., Sacred Heart Hospital, SHH, SHMC, etc.) defined by the County.</t>
  </si>
  <si>
    <t>Ability to bookmark topics by:</t>
  </si>
  <si>
    <t>Ability for system administrator to add supplemental fields.</t>
  </si>
  <si>
    <t>System supports all current ESRI products and version (if not, specify which products and versions are supported within the comments section).</t>
  </si>
  <si>
    <t>System supports all ESRI data formats (if not, specify which formats are supported within the comments section).</t>
  </si>
  <si>
    <t>Vendor is a certified ESRI-partner.</t>
  </si>
  <si>
    <t>Ability to support a map layer of oblique aerial imagery.</t>
  </si>
  <si>
    <t>Ability to support high resolution imagery.</t>
  </si>
  <si>
    <t>Mile markers (including numbers and direction)</t>
  </si>
  <si>
    <t xml:space="preserve">Lat/Long </t>
  </si>
  <si>
    <t>Ability to add a location field attribute without requiring vendor intervention.</t>
  </si>
  <si>
    <t>Closest organizations (e.g., schools, churches, civic associates, etc.)</t>
  </si>
  <si>
    <t>County-defined</t>
  </si>
  <si>
    <t>Ability to modify layer transparency.</t>
  </si>
  <si>
    <t>Ability to print map at any time.</t>
  </si>
  <si>
    <t>X/Y/Z Coordinates</t>
  </si>
  <si>
    <t>Ability to support standard ESRI mapping functions.</t>
  </si>
  <si>
    <t>Ability to cross-reference map with internet mapping services (e.g., Google maps, County Assessor Website, etc.)</t>
  </si>
  <si>
    <t>Ability to continue work in progress during alert (i.e., alert does not "lock out" user from continuing work in progress) .</t>
  </si>
  <si>
    <t>Ability to operate in a standard Windows operating system.</t>
  </si>
  <si>
    <t>Ability to support code table sets defined by each agency within each discipline (e.g., Sheriff's Office would have different code tables than City Police Department).</t>
  </si>
  <si>
    <t>Ability to support code table sets defined by each discipline (e.g., law enforcement has a separate code table than fire).</t>
  </si>
  <si>
    <t>Ability to copy an existing report and modify certain data values (e.g., existing report serves as a template for a new report).</t>
  </si>
  <si>
    <t>Ability to click on a location on a map and pull up any supplemental information associated with an Agency-defined parameter around the location (e.g., polygon search).</t>
  </si>
  <si>
    <t>Ability to import data from standard types, including but not limited to the following data sources:</t>
  </si>
  <si>
    <t>CSV</t>
  </si>
  <si>
    <t>Standard MS Windows applications</t>
  </si>
  <si>
    <t>Standard image files</t>
  </si>
  <si>
    <t>CDW</t>
  </si>
  <si>
    <t>Ability to export data from standard document types, including but not limited to the following data sources:</t>
  </si>
  <si>
    <t>Ability to deactivate/disable a user as opposed to delete a user.</t>
  </si>
  <si>
    <t>Ability for system administrator to re-enable an account.</t>
  </si>
  <si>
    <t>T</t>
  </si>
  <si>
    <t>Ability to support compressed imagery formats (e.g., MrSID)</t>
  </si>
  <si>
    <t>Ability to perform CAD catch-ups after system downtime, without requiring users to log back in.</t>
  </si>
  <si>
    <t>Ability to indicate in the audit trail that an incident was entered retroactively.</t>
  </si>
  <si>
    <t>Ability to set aside a block of call for service numbers in the event of a catastrophic CAD failure to enable a manual workflow and tracking.</t>
  </si>
  <si>
    <t>Ability to process retroactive incidents and assign incident numbers in the same manner as new incidents; the supervisor can override the times associated with the incident.</t>
  </si>
  <si>
    <t>Ability to add incidents retroactively independent of incident number order or sequential time sequence (i.e., incident 15 may have occurred after incident 20) in the event that the CAD system is unavailable for a time.</t>
  </si>
  <si>
    <t>Ability to retain CAD numbering sequence after system has been restarted.</t>
  </si>
  <si>
    <t>Ability to reset numbering after CAD system has been restarted.</t>
  </si>
  <si>
    <t xml:space="preserve">Ability for CAD workstation to maintain operation in the event the CAD server fails.  </t>
  </si>
  <si>
    <t>Ability to load incidents from the backup environment into the production environment upon restarting system after a system failure.</t>
  </si>
  <si>
    <t>Ability to retain and display last-known unit and incident status in the event of a catastrophic system failure (e.g., at the workstation, remote external logging device or similar solution).</t>
  </si>
  <si>
    <t>CAD Recovery</t>
  </si>
  <si>
    <t>Ability to support an upload of contact data via standard file formats (e.g., CSV).</t>
  </si>
  <si>
    <t>Ability to restrict access to the database based upon security level.</t>
  </si>
  <si>
    <t>Ability to restrict access to certain data fields within the RMS/FRMS personnel modules.</t>
  </si>
  <si>
    <t>Ability to access RMS/FRMS Personnel module directly from CAD.</t>
  </si>
  <si>
    <t>Ability to access administrative contact database directly from CAD window.</t>
  </si>
  <si>
    <t>Ability to maintain a searchable list of contact information and telephone numbers related to other city and state departments, utility companies, hospitals, ambulance companies, and other law, fire, and EMS agencies.</t>
  </si>
  <si>
    <t>Administrative Contact Database</t>
  </si>
  <si>
    <t>Ability to provide a notification to the System Administrator of upcoming notification expirations.</t>
  </si>
  <si>
    <t>Ability to define valid date ranges for time limited premise information at a given location (e.g., information valid between &lt;start date&gt; and &lt;end date&gt;.</t>
  </si>
  <si>
    <t>Ability to store premise information for an agency-defined length of time.</t>
  </si>
  <si>
    <t>Narrative text of unlimited length (if limited, indicate maximum in the "comments" field)</t>
  </si>
  <si>
    <t>Type of incident</t>
  </si>
  <si>
    <t>Disposition</t>
  </si>
  <si>
    <t>Date of incident</t>
  </si>
  <si>
    <t>Ability to capture the following information when creating premise history:</t>
  </si>
  <si>
    <t>Ability to automatically update premise history when an incident occurs.</t>
  </si>
  <si>
    <t>Ability to attach files to hazard and premise records (e.g., building layouts).</t>
  </si>
  <si>
    <t>Ability for pre-plans to be uploaded from a Fire RMS.</t>
  </si>
  <si>
    <t>Ability to store pre-plans.</t>
  </si>
  <si>
    <t>Ability for each agency to limit what pre-plan and hazard information is made available across disciplines.</t>
  </si>
  <si>
    <t>Ability for pre-plan information to be transferrable across disciplines.</t>
  </si>
  <si>
    <t>Ability to associate a temporary hazard with a location.</t>
  </si>
  <si>
    <t>Vehicles</t>
  </si>
  <si>
    <t>Address ranges</t>
  </si>
  <si>
    <t>Specific locations</t>
  </si>
  <si>
    <t>Persons</t>
  </si>
  <si>
    <t>Ability to enter hazards and premise information associated with:</t>
  </si>
  <si>
    <t>Pre-plan information</t>
  </si>
  <si>
    <t>Occupancy information</t>
  </si>
  <si>
    <t>Medical concerns</t>
  </si>
  <si>
    <t>Hazardous materials</t>
  </si>
  <si>
    <t>Firearms</t>
  </si>
  <si>
    <t>Emergency contact information</t>
  </si>
  <si>
    <t>Building information</t>
  </si>
  <si>
    <t>Ability to capture  hazard and premise information including, but not limited to:</t>
  </si>
  <si>
    <t>Hazard and Premise History File Maintenance</t>
  </si>
  <si>
    <t>Ability for a communications supervisor to update the response plans (e.g., without assistance from technical support or vendor).</t>
  </si>
  <si>
    <t>Ability to load a new response plan without stopping or pausing application operations.</t>
  </si>
  <si>
    <t>Ability for user to override response plan recommendation.</t>
  </si>
  <si>
    <t>Ability to generate temporary response plans.</t>
  </si>
  <si>
    <t>Ability to disable/enable response plans (e.g., fairs, parades, etc.)</t>
  </si>
  <si>
    <t>Ability to include multiple agencies in response plans.</t>
  </si>
  <si>
    <t>Ability to support differing response plans by agency (Agencies may respond differently to the same call type).</t>
  </si>
  <si>
    <t>Ability to assign a single response plan with multiple call types.</t>
  </si>
  <si>
    <t>Station coverage requirements</t>
  </si>
  <si>
    <t>Resource availability</t>
  </si>
  <si>
    <t>Responding Agency</t>
  </si>
  <si>
    <t>Fire pre-plan</t>
  </si>
  <si>
    <t>Call type</t>
  </si>
  <si>
    <t>Fire alarm level</t>
  </si>
  <si>
    <t>Time of day</t>
  </si>
  <si>
    <t>Geographic area (e.g., beat, sector, fire zone box etc.)</t>
  </si>
  <si>
    <t>Ability for each agency to develop response plans based on:</t>
  </si>
  <si>
    <t>Response Plans</t>
  </si>
  <si>
    <t>Ability to configure status code colors.</t>
  </si>
  <si>
    <t>Ability to configure commands (e.g., V = vehicle stop) at the administrator level.</t>
  </si>
  <si>
    <t>Ability for agency to add or change data elements on any screen based on defined system permissions.</t>
  </si>
  <si>
    <t>Ability to create conditional fields and mandatory data elements based on agency-defined criteria.</t>
  </si>
  <si>
    <t>Ability to configure the field entry sequence.</t>
  </si>
  <si>
    <t>Ability to create agency-defined data entry screens.</t>
  </si>
  <si>
    <t>CAD Configuration</t>
  </si>
  <si>
    <t>Ability to create and maintain a call type classification that is based upon the time of day.</t>
  </si>
  <si>
    <t>Ability to override the above-described functionality.</t>
  </si>
  <si>
    <t>Ability to limit the types of calls to which certain units can respond.</t>
  </si>
  <si>
    <t>Ability for each agency to define the above-listed data tables.</t>
  </si>
  <si>
    <t>Units</t>
  </si>
  <si>
    <t>Unit status types (i.e., assigned, unassigned, assigned but available)</t>
  </si>
  <si>
    <t>Timers</t>
  </si>
  <si>
    <t>Personnel, including emergency contact information and current assignment</t>
  </si>
  <si>
    <t>Patrol and command area definitions</t>
  </si>
  <si>
    <t>Event error logs (so vendor can identify and troubleshoot errors)</t>
  </si>
  <si>
    <t>Equipment</t>
  </si>
  <si>
    <t>Dispositions</t>
  </si>
  <si>
    <t>Devices</t>
  </si>
  <si>
    <t>Commands</t>
  </si>
  <si>
    <t>Call types and priorities</t>
  </si>
  <si>
    <t>Call source (e.g., officer-initiated, 9-1-1, 10-digit, etc.)</t>
  </si>
  <si>
    <t>Ability to include, at a minimum, the following data tables:</t>
  </si>
  <si>
    <t>Ability for CAD fields to default to Agency-defined values.</t>
  </si>
  <si>
    <t>Ability for CAD fields to default to County-defined values.</t>
  </si>
  <si>
    <t>CAD Table Maintenance</t>
  </si>
  <si>
    <t>CAD System Administration</t>
  </si>
  <si>
    <t>Ability to maintain an archive of all messages.</t>
  </si>
  <si>
    <t>Ability to delete oldest messages as buffer fills.</t>
  </si>
  <si>
    <t>Ability to store messages in a County-defined buffer size.</t>
  </si>
  <si>
    <t>Ability to generate report or notification of Agency-defined inappropriate language.</t>
  </si>
  <si>
    <t>Ability for supervisors to monitor messages.</t>
  </si>
  <si>
    <t>Ability to retain a message in the inbox.</t>
  </si>
  <si>
    <t>Ability to clear a message from the inbox.</t>
  </si>
  <si>
    <t>Ability to queue and display message waiting by priority.</t>
  </si>
  <si>
    <t>Ability to note time opened/read by receiver.</t>
  </si>
  <si>
    <t>Ability to query message logs by Agency-defined criteria (e.g., date/time range, sender, recipient, device).</t>
  </si>
  <si>
    <t>Ability to assign a priority to a message (e.g., an emergency message would override other message).</t>
  </si>
  <si>
    <t>Ability for messages to be queued in an "inbox" for later viewing at the convenience of users.</t>
  </si>
  <si>
    <t>Ability to prevent incoming messages from overlaying the screen.</t>
  </si>
  <si>
    <t>Ability to notify receiver of total number of unread messages.</t>
  </si>
  <si>
    <t>Ability to prevent incoming messages from interfering with current work.</t>
  </si>
  <si>
    <t>Ability to notify receiver of an unread message after an Agency-defined time period.</t>
  </si>
  <si>
    <t>Ability to sort messages in chronological order.</t>
  </si>
  <si>
    <t>Ability to notify receiver via an audible and/or visual flag that a new message has arrived in mailbox.</t>
  </si>
  <si>
    <t>Receiving Messages</t>
  </si>
  <si>
    <t>Ability to provide a notification for non-delivery of messages.</t>
  </si>
  <si>
    <t>Ability to provide a notification for delivery of messages to the device.</t>
  </si>
  <si>
    <t>Ability to create messages that are retained in the system and sent at pre-specified times.</t>
  </si>
  <si>
    <t>Ability to transmit a "reply all" message to multiple recipients that were part of the originator's message group.</t>
  </si>
  <si>
    <t>Ability to transmit a reply message to the originator of a currently displayed message without having to reenter the originator's address.</t>
  </si>
  <si>
    <t>Ability to send a message to all units handling a specific incident.</t>
  </si>
  <si>
    <t>Ability to automatically compress and resize images to comply with County-defined file size limits.</t>
  </si>
  <si>
    <t>Ability to set County-defined file size limit.</t>
  </si>
  <si>
    <t>Ability to embed photos in messages.</t>
  </si>
  <si>
    <t>Ability to attach files to messages.</t>
  </si>
  <si>
    <t>Ability to add to a message before forwarding to another user.</t>
  </si>
  <si>
    <t>Ability to enter unlimited narrative with wrap-around feature (if limited, note the characters permissible in the "comments" section).</t>
  </si>
  <si>
    <t>Ability for users to select an unlimited number of people as part of a message group.</t>
  </si>
  <si>
    <t>Ability to select a recipient from the unit status window within CAD.</t>
  </si>
  <si>
    <t>Ability to create an automatic message type based on call type or unit assigned to the call (e.g., in the case of K-9 call, all responding units are sent a message to make a public announcement).</t>
  </si>
  <si>
    <t>Ability to send messages across agencies (e.g., law enforcement to fire and vice versa).</t>
  </si>
  <si>
    <t>Ability to create, edit and save message groups.</t>
  </si>
  <si>
    <t>Sending Messages</t>
  </si>
  <si>
    <t>Ability for messages to be sorted by most recent or first received.</t>
  </si>
  <si>
    <t>Ability for host computer to store unread messages when user logs off.</t>
  </si>
  <si>
    <t>Ability to store messages for later viewing.</t>
  </si>
  <si>
    <t>Ability to attach a dispatch-related messages to an incident.</t>
  </si>
  <si>
    <t>Ability to provide a web-based version of messaging capabilities.</t>
  </si>
  <si>
    <t>Ability for each terminal to have a unique identifier included in each transmission to the host.</t>
  </si>
  <si>
    <t>Ability to assign and change the priority level of a message (e.g., routine, urgent, emergency).</t>
  </si>
  <si>
    <t>Receiver workstation ID</t>
  </si>
  <si>
    <t>Receiver time</t>
  </si>
  <si>
    <t>Receiver date</t>
  </si>
  <si>
    <t>Receiver name/unit ID</t>
  </si>
  <si>
    <t>Sender workstation ID</t>
  </si>
  <si>
    <t>Sender time</t>
  </si>
  <si>
    <t>Sender date</t>
  </si>
  <si>
    <t>Sender name/unit ID</t>
  </si>
  <si>
    <t>Ability to display the following identifiers within a message:</t>
  </si>
  <si>
    <t>Ability to support real-time instant messaging.</t>
  </si>
  <si>
    <t>Ability to send broadcast messages (e.g. to all users).</t>
  </si>
  <si>
    <t>Ability to send a message to a specific individual on a shared apparatus/unit.</t>
  </si>
  <si>
    <t>Unit-to-cell phone messaging</t>
  </si>
  <si>
    <t>Unit-to-unit messaging</t>
  </si>
  <si>
    <t>Unit-to-pager messaging</t>
  </si>
  <si>
    <t>Unit-to-dispatch messaging, without units having to know the dispatcher port number</t>
  </si>
  <si>
    <t>Unit-to-desktop messaging</t>
  </si>
  <si>
    <t>Desktop-to-unit messaging</t>
  </si>
  <si>
    <t>Desktop-to-cell phone messaging</t>
  </si>
  <si>
    <t>Desktop-to-pager messaging</t>
  </si>
  <si>
    <t>Desktop-to-dispatch messaging</t>
  </si>
  <si>
    <t>Desktop-to-desktop messaging</t>
  </si>
  <si>
    <t>Ability to support a minimum of the following messaging functions to and from any CAD address:</t>
  </si>
  <si>
    <t>Ability for message server to continuously attempt to deliver a message until received and confirmed.</t>
  </si>
  <si>
    <t>Ability for certain individuals to be part of multiple messaging groups.</t>
  </si>
  <si>
    <t>Ability upon log-on to be automatically assigned to the corresponding message group.</t>
  </si>
  <si>
    <t>Ability to send messages to a user who is not logged into CAD and cache that message for retrieval when the user logs onto CAD.</t>
  </si>
  <si>
    <t>General Messaging Features</t>
  </si>
  <si>
    <t>CAD and Mobile Messaging</t>
  </si>
  <si>
    <t>Ability to sort query results by any criteria (e.g., most recent to oldest, by priority, etc.).</t>
  </si>
  <si>
    <t>Unit types (e.g., apparatus, patrol units)</t>
  </si>
  <si>
    <t>Field Personnel name</t>
  </si>
  <si>
    <t>Unit ID</t>
  </si>
  <si>
    <t>Geographic area (e.g., fire zone box, beat, sector)</t>
  </si>
  <si>
    <t>Personnel ID</t>
  </si>
  <si>
    <t>Dispatch group</t>
  </si>
  <si>
    <t>Date and time range</t>
  </si>
  <si>
    <t>Ability to query unit status by:</t>
  </si>
  <si>
    <t>Unit types (e.g., apparatus, patrol units, Hazmat, etc.)</t>
  </si>
  <si>
    <t>Special skills</t>
  </si>
  <si>
    <t>Officer name/ID</t>
  </si>
  <si>
    <t>Ability to query resource availability by:</t>
  </si>
  <si>
    <t>Unit ID, field personnel ID, or employee number</t>
  </si>
  <si>
    <t>Date and time range (e.g., start and end date and time parameters)</t>
  </si>
  <si>
    <t>Ability to query unit history by any combination of the following:</t>
  </si>
  <si>
    <t>Pending calls</t>
  </si>
  <si>
    <t>Active calls</t>
  </si>
  <si>
    <t>Ability to query and view the following by any public safety boundary layer (e.g., beat, sector etc.):</t>
  </si>
  <si>
    <t>Ability to automatically run a registered vehicle owner upon return of a license plate query.</t>
  </si>
  <si>
    <t>Ability to automatically notify user when query information has been queried within an agency-defined time frame "delayed inquiry hit" (e.g., querying a license that has been queried in the past hour by another user).</t>
  </si>
  <si>
    <t>Ability to query call  for service records geographically.</t>
  </si>
  <si>
    <t>Any combination of these parameters</t>
  </si>
  <si>
    <t>Any information within the narrative</t>
  </si>
  <si>
    <t>License plate</t>
  </si>
  <si>
    <t>Response Area</t>
  </si>
  <si>
    <t>Block Range</t>
  </si>
  <si>
    <t>Any location in an incident</t>
  </si>
  <si>
    <t>Location</t>
  </si>
  <si>
    <t>Time range</t>
  </si>
  <si>
    <t>Date range</t>
  </si>
  <si>
    <t>Ability to query call for service records based on data elements captured, including but not limited to:</t>
  </si>
  <si>
    <t>Ability to query all databases internal to the CAD application as well as any databases interfaced to the CAD application with a single query.</t>
  </si>
  <si>
    <t>Ability to query WACIC/NCIC from within the CAD application.</t>
  </si>
  <si>
    <t>Ability to query FRMS from within the CAD application.</t>
  </si>
  <si>
    <t>Ability to query law RMS from within the CAD application.</t>
  </si>
  <si>
    <t>CAD Queries</t>
  </si>
  <si>
    <t>Ability to generate a report containing a summary of incidents for an agency-defined period of time (e.g., for distribution to the public).</t>
  </si>
  <si>
    <t>Ability to generate a list of incidents to be shared with the public based on agency-specific business rules.</t>
  </si>
  <si>
    <t>Ability to create ad hoc reports.</t>
  </si>
  <si>
    <t>Ability to provide a dashboard reporting feature. - expand on this.</t>
  </si>
  <si>
    <t>Ability to analyze incidents based upon multiple parameters (e.g., date, time, location, call type, dispatcher, etc.)</t>
  </si>
  <si>
    <t>Ability to provide an analytical tool that reviews workload by call-taker/dispatcher.</t>
  </si>
  <si>
    <t>Total incidents by date by nature or disposition</t>
  </si>
  <si>
    <t>Date or date range</t>
  </si>
  <si>
    <t>Total calls for service by:</t>
  </si>
  <si>
    <t>Total and average time on call – by hour of day</t>
  </si>
  <si>
    <t>Total and average time on call – by geographic area</t>
  </si>
  <si>
    <t>Total and average time on call – by day of week</t>
  </si>
  <si>
    <t>Calls on hold during specific time range</t>
  </si>
  <si>
    <t>Response times by agency</t>
  </si>
  <si>
    <t>Response times by assigned unit</t>
  </si>
  <si>
    <t>Response times by original call destination</t>
  </si>
  <si>
    <t>Response times by type of call/priority</t>
  </si>
  <si>
    <t>Response times by geographic area</t>
  </si>
  <si>
    <t>False alarm reports</t>
  </si>
  <si>
    <t>Incident analysis by unit</t>
  </si>
  <si>
    <t>Incident analysis by workstation</t>
  </si>
  <si>
    <t>Incident analysis by dispatcher</t>
  </si>
  <si>
    <t>Incident analysis by dispatching agency</t>
  </si>
  <si>
    <t>Incident analysis by responding agency</t>
  </si>
  <si>
    <t>Incident analysis by geographic area by hour of day</t>
  </si>
  <si>
    <t>Incident analysis by disposition</t>
  </si>
  <si>
    <t>Incident analysis by call type</t>
  </si>
  <si>
    <t>Incident analysis by shift</t>
  </si>
  <si>
    <t>Incident analysis by hour of day</t>
  </si>
  <si>
    <t>Incident analysis by geographic area</t>
  </si>
  <si>
    <t>Incident analysis by day of week</t>
  </si>
  <si>
    <t>Ability to generate the following standard reports from within the CAD application:</t>
  </si>
  <si>
    <t>Ability to create, within the CAD application, standard reports consistent with NFPA benchmarks (e.g., 1221, 1710).</t>
  </si>
  <si>
    <t>Create CAD reports based on multiple operational data fields in the CAD database</t>
  </si>
  <si>
    <t>Create CAD reports based on any data field in the CAD database</t>
  </si>
  <si>
    <t>CAD Reporting and Analysis</t>
  </si>
  <si>
    <t>CAD Reporting and Query Features</t>
  </si>
  <si>
    <t>Ability to support a separate test mobile connection (or a canned script of mobile information).</t>
  </si>
  <si>
    <t>Ability to support a separate test E9-1-1 connection (or a canned script of E9-1-1 information).</t>
  </si>
  <si>
    <t>Ability for testing and training to occur without impacting the production environment.</t>
  </si>
  <si>
    <t>Ability to designate any training workstation as a production workstation based on user log on.</t>
  </si>
  <si>
    <t>Ability to designate any production workstation as a training workstation based on user log on.</t>
  </si>
  <si>
    <t>Ability to visually distinguish testing/training environments from production environments.</t>
  </si>
  <si>
    <t>Ability to support a CAD testing/training environment that mirrors the configuration of the CAD production environment.</t>
  </si>
  <si>
    <t>Ability for testing/training environment to support an unlimited number of incidents (if limited, indicate the maximum in the comments section).</t>
  </si>
  <si>
    <t>Ability to support a CAD testing/training environment that mirrors the functionality of the CAD production environment.</t>
  </si>
  <si>
    <t>CAD Testing/Training Environment</t>
  </si>
  <si>
    <t>Ability to allow two users to work on the same call simultaneously (e.g., to allow a trainer and trainee to work on the same call).</t>
  </si>
  <si>
    <t>Ability for all messages sent to and from a trainee to be available to the trainee's supervisor.</t>
  </si>
  <si>
    <t>Ability for an individual with defined security access to remotely take control of a workstation.</t>
  </si>
  <si>
    <t>Ability to generate statistical information from within the CAD application on all dispatcher activity including all incident management time parameters (time on hold, response time, etc.).</t>
  </si>
  <si>
    <t>Ability for a communications supervisor to monitor activity on any user workstation.</t>
  </si>
  <si>
    <t>Ability for a CAD workstation to be configured as a supervisor workstation upon logon of a user with a CAD supervisor profile.</t>
  </si>
  <si>
    <t>Ability for a communications supervisor to monitor system configuration and current staffing (e.g., who is signed-on, at what position, and with what responsibilities).</t>
  </si>
  <si>
    <t>Communications Supervisor Support</t>
  </si>
  <si>
    <t>Ability to search expired BOLO records.</t>
  </si>
  <si>
    <t>Ability to archive expired BOLO records.</t>
  </si>
  <si>
    <t>Ability to view history of recently created BOLOs.</t>
  </si>
  <si>
    <t>Ability to designate groups or individuals to whom BOLOs should be sent.</t>
  </si>
  <si>
    <t>Ability for user other than the BOLO author to modify the BOLO, based upon security level.</t>
  </si>
  <si>
    <t>Ability to modify a BOLO.</t>
  </si>
  <si>
    <t>Ability to close a BOLO.</t>
  </si>
  <si>
    <t>Ability to set time limits for BOLO retention.</t>
  </si>
  <si>
    <t>Ability to associate a timer with a BOLO that notifies dispatch based on user-defined time frame.</t>
  </si>
  <si>
    <t>Ability to update a BOLO.</t>
  </si>
  <si>
    <t>Ability to embed a video in a BOLO.</t>
  </si>
  <si>
    <t>Ability to embed a photo in a BOLO.</t>
  </si>
  <si>
    <t>Ability to attach a file to a BOLO.</t>
  </si>
  <si>
    <t>Ability to search for BOLO based upon any of the above-mentioned items.</t>
  </si>
  <si>
    <t>Additional information in free-form text field</t>
  </si>
  <si>
    <t>Agency issuing the BOLO</t>
  </si>
  <si>
    <t>Person issuing the BOLO</t>
  </si>
  <si>
    <t>Contact Information</t>
  </si>
  <si>
    <t>Last known location</t>
  </si>
  <si>
    <t>Known associates</t>
  </si>
  <si>
    <t>Weapon (multiple)</t>
  </si>
  <si>
    <t>Vehicle license plate</t>
  </si>
  <si>
    <t>Vehicle description</t>
  </si>
  <si>
    <t>Known address or location</t>
  </si>
  <si>
    <t>Date of birth</t>
  </si>
  <si>
    <t>Subject description</t>
  </si>
  <si>
    <t>Case number</t>
  </si>
  <si>
    <t>Subject name</t>
  </si>
  <si>
    <t>BOLO priority</t>
  </si>
  <si>
    <t>Nature of the BOLO</t>
  </si>
  <si>
    <t>BOLO expiration date</t>
  </si>
  <si>
    <t>Date issued</t>
  </si>
  <si>
    <t>Ability to provide the following fields for a BOLO record:</t>
  </si>
  <si>
    <t>Ability to associate a BOLO with a case number.</t>
  </si>
  <si>
    <t>Ability to create defined BOLO receiving groups (e.g., law enforcement only, law and fire, etc.)</t>
  </si>
  <si>
    <t>Ability for field personnel to create BOLOs.</t>
  </si>
  <si>
    <t>Ability to provide an audit trail for BOLOs.</t>
  </si>
  <si>
    <t>Ability to create BOLOs (based upon level of security clearance).</t>
  </si>
  <si>
    <t>BOLOs</t>
  </si>
  <si>
    <t>Ability for move-up recommendations to take into account the number of nearby units that are attending the incident and recommend units from farther away (e.g., Pull units from 5 miles away as opposed to 2 miles away to prevent a coverage "black hole").</t>
  </si>
  <si>
    <t>Ability for move-up recommendations to take into account units from neighboring jurisdictions.</t>
  </si>
  <si>
    <t>Ability to provide an alert when locations are nearing station coverage deficiencies.</t>
  </si>
  <si>
    <t>Ability to distinguish between assigned units and units in move-up or cover status.</t>
  </si>
  <si>
    <t>Ability to reverse move-ups as apparatus clear calls.</t>
  </si>
  <si>
    <t>Override move-up recommendations</t>
  </si>
  <si>
    <t>Accept move-up recommendations</t>
  </si>
  <si>
    <t>Ability for dispatchers to:</t>
  </si>
  <si>
    <t>Alarm levels</t>
  </si>
  <si>
    <t>Current vehicle location (e.g., AVL)</t>
  </si>
  <si>
    <t>Fixed station order</t>
  </si>
  <si>
    <t>Ability to recommend move-ups based on:</t>
  </si>
  <si>
    <t>Ability to identify coverage deficiencies by agency defined parameters.</t>
  </si>
  <si>
    <t>Ability to identify station coverage deficiencies based on minimum staffing levels by apparatus capability.</t>
  </si>
  <si>
    <t>Ability to identify station coverage deficiencies based on minimum staffing levels by apparatus type.</t>
  </si>
  <si>
    <t>Fire Move-Up Management</t>
  </si>
  <si>
    <t>Ability to change an incident disposition after a call is closed.</t>
  </si>
  <si>
    <t>Ability to change any call data before closing an incident.</t>
  </si>
  <si>
    <t>Ability for each agency to configure whether or not a closed confirmation is required.</t>
  </si>
  <si>
    <t>Ability to require confirmation before closing a CAD incident (e.g., a message saying "Are you sure you want to close this incident?).</t>
  </si>
  <si>
    <t>Ability to clear multiple units without closing the incident.</t>
  </si>
  <si>
    <t>Ability to clear a single unit from an incident without clearing other assigned units from the incident.</t>
  </si>
  <si>
    <t>Ability to clear more than one selected unit from an incident while leaving one or more selected units on the incident.</t>
  </si>
  <si>
    <t>CAD Incident Closure</t>
  </si>
  <si>
    <t>Ability to notify field personnel of all incidents requiring reports (e.g., reports necessary queue).</t>
  </si>
  <si>
    <t>Ability to initiate a report before an incident is closed (e.g., download data to Fire RMS).</t>
  </si>
  <si>
    <t>Fire RMS</t>
  </si>
  <si>
    <t>Electronic Patient Care Report</t>
  </si>
  <si>
    <t>Law Enforcement Field Reporting (e.g. to initiate a report)</t>
  </si>
  <si>
    <t>Law Enforcement RMS</t>
  </si>
  <si>
    <t>Ability to transfer agency-defined call for service data to:</t>
  </si>
  <si>
    <t>Ability to identify whether a report is required based on disposition code.</t>
  </si>
  <si>
    <t>Report Initiation</t>
  </si>
  <si>
    <t>Ability when the primary unit is identified or changed after a disposition is entered, for the associated dispositions to update accordingly (e.g., change the secondary unit to the primary unit, the second unit's disposition now becomes the primary disposition).</t>
  </si>
  <si>
    <t>Ability to prevent the disposition of a secondary unit from overriding the disposition of the primary unit.</t>
  </si>
  <si>
    <t>Ability to reject a disposition if unsuitable for the incident type based on Agency-defined criteria.</t>
  </si>
  <si>
    <t>Ability to enter comments along with a disposition code (note the number of characters permissible in the "comments" section).</t>
  </si>
  <si>
    <t>Ability for either dispatchers or field personnel to enter the disposition code.</t>
  </si>
  <si>
    <t>Ability to require a disposition code before an incident can be cleared.</t>
  </si>
  <si>
    <t>Ability for each agency to define multiple disposition types for one incident.</t>
  </si>
  <si>
    <t>Ability to support an unlimited number of disposition types.</t>
  </si>
  <si>
    <t xml:space="preserve">Ability to filter disposition codes by agency (e.g., fire and law enforcement each have their own disposition codes). </t>
  </si>
  <si>
    <t>Ability for each agency to modify their disposition codes without requiring vendor intervention.</t>
  </si>
  <si>
    <t>Ability for each Agency to define disposition codes.</t>
  </si>
  <si>
    <t>Disposition Recording</t>
  </si>
  <si>
    <t>Ability to automatically clear all dispatched units from the incident upon incident cancellation (e.g. upon invoking the cancel command).</t>
  </si>
  <si>
    <t>Ability to automatically remove the incident from the pending or active incidents queue and add the disposition (e.g., cancelled) upon execution of a command canceling an incident.</t>
  </si>
  <si>
    <t>Ability to generate a test call without generating a case number.</t>
  </si>
  <si>
    <t>Ability to cancel an incident with a single command.</t>
  </si>
  <si>
    <t>CAD Incident Cancellation</t>
  </si>
  <si>
    <t>Call Disposition</t>
  </si>
  <si>
    <t>Ability to record "by request" tows (i.e., for tows requested by the individual that are not contracted by the County)</t>
  </si>
  <si>
    <t>Ability for user to update the tow company's contact information.</t>
  </si>
  <si>
    <t>Ability to store contact information for all tow companies within the rotation list.</t>
  </si>
  <si>
    <t>Ability to add/remove a towing company from the rotation list.</t>
  </si>
  <si>
    <t>Ability to temporarily remove a towing company from the rotation list and have that towing company automatically available at the conclusion of its temporary expiration.</t>
  </si>
  <si>
    <t>Ability to de-activate/re-activate a towing company from the rotation list.</t>
  </si>
  <si>
    <t>Contractor responses</t>
  </si>
  <si>
    <t>Average Response Time</t>
  </si>
  <si>
    <t>Tow company</t>
  </si>
  <si>
    <t>Ability to generate a report identifying:</t>
  </si>
  <si>
    <t>Ability to capture non-compliance of tow contract agreements (e.g., not responding within the contracted response time).</t>
  </si>
  <si>
    <t>Ability to capture the response time of the towing vehicle.</t>
  </si>
  <si>
    <t>Ability to generate an automatic timer when a tow is requested (based on agency-defined timers).</t>
  </si>
  <si>
    <t>Ability to send tow company information to deputy in field (e.g., to prefill field reporting form).</t>
  </si>
  <si>
    <t>Ability to attach tow request and response record to incident record.</t>
  </si>
  <si>
    <t>Ability to replace a contractor at the top of the rotation list when the dispatchers cancels the tow call out (e.g., through no fault of the contractor).</t>
  </si>
  <si>
    <t>Ability to provide an archive of contractor responses.</t>
  </si>
  <si>
    <t>Ability to record contractor response.</t>
  </si>
  <si>
    <t>Ability to record that a contractor was selected from the service rotation list.</t>
  </si>
  <si>
    <t>Ability to capture reason for exception when a contractor other than the one recommended is selected.</t>
  </si>
  <si>
    <t>Position in contractor rotation list</t>
  </si>
  <si>
    <t>Vehicle location</t>
  </si>
  <si>
    <t>Contractor capabilities</t>
  </si>
  <si>
    <t>Ability for system to recommend a contractor based on the following:</t>
  </si>
  <si>
    <t>Ability to support specific tow company lists for each agency.</t>
  </si>
  <si>
    <t>Ability to provide tow module within a Mobile environment (based upon user permissions).</t>
  </si>
  <si>
    <t>Ability to maintain a single list of multiple tow company contractors with different kinds of capabilities (e.g., asset seizure, evidence impound, etc.).</t>
  </si>
  <si>
    <t>Towing Vehicle Rotation List</t>
  </si>
  <si>
    <t>Towed Vehicles</t>
  </si>
  <si>
    <t>Ability to provide a field to cross-reference closed incidents.</t>
  </si>
  <si>
    <t>Ability to provide a field to cross-reference active incidents.</t>
  </si>
  <si>
    <t>Ability to cancel a cross-reference or hyperlink.</t>
  </si>
  <si>
    <t>Ability to hyperlink an unlimited number of related incidents (if limited, indicate the maximum number of hyperlinks)</t>
  </si>
  <si>
    <t>Ability to hyperlink closed incidents.</t>
  </si>
  <si>
    <t>Ability to hyperlink active incidents.</t>
  </si>
  <si>
    <t>Ability for dispatcher to hyperlink a field-initiated call to another incident.</t>
  </si>
  <si>
    <t>Hyperlinking and Cross-Referencing Calls</t>
  </si>
  <si>
    <t>Ability for each agency to determine which data elements may be modified in a closed call.</t>
  </si>
  <si>
    <t>Ability for each agency to determine what users may re-open calls.</t>
  </si>
  <si>
    <t>Ability for dispatchers to modify the dispatch group of the CAD call record after the call is closed without reopening the incident.</t>
  </si>
  <si>
    <t>Ability for dispatchers to modify the call type of the CAD call record after the call is closed without reopening the incident.</t>
  </si>
  <si>
    <t>Ability for dispatchers to modify the final disposition of the CAD call record after the call is closed without reopening the incident.</t>
  </si>
  <si>
    <t>Ability for dispatchers to add comments to a CAD call record after the call is closed without reopening the incident.</t>
  </si>
  <si>
    <t>Ability to assign units to reopened calls.</t>
  </si>
  <si>
    <t>Ability to reopen closed incidents.</t>
  </si>
  <si>
    <t>Reopening CAD Incidents</t>
  </si>
  <si>
    <t>Ability to notify call taker when they've added a supplement to a closed call.</t>
  </si>
  <si>
    <t>Ability for users to add supplemental information to closed incidents.</t>
  </si>
  <si>
    <t>Ability to copy and paste NCIC returns into incident records.</t>
  </si>
  <si>
    <t>Ability to attach NCIC returns to incident records.</t>
  </si>
  <si>
    <t>Ability for system to automatically highlight changes made since last entry.</t>
  </si>
  <si>
    <t>Ability to automatically record all CAD incident information changes in chronological order.</t>
  </si>
  <si>
    <t>Ability for the screen of anyone monitoring a call to update automatically as new information is added to a call.</t>
  </si>
  <si>
    <t>Ability for dispatcher screen to update automatically as new information is added to a call.</t>
  </si>
  <si>
    <t>Ability to simultaneously notify dispatcher and dispatched units of updated information as configured by each agency.</t>
  </si>
  <si>
    <t>Ability to visually distinguish information entered by each call taker (e.g., Call Taker A's font is in blue, Call Taker B's font is in red) into a single call.</t>
  </si>
  <si>
    <t>Ability for multiple call takers to provide input to a single call.</t>
  </si>
  <si>
    <t>Ability for agency-defined supplemental information entered by the call-taker to not automatically be transferred to the dispatcher.</t>
  </si>
  <si>
    <t>Ability for call takers to add information to a CAD incident after the incident has been routed to a dispatcher.</t>
  </si>
  <si>
    <t>Ability to update the incident as new information is received.</t>
  </si>
  <si>
    <t>CAD Incident Updates</t>
  </si>
  <si>
    <t>Ability to send suggested perimeter positions to a unit.</t>
  </si>
  <si>
    <t>Ability to generate perimeters via a drawing tool on the map.</t>
  </si>
  <si>
    <t>Ability for perimeter to automatically adjust based upon updated location information.</t>
  </si>
  <si>
    <t>Ability to initiate a perimeter command to generate a perimeter upon entry of a location and perimeter distance (e.g., set a 3 block perimeter around 300 Main St.).</t>
  </si>
  <si>
    <t>Ability to designate a single call (e.g., a hot call) to a single dispatch group, regardless of the number of units assigned to the call.</t>
  </si>
  <si>
    <t>Ability for dispatcher to transfer management of all calls except one (e.g., a hot call) to another dispatcher.</t>
  </si>
  <si>
    <t>Total elapsed time</t>
  </si>
  <si>
    <t>Time received</t>
  </si>
  <si>
    <t>Time in status</t>
  </si>
  <si>
    <t>Priority</t>
  </si>
  <si>
    <t>Response area</t>
  </si>
  <si>
    <t>Ability to sort active calls by:</t>
  </si>
  <si>
    <t>Ability for each agency to configure what information described above is displayed.</t>
  </si>
  <si>
    <t>Status</t>
  </si>
  <si>
    <t>Ability to display a window listing pending and holding incidents entered from any CAD workstation.  The following should be displayed:</t>
  </si>
  <si>
    <t>Ability to review incident information in reverse chronological order.</t>
  </si>
  <si>
    <t>All incident or unit activity, regardless of point of entry, is displayed in this window as it is recorded to the CAD database</t>
  </si>
  <si>
    <t>Incident appears in a separate window</t>
  </si>
  <si>
    <t>Ability for a user to select an incident for continuous monitoring such that:</t>
  </si>
  <si>
    <t>Ability to monitor an unlimited number of incidents.</t>
  </si>
  <si>
    <t>CAD Call Display</t>
  </si>
  <si>
    <t>Call Management</t>
  </si>
  <si>
    <t>Ability to require a disposition to be entered prior to clearing the primary unit from a CAD incident.</t>
  </si>
  <si>
    <t>Ability to alert responding units when additional units are cleared from or added to a call.</t>
  </si>
  <si>
    <t>Ability to request user confirmation prior to clearing the last unit from a CAD incident.</t>
  </si>
  <si>
    <t>Ability to clear all units simultaneously from a CAD incident.</t>
  </si>
  <si>
    <t>Ability to clear one unit from a CAD incident while allowing the other assigned units to remain on the call.</t>
  </si>
  <si>
    <t>Unit Clearance</t>
  </si>
  <si>
    <t>Ability for a dispatcher to change the location of a unit at any time while the unit is still assigned to an incident.</t>
  </si>
  <si>
    <t>Ability to place "at the scene" units that were not originally dispatched to the call.</t>
  </si>
  <si>
    <t>At different times</t>
  </si>
  <si>
    <t>At one time (all at once)</t>
  </si>
  <si>
    <t>Ability to record multiple units arriving:</t>
  </si>
  <si>
    <t>Arrival at patient</t>
  </si>
  <si>
    <t>Arrival at the scene (e.g., general location)</t>
  </si>
  <si>
    <t>Arrival at the incident location (e.g., room within a building)</t>
  </si>
  <si>
    <t>Arrival at a staging area</t>
  </si>
  <si>
    <t>Ability to record multiple arrival times, including:</t>
  </si>
  <si>
    <t>Ability to update location and note mileage for multiple stops.</t>
  </si>
  <si>
    <t>Ability to review unit status history within the CAD application.</t>
  </si>
  <si>
    <t>Ability to record number of times a unit has been assigned as primary unit based upon a user-defined time frame.</t>
  </si>
  <si>
    <t>Ability to record all unit status changes.</t>
  </si>
  <si>
    <t>Ability to record all unit locations.</t>
  </si>
  <si>
    <t>Ability to record all unit assignments.</t>
  </si>
  <si>
    <t>Unit Activity Tracking</t>
  </si>
  <si>
    <t>Ability to filter the units to be displayed in a single status monitor (e.g., by response area, discipline, type, status, out of service (mechanical), etc.).</t>
  </si>
  <si>
    <t>Ability to sort displayed data by any unit information (e.g., station, shift, incident, unit, location, status, etc.).</t>
  </si>
  <si>
    <t>Ability to dynamically (automatically update) display unit status data.</t>
  </si>
  <si>
    <t>Any information captured at logon</t>
  </si>
  <si>
    <t>Vehicle number</t>
  </si>
  <si>
    <t>Unit ID/call sign</t>
  </si>
  <si>
    <t>Station</t>
  </si>
  <si>
    <t>Special note or comments</t>
  </si>
  <si>
    <t>Radio channel</t>
  </si>
  <si>
    <t>Radio ID</t>
  </si>
  <si>
    <t>Original location</t>
  </si>
  <si>
    <t>Logged onto Mobile (Y/N)</t>
  </si>
  <si>
    <t>Elapsed time in status</t>
  </si>
  <si>
    <t>Division</t>
  </si>
  <si>
    <t>Current status</t>
  </si>
  <si>
    <t>Current location</t>
  </si>
  <si>
    <t>Current incident number</t>
  </si>
  <si>
    <t>Cell phone</t>
  </si>
  <si>
    <t>Beat</t>
  </si>
  <si>
    <t>Battalion</t>
  </si>
  <si>
    <t>Ability to display the following unit information:</t>
  </si>
  <si>
    <t>Ability to modify unit availability regardless of status (e.g., on-scene, but available).</t>
  </si>
  <si>
    <t>Unit Status Display</t>
  </si>
  <si>
    <t>Ability to place both apparatuses back in service when personnel are available to staff the apparatus.</t>
  </si>
  <si>
    <t>Ability to deploy an apparatus to an incident while simultaneously removing an apparatus from service based on cross-staffing.</t>
  </si>
  <si>
    <t>Cross Staffing</t>
  </si>
  <si>
    <t>Designate officer as on special duty</t>
  </si>
  <si>
    <t>Designate officer as not available to take calls</t>
  </si>
  <si>
    <t>Assign officer to location</t>
  </si>
  <si>
    <t>Ability to track special assignments (e.g., working extra jobs):</t>
  </si>
  <si>
    <t>Ability to sign a unit on with temporary call sign (e.g., to indicate off-duty or on special assignment).</t>
  </si>
  <si>
    <t>Ability to simultaneously clear field personnel from a call and log the personnel out of the system (e.g., for field personnel taking calls when off-duty).</t>
  </si>
  <si>
    <t>Ability to indicate a unit does not have a mobile computer.</t>
  </si>
  <si>
    <t>Ability to associate skills with a unit.</t>
  </si>
  <si>
    <t>Ability to associate multiple individuals with a unit.</t>
  </si>
  <si>
    <t>Ability to remove an individual from a unit at any time.</t>
  </si>
  <si>
    <t>Ability to log locations of individuals from a unit responding to an incident (e.g., Officer A is located north of building, Officer B is located south of building - both Officers are part of the same single unit)</t>
  </si>
  <si>
    <t>Ability to add an individual to a unit and have the call history reflect that all those individuals were on the unit when arriving on scene (e.g., personnel did not log on until after arriving at scene)</t>
  </si>
  <si>
    <t>Ability to add an individual to a unit at any time.</t>
  </si>
  <si>
    <t>Ability for dispatchers to place multiple units (e.g., an entire squad or company) into "available for calls" status.</t>
  </si>
  <si>
    <t>Ability for units to indicate when they are available for calls.</t>
  </si>
  <si>
    <t>Ability for units to log on to the system without being available for calls.</t>
  </si>
  <si>
    <t>Ability to  prevent units from logging themselves into and out of service.</t>
  </si>
  <si>
    <t>Ability for units to log themselves into or out of service.</t>
  </si>
  <si>
    <t>Ability to designate a unit available for only certain types of calls.</t>
  </si>
  <si>
    <t>Ability to keep vehicles (e.g., fire apparatus) on duty (e.g., 24x7) and change personnel associated with the vehicles (e.g., on shift changes).</t>
  </si>
  <si>
    <t>Ability to identify fire units by special equipment (e.g., rescue tools, etc.).</t>
  </si>
  <si>
    <t>Ability to log a fire apparatus into service without tying individuals to the apparatus.</t>
  </si>
  <si>
    <t>Ability to allow for single unit exceptions when placing a roster on or off duty.</t>
  </si>
  <si>
    <t>Ability to place all units in a previously defined roster on or off-duty with a single command.</t>
  </si>
  <si>
    <t>Ability to define a roster (e.g. squad, company, etc.).</t>
  </si>
  <si>
    <t>Ability to log one or more units on-duty/off-duty with a single command.</t>
  </si>
  <si>
    <t>Ability to support a change of quarters (minimum of three-way)</t>
  </si>
  <si>
    <t>Ability for County to define an unlimited number of unit statuses.  If limited, indicate the maximum number in the comments section.</t>
  </si>
  <si>
    <t>Unit Placement in Service</t>
  </si>
  <si>
    <t>Unit Management</t>
  </si>
  <si>
    <t xml:space="preserve">Ability to support a unit exchange command which allows the dispatcher to remove an assigned unit from an incident and assign a second unassigned unit to the first unit's incident.  </t>
  </si>
  <si>
    <t>Ability to support a swap feature to allow two units to swap incidents with a single command.</t>
  </si>
  <si>
    <t>Ability to visually indicate a preempted call (e.g., color code).</t>
  </si>
  <si>
    <t>Ability to return CAD incident to the pending dispatch queue if all units are removed from an active incident.</t>
  </si>
  <si>
    <t>Ability to pull a unit off an incident and reassign the unit to a new incident.</t>
  </si>
  <si>
    <t>Call Preemption</t>
  </si>
  <si>
    <t>Ability to override any of the above to create a dispatchers queue.</t>
  </si>
  <si>
    <t>User preference</t>
  </si>
  <si>
    <t>Time of Call Received</t>
  </si>
  <si>
    <t>Call Type</t>
  </si>
  <si>
    <t>Ability to stack calls based on:</t>
  </si>
  <si>
    <t>Ability for administrator to turn call stacking on and off.</t>
  </si>
  <si>
    <t>Ability to hold more than one incident to a given unit or resource (call stacking).</t>
  </si>
  <si>
    <t>Ability to automatically notify the dispatcher of a held incident when the unit becomes available.</t>
  </si>
  <si>
    <t>Ability to notify field unit when a call is held for that unit.</t>
  </si>
  <si>
    <t>Ability to prevent a held incident from any other unit assigning themselves to that call.</t>
  </si>
  <si>
    <t>Ability to hold an incident for a specific unit.</t>
  </si>
  <si>
    <t>Call Stacking/Queuing</t>
  </si>
  <si>
    <t>Ability to use one command to both dispatch and put "on scene" field personnel (e.g., if field personnel is "out with another unit").</t>
  </si>
  <si>
    <t>Drag and drop</t>
  </si>
  <si>
    <t>Single command</t>
  </si>
  <si>
    <t>Ability to take a unit off a call and reassign the unit to a new call via:</t>
  </si>
  <si>
    <t xml:space="preserve"> </t>
  </si>
  <si>
    <t>Ability to update unit status to associate the dispatched unit or units with the CAD incident.</t>
  </si>
  <si>
    <t>Unit Assignment to CAD Incident</t>
  </si>
  <si>
    <t>Ability for field personnel to initiate an administrative incident (e.g., put units out on training or drills).</t>
  </si>
  <si>
    <t>Ability to run multiple plates in a single step.</t>
  </si>
  <si>
    <t>Ability for dispatcher to put a unit on a self-initiated activity and run the plate in one step.</t>
  </si>
  <si>
    <t>Ability to verify addresses of field-initiated incidents.</t>
  </si>
  <si>
    <t>Ability to limit field-initiated calls to Agency-defined call types.</t>
  </si>
  <si>
    <t>Ability to add additional units to a field-initiated incident.</t>
  </si>
  <si>
    <t xml:space="preserve">Ability to enter field-initiated incidents (e.g., traffic stop). </t>
  </si>
  <si>
    <t>Field-Initiated Calls for Service</t>
  </si>
  <si>
    <t>Delete the timer</t>
  </si>
  <si>
    <t>Reset to default value</t>
  </si>
  <si>
    <t>Modify to new time value</t>
  </si>
  <si>
    <t>Ability to provide the operator of the following options when a status timer expires:</t>
  </si>
  <si>
    <t>Ability to record acknowledgement of timer alert.</t>
  </si>
  <si>
    <t>Ability to not require a user to acknowledge the expiration of a timer.</t>
  </si>
  <si>
    <t>Ability for a user to enable/disable automatic timers.</t>
  </si>
  <si>
    <t>Ability to alert operator to the expiration of the timer via:</t>
  </si>
  <si>
    <t>Ability for each agency to create its own automatic timers.</t>
  </si>
  <si>
    <t>Ability to display call timers on CAD screens.</t>
  </si>
  <si>
    <t>Ability for a user to create a custom timer specific to the incident.</t>
  </si>
  <si>
    <t>Ability for a user to create a custom timer specific to their workstation.</t>
  </si>
  <si>
    <t>Ability to manually set incident timers and alerts.</t>
  </si>
  <si>
    <t xml:space="preserve">Ability to provide incident timers and alerts based upon Agency-defined parameters (e.g., type of incident, unit arrival time, priority status) and times. </t>
  </si>
  <si>
    <t xml:space="preserve">Ability to provide sender notification that dispatches have been delivered to a specific device. </t>
  </si>
  <si>
    <t>Ability to send dispatches via email.</t>
  </si>
  <si>
    <t>Ability to send dispatches to printers (e.g., "rip and run" printers in fire stations).</t>
  </si>
  <si>
    <t>Ability to configure the system to push out different information based on the receiving device (e.g., short message to alphanumeric paging device and full dispatch message to mobile computer).</t>
  </si>
  <si>
    <t>Pager</t>
  </si>
  <si>
    <t>Mobile computer</t>
  </si>
  <si>
    <t>Ability to dispatch to multiple types of telecommunications devices simultaneously including, but not limited to:</t>
  </si>
  <si>
    <t>Ability to assign a unit to an incident to which it was not originally recommended.</t>
  </si>
  <si>
    <t>Ability for dispatcher to assign a CAD incident to one or more units by "dragging and dropping" the units onto the CAD incident.</t>
  </si>
  <si>
    <t>Ability to dispatch more than one unit at a time to the same call.</t>
  </si>
  <si>
    <t>Update the status display</t>
  </si>
  <si>
    <t>Start the status timers</t>
  </si>
  <si>
    <t>Send any applicable premise information</t>
  </si>
  <si>
    <t>Send the incident to the assigned unit's Mobile computer</t>
  </si>
  <si>
    <t>Remove the incident from the pending queue</t>
  </si>
  <si>
    <t>Activate fire station alerting system</t>
  </si>
  <si>
    <t>Initiate alphanumeric paging</t>
  </si>
  <si>
    <t>Assign the recommended or requested units</t>
  </si>
  <si>
    <t xml:space="preserve">Ability for CAD application to do the following upon dispatch: </t>
  </si>
  <si>
    <t>Ability to log recommendation overrides in the audit trail (e.g., recommended units and dispatched units).</t>
  </si>
  <si>
    <t>Selecting some, but not all, of the recommended units</t>
  </si>
  <si>
    <t>Selecting and dispatching units other than those recommended by the application</t>
  </si>
  <si>
    <t>Accepting the proposed application recommended units</t>
  </si>
  <si>
    <t>Ability to dispatch units by:</t>
  </si>
  <si>
    <t>Ability to change the primary unit at any time.</t>
  </si>
  <si>
    <t>Ability to notify field unit when labeled as the primary unit.</t>
  </si>
  <si>
    <t>Ability to designate a responding unit as primary unit.</t>
  </si>
  <si>
    <t>Ability to preempt units on a call to respond to a different incident.</t>
  </si>
  <si>
    <t>Mouse (drag and drop onto map)</t>
  </si>
  <si>
    <t>Function key</t>
  </si>
  <si>
    <t>Command line entry</t>
  </si>
  <si>
    <t>Ability for dispatcher to select and assign/re-assign recommended units using any of the following methods:</t>
  </si>
  <si>
    <t>Resource Dispatch</t>
  </si>
  <si>
    <t>Unassigned</t>
  </si>
  <si>
    <t>Assigned to a CAD call with a lower priority</t>
  </si>
  <si>
    <t>Assigned to a CAD call</t>
  </si>
  <si>
    <t>Ability to display potentially available resources based on unit status:</t>
  </si>
  <si>
    <t>Apparatus/vehicle</t>
  </si>
  <si>
    <t>A selected person</t>
  </si>
  <si>
    <t>All personnel logged on</t>
  </si>
  <si>
    <t>Ability to bring up a list of special skills/equipment for:</t>
  </si>
  <si>
    <t>Resource Determination</t>
  </si>
  <si>
    <t>Ability to record the unit recommendation as it was presented to the dispatcher, including when no units were available.</t>
  </si>
  <si>
    <t>Ability for system to update the unit recommendation if user makes relevant incident information changes (e.g., type, location, alarm level).</t>
  </si>
  <si>
    <t>Ability to re-recommend closest units (e.g., a new unit comes into service).</t>
  </si>
  <si>
    <t>Ability to enable and disable agency-specific resource recommendations (e.g., specific response plan for Fire, specific response for Law Enforcement).</t>
  </si>
  <si>
    <r>
      <t>Ability to prioritize unit response based</t>
    </r>
    <r>
      <rPr>
        <b/>
        <sz val="11"/>
        <rFont val="Calibri"/>
        <family val="2"/>
        <scheme val="minor"/>
      </rPr>
      <t xml:space="preserve"> </t>
    </r>
    <r>
      <rPr>
        <sz val="11"/>
        <rFont val="Calibri"/>
        <family val="2"/>
        <scheme val="minor"/>
      </rPr>
      <t>on incident type so that appropriate units are automatically recommended and/or dispatched in priority order.</t>
    </r>
  </si>
  <si>
    <t>Ability to support closest unit dispatching (AVL-based) that takes into account automatic aid based on pre-defined agreements.</t>
  </si>
  <si>
    <t>Ability for each agency using the CAD system (i.e., Law and Fire) to enable and disable agency-specific resource recommendations.</t>
  </si>
  <si>
    <t>Unit status</t>
  </si>
  <si>
    <t>Number of personnel required</t>
  </si>
  <si>
    <t>Number of units required</t>
  </si>
  <si>
    <t>Type of units required</t>
  </si>
  <si>
    <t>Special conditions (e.g., heightened response)</t>
  </si>
  <si>
    <t>Pre-defined response plans (response area plan)</t>
  </si>
  <si>
    <t>Occupancy type (e.g. residential, office building, etc.)</t>
  </si>
  <si>
    <t>Incident area (e.g., unique response for specific response area)</t>
  </si>
  <si>
    <t>Jurisdiction responsibility</t>
  </si>
  <si>
    <t>Equipment availability</t>
  </si>
  <si>
    <t>Street direction</t>
  </si>
  <si>
    <t>Street network</t>
  </si>
  <si>
    <t>Speed limits</t>
  </si>
  <si>
    <t>Train crossings</t>
  </si>
  <si>
    <t>Traffic</t>
  </si>
  <si>
    <t>Obstacles</t>
  </si>
  <si>
    <t>Natural boundaries</t>
  </si>
  <si>
    <t>Closest unit taking into account:</t>
  </si>
  <si>
    <t>AVL location</t>
  </si>
  <si>
    <t>Ability to automatically provide appropriate resource recommendations based on any combination of:</t>
  </si>
  <si>
    <t>Resource Recommendation</t>
  </si>
  <si>
    <t>Ability to keep incidents in pending queue indefinitely.</t>
  </si>
  <si>
    <t>Ability to review each pending incident sequentially.</t>
  </si>
  <si>
    <t>Ability to alert a dispatcher to the arrival of new incident information from the call taker.</t>
  </si>
  <si>
    <t>Ability to alert a dispatcher to the arrival of a new incident.</t>
  </si>
  <si>
    <t>CAD Incident Retrieval</t>
  </si>
  <si>
    <t>Ability to configure dispatching workstations based upon discipline.</t>
  </si>
  <si>
    <t>Ability to control both fire/EMS and law enforcement units from the same CAD application window.</t>
  </si>
  <si>
    <t>Ability to dispatch both fire/EMS and law enforcement units from the same CAD application window.</t>
  </si>
  <si>
    <t>General Requirements</t>
  </si>
  <si>
    <t>Dispatching</t>
  </si>
  <si>
    <t>Ability to recreate an incident within the CAD system identifying vehicle locations, including direction and speed.</t>
  </si>
  <si>
    <t>Ability to color code units when connectivity is lost.</t>
  </si>
  <si>
    <t>Ability to automatically refresh current vehicle location at Agency-defined intervals.</t>
  </si>
  <si>
    <t>Ability to configure which agency vehicles are displayed based upon responsibility (e.g., fire dispatcher sees only fire units)</t>
  </si>
  <si>
    <t>Ability to automatically log fire apparatus status as en route to a call upon exiting the station when responding to a call for service.</t>
  </si>
  <si>
    <t>Ability for system to convert X/Y coordinates to nearest cross-streets.</t>
  </si>
  <si>
    <t>Ability to log the specific X/Y coordinate from where the unit was dispatched prior to responding to an incident.</t>
  </si>
  <si>
    <t>Ability to prevent unit from updating status to on-scene if unit is not actually on-scene according to AVL data.</t>
  </si>
  <si>
    <t>Ability for each agency to define what constitutes on-scene.</t>
  </si>
  <si>
    <t>Ability to automatically mark a unit on-scene when it comes within a certain number of feet of the incident location.</t>
  </si>
  <si>
    <t>Ability to default to Agency-defined defaults for dispatching when AVL is unavailable.</t>
  </si>
  <si>
    <t>Unit</t>
  </si>
  <si>
    <t>Ability to turn AVL on/off by:</t>
  </si>
  <si>
    <t>Ability to support the use of a continuous, real-time AVL system via a CAD interface.</t>
  </si>
  <si>
    <t>Automatic Vehicle Location (AVL)</t>
  </si>
  <si>
    <t>Type</t>
  </si>
  <si>
    <t>Response area (e.g., district, beat, etc.)</t>
  </si>
  <si>
    <t>Ability to select vehicles to display on map by user-defined criteria including, but not limited to:</t>
  </si>
  <si>
    <t>Ability to push closed street information to mobile computers.</t>
  </si>
  <si>
    <t>Ability to alert user when the expected duration for a street closure has expired.</t>
  </si>
  <si>
    <t>Ability for user to define an expected duration for street closures.</t>
  </si>
  <si>
    <t>Ability to adjust routing recommendations based on closed streets.</t>
  </si>
  <si>
    <t>Ability for operational user to close streets by clicking on a specific area (e.g., street, hundred block area) from the CAD map.</t>
  </si>
  <si>
    <t>Ability to project anticipated response times between two points on a map.</t>
  </si>
  <si>
    <t>Ability to utilize color, text, and/or symbols to distinguish status of unit.</t>
  </si>
  <si>
    <t>Ability to support modeling software (e.g., CAMEO/ALOHA).  Specify which software supported in the "comments" section.</t>
  </si>
  <si>
    <t>Ability to support fire modeling and create model as a GIS layer.</t>
  </si>
  <si>
    <t>Ability to support plume modeling and create model as a GIS layer.</t>
  </si>
  <si>
    <t>Vehicle activating emergency button</t>
  </si>
  <si>
    <t>Vehicle in pursuit mode</t>
  </si>
  <si>
    <t>Last known location of a selected unit (AVL or unit status)</t>
  </si>
  <si>
    <t>CAD incident in active window</t>
  </si>
  <si>
    <t>Any unit</t>
  </si>
  <si>
    <t>Incident location during address verification.</t>
  </si>
  <si>
    <t>Ability to zoom in and center map display on:</t>
  </si>
  <si>
    <t>Ability to select a unit and have its last known location automatically display on the map.</t>
  </si>
  <si>
    <t>Ability to pull up a call for service and have it automatically display on the map.</t>
  </si>
  <si>
    <t>Ability to dynamically display location of NG9-1-1 caller in real-time.</t>
  </si>
  <si>
    <t>Ability to display an address on the map when it is entered into the command line.</t>
  </si>
  <si>
    <t>Units based on AVL or last known locations</t>
  </si>
  <si>
    <t>All pending and active 9-1-1 calls</t>
  </si>
  <si>
    <t>Incoming 9-1-1 caller</t>
  </si>
  <si>
    <t>Ability to view on map the locations of:</t>
  </si>
  <si>
    <t>Ability to select multiple map layers for display, limited only by the number of available map layers.</t>
  </si>
  <si>
    <t>Ability for mapping functionality to be integrated into CAD application.</t>
  </si>
  <si>
    <t>CAD Mapping Requirements</t>
  </si>
  <si>
    <t>Ability to manually designate (or override automatic routing recommendation) to which console a call will be sent.</t>
  </si>
  <si>
    <t>Dispatch Group</t>
  </si>
  <si>
    <t>Both location and agency type</t>
  </si>
  <si>
    <t>Agency type (e.g., law enforcement or fire)</t>
  </si>
  <si>
    <t>Location of incident</t>
  </si>
  <si>
    <t>Ability to send call for service to appropriate controlling dispatcher based on:</t>
  </si>
  <si>
    <t/>
  </si>
  <si>
    <t>Call Routing</t>
  </si>
  <si>
    <t>Ability to modify incidents scheduled for dispatching at a later time, maintaining the original time of entry.</t>
  </si>
  <si>
    <t>Ability to enter incidents scheduled for dispatching at a later time, maintaining the original time of entry.</t>
  </si>
  <si>
    <t>Incident Scheduling</t>
  </si>
  <si>
    <t>Ability for map to display all known hazards within an agency-defined radius.</t>
  </si>
  <si>
    <t>Ability to display the number of previous calls at a location.</t>
  </si>
  <si>
    <t>Ability to provide an alert to the call-taker/dispatcher when an agency-defined incident type occurred at the verified location within its history (e.g., violent crime)</t>
  </si>
  <si>
    <t>Ability to automatically display previous calls for service at the verified location.</t>
  </si>
  <si>
    <t>Ability to attach any premise or hazard information to an individual.</t>
  </si>
  <si>
    <t>Ability to attach any premise or hazard information to a CAD call.</t>
  </si>
  <si>
    <t>Ability for automatic search to include the following databases:</t>
  </si>
  <si>
    <t>Common place names</t>
  </si>
  <si>
    <t>Historic business name (unlimited)</t>
  </si>
  <si>
    <t>Current business name</t>
  </si>
  <si>
    <t xml:space="preserve">Address </t>
  </si>
  <si>
    <t>Ability to automatically initiate a search for hazards and premise information, upon address verification, based on:</t>
  </si>
  <si>
    <t>Hazard and Premise Information Retrieval</t>
  </si>
  <si>
    <t>Ability to filter duplicate calls out of reports.</t>
  </si>
  <si>
    <t>Create an entirely new incident using existing address data</t>
  </si>
  <si>
    <t>Close a duplicate incident and cross-reference it to the original CAD incident</t>
  </si>
  <si>
    <t>Cancel the call</t>
  </si>
  <si>
    <t>Add to the original incident record a second complainant with complete complainant information and additional incident comments</t>
  </si>
  <si>
    <t>Ability for the dispatcher to do any of the following if a CAD incident is determined to be a duplicate call:</t>
  </si>
  <si>
    <t>Caller phone number</t>
  </si>
  <si>
    <t>User-defined proximity to current incident</t>
  </si>
  <si>
    <t>Incident status</t>
  </si>
  <si>
    <t>Incident location</t>
  </si>
  <si>
    <t>Incident details</t>
  </si>
  <si>
    <t>Ability to provide the dispatcher with the following information about possible duplicate incidents:</t>
  </si>
  <si>
    <t>Ability, when calls are combined, for the previous call numbers to be automatically updated with the new primary call number.</t>
  </si>
  <si>
    <t>Ability to notify call taker when duplicate calls are combined.</t>
  </si>
  <si>
    <t>Ability to manually identify a duplicate call and then combine with primary call.</t>
  </si>
  <si>
    <t>Ability for system administrator to define "recently closed" through a configuration parameter (e.g., time period).</t>
  </si>
  <si>
    <t xml:space="preserve">Ability to include recently closed incidents in the potential duplicate call identification process. </t>
  </si>
  <si>
    <t>Ability to display proximity calls on a map (e.g., to assist dispatchers in identifying possible duplicate calls).</t>
  </si>
  <si>
    <t>Caller name</t>
  </si>
  <si>
    <t>Agency-defined time parameter</t>
  </si>
  <si>
    <t>Agency-defined proximity</t>
  </si>
  <si>
    <t>Incident/type code</t>
  </si>
  <si>
    <t>Ability to automatically identify potential duplicate calls based on:</t>
  </si>
  <si>
    <t>Duplicate Call Management</t>
  </si>
  <si>
    <t>Map by clicking on a location</t>
  </si>
  <si>
    <t>CAD command on a command line</t>
  </si>
  <si>
    <t>Standard call entry screen form</t>
  </si>
  <si>
    <t>Ability to enter incidents using:</t>
  </si>
  <si>
    <t>Ability to cascade/tile multiple incident entry windows.</t>
  </si>
  <si>
    <t>Ability to open and view multiple incident entry windows.</t>
  </si>
  <si>
    <t>Ability to copy an existing incident to create a new incident at the same location.</t>
  </si>
  <si>
    <t>Ability to display a blank form for entering new incidents with a single keystroke, mouse click or function key upon initiation of a CAD incident.</t>
  </si>
  <si>
    <t>Ability to input all call and narrative information on one screen.</t>
  </si>
  <si>
    <t>Ability to initiate an incident from the input of location and type code.</t>
  </si>
  <si>
    <t>Incident Initiation</t>
  </si>
  <si>
    <t>Ability for dispatcher to change call type without impacting active call data.</t>
  </si>
  <si>
    <t>Ability to allow the authorized user to manually upgrade or downgrade the system-assigned priority.</t>
  </si>
  <si>
    <t>Ability to override incident priority.</t>
  </si>
  <si>
    <t>Ability for system to automatically enter the appropriate Agency-defined priority for each new incident based on call type.</t>
  </si>
  <si>
    <t>Ability to provide an option to generate automatic notifications to appropriate personnel upon entry of Agency-defined call types. [If this functionality can be provided, describe how the message can be sent to the appropriate personnel in the "comments" section.]</t>
  </si>
  <si>
    <t>Call Classification and Prioritization</t>
  </si>
  <si>
    <t>Ability to perform address verification manually without creating an event.</t>
  </si>
  <si>
    <t>Date/time of report</t>
  </si>
  <si>
    <t>Address/location data as corrected by the user</t>
  </si>
  <si>
    <t>Address/location information as presented (ANI/ALI information)</t>
  </si>
  <si>
    <t>Ability for the notification of correction to capture the following:</t>
  </si>
  <si>
    <t>Ability for notification of correction to be automatically generated and sent to geofile administrator whenever a user manually overrides and corrects an address/location.</t>
  </si>
  <si>
    <t>Ability to manually override and correct address/location presented in CAD incident without correction affecting address/location stored in geofile.</t>
  </si>
  <si>
    <t>Ability to create a report of all overridden geoverified locations.</t>
  </si>
  <si>
    <t>Ability to log all locations that fail geofile validation.</t>
  </si>
  <si>
    <t>Ability to manually override address if not verified by geofile.</t>
  </si>
  <si>
    <t>Ability to display geofile data when location is validated.</t>
  </si>
  <si>
    <t>Ability to display, on a map the incident location in relation to other active incidents on the map during the incident entry process.</t>
  </si>
  <si>
    <t>Ability to translate alias names to actual street names or addresses.</t>
  </si>
  <si>
    <t>Ability to translate call location to appropriate public safety geographical boundary (e.g. district, beat, sector, etc.).</t>
  </si>
  <si>
    <t>Ability to display an unlimited number of common place names during the address verification process.</t>
  </si>
  <si>
    <t>Phonetic spelling</t>
  </si>
  <si>
    <t>Premise name</t>
  </si>
  <si>
    <t>Building name</t>
  </si>
  <si>
    <t>Block ranges</t>
  </si>
  <si>
    <t>Ability to display closest address matches based on:</t>
  </si>
  <si>
    <t>Ability to offer a list of address options if multiple similar addresses/intersections/street names are found in geofile.</t>
  </si>
  <si>
    <t>Ability to notify dispatcher if multiple street addresses/street names/intersections with the same names are found in geofile.</t>
  </si>
  <si>
    <t>Ability to use the ALI reported location address for address verification.</t>
  </si>
  <si>
    <t>Ability to support NG9-1-1 location data.</t>
  </si>
  <si>
    <t>Ability to support Phase II wireless location validation from cellular callers.</t>
  </si>
  <si>
    <t>Ability to support Phase I wireless location validation from cellular callers.</t>
  </si>
  <si>
    <t>Ability to modify incident location at any time during the call.</t>
  </si>
  <si>
    <t>Ability to verify any address entered into the system (e.g., updated field personnel locations, field personnel-initiated incidents, etc.).</t>
  </si>
  <si>
    <t>Location Verification</t>
  </si>
  <si>
    <t>Ability to transfer incident location information into caller location fields.</t>
  </si>
  <si>
    <t>Ability to transfer caller location information into incident location fields.</t>
  </si>
  <si>
    <t>Ability to accept spelled numbers (e.g., one, twenty, first).</t>
  </si>
  <si>
    <t>Road classification</t>
  </si>
  <si>
    <t>State</t>
  </si>
  <si>
    <t>Unit type</t>
  </si>
  <si>
    <t>Street type (Av, Ln, Bd, "None")</t>
  </si>
  <si>
    <t>Street suffix (NW, SW, NE, SE)</t>
  </si>
  <si>
    <t>Street prefix</t>
  </si>
  <si>
    <t>Street number</t>
  </si>
  <si>
    <t>Ability for system to automatically parse address data into address data fields including:</t>
  </si>
  <si>
    <t>Ability to enter addresses on one line.</t>
  </si>
  <si>
    <t>Ability to save intersections as identical address points regardless of order of streets entered (e.g., 1st/Main same as Main/1st).</t>
  </si>
  <si>
    <t>Aliases/Monikers</t>
  </si>
  <si>
    <t>Partial identifier search</t>
  </si>
  <si>
    <t>Drop down menus</t>
  </si>
  <si>
    <t>Ability to support the following when entering location information:</t>
  </si>
  <si>
    <t>Ability to type in either street first when entering intersections.</t>
  </si>
  <si>
    <t>User</t>
  </si>
  <si>
    <t>Ability to restrict type-ahead capabilities based upon:</t>
  </si>
  <si>
    <t>Street addresses</t>
  </si>
  <si>
    <t>Ability to suggest locations based on type-ahead capabilities for:</t>
  </si>
  <si>
    <t>Point and click on a map</t>
  </si>
  <si>
    <t>Lat/Long coordinates</t>
  </si>
  <si>
    <t>Intersecting street names</t>
  </si>
  <si>
    <t>Commonplace name</t>
  </si>
  <si>
    <t>Street address</t>
  </si>
  <si>
    <t>Ability to enter a location for an event by the following methods:</t>
  </si>
  <si>
    <t>Ability to capture incident location separately from caller location.</t>
  </si>
  <si>
    <t>Ability to transform X/Y/Z coordinates to a map for display.</t>
  </si>
  <si>
    <t>Ability to relate X/Y/Z coordinates to an actual address.</t>
  </si>
  <si>
    <t>Ability to transform Lat/Long coordinates to a map for display.</t>
  </si>
  <si>
    <t>Ability to relate Lat/Long coordinates to an actual address.</t>
  </si>
  <si>
    <t>Ability to transform X/Y coordinates to a map for display.</t>
  </si>
  <si>
    <t>Ability to relate X/Y coordinates to an actual address.</t>
  </si>
  <si>
    <t>Ability to receive geographic coordinates from a cellular telephone carrier.</t>
  </si>
  <si>
    <t>Location Capture</t>
  </si>
  <si>
    <t>Ability to generate an incident from a previous incident across agencies (e.g., Law Enforcement to Fire and vice versa).</t>
  </si>
  <si>
    <t>Ability to generate an incident from a previous incident.</t>
  </si>
  <si>
    <t>Ability to enter suspect information in defined fields and record the entered information as part of the incident record.</t>
  </si>
  <si>
    <t>Ability to enter standard vehicle information in defined fields and record the entered information as part of the incident record.</t>
  </si>
  <si>
    <t>Ability for each agency to determine how E9-1-1 phone system information is transferred into the CAD (i.e., automatic or via function key).</t>
  </si>
  <si>
    <t>Ability to transfer all call reporting party information (e.g., name, phone number, address) from E9-1-1 phone system into CAD application automatically.</t>
  </si>
  <si>
    <t>Ability to transfer all call reporting party information (e.g., name, phone number, address) from E9-1-1 phone system into CAD application with a function key.</t>
  </si>
  <si>
    <t>Ability to extract files (e.g., videos, images, etc.) from the CAD system and make it available for email via attachment.</t>
  </si>
  <si>
    <t>Ability to attach multimedia messages (MMS), including videos or pictures taken by citizens, to a call.</t>
  </si>
  <si>
    <t>Any other information captured by the E9-1-1 system</t>
  </si>
  <si>
    <t>TTY conversation</t>
  </si>
  <si>
    <t>IP address (assuming phone system is NG9-1-1 capable) [note the IP version number the system is compliant with in the "comments" section]</t>
  </si>
  <si>
    <t>Text messages (assuming phone system is NG9-1-1 capable)</t>
  </si>
  <si>
    <t>Phase I or Phase II indication</t>
  </si>
  <si>
    <t>Cellular phone service provider</t>
  </si>
  <si>
    <t>Alternate telephone number</t>
  </si>
  <si>
    <t>Caller address/location calling from</t>
  </si>
  <si>
    <t>Caller telephone number</t>
  </si>
  <si>
    <t>Ability to provide dedicated fields to capture all incoming call information from the E9-1-1 system, including, but not limited to:</t>
  </si>
  <si>
    <t>Ability for users to use either preformatted screens or command lines for incident entry.</t>
  </si>
  <si>
    <t>Call Data Entry</t>
  </si>
  <si>
    <t>NG E9-1-1 phone system</t>
  </si>
  <si>
    <t>IP-based sources</t>
  </si>
  <si>
    <t>Private alarm companies</t>
  </si>
  <si>
    <t>Non-emergency 10 digit phone numbers</t>
  </si>
  <si>
    <t>E9-1-1 phone system</t>
  </si>
  <si>
    <t>Ability to receive call data from:</t>
  </si>
  <si>
    <t>Call Receipt</t>
  </si>
  <si>
    <t>Call Taking</t>
  </si>
  <si>
    <t>Ability to support copy and paste functionality.</t>
  </si>
  <si>
    <t>Ability to provide a spell check utility.</t>
  </si>
  <si>
    <t>Ability to display one or more status windows at the same time.</t>
  </si>
  <si>
    <t>Ability to use arrow and tab keys to scroll within a window.</t>
  </si>
  <si>
    <t>Word wrap</t>
  </si>
  <si>
    <t>Unlimited number of characters (if limited, note the maximum characters permissible)</t>
  </si>
  <si>
    <t>Ability for narrative fields to have the following attributes:</t>
  </si>
  <si>
    <t>Ability for CAD system to support multiple command sets.</t>
  </si>
  <si>
    <t>Ability to enter more than one command on a single command line.</t>
  </si>
  <si>
    <t>Ability to enter commands in any order on the command line.</t>
  </si>
  <si>
    <t>Ability to link a command line to a distinct incident.</t>
  </si>
  <si>
    <t>Ability to create a new command line with a single keystroke.</t>
  </si>
  <si>
    <t>Ability to provide multiple command lines.</t>
  </si>
  <si>
    <t>Ability to tile or cascade multiple windows on screen.</t>
  </si>
  <si>
    <t>Ability to have multiple windows open at the same time.</t>
  </si>
  <si>
    <t>Ability to minimize or maximize any activity screen.</t>
  </si>
  <si>
    <t>Ability to display system messages without affecting work in progress.</t>
  </si>
  <si>
    <t>Ability to provide type ahead capability such that the user can continue entering data while the system is processing a previous transaction.</t>
  </si>
  <si>
    <t>Ability to execute any CAD function using the mouse (list exceptions).</t>
  </si>
  <si>
    <t>Ability to execute any CAD function using the keyboard (list exceptions).</t>
  </si>
  <si>
    <t>Mouse click</t>
  </si>
  <si>
    <t xml:space="preserve">Keyboard </t>
  </si>
  <si>
    <t>Toolbar</t>
  </si>
  <si>
    <t>Command lines</t>
  </si>
  <si>
    <t>Agency-defined shortcuts</t>
  </si>
  <si>
    <t>Agency-defined function keys</t>
  </si>
  <si>
    <t>Ability to perform commands using any of the following methods:</t>
  </si>
  <si>
    <t>Ability to allow a return to system default settings.</t>
  </si>
  <si>
    <t>Ability to maintain window configuration settings during upgrades.</t>
  </si>
  <si>
    <t>Ability to maintain multiple windows configurations for each user.</t>
  </si>
  <si>
    <t>Ability to save  windows configurations based on user IDs (e.g., not workstation-specific).</t>
  </si>
  <si>
    <t>Order in which fields are displayed</t>
  </si>
  <si>
    <t>Fields displayed</t>
  </si>
  <si>
    <t>Window locations</t>
  </si>
  <si>
    <t>Window sizes</t>
  </si>
  <si>
    <t>Window background color</t>
  </si>
  <si>
    <t>Font type</t>
  </si>
  <si>
    <t>Font colors</t>
  </si>
  <si>
    <t>Ability for users to customize window views, including, but not limited to:</t>
  </si>
  <si>
    <t>Ability for each Agency to determine which window configuration options are configurable at the user level.</t>
  </si>
  <si>
    <t>Application User Interface</t>
  </si>
  <si>
    <t>Ability for the County to define which data elements (e.g., unit status, units responding, etc.) are transferred between disciplines working on the same call.</t>
  </si>
  <si>
    <t>Ability to manually transfer call information between disciplines as new information is added (e.g., as the law enforcement dispatcher is updating call information, that information is made available to the fire dispatcher working on the identical call) as defined by each agency.</t>
  </si>
  <si>
    <t>Ability to automatically transfer call information between disciplines as new information is added (e.g., as the law enforcement dispatcher is updating call information, that information is made available to the fire dispatcher working on the identical call) as defined by each agency.</t>
  </si>
  <si>
    <t>Ability to create a duplicate incident with identical information transferred from the call-taker to all relevant dispatch disciplines (e.g., car accident sends the call information to both law enforcement and fire)</t>
  </si>
  <si>
    <t>Ability to view incidents across disciplines.</t>
  </si>
  <si>
    <t>Ability for a call-taker/dispatcher to manage multiple jurisdictions simultaneously.</t>
  </si>
  <si>
    <t>Ability to accommodate multiple jurisdictions.</t>
  </si>
  <si>
    <t>Multi-Jurisdiction Capability</t>
  </si>
  <si>
    <t>Unit status updates</t>
  </si>
  <si>
    <t>Unit receives call</t>
  </si>
  <si>
    <t>Transferred to dispatcher (call entered)</t>
  </si>
  <si>
    <t>Subsequent dispatcher reviews call</t>
  </si>
  <si>
    <t>Pre-empt (swap unit between incidents)</t>
  </si>
  <si>
    <t>Narrative changes</t>
  </si>
  <si>
    <t>Location change</t>
  </si>
  <si>
    <t>Last-known unit location</t>
  </si>
  <si>
    <t>Incident updated</t>
  </si>
  <si>
    <t>Incident level downgrade</t>
  </si>
  <si>
    <t>Incident level upgrade</t>
  </si>
  <si>
    <t>Incident supplemented</t>
  </si>
  <si>
    <t>Incident reopened</t>
  </si>
  <si>
    <t>Incident closed</t>
  </si>
  <si>
    <t>Geo-verification</t>
  </si>
  <si>
    <t>Data Entry</t>
  </si>
  <si>
    <t>Cleared from call</t>
  </si>
  <si>
    <t>Call transferred from E9-1-1 to CAD system</t>
  </si>
  <si>
    <t>Call transferred to another agency</t>
  </si>
  <si>
    <t>Call reviewed</t>
  </si>
  <si>
    <t>Call re-routed</t>
  </si>
  <si>
    <t>Call received</t>
  </si>
  <si>
    <t>Call priority change</t>
  </si>
  <si>
    <t>Call for service created (call entered into system)</t>
  </si>
  <si>
    <t>Call dispatched</t>
  </si>
  <si>
    <t>Call assigned to unit's call queue</t>
  </si>
  <si>
    <t>Any status change</t>
  </si>
  <si>
    <t>Any change in unit location</t>
  </si>
  <si>
    <t>Additional units added to call</t>
  </si>
  <si>
    <t>Ability to provide dedicated fields to capture all CAD transactions in an audit log, including but not limited to:</t>
  </si>
  <si>
    <t>Ability to comply with NIEM standards.</t>
  </si>
  <si>
    <t>Ability to comply with published NENA NG9-1-1 standards.</t>
  </si>
  <si>
    <t>Ability to sync the CAD application to a universal time source (currently satellite).</t>
  </si>
  <si>
    <t>Ability to comply with relevant NFPA standards (e.g., 1221, 1061, 1710) regarding installation, maintenance and usage of emergency services communications systems.</t>
  </si>
  <si>
    <t>Both call taking and dispatching functions</t>
  </si>
  <si>
    <t>Either call taking or dispatching functions</t>
  </si>
  <si>
    <t>Ability for authorized user to configure any CAD workstation to manage:</t>
  </si>
  <si>
    <t>EMS</t>
  </si>
  <si>
    <t>Fire</t>
  </si>
  <si>
    <t>Law Enforcement</t>
  </si>
  <si>
    <t>Ability to handle multiple types of public safety agencies within the same jurisdiction:</t>
  </si>
  <si>
    <t>General CAD Requirements</t>
  </si>
  <si>
    <t>CAD Functional Requirements</t>
  </si>
  <si>
    <t>Interfaces</t>
  </si>
  <si>
    <t>Ability to sort query results on any returned field.</t>
  </si>
  <si>
    <t>Ability to drill down into query returns regarding a potentially hazardous subject, vehicle, and/or location to find the details of that hazard.</t>
  </si>
  <si>
    <t>Ability to attach any database query return to incident records.</t>
  </si>
  <si>
    <t>Ability to save all stored query returns after logoff (e.g., returns are still there the next time user logs onto the system).</t>
  </si>
  <si>
    <t>Ability to save all query returns until user clears data.</t>
  </si>
  <si>
    <t>Query Returns</t>
  </si>
  <si>
    <t>Ability to automatically populate the vehicle mask and query the vehicle when scanning the registration.</t>
  </si>
  <si>
    <t>Ability to automatically populate a query mask and query driver's license information upon scan of a driver's license.</t>
  </si>
  <si>
    <t>Ability for authorized users to automatically run the registered owner of the vehicle in a license plate query return.</t>
  </si>
  <si>
    <t>Ability to save all previous license plate searches until user clears data.</t>
  </si>
  <si>
    <t>Ability for authorized users to conduct multiple license plate searches simultaneously.</t>
  </si>
  <si>
    <t>Ability for authorized users to enter vehicle stops on the command line or entry form and automatically run the license plate against all available relevant databases.</t>
  </si>
  <si>
    <t>License Plate Queries</t>
  </si>
  <si>
    <t>Ability to query incidents geographically (e.g., draw on the map).</t>
  </si>
  <si>
    <t>Name (suspect, reporting party, witness, victim)</t>
  </si>
  <si>
    <t>Location or partial location</t>
  </si>
  <si>
    <t>Incident priority</t>
  </si>
  <si>
    <t>Geographic area (e.g., area, beat, sector, grid etc.)</t>
  </si>
  <si>
    <t>Officer name</t>
  </si>
  <si>
    <t>Disposition codes</t>
  </si>
  <si>
    <t>Date and time range (e.g., start and end data and time parameters)</t>
  </si>
  <si>
    <t>Cross streets</t>
  </si>
  <si>
    <t>Caller number</t>
  </si>
  <si>
    <t>Apparatus ID</t>
  </si>
  <si>
    <t>Any unit ID assigned to the incident</t>
  </si>
  <si>
    <t>Any operator ID associated with the incident</t>
  </si>
  <si>
    <t>Ability to query and retrieve incident records by one or more of the following factors:</t>
  </si>
  <si>
    <t>Incident Queries</t>
  </si>
  <si>
    <t>Time on call</t>
  </si>
  <si>
    <t>Date and time range (i.e., start and end dates or times)</t>
  </si>
  <si>
    <t>Ability to query unit history detail by:</t>
  </si>
  <si>
    <t>Unit History Queries</t>
  </si>
  <si>
    <t>Dedicated function keys</t>
  </si>
  <si>
    <t>Ability to access query forms by:</t>
  </si>
  <si>
    <t>Previous events</t>
  </si>
  <si>
    <t>Premise information query</t>
  </si>
  <si>
    <t>SSN #</t>
  </si>
  <si>
    <t>Name query</t>
  </si>
  <si>
    <t>Missing person information</t>
  </si>
  <si>
    <t>Logon/logoff</t>
  </si>
  <si>
    <t>License plate query</t>
  </si>
  <si>
    <t>Driver license query</t>
  </si>
  <si>
    <t>Accident Investigation</t>
  </si>
  <si>
    <t>Articles</t>
  </si>
  <si>
    <t>Ability to provide pre-defined data entry/query forms, including, but not limited to:</t>
  </si>
  <si>
    <t>Ability to use predefined data entry forms/screens (masks).</t>
  </si>
  <si>
    <t>Ability to initiate queries with a single key stroke.</t>
  </si>
  <si>
    <t>Ability to query and retrieve premise information for an address not associated with a call for service.</t>
  </si>
  <si>
    <t>Ability to query all linked databases via a single query.</t>
  </si>
  <si>
    <t>Ability to search and query all appropriate databases without impacting dispatching performance.</t>
  </si>
  <si>
    <t>Any databases interfaced to CAD</t>
  </si>
  <si>
    <t>COPLINK</t>
  </si>
  <si>
    <t>WACIC/NCIC</t>
  </si>
  <si>
    <t>Fire RMS (with permission)</t>
  </si>
  <si>
    <t>Law Enforcement RMS (with permission)</t>
  </si>
  <si>
    <t>CAD</t>
  </si>
  <si>
    <t>General Queries</t>
  </si>
  <si>
    <t xml:space="preserve">Queries  </t>
  </si>
  <si>
    <t>Ability to change the final call type and disposition from the Mobile environment based upon agency.</t>
  </si>
  <si>
    <t>Ability to reject a disposition if unsuitable for the incident type.</t>
  </si>
  <si>
    <t>Ability to provide a text field for disposition comments.</t>
  </si>
  <si>
    <t>Ability to select disposition code from a drop-down list.</t>
  </si>
  <si>
    <t>Ability for each agency to have their own unique disposition codes and not be presented with disposition codes used by other agencies (e.g., fire only sees fire disposition codes).</t>
  </si>
  <si>
    <t>Ability to require a call clearance code in order to clear a call from the Mobile.</t>
  </si>
  <si>
    <t>Ability to clear calls from the Mobile.</t>
  </si>
  <si>
    <t>Ability for suggested perimeter positions to appear on the mobile map upon receipt.</t>
  </si>
  <si>
    <t>Ability to receive suggested perimeter positions from dispatch.</t>
  </si>
  <si>
    <t>Ability to automatically generate a perimeter upon entry of a location and perimeter distance (e.g., set a 3 block perimeter around 300 Main St.).</t>
  </si>
  <si>
    <t>Perimeters</t>
  </si>
  <si>
    <t>Ability, with appropriate supporting mapping/AVL technology, to indicate unit/incident location when initiating an incident from the field.</t>
  </si>
  <si>
    <t>Ability to initiate a call for service with a function-key.</t>
  </si>
  <si>
    <t>Other Agency defined call types.</t>
  </si>
  <si>
    <t>Administrative activity (e.g. training, field inspections, etc.)</t>
  </si>
  <si>
    <t>Traffic stop</t>
  </si>
  <si>
    <t>Call for service</t>
  </si>
  <si>
    <t>Ability to initiate a call for service from the Mobile, including:</t>
  </si>
  <si>
    <t>Field Initiated Calls for Service</t>
  </si>
  <si>
    <t>Ability to pull up a previous call in a premise history file and show any hazards that were valid at the time of the call.</t>
  </si>
  <si>
    <t>Ability to retrieve fire pre-plan information in the mobile environment.</t>
  </si>
  <si>
    <t>Ability to drill down into icon to determine associated hazard information.</t>
  </si>
  <si>
    <t>Ability for each agency to configure icons to indicate type of hazard.</t>
  </si>
  <si>
    <t>Ability to drill down in premise history to find links to incidents, persons, vehicles, etc.</t>
  </si>
  <si>
    <t>Ability for field units to have the option of pulling up or not pulling up  information attached to the call.</t>
  </si>
  <si>
    <t>Ability to indicate type of information that is attached to a call (e.g., gate code, hazard, etc.).</t>
  </si>
  <si>
    <t>Ability to alert user of availability of information associated with a location (gate codes, hazards, premise history, pre-plans, etc.).</t>
  </si>
  <si>
    <t>Premise and Hazard Information</t>
  </si>
  <si>
    <t>Ability to transmit status information to the CAD system in real time.</t>
  </si>
  <si>
    <t>Ability to have different types of information on different screens (e.g., tabs - one for current incident, one for related premise history, etc.) such that users can easily filter or access information. [indicate the number of tabs/screens that can be supported within the comments section]</t>
  </si>
  <si>
    <t>Ability for supplemental information to be visually distinct from information previously received by Mobile user (e.g., separate font color, highlighted, etc.).</t>
  </si>
  <si>
    <t>Ability for incident data to be updated in real-time without user intervention (e.g., incidents, unit statuses, call comments, etc.).</t>
  </si>
  <si>
    <t>Ability to receive supplemental incident information (e.g., location, suspect, vehicle information, etc.) without interrupting or overlaying current screen.</t>
  </si>
  <si>
    <t>Ability to display most current incident data at the top of the screen.</t>
  </si>
  <si>
    <t>Incident Updates</t>
  </si>
  <si>
    <t>Ability for all agencies to see incident information sent to other agencies dispatched to the same incident.</t>
  </si>
  <si>
    <t>Agency-defined (i.e., differing between Fire and Police)</t>
  </si>
  <si>
    <t>Associated Hazards/BOLOs</t>
  </si>
  <si>
    <t>Weapons involved</t>
  </si>
  <si>
    <t>System generated incident number</t>
  </si>
  <si>
    <t>Recommended route</t>
  </si>
  <si>
    <t>Premise information</t>
  </si>
  <si>
    <t>Premise and prior information flag</t>
  </si>
  <si>
    <t>Vehicle information</t>
  </si>
  <si>
    <t>Phone number at incident location (if different)</t>
  </si>
  <si>
    <t>Associates</t>
  </si>
  <si>
    <t>Description</t>
  </si>
  <si>
    <t>Suspect information:</t>
  </si>
  <si>
    <t>Hyperlinks to previous calls</t>
  </si>
  <si>
    <t>Number of previous calls at a location</t>
  </si>
  <si>
    <t>Incident talk group</t>
  </si>
  <si>
    <t>Incident location with cross streets</t>
  </si>
  <si>
    <t>HAZMAT status</t>
  </si>
  <si>
    <t>HAZMAT code and instructions</t>
  </si>
  <si>
    <t>Driver registration information</t>
  </si>
  <si>
    <t>Date and time incident entered</t>
  </si>
  <si>
    <t>Comments/narrative (unlimited)</t>
  </si>
  <si>
    <t>Assisting unit(s)</t>
  </si>
  <si>
    <t>Ability to display the following information in distinct fields or tabs (as opposed to in the call narrative) upon receipt of dispatch:</t>
  </si>
  <si>
    <t>Ability to access and read all call comments associated with a call regardless of whether assigned to the call.</t>
  </si>
  <si>
    <t>Ability for all personnel dispatched to a call to receive notification of status and location changes of other personnel dispatched to the call.</t>
  </si>
  <si>
    <t>Ability for all personnel dispatched to an incident to receive notification when other personnel are en route.</t>
  </si>
  <si>
    <t>Ability to alert mobile users that a new dispatch has arrived:</t>
  </si>
  <si>
    <t>Ability for dispatches to open automatically on mobile computers.</t>
  </si>
  <si>
    <t>Ability to receive dispatches on the Mobile.</t>
  </si>
  <si>
    <t>Dispatch Receipt</t>
  </si>
  <si>
    <t>Mobile Dispatch Operations</t>
  </si>
  <si>
    <t>Ability to view personnel on each apparatus in real-time.</t>
  </si>
  <si>
    <t>Ability to open any active incident to view dispatch data, units and incident notes.</t>
  </si>
  <si>
    <t>Squad/company</t>
  </si>
  <si>
    <t>Individual unit/apparatus</t>
  </si>
  <si>
    <t>Response area (e.g., beat, sector, fire district, etc.)</t>
  </si>
  <si>
    <t>Ability to  view unit status by:</t>
  </si>
  <si>
    <t>Ability to view active calls.</t>
  </si>
  <si>
    <t>Ability for a field user to assign themselves to a call without the use of a command (e.g., double-click via mouse, touch screen, etc.)</t>
  </si>
  <si>
    <t>Ability to view pending calls.</t>
  </si>
  <si>
    <t>Status  Views</t>
  </si>
  <si>
    <t>Ability to automatically rotate map so that unit is automatically displayed moving up on the display.</t>
  </si>
  <si>
    <t>Ability to record all routing displays within CAD (e.g., map displays, travel time, travel time estimation, etc.) for analysis to improve routing logarithms.</t>
  </si>
  <si>
    <t>Ability to clearly display potential obstacles along route.</t>
  </si>
  <si>
    <t>Ability for Mobile user to turn recommended route ability on/off.</t>
  </si>
  <si>
    <t>Weight limitations</t>
  </si>
  <si>
    <t>Height limitations on overpasses</t>
  </si>
  <si>
    <t>Distance between vehicle and incident location</t>
  </si>
  <si>
    <t>Mobile user entered obstacles</t>
  </si>
  <si>
    <t>Dispatch entered obstacles</t>
  </si>
  <si>
    <t>Hazards by time of day (e.g., school opening/closing)</t>
  </si>
  <si>
    <t>School zones</t>
  </si>
  <si>
    <t>Closed streets</t>
  </si>
  <si>
    <t>Street speed limits</t>
  </si>
  <si>
    <t>Ability to take into account the following when calculating routing directions:</t>
  </si>
  <si>
    <t>Ability to recalculate directions to incident/specified location on the fly.</t>
  </si>
  <si>
    <t>Ability to highlight on the map the recommended route from current location to a dispatched incident site.</t>
  </si>
  <si>
    <t>Ability to provide estimated travel time.</t>
  </si>
  <si>
    <t>Ability to support shortest route for all dispatches.</t>
  </si>
  <si>
    <t>Ability to support quickest-time routing for all dispatches.</t>
  </si>
  <si>
    <t>Ability to automatically calculate directions from user's current location (on Mobile using AVL) to dispatched location.</t>
  </si>
  <si>
    <t>Ability to provide text-based routing information.</t>
  </si>
  <si>
    <t>Ability to provide audible routing information.</t>
  </si>
  <si>
    <t>Routing</t>
  </si>
  <si>
    <t>Vehicle type (e.g., Fire apparatus only)</t>
  </si>
  <si>
    <t xml:space="preserve">Unit type </t>
  </si>
  <si>
    <t>Ability to filter display by applicable fields, including but not limited to:</t>
  </si>
  <si>
    <t>Ability for mapping client to load automatically upon system boot.</t>
  </si>
  <si>
    <t>Ability to click on a unit in the map display and have the corresponding incident information displayed.</t>
  </si>
  <si>
    <t>Ability to click on a unit or incident in the incident queue or unit status bar and have it displayed on the map.</t>
  </si>
  <si>
    <t>Ability to display active incidents and unit statuses on the map.</t>
  </si>
  <si>
    <t xml:space="preserve">Ability to make temporary "marks" on map (e.g., to note locations of a law enforcement perimeter or the locations of fire apparatus at a large scene). </t>
  </si>
  <si>
    <t>Ability to display other field units on mobile map (assuming AVL and sufficient bandwidth) as defined by each agency.</t>
  </si>
  <si>
    <t>Ability to "drill down" within the map to provide additional information related to that location.</t>
  </si>
  <si>
    <t>Ability to display any premise and hazardous information alerts on the map.</t>
  </si>
  <si>
    <t>Ability to accept temporary overlays (e.g., crime analysis hot spot map)</t>
  </si>
  <si>
    <t>Ability for user to access apartment complex maps upon clicking on the location for a complex (assuming user-created map layer containing site maps).</t>
  </si>
  <si>
    <t>Specified geographic area (e.g., entering an address via text entry)</t>
  </si>
  <si>
    <t>Vehicle activating emergency activation key</t>
  </si>
  <si>
    <t>Dispatch location</t>
  </si>
  <si>
    <t>Midpoint between vehicle location and dispatch location</t>
  </si>
  <si>
    <t>Current vehicle location (with AVL)</t>
  </si>
  <si>
    <t>Ability to center map display on:</t>
  </si>
  <si>
    <t>Ability to select map layers for display.</t>
  </si>
  <si>
    <t>Ability to display compass direction between two user selected points.</t>
  </si>
  <si>
    <t>Ability to update unit and incident locations on map without resetting the entire map.</t>
  </si>
  <si>
    <t>Ability to cache map layers to minimize the amount of data transmitted wirelessly.</t>
  </si>
  <si>
    <t>Ability to support AVL functionality.</t>
  </si>
  <si>
    <t>Ability for map to function without wireless connectivity.</t>
  </si>
  <si>
    <t>Mobile Mapping</t>
  </si>
  <si>
    <t>Ability to access reports within the FRMS when responding to a location (e.g., hyperlink)</t>
  </si>
  <si>
    <t>Ability to access reports within the RMS when responding to a location (e.g., hyperlink)</t>
  </si>
  <si>
    <t>Ability for alerts created in CAD or RMS or FRMS to be made available to users in the Mobile environment.</t>
  </si>
  <si>
    <t>Ability to receive dispatch alerts and/or indicators without losing current work.</t>
  </si>
  <si>
    <t>Ability to run multiple applications (e.g., mobile, automated field reporting) on the Mobile at the same time, with CAD operations having precedence over reporting operations.</t>
  </si>
  <si>
    <t>Ability for mobile status updates to be reflected in CAD.</t>
  </si>
  <si>
    <t>Ability to view all incident information available in CAD on the Mobile.</t>
  </si>
  <si>
    <t>Application Integration</t>
  </si>
  <si>
    <t>Ability to separate Mobile logoff from designating status as off-shift.</t>
  </si>
  <si>
    <t>Ability to support an automatic download of software/files at logon without interfering with operational performance.</t>
  </si>
  <si>
    <t>Ability to support a user-initiated download of software/files at logon without interfering with operational performance.</t>
  </si>
  <si>
    <t>Query returns</t>
  </si>
  <si>
    <t>Notes</t>
  </si>
  <si>
    <t>Messages</t>
  </si>
  <si>
    <t>In-progress reports</t>
  </si>
  <si>
    <t>Ability to store the following until manually deleted by the user:</t>
  </si>
  <si>
    <t>Ability for a user to logoff the system and save information on the Mobile including:</t>
  </si>
  <si>
    <t>Ability to logoff a Mobile and remain logged into CAD system.</t>
  </si>
  <si>
    <t>Ability to logoff personnel without logging off the associated apparatus (e.g., firefighters changing shift).</t>
  </si>
  <si>
    <t>Ability for a unit logged on to automatically default to "available" status.</t>
  </si>
  <si>
    <t>Ability for a resource to be logged on but not available for service.</t>
  </si>
  <si>
    <t>Ability, when there are multiple users logged onto one Mobile to allow one user to logoff the system while allowing another to remain logged on.</t>
  </si>
  <si>
    <t>Ability to remove an individual from a unit at any time from within the mobile application.</t>
  </si>
  <si>
    <t>Ability to assign an individual to a unit at any time from within the mobile application.</t>
  </si>
  <si>
    <t>Ability to logon multiple individuals per unit.</t>
  </si>
  <si>
    <t xml:space="preserve">Security  </t>
  </si>
  <si>
    <t>Ability to automatically send location coordinates and unit ID upon triggering an emergency key.</t>
  </si>
  <si>
    <t>Ability for the Mobile screen to revert to its prior view after the user dismisses an emergency message.</t>
  </si>
  <si>
    <t>Ability to prevent emergency notification from appearing on the sender's screen.</t>
  </si>
  <si>
    <t>Ability for each agency to configure which Mobile users receive the emergency key activation notice (e.g., only PD receives PD emergency key activation, only identical agency receives notification, etc.)</t>
  </si>
  <si>
    <t>Ability to send to all Mobile and CAD users (except the sender) an emergency notification with unit ID and location (if known) when the emergency key is activated.</t>
  </si>
  <si>
    <t>Ability to link emergency key functionality to PTT radio activation.</t>
  </si>
  <si>
    <t>Ability for dispatch to select which consoles receive visible/audible alerts of emergency key activation.</t>
  </si>
  <si>
    <t>Ability to have a visible and audible indication that emergency key has been activated (in all units).</t>
  </si>
  <si>
    <t>Ability to provide a delay between emergency key activation and notification (to allow users to cancel emergency if button was hit accidentally).  Indicate within the "comments" section how this is configured (e.g., configured by agency, standard time, etc.)</t>
  </si>
  <si>
    <t>Ability to configure emergency key to capture agency defined combination of above information.</t>
  </si>
  <si>
    <t>Reference to incident</t>
  </si>
  <si>
    <t>Current location (with AVL)</t>
  </si>
  <si>
    <t>Ability to automatically transmit the following information in an emergency situation:</t>
  </si>
  <si>
    <t>Ability to initiate an emergency message transmission from a touch screen button or hot key.</t>
  </si>
  <si>
    <t>Emergency Key Functionality</t>
  </si>
  <si>
    <t>Ability to configure a Mobile button (tool bar or function key) to launch any third-party program (e.g., Adobe, CAMEO, etc.).</t>
  </si>
  <si>
    <t>Status updates</t>
  </si>
  <si>
    <t>Common tasks</t>
  </si>
  <si>
    <t>Ability for each agency to define keystroke shortcuts for:</t>
  </si>
  <si>
    <t>Ability to support single keystroke commands.</t>
  </si>
  <si>
    <t>Function Keys/Commands</t>
  </si>
  <si>
    <t>Ability to transfer an MDC to another apparatus.</t>
  </si>
  <si>
    <t>Ability to update the Mobile unit log-in information without logging on and off.</t>
  </si>
  <si>
    <t>Miscellaneous field</t>
  </si>
  <si>
    <t>Mileage</t>
  </si>
  <si>
    <t>Special Skill</t>
  </si>
  <si>
    <t>Personnel in vehicle</t>
  </si>
  <si>
    <t>Cell phone number (10-digit, including dashes)</t>
  </si>
  <si>
    <t>Car number</t>
  </si>
  <si>
    <t>Personnel Number (unlimited)</t>
  </si>
  <si>
    <t>Password</t>
  </si>
  <si>
    <t>Ability for each agency to require any combination (including none) of the following when a user logs onto the Mobile application:</t>
  </si>
  <si>
    <t>Ability to view multiple calls simultaneously (e.g., in different windows).</t>
  </si>
  <si>
    <t>Ability for screen information to automatically refresh when information changes.</t>
  </si>
  <si>
    <t>Radio talk group (if assigned)</t>
  </si>
  <si>
    <t>Message alert</t>
  </si>
  <si>
    <t>Current system date and time</t>
  </si>
  <si>
    <t>Status of all units within the agency</t>
  </si>
  <si>
    <t>Current unit status</t>
  </si>
  <si>
    <t>Call status</t>
  </si>
  <si>
    <t>Availability of wireless connectivity</t>
  </si>
  <si>
    <t>Ability to display the following information on the screen during normal operations:</t>
  </si>
  <si>
    <t>Ability to copy and paste from one application or window to another.</t>
  </si>
  <si>
    <t>Ability to provide visible differentiation (e.g., color) between active applications.</t>
  </si>
  <si>
    <t>Ability to support multiple on-screen button configurations (e.g., left side, right side, top or bottom).</t>
  </si>
  <si>
    <t>Ability for users to select a configuration scheme that accommodates color-blindness.</t>
  </si>
  <si>
    <t>Ability to allow users to return to application default settings.</t>
  </si>
  <si>
    <t>Ability to store a user profile for mobile display configuration for auto-configuration upon log on.</t>
  </si>
  <si>
    <t>Reverse video (e.g., day/night mode)</t>
  </si>
  <si>
    <t>Audible tones</t>
  </si>
  <si>
    <t>Audible message</t>
  </si>
  <si>
    <t>Ability to configure a default for the following application settings:</t>
  </si>
  <si>
    <t>Window location</t>
  </si>
  <si>
    <t>Window size</t>
  </si>
  <si>
    <t>Font color</t>
  </si>
  <si>
    <t>Ability for each agency to configure the display of their Mobiles, including:</t>
  </si>
  <si>
    <t>Day/Night mode</t>
  </si>
  <si>
    <t>Ability for users to configure the display of their Mobiles, including:</t>
  </si>
  <si>
    <t>Ability to provide agency system default configurations.</t>
  </si>
  <si>
    <t>Point-and-click devices (i.e., mouse, trackball, touch pad)</t>
  </si>
  <si>
    <t>Keyboard</t>
  </si>
  <si>
    <t>Card swipe device</t>
  </si>
  <si>
    <t>3D barcode reader (e.g., driver's license, registration)</t>
  </si>
  <si>
    <t>Ability to accept input from:</t>
  </si>
  <si>
    <t>Ability for users to select a touch screen configuration that accommodates protective hand gear (e.g., big buttons, touch screen works with gloves on).</t>
  </si>
  <si>
    <t>Ability to support touch-screen functionality.</t>
  </si>
  <si>
    <t>Ability to support voice commands.</t>
  </si>
  <si>
    <t>Ability for user to minimize or expand any window.</t>
  </si>
  <si>
    <t>Ability for user to toggle among windows.</t>
  </si>
  <si>
    <t>Ability for user to toggle among applications on the Mobiles.</t>
  </si>
  <si>
    <t>Mobile Application User Interface</t>
  </si>
  <si>
    <t>Ability for Mobile system to automatically connect to the backup environment when the primary is unavailable.</t>
  </si>
  <si>
    <t>Ability to support multiple on-screen configurations based upon agency as opposed to agency type (e.g., SVFD would have a different configuration than SFD)</t>
  </si>
  <si>
    <t>Ability to prevent other applications from automatically overlaying the Mobile application.</t>
  </si>
  <si>
    <t>Ability to provide screen display formats that are consistent across the application.</t>
  </si>
  <si>
    <t>Ability to continuously attempt to reconnect to CAD system in the event connectivity is lost.</t>
  </si>
  <si>
    <t>Ability to provide a visual alert if Mobile is receiving negative response from CAD system (no connection to CAD).</t>
  </si>
  <si>
    <t>Ability for Mobile software to operate in a desktop environment.</t>
  </si>
  <si>
    <t xml:space="preserve">Ability to operate in a Windows environment to support concurrent processing. </t>
  </si>
  <si>
    <t>General  Mobile Data Computing Features</t>
  </si>
  <si>
    <t>Mobile Data Computing Functional Requirements</t>
  </si>
  <si>
    <t>Status Views</t>
  </si>
  <si>
    <t>Ability for County to determine the frequency of data transfer (e.g., real-time, hourly, daily, etc.)</t>
  </si>
  <si>
    <t>Ability for County to determine what incident information is exported.</t>
  </si>
  <si>
    <t>LInX</t>
  </si>
  <si>
    <t>Via a County-defined batch updating schedule</t>
  </si>
  <si>
    <t>In Real-time</t>
  </si>
  <si>
    <t>Ability for transfer of data to occur:</t>
  </si>
  <si>
    <t xml:space="preserve">Telestaff </t>
  </si>
  <si>
    <t>Ability to support VOIP paging.</t>
  </si>
  <si>
    <t>Ability to automatically generate pages to agency-defined paging groups based on agency-defined parameters (e.g., incident type, call priority, location).</t>
  </si>
  <si>
    <t>Ability to send the following information in a page:</t>
  </si>
  <si>
    <t>Ability to send a dispatch to a unit via a paging device.</t>
  </si>
  <si>
    <t>Ability to generate pages based on units recommended for a response.</t>
  </si>
  <si>
    <t>Ability to select units within the CAD/Mobile system and trigger pages to those units.</t>
  </si>
  <si>
    <t>Ability to select a paging group within the CAD/Mobile system and trigger pages to individuals within the paging group.</t>
  </si>
  <si>
    <t>Ability to support the development of paging groups within the CAD system.</t>
  </si>
  <si>
    <t>Paging</t>
  </si>
  <si>
    <t xml:space="preserve">Ability to integrate AVL data from AMR the CAD map. </t>
  </si>
  <si>
    <t>Ability to send messages to AMR.</t>
  </si>
  <si>
    <t>Ability to take into account unit location of AMR apparatuses when recommending appropriate units for dispatch.</t>
  </si>
  <si>
    <t>Ability to take into account the unit status of AMR apparatuses when recommending appropriate units for dispatch.</t>
  </si>
  <si>
    <t>Ability to log interagency communications in CAD audit files.</t>
  </si>
  <si>
    <t>Ability to monitor availability of AMR units and special equipment.</t>
  </si>
  <si>
    <t>Ability to send requests for service to AMR.</t>
  </si>
  <si>
    <t>Ability to generate requests for service from AMR.</t>
  </si>
  <si>
    <t>Ability to provide a two-way interface with AMR ambulance company (TriTech CAD system).</t>
  </si>
  <si>
    <t>AMR CAD-to-CAD</t>
  </si>
  <si>
    <t>Ability for ProQA to automatically launch dependent on county-defined call types.</t>
  </si>
  <si>
    <t>Ability for the County to determine which questions and responses become attached to the CFS record.</t>
  </si>
  <si>
    <t>Ability for all interactions with ProQA (e.g., questions posed, answers received) to be automatically attached to the CFS record.</t>
  </si>
  <si>
    <t>Ability to integrate ProQA into the call taking/dispatching process.</t>
  </si>
  <si>
    <t>Ability for CAD application to recognize fill-in units and activate the fire station alerting system for where that unit has redeployed.</t>
  </si>
  <si>
    <t>Ability for CAD application, upon entry of agency-defined criteria, to activate fire station alerting system.</t>
  </si>
  <si>
    <t>Locution Fire Station Alerting</t>
  </si>
  <si>
    <t>Driver's license number</t>
  </si>
  <si>
    <t>Social security number</t>
  </si>
  <si>
    <t>Diminutive first names</t>
  </si>
  <si>
    <t>Phonetic replacement</t>
  </si>
  <si>
    <t>CID number</t>
  </si>
  <si>
    <t>Sound-alike searching</t>
  </si>
  <si>
    <t>Partial name</t>
  </si>
  <si>
    <t>Ability for users on the CAD and Mobile applications to query the SPRS photo database based on:</t>
  </si>
  <si>
    <t>SPRS</t>
  </si>
  <si>
    <t xml:space="preserve">Ability to transfer CFS data from the CAD application to QLIKView. </t>
  </si>
  <si>
    <t>QLIKView</t>
  </si>
  <si>
    <t>Ability to display photos, images or other multimedia content from WACIC/NCIC.</t>
  </si>
  <si>
    <t>Ability to notify dispatchers when field personnel receive a hit on a WACIC/NCIC query run from the Mobile.</t>
  </si>
  <si>
    <t>Ability to disable feature allowing dispatchers to monitor field personnel WACIC/NCIC queries.</t>
  </si>
  <si>
    <t>Ability to allow dispatchers to monitor field personnel WACIC/NCIC queries.</t>
  </si>
  <si>
    <t>Ability for WACIC/NCIC queries to automatically query the multiple databases at the same time, as defined by each agency (e.g., Police RMS, Fire RMS, COPLINK, etc.)</t>
  </si>
  <si>
    <t>Ability to conduct WACIC/NCIC queries (e.g., wanted person, missing person, protection order, etc.) via a standard query screen.</t>
  </si>
  <si>
    <t>Ability to run queries automatically upon execution of selected commands (e.g., run plates and registered owner upon entering a traffic stop).</t>
  </si>
  <si>
    <t>Ability for users to attach query returns to CAD incident record.</t>
  </si>
  <si>
    <t>Ability to limit access to WACIC/NCIC interface by security group or user.</t>
  </si>
  <si>
    <t>Ability to support a bi-directional interface between the CAD/Mobile and WACIC/NCIC.</t>
  </si>
  <si>
    <t>Ability to transfer information captured in the E-911 system and link it to incidents.</t>
  </si>
  <si>
    <t>Ability to plot incoming 9-1-1 calls on the CAD application map.</t>
  </si>
  <si>
    <t>Ability to append TTY conversation to CAD incident.</t>
  </si>
  <si>
    <t>Ability to transfer 9-1-1 call receipt time to CAD call history.</t>
  </si>
  <si>
    <t>Ability to parse address information when transferring data from the E9-1-1 system to the CAD system.</t>
  </si>
  <si>
    <t>Ability to transfer the cellular service provider name into the CAD incident mask.</t>
  </si>
  <si>
    <t>Ability to automatically translate Lat/Long coordinates into an address point on the CAD incident mask.</t>
  </si>
  <si>
    <t>Ability to transfer ANI/ALI data, including caller Lat/Long coordinates and cell tower coordinates into the CAD incident mask.</t>
  </si>
  <si>
    <t>Ability to automatically translate X/Y coordinates into an address point on the CAD incident mask.</t>
  </si>
  <si>
    <t>Ability to transfer ANI/ALI data, including caller X/Y coordinates and cell tower coordinates into the CAD incident mask.</t>
  </si>
  <si>
    <t>Ability to import 911 data into the CAD system to pre-fill the CAD incident mask.</t>
  </si>
  <si>
    <t>Ability to provide a one-way interface from the Cassidian E9-1-1 system to the CAD application.</t>
  </si>
  <si>
    <t>Cassidian E9-1-1</t>
  </si>
  <si>
    <t>Ability to create an alert so that a user is notified when a name is queried, entered, or updated in any other context in the RMS (note the type of alerting available in the comments section, e.g., e-mail, text, etc.)</t>
  </si>
  <si>
    <t>Ability to enter comments regarding the alert associated with a record.</t>
  </si>
  <si>
    <t>Ability to create business rules for flag categories (e.g. length of time before expiration by type of flag).</t>
  </si>
  <si>
    <t>Ability to limit ability to see alerts by security profile.</t>
  </si>
  <si>
    <t>Ability to create and define an unlimited number of alert categories.</t>
  </si>
  <si>
    <t>Ability to create a flag based on a crime type.</t>
  </si>
  <si>
    <t>E-mail</t>
  </si>
  <si>
    <t>RMS Log-on</t>
  </si>
  <si>
    <t>Ability to generate alerts to individuals via:</t>
  </si>
  <si>
    <t>Ability to create a flag on a person of interest (e.g. for an investigation).</t>
  </si>
  <si>
    <t>Visual Alert</t>
  </si>
  <si>
    <t>Ability to create an alert based on records matching specified criteria:</t>
  </si>
  <si>
    <t>Alerts and Flags</t>
  </si>
  <si>
    <t>Ability to maintain a version history of each case that identifies any edits to a case report over time.</t>
  </si>
  <si>
    <t>Ability to run all reports as required by CLERY.</t>
  </si>
  <si>
    <t>Ability to run all reports as required by NIBRS.</t>
  </si>
  <si>
    <t>Ability to maintain electronic submission compliance as determined by WASPC.</t>
  </si>
  <si>
    <t>Ability to electronically submit NIBRS data to WASPC.</t>
  </si>
  <si>
    <t>Ability to flag any data elements that are edited by an authorized user other than the original author (e.g., NIBRS review personnel change a data element from the original report).</t>
  </si>
  <si>
    <t>Ability to perform monthly NIBRS audits.</t>
  </si>
  <si>
    <t>Ability for system to identify trends that continually fail to meet NIBRS requirements (to identify training needs).</t>
  </si>
  <si>
    <t>Ability to prevent reports from being submitted to NIBRS until all errors have been corrected.</t>
  </si>
  <si>
    <t>Ability to flag any data fields that do not meet NIBRS requirements, or contain errors.</t>
  </si>
  <si>
    <t>Ability for RMS to be automatically updated with NIBRS requirements as requirements change.</t>
  </si>
  <si>
    <t>Ability to submit reports for automatic NIBRS review from the RMS following supervisor approval (should be a review of elements only and not a submission).</t>
  </si>
  <si>
    <t>NIBRS Reporting</t>
  </si>
  <si>
    <t>Ability to remove any data fields.</t>
  </si>
  <si>
    <t>Ability to add supplemental data fields.</t>
  </si>
  <si>
    <t>Ability for corrected data in a field (e.g. address) to auto populate across related reports.</t>
  </si>
  <si>
    <t>Ability to suggest a remedy for errors.</t>
  </si>
  <si>
    <t>Ability to advise user of data entry errors.</t>
  </si>
  <si>
    <t>Ability to validate any data field that requires master index data against master indices.</t>
  </si>
  <si>
    <t>Ability to validate data to ensure that only valid codes have been used.</t>
  </si>
  <si>
    <t>Ability to validate data entry to ensure all required fields have been completed at time of data entry (e.g., by field)</t>
  </si>
  <si>
    <t>Ability to validate data entry to ensure all required fields have been completed when records entry is fully complete.</t>
  </si>
  <si>
    <t>Ability to prompt user to complete any mandatory fields not completed.</t>
  </si>
  <si>
    <t>Ability to visually distinguish between mandatory and optional fields.</t>
  </si>
  <si>
    <t>Ability to limit available values in subsequent code tables based on previously entered data (e.g. crime type).</t>
  </si>
  <si>
    <t>Ability to identify mandatory fields based on previously entered data (e.g. crime type).</t>
  </si>
  <si>
    <t>Ability for County to modify tab order.</t>
  </si>
  <si>
    <t>Ability to prevent appearance on a data entry screen of a field for which a value should not be entered.</t>
  </si>
  <si>
    <t>Ability for the County to define mandatory fields in data entry screens.</t>
  </si>
  <si>
    <t>Ability for County to modify drop down lists without vendor intervention.</t>
  </si>
  <si>
    <t>Ability for County to define drop down lists.</t>
  </si>
  <si>
    <t>Ability for drop down lists to incorporate NCIC codes where applicable.</t>
  </si>
  <si>
    <t>General Data Quality Controls</t>
  </si>
  <si>
    <t>Ability to attach files to records.</t>
  </si>
  <si>
    <t>Ability to automatically translate standard text entries into NIBRS codes.</t>
  </si>
  <si>
    <t>Ability for all data extracts and inputs to comply with GJXDM standards.</t>
  </si>
  <si>
    <t>Ability to require agency specific fields to require data entry in a case sensitive format (e.g., all capitals).</t>
  </si>
  <si>
    <t>Ability to enter data in a non-case sensitive format.</t>
  </si>
  <si>
    <t>Ability to automatically calculate the day of week for any entered date.</t>
  </si>
  <si>
    <t>Ability to copy and paste data between fields.</t>
  </si>
  <si>
    <t>Grammar check</t>
  </si>
  <si>
    <t>Spell check</t>
  </si>
  <si>
    <t>Use of bullets and numbering</t>
  </si>
  <si>
    <t>Paragraph formatting</t>
  </si>
  <si>
    <t>Text wrap</t>
  </si>
  <si>
    <t xml:space="preserve">Ability to provide basic word processing capabilities on narrative and comment fields, including, but not limited to: </t>
  </si>
  <si>
    <t>Ability to provide narrative/comment fields of unlimited length (if limited, enter the characters permissible in the "comments" section).</t>
  </si>
  <si>
    <t>Ability to support an unlimited number of characters for data fields (if limited, enter the characters permissible in the "comments" section).</t>
  </si>
  <si>
    <t>Ability to use or reuse the data returned from external sources to eliminate redundant data entry.</t>
  </si>
  <si>
    <t xml:space="preserve">Ability to eliminate redundant data entry by allowing reuse of previously stored information when entering new records or reports.  </t>
  </si>
  <si>
    <t>General Data Entry Requirements</t>
  </si>
  <si>
    <t>RMS user-to-AFR user (and vice versa)</t>
  </si>
  <si>
    <t>RMS user-to-Mobile user (and vice versa)</t>
  </si>
  <si>
    <t>RMS user-to-CAD user (and vice versa)</t>
  </si>
  <si>
    <t>RMS user-to-RMS user (and vice versa)</t>
  </si>
  <si>
    <t>Ability to support a messaging system to allow users to communicate via:</t>
  </si>
  <si>
    <t>System operates on MS Windows.</t>
  </si>
  <si>
    <t>Ability for the County to add data elements.</t>
  </si>
  <si>
    <t>Ability to create a CAD generated incident number within the RMS without requiring the dispatch of resources.</t>
  </si>
  <si>
    <t>Ability for system to automatically convert NIBRS codes to UCR codes.</t>
  </si>
  <si>
    <t>Ability to support UCR reporting.</t>
  </si>
  <si>
    <t>Ability to support CLERY reporting.</t>
  </si>
  <si>
    <t>Ability for agency to modify business logic.</t>
  </si>
  <si>
    <t>Ability to incorporate NIBRS business logic.</t>
  </si>
  <si>
    <t>Ability to support NIBRS reporting.</t>
  </si>
  <si>
    <t>Ability for information captured in one module to be made transferrable to all other modules within the RMS.</t>
  </si>
  <si>
    <t>Ability to access a browser-based RMS.</t>
  </si>
  <si>
    <t>Ability to support a multi-jurisdictional environment.</t>
  </si>
  <si>
    <t>Ability to generate inquiries to internal and external sources from within application.</t>
  </si>
  <si>
    <t>General RMS Requirements</t>
  </si>
  <si>
    <t>Ability to display all related records when producing a comprehensive response to a query.</t>
  </si>
  <si>
    <t>Ability to produce a comprehensive response to a query.</t>
  </si>
  <si>
    <t>Ability to query master indices by any operational data element.</t>
  </si>
  <si>
    <t>Standard Master Indices Outputs</t>
  </si>
  <si>
    <t>Ability to associate multiple organizations to a location.</t>
  </si>
  <si>
    <t>Ability to keep historical records of changes to organization names and locations.</t>
  </si>
  <si>
    <t>Aliases</t>
  </si>
  <si>
    <t>Phone number(s)</t>
  </si>
  <si>
    <t>Association type (owner, gang member, etc.)</t>
  </si>
  <si>
    <t>Associated individuals</t>
  </si>
  <si>
    <t>Subgroups (e.g., specific faction within a specific gang)</t>
  </si>
  <si>
    <t>Ability to capture organization information, including, but not limited to:</t>
  </si>
  <si>
    <t>Ability to link a new event to an existing master organization record if the organization is involved in the new event.</t>
  </si>
  <si>
    <t>Ability to give a master organization record to every organization associated with an event.</t>
  </si>
  <si>
    <t>Ability to link an organization record to every event in which the organization is involved or associated.</t>
  </si>
  <si>
    <t>Ability for agency to define organization categories (e.g. gangs, businesses, schools, shopping centers, etc.).</t>
  </si>
  <si>
    <t>Master Organization Index</t>
  </si>
  <si>
    <t>Ability to link addresses and commonplace street names.</t>
  </si>
  <si>
    <t>Ability to notify appropriate personnel of unverified address entries.</t>
  </si>
  <si>
    <t>Ability to flag an unverified address.</t>
  </si>
  <si>
    <t>Ability to accept an unverified address.</t>
  </si>
  <si>
    <t>Ability to update master location index with geofile data (e.g. latitude and longitude, agency-defined geographical boundaries, etc.), during the address validation process.</t>
  </si>
  <si>
    <t>Ability to validate addresses at the  time of data entry (if address is within the boundaries of the agency geofile).</t>
  </si>
  <si>
    <t>Ability to accommodate intersections.</t>
  </si>
  <si>
    <t>Ability to accommodate non-street address location identifiers (e.g. mile markers, train mile post locations, subway stations).</t>
  </si>
  <si>
    <t>Zip</t>
  </si>
  <si>
    <t>Suite or apartment number</t>
  </si>
  <si>
    <t>Suffix directional</t>
  </si>
  <si>
    <t>Prefix directional</t>
  </si>
  <si>
    <t>Street number (including fractions, alphas, etc.)</t>
  </si>
  <si>
    <t>Ability to parse address fields into the following:</t>
  </si>
  <si>
    <t>Ability to enforce formatting rules when entering location information.</t>
  </si>
  <si>
    <t>Last date entered or updated</t>
  </si>
  <si>
    <t>Hazards</t>
  </si>
  <si>
    <t>Occupancy</t>
  </si>
  <si>
    <t>Elevation (e.g. floor)</t>
  </si>
  <si>
    <t>Premise type</t>
  </si>
  <si>
    <t>Ability to provide dedicated fields to capture premise information, including, but not limited to:</t>
  </si>
  <si>
    <t>Ability to link a new event to an existing master location record if the location is involved in the new event.</t>
  </si>
  <si>
    <t>Ability to give a master location record to every location associated with an event.</t>
  </si>
  <si>
    <t>Ability to link a location record to every event in which the location is involved or associated.</t>
  </si>
  <si>
    <t>Landmarks</t>
  </si>
  <si>
    <t>Locations based on latitude and longitude coordinates</t>
  </si>
  <si>
    <t>Geographic area (as defined in the geofile)</t>
  </si>
  <si>
    <t>Specific address</t>
  </si>
  <si>
    <t>Ability to aggregate information throughout the RMS based on any of the following:</t>
  </si>
  <si>
    <t>Master Location Index</t>
  </si>
  <si>
    <t>Ability to automatically cross-reference the MPI when property is entered into an event in order to find potential matches.</t>
  </si>
  <si>
    <t>Quantity (unit of measure)</t>
  </si>
  <si>
    <t>Drug information:</t>
  </si>
  <si>
    <t>Foreign currency type (text field)</t>
  </si>
  <si>
    <t>Non-U.S. Currency (Y/N)</t>
  </si>
  <si>
    <t>Counterfeit (Y/N)</t>
  </si>
  <si>
    <t>Drug seizure currency (Y/N)</t>
  </si>
  <si>
    <t>Currency comments</t>
  </si>
  <si>
    <t>Currency total amount</t>
  </si>
  <si>
    <t>Currency type (i.e., cash, money order)</t>
  </si>
  <si>
    <t>Currency serial number(s)</t>
  </si>
  <si>
    <t>Currency denominations (type and quantity)</t>
  </si>
  <si>
    <t>Currency-specific information:</t>
  </si>
  <si>
    <t>Defaced serial number (Y/N)</t>
  </si>
  <si>
    <t>Large capacity magazine (Y/N)</t>
  </si>
  <si>
    <t>Assault weapon? (Y/N)</t>
  </si>
  <si>
    <t>Agency-defined</t>
  </si>
  <si>
    <t>Barrel length</t>
  </si>
  <si>
    <t>Suppressor</t>
  </si>
  <si>
    <t>Serial number</t>
  </si>
  <si>
    <t>Owner-applied number</t>
  </si>
  <si>
    <t>Finish</t>
  </si>
  <si>
    <t>Caliber/Gauge</t>
  </si>
  <si>
    <t>Make</t>
  </si>
  <si>
    <t>Weapons-specific information:</t>
  </si>
  <si>
    <t>Date of Birth</t>
  </si>
  <si>
    <t xml:space="preserve">Age </t>
  </si>
  <si>
    <t>Social Security Number</t>
  </si>
  <si>
    <t>Telephone number (multiple - home, business, cell)</t>
  </si>
  <si>
    <t>Address (multiple - home and business)</t>
  </si>
  <si>
    <t>Arrested (Y/N)</t>
  </si>
  <si>
    <t>Person name</t>
  </si>
  <si>
    <t>Property Owner/Claimant information:</t>
  </si>
  <si>
    <t>Recovery condition</t>
  </si>
  <si>
    <t>Recovery Value</t>
  </si>
  <si>
    <t>Recovery information:</t>
  </si>
  <si>
    <t>Initial value</t>
  </si>
  <si>
    <t>Involved in a crime (Y/N)</t>
  </si>
  <si>
    <t>Subcategory (dangerous, illegal, oversized, valuable, and other user-defined categories)</t>
  </si>
  <si>
    <t>Special markings</t>
  </si>
  <si>
    <t>Size</t>
  </si>
  <si>
    <t>License Plate Number</t>
  </si>
  <si>
    <t>NCIC code</t>
  </si>
  <si>
    <t>Model number</t>
  </si>
  <si>
    <t>Model name</t>
  </si>
  <si>
    <t>Property condition</t>
  </si>
  <si>
    <t>Category</t>
  </si>
  <si>
    <t>Brand name</t>
  </si>
  <si>
    <t>Article information, including but not limited to:</t>
  </si>
  <si>
    <t>Property type (evidence, impounded, found, forfeitures, stolen, missing, etc.)</t>
  </si>
  <si>
    <t>Incident information:</t>
  </si>
  <si>
    <t>Case Number</t>
  </si>
  <si>
    <t>Ability to provide dedicated fields to document the following information in the master property index, including but not limited to:</t>
  </si>
  <si>
    <t>Ability to link property entered as evidence with its evidence record.</t>
  </si>
  <si>
    <t>Ability to link a new event to an existing master property record if the property is involved in the new event.</t>
  </si>
  <si>
    <t>Ability to give a master property record to every piece of property associated with an event.</t>
  </si>
  <si>
    <t>Ability to link a property record to every incident/report in which the property is involved or associated.</t>
  </si>
  <si>
    <t>Master Property Index</t>
  </si>
  <si>
    <t>Ability to run a canned report identifying potential duplicate MVI records.</t>
  </si>
  <si>
    <t>Ability to unlink distinct MVI records.</t>
  </si>
  <si>
    <t>Ability to merge two or more MVI records into one MVI record.</t>
  </si>
  <si>
    <t>Ability to unlink a report or record from one MVI record and re-link it to another MVI record.</t>
  </si>
  <si>
    <t>Ability to generate a canned report displaying all added and linked MVI records for a user-defined period of time.</t>
  </si>
  <si>
    <t>Ability to notify appropriate personnel when an MVI record is linked or added to the database.</t>
  </si>
  <si>
    <t>Ability for user to add a new master vehicle record.</t>
  </si>
  <si>
    <t>Ability for user to link information to an existing master vehicle record.</t>
  </si>
  <si>
    <t>Ability for user to decide whether to link information to an existing master vehicle record or add a new master vehicle record.</t>
  </si>
  <si>
    <t>Vehicle identification number or owner applied number</t>
  </si>
  <si>
    <t>Partial license plate number</t>
  </si>
  <si>
    <t>Vehicle license plate number</t>
  </si>
  <si>
    <t>Ability to provide user entering a vehicle with a list of potential existing master vehicle records based on a variety of search criteria, including:</t>
  </si>
  <si>
    <t>Ability to automatically perform a matching function using a rules-based process defined by the agency when a record or report is added to the RMS.</t>
  </si>
  <si>
    <t>Ability to view all related records when querying an individual MVI record.</t>
  </si>
  <si>
    <t>Ability to produce a synopsis of all RMS records associated with a vehicle by querying the vehicle.</t>
  </si>
  <si>
    <t>Ability to track previous vehicle owners.</t>
  </si>
  <si>
    <t>Ability to associate multiple license plates with a vehicle.</t>
  </si>
  <si>
    <t>Ability to associate multiple drivers with a vehicle.</t>
  </si>
  <si>
    <t>Ability to associate multiple owners with one vehicle.</t>
  </si>
  <si>
    <t>Other identifiers (e.g., bumper stickers, broken windows, etc.)</t>
  </si>
  <si>
    <t>Style</t>
  </si>
  <si>
    <t>Year</t>
  </si>
  <si>
    <t>Vehicle description, including:</t>
  </si>
  <si>
    <t>Registered owner</t>
  </si>
  <si>
    <t>License plate year</t>
  </si>
  <si>
    <t>License plate state</t>
  </si>
  <si>
    <t>Ability to provide dedicated fields to capture, at a minimum, the following information in the master vehicle index:</t>
  </si>
  <si>
    <t>Ability to link a new event to an existing master vehicle record if the vehicle is involved in the new event.</t>
  </si>
  <si>
    <t>Ability to give a master vehicle record to every vehicle associated with an event.</t>
  </si>
  <si>
    <t>Ability to link a vehicle record to every event in which a vehicle is involved or associated.</t>
  </si>
  <si>
    <t>Master Vehicle Index</t>
  </si>
  <si>
    <t>Ability to run a canned report identifying potential duplicate MNI records.</t>
  </si>
  <si>
    <t>Ability to unlink distinct MNI records.</t>
  </si>
  <si>
    <t>Ability to merge multiple MNI records into one MNI record.</t>
  </si>
  <si>
    <t>Ability to unlink a record or report from one MNI record and re-link it to another MNI record.</t>
  </si>
  <si>
    <t>Ability to generate a canned report displaying all added and linked MNI records for a user-defined period of time.</t>
  </si>
  <si>
    <t>Ability for user to add a new master name record.</t>
  </si>
  <si>
    <t>Ability for user to decide whether to link information to an existing master name record or add a new master name record.</t>
  </si>
  <si>
    <t>Age range</t>
  </si>
  <si>
    <t>Name order (e.g., first, middle, last)</t>
  </si>
  <si>
    <t>Exact spelling</t>
  </si>
  <si>
    <t>Ability to provide user entering a name with a list of potential existing master name records based on a variety of criteria, including:</t>
  </si>
  <si>
    <t>Dates of birth</t>
  </si>
  <si>
    <t>Monikers</t>
  </si>
  <si>
    <t>False names</t>
  </si>
  <si>
    <t>Alias names</t>
  </si>
  <si>
    <t>Ability to associate alias identifiers with a master name record, including, but not limited to:</t>
  </si>
  <si>
    <t>Name changes</t>
  </si>
  <si>
    <t>Employer information</t>
  </si>
  <si>
    <t>Identification numbers (e.g., DOL number, SSN)</t>
  </si>
  <si>
    <t>Hair color</t>
  </si>
  <si>
    <t>Weight</t>
  </si>
  <si>
    <t>Ability to track changes for an individual over time for pieces of information that are subject to change including, but not limited to:</t>
  </si>
  <si>
    <t>Ability to update MNI information while maintaining historical information.</t>
  </si>
  <si>
    <t>Sex offender number</t>
  </si>
  <si>
    <t>FBI number</t>
  </si>
  <si>
    <t>Immigration status</t>
  </si>
  <si>
    <t>Alien registration number</t>
  </si>
  <si>
    <t>Driver's license number and state</t>
  </si>
  <si>
    <t>Identification information, including, but not limited to:</t>
  </si>
  <si>
    <t>Modus operandi</t>
  </si>
  <si>
    <t>Nature of association (e.g. associated via which organization)</t>
  </si>
  <si>
    <t>Name of associate</t>
  </si>
  <si>
    <t>Associates (e.g. via a link to an organization)</t>
  </si>
  <si>
    <t>Nature of involvement (e.g. how determined involved or associated with another person)</t>
  </si>
  <si>
    <t>Known involvements (people with whom involved in previous incidents)</t>
  </si>
  <si>
    <t>Involvements:</t>
  </si>
  <si>
    <t>Email addresses</t>
  </si>
  <si>
    <t>Telephone numbers (multiple)</t>
  </si>
  <si>
    <t>Occupation</t>
  </si>
  <si>
    <t>School information</t>
  </si>
  <si>
    <t>Relationship to incident (e.g., suspect, victim, etc.)</t>
  </si>
  <si>
    <t>Residency</t>
  </si>
  <si>
    <t>Address history</t>
  </si>
  <si>
    <t>INS number</t>
  </si>
  <si>
    <t>Age at time of incident</t>
  </si>
  <si>
    <t>Type (scar mark or tattoo)</t>
  </si>
  <si>
    <t>Scars, marks and tattoos, including:</t>
  </si>
  <si>
    <t>Weight Range</t>
  </si>
  <si>
    <t>Sex at birth</t>
  </si>
  <si>
    <t>Sex</t>
  </si>
  <si>
    <t>Race</t>
  </si>
  <si>
    <t>Height Range</t>
  </si>
  <si>
    <t>Height</t>
  </si>
  <si>
    <t>Hand use</t>
  </si>
  <si>
    <t>Hair length</t>
  </si>
  <si>
    <t>Hair style</t>
  </si>
  <si>
    <t>Eye color</t>
  </si>
  <si>
    <t>Ethnicity</t>
  </si>
  <si>
    <t>Place of birth</t>
  </si>
  <si>
    <t>Citizenship</t>
  </si>
  <si>
    <t>Build</t>
  </si>
  <si>
    <t>Physical characteristics, including, but not limited to:</t>
  </si>
  <si>
    <t>Ability to provide dedicated fields to capture, at a minimum, the following information in the master name index:</t>
  </si>
  <si>
    <t>Ability to view all related records (e.g., order for protection, domestic abuse no contact order, eviction order, etc.) when querying an individual MNI record.</t>
  </si>
  <si>
    <t>Ability to produce a synopsis of all RMS records associated with a person by querying that person's name.</t>
  </si>
  <si>
    <t>Ability to link alias names to an individual master name record.</t>
  </si>
  <si>
    <t>Multiple word names (e.g. Sanchez de Cordova or Billie Jean)</t>
  </si>
  <si>
    <t>Names with apostrophes (e.g., O'Malley)</t>
  </si>
  <si>
    <t>Hyphenated names</t>
  </si>
  <si>
    <t>Ability to accommodate:</t>
  </si>
  <si>
    <t>Ability to link a new event to an existing master name record if the person is involved in the new event.</t>
  </si>
  <si>
    <t>Ability to give a master name record to every person associated with an event.</t>
  </si>
  <si>
    <t>Ability to link an individual master name record to every event in which the individual is involved or associated.</t>
  </si>
  <si>
    <t>Master Name Index</t>
  </si>
  <si>
    <t>Export</t>
  </si>
  <si>
    <t>Display</t>
  </si>
  <si>
    <t>Retrieve</t>
  </si>
  <si>
    <t>Ability to perform the following functions for all records related to a query return:</t>
  </si>
  <si>
    <t>Property</t>
  </si>
  <si>
    <t>Organizations</t>
  </si>
  <si>
    <t>Locations</t>
  </si>
  <si>
    <t>People</t>
  </si>
  <si>
    <t>Ability to link phone numbers to:</t>
  </si>
  <si>
    <t>Ability to support linkages across master indices.</t>
  </si>
  <si>
    <t>Ability to automatically perform a matching function using a rules-based process defined by the County when a record or report is added to the RMS.</t>
  </si>
  <si>
    <t>Ability to give a user entering a new master record  the option of determining if there is potentially an existing master record match.</t>
  </si>
  <si>
    <t>Ability to automatically update master indices upon entry of report information.</t>
  </si>
  <si>
    <t>Ability to maintain historical information upon entry of updated information into a master record.</t>
  </si>
  <si>
    <t>Organizations (e.g., businesses and gangs)</t>
  </si>
  <si>
    <t>Licensing</t>
  </si>
  <si>
    <t>Ability to maintain the following master indices:</t>
  </si>
  <si>
    <t>General Master Index Requirements</t>
  </si>
  <si>
    <t>Master Indices</t>
  </si>
  <si>
    <t>Ability for the County to add data elements to the pre-booking form.</t>
  </si>
  <si>
    <t>Ability to provide dedicated fields to capture all data fields as required by the Spokane County Jail.  These forms and/or specific data fields may be made available upon request.</t>
  </si>
  <si>
    <t>Ability to automatically populate relevant fields of the arrest module with data already in the Master Name Index (MNI).</t>
  </si>
  <si>
    <t>Ability to provide drop down menus as appropriate for data entry (e.g., offense, statute, NIBRS codes, etc.).</t>
  </si>
  <si>
    <t>Ability to link an arrest report number with an incident report number.</t>
  </si>
  <si>
    <t>Ability to populate an arrest report with information already entered into a case report.</t>
  </si>
  <si>
    <t>Ability to link information entered in the arrest database to all other applicable modules to eliminate the potential for duplicate data entry.</t>
  </si>
  <si>
    <t>Ability to enter mass arrest information.</t>
  </si>
  <si>
    <t xml:space="preserve">Ability to enter individual arrest information. </t>
  </si>
  <si>
    <t>Pre-Booking Requirements</t>
  </si>
  <si>
    <t>Ability to capture electronic signatures.</t>
  </si>
  <si>
    <t>Ability to print the towing form.</t>
  </si>
  <si>
    <t>Ability to email towing form.</t>
  </si>
  <si>
    <t>Location data entered into associated reports (e.g., citations, crash reports, incident reports, etc.).</t>
  </si>
  <si>
    <t>Vehicle data entered into associated reports (e.g., citations, crash reports, incident reports, etc.).</t>
  </si>
  <si>
    <t>Person data entered into associated reports (e.g., citations, crash reports, incident reports, etc.).</t>
  </si>
  <si>
    <t>Incident data transferred from CAD</t>
  </si>
  <si>
    <t>Ability to populate the towed vehicle form with:</t>
  </si>
  <si>
    <t>Ability to provide a towed vehicle form that captures all information as described in the RMS.</t>
  </si>
  <si>
    <t>Ability to clear multiple incidents with one arrest.</t>
  </si>
  <si>
    <t>Ability to document incident and arrest information, as required by NIBRS.</t>
  </si>
  <si>
    <t>Ability to attach an MO to an incident as opposed to a person.</t>
  </si>
  <si>
    <t xml:space="preserve">Arrest/Incident Reporting </t>
  </si>
  <si>
    <t>Ability to hyperlink a field contact record to the related CAD incident.</t>
  </si>
  <si>
    <t>Ability to track and associate a field contact record with an incident/case number.</t>
  </si>
  <si>
    <t>Ability to auto-populate the field contact fields with any information captured within CAD.</t>
  </si>
  <si>
    <t>Ability to document multiple vehicles on one field contact record.</t>
  </si>
  <si>
    <t>Ability to document multiple people on one field contact record.</t>
  </si>
  <si>
    <t>Ability to automatically update master indices upon creating a new field contact record.</t>
  </si>
  <si>
    <t>Ability to electronically link field contact record to master indices.</t>
  </si>
  <si>
    <t>Field Contacts</t>
  </si>
  <si>
    <t>Ability to query information in an incomplete or unapproved report.</t>
  </si>
  <si>
    <t>Ability to access and update submitted automated field reports from the field prior to report approval.</t>
  </si>
  <si>
    <t>Ability to create and maintain distribution lists based on user-defined criteria.</t>
  </si>
  <si>
    <t xml:space="preserve">Ability to indicate reports that have not been approved, yet are available for viewing. </t>
  </si>
  <si>
    <t>Ability to restrict access to report (permission based, e.g., internal investigators only).</t>
  </si>
  <si>
    <t>Ability to access all reports from the field.</t>
  </si>
  <si>
    <t>Report Access</t>
  </si>
  <si>
    <t>Ability for Records staff to complete an accuracy review for reporting requirement compliance prior to adding report to the RMS database.</t>
  </si>
  <si>
    <t>Ability to automatically route reports to appropriate users based on agency-defined business logic (e.g. to investigators based on crime-type).</t>
  </si>
  <si>
    <t>Ability to return reports to the report approval queue.</t>
  </si>
  <si>
    <t>Ability to provide a function that returns the report to the approval queue if not approved within an agency-defined time frame (e.g., supervisor has 2 hours to review an open report).</t>
  </si>
  <si>
    <t>Ability when a report is being reviewed to prevent other users from reviewing the same report (e.g., prevent multiple users from simultaneously reviewing a report for approval).</t>
  </si>
  <si>
    <t>Ability to reconcile field reports with CAD calls to identify incomplete or missing reports.</t>
  </si>
  <si>
    <t>Ability to send recurring notifications to officers regarding reports needing corrections.</t>
  </si>
  <si>
    <t>Ability for supervisors to know that they have outstanding reports to review.</t>
  </si>
  <si>
    <t>Ability to generate a report identifying status of reports (e.g., shows reports outstanding, incomplete, awaiting approval).</t>
  </si>
  <si>
    <t>Ability to track the status of reports (e.g. unwritten, incomplete, awaiting approval, approved, etc.).</t>
  </si>
  <si>
    <t>Ability to delete corrective messages after a report has been approved by a supervisor.</t>
  </si>
  <si>
    <t>Ability to automatically notify appropriate supervisor when their subordinate has a returned report.</t>
  </si>
  <si>
    <t>Reviewer/supervisor</t>
  </si>
  <si>
    <t>Offense code</t>
  </si>
  <si>
    <t>Author</t>
  </si>
  <si>
    <t>Ability to track status of errors/corrections notifications by the following:</t>
  </si>
  <si>
    <t>Ability for supervisors to attach electronic to notes to a report to indicate to the officer areas that need to be corrected.</t>
  </si>
  <si>
    <t>Ability to provide the supervisor the option of approving the report or returning the report to an officer for corrections.</t>
  </si>
  <si>
    <t>Ability for any edits made to a submitted report to be logged within an audit trail, identifying data changed and individual making edits.</t>
  </si>
  <si>
    <t>Ability for each agency to identify what data elements may be edited by a supervisor (e.g., only edit the location field but restrict edits from being made within the narrative).</t>
  </si>
  <si>
    <t>Ability for supervisors to edit submitted reports.</t>
  </si>
  <si>
    <t>Ability for  supervisors to receive, review and approve incident reports online.</t>
  </si>
  <si>
    <t>Ability for officers to indicate that a report requires immediate supervisor attention.</t>
  </si>
  <si>
    <t>Ability for officers to submit a report to a supervisor "group" rather than an individual supervisor.</t>
  </si>
  <si>
    <t>Ability for officers to submit reports electronically to their supervisors for review and approval.</t>
  </si>
  <si>
    <t>Ability to indicate approving supervisor on any additional supplements (e.g., additional narrative) entered into a previously approved report.</t>
  </si>
  <si>
    <t>Ability for any edits made to a report to undergo a re-validation process.</t>
  </si>
  <si>
    <t>Ability for each agency to determine which type of reports require approval (e.g., arrest/incident vs. field interview).</t>
  </si>
  <si>
    <t>Ability to configure the automated field reporting system to support agency-specific processes/workflow.</t>
  </si>
  <si>
    <t>Report Approval</t>
  </si>
  <si>
    <t>Ability to describe the nature of the correction required.</t>
  </si>
  <si>
    <t>Ability to prompt officer as to which fields require correction.</t>
  </si>
  <si>
    <t>Ability to prevent submission of a report with data entry errors.</t>
  </si>
  <si>
    <t>Ability to ensure that reports are compliant with CLERY reporting requirements prior to submission.</t>
  </si>
  <si>
    <t>Ability to ensure that reports are compliant with NIBRS reporting requirements prior to submission.</t>
  </si>
  <si>
    <t>Ability to conduct a data verification and validation process prior to submitting a report for review.</t>
  </si>
  <si>
    <t>User ID/name</t>
  </si>
  <si>
    <t>Report ID</t>
  </si>
  <si>
    <t>Workstation ID</t>
  </si>
  <si>
    <t>Date and time of transmission</t>
  </si>
  <si>
    <t>Ability to automatically maintain a log of automated field reporting transactions, including, but not limited to the following information:</t>
  </si>
  <si>
    <t>Ability to support multiple reports simultaneously.</t>
  </si>
  <si>
    <t>Ability upon receipt of report into the RMS, for the report to be locally removed from the AFR application.</t>
  </si>
  <si>
    <t>Ability to save a copy of an active report locally until the user receives confirmation of receipt of data from the RMS.</t>
  </si>
  <si>
    <t>Ability to send confirmation indicating automated field reporting upload was completed successfully.</t>
  </si>
  <si>
    <t>Ability to automatically resend lost data packets until automated field reporting send is successful.</t>
  </si>
  <si>
    <t>Ability to support wireless approval of the same report by a field supervisor (i.e., not require a user to log onto a wired terminal)</t>
  </si>
  <si>
    <t>Ability to support the wireless access of a report by the report author.</t>
  </si>
  <si>
    <t>Report Submission</t>
  </si>
  <si>
    <t>Ability to pre-fill supplemental reports with information already in system.</t>
  </si>
  <si>
    <t>Ability to link supplemental reports to the original case report.</t>
  </si>
  <si>
    <t>Ability for supplemental reports to be processed through a report approval process.</t>
  </si>
  <si>
    <t>Ability for investigators to create supplemental reports to document follow-up investigations.</t>
  </si>
  <si>
    <t>Ability for multiple personnel to simultaneously create and add supplemental reports regarding the same incident.</t>
  </si>
  <si>
    <t>Ability to permit users to complete supplemental reports in the Field Reporting system before the original report is submitted to RMS.</t>
  </si>
  <si>
    <t>Ability to create supplemental reports associated with a submitted and approved initial case report.</t>
  </si>
  <si>
    <t>Create Supplemental Report</t>
  </si>
  <si>
    <t>Ability for County to design reports and forms.</t>
  </si>
  <si>
    <t>Ability for corrected data in a field to auto populate across related report forms.</t>
  </si>
  <si>
    <t>Ability to complete a single report form that is applicable to multiple incidents (e.g., electronic duplicate).</t>
  </si>
  <si>
    <t>Ability to populate data across reports for multiple incidents.</t>
  </si>
  <si>
    <t>Ability to populate data across report forms to eliminate redundant data entry.</t>
  </si>
  <si>
    <t>Ability to override required forms.</t>
  </si>
  <si>
    <t>Ability to identify all required forms based on the offense type.</t>
  </si>
  <si>
    <t>Additional Report Forms</t>
  </si>
  <si>
    <t>Ability to override geovalidation errors.</t>
  </si>
  <si>
    <t>Ability to validate any address information entered into the report against the CAD geofile.</t>
  </si>
  <si>
    <t>Ability to validate data at submission.</t>
  </si>
  <si>
    <t xml:space="preserve">Ability to validate data entry to ensure all required fields have been completed. </t>
  </si>
  <si>
    <t>Ability to distinguish between mandatory and optional fields.</t>
  </si>
  <si>
    <t>Ability to limit available values in subsequent code tables based on an entered crime type.</t>
  </si>
  <si>
    <t>Ability to identify all required forms based on crime type.</t>
  </si>
  <si>
    <t>Ability to identify mandatory fields based on crime type.</t>
  </si>
  <si>
    <t>Ability to define mandatory fields.</t>
  </si>
  <si>
    <t>Ability to provide an online tool to draw crime scene diagrams.</t>
  </si>
  <si>
    <t>Ability to scan and attach signatures.</t>
  </si>
  <si>
    <t xml:space="preserve">Ability for each agency to create a dictionary of standard language templates for reports that officers input frequently (e.g., auto-narratives). </t>
  </si>
  <si>
    <t>Ability to populate incident report with query returns.</t>
  </si>
  <si>
    <t>Ability to populate incident report with information already in the system (e.g. incident information, name information, etc.).</t>
  </si>
  <si>
    <t>Ability to include codes for non-criminal activity in offense code table (e.g., for incidents that do not involve criminal activity but which the County would like to track - domestic disputes, for example).</t>
  </si>
  <si>
    <t>Ability to accommodate reports for non-criminal activity (e.g., informational).</t>
  </si>
  <si>
    <t>Ability to associate text entries to appropriate code tables.</t>
  </si>
  <si>
    <t>Ability to automatically translate standard text (e.g., offense type, property type, location type, descriptors, etc.) entries into NIBRS and NCIC codes.</t>
  </si>
  <si>
    <t>Offenses</t>
  </si>
  <si>
    <t xml:space="preserve">Persons </t>
  </si>
  <si>
    <t>Ability to enter an unlimited number of:</t>
  </si>
  <si>
    <t>Officer</t>
  </si>
  <si>
    <t>Ability to restrict user's ability to use master files when entering data based upon:</t>
  </si>
  <si>
    <t>Ability for each agency to configure the auto-population validation capability.</t>
  </si>
  <si>
    <t>Ability for any auto-populated data fields to require user validation (e.g., when auto-populating address, system prompts user to validate current data)</t>
  </si>
  <si>
    <t>Ability to support auto-population of data fields based upon master name files from the RMS.</t>
  </si>
  <si>
    <t>Ability to override auto-population capability.</t>
  </si>
  <si>
    <t>Default menus</t>
  </si>
  <si>
    <t>Shortcut keys (e.g., BR = Brown)</t>
  </si>
  <si>
    <t>Type ahead based on dropdown menus</t>
  </si>
  <si>
    <t>Code-driven drop-down menus</t>
  </si>
  <si>
    <t xml:space="preserve">Ability to accelerate routine data entry tasks (i.e., workflow functionality) with the following: </t>
  </si>
  <si>
    <t>Ability to modify the spell check dictionary (e.g., add agency-specific acronym exceptions).</t>
  </si>
  <si>
    <t>Ability to incorporate drag and drop functionality.</t>
  </si>
  <si>
    <t>Copy and paste</t>
  </si>
  <si>
    <t>Spell Check</t>
  </si>
  <si>
    <t>Voice Command</t>
  </si>
  <si>
    <t>RFID-types</t>
  </si>
  <si>
    <t>QC Reader</t>
  </si>
  <si>
    <t>Touch screen</t>
  </si>
  <si>
    <t xml:space="preserve">Keyboard  </t>
  </si>
  <si>
    <t>Bar code readers</t>
  </si>
  <si>
    <t>Ability to support input via:</t>
  </si>
  <si>
    <t>Ability for multiple officers to provide input to a single incident once it is created and report number assigned.</t>
  </si>
  <si>
    <t>Ability to provide a report summary field.</t>
  </si>
  <si>
    <t>Ability to capture all property data fields in the field that are captured within the RMS property module.</t>
  </si>
  <si>
    <t>Agency-defined fields</t>
  </si>
  <si>
    <t>Recovered Location</t>
  </si>
  <si>
    <t>Recovered Date</t>
  </si>
  <si>
    <t>Brand</t>
  </si>
  <si>
    <t>Value</t>
  </si>
  <si>
    <t>Descriptors</t>
  </si>
  <si>
    <t xml:space="preserve">Quantity </t>
  </si>
  <si>
    <t>Type/Category</t>
  </si>
  <si>
    <t>Ability to provide dedicated fields to capture property information:</t>
  </si>
  <si>
    <t>Ability to accommodate foreign addresses.</t>
  </si>
  <si>
    <t>Involved incident locations</t>
  </si>
  <si>
    <t>Involved persons</t>
  </si>
  <si>
    <t>Ability to provide dedicated fields to capture location information for:</t>
  </si>
  <si>
    <t>Ability to provide dedicated fields to capture offense information for multiple offenses.</t>
  </si>
  <si>
    <t>Other persons</t>
  </si>
  <si>
    <t>Complainants</t>
  </si>
  <si>
    <t>Victims</t>
  </si>
  <si>
    <t>Witnesses</t>
  </si>
  <si>
    <t>Victim Business</t>
  </si>
  <si>
    <t>Arrested Individuals</t>
  </si>
  <si>
    <t>Suspects</t>
  </si>
  <si>
    <t>Ability to provide dedicated fields to capture name information for:</t>
  </si>
  <si>
    <t>Ability to enter data in a non-conventional manner (e.g., not require personnel to enter data in a prescribed sequence).</t>
  </si>
  <si>
    <t>Ability for each agency to modify business logic.</t>
  </si>
  <si>
    <t>Ability to provide dedicated fields to capture all information required for CLERY reporting.</t>
  </si>
  <si>
    <t>Ability to maintain compliance with NIBRS requirements (both field values and business logic).</t>
  </si>
  <si>
    <t>Ability to accommodate NIBRS-defined business logic.</t>
  </si>
  <si>
    <t>Ability to provide dedicated fields to capture all information required for NIBRS reporting.</t>
  </si>
  <si>
    <t>Ability to generate a CAD incident number from the field reporting application.</t>
  </si>
  <si>
    <t>Ability for each agency to define call types that require an incident report to be written.</t>
  </si>
  <si>
    <t>Ability to reconcile reports and display those reports still outstanding.</t>
  </si>
  <si>
    <t>Ability for supervisors to see which reports have not been completed at the end of the shift.</t>
  </si>
  <si>
    <t>Reports incomplete</t>
  </si>
  <si>
    <t>Recently approved reports</t>
  </si>
  <si>
    <t>Reports awaiting follow up investigation</t>
  </si>
  <si>
    <t>Reports awaiting approval</t>
  </si>
  <si>
    <t>Rejected reports</t>
  </si>
  <si>
    <t>Ability to display the following field reporting information upon logon to the Mobile system:</t>
  </si>
  <si>
    <t>Ability to track the status of reports (e.g., unwritten, incomplete, awaiting approval, approved, etc.) at logon to the Mobile application.</t>
  </si>
  <si>
    <t>Ability to begin to write a report prior to entering a call disposition.</t>
  </si>
  <si>
    <t>Ability to enter, in the field, data required for any report (e.g., case report, traffic, DUI, etc.).</t>
  </si>
  <si>
    <t>Ability to upload reports automatically upon re-establishing wireless connectivity.</t>
  </si>
  <si>
    <t>Ability to enter data when offline.</t>
  </si>
  <si>
    <t>Ability to clearly indicate as to where the report is being saved (i.e., locally or on the network level).</t>
  </si>
  <si>
    <t>Ability to automatically save incomplete reports locally (e.g., auto-save).</t>
  </si>
  <si>
    <t>Ability to save reports locally.</t>
  </si>
  <si>
    <t>Ability to automatically save incomplete reports at the network level so that a user can access the report at a later time from a computer other than the one used to start the original report.</t>
  </si>
  <si>
    <t>Ability to resume work on a saved report at the exact location in report completion process with no loss of data.</t>
  </si>
  <si>
    <t>Ability for multiple personnel to work on the same incident simultaneously.</t>
  </si>
  <si>
    <t>Ability to notify user upon exiting the reporting application of reports not yet completed based upon report type.</t>
  </si>
  <si>
    <t>Ability to save reports in progress.</t>
  </si>
  <si>
    <t>Ability to work on multiple reports and multiple incidents simultaneously and toggle among them at the user's discretion.</t>
  </si>
  <si>
    <t>Report Workload Management</t>
  </si>
  <si>
    <t>Ability for CAD system to assign report to the appropriate agency based upon incident location.</t>
  </si>
  <si>
    <t>Ability to automatically transfer the incident number from CAD to the AFR.</t>
  </si>
  <si>
    <t>Ability for agency to define which CAD data populates a report.</t>
  </si>
  <si>
    <t>Ability for CAD call comments to automatically populate a report.</t>
  </si>
  <si>
    <t>Ability for CAD incident data to automatically populate a report.</t>
  </si>
  <si>
    <t>Ability to initiate a field report for the primary officer upon entry in the CAD application of a disposition code for a call type requiring a report.</t>
  </si>
  <si>
    <t>CAD Integration</t>
  </si>
  <si>
    <t>Ability to update data in the RMS application as soon as the report approval process is completed.</t>
  </si>
  <si>
    <t>Ability for all fields in the field reporting module to have corresponding data elements in the RMS application.</t>
  </si>
  <si>
    <t>Ability to provide external system query functionality and features available in the RMS in the field reporting software.</t>
  </si>
  <si>
    <t>RMS Integration</t>
  </si>
  <si>
    <t>Ability to incorporate coordinates from mobile mapping into field report.</t>
  </si>
  <si>
    <t>Ability to receive dispatch alerts and/or indicators while field reporting application is in use.</t>
  </si>
  <si>
    <t>Ability to toggle between the field reporting and Mobile client (including mobile mapping) applications.</t>
  </si>
  <si>
    <t>Ability to automatically logon to the field reporting application upon logon to the Mobile application.</t>
  </si>
  <si>
    <t>Mobile Integration</t>
  </si>
  <si>
    <t>Ability for an agency to take a report outside of its jurisdiction and not have that report affect statistics or be fully imported into the RMS (i.e., Courtesy Reports)</t>
  </si>
  <si>
    <t>Ability to accommodate a multi-jurisdictional environment and allow users to indicate with which jurisdiction they are entering the report.</t>
  </si>
  <si>
    <t>Ability to initiate queries into one or more databases from within the field reporting application.</t>
  </si>
  <si>
    <t>Ability to provide a day/night mode.</t>
  </si>
  <si>
    <t>Ability to link all associated reports and forms to a common report number (e.g. citations, tow reports, arrest reports, criminal complaint,  etc.).</t>
  </si>
  <si>
    <t>Ability to handle multiple case reports (e.g., originals, supplementals) per CAD incident.</t>
  </si>
  <si>
    <t>Ability to associate event class with a CAD incident number.</t>
  </si>
  <si>
    <t>Ability to link case report to a related call for service record.</t>
  </si>
  <si>
    <t>Ability to attach an MO to a person.</t>
  </si>
  <si>
    <t>Ability to attach an MO to an incident.</t>
  </si>
  <si>
    <t>In a mobile environment</t>
  </si>
  <si>
    <t>In the desktop environment</t>
  </si>
  <si>
    <t>Ability to enter incident reports either:</t>
  </si>
  <si>
    <t>General Field Reporting Requirements</t>
  </si>
  <si>
    <t>Field Reporting Functional Requirements</t>
  </si>
  <si>
    <t>Field Reporting Requirements</t>
  </si>
  <si>
    <t>Ability to interface with the SECTOR so that agency-defined information captured within the SECTOR is available for transfer to the field report.</t>
  </si>
  <si>
    <t>Ability to interface with SECTOR so that agency-defined information captured within the field report from the AFR is available for transfer into the SECTOR.</t>
  </si>
  <si>
    <t>SECTOR</t>
  </si>
  <si>
    <t>The BEAST</t>
  </si>
  <si>
    <t>County Warrant System</t>
  </si>
  <si>
    <t>Ability to import information from the State Offender Watch database to the Registered Offenders database in the RMS.</t>
  </si>
  <si>
    <t>Ability to export information from the Registered Offenders database in the RMS to the State Offender Watch Database</t>
  </si>
  <si>
    <t>State Offender Watch Database</t>
  </si>
  <si>
    <t>Ability to query The BEAST from within the RMS.</t>
  </si>
  <si>
    <t>Ability to receive an export from the BEAST into the RMS regarding property information (all applicable data fields)</t>
  </si>
  <si>
    <t>Ability for officers to enter property and evidence information into the field reporting system and have it transferred to the BEAST.</t>
  </si>
  <si>
    <t>Ability to support a two-way interface with The BEAST and the RMS.</t>
  </si>
  <si>
    <t>Ability to interface with GangNet to import agency-defined information.</t>
  </si>
  <si>
    <t>Ability to interface with GangNet to export incident information.</t>
  </si>
  <si>
    <t>GangNet</t>
  </si>
  <si>
    <t>Ability to upload information to the LInX database from the RMS.</t>
  </si>
  <si>
    <t>Ability to upload information to the COPLINK database from the RMS.</t>
  </si>
  <si>
    <t>Ability to query SPRS using the SPRS associated number from the RMS.</t>
  </si>
  <si>
    <t>Ability to import photos from SPRS and have that photo associated with a master name file.</t>
  </si>
  <si>
    <t>Ability to hyperlink photos from SPRS with master name files.</t>
  </si>
  <si>
    <t>Ability to transfer agency-identified fields from GTL to the RMS (e.g., address, personal identifiers)</t>
  </si>
  <si>
    <t>Ability for modifications related to an individual (e.g., appearance, scars/marks/tattoos, address, etc.) to update the RMS master files.</t>
  </si>
  <si>
    <t>GTL - Offender Management System</t>
  </si>
  <si>
    <t>Ability to run WACIC/NCIC queries from within the RMS (e.g. upon entering a name, property, vehicle, etc.).</t>
  </si>
  <si>
    <t>Ability to auto-truncate records information based upon WACIC/NCIC limitation.</t>
  </si>
  <si>
    <t>Ability, when required by WACIC/NCIC, to create a logically associated record to submit multiple entries related to the identical incident.</t>
  </si>
  <si>
    <t>Ability to automatically populate the WACIC/NCIC mask from within a record (e.g. from information contained in that record).</t>
  </si>
  <si>
    <t>Ability for NCIC validation letters to incorporate agency-defined data fields (e.g., automatically enters subject's address, property, etc.)</t>
  </si>
  <si>
    <t>Ability to support automated NCIC validation letter.</t>
  </si>
  <si>
    <t>Ability to update the RMS (add or modify records) with information returned from a WACIC/NCIC query.</t>
  </si>
  <si>
    <t>Cancel record</t>
  </si>
  <si>
    <t>Clear record</t>
  </si>
  <si>
    <t>Supplement record</t>
  </si>
  <si>
    <t>Modify record</t>
  </si>
  <si>
    <t>Add record</t>
  </si>
  <si>
    <t>Query record</t>
  </si>
  <si>
    <t>Ability to perform the following WACIC/NCIC transactions from within the RMS:</t>
  </si>
  <si>
    <t>Ability to support a bi-directional interface between the RMS  and WACIC/NCIC.</t>
  </si>
  <si>
    <t>Ability to interface with OnBase scanning to export a .TIF of all law enforcement reports upon completion.</t>
  </si>
  <si>
    <t>OnBase</t>
  </si>
  <si>
    <t>Ability to provide an audit trail of redactions.</t>
  </si>
  <si>
    <t>Ability to maintain a log of all redactions.</t>
  </si>
  <si>
    <t>Ability to maintain a log of all redaction requests.</t>
  </si>
  <si>
    <t>Ability to print a redacted report.</t>
  </si>
  <si>
    <t>Ability to redact information via information type (e.g., redact all name fields)</t>
  </si>
  <si>
    <t>Ability to redact information via keyword search.</t>
  </si>
  <si>
    <t>Ability to electronically redact user selected information throughout the report (including data fields and narratives).</t>
  </si>
  <si>
    <t>Ability to electronically redact information.</t>
  </si>
  <si>
    <t>Redaction</t>
  </si>
  <si>
    <t>Court order number</t>
  </si>
  <si>
    <t>Ability to track the following when an authorized user views a sealed record:</t>
  </si>
  <si>
    <t>Ability for an authorized user to view a sealed record.</t>
  </si>
  <si>
    <t>Ability for a user who is authorized to view a sealed record to see that it exists in the system (e.g., search for the record).</t>
  </si>
  <si>
    <t>Ability to prevent all users without the authority to see a sealed record from seeing that the record exists.</t>
  </si>
  <si>
    <t>Ability to seal a person without sealing an entire case.</t>
  </si>
  <si>
    <t>Ability to seal a case without sealing an entire person.</t>
  </si>
  <si>
    <t>Ability to delete a case from the system without deleting an entire person.</t>
  </si>
  <si>
    <t>Ability to selectively purge records and subject information based on user-defined criteria (date, age, etc.).</t>
  </si>
  <si>
    <t>Ability for expungement utility to automatically remove appropriate entries from the MNI.</t>
  </si>
  <si>
    <t>Ability for expungement utility to differentiate between adult and juvenile.</t>
  </si>
  <si>
    <t>Specific information from a single record</t>
  </si>
  <si>
    <t>All except specific records</t>
  </si>
  <si>
    <t>Group/all records</t>
  </si>
  <si>
    <t>Single charge</t>
  </si>
  <si>
    <t>Single record</t>
  </si>
  <si>
    <t>Ability for authorized users to selectively edit and expunge or seal case information and/or arrest records, including but not limited to:</t>
  </si>
  <si>
    <t>Ability to "de-activate" a record (e.g., makes record unavailable, however, if reactivated, previous record information still exists within the system)</t>
  </si>
  <si>
    <t>Ability for authorized users to provide a system utility to selectively edit and purge information.</t>
  </si>
  <si>
    <t>Vacated records</t>
  </si>
  <si>
    <t>Records destroyed by court order</t>
  </si>
  <si>
    <t>Expunged records</t>
  </si>
  <si>
    <t>Sealed records</t>
  </si>
  <si>
    <t>Ability to accommodate the following types of record closings:</t>
  </si>
  <si>
    <t>Ability to override preset purge criteria and log reason.</t>
  </si>
  <si>
    <t>Ability to attach purge notes to records.</t>
  </si>
  <si>
    <t>Ability to maintain compliance with Washington State Law Enforcement Retention Guidelines.</t>
  </si>
  <si>
    <t>Ability for system to automatically purge and retain records based upon Washington State Law Enforcement Guidelines.</t>
  </si>
  <si>
    <t>Ability to comply with Washington State Law Enforcement Retention Guidelines as set by the Secretary of State.</t>
  </si>
  <si>
    <t>Ability to establish and modify purge criteria.</t>
  </si>
  <si>
    <t>Expungements</t>
  </si>
  <si>
    <t>Expungements and Redactions</t>
  </si>
  <si>
    <t>No trespass orders</t>
  </si>
  <si>
    <t>Cancelled orders</t>
  </si>
  <si>
    <t>Orders that have been served</t>
  </si>
  <si>
    <t>Soon-to-expire orders (based on user-defined time period)</t>
  </si>
  <si>
    <t>Expired orders</t>
  </si>
  <si>
    <t>Ability to generate the following standard reports:</t>
  </si>
  <si>
    <t>Standard Trespass Notice and Protection Order Module Outputs</t>
  </si>
  <si>
    <t>Ability to generate a report showing who is excluded from a user-defined geographic location.</t>
  </si>
  <si>
    <t>Ability to maintain history of protective orders for individuals (victims and defendants).</t>
  </si>
  <si>
    <t>Ability to link a trespass order to a location.</t>
  </si>
  <si>
    <t>Ability to attach an alert to a person in the MNI if a protection order against that person exists in the system.</t>
  </si>
  <si>
    <t>Ability to link protective orders to MNI.</t>
  </si>
  <si>
    <t>Ability to update master indices upon entry a protective order.</t>
  </si>
  <si>
    <t>Ability to scan a protection order and attach it to a record.</t>
  </si>
  <si>
    <t>Ability to change an order from temporary to permanent order and update NCIC accordingly.</t>
  </si>
  <si>
    <t>Ability for user to update NCIC from within the protection order module upon entry or update of a protection order.</t>
  </si>
  <si>
    <t>Ability to populate protective orders with standard language upon entering NCIC code.</t>
  </si>
  <si>
    <t>Ability to generate an alert when a protection order record requires validation based on a user-specified validation schedule.</t>
  </si>
  <si>
    <t>Ability to capture and maintain protection order data as required to conform to NCIC 2000 Protection Order File format.</t>
  </si>
  <si>
    <t>Ability to attach a photo to a trespass notice or protective order.</t>
  </si>
  <si>
    <t>Civil or criminal?</t>
  </si>
  <si>
    <t>Arrest clause (Y/N)</t>
  </si>
  <si>
    <t>Type of contact prohibited (free form text narrative field)</t>
  </si>
  <si>
    <t>Restrictions</t>
  </si>
  <si>
    <t>Effective time period</t>
  </si>
  <si>
    <t>Issuing authority</t>
  </si>
  <si>
    <t>Conditions, including:</t>
  </si>
  <si>
    <t>Clearance date, person, reason</t>
  </si>
  <si>
    <t>Date of service</t>
  </si>
  <si>
    <t>Terms</t>
  </si>
  <si>
    <t>Relationship to order</t>
  </si>
  <si>
    <t>Respondent information:</t>
  </si>
  <si>
    <t>Petitioner information:</t>
  </si>
  <si>
    <t>Type of order (e.g., orders of protection, no trespass, injunctions against harassment, orders of release)</t>
  </si>
  <si>
    <t>Ability to provide dedicated fields to record trespass notices and orders of protection in the system, including, but not limited to, the following information:</t>
  </si>
  <si>
    <t>Trespass Notices and Protection Order Requirements</t>
  </si>
  <si>
    <t>Ability to support the electronic routing of Civil documents.</t>
  </si>
  <si>
    <t>Ability to produce an internal tracking document depicting all accounts receivable information.</t>
  </si>
  <si>
    <t>Ability to create a billing statement that tracks all financial transactions associated with a case.</t>
  </si>
  <si>
    <t>Ability to accommodate multiple fee types on one Civil Service record.</t>
  </si>
  <si>
    <t>Ability to accommodate multiple fees on one Civil Service record.</t>
  </si>
  <si>
    <t>Age</t>
  </si>
  <si>
    <t>Relationship</t>
  </si>
  <si>
    <t>Phone Number</t>
  </si>
  <si>
    <t>Docket Number</t>
  </si>
  <si>
    <t>Civil Process Number</t>
  </si>
  <si>
    <t>Citations</t>
  </si>
  <si>
    <t>Defendant Name</t>
  </si>
  <si>
    <t>Plaintiff Name</t>
  </si>
  <si>
    <t>Involved party</t>
  </si>
  <si>
    <t>Process expiration date</t>
  </si>
  <si>
    <t>Type of document (drop down)</t>
  </si>
  <si>
    <t>Ability to query Civil Service records by:</t>
  </si>
  <si>
    <t>Ability for administrative officer to input notes/instructions onto the document for view by public safety officer serving the document.</t>
  </si>
  <si>
    <t>Ability for public safety personnel to provide free form narrative on the service of document.</t>
  </si>
  <si>
    <t>Ability for data entered in the mobile environment to update the Civil Service module in the RMS.</t>
  </si>
  <si>
    <t>Ability to update most current address upon learning of new address (e.g., when attempting to serve).</t>
  </si>
  <si>
    <t>Ability for officers in the field to document civil service activity on their mobile computers.</t>
  </si>
  <si>
    <t>Reason for nonservice</t>
  </si>
  <si>
    <t>Method of service</t>
  </si>
  <si>
    <t>Number of attempts</t>
  </si>
  <si>
    <t>Located outside of jurisdiction (Y/N)</t>
  </si>
  <si>
    <t>Agency attempting service</t>
  </si>
  <si>
    <t>Public safety personnel attempting service</t>
  </si>
  <si>
    <t>Attempt successful (Y/N)</t>
  </si>
  <si>
    <t>Person(s) contacted</t>
  </si>
  <si>
    <t>Location of attempt</t>
  </si>
  <si>
    <t>Time of attempt</t>
  </si>
  <si>
    <t>Date of attempt</t>
  </si>
  <si>
    <t>Ability to provide fields to track due diligence/service attempt history:</t>
  </si>
  <si>
    <t>Ability to update or modify responsible party.</t>
  </si>
  <si>
    <t>Serving Officer</t>
  </si>
  <si>
    <t>Defendant Alternate Address</t>
  </si>
  <si>
    <t>Defendant Address</t>
  </si>
  <si>
    <t>Fee amount</t>
  </si>
  <si>
    <t>Fee type</t>
  </si>
  <si>
    <t>Deposit Method</t>
  </si>
  <si>
    <t>Deposit Amount</t>
  </si>
  <si>
    <t>Responsible party</t>
  </si>
  <si>
    <t>Attorney Filing Number</t>
  </si>
  <si>
    <t>Attorney Name</t>
  </si>
  <si>
    <t>Attorney Firm Number</t>
  </si>
  <si>
    <t>Process Expiration Date</t>
  </si>
  <si>
    <t>Date of Process</t>
  </si>
  <si>
    <t>Court</t>
  </si>
  <si>
    <t>Type of Process (agency defined drop down menu)</t>
  </si>
  <si>
    <t>Entry Operator</t>
  </si>
  <si>
    <t>Time of Entry</t>
  </si>
  <si>
    <t>Date of Entry</t>
  </si>
  <si>
    <t>Ability to provide dedicated fields to capture information related to the management of civil document service, including, but not limited to:</t>
  </si>
  <si>
    <t>Ability to attach files to Civil Service records.</t>
  </si>
  <si>
    <t>Ability to indicate people who have hazards attached to their Master Name record.</t>
  </si>
  <si>
    <t>Ability to auto-populate Civil Service records with existing information in the Master Name Index.</t>
  </si>
  <si>
    <t>Ability to search Master Name Index for potential name matches based on name or identification information.</t>
  </si>
  <si>
    <t>Ability to input narrative (free form)</t>
  </si>
  <si>
    <t>Comments (free form)</t>
  </si>
  <si>
    <t>Status Date</t>
  </si>
  <si>
    <t>Status (drop down)</t>
  </si>
  <si>
    <t>Subject</t>
  </si>
  <si>
    <t>Defendant:</t>
  </si>
  <si>
    <t>Plaintiff</t>
  </si>
  <si>
    <t>Court Date(s)</t>
  </si>
  <si>
    <t>Expiration Date</t>
  </si>
  <si>
    <t>Title/Jurisdiction of agency initiating action</t>
  </si>
  <si>
    <t>Date Received</t>
  </si>
  <si>
    <t>Date Issued</t>
  </si>
  <si>
    <t>Civil/Case Number</t>
  </si>
  <si>
    <t>Ability to provide dedicated fields to create Civil Service records, including:</t>
  </si>
  <si>
    <t>Civil Service</t>
  </si>
  <si>
    <t>Ability to perform a cross-check of the current residence of the registrant with the list of restricted addresses (e.g. schools, day care facilities, etc.).</t>
  </si>
  <si>
    <t>Ability to generate and print a report showing activity related to registrants (e.g. number of registrations, number of visits, number of notifications, etc.).</t>
  </si>
  <si>
    <t>Ability to generate a report of registrants whose did not re-register by the registration date.</t>
  </si>
  <si>
    <t>Ability to print a report of registrants whose re-registration date is approaching.</t>
  </si>
  <si>
    <t>Ability to record the date of a registrant photograph.</t>
  </si>
  <si>
    <t>Ability to identify an offender as no longer requiring registration (registrant status).</t>
  </si>
  <si>
    <t>Ability to attach files to registrant records.</t>
  </si>
  <si>
    <t>Ability to track law enforcement visits to sex offenders.</t>
  </si>
  <si>
    <t>Ability to maintain a history of a registrant's addresses.</t>
  </si>
  <si>
    <t>Ability to associate probation officer information with each registrant.</t>
  </si>
  <si>
    <t>Ability to flag registrants in the Master Name Index.</t>
  </si>
  <si>
    <t>Relationship Information</t>
  </si>
  <si>
    <t>Activity</t>
  </si>
  <si>
    <t>Unique Identifiers</t>
  </si>
  <si>
    <t>Conviction Information</t>
  </si>
  <si>
    <t>Employer Information</t>
  </si>
  <si>
    <t xml:space="preserve">Suspect actions </t>
  </si>
  <si>
    <t>Vehicle information (type, color, make, model)</t>
  </si>
  <si>
    <t>Year convicted</t>
  </si>
  <si>
    <t>Where convicted (county or state)</t>
  </si>
  <si>
    <t>Registration expiration date</t>
  </si>
  <si>
    <t>Date review needed (one month prior to date registered/updated and one month later)</t>
  </si>
  <si>
    <t>Date updated</t>
  </si>
  <si>
    <t>Date registered</t>
  </si>
  <si>
    <t>Offense case disposition</t>
  </si>
  <si>
    <t>Age of registrant at time of offense</t>
  </si>
  <si>
    <t>Age of victim at time of offense</t>
  </si>
  <si>
    <t>State statute requiring registration</t>
  </si>
  <si>
    <t>Classification (multiple)</t>
  </si>
  <si>
    <t>Physical descriptors</t>
  </si>
  <si>
    <t>Telephone Numbers (multiple)</t>
  </si>
  <si>
    <t>Spouse information</t>
  </si>
  <si>
    <t>Therapist information</t>
  </si>
  <si>
    <t>Parental information</t>
  </si>
  <si>
    <t>School Address (multiple)</t>
  </si>
  <si>
    <t>Work Address (multiple)</t>
  </si>
  <si>
    <t>Home Address (multiple)</t>
  </si>
  <si>
    <t>Ability to provide dedicated fields to capture the following information for each registrant:</t>
  </si>
  <si>
    <t>Ability to link offender registration records to master indices.</t>
  </si>
  <si>
    <t>Ability for the County to define types of convicted offenders for which registration is required.</t>
  </si>
  <si>
    <t>Ability to track registered convicted offenders.</t>
  </si>
  <si>
    <t>Offender Registration</t>
  </si>
  <si>
    <t>Ability to generate a report showing asset history.</t>
  </si>
  <si>
    <t>Ability to generate a check-in/check-out log for temporarily assigned assets.</t>
  </si>
  <si>
    <t>Ability to generate a physical inventory exception report.</t>
  </si>
  <si>
    <t>Asset location</t>
  </si>
  <si>
    <t>Asset age</t>
  </si>
  <si>
    <t>Asset category</t>
  </si>
  <si>
    <t>Ability to generate a physical inventory report based on:</t>
  </si>
  <si>
    <t>Standard Asset Management Outputs</t>
  </si>
  <si>
    <t>Ability to provide inventory management using a bar code system.</t>
  </si>
  <si>
    <t>Ability to print bar code labels.</t>
  </si>
  <si>
    <t xml:space="preserve">Ability to automatically update (e.g., download) inventory information into system. </t>
  </si>
  <si>
    <t xml:space="preserve">Track specific item information (e.g., description, quantity, status, etc.) </t>
  </si>
  <si>
    <t xml:space="preserve">Read bar code using remote or connected hand-held device </t>
  </si>
  <si>
    <t xml:space="preserve">Generate bar code </t>
  </si>
  <si>
    <t>Locate item by bar code</t>
  </si>
  <si>
    <t xml:space="preserve">Perform a mass update </t>
  </si>
  <si>
    <t>Ability to manage and track inventory using a bar code system including, but not limited to, the following functions:</t>
  </si>
  <si>
    <t>Bar Code Tracking System</t>
  </si>
  <si>
    <t>Ability to generate alerts to individuals that their equipment is due for maintenance or replacement.</t>
  </si>
  <si>
    <t>Ability to automatically generate and print, at a user-defined interval, reports listing equipment overdue for replacement (e.g. generate a report on the first of every month for equipment for which replacement is overdue).</t>
  </si>
  <si>
    <t>Ability to  generate reports listing equipment due for replacement during a user-defined time period (e.g. generate a report on the first of every month for equipment that needs to be replaced by the end of that month).</t>
  </si>
  <si>
    <t>Ability to create replacement schedules for equipment requiring replacement after a period of time (e.g. bullet-proof vests every five years).</t>
  </si>
  <si>
    <t>Ability to document maintenance for a piece of equipment.</t>
  </si>
  <si>
    <t>Ability to generate reports listing expired equipment during a user-defined time period.</t>
  </si>
  <si>
    <t>Ability to generate reports listing equipment due for maintenance during a user-defined time period (e.g. generate a report on the first of every month for equipment that needs to be replaced by the end of that month).</t>
  </si>
  <si>
    <t>Ability to create maintenance schedules for equipment requiring regular maintenance.</t>
  </si>
  <si>
    <t>Equipment Maintenance and Replacement</t>
  </si>
  <si>
    <t>Condition of equipment</t>
  </si>
  <si>
    <t>Disposition of equipment</t>
  </si>
  <si>
    <t>Reason replaced</t>
  </si>
  <si>
    <t>Date replaced</t>
  </si>
  <si>
    <t>Ability to track replaced equipment:</t>
  </si>
  <si>
    <t>Ability to unlink equipment from personnel upon check-in.</t>
  </si>
  <si>
    <t>Ability to check equipment back into inventory.</t>
  </si>
  <si>
    <t>Equipment Return</t>
  </si>
  <si>
    <t>Ability to document purchase orders.</t>
  </si>
  <si>
    <t>Ability to track the status of equipment no longer in possession of agency (e.g., sent to manufacturer for repair).</t>
  </si>
  <si>
    <t>Ability to track when equipment is sent for repair/replacement.</t>
  </si>
  <si>
    <t>Ability to easily transfer equipment to a different vehicle/location without re-keying descriptive data (e.g. drag and drop or a quick transfer function).</t>
  </si>
  <si>
    <t xml:space="preserve">Warranty information </t>
  </si>
  <si>
    <t>Vehicle assigned to (e.g., Vehicle ID)</t>
  </si>
  <si>
    <t xml:space="preserve">Station/company assigned to </t>
  </si>
  <si>
    <t xml:space="preserve">Size </t>
  </si>
  <si>
    <t xml:space="preserve">Serial number </t>
  </si>
  <si>
    <t>Part number</t>
  </si>
  <si>
    <t xml:space="preserve">Model </t>
  </si>
  <si>
    <t xml:space="preserve">Manufacturer </t>
  </si>
  <si>
    <t xml:space="preserve">Location on vehicle </t>
  </si>
  <si>
    <t xml:space="preserve">Location in station </t>
  </si>
  <si>
    <t xml:space="preserve">Length </t>
  </si>
  <si>
    <t xml:space="preserve">Equipment type </t>
  </si>
  <si>
    <t xml:space="preserve">Disposal date </t>
  </si>
  <si>
    <t xml:space="preserve">Diameter </t>
  </si>
  <si>
    <t xml:space="preserve">Description </t>
  </si>
  <si>
    <t xml:space="preserve">Date issued/acquired </t>
  </si>
  <si>
    <t xml:space="preserve">Cost </t>
  </si>
  <si>
    <t xml:space="preserve">Classification </t>
  </si>
  <si>
    <t xml:space="preserve">Brand </t>
  </si>
  <si>
    <t xml:space="preserve">Bar code number </t>
  </si>
  <si>
    <t>Asset tag number</t>
  </si>
  <si>
    <t>Ability to provide dedicated fields to gather information on  department assets assigned to vehicles, stations, locations, and departments (e.g. computers, video cameras, etc.) including, but not limited to, the following information:</t>
  </si>
  <si>
    <t>NCIC codes identifiers (model, make, serial number, caliber, color) with a default for agency-defined standard issue</t>
  </si>
  <si>
    <t xml:space="preserve">Received by  </t>
  </si>
  <si>
    <t xml:space="preserve">Quantity issued </t>
  </si>
  <si>
    <t>Maintenance performed (description)</t>
  </si>
  <si>
    <t>Maintenance requirements (description)</t>
  </si>
  <si>
    <t>Issued by</t>
  </si>
  <si>
    <t>Inspected date</t>
  </si>
  <si>
    <t>Inspected by</t>
  </si>
  <si>
    <t>Employee name (assigned to)</t>
  </si>
  <si>
    <t>Department ID</t>
  </si>
  <si>
    <t>Employee ID</t>
  </si>
  <si>
    <t xml:space="preserve">Date issued </t>
  </si>
  <si>
    <t>Agency defined identification number</t>
  </si>
  <si>
    <t>Ability to capture, maintain, and track firearms and ammunition assigned to personnel, including, but not limited, to the following information:</t>
  </si>
  <si>
    <t>Ability to track multiple pieces of the same type of equipment assigned to one individual.</t>
  </si>
  <si>
    <t>Ability to track the daily assignment of items (e.g., weapons, vehicles).</t>
  </si>
  <si>
    <t>Ability to perform batch updates related to a single individual (e.g., remove multiple pieces of equipment from an individual as opposed to singularly removing each piece of equipment).</t>
  </si>
  <si>
    <t>Ability to record acknowledgement from personnel that they received issued equipment.</t>
  </si>
  <si>
    <t>Ability to "deactivate" equipment (e.g., maintain a record of a piece of equipment that is not issued).</t>
  </si>
  <si>
    <t>Ability to an associate a disposition with equipment</t>
  </si>
  <si>
    <t>Ability to track history of assigned equipment, specific to the equipment.</t>
  </si>
  <si>
    <t>Ability to capture history of equipment assigned to an individual.</t>
  </si>
  <si>
    <t xml:space="preserve">Comments </t>
  </si>
  <si>
    <t>Cost</t>
  </si>
  <si>
    <t xml:space="preserve">Tag number </t>
  </si>
  <si>
    <t>Service date</t>
  </si>
  <si>
    <t>Replacement date(s)</t>
  </si>
  <si>
    <t>Inventory number (e.g., barcode)</t>
  </si>
  <si>
    <t>Expiration date</t>
  </si>
  <si>
    <t>Date issued (for each item)</t>
  </si>
  <si>
    <t>Status (issued, returned, total currently issued)</t>
  </si>
  <si>
    <t>Item name (agency defined items)</t>
  </si>
  <si>
    <t>Assignment (e.g., Patrol, Communications, Property, etc.)</t>
  </si>
  <si>
    <t xml:space="preserve">DES </t>
  </si>
  <si>
    <t>Serial/Badge No.</t>
  </si>
  <si>
    <t>Rank/Title</t>
  </si>
  <si>
    <t>Issued to:</t>
  </si>
  <si>
    <t>Ability to provide dedicated fields to capture, maintain and track equipment, supplies and clothing assigned to personnel, including, but not limited to, the following:</t>
  </si>
  <si>
    <t>Supplies and Equipment Assignment</t>
  </si>
  <si>
    <t>Supplied goods (e.g., item vendor supplies)</t>
  </si>
  <si>
    <t>Order history</t>
  </si>
  <si>
    <t>Telephone number</t>
  </si>
  <si>
    <t>Point of contact</t>
  </si>
  <si>
    <t>Company name</t>
  </si>
  <si>
    <t>Ability to track vendor information:</t>
  </si>
  <si>
    <t>Ability to generate an automatic alert to designated personnel when inventory levels fall below an agency-defined level.</t>
  </si>
  <si>
    <t>Upon assignment of inventoried items</t>
  </si>
  <si>
    <t>Upon receipt of new inventory</t>
  </si>
  <si>
    <t>Ability to update inventory totals:</t>
  </si>
  <si>
    <t>Ability to record the receipt of inventory by scanning a bar code.</t>
  </si>
  <si>
    <t>Quantity</t>
  </si>
  <si>
    <t>Purchase Order approving party</t>
  </si>
  <si>
    <t>Ordering party (e.g., individual, unit, agency, etc.)</t>
  </si>
  <si>
    <t>Date ordered</t>
  </si>
  <si>
    <t>Date received</t>
  </si>
  <si>
    <t>Inventory or asset number (e.g. bar code)</t>
  </si>
  <si>
    <t>Item description</t>
  </si>
  <si>
    <t>Item name</t>
  </si>
  <si>
    <t>Item type</t>
  </si>
  <si>
    <t>Ability to provide dedicated fields to record the receipt of an inventoried item:</t>
  </si>
  <si>
    <t>Supplies and Equipment Acquisition</t>
  </si>
  <si>
    <t>Asset and Supply Management</t>
  </si>
  <si>
    <t>Ability to flag files that notify user evidence is not be released.</t>
  </si>
  <si>
    <t>Ability to attach electronic media to a property record.</t>
  </si>
  <si>
    <t>Ability to attach electronic media to an incident report.</t>
  </si>
  <si>
    <t>Ability to link multiple pieces of a electronic media to a master record.</t>
  </si>
  <si>
    <t>Organization Record</t>
  </si>
  <si>
    <t>Incident Record</t>
  </si>
  <si>
    <t>Location record</t>
  </si>
  <si>
    <t>Vehicle record</t>
  </si>
  <si>
    <t>Name record</t>
  </si>
  <si>
    <t>Ability to link electronic media to a master record, including:</t>
  </si>
  <si>
    <t>Uncompressed video</t>
  </si>
  <si>
    <t>Compressed Video</t>
  </si>
  <si>
    <t>Ability to store both:</t>
  </si>
  <si>
    <t>Ability to provide a database to store electronic media (e.g., videos, photos, audio, etc.)</t>
  </si>
  <si>
    <t>Electronic Evidence Management</t>
  </si>
  <si>
    <t>Ability for report to provide fields for investigating officer to provide recommended actions (e.g., hold, dispose, return, etc.)</t>
  </si>
  <si>
    <t>Reason for hold</t>
  </si>
  <si>
    <t>Bin Number</t>
  </si>
  <si>
    <t>Property type</t>
  </si>
  <si>
    <t>Item number</t>
  </si>
  <si>
    <t>Owner information</t>
  </si>
  <si>
    <t>Victim</t>
  </si>
  <si>
    <t>Seized from</t>
  </si>
  <si>
    <t>Number</t>
  </si>
  <si>
    <t>Property:</t>
  </si>
  <si>
    <t>Serial/Badge Number</t>
  </si>
  <si>
    <t>Officer:</t>
  </si>
  <si>
    <t>Ability to generate a Property Disposition report for appropriate officers identifying the following:</t>
  </si>
  <si>
    <t>Reports and Output</t>
  </si>
  <si>
    <t>Ability to assign disposition of all items attached to a case at the same time.</t>
  </si>
  <si>
    <t>Bin location</t>
  </si>
  <si>
    <t>Ability to assign a batch disposition of all items by the following:</t>
  </si>
  <si>
    <t>Record the date of auction</t>
  </si>
  <si>
    <t>Flag an item for auction</t>
  </si>
  <si>
    <t>Note auction location</t>
  </si>
  <si>
    <t>Add auction comments</t>
  </si>
  <si>
    <t>Assign an auction value</t>
  </si>
  <si>
    <t>Accept or reject a record</t>
  </si>
  <si>
    <t>Ability to view an auction report and perform the following:</t>
  </si>
  <si>
    <t>Ability to generate a report of items eligible for auction.</t>
  </si>
  <si>
    <t>Generate a notice to property owners that their property is ready to be retrieved.</t>
  </si>
  <si>
    <t>Change property/evidence status of those accepted to "flagged for return to owner"</t>
  </si>
  <si>
    <t>Accept or reject a piece of property/evidence for return</t>
  </si>
  <si>
    <t>Ability for user to view a "return to owner" report and perform the following:</t>
  </si>
  <si>
    <t>Ability to generate a report of property eligible for return to owner.</t>
  </si>
  <si>
    <t>Change property/evidence status of those accepted to "flagged for destruction"</t>
  </si>
  <si>
    <t>Accept or reject a piece of property/evidence for destruction</t>
  </si>
  <si>
    <t>Ability to view a destruction report and perform the following:</t>
  </si>
  <si>
    <t>Ability to produce scheduled reports showing property eligible for disposal.</t>
  </si>
  <si>
    <t>Ability to require multiple levels of approval prior to property becoming eligible for disposal.</t>
  </si>
  <si>
    <t>Property should not become eligible for disposal until it is cleared under all cases with which it is associated.</t>
  </si>
  <si>
    <t>Ability to document that proper checks were run to ensure that the claimant can receive property.</t>
  </si>
  <si>
    <t>Date of release</t>
  </si>
  <si>
    <t>Released by</t>
  </si>
  <si>
    <t>Drivers license or other government ID of person</t>
  </si>
  <si>
    <t>Released to</t>
  </si>
  <si>
    <t>Ability to track the information associated with property released to an owner, including but not limited to:</t>
  </si>
  <si>
    <t>Disposal reason</t>
  </si>
  <si>
    <t>Disposal date</t>
  </si>
  <si>
    <t>Disposal method</t>
  </si>
  <si>
    <t>Ability to add disposal information to a property record, including but not limited to:</t>
  </si>
  <si>
    <t>Ability to alert property and evidence personnel of property items eligible for disposition.</t>
  </si>
  <si>
    <t>Ability to alert property and evidence personnel of items that require review.</t>
  </si>
  <si>
    <t>Ability to alert investigators of items that require review.</t>
  </si>
  <si>
    <t>Ability to maintain property records after property disposal.</t>
  </si>
  <si>
    <t>Offense type</t>
  </si>
  <si>
    <t>Disposal status</t>
  </si>
  <si>
    <t>Evidence/property type</t>
  </si>
  <si>
    <t>Ability to set property and evidence retention time frames based on:</t>
  </si>
  <si>
    <t>Ability for agency to identify review dates for different types of property (e.g., 60 days for found/safekeeping, 30 years for homicide).</t>
  </si>
  <si>
    <t>Auction</t>
  </si>
  <si>
    <t>Conversion to police usage</t>
  </si>
  <si>
    <t>Destruction</t>
  </si>
  <si>
    <t>Return to owner</t>
  </si>
  <si>
    <t>Ability to classify property for disposal through:</t>
  </si>
  <si>
    <t>Property and Evidence Disposition</t>
  </si>
  <si>
    <t>The location of associated evidence</t>
  </si>
  <si>
    <t>A list of associated evidence</t>
  </si>
  <si>
    <t>Ability to enter in a case number display:</t>
  </si>
  <si>
    <t>Type of property</t>
  </si>
  <si>
    <t>Personnel badge/serial number</t>
  </si>
  <si>
    <t>Involved parties (owner, seized from, etc.)</t>
  </si>
  <si>
    <t>Ability to conduct a full inventory of property by:</t>
  </si>
  <si>
    <t>Ability to document whether items on a random inventory list are in the proper location.</t>
  </si>
  <si>
    <t>Ability to generate a list of items in a given location that are not on the generated list of property items that are supposed to be in that location.</t>
  </si>
  <si>
    <t>Ability to generate a report of missing property items.</t>
  </si>
  <si>
    <t>Ability to scan all items in a given location to check that items on a list of property are in the proper location.</t>
  </si>
  <si>
    <t>Bin</t>
  </si>
  <si>
    <t>Shelf</t>
  </si>
  <si>
    <t>Property room area</t>
  </si>
  <si>
    <t>Ability to generate a list of all property located in a given:</t>
  </si>
  <si>
    <t>Inventory and Audits</t>
  </si>
  <si>
    <t>Ability to read a single bar code label for all items under a property number.</t>
  </si>
  <si>
    <t>Ability to mass check out evidence.</t>
  </si>
  <si>
    <t>Ability to query a property item and identify its location from the chain of custody information.</t>
  </si>
  <si>
    <t>Ability to generate a chain of custody report for a property item entered into the system as evidence.</t>
  </si>
  <si>
    <t>Ability to scan bar code during check-out and check-in to update chain of custody (e.g., time and date information are populated and the user only adds information not in the system).</t>
  </si>
  <si>
    <t>Ability to include due dates for items to be returned.</t>
  </si>
  <si>
    <t>Ability to provide automatic reminders that checked-out items are overdue.</t>
  </si>
  <si>
    <t>Reason for viewing</t>
  </si>
  <si>
    <t>Persons present during viewing (multiple)</t>
  </si>
  <si>
    <t>Location of viewing</t>
  </si>
  <si>
    <t>Property number</t>
  </si>
  <si>
    <t>Evidence viewed by:</t>
  </si>
  <si>
    <t>Start and end time of viewing</t>
  </si>
  <si>
    <t>Ability to track viewing of a property item, including but not limited to:</t>
  </si>
  <si>
    <t>Location returned to</t>
  </si>
  <si>
    <t>Time and date of check-in</t>
  </si>
  <si>
    <t>Received from (name and badge/serial number, agency)</t>
  </si>
  <si>
    <t>Received by evidence personnel (name and badge/serial number)</t>
  </si>
  <si>
    <t>Destination</t>
  </si>
  <si>
    <t>Reason for check-out</t>
  </si>
  <si>
    <t>Time and date of check-out</t>
  </si>
  <si>
    <t>Transferred to (name, badge number/serial number, agency)</t>
  </si>
  <si>
    <t>Transferred by evidence personnel (name and badge number/serial number)</t>
  </si>
  <si>
    <t>Check-out/check-in information:</t>
  </si>
  <si>
    <t>Location in evidence warehouse</t>
  </si>
  <si>
    <t>Date and time checked into evidence warehouse</t>
  </si>
  <si>
    <t>Date and time picked up</t>
  </si>
  <si>
    <t>Officer picking up item name and badge number/serial number</t>
  </si>
  <si>
    <t>Temporary storage location</t>
  </si>
  <si>
    <t>Date/time item was submitted</t>
  </si>
  <si>
    <t>Location collected</t>
  </si>
  <si>
    <t>Seizing officer name and badge number/serial number</t>
  </si>
  <si>
    <t>Initial property collection information:</t>
  </si>
  <si>
    <t>Ability to track chain of custody data for any piece of property entered into the system as evidence, including but not limited to:</t>
  </si>
  <si>
    <t>Chain of Custody</t>
  </si>
  <si>
    <t>External databases (e.g.,  NCIC, the Beast)</t>
  </si>
  <si>
    <t>Internal RMS databases (e.g., master indices)</t>
  </si>
  <si>
    <t>Ability to run checks for property matches upon checking property into evidence:</t>
  </si>
  <si>
    <t>Ability to add investigator responsible for a case to the property record upon case assignment to the investigator.</t>
  </si>
  <si>
    <t>Ability to assign a unique sequential control number to each property item.</t>
  </si>
  <si>
    <t>Ability to generate a bar code label with property information:</t>
  </si>
  <si>
    <t>Ability to generate a receipt for items taken into property and evidence.</t>
  </si>
  <si>
    <t>Ability to import property information from the incident report into the property record.</t>
  </si>
  <si>
    <t>Property and Evidence Collection</t>
  </si>
  <si>
    <t>Ability to generate a single bar code label for all items under a property number.</t>
  </si>
  <si>
    <t>Ability for bar codes to be automatically generated from the RMS.</t>
  </si>
  <si>
    <t>Ability to print bar code labels in the field.</t>
  </si>
  <si>
    <t>Ability to capture a date and time stamp with any bar code activity.</t>
  </si>
  <si>
    <t>Mass data updates</t>
  </si>
  <si>
    <t>Audits</t>
  </si>
  <si>
    <t>Inventories</t>
  </si>
  <si>
    <t>Chain of custody change</t>
  </si>
  <si>
    <t>Transactions</t>
  </si>
  <si>
    <t>Evidence entry</t>
  </si>
  <si>
    <t>Ability to use bar codes for:</t>
  </si>
  <si>
    <t>Bar Coding</t>
  </si>
  <si>
    <t>Ability, upon entry of item into the RMS, to automatically scan the system for potential duplicates.</t>
  </si>
  <si>
    <t>Ability to automatically run all items with serial numbers through NCIC upon entry of the item.</t>
  </si>
  <si>
    <t>Ability to capture all required NCIC fields for article-specific information (e.g., weapons, currency, drugs, etc.)</t>
  </si>
  <si>
    <t>Property owner/claimant information</t>
  </si>
  <si>
    <t>Finder's information</t>
  </si>
  <si>
    <t>Lab exam requirements</t>
  </si>
  <si>
    <t>Article location</t>
  </si>
  <si>
    <t>Article information</t>
  </si>
  <si>
    <t>Property/evidence type (evidence, found, safekeeping, impound, special, etc.)</t>
  </si>
  <si>
    <t>Property supervisor name and serial number</t>
  </si>
  <si>
    <t>Property clerk name and serial number</t>
  </si>
  <si>
    <t>Investigating officer name and badge/serial number</t>
  </si>
  <si>
    <t>Recovering Officer name and badge/serial number</t>
  </si>
  <si>
    <t>Incident information</t>
  </si>
  <si>
    <t>Ability to collect and track property and evidence information, including but not limited to:</t>
  </si>
  <si>
    <t>Ability for associated property (e.g., found at same location) to be logically associated (e.g., Property #1, Items A - Z).</t>
  </si>
  <si>
    <t>Ability to assign a property number to a piece of property.</t>
  </si>
  <si>
    <t>Safekeeping</t>
  </si>
  <si>
    <t>Remotely stored property</t>
  </si>
  <si>
    <t>Missing property</t>
  </si>
  <si>
    <t>Property reported as stolen</t>
  </si>
  <si>
    <t>Found property</t>
  </si>
  <si>
    <t>Impounded property</t>
  </si>
  <si>
    <t>Property collected as evidence</t>
  </si>
  <si>
    <t>Ability to track:</t>
  </si>
  <si>
    <t>General Property and Evidence Management Requirements</t>
  </si>
  <si>
    <t>Property and Evidence</t>
  </si>
  <si>
    <t>Ability to auto-populate the gang database with information from the MNI once an individual is identified as a gang member.</t>
  </si>
  <si>
    <t>Ability to flag open cases as "gang-related" (permission based).</t>
  </si>
  <si>
    <t>Ability to document criteria used to identify individual as a gang member.</t>
  </si>
  <si>
    <t>Ability to identify juvenile gang members.</t>
  </si>
  <si>
    <t>Rank</t>
  </si>
  <si>
    <t>Ability to limit access to County-specified fields, including photos, within the gang database by:</t>
  </si>
  <si>
    <t>Ability to attach files (e.g., photos) to a gang record.</t>
  </si>
  <si>
    <t>Gang classification (member, associate, hang-around, etc.)</t>
  </si>
  <si>
    <t>Gang status (active, inactive, DOC, ICE, etc.)</t>
  </si>
  <si>
    <t>Gang rank</t>
  </si>
  <si>
    <t>Member status (active or inactive)</t>
  </si>
  <si>
    <t>Moniker</t>
  </si>
  <si>
    <t>Officer safety threat (flag)</t>
  </si>
  <si>
    <t>Gang and vehicle relationships</t>
  </si>
  <si>
    <t>Members</t>
  </si>
  <si>
    <t>Activities</t>
  </si>
  <si>
    <t>Associated gangs</t>
  </si>
  <si>
    <t>Vehicles and roles</t>
  </si>
  <si>
    <t xml:space="preserve">Weapons  </t>
  </si>
  <si>
    <t>MOs</t>
  </si>
  <si>
    <t>Subsets/cliques</t>
  </si>
  <si>
    <t>Colors</t>
  </si>
  <si>
    <t>Alliance/origin</t>
  </si>
  <si>
    <t>Ability to provide dedicated fields to capture the following gang-related data:</t>
  </si>
  <si>
    <t>Modify gang records</t>
  </si>
  <si>
    <t>Create gang records</t>
  </si>
  <si>
    <t>Ability to provide security provisions at the user level to:</t>
  </si>
  <si>
    <t>Ability to retrieve gang information when query returns a name flagged with a gang record.</t>
  </si>
  <si>
    <t>Ability to flag individuals with gang records in the Master Name Index.</t>
  </si>
  <si>
    <t>General Gang Requirements</t>
  </si>
  <si>
    <t>Total</t>
  </si>
  <si>
    <t>Drug Buys</t>
  </si>
  <si>
    <t>Expenses</t>
  </si>
  <si>
    <t>Informant</t>
  </si>
  <si>
    <t>Funds Expended:</t>
  </si>
  <si>
    <t>Other Seized:</t>
  </si>
  <si>
    <t>Drugs Seized (multiple):</t>
  </si>
  <si>
    <t>Other</t>
  </si>
  <si>
    <t>Search Warrant</t>
  </si>
  <si>
    <t>CI Buy</t>
  </si>
  <si>
    <t>Report</t>
  </si>
  <si>
    <t>Investigative hours:</t>
  </si>
  <si>
    <t>Ability to provide dedicated fields to track investigations activity related to vice narcotics, including but not limited to:</t>
  </si>
  <si>
    <t>Entered on</t>
  </si>
  <si>
    <t>Entered by</t>
  </si>
  <si>
    <t>Date Closed</t>
  </si>
  <si>
    <t>Assigned to</t>
  </si>
  <si>
    <t>Narrative</t>
  </si>
  <si>
    <t>Target Area</t>
  </si>
  <si>
    <t>Reported by</t>
  </si>
  <si>
    <t>Complaint</t>
  </si>
  <si>
    <t>Ability to provide dedicated fields to capture the following narcotics investigations data, including but not limited to:</t>
  </si>
  <si>
    <t>Ability to keep narcotics investigations separate in the system per intelligence rules.</t>
  </si>
  <si>
    <t>Ability to track narcotics investigations in the system.</t>
  </si>
  <si>
    <t>Narcotics Investigations</t>
  </si>
  <si>
    <t>Ability for personnel to "subscribe" to receiving tips.</t>
  </si>
  <si>
    <t>Specific personnel</t>
  </si>
  <si>
    <t>Ability to provide an ability to electronically route Tips to appropriate personnel via:</t>
  </si>
  <si>
    <t>Ability to query any data element stored under Tips.</t>
  </si>
  <si>
    <t>Complainant</t>
  </si>
  <si>
    <t>Source</t>
  </si>
  <si>
    <t>Follow-up activity</t>
  </si>
  <si>
    <t>Tip (narrative of unlimited length)</t>
  </si>
  <si>
    <t>Time</t>
  </si>
  <si>
    <t>Ability to track tips (e.g. drug, gang, vice, underage sales of tobacco and alcohol to minor, etc.), including:</t>
  </si>
  <si>
    <t>Ability to notify users when new intelligence information is added.</t>
  </si>
  <si>
    <t>Ability to link informants to a case.</t>
  </si>
  <si>
    <t>Ability to maintain historical records of informant numbers.</t>
  </si>
  <si>
    <t>Ability to manually create criminal informant numbers.</t>
  </si>
  <si>
    <t>Ability to associate multiple informant numbers to a single informant.</t>
  </si>
  <si>
    <t>Ability to attach files to all above types of data.</t>
  </si>
  <si>
    <t>Purchase Money</t>
  </si>
  <si>
    <t>Information Money</t>
  </si>
  <si>
    <t>Criminal Informant number</t>
  </si>
  <si>
    <t>Ability to provide fields to capture information on Criminal Informant Activity, including but not limited to:</t>
  </si>
  <si>
    <t>Source of information</t>
  </si>
  <si>
    <t>Employee Number</t>
  </si>
  <si>
    <t>Reporting Officer</t>
  </si>
  <si>
    <t>Offense</t>
  </si>
  <si>
    <t>Type of Activity (County-defined)</t>
  </si>
  <si>
    <t>Activity:</t>
  </si>
  <si>
    <t>Ability to provide dedicated fields to capture the following intelligence data:</t>
  </si>
  <si>
    <t>Ability to track informant records in the RMS.</t>
  </si>
  <si>
    <t>Ability to track intelligence records in the RMS.</t>
  </si>
  <si>
    <t>Ability to limit access to intelligence and informant database.</t>
  </si>
  <si>
    <t>Ability to comply with the Criminal Intelligence Systems Operating Policies (28 CFR Part 23 requirements).</t>
  </si>
  <si>
    <t>Ability to provide a separate database to store intelligence records.</t>
  </si>
  <si>
    <t>General Intelligence Requirements</t>
  </si>
  <si>
    <t>Intelligence</t>
  </si>
  <si>
    <t>Ability to generate a juvenile contact report for a specified individual.</t>
  </si>
  <si>
    <t>Age At Arrest</t>
  </si>
  <si>
    <t>DOB</t>
  </si>
  <si>
    <t>Current Age</t>
  </si>
  <si>
    <t>Arrest Date</t>
  </si>
  <si>
    <t>Ability to generate a report identifying individuals that turn a certain age between a user-defined time period (e.g., individuals turning 23 between January 1 and March 1) identifying:</t>
  </si>
  <si>
    <t>Ability to generate a report showing juveniles in custody for a specified time period.</t>
  </si>
  <si>
    <t>Standard Juvenile Outputs</t>
  </si>
  <si>
    <t>Type arrest activity</t>
  </si>
  <si>
    <t>Length of time in custody (start and finish time as well as date and time)</t>
  </si>
  <si>
    <t>Parent type (mother, father, stepmother, stepfather, guardian, relative, etc.)</t>
  </si>
  <si>
    <t>Guardian information (multiple):</t>
  </si>
  <si>
    <t>Date/Time</t>
  </si>
  <si>
    <t>Authorized by (e.g., judge, probation officer, intake officer, etc.)</t>
  </si>
  <si>
    <t>Where</t>
  </si>
  <si>
    <t>Arrested/detained information:</t>
  </si>
  <si>
    <t>Probation Officer</t>
  </si>
  <si>
    <t>Place of Birth</t>
  </si>
  <si>
    <t>Employer</t>
  </si>
  <si>
    <t>School/Grade</t>
  </si>
  <si>
    <t>Charge Code</t>
  </si>
  <si>
    <t>Date/Time of Offense</t>
  </si>
  <si>
    <t>Location of Offense</t>
  </si>
  <si>
    <t>Work phone</t>
  </si>
  <si>
    <t>Home phone</t>
  </si>
  <si>
    <t>Date/Time Reported</t>
  </si>
  <si>
    <t>Complainant's Name</t>
  </si>
  <si>
    <t>Offense/Incident</t>
  </si>
  <si>
    <t xml:space="preserve">Ability to provide dedicated fields to document information regarding juveniles arrested, including, but not limited to:  </t>
  </si>
  <si>
    <t>Ability for declination alert to expire based upon an agency-defined time frame (e.g., when subject turns 23)</t>
  </si>
  <si>
    <t>Ability to alert user when querying or entering juvenile information that the juvenile has been declined (e.g., declination alert).</t>
  </si>
  <si>
    <t>Ability to associate the date of declination.</t>
  </si>
  <si>
    <t>Ability to associate a juvenile with adult status (e.g., juvenile is a declined juvenile).</t>
  </si>
  <si>
    <t>Type of contact (field contact, arrest, etc.)</t>
  </si>
  <si>
    <t>Parent or guardian information</t>
  </si>
  <si>
    <t>Subject information</t>
  </si>
  <si>
    <t>Ability to provide dedicated fields to document juvenile contact, including but not limited to:</t>
  </si>
  <si>
    <t>Juvenile Contact</t>
  </si>
  <si>
    <t>Ability to cross-reference a runaway/missing person report with another incident.</t>
  </si>
  <si>
    <t>Ability to capture the following officer involved information:</t>
  </si>
  <si>
    <t>Location of Detention/Release</t>
  </si>
  <si>
    <t>Location of Settle Incident</t>
  </si>
  <si>
    <t>Location of Incident</t>
  </si>
  <si>
    <t>Ability to capture the following location information:</t>
  </si>
  <si>
    <t>Disposition (e.g., retained, released, etc.)</t>
  </si>
  <si>
    <t>Parent/Guardian Information</t>
  </si>
  <si>
    <t>Social Network Information</t>
  </si>
  <si>
    <t>Email Address</t>
  </si>
  <si>
    <t>Unique Identifiers (e.g., Social Security Number)</t>
  </si>
  <si>
    <t>Place of School</t>
  </si>
  <si>
    <t>Place of Employment</t>
  </si>
  <si>
    <t>Residential Status</t>
  </si>
  <si>
    <t>Eyes</t>
  </si>
  <si>
    <t>Hair</t>
  </si>
  <si>
    <t>Alias</t>
  </si>
  <si>
    <t>Runaway/Missing person information:</t>
  </si>
  <si>
    <t>Juvenile Runaway/Missing Person</t>
  </si>
  <si>
    <t>Ability to prevent juvenile information from being available in standard queries.</t>
  </si>
  <si>
    <t>Ability to automatically archive juvenile information when requisite time has passed or subject reaches age of emancipation (whichever occurs first).</t>
  </si>
  <si>
    <t>Ability to restrict access to juvenile records by security group.</t>
  </si>
  <si>
    <t>Ability to visually distinguish any juvenile arrest reports from non-juvenile arrest reports.</t>
  </si>
  <si>
    <t>Ability to generate a report/list that identifies expunged juvenile data.</t>
  </si>
  <si>
    <t>Ability to expunge juvenile data based on current age.</t>
  </si>
  <si>
    <t>General Juvenile Requirements</t>
  </si>
  <si>
    <t>Juvenile</t>
  </si>
  <si>
    <t>Agency-defined parameter</t>
  </si>
  <si>
    <t>Crime type</t>
  </si>
  <si>
    <t>Assigned cases</t>
  </si>
  <si>
    <t>All crimes</t>
  </si>
  <si>
    <t>by agency</t>
  </si>
  <si>
    <t>by division</t>
  </si>
  <si>
    <t>by individual</t>
  </si>
  <si>
    <t>Percentage of Cases Unsolved:</t>
  </si>
  <si>
    <t>Percentage of Cases Solved:</t>
  </si>
  <si>
    <t>Ability to provide statistical analysis of case status, including:</t>
  </si>
  <si>
    <t>Court case disposition</t>
  </si>
  <si>
    <t>Law enforcement case disposition</t>
  </si>
  <si>
    <t>Case</t>
  </si>
  <si>
    <t>Investigator</t>
  </si>
  <si>
    <t>Pending activity by:</t>
  </si>
  <si>
    <t>Overdue activity (e.g. case assignment, follow-up)</t>
  </si>
  <si>
    <t>Activity follow-up</t>
  </si>
  <si>
    <t>Cases pending assignment</t>
  </si>
  <si>
    <t>Assigned cases and status</t>
  </si>
  <si>
    <t>Case aging report</t>
  </si>
  <si>
    <t>Ability to produce the following standard reports:</t>
  </si>
  <si>
    <t>Standard Case Management Module Outputs</t>
  </si>
  <si>
    <t>Ability to request property release upon case closure.</t>
  </si>
  <si>
    <t>Ability to provide dedicated fields to track NIBRS case disposition.</t>
  </si>
  <si>
    <t>Ability to provide dedicated fields to track court case disposition.</t>
  </si>
  <si>
    <t>Ability to provide dedicated fields to track agency case disposition.</t>
  </si>
  <si>
    <t>Case Disposition</t>
  </si>
  <si>
    <t>Ability for above listed templates to pre-populate with data fields determined by the County, dependent upon document type (in case required fields are different between document types).</t>
  </si>
  <si>
    <t>Ability to generate search warrant requests from the field.</t>
  </si>
  <si>
    <t>Ability for each agency to develop templates.</t>
  </si>
  <si>
    <t>Date of issuance</t>
  </si>
  <si>
    <t>Status (e.g., issued)</t>
  </si>
  <si>
    <t>Author/Officer Name</t>
  </si>
  <si>
    <t>Ability to track the following related to each of the above listed documents:</t>
  </si>
  <si>
    <t>Search warrants</t>
  </si>
  <si>
    <t>Affidavits</t>
  </si>
  <si>
    <t>Ability to generate templates for additional case investigation documentation, including but not limited to:</t>
  </si>
  <si>
    <t>Additional Documentation</t>
  </si>
  <si>
    <t>Ability to document prosecutor charging decisions.</t>
  </si>
  <si>
    <t>Ability to document prosecutor or court requests for further investigation.</t>
  </si>
  <si>
    <t>Ability to notify personnel upon completion of case.</t>
  </si>
  <si>
    <t>Ability to support electronic approval (e.g. by supervisor) prior to submitting case to the prosecuting attorney.</t>
  </si>
  <si>
    <t>All required case documents managed within the system</t>
  </si>
  <si>
    <t>Case summary (e.g. of status and documentation)</t>
  </si>
  <si>
    <t>Charging recommendations</t>
  </si>
  <si>
    <t>Ability to generate a comprehensive document containing:</t>
  </si>
  <si>
    <t>Ability to generate an application for criminal complaint.</t>
  </si>
  <si>
    <t>Filing Charges</t>
  </si>
  <si>
    <t>Ability to create an alert to determine when additional action is due (e.g., supplement report is due within 30 days of assignment).</t>
  </si>
  <si>
    <t>Ability to flag a property item such that the assigned investigator is notified when person makes inquiries on their property.</t>
  </si>
  <si>
    <t>To tell the person making a query on that individual to call the investigator</t>
  </si>
  <si>
    <t>To send a notification of any query on that individual without alerting the person making the query</t>
  </si>
  <si>
    <t>To send a notification via text message to the investigator's cell phone of any query involving the individual</t>
  </si>
  <si>
    <t>To send a notification to the investigator through the system of any query involving the individual</t>
  </si>
  <si>
    <t>Ability for an investigator to place an alert on an individual:</t>
  </si>
  <si>
    <t>Ability for supervisor to track tasks assigned to other investigators or officers by case.</t>
  </si>
  <si>
    <t>Ability for the supervisor to assign tasks to other investigators or officers.</t>
  </si>
  <si>
    <t>Agency-defined activities</t>
  </si>
  <si>
    <t>Seizures</t>
  </si>
  <si>
    <t>Evidence collection</t>
  </si>
  <si>
    <t>Agency case disposition</t>
  </si>
  <si>
    <t>Prosecution requests for investigative follow-up</t>
  </si>
  <si>
    <t>Initiating criminal charges</t>
  </si>
  <si>
    <t>Case notes</t>
  </si>
  <si>
    <t>Writing supplemental reports</t>
  </si>
  <si>
    <t>Warrant statuses</t>
  </si>
  <si>
    <t>Warrant requests</t>
  </si>
  <si>
    <t>Interviews and interrogations</t>
  </si>
  <si>
    <t>Developing and tracking leads</t>
  </si>
  <si>
    <t>Completion of follow up activity</t>
  </si>
  <si>
    <t>Assigned follow up activity</t>
  </si>
  <si>
    <t>Ability for investigators to document case activity including, but not limited to, the following:</t>
  </si>
  <si>
    <t>Investigation Management</t>
  </si>
  <si>
    <t xml:space="preserve">Agency-defined </t>
  </si>
  <si>
    <t>Pending activity by case</t>
  </si>
  <si>
    <t>Pending activity by investigator</t>
  </si>
  <si>
    <t>Case status (e.g., open, closed, etc.)</t>
  </si>
  <si>
    <t>Statistical reports of solvability</t>
  </si>
  <si>
    <t>Assigned cases by unit/section</t>
  </si>
  <si>
    <t>Assigned cases by supervisor</t>
  </si>
  <si>
    <t>Cases by due date</t>
  </si>
  <si>
    <t>Ability to generate reports, including but not limited to the following reports:</t>
  </si>
  <si>
    <t>Ability to visually distinguish case status (e.g., by color, font, underline, italics, etc.).</t>
  </si>
  <si>
    <t>Log -on to RMS</t>
  </si>
  <si>
    <t>Email</t>
  </si>
  <si>
    <t>Ability for investigator supervisors to electronically notify investigators of case reassignments via:</t>
  </si>
  <si>
    <t>Ability for investigator supervisors to reassign cases to different investigators.</t>
  </si>
  <si>
    <t>Ability for system to capture a log of communications that occur within the case management system.</t>
  </si>
  <si>
    <t>Ability for notes to capture date, time, note type and user ID of individual entering note.</t>
  </si>
  <si>
    <t>Ability to provide multiple notes fields associated with each case.</t>
  </si>
  <si>
    <t>Ability to provide a notes field associated with each case.</t>
  </si>
  <si>
    <t>Ability to provide dashboard-type functionality that provides a snapshot of current case monitoring information (e.g., number of cases, case statuses, etc.).</t>
  </si>
  <si>
    <t>Ability for agency to define types of investigations activities it wants to track (e.g., drop down menu of activities).</t>
  </si>
  <si>
    <t>Ability for investigator supervisors to monitor investigators' workloads.</t>
  </si>
  <si>
    <t>Overdue activities</t>
  </si>
  <si>
    <t>Pending activities</t>
  </si>
  <si>
    <t>Responsible investigator</t>
  </si>
  <si>
    <t>Case status</t>
  </si>
  <si>
    <t>Ability for investigator supervisors to monitor case activity including, but not limited to:</t>
  </si>
  <si>
    <t>Case Monitoring</t>
  </si>
  <si>
    <t>Ability for any case labeled as ECR to automatically create an alert that notifies the assigned investigator within 72 hours of labeling.</t>
  </si>
  <si>
    <t>Ability for any case labeled as ECR to automatically calculate case due date as within 72 hours of labeling.</t>
  </si>
  <si>
    <t>Ability to label a case as "Early Case Resolution" (ECR).</t>
  </si>
  <si>
    <t>Ability to document due date extensions without losing the original due date.</t>
  </si>
  <si>
    <t>Ability to extend due dates.</t>
  </si>
  <si>
    <t>Final case due date</t>
  </si>
  <si>
    <t>Interim activity due date</t>
  </si>
  <si>
    <t>Ability to document case activity due dates:</t>
  </si>
  <si>
    <t>Ability for an investigator supervisor to identify cases not assigned for investigation or follow-up.</t>
  </si>
  <si>
    <t>Ability for investigators, officers or agency-specified groups to receive electronic notification that they have been assigned a new case via:</t>
  </si>
  <si>
    <t>Ability for an investigator supervisor to electronically assign case responsibility to an officer.</t>
  </si>
  <si>
    <t>Ability for investigator supervisors to review unassigned cases (e.g. read the reports) online.</t>
  </si>
  <si>
    <t>Ability for investigator supervisors to view unassigned cases online.</t>
  </si>
  <si>
    <t>Investigation Assignment</t>
  </si>
  <si>
    <t>Ability to perform  case management activities from a Mobile environment.</t>
  </si>
  <si>
    <t>Field level</t>
  </si>
  <si>
    <t>Case document level</t>
  </si>
  <si>
    <t>Case level</t>
  </si>
  <si>
    <t>Ability to limit access to case information by security profile at the following levels:</t>
  </si>
  <si>
    <t>Ability to calculate case solvability based on agency-defined criteria.</t>
  </si>
  <si>
    <t>Ability for each agency to define the time allocation for each activity it wants to track.</t>
  </si>
  <si>
    <t>Ability for each agency to define the specific case management activities it wants to track.</t>
  </si>
  <si>
    <t>Case disposition</t>
  </si>
  <si>
    <t>Obtaining and executing arrest warrants</t>
  </si>
  <si>
    <t>Obtaining and executing search warrants</t>
  </si>
  <si>
    <t>Producing supplemental reports</t>
  </si>
  <si>
    <t>Interviews</t>
  </si>
  <si>
    <t>Capturing and storing investigation data</t>
  </si>
  <si>
    <t>Ability to track case management activities including, but not limited to:</t>
  </si>
  <si>
    <t>Ability for users to receive case referrals electronically.</t>
  </si>
  <si>
    <t>Ability to establish case management work flow based on built-in business logic (e.g., incident type or case type).</t>
  </si>
  <si>
    <t>Ability to send reports to position profile as opposed to a specific person.</t>
  </si>
  <si>
    <t>Ability to generate and print case labels using County-defined data elements.</t>
  </si>
  <si>
    <t>Ability for reports to be automatically sent to an investigator supervisor based on built-in business logic (e.g., crime type).</t>
  </si>
  <si>
    <t>Ability to identify primary case number in event multiple case numbers are used.</t>
  </si>
  <si>
    <t>Ability for a case to be associated with multiple agencies.</t>
  </si>
  <si>
    <t>Ability to support multiple case numbers.</t>
  </si>
  <si>
    <t>Ability for users to electronically send reports to an investigator supervisor.</t>
  </si>
  <si>
    <t>Provide dedicated fields to track ORI of multiple agencies (e.g., reporting agency, investigating agency, recovery agency, etc.)</t>
  </si>
  <si>
    <t>Provide security controls to limit access to individual agency  records</t>
  </si>
  <si>
    <t>Accommodate different business rules for different units</t>
  </si>
  <si>
    <t>Accommodate different business rules for different divisions</t>
  </si>
  <si>
    <t>Accommodate different business rules for different agencies</t>
  </si>
  <si>
    <t>Provide for case management at the division level (e.g., to segregate gang-related investigations).</t>
  </si>
  <si>
    <t>Provide for case management at the individual agency level</t>
  </si>
  <si>
    <t>Ability to accommodate a multi-jurisdictional configuration:</t>
  </si>
  <si>
    <t>General Case Management Requirements</t>
  </si>
  <si>
    <t>Case Management</t>
  </si>
  <si>
    <t>Ability to generate a report displaying all impounded vehicles within a user-defined time period.</t>
  </si>
  <si>
    <t>Ability to generate a report displaying all seized vehicles within a user-defined time period.</t>
  </si>
  <si>
    <t>Ability to display towed vehicles on a map for a user-defined time period.</t>
  </si>
  <si>
    <t>Ability to generate a list of towed vehicles by any combination of towed vehicle descriptors.</t>
  </si>
  <si>
    <t>Standard Towed Vehicle Module Outputs</t>
  </si>
  <si>
    <t>Ability to link a towed vehicle to release time parameters for DUI holds.</t>
  </si>
  <si>
    <t>Ability to automatically query WACIC/NCIC upon entry into the RMS to search for potential matches of missing/stolen vehicles.</t>
  </si>
  <si>
    <t>Ability to link tow record to case report.</t>
  </si>
  <si>
    <t>Ability to provide dedicated fields to document towed and impounded vehicles as required by the State of Washington.  A copy of the "Uniform Washington State Tow/Impound and Inventory Record" is available upon request.</t>
  </si>
  <si>
    <t>Towed Vehicle Requirements</t>
  </si>
  <si>
    <t>Violator</t>
  </si>
  <si>
    <t>Geographic area</t>
  </si>
  <si>
    <t>Demographic data</t>
  </si>
  <si>
    <t>Shift</t>
  </si>
  <si>
    <t>Offense type (criminal or civil)</t>
  </si>
  <si>
    <t>Ability to produce a summary of citations by:</t>
  </si>
  <si>
    <t>Standard Citations Module Outputs</t>
  </si>
  <si>
    <t>Ability to link a citation to a related incident report(s).</t>
  </si>
  <si>
    <t>Ability to provide dedicated fields (as opposed to narrative/comments fields) to capture all citation information captured in Sector.</t>
  </si>
  <si>
    <t>General Citations Requirements</t>
  </si>
  <si>
    <t>Citations and Crash Reporting</t>
  </si>
  <si>
    <t>Ability to track field training release date.</t>
  </si>
  <si>
    <t>Ability for a field training officer to enter observation reports into field training record.</t>
  </si>
  <si>
    <t>Ability to consolidate information contained in the field training record to prepare a summary report.</t>
  </si>
  <si>
    <t>Ability to link reports prepared by officers in on the job training to the field training record.</t>
  </si>
  <si>
    <t>Court appearances</t>
  </si>
  <si>
    <t>field contacts</t>
  </si>
  <si>
    <t>Calls for service</t>
  </si>
  <si>
    <t>Field training hours worked</t>
  </si>
  <si>
    <t>Ability to import call for service information from CAD (or the CFS module in the RMS) to track:</t>
  </si>
  <si>
    <t>Ability to document field training for officers during on the job field training.</t>
  </si>
  <si>
    <t>Field Training Program - OJT</t>
  </si>
  <si>
    <t>Ability to generate summary reports for individuals that are certified, uncertified, due for certification, and overdue for certification.</t>
  </si>
  <si>
    <t>List of individuals that have not completed specific training</t>
  </si>
  <si>
    <t xml:space="preserve">Instructor certifications </t>
  </si>
  <si>
    <t xml:space="preserve">Certification renewals by date </t>
  </si>
  <si>
    <t xml:space="preserve">Employees by certification </t>
  </si>
  <si>
    <t>Ability to display or print the following:</t>
  </si>
  <si>
    <t>Ability to print certificates.</t>
  </si>
  <si>
    <t>Ability to create certificates.</t>
  </si>
  <si>
    <t>Training type</t>
  </si>
  <si>
    <t>Ability to print a summary of training activity by:</t>
  </si>
  <si>
    <t xml:space="preserve">State or national academy classes </t>
  </si>
  <si>
    <t xml:space="preserve">Certified classes </t>
  </si>
  <si>
    <t>Ability to produce training records for:</t>
  </si>
  <si>
    <t xml:space="preserve">Instructor name </t>
  </si>
  <si>
    <t xml:space="preserve">Grade information </t>
  </si>
  <si>
    <t xml:space="preserve">List of all participants, station/shift </t>
  </si>
  <si>
    <t xml:space="preserve">Date for each class/program </t>
  </si>
  <si>
    <t>Ability to display or print class roster information, including:</t>
  </si>
  <si>
    <t>As percentage of training budget</t>
  </si>
  <si>
    <t>By type of training (e.g., peer training)</t>
  </si>
  <si>
    <t>By division</t>
  </si>
  <si>
    <t>Individual personnel</t>
  </si>
  <si>
    <t>Individual course</t>
  </si>
  <si>
    <t>Ability to track costs of training, including but not limited to:</t>
  </si>
  <si>
    <t>Ability to query training schedules based on a user-defined date range for a group or individual.</t>
  </si>
  <si>
    <t>Certifications</t>
  </si>
  <si>
    <t>Course date</t>
  </si>
  <si>
    <t>Course</t>
  </si>
  <si>
    <t>Course location</t>
  </si>
  <si>
    <t xml:space="preserve">Instructor </t>
  </si>
  <si>
    <t xml:space="preserve">Training type </t>
  </si>
  <si>
    <t xml:space="preserve">Employee ID </t>
  </si>
  <si>
    <t xml:space="preserve">Name </t>
  </si>
  <si>
    <t>Ability to retrieve training records by:</t>
  </si>
  <si>
    <t>Ability to view individual training records at remote work stations.</t>
  </si>
  <si>
    <t>Standard Training Module Outputs</t>
  </si>
  <si>
    <t>Ability to capture and track training evaluations by instructor.</t>
  </si>
  <si>
    <t>Ability to capture and track training evaluations by course.</t>
  </si>
  <si>
    <t>Ability for individuals to request and register for training online.</t>
  </si>
  <si>
    <t>Ability to generate and print reports showing personnel who failed firearms qualifications.</t>
  </si>
  <si>
    <t>Ability to track firearms qualifications (e.g., trigger notification to employees and supervisors of upcoming qualifications).</t>
  </si>
  <si>
    <t>Ability to track follow-up training for personnel who do not pass certification tests.</t>
  </si>
  <si>
    <t>Ability to alert users and supervisors of upcoming certification expirations.</t>
  </si>
  <si>
    <t>Ability to track ongoing mandatory training and notify supervisors of officers who have not completed mandatory training.</t>
  </si>
  <si>
    <t>Ability to generate and print reports indicating upcoming training needs (i.e., who needs what training by what date).</t>
  </si>
  <si>
    <t>Ability to track mandatory training for each job category.</t>
  </si>
  <si>
    <t>Ability to track mandatory training requirements for each position/rank or team affiliation.</t>
  </si>
  <si>
    <t>Training Management</t>
  </si>
  <si>
    <t>Ability for notifications to be distributed to multiple individuals (e.g., individual and supervisor)</t>
  </si>
  <si>
    <t>Ability to send annual reminders to check validity of special skills, update training record.</t>
  </si>
  <si>
    <t>Ability to link certifications to CAD.</t>
  </si>
  <si>
    <t>Ability to link special skills to CAD.</t>
  </si>
  <si>
    <t>Ability to link training records to personnel records.</t>
  </si>
  <si>
    <t>Qualification expiration date</t>
  </si>
  <si>
    <t>Courses</t>
  </si>
  <si>
    <t>Qualified to instruct:</t>
  </si>
  <si>
    <t>Shooting score ranges</t>
  </si>
  <si>
    <t>Weapons trained to operate</t>
  </si>
  <si>
    <t>Range qualifications:</t>
  </si>
  <si>
    <t>Reason for not attending (free form)</t>
  </si>
  <si>
    <t>Grade received</t>
  </si>
  <si>
    <t xml:space="preserve">Completion status </t>
  </si>
  <si>
    <t>Certification number</t>
  </si>
  <si>
    <t>Instructor/school</t>
  </si>
  <si>
    <t>Vendor/training provider</t>
  </si>
  <si>
    <t xml:space="preserve">Location </t>
  </si>
  <si>
    <t>Hours completed</t>
  </si>
  <si>
    <t xml:space="preserve">Date training ended </t>
  </si>
  <si>
    <t>Date training started (if applicable)</t>
  </si>
  <si>
    <t>Course fees/training costs</t>
  </si>
  <si>
    <t>Course number</t>
  </si>
  <si>
    <t>Course name/title</t>
  </si>
  <si>
    <t>Dates</t>
  </si>
  <si>
    <t>Courses and seminars attended (multiple):</t>
  </si>
  <si>
    <t xml:space="preserve">Remarks </t>
  </si>
  <si>
    <t xml:space="preserve">Endorsements </t>
  </si>
  <si>
    <t xml:space="preserve">Date of expiration </t>
  </si>
  <si>
    <t xml:space="preserve">Date obtained </t>
  </si>
  <si>
    <t xml:space="preserve">Certification/license type </t>
  </si>
  <si>
    <t>Training certifications (multiple):</t>
  </si>
  <si>
    <t xml:space="preserve">Special skills/qualifications </t>
  </si>
  <si>
    <t>Degree(s) attained</t>
  </si>
  <si>
    <t>Years attended</t>
  </si>
  <si>
    <t>Number of units</t>
  </si>
  <si>
    <t>School</t>
  </si>
  <si>
    <t>Education history detail:</t>
  </si>
  <si>
    <t>Job category</t>
  </si>
  <si>
    <t>Ability to provide dedicated fields to capture individual training information, including, but not limited to:</t>
  </si>
  <si>
    <t>Individual and Job Category Training Records</t>
  </si>
  <si>
    <t>Ability to assign personnel to one or more job categories for purposes of identifying required training programs.</t>
  </si>
  <si>
    <t>Ability to define job categories (or classifications) with associated training requirements.</t>
  </si>
  <si>
    <t>Ability to update individual training records when participants complete a class.</t>
  </si>
  <si>
    <t>Ability to document the viewing of online training (e.g., video).</t>
  </si>
  <si>
    <t>Ability to assign (schedule) participants to a class.</t>
  </si>
  <si>
    <t>Minimum number of participants</t>
  </si>
  <si>
    <t>Maximum number of participants</t>
  </si>
  <si>
    <t>Prerequisites</t>
  </si>
  <si>
    <t>Course content</t>
  </si>
  <si>
    <t>Course schedules</t>
  </si>
  <si>
    <t>Ability to establish courses to include in the training programs, including:</t>
  </si>
  <si>
    <t>Ability to add ad hoc training.</t>
  </si>
  <si>
    <t>Ability to establish training programs.</t>
  </si>
  <si>
    <t>Training Programs</t>
  </si>
  <si>
    <t>Training</t>
  </si>
  <si>
    <t>Ability to generate a report of issued equipment.</t>
  </si>
  <si>
    <t>Ability to generate a duty roster.</t>
  </si>
  <si>
    <t>Ability to generate a report of individual personnel details.</t>
  </si>
  <si>
    <t>Ability to generate personnel summary reports based on any operational data field in the personnel module.</t>
  </si>
  <si>
    <t>Standard Personnel Outputs</t>
  </si>
  <si>
    <t>Ability to electronically attach files to personnel records.</t>
  </si>
  <si>
    <t>Before/after values</t>
  </si>
  <si>
    <t>Person making change</t>
  </si>
  <si>
    <t>Date of change</t>
  </si>
  <si>
    <t>Ability to track all changes to personnel information, including but not limited to:</t>
  </si>
  <si>
    <t>Ability to alert supervisors of any personnel characteristics that are expiring (e.g., vaccinations, certifications, etc.)</t>
  </si>
  <si>
    <t>Health-related duty restrictions</t>
  </si>
  <si>
    <t>Work-related injuries</t>
  </si>
  <si>
    <t>Exposures</t>
  </si>
  <si>
    <t>Vaccinations</t>
  </si>
  <si>
    <t>Assigned equipment</t>
  </si>
  <si>
    <t>Languages spoken</t>
  </si>
  <si>
    <t>Education level</t>
  </si>
  <si>
    <t>Training history</t>
  </si>
  <si>
    <t>Promotion history</t>
  </si>
  <si>
    <t>Rank(s)</t>
  </si>
  <si>
    <t>Past assignment histories</t>
  </si>
  <si>
    <t>Current assignment</t>
  </si>
  <si>
    <t>Badge/serial number</t>
  </si>
  <si>
    <t>Department ID number</t>
  </si>
  <si>
    <t>Employee ID number</t>
  </si>
  <si>
    <t>Date of exit</t>
  </si>
  <si>
    <t>Exit interview date</t>
  </si>
  <si>
    <t>Evaluation dates</t>
  </si>
  <si>
    <t>Adjusted date of hire</t>
  </si>
  <si>
    <t>Date in class of hire</t>
  </si>
  <si>
    <t>Date of hire</t>
  </si>
  <si>
    <t>Blood type</t>
  </si>
  <si>
    <t>Employee photo</t>
  </si>
  <si>
    <t>Next of kin</t>
  </si>
  <si>
    <t>Emergency contact information:</t>
  </si>
  <si>
    <t>Driver license number</t>
  </si>
  <si>
    <t>Ability to provide dedicated fields to capture personnel information including, but not limited to:</t>
  </si>
  <si>
    <t>General Personnel Requirements</t>
  </si>
  <si>
    <t>Personnel</t>
  </si>
  <si>
    <t>Assistance outside of jurisdiction</t>
  </si>
  <si>
    <t>Training time</t>
  </si>
  <si>
    <t>Court time</t>
  </si>
  <si>
    <t>Overtime</t>
  </si>
  <si>
    <t>Time on duty</t>
  </si>
  <si>
    <t>Administrative time</t>
  </si>
  <si>
    <t>Role in response efforts (primary or backup)</t>
  </si>
  <si>
    <t>Reports filed (including type of report)</t>
  </si>
  <si>
    <t>Case assignments</t>
  </si>
  <si>
    <t>Dispatched activity</t>
  </si>
  <si>
    <t>Self-initiated activity</t>
  </si>
  <si>
    <t>Field interviews</t>
  </si>
  <si>
    <t>Arrests</t>
  </si>
  <si>
    <t>Ability to for personnel workload activity to report summations of any data fields captured as part of personnel activity, including but not limited to:</t>
  </si>
  <si>
    <t>Unit/Squad</t>
  </si>
  <si>
    <t>Date/Time range</t>
  </si>
  <si>
    <t>Geographic area (e.g., beat, reporting district, etc.)</t>
  </si>
  <si>
    <t>Personnel assignment</t>
  </si>
  <si>
    <t>Personnel name</t>
  </si>
  <si>
    <t>Ability to query personnel workload activity by:</t>
  </si>
  <si>
    <t>Response times (based on dispatch, received, and arrival times)</t>
  </si>
  <si>
    <t>Type of crime</t>
  </si>
  <si>
    <t>Ability to generate reports itemizing patrol activity by:</t>
  </si>
  <si>
    <t>Ability to account for number of days working in summary statistics (e.g., arrests/day; tickets/day; etc.).</t>
  </si>
  <si>
    <t>Reports approved</t>
  </si>
  <si>
    <t>Reports entered</t>
  </si>
  <si>
    <t>Ability to generate reports summarizing records activity by:</t>
  </si>
  <si>
    <t>Activity type</t>
  </si>
  <si>
    <t>Self-initiated versus dispatched activity</t>
  </si>
  <si>
    <t>Personnel Activity</t>
  </si>
  <si>
    <t>Timeframe</t>
  </si>
  <si>
    <t>Ability to generate reports summarizing patrol activity by:</t>
  </si>
  <si>
    <t>Standard Personnel Activity Module Outputs</t>
  </si>
  <si>
    <t>Ability to track "hold-over" time (time officer held on-duty past end of shift).</t>
  </si>
  <si>
    <t>Ability for officers to add to their logs information that does not come from CAD.</t>
  </si>
  <si>
    <t>Ability for CAD Call for Service information to automatically populate and update Personnel Activity information.</t>
  </si>
  <si>
    <t>Call clearance time</t>
  </si>
  <si>
    <t>Arrival time</t>
  </si>
  <si>
    <t>Dispatch time</t>
  </si>
  <si>
    <t>Call received time</t>
  </si>
  <si>
    <t>Ability to track the following call information by officer:</t>
  </si>
  <si>
    <t>Reports reviewed</t>
  </si>
  <si>
    <t>Unlimited special activities, listed in a County-defined drop down menu</t>
  </si>
  <si>
    <t>Damage to property (including vehicles)</t>
  </si>
  <si>
    <t>K-9 Activity</t>
  </si>
  <si>
    <t>Officer involved shootings</t>
  </si>
  <si>
    <t>Injuries</t>
  </si>
  <si>
    <t>Officer Assaults</t>
  </si>
  <si>
    <t>Use of force</t>
  </si>
  <si>
    <t>Misdemeanor</t>
  </si>
  <si>
    <t>Parking</t>
  </si>
  <si>
    <t>Warnings</t>
  </si>
  <si>
    <t>Citations:</t>
  </si>
  <si>
    <t>Felony</t>
  </si>
  <si>
    <t>Arrests:</t>
  </si>
  <si>
    <t>Ability to provide dedicated fields to capture personnel activity information, including, but not limited to:</t>
  </si>
  <si>
    <t>Personnel Activity Requirements</t>
  </si>
  <si>
    <t>Ability to generate a scheduled report (e.g., monthly, quarterly, etc.) showing warrants that need to be reviewed.</t>
  </si>
  <si>
    <t>Ability to produce a report showing warrant history for a subject.</t>
  </si>
  <si>
    <t>Ability to produce a warrant aging report.</t>
  </si>
  <si>
    <t>Ability to produce a report showing attempts to serve by date or date range.</t>
  </si>
  <si>
    <t>Ability to produce a report showing cancelled and modified warrants.</t>
  </si>
  <si>
    <t>Ability to produce summary reports of warrants.</t>
  </si>
  <si>
    <t>Any combination of the above data</t>
  </si>
  <si>
    <t>Any data field captured as part of the warrant</t>
  </si>
  <si>
    <t>Data Range</t>
  </si>
  <si>
    <t>Warrant Type</t>
  </si>
  <si>
    <t>Date of Warrant entry</t>
  </si>
  <si>
    <t>Crime Type</t>
  </si>
  <si>
    <t>Expiration</t>
  </si>
  <si>
    <t>Geographic Area</t>
  </si>
  <si>
    <t>Ability to produce a report of warrants based on user-defined search criteria, including but not limited to:</t>
  </si>
  <si>
    <t>Ability to print a warrant record.</t>
  </si>
  <si>
    <t>Standard Warrant Outputs</t>
  </si>
  <si>
    <t>Ability to link a file to a warrant.</t>
  </si>
  <si>
    <t>Ability to link a warrant to a master name record.</t>
  </si>
  <si>
    <t>Ability to modify a warrant.</t>
  </si>
  <si>
    <t>Reason for cancellation</t>
  </si>
  <si>
    <t>Date of cancellation</t>
  </si>
  <si>
    <t>Ability to record the following upon cancellation of a warrant:</t>
  </si>
  <si>
    <t>Ability to cancel a warrant.</t>
  </si>
  <si>
    <t>Ability to query the warrant module against any combination of the above-specified criteria that the system captures.</t>
  </si>
  <si>
    <t>Warrant Management</t>
  </si>
  <si>
    <t>Ability to notify agency-defined personnel when certain warrants are served based upon person (e.g., warrant served for John Doe).</t>
  </si>
  <si>
    <t>Ability to view Warrant information from a Mobile environment.</t>
  </si>
  <si>
    <t>Service Fees</t>
  </si>
  <si>
    <t>Location of service (agency-defined geographic areas)</t>
  </si>
  <si>
    <t>Date of assignment</t>
  </si>
  <si>
    <t>Officer assigned</t>
  </si>
  <si>
    <t>Modified</t>
  </si>
  <si>
    <t>Cancelled</t>
  </si>
  <si>
    <t>Cleared (i.e., served)</t>
  </si>
  <si>
    <t>Serving agency</t>
  </si>
  <si>
    <t>Service date and time</t>
  </si>
  <si>
    <t>Serving officer</t>
  </si>
  <si>
    <t>Ability to track the following status information in regard to the service of warrants:</t>
  </si>
  <si>
    <t>Ability for system to automatically verify the name imported from the County Warrant System against the Master Name Index.</t>
  </si>
  <si>
    <t>General Warrant Requirements</t>
  </si>
  <si>
    <t>Warrants</t>
  </si>
  <si>
    <t>Any combination of  operational data fields</t>
  </si>
  <si>
    <t>Soundex or sound-alike algorithm</t>
  </si>
  <si>
    <t>Partial information in an operational data field</t>
  </si>
  <si>
    <t>"String search"</t>
  </si>
  <si>
    <t>Ability to perform database queries using:</t>
  </si>
  <si>
    <t>Ability to search narrative text.</t>
  </si>
  <si>
    <t>Ability to conduct searches on any operational data field.</t>
  </si>
  <si>
    <t>Searches</t>
  </si>
  <si>
    <t>Physical Characteristics</t>
  </si>
  <si>
    <t>Incident Type</t>
  </si>
  <si>
    <t>Ability to graphically display on a map the location of persons within a geographically defined area for a given time range (e.g.,, all people living in an area with a history of auto theft over the past two years) by:</t>
  </si>
  <si>
    <t>Ability to display relationships between stolen and recovered locations for vehicles.</t>
  </si>
  <si>
    <t>Ability to display the nature of the link (e.g., telephone number, vehicle, incident, etc.).</t>
  </si>
  <si>
    <t>Ability to click on a linked element to show links based on that element (e.g., if a person of interest is linked to a business, click on the business to show its linkages).</t>
  </si>
  <si>
    <t>Ability to drill down into specific records in relationship diagrams.</t>
  </si>
  <si>
    <t>Telephone numbers</t>
  </si>
  <si>
    <t>Organizations (e.g. gang affiliations)</t>
  </si>
  <si>
    <t>Ability to analyze linkages among data elements based on any combination of:</t>
  </si>
  <si>
    <t xml:space="preserve">Link Analysis </t>
  </si>
  <si>
    <t>Ability for the County to define its own pin map icons (size, color, symbols, etc.).</t>
  </si>
  <si>
    <t>Ability to display standard map elements (e.g., scale bar, north arrow, legend, title, date, time, creator, disclaimers, etc.)</t>
  </si>
  <si>
    <t>Ability to select a defined geographical area on a map and display multiple event/incident types.</t>
  </si>
  <si>
    <t>Ability to select a defined geographical area on a map and display any event/incident type.</t>
  </si>
  <si>
    <t>Ability to use different icons to display different data types.</t>
  </si>
  <si>
    <t>Ability to easily print maps at any point during the drill down.</t>
  </si>
  <si>
    <t>Ability to conduct a polygon search on a map.</t>
  </si>
  <si>
    <t>Ability to conduct a radius search on a map.</t>
  </si>
  <si>
    <t>Ability to drill down on a map location for access to detailed incident history, premise history, etc.</t>
  </si>
  <si>
    <t>Ability to identify "hot spots" on a map.</t>
  </si>
  <si>
    <t>Ability to drill down for incident details from any incident plotted on the map.</t>
  </si>
  <si>
    <t>Vendor is an ESRI certified partner.</t>
  </si>
  <si>
    <t>Ability for mapping analysis to be ESRI-compatible</t>
  </si>
  <si>
    <t>Ability to plot incident data on a map of the service area.</t>
  </si>
  <si>
    <t>Map Analysis</t>
  </si>
  <si>
    <t>Ability to generate reports comparing information between multiple years.</t>
  </si>
  <si>
    <t>Summary reports showing percentages (e.g., percentage of total crimes by beat, percentage of robberies involving a weapon, etc.)</t>
  </si>
  <si>
    <t>Summary reports showing frequency of occurrence (e.g., number of robberies at a gas station)</t>
  </si>
  <si>
    <t>Summary reports showing data element averages (e.g., average number of stolen cars on Friday versus Wednesday)</t>
  </si>
  <si>
    <t>Summary reports showing data element totals (e.g. number of burglaries, number of calls for service)</t>
  </si>
  <si>
    <t>Ability to aggregate data contained in records to create:</t>
  </si>
  <si>
    <t>Officer ID</t>
  </si>
  <si>
    <t>Geographical area</t>
  </si>
  <si>
    <t>Day of week</t>
  </si>
  <si>
    <t>Ability to aggregate data by:</t>
  </si>
  <si>
    <t>Data Aggregation</t>
  </si>
  <si>
    <t>Ability for the above mentioned "frequent flier", for a user to be notified when a report is written regarding that individual (note the type of alerting available in the comments section, e.g., email, RMS log-on, etc.)</t>
  </si>
  <si>
    <t>User-defined period</t>
  </si>
  <si>
    <t xml:space="preserve">Location by user-defined geographic boundaries  </t>
  </si>
  <si>
    <t>Ability to alert specific individuals (agency-defined) when crime activity exceeds an agency-defined level for a given:</t>
  </si>
  <si>
    <t>Any combination of above elements</t>
  </si>
  <si>
    <t>Victim characteristics</t>
  </si>
  <si>
    <t>Time period</t>
  </si>
  <si>
    <t>Ability to track and analyze crime activity by:</t>
  </si>
  <si>
    <t>Activity Analysis</t>
  </si>
  <si>
    <t>Ability to provide Dashboard-type functionality that displays summations of ongoing activities in real-time.</t>
  </si>
  <si>
    <t>Ability for all analysis to be run on a live database (i.e., in real-time).</t>
  </si>
  <si>
    <t>ESRI based, State Plane coordinate mapping displays</t>
  </si>
  <si>
    <t>Line graphs</t>
  </si>
  <si>
    <t>Pie charts</t>
  </si>
  <si>
    <t>Bar graphs</t>
  </si>
  <si>
    <t>Pin maps</t>
  </si>
  <si>
    <t>Ability to present statistics in graphical formats, including, but not limited to the following:</t>
  </si>
  <si>
    <t>Complex relational analysis (e.g., seeking relationships among three or more data fields).</t>
  </si>
  <si>
    <t>Simple relational analyses (e.g., seeking relationships between two data fields)</t>
  </si>
  <si>
    <t>Change over time analysis (e.g., comparative analysis)</t>
  </si>
  <si>
    <t>Link analysis (e.g., relationship between non-key related fields)</t>
  </si>
  <si>
    <t>Time analysis (e.g., by time, date, date range, etc.)</t>
  </si>
  <si>
    <t>Spatial analysis (e.g., analyses by user-defined geographical area).</t>
  </si>
  <si>
    <t>Frequency analyses (e.g., analyses with only one variable)</t>
  </si>
  <si>
    <t>Ability to analyze activity using the following analysis options, including, but not limited to:</t>
  </si>
  <si>
    <t>Data Analysis</t>
  </si>
  <si>
    <t>Specified time range</t>
  </si>
  <si>
    <t>Resource assigned</t>
  </si>
  <si>
    <t>Workload activity by:</t>
  </si>
  <si>
    <t>Specified geographical area</t>
  </si>
  <si>
    <t>Response time analysis by:</t>
  </si>
  <si>
    <t>Resource (e.g., officer)</t>
  </si>
  <si>
    <t>Hour of day and day of week</t>
  </si>
  <si>
    <t>Hour of day</t>
  </si>
  <si>
    <t>Activity analysis by:</t>
  </si>
  <si>
    <t>Daily log showing calls received for a specified date and time period</t>
  </si>
  <si>
    <t>Daily log showing calls for service for prior 24 hours</t>
  </si>
  <si>
    <t>Standard Calls for Service Outputs</t>
  </si>
  <si>
    <t>Ability to continually update call for service data until call is closed.</t>
  </si>
  <si>
    <t>Ability to transfer call for service data when a report number is assigned.</t>
  </si>
  <si>
    <t>Field contacts</t>
  </si>
  <si>
    <t>Case reports</t>
  </si>
  <si>
    <t>Defined geographic area (e.g., district)</t>
  </si>
  <si>
    <t>Phone numbers</t>
  </si>
  <si>
    <t>Involved locations in the MNI</t>
  </si>
  <si>
    <t>Involved vehicles in the MNI</t>
  </si>
  <si>
    <t>Involved persons in the MNI</t>
  </si>
  <si>
    <t>Ability to link call for service data to:</t>
  </si>
  <si>
    <t>Ability to receive all call for service data transferrable from the CAD application as determined by the County.</t>
  </si>
  <si>
    <t>General Calls for Service Requirements</t>
  </si>
  <si>
    <t>Calls for Service</t>
  </si>
  <si>
    <t>Ability to automatically notify user when query information has been queried within an agency-defined time frame "delayed inquiry hit"(e.g., querying a license that has been queried in the past hour by another user) from the following systems:</t>
  </si>
  <si>
    <t>Ability to transfer agency-identified fields from the RMS to GTL (e.g., CCID)</t>
  </si>
  <si>
    <t>Ability to transfer information from the field reporting system to GTL.</t>
  </si>
  <si>
    <t>CAD Functionality</t>
  </si>
  <si>
    <t>RMS Functionality</t>
  </si>
  <si>
    <t>Detailed functional requirements for the systems desired by the Spokane County are provided in this spreadsheet.  These requirements are based on the needs and requirements of the Spokane County agencies, as well as industry standard guidelines for public safety systems design, implementation and operation.  The following codes should be used to indicate the ability of the proposed system to meet the needs of the Spokane County.  Please note that Global applies to all applications.  If the functionality can be met by some, but not all applications, response code should be labeled "N" with supporting comments identifying the deficient applications.</t>
  </si>
  <si>
    <t>RMS Requirements</t>
  </si>
  <si>
    <t>Report Writing</t>
  </si>
  <si>
    <t>Ability to interface with the County Warrant System to import Warrant data to the RMS.</t>
  </si>
  <si>
    <t>Ability to export accident report data to the CRASH system.</t>
  </si>
  <si>
    <t>Ability to interface with Washington State Statewide Electronic Collision and Ticket Online Records (SECTOR) so that all information captured within the SECTOR application is transferrable to the RMS.  If these needs can be partially met, indicate the discrepancies within the "comments" section.  For more information on SECTOR, see http://trafficrecords.wa.gov/eTRIP/SECTOR/SECTOR_Default.aspx</t>
  </si>
  <si>
    <t>Identification number (driver's license, social security number, etc.).</t>
  </si>
  <si>
    <t>Number of times of non-compliance response time</t>
  </si>
  <si>
    <t>Ability to maintain historical records of organizational changes to a location (e.g., new business).</t>
  </si>
  <si>
    <t>Boolean operators (e.g., and, or, etc.)</t>
  </si>
  <si>
    <t>Ability to conduct comparative analysis against:</t>
  </si>
  <si>
    <t>Ability to provide dedicated fields to document juvenile runaway/missing person settlement report including but not limited to:</t>
  </si>
  <si>
    <t>Ability for the County to remove data elements from the pre-booking form.</t>
  </si>
  <si>
    <t>Legal Owner</t>
  </si>
  <si>
    <t>Vehicle Status (e.g., damaged, investigative, recovered, stolen, suspect)</t>
  </si>
  <si>
    <t>Ability for outside agencies such as the Courts to submit warrants using an automated interface between computer systems</t>
  </si>
  <si>
    <t>Ability for outside agencies such as the Courts to quash, cancel or recall a warrant through an automated interface between computer systems</t>
  </si>
  <si>
    <t>DATA EXCHANGE</t>
  </si>
  <si>
    <t>Ability to upload data into RMS using a DATA EXCHANGE</t>
  </si>
  <si>
    <t>Added by ISD</t>
  </si>
  <si>
    <t>Ability to assign and manage unique CCID numbers to some names</t>
  </si>
  <si>
    <t xml:space="preserve"> CID (also known as CCID)</t>
  </si>
  <si>
    <t xml:space="preserve"> Description</t>
  </si>
  <si>
    <t>Ability to define training courses that contain one topic or multiple training topics.</t>
  </si>
  <si>
    <t>Ability to enter characteristics of topics, includintg dates, names, times, hours, and description.</t>
  </si>
  <si>
    <t>Course Description</t>
  </si>
  <si>
    <t xml:space="preserve"> Course Topic(s)</t>
  </si>
  <si>
    <t>Ability to create daily individualized training plans covering numerous ares of training.</t>
  </si>
  <si>
    <t xml:space="preserve">Provide detailed 'grading' analysis of officers progress.  </t>
  </si>
  <si>
    <t>Create reports to comare and contrast training results, in order to evaluate officers being trained.</t>
  </si>
  <si>
    <t>Require supervisors to sign-off on daily progress reports containing field training scores and elavuations.</t>
  </si>
  <si>
    <t>Allow officer to group 'reports' and imaged documents and submit them to the prosecutor as a referral packet, for charging consideration.</t>
  </si>
  <si>
    <t>SETS application</t>
  </si>
  <si>
    <t>JEDI application</t>
  </si>
  <si>
    <t>Other Applications</t>
  </si>
  <si>
    <t>Ability to return a soundex ordered list of names from RMS to OMS</t>
  </si>
  <si>
    <t>Ability to add and/or manage RMS names and CID numbers on behalf of OMS requests</t>
  </si>
  <si>
    <t>Ability to add and/or manage other data stored in RMS on behalf of OMS (including jail status, charge information, etc.)</t>
  </si>
  <si>
    <t>Allow for electronic disemmination of reports involving a juvenile to the juvenile Social Files Unit.</t>
  </si>
  <si>
    <t>Primary</t>
  </si>
  <si>
    <t>Ability to assign investigative officers to roles, including but not limited to:</t>
  </si>
  <si>
    <t>Secondary</t>
  </si>
  <si>
    <t>Former</t>
  </si>
  <si>
    <t>Ability to define security for documents in the following ways:</t>
  </si>
  <si>
    <t>Author and creator can edit document while others have read-only access</t>
  </si>
  <si>
    <t>Primary officer assigned to the case can edit the document</t>
  </si>
  <si>
    <t>Ability to create case reminders.</t>
  </si>
  <si>
    <t>Ability to associate charges to a name in a case.</t>
  </si>
  <si>
    <t>Ability, for drug charges, to notate the number of drugs involved.</t>
  </si>
  <si>
    <t>Ability to mark a case as a "cold case"</t>
  </si>
  <si>
    <t>Ability to identify the following in a case:</t>
  </si>
  <si>
    <t>Protocol</t>
  </si>
  <si>
    <t>Child Death Review</t>
  </si>
  <si>
    <t>Domestic Violence</t>
  </si>
  <si>
    <t>In Custody</t>
  </si>
  <si>
    <t>Firearms Seized</t>
  </si>
  <si>
    <t>Gang Related</t>
  </si>
  <si>
    <t>Meth Lab</t>
  </si>
  <si>
    <t>Dumpsite</t>
  </si>
  <si>
    <t>Precursor</t>
  </si>
  <si>
    <t>Marijuana Grow</t>
  </si>
  <si>
    <t>NonLab Callout</t>
  </si>
  <si>
    <t>Marshals TF</t>
  </si>
  <si>
    <t>Ability to identify that a grant is being used for a case.</t>
  </si>
  <si>
    <t>Ability to assign multiple crime codes to a case.</t>
  </si>
  <si>
    <t>Ability to assign multiple case types to a case.</t>
  </si>
  <si>
    <t>Ability to identify gagns associated with a case.</t>
  </si>
  <si>
    <t>Ability to generate a cover report listing all basic information about a case.</t>
  </si>
  <si>
    <t>Ability to link to forensics photos in a viewer that does not allow the photos to be printed or downloaded.</t>
  </si>
  <si>
    <t>Ability to add names to a case and identify that person's involvement in the case.</t>
  </si>
  <si>
    <t>Ability to run the following reports either by date and jurisdiction or by date and responsible unit:</t>
  </si>
  <si>
    <t>Semi-Annual statistics by cases:</t>
  </si>
  <si>
    <t>Cases assigned</t>
  </si>
  <si>
    <t>Case Investigations Completed</t>
  </si>
  <si>
    <t>Case Investigations Solved</t>
  </si>
  <si>
    <t>Case Investigations Inactivated</t>
  </si>
  <si>
    <t>Case Investigations Resulting in Arrests</t>
  </si>
  <si>
    <t>Semi-Annual statistics by number of police reports</t>
  </si>
  <si>
    <t>Reports Assigned</t>
  </si>
  <si>
    <t>Reports Completed</t>
  </si>
  <si>
    <t>Reports Investigations Solved</t>
  </si>
  <si>
    <t>Reports Investigations Inactivated</t>
  </si>
  <si>
    <t>Reports Investigations Resulting in Arrests</t>
  </si>
  <si>
    <t>Ability to run reports for a specific unit (e.g., Gangs) that captures the following information:</t>
  </si>
  <si>
    <t>Number of cases</t>
  </si>
  <si>
    <t>Number of arrests</t>
  </si>
  <si>
    <t>Number of felony charges</t>
  </si>
  <si>
    <t>Number of misdemeanor charges</t>
  </si>
  <si>
    <t>Number of gang felony drug related charges</t>
  </si>
  <si>
    <t>Number of gang misdemeanor drug related charges</t>
  </si>
  <si>
    <t>Number of gang related cases</t>
  </si>
  <si>
    <t>Number of search warrants</t>
  </si>
  <si>
    <t>Ability to run reports for a specific unit (e.g., Drug unit) that captures the following information:</t>
  </si>
  <si>
    <t>Number of arrests by type of drug by jurisdiction</t>
  </si>
  <si>
    <t>Number of felony drug charges by jurisdiction</t>
  </si>
  <si>
    <t>Number of misdemeanor charges by jurisdiction</t>
  </si>
  <si>
    <t>Number of marijuana grows by jurisdiction</t>
  </si>
  <si>
    <t>Number of meth labs, dumpsites, precursor by jurisdiction</t>
  </si>
  <si>
    <t>Number of cases that are part of a grant by jurisdiction</t>
  </si>
  <si>
    <t>Ability to support a single user logon ID and password across all proposed applications.</t>
  </si>
  <si>
    <t xml:space="preserve">Ability to support an interface between the RMS and GTL OMS </t>
  </si>
  <si>
    <t>Ability to query the GTL OMS from the RMS.</t>
  </si>
  <si>
    <t>Ability to query the RMS from GTL OMS</t>
  </si>
  <si>
    <t xml:space="preserve">PAWN </t>
  </si>
  <si>
    <t>Ability to import the following data fields from pawn property information:</t>
  </si>
  <si>
    <t>Pawner information:</t>
  </si>
  <si>
    <t>Transaction information:</t>
  </si>
  <si>
    <t>Location of Pawn Shop</t>
  </si>
  <si>
    <t>Item Description:</t>
  </si>
  <si>
    <t>Ability to import the following training records information:</t>
  </si>
  <si>
    <t>Class details</t>
  </si>
  <si>
    <t>Course Topics</t>
  </si>
  <si>
    <t>Student Information</t>
  </si>
  <si>
    <t>Ability to extract data from RMS to use in other systems using a DATA EXCHANGE.</t>
  </si>
  <si>
    <t>Ability to provide County access to the RMS database for real time access to data for use in other applications.</t>
  </si>
  <si>
    <t>Omega CrimeView and\or FireView</t>
  </si>
  <si>
    <t xml:space="preserve">Ability to transfer CFS data from the CAD application to Omega Crime View and\or FireView. </t>
  </si>
  <si>
    <t>SafetyPad ePCR</t>
  </si>
  <si>
    <t>Master List</t>
  </si>
  <si>
    <t>Mobile Functional Requirements</t>
  </si>
  <si>
    <t>Computer Aided Dispatch Functional Requirements</t>
  </si>
  <si>
    <t>Medical Priority Paramount</t>
  </si>
  <si>
    <t>Ability to support an interface with the Locution fire station alerting system.</t>
  </si>
  <si>
    <t>Ability to support paging interfaces from the CAD/Mobile system to the paging systems.</t>
  </si>
  <si>
    <t>Customer Definable Data Elements</t>
  </si>
  <si>
    <t>Ability to import multiple Telestaff instance roster information from Telestaff into CAD</t>
  </si>
  <si>
    <t xml:space="preserve"> CAD, Mobile, RMS/AFR Interface Requirements</t>
  </si>
  <si>
    <t>CRASH - SECTOR</t>
  </si>
  <si>
    <t>PathFinder</t>
  </si>
  <si>
    <t>The Zetron Model 25 handles 5/6 toning, and the Zetron Model 2200 handles the digital paging.</t>
  </si>
  <si>
    <t>Call Source (e.g., officer-initiated, 9-1-1, 10-digit, Crime Check, etc.)</t>
  </si>
  <si>
    <t>Report Tyupe (A-Approval, AA- Additional Approval, AS-Settle Approval or equivelants)</t>
  </si>
  <si>
    <t>Printing Capabilites to include (but not limited to):</t>
  </si>
  <si>
    <t>Ability to print CAD Indicent in batches</t>
  </si>
  <si>
    <t>By Incident</t>
  </si>
  <si>
    <t>By Type Code</t>
  </si>
  <si>
    <t>By Priority</t>
  </si>
  <si>
    <t>By User</t>
  </si>
  <si>
    <t>Ability to print a selcted area of the CAD incident</t>
  </si>
  <si>
    <t>Ability to select which\how many pages to print</t>
  </si>
  <si>
    <t>Ability to print complete CAD messages/mail</t>
  </si>
  <si>
    <t>Ability to print with funcation keys and\or mouse</t>
  </si>
  <si>
    <t>Ability to print in color</t>
  </si>
  <si>
    <t>Ability to perform all criticial dispatch functions from command line or funcation keys in addition to mouse funcationality</t>
  </si>
  <si>
    <t>Ability for each agency to label persons and create an optional alert associated with that individual.</t>
  </si>
  <si>
    <t>Abilit to select print areas based on:</t>
  </si>
  <si>
    <t>Offense Code</t>
  </si>
  <si>
    <t>Person(s)</t>
  </si>
  <si>
    <t>Vehicle(s)</t>
  </si>
  <si>
    <t>Ability to Print reports in batches by:</t>
  </si>
  <si>
    <t>NIBRS Offense Code</t>
  </si>
  <si>
    <t>Printing &amp; Attachment Capabilites</t>
  </si>
  <si>
    <t>Ability to append attachmens to RMS Reports as (but not limited to):</t>
  </si>
  <si>
    <t>CPS/APS Reports</t>
  </si>
  <si>
    <t>Web Report and\or URL</t>
  </si>
  <si>
    <t>Fax</t>
  </si>
  <si>
    <t>General PDF, Word, Excel documents</t>
  </si>
  <si>
    <t>Witness Statements</t>
  </si>
  <si>
    <t>Victim property lists</t>
  </si>
  <si>
    <t>Photo or Scanned Image (as JPEG, TIFF, GIF)</t>
  </si>
  <si>
    <t>Ability to enable alternate terminal routing</t>
  </si>
  <si>
    <t>Ability for operator to associate RMS, WACIC/NCIC/NLETS, and other database queries with a requesting Unit ID or Officer name/ID</t>
  </si>
  <si>
    <t>Regardless of the requestor’s log-in status</t>
  </si>
  <si>
    <r>
      <t xml:space="preserve">Proposed system </t>
    </r>
    <r>
      <rPr>
        <b/>
        <sz val="11"/>
        <rFont val="Calibri"/>
        <family val="2"/>
        <scheme val="minor"/>
      </rPr>
      <t>COMPLIES</t>
    </r>
    <r>
      <rPr>
        <sz val="11"/>
        <rFont val="Calibri"/>
        <family val="2"/>
        <scheme val="minor"/>
      </rPr>
      <t xml:space="preserve"> with requirement.</t>
    </r>
  </si>
  <si>
    <r>
      <t xml:space="preserve">Proposed system does </t>
    </r>
    <r>
      <rPr>
        <b/>
        <sz val="11"/>
        <rFont val="Calibri"/>
        <family val="2"/>
        <scheme val="minor"/>
      </rPr>
      <t>NOT COMPLY</t>
    </r>
    <r>
      <rPr>
        <sz val="11"/>
        <rFont val="Calibri"/>
        <family val="2"/>
        <scheme val="minor"/>
      </rPr>
      <t xml:space="preserve"> with requirement.</t>
    </r>
  </si>
  <si>
    <r>
      <t xml:space="preserve">Proposer recommends an </t>
    </r>
    <r>
      <rPr>
        <b/>
        <sz val="11"/>
        <rFont val="Calibri"/>
        <family val="2"/>
        <scheme val="minor"/>
      </rPr>
      <t>ALTERNATIVE</t>
    </r>
    <r>
      <rPr>
        <sz val="11"/>
        <rFont val="Calibri"/>
        <family val="2"/>
        <scheme val="minor"/>
      </rPr>
      <t xml:space="preserve"> no-cost way to meet requirement (provide explanation in the "Comments" column). </t>
    </r>
    <r>
      <rPr>
        <b/>
        <sz val="11"/>
        <rFont val="Calibri"/>
        <family val="2"/>
        <scheme val="minor"/>
      </rPr>
      <t>This includes the conversion of the legacy interface data to a module of the new system.</t>
    </r>
  </si>
  <si>
    <t>Not Comply (N)</t>
  </si>
  <si>
    <t>Comply ( C)</t>
  </si>
  <si>
    <t>Alternative\Conversion (A)</t>
  </si>
  <si>
    <r>
      <t xml:space="preserve">Proposed system requires software </t>
    </r>
    <r>
      <rPr>
        <b/>
        <sz val="11"/>
        <rFont val="Calibri"/>
        <family val="2"/>
        <scheme val="minor"/>
      </rPr>
      <t>MODIFICATION</t>
    </r>
    <r>
      <rPr>
        <sz val="11"/>
        <rFont val="Calibri"/>
        <family val="2"/>
        <scheme val="minor"/>
      </rPr>
      <t xml:space="preserve"> or third party software to comply with requirement (provide an explanation in the Comments column and list additional costs, cross-referencing the requirement, in the Cost Proposal).</t>
    </r>
  </si>
  <si>
    <t>Modification (M)</t>
  </si>
  <si>
    <r>
      <t xml:space="preserve">Proposed system requires and </t>
    </r>
    <r>
      <rPr>
        <b/>
        <sz val="11"/>
        <rFont val="Calibri"/>
        <family val="2"/>
        <scheme val="minor"/>
      </rPr>
      <t xml:space="preserve">ADDITONAL THIRD PARTY </t>
    </r>
    <r>
      <rPr>
        <sz val="11"/>
        <rFont val="Calibri"/>
        <family val="2"/>
        <scheme val="minor"/>
      </rPr>
      <t>software, hardware and\or software, hardware component(s) to comply with requirement.  Proposer must provide an explanation in the Comments column and list additional costs, cross-referencing the requirement, in the Cost Proposal.</t>
    </r>
  </si>
  <si>
    <t>Third Party Add-On (T)</t>
  </si>
  <si>
    <t>REQUIRED INTERFACES</t>
  </si>
  <si>
    <t>OPTIONAL INTERFACES</t>
  </si>
  <si>
    <t>PSAP\911 phone call delivery vendor</t>
  </si>
  <si>
    <t xml:space="preserve">Washington State and Federal  index of criminal justice information </t>
  </si>
  <si>
    <t xml:space="preserve">Law and Fire\EMS analysis and mapping solution </t>
  </si>
  <si>
    <t>Photo Management (home grown)</t>
  </si>
  <si>
    <t>Computerized voice dispatch and fire station alerting</t>
  </si>
  <si>
    <t>Emergency medical determinant code software</t>
  </si>
  <si>
    <t>Notifications to Primary Voice and Data Carriers (txt)</t>
  </si>
  <si>
    <t>Unit update interface from Fire CAD to AMR (Ambulance contracted provider)</t>
  </si>
  <si>
    <t xml:space="preserve">Alphanumeric and cell phone paging for Verizon, AT&amp;T, Sprint and Nextel  </t>
  </si>
  <si>
    <t>Scheduling</t>
  </si>
  <si>
    <t>Fire EMS Records Management System</t>
  </si>
  <si>
    <t>Regional RMS</t>
  </si>
  <si>
    <t xml:space="preserve">Image warehouse of an approved incident report </t>
  </si>
  <si>
    <t>Jail Management System</t>
  </si>
  <si>
    <t>Ticket/Crash Reporting</t>
  </si>
  <si>
    <t>Regional Gang database</t>
  </si>
  <si>
    <t xml:space="preserve">Property management system </t>
  </si>
  <si>
    <t>State Offender Watch Database to import and export registered offender information</t>
  </si>
  <si>
    <t xml:space="preserve">County Warrant system </t>
  </si>
  <si>
    <t xml:space="preserve">Pawn property records </t>
  </si>
  <si>
    <t>Spokane County Employee Tracking System</t>
  </si>
  <si>
    <t>Jail Employee Deployment Information</t>
  </si>
  <si>
    <t>The County would like the ability for criminal justice IT staff to access the RMS database for real time access to data, for use in other application.  In addition, these outside apps (such as CaseMan and PreTrial Services) need the ability to import criminal/arrest history associated to a name, and import images pertaining to criminal/arrest history.  In addition, these outside apps need the ability to import details associated to an incident number, and to import images pertaining to an incident number.  Juvenile detention needs the ability to import incident images involving juvenile subjects and arrestees.</t>
  </si>
  <si>
    <t>Custom Extraction Methods</t>
  </si>
  <si>
    <t>Ex. A main dispatch terminal goes down; How to route any future messages (both system generated and manual)to a secondary terminal or backup center</t>
  </si>
  <si>
    <t>Automated Secure Alarm Protocol</t>
  </si>
  <si>
    <t>Ability to integrate streaming video from multiple sources with CAD maps in real-time or near real-time</t>
  </si>
  <si>
    <t>Ability to support multiple dispositions per incident per officer.</t>
  </si>
  <si>
    <t>Incident number should have standard format.  Year – seq where sequence number is zero filled from left or not, but be consistent.</t>
  </si>
  <si>
    <t>Ability to compute geoverification locations real time, at time of entry.</t>
  </si>
  <si>
    <t>Ability to compute jurisdiction of location real time, at time of entry.</t>
  </si>
  <si>
    <t>Provide for case management at the investigative unit level</t>
  </si>
  <si>
    <t>Investigative Unit</t>
  </si>
  <si>
    <t>by investigative unit</t>
  </si>
  <si>
    <t>Business Intelligence Software</t>
  </si>
  <si>
    <t>Ability to export active and closed calls information to FDM and FireHouse Fire RMS Systems</t>
  </si>
  <si>
    <t>Ability to export active and closed calls information to SafetyPad ePCR application</t>
  </si>
  <si>
    <t>Spokane County Request for Proposals #P8705</t>
  </si>
  <si>
    <r>
      <rPr>
        <b/>
        <sz val="18"/>
        <rFont val="Arial"/>
        <family val="2"/>
      </rPr>
      <t>ATTACHMENT   F</t>
    </r>
    <r>
      <rPr>
        <b/>
        <sz val="14"/>
        <rFont val="Arial"/>
        <family val="2"/>
      </rPr>
      <t xml:space="preserve">    -      Spokane County Request for Proposals #P8705</t>
    </r>
  </si>
</sst>
</file>

<file path=xl/styles.xml><?xml version="1.0" encoding="utf-8"?>
<styleSheet xmlns="http://schemas.openxmlformats.org/spreadsheetml/2006/main" xmlns:mc="http://schemas.openxmlformats.org/markup-compatibility/2006" xmlns:x14ac="http://schemas.microsoft.com/office/spreadsheetml/2009/9/ac" mc:Ignorable="x14ac">
  <fonts count="60"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0"/>
      <name val="Arial"/>
      <family val="2"/>
    </font>
    <font>
      <sz val="11"/>
      <color indexed="8"/>
      <name val="Calibri"/>
      <family val="2"/>
      <scheme val="minor"/>
    </font>
    <font>
      <sz val="11"/>
      <name val="Calibri"/>
      <family val="2"/>
      <scheme val="minor"/>
    </font>
    <font>
      <i/>
      <sz val="11"/>
      <color indexed="8"/>
      <name val="Calibri"/>
      <family val="2"/>
      <scheme val="minor"/>
    </font>
    <font>
      <b/>
      <sz val="11"/>
      <name val="Calibri"/>
      <family val="2"/>
      <scheme val="minor"/>
    </font>
    <font>
      <sz val="11"/>
      <color indexed="10"/>
      <name val="Calibri"/>
      <family val="2"/>
      <scheme val="minor"/>
    </font>
    <font>
      <i/>
      <sz val="11"/>
      <name val="Calibri"/>
      <family val="2"/>
      <scheme val="minor"/>
    </font>
    <font>
      <i/>
      <sz val="11"/>
      <color indexed="10"/>
      <name val="Calibri"/>
      <family val="2"/>
      <scheme val="minor"/>
    </font>
    <font>
      <sz val="10"/>
      <color theme="1"/>
      <name val="Arial"/>
      <family val="2"/>
    </font>
    <font>
      <u/>
      <sz val="10"/>
      <color theme="10"/>
      <name val="Arial"/>
      <family val="2"/>
    </font>
    <font>
      <sz val="12"/>
      <name val="Calibri"/>
      <family val="2"/>
      <scheme val="minor"/>
    </font>
    <font>
      <sz val="12"/>
      <color indexed="8"/>
      <name val="Calibri"/>
      <family val="2"/>
      <scheme val="minor"/>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color theme="10"/>
      <name val="Arial"/>
      <family val="2"/>
    </font>
    <font>
      <b/>
      <sz val="14"/>
      <name val="Arial"/>
      <family val="2"/>
    </font>
    <font>
      <b/>
      <sz val="10"/>
      <name val="Arial"/>
      <family val="2"/>
    </font>
    <font>
      <sz val="11"/>
      <color rgb="FFFF0000"/>
      <name val="Calibri"/>
      <family val="2"/>
      <scheme val="minor"/>
    </font>
    <font>
      <b/>
      <sz val="11"/>
      <color theme="1"/>
      <name val="Calibri"/>
      <family val="2"/>
      <scheme val="minor"/>
    </font>
    <font>
      <sz val="10"/>
      <name val="Arial"/>
      <family val="2"/>
    </font>
    <font>
      <b/>
      <sz val="11"/>
      <color indexed="8"/>
      <name val="Calibri"/>
      <family val="2"/>
      <scheme val="minor"/>
    </font>
    <font>
      <sz val="11"/>
      <name val="Arial"/>
      <family val="2"/>
    </font>
    <font>
      <u/>
      <sz val="10"/>
      <color theme="10"/>
      <name val="Arial"/>
      <family val="2"/>
    </font>
    <font>
      <b/>
      <sz val="11"/>
      <name val="Arial"/>
      <family val="2"/>
    </font>
    <font>
      <sz val="12"/>
      <name val="Arial"/>
      <family val="2"/>
    </font>
    <font>
      <sz val="11"/>
      <name val="Calibri"/>
      <family val="2"/>
    </font>
    <font>
      <b/>
      <sz val="11"/>
      <color indexed="9"/>
      <name val="Calibri"/>
      <family val="2"/>
      <scheme val="minor"/>
    </font>
    <font>
      <b/>
      <i/>
      <sz val="11"/>
      <color theme="1"/>
      <name val="Calibri"/>
      <family val="2"/>
      <scheme val="minor"/>
    </font>
    <font>
      <b/>
      <u/>
      <sz val="11"/>
      <name val="Calibri"/>
      <family val="2"/>
      <scheme val="minor"/>
    </font>
    <font>
      <b/>
      <sz val="11"/>
      <color rgb="FFFF0000"/>
      <name val="Calibri"/>
      <family val="2"/>
      <scheme val="minor"/>
    </font>
    <font>
      <b/>
      <sz val="12"/>
      <color rgb="FFFF0000"/>
      <name val="Arial"/>
      <family val="2"/>
    </font>
    <font>
      <b/>
      <sz val="11"/>
      <color rgb="FFFF0000"/>
      <name val="Calibri"/>
      <family val="2"/>
    </font>
    <font>
      <b/>
      <sz val="10"/>
      <color rgb="FFFF0000"/>
      <name val="Arial"/>
      <family val="2"/>
    </font>
    <font>
      <u/>
      <sz val="11"/>
      <color theme="10"/>
      <name val="Arial"/>
      <family val="2"/>
    </font>
    <font>
      <sz val="11"/>
      <color rgb="FFFF0000"/>
      <name val="Arial"/>
      <family val="2"/>
    </font>
    <font>
      <sz val="11"/>
      <color theme="1"/>
      <name val="Arial"/>
      <family val="2"/>
    </font>
    <font>
      <sz val="8"/>
      <color theme="1"/>
      <name val="Calibri"/>
      <family val="2"/>
      <scheme val="minor"/>
    </font>
    <font>
      <sz val="11"/>
      <color theme="1"/>
      <name val="Calibri"/>
      <family val="2"/>
    </font>
    <font>
      <b/>
      <sz val="18"/>
      <name val="Arial"/>
      <family val="2"/>
    </font>
  </fonts>
  <fills count="43">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indexed="9"/>
        <bgColor indexed="64"/>
      </patternFill>
    </fill>
    <fill>
      <patternFill patternType="solid">
        <fgColor theme="0" tint="-0.14999847407452621"/>
        <bgColor indexed="64"/>
      </patternFill>
    </fill>
    <fill>
      <patternFill patternType="solid">
        <fgColor rgb="FFD8D8D8"/>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indexed="31"/>
        <bgColor indexed="64"/>
      </patternFill>
    </fill>
    <fill>
      <patternFill patternType="solid">
        <fgColor rgb="FF1F497D"/>
        <bgColor indexed="64"/>
      </patternFill>
    </fill>
    <fill>
      <patternFill patternType="solid">
        <fgColor rgb="FFF3F66E"/>
        <bgColor indexed="64"/>
      </patternFill>
    </fill>
    <fill>
      <patternFill patternType="solid">
        <fgColor rgb="FFFFFD67"/>
        <bgColor indexed="64"/>
      </patternFill>
    </fill>
    <fill>
      <patternFill patternType="solid">
        <fgColor rgb="FFCCCCFF"/>
        <bgColor indexed="64"/>
      </patternFill>
    </fill>
    <fill>
      <patternFill patternType="solid">
        <fgColor indexed="22"/>
        <bgColor indexed="64"/>
      </patternFill>
    </fill>
    <fill>
      <patternFill patternType="solid">
        <fgColor indexed="56"/>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8907">
    <xf numFmtId="0" fontId="0"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applyNumberFormat="0" applyFill="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0" fillId="25" borderId="2" applyNumberFormat="0" applyAlignment="0" applyProtection="0"/>
    <xf numFmtId="0" fontId="21" fillId="26" borderId="3" applyNumberFormat="0" applyAlignment="0" applyProtection="0"/>
    <xf numFmtId="0" fontId="21" fillId="26" borderId="3" applyNumberFormat="0" applyAlignment="0" applyProtection="0"/>
    <xf numFmtId="0" fontId="21" fillId="26" borderId="3" applyNumberFormat="0" applyAlignment="0" applyProtection="0"/>
    <xf numFmtId="0" fontId="21" fillId="26" borderId="3" applyNumberFormat="0" applyAlignment="0" applyProtection="0"/>
    <xf numFmtId="0" fontId="21" fillId="26" borderId="3" applyNumberFormat="0" applyAlignment="0" applyProtection="0"/>
    <xf numFmtId="0" fontId="21" fillId="26" borderId="3" applyNumberFormat="0" applyAlignment="0" applyProtection="0"/>
    <xf numFmtId="0" fontId="21" fillId="26" borderId="3"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4" fillId="0" borderId="4" applyNumberFormat="0" applyFill="0" applyAlignment="0" applyProtection="0"/>
    <xf numFmtId="0" fontId="24" fillId="0" borderId="4" applyNumberFormat="0" applyFill="0" applyAlignment="0" applyProtection="0"/>
    <xf numFmtId="0" fontId="24" fillId="0" borderId="4" applyNumberFormat="0" applyFill="0" applyAlignment="0" applyProtection="0"/>
    <xf numFmtId="0" fontId="24" fillId="0" borderId="4" applyNumberFormat="0" applyFill="0" applyAlignment="0" applyProtection="0"/>
    <xf numFmtId="0" fontId="24" fillId="0" borderId="4" applyNumberFormat="0" applyFill="0" applyAlignment="0" applyProtection="0"/>
    <xf numFmtId="0" fontId="24" fillId="0" borderId="4"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8" fillId="12" borderId="2" applyNumberFormat="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0" borderId="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28" borderId="8" applyNumberFormat="0" applyFont="0" applyAlignment="0" applyProtection="0"/>
    <xf numFmtId="0" fontId="4" fillId="0" borderId="0"/>
    <xf numFmtId="0" fontId="4" fillId="28" borderId="8" applyNumberFormat="0" applyFont="0" applyAlignment="0" applyProtection="0"/>
    <xf numFmtId="0" fontId="4" fillId="0" borderId="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31" fillId="25" borderId="9" applyNumberFormat="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32" fillId="0" borderId="0" applyNumberFormat="0" applyFill="0" applyBorder="0" applyAlignment="0" applyProtection="0"/>
    <xf numFmtId="0" fontId="4" fillId="0" borderId="0"/>
    <xf numFmtId="0" fontId="4" fillId="0" borderId="0"/>
    <xf numFmtId="0" fontId="32" fillId="0" borderId="0" applyNumberFormat="0" applyFill="0" applyBorder="0" applyAlignment="0" applyProtection="0"/>
    <xf numFmtId="0" fontId="4" fillId="0" borderId="0"/>
    <xf numFmtId="0" fontId="4" fillId="0" borderId="0"/>
    <xf numFmtId="0" fontId="32" fillId="0" borderId="0" applyNumberFormat="0" applyFill="0" applyBorder="0" applyAlignment="0" applyProtection="0"/>
    <xf numFmtId="0" fontId="4" fillId="0" borderId="0"/>
    <xf numFmtId="0" fontId="4" fillId="0" borderId="0"/>
    <xf numFmtId="0" fontId="32" fillId="0" borderId="0" applyNumberFormat="0" applyFill="0" applyBorder="0" applyAlignment="0" applyProtection="0"/>
    <xf numFmtId="0" fontId="4" fillId="0" borderId="0"/>
    <xf numFmtId="0" fontId="4" fillId="0" borderId="0"/>
    <xf numFmtId="0" fontId="32" fillId="0" borderId="0" applyNumberFormat="0" applyFill="0" applyBorder="0" applyAlignment="0" applyProtection="0"/>
    <xf numFmtId="0" fontId="4" fillId="0" borderId="0"/>
    <xf numFmtId="0" fontId="4" fillId="0" borderId="0"/>
    <xf numFmtId="0" fontId="32" fillId="0" borderId="0" applyNumberFormat="0" applyFill="0" applyBorder="0" applyAlignment="0" applyProtection="0"/>
    <xf numFmtId="0" fontId="4" fillId="0" borderId="0"/>
    <xf numFmtId="0" fontId="4" fillId="0" borderId="0"/>
    <xf numFmtId="0" fontId="32" fillId="0" borderId="0" applyNumberFormat="0" applyFill="0" applyBorder="0" applyAlignment="0" applyProtection="0"/>
    <xf numFmtId="0" fontId="4" fillId="0" borderId="0"/>
    <xf numFmtId="0" fontId="4" fillId="0" borderId="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33" fillId="0" borderId="10" applyNumberFormat="0" applyFill="0" applyAlignment="0" applyProtection="0"/>
    <xf numFmtId="0" fontId="4" fillId="0" borderId="0"/>
    <xf numFmtId="0" fontId="33" fillId="0" borderId="10" applyNumberFormat="0" applyFill="0" applyAlignment="0" applyProtection="0"/>
    <xf numFmtId="0" fontId="4" fillId="0" borderId="0"/>
    <xf numFmtId="0" fontId="34" fillId="0" borderId="0" applyNumberFormat="0" applyFill="0" applyBorder="0" applyAlignment="0" applyProtection="0"/>
    <xf numFmtId="0" fontId="4" fillId="0" borderId="0"/>
    <xf numFmtId="0" fontId="4" fillId="0" borderId="0"/>
    <xf numFmtId="0" fontId="34" fillId="0" borderId="0" applyNumberFormat="0" applyFill="0" applyBorder="0" applyAlignment="0" applyProtection="0"/>
    <xf numFmtId="0" fontId="4" fillId="0" borderId="0"/>
    <xf numFmtId="0" fontId="4" fillId="0" borderId="0"/>
    <xf numFmtId="0" fontId="34" fillId="0" borderId="0" applyNumberFormat="0" applyFill="0" applyBorder="0" applyAlignment="0" applyProtection="0"/>
    <xf numFmtId="0" fontId="4" fillId="0" borderId="0"/>
    <xf numFmtId="0" fontId="4" fillId="0" borderId="0"/>
    <xf numFmtId="0" fontId="34" fillId="0" borderId="0" applyNumberFormat="0" applyFill="0" applyBorder="0" applyAlignment="0" applyProtection="0"/>
    <xf numFmtId="0" fontId="4" fillId="0" borderId="0"/>
    <xf numFmtId="0" fontId="4" fillId="0" borderId="0"/>
    <xf numFmtId="0" fontId="34" fillId="0" borderId="0" applyNumberFormat="0" applyFill="0" applyBorder="0" applyAlignment="0" applyProtection="0"/>
    <xf numFmtId="0" fontId="4" fillId="0" borderId="0"/>
    <xf numFmtId="0" fontId="4" fillId="0" borderId="0"/>
    <xf numFmtId="0" fontId="34" fillId="0" borderId="0" applyNumberFormat="0" applyFill="0" applyBorder="0" applyAlignment="0" applyProtection="0"/>
    <xf numFmtId="0" fontId="4" fillId="0" borderId="0"/>
    <xf numFmtId="0" fontId="4" fillId="0" borderId="0"/>
    <xf numFmtId="0" fontId="34" fillId="0" borderId="0" applyNumberFormat="0" applyFill="0" applyBorder="0" applyAlignment="0" applyProtection="0"/>
    <xf numFmtId="0" fontId="4" fillId="0" borderId="0"/>
    <xf numFmtId="0" fontId="40" fillId="0" borderId="0"/>
    <xf numFmtId="0" fontId="4" fillId="0" borderId="0"/>
    <xf numFmtId="0" fontId="4" fillId="0" borderId="0"/>
    <xf numFmtId="0" fontId="4" fillId="0" borderId="0"/>
    <xf numFmtId="0" fontId="4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234">
    <xf numFmtId="0" fontId="0" fillId="0" borderId="0" xfId="0"/>
    <xf numFmtId="0" fontId="4" fillId="0" borderId="0" xfId="1"/>
    <xf numFmtId="0" fontId="5" fillId="0" borderId="0" xfId="1" applyFont="1" applyAlignment="1">
      <alignment horizontal="left"/>
    </xf>
    <xf numFmtId="0" fontId="6" fillId="0" borderId="0" xfId="1" applyFont="1" applyAlignment="1">
      <alignment horizontal="center"/>
    </xf>
    <xf numFmtId="0" fontId="6" fillId="0" borderId="0" xfId="1" applyFont="1"/>
    <xf numFmtId="0" fontId="6" fillId="0" borderId="0" xfId="1" applyFont="1" applyFill="1" applyAlignment="1"/>
    <xf numFmtId="0" fontId="4" fillId="0" borderId="0" xfId="1" applyFill="1"/>
    <xf numFmtId="0" fontId="5" fillId="0" borderId="1" xfId="2" applyFont="1" applyFill="1" applyBorder="1" applyAlignment="1" applyProtection="1">
      <alignment horizontal="left" vertical="center" wrapText="1"/>
      <protection locked="0"/>
    </xf>
    <xf numFmtId="0" fontId="6" fillId="0" borderId="1" xfId="2" applyFont="1" applyFill="1" applyBorder="1" applyAlignment="1">
      <alignment horizontal="center" vertical="center"/>
    </xf>
    <xf numFmtId="0" fontId="6" fillId="0" borderId="1" xfId="2" applyFont="1" applyFill="1" applyBorder="1" applyAlignment="1">
      <alignment horizontal="center" vertical="center" wrapText="1"/>
    </xf>
    <xf numFmtId="0" fontId="1" fillId="2" borderId="1" xfId="3" applyFont="1" applyFill="1" applyBorder="1" applyAlignment="1" applyProtection="1">
      <alignment horizontal="center" vertical="center"/>
      <protection locked="0"/>
    </xf>
    <xf numFmtId="0" fontId="6" fillId="0" borderId="1" xfId="2" applyFont="1" applyFill="1" applyBorder="1" applyAlignment="1">
      <alignment vertical="center" wrapText="1"/>
    </xf>
    <xf numFmtId="0" fontId="4" fillId="2" borderId="0" xfId="1" applyFill="1"/>
    <xf numFmtId="0" fontId="6" fillId="0" borderId="1" xfId="2" applyFont="1" applyFill="1" applyBorder="1" applyAlignment="1">
      <alignment horizontal="left" vertical="center" wrapText="1"/>
    </xf>
    <xf numFmtId="0" fontId="3" fillId="3" borderId="1" xfId="4" applyFont="1" applyFill="1" applyBorder="1" applyAlignment="1">
      <alignment horizontal="center"/>
    </xf>
    <xf numFmtId="0" fontId="2" fillId="3" borderId="1" xfId="4" applyFont="1" applyFill="1" applyBorder="1" applyAlignment="1">
      <alignment horizontal="left" wrapText="1"/>
    </xf>
    <xf numFmtId="0" fontId="6" fillId="0" borderId="1" xfId="5" applyFont="1" applyBorder="1" applyAlignment="1">
      <alignment vertical="center" wrapText="1"/>
    </xf>
    <xf numFmtId="0" fontId="6" fillId="0" borderId="1" xfId="5" applyFont="1" applyBorder="1" applyAlignment="1">
      <alignment horizontal="center" vertical="center"/>
    </xf>
    <xf numFmtId="0" fontId="6" fillId="0" borderId="1" xfId="5" applyFont="1" applyFill="1" applyBorder="1" applyAlignment="1">
      <alignment vertical="center" wrapText="1"/>
    </xf>
    <xf numFmtId="0" fontId="5" fillId="0" borderId="1" xfId="1" applyFont="1" applyFill="1" applyBorder="1" applyAlignment="1" applyProtection="1">
      <alignment horizontal="left" vertical="center"/>
      <protection locked="0"/>
    </xf>
    <xf numFmtId="0" fontId="6" fillId="0" borderId="1" xfId="1" applyFont="1" applyFill="1" applyBorder="1" applyAlignment="1" applyProtection="1">
      <alignment horizontal="center" vertical="center"/>
      <protection locked="0"/>
    </xf>
    <xf numFmtId="0" fontId="6" fillId="0" borderId="1" xfId="1" applyFont="1" applyFill="1" applyBorder="1" applyAlignment="1" applyProtection="1">
      <alignment horizontal="center" vertical="center" wrapText="1"/>
      <protection locked="0"/>
    </xf>
    <xf numFmtId="0" fontId="6" fillId="0" borderId="1" xfId="1" applyFont="1" applyFill="1" applyBorder="1" applyAlignment="1" applyProtection="1">
      <alignment horizontal="left" vertical="center" wrapText="1"/>
    </xf>
    <xf numFmtId="0" fontId="5" fillId="4" borderId="1" xfId="1" applyFont="1" applyFill="1" applyBorder="1" applyAlignment="1" applyProtection="1">
      <alignment horizontal="left" vertical="center"/>
      <protection locked="0"/>
    </xf>
    <xf numFmtId="0" fontId="6" fillId="4" borderId="1" xfId="1" applyFont="1" applyFill="1" applyBorder="1" applyAlignment="1" applyProtection="1">
      <alignment horizontal="center" vertical="center"/>
      <protection locked="0"/>
    </xf>
    <xf numFmtId="0" fontId="6" fillId="4" borderId="1" xfId="1" applyFont="1" applyFill="1" applyBorder="1" applyAlignment="1" applyProtection="1">
      <alignment horizontal="center" vertical="center" wrapText="1"/>
      <protection locked="0"/>
    </xf>
    <xf numFmtId="0" fontId="6" fillId="4" borderId="1" xfId="1" applyFont="1" applyFill="1" applyBorder="1" applyAlignment="1" applyProtection="1">
      <alignment horizontal="left" vertical="center" wrapText="1"/>
    </xf>
    <xf numFmtId="0" fontId="5" fillId="0" borderId="1" xfId="1" applyFont="1" applyBorder="1" applyAlignment="1" applyProtection="1">
      <alignment horizontal="left" vertical="center"/>
      <protection locked="0"/>
    </xf>
    <xf numFmtId="0" fontId="6" fillId="0" borderId="1" xfId="1" applyFont="1" applyBorder="1" applyAlignment="1" applyProtection="1">
      <alignment horizontal="center" vertical="center"/>
      <protection locked="0"/>
    </xf>
    <xf numFmtId="0" fontId="6" fillId="0" borderId="1" xfId="1" applyFont="1" applyBorder="1" applyAlignment="1" applyProtection="1">
      <alignment horizontal="center" vertical="center" wrapText="1"/>
      <protection locked="0"/>
    </xf>
    <xf numFmtId="0" fontId="6" fillId="0" borderId="1" xfId="1" applyFont="1" applyBorder="1" applyAlignment="1" applyProtection="1">
      <alignment horizontal="left" vertical="center" wrapText="1"/>
    </xf>
    <xf numFmtId="0" fontId="5" fillId="0" borderId="1" xfId="1" applyFont="1" applyFill="1" applyBorder="1" applyAlignment="1" applyProtection="1">
      <alignment horizontal="left" vertical="center" wrapText="1"/>
      <protection locked="0"/>
    </xf>
    <xf numFmtId="0" fontId="6" fillId="0" borderId="1" xfId="1" applyFont="1" applyFill="1" applyBorder="1" applyAlignment="1" applyProtection="1">
      <alignment horizontal="left" vertical="center" wrapText="1" indent="2"/>
    </xf>
    <xf numFmtId="0" fontId="6" fillId="5" borderId="1" xfId="6" applyFont="1" applyFill="1" applyBorder="1" applyAlignment="1" applyProtection="1">
      <alignment horizontal="center" vertical="center" wrapText="1"/>
    </xf>
    <xf numFmtId="0" fontId="6" fillId="0" borderId="1" xfId="1" quotePrefix="1" applyFont="1" applyBorder="1" applyAlignment="1" applyProtection="1">
      <alignment horizontal="left" vertical="center" wrapText="1"/>
    </xf>
    <xf numFmtId="0" fontId="6" fillId="0" borderId="1" xfId="7" applyFont="1" applyFill="1" applyBorder="1" applyAlignment="1">
      <alignment horizontal="center" vertical="center" wrapText="1"/>
    </xf>
    <xf numFmtId="0" fontId="5" fillId="0" borderId="1" xfId="7" applyFont="1" applyFill="1" applyBorder="1" applyAlignment="1" applyProtection="1">
      <alignment vertical="center" wrapText="1"/>
      <protection locked="0"/>
    </xf>
    <xf numFmtId="0" fontId="5" fillId="2" borderId="1" xfId="7" applyFont="1" applyFill="1" applyBorder="1" applyAlignment="1">
      <alignment horizontal="left" vertical="center" wrapText="1"/>
    </xf>
    <xf numFmtId="0" fontId="6" fillId="2" borderId="1" xfId="7" applyFont="1" applyFill="1" applyBorder="1" applyAlignment="1">
      <alignment horizontal="center" vertical="center" wrapText="1"/>
    </xf>
    <xf numFmtId="0" fontId="5" fillId="2" borderId="1" xfId="7" applyFont="1" applyFill="1" applyBorder="1" applyAlignment="1" applyProtection="1">
      <alignment vertical="center" wrapText="1"/>
      <protection locked="0"/>
    </xf>
    <xf numFmtId="0" fontId="5" fillId="2" borderId="1" xfId="5" applyFont="1" applyFill="1" applyBorder="1" applyAlignment="1">
      <alignment horizontal="left" vertical="center" wrapText="1"/>
    </xf>
    <xf numFmtId="0" fontId="6" fillId="2" borderId="1" xfId="5" applyFont="1" applyFill="1" applyBorder="1" applyAlignment="1">
      <alignment horizontal="center" vertical="center"/>
    </xf>
    <xf numFmtId="0" fontId="6" fillId="2" borderId="1" xfId="5" applyFont="1" applyFill="1" applyBorder="1" applyAlignment="1">
      <alignment vertical="center" wrapText="1"/>
    </xf>
    <xf numFmtId="0" fontId="5" fillId="2" borderId="1" xfId="1" applyFont="1" applyFill="1" applyBorder="1" applyAlignment="1" applyProtection="1">
      <alignment horizontal="left" vertical="center" wrapText="1"/>
    </xf>
    <xf numFmtId="0" fontId="6" fillId="2" borderId="1" xfId="1" applyFont="1" applyFill="1" applyBorder="1" applyAlignment="1" applyProtection="1">
      <alignment vertical="center" wrapText="1"/>
      <protection locked="0"/>
    </xf>
    <xf numFmtId="0" fontId="5" fillId="2" borderId="1" xfId="1" applyFont="1" applyFill="1" applyBorder="1" applyAlignment="1">
      <alignment horizontal="left"/>
    </xf>
    <xf numFmtId="0" fontId="6" fillId="2" borderId="1" xfId="1" applyFont="1" applyFill="1" applyBorder="1" applyAlignment="1">
      <alignment horizontal="center"/>
    </xf>
    <xf numFmtId="0" fontId="6" fillId="2" borderId="1" xfId="1" applyFont="1" applyFill="1" applyBorder="1" applyAlignment="1">
      <alignment wrapText="1"/>
    </xf>
    <xf numFmtId="0" fontId="5" fillId="2" borderId="1" xfId="1" applyFont="1" applyFill="1" applyBorder="1" applyAlignment="1" applyProtection="1">
      <alignment horizontal="left" vertical="center" wrapText="1"/>
      <protection locked="0"/>
    </xf>
    <xf numFmtId="0" fontId="6" fillId="2" borderId="1" xfId="1" applyFont="1" applyFill="1" applyBorder="1" applyAlignment="1" applyProtection="1">
      <alignment horizontal="left" vertical="center" wrapText="1"/>
      <protection locked="0"/>
    </xf>
    <xf numFmtId="0" fontId="6" fillId="2" borderId="1" xfId="1" applyFont="1" applyFill="1" applyBorder="1" applyAlignment="1" applyProtection="1">
      <alignment horizontal="left" vertical="center" wrapText="1"/>
    </xf>
    <xf numFmtId="0" fontId="6" fillId="0" borderId="1" xfId="8" applyFont="1" applyFill="1" applyBorder="1" applyAlignment="1" applyProtection="1">
      <alignment vertical="center" wrapText="1"/>
      <protection locked="0"/>
    </xf>
    <xf numFmtId="0" fontId="6" fillId="0" borderId="1" xfId="8" applyFont="1" applyFill="1" applyBorder="1" applyAlignment="1" applyProtection="1">
      <alignment horizontal="center" vertical="center"/>
      <protection locked="0"/>
    </xf>
    <xf numFmtId="0" fontId="6" fillId="0" borderId="1" xfId="8" applyFont="1" applyBorder="1" applyAlignment="1" applyProtection="1">
      <alignment horizontal="center" vertical="center" wrapText="1"/>
      <protection locked="0"/>
    </xf>
    <xf numFmtId="0" fontId="6" fillId="0" borderId="1" xfId="8" applyFont="1" applyBorder="1" applyAlignment="1" applyProtection="1">
      <alignment horizontal="left" vertical="top" wrapText="1" indent="2"/>
    </xf>
    <xf numFmtId="0" fontId="6" fillId="0" borderId="1" xfId="8" applyFont="1" applyBorder="1" applyProtection="1">
      <protection locked="0"/>
    </xf>
    <xf numFmtId="0" fontId="6" fillId="0" borderId="1" xfId="8" applyFont="1" applyBorder="1" applyAlignment="1" applyProtection="1">
      <alignment horizontal="center" vertical="top" wrapText="1"/>
      <protection locked="0"/>
    </xf>
    <xf numFmtId="0" fontId="6" fillId="5" borderId="1" xfId="8" applyFont="1" applyFill="1" applyBorder="1" applyAlignment="1" applyProtection="1">
      <alignment vertical="center"/>
    </xf>
    <xf numFmtId="0" fontId="6" fillId="0" borderId="1" xfId="8" applyFont="1" applyBorder="1" applyAlignment="1" applyProtection="1">
      <alignment horizontal="left" vertical="top" wrapText="1"/>
    </xf>
    <xf numFmtId="0" fontId="6" fillId="0" borderId="1" xfId="8" applyFont="1" applyBorder="1" applyAlignment="1" applyProtection="1">
      <alignment vertical="center"/>
      <protection locked="0"/>
    </xf>
    <xf numFmtId="0" fontId="6" fillId="0" borderId="1" xfId="8" applyFont="1" applyBorder="1" applyAlignment="1" applyProtection="1">
      <alignment horizontal="center" vertical="center"/>
      <protection locked="0"/>
    </xf>
    <xf numFmtId="0" fontId="6" fillId="0" borderId="1" xfId="8" applyFont="1" applyFill="1" applyBorder="1" applyAlignment="1" applyProtection="1">
      <alignment horizontal="center" vertical="center" wrapText="1"/>
      <protection locked="0"/>
    </xf>
    <xf numFmtId="0" fontId="6" fillId="0" borderId="1" xfId="5" applyFont="1" applyFill="1" applyBorder="1" applyAlignment="1">
      <alignment horizontal="center" vertical="center"/>
    </xf>
    <xf numFmtId="0" fontId="5" fillId="0" borderId="1" xfId="5" applyFont="1" applyFill="1" applyBorder="1" applyAlignment="1">
      <alignment horizontal="left" vertical="center" wrapText="1" indent="2"/>
    </xf>
    <xf numFmtId="0" fontId="5" fillId="0" borderId="1" xfId="8" applyFont="1" applyFill="1" applyBorder="1" applyAlignment="1" applyProtection="1">
      <alignment horizontal="left" vertical="top" wrapText="1" indent="2"/>
      <protection locked="0"/>
    </xf>
    <xf numFmtId="0" fontId="6" fillId="5" borderId="1" xfId="5" applyFont="1" applyFill="1" applyBorder="1" applyAlignment="1">
      <alignment horizontal="center" vertical="center"/>
    </xf>
    <xf numFmtId="0" fontId="5" fillId="0" borderId="1" xfId="8" applyFont="1" applyFill="1" applyBorder="1" applyAlignment="1" applyProtection="1">
      <alignment vertical="top" wrapText="1"/>
      <protection locked="0"/>
    </xf>
    <xf numFmtId="0" fontId="6" fillId="0" borderId="1" xfId="8" applyFont="1" applyFill="1" applyBorder="1" applyAlignment="1" applyProtection="1">
      <alignment vertical="center"/>
      <protection locked="0"/>
    </xf>
    <xf numFmtId="0" fontId="6" fillId="0" borderId="1" xfId="8" applyFont="1" applyFill="1" applyBorder="1" applyAlignment="1" applyProtection="1">
      <alignment horizontal="left" vertical="center" wrapText="1" indent="2"/>
    </xf>
    <xf numFmtId="0" fontId="6" fillId="5" borderId="1" xfId="8" applyFont="1" applyFill="1" applyBorder="1" applyAlignment="1" applyProtection="1">
      <alignment horizontal="center" vertical="center" wrapText="1"/>
      <protection locked="0"/>
    </xf>
    <xf numFmtId="0" fontId="6" fillId="0" borderId="1" xfId="8" applyFont="1" applyFill="1" applyBorder="1" applyAlignment="1" applyProtection="1">
      <alignment horizontal="left" vertical="center" wrapText="1"/>
    </xf>
    <xf numFmtId="0" fontId="6" fillId="0" borderId="1" xfId="10" applyFont="1" applyBorder="1" applyAlignment="1" applyProtection="1">
      <alignment vertical="center"/>
      <protection locked="0"/>
    </xf>
    <xf numFmtId="0" fontId="6" fillId="0" borderId="1" xfId="10" applyFont="1" applyBorder="1" applyAlignment="1" applyProtection="1">
      <alignment horizontal="center" vertical="center"/>
      <protection locked="0"/>
    </xf>
    <xf numFmtId="0" fontId="6" fillId="0" borderId="1" xfId="10" applyFont="1" applyBorder="1" applyAlignment="1" applyProtection="1">
      <alignment horizontal="left" vertical="top" wrapText="1"/>
    </xf>
    <xf numFmtId="0" fontId="6" fillId="0" borderId="1" xfId="1" applyFont="1" applyBorder="1" applyAlignment="1" applyProtection="1">
      <alignment vertical="center" wrapText="1"/>
    </xf>
    <xf numFmtId="0" fontId="5" fillId="0" borderId="1" xfId="5" applyFont="1" applyFill="1" applyBorder="1" applyAlignment="1">
      <alignment horizontal="left" vertical="center" wrapText="1"/>
    </xf>
    <xf numFmtId="0" fontId="6" fillId="0" borderId="1" xfId="1" applyFont="1" applyFill="1" applyBorder="1" applyAlignment="1">
      <alignment vertical="center" wrapText="1"/>
    </xf>
    <xf numFmtId="0" fontId="5" fillId="2" borderId="1" xfId="1" applyFont="1" applyFill="1" applyBorder="1" applyAlignment="1" applyProtection="1">
      <alignment horizontal="left"/>
      <protection locked="0"/>
    </xf>
    <xf numFmtId="0" fontId="6" fillId="2" borderId="1" xfId="1" applyFont="1" applyFill="1" applyBorder="1" applyAlignment="1" applyProtection="1">
      <alignment horizontal="center"/>
      <protection locked="0"/>
    </xf>
    <xf numFmtId="0" fontId="6" fillId="2" borderId="1" xfId="1" applyFont="1" applyFill="1" applyBorder="1" applyAlignment="1" applyProtection="1">
      <alignment wrapText="1"/>
    </xf>
    <xf numFmtId="0" fontId="5" fillId="4" borderId="1" xfId="5" applyFont="1" applyFill="1" applyBorder="1" applyAlignment="1">
      <alignment horizontal="left" vertical="center" wrapText="1"/>
    </xf>
    <xf numFmtId="0" fontId="6" fillId="4" borderId="1" xfId="5" applyFont="1" applyFill="1" applyBorder="1" applyAlignment="1">
      <alignment horizontal="center" vertical="center"/>
    </xf>
    <xf numFmtId="0" fontId="5" fillId="2" borderId="1" xfId="1" applyFont="1" applyFill="1" applyBorder="1" applyAlignment="1" applyProtection="1">
      <alignment horizontal="left" vertical="center"/>
      <protection locked="0"/>
    </xf>
    <xf numFmtId="0" fontId="6" fillId="2" borderId="1" xfId="1" applyFont="1" applyFill="1" applyBorder="1" applyAlignment="1" applyProtection="1">
      <alignment horizontal="center" vertical="center"/>
      <protection locked="0"/>
    </xf>
    <xf numFmtId="0" fontId="6" fillId="2" borderId="1" xfId="5" applyFont="1" applyFill="1" applyBorder="1" applyAlignment="1">
      <alignment horizontal="center" vertical="center" wrapText="1"/>
    </xf>
    <xf numFmtId="0" fontId="5" fillId="0" borderId="1" xfId="5" applyFont="1" applyBorder="1" applyAlignment="1">
      <alignment horizontal="left" vertical="center" wrapText="1"/>
    </xf>
    <xf numFmtId="0" fontId="5" fillId="0" borderId="1" xfId="5" applyFont="1" applyFill="1" applyBorder="1" applyAlignment="1">
      <alignment vertical="center" wrapText="1"/>
    </xf>
    <xf numFmtId="0" fontId="5" fillId="0" borderId="1" xfId="1" applyFont="1" applyBorder="1" applyAlignment="1" applyProtection="1">
      <alignment horizontal="left"/>
      <protection locked="0"/>
    </xf>
    <xf numFmtId="0" fontId="6" fillId="0" borderId="1" xfId="1" applyFont="1" applyBorder="1" applyAlignment="1" applyProtection="1">
      <alignment horizontal="center"/>
      <protection locked="0"/>
    </xf>
    <xf numFmtId="0" fontId="6" fillId="5" borderId="1" xfId="1" applyFont="1" applyFill="1" applyBorder="1" applyAlignment="1" applyProtection="1">
      <alignment horizontal="center" vertical="center" wrapText="1"/>
      <protection locked="0"/>
    </xf>
    <xf numFmtId="0" fontId="6" fillId="4" borderId="1" xfId="5" applyFont="1" applyFill="1" applyBorder="1" applyAlignment="1">
      <alignment vertical="center" wrapText="1"/>
    </xf>
    <xf numFmtId="0" fontId="6" fillId="2" borderId="1" xfId="1" applyFont="1" applyFill="1" applyBorder="1" applyAlignment="1" applyProtection="1">
      <alignment horizontal="center" vertical="center" wrapText="1"/>
      <protection locked="0"/>
    </xf>
    <xf numFmtId="0" fontId="5" fillId="0" borderId="1" xfId="1" applyFont="1" applyFill="1" applyBorder="1" applyAlignment="1" applyProtection="1">
      <alignment horizontal="left" vertical="center" wrapText="1"/>
    </xf>
    <xf numFmtId="0" fontId="5" fillId="0" borderId="1" xfId="12" applyFont="1" applyFill="1" applyBorder="1" applyAlignment="1">
      <alignment horizontal="left" vertical="center" wrapText="1"/>
    </xf>
    <xf numFmtId="0" fontId="6" fillId="0" borderId="1" xfId="5" applyFont="1" applyBorder="1" applyAlignment="1">
      <alignment horizontal="center" vertical="center" wrapText="1"/>
    </xf>
    <xf numFmtId="0" fontId="6" fillId="0" borderId="1" xfId="5" applyFont="1" applyFill="1" applyBorder="1" applyAlignment="1">
      <alignment horizontal="left" vertical="center" wrapText="1" indent="2"/>
    </xf>
    <xf numFmtId="0" fontId="6" fillId="0" borderId="1" xfId="5" applyFont="1" applyFill="1" applyBorder="1" applyAlignment="1">
      <alignment horizontal="center" vertical="center" wrapText="1"/>
    </xf>
    <xf numFmtId="0" fontId="6" fillId="5" borderId="1" xfId="5" applyFont="1" applyFill="1" applyBorder="1" applyAlignment="1">
      <alignment horizontal="center" vertical="center" wrapText="1"/>
    </xf>
    <xf numFmtId="0" fontId="6" fillId="2" borderId="1" xfId="5" applyFont="1" applyFill="1" applyBorder="1" applyAlignment="1">
      <alignment horizontal="left" vertical="center" wrapText="1"/>
    </xf>
    <xf numFmtId="0" fontId="6" fillId="2" borderId="1" xfId="5" applyFont="1" applyFill="1" applyBorder="1" applyAlignment="1">
      <alignment horizontal="left" vertical="center" wrapText="1" indent="2"/>
    </xf>
    <xf numFmtId="0" fontId="7" fillId="0" borderId="1" xfId="5" applyFont="1" applyFill="1" applyBorder="1" applyAlignment="1">
      <alignment horizontal="center" vertical="center" wrapText="1"/>
    </xf>
    <xf numFmtId="0" fontId="6" fillId="2" borderId="1" xfId="5" applyFont="1" applyFill="1" applyBorder="1" applyAlignment="1" applyProtection="1">
      <alignment horizontal="center" vertical="center" wrapText="1"/>
      <protection locked="0"/>
    </xf>
    <xf numFmtId="0" fontId="6" fillId="0" borderId="1" xfId="1" applyFont="1" applyFill="1" applyBorder="1" applyAlignment="1" applyProtection="1">
      <alignment vertical="center" wrapText="1"/>
      <protection locked="0"/>
    </xf>
    <xf numFmtId="0" fontId="5" fillId="2" borderId="1" xfId="13" applyFont="1" applyFill="1" applyBorder="1" applyAlignment="1" applyProtection="1">
      <alignment vertical="center" wrapText="1"/>
      <protection locked="0"/>
    </xf>
    <xf numFmtId="0" fontId="6" fillId="2" borderId="1" xfId="13" applyFont="1" applyFill="1" applyBorder="1" applyAlignment="1" applyProtection="1">
      <alignment horizontal="center" vertical="center" wrapText="1"/>
      <protection locked="0"/>
    </xf>
    <xf numFmtId="0" fontId="6" fillId="2" borderId="1" xfId="13" applyFont="1" applyFill="1" applyBorder="1" applyAlignment="1" applyProtection="1">
      <alignment horizontal="left" vertical="center" wrapText="1"/>
      <protection locked="0"/>
    </xf>
    <xf numFmtId="0" fontId="6" fillId="0" borderId="1" xfId="13" applyFont="1" applyFill="1" applyBorder="1" applyAlignment="1" applyProtection="1">
      <alignment horizontal="center" vertical="center" wrapText="1"/>
      <protection locked="0"/>
    </xf>
    <xf numFmtId="0" fontId="6" fillId="0" borderId="1" xfId="13" applyFont="1" applyFill="1" applyBorder="1" applyAlignment="1" applyProtection="1">
      <alignment horizontal="left" vertical="center" wrapText="1"/>
      <protection locked="0"/>
    </xf>
    <xf numFmtId="0" fontId="6" fillId="2" borderId="1" xfId="13" applyFont="1" applyFill="1" applyBorder="1" applyAlignment="1" applyProtection="1">
      <alignment horizontal="left" vertical="center" wrapText="1" indent="2"/>
      <protection locked="0"/>
    </xf>
    <xf numFmtId="0" fontId="6" fillId="5" borderId="1" xfId="13" applyFont="1" applyFill="1" applyBorder="1" applyAlignment="1" applyProtection="1">
      <alignment horizontal="center" vertical="center" wrapText="1"/>
      <protection locked="0"/>
    </xf>
    <xf numFmtId="0" fontId="6" fillId="2" borderId="1" xfId="13" applyFont="1" applyFill="1" applyBorder="1" applyAlignment="1" applyProtection="1">
      <alignment vertical="center" wrapText="1"/>
      <protection locked="0"/>
    </xf>
    <xf numFmtId="0" fontId="6" fillId="2" borderId="1" xfId="14" applyFont="1" applyFill="1" applyBorder="1" applyAlignment="1" applyProtection="1">
      <alignment vertical="center" wrapText="1"/>
      <protection locked="0"/>
    </xf>
    <xf numFmtId="0" fontId="8" fillId="2" borderId="1" xfId="1" applyFont="1" applyFill="1" applyBorder="1" applyAlignment="1" applyProtection="1">
      <alignment horizontal="center" vertical="center" wrapText="1"/>
      <protection locked="0"/>
    </xf>
    <xf numFmtId="0" fontId="6" fillId="2" borderId="1" xfId="14" applyFont="1" applyFill="1" applyBorder="1" applyAlignment="1" applyProtection="1">
      <alignment horizontal="left" vertical="center" wrapText="1"/>
      <protection locked="0"/>
    </xf>
    <xf numFmtId="0" fontId="6" fillId="0" borderId="1" xfId="7" applyFont="1" applyFill="1" applyBorder="1" applyAlignment="1" applyProtection="1">
      <alignment vertical="center" wrapText="1"/>
      <protection locked="0"/>
    </xf>
    <xf numFmtId="0" fontId="5" fillId="2" borderId="1" xfId="13" applyFont="1" applyFill="1" applyBorder="1" applyAlignment="1" applyProtection="1">
      <alignment horizontal="left" vertical="center" wrapText="1"/>
      <protection locked="0"/>
    </xf>
    <xf numFmtId="0" fontId="9" fillId="0" borderId="1" xfId="5" applyFont="1" applyFill="1" applyBorder="1" applyAlignment="1">
      <alignment vertical="center" wrapText="1"/>
    </xf>
    <xf numFmtId="0" fontId="6" fillId="2" borderId="1" xfId="10" applyFont="1" applyFill="1" applyBorder="1" applyAlignment="1" applyProtection="1">
      <alignment vertical="center"/>
      <protection locked="0"/>
    </xf>
    <xf numFmtId="0" fontId="6" fillId="2" borderId="1" xfId="10" applyFont="1" applyFill="1" applyBorder="1" applyAlignment="1" applyProtection="1">
      <alignment horizontal="center" vertical="center"/>
      <protection locked="0"/>
    </xf>
    <xf numFmtId="0" fontId="6" fillId="2" borderId="1" xfId="10" applyFont="1" applyFill="1" applyBorder="1" applyAlignment="1" applyProtection="1">
      <alignment horizontal="left" vertical="center" wrapText="1"/>
    </xf>
    <xf numFmtId="49" fontId="6" fillId="0" borderId="1" xfId="17" applyNumberFormat="1" applyFont="1" applyFill="1" applyBorder="1" applyAlignment="1" applyProtection="1">
      <alignment vertical="center" wrapText="1"/>
      <protection locked="0"/>
    </xf>
    <xf numFmtId="0" fontId="6" fillId="0" borderId="1" xfId="17" applyFont="1" applyFill="1" applyBorder="1" applyAlignment="1" applyProtection="1">
      <alignment horizontal="center" vertical="center" wrapText="1"/>
      <protection locked="0"/>
    </xf>
    <xf numFmtId="0" fontId="5" fillId="0" borderId="1" xfId="17" applyFont="1" applyFill="1" applyBorder="1" applyAlignment="1" applyProtection="1">
      <alignment horizontal="left" vertical="center" wrapText="1"/>
    </xf>
    <xf numFmtId="0" fontId="6" fillId="0" borderId="1" xfId="1" applyFont="1" applyBorder="1" applyAlignment="1" applyProtection="1">
      <alignment horizontal="left" vertical="top" wrapText="1" indent="2"/>
    </xf>
    <xf numFmtId="0" fontId="6" fillId="5" borderId="1" xfId="1" applyFont="1" applyFill="1" applyBorder="1" applyAlignment="1" applyProtection="1">
      <alignment vertical="center"/>
    </xf>
    <xf numFmtId="0" fontId="6" fillId="0" borderId="1" xfId="1" applyFont="1" applyBorder="1" applyAlignment="1" applyProtection="1">
      <alignment horizontal="left" vertical="top" wrapText="1"/>
    </xf>
    <xf numFmtId="0" fontId="6" fillId="0" borderId="1" xfId="1" applyFont="1" applyFill="1" applyBorder="1" applyAlignment="1" applyProtection="1">
      <alignment horizontal="left" vertical="top" wrapText="1" indent="2"/>
    </xf>
    <xf numFmtId="0" fontId="8" fillId="0" borderId="1" xfId="1" applyFont="1" applyBorder="1" applyAlignment="1" applyProtection="1">
      <alignment horizontal="center" vertical="center"/>
      <protection locked="0"/>
    </xf>
    <xf numFmtId="0" fontId="7" fillId="0" borderId="1" xfId="1" applyFont="1" applyFill="1" applyBorder="1" applyAlignment="1" applyProtection="1">
      <alignment horizontal="left" vertical="center"/>
      <protection locked="0"/>
    </xf>
    <xf numFmtId="0" fontId="10" fillId="0" borderId="1" xfId="1" applyFont="1" applyFill="1" applyBorder="1" applyAlignment="1" applyProtection="1">
      <alignment horizontal="center" vertical="center"/>
      <protection locked="0"/>
    </xf>
    <xf numFmtId="0" fontId="6" fillId="0" borderId="1" xfId="1" applyFont="1" applyFill="1" applyBorder="1" applyAlignment="1" applyProtection="1">
      <alignment horizontal="left" vertical="top" wrapText="1"/>
    </xf>
    <xf numFmtId="0" fontId="6" fillId="2" borderId="1" xfId="1" applyFont="1" applyFill="1" applyBorder="1" applyAlignment="1" applyProtection="1">
      <alignment horizontal="left" vertical="top" wrapText="1" indent="2"/>
    </xf>
    <xf numFmtId="0" fontId="6" fillId="6" borderId="1" xfId="1" applyFont="1" applyFill="1" applyBorder="1" applyAlignment="1" applyProtection="1">
      <alignment horizontal="center" vertical="center" wrapText="1"/>
      <protection locked="0"/>
    </xf>
    <xf numFmtId="0" fontId="6" fillId="2" borderId="1" xfId="19" applyFont="1" applyFill="1" applyBorder="1" applyAlignment="1" applyProtection="1">
      <alignment horizontal="left" vertical="center" wrapText="1"/>
    </xf>
    <xf numFmtId="49" fontId="5" fillId="0" borderId="1" xfId="1" applyNumberFormat="1" applyFont="1" applyFill="1" applyBorder="1" applyAlignment="1" applyProtection="1">
      <alignment horizontal="left" vertical="center" wrapText="1"/>
      <protection locked="0"/>
    </xf>
    <xf numFmtId="0" fontId="5" fillId="0" borderId="1" xfId="1" applyFont="1" applyFill="1" applyBorder="1" applyAlignment="1" applyProtection="1">
      <alignment horizontal="left" vertical="center" wrapText="1" indent="2"/>
    </xf>
    <xf numFmtId="49" fontId="5" fillId="0" borderId="1" xfId="1" applyNumberFormat="1" applyFont="1" applyBorder="1" applyAlignment="1" applyProtection="1">
      <alignment horizontal="left" vertical="center" wrapText="1"/>
      <protection locked="0"/>
    </xf>
    <xf numFmtId="0" fontId="5" fillId="0" borderId="1" xfId="20" applyFont="1" applyFill="1" applyBorder="1" applyAlignment="1" applyProtection="1">
      <alignment horizontal="left" vertical="center" wrapText="1"/>
    </xf>
    <xf numFmtId="49" fontId="5" fillId="4" borderId="1" xfId="1" applyNumberFormat="1" applyFont="1" applyFill="1" applyBorder="1" applyAlignment="1" applyProtection="1">
      <alignment horizontal="left" vertical="center" wrapText="1"/>
      <protection locked="0"/>
    </xf>
    <xf numFmtId="49" fontId="6" fillId="4" borderId="1" xfId="1" applyNumberFormat="1" applyFont="1" applyFill="1" applyBorder="1" applyAlignment="1" applyProtection="1">
      <alignment vertical="center" wrapText="1"/>
    </xf>
    <xf numFmtId="0" fontId="6" fillId="4" borderId="1" xfId="1" applyFont="1" applyFill="1" applyBorder="1" applyAlignment="1" applyProtection="1">
      <alignment horizontal="left" vertical="top" wrapText="1"/>
    </xf>
    <xf numFmtId="0" fontId="9" fillId="0" borderId="1" xfId="7" applyFont="1" applyFill="1" applyBorder="1" applyAlignment="1">
      <alignment vertical="center" wrapText="1"/>
    </xf>
    <xf numFmtId="0" fontId="11" fillId="0" borderId="1" xfId="21" applyFont="1" applyFill="1" applyBorder="1" applyAlignment="1" applyProtection="1">
      <alignment vertical="center"/>
      <protection locked="0"/>
    </xf>
    <xf numFmtId="0" fontId="10" fillId="0" borderId="1" xfId="21" applyFont="1" applyFill="1" applyBorder="1" applyAlignment="1" applyProtection="1">
      <alignment horizontal="center" vertical="center"/>
      <protection locked="0"/>
    </xf>
    <xf numFmtId="0" fontId="6" fillId="0" borderId="1" xfId="21" applyFont="1" applyFill="1" applyBorder="1" applyAlignment="1" applyProtection="1">
      <alignment horizontal="left" vertical="center" wrapText="1"/>
    </xf>
    <xf numFmtId="0" fontId="6" fillId="2" borderId="1" xfId="1" applyFont="1" applyFill="1" applyBorder="1" applyAlignment="1" applyProtection="1">
      <alignment horizontal="left" wrapText="1"/>
    </xf>
    <xf numFmtId="0" fontId="6" fillId="0" borderId="1" xfId="22" applyFont="1" applyFill="1" applyBorder="1" applyAlignment="1" applyProtection="1">
      <alignment horizontal="left" vertical="center" wrapText="1"/>
    </xf>
    <xf numFmtId="49" fontId="5" fillId="2" borderId="1" xfId="1" applyNumberFormat="1" applyFont="1" applyFill="1" applyBorder="1" applyAlignment="1" applyProtection="1">
      <alignment horizontal="left" vertical="center" wrapText="1"/>
      <protection locked="0"/>
    </xf>
    <xf numFmtId="0" fontId="5" fillId="2" borderId="1" xfId="1" applyFont="1" applyFill="1" applyBorder="1" applyAlignment="1" applyProtection="1">
      <alignment horizontal="left" vertical="center" wrapText="1" indent="2"/>
    </xf>
    <xf numFmtId="0" fontId="5" fillId="2" borderId="1" xfId="1" applyFont="1" applyFill="1" applyBorder="1" applyAlignment="1" applyProtection="1">
      <alignment vertical="center" wrapText="1"/>
    </xf>
    <xf numFmtId="0" fontId="12" fillId="2" borderId="0" xfId="1" applyFont="1" applyFill="1"/>
    <xf numFmtId="0" fontId="1" fillId="2" borderId="1" xfId="1" applyFont="1" applyFill="1" applyBorder="1" applyAlignment="1" applyProtection="1">
      <alignment horizontal="left" vertical="center"/>
      <protection locked="0"/>
    </xf>
    <xf numFmtId="0" fontId="1" fillId="2" borderId="1" xfId="1" applyFont="1" applyFill="1" applyBorder="1" applyAlignment="1" applyProtection="1">
      <alignment horizontal="center" vertical="center" wrapText="1"/>
      <protection locked="0"/>
    </xf>
    <xf numFmtId="0" fontId="1" fillId="2" borderId="1" xfId="1" applyFont="1" applyFill="1" applyBorder="1" applyAlignment="1" applyProtection="1">
      <alignment vertical="center" wrapText="1"/>
    </xf>
    <xf numFmtId="0" fontId="4" fillId="0" borderId="0" xfId="1" applyBorder="1"/>
    <xf numFmtId="0" fontId="5" fillId="0" borderId="0" xfId="1" applyFont="1" applyBorder="1" applyAlignment="1">
      <alignment horizontal="left"/>
    </xf>
    <xf numFmtId="0" fontId="6" fillId="0" borderId="0" xfId="1" applyFont="1" applyBorder="1" applyAlignment="1">
      <alignment horizontal="center"/>
    </xf>
    <xf numFmtId="0" fontId="6" fillId="0" borderId="0" xfId="1" applyFont="1" applyBorder="1"/>
    <xf numFmtId="0" fontId="6" fillId="0" borderId="0" xfId="1" applyFont="1" applyFill="1" applyBorder="1" applyAlignment="1"/>
    <xf numFmtId="0" fontId="14" fillId="0" borderId="0" xfId="1" applyFont="1" applyBorder="1"/>
    <xf numFmtId="0" fontId="15" fillId="0" borderId="0" xfId="1" applyFont="1" applyBorder="1" applyAlignment="1">
      <alignment horizontal="left"/>
    </xf>
    <xf numFmtId="0" fontId="14" fillId="0" borderId="0" xfId="1" applyFont="1" applyBorder="1" applyAlignment="1">
      <alignment horizontal="center"/>
    </xf>
    <xf numFmtId="0" fontId="6" fillId="2" borderId="1" xfId="14" applyFont="1" applyFill="1" applyBorder="1" applyAlignment="1" applyProtection="1">
      <alignment horizontal="left" vertical="center" wrapText="1" indent="2"/>
      <protection locked="0"/>
    </xf>
    <xf numFmtId="0" fontId="6" fillId="0" borderId="1" xfId="19168" applyFont="1" applyFill="1" applyBorder="1" applyAlignment="1">
      <alignment horizontal="center" vertical="center" wrapText="1"/>
    </xf>
    <xf numFmtId="0" fontId="6" fillId="2" borderId="1" xfId="19168" applyFont="1" applyFill="1" applyBorder="1" applyAlignment="1" applyProtection="1">
      <alignment horizontal="center" vertical="center"/>
      <protection locked="0"/>
    </xf>
    <xf numFmtId="0" fontId="6" fillId="0" borderId="1" xfId="14" applyFont="1" applyFill="1" applyBorder="1" applyAlignment="1" applyProtection="1">
      <alignment horizontal="left" vertical="center" wrapText="1" indent="2"/>
      <protection locked="0"/>
    </xf>
    <xf numFmtId="0" fontId="6" fillId="0" borderId="1" xfId="19168" applyFont="1" applyFill="1" applyBorder="1" applyAlignment="1" applyProtection="1">
      <alignment horizontal="center" vertical="center"/>
      <protection locked="0"/>
    </xf>
    <xf numFmtId="0" fontId="6" fillId="0" borderId="1" xfId="14" applyFont="1" applyFill="1" applyBorder="1" applyAlignment="1" applyProtection="1">
      <alignment vertical="center" wrapText="1"/>
      <protection locked="0"/>
    </xf>
    <xf numFmtId="0" fontId="6" fillId="0" borderId="1" xfId="19164" applyFont="1" applyFill="1" applyBorder="1" applyAlignment="1">
      <alignment horizontal="center" vertical="center" wrapText="1"/>
    </xf>
    <xf numFmtId="0" fontId="6" fillId="0" borderId="1" xfId="19164" applyFont="1" applyBorder="1" applyAlignment="1" applyProtection="1">
      <alignment horizontal="center" vertical="center"/>
      <protection locked="0"/>
    </xf>
    <xf numFmtId="0" fontId="6" fillId="0" borderId="1" xfId="19164" applyFont="1" applyFill="1" applyBorder="1" applyAlignment="1" applyProtection="1">
      <alignment horizontal="center" vertical="center"/>
      <protection locked="0"/>
    </xf>
    <xf numFmtId="0" fontId="6" fillId="0" borderId="1" xfId="14" applyFont="1" applyFill="1" applyBorder="1" applyAlignment="1" applyProtection="1">
      <alignment horizontal="left" vertical="center" wrapText="1"/>
      <protection locked="0"/>
    </xf>
    <xf numFmtId="0" fontId="6" fillId="2" borderId="1" xfId="19168" applyFont="1" applyFill="1" applyBorder="1" applyAlignment="1">
      <alignment horizontal="center" vertical="center" wrapText="1"/>
    </xf>
    <xf numFmtId="0" fontId="6" fillId="0" borderId="1" xfId="19168" applyFont="1" applyBorder="1" applyAlignment="1" applyProtection="1">
      <alignment horizontal="center" vertical="center"/>
      <protection locked="0"/>
    </xf>
    <xf numFmtId="0" fontId="3" fillId="2" borderId="1" xfId="4" applyFont="1" applyFill="1" applyBorder="1" applyAlignment="1">
      <alignment horizontal="center"/>
    </xf>
    <xf numFmtId="0" fontId="6" fillId="2" borderId="1" xfId="4" applyFont="1" applyFill="1" applyBorder="1" applyAlignment="1">
      <alignment horizontal="center"/>
    </xf>
    <xf numFmtId="0" fontId="6" fillId="2" borderId="1" xfId="4" applyFont="1" applyFill="1" applyBorder="1" applyAlignment="1">
      <alignment horizontal="left" wrapText="1"/>
    </xf>
    <xf numFmtId="0" fontId="6" fillId="2" borderId="1" xfId="4" applyFont="1" applyFill="1" applyBorder="1" applyAlignment="1">
      <alignment horizontal="left" wrapText="1" indent="2"/>
    </xf>
    <xf numFmtId="0" fontId="6" fillId="0" borderId="1" xfId="12562" applyFont="1" applyFill="1" applyBorder="1" applyAlignment="1">
      <alignment horizontal="left" vertical="center" wrapText="1" indent="2"/>
    </xf>
    <xf numFmtId="0" fontId="6" fillId="0" borderId="1" xfId="12562" applyFont="1" applyBorder="1" applyAlignment="1" applyProtection="1">
      <alignment horizontal="center" vertical="center" wrapText="1"/>
      <protection locked="0"/>
    </xf>
    <xf numFmtId="0" fontId="9" fillId="0" borderId="1" xfId="12562" applyFont="1" applyFill="1" applyBorder="1" applyAlignment="1" applyProtection="1">
      <alignment horizontal="left" vertical="center" wrapText="1"/>
      <protection locked="0"/>
    </xf>
    <xf numFmtId="0" fontId="0" fillId="2" borderId="0" xfId="0" applyFill="1"/>
    <xf numFmtId="0" fontId="6" fillId="0" borderId="1" xfId="12562" applyFont="1" applyBorder="1" applyAlignment="1">
      <alignment horizontal="left" vertical="center" wrapText="1" indent="2"/>
    </xf>
    <xf numFmtId="0" fontId="3" fillId="5" borderId="1" xfId="4" applyFont="1" applyFill="1" applyBorder="1" applyAlignment="1">
      <alignment horizontal="center"/>
    </xf>
    <xf numFmtId="0" fontId="6" fillId="5" borderId="1" xfId="4" applyFont="1" applyFill="1" applyBorder="1" applyAlignment="1">
      <alignment horizontal="center"/>
    </xf>
    <xf numFmtId="0" fontId="6" fillId="5" borderId="1" xfId="6" applyFont="1" applyFill="1" applyBorder="1" applyAlignment="1" applyProtection="1">
      <alignment vertical="center" wrapText="1"/>
    </xf>
    <xf numFmtId="0" fontId="5" fillId="0" borderId="1" xfId="12562" applyFont="1" applyBorder="1" applyAlignment="1">
      <alignment vertical="center" wrapText="1"/>
    </xf>
    <xf numFmtId="0" fontId="6" fillId="0" borderId="1" xfId="1" applyFont="1" applyBorder="1"/>
    <xf numFmtId="0" fontId="6" fillId="0" borderId="1" xfId="1" applyFont="1" applyBorder="1" applyAlignment="1">
      <alignment horizontal="center"/>
    </xf>
    <xf numFmtId="0" fontId="5" fillId="0" borderId="1" xfId="1" applyFont="1" applyBorder="1" applyAlignment="1">
      <alignment horizontal="left"/>
    </xf>
    <xf numFmtId="0" fontId="6" fillId="0" borderId="1" xfId="1" applyFont="1" applyBorder="1" applyAlignment="1">
      <alignment horizontal="left" indent="2"/>
    </xf>
    <xf numFmtId="0" fontId="6" fillId="5" borderId="1" xfId="1" applyFont="1" applyFill="1" applyBorder="1" applyAlignment="1">
      <alignment horizontal="center"/>
    </xf>
    <xf numFmtId="0" fontId="5" fillId="0" borderId="1" xfId="12610" applyFont="1" applyFill="1" applyBorder="1" applyAlignment="1">
      <alignment vertical="center" wrapText="1"/>
    </xf>
    <xf numFmtId="0" fontId="6" fillId="0" borderId="1" xfId="12610" applyFont="1" applyFill="1" applyBorder="1" applyAlignment="1">
      <alignment vertical="center" wrapText="1"/>
    </xf>
    <xf numFmtId="0" fontId="6" fillId="0" borderId="1" xfId="12610" applyFont="1" applyBorder="1" applyAlignment="1" applyProtection="1">
      <alignment horizontal="center" vertical="center" wrapText="1"/>
      <protection locked="0"/>
    </xf>
    <xf numFmtId="0" fontId="9" fillId="0" borderId="1" xfId="12610" applyFont="1" applyFill="1" applyBorder="1" applyAlignment="1" applyProtection="1">
      <alignment horizontal="left" vertical="top" wrapText="1"/>
      <protection locked="0"/>
    </xf>
    <xf numFmtId="0" fontId="6" fillId="0" borderId="1" xfId="12610" applyFont="1" applyBorder="1" applyAlignment="1" applyProtection="1">
      <alignment vertical="center" wrapText="1"/>
    </xf>
    <xf numFmtId="0" fontId="9" fillId="0" borderId="1" xfId="12610" applyFont="1" applyBorder="1" applyAlignment="1" applyProtection="1">
      <alignment horizontal="left" vertical="center" wrapText="1" indent="1"/>
      <protection locked="0"/>
    </xf>
    <xf numFmtId="0" fontId="6" fillId="0" borderId="1" xfId="12610" applyFont="1" applyFill="1" applyBorder="1" applyAlignment="1" applyProtection="1">
      <alignment horizontal="left" vertical="center" wrapText="1" indent="2"/>
    </xf>
    <xf numFmtId="0" fontId="6" fillId="0" borderId="1" xfId="12610" applyFont="1" applyFill="1" applyBorder="1" applyAlignment="1" applyProtection="1">
      <alignment horizontal="center" vertical="center" wrapText="1"/>
      <protection locked="0"/>
    </xf>
    <xf numFmtId="0" fontId="9" fillId="0" borderId="1" xfId="12610" applyFont="1" applyBorder="1" applyAlignment="1" applyProtection="1">
      <alignment vertical="center" wrapText="1"/>
      <protection locked="0"/>
    </xf>
    <xf numFmtId="0" fontId="6" fillId="0" borderId="1" xfId="12610" applyFont="1" applyFill="1" applyBorder="1" applyAlignment="1" applyProtection="1">
      <alignment horizontal="left" vertical="center" wrapText="1" indent="2"/>
      <protection locked="0"/>
    </xf>
    <xf numFmtId="0" fontId="9" fillId="0" borderId="1" xfId="12610" applyFont="1" applyBorder="1" applyAlignment="1" applyProtection="1">
      <alignment horizontal="left" vertical="center" wrapText="1" indent="2"/>
      <protection locked="0"/>
    </xf>
    <xf numFmtId="0" fontId="0" fillId="0" borderId="0" xfId="0" applyAlignment="1">
      <alignment horizontal="left" vertical="center" indent="2"/>
    </xf>
    <xf numFmtId="0" fontId="6" fillId="0" borderId="1" xfId="1" applyFont="1" applyBorder="1" applyAlignment="1">
      <alignment wrapText="1"/>
    </xf>
    <xf numFmtId="0" fontId="1" fillId="2" borderId="1" xfId="14692" applyFont="1" applyFill="1" applyBorder="1" applyAlignment="1">
      <alignment horizontal="left" vertical="center" wrapText="1"/>
    </xf>
    <xf numFmtId="0" fontId="1" fillId="2" borderId="1" xfId="14692" applyFont="1" applyFill="1" applyBorder="1"/>
    <xf numFmtId="0" fontId="9" fillId="0" borderId="1" xfId="12610" applyFont="1" applyBorder="1"/>
    <xf numFmtId="0" fontId="6" fillId="0" borderId="1" xfId="12610" applyFont="1" applyBorder="1" applyAlignment="1"/>
    <xf numFmtId="0" fontId="6" fillId="0" borderId="1" xfId="12610" applyFont="1" applyBorder="1" applyAlignment="1">
      <alignment wrapText="1"/>
    </xf>
    <xf numFmtId="0" fontId="8" fillId="30" borderId="1" xfId="13" applyFont="1" applyFill="1" applyBorder="1" applyAlignment="1" applyProtection="1">
      <alignment horizontal="left" vertical="center" wrapText="1"/>
      <protection locked="0"/>
    </xf>
    <xf numFmtId="0" fontId="5" fillId="0" borderId="1" xfId="12562" applyFont="1" applyBorder="1" applyAlignment="1">
      <alignment horizontal="left" vertical="center" wrapText="1" indent="2"/>
    </xf>
    <xf numFmtId="0" fontId="5" fillId="0" borderId="1" xfId="12562" applyFont="1" applyBorder="1" applyAlignment="1">
      <alignment horizontal="left" vertical="center" wrapText="1" indent="4"/>
    </xf>
    <xf numFmtId="0" fontId="6" fillId="2" borderId="1" xfId="6" applyFont="1" applyFill="1" applyBorder="1" applyAlignment="1" applyProtection="1">
      <alignment vertical="center" wrapText="1"/>
    </xf>
    <xf numFmtId="0" fontId="0" fillId="0" borderId="1" xfId="0" applyBorder="1"/>
    <xf numFmtId="0" fontId="6" fillId="0" borderId="1" xfId="13" applyFont="1" applyFill="1" applyBorder="1" applyAlignment="1" applyProtection="1">
      <alignment vertical="center" wrapText="1"/>
    </xf>
    <xf numFmtId="0" fontId="6" fillId="0" borderId="1" xfId="13" applyFont="1" applyFill="1" applyBorder="1" applyAlignment="1" applyProtection="1">
      <alignment horizontal="center" vertical="center" wrapText="1"/>
    </xf>
    <xf numFmtId="0" fontId="5" fillId="0" borderId="1" xfId="13" applyFont="1" applyFill="1" applyBorder="1" applyAlignment="1" applyProtection="1">
      <alignment vertical="center" wrapText="1"/>
    </xf>
    <xf numFmtId="0" fontId="6" fillId="2" borderId="1" xfId="9" applyFont="1" applyFill="1" applyBorder="1" applyAlignment="1" applyProtection="1">
      <alignment horizontal="left" vertical="center" wrapText="1"/>
    </xf>
    <xf numFmtId="0" fontId="2" fillId="3" borderId="1" xfId="1" applyFont="1" applyFill="1" applyBorder="1" applyAlignment="1" applyProtection="1">
      <alignment horizontal="center" vertical="center"/>
      <protection locked="0"/>
    </xf>
    <xf numFmtId="0" fontId="2" fillId="3" borderId="1" xfId="1" applyFont="1" applyFill="1" applyBorder="1" applyAlignment="1" applyProtection="1">
      <alignment horizontal="left" vertical="center" wrapText="1"/>
      <protection locked="0"/>
    </xf>
    <xf numFmtId="0" fontId="35" fillId="0" borderId="0" xfId="24" applyFont="1"/>
    <xf numFmtId="0" fontId="6" fillId="0" borderId="0" xfId="10510" applyFont="1"/>
    <xf numFmtId="0" fontId="1" fillId="0" borderId="0" xfId="10510"/>
    <xf numFmtId="0" fontId="8" fillId="0" borderId="0" xfId="1" applyFont="1" applyBorder="1" applyAlignment="1">
      <alignment horizontal="center" vertical="center" wrapText="1"/>
    </xf>
    <xf numFmtId="0" fontId="8" fillId="5" borderId="1" xfId="1" applyFont="1" applyFill="1" applyBorder="1" applyAlignment="1">
      <alignment horizontal="center"/>
    </xf>
    <xf numFmtId="0" fontId="6" fillId="0" borderId="0" xfId="1" applyFont="1" applyAlignment="1">
      <alignment wrapText="1"/>
    </xf>
    <xf numFmtId="0" fontId="6" fillId="0" borderId="1" xfId="1" applyFont="1" applyBorder="1" applyAlignment="1">
      <alignment horizontal="left"/>
    </xf>
    <xf numFmtId="0" fontId="6" fillId="5" borderId="1" xfId="1" applyFont="1" applyFill="1" applyBorder="1" applyAlignment="1">
      <alignment horizontal="left"/>
    </xf>
    <xf numFmtId="0" fontId="6" fillId="5" borderId="1" xfId="1" applyFont="1" applyFill="1" applyBorder="1" applyAlignment="1">
      <alignment vertical="top"/>
    </xf>
    <xf numFmtId="0" fontId="6" fillId="0" borderId="1" xfId="1" applyFont="1" applyBorder="1" applyAlignment="1">
      <alignment vertical="top" wrapText="1"/>
    </xf>
    <xf numFmtId="0" fontId="1" fillId="0" borderId="0" xfId="10510" applyFont="1"/>
    <xf numFmtId="0" fontId="1" fillId="0" borderId="0" xfId="10510" applyAlignment="1">
      <alignment wrapText="1"/>
    </xf>
    <xf numFmtId="0" fontId="4" fillId="0" borderId="0" xfId="1" applyBorder="1" applyAlignment="1">
      <alignment horizontal="left" vertical="top" wrapText="1"/>
    </xf>
    <xf numFmtId="0" fontId="1" fillId="0" borderId="0" xfId="10510" applyFont="1" applyAlignment="1">
      <alignment wrapText="1"/>
    </xf>
    <xf numFmtId="0" fontId="37" fillId="0" borderId="0" xfId="1" applyFont="1" applyBorder="1" applyAlignment="1">
      <alignment vertical="top" wrapText="1"/>
    </xf>
    <xf numFmtId="0" fontId="37" fillId="0" borderId="0" xfId="1" applyNumberFormat="1" applyFont="1" applyBorder="1" applyAlignment="1">
      <alignment vertical="top" wrapText="1"/>
    </xf>
    <xf numFmtId="0" fontId="4" fillId="0" borderId="0" xfId="1" applyNumberFormat="1" applyBorder="1" applyAlignment="1">
      <alignment vertical="top" wrapText="1"/>
    </xf>
    <xf numFmtId="0" fontId="4" fillId="0" borderId="0" xfId="1" applyBorder="1" applyAlignment="1">
      <alignment horizontal="left" vertical="top" wrapText="1" indent="1"/>
    </xf>
    <xf numFmtId="0" fontId="6" fillId="0" borderId="0" xfId="1" applyFont="1" applyBorder="1" applyAlignment="1">
      <alignment vertical="top" wrapText="1"/>
    </xf>
    <xf numFmtId="0" fontId="8" fillId="0" borderId="0" xfId="1" applyFont="1" applyBorder="1" applyAlignment="1">
      <alignment vertical="top" wrapText="1"/>
    </xf>
    <xf numFmtId="0" fontId="6" fillId="2" borderId="1" xfId="1" applyFont="1" applyFill="1" applyBorder="1" applyAlignment="1" applyProtection="1">
      <alignment horizontal="left" vertical="center" wrapText="1" indent="2"/>
    </xf>
    <xf numFmtId="0" fontId="2" fillId="3" borderId="11" xfId="1" applyFont="1" applyFill="1" applyBorder="1" applyAlignment="1" applyProtection="1">
      <alignment horizontal="center" vertical="center"/>
      <protection locked="0"/>
    </xf>
    <xf numFmtId="0" fontId="3" fillId="3" borderId="11" xfId="4" applyFont="1" applyFill="1" applyBorder="1" applyAlignment="1">
      <alignment horizontal="center"/>
    </xf>
    <xf numFmtId="0" fontId="6" fillId="5" borderId="11" xfId="1" applyFont="1" applyFill="1" applyBorder="1" applyAlignment="1" applyProtection="1">
      <alignment horizontal="center" vertical="center" wrapText="1"/>
      <protection locked="0"/>
    </xf>
    <xf numFmtId="0" fontId="6" fillId="2" borderId="11" xfId="1" applyFont="1" applyFill="1" applyBorder="1" applyAlignment="1" applyProtection="1">
      <alignment horizontal="center" vertical="center" wrapText="1"/>
      <protection locked="0"/>
    </xf>
    <xf numFmtId="0" fontId="1" fillId="2" borderId="11" xfId="1" applyFont="1" applyFill="1" applyBorder="1" applyAlignment="1" applyProtection="1">
      <alignment horizontal="center" vertical="center" wrapText="1"/>
      <protection locked="0"/>
    </xf>
    <xf numFmtId="0" fontId="6" fillId="2" borderId="11" xfId="1" applyFont="1" applyFill="1" applyBorder="1" applyAlignment="1" applyProtection="1">
      <alignment horizontal="center" vertical="center"/>
      <protection locked="0"/>
    </xf>
    <xf numFmtId="0" fontId="6" fillId="0" borderId="11" xfId="1" applyFont="1" applyBorder="1" applyAlignment="1" applyProtection="1">
      <alignment horizontal="center" vertical="center"/>
      <protection locked="0"/>
    </xf>
    <xf numFmtId="0" fontId="10" fillId="0" borderId="11" xfId="21" applyFont="1" applyFill="1" applyBorder="1" applyAlignment="1" applyProtection="1">
      <alignment horizontal="center" vertical="center"/>
      <protection locked="0"/>
    </xf>
    <xf numFmtId="0" fontId="6" fillId="0" borderId="11" xfId="7" applyFont="1" applyFill="1" applyBorder="1" applyAlignment="1">
      <alignment horizontal="center" vertical="center" wrapText="1"/>
    </xf>
    <xf numFmtId="0" fontId="6" fillId="4" borderId="11" xfId="1" applyFont="1" applyFill="1" applyBorder="1" applyAlignment="1" applyProtection="1">
      <alignment horizontal="center" vertical="center"/>
      <protection locked="0"/>
    </xf>
    <xf numFmtId="0" fontId="6" fillId="4" borderId="11" xfId="1" applyFont="1" applyFill="1" applyBorder="1" applyAlignment="1" applyProtection="1">
      <alignment horizontal="center" vertical="center" wrapText="1"/>
      <protection locked="0"/>
    </xf>
    <xf numFmtId="0" fontId="6" fillId="0" borderId="11" xfId="1" applyFont="1" applyFill="1" applyBorder="1" applyAlignment="1" applyProtection="1">
      <alignment horizontal="center" vertical="center" wrapText="1"/>
      <protection locked="0"/>
    </xf>
    <xf numFmtId="0" fontId="6" fillId="0" borderId="11" xfId="1" applyFont="1" applyBorder="1" applyAlignment="1" applyProtection="1">
      <alignment horizontal="center" vertical="center" wrapText="1"/>
      <protection locked="0"/>
    </xf>
    <xf numFmtId="0" fontId="6" fillId="5" borderId="11" xfId="1" applyFont="1" applyFill="1" applyBorder="1" applyAlignment="1" applyProtection="1">
      <alignment vertical="center"/>
    </xf>
    <xf numFmtId="0" fontId="10" fillId="0" borderId="11" xfId="1" applyFont="1" applyFill="1" applyBorder="1" applyAlignment="1" applyProtection="1">
      <alignment horizontal="center" vertical="center"/>
      <protection locked="0"/>
    </xf>
    <xf numFmtId="0" fontId="8" fillId="0" borderId="11" xfId="1" applyFont="1" applyBorder="1" applyAlignment="1" applyProtection="1">
      <alignment horizontal="center" vertical="center"/>
      <protection locked="0"/>
    </xf>
    <xf numFmtId="0" fontId="6" fillId="0" borderId="11" xfId="1" applyFont="1" applyFill="1" applyBorder="1" applyAlignment="1" applyProtection="1">
      <alignment horizontal="center" vertical="center"/>
      <protection locked="0"/>
    </xf>
    <xf numFmtId="0" fontId="6" fillId="0" borderId="11" xfId="17" applyFont="1" applyFill="1" applyBorder="1" applyAlignment="1" applyProtection="1">
      <alignment horizontal="center" vertical="center" wrapText="1"/>
      <protection locked="0"/>
    </xf>
    <xf numFmtId="0" fontId="6" fillId="2" borderId="11" xfId="10" applyFont="1" applyFill="1" applyBorder="1" applyAlignment="1" applyProtection="1">
      <alignment horizontal="center" vertical="center"/>
      <protection locked="0"/>
    </xf>
    <xf numFmtId="0" fontId="6" fillId="0" borderId="11" xfId="5" applyFont="1" applyFill="1" applyBorder="1" applyAlignment="1">
      <alignment horizontal="center" vertical="center"/>
    </xf>
    <xf numFmtId="0" fontId="6" fillId="0" borderId="11" xfId="5" applyFont="1" applyBorder="1" applyAlignment="1">
      <alignment horizontal="center" vertical="center"/>
    </xf>
    <xf numFmtId="0" fontId="6" fillId="2" borderId="11" xfId="5" applyFont="1" applyFill="1" applyBorder="1" applyAlignment="1">
      <alignment horizontal="center" vertical="center"/>
    </xf>
    <xf numFmtId="0" fontId="6" fillId="4" borderId="11" xfId="5" applyFont="1" applyFill="1" applyBorder="1" applyAlignment="1">
      <alignment horizontal="center" vertical="center"/>
    </xf>
    <xf numFmtId="0" fontId="6" fillId="0" borderId="11" xfId="1" applyFont="1" applyBorder="1" applyAlignment="1" applyProtection="1">
      <alignment horizontal="center"/>
      <protection locked="0"/>
    </xf>
    <xf numFmtId="0" fontId="6" fillId="2" borderId="11" xfId="1" applyFont="1" applyFill="1" applyBorder="1" applyAlignment="1" applyProtection="1">
      <alignment horizontal="center"/>
      <protection locked="0"/>
    </xf>
    <xf numFmtId="0" fontId="6" fillId="0" borderId="11" xfId="10" applyFont="1" applyBorder="1" applyAlignment="1" applyProtection="1">
      <alignment horizontal="center" vertical="center"/>
      <protection locked="0"/>
    </xf>
    <xf numFmtId="0" fontId="6" fillId="5" borderId="11" xfId="8" applyFont="1" applyFill="1" applyBorder="1" applyAlignment="1" applyProtection="1">
      <alignment horizontal="center" vertical="center" wrapText="1"/>
      <protection locked="0"/>
    </xf>
    <xf numFmtId="0" fontId="6" fillId="0" borderId="11" xfId="8" applyFont="1" applyFill="1" applyBorder="1" applyAlignment="1" applyProtection="1">
      <alignment horizontal="center" vertical="center" wrapText="1"/>
      <protection locked="0"/>
    </xf>
    <xf numFmtId="0" fontId="6" fillId="5" borderId="11" xfId="5" applyFont="1" applyFill="1" applyBorder="1" applyAlignment="1">
      <alignment horizontal="center" vertical="center"/>
    </xf>
    <xf numFmtId="0" fontId="6" fillId="0" borderId="11" xfId="8" applyFont="1" applyBorder="1" applyAlignment="1" applyProtection="1">
      <alignment horizontal="center" vertical="center"/>
      <protection locked="0"/>
    </xf>
    <xf numFmtId="0" fontId="6" fillId="5" borderId="11" xfId="8" applyFont="1" applyFill="1" applyBorder="1" applyAlignment="1" applyProtection="1">
      <alignment vertical="center"/>
    </xf>
    <xf numFmtId="0" fontId="6" fillId="0" borderId="11" xfId="8" applyFont="1" applyFill="1" applyBorder="1" applyAlignment="1" applyProtection="1">
      <alignment horizontal="center" vertical="center"/>
      <protection locked="0"/>
    </xf>
    <xf numFmtId="0" fontId="6" fillId="0" borderId="11" xfId="8" applyFont="1" applyBorder="1" applyAlignment="1" applyProtection="1">
      <alignment horizontal="center" vertical="top" wrapText="1"/>
      <protection locked="0"/>
    </xf>
    <xf numFmtId="0" fontId="6" fillId="2" borderId="11" xfId="1" applyFont="1" applyFill="1" applyBorder="1" applyAlignment="1" applyProtection="1">
      <alignment horizontal="left" vertical="center" wrapText="1"/>
      <protection locked="0"/>
    </xf>
    <xf numFmtId="0" fontId="6" fillId="2" borderId="11" xfId="1" applyFont="1" applyFill="1" applyBorder="1" applyAlignment="1">
      <alignment horizontal="center"/>
    </xf>
    <xf numFmtId="0" fontId="6" fillId="2" borderId="11" xfId="7" applyFont="1" applyFill="1" applyBorder="1" applyAlignment="1">
      <alignment horizontal="center" vertical="center" wrapText="1"/>
    </xf>
    <xf numFmtId="0" fontId="6" fillId="5" borderId="11" xfId="6" applyFont="1" applyFill="1" applyBorder="1" applyAlignment="1" applyProtection="1">
      <alignment horizontal="center" vertical="center" wrapText="1"/>
    </xf>
    <xf numFmtId="0" fontId="8" fillId="30" borderId="11" xfId="13" applyFont="1" applyFill="1" applyBorder="1" applyAlignment="1" applyProtection="1">
      <alignment horizontal="left" vertical="center" wrapText="1"/>
      <protection locked="0"/>
    </xf>
    <xf numFmtId="0" fontId="3" fillId="5" borderId="11" xfId="4" applyFont="1" applyFill="1" applyBorder="1" applyAlignment="1">
      <alignment horizontal="center"/>
    </xf>
    <xf numFmtId="0" fontId="3" fillId="2" borderId="11" xfId="4" applyFont="1" applyFill="1" applyBorder="1" applyAlignment="1">
      <alignment horizontal="center"/>
    </xf>
    <xf numFmtId="0" fontId="6" fillId="5" borderId="11" xfId="4" applyFont="1" applyFill="1" applyBorder="1" applyAlignment="1">
      <alignment horizontal="center"/>
    </xf>
    <xf numFmtId="0" fontId="6" fillId="0" borderId="11" xfId="12562" applyFont="1" applyBorder="1" applyAlignment="1" applyProtection="1">
      <alignment horizontal="center" vertical="center" wrapText="1"/>
      <protection locked="0"/>
    </xf>
    <xf numFmtId="0" fontId="6" fillId="0" borderId="11" xfId="2" applyFont="1" applyFill="1" applyBorder="1" applyAlignment="1">
      <alignment horizontal="center" vertical="center"/>
    </xf>
    <xf numFmtId="0" fontId="1" fillId="2" borderId="11" xfId="14692" applyFont="1" applyFill="1" applyBorder="1"/>
    <xf numFmtId="0" fontId="6" fillId="5" borderId="11" xfId="6" applyFont="1" applyFill="1" applyBorder="1" applyAlignment="1" applyProtection="1">
      <alignment vertical="center" wrapText="1"/>
    </xf>
    <xf numFmtId="0" fontId="6" fillId="2" borderId="11" xfId="6" applyFont="1" applyFill="1" applyBorder="1" applyAlignment="1" applyProtection="1">
      <alignment vertical="center" wrapText="1"/>
    </xf>
    <xf numFmtId="0" fontId="6" fillId="0" borderId="11" xfId="13" applyFont="1" applyFill="1" applyBorder="1" applyAlignment="1" applyProtection="1">
      <alignment horizontal="center" vertical="center" wrapText="1"/>
    </xf>
    <xf numFmtId="0" fontId="6" fillId="0" borderId="11" xfId="12610" applyFont="1" applyBorder="1" applyAlignment="1"/>
    <xf numFmtId="0" fontId="6" fillId="0" borderId="11" xfId="12610" applyFont="1" applyBorder="1" applyAlignment="1" applyProtection="1">
      <alignment horizontal="center" vertical="center" wrapText="1"/>
      <protection locked="0"/>
    </xf>
    <xf numFmtId="0" fontId="6" fillId="0" borderId="11" xfId="1" applyFont="1" applyBorder="1" applyAlignment="1">
      <alignment horizontal="center"/>
    </xf>
    <xf numFmtId="0" fontId="6" fillId="5" borderId="11" xfId="1" applyFont="1" applyFill="1" applyBorder="1" applyAlignment="1">
      <alignment horizontal="center"/>
    </xf>
    <xf numFmtId="0" fontId="6" fillId="0" borderId="11" xfId="12610" applyFont="1" applyFill="1" applyBorder="1" applyAlignment="1" applyProtection="1">
      <alignment horizontal="left" vertical="center" wrapText="1" indent="2"/>
      <protection locked="0"/>
    </xf>
    <xf numFmtId="0" fontId="7" fillId="0" borderId="11" xfId="5" applyFont="1" applyFill="1" applyBorder="1" applyAlignment="1">
      <alignment horizontal="center" vertical="center" wrapText="1"/>
    </xf>
    <xf numFmtId="0" fontId="6" fillId="2" borderId="11" xfId="5" applyFont="1" applyFill="1" applyBorder="1" applyAlignment="1">
      <alignment horizontal="center" vertical="center" wrapText="1"/>
    </xf>
    <xf numFmtId="0" fontId="6" fillId="5" borderId="11" xfId="5" applyFont="1" applyFill="1" applyBorder="1" applyAlignment="1">
      <alignment horizontal="center" vertical="center" wrapText="1"/>
    </xf>
    <xf numFmtId="0" fontId="6" fillId="0" borderId="11" xfId="5" applyFont="1" applyFill="1" applyBorder="1" applyAlignment="1">
      <alignment horizontal="center" vertical="center" wrapText="1"/>
    </xf>
    <xf numFmtId="0" fontId="6" fillId="0" borderId="11" xfId="5" applyFont="1" applyBorder="1" applyAlignment="1">
      <alignment horizontal="center" vertical="center" wrapText="1"/>
    </xf>
    <xf numFmtId="0" fontId="6" fillId="2" borderId="1" xfId="13" applyFont="1" applyFill="1" applyBorder="1" applyAlignment="1">
      <alignment horizontal="left" vertical="center" wrapText="1"/>
    </xf>
    <xf numFmtId="0" fontId="6" fillId="2" borderId="1" xfId="23" applyFont="1" applyFill="1" applyBorder="1" applyAlignment="1">
      <alignment wrapText="1"/>
    </xf>
    <xf numFmtId="0" fontId="6" fillId="2" borderId="1" xfId="1" applyFont="1" applyFill="1" applyBorder="1" applyAlignment="1" applyProtection="1">
      <alignment vertical="center" wrapText="1"/>
    </xf>
    <xf numFmtId="0" fontId="6" fillId="2" borderId="1" xfId="8" applyFont="1" applyFill="1" applyBorder="1" applyAlignment="1" applyProtection="1">
      <alignment horizontal="left" vertical="center" wrapText="1" indent="2"/>
    </xf>
    <xf numFmtId="0" fontId="6" fillId="2" borderId="1" xfId="8" applyFont="1" applyFill="1" applyBorder="1" applyAlignment="1" applyProtection="1">
      <alignment horizontal="center" vertical="center" wrapText="1"/>
      <protection locked="0"/>
    </xf>
    <xf numFmtId="0" fontId="6" fillId="2" borderId="11" xfId="8" applyFont="1" applyFill="1" applyBorder="1" applyAlignment="1" applyProtection="1">
      <alignment horizontal="center" vertical="center" wrapText="1"/>
      <protection locked="0"/>
    </xf>
    <xf numFmtId="0" fontId="6" fillId="2" borderId="1" xfId="8" applyFont="1" applyFill="1" applyBorder="1" applyAlignment="1" applyProtection="1">
      <alignment vertical="center"/>
      <protection locked="0"/>
    </xf>
    <xf numFmtId="0" fontId="6" fillId="2" borderId="1" xfId="8" applyFont="1" applyFill="1" applyBorder="1" applyAlignment="1" applyProtection="1">
      <alignment horizontal="left" vertical="top" wrapText="1" indent="2"/>
    </xf>
    <xf numFmtId="0" fontId="6" fillId="2" borderId="1" xfId="8" applyFont="1" applyFill="1" applyBorder="1" applyAlignment="1" applyProtection="1">
      <alignment horizontal="center" vertical="center"/>
      <protection locked="0"/>
    </xf>
    <xf numFmtId="0" fontId="6" fillId="2" borderId="11" xfId="8" applyFont="1" applyFill="1" applyBorder="1" applyAlignment="1" applyProtection="1">
      <alignment horizontal="center" vertical="center"/>
      <protection locked="0"/>
    </xf>
    <xf numFmtId="0" fontId="6" fillId="2" borderId="1" xfId="8" applyFont="1" applyFill="1" applyBorder="1" applyAlignment="1" applyProtection="1">
      <alignment vertical="center" wrapText="1"/>
      <protection locked="0"/>
    </xf>
    <xf numFmtId="0" fontId="6" fillId="2" borderId="1" xfId="2" applyFont="1" applyFill="1" applyBorder="1" applyAlignment="1">
      <alignment vertical="center" wrapText="1"/>
    </xf>
    <xf numFmtId="0" fontId="6" fillId="2" borderId="1" xfId="2" applyFont="1" applyFill="1" applyBorder="1" applyAlignment="1">
      <alignment horizontal="center" vertical="center" wrapText="1"/>
    </xf>
    <xf numFmtId="0" fontId="6" fillId="2" borderId="1" xfId="2" applyFont="1" applyFill="1" applyBorder="1" applyAlignment="1">
      <alignment horizontal="center" vertical="center"/>
    </xf>
    <xf numFmtId="0" fontId="6" fillId="2" borderId="11" xfId="2" applyFont="1" applyFill="1" applyBorder="1" applyAlignment="1">
      <alignment horizontal="center" vertical="center"/>
    </xf>
    <xf numFmtId="0" fontId="5" fillId="2" borderId="1" xfId="2" applyFont="1" applyFill="1" applyBorder="1" applyAlignment="1" applyProtection="1">
      <alignment horizontal="left" vertical="center" wrapText="1"/>
      <protection locked="0"/>
    </xf>
    <xf numFmtId="0" fontId="6" fillId="2" borderId="11" xfId="14658" applyFont="1" applyFill="1" applyBorder="1" applyAlignment="1">
      <alignment horizontal="left" wrapText="1"/>
    </xf>
    <xf numFmtId="0" fontId="1" fillId="2" borderId="11" xfId="14658" applyFont="1" applyFill="1" applyBorder="1"/>
    <xf numFmtId="0" fontId="6" fillId="2" borderId="11" xfId="14658" applyFont="1" applyFill="1" applyBorder="1" applyAlignment="1">
      <alignment horizontal="left" wrapText="1" indent="2"/>
    </xf>
    <xf numFmtId="0" fontId="6" fillId="2" borderId="11" xfId="13" applyFont="1" applyFill="1" applyBorder="1" applyAlignment="1" applyProtection="1">
      <alignment horizontal="left" vertical="center" wrapText="1"/>
      <protection locked="0"/>
    </xf>
    <xf numFmtId="0" fontId="4" fillId="2" borderId="0" xfId="1" applyFont="1" applyFill="1"/>
    <xf numFmtId="0" fontId="5" fillId="2" borderId="1" xfId="12562" applyFont="1" applyFill="1" applyBorder="1" applyAlignment="1">
      <alignment horizontal="left" vertical="center" wrapText="1" indent="2"/>
    </xf>
    <xf numFmtId="0" fontId="5" fillId="2" borderId="1" xfId="12562" applyFont="1" applyFill="1" applyBorder="1" applyAlignment="1">
      <alignment horizontal="left" vertical="center" wrapText="1" indent="4"/>
    </xf>
    <xf numFmtId="0" fontId="6" fillId="2" borderId="1" xfId="13" applyFont="1" applyFill="1" applyBorder="1" applyAlignment="1" applyProtection="1">
      <alignment vertical="center" wrapText="1"/>
    </xf>
    <xf numFmtId="0" fontId="6" fillId="2" borderId="1" xfId="13" applyFont="1" applyFill="1" applyBorder="1" applyAlignment="1" applyProtection="1">
      <alignment horizontal="center" vertical="center" wrapText="1"/>
    </xf>
    <xf numFmtId="0" fontId="6" fillId="2" borderId="11" xfId="13" applyFont="1" applyFill="1" applyBorder="1" applyAlignment="1" applyProtection="1">
      <alignment horizontal="center" vertical="center" wrapText="1"/>
    </xf>
    <xf numFmtId="0" fontId="5" fillId="2" borderId="1" xfId="13" applyFont="1" applyFill="1" applyBorder="1" applyAlignment="1" applyProtection="1">
      <alignment vertical="center" wrapText="1"/>
    </xf>
    <xf numFmtId="0" fontId="6" fillId="2" borderId="1" xfId="1" applyFont="1" applyFill="1" applyBorder="1" applyAlignment="1">
      <alignment horizontal="left" indent="2"/>
    </xf>
    <xf numFmtId="0" fontId="6" fillId="2" borderId="1" xfId="1" applyFont="1" applyFill="1" applyBorder="1" applyAlignment="1">
      <alignment vertical="center" wrapText="1"/>
    </xf>
    <xf numFmtId="0" fontId="0" fillId="2" borderId="1" xfId="0" applyFill="1" applyBorder="1"/>
    <xf numFmtId="0" fontId="6" fillId="2" borderId="1" xfId="7" applyFont="1" applyFill="1" applyBorder="1" applyAlignment="1" applyProtection="1">
      <alignment vertical="center" wrapText="1"/>
      <protection locked="0"/>
    </xf>
    <xf numFmtId="0" fontId="6" fillId="2" borderId="1" xfId="13" applyFont="1" applyFill="1" applyBorder="1" applyAlignment="1" applyProtection="1">
      <alignment wrapText="1"/>
      <protection locked="0"/>
    </xf>
    <xf numFmtId="0" fontId="6" fillId="2" borderId="1" xfId="19158" applyFont="1" applyFill="1" applyBorder="1" applyAlignment="1" applyProtection="1">
      <alignment vertical="center" wrapText="1"/>
      <protection locked="0"/>
    </xf>
    <xf numFmtId="0" fontId="6" fillId="2" borderId="11" xfId="13" applyFont="1" applyFill="1" applyBorder="1" applyAlignment="1" applyProtection="1">
      <alignment horizontal="center" vertical="center" wrapText="1"/>
      <protection locked="0"/>
    </xf>
    <xf numFmtId="0" fontId="0" fillId="2" borderId="11" xfId="0" applyFill="1" applyBorder="1"/>
    <xf numFmtId="0" fontId="6" fillId="0" borderId="11" xfId="13" applyFont="1" applyFill="1" applyBorder="1" applyAlignment="1" applyProtection="1">
      <alignment horizontal="center" vertical="center" wrapText="1"/>
      <protection locked="0"/>
    </xf>
    <xf numFmtId="0" fontId="6" fillId="5" borderId="11" xfId="13" applyFont="1" applyFill="1" applyBorder="1" applyAlignment="1" applyProtection="1">
      <alignment horizontal="center" vertical="center" wrapText="1"/>
      <protection locked="0"/>
    </xf>
    <xf numFmtId="0" fontId="8" fillId="2" borderId="11" xfId="1" applyFont="1" applyFill="1" applyBorder="1" applyAlignment="1" applyProtection="1">
      <alignment horizontal="center" vertical="center" wrapText="1"/>
      <protection locked="0"/>
    </xf>
    <xf numFmtId="0" fontId="6" fillId="2" borderId="11" xfId="13" applyFont="1" applyFill="1" applyBorder="1" applyAlignment="1" applyProtection="1">
      <alignment wrapText="1"/>
      <protection locked="0"/>
    </xf>
    <xf numFmtId="0" fontId="6" fillId="2" borderId="11" xfId="5" applyFont="1" applyFill="1" applyBorder="1" applyAlignment="1" applyProtection="1">
      <alignment horizontal="center" vertical="center" wrapText="1"/>
      <protection locked="0"/>
    </xf>
    <xf numFmtId="0" fontId="0" fillId="0" borderId="11" xfId="0" applyBorder="1"/>
    <xf numFmtId="0" fontId="6" fillId="2" borderId="11" xfId="19168" applyFont="1" applyFill="1" applyBorder="1" applyAlignment="1" applyProtection="1">
      <alignment horizontal="center" vertical="center"/>
      <protection locked="0"/>
    </xf>
    <xf numFmtId="0" fontId="6" fillId="0" borderId="11" xfId="19168" applyFont="1" applyFill="1" applyBorder="1" applyAlignment="1" applyProtection="1">
      <alignment horizontal="center" vertical="center"/>
      <protection locked="0"/>
    </xf>
    <xf numFmtId="0" fontId="6" fillId="0" borderId="11" xfId="19164" applyFont="1" applyBorder="1" applyAlignment="1" applyProtection="1">
      <alignment horizontal="center" vertical="center"/>
      <protection locked="0"/>
    </xf>
    <xf numFmtId="0" fontId="6" fillId="0" borderId="11" xfId="19164" applyFont="1" applyFill="1" applyBorder="1" applyAlignment="1" applyProtection="1">
      <alignment horizontal="center" vertical="center"/>
      <protection locked="0"/>
    </xf>
    <xf numFmtId="0" fontId="6" fillId="0" borderId="11" xfId="19168" applyFont="1" applyBorder="1" applyAlignment="1" applyProtection="1">
      <alignment horizontal="center" vertical="center"/>
      <protection locked="0"/>
    </xf>
    <xf numFmtId="0" fontId="40" fillId="0" borderId="0" xfId="48892"/>
    <xf numFmtId="0" fontId="6" fillId="2" borderId="0" xfId="48892" applyFont="1" applyFill="1" applyAlignment="1">
      <alignment horizontal="center" vertical="center"/>
    </xf>
    <xf numFmtId="0" fontId="40" fillId="2" borderId="0" xfId="48892" applyFill="1"/>
    <xf numFmtId="0" fontId="5" fillId="2" borderId="11" xfId="13" applyFont="1" applyFill="1" applyBorder="1" applyAlignment="1">
      <alignment wrapText="1"/>
    </xf>
    <xf numFmtId="0" fontId="6" fillId="2" borderId="11" xfId="13" applyFont="1" applyFill="1" applyBorder="1" applyAlignment="1">
      <alignment horizontal="center" vertical="center" wrapText="1"/>
    </xf>
    <xf numFmtId="0" fontId="6" fillId="2" borderId="11" xfId="13" applyFont="1" applyFill="1" applyBorder="1" applyAlignment="1">
      <alignment horizontal="left" vertical="center" wrapText="1"/>
    </xf>
    <xf numFmtId="0" fontId="6" fillId="2" borderId="11" xfId="48892" applyFont="1" applyFill="1" applyBorder="1" applyAlignment="1">
      <alignment horizontal="center" vertical="center"/>
    </xf>
    <xf numFmtId="0" fontId="5" fillId="0" borderId="11" xfId="5" applyFont="1" applyBorder="1" applyAlignment="1" applyProtection="1">
      <alignment vertical="center" wrapText="1"/>
      <protection locked="0"/>
    </xf>
    <xf numFmtId="0" fontId="6" fillId="0" borderId="11" xfId="5" applyFont="1" applyBorder="1" applyAlignment="1" applyProtection="1">
      <alignment horizontal="center" vertical="center" wrapText="1"/>
      <protection locked="0"/>
    </xf>
    <xf numFmtId="0" fontId="6" fillId="0" borderId="11" xfId="13" applyFont="1" applyFill="1" applyBorder="1" applyAlignment="1" applyProtection="1">
      <alignment vertical="center" wrapText="1"/>
      <protection locked="0"/>
    </xf>
    <xf numFmtId="0" fontId="6" fillId="0" borderId="11" xfId="5" applyFont="1" applyBorder="1" applyAlignment="1" applyProtection="1">
      <alignment vertical="center" wrapText="1"/>
      <protection locked="0"/>
    </xf>
    <xf numFmtId="0" fontId="5" fillId="2" borderId="11" xfId="5" applyFont="1" applyFill="1" applyBorder="1" applyAlignment="1" applyProtection="1">
      <alignment vertical="center" wrapText="1"/>
      <protection locked="0"/>
    </xf>
    <xf numFmtId="0" fontId="6" fillId="2" borderId="11" xfId="13" applyFont="1" applyFill="1" applyBorder="1" applyAlignment="1" applyProtection="1">
      <alignment vertical="center" wrapText="1"/>
      <protection locked="0"/>
    </xf>
    <xf numFmtId="0" fontId="5" fillId="0" borderId="11" xfId="13" applyFont="1" applyFill="1" applyBorder="1" applyAlignment="1" applyProtection="1">
      <alignment vertical="center" wrapText="1"/>
      <protection locked="0"/>
    </xf>
    <xf numFmtId="0" fontId="6" fillId="0" borderId="11" xfId="5" applyFont="1" applyFill="1" applyBorder="1" applyAlignment="1" applyProtection="1">
      <alignment horizontal="left" vertical="center" wrapText="1"/>
      <protection locked="0"/>
    </xf>
    <xf numFmtId="0" fontId="40" fillId="29" borderId="0" xfId="48892" applyFill="1"/>
    <xf numFmtId="0" fontId="6" fillId="0" borderId="11" xfId="5" applyFont="1" applyFill="1" applyBorder="1" applyAlignment="1" applyProtection="1">
      <alignment vertical="center" wrapText="1"/>
      <protection locked="0"/>
    </xf>
    <xf numFmtId="0" fontId="5" fillId="30" borderId="11" xfId="13" applyFont="1" applyFill="1" applyBorder="1" applyAlignment="1" applyProtection="1">
      <alignment horizontal="left" vertical="center" wrapText="1"/>
      <protection locked="0"/>
    </xf>
    <xf numFmtId="0" fontId="6" fillId="30" borderId="11" xfId="13" applyFont="1" applyFill="1" applyBorder="1" applyAlignment="1" applyProtection="1">
      <alignment horizontal="center" vertical="center" wrapText="1"/>
      <protection locked="0"/>
    </xf>
    <xf numFmtId="0" fontId="5" fillId="2" borderId="11" xfId="13" applyFont="1" applyFill="1" applyBorder="1" applyAlignment="1" applyProtection="1">
      <alignment vertical="center" wrapText="1"/>
      <protection locked="0"/>
    </xf>
    <xf numFmtId="0" fontId="6" fillId="2" borderId="11" xfId="5" applyFont="1" applyFill="1" applyBorder="1" applyAlignment="1" applyProtection="1">
      <alignment vertical="center" wrapText="1"/>
      <protection locked="0"/>
    </xf>
    <xf numFmtId="0" fontId="5" fillId="0" borderId="11" xfId="13" applyFont="1" applyBorder="1" applyAlignment="1" applyProtection="1">
      <alignment vertical="center" wrapText="1"/>
      <protection locked="0"/>
    </xf>
    <xf numFmtId="0" fontId="6" fillId="0" borderId="11" xfId="13" applyFont="1" applyBorder="1" applyAlignment="1" applyProtection="1">
      <alignment horizontal="center" vertical="center" wrapText="1"/>
      <protection locked="0"/>
    </xf>
    <xf numFmtId="0" fontId="6" fillId="4" borderId="11" xfId="13" applyFont="1" applyFill="1" applyBorder="1" applyAlignment="1" applyProtection="1">
      <alignment horizontal="center" vertical="center" wrapText="1"/>
      <protection locked="0"/>
    </xf>
    <xf numFmtId="0" fontId="6" fillId="4" borderId="11" xfId="5" applyFont="1" applyFill="1" applyBorder="1" applyAlignment="1" applyProtection="1">
      <alignment horizontal="center" vertical="center" wrapText="1"/>
      <protection locked="0"/>
    </xf>
    <xf numFmtId="0" fontId="6" fillId="2" borderId="11" xfId="5" applyFont="1" applyFill="1" applyBorder="1" applyAlignment="1" applyProtection="1">
      <alignment horizontal="left" vertical="center" wrapText="1"/>
      <protection locked="0"/>
    </xf>
    <xf numFmtId="0" fontId="5" fillId="30" borderId="11" xfId="5" applyFont="1" applyFill="1" applyBorder="1" applyAlignment="1" applyProtection="1">
      <alignment horizontal="left" vertical="center" wrapText="1"/>
      <protection locked="0"/>
    </xf>
    <xf numFmtId="0" fontId="6" fillId="30" borderId="11" xfId="5" applyFont="1" applyFill="1" applyBorder="1" applyAlignment="1" applyProtection="1">
      <alignment horizontal="center" vertical="center" wrapText="1"/>
      <protection locked="0"/>
    </xf>
    <xf numFmtId="0" fontId="8" fillId="30" borderId="11" xfId="5" applyFont="1" applyFill="1" applyBorder="1" applyAlignment="1" applyProtection="1">
      <alignment horizontal="left" vertical="center" wrapText="1"/>
      <protection locked="0"/>
    </xf>
    <xf numFmtId="0" fontId="6" fillId="0" borderId="11" xfId="5" applyFont="1" applyFill="1" applyBorder="1" applyAlignment="1" applyProtection="1">
      <alignment horizontal="center" vertical="center" wrapText="1"/>
      <protection locked="0"/>
    </xf>
    <xf numFmtId="0" fontId="5" fillId="2" borderId="11" xfId="13" applyFont="1" applyFill="1" applyBorder="1" applyAlignment="1" applyProtection="1">
      <alignment wrapText="1"/>
      <protection locked="0"/>
    </xf>
    <xf numFmtId="0" fontId="6" fillId="0" borderId="11" xfId="13" applyFont="1" applyFill="1" applyBorder="1" applyAlignment="1" applyProtection="1">
      <alignment horizontal="left" vertical="center" wrapText="1" indent="2"/>
      <protection locked="0"/>
    </xf>
    <xf numFmtId="0" fontId="6" fillId="6" borderId="11" xfId="13" applyFont="1" applyFill="1" applyBorder="1" applyAlignment="1" applyProtection="1">
      <alignment horizontal="center" vertical="center" wrapText="1"/>
      <protection locked="0"/>
    </xf>
    <xf numFmtId="0" fontId="6" fillId="0" borderId="11" xfId="13" applyFont="1" applyFill="1" applyBorder="1" applyAlignment="1" applyProtection="1">
      <alignment horizontal="left" vertical="center" wrapText="1"/>
      <protection locked="0"/>
    </xf>
    <xf numFmtId="0" fontId="6" fillId="2" borderId="11" xfId="19359" applyFont="1" applyFill="1" applyBorder="1" applyAlignment="1">
      <alignment horizontal="center" vertical="center" wrapText="1"/>
    </xf>
    <xf numFmtId="0" fontId="6" fillId="2" borderId="11" xfId="10466" applyFont="1" applyFill="1" applyBorder="1" applyAlignment="1" applyProtection="1">
      <alignment horizontal="left" vertical="center" wrapText="1"/>
      <protection locked="0"/>
    </xf>
    <xf numFmtId="0" fontId="5" fillId="2" borderId="11" xfId="13" applyFont="1" applyFill="1" applyBorder="1" applyAlignment="1" applyProtection="1">
      <alignment horizontal="left" vertical="center" wrapText="1"/>
      <protection locked="0"/>
    </xf>
    <xf numFmtId="0" fontId="6" fillId="2" borderId="11" xfId="13" applyFont="1" applyFill="1" applyBorder="1" applyAlignment="1" applyProtection="1">
      <alignment horizontal="left" vertical="center" wrapText="1" indent="2"/>
      <protection locked="0"/>
    </xf>
    <xf numFmtId="0" fontId="5" fillId="2" borderId="11" xfId="19466" applyFont="1" applyFill="1" applyBorder="1" applyAlignment="1" applyProtection="1">
      <alignment horizontal="left" vertical="center"/>
      <protection locked="0"/>
    </xf>
    <xf numFmtId="0" fontId="6" fillId="2" borderId="11" xfId="19466" applyFont="1" applyFill="1" applyBorder="1" applyAlignment="1" applyProtection="1">
      <alignment horizontal="center" vertical="center"/>
    </xf>
    <xf numFmtId="0" fontId="6" fillId="2" borderId="11" xfId="19466" applyFont="1" applyFill="1" applyBorder="1" applyAlignment="1">
      <alignment horizontal="center" vertical="center" wrapText="1"/>
    </xf>
    <xf numFmtId="0" fontId="6" fillId="0" borderId="11" xfId="19466" applyFont="1" applyFill="1" applyBorder="1" applyAlignment="1">
      <alignment horizontal="center" vertical="center" wrapText="1"/>
    </xf>
    <xf numFmtId="0" fontId="6" fillId="0" borderId="11" xfId="10466" applyFont="1" applyFill="1" applyBorder="1" applyAlignment="1" applyProtection="1">
      <alignment horizontal="left" vertical="center" wrapText="1"/>
      <protection locked="0"/>
    </xf>
    <xf numFmtId="0" fontId="5" fillId="30" borderId="11" xfId="19348" applyFont="1" applyFill="1" applyBorder="1" applyAlignment="1">
      <alignment horizontal="center" vertical="center" wrapText="1"/>
    </xf>
    <xf numFmtId="0" fontId="6" fillId="0" borderId="11" xfId="5" applyFont="1" applyFill="1" applyBorder="1" applyAlignment="1" applyProtection="1">
      <alignment horizontal="left" vertical="center" wrapText="1" indent="2"/>
      <protection locked="0"/>
    </xf>
    <xf numFmtId="0" fontId="6" fillId="2" borderId="11" xfId="5" applyFont="1" applyFill="1" applyBorder="1" applyAlignment="1" applyProtection="1">
      <alignment horizontal="left" vertical="center" wrapText="1" indent="2"/>
      <protection locked="0"/>
    </xf>
    <xf numFmtId="0" fontId="4" fillId="0" borderId="0" xfId="48892" applyFont="1"/>
    <xf numFmtId="0" fontId="5" fillId="0" borderId="11" xfId="19466" applyFont="1" applyBorder="1" applyAlignment="1" applyProtection="1">
      <alignment horizontal="left" vertical="center"/>
      <protection locked="0"/>
    </xf>
    <xf numFmtId="0" fontId="6" fillId="2" borderId="11" xfId="19466" applyFont="1" applyFill="1" applyBorder="1" applyAlignment="1" applyProtection="1">
      <alignment horizontal="left" vertical="center" wrapText="1"/>
    </xf>
    <xf numFmtId="0" fontId="3" fillId="31" borderId="11" xfId="4" applyFont="1" applyFill="1" applyBorder="1" applyAlignment="1">
      <alignment horizontal="center"/>
    </xf>
    <xf numFmtId="0" fontId="3" fillId="31" borderId="11" xfId="4" applyFont="1" applyFill="1" applyBorder="1" applyAlignment="1">
      <alignment horizontal="center" vertical="center"/>
    </xf>
    <xf numFmtId="0" fontId="2" fillId="31" borderId="11" xfId="4" applyFont="1" applyFill="1" applyBorder="1" applyAlignment="1">
      <alignment horizontal="left" wrapText="1"/>
    </xf>
    <xf numFmtId="0" fontId="6" fillId="0" borderId="11" xfId="13" applyFont="1" applyFill="1" applyBorder="1" applyAlignment="1" applyProtection="1">
      <alignment horizontal="center" vertical="center"/>
      <protection locked="0"/>
    </xf>
    <xf numFmtId="0" fontId="6" fillId="0" borderId="11" xfId="19348" applyFont="1" applyFill="1" applyBorder="1" applyAlignment="1">
      <alignment horizontal="center" vertical="center" wrapText="1"/>
    </xf>
    <xf numFmtId="0" fontId="6" fillId="2" borderId="11" xfId="13" applyFont="1" applyFill="1" applyBorder="1" applyAlignment="1" applyProtection="1">
      <alignment horizontal="center" vertical="center"/>
      <protection locked="0"/>
    </xf>
    <xf numFmtId="0" fontId="6" fillId="2" borderId="11" xfId="19348" applyFont="1" applyFill="1" applyBorder="1" applyAlignment="1">
      <alignment horizontal="center" vertical="center" wrapText="1"/>
    </xf>
    <xf numFmtId="0" fontId="6" fillId="0" borderId="11" xfId="13" applyFont="1" applyBorder="1" applyAlignment="1" applyProtection="1">
      <alignment horizontal="center" vertical="center"/>
      <protection locked="0"/>
    </xf>
    <xf numFmtId="0" fontId="6" fillId="0" borderId="11" xfId="13" applyFont="1" applyFill="1" applyBorder="1" applyAlignment="1" applyProtection="1">
      <alignment wrapText="1"/>
      <protection locked="0"/>
    </xf>
    <xf numFmtId="0" fontId="6" fillId="2" borderId="11" xfId="13" applyFont="1" applyFill="1" applyBorder="1" applyAlignment="1">
      <alignment horizontal="center" vertical="center"/>
    </xf>
    <xf numFmtId="0" fontId="6" fillId="0" borderId="11" xfId="13" applyFont="1" applyFill="1" applyBorder="1" applyAlignment="1">
      <alignment horizontal="center" vertical="center"/>
    </xf>
    <xf numFmtId="0" fontId="6" fillId="0" borderId="11" xfId="13" applyFont="1" applyFill="1" applyBorder="1" applyAlignment="1">
      <alignment horizontal="left" vertical="center" wrapText="1"/>
    </xf>
    <xf numFmtId="0" fontId="5" fillId="2" borderId="11" xfId="13" applyFont="1" applyFill="1" applyBorder="1" applyAlignment="1" applyProtection="1">
      <alignment vertical="center" wrapText="1"/>
    </xf>
    <xf numFmtId="0" fontId="6" fillId="0" borderId="11" xfId="13" applyFont="1" applyBorder="1" applyAlignment="1">
      <alignment horizontal="center" vertical="center"/>
    </xf>
    <xf numFmtId="0" fontId="6" fillId="0" borderId="11" xfId="13" applyFont="1" applyFill="1" applyBorder="1" applyAlignment="1" applyProtection="1">
      <alignment horizontal="left" vertical="center" wrapText="1"/>
    </xf>
    <xf numFmtId="0" fontId="6" fillId="0" borderId="11" xfId="13" applyFont="1" applyFill="1" applyBorder="1" applyAlignment="1" applyProtection="1">
      <alignment vertical="center" wrapText="1"/>
    </xf>
    <xf numFmtId="0" fontId="6" fillId="0" borderId="11" xfId="13" applyFont="1" applyBorder="1" applyAlignment="1" applyProtection="1">
      <alignment vertical="center" wrapText="1"/>
      <protection locked="0"/>
    </xf>
    <xf numFmtId="0" fontId="40" fillId="0" borderId="0" xfId="48892" applyFill="1"/>
    <xf numFmtId="0" fontId="5" fillId="0" borderId="11" xfId="13" applyFont="1" applyFill="1" applyBorder="1" applyAlignment="1" applyProtection="1">
      <alignment horizontal="left" vertical="center" wrapText="1"/>
      <protection locked="0"/>
    </xf>
    <xf numFmtId="0" fontId="6" fillId="0" borderId="11" xfId="19308" applyFont="1" applyFill="1" applyBorder="1" applyAlignment="1">
      <alignment horizontal="center" vertical="center" wrapText="1"/>
    </xf>
    <xf numFmtId="0" fontId="5" fillId="2" borderId="11" xfId="13" applyFont="1" applyFill="1" applyBorder="1" applyAlignment="1" applyProtection="1">
      <alignment horizontal="left" vertical="center" wrapText="1" indent="2"/>
      <protection locked="0"/>
    </xf>
    <xf numFmtId="0" fontId="4" fillId="2" borderId="0" xfId="48892" applyFont="1" applyFill="1"/>
    <xf numFmtId="0" fontId="3" fillId="2" borderId="11" xfId="4" applyFont="1" applyFill="1" applyBorder="1" applyAlignment="1">
      <alignment horizontal="center" vertical="center"/>
    </xf>
    <xf numFmtId="0" fontId="6" fillId="2" borderId="11" xfId="10477" applyFont="1" applyFill="1" applyBorder="1" applyAlignment="1" applyProtection="1">
      <alignment horizontal="left" vertical="center" wrapText="1"/>
      <protection locked="0"/>
    </xf>
    <xf numFmtId="0" fontId="6" fillId="0" borderId="11" xfId="13" applyFont="1" applyFill="1" applyBorder="1" applyAlignment="1" applyProtection="1">
      <alignment horizontal="left" vertical="center" wrapText="1" indent="4"/>
      <protection locked="0"/>
    </xf>
    <xf numFmtId="0" fontId="5" fillId="0" borderId="11" xfId="13" applyFont="1" applyFill="1" applyBorder="1" applyAlignment="1" applyProtection="1">
      <alignment wrapText="1"/>
      <protection locked="0"/>
    </xf>
    <xf numFmtId="0" fontId="6" fillId="2" borderId="11" xfId="10471" applyFont="1" applyFill="1" applyBorder="1" applyAlignment="1" applyProtection="1">
      <alignment horizontal="left" vertical="center" wrapText="1"/>
      <protection locked="0"/>
    </xf>
    <xf numFmtId="0" fontId="5" fillId="2" borderId="11" xfId="10446" applyFont="1" applyFill="1" applyBorder="1" applyAlignment="1" applyProtection="1">
      <alignment vertical="center" wrapText="1"/>
      <protection locked="0"/>
    </xf>
    <xf numFmtId="0" fontId="6" fillId="2" borderId="11" xfId="10446" applyFont="1" applyFill="1" applyBorder="1" applyAlignment="1" applyProtection="1">
      <alignment horizontal="center" vertical="center" wrapText="1"/>
      <protection locked="0"/>
    </xf>
    <xf numFmtId="0" fontId="6" fillId="2" borderId="11" xfId="10446" applyFont="1" applyFill="1" applyBorder="1" applyAlignment="1" applyProtection="1">
      <alignment vertical="center" wrapText="1"/>
      <protection locked="0"/>
    </xf>
    <xf numFmtId="0" fontId="5" fillId="30" borderId="11" xfId="18" applyFont="1" applyFill="1" applyBorder="1" applyAlignment="1" applyProtection="1">
      <alignment horizontal="left" vertical="center" wrapText="1"/>
    </xf>
    <xf numFmtId="0" fontId="5" fillId="30" borderId="11" xfId="13" applyFont="1" applyFill="1" applyBorder="1" applyAlignment="1" applyProtection="1">
      <alignment horizontal="center" vertical="center" wrapText="1"/>
      <protection locked="0"/>
    </xf>
    <xf numFmtId="0" fontId="8" fillId="30" borderId="11" xfId="18" applyFont="1" applyFill="1" applyBorder="1" applyAlignment="1" applyProtection="1">
      <alignment vertical="center" wrapText="1"/>
    </xf>
    <xf numFmtId="0" fontId="40" fillId="0" borderId="11" xfId="48892" applyFont="1" applyBorder="1"/>
    <xf numFmtId="0" fontId="6" fillId="4" borderId="11" xfId="13" applyFont="1" applyFill="1" applyBorder="1" applyAlignment="1" applyProtection="1">
      <alignment horizontal="left" vertical="center" wrapText="1" indent="2"/>
      <protection locked="0"/>
    </xf>
    <xf numFmtId="0" fontId="8" fillId="30" borderId="11" xfId="13" applyFont="1" applyFill="1" applyBorder="1" applyAlignment="1" applyProtection="1">
      <alignment horizontal="left" wrapText="1"/>
      <protection locked="0"/>
    </xf>
    <xf numFmtId="0" fontId="6" fillId="0" borderId="11" xfId="13" applyFont="1" applyFill="1" applyBorder="1" applyAlignment="1" applyProtection="1">
      <alignment horizontal="left" wrapText="1"/>
      <protection locked="0"/>
    </xf>
    <xf numFmtId="0" fontId="5" fillId="30" borderId="11" xfId="13" applyFont="1" applyFill="1" applyBorder="1" applyAlignment="1" applyProtection="1">
      <alignment horizontal="left" wrapText="1"/>
      <protection locked="0"/>
    </xf>
    <xf numFmtId="0" fontId="6" fillId="2" borderId="11" xfId="13" applyFont="1" applyFill="1" applyBorder="1" applyAlignment="1" applyProtection="1">
      <alignment horizontal="left" wrapText="1"/>
      <protection locked="0"/>
    </xf>
    <xf numFmtId="0" fontId="6" fillId="0" borderId="11" xfId="13" applyFont="1" applyFill="1" applyBorder="1" applyAlignment="1" applyProtection="1">
      <alignment horizontal="left" wrapText="1" indent="2"/>
      <protection locked="0"/>
    </xf>
    <xf numFmtId="0" fontId="6" fillId="0" borderId="11" xfId="10459" applyFont="1" applyFill="1" applyBorder="1" applyAlignment="1" applyProtection="1">
      <alignment vertical="center" wrapText="1"/>
      <protection locked="0"/>
    </xf>
    <xf numFmtId="0" fontId="5" fillId="0" borderId="11" xfId="13" applyFont="1" applyBorder="1" applyAlignment="1" applyProtection="1">
      <alignment wrapText="1"/>
      <protection locked="0"/>
    </xf>
    <xf numFmtId="0" fontId="41" fillId="30" borderId="11" xfId="13" applyFont="1" applyFill="1" applyBorder="1" applyAlignment="1" applyProtection="1">
      <alignment horizontal="left" vertical="center" wrapText="1"/>
      <protection locked="0"/>
    </xf>
    <xf numFmtId="0" fontId="5" fillId="2" borderId="11" xfId="13" applyFont="1" applyFill="1" applyBorder="1" applyAlignment="1" applyProtection="1">
      <alignment horizontal="center" vertical="center" wrapText="1"/>
      <protection locked="0"/>
    </xf>
    <xf numFmtId="0" fontId="6" fillId="2" borderId="11" xfId="10455" applyFont="1" applyFill="1" applyBorder="1" applyAlignment="1" applyProtection="1">
      <alignment vertical="center" wrapText="1"/>
      <protection locked="0"/>
    </xf>
    <xf numFmtId="0" fontId="6" fillId="0" borderId="0" xfId="48892" applyFont="1"/>
    <xf numFmtId="0" fontId="5" fillId="0" borderId="11" xfId="13" applyFont="1" applyFill="1" applyBorder="1" applyAlignment="1" applyProtection="1">
      <alignment horizontal="left" vertical="center" wrapText="1"/>
    </xf>
    <xf numFmtId="0" fontId="6" fillId="0" borderId="11" xfId="13" applyFont="1" applyBorder="1" applyAlignment="1" applyProtection="1">
      <alignment horizontal="left" wrapText="1" indent="2"/>
      <protection locked="0"/>
    </xf>
    <xf numFmtId="0" fontId="6" fillId="0" borderId="11" xfId="13" applyFont="1" applyBorder="1" applyAlignment="1" applyProtection="1">
      <alignment horizontal="left" wrapText="1"/>
      <protection locked="0"/>
    </xf>
    <xf numFmtId="0" fontId="6" fillId="2" borderId="11" xfId="13" applyFont="1" applyFill="1" applyBorder="1" applyAlignment="1" applyProtection="1">
      <alignment horizontal="left" wrapText="1" indent="2"/>
      <protection locked="0"/>
    </xf>
    <xf numFmtId="0" fontId="5" fillId="30" borderId="11" xfId="18912" applyFont="1" applyFill="1" applyBorder="1" applyAlignment="1">
      <alignment horizontal="left" vertical="center" wrapText="1"/>
    </xf>
    <xf numFmtId="0" fontId="6" fillId="30" borderId="11" xfId="18912" applyFont="1" applyFill="1" applyBorder="1" applyAlignment="1">
      <alignment horizontal="center" vertical="center" wrapText="1"/>
    </xf>
    <xf numFmtId="0" fontId="41" fillId="30" borderId="11" xfId="18912" applyFont="1" applyFill="1" applyBorder="1" applyAlignment="1">
      <alignment vertical="center" wrapText="1"/>
    </xf>
    <xf numFmtId="0" fontId="6" fillId="2" borderId="11" xfId="48894" applyFont="1" applyFill="1" applyBorder="1" applyAlignment="1" applyProtection="1">
      <alignment vertical="top" wrapText="1"/>
      <protection locked="0"/>
    </xf>
    <xf numFmtId="0" fontId="6" fillId="0" borderId="11" xfId="48894" applyFont="1" applyFill="1" applyBorder="1" applyAlignment="1" applyProtection="1">
      <alignment vertical="top" wrapText="1"/>
      <protection locked="0"/>
    </xf>
    <xf numFmtId="0" fontId="6" fillId="2" borderId="11" xfId="48894" applyFont="1" applyFill="1" applyBorder="1" applyAlignment="1" applyProtection="1">
      <alignment horizontal="left" vertical="top" wrapText="1" indent="2"/>
      <protection locked="0"/>
    </xf>
    <xf numFmtId="0" fontId="9" fillId="2" borderId="11" xfId="13" applyFont="1" applyFill="1" applyBorder="1" applyAlignment="1" applyProtection="1">
      <alignment horizontal="center" vertical="center" wrapText="1"/>
      <protection locked="0"/>
    </xf>
    <xf numFmtId="0" fontId="9" fillId="0" borderId="11" xfId="13" applyFont="1" applyFill="1" applyBorder="1" applyAlignment="1" applyProtection="1">
      <alignment horizontal="center" vertical="center" wrapText="1"/>
      <protection locked="0"/>
    </xf>
    <xf numFmtId="0" fontId="6" fillId="0" borderId="11" xfId="48894" applyFont="1" applyFill="1" applyBorder="1" applyAlignment="1" applyProtection="1">
      <alignment horizontal="left" vertical="top" wrapText="1" indent="2"/>
      <protection locked="0"/>
    </xf>
    <xf numFmtId="0" fontId="5" fillId="30" borderId="11" xfId="19019" applyFont="1" applyFill="1" applyBorder="1" applyAlignment="1">
      <alignment horizontal="left" vertical="center" wrapText="1"/>
    </xf>
    <xf numFmtId="0" fontId="6" fillId="30" borderId="11" xfId="19019" applyFont="1" applyFill="1" applyBorder="1" applyAlignment="1">
      <alignment horizontal="center" vertical="center" wrapText="1"/>
    </xf>
    <xf numFmtId="0" fontId="41" fillId="30" borderId="11" xfId="19019" applyFont="1" applyFill="1" applyBorder="1" applyAlignment="1">
      <alignment vertical="center" wrapText="1"/>
    </xf>
    <xf numFmtId="0" fontId="6" fillId="5" borderId="11" xfId="5" applyFont="1" applyFill="1" applyBorder="1" applyAlignment="1" applyProtection="1">
      <alignment horizontal="center" vertical="center" wrapText="1"/>
      <protection locked="0"/>
    </xf>
    <xf numFmtId="0" fontId="6" fillId="0" borderId="11" xfId="48894" applyFont="1" applyFill="1" applyBorder="1" applyAlignment="1" applyProtection="1">
      <alignment vertical="center" wrapText="1"/>
      <protection locked="0"/>
    </xf>
    <xf numFmtId="0" fontId="40" fillId="0" borderId="11" xfId="48892" applyBorder="1"/>
    <xf numFmtId="0" fontId="6" fillId="0" borderId="11" xfId="13" applyFont="1" applyBorder="1" applyAlignment="1" applyProtection="1">
      <alignment horizontal="left" vertical="center" wrapText="1"/>
      <protection locked="0"/>
    </xf>
    <xf numFmtId="0" fontId="5" fillId="4" borderId="11" xfId="13" applyFont="1" applyFill="1" applyBorder="1" applyAlignment="1" applyProtection="1">
      <alignment vertical="center" wrapText="1"/>
      <protection locked="0"/>
    </xf>
    <xf numFmtId="0" fontId="6" fillId="4" borderId="11" xfId="13" applyFont="1" applyFill="1" applyBorder="1" applyAlignment="1" applyProtection="1">
      <alignment vertical="center" wrapText="1"/>
      <protection locked="0"/>
    </xf>
    <xf numFmtId="0" fontId="6" fillId="4" borderId="11" xfId="13" applyFont="1" applyFill="1" applyBorder="1" applyAlignment="1" applyProtection="1">
      <alignment horizontal="left" wrapText="1"/>
      <protection locked="0"/>
    </xf>
    <xf numFmtId="0" fontId="6" fillId="4" borderId="11" xfId="13" applyFont="1" applyFill="1" applyBorder="1" applyAlignment="1" applyProtection="1">
      <alignment horizontal="left" wrapText="1" indent="2"/>
      <protection locked="0"/>
    </xf>
    <xf numFmtId="0" fontId="6" fillId="4" borderId="11" xfId="13" applyFont="1" applyFill="1" applyBorder="1" applyAlignment="1" applyProtection="1">
      <alignment horizontal="left" vertical="center" wrapText="1"/>
      <protection locked="0"/>
    </xf>
    <xf numFmtId="0" fontId="5" fillId="30" borderId="11" xfId="18908" applyFont="1" applyFill="1" applyBorder="1" applyAlignment="1">
      <alignment horizontal="left" vertical="center" wrapText="1"/>
    </xf>
    <xf numFmtId="0" fontId="6" fillId="30" borderId="11" xfId="18908" applyFont="1" applyFill="1" applyBorder="1" applyAlignment="1">
      <alignment horizontal="center" vertical="center" wrapText="1"/>
    </xf>
    <xf numFmtId="0" fontId="41" fillId="30" borderId="11" xfId="18908" applyFont="1" applyFill="1" applyBorder="1" applyAlignment="1">
      <alignment vertical="center" wrapText="1"/>
    </xf>
    <xf numFmtId="0" fontId="6" fillId="2" borderId="11" xfId="48894" applyFont="1" applyFill="1" applyBorder="1" applyAlignment="1" applyProtection="1">
      <alignment horizontal="left" vertical="center" wrapText="1" indent="2"/>
      <protection locked="0"/>
    </xf>
    <xf numFmtId="0" fontId="6" fillId="0" borderId="11" xfId="48894" applyFont="1" applyFill="1" applyBorder="1" applyAlignment="1" applyProtection="1">
      <alignment horizontal="left" vertical="center" wrapText="1" indent="2"/>
      <protection locked="0"/>
    </xf>
    <xf numFmtId="0" fontId="6" fillId="0" borderId="11" xfId="48894" applyFont="1" applyFill="1" applyBorder="1" applyAlignment="1" applyProtection="1">
      <alignment horizontal="left" vertical="center" wrapText="1"/>
      <protection locked="0"/>
    </xf>
    <xf numFmtId="0" fontId="5" fillId="30" borderId="11" xfId="18881" applyFont="1" applyFill="1" applyBorder="1" applyAlignment="1">
      <alignment horizontal="left" vertical="center" wrapText="1"/>
    </xf>
    <xf numFmtId="0" fontId="6" fillId="30" borderId="11" xfId="18881" applyFont="1" applyFill="1" applyBorder="1" applyAlignment="1">
      <alignment horizontal="center" vertical="center" wrapText="1"/>
    </xf>
    <xf numFmtId="0" fontId="41" fillId="30" borderId="11" xfId="18881" applyFont="1" applyFill="1" applyBorder="1" applyAlignment="1">
      <alignment vertical="center" wrapText="1"/>
    </xf>
    <xf numFmtId="0" fontId="5" fillId="0" borderId="11" xfId="13" applyFont="1" applyFill="1" applyBorder="1" applyAlignment="1" applyProtection="1">
      <alignment wrapText="1"/>
    </xf>
    <xf numFmtId="0" fontId="6" fillId="0" borderId="11" xfId="13" applyFont="1" applyFill="1" applyBorder="1" applyAlignment="1" applyProtection="1">
      <alignment horizontal="left" wrapText="1"/>
    </xf>
    <xf numFmtId="0" fontId="6" fillId="2" borderId="11" xfId="13" applyFont="1" applyFill="1" applyBorder="1" applyAlignment="1" applyProtection="1">
      <alignment horizontal="left" vertical="center" wrapText="1" indent="4"/>
      <protection locked="0"/>
    </xf>
    <xf numFmtId="0" fontId="6" fillId="0" borderId="11" xfId="13" applyFont="1" applyBorder="1" applyAlignment="1" applyProtection="1">
      <alignment horizontal="left" vertical="center" wrapText="1" indent="2"/>
      <protection locked="0"/>
    </xf>
    <xf numFmtId="0" fontId="5" fillId="30" borderId="11" xfId="18737" applyFont="1" applyFill="1" applyBorder="1" applyAlignment="1">
      <alignment horizontal="left" vertical="center" wrapText="1"/>
    </xf>
    <xf numFmtId="0" fontId="6" fillId="30" borderId="11" xfId="18737" applyFont="1" applyFill="1" applyBorder="1" applyAlignment="1">
      <alignment horizontal="center" vertical="center" wrapText="1"/>
    </xf>
    <xf numFmtId="0" fontId="41" fillId="30" borderId="11" xfId="18737" applyFont="1" applyFill="1" applyBorder="1" applyAlignment="1">
      <alignment vertical="center" wrapText="1"/>
    </xf>
    <xf numFmtId="0" fontId="5" fillId="30" borderId="11" xfId="16876" applyFont="1" applyFill="1" applyBorder="1" applyAlignment="1">
      <alignment horizontal="left" vertical="center" wrapText="1"/>
    </xf>
    <xf numFmtId="0" fontId="6" fillId="30" borderId="11" xfId="16876" applyFont="1" applyFill="1" applyBorder="1" applyAlignment="1">
      <alignment horizontal="center" vertical="center" wrapText="1"/>
    </xf>
    <xf numFmtId="0" fontId="41" fillId="30" borderId="11" xfId="16876" applyFont="1" applyFill="1" applyBorder="1" applyAlignment="1">
      <alignment vertical="center" wrapText="1"/>
    </xf>
    <xf numFmtId="0" fontId="6" fillId="2" borderId="11" xfId="10449" applyFont="1" applyFill="1" applyBorder="1" applyAlignment="1" applyProtection="1">
      <alignment horizontal="left" vertical="center" wrapText="1"/>
      <protection locked="0"/>
    </xf>
    <xf numFmtId="0" fontId="6" fillId="0" borderId="11" xfId="10449" applyFont="1" applyFill="1" applyBorder="1" applyAlignment="1" applyProtection="1">
      <alignment horizontal="left" vertical="center" wrapText="1"/>
      <protection locked="0"/>
    </xf>
    <xf numFmtId="0" fontId="6" fillId="0" borderId="11" xfId="14" applyFont="1" applyFill="1" applyBorder="1" applyAlignment="1" applyProtection="1">
      <alignment horizontal="left" vertical="center" wrapText="1" indent="2"/>
      <protection locked="0"/>
    </xf>
    <xf numFmtId="0" fontId="6" fillId="0" borderId="11" xfId="14" applyFont="1" applyFill="1" applyBorder="1" applyAlignment="1" applyProtection="1">
      <alignment horizontal="left" vertical="center" wrapText="1"/>
      <protection locked="0"/>
    </xf>
    <xf numFmtId="0" fontId="6" fillId="2" borderId="11" xfId="14" applyFont="1" applyFill="1" applyBorder="1" applyAlignment="1" applyProtection="1">
      <alignment horizontal="left" vertical="center" wrapText="1" indent="2"/>
      <protection locked="0"/>
    </xf>
    <xf numFmtId="0" fontId="6" fillId="0" borderId="11" xfId="14" applyFont="1" applyFill="1" applyBorder="1" applyAlignment="1" applyProtection="1">
      <alignment vertical="center" wrapText="1"/>
      <protection locked="0"/>
    </xf>
    <xf numFmtId="0" fontId="6" fillId="2" borderId="11" xfId="14" applyFont="1" applyFill="1" applyBorder="1" applyAlignment="1" applyProtection="1">
      <alignment horizontal="left" vertical="center" wrapText="1"/>
      <protection locked="0"/>
    </xf>
    <xf numFmtId="0" fontId="6" fillId="2" borderId="11" xfId="48893" applyFont="1" applyFill="1" applyBorder="1" applyAlignment="1" applyProtection="1">
      <alignment horizontal="left" wrapText="1"/>
      <protection locked="0"/>
    </xf>
    <xf numFmtId="0" fontId="6" fillId="2" borderId="11" xfId="19158" applyFont="1" applyFill="1" applyBorder="1" applyAlignment="1" applyProtection="1">
      <alignment vertical="center" wrapText="1"/>
      <protection locked="0"/>
    </xf>
    <xf numFmtId="0" fontId="6" fillId="2" borderId="11" xfId="14" applyFont="1" applyFill="1" applyBorder="1" applyAlignment="1" applyProtection="1">
      <alignment vertical="center" wrapText="1"/>
      <protection locked="0"/>
    </xf>
    <xf numFmtId="0" fontId="3" fillId="31" borderId="11" xfId="4" applyFont="1" applyFill="1" applyBorder="1" applyAlignment="1">
      <alignment horizontal="center" wrapText="1"/>
    </xf>
    <xf numFmtId="0" fontId="4" fillId="2" borderId="11" xfId="48892" applyFont="1" applyFill="1" applyBorder="1" applyAlignment="1">
      <alignment wrapText="1"/>
    </xf>
    <xf numFmtId="0" fontId="4" fillId="0" borderId="11" xfId="48892" applyFont="1" applyBorder="1" applyAlignment="1">
      <alignment wrapText="1"/>
    </xf>
    <xf numFmtId="0" fontId="6" fillId="0" borderId="11" xfId="19164" applyFont="1" applyFill="1" applyBorder="1" applyAlignment="1">
      <alignment horizontal="center" vertical="center" wrapText="1"/>
    </xf>
    <xf numFmtId="0" fontId="6" fillId="0" borderId="11" xfId="19164" applyFont="1" applyFill="1" applyBorder="1" applyAlignment="1" applyProtection="1">
      <alignment horizontal="left" vertical="center" wrapText="1"/>
      <protection locked="0"/>
    </xf>
    <xf numFmtId="0" fontId="6" fillId="2" borderId="11" xfId="48894" applyFont="1" applyFill="1" applyBorder="1" applyAlignment="1" applyProtection="1">
      <alignment vertical="center" wrapText="1"/>
      <protection locked="0"/>
    </xf>
    <xf numFmtId="0" fontId="5" fillId="0" borderId="11" xfId="13" applyFont="1" applyFill="1" applyBorder="1" applyAlignment="1" applyProtection="1">
      <alignment horizontal="left" vertical="center" wrapText="1" indent="2"/>
      <protection locked="0"/>
    </xf>
    <xf numFmtId="0" fontId="6" fillId="0" borderId="11" xfId="48892" applyFont="1" applyBorder="1" applyAlignment="1">
      <alignment horizontal="left" wrapText="1" indent="2"/>
    </xf>
    <xf numFmtId="0" fontId="6" fillId="30" borderId="11" xfId="12008" applyFont="1" applyFill="1" applyBorder="1" applyAlignment="1">
      <alignment horizontal="center" vertical="center" wrapText="1"/>
    </xf>
    <xf numFmtId="0" fontId="41" fillId="30" borderId="11" xfId="12008" applyFont="1" applyFill="1" applyBorder="1" applyAlignment="1">
      <alignment vertical="center" wrapText="1"/>
    </xf>
    <xf numFmtId="0" fontId="5" fillId="0" borderId="11" xfId="13" applyFont="1" applyFill="1" applyBorder="1" applyAlignment="1" applyProtection="1">
      <alignment horizontal="left" wrapText="1"/>
      <protection locked="0"/>
    </xf>
    <xf numFmtId="0" fontId="40" fillId="2" borderId="11" xfId="48892" applyFont="1" applyFill="1" applyBorder="1"/>
    <xf numFmtId="0" fontId="6" fillId="5" borderId="11" xfId="19168" applyFont="1" applyFill="1" applyBorder="1" applyAlignment="1" applyProtection="1">
      <alignment horizontal="center" vertical="center"/>
      <protection locked="0"/>
    </xf>
    <xf numFmtId="0" fontId="6" fillId="5" borderId="11" xfId="19168" applyFont="1" applyFill="1" applyBorder="1" applyAlignment="1">
      <alignment horizontal="center" vertical="center" wrapText="1"/>
    </xf>
    <xf numFmtId="0" fontId="6" fillId="2" borderId="11" xfId="19168" applyFont="1" applyFill="1" applyBorder="1" applyAlignment="1">
      <alignment horizontal="center" vertical="center" wrapText="1"/>
    </xf>
    <xf numFmtId="0" fontId="6" fillId="0" borderId="11" xfId="19168" applyFont="1" applyFill="1" applyBorder="1" applyAlignment="1">
      <alignment horizontal="center" vertical="center" wrapText="1"/>
    </xf>
    <xf numFmtId="0" fontId="42" fillId="2" borderId="11" xfId="48892" applyFont="1" applyFill="1" applyBorder="1" applyAlignment="1">
      <alignment wrapText="1"/>
    </xf>
    <xf numFmtId="0" fontId="5" fillId="0" borderId="11" xfId="48894" applyFont="1" applyFill="1" applyBorder="1" applyAlignment="1" applyProtection="1">
      <alignment horizontal="left" vertical="center" wrapText="1" indent="2"/>
      <protection locked="0"/>
    </xf>
    <xf numFmtId="0" fontId="5" fillId="0" borderId="11" xfId="3" applyFont="1" applyFill="1" applyBorder="1" applyAlignment="1" applyProtection="1">
      <alignment horizontal="left" vertical="center" wrapText="1"/>
      <protection locked="0"/>
    </xf>
    <xf numFmtId="0" fontId="6" fillId="0" borderId="11" xfId="48892" applyFont="1" applyBorder="1" applyAlignment="1">
      <alignment wrapText="1"/>
    </xf>
    <xf numFmtId="0" fontId="6" fillId="0" borderId="11" xfId="19466" applyFont="1" applyBorder="1" applyAlignment="1" applyProtection="1">
      <alignment horizontal="center" vertical="center"/>
      <protection locked="0"/>
    </xf>
    <xf numFmtId="0" fontId="6" fillId="0" borderId="11" xfId="19466" applyFont="1" applyBorder="1" applyAlignment="1" applyProtection="1">
      <alignment horizontal="center" vertical="center"/>
    </xf>
    <xf numFmtId="0" fontId="6" fillId="0" borderId="11" xfId="19466" applyFont="1" applyBorder="1" applyAlignment="1" applyProtection="1">
      <alignment horizontal="left" vertical="center" wrapText="1"/>
    </xf>
    <xf numFmtId="0" fontId="6" fillId="0" borderId="11" xfId="19466" applyFont="1" applyFill="1" applyBorder="1" applyAlignment="1" applyProtection="1">
      <alignment horizontal="left" vertical="center" wrapText="1"/>
    </xf>
    <xf numFmtId="0" fontId="6" fillId="2" borderId="11" xfId="3" applyFont="1" applyFill="1" applyBorder="1" applyAlignment="1" applyProtection="1">
      <alignment horizontal="left" vertical="center" wrapText="1"/>
      <protection locked="0"/>
    </xf>
    <xf numFmtId="0" fontId="5" fillId="2" borderId="11" xfId="3" applyFont="1" applyFill="1" applyBorder="1" applyAlignment="1" applyProtection="1">
      <alignment horizontal="left" vertical="center" wrapText="1"/>
      <protection locked="0"/>
    </xf>
    <xf numFmtId="49" fontId="5" fillId="2" borderId="11" xfId="13" applyNumberFormat="1" applyFont="1" applyFill="1" applyBorder="1" applyAlignment="1" applyProtection="1">
      <alignment horizontal="left" vertical="center" wrapText="1"/>
    </xf>
    <xf numFmtId="0" fontId="6" fillId="2" borderId="11" xfId="13" applyFont="1" applyFill="1" applyBorder="1" applyAlignment="1" applyProtection="1">
      <alignment vertical="center" wrapText="1"/>
    </xf>
    <xf numFmtId="0" fontId="6" fillId="2" borderId="11" xfId="13" applyFont="1" applyFill="1" applyBorder="1" applyAlignment="1">
      <alignment vertical="center" wrapText="1"/>
    </xf>
    <xf numFmtId="0" fontId="6" fillId="2" borderId="11" xfId="19466" applyFont="1" applyFill="1" applyBorder="1" applyAlignment="1" applyProtection="1">
      <alignment horizontal="center" vertical="center"/>
      <protection locked="0"/>
    </xf>
    <xf numFmtId="0" fontId="6" fillId="2" borderId="11" xfId="19466" applyFont="1" applyFill="1" applyBorder="1" applyAlignment="1" applyProtection="1">
      <alignment vertical="center" wrapText="1"/>
      <protection locked="0"/>
    </xf>
    <xf numFmtId="0" fontId="6" fillId="0" borderId="11" xfId="19466" applyFont="1" applyFill="1" applyBorder="1" applyAlignment="1" applyProtection="1">
      <alignment horizontal="center" vertical="center"/>
      <protection locked="0"/>
    </xf>
    <xf numFmtId="0" fontId="6" fillId="0" borderId="11" xfId="19466" applyFont="1" applyFill="1" applyBorder="1" applyAlignment="1" applyProtection="1">
      <alignment horizontal="left" vertical="center" wrapText="1" indent="2"/>
      <protection locked="0"/>
    </xf>
    <xf numFmtId="0" fontId="6" fillId="2" borderId="11" xfId="19466" applyFont="1" applyFill="1" applyBorder="1" applyAlignment="1" applyProtection="1">
      <alignment horizontal="left" vertical="center" wrapText="1" indent="2"/>
      <protection locked="0"/>
    </xf>
    <xf numFmtId="0" fontId="5" fillId="2" borderId="11" xfId="19466" applyFont="1" applyFill="1" applyBorder="1" applyAlignment="1" applyProtection="1">
      <alignment horizontal="left" wrapText="1"/>
      <protection locked="0"/>
    </xf>
    <xf numFmtId="0" fontId="6" fillId="2" borderId="11" xfId="19466" applyFont="1" applyFill="1" applyBorder="1" applyAlignment="1" applyProtection="1">
      <alignment horizontal="left" vertical="center" wrapText="1"/>
      <protection locked="0"/>
    </xf>
    <xf numFmtId="0" fontId="6" fillId="2" borderId="11" xfId="13" applyFont="1" applyFill="1" applyBorder="1" applyAlignment="1">
      <alignment horizontal="left" vertical="center" wrapText="1" indent="2"/>
    </xf>
    <xf numFmtId="0" fontId="6" fillId="0" borderId="11" xfId="13" applyFont="1" applyBorder="1" applyAlignment="1">
      <alignment horizontal="center" vertical="center" wrapText="1"/>
    </xf>
    <xf numFmtId="0" fontId="6" fillId="0" borderId="11" xfId="13" applyFont="1" applyFill="1" applyBorder="1" applyAlignment="1">
      <alignment horizontal="left" vertical="center" wrapText="1" indent="2"/>
    </xf>
    <xf numFmtId="0" fontId="6" fillId="0" borderId="11" xfId="6" applyFont="1" applyFill="1" applyBorder="1" applyAlignment="1" applyProtection="1">
      <alignment horizontal="left" vertical="center" wrapText="1"/>
      <protection locked="0"/>
    </xf>
    <xf numFmtId="0" fontId="6" fillId="0" borderId="11" xfId="6" applyFont="1" applyFill="1" applyBorder="1" applyAlignment="1" applyProtection="1">
      <alignment horizontal="center" vertical="center" wrapText="1"/>
      <protection locked="0"/>
    </xf>
    <xf numFmtId="0" fontId="6" fillId="0" borderId="11" xfId="6" applyFont="1" applyFill="1" applyBorder="1" applyAlignment="1">
      <alignment horizontal="left" vertical="center" wrapText="1"/>
    </xf>
    <xf numFmtId="0" fontId="5" fillId="0" borderId="11" xfId="48894" applyFont="1" applyFill="1" applyBorder="1" applyAlignment="1" applyProtection="1">
      <alignment horizontal="left" vertical="center" wrapText="1"/>
      <protection locked="0"/>
    </xf>
    <xf numFmtId="0" fontId="5" fillId="2" borderId="11" xfId="6" applyFont="1" applyFill="1" applyBorder="1" applyAlignment="1" applyProtection="1">
      <alignment horizontal="left" vertical="center" wrapText="1"/>
      <protection locked="0"/>
    </xf>
    <xf numFmtId="0" fontId="6" fillId="2" borderId="11" xfId="6" applyFont="1" applyFill="1" applyBorder="1" applyAlignment="1" applyProtection="1">
      <alignment horizontal="center" vertical="center" wrapText="1"/>
      <protection locked="0"/>
    </xf>
    <xf numFmtId="0" fontId="6" fillId="2" borderId="11" xfId="6" applyFont="1" applyFill="1" applyBorder="1" applyAlignment="1">
      <alignment horizontal="left" vertical="center" wrapText="1"/>
    </xf>
    <xf numFmtId="0" fontId="6" fillId="2" borderId="11" xfId="19466" applyFont="1" applyFill="1" applyBorder="1" applyAlignment="1">
      <alignment horizontal="center" vertical="center"/>
    </xf>
    <xf numFmtId="0" fontId="6" fillId="2" borderId="11" xfId="6" applyFont="1" applyFill="1" applyBorder="1" applyAlignment="1">
      <alignment horizontal="left" vertical="center" wrapText="1" indent="2"/>
    </xf>
    <xf numFmtId="0" fontId="2" fillId="31" borderId="11" xfId="4" applyFont="1" applyFill="1" applyBorder="1" applyAlignment="1">
      <alignment horizontal="center"/>
    </xf>
    <xf numFmtId="0" fontId="2" fillId="31" borderId="11" xfId="4" applyFont="1" applyFill="1" applyBorder="1" applyAlignment="1">
      <alignment horizontal="left"/>
    </xf>
    <xf numFmtId="0" fontId="2" fillId="3" borderId="11" xfId="48892" applyFont="1" applyFill="1" applyBorder="1" applyAlignment="1" applyProtection="1">
      <alignment horizontal="center" vertical="center"/>
      <protection locked="0"/>
    </xf>
    <xf numFmtId="0" fontId="14" fillId="2" borderId="0" xfId="48892" applyFont="1" applyFill="1" applyAlignment="1">
      <alignment horizontal="left"/>
    </xf>
    <xf numFmtId="0" fontId="14" fillId="2" borderId="0" xfId="48892" applyFont="1" applyFill="1" applyAlignment="1">
      <alignment horizontal="center" vertical="center"/>
    </xf>
    <xf numFmtId="0" fontId="14" fillId="0" borderId="0" xfId="48892" applyFont="1"/>
    <xf numFmtId="0" fontId="14" fillId="2" borderId="0" xfId="48892" applyFont="1" applyFill="1"/>
    <xf numFmtId="0" fontId="35" fillId="0" borderId="0" xfId="48896" applyFont="1"/>
    <xf numFmtId="0" fontId="6" fillId="2" borderId="11" xfId="3" applyFont="1" applyFill="1" applyBorder="1" applyAlignment="1" applyProtection="1">
      <alignment horizontal="center" vertical="center"/>
      <protection locked="0"/>
    </xf>
    <xf numFmtId="0" fontId="6" fillId="0" borderId="11" xfId="13" applyFont="1" applyBorder="1" applyAlignment="1">
      <alignment horizontal="left" vertical="center" wrapText="1"/>
    </xf>
    <xf numFmtId="0" fontId="40" fillId="32" borderId="0" xfId="48892" applyFill="1"/>
    <xf numFmtId="0" fontId="6" fillId="0" borderId="11" xfId="13" applyFont="1" applyFill="1" applyBorder="1" applyAlignment="1">
      <alignment horizontal="center" vertical="center" wrapText="1"/>
    </xf>
    <xf numFmtId="0" fontId="6" fillId="0" borderId="11" xfId="13" applyFont="1" applyFill="1" applyBorder="1" applyAlignment="1" applyProtection="1">
      <alignment horizontal="left" vertical="center" wrapText="1" indent="2"/>
    </xf>
    <xf numFmtId="0" fontId="6" fillId="2" borderId="11" xfId="13" applyFont="1" applyFill="1" applyBorder="1" applyAlignment="1" applyProtection="1">
      <alignment horizontal="left" vertical="center" wrapText="1" indent="2"/>
    </xf>
    <xf numFmtId="0" fontId="40" fillId="33" borderId="0" xfId="48892" applyFill="1"/>
    <xf numFmtId="0" fontId="6" fillId="2" borderId="11" xfId="13" applyFont="1" applyFill="1" applyBorder="1" applyAlignment="1" applyProtection="1">
      <alignment horizontal="left" wrapText="1" indent="2"/>
    </xf>
    <xf numFmtId="0" fontId="6" fillId="5" borderId="11" xfId="13" applyFont="1" applyFill="1" applyBorder="1" applyAlignment="1">
      <alignment horizontal="center" vertical="center" wrapText="1"/>
    </xf>
    <xf numFmtId="0" fontId="6" fillId="2" borderId="11" xfId="13" applyFont="1" applyFill="1" applyBorder="1" applyAlignment="1" applyProtection="1">
      <alignment horizontal="left" vertical="center" wrapText="1"/>
    </xf>
    <xf numFmtId="0" fontId="6" fillId="4" borderId="11" xfId="13" applyFont="1" applyFill="1" applyBorder="1" applyAlignment="1" applyProtection="1">
      <alignment horizontal="left" vertical="center" wrapText="1" indent="2"/>
    </xf>
    <xf numFmtId="0" fontId="6" fillId="4" borderId="11" xfId="13" applyFont="1" applyFill="1" applyBorder="1" applyAlignment="1" applyProtection="1">
      <alignment horizontal="center" vertical="center" wrapText="1"/>
    </xf>
    <xf numFmtId="0" fontId="5" fillId="2" borderId="0" xfId="13" applyFont="1" applyFill="1" applyBorder="1" applyAlignment="1" applyProtection="1">
      <alignment vertical="center" wrapText="1"/>
    </xf>
    <xf numFmtId="0" fontId="6" fillId="4" borderId="11" xfId="13" applyFont="1" applyFill="1" applyBorder="1" applyAlignment="1">
      <alignment horizontal="left" vertical="center" wrapText="1" indent="2"/>
    </xf>
    <xf numFmtId="0" fontId="6" fillId="0" borderId="11" xfId="13" applyFont="1" applyBorder="1" applyAlignment="1" applyProtection="1">
      <alignment horizontal="left" vertical="center" wrapText="1" indent="2"/>
    </xf>
    <xf numFmtId="0" fontId="2" fillId="3" borderId="11" xfId="16137" applyFont="1" applyFill="1" applyBorder="1" applyAlignment="1">
      <alignment horizontal="left" wrapText="1"/>
    </xf>
    <xf numFmtId="0" fontId="6" fillId="0" borderId="11" xfId="13" applyFont="1" applyBorder="1" applyAlignment="1" applyProtection="1">
      <alignment horizontal="center" vertical="center" wrapText="1"/>
    </xf>
    <xf numFmtId="0" fontId="6" fillId="0" borderId="11" xfId="3" applyFont="1" applyFill="1" applyBorder="1" applyAlignment="1" applyProtection="1">
      <alignment horizontal="left" vertical="center" wrapText="1"/>
      <protection locked="0"/>
    </xf>
    <xf numFmtId="0" fontId="8" fillId="34" borderId="11" xfId="16137" applyFont="1" applyFill="1" applyBorder="1" applyAlignment="1">
      <alignment horizontal="left" wrapText="1"/>
    </xf>
    <xf numFmtId="0" fontId="6" fillId="2" borderId="11" xfId="10474" applyFont="1" applyFill="1" applyBorder="1" applyAlignment="1" applyProtection="1">
      <alignment horizontal="left" vertical="center" wrapText="1"/>
    </xf>
    <xf numFmtId="0" fontId="6" fillId="2" borderId="11" xfId="10474" applyFont="1" applyFill="1" applyBorder="1" applyAlignment="1" applyProtection="1">
      <alignment horizontal="left" vertical="center" wrapText="1"/>
      <protection locked="0"/>
    </xf>
    <xf numFmtId="0" fontId="6" fillId="0" borderId="11" xfId="13" applyFont="1" applyFill="1" applyBorder="1" applyAlignment="1" applyProtection="1">
      <alignment horizontal="left" vertical="center" wrapText="1" indent="4"/>
    </xf>
    <xf numFmtId="0" fontId="6" fillId="4" borderId="11" xfId="5" applyFont="1" applyFill="1" applyBorder="1" applyAlignment="1">
      <alignment horizontal="center" vertical="center" wrapText="1"/>
    </xf>
    <xf numFmtId="0" fontId="6" fillId="0" borderId="11" xfId="13" applyFont="1" applyFill="1" applyBorder="1" applyAlignment="1">
      <alignment vertical="center" wrapText="1"/>
    </xf>
    <xf numFmtId="0" fontId="38" fillId="5" borderId="11" xfId="13" applyFont="1" applyFill="1" applyBorder="1" applyAlignment="1" applyProtection="1">
      <alignment horizontal="center" vertical="center" wrapText="1"/>
    </xf>
    <xf numFmtId="0" fontId="41" fillId="0" borderId="11" xfId="13" applyFont="1" applyFill="1" applyBorder="1" applyAlignment="1" applyProtection="1">
      <alignment horizontal="left" vertical="center" wrapText="1"/>
      <protection locked="0"/>
    </xf>
    <xf numFmtId="0" fontId="40" fillId="2" borderId="0" xfId="48892" applyFill="1" applyAlignment="1">
      <alignment horizontal="left" indent="2"/>
    </xf>
    <xf numFmtId="0" fontId="6" fillId="2" borderId="11" xfId="48892" applyFont="1" applyFill="1" applyBorder="1" applyAlignment="1">
      <alignment horizontal="left" wrapText="1" indent="2"/>
    </xf>
    <xf numFmtId="0" fontId="40" fillId="0" borderId="0" xfId="48892" applyAlignment="1">
      <alignment horizontal="left" indent="2"/>
    </xf>
    <xf numFmtId="0" fontId="6" fillId="2" borderId="11" xfId="48892" applyFont="1" applyFill="1" applyBorder="1" applyAlignment="1">
      <alignment wrapText="1"/>
    </xf>
    <xf numFmtId="0" fontId="6" fillId="0" borderId="11" xfId="48892" applyFont="1" applyFill="1" applyBorder="1" applyAlignment="1">
      <alignment wrapText="1"/>
    </xf>
    <xf numFmtId="0" fontId="6" fillId="5" borderId="11" xfId="48892" applyFont="1" applyFill="1" applyBorder="1" applyAlignment="1">
      <alignment wrapText="1"/>
    </xf>
    <xf numFmtId="0" fontId="5" fillId="2" borderId="11" xfId="13" applyFont="1" applyFill="1" applyBorder="1" applyAlignment="1" applyProtection="1">
      <alignment horizontal="left" vertical="center" wrapText="1"/>
    </xf>
    <xf numFmtId="0" fontId="6" fillId="2" borderId="11" xfId="48897" applyFont="1" applyFill="1" applyBorder="1" applyAlignment="1">
      <alignment horizontal="center" vertical="center" wrapText="1"/>
    </xf>
    <xf numFmtId="0" fontId="6" fillId="2" borderId="11" xfId="48897" applyFont="1" applyFill="1" applyBorder="1" applyAlignment="1">
      <alignment horizontal="left" vertical="center" wrapText="1"/>
    </xf>
    <xf numFmtId="0" fontId="6" fillId="0" borderId="11" xfId="6" applyFont="1" applyFill="1" applyBorder="1" applyAlignment="1" applyProtection="1">
      <alignment vertical="center" wrapText="1"/>
    </xf>
    <xf numFmtId="0" fontId="6" fillId="0" borderId="11" xfId="48897" applyFont="1" applyFill="1" applyBorder="1" applyAlignment="1">
      <alignment horizontal="center" vertical="center" wrapText="1"/>
    </xf>
    <xf numFmtId="0" fontId="6" fillId="0" borderId="11" xfId="48897" applyFont="1" applyFill="1" applyBorder="1" applyAlignment="1">
      <alignment horizontal="left" vertical="center" wrapText="1"/>
    </xf>
    <xf numFmtId="0" fontId="6" fillId="2" borderId="11" xfId="13" applyFont="1" applyFill="1" applyBorder="1" applyAlignment="1">
      <alignment horizontal="left" vertical="center" wrapText="1" indent="3"/>
    </xf>
    <xf numFmtId="0" fontId="6" fillId="0" borderId="11" xfId="13" applyFont="1" applyFill="1" applyBorder="1" applyAlignment="1">
      <alignment horizontal="left" vertical="center" wrapText="1" indent="3"/>
    </xf>
    <xf numFmtId="0" fontId="6" fillId="0" borderId="11" xfId="13" applyFont="1" applyFill="1" applyBorder="1" applyAlignment="1" applyProtection="1">
      <alignment horizontal="left" vertical="center" wrapText="1" indent="3"/>
    </xf>
    <xf numFmtId="0" fontId="6" fillId="5" borderId="11" xfId="13" applyFont="1" applyFill="1" applyBorder="1" applyAlignment="1" applyProtection="1">
      <alignment horizontal="center" vertical="center" wrapText="1"/>
    </xf>
    <xf numFmtId="0" fontId="6" fillId="2" borderId="11" xfId="13" applyFont="1" applyFill="1" applyBorder="1" applyAlignment="1" applyProtection="1">
      <alignment horizontal="left" vertical="center" wrapText="1" indent="3"/>
    </xf>
    <xf numFmtId="0" fontId="6" fillId="2" borderId="11" xfId="3" applyFont="1" applyFill="1" applyBorder="1" applyAlignment="1" applyProtection="1">
      <alignment horizontal="left" vertical="center" wrapText="1" indent="3"/>
      <protection locked="0"/>
    </xf>
    <xf numFmtId="0" fontId="6" fillId="0" borderId="11" xfId="48897" applyFont="1" applyFill="1" applyBorder="1" applyAlignment="1" applyProtection="1">
      <alignment horizontal="center" vertical="center" wrapText="1"/>
      <protection locked="0"/>
    </xf>
    <xf numFmtId="0" fontId="6" fillId="2" borderId="11" xfId="48897" applyFont="1" applyFill="1" applyBorder="1" applyAlignment="1">
      <alignment horizontal="left" vertical="center" wrapText="1" indent="3"/>
    </xf>
    <xf numFmtId="0" fontId="2" fillId="31" borderId="11" xfId="16137" applyFont="1" applyFill="1" applyBorder="1" applyAlignment="1">
      <alignment horizontal="center"/>
    </xf>
    <xf numFmtId="0" fontId="36" fillId="2" borderId="0" xfId="48892" applyFont="1" applyFill="1" applyAlignment="1">
      <alignment horizontal="center"/>
    </xf>
    <xf numFmtId="0" fontId="40" fillId="2" borderId="0" xfId="48892" applyFill="1"/>
    <xf numFmtId="0" fontId="42" fillId="2" borderId="0" xfId="48892" applyFont="1" applyFill="1"/>
    <xf numFmtId="0" fontId="45" fillId="0" borderId="0" xfId="48892" applyFont="1"/>
    <xf numFmtId="0" fontId="45" fillId="2" borderId="0" xfId="48892" applyFont="1" applyFill="1"/>
    <xf numFmtId="0" fontId="5" fillId="30" borderId="11" xfId="48892" applyFont="1" applyFill="1" applyBorder="1" applyAlignment="1">
      <alignment horizontal="left" vertical="center" wrapText="1"/>
    </xf>
    <xf numFmtId="0" fontId="6" fillId="30" borderId="11" xfId="48892" applyFont="1" applyFill="1" applyBorder="1" applyAlignment="1">
      <alignment vertical="center" wrapText="1"/>
    </xf>
    <xf numFmtId="0" fontId="41" fillId="30" borderId="11" xfId="48892" applyFont="1" applyFill="1" applyBorder="1" applyAlignment="1">
      <alignment vertical="center" wrapText="1"/>
    </xf>
    <xf numFmtId="0" fontId="1" fillId="0" borderId="11" xfId="4" applyFont="1" applyFill="1" applyBorder="1" applyAlignment="1">
      <alignment horizontal="center" vertical="center"/>
    </xf>
    <xf numFmtId="0" fontId="5" fillId="5" borderId="11" xfId="13" applyFont="1" applyFill="1" applyBorder="1" applyAlignment="1" applyProtection="1">
      <alignment horizontal="left" vertical="center" wrapText="1"/>
      <protection locked="0"/>
    </xf>
    <xf numFmtId="0" fontId="6" fillId="5" borderId="11" xfId="13" applyFont="1" applyFill="1" applyBorder="1" applyAlignment="1" applyProtection="1">
      <alignment horizontal="left" vertical="center" wrapText="1"/>
      <protection locked="0"/>
    </xf>
    <xf numFmtId="0" fontId="6" fillId="0" borderId="11" xfId="10499" applyFont="1" applyFill="1" applyBorder="1" applyAlignment="1">
      <alignment horizontal="center" vertical="center" wrapText="1"/>
    </xf>
    <xf numFmtId="0" fontId="6" fillId="2" borderId="0" xfId="48892" applyFont="1" applyFill="1" applyAlignment="1">
      <alignment wrapText="1"/>
    </xf>
    <xf numFmtId="0" fontId="6" fillId="2" borderId="11" xfId="48892" applyFont="1" applyFill="1" applyBorder="1" applyAlignment="1">
      <alignment vertical="center" wrapText="1"/>
    </xf>
    <xf numFmtId="0" fontId="6" fillId="2" borderId="11" xfId="48892" applyFont="1" applyFill="1" applyBorder="1" applyAlignment="1">
      <alignment horizontal="left" vertical="center" wrapText="1" indent="2"/>
    </xf>
    <xf numFmtId="0" fontId="6" fillId="5" borderId="11" xfId="10499" applyFont="1" applyFill="1" applyBorder="1" applyAlignment="1" applyProtection="1">
      <alignment horizontal="center" wrapText="1"/>
      <protection locked="0"/>
    </xf>
    <xf numFmtId="0" fontId="6" fillId="2" borderId="0" xfId="13" applyFont="1" applyFill="1" applyAlignment="1">
      <alignment vertical="center" wrapText="1"/>
    </xf>
    <xf numFmtId="0" fontId="6" fillId="2" borderId="11" xfId="10499" applyFont="1" applyFill="1" applyBorder="1" applyAlignment="1" applyProtection="1">
      <alignment horizontal="center" vertical="center" wrapText="1"/>
    </xf>
    <xf numFmtId="0" fontId="6" fillId="2" borderId="11" xfId="19298" applyFont="1" applyFill="1" applyBorder="1" applyAlignment="1">
      <alignment vertical="center" wrapText="1"/>
    </xf>
    <xf numFmtId="0" fontId="6" fillId="2" borderId="11" xfId="19298" applyFont="1" applyFill="1" applyBorder="1" applyAlignment="1">
      <alignment wrapText="1"/>
    </xf>
    <xf numFmtId="0" fontId="6" fillId="2" borderId="11" xfId="48892" applyFont="1" applyFill="1" applyBorder="1" applyAlignment="1">
      <alignment horizontal="left" wrapText="1"/>
    </xf>
    <xf numFmtId="0" fontId="6" fillId="0" borderId="0" xfId="48892" applyFont="1" applyAlignment="1">
      <alignment wrapText="1"/>
    </xf>
    <xf numFmtId="0" fontId="6" fillId="2" borderId="0" xfId="13" applyFont="1" applyFill="1" applyAlignment="1" applyProtection="1">
      <alignment vertical="center" wrapText="1"/>
      <protection locked="0"/>
    </xf>
    <xf numFmtId="0" fontId="6" fillId="0" borderId="0" xfId="13" applyFont="1" applyFill="1" applyAlignment="1">
      <alignment vertical="center" wrapText="1"/>
    </xf>
    <xf numFmtId="0" fontId="6" fillId="0" borderId="11" xfId="48892" applyFont="1" applyFill="1" applyBorder="1" applyAlignment="1" applyProtection="1">
      <alignment horizontal="center" vertical="center" wrapText="1"/>
      <protection locked="0"/>
    </xf>
    <xf numFmtId="49" fontId="6" fillId="0" borderId="11" xfId="13" applyNumberFormat="1" applyFont="1" applyFill="1" applyBorder="1" applyAlignment="1" applyProtection="1">
      <alignment vertical="center" wrapText="1"/>
    </xf>
    <xf numFmtId="0" fontId="6" fillId="0" borderId="11" xfId="48892" applyFont="1" applyFill="1" applyBorder="1" applyAlignment="1">
      <alignment vertical="center" wrapText="1"/>
    </xf>
    <xf numFmtId="0" fontId="6" fillId="2" borderId="11" xfId="10446" applyFont="1" applyFill="1" applyBorder="1" applyAlignment="1" applyProtection="1">
      <alignment horizontal="center" vertical="center" wrapText="1"/>
    </xf>
    <xf numFmtId="0" fontId="6" fillId="2" borderId="11" xfId="12899" applyFont="1" applyFill="1" applyBorder="1" applyAlignment="1">
      <alignment wrapText="1"/>
    </xf>
    <xf numFmtId="0" fontId="6" fillId="2" borderId="11" xfId="5" applyFont="1" applyFill="1" applyBorder="1" applyAlignment="1">
      <alignment vertical="center" wrapText="1"/>
    </xf>
    <xf numFmtId="0" fontId="1" fillId="0" borderId="11" xfId="4" applyFont="1" applyBorder="1" applyAlignment="1">
      <alignment vertical="center"/>
    </xf>
    <xf numFmtId="0" fontId="1" fillId="0" borderId="11" xfId="4" applyFont="1" applyBorder="1" applyAlignment="1">
      <alignment horizontal="left" vertical="center" wrapText="1"/>
    </xf>
    <xf numFmtId="0" fontId="1" fillId="0" borderId="11" xfId="4" applyFont="1" applyFill="1" applyBorder="1" applyAlignment="1">
      <alignment vertical="center"/>
    </xf>
    <xf numFmtId="0" fontId="1" fillId="0" borderId="11" xfId="4" applyFont="1" applyFill="1" applyBorder="1" applyAlignment="1">
      <alignment horizontal="left" vertical="center" wrapText="1"/>
    </xf>
    <xf numFmtId="0" fontId="6" fillId="2" borderId="11" xfId="6" applyFont="1" applyFill="1" applyBorder="1" applyAlignment="1" applyProtection="1">
      <alignment vertical="center" wrapText="1"/>
      <protection locked="0"/>
    </xf>
    <xf numFmtId="0" fontId="1" fillId="0" borderId="11" xfId="4" applyFont="1" applyBorder="1" applyAlignment="1">
      <alignment horizontal="left" vertical="center" wrapText="1" indent="2"/>
    </xf>
    <xf numFmtId="0" fontId="1" fillId="5" borderId="11" xfId="4" applyFont="1" applyFill="1" applyBorder="1"/>
    <xf numFmtId="0" fontId="1" fillId="2" borderId="11" xfId="12896" applyFont="1" applyFill="1" applyBorder="1"/>
    <xf numFmtId="0" fontId="1" fillId="2" borderId="11" xfId="12896" applyFont="1" applyFill="1" applyBorder="1" applyAlignment="1">
      <alignment wrapText="1"/>
    </xf>
    <xf numFmtId="0" fontId="1" fillId="2" borderId="11" xfId="12896" applyFont="1" applyFill="1" applyBorder="1" applyAlignment="1">
      <alignment horizontal="left" wrapText="1"/>
    </xf>
    <xf numFmtId="0" fontId="1" fillId="0" borderId="11" xfId="12896" applyFont="1" applyFill="1" applyBorder="1"/>
    <xf numFmtId="0" fontId="1" fillId="0" borderId="11" xfId="12896" applyFont="1" applyFill="1" applyBorder="1" applyAlignment="1">
      <alignment wrapText="1"/>
    </xf>
    <xf numFmtId="0" fontId="1" fillId="0" borderId="11" xfId="12896" applyFont="1" applyFill="1" applyBorder="1" applyAlignment="1">
      <alignment horizontal="left" wrapText="1"/>
    </xf>
    <xf numFmtId="0" fontId="6" fillId="0" borderId="11" xfId="12514" applyFont="1" applyFill="1" applyBorder="1" applyAlignment="1">
      <alignment vertical="center" wrapText="1"/>
    </xf>
    <xf numFmtId="49" fontId="6" fillId="2" borderId="11" xfId="48892" applyNumberFormat="1" applyFont="1" applyFill="1" applyBorder="1" applyAlignment="1" applyProtection="1">
      <alignment vertical="center" wrapText="1"/>
      <protection locked="0"/>
    </xf>
    <xf numFmtId="0" fontId="6" fillId="2" borderId="11" xfId="48892" applyFont="1" applyFill="1" applyBorder="1" applyAlignment="1" applyProtection="1">
      <alignment horizontal="center" vertical="center" wrapText="1"/>
      <protection locked="0"/>
    </xf>
    <xf numFmtId="0" fontId="6" fillId="2" borderId="11" xfId="6" applyFont="1" applyFill="1" applyBorder="1" applyAlignment="1" applyProtection="1">
      <alignment horizontal="left" vertical="center" wrapText="1"/>
    </xf>
    <xf numFmtId="0" fontId="6" fillId="0" borderId="11" xfId="6" applyFont="1" applyBorder="1" applyAlignment="1" applyProtection="1">
      <alignment horizontal="center" vertical="center" wrapText="1"/>
      <protection locked="0"/>
    </xf>
    <xf numFmtId="0" fontId="6" fillId="0" borderId="11" xfId="6" applyFont="1" applyFill="1" applyBorder="1" applyAlignment="1" applyProtection="1">
      <alignment horizontal="left" vertical="center" wrapText="1"/>
    </xf>
    <xf numFmtId="0" fontId="6" fillId="0" borderId="11" xfId="16" applyFont="1" applyBorder="1" applyAlignment="1" applyProtection="1">
      <alignment horizontal="center" vertical="center" wrapText="1"/>
      <protection locked="0"/>
    </xf>
    <xf numFmtId="0" fontId="6" fillId="0" borderId="11" xfId="16" applyFont="1" applyFill="1" applyBorder="1" applyAlignment="1" applyProtection="1">
      <alignment horizontal="center" vertical="center" wrapText="1"/>
      <protection locked="0"/>
    </xf>
    <xf numFmtId="0" fontId="5" fillId="0" borderId="11" xfId="16" applyFont="1" applyFill="1" applyBorder="1" applyAlignment="1" applyProtection="1">
      <alignment horizontal="left" vertical="center" wrapText="1"/>
    </xf>
    <xf numFmtId="0" fontId="6" fillId="2" borderId="11" xfId="48892" applyFont="1" applyFill="1" applyBorder="1" applyAlignment="1" applyProtection="1">
      <alignment horizontal="left" vertical="center" wrapText="1"/>
      <protection locked="0"/>
    </xf>
    <xf numFmtId="0" fontId="5" fillId="2" borderId="11" xfId="48892" applyFont="1" applyFill="1" applyBorder="1" applyAlignment="1" applyProtection="1">
      <alignment horizontal="left" vertical="center" wrapText="1"/>
    </xf>
    <xf numFmtId="0" fontId="6" fillId="2" borderId="11" xfId="48892" applyFont="1" applyFill="1" applyBorder="1" applyProtection="1">
      <protection locked="0"/>
    </xf>
    <xf numFmtId="0" fontId="6" fillId="2" borderId="11" xfId="48892" applyFont="1" applyFill="1" applyBorder="1" applyAlignment="1" applyProtection="1">
      <alignment horizontal="center"/>
      <protection locked="0"/>
    </xf>
    <xf numFmtId="0" fontId="9" fillId="2" borderId="11" xfId="16" applyFont="1" applyFill="1" applyBorder="1" applyAlignment="1" applyProtection="1">
      <alignment vertical="center"/>
      <protection locked="0"/>
    </xf>
    <xf numFmtId="0" fontId="6" fillId="2" borderId="11" xfId="16" applyFont="1" applyFill="1" applyBorder="1" applyAlignment="1" applyProtection="1">
      <alignment horizontal="center" vertical="center"/>
      <protection locked="0"/>
    </xf>
    <xf numFmtId="0" fontId="6" fillId="2" borderId="11" xfId="16" applyFont="1" applyFill="1" applyBorder="1" applyAlignment="1" applyProtection="1">
      <alignment horizontal="center" vertical="center" wrapText="1"/>
      <protection locked="0"/>
    </xf>
    <xf numFmtId="0" fontId="6" fillId="2" borderId="11" xfId="16" applyFont="1" applyFill="1" applyBorder="1" applyAlignment="1" applyProtection="1">
      <alignment horizontal="left" vertical="center" wrapText="1"/>
    </xf>
    <xf numFmtId="0" fontId="6" fillId="0" borderId="11" xfId="16" applyFont="1" applyBorder="1" applyAlignment="1" applyProtection="1">
      <alignment horizontal="center" vertical="center"/>
      <protection locked="0"/>
    </xf>
    <xf numFmtId="0" fontId="6" fillId="0" borderId="11" xfId="16" applyFont="1" applyFill="1" applyBorder="1" applyAlignment="1" applyProtection="1">
      <alignment horizontal="left" vertical="center" wrapText="1"/>
    </xf>
    <xf numFmtId="0" fontId="6" fillId="0" borderId="11" xfId="6" applyFont="1" applyFill="1" applyBorder="1" applyAlignment="1" applyProtection="1">
      <alignment vertical="center" wrapText="1"/>
      <protection locked="0"/>
    </xf>
    <xf numFmtId="0" fontId="6" fillId="0" borderId="11" xfId="48897" applyFont="1" applyBorder="1" applyAlignment="1" applyProtection="1">
      <alignment horizontal="center" vertical="center" wrapText="1"/>
      <protection locked="0"/>
    </xf>
    <xf numFmtId="0" fontId="6" fillId="0" borderId="11" xfId="48897" applyFont="1" applyBorder="1" applyAlignment="1" applyProtection="1">
      <alignment horizontal="left" vertical="center" wrapText="1"/>
    </xf>
    <xf numFmtId="0" fontId="6" fillId="2" borderId="11" xfId="48897" applyFont="1" applyFill="1" applyBorder="1" applyAlignment="1" applyProtection="1">
      <alignment horizontal="center" vertical="center" wrapText="1"/>
      <protection locked="0"/>
    </xf>
    <xf numFmtId="0" fontId="6" fillId="2" borderId="11" xfId="48897" applyFont="1" applyFill="1" applyBorder="1" applyAlignment="1" applyProtection="1">
      <alignment horizontal="left" vertical="center" wrapText="1"/>
    </xf>
    <xf numFmtId="0" fontId="6" fillId="2" borderId="11" xfId="16" applyFont="1" applyFill="1" applyBorder="1" applyAlignment="1" applyProtection="1">
      <alignment horizontal="left" vertical="center" wrapText="1" indent="2"/>
    </xf>
    <xf numFmtId="0" fontId="6" fillId="2" borderId="11" xfId="16" applyFont="1" applyFill="1" applyBorder="1" applyAlignment="1" applyProtection="1">
      <alignment vertical="center"/>
      <protection locked="0"/>
    </xf>
    <xf numFmtId="0" fontId="6" fillId="5" borderId="11" xfId="16" applyFont="1" applyFill="1" applyBorder="1" applyAlignment="1" applyProtection="1">
      <alignment horizontal="center" vertical="center"/>
      <protection locked="0"/>
    </xf>
    <xf numFmtId="0" fontId="6" fillId="5" borderId="11" xfId="16" applyFont="1" applyFill="1" applyBorder="1" applyAlignment="1" applyProtection="1">
      <alignment horizontal="center" vertical="center" wrapText="1"/>
      <protection locked="0"/>
    </xf>
    <xf numFmtId="0" fontId="1" fillId="0" borderId="11" xfId="4" applyFont="1" applyBorder="1"/>
    <xf numFmtId="0" fontId="1" fillId="0" borderId="11" xfId="4" applyFont="1" applyBorder="1" applyAlignment="1">
      <alignment horizontal="left" wrapText="1"/>
    </xf>
    <xf numFmtId="0" fontId="6" fillId="34" borderId="11" xfId="4" applyFont="1" applyFill="1" applyBorder="1" applyAlignment="1">
      <alignment horizontal="center"/>
    </xf>
    <xf numFmtId="0" fontId="8" fillId="34" borderId="11" xfId="4" applyFont="1" applyFill="1" applyBorder="1" applyAlignment="1">
      <alignment horizontal="left" wrapText="1"/>
    </xf>
    <xf numFmtId="0" fontId="1" fillId="2" borderId="11" xfId="4" applyFont="1" applyFill="1" applyBorder="1"/>
    <xf numFmtId="0" fontId="1" fillId="2" borderId="11" xfId="4" applyFont="1" applyFill="1" applyBorder="1" applyAlignment="1">
      <alignment horizontal="left" wrapText="1" indent="2"/>
    </xf>
    <xf numFmtId="0" fontId="1" fillId="2" borderId="11" xfId="4" applyFont="1" applyFill="1" applyBorder="1" applyAlignment="1">
      <alignment horizontal="left" wrapText="1"/>
    </xf>
    <xf numFmtId="0" fontId="2" fillId="3" borderId="11" xfId="4" applyFont="1" applyFill="1" applyBorder="1" applyAlignment="1">
      <alignment horizontal="center"/>
    </xf>
    <xf numFmtId="0" fontId="2" fillId="3" borderId="11" xfId="4" applyFont="1" applyFill="1" applyBorder="1" applyAlignment="1">
      <alignment horizontal="left" wrapText="1"/>
    </xf>
    <xf numFmtId="0" fontId="40" fillId="2" borderId="0" xfId="48892" applyFill="1" applyAlignment="1"/>
    <xf numFmtId="0" fontId="40" fillId="0" borderId="0" xfId="48892" applyAlignment="1"/>
    <xf numFmtId="0" fontId="4" fillId="0" borderId="0" xfId="48892" applyFont="1" applyAlignment="1">
      <alignment horizontal="center"/>
    </xf>
    <xf numFmtId="0" fontId="36" fillId="2" borderId="0" xfId="1" applyFont="1" applyFill="1" applyBorder="1" applyAlignment="1">
      <alignment horizontal="center" vertical="center"/>
    </xf>
    <xf numFmtId="0" fontId="16" fillId="2" borderId="0" xfId="48892" applyFont="1" applyFill="1" applyAlignment="1">
      <alignment horizontal="center"/>
    </xf>
    <xf numFmtId="0" fontId="1" fillId="2" borderId="11" xfId="4" applyFont="1" applyFill="1" applyBorder="1" applyAlignment="1">
      <alignment horizontal="left" vertical="center" wrapText="1" indent="2"/>
    </xf>
    <xf numFmtId="49" fontId="5" fillId="2" borderId="11" xfId="13" applyNumberFormat="1" applyFont="1" applyFill="1" applyBorder="1" applyAlignment="1" applyProtection="1">
      <alignment horizontal="left" vertical="center" wrapText="1" indent="2"/>
    </xf>
    <xf numFmtId="0" fontId="1" fillId="0" borderId="11" xfId="4" applyFont="1" applyBorder="1" applyAlignment="1">
      <alignment horizontal="left" wrapText="1" indent="2"/>
    </xf>
    <xf numFmtId="0" fontId="1" fillId="0" borderId="11" xfId="4" applyFont="1" applyFill="1" applyBorder="1"/>
    <xf numFmtId="0" fontId="1" fillId="0" borderId="11" xfId="4" applyFont="1" applyFill="1" applyBorder="1" applyAlignment="1">
      <alignment horizontal="left" wrapText="1" indent="2"/>
    </xf>
    <xf numFmtId="0" fontId="6" fillId="2" borderId="0" xfId="6" applyFont="1" applyFill="1" applyAlignment="1">
      <alignment vertical="center" wrapText="1"/>
    </xf>
    <xf numFmtId="0" fontId="1" fillId="2" borderId="0" xfId="4" applyFont="1" applyFill="1"/>
    <xf numFmtId="0" fontId="1" fillId="2" borderId="0" xfId="4" applyFont="1" applyFill="1" applyAlignment="1">
      <alignment wrapText="1"/>
    </xf>
    <xf numFmtId="0" fontId="1" fillId="2" borderId="0" xfId="4" applyFont="1" applyFill="1" applyAlignment="1">
      <alignment horizontal="center"/>
    </xf>
    <xf numFmtId="0" fontId="6" fillId="2" borderId="11" xfId="6" applyFont="1" applyFill="1" applyBorder="1" applyAlignment="1">
      <alignment vertical="center" wrapText="1"/>
    </xf>
    <xf numFmtId="0" fontId="17" fillId="5" borderId="11" xfId="15369" applyFont="1" applyFill="1" applyBorder="1" applyAlignment="1">
      <alignment horizontal="center" vertical="center" wrapText="1"/>
    </xf>
    <xf numFmtId="0" fontId="6" fillId="0" borderId="0" xfId="6" applyFont="1" applyFill="1" applyAlignment="1">
      <alignment vertical="center" wrapText="1"/>
    </xf>
    <xf numFmtId="0" fontId="6" fillId="0" borderId="11" xfId="6" applyFont="1" applyFill="1" applyBorder="1" applyAlignment="1">
      <alignment vertical="center" wrapText="1"/>
    </xf>
    <xf numFmtId="0" fontId="46" fillId="0" borderId="11" xfId="6" applyFont="1" applyFill="1" applyBorder="1" applyAlignment="1">
      <alignment horizontal="center" vertical="center" wrapText="1"/>
    </xf>
    <xf numFmtId="0" fontId="6" fillId="0" borderId="11" xfId="48904" applyFont="1" applyFill="1" applyBorder="1" applyAlignment="1">
      <alignment horizontal="left" vertical="center" wrapText="1" indent="4"/>
    </xf>
    <xf numFmtId="0" fontId="6" fillId="0" borderId="0" xfId="6" applyFont="1" applyAlignment="1">
      <alignment vertical="center" wrapText="1"/>
    </xf>
    <xf numFmtId="0" fontId="46" fillId="0" borderId="11" xfId="6" applyFont="1" applyBorder="1" applyAlignment="1">
      <alignment horizontal="center" vertical="center" wrapText="1"/>
    </xf>
    <xf numFmtId="0" fontId="6" fillId="0" borderId="11" xfId="48904" applyFont="1" applyBorder="1" applyAlignment="1">
      <alignment horizontal="left" vertical="center" wrapText="1" indent="4"/>
    </xf>
    <xf numFmtId="0" fontId="6" fillId="0" borderId="11" xfId="48904" applyFont="1" applyFill="1" applyBorder="1" applyAlignment="1">
      <alignment horizontal="left" vertical="center" wrapText="1" indent="2"/>
    </xf>
    <xf numFmtId="0" fontId="6" fillId="0" borderId="11" xfId="6" applyFont="1" applyFill="1" applyBorder="1" applyAlignment="1">
      <alignment horizontal="left" vertical="center" wrapText="1" indent="4"/>
    </xf>
    <xf numFmtId="0" fontId="6" fillId="0" borderId="11" xfId="48904" applyFont="1" applyBorder="1" applyAlignment="1">
      <alignment horizontal="left" vertical="center" wrapText="1" indent="2"/>
    </xf>
    <xf numFmtId="0" fontId="1" fillId="2" borderId="11" xfId="4" applyFont="1" applyFill="1" applyBorder="1" applyAlignment="1">
      <alignment horizontal="left" vertical="center" wrapText="1"/>
    </xf>
    <xf numFmtId="0" fontId="1" fillId="2" borderId="11" xfId="4" applyFont="1" applyFill="1" applyBorder="1" applyAlignment="1">
      <alignment horizontal="left" wrapText="1" indent="4"/>
    </xf>
    <xf numFmtId="0" fontId="6" fillId="2" borderId="11" xfId="48901" applyFont="1" applyFill="1" applyBorder="1" applyAlignment="1">
      <alignment horizontal="left" vertical="center" wrapText="1" indent="4"/>
    </xf>
    <xf numFmtId="0" fontId="1" fillId="0" borderId="11" xfId="4" applyFont="1" applyBorder="1" applyAlignment="1">
      <alignment horizontal="left" wrapText="1" indent="4"/>
    </xf>
    <xf numFmtId="0" fontId="1" fillId="2" borderId="11" xfId="4" applyFont="1" applyFill="1" applyBorder="1" applyAlignment="1">
      <alignment wrapText="1"/>
    </xf>
    <xf numFmtId="0" fontId="1" fillId="0" borderId="11" xfId="4" applyFont="1" applyFill="1" applyBorder="1" applyAlignment="1">
      <alignment horizontal="left" wrapText="1"/>
    </xf>
    <xf numFmtId="49" fontId="5" fillId="2" borderId="11" xfId="13" applyNumberFormat="1" applyFont="1" applyFill="1" applyBorder="1" applyAlignment="1" applyProtection="1">
      <alignment horizontal="left" vertical="center" wrapText="1" indent="4"/>
    </xf>
    <xf numFmtId="0" fontId="1" fillId="0" borderId="11" xfId="4" applyFont="1" applyFill="1" applyBorder="1" applyAlignment="1">
      <alignment horizontal="left" wrapText="1" indent="4"/>
    </xf>
    <xf numFmtId="0" fontId="1" fillId="2" borderId="11" xfId="4" applyFont="1" applyFill="1" applyBorder="1" applyAlignment="1">
      <alignment horizontal="left" wrapText="1" indent="6"/>
    </xf>
    <xf numFmtId="0" fontId="16" fillId="2" borderId="0" xfId="1" applyFont="1" applyFill="1" applyBorder="1" applyAlignment="1">
      <alignment horizontal="center" vertical="center"/>
    </xf>
    <xf numFmtId="0" fontId="6" fillId="2" borderId="0" xfId="48892" applyFont="1" applyFill="1"/>
    <xf numFmtId="0" fontId="40" fillId="2" borderId="0" xfId="48892" applyFill="1" applyAlignment="1">
      <alignment horizontal="center" vertical="center"/>
    </xf>
    <xf numFmtId="0" fontId="6" fillId="2" borderId="11" xfId="48892" applyFont="1" applyFill="1" applyBorder="1" applyAlignment="1">
      <alignment horizontal="center" vertical="center" wrapText="1"/>
    </xf>
    <xf numFmtId="0" fontId="1" fillId="6" borderId="11" xfId="12896" applyFill="1" applyBorder="1"/>
    <xf numFmtId="0" fontId="1" fillId="6" borderId="11" xfId="12896" applyFill="1" applyBorder="1" applyAlignment="1">
      <alignment wrapText="1"/>
    </xf>
    <xf numFmtId="0" fontId="6" fillId="2" borderId="11" xfId="48892" applyFont="1" applyFill="1" applyBorder="1" applyAlignment="1">
      <alignment horizontal="left" vertical="center" wrapText="1"/>
    </xf>
    <xf numFmtId="0" fontId="2" fillId="2" borderId="11" xfId="4" applyFont="1" applyFill="1" applyBorder="1" applyAlignment="1">
      <alignment horizontal="center"/>
    </xf>
    <xf numFmtId="0" fontId="6" fillId="2" borderId="11" xfId="4" applyFont="1" applyFill="1" applyBorder="1" applyAlignment="1">
      <alignment horizontal="left" wrapText="1"/>
    </xf>
    <xf numFmtId="0" fontId="6" fillId="2" borderId="11" xfId="48892" applyFont="1" applyFill="1" applyBorder="1" applyAlignment="1" applyProtection="1">
      <alignment vertical="center"/>
      <protection locked="0"/>
    </xf>
    <xf numFmtId="0" fontId="6" fillId="2" borderId="11" xfId="48892" applyFont="1" applyFill="1" applyBorder="1" applyAlignment="1" applyProtection="1">
      <alignment horizontal="center" vertical="center"/>
      <protection locked="0"/>
    </xf>
    <xf numFmtId="0" fontId="6" fillId="0" borderId="11" xfId="48901" applyFont="1" applyFill="1" applyBorder="1" applyAlignment="1">
      <alignment horizontal="left" vertical="center" wrapText="1"/>
    </xf>
    <xf numFmtId="0" fontId="6" fillId="0" borderId="11" xfId="10560" applyFont="1" applyFill="1" applyBorder="1" applyAlignment="1">
      <alignment wrapText="1"/>
    </xf>
    <xf numFmtId="0" fontId="8" fillId="2" borderId="11" xfId="48892" applyFont="1" applyFill="1" applyBorder="1"/>
    <xf numFmtId="0" fontId="8" fillId="2" borderId="11" xfId="48892" applyFont="1" applyFill="1" applyBorder="1" applyAlignment="1"/>
    <xf numFmtId="0" fontId="40" fillId="2" borderId="11" xfId="48892" applyFill="1" applyBorder="1"/>
    <xf numFmtId="0" fontId="6" fillId="0" borderId="11" xfId="48897" applyFont="1" applyFill="1" applyBorder="1" applyAlignment="1" applyProtection="1">
      <alignment vertical="center" wrapText="1"/>
      <protection locked="0"/>
    </xf>
    <xf numFmtId="0" fontId="6" fillId="0" borderId="11" xfId="16" applyFont="1" applyBorder="1" applyAlignment="1">
      <alignment wrapText="1"/>
    </xf>
    <xf numFmtId="0" fontId="6" fillId="0" borderId="11" xfId="6" applyFont="1" applyBorder="1" applyAlignment="1" applyProtection="1">
      <alignment vertical="center" wrapText="1"/>
      <protection locked="0"/>
    </xf>
    <xf numFmtId="0" fontId="6" fillId="0" borderId="11" xfId="48892" applyFont="1" applyBorder="1" applyAlignment="1">
      <alignment vertical="center" wrapText="1"/>
    </xf>
    <xf numFmtId="0" fontId="6" fillId="2" borderId="11" xfId="48897" applyFont="1" applyFill="1" applyBorder="1" applyAlignment="1" applyProtection="1">
      <alignment vertical="center" wrapText="1"/>
      <protection locked="0"/>
    </xf>
    <xf numFmtId="0" fontId="6" fillId="2" borderId="11" xfId="6" applyFont="1" applyFill="1" applyBorder="1" applyAlignment="1" applyProtection="1">
      <alignment horizontal="left" vertical="center" wrapText="1" indent="2"/>
      <protection locked="0"/>
    </xf>
    <xf numFmtId="0" fontId="6" fillId="0" borderId="11" xfId="6" applyFont="1" applyFill="1" applyBorder="1" applyAlignment="1" applyProtection="1">
      <alignment horizontal="left" vertical="center" wrapText="1" indent="2"/>
      <protection locked="0"/>
    </xf>
    <xf numFmtId="0" fontId="5" fillId="6" borderId="11" xfId="13" applyFont="1" applyFill="1" applyBorder="1" applyAlignment="1" applyProtection="1">
      <alignment horizontal="left" vertical="center" wrapText="1"/>
      <protection locked="0"/>
    </xf>
    <xf numFmtId="0" fontId="6" fillId="4" borderId="11" xfId="6" applyFont="1" applyFill="1" applyBorder="1" applyAlignment="1" applyProtection="1">
      <alignment vertical="center" wrapText="1"/>
      <protection locked="0"/>
    </xf>
    <xf numFmtId="0" fontId="6" fillId="4" borderId="11" xfId="6" applyFont="1" applyFill="1" applyBorder="1" applyAlignment="1" applyProtection="1">
      <alignment horizontal="center" vertical="center" wrapText="1"/>
      <protection locked="0"/>
    </xf>
    <xf numFmtId="0" fontId="6" fillId="0" borderId="11" xfId="6" applyFont="1" applyBorder="1" applyAlignment="1" applyProtection="1">
      <alignment horizontal="left" vertical="center" wrapText="1" indent="2"/>
    </xf>
    <xf numFmtId="0" fontId="6" fillId="0" borderId="11" xfId="6" applyFont="1" applyBorder="1" applyAlignment="1" applyProtection="1">
      <alignment horizontal="left" vertical="center" wrapText="1"/>
    </xf>
    <xf numFmtId="0" fontId="6" fillId="0" borderId="11" xfId="48897" applyFont="1" applyFill="1" applyBorder="1" applyAlignment="1" applyProtection="1">
      <alignment vertical="center" wrapText="1"/>
    </xf>
    <xf numFmtId="0" fontId="6" fillId="0" borderId="11" xfId="48897" applyFont="1" applyFill="1" applyBorder="1" applyAlignment="1" applyProtection="1">
      <alignment horizontal="left" vertical="center" wrapText="1"/>
    </xf>
    <xf numFmtId="0" fontId="6" fillId="0" borderId="11" xfId="48892" applyFont="1" applyBorder="1" applyProtection="1">
      <protection locked="0"/>
    </xf>
    <xf numFmtId="0" fontId="6" fillId="0" borderId="11" xfId="48892" applyFont="1" applyBorder="1" applyAlignment="1" applyProtection="1">
      <alignment horizontal="center"/>
      <protection locked="0"/>
    </xf>
    <xf numFmtId="0" fontId="6" fillId="2" borderId="11" xfId="48897" applyFont="1" applyFill="1" applyBorder="1" applyAlignment="1" applyProtection="1">
      <alignment vertical="center" wrapText="1"/>
    </xf>
    <xf numFmtId="0" fontId="6" fillId="0" borderId="11" xfId="48892" applyFont="1" applyBorder="1" applyAlignment="1" applyProtection="1">
      <alignment horizontal="center" vertical="center" wrapText="1"/>
      <protection locked="0"/>
    </xf>
    <xf numFmtId="0" fontId="5" fillId="0" borderId="11" xfId="48892" applyFont="1" applyFill="1" applyBorder="1" applyAlignment="1" applyProtection="1">
      <alignment horizontal="left" vertical="center" wrapText="1"/>
    </xf>
    <xf numFmtId="49" fontId="6" fillId="0" borderId="11" xfId="48892" applyNumberFormat="1" applyFont="1" applyBorder="1" applyAlignment="1" applyProtection="1">
      <alignment vertical="center" wrapText="1"/>
      <protection locked="0"/>
    </xf>
    <xf numFmtId="0" fontId="6" fillId="0" borderId="11" xfId="48892" applyFont="1" applyBorder="1" applyAlignment="1" applyProtection="1">
      <alignment horizontal="left" vertical="center" wrapText="1"/>
      <protection locked="0"/>
    </xf>
    <xf numFmtId="0" fontId="6" fillId="0" borderId="11" xfId="48892" applyFont="1" applyBorder="1" applyAlignment="1" applyProtection="1">
      <alignment vertical="center"/>
      <protection locked="0"/>
    </xf>
    <xf numFmtId="0" fontId="6" fillId="0" borderId="11" xfId="48892" applyFont="1" applyBorder="1" applyAlignment="1" applyProtection="1">
      <alignment horizontal="center" vertical="center"/>
      <protection locked="0"/>
    </xf>
    <xf numFmtId="0" fontId="6" fillId="0" borderId="11" xfId="48892" applyFont="1" applyFill="1" applyBorder="1" applyAlignment="1" applyProtection="1">
      <alignment horizontal="left" vertical="center" wrapText="1"/>
    </xf>
    <xf numFmtId="0" fontId="6" fillId="0" borderId="11" xfId="48897" applyFont="1" applyBorder="1" applyAlignment="1" applyProtection="1">
      <alignment vertical="center" wrapText="1"/>
      <protection locked="0"/>
    </xf>
    <xf numFmtId="0" fontId="6" fillId="2" borderId="11" xfId="4" applyFont="1" applyFill="1" applyBorder="1"/>
    <xf numFmtId="0" fontId="6" fillId="0" borderId="11" xfId="48892" applyFont="1" applyFill="1" applyBorder="1" applyAlignment="1" applyProtection="1">
      <alignment horizontal="left" vertical="center" wrapText="1" indent="2"/>
    </xf>
    <xf numFmtId="0" fontId="6" fillId="2" borderId="11" xfId="48892" applyFont="1" applyFill="1" applyBorder="1" applyAlignment="1" applyProtection="1">
      <alignment horizontal="left" vertical="center" wrapText="1" indent="2"/>
    </xf>
    <xf numFmtId="0" fontId="6" fillId="0" borderId="11" xfId="48897" applyFont="1" applyFill="1" applyBorder="1" applyAlignment="1" applyProtection="1">
      <alignment horizontal="left" vertical="center" wrapText="1" indent="2"/>
    </xf>
    <xf numFmtId="0" fontId="6" fillId="0" borderId="11" xfId="6" applyFont="1" applyFill="1" applyBorder="1" applyAlignment="1" applyProtection="1">
      <alignment horizontal="left" vertical="center" wrapText="1" indent="2"/>
    </xf>
    <xf numFmtId="0" fontId="6" fillId="0" borderId="11" xfId="48892" applyFont="1" applyBorder="1" applyAlignment="1">
      <alignment horizontal="left" indent="2"/>
    </xf>
    <xf numFmtId="0" fontId="6" fillId="2" borderId="11" xfId="48897" applyFont="1" applyFill="1" applyBorder="1" applyAlignment="1" applyProtection="1">
      <alignment horizontal="left" vertical="center" wrapText="1" indent="2"/>
    </xf>
    <xf numFmtId="0" fontId="6" fillId="2" borderId="11" xfId="1" applyFont="1" applyFill="1" applyBorder="1"/>
    <xf numFmtId="0" fontId="6" fillId="2" borderId="11" xfId="48898" applyFont="1" applyFill="1" applyBorder="1" applyAlignment="1" applyProtection="1">
      <alignment vertical="center" wrapText="1"/>
      <protection locked="0"/>
    </xf>
    <xf numFmtId="0" fontId="6" fillId="2" borderId="11" xfId="48898" applyFont="1" applyFill="1" applyBorder="1" applyAlignment="1" applyProtection="1">
      <alignment horizontal="center" vertical="center" wrapText="1"/>
      <protection locked="0"/>
    </xf>
    <xf numFmtId="0" fontId="6" fillId="0" borderId="11" xfId="48898" applyFont="1" applyFill="1" applyBorder="1" applyAlignment="1" applyProtection="1">
      <alignment vertical="center" wrapText="1"/>
    </xf>
    <xf numFmtId="0" fontId="6" fillId="2" borderId="11" xfId="48897" applyFont="1" applyFill="1" applyBorder="1" applyAlignment="1" applyProtection="1">
      <alignment horizontal="left" vertical="center" wrapText="1"/>
      <protection locked="0"/>
    </xf>
    <xf numFmtId="0" fontId="6" fillId="0" borderId="11" xfId="1" applyFont="1" applyFill="1" applyBorder="1" applyProtection="1">
      <protection locked="0"/>
    </xf>
    <xf numFmtId="0" fontId="6" fillId="0" borderId="11" xfId="1" applyFont="1" applyFill="1" applyBorder="1" applyAlignment="1" applyProtection="1">
      <alignment vertical="center" wrapText="1"/>
    </xf>
    <xf numFmtId="0" fontId="6" fillId="0" borderId="11" xfId="48897" applyFont="1" applyBorder="1" applyAlignment="1" applyProtection="1">
      <alignment vertical="center" wrapText="1"/>
    </xf>
    <xf numFmtId="0" fontId="6" fillId="0" borderId="11" xfId="48897" applyFont="1" applyBorder="1" applyAlignment="1" applyProtection="1">
      <alignment horizontal="left" vertical="center" wrapText="1"/>
      <protection locked="0"/>
    </xf>
    <xf numFmtId="49" fontId="9" fillId="2" borderId="11" xfId="16" applyNumberFormat="1" applyFont="1" applyFill="1" applyBorder="1" applyAlignment="1" applyProtection="1">
      <alignment vertical="center" wrapText="1"/>
      <protection locked="0"/>
    </xf>
    <xf numFmtId="0" fontId="2" fillId="31" borderId="11" xfId="4" applyFont="1" applyFill="1" applyBorder="1" applyAlignment="1">
      <alignment horizontal="center" vertical="center"/>
    </xf>
    <xf numFmtId="0" fontId="6" fillId="2" borderId="11" xfId="4" applyFont="1" applyFill="1" applyBorder="1" applyAlignment="1">
      <alignment horizontal="center"/>
    </xf>
    <xf numFmtId="0" fontId="8" fillId="2" borderId="11" xfId="12514" applyFont="1" applyFill="1" applyBorder="1" applyAlignment="1">
      <alignment vertical="center" wrapText="1"/>
    </xf>
    <xf numFmtId="0" fontId="6" fillId="2" borderId="11" xfId="6" applyFont="1" applyFill="1" applyBorder="1" applyAlignment="1" applyProtection="1">
      <alignment horizontal="center" vertical="center" wrapText="1"/>
    </xf>
    <xf numFmtId="0" fontId="6" fillId="2" borderId="11" xfId="12514" applyFont="1" applyFill="1" applyBorder="1" applyAlignment="1">
      <alignment vertical="center" wrapText="1"/>
    </xf>
    <xf numFmtId="0" fontId="6" fillId="0" borderId="11" xfId="48892" applyFont="1" applyFill="1" applyBorder="1" applyAlignment="1">
      <alignment horizontal="left" wrapText="1"/>
    </xf>
    <xf numFmtId="0" fontId="8" fillId="34" borderId="11" xfId="10800" applyFont="1" applyFill="1" applyBorder="1" applyAlignment="1">
      <alignment vertical="center" wrapText="1"/>
    </xf>
    <xf numFmtId="0" fontId="8" fillId="30" borderId="11" xfId="12514" applyFont="1" applyFill="1" applyBorder="1" applyAlignment="1">
      <alignment vertical="center" wrapText="1"/>
    </xf>
    <xf numFmtId="0" fontId="6" fillId="2" borderId="11" xfId="7" applyFont="1" applyFill="1" applyBorder="1" applyAlignment="1">
      <alignment vertical="center" wrapText="1"/>
    </xf>
    <xf numFmtId="0" fontId="6" fillId="0" borderId="11" xfId="48892" applyFont="1" applyFill="1" applyBorder="1" applyAlignment="1">
      <alignment horizontal="left" wrapText="1" indent="2"/>
    </xf>
    <xf numFmtId="0" fontId="5" fillId="0" borderId="11" xfId="6" applyFont="1" applyFill="1" applyBorder="1" applyAlignment="1" applyProtection="1">
      <alignment horizontal="center" vertical="center" wrapText="1"/>
      <protection locked="0"/>
    </xf>
    <xf numFmtId="0" fontId="5" fillId="0" borderId="11" xfId="6" applyFont="1" applyFill="1" applyBorder="1" applyAlignment="1" applyProtection="1">
      <alignment horizontal="left" vertical="center" wrapText="1"/>
    </xf>
    <xf numFmtId="0" fontId="6" fillId="35" borderId="11" xfId="48892" applyFont="1" applyFill="1" applyBorder="1" applyAlignment="1" applyProtection="1">
      <alignment horizontal="center" vertical="center"/>
    </xf>
    <xf numFmtId="0" fontId="5" fillId="0" borderId="11" xfId="6" applyFont="1" applyBorder="1" applyAlignment="1" applyProtection="1">
      <alignment horizontal="left" vertical="center" wrapText="1"/>
    </xf>
    <xf numFmtId="0" fontId="5" fillId="4" borderId="11" xfId="6" applyFont="1" applyFill="1" applyBorder="1" applyAlignment="1" applyProtection="1">
      <alignment vertical="center" wrapText="1"/>
    </xf>
    <xf numFmtId="0" fontId="5" fillId="4" borderId="11" xfId="6" applyFont="1" applyFill="1" applyBorder="1" applyAlignment="1" applyProtection="1">
      <alignment horizontal="left" vertical="center" wrapText="1"/>
    </xf>
    <xf numFmtId="0" fontId="5" fillId="0" borderId="11" xfId="6" applyFont="1" applyBorder="1" applyAlignment="1" applyProtection="1">
      <alignment horizontal="left" vertical="center" wrapText="1" indent="2"/>
    </xf>
    <xf numFmtId="0" fontId="5" fillId="0" borderId="11" xfId="6" applyFont="1" applyBorder="1" applyAlignment="1" applyProtection="1">
      <alignment vertical="center" wrapText="1"/>
    </xf>
    <xf numFmtId="0" fontId="6" fillId="2" borderId="11" xfId="10656" applyFont="1" applyFill="1" applyBorder="1" applyAlignment="1" applyProtection="1">
      <alignment horizontal="left" vertical="center" wrapText="1" indent="2"/>
      <protection locked="0"/>
    </xf>
    <xf numFmtId="0" fontId="6" fillId="0" borderId="11" xfId="10656" applyFont="1" applyFill="1" applyBorder="1" applyAlignment="1" applyProtection="1">
      <alignment horizontal="left" vertical="center" wrapText="1" indent="2"/>
      <protection locked="0"/>
    </xf>
    <xf numFmtId="0" fontId="6" fillId="0" borderId="11" xfId="10656" applyFont="1" applyFill="1" applyBorder="1" applyAlignment="1" applyProtection="1">
      <alignment horizontal="left" vertical="center" wrapText="1"/>
      <protection locked="0"/>
    </xf>
    <xf numFmtId="0" fontId="39" fillId="0" borderId="0" xfId="48892" applyFont="1"/>
    <xf numFmtId="0" fontId="39" fillId="2" borderId="0" xfId="48892" applyFont="1" applyFill="1"/>
    <xf numFmtId="0" fontId="6" fillId="0" borderId="0" xfId="10656" applyFont="1" applyFill="1"/>
    <xf numFmtId="0" fontId="6" fillId="2" borderId="0" xfId="10656" applyFont="1" applyFill="1"/>
    <xf numFmtId="0" fontId="6" fillId="0" borderId="11" xfId="6" applyFont="1" applyBorder="1" applyAlignment="1" applyProtection="1">
      <alignment horizontal="center" vertical="center"/>
      <protection locked="0"/>
    </xf>
    <xf numFmtId="0" fontId="6" fillId="0" borderId="11" xfId="10656" applyFont="1" applyBorder="1" applyAlignment="1" applyProtection="1">
      <alignment horizontal="left" vertical="center" wrapText="1"/>
      <protection locked="0"/>
    </xf>
    <xf numFmtId="0" fontId="6" fillId="2" borderId="11" xfId="6" applyFont="1" applyFill="1" applyBorder="1" applyAlignment="1" applyProtection="1">
      <alignment horizontal="center" vertical="center"/>
      <protection locked="0"/>
    </xf>
    <xf numFmtId="0" fontId="6" fillId="2" borderId="11" xfId="10656" applyFont="1" applyFill="1" applyBorder="1" applyAlignment="1" applyProtection="1">
      <alignment horizontal="left" vertical="center" wrapText="1"/>
      <protection locked="0"/>
    </xf>
    <xf numFmtId="0" fontId="6" fillId="0" borderId="11" xfId="48902" applyFont="1" applyBorder="1" applyAlignment="1">
      <alignment horizontal="left" vertical="center" wrapText="1"/>
    </xf>
    <xf numFmtId="0" fontId="6" fillId="2" borderId="11" xfId="48902" applyFont="1" applyFill="1" applyBorder="1" applyAlignment="1">
      <alignment horizontal="left" vertical="center" wrapText="1"/>
    </xf>
    <xf numFmtId="0" fontId="6" fillId="2" borderId="11" xfId="48902" applyFont="1" applyFill="1" applyBorder="1" applyAlignment="1">
      <alignment horizontal="left" vertical="center" wrapText="1" indent="4"/>
    </xf>
    <xf numFmtId="0" fontId="6" fillId="0" borderId="11" xfId="48902" applyFont="1" applyBorder="1" applyAlignment="1">
      <alignment horizontal="left" vertical="center" wrapText="1" indent="4"/>
    </xf>
    <xf numFmtId="0" fontId="6" fillId="0" borderId="11" xfId="48902" applyFont="1" applyBorder="1" applyAlignment="1">
      <alignment horizontal="left" vertical="center" wrapText="1" indent="2"/>
    </xf>
    <xf numFmtId="0" fontId="6" fillId="5" borderId="11" xfId="6" applyFont="1" applyFill="1" applyBorder="1" applyAlignment="1" applyProtection="1">
      <alignment horizontal="center" vertical="center"/>
      <protection locked="0"/>
    </xf>
    <xf numFmtId="0" fontId="6" fillId="2" borderId="11" xfId="48902" applyFont="1" applyFill="1" applyBorder="1" applyAlignment="1">
      <alignment horizontal="left" vertical="center" wrapText="1" indent="2"/>
    </xf>
    <xf numFmtId="0" fontId="6" fillId="0" borderId="11" xfId="48902" applyFont="1" applyFill="1" applyBorder="1" applyAlignment="1">
      <alignment horizontal="left" vertical="center" wrapText="1" indent="4"/>
    </xf>
    <xf numFmtId="0" fontId="6" fillId="2" borderId="11" xfId="6" applyFont="1" applyFill="1" applyBorder="1" applyAlignment="1">
      <alignment horizontal="left" wrapText="1" indent="2"/>
    </xf>
    <xf numFmtId="0" fontId="6" fillId="0" borderId="11" xfId="6" applyFont="1" applyFill="1" applyBorder="1" applyAlignment="1">
      <alignment wrapText="1"/>
    </xf>
    <xf numFmtId="0" fontId="6" fillId="2" borderId="11" xfId="18881" applyFont="1" applyFill="1" applyBorder="1" applyAlignment="1" applyProtection="1">
      <alignment horizontal="left" vertical="center" wrapText="1"/>
      <protection locked="0"/>
    </xf>
    <xf numFmtId="0" fontId="40" fillId="2" borderId="0" xfId="48892" applyFill="1" applyAlignment="1">
      <alignment vertical="center"/>
    </xf>
    <xf numFmtId="0" fontId="6" fillId="2" borderId="11" xfId="48906" applyFont="1" applyFill="1" applyBorder="1" applyAlignment="1" applyProtection="1">
      <alignment horizontal="center" vertical="center"/>
      <protection locked="0"/>
    </xf>
    <xf numFmtId="0" fontId="6" fillId="2" borderId="11" xfId="18881" applyFont="1" applyFill="1" applyBorder="1" applyAlignment="1">
      <alignment horizontal="left" vertical="center" wrapText="1"/>
    </xf>
    <xf numFmtId="0" fontId="6" fillId="0" borderId="11" xfId="48906" applyFont="1" applyFill="1" applyBorder="1" applyAlignment="1" applyProtection="1">
      <alignment horizontal="center" vertical="center"/>
      <protection locked="0"/>
    </xf>
    <xf numFmtId="0" fontId="6" fillId="0" borderId="11" xfId="18881" applyFont="1" applyFill="1" applyBorder="1" applyAlignment="1" applyProtection="1">
      <alignment horizontal="left" vertical="center" wrapText="1" indent="2"/>
      <protection locked="0"/>
    </xf>
    <xf numFmtId="0" fontId="6" fillId="2" borderId="11" xfId="18881" applyFont="1" applyFill="1" applyBorder="1" applyAlignment="1" applyProtection="1">
      <alignment horizontal="left" vertical="center" wrapText="1" indent="2"/>
      <protection locked="0"/>
    </xf>
    <xf numFmtId="0" fontId="6" fillId="0" borderId="11" xfId="18881" applyFont="1" applyFill="1" applyBorder="1" applyAlignment="1" applyProtection="1">
      <alignment horizontal="left" vertical="center" wrapText="1"/>
      <protection locked="0"/>
    </xf>
    <xf numFmtId="0" fontId="42" fillId="2" borderId="11" xfId="48905" applyFont="1" applyFill="1" applyBorder="1" applyAlignment="1" applyProtection="1">
      <alignment vertical="center" wrapText="1"/>
    </xf>
    <xf numFmtId="0" fontId="6" fillId="0" borderId="11" xfId="18881" applyFont="1" applyBorder="1" applyAlignment="1" applyProtection="1">
      <alignment wrapText="1"/>
      <protection locked="0"/>
    </xf>
    <xf numFmtId="0" fontId="6" fillId="2" borderId="0" xfId="48892" applyFont="1" applyFill="1" applyBorder="1" applyAlignment="1">
      <alignment horizontal="left" vertical="center" wrapText="1" indent="4"/>
    </xf>
    <xf numFmtId="0" fontId="40" fillId="2" borderId="0" xfId="48892" applyFill="1" applyBorder="1"/>
    <xf numFmtId="0" fontId="6" fillId="0" borderId="11" xfId="48906" applyFont="1" applyBorder="1" applyAlignment="1" applyProtection="1">
      <alignment horizontal="center" vertical="center"/>
      <protection locked="0"/>
    </xf>
    <xf numFmtId="0" fontId="6" fillId="0" borderId="11" xfId="18881" applyFont="1" applyBorder="1" applyAlignment="1" applyProtection="1">
      <alignment horizontal="left" vertical="center" wrapText="1" indent="2"/>
      <protection locked="0"/>
    </xf>
    <xf numFmtId="0" fontId="6" fillId="2" borderId="0" xfId="48892" applyFont="1" applyFill="1" applyBorder="1" applyAlignment="1">
      <alignment horizontal="left" vertical="center" wrapText="1" indent="2"/>
    </xf>
    <xf numFmtId="0" fontId="6" fillId="2" borderId="11" xfId="18881" applyFont="1" applyFill="1" applyBorder="1" applyAlignment="1">
      <alignment horizontal="left" wrapText="1"/>
    </xf>
    <xf numFmtId="0" fontId="6" fillId="2" borderId="11" xfId="18881" applyFont="1" applyFill="1" applyBorder="1" applyAlignment="1">
      <alignment horizontal="left" wrapText="1" indent="2"/>
    </xf>
    <xf numFmtId="0" fontId="6" fillId="0" borderId="11" xfId="18881" applyFont="1" applyFill="1" applyBorder="1" applyAlignment="1">
      <alignment horizontal="left" wrapText="1" indent="2"/>
    </xf>
    <xf numFmtId="0" fontId="6" fillId="0" borderId="11" xfId="18881" applyFont="1" applyBorder="1" applyAlignment="1">
      <alignment horizontal="left" wrapText="1" indent="2"/>
    </xf>
    <xf numFmtId="0" fontId="6" fillId="0" borderId="11" xfId="48906" applyFont="1" applyFill="1" applyBorder="1" applyAlignment="1">
      <alignment vertical="center" wrapText="1"/>
    </xf>
    <xf numFmtId="0" fontId="6" fillId="0" borderId="11" xfId="48903" applyFont="1" applyFill="1" applyBorder="1" applyAlignment="1">
      <alignment horizontal="left" vertical="center" wrapText="1" indent="4"/>
    </xf>
    <xf numFmtId="0" fontId="21" fillId="36" borderId="11" xfId="15369" applyFont="1" applyFill="1" applyBorder="1" applyAlignment="1">
      <alignment horizontal="center" vertical="center" wrapText="1"/>
    </xf>
    <xf numFmtId="0" fontId="47" fillId="36" borderId="11" xfId="15369" applyFont="1" applyFill="1" applyBorder="1" applyAlignment="1">
      <alignment horizontal="left" vertical="center" wrapText="1"/>
    </xf>
    <xf numFmtId="0" fontId="6" fillId="2" borderId="11" xfId="48892" applyFont="1" applyFill="1" applyBorder="1"/>
    <xf numFmtId="0" fontId="6" fillId="2" borderId="11" xfId="6" applyFont="1" applyFill="1" applyBorder="1" applyAlignment="1" applyProtection="1">
      <alignment vertical="center"/>
      <protection locked="0"/>
    </xf>
    <xf numFmtId="0" fontId="6" fillId="2" borderId="11" xfId="10800" applyFont="1" applyFill="1" applyBorder="1" applyAlignment="1">
      <alignment vertical="center" wrapText="1"/>
    </xf>
    <xf numFmtId="0" fontId="2" fillId="3" borderId="11" xfId="48892" applyFont="1" applyFill="1" applyBorder="1" applyAlignment="1">
      <alignment horizontal="left" vertical="center" wrapText="1"/>
    </xf>
    <xf numFmtId="0" fontId="2" fillId="3" borderId="11" xfId="48892" applyFont="1" applyFill="1" applyBorder="1" applyAlignment="1">
      <alignment horizontal="center" vertical="center" wrapText="1"/>
    </xf>
    <xf numFmtId="0" fontId="6" fillId="0" borderId="11" xfId="6" applyFont="1" applyFill="1" applyBorder="1" applyAlignment="1">
      <alignment horizontal="left" vertical="center" wrapText="1" indent="2"/>
    </xf>
    <xf numFmtId="0" fontId="6" fillId="0" borderId="11" xfId="6" applyFont="1" applyFill="1" applyBorder="1" applyAlignment="1">
      <alignment horizontal="center" vertical="center" wrapText="1"/>
    </xf>
    <xf numFmtId="0" fontId="6" fillId="0" borderId="11" xfId="48904" applyFont="1" applyFill="1" applyBorder="1" applyAlignment="1">
      <alignment horizontal="left" vertical="center" wrapText="1"/>
    </xf>
    <xf numFmtId="0" fontId="6" fillId="0" borderId="11" xfId="6" applyFont="1" applyFill="1" applyBorder="1" applyAlignment="1" applyProtection="1">
      <alignment horizontal="center" vertical="center"/>
      <protection locked="0"/>
    </xf>
    <xf numFmtId="0" fontId="6" fillId="0" borderId="11" xfId="10752" applyFont="1" applyFill="1" applyBorder="1" applyAlignment="1" applyProtection="1">
      <alignment horizontal="center" vertical="center"/>
      <protection locked="0"/>
    </xf>
    <xf numFmtId="0" fontId="6" fillId="2" borderId="11" xfId="6" applyFont="1" applyFill="1" applyBorder="1" applyAlignment="1">
      <alignment horizontal="left" vertical="center" wrapText="1" indent="4"/>
    </xf>
    <xf numFmtId="0" fontId="6" fillId="5" borderId="11" xfId="6" applyFont="1" applyFill="1" applyBorder="1" applyAlignment="1" applyProtection="1">
      <alignment horizontal="center" vertical="center" wrapText="1"/>
      <protection locked="0"/>
    </xf>
    <xf numFmtId="0" fontId="6" fillId="0" borderId="11" xfId="6" applyFont="1" applyFill="1" applyBorder="1" applyAlignment="1" applyProtection="1">
      <alignment horizontal="center" vertical="center" wrapText="1"/>
    </xf>
    <xf numFmtId="0" fontId="2" fillId="3" borderId="11" xfId="12896" applyFont="1" applyFill="1" applyBorder="1" applyAlignment="1">
      <alignment horizontal="center"/>
    </xf>
    <xf numFmtId="0" fontId="39" fillId="0" borderId="0" xfId="48892" applyFont="1" applyFill="1"/>
    <xf numFmtId="0" fontId="39" fillId="0" borderId="11" xfId="48892" applyFont="1" applyFill="1" applyBorder="1"/>
    <xf numFmtId="0" fontId="39" fillId="5" borderId="11" xfId="48892" applyFont="1" applyFill="1" applyBorder="1"/>
    <xf numFmtId="0" fontId="8" fillId="2" borderId="11" xfId="10800" applyFont="1" applyFill="1" applyBorder="1" applyAlignment="1">
      <alignment vertical="center" wrapText="1"/>
    </xf>
    <xf numFmtId="0" fontId="6" fillId="2" borderId="11" xfId="10800" applyFont="1" applyFill="1" applyBorder="1" applyAlignment="1">
      <alignment horizontal="left" vertical="center" wrapText="1" indent="2"/>
    </xf>
    <xf numFmtId="0" fontId="8" fillId="34" borderId="11" xfId="12514" applyFont="1" applyFill="1" applyBorder="1" applyAlignment="1">
      <alignment vertical="center" wrapText="1"/>
    </xf>
    <xf numFmtId="0" fontId="2" fillId="3" borderId="11" xfId="12896" applyFont="1" applyFill="1" applyBorder="1" applyAlignment="1">
      <alignment horizontal="left" wrapText="1"/>
    </xf>
    <xf numFmtId="0" fontId="6" fillId="0" borderId="11" xfId="48902" applyFont="1" applyFill="1" applyBorder="1" applyAlignment="1">
      <alignment horizontal="left" vertical="center" wrapText="1" indent="2"/>
    </xf>
    <xf numFmtId="0" fontId="6" fillId="0" borderId="11" xfId="48902" applyFont="1" applyFill="1" applyBorder="1" applyAlignment="1">
      <alignment horizontal="left" vertical="center" wrapText="1"/>
    </xf>
    <xf numFmtId="0" fontId="8" fillId="30" borderId="11" xfId="10800" applyFont="1" applyFill="1" applyBorder="1" applyAlignment="1">
      <alignment vertical="center" wrapText="1"/>
    </xf>
    <xf numFmtId="0" fontId="1" fillId="0" borderId="11" xfId="12896" applyFill="1" applyBorder="1"/>
    <xf numFmtId="0" fontId="1" fillId="2" borderId="11" xfId="12896" applyFill="1" applyBorder="1"/>
    <xf numFmtId="0" fontId="1" fillId="2" borderId="11" xfId="12896" applyFont="1" applyFill="1" applyBorder="1" applyAlignment="1">
      <alignment horizontal="left" wrapText="1" indent="2"/>
    </xf>
    <xf numFmtId="0" fontId="1" fillId="5" borderId="11" xfId="12896" applyFill="1" applyBorder="1"/>
    <xf numFmtId="0" fontId="1" fillId="0" borderId="11" xfId="12896" applyFont="1" applyFill="1" applyBorder="1" applyAlignment="1">
      <alignment horizontal="left" wrapText="1" indent="2"/>
    </xf>
    <xf numFmtId="0" fontId="1" fillId="0" borderId="11" xfId="12896" applyFill="1" applyBorder="1" applyAlignment="1">
      <alignment horizontal="left" indent="4"/>
    </xf>
    <xf numFmtId="0" fontId="1" fillId="0" borderId="11" xfId="12896" applyFont="1" applyFill="1" applyBorder="1" applyAlignment="1">
      <alignment horizontal="left" indent="4"/>
    </xf>
    <xf numFmtId="0" fontId="1" fillId="0" borderId="11" xfId="12896" applyFill="1" applyBorder="1" applyAlignment="1">
      <alignment wrapText="1"/>
    </xf>
    <xf numFmtId="0" fontId="1" fillId="2" borderId="11" xfId="12896" applyFill="1" applyBorder="1" applyAlignment="1">
      <alignment wrapText="1"/>
    </xf>
    <xf numFmtId="0" fontId="1" fillId="0" borderId="11" xfId="12896" applyFont="1" applyFill="1" applyBorder="1" applyAlignment="1">
      <alignment horizontal="left" vertical="center" wrapText="1"/>
    </xf>
    <xf numFmtId="0" fontId="6" fillId="30" borderId="11" xfId="10800" applyFont="1" applyFill="1" applyBorder="1" applyAlignment="1">
      <alignment vertical="center" wrapText="1"/>
    </xf>
    <xf numFmtId="0" fontId="1" fillId="0" borderId="11" xfId="12896" applyBorder="1"/>
    <xf numFmtId="0" fontId="1" fillId="2" borderId="11" xfId="12896" applyFont="1" applyFill="1" applyBorder="1" applyAlignment="1">
      <alignment horizontal="left" vertical="center" wrapText="1"/>
    </xf>
    <xf numFmtId="0" fontId="1" fillId="37" borderId="11" xfId="12896" applyFill="1" applyBorder="1"/>
    <xf numFmtId="0" fontId="1" fillId="37" borderId="11" xfId="12896" applyFill="1" applyBorder="1" applyAlignment="1">
      <alignment wrapText="1"/>
    </xf>
    <xf numFmtId="0" fontId="1" fillId="0" borderId="11" xfId="12896" applyFont="1" applyFill="1" applyBorder="1" applyAlignment="1">
      <alignment horizontal="left" wrapText="1" indent="4"/>
    </xf>
    <xf numFmtId="0" fontId="1" fillId="0" borderId="11" xfId="12896" applyFont="1" applyFill="1" applyBorder="1" applyAlignment="1">
      <alignment horizontal="left" vertical="center" indent="2"/>
    </xf>
    <xf numFmtId="0" fontId="1" fillId="0" borderId="11" xfId="12896" applyFont="1" applyFill="1" applyBorder="1" applyAlignment="1">
      <alignment horizontal="left" vertical="center" wrapText="1" indent="2"/>
    </xf>
    <xf numFmtId="0" fontId="1" fillId="2" borderId="11" xfId="12896" applyFont="1" applyFill="1" applyBorder="1" applyAlignment="1">
      <alignment horizontal="left" vertical="center" wrapText="1" indent="2"/>
    </xf>
    <xf numFmtId="0" fontId="1" fillId="5" borderId="11" xfId="12896" applyFill="1" applyBorder="1" applyAlignment="1">
      <alignment wrapText="1"/>
    </xf>
    <xf numFmtId="0" fontId="1" fillId="0" borderId="11" xfId="12896" applyFont="1" applyFill="1" applyBorder="1" applyAlignment="1">
      <alignment vertical="center" wrapText="1"/>
    </xf>
    <xf numFmtId="0" fontId="1" fillId="2" borderId="11" xfId="12896" applyFont="1" applyFill="1" applyBorder="1" applyAlignment="1">
      <alignment vertical="center" wrapText="1"/>
    </xf>
    <xf numFmtId="0" fontId="1" fillId="38" borderId="11" xfId="12896" applyFill="1" applyBorder="1"/>
    <xf numFmtId="0" fontId="1" fillId="38" borderId="11" xfId="12896" applyFill="1" applyBorder="1" applyAlignment="1">
      <alignment wrapText="1"/>
    </xf>
    <xf numFmtId="0" fontId="1" fillId="0" borderId="11" xfId="12896" applyFont="1" applyFill="1" applyBorder="1" applyAlignment="1">
      <alignment horizontal="left" indent="2"/>
    </xf>
    <xf numFmtId="0" fontId="39" fillId="2" borderId="11" xfId="12896" applyFont="1" applyFill="1" applyBorder="1"/>
    <xf numFmtId="0" fontId="4" fillId="0" borderId="0" xfId="48892" applyFont="1" applyFill="1"/>
    <xf numFmtId="0" fontId="6" fillId="0" borderId="11" xfId="12514" applyFont="1" applyFill="1" applyBorder="1" applyAlignment="1">
      <alignment horizontal="left" vertical="center" wrapText="1" indent="2"/>
    </xf>
    <xf numFmtId="0" fontId="6" fillId="5" borderId="11" xfId="12514" applyFont="1" applyFill="1" applyBorder="1" applyAlignment="1">
      <alignment vertical="center" wrapText="1"/>
    </xf>
    <xf numFmtId="0" fontId="2" fillId="3" borderId="11" xfId="4" applyFont="1" applyFill="1" applyBorder="1" applyAlignment="1">
      <alignment horizontal="left" vertical="center" wrapText="1"/>
    </xf>
    <xf numFmtId="0" fontId="49" fillId="2" borderId="11" xfId="5340" applyFont="1" applyFill="1" applyBorder="1" applyAlignment="1" applyProtection="1">
      <protection locked="0"/>
    </xf>
    <xf numFmtId="0" fontId="6" fillId="2" borderId="11" xfId="10800" applyFont="1" applyFill="1" applyBorder="1" applyAlignment="1">
      <alignment horizontal="left" vertical="center" wrapText="1"/>
    </xf>
    <xf numFmtId="0" fontId="6" fillId="0" borderId="11" xfId="10800" applyFont="1" applyFill="1" applyBorder="1" applyAlignment="1" applyProtection="1">
      <alignment horizontal="center" vertical="center" wrapText="1"/>
      <protection locked="0"/>
    </xf>
    <xf numFmtId="0" fontId="6" fillId="0" borderId="11" xfId="10800" applyFont="1" applyFill="1" applyBorder="1" applyAlignment="1">
      <alignment horizontal="left" vertical="center" wrapText="1"/>
    </xf>
    <xf numFmtId="0" fontId="6" fillId="0" borderId="11" xfId="10800" applyFont="1" applyFill="1" applyBorder="1" applyAlignment="1">
      <alignment horizontal="left" vertical="center" wrapText="1" indent="2"/>
    </xf>
    <xf numFmtId="0" fontId="6" fillId="5" borderId="11" xfId="10800" applyFont="1" applyFill="1" applyBorder="1" applyAlignment="1" applyProtection="1">
      <alignment horizontal="center" vertical="center" wrapText="1"/>
      <protection locked="0"/>
    </xf>
    <xf numFmtId="0" fontId="6" fillId="0" borderId="11" xfId="10800" applyFont="1" applyBorder="1" applyAlignment="1" applyProtection="1">
      <alignment horizontal="center" vertical="center"/>
      <protection locked="0"/>
    </xf>
    <xf numFmtId="0" fontId="5" fillId="0" borderId="11" xfId="10800" applyFont="1" applyBorder="1" applyAlignment="1">
      <alignment horizontal="left" vertical="center" indent="2"/>
    </xf>
    <xf numFmtId="0" fontId="5" fillId="0" borderId="11" xfId="10800" applyFont="1" applyBorder="1" applyAlignment="1">
      <alignment horizontal="left"/>
    </xf>
    <xf numFmtId="0" fontId="6" fillId="2" borderId="11" xfId="10800" applyFont="1" applyFill="1" applyBorder="1" applyAlignment="1" applyProtection="1">
      <alignment horizontal="center" vertical="center"/>
      <protection locked="0"/>
    </xf>
    <xf numFmtId="0" fontId="5" fillId="2" borderId="11" xfId="10800" applyFont="1" applyFill="1" applyBorder="1" applyAlignment="1">
      <alignment horizontal="left"/>
    </xf>
    <xf numFmtId="0" fontId="6" fillId="0" borderId="11" xfId="48900" applyFont="1" applyFill="1" applyBorder="1" applyAlignment="1" applyProtection="1">
      <alignment horizontal="center" vertical="center"/>
      <protection locked="0"/>
    </xf>
    <xf numFmtId="0" fontId="6" fillId="0" borderId="11" xfId="48900" applyFont="1" applyFill="1" applyBorder="1" applyAlignment="1" applyProtection="1">
      <alignment horizontal="center" vertical="center" wrapText="1"/>
      <protection locked="0"/>
    </xf>
    <xf numFmtId="0" fontId="6" fillId="0" borderId="11" xfId="48900" applyFont="1" applyBorder="1" applyAlignment="1">
      <alignment horizontal="left" wrapText="1" indent="2"/>
    </xf>
    <xf numFmtId="0" fontId="6" fillId="0" borderId="11" xfId="48900" applyFont="1" applyBorder="1" applyAlignment="1">
      <alignment wrapText="1"/>
    </xf>
    <xf numFmtId="0" fontId="5" fillId="0" borderId="11" xfId="10800" applyFont="1" applyBorder="1" applyAlignment="1">
      <alignment horizontal="left" indent="2"/>
    </xf>
    <xf numFmtId="0" fontId="6" fillId="0" borderId="11" xfId="6" applyFont="1" applyFill="1" applyBorder="1" applyAlignment="1" applyProtection="1">
      <alignment horizontal="left" vertical="top" wrapText="1"/>
      <protection locked="0"/>
    </xf>
    <xf numFmtId="0" fontId="6" fillId="2" borderId="11" xfId="48892" applyFont="1" applyFill="1" applyBorder="1" applyAlignment="1">
      <alignment horizontal="left" indent="2"/>
    </xf>
    <xf numFmtId="0" fontId="6" fillId="2" borderId="11" xfId="6" applyFont="1" applyFill="1" applyBorder="1" applyAlignment="1" applyProtection="1">
      <alignment horizontal="left" vertical="top" wrapText="1"/>
      <protection locked="0"/>
    </xf>
    <xf numFmtId="0" fontId="5" fillId="2" borderId="11" xfId="10800" applyFont="1" applyFill="1" applyBorder="1" applyAlignment="1">
      <alignment horizontal="left" indent="2"/>
    </xf>
    <xf numFmtId="0" fontId="5" fillId="0" borderId="11" xfId="10800" applyFont="1" applyBorder="1" applyAlignment="1">
      <alignment horizontal="left" wrapText="1"/>
    </xf>
    <xf numFmtId="0" fontId="6" fillId="0" borderId="11" xfId="48900" applyFont="1" applyBorder="1" applyAlignment="1">
      <alignment vertical="center" wrapText="1"/>
    </xf>
    <xf numFmtId="0" fontId="5" fillId="0" borderId="11" xfId="10800" applyFont="1" applyBorder="1" applyAlignment="1">
      <alignment horizontal="left" vertical="center" wrapText="1"/>
    </xf>
    <xf numFmtId="0" fontId="5" fillId="2" borderId="11" xfId="10800" applyFont="1" applyFill="1" applyBorder="1" applyAlignment="1">
      <alignment horizontal="left" indent="4"/>
    </xf>
    <xf numFmtId="0" fontId="6" fillId="2" borderId="11" xfId="6" applyFont="1" applyFill="1" applyBorder="1" applyAlignment="1" applyProtection="1">
      <alignment horizontal="left" vertical="top" wrapText="1" indent="4"/>
      <protection locked="0"/>
    </xf>
    <xf numFmtId="0" fontId="6" fillId="2" borderId="11" xfId="6" applyFont="1" applyFill="1" applyBorder="1" applyAlignment="1">
      <alignment horizontal="left" wrapText="1" indent="4"/>
    </xf>
    <xf numFmtId="0" fontId="6" fillId="0" borderId="11" xfId="6" applyFont="1" applyBorder="1" applyAlignment="1">
      <alignment horizontal="left" wrapText="1" indent="4"/>
    </xf>
    <xf numFmtId="0" fontId="6" fillId="0" borderId="11" xfId="6" applyFont="1" applyFill="1" applyBorder="1" applyAlignment="1" applyProtection="1">
      <alignment horizontal="left" vertical="top" wrapText="1" indent="4"/>
      <protection locked="0"/>
    </xf>
    <xf numFmtId="0" fontId="6" fillId="0" borderId="11" xfId="6" applyFont="1" applyFill="1" applyBorder="1" applyAlignment="1" applyProtection="1">
      <alignment horizontal="left" vertical="top" wrapText="1" indent="2"/>
      <protection locked="0"/>
    </xf>
    <xf numFmtId="0" fontId="5" fillId="0" borderId="11" xfId="10800" applyFont="1" applyBorder="1" applyAlignment="1">
      <alignment horizontal="left" indent="4"/>
    </xf>
    <xf numFmtId="0" fontId="5" fillId="2" borderId="11" xfId="10800" applyFont="1" applyFill="1" applyBorder="1" applyAlignment="1">
      <alignment horizontal="left" vertical="center" wrapText="1"/>
    </xf>
    <xf numFmtId="0" fontId="6" fillId="2" borderId="11" xfId="10800" applyFont="1" applyFill="1" applyBorder="1" applyAlignment="1" applyProtection="1">
      <alignment horizontal="center" vertical="center" wrapText="1"/>
      <protection locked="0"/>
    </xf>
    <xf numFmtId="0" fontId="6" fillId="30" borderId="11" xfId="12514" applyFont="1" applyFill="1" applyBorder="1" applyAlignment="1">
      <alignment vertical="center" wrapText="1"/>
    </xf>
    <xf numFmtId="0" fontId="6" fillId="0" borderId="11" xfId="6" applyFont="1" applyFill="1" applyBorder="1" applyAlignment="1">
      <alignment horizontal="left" wrapText="1" indent="2"/>
    </xf>
    <xf numFmtId="0" fontId="6" fillId="0" borderId="0" xfId="10800" applyFont="1" applyFill="1"/>
    <xf numFmtId="0" fontId="6" fillId="2" borderId="0" xfId="10800" applyFont="1" applyFill="1"/>
    <xf numFmtId="0" fontId="6" fillId="0" borderId="11" xfId="6" applyFont="1" applyBorder="1" applyAlignment="1" applyProtection="1">
      <alignment horizontal="left" vertical="center" wrapText="1" indent="2"/>
      <protection locked="0"/>
    </xf>
    <xf numFmtId="0" fontId="38" fillId="2" borderId="0" xfId="10800" applyFont="1" applyFill="1"/>
    <xf numFmtId="0" fontId="6" fillId="0" borderId="11" xfId="6" applyFont="1" applyBorder="1" applyAlignment="1" applyProtection="1">
      <alignment horizontal="left" vertical="center" wrapText="1"/>
      <protection locked="0"/>
    </xf>
    <xf numFmtId="0" fontId="41" fillId="30" borderId="11" xfId="19046" applyFont="1" applyFill="1" applyBorder="1" applyAlignment="1">
      <alignment vertical="center" wrapText="1"/>
    </xf>
    <xf numFmtId="0" fontId="6" fillId="0" borderId="11" xfId="6" applyFont="1" applyBorder="1" applyAlignment="1" applyProtection="1">
      <alignment horizontal="left" vertical="center" wrapText="1" indent="4"/>
      <protection locked="0"/>
    </xf>
    <xf numFmtId="0" fontId="2" fillId="3" borderId="11" xfId="48892" applyFont="1" applyFill="1" applyBorder="1" applyAlignment="1">
      <alignment horizontal="center"/>
    </xf>
    <xf numFmtId="0" fontId="6" fillId="0" borderId="11" xfId="48892" applyFont="1" applyFill="1" applyBorder="1"/>
    <xf numFmtId="0" fontId="6" fillId="0" borderId="11" xfId="48892" applyFont="1" applyFill="1" applyBorder="1" applyAlignment="1">
      <alignment horizontal="left" vertical="center" wrapText="1"/>
    </xf>
    <xf numFmtId="0" fontId="6" fillId="0" borderId="11" xfId="48892" applyFont="1" applyFill="1" applyBorder="1" applyAlignment="1">
      <alignment horizontal="left" vertical="center" wrapText="1" indent="2"/>
    </xf>
    <xf numFmtId="0" fontId="6" fillId="0" borderId="11" xfId="10728" applyFont="1" applyFill="1" applyBorder="1" applyAlignment="1" applyProtection="1">
      <alignment horizontal="center" vertical="center" wrapText="1"/>
      <protection locked="0"/>
    </xf>
    <xf numFmtId="0" fontId="6" fillId="2" borderId="11" xfId="10728" applyFont="1" applyFill="1" applyBorder="1" applyAlignment="1" applyProtection="1">
      <alignment horizontal="center" vertical="center" wrapText="1"/>
      <protection locked="0"/>
    </xf>
    <xf numFmtId="0" fontId="6" fillId="5" borderId="11" xfId="48893" applyFont="1" applyFill="1" applyBorder="1" applyAlignment="1" applyProtection="1">
      <alignment vertical="center" wrapText="1"/>
    </xf>
    <xf numFmtId="0" fontId="6" fillId="30" borderId="11" xfId="19046" applyFont="1" applyFill="1" applyBorder="1" applyAlignment="1">
      <alignment vertical="center" wrapText="1"/>
    </xf>
    <xf numFmtId="0" fontId="6" fillId="0" borderId="11" xfId="6" applyFont="1" applyFill="1" applyBorder="1" applyAlignment="1" applyProtection="1">
      <alignment horizontal="left" wrapText="1" indent="2"/>
      <protection locked="0"/>
    </xf>
    <xf numFmtId="0" fontId="6" fillId="0" borderId="11" xfId="48899" applyFont="1" applyFill="1" applyBorder="1" applyAlignment="1">
      <alignment horizontal="left" vertical="center" wrapText="1"/>
    </xf>
    <xf numFmtId="0" fontId="6" fillId="0" borderId="11" xfId="48899" applyFont="1" applyFill="1" applyBorder="1" applyAlignment="1">
      <alignment horizontal="left" vertical="top" wrapText="1" indent="2"/>
    </xf>
    <xf numFmtId="0" fontId="6" fillId="0" borderId="11" xfId="48899" applyFont="1" applyFill="1" applyBorder="1" applyAlignment="1">
      <alignment horizontal="left" vertical="top" wrapText="1"/>
    </xf>
    <xf numFmtId="0" fontId="6" fillId="0" borderId="11" xfId="48893" applyFont="1" applyFill="1" applyBorder="1" applyAlignment="1" applyProtection="1">
      <alignment horizontal="center" vertical="center" wrapText="1"/>
      <protection locked="0"/>
    </xf>
    <xf numFmtId="0" fontId="6" fillId="0" borderId="11" xfId="6" applyFont="1" applyFill="1" applyBorder="1" applyAlignment="1" applyProtection="1">
      <alignment wrapText="1"/>
      <protection locked="0"/>
    </xf>
    <xf numFmtId="0" fontId="6" fillId="0" borderId="11" xfId="48893" applyFont="1" applyFill="1" applyBorder="1" applyAlignment="1" applyProtection="1">
      <alignment horizontal="left" vertical="center" wrapText="1"/>
      <protection locked="0"/>
    </xf>
    <xf numFmtId="0" fontId="6" fillId="0" borderId="11" xfId="48893" applyFont="1" applyFill="1" applyBorder="1" applyAlignment="1" applyProtection="1">
      <alignment horizontal="center" vertical="center"/>
      <protection locked="0"/>
    </xf>
    <xf numFmtId="0" fontId="6" fillId="0" borderId="11" xfId="48893" applyFont="1" applyFill="1" applyBorder="1" applyAlignment="1" applyProtection="1">
      <alignment horizontal="left" wrapText="1"/>
      <protection locked="0"/>
    </xf>
    <xf numFmtId="0" fontId="6" fillId="2" borderId="11" xfId="48893" applyFont="1" applyFill="1" applyBorder="1" applyAlignment="1" applyProtection="1">
      <alignment horizontal="center" vertical="center" wrapText="1"/>
      <protection locked="0"/>
    </xf>
    <xf numFmtId="0" fontId="6" fillId="0" borderId="11" xfId="48893" applyFont="1" applyBorder="1" applyAlignment="1" applyProtection="1">
      <alignment horizontal="center" vertical="center" wrapText="1"/>
      <protection locked="0"/>
    </xf>
    <xf numFmtId="0" fontId="6" fillId="0" borderId="11" xfId="48893" applyFont="1" applyBorder="1" applyAlignment="1" applyProtection="1">
      <alignment horizontal="left" wrapText="1"/>
      <protection locked="0"/>
    </xf>
    <xf numFmtId="0" fontId="41" fillId="2" borderId="11" xfId="6" applyFont="1" applyFill="1" applyBorder="1" applyAlignment="1" applyProtection="1">
      <alignment horizontal="center" vertical="top" wrapText="1"/>
      <protection locked="0"/>
    </xf>
    <xf numFmtId="0" fontId="5" fillId="2" borderId="11" xfId="6" applyFont="1" applyFill="1" applyBorder="1" applyAlignment="1" applyProtection="1">
      <alignment horizontal="left" vertical="top" wrapText="1"/>
      <protection locked="0"/>
    </xf>
    <xf numFmtId="0" fontId="41" fillId="0" borderId="11" xfId="6" applyFont="1" applyFill="1" applyBorder="1" applyAlignment="1" applyProtection="1">
      <alignment horizontal="center" vertical="top" wrapText="1"/>
      <protection locked="0"/>
    </xf>
    <xf numFmtId="0" fontId="5" fillId="0" borderId="11" xfId="6" applyFont="1" applyFill="1" applyBorder="1" applyAlignment="1" applyProtection="1">
      <alignment horizontal="left" vertical="top" wrapText="1" indent="2"/>
      <protection locked="0"/>
    </xf>
    <xf numFmtId="0" fontId="41" fillId="5" borderId="11" xfId="6" applyFont="1" applyFill="1" applyBorder="1" applyAlignment="1" applyProtection="1">
      <alignment horizontal="center" vertical="top" wrapText="1"/>
      <protection locked="0"/>
    </xf>
    <xf numFmtId="0" fontId="5" fillId="0" borderId="11" xfId="6" applyFont="1" applyFill="1" applyBorder="1" applyAlignment="1" applyProtection="1">
      <alignment horizontal="left" vertical="top" wrapText="1"/>
      <protection locked="0"/>
    </xf>
    <xf numFmtId="0" fontId="6" fillId="2" borderId="11" xfId="6" applyFont="1" applyFill="1" applyBorder="1" applyAlignment="1" applyProtection="1">
      <alignment horizontal="left" vertical="center" wrapText="1"/>
      <protection locked="0"/>
    </xf>
    <xf numFmtId="0" fontId="6" fillId="2" borderId="11" xfId="6" applyFont="1" applyFill="1" applyBorder="1" applyAlignment="1" applyProtection="1">
      <alignment horizontal="left" wrapText="1" indent="2"/>
      <protection locked="0"/>
    </xf>
    <xf numFmtId="0" fontId="6" fillId="2" borderId="11" xfId="6" applyFont="1" applyFill="1" applyBorder="1" applyAlignment="1" applyProtection="1">
      <alignment wrapText="1"/>
      <protection locked="0"/>
    </xf>
    <xf numFmtId="0" fontId="6" fillId="0" borderId="11" xfId="48893" applyFont="1" applyFill="1" applyBorder="1" applyAlignment="1" applyProtection="1">
      <alignment horizontal="left" wrapText="1" indent="2"/>
      <protection locked="0"/>
    </xf>
    <xf numFmtId="0" fontId="6" fillId="2" borderId="11" xfId="48893" applyFont="1" applyFill="1" applyBorder="1" applyAlignment="1" applyProtection="1">
      <alignment horizontal="center" vertical="center" wrapText="1"/>
    </xf>
    <xf numFmtId="0" fontId="6" fillId="5" borderId="11" xfId="48893" applyFont="1" applyFill="1" applyBorder="1" applyAlignment="1" applyProtection="1">
      <alignment horizontal="center" vertical="center" wrapText="1"/>
    </xf>
    <xf numFmtId="0" fontId="5" fillId="0" borderId="11" xfId="48893" applyFont="1" applyFill="1" applyBorder="1" applyAlignment="1" applyProtection="1">
      <alignment horizontal="center" vertical="center" wrapText="1"/>
      <protection locked="0"/>
    </xf>
    <xf numFmtId="0" fontId="6" fillId="0" borderId="11" xfId="48899" applyFont="1" applyFill="1" applyBorder="1" applyAlignment="1">
      <alignment horizontal="left" vertical="center" wrapText="1" indent="2"/>
    </xf>
    <xf numFmtId="0" fontId="47" fillId="3" borderId="11" xfId="16881" applyFont="1" applyFill="1" applyBorder="1" applyAlignment="1" applyProtection="1">
      <alignment horizontal="center" vertical="center"/>
      <protection locked="0"/>
    </xf>
    <xf numFmtId="0" fontId="2" fillId="3" borderId="11" xfId="14692" applyFont="1" applyFill="1" applyBorder="1" applyAlignment="1">
      <alignment horizontal="left" wrapText="1"/>
    </xf>
    <xf numFmtId="0" fontId="40" fillId="0" borderId="11" xfId="48892" applyFill="1" applyBorder="1"/>
    <xf numFmtId="0" fontId="6" fillId="0" borderId="11" xfId="48892" applyFont="1" applyFill="1" applyBorder="1" applyAlignment="1">
      <alignment horizontal="left" wrapText="1" indent="4"/>
    </xf>
    <xf numFmtId="0" fontId="40" fillId="6" borderId="11" xfId="48892" applyFill="1" applyBorder="1"/>
    <xf numFmtId="0" fontId="40" fillId="5" borderId="11" xfId="48892" applyFill="1" applyBorder="1"/>
    <xf numFmtId="0" fontId="6" fillId="0" borderId="11" xfId="48892" applyFont="1" applyBorder="1" applyAlignment="1">
      <alignment horizontal="left" vertical="center" wrapText="1" indent="2"/>
    </xf>
    <xf numFmtId="0" fontId="6" fillId="0" borderId="11" xfId="48892" applyFont="1" applyBorder="1" applyAlignment="1">
      <alignment horizontal="left" vertical="center" wrapText="1"/>
    </xf>
    <xf numFmtId="0" fontId="2" fillId="3" borderId="11" xfId="48892" applyFont="1" applyFill="1" applyBorder="1" applyAlignment="1">
      <alignment horizontal="left" wrapText="1"/>
    </xf>
    <xf numFmtId="0" fontId="5" fillId="2" borderId="11" xfId="10462" applyFont="1" applyFill="1" applyBorder="1" applyAlignment="1" applyProtection="1">
      <alignment horizontal="left" vertical="center" wrapText="1" indent="2"/>
      <protection locked="0"/>
    </xf>
    <xf numFmtId="0" fontId="6" fillId="2" borderId="11" xfId="48895" applyFont="1" applyFill="1" applyBorder="1" applyAlignment="1" applyProtection="1">
      <alignment horizontal="left" vertical="center" wrapText="1"/>
      <protection locked="0"/>
    </xf>
    <xf numFmtId="0" fontId="6" fillId="2" borderId="11" xfId="48894" applyFont="1" applyFill="1" applyBorder="1" applyAlignment="1" applyProtection="1">
      <alignment horizontal="left" vertical="center" wrapText="1"/>
      <protection locked="0"/>
    </xf>
    <xf numFmtId="0" fontId="5" fillId="2" borderId="11" xfId="19019" applyFont="1" applyFill="1" applyBorder="1" applyAlignment="1">
      <alignment vertical="center" wrapText="1"/>
    </xf>
    <xf numFmtId="0" fontId="6" fillId="2" borderId="11" xfId="19019" applyFont="1" applyFill="1" applyBorder="1" applyAlignment="1">
      <alignment horizontal="center" vertical="center" wrapText="1"/>
    </xf>
    <xf numFmtId="0" fontId="5" fillId="2" borderId="11" xfId="19019" applyFont="1" applyFill="1" applyBorder="1" applyAlignment="1">
      <alignment horizontal="left" vertical="center" wrapText="1"/>
    </xf>
    <xf numFmtId="0" fontId="6" fillId="2" borderId="11" xfId="10464" applyFont="1" applyFill="1" applyBorder="1" applyAlignment="1" applyProtection="1">
      <alignment horizontal="left" vertical="center" wrapText="1"/>
      <protection locked="0"/>
    </xf>
    <xf numFmtId="0" fontId="6" fillId="2" borderId="11" xfId="10466" applyFont="1" applyFill="1" applyBorder="1" applyAlignment="1" applyProtection="1">
      <alignment horizontal="left" vertical="center" wrapText="1" indent="2"/>
      <protection locked="0"/>
    </xf>
    <xf numFmtId="0" fontId="40" fillId="2" borderId="0" xfId="48892" applyFill="1" applyAlignment="1">
      <alignment horizontal="left"/>
    </xf>
    <xf numFmtId="0" fontId="6" fillId="2" borderId="11" xfId="13" applyFont="1" applyFill="1" applyBorder="1" applyAlignment="1" applyProtection="1">
      <alignment horizontal="left" vertical="center" wrapText="1" indent="4"/>
    </xf>
    <xf numFmtId="0" fontId="5" fillId="2" borderId="11" xfId="16" applyFont="1" applyFill="1" applyBorder="1" applyAlignment="1" applyProtection="1">
      <alignment horizontal="left" vertical="center" wrapText="1"/>
    </xf>
    <xf numFmtId="0" fontId="6" fillId="2" borderId="11" xfId="48904" applyFont="1" applyFill="1" applyBorder="1" applyAlignment="1">
      <alignment horizontal="left" vertical="center" wrapText="1" indent="2"/>
    </xf>
    <xf numFmtId="0" fontId="46" fillId="2" borderId="11" xfId="6" applyFont="1" applyFill="1" applyBorder="1" applyAlignment="1">
      <alignment horizontal="center" vertical="center" wrapText="1"/>
    </xf>
    <xf numFmtId="0" fontId="6" fillId="2" borderId="11" xfId="48904" applyFont="1" applyFill="1" applyBorder="1" applyAlignment="1">
      <alignment horizontal="left" vertical="center" wrapText="1" indent="4"/>
    </xf>
    <xf numFmtId="0" fontId="6" fillId="2" borderId="11" xfId="48892" applyFont="1" applyFill="1" applyBorder="1" applyAlignment="1">
      <alignment vertical="top" wrapText="1"/>
    </xf>
    <xf numFmtId="0" fontId="6" fillId="2" borderId="11" xfId="48892" applyFont="1" applyFill="1" applyBorder="1" applyAlignment="1">
      <alignment horizontal="left" wrapText="1" indent="4"/>
    </xf>
    <xf numFmtId="0" fontId="6" fillId="2" borderId="11" xfId="12514" applyFont="1" applyFill="1" applyBorder="1" applyAlignment="1">
      <alignment horizontal="left" vertical="center" wrapText="1" indent="2"/>
    </xf>
    <xf numFmtId="0" fontId="1" fillId="2" borderId="11" xfId="12896" applyFont="1" applyFill="1" applyBorder="1" applyAlignment="1">
      <alignment horizontal="left" vertical="center" indent="2"/>
    </xf>
    <xf numFmtId="0" fontId="1" fillId="2" borderId="11" xfId="12896" applyFont="1" applyFill="1" applyBorder="1" applyAlignment="1">
      <alignment horizontal="left" vertical="center" wrapText="1" indent="4"/>
    </xf>
    <xf numFmtId="0" fontId="1" fillId="2" borderId="11" xfId="12896" applyFill="1" applyBorder="1" applyAlignment="1"/>
    <xf numFmtId="0" fontId="6" fillId="2" borderId="11" xfId="48904" applyFont="1" applyFill="1" applyBorder="1" applyAlignment="1">
      <alignment horizontal="left" vertical="center" wrapText="1"/>
    </xf>
    <xf numFmtId="0" fontId="6" fillId="2" borderId="11" xfId="6" applyFont="1" applyFill="1" applyBorder="1" applyAlignment="1">
      <alignment horizontal="center" vertical="center" wrapText="1"/>
    </xf>
    <xf numFmtId="0" fontId="10" fillId="2" borderId="11" xfId="6" applyFont="1" applyFill="1" applyBorder="1" applyAlignment="1">
      <alignment horizontal="center" vertical="center" wrapText="1"/>
    </xf>
    <xf numFmtId="0" fontId="48" fillId="2" borderId="11" xfId="12896" applyFont="1" applyFill="1" applyBorder="1"/>
    <xf numFmtId="0" fontId="1" fillId="2" borderId="11" xfId="12896" applyFont="1" applyFill="1" applyBorder="1" applyAlignment="1">
      <alignment horizontal="left" wrapText="1" indent="4"/>
    </xf>
    <xf numFmtId="0" fontId="1" fillId="2" borderId="11" xfId="12896" applyFont="1" applyFill="1" applyBorder="1" applyAlignment="1">
      <alignment horizontal="left" indent="4"/>
    </xf>
    <xf numFmtId="0" fontId="6" fillId="2" borderId="11" xfId="6" applyFont="1" applyFill="1" applyBorder="1" applyAlignment="1" applyProtection="1">
      <alignment horizontal="left" vertical="center" wrapText="1" indent="4"/>
      <protection locked="0"/>
    </xf>
    <xf numFmtId="0" fontId="1" fillId="2" borderId="11" xfId="12896" applyFont="1" applyFill="1" applyBorder="1" applyAlignment="1">
      <alignment horizontal="left" indent="2"/>
    </xf>
    <xf numFmtId="0" fontId="6" fillId="2" borderId="11" xfId="48904" applyFont="1" applyFill="1" applyBorder="1" applyAlignment="1">
      <alignment vertical="center" wrapText="1"/>
    </xf>
    <xf numFmtId="0" fontId="39" fillId="2" borderId="11" xfId="12896" applyFont="1" applyFill="1" applyBorder="1" applyAlignment="1">
      <alignment wrapText="1"/>
    </xf>
    <xf numFmtId="0" fontId="1" fillId="2" borderId="11" xfId="12896" quotePrefix="1" applyFont="1" applyFill="1" applyBorder="1" applyAlignment="1">
      <alignment horizontal="left" wrapText="1" indent="4"/>
    </xf>
    <xf numFmtId="0" fontId="39" fillId="2" borderId="11" xfId="48892" applyFont="1" applyFill="1" applyBorder="1"/>
    <xf numFmtId="0" fontId="5" fillId="2" borderId="11" xfId="6" applyFont="1" applyFill="1" applyBorder="1" applyAlignment="1" applyProtection="1">
      <alignment horizontal="left" vertical="center" wrapText="1"/>
    </xf>
    <xf numFmtId="0" fontId="5" fillId="2" borderId="11" xfId="6" applyFont="1" applyFill="1" applyBorder="1" applyAlignment="1" applyProtection="1">
      <alignment horizontal="left" vertical="center" wrapText="1" indent="2"/>
    </xf>
    <xf numFmtId="0" fontId="6" fillId="2" borderId="11" xfId="48892" applyFont="1" applyFill="1" applyBorder="1" applyAlignment="1" applyProtection="1">
      <alignment horizontal="left" vertical="center" wrapText="1"/>
    </xf>
    <xf numFmtId="0" fontId="6" fillId="2" borderId="11" xfId="6" applyFont="1" applyFill="1" applyBorder="1" applyAlignment="1" applyProtection="1">
      <alignment horizontal="left" vertical="center" wrapText="1" indent="2"/>
    </xf>
    <xf numFmtId="0" fontId="6" fillId="2" borderId="11" xfId="48901" applyFont="1" applyFill="1" applyBorder="1" applyAlignment="1">
      <alignment horizontal="left" vertical="center" wrapText="1"/>
    </xf>
    <xf numFmtId="0" fontId="6" fillId="2" borderId="11" xfId="48892" applyFont="1" applyFill="1" applyBorder="1" applyAlignment="1" applyProtection="1">
      <alignment wrapText="1"/>
    </xf>
    <xf numFmtId="0" fontId="8" fillId="2" borderId="11" xfId="13" applyFont="1" applyFill="1" applyBorder="1" applyAlignment="1" applyProtection="1">
      <alignment horizontal="center" vertical="center" wrapText="1"/>
      <protection locked="0"/>
    </xf>
    <xf numFmtId="0" fontId="6" fillId="2" borderId="11" xfId="48892" applyFont="1" applyFill="1" applyBorder="1" applyAlignment="1" applyProtection="1">
      <alignment horizontal="center" wrapText="1"/>
      <protection locked="0"/>
    </xf>
    <xf numFmtId="0" fontId="41" fillId="38" borderId="11" xfId="18737" applyFont="1" applyFill="1" applyBorder="1" applyAlignment="1">
      <alignment vertical="center" wrapText="1"/>
    </xf>
    <xf numFmtId="0" fontId="6" fillId="38" borderId="11" xfId="18737" applyFont="1" applyFill="1" applyBorder="1" applyAlignment="1">
      <alignment horizontal="center" vertical="center" wrapText="1"/>
    </xf>
    <xf numFmtId="0" fontId="5" fillId="38" borderId="11" xfId="18737" applyFont="1" applyFill="1" applyBorder="1" applyAlignment="1">
      <alignment horizontal="left" vertical="center" wrapText="1"/>
    </xf>
    <xf numFmtId="0" fontId="13" fillId="0" borderId="0" xfId="24" applyAlignment="1"/>
    <xf numFmtId="0" fontId="45" fillId="2" borderId="0" xfId="1" applyFont="1" applyFill="1" applyBorder="1" applyAlignment="1">
      <alignment horizontal="center" vertical="center"/>
    </xf>
    <xf numFmtId="0" fontId="13" fillId="2" borderId="0" xfId="24" applyFill="1" applyBorder="1" applyAlignment="1">
      <alignment vertical="center"/>
    </xf>
    <xf numFmtId="0" fontId="0" fillId="2" borderId="11" xfId="4" applyFont="1" applyFill="1" applyBorder="1" applyAlignment="1">
      <alignment horizontal="left" vertical="center" wrapText="1"/>
    </xf>
    <xf numFmtId="0" fontId="0" fillId="0" borderId="11" xfId="12896" applyFont="1" applyFill="1" applyBorder="1" applyAlignment="1">
      <alignment horizontal="left" vertical="center" wrapText="1"/>
    </xf>
    <xf numFmtId="0" fontId="0" fillId="2" borderId="11" xfId="12896" applyFont="1" applyFill="1" applyBorder="1" applyAlignment="1">
      <alignment horizontal="left" wrapText="1"/>
    </xf>
    <xf numFmtId="0" fontId="40" fillId="2" borderId="0" xfId="48892" applyFill="1"/>
    <xf numFmtId="0" fontId="40" fillId="2" borderId="0" xfId="48892" applyFill="1"/>
    <xf numFmtId="0" fontId="0" fillId="0" borderId="0" xfId="0" applyAlignment="1">
      <alignment horizontal="center"/>
    </xf>
    <xf numFmtId="0" fontId="51" fillId="2" borderId="0" xfId="48892" applyFont="1" applyFill="1" applyAlignment="1">
      <alignment horizontal="center"/>
    </xf>
    <xf numFmtId="0" fontId="50" fillId="3" borderId="11" xfId="4" applyFont="1" applyFill="1" applyBorder="1" applyAlignment="1">
      <alignment horizontal="center"/>
    </xf>
    <xf numFmtId="0" fontId="50" fillId="3" borderId="11" xfId="48892" applyFont="1" applyFill="1" applyBorder="1" applyAlignment="1">
      <alignment horizontal="center"/>
    </xf>
    <xf numFmtId="0" fontId="50" fillId="30" borderId="11" xfId="10800" applyFont="1" applyFill="1" applyBorder="1" applyAlignment="1">
      <alignment vertical="center" wrapText="1"/>
    </xf>
    <xf numFmtId="0" fontId="50" fillId="3" borderId="11" xfId="16881" applyFont="1" applyFill="1" applyBorder="1" applyAlignment="1" applyProtection="1">
      <alignment horizontal="center" vertical="center"/>
      <protection locked="0"/>
    </xf>
    <xf numFmtId="0" fontId="50" fillId="0" borderId="11" xfId="6" applyFont="1" applyFill="1" applyBorder="1" applyAlignment="1" applyProtection="1">
      <alignment horizontal="left" vertical="top" wrapText="1"/>
      <protection locked="0"/>
    </xf>
    <xf numFmtId="0" fontId="50" fillId="2" borderId="11" xfId="6" applyFont="1" applyFill="1" applyBorder="1" applyAlignment="1" applyProtection="1">
      <alignment horizontal="left" vertical="top" wrapText="1"/>
      <protection locked="0"/>
    </xf>
    <xf numFmtId="0" fontId="50" fillId="3" borderId="11" xfId="12896" applyFont="1" applyFill="1" applyBorder="1" applyAlignment="1">
      <alignment horizontal="center"/>
    </xf>
    <xf numFmtId="0" fontId="50" fillId="30" borderId="11" xfId="12514" applyFont="1" applyFill="1" applyBorder="1" applyAlignment="1">
      <alignment vertical="center" wrapText="1"/>
    </xf>
    <xf numFmtId="0" fontId="50" fillId="30" borderId="11" xfId="19046" applyFont="1" applyFill="1" applyBorder="1" applyAlignment="1">
      <alignment vertical="center" wrapText="1"/>
    </xf>
    <xf numFmtId="0" fontId="50" fillId="0" borderId="11" xfId="10800" applyFont="1" applyFill="1" applyBorder="1" applyAlignment="1" applyProtection="1">
      <alignment vertical="center" wrapText="1"/>
      <protection locked="0"/>
    </xf>
    <xf numFmtId="0" fontId="50" fillId="2" borderId="11" xfId="10800" applyFont="1" applyFill="1" applyBorder="1" applyAlignment="1" applyProtection="1">
      <alignment vertical="center" wrapText="1"/>
      <protection locked="0"/>
    </xf>
    <xf numFmtId="0" fontId="50" fillId="2" borderId="11" xfId="12896" applyFont="1" applyFill="1" applyBorder="1"/>
    <xf numFmtId="0" fontId="50" fillId="2" borderId="11" xfId="12514" applyFont="1" applyFill="1" applyBorder="1" applyAlignment="1">
      <alignment vertical="center" wrapText="1"/>
    </xf>
    <xf numFmtId="0" fontId="50" fillId="34" borderId="11" xfId="10800" applyFont="1" applyFill="1" applyBorder="1" applyAlignment="1">
      <alignment vertical="center" wrapText="1"/>
    </xf>
    <xf numFmtId="0" fontId="50" fillId="2" borderId="11" xfId="12896" applyFont="1" applyFill="1" applyBorder="1" applyAlignment="1">
      <alignment wrapText="1"/>
    </xf>
    <xf numFmtId="0" fontId="50" fillId="2" borderId="11" xfId="10800" applyFont="1" applyFill="1" applyBorder="1" applyAlignment="1">
      <alignment vertical="center" wrapText="1"/>
    </xf>
    <xf numFmtId="0" fontId="50" fillId="0" borderId="11" xfId="48892" applyFont="1" applyFill="1" applyBorder="1" applyAlignment="1">
      <alignment horizontal="center"/>
    </xf>
    <xf numFmtId="0" fontId="50" fillId="0" borderId="11" xfId="48892" applyFont="1" applyFill="1" applyBorder="1"/>
    <xf numFmtId="0" fontId="50" fillId="2" borderId="11" xfId="48892" applyFont="1" applyFill="1" applyBorder="1" applyAlignment="1">
      <alignment horizontal="center"/>
    </xf>
    <xf numFmtId="0" fontId="50" fillId="3" borderId="11" xfId="48892" applyFont="1" applyFill="1" applyBorder="1" applyAlignment="1">
      <alignment horizontal="left" vertical="center" wrapText="1"/>
    </xf>
    <xf numFmtId="0" fontId="52" fillId="36" borderId="11" xfId="15369" applyFont="1" applyFill="1" applyBorder="1" applyAlignment="1">
      <alignment horizontal="center" vertical="center" wrapText="1"/>
    </xf>
    <xf numFmtId="0" fontId="53" fillId="0" borderId="0" xfId="48892" applyFont="1" applyAlignment="1"/>
    <xf numFmtId="0" fontId="50" fillId="0" borderId="11" xfId="4" applyFont="1" applyBorder="1"/>
    <xf numFmtId="0" fontId="50" fillId="2" borderId="11" xfId="4" applyFont="1" applyFill="1" applyBorder="1"/>
    <xf numFmtId="0" fontId="50" fillId="34" borderId="11" xfId="4" applyFont="1" applyFill="1" applyBorder="1" applyAlignment="1">
      <alignment horizontal="center"/>
    </xf>
    <xf numFmtId="0" fontId="50" fillId="0" borderId="11" xfId="16" applyFont="1" applyBorder="1" applyAlignment="1" applyProtection="1">
      <alignment vertical="center"/>
      <protection locked="0"/>
    </xf>
    <xf numFmtId="0" fontId="50" fillId="2" borderId="11" xfId="16" applyFont="1" applyFill="1" applyBorder="1" applyAlignment="1" applyProtection="1">
      <alignment vertical="center"/>
      <protection locked="0"/>
    </xf>
    <xf numFmtId="0" fontId="50" fillId="2" borderId="11" xfId="16" applyFont="1" applyFill="1" applyBorder="1" applyAlignment="1" applyProtection="1">
      <alignment horizontal="left" vertical="center" wrapText="1"/>
      <protection locked="0"/>
    </xf>
    <xf numFmtId="49" fontId="50" fillId="2" borderId="11" xfId="16" applyNumberFormat="1" applyFont="1" applyFill="1" applyBorder="1" applyAlignment="1" applyProtection="1">
      <alignment vertical="center" wrapText="1"/>
      <protection locked="0"/>
    </xf>
    <xf numFmtId="49" fontId="50" fillId="0" borderId="11" xfId="16" applyNumberFormat="1" applyFont="1" applyBorder="1" applyAlignment="1" applyProtection="1">
      <alignment vertical="center" wrapText="1"/>
      <protection locked="0"/>
    </xf>
    <xf numFmtId="0" fontId="50" fillId="2" borderId="11" xfId="48897" applyFont="1" applyFill="1" applyBorder="1" applyAlignment="1" applyProtection="1">
      <alignment vertical="center" wrapText="1"/>
      <protection locked="0"/>
    </xf>
    <xf numFmtId="0" fontId="50" fillId="2" borderId="11" xfId="6" applyFont="1" applyFill="1" applyBorder="1" applyAlignment="1" applyProtection="1">
      <alignment vertical="center" wrapText="1"/>
      <protection locked="0"/>
    </xf>
    <xf numFmtId="0" fontId="50" fillId="30" borderId="11" xfId="48892" applyFont="1" applyFill="1" applyBorder="1" applyAlignment="1">
      <alignment horizontal="left" vertical="center" wrapText="1"/>
    </xf>
    <xf numFmtId="49" fontId="50" fillId="0" borderId="11" xfId="16" applyNumberFormat="1" applyFont="1" applyFill="1" applyBorder="1" applyAlignment="1" applyProtection="1">
      <alignment vertical="center" wrapText="1"/>
      <protection locked="0"/>
    </xf>
    <xf numFmtId="0" fontId="50" fillId="0" borderId="11" xfId="48897" applyFont="1" applyBorder="1" applyAlignment="1" applyProtection="1">
      <alignment vertical="center" wrapText="1"/>
      <protection locked="0"/>
    </xf>
    <xf numFmtId="0" fontId="50" fillId="2" borderId="11" xfId="48892" applyFont="1" applyFill="1" applyBorder="1" applyProtection="1">
      <protection locked="0"/>
    </xf>
    <xf numFmtId="0" fontId="50" fillId="2" borderId="11" xfId="48892" applyFont="1" applyFill="1" applyBorder="1" applyAlignment="1" applyProtection="1">
      <alignment horizontal="left" vertical="center" wrapText="1"/>
      <protection locked="0"/>
    </xf>
    <xf numFmtId="0" fontId="50" fillId="0" borderId="11" xfId="16" applyFont="1" applyBorder="1" applyAlignment="1" applyProtection="1">
      <alignment horizontal="center" vertical="center" wrapText="1"/>
      <protection locked="0"/>
    </xf>
    <xf numFmtId="0" fontId="50" fillId="0" borderId="11" xfId="6" applyFont="1" applyBorder="1" applyAlignment="1" applyProtection="1">
      <alignment vertical="center" wrapText="1"/>
      <protection locked="0"/>
    </xf>
    <xf numFmtId="0" fontId="50" fillId="0" borderId="11" xfId="12514" applyFont="1" applyFill="1" applyBorder="1" applyAlignment="1">
      <alignment vertical="center" wrapText="1"/>
    </xf>
    <xf numFmtId="0" fontId="50" fillId="0" borderId="11" xfId="12896" applyFont="1" applyFill="1" applyBorder="1"/>
    <xf numFmtId="49" fontId="50" fillId="2" borderId="11" xfId="13" applyNumberFormat="1" applyFont="1" applyFill="1" applyBorder="1" applyAlignment="1" applyProtection="1">
      <alignment horizontal="left" vertical="center" wrapText="1"/>
    </xf>
    <xf numFmtId="0" fontId="50" fillId="0" borderId="11" xfId="4" applyFont="1" applyBorder="1" applyAlignment="1">
      <alignment vertical="center"/>
    </xf>
    <xf numFmtId="0" fontId="50" fillId="0" borderId="11" xfId="4" applyFont="1" applyFill="1" applyBorder="1" applyAlignment="1">
      <alignment vertical="center"/>
    </xf>
    <xf numFmtId="0" fontId="50" fillId="0" borderId="11" xfId="4" applyFont="1" applyFill="1" applyBorder="1"/>
    <xf numFmtId="49" fontId="50" fillId="2" borderId="11" xfId="13" applyNumberFormat="1" applyFont="1" applyFill="1" applyBorder="1" applyAlignment="1" applyProtection="1">
      <alignment horizontal="left" vertical="center" wrapText="1" indent="2"/>
    </xf>
    <xf numFmtId="0" fontId="50" fillId="2" borderId="11" xfId="4" applyFont="1" applyFill="1" applyBorder="1" applyAlignment="1">
      <alignment wrapText="1"/>
    </xf>
    <xf numFmtId="0" fontId="50" fillId="0" borderId="11" xfId="6" applyFont="1" applyBorder="1" applyAlignment="1">
      <alignment vertical="center" wrapText="1"/>
    </xf>
    <xf numFmtId="0" fontId="50" fillId="0" borderId="11" xfId="6" applyFont="1" applyFill="1" applyBorder="1" applyAlignment="1">
      <alignment vertical="center" wrapText="1"/>
    </xf>
    <xf numFmtId="0" fontId="50" fillId="2" borderId="11" xfId="6" applyFont="1" applyFill="1" applyBorder="1" applyAlignment="1">
      <alignment vertical="center" wrapText="1"/>
    </xf>
    <xf numFmtId="0" fontId="53" fillId="2" borderId="11" xfId="48892" applyFont="1" applyFill="1" applyBorder="1" applyAlignment="1">
      <alignment horizontal="center"/>
    </xf>
    <xf numFmtId="0" fontId="53" fillId="0" borderId="11" xfId="48892" applyFont="1" applyBorder="1" applyAlignment="1">
      <alignment horizontal="center"/>
    </xf>
    <xf numFmtId="0" fontId="53" fillId="0" borderId="11" xfId="48892" applyFont="1" applyFill="1" applyBorder="1" applyAlignment="1">
      <alignment horizontal="center"/>
    </xf>
    <xf numFmtId="0" fontId="50" fillId="30" borderId="11" xfId="19046" applyFont="1" applyFill="1" applyBorder="1" applyAlignment="1">
      <alignment horizontal="left" vertical="center" wrapText="1"/>
    </xf>
    <xf numFmtId="0" fontId="50" fillId="0" borderId="11" xfId="48893" applyFont="1" applyFill="1" applyBorder="1" applyAlignment="1" applyProtection="1">
      <alignment horizontal="left" vertical="center" wrapText="1"/>
      <protection locked="0"/>
    </xf>
    <xf numFmtId="0" fontId="50" fillId="0" borderId="11" xfId="48893" applyFont="1" applyFill="1" applyBorder="1" applyAlignment="1" applyProtection="1">
      <alignment vertical="center" wrapText="1"/>
      <protection locked="0"/>
    </xf>
    <xf numFmtId="0" fontId="50" fillId="2" borderId="11" xfId="48893" applyFont="1" applyFill="1" applyBorder="1" applyAlignment="1" applyProtection="1">
      <alignment vertical="center" wrapText="1"/>
      <protection locked="0"/>
    </xf>
    <xf numFmtId="0" fontId="50" fillId="0" borderId="11" xfId="6" applyFont="1" applyFill="1" applyBorder="1" applyAlignment="1" applyProtection="1">
      <alignment vertical="center" wrapText="1"/>
      <protection locked="0"/>
    </xf>
    <xf numFmtId="0" fontId="50" fillId="0" borderId="11" xfId="48893" applyFont="1" applyBorder="1" applyAlignment="1" applyProtection="1">
      <alignment vertical="center" wrapText="1"/>
      <protection locked="0"/>
    </xf>
    <xf numFmtId="0" fontId="50" fillId="0" borderId="11" xfId="48893" applyFont="1" applyFill="1" applyBorder="1" applyAlignment="1" applyProtection="1">
      <alignment vertical="center"/>
      <protection locked="0"/>
    </xf>
    <xf numFmtId="0" fontId="50" fillId="0" borderId="11" xfId="6" applyFont="1" applyFill="1" applyBorder="1" applyAlignment="1" applyProtection="1">
      <alignment horizontal="left" vertical="center" wrapText="1"/>
      <protection locked="0"/>
    </xf>
    <xf numFmtId="0" fontId="50" fillId="2" borderId="11" xfId="14692" applyFont="1" applyFill="1" applyBorder="1"/>
    <xf numFmtId="0" fontId="50" fillId="0" borderId="11" xfId="10728" applyFont="1" applyFill="1" applyBorder="1" applyAlignment="1" applyProtection="1">
      <alignment vertical="center" wrapText="1"/>
      <protection locked="0"/>
    </xf>
    <xf numFmtId="0" fontId="50" fillId="2" borderId="11" xfId="10728" applyFont="1" applyFill="1" applyBorder="1" applyAlignment="1" applyProtection="1">
      <alignment horizontal="left" vertical="center" wrapText="1"/>
      <protection locked="0"/>
    </xf>
    <xf numFmtId="0" fontId="50" fillId="0" borderId="11" xfId="10728" applyFont="1" applyBorder="1" applyProtection="1">
      <protection locked="0"/>
    </xf>
    <xf numFmtId="0" fontId="50" fillId="2" borderId="11" xfId="48892" applyFont="1" applyFill="1" applyBorder="1"/>
    <xf numFmtId="0" fontId="53" fillId="2" borderId="11" xfId="48892" applyFont="1" applyFill="1" applyBorder="1"/>
    <xf numFmtId="0" fontId="50" fillId="0" borderId="11" xfId="10800" applyFont="1" applyFill="1" applyBorder="1" applyAlignment="1">
      <alignment horizontal="center"/>
    </xf>
    <xf numFmtId="0" fontId="50" fillId="2" borderId="11" xfId="10800" applyFont="1" applyFill="1" applyBorder="1" applyAlignment="1">
      <alignment horizontal="center"/>
    </xf>
    <xf numFmtId="0" fontId="50" fillId="0" borderId="11" xfId="6" applyFont="1" applyFill="1" applyBorder="1" applyAlignment="1" applyProtection="1">
      <alignment vertical="center"/>
      <protection locked="0"/>
    </xf>
    <xf numFmtId="0" fontId="50" fillId="2" borderId="11" xfId="6" applyFont="1" applyFill="1" applyBorder="1" applyAlignment="1" applyProtection="1">
      <alignment vertical="center"/>
      <protection locked="0"/>
    </xf>
    <xf numFmtId="0" fontId="50" fillId="0" borderId="11" xfId="12896" applyFont="1" applyBorder="1"/>
    <xf numFmtId="0" fontId="50" fillId="0" borderId="11" xfId="10800" applyFont="1" applyBorder="1" applyAlignment="1" applyProtection="1">
      <alignment vertical="center"/>
      <protection locked="0"/>
    </xf>
    <xf numFmtId="0" fontId="50" fillId="2" borderId="11" xfId="10800" applyFont="1" applyFill="1" applyBorder="1" applyAlignment="1" applyProtection="1">
      <alignment vertical="center"/>
      <protection locked="0"/>
    </xf>
    <xf numFmtId="0" fontId="50" fillId="0" borderId="11" xfId="10800" applyFont="1" applyBorder="1" applyAlignment="1" applyProtection="1">
      <alignment horizontal="left" vertical="center" indent="2"/>
      <protection locked="0"/>
    </xf>
    <xf numFmtId="0" fontId="50" fillId="0" borderId="11" xfId="6" applyFont="1" applyFill="1" applyBorder="1" applyAlignment="1" applyProtection="1">
      <alignment horizontal="left" vertical="center" indent="2"/>
      <protection locked="0"/>
    </xf>
    <xf numFmtId="0" fontId="50" fillId="0" borderId="11" xfId="48900" applyFont="1" applyFill="1" applyBorder="1" applyAlignment="1" applyProtection="1">
      <alignment vertical="center"/>
      <protection locked="0"/>
    </xf>
    <xf numFmtId="0" fontId="50" fillId="2" borderId="11" xfId="19193" applyFont="1" applyFill="1" applyBorder="1" applyProtection="1">
      <protection locked="0"/>
    </xf>
    <xf numFmtId="0" fontId="50" fillId="2" borderId="11" xfId="5340" applyFont="1" applyFill="1" applyBorder="1" applyAlignment="1" applyProtection="1">
      <protection locked="0"/>
    </xf>
    <xf numFmtId="0" fontId="50" fillId="0" borderId="11" xfId="12896" applyFont="1" applyFill="1" applyBorder="1" applyAlignment="1">
      <alignment wrapText="1"/>
    </xf>
    <xf numFmtId="0" fontId="50" fillId="0" borderId="11" xfId="6" applyFont="1" applyFill="1" applyBorder="1" applyAlignment="1" applyProtection="1">
      <alignment horizontal="center" vertical="center" wrapText="1"/>
      <protection locked="0"/>
    </xf>
    <xf numFmtId="0" fontId="50" fillId="2" borderId="11" xfId="12896" applyFont="1" applyFill="1" applyBorder="1" applyAlignment="1"/>
    <xf numFmtId="0" fontId="50" fillId="0" borderId="11" xfId="6" applyFont="1" applyBorder="1" applyAlignment="1" applyProtection="1">
      <alignment vertical="center"/>
      <protection locked="0"/>
    </xf>
    <xf numFmtId="0" fontId="50" fillId="0" borderId="11" xfId="48892" applyFont="1" applyFill="1" applyBorder="1" applyAlignment="1">
      <alignment horizontal="left"/>
    </xf>
    <xf numFmtId="0" fontId="53" fillId="2" borderId="11" xfId="48892" applyFont="1" applyFill="1" applyBorder="1" applyAlignment="1">
      <alignment wrapText="1"/>
    </xf>
    <xf numFmtId="0" fontId="50" fillId="0" borderId="11" xfId="48906" applyFont="1" applyFill="1" applyBorder="1" applyAlignment="1" applyProtection="1">
      <alignment vertical="center"/>
      <protection locked="0"/>
    </xf>
    <xf numFmtId="0" fontId="50" fillId="2" borderId="11" xfId="48906" applyFont="1" applyFill="1" applyBorder="1" applyAlignment="1" applyProtection="1">
      <alignment vertical="center"/>
      <protection locked="0"/>
    </xf>
    <xf numFmtId="0" fontId="50" fillId="0" borderId="11" xfId="48906" applyFont="1" applyBorder="1" applyAlignment="1" applyProtection="1">
      <alignment vertical="center"/>
      <protection locked="0"/>
    </xf>
    <xf numFmtId="0" fontId="53" fillId="0" borderId="11" xfId="48892" applyFont="1" applyBorder="1"/>
    <xf numFmtId="0" fontId="50" fillId="0" borderId="11" xfId="10656" applyFont="1" applyFill="1" applyBorder="1" applyAlignment="1">
      <alignment horizontal="center"/>
    </xf>
    <xf numFmtId="0" fontId="53" fillId="0" borderId="11" xfId="48892" applyFont="1" applyBorder="1" applyAlignment="1">
      <alignment wrapText="1"/>
    </xf>
    <xf numFmtId="0" fontId="50" fillId="0" borderId="11" xfId="6" applyFont="1" applyBorder="1" applyAlignment="1" applyProtection="1">
      <alignment horizontal="center" vertical="center" wrapText="1"/>
      <protection locked="0"/>
    </xf>
    <xf numFmtId="0" fontId="50" fillId="2" borderId="11" xfId="6" applyFont="1" applyFill="1" applyBorder="1" applyAlignment="1" applyProtection="1">
      <alignment horizontal="center" vertical="center" wrapText="1"/>
      <protection locked="0"/>
    </xf>
    <xf numFmtId="0" fontId="50" fillId="4" borderId="11" xfId="6" applyFont="1" applyFill="1" applyBorder="1" applyAlignment="1" applyProtection="1">
      <alignment horizontal="center" vertical="center" wrapText="1"/>
      <protection locked="0"/>
    </xf>
    <xf numFmtId="0" fontId="53" fillId="2" borderId="0" xfId="48892" applyFont="1" applyFill="1"/>
    <xf numFmtId="0" fontId="53" fillId="0" borderId="0" xfId="48892" applyFont="1"/>
    <xf numFmtId="0" fontId="50" fillId="0" borderId="0" xfId="48892" applyFont="1" applyAlignment="1">
      <alignment wrapText="1"/>
    </xf>
    <xf numFmtId="0" fontId="42" fillId="0" borderId="0" xfId="48892" applyFont="1"/>
    <xf numFmtId="0" fontId="42" fillId="2" borderId="11" xfId="48892" applyFont="1" applyFill="1" applyBorder="1"/>
    <xf numFmtId="0" fontId="42" fillId="0" borderId="0" xfId="48892" applyFont="1" applyProtection="1"/>
    <xf numFmtId="0" fontId="40" fillId="2" borderId="0" xfId="48892" applyFill="1"/>
    <xf numFmtId="0" fontId="55" fillId="2" borderId="11" xfId="48892" applyFont="1" applyFill="1" applyBorder="1"/>
    <xf numFmtId="0" fontId="44" fillId="0" borderId="0" xfId="48892" applyFont="1"/>
    <xf numFmtId="0" fontId="38" fillId="0" borderId="11" xfId="12896" applyFont="1" applyFill="1" applyBorder="1" applyAlignment="1">
      <alignment wrapText="1"/>
    </xf>
    <xf numFmtId="0" fontId="40" fillId="2" borderId="0" xfId="48892" applyFill="1"/>
    <xf numFmtId="0" fontId="40" fillId="2" borderId="0" xfId="48892" applyFill="1"/>
    <xf numFmtId="0" fontId="0" fillId="2" borderId="11" xfId="12896" applyFont="1" applyFill="1" applyBorder="1" applyAlignment="1">
      <alignment vertical="center" wrapText="1"/>
    </xf>
    <xf numFmtId="0" fontId="0" fillId="2" borderId="11" xfId="12896" applyFont="1" applyFill="1" applyBorder="1" applyAlignment="1">
      <alignment horizontal="left" vertical="center" wrapText="1" indent="2"/>
    </xf>
    <xf numFmtId="0" fontId="0" fillId="2" borderId="11" xfId="12896" applyFont="1" applyFill="1" applyBorder="1" applyAlignment="1">
      <alignment horizontal="left" vertical="center" wrapText="1"/>
    </xf>
    <xf numFmtId="0" fontId="4" fillId="0" borderId="11" xfId="48892" applyFont="1" applyFill="1" applyBorder="1" applyAlignment="1">
      <alignment wrapText="1"/>
    </xf>
    <xf numFmtId="0" fontId="4" fillId="0" borderId="11" xfId="48892" applyFont="1" applyBorder="1"/>
    <xf numFmtId="0" fontId="4" fillId="2" borderId="11" xfId="48892" applyFont="1" applyFill="1" applyBorder="1" applyAlignment="1">
      <alignment horizontal="left" wrapText="1"/>
    </xf>
    <xf numFmtId="0" fontId="6" fillId="2" borderId="11" xfId="4" applyFont="1" applyFill="1" applyBorder="1" applyAlignment="1">
      <alignment horizontal="left"/>
    </xf>
    <xf numFmtId="0" fontId="6" fillId="0" borderId="11" xfId="48892" applyFont="1" applyBorder="1"/>
    <xf numFmtId="0" fontId="8" fillId="7" borderId="11" xfId="48892" applyFont="1" applyFill="1" applyBorder="1" applyAlignment="1">
      <alignment wrapText="1"/>
    </xf>
    <xf numFmtId="0" fontId="6" fillId="0" borderId="11" xfId="48892" applyFont="1" applyBorder="1" applyAlignment="1">
      <alignment horizontal="left" wrapText="1" indent="4"/>
    </xf>
    <xf numFmtId="0" fontId="6" fillId="30" borderId="11" xfId="13" applyFont="1" applyFill="1" applyBorder="1" applyAlignment="1" applyProtection="1">
      <alignment horizontal="left" vertical="center" wrapText="1"/>
      <protection locked="0"/>
    </xf>
    <xf numFmtId="49" fontId="6" fillId="2" borderId="11" xfId="13" applyNumberFormat="1" applyFont="1" applyFill="1" applyBorder="1" applyAlignment="1" applyProtection="1">
      <alignment horizontal="left" vertical="center" wrapText="1"/>
    </xf>
    <xf numFmtId="49" fontId="6" fillId="0" borderId="11" xfId="13" applyNumberFormat="1" applyFont="1" applyFill="1" applyBorder="1" applyAlignment="1" applyProtection="1">
      <alignment horizontal="left" vertical="center" wrapText="1"/>
    </xf>
    <xf numFmtId="0" fontId="6" fillId="0" borderId="11" xfId="13" applyFont="1" applyFill="1" applyBorder="1" applyAlignment="1">
      <alignment horizontal="left" wrapText="1"/>
    </xf>
    <xf numFmtId="0" fontId="6" fillId="0" borderId="11" xfId="13" applyFont="1" applyBorder="1" applyAlignment="1">
      <alignment horizontal="left" wrapText="1"/>
    </xf>
    <xf numFmtId="0" fontId="6" fillId="3" borderId="11" xfId="16137" applyFont="1" applyFill="1" applyBorder="1" applyAlignment="1">
      <alignment horizontal="left" wrapText="1"/>
    </xf>
    <xf numFmtId="0" fontId="6" fillId="34" borderId="11" xfId="16137" applyFont="1" applyFill="1" applyBorder="1" applyAlignment="1">
      <alignment horizontal="left" wrapText="1"/>
    </xf>
    <xf numFmtId="0" fontId="40" fillId="2" borderId="0" xfId="48892" applyFill="1"/>
    <xf numFmtId="0" fontId="42" fillId="0" borderId="0" xfId="48892" applyFont="1" applyFill="1"/>
    <xf numFmtId="0" fontId="8" fillId="39" borderId="11" xfId="48892" applyFont="1" applyFill="1" applyBorder="1" applyAlignment="1">
      <alignment horizontal="left" wrapText="1"/>
    </xf>
    <xf numFmtId="0" fontId="6" fillId="39" borderId="11" xfId="48892" applyFont="1" applyFill="1" applyBorder="1" applyAlignment="1">
      <alignment horizontal="left" wrapText="1"/>
    </xf>
    <xf numFmtId="0" fontId="6" fillId="40" borderId="11" xfId="10499" applyFont="1" applyFill="1" applyBorder="1" applyAlignment="1">
      <alignment horizontal="center" vertical="center" wrapText="1"/>
    </xf>
    <xf numFmtId="0" fontId="6" fillId="40" borderId="11" xfId="6" applyFont="1" applyFill="1" applyBorder="1" applyAlignment="1" applyProtection="1">
      <alignment vertical="center" wrapText="1"/>
      <protection locked="0"/>
    </xf>
    <xf numFmtId="0" fontId="42" fillId="40" borderId="11" xfId="48892" applyFont="1" applyFill="1" applyBorder="1" applyAlignment="1">
      <alignment wrapText="1"/>
    </xf>
    <xf numFmtId="0" fontId="40" fillId="40" borderId="0" xfId="48892" applyFill="1"/>
    <xf numFmtId="0" fontId="6" fillId="2" borderId="11" xfId="13" applyFont="1" applyFill="1" applyBorder="1" applyAlignment="1">
      <alignment horizontal="left" vertical="center" wrapText="1" indent="5"/>
    </xf>
    <xf numFmtId="0" fontId="6" fillId="0" borderId="11" xfId="13" applyFont="1" applyFill="1" applyBorder="1" applyAlignment="1" applyProtection="1">
      <alignment horizontal="left" vertical="center" wrapText="1" indent="1"/>
      <protection locked="0"/>
    </xf>
    <xf numFmtId="0" fontId="4" fillId="0" borderId="0" xfId="48892" applyFont="1" applyFill="1" applyAlignment="1">
      <alignment horizontal="left" indent="4"/>
    </xf>
    <xf numFmtId="0" fontId="6" fillId="40" borderId="11" xfId="48893" applyFont="1" applyFill="1" applyBorder="1" applyAlignment="1" applyProtection="1">
      <alignment horizontal="left" wrapText="1"/>
      <protection locked="0"/>
    </xf>
    <xf numFmtId="0" fontId="6" fillId="40" borderId="11" xfId="48893" applyFont="1" applyFill="1" applyBorder="1" applyAlignment="1" applyProtection="1">
      <alignment horizontal="center" vertical="center" wrapText="1"/>
      <protection locked="0"/>
    </xf>
    <xf numFmtId="0" fontId="50" fillId="40" borderId="11" xfId="48893" applyFont="1" applyFill="1" applyBorder="1" applyAlignment="1" applyProtection="1">
      <alignment vertical="center" wrapText="1"/>
      <protection locked="0"/>
    </xf>
    <xf numFmtId="0" fontId="6" fillId="0" borderId="0" xfId="48893" applyFont="1" applyFill="1" applyBorder="1" applyAlignment="1" applyProtection="1">
      <alignment horizontal="left" wrapText="1" indent="2"/>
      <protection locked="0"/>
    </xf>
    <xf numFmtId="0" fontId="4" fillId="0" borderId="0" xfId="48892" applyFont="1" applyAlignment="1">
      <alignment horizontal="left" indent="2"/>
    </xf>
    <xf numFmtId="0" fontId="6" fillId="29" borderId="1" xfId="1" applyFont="1" applyFill="1" applyBorder="1" applyAlignment="1">
      <alignment horizontal="left" wrapText="1"/>
    </xf>
    <xf numFmtId="0" fontId="6" fillId="29" borderId="11" xfId="1" applyFont="1" applyFill="1" applyBorder="1" applyAlignment="1">
      <alignment vertical="top" wrapText="1"/>
    </xf>
    <xf numFmtId="0" fontId="2" fillId="3" borderId="12" xfId="48892" applyFont="1" applyFill="1" applyBorder="1" applyAlignment="1" applyProtection="1">
      <alignment horizontal="center" vertical="center"/>
      <protection locked="0"/>
    </xf>
    <xf numFmtId="0" fontId="2" fillId="31" borderId="12" xfId="4" applyFont="1" applyFill="1" applyBorder="1" applyAlignment="1">
      <alignment horizontal="left"/>
    </xf>
    <xf numFmtId="0" fontId="2" fillId="3" borderId="12" xfId="4" applyFont="1" applyFill="1" applyBorder="1" applyAlignment="1">
      <alignment horizontal="center"/>
    </xf>
    <xf numFmtId="0" fontId="2" fillId="31" borderId="12" xfId="4" applyFont="1" applyFill="1" applyBorder="1" applyAlignment="1">
      <alignment horizontal="center"/>
    </xf>
    <xf numFmtId="0" fontId="42" fillId="0" borderId="0" xfId="48892" applyFont="1" applyBorder="1"/>
    <xf numFmtId="0" fontId="6" fillId="2" borderId="0" xfId="48892" applyFont="1" applyFill="1" applyBorder="1" applyAlignment="1">
      <alignment horizontal="center" vertical="center"/>
    </xf>
    <xf numFmtId="0" fontId="44" fillId="0" borderId="0" xfId="48892" applyFont="1" applyFill="1" applyBorder="1" applyAlignment="1">
      <alignment horizontal="left"/>
    </xf>
    <xf numFmtId="0" fontId="1" fillId="2" borderId="0" xfId="48892" applyFont="1" applyFill="1" applyBorder="1" applyAlignment="1">
      <alignment horizontal="center" vertical="center"/>
    </xf>
    <xf numFmtId="0" fontId="1" fillId="2" borderId="0" xfId="0" applyFont="1" applyFill="1" applyBorder="1"/>
    <xf numFmtId="0" fontId="56" fillId="0" borderId="0" xfId="48892" applyFont="1" applyBorder="1"/>
    <xf numFmtId="0" fontId="56" fillId="2" borderId="0" xfId="24" applyFont="1" applyFill="1" applyBorder="1" applyAlignment="1">
      <alignment horizontal="left"/>
    </xf>
    <xf numFmtId="0" fontId="56" fillId="2" borderId="0" xfId="48892" applyFont="1" applyFill="1" applyBorder="1"/>
    <xf numFmtId="0" fontId="42" fillId="2" borderId="0" xfId="48892" applyFont="1" applyFill="1" applyBorder="1"/>
    <xf numFmtId="0" fontId="6" fillId="0" borderId="13" xfId="10499" applyFont="1" applyFill="1" applyBorder="1" applyAlignment="1">
      <alignment horizontal="center" vertical="center" wrapText="1"/>
    </xf>
    <xf numFmtId="0" fontId="6" fillId="0" borderId="13" xfId="48892" applyFont="1" applyBorder="1" applyAlignment="1">
      <alignment wrapText="1"/>
    </xf>
    <xf numFmtId="0" fontId="6" fillId="0" borderId="13" xfId="48892" applyFont="1" applyBorder="1"/>
    <xf numFmtId="0" fontId="40" fillId="2" borderId="0" xfId="48892" applyFill="1"/>
    <xf numFmtId="0" fontId="56" fillId="2" borderId="0" xfId="24" applyFont="1" applyFill="1" applyBorder="1" applyAlignment="1">
      <alignment horizontal="left" vertical="top"/>
    </xf>
    <xf numFmtId="0" fontId="44" fillId="41" borderId="0" xfId="48892" applyFont="1" applyFill="1" applyBorder="1"/>
    <xf numFmtId="0" fontId="54" fillId="41" borderId="0" xfId="24" applyFont="1" applyFill="1" applyBorder="1" applyAlignment="1">
      <alignment horizontal="left"/>
    </xf>
    <xf numFmtId="0" fontId="42" fillId="41" borderId="0" xfId="48892" applyFont="1" applyFill="1" applyBorder="1"/>
    <xf numFmtId="0" fontId="44" fillId="42" borderId="0" xfId="48892" applyFont="1" applyFill="1" applyBorder="1"/>
    <xf numFmtId="0" fontId="42" fillId="42" borderId="0" xfId="48892" applyFont="1" applyFill="1" applyBorder="1" applyAlignment="1">
      <alignment wrapText="1"/>
    </xf>
    <xf numFmtId="0" fontId="42" fillId="42" borderId="0" xfId="48892" applyFont="1" applyFill="1" applyBorder="1"/>
    <xf numFmtId="0" fontId="57" fillId="0" borderId="0" xfId="0" applyFont="1" applyAlignment="1">
      <alignment wrapText="1"/>
    </xf>
    <xf numFmtId="0" fontId="12" fillId="2" borderId="0" xfId="48892" applyFont="1" applyFill="1"/>
    <xf numFmtId="0" fontId="12" fillId="0" borderId="0" xfId="48892" applyFont="1"/>
    <xf numFmtId="0" fontId="57" fillId="0" borderId="11" xfId="6" applyFont="1" applyBorder="1" applyAlignment="1">
      <alignment vertical="center" wrapText="1"/>
    </xf>
    <xf numFmtId="0" fontId="58" fillId="2" borderId="11" xfId="6" applyFont="1" applyFill="1" applyBorder="1" applyAlignment="1">
      <alignment horizontal="center" vertical="center" wrapText="1"/>
    </xf>
    <xf numFmtId="0" fontId="1" fillId="2" borderId="0" xfId="6" applyFont="1" applyFill="1" applyAlignment="1">
      <alignment vertical="center" wrapText="1"/>
    </xf>
    <xf numFmtId="0" fontId="1" fillId="2" borderId="11" xfId="48904" applyFont="1" applyFill="1" applyBorder="1" applyAlignment="1">
      <alignment horizontal="left" vertical="center" wrapText="1" indent="4"/>
    </xf>
    <xf numFmtId="0" fontId="1" fillId="2" borderId="11" xfId="6" applyFont="1" applyFill="1" applyBorder="1" applyAlignment="1">
      <alignment vertical="center" wrapText="1"/>
    </xf>
    <xf numFmtId="0" fontId="0" fillId="0" borderId="11" xfId="4" applyFont="1" applyBorder="1" applyAlignment="1">
      <alignment horizontal="left" wrapText="1"/>
    </xf>
    <xf numFmtId="0" fontId="1" fillId="2" borderId="11" xfId="10800" applyFont="1" applyFill="1" applyBorder="1" applyAlignment="1" applyProtection="1">
      <alignment horizontal="center" vertical="center"/>
      <protection locked="0"/>
    </xf>
    <xf numFmtId="0" fontId="1" fillId="2" borderId="11" xfId="10800" applyFont="1" applyFill="1" applyBorder="1" applyAlignment="1">
      <alignment horizontal="left" indent="2"/>
    </xf>
    <xf numFmtId="0" fontId="1" fillId="5" borderId="11" xfId="10800" applyFont="1" applyFill="1" applyBorder="1" applyAlignment="1" applyProtection="1">
      <alignment horizontal="center" vertical="center"/>
      <protection locked="0"/>
    </xf>
    <xf numFmtId="0" fontId="1" fillId="2" borderId="11" xfId="10800" applyFont="1" applyFill="1" applyBorder="1" applyAlignment="1">
      <alignment horizontal="left" indent="4"/>
    </xf>
    <xf numFmtId="0" fontId="1" fillId="0" borderId="11" xfId="6" applyFont="1" applyFill="1" applyBorder="1" applyAlignment="1" applyProtection="1">
      <alignment horizontal="left" vertical="top" wrapText="1"/>
      <protection locked="0"/>
    </xf>
    <xf numFmtId="0" fontId="1" fillId="0" borderId="11" xfId="6" applyFont="1" applyFill="1" applyBorder="1" applyAlignment="1" applyProtection="1">
      <alignment horizontal="center" vertical="center" wrapText="1"/>
      <protection locked="0"/>
    </xf>
    <xf numFmtId="0" fontId="1" fillId="2" borderId="11" xfId="6" applyFont="1" applyFill="1" applyBorder="1" applyAlignment="1" applyProtection="1">
      <alignment horizontal="left" vertical="top" wrapText="1"/>
      <protection locked="0"/>
    </xf>
    <xf numFmtId="0" fontId="1" fillId="2" borderId="11" xfId="6" applyFont="1" applyFill="1" applyBorder="1" applyAlignment="1" applyProtection="1">
      <alignment horizontal="center" vertical="center" wrapText="1"/>
      <protection locked="0"/>
    </xf>
    <xf numFmtId="0" fontId="1" fillId="2" borderId="11" xfId="10800" applyFont="1" applyFill="1" applyBorder="1" applyAlignment="1" applyProtection="1">
      <alignment vertical="center"/>
      <protection locked="0"/>
    </xf>
    <xf numFmtId="0" fontId="1" fillId="2" borderId="11" xfId="10800" applyFont="1" applyFill="1" applyBorder="1" applyAlignment="1" applyProtection="1">
      <alignment horizontal="left" vertical="center" indent="2"/>
      <protection locked="0"/>
    </xf>
    <xf numFmtId="0" fontId="1" fillId="0" borderId="11" xfId="6" applyFont="1" applyFill="1" applyBorder="1" applyAlignment="1" applyProtection="1">
      <alignment vertical="center"/>
      <protection locked="0"/>
    </xf>
    <xf numFmtId="0" fontId="1" fillId="2" borderId="11" xfId="6" applyFont="1" applyFill="1" applyBorder="1" applyAlignment="1" applyProtection="1">
      <alignment vertical="center"/>
      <protection locked="0"/>
    </xf>
    <xf numFmtId="0" fontId="1" fillId="0" borderId="11" xfId="10800" applyFont="1" applyBorder="1" applyAlignment="1">
      <alignment horizontal="left" indent="2"/>
    </xf>
    <xf numFmtId="0" fontId="1" fillId="0" borderId="11" xfId="10800" applyFont="1" applyFill="1" applyBorder="1" applyAlignment="1" applyProtection="1">
      <alignment horizontal="center" vertical="center" wrapText="1"/>
      <protection locked="0"/>
    </xf>
    <xf numFmtId="0" fontId="1" fillId="0" borderId="11" xfId="10800" applyFont="1" applyFill="1" applyBorder="1" applyAlignment="1">
      <alignment horizontal="left" vertical="center" wrapText="1"/>
    </xf>
    <xf numFmtId="0" fontId="1" fillId="0" borderId="11" xfId="10800" applyFont="1" applyFill="1" applyBorder="1" applyAlignment="1" applyProtection="1">
      <alignment vertical="center" wrapText="1"/>
      <protection locked="0"/>
    </xf>
    <xf numFmtId="0" fontId="1" fillId="0" borderId="11" xfId="48892" applyFont="1" applyFill="1" applyBorder="1" applyAlignment="1">
      <alignment wrapText="1"/>
    </xf>
    <xf numFmtId="0" fontId="0" fillId="0" borderId="11" xfId="12896" applyFont="1" applyFill="1" applyBorder="1" applyAlignment="1">
      <alignment horizontal="left" wrapText="1" indent="4"/>
    </xf>
    <xf numFmtId="0" fontId="6" fillId="5" borderId="1" xfId="1" applyFont="1" applyFill="1" applyBorder="1" applyAlignment="1">
      <alignment horizontal="center"/>
    </xf>
    <xf numFmtId="0" fontId="36" fillId="0" borderId="0" xfId="1" applyFont="1" applyBorder="1" applyAlignment="1">
      <alignment horizontal="center" vertical="center"/>
    </xf>
    <xf numFmtId="0" fontId="6" fillId="0" borderId="0" xfId="1" applyNumberFormat="1" applyFont="1" applyBorder="1" applyAlignment="1">
      <alignment horizontal="left" vertical="center" wrapText="1" readingOrder="1"/>
    </xf>
    <xf numFmtId="0" fontId="1" fillId="0" borderId="0" xfId="13122" applyFont="1" applyAlignment="1">
      <alignment horizontal="left" vertical="center" wrapText="1" readingOrder="1"/>
    </xf>
    <xf numFmtId="0" fontId="8" fillId="5" borderId="1" xfId="1" applyFont="1" applyFill="1" applyBorder="1" applyAlignment="1">
      <alignment horizontal="center"/>
    </xf>
    <xf numFmtId="0" fontId="6" fillId="0" borderId="1" xfId="1" applyFont="1" applyBorder="1" applyAlignment="1">
      <alignment horizontal="center"/>
    </xf>
    <xf numFmtId="0" fontId="6" fillId="0" borderId="1" xfId="1" applyFont="1" applyBorder="1" applyAlignment="1">
      <alignment horizontal="center" vertical="center"/>
    </xf>
    <xf numFmtId="0" fontId="16" fillId="2" borderId="0" xfId="1" applyFont="1" applyFill="1" applyAlignment="1">
      <alignment horizontal="center"/>
    </xf>
    <xf numFmtId="0" fontId="16" fillId="2" borderId="0" xfId="48892" applyFont="1" applyFill="1" applyAlignment="1">
      <alignment horizontal="center"/>
    </xf>
    <xf numFmtId="0" fontId="44" fillId="2" borderId="0" xfId="48892" applyFont="1" applyFill="1" applyAlignment="1">
      <alignment horizontal="center"/>
    </xf>
    <xf numFmtId="0" fontId="40" fillId="2" borderId="0" xfId="48892" applyFill="1"/>
    <xf numFmtId="0" fontId="16" fillId="2" borderId="0" xfId="1" applyFont="1" applyFill="1" applyBorder="1" applyAlignment="1">
      <alignment horizontal="center" vertical="center"/>
    </xf>
    <xf numFmtId="0" fontId="44" fillId="2" borderId="0" xfId="48892" applyFont="1" applyFill="1" applyBorder="1" applyAlignment="1">
      <alignment horizontal="center"/>
    </xf>
    <xf numFmtId="0" fontId="44" fillId="0" borderId="0" xfId="48892" applyFont="1" applyFill="1" applyBorder="1" applyAlignment="1"/>
    <xf numFmtId="0" fontId="39" fillId="0" borderId="0" xfId="0" applyFont="1" applyFill="1" applyBorder="1" applyAlignment="1"/>
    <xf numFmtId="0" fontId="56" fillId="2" borderId="0" xfId="48892" applyFont="1" applyFill="1" applyBorder="1" applyAlignment="1"/>
    <xf numFmtId="0" fontId="0" fillId="0" borderId="0" xfId="0" applyBorder="1" applyAlignment="1"/>
    <xf numFmtId="0" fontId="56" fillId="2" borderId="0" xfId="48892" applyFont="1" applyFill="1" applyBorder="1" applyAlignment="1">
      <alignment wrapText="1"/>
    </xf>
    <xf numFmtId="0" fontId="0" fillId="0" borderId="0" xfId="0" applyBorder="1" applyAlignment="1">
      <alignment wrapText="1"/>
    </xf>
  </cellXfs>
  <cellStyles count="48907">
    <cellStyle name="20% - Accent1 2" xfId="25"/>
    <cellStyle name="20% - Accent1 3" xfId="26"/>
    <cellStyle name="20% - Accent1 4" xfId="27"/>
    <cellStyle name="20% - Accent1 5" xfId="28"/>
    <cellStyle name="20% - Accent1 6" xfId="29"/>
    <cellStyle name="20% - Accent1 7" xfId="30"/>
    <cellStyle name="20% - Accent1 8" xfId="31"/>
    <cellStyle name="20% - Accent2 2" xfId="32"/>
    <cellStyle name="20% - Accent2 3" xfId="33"/>
    <cellStyle name="20% - Accent2 4" xfId="34"/>
    <cellStyle name="20% - Accent2 5" xfId="35"/>
    <cellStyle name="20% - Accent2 6" xfId="36"/>
    <cellStyle name="20% - Accent2 7" xfId="37"/>
    <cellStyle name="20% - Accent2 8" xfId="38"/>
    <cellStyle name="20% - Accent3 2" xfId="39"/>
    <cellStyle name="20% - Accent3 3" xfId="40"/>
    <cellStyle name="20% - Accent3 4" xfId="41"/>
    <cellStyle name="20% - Accent3 5" xfId="42"/>
    <cellStyle name="20% - Accent3 6" xfId="43"/>
    <cellStyle name="20% - Accent3 7" xfId="44"/>
    <cellStyle name="20% - Accent3 8" xfId="45"/>
    <cellStyle name="20% - Accent4 2" xfId="46"/>
    <cellStyle name="20% - Accent4 3" xfId="47"/>
    <cellStyle name="20% - Accent4 4" xfId="48"/>
    <cellStyle name="20% - Accent4 5" xfId="49"/>
    <cellStyle name="20% - Accent4 6" xfId="50"/>
    <cellStyle name="20% - Accent4 7" xfId="51"/>
    <cellStyle name="20% - Accent4 8" xfId="52"/>
    <cellStyle name="20% - Accent5 2" xfId="53"/>
    <cellStyle name="20% - Accent5 3" xfId="54"/>
    <cellStyle name="20% - Accent5 4" xfId="55"/>
    <cellStyle name="20% - Accent5 5" xfId="56"/>
    <cellStyle name="20% - Accent5 6" xfId="57"/>
    <cellStyle name="20% - Accent5 7" xfId="58"/>
    <cellStyle name="20% - Accent5 8" xfId="59"/>
    <cellStyle name="20% - Accent6 2" xfId="60"/>
    <cellStyle name="20% - Accent6 3" xfId="61"/>
    <cellStyle name="20% - Accent6 4" xfId="62"/>
    <cellStyle name="20% - Accent6 5" xfId="63"/>
    <cellStyle name="20% - Accent6 6" xfId="64"/>
    <cellStyle name="20% - Accent6 7" xfId="65"/>
    <cellStyle name="20% - Accent6 8" xfId="66"/>
    <cellStyle name="40% - Accent1 2" xfId="67"/>
    <cellStyle name="40% - Accent1 3" xfId="68"/>
    <cellStyle name="40% - Accent1 4" xfId="69"/>
    <cellStyle name="40% - Accent1 5" xfId="70"/>
    <cellStyle name="40% - Accent1 6" xfId="71"/>
    <cellStyle name="40% - Accent1 7" xfId="72"/>
    <cellStyle name="40% - Accent1 8" xfId="73"/>
    <cellStyle name="40% - Accent2 2" xfId="74"/>
    <cellStyle name="40% - Accent2 3" xfId="75"/>
    <cellStyle name="40% - Accent2 4" xfId="76"/>
    <cellStyle name="40% - Accent2 5" xfId="77"/>
    <cellStyle name="40% - Accent2 6" xfId="78"/>
    <cellStyle name="40% - Accent2 7" xfId="79"/>
    <cellStyle name="40% - Accent2 8" xfId="80"/>
    <cellStyle name="40% - Accent3 2" xfId="81"/>
    <cellStyle name="40% - Accent3 3" xfId="82"/>
    <cellStyle name="40% - Accent3 4" xfId="83"/>
    <cellStyle name="40% - Accent3 5" xfId="84"/>
    <cellStyle name="40% - Accent3 6" xfId="85"/>
    <cellStyle name="40% - Accent3 7" xfId="86"/>
    <cellStyle name="40% - Accent3 8" xfId="87"/>
    <cellStyle name="40% - Accent4 2" xfId="88"/>
    <cellStyle name="40% - Accent4 3" xfId="89"/>
    <cellStyle name="40% - Accent4 4" xfId="90"/>
    <cellStyle name="40% - Accent4 5" xfId="91"/>
    <cellStyle name="40% - Accent4 6" xfId="92"/>
    <cellStyle name="40% - Accent4 7" xfId="93"/>
    <cellStyle name="40% - Accent4 8" xfId="94"/>
    <cellStyle name="40% - Accent5 2" xfId="95"/>
    <cellStyle name="40% - Accent5 3" xfId="96"/>
    <cellStyle name="40% - Accent5 4" xfId="97"/>
    <cellStyle name="40% - Accent5 5" xfId="98"/>
    <cellStyle name="40% - Accent5 6" xfId="99"/>
    <cellStyle name="40% - Accent5 7" xfId="100"/>
    <cellStyle name="40% - Accent5 8" xfId="101"/>
    <cellStyle name="40% - Accent6 2" xfId="102"/>
    <cellStyle name="40% - Accent6 3" xfId="103"/>
    <cellStyle name="40% - Accent6 4" xfId="104"/>
    <cellStyle name="40% - Accent6 5" xfId="105"/>
    <cellStyle name="40% - Accent6 6" xfId="106"/>
    <cellStyle name="40% - Accent6 7" xfId="107"/>
    <cellStyle name="40% - Accent6 8" xfId="108"/>
    <cellStyle name="60% - Accent1 2" xfId="109"/>
    <cellStyle name="60% - Accent1 3" xfId="110"/>
    <cellStyle name="60% - Accent1 4" xfId="111"/>
    <cellStyle name="60% - Accent1 5" xfId="112"/>
    <cellStyle name="60% - Accent1 6" xfId="113"/>
    <cellStyle name="60% - Accent1 7" xfId="114"/>
    <cellStyle name="60% - Accent1 8" xfId="115"/>
    <cellStyle name="60% - Accent2 2" xfId="116"/>
    <cellStyle name="60% - Accent2 3" xfId="117"/>
    <cellStyle name="60% - Accent2 4" xfId="118"/>
    <cellStyle name="60% - Accent2 5" xfId="119"/>
    <cellStyle name="60% - Accent2 6" xfId="120"/>
    <cellStyle name="60% - Accent2 7" xfId="121"/>
    <cellStyle name="60% - Accent2 8" xfId="122"/>
    <cellStyle name="60% - Accent3 2" xfId="123"/>
    <cellStyle name="60% - Accent3 3" xfId="124"/>
    <cellStyle name="60% - Accent3 4" xfId="125"/>
    <cellStyle name="60% - Accent3 5" xfId="126"/>
    <cellStyle name="60% - Accent3 6" xfId="127"/>
    <cellStyle name="60% - Accent3 7" xfId="128"/>
    <cellStyle name="60% - Accent3 8" xfId="129"/>
    <cellStyle name="60% - Accent4 2" xfId="130"/>
    <cellStyle name="60% - Accent4 3" xfId="131"/>
    <cellStyle name="60% - Accent4 4" xfId="132"/>
    <cellStyle name="60% - Accent4 5" xfId="133"/>
    <cellStyle name="60% - Accent4 6" xfId="134"/>
    <cellStyle name="60% - Accent4 7" xfId="135"/>
    <cellStyle name="60% - Accent4 8" xfId="136"/>
    <cellStyle name="60% - Accent5 2" xfId="137"/>
    <cellStyle name="60% - Accent5 3" xfId="138"/>
    <cellStyle name="60% - Accent5 4" xfId="139"/>
    <cellStyle name="60% - Accent5 5" xfId="140"/>
    <cellStyle name="60% - Accent5 6" xfId="141"/>
    <cellStyle name="60% - Accent5 7" xfId="142"/>
    <cellStyle name="60% - Accent5 8" xfId="143"/>
    <cellStyle name="60% - Accent6 2" xfId="144"/>
    <cellStyle name="60% - Accent6 3" xfId="145"/>
    <cellStyle name="60% - Accent6 4" xfId="146"/>
    <cellStyle name="60% - Accent6 5" xfId="147"/>
    <cellStyle name="60% - Accent6 6" xfId="148"/>
    <cellStyle name="60% - Accent6 7" xfId="149"/>
    <cellStyle name="60% - Accent6 8" xfId="150"/>
    <cellStyle name="Accent1 2" xfId="151"/>
    <cellStyle name="Accent1 3" xfId="152"/>
    <cellStyle name="Accent1 4" xfId="153"/>
    <cellStyle name="Accent1 5" xfId="154"/>
    <cellStyle name="Accent1 6" xfId="155"/>
    <cellStyle name="Accent1 7" xfId="156"/>
    <cellStyle name="Accent1 8" xfId="157"/>
    <cellStyle name="Accent2 2" xfId="158"/>
    <cellStyle name="Accent2 3" xfId="159"/>
    <cellStyle name="Accent2 4" xfId="160"/>
    <cellStyle name="Accent2 5" xfId="161"/>
    <cellStyle name="Accent2 6" xfId="162"/>
    <cellStyle name="Accent2 7" xfId="163"/>
    <cellStyle name="Accent2 8" xfId="164"/>
    <cellStyle name="Accent3 2" xfId="165"/>
    <cellStyle name="Accent3 3" xfId="166"/>
    <cellStyle name="Accent3 4" xfId="167"/>
    <cellStyle name="Accent3 5" xfId="168"/>
    <cellStyle name="Accent3 6" xfId="169"/>
    <cellStyle name="Accent3 7" xfId="170"/>
    <cellStyle name="Accent3 8" xfId="171"/>
    <cellStyle name="Accent4 2" xfId="172"/>
    <cellStyle name="Accent4 3" xfId="173"/>
    <cellStyle name="Accent4 4" xfId="174"/>
    <cellStyle name="Accent4 5" xfId="175"/>
    <cellStyle name="Accent4 6" xfId="176"/>
    <cellStyle name="Accent4 7" xfId="177"/>
    <cellStyle name="Accent4 8" xfId="178"/>
    <cellStyle name="Accent5 2" xfId="179"/>
    <cellStyle name="Accent5 3" xfId="180"/>
    <cellStyle name="Accent5 4" xfId="181"/>
    <cellStyle name="Accent5 5" xfId="182"/>
    <cellStyle name="Accent5 6" xfId="183"/>
    <cellStyle name="Accent5 7" xfId="184"/>
    <cellStyle name="Accent5 8" xfId="185"/>
    <cellStyle name="Accent6 2" xfId="186"/>
    <cellStyle name="Accent6 3" xfId="187"/>
    <cellStyle name="Accent6 4" xfId="188"/>
    <cellStyle name="Accent6 5" xfId="189"/>
    <cellStyle name="Accent6 6" xfId="190"/>
    <cellStyle name="Accent6 7" xfId="191"/>
    <cellStyle name="Accent6 8" xfId="192"/>
    <cellStyle name="Bad 2" xfId="193"/>
    <cellStyle name="Bad 3" xfId="194"/>
    <cellStyle name="Bad 4" xfId="195"/>
    <cellStyle name="Bad 5" xfId="196"/>
    <cellStyle name="Bad 6" xfId="197"/>
    <cellStyle name="Bad 7" xfId="198"/>
    <cellStyle name="Bad 8" xfId="199"/>
    <cellStyle name="Calculation 2" xfId="200"/>
    <cellStyle name="Calculation 2 10" xfId="201"/>
    <cellStyle name="Calculation 2 10 10" xfId="202"/>
    <cellStyle name="Calculation 2 10 10 2" xfId="203"/>
    <cellStyle name="Calculation 2 10 10 2 2" xfId="204"/>
    <cellStyle name="Calculation 2 10 10 2 2 2" xfId="205"/>
    <cellStyle name="Calculation 2 10 10 2 3" xfId="206"/>
    <cellStyle name="Calculation 2 10 10 3" xfId="207"/>
    <cellStyle name="Calculation 2 10 10 3 2" xfId="208"/>
    <cellStyle name="Calculation 2 10 10 4" xfId="209"/>
    <cellStyle name="Calculation 2 10 10 5" xfId="210"/>
    <cellStyle name="Calculation 2 10 11" xfId="211"/>
    <cellStyle name="Calculation 2 10 11 2" xfId="212"/>
    <cellStyle name="Calculation 2 10 11 2 2" xfId="213"/>
    <cellStyle name="Calculation 2 10 11 2 2 2" xfId="214"/>
    <cellStyle name="Calculation 2 10 11 2 3" xfId="215"/>
    <cellStyle name="Calculation 2 10 11 3" xfId="216"/>
    <cellStyle name="Calculation 2 10 11 3 2" xfId="217"/>
    <cellStyle name="Calculation 2 10 11 4" xfId="218"/>
    <cellStyle name="Calculation 2 10 11 5" xfId="219"/>
    <cellStyle name="Calculation 2 10 12" xfId="220"/>
    <cellStyle name="Calculation 2 10 12 2" xfId="221"/>
    <cellStyle name="Calculation 2 10 12 2 2" xfId="222"/>
    <cellStyle name="Calculation 2 10 12 2 2 2" xfId="223"/>
    <cellStyle name="Calculation 2 10 12 2 3" xfId="224"/>
    <cellStyle name="Calculation 2 10 12 3" xfId="225"/>
    <cellStyle name="Calculation 2 10 12 3 2" xfId="226"/>
    <cellStyle name="Calculation 2 10 12 4" xfId="227"/>
    <cellStyle name="Calculation 2 10 12 5" xfId="228"/>
    <cellStyle name="Calculation 2 10 13" xfId="229"/>
    <cellStyle name="Calculation 2 10 13 2" xfId="230"/>
    <cellStyle name="Calculation 2 10 13 2 2" xfId="231"/>
    <cellStyle name="Calculation 2 10 13 2 2 2" xfId="232"/>
    <cellStyle name="Calculation 2 10 13 2 3" xfId="233"/>
    <cellStyle name="Calculation 2 10 13 3" xfId="234"/>
    <cellStyle name="Calculation 2 10 13 3 2" xfId="235"/>
    <cellStyle name="Calculation 2 10 13 4" xfId="236"/>
    <cellStyle name="Calculation 2 10 13 5" xfId="237"/>
    <cellStyle name="Calculation 2 10 14" xfId="238"/>
    <cellStyle name="Calculation 2 10 14 2" xfId="239"/>
    <cellStyle name="Calculation 2 10 14 2 2" xfId="240"/>
    <cellStyle name="Calculation 2 10 14 2 2 2" xfId="241"/>
    <cellStyle name="Calculation 2 10 14 2 3" xfId="242"/>
    <cellStyle name="Calculation 2 10 14 3" xfId="243"/>
    <cellStyle name="Calculation 2 10 14 3 2" xfId="244"/>
    <cellStyle name="Calculation 2 10 14 4" xfId="245"/>
    <cellStyle name="Calculation 2 10 14 5" xfId="246"/>
    <cellStyle name="Calculation 2 10 15" xfId="247"/>
    <cellStyle name="Calculation 2 10 15 2" xfId="248"/>
    <cellStyle name="Calculation 2 10 15 2 2" xfId="249"/>
    <cellStyle name="Calculation 2 10 15 2 2 2" xfId="250"/>
    <cellStyle name="Calculation 2 10 15 2 3" xfId="251"/>
    <cellStyle name="Calculation 2 10 15 3" xfId="252"/>
    <cellStyle name="Calculation 2 10 15 3 2" xfId="253"/>
    <cellStyle name="Calculation 2 10 15 4" xfId="254"/>
    <cellStyle name="Calculation 2 10 15 5" xfId="255"/>
    <cellStyle name="Calculation 2 10 16" xfId="256"/>
    <cellStyle name="Calculation 2 10 16 2" xfId="257"/>
    <cellStyle name="Calculation 2 10 16 2 2" xfId="258"/>
    <cellStyle name="Calculation 2 10 16 2 2 2" xfId="259"/>
    <cellStyle name="Calculation 2 10 16 2 3" xfId="260"/>
    <cellStyle name="Calculation 2 10 16 3" xfId="261"/>
    <cellStyle name="Calculation 2 10 16 3 2" xfId="262"/>
    <cellStyle name="Calculation 2 10 16 4" xfId="263"/>
    <cellStyle name="Calculation 2 10 16 5" xfId="264"/>
    <cellStyle name="Calculation 2 10 17" xfId="265"/>
    <cellStyle name="Calculation 2 10 17 2" xfId="266"/>
    <cellStyle name="Calculation 2 10 17 2 2" xfId="267"/>
    <cellStyle name="Calculation 2 10 17 2 2 2" xfId="268"/>
    <cellStyle name="Calculation 2 10 17 2 3" xfId="269"/>
    <cellStyle name="Calculation 2 10 17 3" xfId="270"/>
    <cellStyle name="Calculation 2 10 17 3 2" xfId="271"/>
    <cellStyle name="Calculation 2 10 17 4" xfId="272"/>
    <cellStyle name="Calculation 2 10 17 5" xfId="273"/>
    <cellStyle name="Calculation 2 10 18" xfId="274"/>
    <cellStyle name="Calculation 2 10 18 2" xfId="275"/>
    <cellStyle name="Calculation 2 10 18 2 2" xfId="276"/>
    <cellStyle name="Calculation 2 10 18 2 2 2" xfId="277"/>
    <cellStyle name="Calculation 2 10 18 2 3" xfId="278"/>
    <cellStyle name="Calculation 2 10 18 3" xfId="279"/>
    <cellStyle name="Calculation 2 10 18 3 2" xfId="280"/>
    <cellStyle name="Calculation 2 10 18 4" xfId="281"/>
    <cellStyle name="Calculation 2 10 18 5" xfId="282"/>
    <cellStyle name="Calculation 2 10 19" xfId="283"/>
    <cellStyle name="Calculation 2 10 19 2" xfId="284"/>
    <cellStyle name="Calculation 2 10 19 2 2" xfId="285"/>
    <cellStyle name="Calculation 2 10 19 2 2 2" xfId="286"/>
    <cellStyle name="Calculation 2 10 19 2 3" xfId="287"/>
    <cellStyle name="Calculation 2 10 19 3" xfId="288"/>
    <cellStyle name="Calculation 2 10 19 3 2" xfId="289"/>
    <cellStyle name="Calculation 2 10 19 4" xfId="290"/>
    <cellStyle name="Calculation 2 10 19 5" xfId="291"/>
    <cellStyle name="Calculation 2 10 2" xfId="292"/>
    <cellStyle name="Calculation 2 10 2 2" xfId="293"/>
    <cellStyle name="Calculation 2 10 2 2 2" xfId="294"/>
    <cellStyle name="Calculation 2 10 2 2 2 2" xfId="295"/>
    <cellStyle name="Calculation 2 10 2 2 3" xfId="296"/>
    <cellStyle name="Calculation 2 10 2 3" xfId="297"/>
    <cellStyle name="Calculation 2 10 2 3 2" xfId="298"/>
    <cellStyle name="Calculation 2 10 2 3 2 2" xfId="299"/>
    <cellStyle name="Calculation 2 10 2 3 3" xfId="300"/>
    <cellStyle name="Calculation 2 10 2 4" xfId="301"/>
    <cellStyle name="Calculation 2 10 2 4 2" xfId="302"/>
    <cellStyle name="Calculation 2 10 2 5" xfId="303"/>
    <cellStyle name="Calculation 2 10 2 6" xfId="304"/>
    <cellStyle name="Calculation 2 10 20" xfId="305"/>
    <cellStyle name="Calculation 2 10 20 2" xfId="306"/>
    <cellStyle name="Calculation 2 10 20 2 2" xfId="307"/>
    <cellStyle name="Calculation 2 10 20 2 2 2" xfId="308"/>
    <cellStyle name="Calculation 2 10 20 2 3" xfId="309"/>
    <cellStyle name="Calculation 2 10 20 3" xfId="310"/>
    <cellStyle name="Calculation 2 10 20 3 2" xfId="311"/>
    <cellStyle name="Calculation 2 10 20 4" xfId="312"/>
    <cellStyle name="Calculation 2 10 20 5" xfId="313"/>
    <cellStyle name="Calculation 2 10 21" xfId="314"/>
    <cellStyle name="Calculation 2 10 21 2" xfId="315"/>
    <cellStyle name="Calculation 2 10 21 2 2" xfId="316"/>
    <cellStyle name="Calculation 2 10 21 2 2 2" xfId="317"/>
    <cellStyle name="Calculation 2 10 21 2 3" xfId="318"/>
    <cellStyle name="Calculation 2 10 21 3" xfId="319"/>
    <cellStyle name="Calculation 2 10 21 3 2" xfId="320"/>
    <cellStyle name="Calculation 2 10 21 4" xfId="321"/>
    <cellStyle name="Calculation 2 10 21 5" xfId="322"/>
    <cellStyle name="Calculation 2 10 22" xfId="323"/>
    <cellStyle name="Calculation 2 10 22 2" xfId="324"/>
    <cellStyle name="Calculation 2 10 22 2 2" xfId="325"/>
    <cellStyle name="Calculation 2 10 22 2 2 2" xfId="326"/>
    <cellStyle name="Calculation 2 10 22 2 3" xfId="327"/>
    <cellStyle name="Calculation 2 10 22 3" xfId="328"/>
    <cellStyle name="Calculation 2 10 22 3 2" xfId="329"/>
    <cellStyle name="Calculation 2 10 22 4" xfId="330"/>
    <cellStyle name="Calculation 2 10 22 5" xfId="331"/>
    <cellStyle name="Calculation 2 10 23" xfId="332"/>
    <cellStyle name="Calculation 2 10 23 2" xfId="333"/>
    <cellStyle name="Calculation 2 10 23 2 2" xfId="334"/>
    <cellStyle name="Calculation 2 10 23 2 2 2" xfId="335"/>
    <cellStyle name="Calculation 2 10 23 2 3" xfId="336"/>
    <cellStyle name="Calculation 2 10 23 3" xfId="337"/>
    <cellStyle name="Calculation 2 10 23 3 2" xfId="338"/>
    <cellStyle name="Calculation 2 10 23 4" xfId="339"/>
    <cellStyle name="Calculation 2 10 23 5" xfId="340"/>
    <cellStyle name="Calculation 2 10 24" xfId="341"/>
    <cellStyle name="Calculation 2 10 24 2" xfId="342"/>
    <cellStyle name="Calculation 2 10 24 2 2" xfId="343"/>
    <cellStyle name="Calculation 2 10 24 2 2 2" xfId="344"/>
    <cellStyle name="Calculation 2 10 24 2 3" xfId="345"/>
    <cellStyle name="Calculation 2 10 24 3" xfId="346"/>
    <cellStyle name="Calculation 2 10 24 3 2" xfId="347"/>
    <cellStyle name="Calculation 2 10 24 4" xfId="348"/>
    <cellStyle name="Calculation 2 10 24 5" xfId="349"/>
    <cellStyle name="Calculation 2 10 25" xfId="350"/>
    <cellStyle name="Calculation 2 10 25 2" xfId="351"/>
    <cellStyle name="Calculation 2 10 25 2 2" xfId="352"/>
    <cellStyle name="Calculation 2 10 25 2 2 2" xfId="353"/>
    <cellStyle name="Calculation 2 10 25 2 3" xfId="354"/>
    <cellStyle name="Calculation 2 10 25 3" xfId="355"/>
    <cellStyle name="Calculation 2 10 25 3 2" xfId="356"/>
    <cellStyle name="Calculation 2 10 25 4" xfId="357"/>
    <cellStyle name="Calculation 2 10 25 5" xfId="358"/>
    <cellStyle name="Calculation 2 10 26" xfId="359"/>
    <cellStyle name="Calculation 2 10 26 2" xfId="360"/>
    <cellStyle name="Calculation 2 10 26 2 2" xfId="361"/>
    <cellStyle name="Calculation 2 10 26 2 2 2" xfId="362"/>
    <cellStyle name="Calculation 2 10 26 2 3" xfId="363"/>
    <cellStyle name="Calculation 2 10 26 3" xfId="364"/>
    <cellStyle name="Calculation 2 10 26 3 2" xfId="365"/>
    <cellStyle name="Calculation 2 10 26 4" xfId="366"/>
    <cellStyle name="Calculation 2 10 26 5" xfId="367"/>
    <cellStyle name="Calculation 2 10 27" xfId="368"/>
    <cellStyle name="Calculation 2 10 27 2" xfId="369"/>
    <cellStyle name="Calculation 2 10 27 2 2" xfId="370"/>
    <cellStyle name="Calculation 2 10 27 2 2 2" xfId="371"/>
    <cellStyle name="Calculation 2 10 27 2 3" xfId="372"/>
    <cellStyle name="Calculation 2 10 27 3" xfId="373"/>
    <cellStyle name="Calculation 2 10 27 3 2" xfId="374"/>
    <cellStyle name="Calculation 2 10 27 4" xfId="375"/>
    <cellStyle name="Calculation 2 10 27 5" xfId="376"/>
    <cellStyle name="Calculation 2 10 28" xfId="377"/>
    <cellStyle name="Calculation 2 10 28 2" xfId="378"/>
    <cellStyle name="Calculation 2 10 28 2 2" xfId="379"/>
    <cellStyle name="Calculation 2 10 28 2 2 2" xfId="380"/>
    <cellStyle name="Calculation 2 10 28 2 3" xfId="381"/>
    <cellStyle name="Calculation 2 10 28 3" xfId="382"/>
    <cellStyle name="Calculation 2 10 28 3 2" xfId="383"/>
    <cellStyle name="Calculation 2 10 28 4" xfId="384"/>
    <cellStyle name="Calculation 2 10 28 5" xfId="385"/>
    <cellStyle name="Calculation 2 10 29" xfId="386"/>
    <cellStyle name="Calculation 2 10 29 2" xfId="387"/>
    <cellStyle name="Calculation 2 10 29 2 2" xfId="388"/>
    <cellStyle name="Calculation 2 10 29 2 2 2" xfId="389"/>
    <cellStyle name="Calculation 2 10 29 2 3" xfId="390"/>
    <cellStyle name="Calculation 2 10 29 3" xfId="391"/>
    <cellStyle name="Calculation 2 10 29 3 2" xfId="392"/>
    <cellStyle name="Calculation 2 10 29 4" xfId="393"/>
    <cellStyle name="Calculation 2 10 29 5" xfId="394"/>
    <cellStyle name="Calculation 2 10 3" xfId="395"/>
    <cellStyle name="Calculation 2 10 3 2" xfId="396"/>
    <cellStyle name="Calculation 2 10 3 2 2" xfId="397"/>
    <cellStyle name="Calculation 2 10 3 2 2 2" xfId="398"/>
    <cellStyle name="Calculation 2 10 3 2 3" xfId="399"/>
    <cellStyle name="Calculation 2 10 3 3" xfId="400"/>
    <cellStyle name="Calculation 2 10 3 3 2" xfId="401"/>
    <cellStyle name="Calculation 2 10 3 3 2 2" xfId="402"/>
    <cellStyle name="Calculation 2 10 3 3 3" xfId="403"/>
    <cellStyle name="Calculation 2 10 3 4" xfId="404"/>
    <cellStyle name="Calculation 2 10 3 4 2" xfId="405"/>
    <cellStyle name="Calculation 2 10 3 5" xfId="406"/>
    <cellStyle name="Calculation 2 10 3 6" xfId="407"/>
    <cellStyle name="Calculation 2 10 30" xfId="408"/>
    <cellStyle name="Calculation 2 10 30 2" xfId="409"/>
    <cellStyle name="Calculation 2 10 30 2 2" xfId="410"/>
    <cellStyle name="Calculation 2 10 30 2 2 2" xfId="411"/>
    <cellStyle name="Calculation 2 10 30 2 3" xfId="412"/>
    <cellStyle name="Calculation 2 10 30 3" xfId="413"/>
    <cellStyle name="Calculation 2 10 30 3 2" xfId="414"/>
    <cellStyle name="Calculation 2 10 30 4" xfId="415"/>
    <cellStyle name="Calculation 2 10 30 5" xfId="416"/>
    <cellStyle name="Calculation 2 10 31" xfId="417"/>
    <cellStyle name="Calculation 2 10 31 2" xfId="418"/>
    <cellStyle name="Calculation 2 10 31 2 2" xfId="419"/>
    <cellStyle name="Calculation 2 10 31 2 2 2" xfId="420"/>
    <cellStyle name="Calculation 2 10 31 2 3" xfId="421"/>
    <cellStyle name="Calculation 2 10 31 3" xfId="422"/>
    <cellStyle name="Calculation 2 10 31 3 2" xfId="423"/>
    <cellStyle name="Calculation 2 10 31 4" xfId="424"/>
    <cellStyle name="Calculation 2 10 31 5" xfId="425"/>
    <cellStyle name="Calculation 2 10 32" xfId="426"/>
    <cellStyle name="Calculation 2 10 32 2" xfId="427"/>
    <cellStyle name="Calculation 2 10 32 2 2" xfId="428"/>
    <cellStyle name="Calculation 2 10 32 2 2 2" xfId="429"/>
    <cellStyle name="Calculation 2 10 32 2 3" xfId="430"/>
    <cellStyle name="Calculation 2 10 32 3" xfId="431"/>
    <cellStyle name="Calculation 2 10 32 3 2" xfId="432"/>
    <cellStyle name="Calculation 2 10 32 4" xfId="433"/>
    <cellStyle name="Calculation 2 10 32 5" xfId="434"/>
    <cellStyle name="Calculation 2 10 33" xfId="435"/>
    <cellStyle name="Calculation 2 10 33 2" xfId="436"/>
    <cellStyle name="Calculation 2 10 33 2 2" xfId="437"/>
    <cellStyle name="Calculation 2 10 33 2 2 2" xfId="438"/>
    <cellStyle name="Calculation 2 10 33 2 3" xfId="439"/>
    <cellStyle name="Calculation 2 10 33 3" xfId="440"/>
    <cellStyle name="Calculation 2 10 33 3 2" xfId="441"/>
    <cellStyle name="Calculation 2 10 33 4" xfId="442"/>
    <cellStyle name="Calculation 2 10 33 5" xfId="443"/>
    <cellStyle name="Calculation 2 10 34" xfId="444"/>
    <cellStyle name="Calculation 2 10 34 2" xfId="445"/>
    <cellStyle name="Calculation 2 10 34 2 2" xfId="446"/>
    <cellStyle name="Calculation 2 10 34 2 2 2" xfId="447"/>
    <cellStyle name="Calculation 2 10 34 2 3" xfId="448"/>
    <cellStyle name="Calculation 2 10 34 3" xfId="449"/>
    <cellStyle name="Calculation 2 10 34 3 2" xfId="450"/>
    <cellStyle name="Calculation 2 10 34 4" xfId="451"/>
    <cellStyle name="Calculation 2 10 34 5" xfId="452"/>
    <cellStyle name="Calculation 2 10 35" xfId="453"/>
    <cellStyle name="Calculation 2 10 35 2" xfId="454"/>
    <cellStyle name="Calculation 2 10 35 2 2" xfId="455"/>
    <cellStyle name="Calculation 2 10 35 2 2 2" xfId="456"/>
    <cellStyle name="Calculation 2 10 35 2 3" xfId="457"/>
    <cellStyle name="Calculation 2 10 35 3" xfId="458"/>
    <cellStyle name="Calculation 2 10 35 3 2" xfId="459"/>
    <cellStyle name="Calculation 2 10 35 4" xfId="460"/>
    <cellStyle name="Calculation 2 10 35 5" xfId="461"/>
    <cellStyle name="Calculation 2 10 36" xfId="462"/>
    <cellStyle name="Calculation 2 10 36 2" xfId="463"/>
    <cellStyle name="Calculation 2 10 36 2 2" xfId="464"/>
    <cellStyle name="Calculation 2 10 36 2 2 2" xfId="465"/>
    <cellStyle name="Calculation 2 10 36 2 3" xfId="466"/>
    <cellStyle name="Calculation 2 10 36 3" xfId="467"/>
    <cellStyle name="Calculation 2 10 36 3 2" xfId="468"/>
    <cellStyle name="Calculation 2 10 36 4" xfId="469"/>
    <cellStyle name="Calculation 2 10 36 5" xfId="470"/>
    <cellStyle name="Calculation 2 10 37" xfId="471"/>
    <cellStyle name="Calculation 2 10 37 2" xfId="472"/>
    <cellStyle name="Calculation 2 10 37 2 2" xfId="473"/>
    <cellStyle name="Calculation 2 10 37 2 2 2" xfId="474"/>
    <cellStyle name="Calculation 2 10 37 2 3" xfId="475"/>
    <cellStyle name="Calculation 2 10 37 3" xfId="476"/>
    <cellStyle name="Calculation 2 10 37 3 2" xfId="477"/>
    <cellStyle name="Calculation 2 10 37 4" xfId="478"/>
    <cellStyle name="Calculation 2 10 37 5" xfId="479"/>
    <cellStyle name="Calculation 2 10 38" xfId="480"/>
    <cellStyle name="Calculation 2 10 38 2" xfId="481"/>
    <cellStyle name="Calculation 2 10 38 2 2" xfId="482"/>
    <cellStyle name="Calculation 2 10 38 2 2 2" xfId="483"/>
    <cellStyle name="Calculation 2 10 38 2 3" xfId="484"/>
    <cellStyle name="Calculation 2 10 38 3" xfId="485"/>
    <cellStyle name="Calculation 2 10 38 3 2" xfId="486"/>
    <cellStyle name="Calculation 2 10 38 4" xfId="487"/>
    <cellStyle name="Calculation 2 10 38 5" xfId="488"/>
    <cellStyle name="Calculation 2 10 39" xfId="489"/>
    <cellStyle name="Calculation 2 10 39 2" xfId="490"/>
    <cellStyle name="Calculation 2 10 39 2 2" xfId="491"/>
    <cellStyle name="Calculation 2 10 39 2 2 2" xfId="492"/>
    <cellStyle name="Calculation 2 10 39 2 3" xfId="493"/>
    <cellStyle name="Calculation 2 10 39 3" xfId="494"/>
    <cellStyle name="Calculation 2 10 39 3 2" xfId="495"/>
    <cellStyle name="Calculation 2 10 39 4" xfId="496"/>
    <cellStyle name="Calculation 2 10 39 5" xfId="497"/>
    <cellStyle name="Calculation 2 10 4" xfId="498"/>
    <cellStyle name="Calculation 2 10 4 2" xfId="499"/>
    <cellStyle name="Calculation 2 10 4 2 2" xfId="500"/>
    <cellStyle name="Calculation 2 10 4 2 2 2" xfId="501"/>
    <cellStyle name="Calculation 2 10 4 2 3" xfId="502"/>
    <cellStyle name="Calculation 2 10 4 3" xfId="503"/>
    <cellStyle name="Calculation 2 10 4 3 2" xfId="504"/>
    <cellStyle name="Calculation 2 10 4 3 2 2" xfId="505"/>
    <cellStyle name="Calculation 2 10 4 3 3" xfId="506"/>
    <cellStyle name="Calculation 2 10 4 4" xfId="507"/>
    <cellStyle name="Calculation 2 10 4 4 2" xfId="508"/>
    <cellStyle name="Calculation 2 10 4 5" xfId="509"/>
    <cellStyle name="Calculation 2 10 4 6" xfId="510"/>
    <cellStyle name="Calculation 2 10 40" xfId="511"/>
    <cellStyle name="Calculation 2 10 40 2" xfId="512"/>
    <cellStyle name="Calculation 2 10 40 2 2" xfId="513"/>
    <cellStyle name="Calculation 2 10 40 2 2 2" xfId="514"/>
    <cellStyle name="Calculation 2 10 40 2 3" xfId="515"/>
    <cellStyle name="Calculation 2 10 40 3" xfId="516"/>
    <cellStyle name="Calculation 2 10 40 3 2" xfId="517"/>
    <cellStyle name="Calculation 2 10 40 4" xfId="518"/>
    <cellStyle name="Calculation 2 10 40 5" xfId="519"/>
    <cellStyle name="Calculation 2 10 41" xfId="520"/>
    <cellStyle name="Calculation 2 10 41 2" xfId="521"/>
    <cellStyle name="Calculation 2 10 41 2 2" xfId="522"/>
    <cellStyle name="Calculation 2 10 41 2 2 2" xfId="523"/>
    <cellStyle name="Calculation 2 10 41 2 3" xfId="524"/>
    <cellStyle name="Calculation 2 10 41 3" xfId="525"/>
    <cellStyle name="Calculation 2 10 41 3 2" xfId="526"/>
    <cellStyle name="Calculation 2 10 41 4" xfId="527"/>
    <cellStyle name="Calculation 2 10 41 5" xfId="528"/>
    <cellStyle name="Calculation 2 10 42" xfId="529"/>
    <cellStyle name="Calculation 2 10 42 2" xfId="530"/>
    <cellStyle name="Calculation 2 10 42 2 2" xfId="531"/>
    <cellStyle name="Calculation 2 10 42 2 2 2" xfId="532"/>
    <cellStyle name="Calculation 2 10 42 2 3" xfId="533"/>
    <cellStyle name="Calculation 2 10 42 3" xfId="534"/>
    <cellStyle name="Calculation 2 10 42 3 2" xfId="535"/>
    <cellStyle name="Calculation 2 10 42 4" xfId="536"/>
    <cellStyle name="Calculation 2 10 42 5" xfId="537"/>
    <cellStyle name="Calculation 2 10 43" xfId="538"/>
    <cellStyle name="Calculation 2 10 43 2" xfId="539"/>
    <cellStyle name="Calculation 2 10 43 2 2" xfId="540"/>
    <cellStyle name="Calculation 2 10 43 2 2 2" xfId="541"/>
    <cellStyle name="Calculation 2 10 43 2 3" xfId="542"/>
    <cellStyle name="Calculation 2 10 43 3" xfId="543"/>
    <cellStyle name="Calculation 2 10 43 3 2" xfId="544"/>
    <cellStyle name="Calculation 2 10 43 4" xfId="545"/>
    <cellStyle name="Calculation 2 10 43 5" xfId="546"/>
    <cellStyle name="Calculation 2 10 44" xfId="547"/>
    <cellStyle name="Calculation 2 10 44 2" xfId="548"/>
    <cellStyle name="Calculation 2 10 44 2 2" xfId="549"/>
    <cellStyle name="Calculation 2 10 44 2 2 2" xfId="550"/>
    <cellStyle name="Calculation 2 10 44 2 3" xfId="551"/>
    <cellStyle name="Calculation 2 10 44 3" xfId="552"/>
    <cellStyle name="Calculation 2 10 44 3 2" xfId="553"/>
    <cellStyle name="Calculation 2 10 44 4" xfId="554"/>
    <cellStyle name="Calculation 2 10 44 5" xfId="555"/>
    <cellStyle name="Calculation 2 10 45" xfId="556"/>
    <cellStyle name="Calculation 2 10 45 2" xfId="557"/>
    <cellStyle name="Calculation 2 10 45 2 2" xfId="558"/>
    <cellStyle name="Calculation 2 10 45 2 2 2" xfId="559"/>
    <cellStyle name="Calculation 2 10 45 2 3" xfId="560"/>
    <cellStyle name="Calculation 2 10 45 3" xfId="561"/>
    <cellStyle name="Calculation 2 10 45 3 2" xfId="562"/>
    <cellStyle name="Calculation 2 10 45 4" xfId="563"/>
    <cellStyle name="Calculation 2 10 45 5" xfId="564"/>
    <cellStyle name="Calculation 2 10 46" xfId="565"/>
    <cellStyle name="Calculation 2 10 46 2" xfId="566"/>
    <cellStyle name="Calculation 2 10 46 2 2" xfId="567"/>
    <cellStyle name="Calculation 2 10 46 2 2 2" xfId="568"/>
    <cellStyle name="Calculation 2 10 46 2 3" xfId="569"/>
    <cellStyle name="Calculation 2 10 46 3" xfId="570"/>
    <cellStyle name="Calculation 2 10 46 3 2" xfId="571"/>
    <cellStyle name="Calculation 2 10 46 4" xfId="572"/>
    <cellStyle name="Calculation 2 10 46 5" xfId="573"/>
    <cellStyle name="Calculation 2 10 47" xfId="574"/>
    <cellStyle name="Calculation 2 10 47 2" xfId="575"/>
    <cellStyle name="Calculation 2 10 47 2 2" xfId="576"/>
    <cellStyle name="Calculation 2 10 47 2 2 2" xfId="577"/>
    <cellStyle name="Calculation 2 10 47 2 3" xfId="578"/>
    <cellStyle name="Calculation 2 10 47 3" xfId="579"/>
    <cellStyle name="Calculation 2 10 47 3 2" xfId="580"/>
    <cellStyle name="Calculation 2 10 47 4" xfId="581"/>
    <cellStyle name="Calculation 2 10 47 5" xfId="582"/>
    <cellStyle name="Calculation 2 10 48" xfId="583"/>
    <cellStyle name="Calculation 2 10 48 2" xfId="584"/>
    <cellStyle name="Calculation 2 10 48 2 2" xfId="585"/>
    <cellStyle name="Calculation 2 10 48 2 2 2" xfId="586"/>
    <cellStyle name="Calculation 2 10 48 2 3" xfId="587"/>
    <cellStyle name="Calculation 2 10 48 3" xfId="588"/>
    <cellStyle name="Calculation 2 10 48 3 2" xfId="589"/>
    <cellStyle name="Calculation 2 10 48 4" xfId="590"/>
    <cellStyle name="Calculation 2 10 48 5" xfId="591"/>
    <cellStyle name="Calculation 2 10 49" xfId="592"/>
    <cellStyle name="Calculation 2 10 49 2" xfId="593"/>
    <cellStyle name="Calculation 2 10 49 2 2" xfId="594"/>
    <cellStyle name="Calculation 2 10 49 3" xfId="595"/>
    <cellStyle name="Calculation 2 10 5" xfId="596"/>
    <cellStyle name="Calculation 2 10 5 2" xfId="597"/>
    <cellStyle name="Calculation 2 10 5 2 2" xfId="598"/>
    <cellStyle name="Calculation 2 10 5 2 2 2" xfId="599"/>
    <cellStyle name="Calculation 2 10 5 2 3" xfId="600"/>
    <cellStyle name="Calculation 2 10 5 3" xfId="601"/>
    <cellStyle name="Calculation 2 10 5 3 2" xfId="602"/>
    <cellStyle name="Calculation 2 10 5 3 2 2" xfId="603"/>
    <cellStyle name="Calculation 2 10 5 3 3" xfId="604"/>
    <cellStyle name="Calculation 2 10 5 4" xfId="605"/>
    <cellStyle name="Calculation 2 10 5 4 2" xfId="606"/>
    <cellStyle name="Calculation 2 10 5 5" xfId="607"/>
    <cellStyle name="Calculation 2 10 5 6" xfId="608"/>
    <cellStyle name="Calculation 2 10 50" xfId="609"/>
    <cellStyle name="Calculation 2 10 50 2" xfId="610"/>
    <cellStyle name="Calculation 2 10 50 2 2" xfId="611"/>
    <cellStyle name="Calculation 2 10 50 3" xfId="612"/>
    <cellStyle name="Calculation 2 10 51" xfId="613"/>
    <cellStyle name="Calculation 2 10 51 2" xfId="614"/>
    <cellStyle name="Calculation 2 10 51 2 2" xfId="615"/>
    <cellStyle name="Calculation 2 10 51 3" xfId="616"/>
    <cellStyle name="Calculation 2 10 52" xfId="617"/>
    <cellStyle name="Calculation 2 10 52 2" xfId="618"/>
    <cellStyle name="Calculation 2 10 53" xfId="619"/>
    <cellStyle name="Calculation 2 10 54" xfId="620"/>
    <cellStyle name="Calculation 2 10 6" xfId="621"/>
    <cellStyle name="Calculation 2 10 6 2" xfId="622"/>
    <cellStyle name="Calculation 2 10 6 2 2" xfId="623"/>
    <cellStyle name="Calculation 2 10 6 2 2 2" xfId="624"/>
    <cellStyle name="Calculation 2 10 6 2 3" xfId="625"/>
    <cellStyle name="Calculation 2 10 6 3" xfId="626"/>
    <cellStyle name="Calculation 2 10 6 3 2" xfId="627"/>
    <cellStyle name="Calculation 2 10 6 3 2 2" xfId="628"/>
    <cellStyle name="Calculation 2 10 6 3 3" xfId="629"/>
    <cellStyle name="Calculation 2 10 6 4" xfId="630"/>
    <cellStyle name="Calculation 2 10 6 4 2" xfId="631"/>
    <cellStyle name="Calculation 2 10 6 5" xfId="632"/>
    <cellStyle name="Calculation 2 10 6 6" xfId="633"/>
    <cellStyle name="Calculation 2 10 7" xfId="634"/>
    <cellStyle name="Calculation 2 10 7 2" xfId="635"/>
    <cellStyle name="Calculation 2 10 7 2 2" xfId="636"/>
    <cellStyle name="Calculation 2 10 7 2 2 2" xfId="637"/>
    <cellStyle name="Calculation 2 10 7 2 3" xfId="638"/>
    <cellStyle name="Calculation 2 10 7 3" xfId="639"/>
    <cellStyle name="Calculation 2 10 7 3 2" xfId="640"/>
    <cellStyle name="Calculation 2 10 7 3 2 2" xfId="641"/>
    <cellStyle name="Calculation 2 10 7 3 3" xfId="642"/>
    <cellStyle name="Calculation 2 10 7 4" xfId="643"/>
    <cellStyle name="Calculation 2 10 7 4 2" xfId="644"/>
    <cellStyle name="Calculation 2 10 7 5" xfId="645"/>
    <cellStyle name="Calculation 2 10 7 6" xfId="646"/>
    <cellStyle name="Calculation 2 10 8" xfId="647"/>
    <cellStyle name="Calculation 2 10 8 2" xfId="648"/>
    <cellStyle name="Calculation 2 10 8 2 2" xfId="649"/>
    <cellStyle name="Calculation 2 10 8 2 2 2" xfId="650"/>
    <cellStyle name="Calculation 2 10 8 2 3" xfId="651"/>
    <cellStyle name="Calculation 2 10 8 3" xfId="652"/>
    <cellStyle name="Calculation 2 10 8 3 2" xfId="653"/>
    <cellStyle name="Calculation 2 10 8 3 2 2" xfId="654"/>
    <cellStyle name="Calculation 2 10 8 3 3" xfId="655"/>
    <cellStyle name="Calculation 2 10 8 4" xfId="656"/>
    <cellStyle name="Calculation 2 10 8 4 2" xfId="657"/>
    <cellStyle name="Calculation 2 10 8 5" xfId="658"/>
    <cellStyle name="Calculation 2 10 8 6" xfId="659"/>
    <cellStyle name="Calculation 2 10 9" xfId="660"/>
    <cellStyle name="Calculation 2 10 9 2" xfId="661"/>
    <cellStyle name="Calculation 2 10 9 2 2" xfId="662"/>
    <cellStyle name="Calculation 2 10 9 2 2 2" xfId="663"/>
    <cellStyle name="Calculation 2 10 9 2 3" xfId="664"/>
    <cellStyle name="Calculation 2 10 9 3" xfId="665"/>
    <cellStyle name="Calculation 2 10 9 3 2" xfId="666"/>
    <cellStyle name="Calculation 2 10 9 4" xfId="667"/>
    <cellStyle name="Calculation 2 10 9 5" xfId="668"/>
    <cellStyle name="Calculation 2 11" xfId="669"/>
    <cellStyle name="Calculation 2 11 2" xfId="670"/>
    <cellStyle name="Calculation 2 11 2 2" xfId="671"/>
    <cellStyle name="Calculation 2 11 2 2 2" xfId="672"/>
    <cellStyle name="Calculation 2 11 2 3" xfId="673"/>
    <cellStyle name="Calculation 2 11 3" xfId="674"/>
    <cellStyle name="Calculation 2 11 3 2" xfId="675"/>
    <cellStyle name="Calculation 2 11 3 2 2" xfId="676"/>
    <cellStyle name="Calculation 2 11 3 3" xfId="677"/>
    <cellStyle name="Calculation 2 11 4" xfId="678"/>
    <cellStyle name="Calculation 2 11 4 2" xfId="679"/>
    <cellStyle name="Calculation 2 11 4 2 2" xfId="680"/>
    <cellStyle name="Calculation 2 11 4 3" xfId="681"/>
    <cellStyle name="Calculation 2 11 5" xfId="682"/>
    <cellStyle name="Calculation 2 11 5 2" xfId="683"/>
    <cellStyle name="Calculation 2 11 5 2 2" xfId="684"/>
    <cellStyle name="Calculation 2 11 5 3" xfId="685"/>
    <cellStyle name="Calculation 2 11 6" xfId="686"/>
    <cellStyle name="Calculation 2 11 6 2" xfId="687"/>
    <cellStyle name="Calculation 2 11 6 2 2" xfId="688"/>
    <cellStyle name="Calculation 2 11 6 3" xfId="689"/>
    <cellStyle name="Calculation 2 11 7" xfId="690"/>
    <cellStyle name="Calculation 2 11 7 2" xfId="691"/>
    <cellStyle name="Calculation 2 11 8" xfId="692"/>
    <cellStyle name="Calculation 2 11 9" xfId="693"/>
    <cellStyle name="Calculation 2 12" xfId="694"/>
    <cellStyle name="Calculation 2 12 2" xfId="695"/>
    <cellStyle name="Calculation 2 12 2 2" xfId="696"/>
    <cellStyle name="Calculation 2 12 2 2 2" xfId="697"/>
    <cellStyle name="Calculation 2 12 2 3" xfId="698"/>
    <cellStyle name="Calculation 2 12 3" xfId="699"/>
    <cellStyle name="Calculation 2 12 3 2" xfId="700"/>
    <cellStyle name="Calculation 2 12 3 2 2" xfId="701"/>
    <cellStyle name="Calculation 2 12 3 3" xfId="702"/>
    <cellStyle name="Calculation 2 12 4" xfId="703"/>
    <cellStyle name="Calculation 2 12 4 2" xfId="704"/>
    <cellStyle name="Calculation 2 12 4 2 2" xfId="705"/>
    <cellStyle name="Calculation 2 12 4 3" xfId="706"/>
    <cellStyle name="Calculation 2 12 5" xfId="707"/>
    <cellStyle name="Calculation 2 12 5 2" xfId="708"/>
    <cellStyle name="Calculation 2 12 6" xfId="709"/>
    <cellStyle name="Calculation 2 12 7" xfId="710"/>
    <cellStyle name="Calculation 2 13" xfId="711"/>
    <cellStyle name="Calculation 2 13 2" xfId="712"/>
    <cellStyle name="Calculation 2 13 2 2" xfId="713"/>
    <cellStyle name="Calculation 2 13 2 2 2" xfId="714"/>
    <cellStyle name="Calculation 2 13 2 3" xfId="715"/>
    <cellStyle name="Calculation 2 13 3" xfId="716"/>
    <cellStyle name="Calculation 2 13 3 2" xfId="717"/>
    <cellStyle name="Calculation 2 13 3 2 2" xfId="718"/>
    <cellStyle name="Calculation 2 13 3 3" xfId="719"/>
    <cellStyle name="Calculation 2 13 4" xfId="720"/>
    <cellStyle name="Calculation 2 13 4 2" xfId="721"/>
    <cellStyle name="Calculation 2 13 4 2 2" xfId="722"/>
    <cellStyle name="Calculation 2 13 4 3" xfId="723"/>
    <cellStyle name="Calculation 2 13 5" xfId="724"/>
    <cellStyle name="Calculation 2 13 5 2" xfId="725"/>
    <cellStyle name="Calculation 2 13 6" xfId="726"/>
    <cellStyle name="Calculation 2 13 7" xfId="727"/>
    <cellStyle name="Calculation 2 14" xfId="728"/>
    <cellStyle name="Calculation 2 14 2" xfId="729"/>
    <cellStyle name="Calculation 2 14 2 2" xfId="730"/>
    <cellStyle name="Calculation 2 14 2 2 2" xfId="731"/>
    <cellStyle name="Calculation 2 14 2 3" xfId="732"/>
    <cellStyle name="Calculation 2 14 3" xfId="733"/>
    <cellStyle name="Calculation 2 14 3 2" xfId="734"/>
    <cellStyle name="Calculation 2 14 3 2 2" xfId="735"/>
    <cellStyle name="Calculation 2 14 3 3" xfId="736"/>
    <cellStyle name="Calculation 2 14 4" xfId="737"/>
    <cellStyle name="Calculation 2 14 4 2" xfId="738"/>
    <cellStyle name="Calculation 2 14 5" xfId="739"/>
    <cellStyle name="Calculation 2 15" xfId="740"/>
    <cellStyle name="Calculation 2 15 2" xfId="741"/>
    <cellStyle name="Calculation 2 15 2 2" xfId="742"/>
    <cellStyle name="Calculation 2 15 2 2 2" xfId="743"/>
    <cellStyle name="Calculation 2 15 2 3" xfId="744"/>
    <cellStyle name="Calculation 2 15 3" xfId="745"/>
    <cellStyle name="Calculation 2 15 3 2" xfId="746"/>
    <cellStyle name="Calculation 2 15 4" xfId="747"/>
    <cellStyle name="Calculation 2 16" xfId="748"/>
    <cellStyle name="Calculation 2 16 2" xfId="749"/>
    <cellStyle name="Calculation 2 16 2 2" xfId="750"/>
    <cellStyle name="Calculation 2 16 2 2 2" xfId="751"/>
    <cellStyle name="Calculation 2 16 2 3" xfId="752"/>
    <cellStyle name="Calculation 2 16 3" xfId="753"/>
    <cellStyle name="Calculation 2 16 3 2" xfId="754"/>
    <cellStyle name="Calculation 2 16 4" xfId="755"/>
    <cellStyle name="Calculation 2 17" xfId="756"/>
    <cellStyle name="Calculation 2 17 2" xfId="757"/>
    <cellStyle name="Calculation 2 17 2 2" xfId="758"/>
    <cellStyle name="Calculation 2 17 2 2 2" xfId="759"/>
    <cellStyle name="Calculation 2 17 2 3" xfId="760"/>
    <cellStyle name="Calculation 2 17 3" xfId="761"/>
    <cellStyle name="Calculation 2 17 3 2" xfId="762"/>
    <cellStyle name="Calculation 2 17 4" xfId="763"/>
    <cellStyle name="Calculation 2 18" xfId="764"/>
    <cellStyle name="Calculation 2 18 2" xfId="765"/>
    <cellStyle name="Calculation 2 18 2 2" xfId="766"/>
    <cellStyle name="Calculation 2 18 2 2 2" xfId="767"/>
    <cellStyle name="Calculation 2 18 2 3" xfId="768"/>
    <cellStyle name="Calculation 2 18 3" xfId="769"/>
    <cellStyle name="Calculation 2 18 3 2" xfId="770"/>
    <cellStyle name="Calculation 2 18 4" xfId="771"/>
    <cellStyle name="Calculation 2 19" xfId="772"/>
    <cellStyle name="Calculation 2 19 2" xfId="773"/>
    <cellStyle name="Calculation 2 19 2 2" xfId="774"/>
    <cellStyle name="Calculation 2 19 2 2 2" xfId="775"/>
    <cellStyle name="Calculation 2 19 2 3" xfId="776"/>
    <cellStyle name="Calculation 2 19 3" xfId="777"/>
    <cellStyle name="Calculation 2 19 3 2" xfId="778"/>
    <cellStyle name="Calculation 2 19 4" xfId="779"/>
    <cellStyle name="Calculation 2 2" xfId="780"/>
    <cellStyle name="Calculation 2 2 10" xfId="781"/>
    <cellStyle name="Calculation 2 2 10 2" xfId="782"/>
    <cellStyle name="Calculation 2 2 10 2 2" xfId="783"/>
    <cellStyle name="Calculation 2 2 10 2 2 2" xfId="784"/>
    <cellStyle name="Calculation 2 2 10 2 3" xfId="785"/>
    <cellStyle name="Calculation 2 2 10 3" xfId="786"/>
    <cellStyle name="Calculation 2 2 10 3 2" xfId="787"/>
    <cellStyle name="Calculation 2 2 10 4" xfId="788"/>
    <cellStyle name="Calculation 2 2 10 5" xfId="789"/>
    <cellStyle name="Calculation 2 2 11" xfId="790"/>
    <cellStyle name="Calculation 2 2 11 2" xfId="791"/>
    <cellStyle name="Calculation 2 2 11 2 2" xfId="792"/>
    <cellStyle name="Calculation 2 2 11 2 2 2" xfId="793"/>
    <cellStyle name="Calculation 2 2 11 2 3" xfId="794"/>
    <cellStyle name="Calculation 2 2 11 3" xfId="795"/>
    <cellStyle name="Calculation 2 2 11 3 2" xfId="796"/>
    <cellStyle name="Calculation 2 2 11 4" xfId="797"/>
    <cellStyle name="Calculation 2 2 11 5" xfId="798"/>
    <cellStyle name="Calculation 2 2 12" xfId="799"/>
    <cellStyle name="Calculation 2 2 12 2" xfId="800"/>
    <cellStyle name="Calculation 2 2 12 2 2" xfId="801"/>
    <cellStyle name="Calculation 2 2 12 2 2 2" xfId="802"/>
    <cellStyle name="Calculation 2 2 12 2 3" xfId="803"/>
    <cellStyle name="Calculation 2 2 12 3" xfId="804"/>
    <cellStyle name="Calculation 2 2 12 3 2" xfId="805"/>
    <cellStyle name="Calculation 2 2 12 4" xfId="806"/>
    <cellStyle name="Calculation 2 2 12 5" xfId="807"/>
    <cellStyle name="Calculation 2 2 13" xfId="808"/>
    <cellStyle name="Calculation 2 2 13 2" xfId="809"/>
    <cellStyle name="Calculation 2 2 13 2 2" xfId="810"/>
    <cellStyle name="Calculation 2 2 13 2 2 2" xfId="811"/>
    <cellStyle name="Calculation 2 2 13 2 3" xfId="812"/>
    <cellStyle name="Calculation 2 2 13 3" xfId="813"/>
    <cellStyle name="Calculation 2 2 13 3 2" xfId="814"/>
    <cellStyle name="Calculation 2 2 13 4" xfId="815"/>
    <cellStyle name="Calculation 2 2 13 5" xfId="816"/>
    <cellStyle name="Calculation 2 2 14" xfId="817"/>
    <cellStyle name="Calculation 2 2 14 2" xfId="818"/>
    <cellStyle name="Calculation 2 2 14 2 2" xfId="819"/>
    <cellStyle name="Calculation 2 2 14 2 2 2" xfId="820"/>
    <cellStyle name="Calculation 2 2 14 2 3" xfId="821"/>
    <cellStyle name="Calculation 2 2 14 3" xfId="822"/>
    <cellStyle name="Calculation 2 2 14 3 2" xfId="823"/>
    <cellStyle name="Calculation 2 2 14 4" xfId="824"/>
    <cellStyle name="Calculation 2 2 14 5" xfId="825"/>
    <cellStyle name="Calculation 2 2 15" xfId="826"/>
    <cellStyle name="Calculation 2 2 15 2" xfId="827"/>
    <cellStyle name="Calculation 2 2 15 2 2" xfId="828"/>
    <cellStyle name="Calculation 2 2 15 2 2 2" xfId="829"/>
    <cellStyle name="Calculation 2 2 15 2 3" xfId="830"/>
    <cellStyle name="Calculation 2 2 15 3" xfId="831"/>
    <cellStyle name="Calculation 2 2 15 3 2" xfId="832"/>
    <cellStyle name="Calculation 2 2 15 4" xfId="833"/>
    <cellStyle name="Calculation 2 2 15 5" xfId="834"/>
    <cellStyle name="Calculation 2 2 16" xfId="835"/>
    <cellStyle name="Calculation 2 2 16 2" xfId="836"/>
    <cellStyle name="Calculation 2 2 16 2 2" xfId="837"/>
    <cellStyle name="Calculation 2 2 16 2 2 2" xfId="838"/>
    <cellStyle name="Calculation 2 2 16 2 3" xfId="839"/>
    <cellStyle name="Calculation 2 2 16 3" xfId="840"/>
    <cellStyle name="Calculation 2 2 16 3 2" xfId="841"/>
    <cellStyle name="Calculation 2 2 16 4" xfId="842"/>
    <cellStyle name="Calculation 2 2 16 5" xfId="843"/>
    <cellStyle name="Calculation 2 2 17" xfId="844"/>
    <cellStyle name="Calculation 2 2 17 2" xfId="845"/>
    <cellStyle name="Calculation 2 2 17 2 2" xfId="846"/>
    <cellStyle name="Calculation 2 2 17 2 2 2" xfId="847"/>
    <cellStyle name="Calculation 2 2 17 2 3" xfId="848"/>
    <cellStyle name="Calculation 2 2 17 3" xfId="849"/>
    <cellStyle name="Calculation 2 2 17 3 2" xfId="850"/>
    <cellStyle name="Calculation 2 2 17 4" xfId="851"/>
    <cellStyle name="Calculation 2 2 17 5" xfId="852"/>
    <cellStyle name="Calculation 2 2 18" xfId="853"/>
    <cellStyle name="Calculation 2 2 18 2" xfId="854"/>
    <cellStyle name="Calculation 2 2 18 2 2" xfId="855"/>
    <cellStyle name="Calculation 2 2 18 2 2 2" xfId="856"/>
    <cellStyle name="Calculation 2 2 18 2 3" xfId="857"/>
    <cellStyle name="Calculation 2 2 18 3" xfId="858"/>
    <cellStyle name="Calculation 2 2 18 3 2" xfId="859"/>
    <cellStyle name="Calculation 2 2 18 4" xfId="860"/>
    <cellStyle name="Calculation 2 2 18 5" xfId="861"/>
    <cellStyle name="Calculation 2 2 19" xfId="862"/>
    <cellStyle name="Calculation 2 2 19 2" xfId="863"/>
    <cellStyle name="Calculation 2 2 19 2 2" xfId="864"/>
    <cellStyle name="Calculation 2 2 19 2 2 2" xfId="865"/>
    <cellStyle name="Calculation 2 2 19 2 3" xfId="866"/>
    <cellStyle name="Calculation 2 2 19 3" xfId="867"/>
    <cellStyle name="Calculation 2 2 19 3 2" xfId="868"/>
    <cellStyle name="Calculation 2 2 19 4" xfId="869"/>
    <cellStyle name="Calculation 2 2 19 5" xfId="870"/>
    <cellStyle name="Calculation 2 2 2" xfId="871"/>
    <cellStyle name="Calculation 2 2 2 2" xfId="872"/>
    <cellStyle name="Calculation 2 2 2 2 2" xfId="873"/>
    <cellStyle name="Calculation 2 2 2 2 2 2" xfId="874"/>
    <cellStyle name="Calculation 2 2 2 2 3" xfId="875"/>
    <cellStyle name="Calculation 2 2 2 3" xfId="876"/>
    <cellStyle name="Calculation 2 2 2 3 2" xfId="877"/>
    <cellStyle name="Calculation 2 2 2 3 2 2" xfId="878"/>
    <cellStyle name="Calculation 2 2 2 3 3" xfId="879"/>
    <cellStyle name="Calculation 2 2 2 4" xfId="880"/>
    <cellStyle name="Calculation 2 2 2 4 2" xfId="881"/>
    <cellStyle name="Calculation 2 2 2 5" xfId="882"/>
    <cellStyle name="Calculation 2 2 2 6" xfId="883"/>
    <cellStyle name="Calculation 2 2 20" xfId="884"/>
    <cellStyle name="Calculation 2 2 20 2" xfId="885"/>
    <cellStyle name="Calculation 2 2 20 2 2" xfId="886"/>
    <cellStyle name="Calculation 2 2 20 2 2 2" xfId="887"/>
    <cellStyle name="Calculation 2 2 20 2 3" xfId="888"/>
    <cellStyle name="Calculation 2 2 20 3" xfId="889"/>
    <cellStyle name="Calculation 2 2 20 3 2" xfId="890"/>
    <cellStyle name="Calculation 2 2 20 4" xfId="891"/>
    <cellStyle name="Calculation 2 2 20 5" xfId="892"/>
    <cellStyle name="Calculation 2 2 21" xfId="893"/>
    <cellStyle name="Calculation 2 2 21 2" xfId="894"/>
    <cellStyle name="Calculation 2 2 21 2 2" xfId="895"/>
    <cellStyle name="Calculation 2 2 21 2 2 2" xfId="896"/>
    <cellStyle name="Calculation 2 2 21 2 3" xfId="897"/>
    <cellStyle name="Calculation 2 2 21 3" xfId="898"/>
    <cellStyle name="Calculation 2 2 21 3 2" xfId="899"/>
    <cellStyle name="Calculation 2 2 21 4" xfId="900"/>
    <cellStyle name="Calculation 2 2 21 5" xfId="901"/>
    <cellStyle name="Calculation 2 2 22" xfId="902"/>
    <cellStyle name="Calculation 2 2 22 2" xfId="903"/>
    <cellStyle name="Calculation 2 2 22 2 2" xfId="904"/>
    <cellStyle name="Calculation 2 2 22 2 2 2" xfId="905"/>
    <cellStyle name="Calculation 2 2 22 2 3" xfId="906"/>
    <cellStyle name="Calculation 2 2 22 3" xfId="907"/>
    <cellStyle name="Calculation 2 2 22 3 2" xfId="908"/>
    <cellStyle name="Calculation 2 2 22 4" xfId="909"/>
    <cellStyle name="Calculation 2 2 22 5" xfId="910"/>
    <cellStyle name="Calculation 2 2 23" xfId="911"/>
    <cellStyle name="Calculation 2 2 23 2" xfId="912"/>
    <cellStyle name="Calculation 2 2 23 2 2" xfId="913"/>
    <cellStyle name="Calculation 2 2 23 2 2 2" xfId="914"/>
    <cellStyle name="Calculation 2 2 23 2 3" xfId="915"/>
    <cellStyle name="Calculation 2 2 23 3" xfId="916"/>
    <cellStyle name="Calculation 2 2 23 3 2" xfId="917"/>
    <cellStyle name="Calculation 2 2 23 4" xfId="918"/>
    <cellStyle name="Calculation 2 2 23 5" xfId="919"/>
    <cellStyle name="Calculation 2 2 24" xfId="920"/>
    <cellStyle name="Calculation 2 2 24 2" xfId="921"/>
    <cellStyle name="Calculation 2 2 24 2 2" xfId="922"/>
    <cellStyle name="Calculation 2 2 24 2 2 2" xfId="923"/>
    <cellStyle name="Calculation 2 2 24 2 3" xfId="924"/>
    <cellStyle name="Calculation 2 2 24 3" xfId="925"/>
    <cellStyle name="Calculation 2 2 24 3 2" xfId="926"/>
    <cellStyle name="Calculation 2 2 24 4" xfId="927"/>
    <cellStyle name="Calculation 2 2 24 5" xfId="928"/>
    <cellStyle name="Calculation 2 2 25" xfId="929"/>
    <cellStyle name="Calculation 2 2 25 2" xfId="930"/>
    <cellStyle name="Calculation 2 2 25 2 2" xfId="931"/>
    <cellStyle name="Calculation 2 2 25 2 2 2" xfId="932"/>
    <cellStyle name="Calculation 2 2 25 2 3" xfId="933"/>
    <cellStyle name="Calculation 2 2 25 3" xfId="934"/>
    <cellStyle name="Calculation 2 2 25 3 2" xfId="935"/>
    <cellStyle name="Calculation 2 2 25 4" xfId="936"/>
    <cellStyle name="Calculation 2 2 25 5" xfId="937"/>
    <cellStyle name="Calculation 2 2 26" xfId="938"/>
    <cellStyle name="Calculation 2 2 26 2" xfId="939"/>
    <cellStyle name="Calculation 2 2 26 2 2" xfId="940"/>
    <cellStyle name="Calculation 2 2 26 2 2 2" xfId="941"/>
    <cellStyle name="Calculation 2 2 26 2 3" xfId="942"/>
    <cellStyle name="Calculation 2 2 26 3" xfId="943"/>
    <cellStyle name="Calculation 2 2 26 3 2" xfId="944"/>
    <cellStyle name="Calculation 2 2 26 4" xfId="945"/>
    <cellStyle name="Calculation 2 2 26 5" xfId="946"/>
    <cellStyle name="Calculation 2 2 27" xfId="947"/>
    <cellStyle name="Calculation 2 2 27 2" xfId="948"/>
    <cellStyle name="Calculation 2 2 27 2 2" xfId="949"/>
    <cellStyle name="Calculation 2 2 27 2 2 2" xfId="950"/>
    <cellStyle name="Calculation 2 2 27 2 3" xfId="951"/>
    <cellStyle name="Calculation 2 2 27 3" xfId="952"/>
    <cellStyle name="Calculation 2 2 27 3 2" xfId="953"/>
    <cellStyle name="Calculation 2 2 27 4" xfId="954"/>
    <cellStyle name="Calculation 2 2 27 5" xfId="955"/>
    <cellStyle name="Calculation 2 2 28" xfId="956"/>
    <cellStyle name="Calculation 2 2 28 2" xfId="957"/>
    <cellStyle name="Calculation 2 2 28 2 2" xfId="958"/>
    <cellStyle name="Calculation 2 2 28 2 2 2" xfId="959"/>
    <cellStyle name="Calculation 2 2 28 2 3" xfId="960"/>
    <cellStyle name="Calculation 2 2 28 3" xfId="961"/>
    <cellStyle name="Calculation 2 2 28 3 2" xfId="962"/>
    <cellStyle name="Calculation 2 2 28 4" xfId="963"/>
    <cellStyle name="Calculation 2 2 28 5" xfId="964"/>
    <cellStyle name="Calculation 2 2 29" xfId="965"/>
    <cellStyle name="Calculation 2 2 29 2" xfId="966"/>
    <cellStyle name="Calculation 2 2 29 2 2" xfId="967"/>
    <cellStyle name="Calculation 2 2 29 2 2 2" xfId="968"/>
    <cellStyle name="Calculation 2 2 29 2 3" xfId="969"/>
    <cellStyle name="Calculation 2 2 29 3" xfId="970"/>
    <cellStyle name="Calculation 2 2 29 3 2" xfId="971"/>
    <cellStyle name="Calculation 2 2 29 4" xfId="972"/>
    <cellStyle name="Calculation 2 2 29 5" xfId="973"/>
    <cellStyle name="Calculation 2 2 3" xfId="974"/>
    <cellStyle name="Calculation 2 2 3 2" xfId="975"/>
    <cellStyle name="Calculation 2 2 3 2 2" xfId="976"/>
    <cellStyle name="Calculation 2 2 3 2 2 2" xfId="977"/>
    <cellStyle name="Calculation 2 2 3 2 3" xfId="978"/>
    <cellStyle name="Calculation 2 2 3 3" xfId="979"/>
    <cellStyle name="Calculation 2 2 3 3 2" xfId="980"/>
    <cellStyle name="Calculation 2 2 3 3 2 2" xfId="981"/>
    <cellStyle name="Calculation 2 2 3 3 3" xfId="982"/>
    <cellStyle name="Calculation 2 2 3 4" xfId="983"/>
    <cellStyle name="Calculation 2 2 3 4 2" xfId="984"/>
    <cellStyle name="Calculation 2 2 3 5" xfId="985"/>
    <cellStyle name="Calculation 2 2 3 6" xfId="986"/>
    <cellStyle name="Calculation 2 2 30" xfId="987"/>
    <cellStyle name="Calculation 2 2 30 2" xfId="988"/>
    <cellStyle name="Calculation 2 2 30 2 2" xfId="989"/>
    <cellStyle name="Calculation 2 2 30 2 2 2" xfId="990"/>
    <cellStyle name="Calculation 2 2 30 2 3" xfId="991"/>
    <cellStyle name="Calculation 2 2 30 3" xfId="992"/>
    <cellStyle name="Calculation 2 2 30 3 2" xfId="993"/>
    <cellStyle name="Calculation 2 2 30 4" xfId="994"/>
    <cellStyle name="Calculation 2 2 30 5" xfId="995"/>
    <cellStyle name="Calculation 2 2 31" xfId="996"/>
    <cellStyle name="Calculation 2 2 31 2" xfId="997"/>
    <cellStyle name="Calculation 2 2 31 2 2" xfId="998"/>
    <cellStyle name="Calculation 2 2 31 2 2 2" xfId="999"/>
    <cellStyle name="Calculation 2 2 31 2 3" xfId="1000"/>
    <cellStyle name="Calculation 2 2 31 3" xfId="1001"/>
    <cellStyle name="Calculation 2 2 31 3 2" xfId="1002"/>
    <cellStyle name="Calculation 2 2 31 4" xfId="1003"/>
    <cellStyle name="Calculation 2 2 31 5" xfId="1004"/>
    <cellStyle name="Calculation 2 2 32" xfId="1005"/>
    <cellStyle name="Calculation 2 2 32 2" xfId="1006"/>
    <cellStyle name="Calculation 2 2 32 2 2" xfId="1007"/>
    <cellStyle name="Calculation 2 2 32 2 2 2" xfId="1008"/>
    <cellStyle name="Calculation 2 2 32 2 3" xfId="1009"/>
    <cellStyle name="Calculation 2 2 32 3" xfId="1010"/>
    <cellStyle name="Calculation 2 2 32 3 2" xfId="1011"/>
    <cellStyle name="Calculation 2 2 32 4" xfId="1012"/>
    <cellStyle name="Calculation 2 2 32 5" xfId="1013"/>
    <cellStyle name="Calculation 2 2 33" xfId="1014"/>
    <cellStyle name="Calculation 2 2 33 2" xfId="1015"/>
    <cellStyle name="Calculation 2 2 33 2 2" xfId="1016"/>
    <cellStyle name="Calculation 2 2 33 2 2 2" xfId="1017"/>
    <cellStyle name="Calculation 2 2 33 2 3" xfId="1018"/>
    <cellStyle name="Calculation 2 2 33 3" xfId="1019"/>
    <cellStyle name="Calculation 2 2 33 3 2" xfId="1020"/>
    <cellStyle name="Calculation 2 2 33 4" xfId="1021"/>
    <cellStyle name="Calculation 2 2 33 5" xfId="1022"/>
    <cellStyle name="Calculation 2 2 34" xfId="1023"/>
    <cellStyle name="Calculation 2 2 34 2" xfId="1024"/>
    <cellStyle name="Calculation 2 2 34 2 2" xfId="1025"/>
    <cellStyle name="Calculation 2 2 34 2 2 2" xfId="1026"/>
    <cellStyle name="Calculation 2 2 34 2 3" xfId="1027"/>
    <cellStyle name="Calculation 2 2 34 3" xfId="1028"/>
    <cellStyle name="Calculation 2 2 34 3 2" xfId="1029"/>
    <cellStyle name="Calculation 2 2 34 4" xfId="1030"/>
    <cellStyle name="Calculation 2 2 34 5" xfId="1031"/>
    <cellStyle name="Calculation 2 2 35" xfId="1032"/>
    <cellStyle name="Calculation 2 2 35 2" xfId="1033"/>
    <cellStyle name="Calculation 2 2 35 2 2" xfId="1034"/>
    <cellStyle name="Calculation 2 2 35 2 2 2" xfId="1035"/>
    <cellStyle name="Calculation 2 2 35 2 3" xfId="1036"/>
    <cellStyle name="Calculation 2 2 35 3" xfId="1037"/>
    <cellStyle name="Calculation 2 2 35 3 2" xfId="1038"/>
    <cellStyle name="Calculation 2 2 35 4" xfId="1039"/>
    <cellStyle name="Calculation 2 2 35 5" xfId="1040"/>
    <cellStyle name="Calculation 2 2 36" xfId="1041"/>
    <cellStyle name="Calculation 2 2 36 2" xfId="1042"/>
    <cellStyle name="Calculation 2 2 36 2 2" xfId="1043"/>
    <cellStyle name="Calculation 2 2 36 2 2 2" xfId="1044"/>
    <cellStyle name="Calculation 2 2 36 2 3" xfId="1045"/>
    <cellStyle name="Calculation 2 2 36 3" xfId="1046"/>
    <cellStyle name="Calculation 2 2 36 3 2" xfId="1047"/>
    <cellStyle name="Calculation 2 2 36 4" xfId="1048"/>
    <cellStyle name="Calculation 2 2 36 5" xfId="1049"/>
    <cellStyle name="Calculation 2 2 37" xfId="1050"/>
    <cellStyle name="Calculation 2 2 37 2" xfId="1051"/>
    <cellStyle name="Calculation 2 2 37 2 2" xfId="1052"/>
    <cellStyle name="Calculation 2 2 37 2 2 2" xfId="1053"/>
    <cellStyle name="Calculation 2 2 37 2 3" xfId="1054"/>
    <cellStyle name="Calculation 2 2 37 3" xfId="1055"/>
    <cellStyle name="Calculation 2 2 37 3 2" xfId="1056"/>
    <cellStyle name="Calculation 2 2 37 4" xfId="1057"/>
    <cellStyle name="Calculation 2 2 37 5" xfId="1058"/>
    <cellStyle name="Calculation 2 2 38" xfId="1059"/>
    <cellStyle name="Calculation 2 2 38 2" xfId="1060"/>
    <cellStyle name="Calculation 2 2 38 2 2" xfId="1061"/>
    <cellStyle name="Calculation 2 2 38 2 2 2" xfId="1062"/>
    <cellStyle name="Calculation 2 2 38 2 3" xfId="1063"/>
    <cellStyle name="Calculation 2 2 38 3" xfId="1064"/>
    <cellStyle name="Calculation 2 2 38 3 2" xfId="1065"/>
    <cellStyle name="Calculation 2 2 38 4" xfId="1066"/>
    <cellStyle name="Calculation 2 2 38 5" xfId="1067"/>
    <cellStyle name="Calculation 2 2 39" xfId="1068"/>
    <cellStyle name="Calculation 2 2 39 2" xfId="1069"/>
    <cellStyle name="Calculation 2 2 39 2 2" xfId="1070"/>
    <cellStyle name="Calculation 2 2 39 2 2 2" xfId="1071"/>
    <cellStyle name="Calculation 2 2 39 2 3" xfId="1072"/>
    <cellStyle name="Calculation 2 2 39 3" xfId="1073"/>
    <cellStyle name="Calculation 2 2 39 3 2" xfId="1074"/>
    <cellStyle name="Calculation 2 2 39 4" xfId="1075"/>
    <cellStyle name="Calculation 2 2 39 5" xfId="1076"/>
    <cellStyle name="Calculation 2 2 4" xfId="1077"/>
    <cellStyle name="Calculation 2 2 4 2" xfId="1078"/>
    <cellStyle name="Calculation 2 2 4 2 2" xfId="1079"/>
    <cellStyle name="Calculation 2 2 4 2 2 2" xfId="1080"/>
    <cellStyle name="Calculation 2 2 4 2 3" xfId="1081"/>
    <cellStyle name="Calculation 2 2 4 3" xfId="1082"/>
    <cellStyle name="Calculation 2 2 4 3 2" xfId="1083"/>
    <cellStyle name="Calculation 2 2 4 3 2 2" xfId="1084"/>
    <cellStyle name="Calculation 2 2 4 3 3" xfId="1085"/>
    <cellStyle name="Calculation 2 2 4 4" xfId="1086"/>
    <cellStyle name="Calculation 2 2 4 4 2" xfId="1087"/>
    <cellStyle name="Calculation 2 2 4 5" xfId="1088"/>
    <cellStyle name="Calculation 2 2 4 6" xfId="1089"/>
    <cellStyle name="Calculation 2 2 40" xfId="1090"/>
    <cellStyle name="Calculation 2 2 40 2" xfId="1091"/>
    <cellStyle name="Calculation 2 2 40 2 2" xfId="1092"/>
    <cellStyle name="Calculation 2 2 40 2 2 2" xfId="1093"/>
    <cellStyle name="Calculation 2 2 40 2 3" xfId="1094"/>
    <cellStyle name="Calculation 2 2 40 3" xfId="1095"/>
    <cellStyle name="Calculation 2 2 40 3 2" xfId="1096"/>
    <cellStyle name="Calculation 2 2 40 4" xfId="1097"/>
    <cellStyle name="Calculation 2 2 40 5" xfId="1098"/>
    <cellStyle name="Calculation 2 2 41" xfId="1099"/>
    <cellStyle name="Calculation 2 2 41 2" xfId="1100"/>
    <cellStyle name="Calculation 2 2 41 2 2" xfId="1101"/>
    <cellStyle name="Calculation 2 2 41 2 2 2" xfId="1102"/>
    <cellStyle name="Calculation 2 2 41 2 3" xfId="1103"/>
    <cellStyle name="Calculation 2 2 41 3" xfId="1104"/>
    <cellStyle name="Calculation 2 2 41 3 2" xfId="1105"/>
    <cellStyle name="Calculation 2 2 41 4" xfId="1106"/>
    <cellStyle name="Calculation 2 2 41 5" xfId="1107"/>
    <cellStyle name="Calculation 2 2 42" xfId="1108"/>
    <cellStyle name="Calculation 2 2 42 2" xfId="1109"/>
    <cellStyle name="Calculation 2 2 42 2 2" xfId="1110"/>
    <cellStyle name="Calculation 2 2 42 2 2 2" xfId="1111"/>
    <cellStyle name="Calculation 2 2 42 2 3" xfId="1112"/>
    <cellStyle name="Calculation 2 2 42 3" xfId="1113"/>
    <cellStyle name="Calculation 2 2 42 3 2" xfId="1114"/>
    <cellStyle name="Calculation 2 2 42 4" xfId="1115"/>
    <cellStyle name="Calculation 2 2 42 5" xfId="1116"/>
    <cellStyle name="Calculation 2 2 43" xfId="1117"/>
    <cellStyle name="Calculation 2 2 43 2" xfId="1118"/>
    <cellStyle name="Calculation 2 2 43 2 2" xfId="1119"/>
    <cellStyle name="Calculation 2 2 43 2 2 2" xfId="1120"/>
    <cellStyle name="Calculation 2 2 43 2 3" xfId="1121"/>
    <cellStyle name="Calculation 2 2 43 3" xfId="1122"/>
    <cellStyle name="Calculation 2 2 43 3 2" xfId="1123"/>
    <cellStyle name="Calculation 2 2 43 4" xfId="1124"/>
    <cellStyle name="Calculation 2 2 43 5" xfId="1125"/>
    <cellStyle name="Calculation 2 2 44" xfId="1126"/>
    <cellStyle name="Calculation 2 2 44 2" xfId="1127"/>
    <cellStyle name="Calculation 2 2 44 2 2" xfId="1128"/>
    <cellStyle name="Calculation 2 2 44 2 2 2" xfId="1129"/>
    <cellStyle name="Calculation 2 2 44 2 3" xfId="1130"/>
    <cellStyle name="Calculation 2 2 44 3" xfId="1131"/>
    <cellStyle name="Calculation 2 2 44 3 2" xfId="1132"/>
    <cellStyle name="Calculation 2 2 44 4" xfId="1133"/>
    <cellStyle name="Calculation 2 2 44 5" xfId="1134"/>
    <cellStyle name="Calculation 2 2 45" xfId="1135"/>
    <cellStyle name="Calculation 2 2 45 2" xfId="1136"/>
    <cellStyle name="Calculation 2 2 45 2 2" xfId="1137"/>
    <cellStyle name="Calculation 2 2 45 2 2 2" xfId="1138"/>
    <cellStyle name="Calculation 2 2 45 2 3" xfId="1139"/>
    <cellStyle name="Calculation 2 2 45 3" xfId="1140"/>
    <cellStyle name="Calculation 2 2 45 3 2" xfId="1141"/>
    <cellStyle name="Calculation 2 2 45 4" xfId="1142"/>
    <cellStyle name="Calculation 2 2 45 5" xfId="1143"/>
    <cellStyle name="Calculation 2 2 46" xfId="1144"/>
    <cellStyle name="Calculation 2 2 46 2" xfId="1145"/>
    <cellStyle name="Calculation 2 2 46 2 2" xfId="1146"/>
    <cellStyle name="Calculation 2 2 46 2 2 2" xfId="1147"/>
    <cellStyle name="Calculation 2 2 46 2 3" xfId="1148"/>
    <cellStyle name="Calculation 2 2 46 3" xfId="1149"/>
    <cellStyle name="Calculation 2 2 46 3 2" xfId="1150"/>
    <cellStyle name="Calculation 2 2 46 4" xfId="1151"/>
    <cellStyle name="Calculation 2 2 46 5" xfId="1152"/>
    <cellStyle name="Calculation 2 2 47" xfId="1153"/>
    <cellStyle name="Calculation 2 2 47 2" xfId="1154"/>
    <cellStyle name="Calculation 2 2 47 2 2" xfId="1155"/>
    <cellStyle name="Calculation 2 2 47 2 2 2" xfId="1156"/>
    <cellStyle name="Calculation 2 2 47 2 3" xfId="1157"/>
    <cellStyle name="Calculation 2 2 47 3" xfId="1158"/>
    <cellStyle name="Calculation 2 2 47 3 2" xfId="1159"/>
    <cellStyle name="Calculation 2 2 47 4" xfId="1160"/>
    <cellStyle name="Calculation 2 2 47 5" xfId="1161"/>
    <cellStyle name="Calculation 2 2 48" xfId="1162"/>
    <cellStyle name="Calculation 2 2 48 2" xfId="1163"/>
    <cellStyle name="Calculation 2 2 48 2 2" xfId="1164"/>
    <cellStyle name="Calculation 2 2 48 2 2 2" xfId="1165"/>
    <cellStyle name="Calculation 2 2 48 2 3" xfId="1166"/>
    <cellStyle name="Calculation 2 2 48 3" xfId="1167"/>
    <cellStyle name="Calculation 2 2 48 3 2" xfId="1168"/>
    <cellStyle name="Calculation 2 2 48 4" xfId="1169"/>
    <cellStyle name="Calculation 2 2 48 5" xfId="1170"/>
    <cellStyle name="Calculation 2 2 49" xfId="1171"/>
    <cellStyle name="Calculation 2 2 49 2" xfId="1172"/>
    <cellStyle name="Calculation 2 2 49 2 2" xfId="1173"/>
    <cellStyle name="Calculation 2 2 49 3" xfId="1174"/>
    <cellStyle name="Calculation 2 2 5" xfId="1175"/>
    <cellStyle name="Calculation 2 2 5 2" xfId="1176"/>
    <cellStyle name="Calculation 2 2 5 2 2" xfId="1177"/>
    <cellStyle name="Calculation 2 2 5 2 2 2" xfId="1178"/>
    <cellStyle name="Calculation 2 2 5 2 3" xfId="1179"/>
    <cellStyle name="Calculation 2 2 5 3" xfId="1180"/>
    <cellStyle name="Calculation 2 2 5 3 2" xfId="1181"/>
    <cellStyle name="Calculation 2 2 5 3 2 2" xfId="1182"/>
    <cellStyle name="Calculation 2 2 5 3 3" xfId="1183"/>
    <cellStyle name="Calculation 2 2 5 4" xfId="1184"/>
    <cellStyle name="Calculation 2 2 5 4 2" xfId="1185"/>
    <cellStyle name="Calculation 2 2 5 5" xfId="1186"/>
    <cellStyle name="Calculation 2 2 5 6" xfId="1187"/>
    <cellStyle name="Calculation 2 2 50" xfId="1188"/>
    <cellStyle name="Calculation 2 2 50 2" xfId="1189"/>
    <cellStyle name="Calculation 2 2 50 2 2" xfId="1190"/>
    <cellStyle name="Calculation 2 2 50 3" xfId="1191"/>
    <cellStyle name="Calculation 2 2 51" xfId="1192"/>
    <cellStyle name="Calculation 2 2 51 2" xfId="1193"/>
    <cellStyle name="Calculation 2 2 51 2 2" xfId="1194"/>
    <cellStyle name="Calculation 2 2 51 3" xfId="1195"/>
    <cellStyle name="Calculation 2 2 52" xfId="1196"/>
    <cellStyle name="Calculation 2 2 52 2" xfId="1197"/>
    <cellStyle name="Calculation 2 2 53" xfId="1198"/>
    <cellStyle name="Calculation 2 2 54" xfId="1199"/>
    <cellStyle name="Calculation 2 2 6" xfId="1200"/>
    <cellStyle name="Calculation 2 2 6 2" xfId="1201"/>
    <cellStyle name="Calculation 2 2 6 2 2" xfId="1202"/>
    <cellStyle name="Calculation 2 2 6 2 2 2" xfId="1203"/>
    <cellStyle name="Calculation 2 2 6 2 3" xfId="1204"/>
    <cellStyle name="Calculation 2 2 6 3" xfId="1205"/>
    <cellStyle name="Calculation 2 2 6 3 2" xfId="1206"/>
    <cellStyle name="Calculation 2 2 6 3 2 2" xfId="1207"/>
    <cellStyle name="Calculation 2 2 6 3 3" xfId="1208"/>
    <cellStyle name="Calculation 2 2 6 4" xfId="1209"/>
    <cellStyle name="Calculation 2 2 6 4 2" xfId="1210"/>
    <cellStyle name="Calculation 2 2 6 5" xfId="1211"/>
    <cellStyle name="Calculation 2 2 6 6" xfId="1212"/>
    <cellStyle name="Calculation 2 2 7" xfId="1213"/>
    <cellStyle name="Calculation 2 2 7 2" xfId="1214"/>
    <cellStyle name="Calculation 2 2 7 2 2" xfId="1215"/>
    <cellStyle name="Calculation 2 2 7 2 2 2" xfId="1216"/>
    <cellStyle name="Calculation 2 2 7 2 3" xfId="1217"/>
    <cellStyle name="Calculation 2 2 7 3" xfId="1218"/>
    <cellStyle name="Calculation 2 2 7 3 2" xfId="1219"/>
    <cellStyle name="Calculation 2 2 7 3 2 2" xfId="1220"/>
    <cellStyle name="Calculation 2 2 7 3 3" xfId="1221"/>
    <cellStyle name="Calculation 2 2 7 4" xfId="1222"/>
    <cellStyle name="Calculation 2 2 7 4 2" xfId="1223"/>
    <cellStyle name="Calculation 2 2 7 5" xfId="1224"/>
    <cellStyle name="Calculation 2 2 7 6" xfId="1225"/>
    <cellStyle name="Calculation 2 2 8" xfId="1226"/>
    <cellStyle name="Calculation 2 2 8 2" xfId="1227"/>
    <cellStyle name="Calculation 2 2 8 2 2" xfId="1228"/>
    <cellStyle name="Calculation 2 2 8 2 2 2" xfId="1229"/>
    <cellStyle name="Calculation 2 2 8 2 3" xfId="1230"/>
    <cellStyle name="Calculation 2 2 8 3" xfId="1231"/>
    <cellStyle name="Calculation 2 2 8 3 2" xfId="1232"/>
    <cellStyle name="Calculation 2 2 8 3 2 2" xfId="1233"/>
    <cellStyle name="Calculation 2 2 8 3 3" xfId="1234"/>
    <cellStyle name="Calculation 2 2 8 4" xfId="1235"/>
    <cellStyle name="Calculation 2 2 8 4 2" xfId="1236"/>
    <cellStyle name="Calculation 2 2 8 5" xfId="1237"/>
    <cellStyle name="Calculation 2 2 8 6" xfId="1238"/>
    <cellStyle name="Calculation 2 2 9" xfId="1239"/>
    <cellStyle name="Calculation 2 2 9 2" xfId="1240"/>
    <cellStyle name="Calculation 2 2 9 2 2" xfId="1241"/>
    <cellStyle name="Calculation 2 2 9 2 2 2" xfId="1242"/>
    <cellStyle name="Calculation 2 2 9 2 3" xfId="1243"/>
    <cellStyle name="Calculation 2 2 9 3" xfId="1244"/>
    <cellStyle name="Calculation 2 2 9 3 2" xfId="1245"/>
    <cellStyle name="Calculation 2 2 9 4" xfId="1246"/>
    <cellStyle name="Calculation 2 2 9 5" xfId="1247"/>
    <cellStyle name="Calculation 2 20" xfId="1248"/>
    <cellStyle name="Calculation 2 20 2" xfId="1249"/>
    <cellStyle name="Calculation 2 20 2 2" xfId="1250"/>
    <cellStyle name="Calculation 2 20 2 2 2" xfId="1251"/>
    <cellStyle name="Calculation 2 20 2 3" xfId="1252"/>
    <cellStyle name="Calculation 2 20 3" xfId="1253"/>
    <cellStyle name="Calculation 2 20 3 2" xfId="1254"/>
    <cellStyle name="Calculation 2 20 4" xfId="1255"/>
    <cellStyle name="Calculation 2 21" xfId="1256"/>
    <cellStyle name="Calculation 2 21 2" xfId="1257"/>
    <cellStyle name="Calculation 2 21 2 2" xfId="1258"/>
    <cellStyle name="Calculation 2 21 3" xfId="1259"/>
    <cellStyle name="Calculation 2 22" xfId="1260"/>
    <cellStyle name="Calculation 2 22 2" xfId="1261"/>
    <cellStyle name="Calculation 2 22 2 2" xfId="1262"/>
    <cellStyle name="Calculation 2 22 3" xfId="1263"/>
    <cellStyle name="Calculation 2 23" xfId="1264"/>
    <cellStyle name="Calculation 2 23 2" xfId="1265"/>
    <cellStyle name="Calculation 2 24" xfId="1266"/>
    <cellStyle name="Calculation 2 25" xfId="1267"/>
    <cellStyle name="Calculation 2 3" xfId="1268"/>
    <cellStyle name="Calculation 2 3 10" xfId="1269"/>
    <cellStyle name="Calculation 2 3 10 2" xfId="1270"/>
    <cellStyle name="Calculation 2 3 10 2 2" xfId="1271"/>
    <cellStyle name="Calculation 2 3 10 2 2 2" xfId="1272"/>
    <cellStyle name="Calculation 2 3 10 2 3" xfId="1273"/>
    <cellStyle name="Calculation 2 3 10 3" xfId="1274"/>
    <cellStyle name="Calculation 2 3 10 3 2" xfId="1275"/>
    <cellStyle name="Calculation 2 3 10 4" xfId="1276"/>
    <cellStyle name="Calculation 2 3 10 5" xfId="1277"/>
    <cellStyle name="Calculation 2 3 11" xfId="1278"/>
    <cellStyle name="Calculation 2 3 11 2" xfId="1279"/>
    <cellStyle name="Calculation 2 3 11 2 2" xfId="1280"/>
    <cellStyle name="Calculation 2 3 11 2 2 2" xfId="1281"/>
    <cellStyle name="Calculation 2 3 11 2 3" xfId="1282"/>
    <cellStyle name="Calculation 2 3 11 3" xfId="1283"/>
    <cellStyle name="Calculation 2 3 11 3 2" xfId="1284"/>
    <cellStyle name="Calculation 2 3 11 4" xfId="1285"/>
    <cellStyle name="Calculation 2 3 11 5" xfId="1286"/>
    <cellStyle name="Calculation 2 3 12" xfId="1287"/>
    <cellStyle name="Calculation 2 3 12 2" xfId="1288"/>
    <cellStyle name="Calculation 2 3 12 2 2" xfId="1289"/>
    <cellStyle name="Calculation 2 3 12 2 2 2" xfId="1290"/>
    <cellStyle name="Calculation 2 3 12 2 3" xfId="1291"/>
    <cellStyle name="Calculation 2 3 12 3" xfId="1292"/>
    <cellStyle name="Calculation 2 3 12 3 2" xfId="1293"/>
    <cellStyle name="Calculation 2 3 12 4" xfId="1294"/>
    <cellStyle name="Calculation 2 3 12 5" xfId="1295"/>
    <cellStyle name="Calculation 2 3 13" xfId="1296"/>
    <cellStyle name="Calculation 2 3 13 2" xfId="1297"/>
    <cellStyle name="Calculation 2 3 13 2 2" xfId="1298"/>
    <cellStyle name="Calculation 2 3 13 2 2 2" xfId="1299"/>
    <cellStyle name="Calculation 2 3 13 2 3" xfId="1300"/>
    <cellStyle name="Calculation 2 3 13 3" xfId="1301"/>
    <cellStyle name="Calculation 2 3 13 3 2" xfId="1302"/>
    <cellStyle name="Calculation 2 3 13 4" xfId="1303"/>
    <cellStyle name="Calculation 2 3 13 5" xfId="1304"/>
    <cellStyle name="Calculation 2 3 14" xfId="1305"/>
    <cellStyle name="Calculation 2 3 14 2" xfId="1306"/>
    <cellStyle name="Calculation 2 3 14 2 2" xfId="1307"/>
    <cellStyle name="Calculation 2 3 14 2 2 2" xfId="1308"/>
    <cellStyle name="Calculation 2 3 14 2 3" xfId="1309"/>
    <cellStyle name="Calculation 2 3 14 3" xfId="1310"/>
    <cellStyle name="Calculation 2 3 14 3 2" xfId="1311"/>
    <cellStyle name="Calculation 2 3 14 4" xfId="1312"/>
    <cellStyle name="Calculation 2 3 14 5" xfId="1313"/>
    <cellStyle name="Calculation 2 3 15" xfId="1314"/>
    <cellStyle name="Calculation 2 3 15 2" xfId="1315"/>
    <cellStyle name="Calculation 2 3 15 2 2" xfId="1316"/>
    <cellStyle name="Calculation 2 3 15 2 2 2" xfId="1317"/>
    <cellStyle name="Calculation 2 3 15 2 3" xfId="1318"/>
    <cellStyle name="Calculation 2 3 15 3" xfId="1319"/>
    <cellStyle name="Calculation 2 3 15 3 2" xfId="1320"/>
    <cellStyle name="Calculation 2 3 15 4" xfId="1321"/>
    <cellStyle name="Calculation 2 3 15 5" xfId="1322"/>
    <cellStyle name="Calculation 2 3 16" xfId="1323"/>
    <cellStyle name="Calculation 2 3 16 2" xfId="1324"/>
    <cellStyle name="Calculation 2 3 16 2 2" xfId="1325"/>
    <cellStyle name="Calculation 2 3 16 2 2 2" xfId="1326"/>
    <cellStyle name="Calculation 2 3 16 2 3" xfId="1327"/>
    <cellStyle name="Calculation 2 3 16 3" xfId="1328"/>
    <cellStyle name="Calculation 2 3 16 3 2" xfId="1329"/>
    <cellStyle name="Calculation 2 3 16 4" xfId="1330"/>
    <cellStyle name="Calculation 2 3 16 5" xfId="1331"/>
    <cellStyle name="Calculation 2 3 17" xfId="1332"/>
    <cellStyle name="Calculation 2 3 17 2" xfId="1333"/>
    <cellStyle name="Calculation 2 3 17 2 2" xfId="1334"/>
    <cellStyle name="Calculation 2 3 17 2 2 2" xfId="1335"/>
    <cellStyle name="Calculation 2 3 17 2 3" xfId="1336"/>
    <cellStyle name="Calculation 2 3 17 3" xfId="1337"/>
    <cellStyle name="Calculation 2 3 17 3 2" xfId="1338"/>
    <cellStyle name="Calculation 2 3 17 4" xfId="1339"/>
    <cellStyle name="Calculation 2 3 17 5" xfId="1340"/>
    <cellStyle name="Calculation 2 3 18" xfId="1341"/>
    <cellStyle name="Calculation 2 3 18 2" xfId="1342"/>
    <cellStyle name="Calculation 2 3 18 2 2" xfId="1343"/>
    <cellStyle name="Calculation 2 3 18 2 2 2" xfId="1344"/>
    <cellStyle name="Calculation 2 3 18 2 3" xfId="1345"/>
    <cellStyle name="Calculation 2 3 18 3" xfId="1346"/>
    <cellStyle name="Calculation 2 3 18 3 2" xfId="1347"/>
    <cellStyle name="Calculation 2 3 18 4" xfId="1348"/>
    <cellStyle name="Calculation 2 3 18 5" xfId="1349"/>
    <cellStyle name="Calculation 2 3 19" xfId="1350"/>
    <cellStyle name="Calculation 2 3 19 2" xfId="1351"/>
    <cellStyle name="Calculation 2 3 19 2 2" xfId="1352"/>
    <cellStyle name="Calculation 2 3 19 2 2 2" xfId="1353"/>
    <cellStyle name="Calculation 2 3 19 2 3" xfId="1354"/>
    <cellStyle name="Calculation 2 3 19 3" xfId="1355"/>
    <cellStyle name="Calculation 2 3 19 3 2" xfId="1356"/>
    <cellStyle name="Calculation 2 3 19 4" xfId="1357"/>
    <cellStyle name="Calculation 2 3 19 5" xfId="1358"/>
    <cellStyle name="Calculation 2 3 2" xfId="1359"/>
    <cellStyle name="Calculation 2 3 2 2" xfId="1360"/>
    <cellStyle name="Calculation 2 3 2 2 2" xfId="1361"/>
    <cellStyle name="Calculation 2 3 2 2 2 2" xfId="1362"/>
    <cellStyle name="Calculation 2 3 2 2 3" xfId="1363"/>
    <cellStyle name="Calculation 2 3 2 3" xfId="1364"/>
    <cellStyle name="Calculation 2 3 2 3 2" xfId="1365"/>
    <cellStyle name="Calculation 2 3 2 3 2 2" xfId="1366"/>
    <cellStyle name="Calculation 2 3 2 3 3" xfId="1367"/>
    <cellStyle name="Calculation 2 3 2 4" xfId="1368"/>
    <cellStyle name="Calculation 2 3 2 4 2" xfId="1369"/>
    <cellStyle name="Calculation 2 3 2 5" xfId="1370"/>
    <cellStyle name="Calculation 2 3 2 6" xfId="1371"/>
    <cellStyle name="Calculation 2 3 20" xfId="1372"/>
    <cellStyle name="Calculation 2 3 20 2" xfId="1373"/>
    <cellStyle name="Calculation 2 3 20 2 2" xfId="1374"/>
    <cellStyle name="Calculation 2 3 20 2 2 2" xfId="1375"/>
    <cellStyle name="Calculation 2 3 20 2 3" xfId="1376"/>
    <cellStyle name="Calculation 2 3 20 3" xfId="1377"/>
    <cellStyle name="Calculation 2 3 20 3 2" xfId="1378"/>
    <cellStyle name="Calculation 2 3 20 4" xfId="1379"/>
    <cellStyle name="Calculation 2 3 20 5" xfId="1380"/>
    <cellStyle name="Calculation 2 3 21" xfId="1381"/>
    <cellStyle name="Calculation 2 3 21 2" xfId="1382"/>
    <cellStyle name="Calculation 2 3 21 2 2" xfId="1383"/>
    <cellStyle name="Calculation 2 3 21 2 2 2" xfId="1384"/>
    <cellStyle name="Calculation 2 3 21 2 3" xfId="1385"/>
    <cellStyle name="Calculation 2 3 21 3" xfId="1386"/>
    <cellStyle name="Calculation 2 3 21 3 2" xfId="1387"/>
    <cellStyle name="Calculation 2 3 21 4" xfId="1388"/>
    <cellStyle name="Calculation 2 3 21 5" xfId="1389"/>
    <cellStyle name="Calculation 2 3 22" xfId="1390"/>
    <cellStyle name="Calculation 2 3 22 2" xfId="1391"/>
    <cellStyle name="Calculation 2 3 22 2 2" xfId="1392"/>
    <cellStyle name="Calculation 2 3 22 2 2 2" xfId="1393"/>
    <cellStyle name="Calculation 2 3 22 2 3" xfId="1394"/>
    <cellStyle name="Calculation 2 3 22 3" xfId="1395"/>
    <cellStyle name="Calculation 2 3 22 3 2" xfId="1396"/>
    <cellStyle name="Calculation 2 3 22 4" xfId="1397"/>
    <cellStyle name="Calculation 2 3 22 5" xfId="1398"/>
    <cellStyle name="Calculation 2 3 23" xfId="1399"/>
    <cellStyle name="Calculation 2 3 23 2" xfId="1400"/>
    <cellStyle name="Calculation 2 3 23 2 2" xfId="1401"/>
    <cellStyle name="Calculation 2 3 23 2 2 2" xfId="1402"/>
    <cellStyle name="Calculation 2 3 23 2 3" xfId="1403"/>
    <cellStyle name="Calculation 2 3 23 3" xfId="1404"/>
    <cellStyle name="Calculation 2 3 23 3 2" xfId="1405"/>
    <cellStyle name="Calculation 2 3 23 4" xfId="1406"/>
    <cellStyle name="Calculation 2 3 23 5" xfId="1407"/>
    <cellStyle name="Calculation 2 3 24" xfId="1408"/>
    <cellStyle name="Calculation 2 3 24 2" xfId="1409"/>
    <cellStyle name="Calculation 2 3 24 2 2" xfId="1410"/>
    <cellStyle name="Calculation 2 3 24 2 2 2" xfId="1411"/>
    <cellStyle name="Calculation 2 3 24 2 3" xfId="1412"/>
    <cellStyle name="Calculation 2 3 24 3" xfId="1413"/>
    <cellStyle name="Calculation 2 3 24 3 2" xfId="1414"/>
    <cellStyle name="Calculation 2 3 24 4" xfId="1415"/>
    <cellStyle name="Calculation 2 3 24 5" xfId="1416"/>
    <cellStyle name="Calculation 2 3 25" xfId="1417"/>
    <cellStyle name="Calculation 2 3 25 2" xfId="1418"/>
    <cellStyle name="Calculation 2 3 25 2 2" xfId="1419"/>
    <cellStyle name="Calculation 2 3 25 2 2 2" xfId="1420"/>
    <cellStyle name="Calculation 2 3 25 2 3" xfId="1421"/>
    <cellStyle name="Calculation 2 3 25 3" xfId="1422"/>
    <cellStyle name="Calculation 2 3 25 3 2" xfId="1423"/>
    <cellStyle name="Calculation 2 3 25 4" xfId="1424"/>
    <cellStyle name="Calculation 2 3 25 5" xfId="1425"/>
    <cellStyle name="Calculation 2 3 26" xfId="1426"/>
    <cellStyle name="Calculation 2 3 26 2" xfId="1427"/>
    <cellStyle name="Calculation 2 3 26 2 2" xfId="1428"/>
    <cellStyle name="Calculation 2 3 26 2 2 2" xfId="1429"/>
    <cellStyle name="Calculation 2 3 26 2 3" xfId="1430"/>
    <cellStyle name="Calculation 2 3 26 3" xfId="1431"/>
    <cellStyle name="Calculation 2 3 26 3 2" xfId="1432"/>
    <cellStyle name="Calculation 2 3 26 4" xfId="1433"/>
    <cellStyle name="Calculation 2 3 26 5" xfId="1434"/>
    <cellStyle name="Calculation 2 3 27" xfId="1435"/>
    <cellStyle name="Calculation 2 3 27 2" xfId="1436"/>
    <cellStyle name="Calculation 2 3 27 2 2" xfId="1437"/>
    <cellStyle name="Calculation 2 3 27 2 2 2" xfId="1438"/>
    <cellStyle name="Calculation 2 3 27 2 3" xfId="1439"/>
    <cellStyle name="Calculation 2 3 27 3" xfId="1440"/>
    <cellStyle name="Calculation 2 3 27 3 2" xfId="1441"/>
    <cellStyle name="Calculation 2 3 27 4" xfId="1442"/>
    <cellStyle name="Calculation 2 3 27 5" xfId="1443"/>
    <cellStyle name="Calculation 2 3 28" xfId="1444"/>
    <cellStyle name="Calculation 2 3 28 2" xfId="1445"/>
    <cellStyle name="Calculation 2 3 28 2 2" xfId="1446"/>
    <cellStyle name="Calculation 2 3 28 2 2 2" xfId="1447"/>
    <cellStyle name="Calculation 2 3 28 2 3" xfId="1448"/>
    <cellStyle name="Calculation 2 3 28 3" xfId="1449"/>
    <cellStyle name="Calculation 2 3 28 3 2" xfId="1450"/>
    <cellStyle name="Calculation 2 3 28 4" xfId="1451"/>
    <cellStyle name="Calculation 2 3 28 5" xfId="1452"/>
    <cellStyle name="Calculation 2 3 29" xfId="1453"/>
    <cellStyle name="Calculation 2 3 29 2" xfId="1454"/>
    <cellStyle name="Calculation 2 3 29 2 2" xfId="1455"/>
    <cellStyle name="Calculation 2 3 29 2 2 2" xfId="1456"/>
    <cellStyle name="Calculation 2 3 29 2 3" xfId="1457"/>
    <cellStyle name="Calculation 2 3 29 3" xfId="1458"/>
    <cellStyle name="Calculation 2 3 29 3 2" xfId="1459"/>
    <cellStyle name="Calculation 2 3 29 4" xfId="1460"/>
    <cellStyle name="Calculation 2 3 29 5" xfId="1461"/>
    <cellStyle name="Calculation 2 3 3" xfId="1462"/>
    <cellStyle name="Calculation 2 3 3 2" xfId="1463"/>
    <cellStyle name="Calculation 2 3 3 2 2" xfId="1464"/>
    <cellStyle name="Calculation 2 3 3 2 2 2" xfId="1465"/>
    <cellStyle name="Calculation 2 3 3 2 3" xfId="1466"/>
    <cellStyle name="Calculation 2 3 3 3" xfId="1467"/>
    <cellStyle name="Calculation 2 3 3 3 2" xfId="1468"/>
    <cellStyle name="Calculation 2 3 3 3 2 2" xfId="1469"/>
    <cellStyle name="Calculation 2 3 3 3 3" xfId="1470"/>
    <cellStyle name="Calculation 2 3 3 4" xfId="1471"/>
    <cellStyle name="Calculation 2 3 3 4 2" xfId="1472"/>
    <cellStyle name="Calculation 2 3 3 5" xfId="1473"/>
    <cellStyle name="Calculation 2 3 3 6" xfId="1474"/>
    <cellStyle name="Calculation 2 3 30" xfId="1475"/>
    <cellStyle name="Calculation 2 3 30 2" xfId="1476"/>
    <cellStyle name="Calculation 2 3 30 2 2" xfId="1477"/>
    <cellStyle name="Calculation 2 3 30 2 2 2" xfId="1478"/>
    <cellStyle name="Calculation 2 3 30 2 3" xfId="1479"/>
    <cellStyle name="Calculation 2 3 30 3" xfId="1480"/>
    <cellStyle name="Calculation 2 3 30 3 2" xfId="1481"/>
    <cellStyle name="Calculation 2 3 30 4" xfId="1482"/>
    <cellStyle name="Calculation 2 3 30 5" xfId="1483"/>
    <cellStyle name="Calculation 2 3 31" xfId="1484"/>
    <cellStyle name="Calculation 2 3 31 2" xfId="1485"/>
    <cellStyle name="Calculation 2 3 31 2 2" xfId="1486"/>
    <cellStyle name="Calculation 2 3 31 2 2 2" xfId="1487"/>
    <cellStyle name="Calculation 2 3 31 2 3" xfId="1488"/>
    <cellStyle name="Calculation 2 3 31 3" xfId="1489"/>
    <cellStyle name="Calculation 2 3 31 3 2" xfId="1490"/>
    <cellStyle name="Calculation 2 3 31 4" xfId="1491"/>
    <cellStyle name="Calculation 2 3 31 5" xfId="1492"/>
    <cellStyle name="Calculation 2 3 32" xfId="1493"/>
    <cellStyle name="Calculation 2 3 32 2" xfId="1494"/>
    <cellStyle name="Calculation 2 3 32 2 2" xfId="1495"/>
    <cellStyle name="Calculation 2 3 32 2 2 2" xfId="1496"/>
    <cellStyle name="Calculation 2 3 32 2 3" xfId="1497"/>
    <cellStyle name="Calculation 2 3 32 3" xfId="1498"/>
    <cellStyle name="Calculation 2 3 32 3 2" xfId="1499"/>
    <cellStyle name="Calculation 2 3 32 4" xfId="1500"/>
    <cellStyle name="Calculation 2 3 32 5" xfId="1501"/>
    <cellStyle name="Calculation 2 3 33" xfId="1502"/>
    <cellStyle name="Calculation 2 3 33 2" xfId="1503"/>
    <cellStyle name="Calculation 2 3 33 2 2" xfId="1504"/>
    <cellStyle name="Calculation 2 3 33 2 2 2" xfId="1505"/>
    <cellStyle name="Calculation 2 3 33 2 3" xfId="1506"/>
    <cellStyle name="Calculation 2 3 33 3" xfId="1507"/>
    <cellStyle name="Calculation 2 3 33 3 2" xfId="1508"/>
    <cellStyle name="Calculation 2 3 33 4" xfId="1509"/>
    <cellStyle name="Calculation 2 3 33 5" xfId="1510"/>
    <cellStyle name="Calculation 2 3 34" xfId="1511"/>
    <cellStyle name="Calculation 2 3 34 2" xfId="1512"/>
    <cellStyle name="Calculation 2 3 34 2 2" xfId="1513"/>
    <cellStyle name="Calculation 2 3 34 2 2 2" xfId="1514"/>
    <cellStyle name="Calculation 2 3 34 2 3" xfId="1515"/>
    <cellStyle name="Calculation 2 3 34 3" xfId="1516"/>
    <cellStyle name="Calculation 2 3 34 3 2" xfId="1517"/>
    <cellStyle name="Calculation 2 3 34 4" xfId="1518"/>
    <cellStyle name="Calculation 2 3 34 5" xfId="1519"/>
    <cellStyle name="Calculation 2 3 35" xfId="1520"/>
    <cellStyle name="Calculation 2 3 35 2" xfId="1521"/>
    <cellStyle name="Calculation 2 3 35 2 2" xfId="1522"/>
    <cellStyle name="Calculation 2 3 35 2 2 2" xfId="1523"/>
    <cellStyle name="Calculation 2 3 35 2 3" xfId="1524"/>
    <cellStyle name="Calculation 2 3 35 3" xfId="1525"/>
    <cellStyle name="Calculation 2 3 35 3 2" xfId="1526"/>
    <cellStyle name="Calculation 2 3 35 4" xfId="1527"/>
    <cellStyle name="Calculation 2 3 35 5" xfId="1528"/>
    <cellStyle name="Calculation 2 3 36" xfId="1529"/>
    <cellStyle name="Calculation 2 3 36 2" xfId="1530"/>
    <cellStyle name="Calculation 2 3 36 2 2" xfId="1531"/>
    <cellStyle name="Calculation 2 3 36 2 2 2" xfId="1532"/>
    <cellStyle name="Calculation 2 3 36 2 3" xfId="1533"/>
    <cellStyle name="Calculation 2 3 36 3" xfId="1534"/>
    <cellStyle name="Calculation 2 3 36 3 2" xfId="1535"/>
    <cellStyle name="Calculation 2 3 36 4" xfId="1536"/>
    <cellStyle name="Calculation 2 3 36 5" xfId="1537"/>
    <cellStyle name="Calculation 2 3 37" xfId="1538"/>
    <cellStyle name="Calculation 2 3 37 2" xfId="1539"/>
    <cellStyle name="Calculation 2 3 37 2 2" xfId="1540"/>
    <cellStyle name="Calculation 2 3 37 2 2 2" xfId="1541"/>
    <cellStyle name="Calculation 2 3 37 2 3" xfId="1542"/>
    <cellStyle name="Calculation 2 3 37 3" xfId="1543"/>
    <cellStyle name="Calculation 2 3 37 3 2" xfId="1544"/>
    <cellStyle name="Calculation 2 3 37 4" xfId="1545"/>
    <cellStyle name="Calculation 2 3 37 5" xfId="1546"/>
    <cellStyle name="Calculation 2 3 38" xfId="1547"/>
    <cellStyle name="Calculation 2 3 38 2" xfId="1548"/>
    <cellStyle name="Calculation 2 3 38 2 2" xfId="1549"/>
    <cellStyle name="Calculation 2 3 38 2 2 2" xfId="1550"/>
    <cellStyle name="Calculation 2 3 38 2 3" xfId="1551"/>
    <cellStyle name="Calculation 2 3 38 3" xfId="1552"/>
    <cellStyle name="Calculation 2 3 38 3 2" xfId="1553"/>
    <cellStyle name="Calculation 2 3 38 4" xfId="1554"/>
    <cellStyle name="Calculation 2 3 38 5" xfId="1555"/>
    <cellStyle name="Calculation 2 3 39" xfId="1556"/>
    <cellStyle name="Calculation 2 3 39 2" xfId="1557"/>
    <cellStyle name="Calculation 2 3 39 2 2" xfId="1558"/>
    <cellStyle name="Calculation 2 3 39 2 2 2" xfId="1559"/>
    <cellStyle name="Calculation 2 3 39 2 3" xfId="1560"/>
    <cellStyle name="Calculation 2 3 39 3" xfId="1561"/>
    <cellStyle name="Calculation 2 3 39 3 2" xfId="1562"/>
    <cellStyle name="Calculation 2 3 39 4" xfId="1563"/>
    <cellStyle name="Calculation 2 3 39 5" xfId="1564"/>
    <cellStyle name="Calculation 2 3 4" xfId="1565"/>
    <cellStyle name="Calculation 2 3 4 2" xfId="1566"/>
    <cellStyle name="Calculation 2 3 4 2 2" xfId="1567"/>
    <cellStyle name="Calculation 2 3 4 2 2 2" xfId="1568"/>
    <cellStyle name="Calculation 2 3 4 2 3" xfId="1569"/>
    <cellStyle name="Calculation 2 3 4 3" xfId="1570"/>
    <cellStyle name="Calculation 2 3 4 3 2" xfId="1571"/>
    <cellStyle name="Calculation 2 3 4 3 2 2" xfId="1572"/>
    <cellStyle name="Calculation 2 3 4 3 3" xfId="1573"/>
    <cellStyle name="Calculation 2 3 4 4" xfId="1574"/>
    <cellStyle name="Calculation 2 3 4 4 2" xfId="1575"/>
    <cellStyle name="Calculation 2 3 4 5" xfId="1576"/>
    <cellStyle name="Calculation 2 3 4 6" xfId="1577"/>
    <cellStyle name="Calculation 2 3 40" xfId="1578"/>
    <cellStyle name="Calculation 2 3 40 2" xfId="1579"/>
    <cellStyle name="Calculation 2 3 40 2 2" xfId="1580"/>
    <cellStyle name="Calculation 2 3 40 2 2 2" xfId="1581"/>
    <cellStyle name="Calculation 2 3 40 2 3" xfId="1582"/>
    <cellStyle name="Calculation 2 3 40 3" xfId="1583"/>
    <cellStyle name="Calculation 2 3 40 3 2" xfId="1584"/>
    <cellStyle name="Calculation 2 3 40 4" xfId="1585"/>
    <cellStyle name="Calculation 2 3 40 5" xfId="1586"/>
    <cellStyle name="Calculation 2 3 41" xfId="1587"/>
    <cellStyle name="Calculation 2 3 41 2" xfId="1588"/>
    <cellStyle name="Calculation 2 3 41 2 2" xfId="1589"/>
    <cellStyle name="Calculation 2 3 41 2 2 2" xfId="1590"/>
    <cellStyle name="Calculation 2 3 41 2 3" xfId="1591"/>
    <cellStyle name="Calculation 2 3 41 3" xfId="1592"/>
    <cellStyle name="Calculation 2 3 41 3 2" xfId="1593"/>
    <cellStyle name="Calculation 2 3 41 4" xfId="1594"/>
    <cellStyle name="Calculation 2 3 41 5" xfId="1595"/>
    <cellStyle name="Calculation 2 3 42" xfId="1596"/>
    <cellStyle name="Calculation 2 3 42 2" xfId="1597"/>
    <cellStyle name="Calculation 2 3 42 2 2" xfId="1598"/>
    <cellStyle name="Calculation 2 3 42 2 2 2" xfId="1599"/>
    <cellStyle name="Calculation 2 3 42 2 3" xfId="1600"/>
    <cellStyle name="Calculation 2 3 42 3" xfId="1601"/>
    <cellStyle name="Calculation 2 3 42 3 2" xfId="1602"/>
    <cellStyle name="Calculation 2 3 42 4" xfId="1603"/>
    <cellStyle name="Calculation 2 3 42 5" xfId="1604"/>
    <cellStyle name="Calculation 2 3 43" xfId="1605"/>
    <cellStyle name="Calculation 2 3 43 2" xfId="1606"/>
    <cellStyle name="Calculation 2 3 43 2 2" xfId="1607"/>
    <cellStyle name="Calculation 2 3 43 2 2 2" xfId="1608"/>
    <cellStyle name="Calculation 2 3 43 2 3" xfId="1609"/>
    <cellStyle name="Calculation 2 3 43 3" xfId="1610"/>
    <cellStyle name="Calculation 2 3 43 3 2" xfId="1611"/>
    <cellStyle name="Calculation 2 3 43 4" xfId="1612"/>
    <cellStyle name="Calculation 2 3 43 5" xfId="1613"/>
    <cellStyle name="Calculation 2 3 44" xfId="1614"/>
    <cellStyle name="Calculation 2 3 44 2" xfId="1615"/>
    <cellStyle name="Calculation 2 3 44 2 2" xfId="1616"/>
    <cellStyle name="Calculation 2 3 44 2 2 2" xfId="1617"/>
    <cellStyle name="Calculation 2 3 44 2 3" xfId="1618"/>
    <cellStyle name="Calculation 2 3 44 3" xfId="1619"/>
    <cellStyle name="Calculation 2 3 44 3 2" xfId="1620"/>
    <cellStyle name="Calculation 2 3 44 4" xfId="1621"/>
    <cellStyle name="Calculation 2 3 44 5" xfId="1622"/>
    <cellStyle name="Calculation 2 3 45" xfId="1623"/>
    <cellStyle name="Calculation 2 3 45 2" xfId="1624"/>
    <cellStyle name="Calculation 2 3 45 2 2" xfId="1625"/>
    <cellStyle name="Calculation 2 3 45 2 2 2" xfId="1626"/>
    <cellStyle name="Calculation 2 3 45 2 3" xfId="1627"/>
    <cellStyle name="Calculation 2 3 45 3" xfId="1628"/>
    <cellStyle name="Calculation 2 3 45 3 2" xfId="1629"/>
    <cellStyle name="Calculation 2 3 45 4" xfId="1630"/>
    <cellStyle name="Calculation 2 3 45 5" xfId="1631"/>
    <cellStyle name="Calculation 2 3 46" xfId="1632"/>
    <cellStyle name="Calculation 2 3 46 2" xfId="1633"/>
    <cellStyle name="Calculation 2 3 46 2 2" xfId="1634"/>
    <cellStyle name="Calculation 2 3 46 2 2 2" xfId="1635"/>
    <cellStyle name="Calculation 2 3 46 2 3" xfId="1636"/>
    <cellStyle name="Calculation 2 3 46 3" xfId="1637"/>
    <cellStyle name="Calculation 2 3 46 3 2" xfId="1638"/>
    <cellStyle name="Calculation 2 3 46 4" xfId="1639"/>
    <cellStyle name="Calculation 2 3 46 5" xfId="1640"/>
    <cellStyle name="Calculation 2 3 47" xfId="1641"/>
    <cellStyle name="Calculation 2 3 47 2" xfId="1642"/>
    <cellStyle name="Calculation 2 3 47 2 2" xfId="1643"/>
    <cellStyle name="Calculation 2 3 47 2 2 2" xfId="1644"/>
    <cellStyle name="Calculation 2 3 47 2 3" xfId="1645"/>
    <cellStyle name="Calculation 2 3 47 3" xfId="1646"/>
    <cellStyle name="Calculation 2 3 47 3 2" xfId="1647"/>
    <cellStyle name="Calculation 2 3 47 4" xfId="1648"/>
    <cellStyle name="Calculation 2 3 47 5" xfId="1649"/>
    <cellStyle name="Calculation 2 3 48" xfId="1650"/>
    <cellStyle name="Calculation 2 3 48 2" xfId="1651"/>
    <cellStyle name="Calculation 2 3 48 2 2" xfId="1652"/>
    <cellStyle name="Calculation 2 3 48 2 2 2" xfId="1653"/>
    <cellStyle name="Calculation 2 3 48 2 3" xfId="1654"/>
    <cellStyle name="Calculation 2 3 48 3" xfId="1655"/>
    <cellStyle name="Calculation 2 3 48 3 2" xfId="1656"/>
    <cellStyle name="Calculation 2 3 48 4" xfId="1657"/>
    <cellStyle name="Calculation 2 3 48 5" xfId="1658"/>
    <cellStyle name="Calculation 2 3 49" xfId="1659"/>
    <cellStyle name="Calculation 2 3 49 2" xfId="1660"/>
    <cellStyle name="Calculation 2 3 49 2 2" xfId="1661"/>
    <cellStyle name="Calculation 2 3 49 3" xfId="1662"/>
    <cellStyle name="Calculation 2 3 5" xfId="1663"/>
    <cellStyle name="Calculation 2 3 5 2" xfId="1664"/>
    <cellStyle name="Calculation 2 3 5 2 2" xfId="1665"/>
    <cellStyle name="Calculation 2 3 5 2 2 2" xfId="1666"/>
    <cellStyle name="Calculation 2 3 5 2 3" xfId="1667"/>
    <cellStyle name="Calculation 2 3 5 3" xfId="1668"/>
    <cellStyle name="Calculation 2 3 5 3 2" xfId="1669"/>
    <cellStyle name="Calculation 2 3 5 3 2 2" xfId="1670"/>
    <cellStyle name="Calculation 2 3 5 3 3" xfId="1671"/>
    <cellStyle name="Calculation 2 3 5 4" xfId="1672"/>
    <cellStyle name="Calculation 2 3 5 4 2" xfId="1673"/>
    <cellStyle name="Calculation 2 3 5 5" xfId="1674"/>
    <cellStyle name="Calculation 2 3 5 6" xfId="1675"/>
    <cellStyle name="Calculation 2 3 50" xfId="1676"/>
    <cellStyle name="Calculation 2 3 50 2" xfId="1677"/>
    <cellStyle name="Calculation 2 3 50 2 2" xfId="1678"/>
    <cellStyle name="Calculation 2 3 50 3" xfId="1679"/>
    <cellStyle name="Calculation 2 3 51" xfId="1680"/>
    <cellStyle name="Calculation 2 3 51 2" xfId="1681"/>
    <cellStyle name="Calculation 2 3 51 2 2" xfId="1682"/>
    <cellStyle name="Calculation 2 3 51 3" xfId="1683"/>
    <cellStyle name="Calculation 2 3 52" xfId="1684"/>
    <cellStyle name="Calculation 2 3 52 2" xfId="1685"/>
    <cellStyle name="Calculation 2 3 53" xfId="1686"/>
    <cellStyle name="Calculation 2 3 54" xfId="1687"/>
    <cellStyle name="Calculation 2 3 6" xfId="1688"/>
    <cellStyle name="Calculation 2 3 6 2" xfId="1689"/>
    <cellStyle name="Calculation 2 3 6 2 2" xfId="1690"/>
    <cellStyle name="Calculation 2 3 6 2 2 2" xfId="1691"/>
    <cellStyle name="Calculation 2 3 6 2 3" xfId="1692"/>
    <cellStyle name="Calculation 2 3 6 3" xfId="1693"/>
    <cellStyle name="Calculation 2 3 6 3 2" xfId="1694"/>
    <cellStyle name="Calculation 2 3 6 3 2 2" xfId="1695"/>
    <cellStyle name="Calculation 2 3 6 3 3" xfId="1696"/>
    <cellStyle name="Calculation 2 3 6 4" xfId="1697"/>
    <cellStyle name="Calculation 2 3 6 4 2" xfId="1698"/>
    <cellStyle name="Calculation 2 3 6 5" xfId="1699"/>
    <cellStyle name="Calculation 2 3 6 6" xfId="1700"/>
    <cellStyle name="Calculation 2 3 7" xfId="1701"/>
    <cellStyle name="Calculation 2 3 7 2" xfId="1702"/>
    <cellStyle name="Calculation 2 3 7 2 2" xfId="1703"/>
    <cellStyle name="Calculation 2 3 7 2 2 2" xfId="1704"/>
    <cellStyle name="Calculation 2 3 7 2 3" xfId="1705"/>
    <cellStyle name="Calculation 2 3 7 3" xfId="1706"/>
    <cellStyle name="Calculation 2 3 7 3 2" xfId="1707"/>
    <cellStyle name="Calculation 2 3 7 3 2 2" xfId="1708"/>
    <cellStyle name="Calculation 2 3 7 3 3" xfId="1709"/>
    <cellStyle name="Calculation 2 3 7 4" xfId="1710"/>
    <cellStyle name="Calculation 2 3 7 4 2" xfId="1711"/>
    <cellStyle name="Calculation 2 3 7 5" xfId="1712"/>
    <cellStyle name="Calculation 2 3 7 6" xfId="1713"/>
    <cellStyle name="Calculation 2 3 8" xfId="1714"/>
    <cellStyle name="Calculation 2 3 8 2" xfId="1715"/>
    <cellStyle name="Calculation 2 3 8 2 2" xfId="1716"/>
    <cellStyle name="Calculation 2 3 8 2 2 2" xfId="1717"/>
    <cellStyle name="Calculation 2 3 8 2 3" xfId="1718"/>
    <cellStyle name="Calculation 2 3 8 3" xfId="1719"/>
    <cellStyle name="Calculation 2 3 8 3 2" xfId="1720"/>
    <cellStyle name="Calculation 2 3 8 3 2 2" xfId="1721"/>
    <cellStyle name="Calculation 2 3 8 3 3" xfId="1722"/>
    <cellStyle name="Calculation 2 3 8 4" xfId="1723"/>
    <cellStyle name="Calculation 2 3 8 4 2" xfId="1724"/>
    <cellStyle name="Calculation 2 3 8 5" xfId="1725"/>
    <cellStyle name="Calculation 2 3 8 6" xfId="1726"/>
    <cellStyle name="Calculation 2 3 9" xfId="1727"/>
    <cellStyle name="Calculation 2 3 9 2" xfId="1728"/>
    <cellStyle name="Calculation 2 3 9 2 2" xfId="1729"/>
    <cellStyle name="Calculation 2 3 9 2 2 2" xfId="1730"/>
    <cellStyle name="Calculation 2 3 9 2 3" xfId="1731"/>
    <cellStyle name="Calculation 2 3 9 3" xfId="1732"/>
    <cellStyle name="Calculation 2 3 9 3 2" xfId="1733"/>
    <cellStyle name="Calculation 2 3 9 4" xfId="1734"/>
    <cellStyle name="Calculation 2 3 9 5" xfId="1735"/>
    <cellStyle name="Calculation 2 4" xfId="1736"/>
    <cellStyle name="Calculation 2 4 10" xfId="1737"/>
    <cellStyle name="Calculation 2 4 10 2" xfId="1738"/>
    <cellStyle name="Calculation 2 4 10 2 2" xfId="1739"/>
    <cellStyle name="Calculation 2 4 10 2 2 2" xfId="1740"/>
    <cellStyle name="Calculation 2 4 10 2 3" xfId="1741"/>
    <cellStyle name="Calculation 2 4 10 3" xfId="1742"/>
    <cellStyle name="Calculation 2 4 10 3 2" xfId="1743"/>
    <cellStyle name="Calculation 2 4 10 4" xfId="1744"/>
    <cellStyle name="Calculation 2 4 10 5" xfId="1745"/>
    <cellStyle name="Calculation 2 4 11" xfId="1746"/>
    <cellStyle name="Calculation 2 4 11 2" xfId="1747"/>
    <cellStyle name="Calculation 2 4 11 2 2" xfId="1748"/>
    <cellStyle name="Calculation 2 4 11 2 2 2" xfId="1749"/>
    <cellStyle name="Calculation 2 4 11 2 3" xfId="1750"/>
    <cellStyle name="Calculation 2 4 11 3" xfId="1751"/>
    <cellStyle name="Calculation 2 4 11 3 2" xfId="1752"/>
    <cellStyle name="Calculation 2 4 11 4" xfId="1753"/>
    <cellStyle name="Calculation 2 4 11 5" xfId="1754"/>
    <cellStyle name="Calculation 2 4 12" xfId="1755"/>
    <cellStyle name="Calculation 2 4 12 2" xfId="1756"/>
    <cellStyle name="Calculation 2 4 12 2 2" xfId="1757"/>
    <cellStyle name="Calculation 2 4 12 2 2 2" xfId="1758"/>
    <cellStyle name="Calculation 2 4 12 2 3" xfId="1759"/>
    <cellStyle name="Calculation 2 4 12 3" xfId="1760"/>
    <cellStyle name="Calculation 2 4 12 3 2" xfId="1761"/>
    <cellStyle name="Calculation 2 4 12 4" xfId="1762"/>
    <cellStyle name="Calculation 2 4 12 5" xfId="1763"/>
    <cellStyle name="Calculation 2 4 13" xfId="1764"/>
    <cellStyle name="Calculation 2 4 13 2" xfId="1765"/>
    <cellStyle name="Calculation 2 4 13 2 2" xfId="1766"/>
    <cellStyle name="Calculation 2 4 13 2 2 2" xfId="1767"/>
    <cellStyle name="Calculation 2 4 13 2 3" xfId="1768"/>
    <cellStyle name="Calculation 2 4 13 3" xfId="1769"/>
    <cellStyle name="Calculation 2 4 13 3 2" xfId="1770"/>
    <cellStyle name="Calculation 2 4 13 4" xfId="1771"/>
    <cellStyle name="Calculation 2 4 13 5" xfId="1772"/>
    <cellStyle name="Calculation 2 4 14" xfId="1773"/>
    <cellStyle name="Calculation 2 4 14 2" xfId="1774"/>
    <cellStyle name="Calculation 2 4 14 2 2" xfId="1775"/>
    <cellStyle name="Calculation 2 4 14 2 2 2" xfId="1776"/>
    <cellStyle name="Calculation 2 4 14 2 3" xfId="1777"/>
    <cellStyle name="Calculation 2 4 14 3" xfId="1778"/>
    <cellStyle name="Calculation 2 4 14 3 2" xfId="1779"/>
    <cellStyle name="Calculation 2 4 14 4" xfId="1780"/>
    <cellStyle name="Calculation 2 4 14 5" xfId="1781"/>
    <cellStyle name="Calculation 2 4 15" xfId="1782"/>
    <cellStyle name="Calculation 2 4 15 2" xfId="1783"/>
    <cellStyle name="Calculation 2 4 15 2 2" xfId="1784"/>
    <cellStyle name="Calculation 2 4 15 2 2 2" xfId="1785"/>
    <cellStyle name="Calculation 2 4 15 2 3" xfId="1786"/>
    <cellStyle name="Calculation 2 4 15 3" xfId="1787"/>
    <cellStyle name="Calculation 2 4 15 3 2" xfId="1788"/>
    <cellStyle name="Calculation 2 4 15 4" xfId="1789"/>
    <cellStyle name="Calculation 2 4 15 5" xfId="1790"/>
    <cellStyle name="Calculation 2 4 16" xfId="1791"/>
    <cellStyle name="Calculation 2 4 16 2" xfId="1792"/>
    <cellStyle name="Calculation 2 4 16 2 2" xfId="1793"/>
    <cellStyle name="Calculation 2 4 16 2 2 2" xfId="1794"/>
    <cellStyle name="Calculation 2 4 16 2 3" xfId="1795"/>
    <cellStyle name="Calculation 2 4 16 3" xfId="1796"/>
    <cellStyle name="Calculation 2 4 16 3 2" xfId="1797"/>
    <cellStyle name="Calculation 2 4 16 4" xfId="1798"/>
    <cellStyle name="Calculation 2 4 16 5" xfId="1799"/>
    <cellStyle name="Calculation 2 4 17" xfId="1800"/>
    <cellStyle name="Calculation 2 4 17 2" xfId="1801"/>
    <cellStyle name="Calculation 2 4 17 2 2" xfId="1802"/>
    <cellStyle name="Calculation 2 4 17 2 2 2" xfId="1803"/>
    <cellStyle name="Calculation 2 4 17 2 3" xfId="1804"/>
    <cellStyle name="Calculation 2 4 17 3" xfId="1805"/>
    <cellStyle name="Calculation 2 4 17 3 2" xfId="1806"/>
    <cellStyle name="Calculation 2 4 17 4" xfId="1807"/>
    <cellStyle name="Calculation 2 4 17 5" xfId="1808"/>
    <cellStyle name="Calculation 2 4 18" xfId="1809"/>
    <cellStyle name="Calculation 2 4 18 2" xfId="1810"/>
    <cellStyle name="Calculation 2 4 18 2 2" xfId="1811"/>
    <cellStyle name="Calculation 2 4 18 2 2 2" xfId="1812"/>
    <cellStyle name="Calculation 2 4 18 2 3" xfId="1813"/>
    <cellStyle name="Calculation 2 4 18 3" xfId="1814"/>
    <cellStyle name="Calculation 2 4 18 3 2" xfId="1815"/>
    <cellStyle name="Calculation 2 4 18 4" xfId="1816"/>
    <cellStyle name="Calculation 2 4 18 5" xfId="1817"/>
    <cellStyle name="Calculation 2 4 19" xfId="1818"/>
    <cellStyle name="Calculation 2 4 19 2" xfId="1819"/>
    <cellStyle name="Calculation 2 4 19 2 2" xfId="1820"/>
    <cellStyle name="Calculation 2 4 19 2 2 2" xfId="1821"/>
    <cellStyle name="Calculation 2 4 19 2 3" xfId="1822"/>
    <cellStyle name="Calculation 2 4 19 3" xfId="1823"/>
    <cellStyle name="Calculation 2 4 19 3 2" xfId="1824"/>
    <cellStyle name="Calculation 2 4 19 4" xfId="1825"/>
    <cellStyle name="Calculation 2 4 19 5" xfId="1826"/>
    <cellStyle name="Calculation 2 4 2" xfId="1827"/>
    <cellStyle name="Calculation 2 4 2 2" xfId="1828"/>
    <cellStyle name="Calculation 2 4 2 2 2" xfId="1829"/>
    <cellStyle name="Calculation 2 4 2 2 2 2" xfId="1830"/>
    <cellStyle name="Calculation 2 4 2 2 3" xfId="1831"/>
    <cellStyle name="Calculation 2 4 2 3" xfId="1832"/>
    <cellStyle name="Calculation 2 4 2 3 2" xfId="1833"/>
    <cellStyle name="Calculation 2 4 2 3 2 2" xfId="1834"/>
    <cellStyle name="Calculation 2 4 2 3 3" xfId="1835"/>
    <cellStyle name="Calculation 2 4 2 4" xfId="1836"/>
    <cellStyle name="Calculation 2 4 2 4 2" xfId="1837"/>
    <cellStyle name="Calculation 2 4 2 5" xfId="1838"/>
    <cellStyle name="Calculation 2 4 2 6" xfId="1839"/>
    <cellStyle name="Calculation 2 4 20" xfId="1840"/>
    <cellStyle name="Calculation 2 4 20 2" xfId="1841"/>
    <cellStyle name="Calculation 2 4 20 2 2" xfId="1842"/>
    <cellStyle name="Calculation 2 4 20 2 2 2" xfId="1843"/>
    <cellStyle name="Calculation 2 4 20 2 3" xfId="1844"/>
    <cellStyle name="Calculation 2 4 20 3" xfId="1845"/>
    <cellStyle name="Calculation 2 4 20 3 2" xfId="1846"/>
    <cellStyle name="Calculation 2 4 20 4" xfId="1847"/>
    <cellStyle name="Calculation 2 4 20 5" xfId="1848"/>
    <cellStyle name="Calculation 2 4 21" xfId="1849"/>
    <cellStyle name="Calculation 2 4 21 2" xfId="1850"/>
    <cellStyle name="Calculation 2 4 21 2 2" xfId="1851"/>
    <cellStyle name="Calculation 2 4 21 2 2 2" xfId="1852"/>
    <cellStyle name="Calculation 2 4 21 2 3" xfId="1853"/>
    <cellStyle name="Calculation 2 4 21 3" xfId="1854"/>
    <cellStyle name="Calculation 2 4 21 3 2" xfId="1855"/>
    <cellStyle name="Calculation 2 4 21 4" xfId="1856"/>
    <cellStyle name="Calculation 2 4 21 5" xfId="1857"/>
    <cellStyle name="Calculation 2 4 22" xfId="1858"/>
    <cellStyle name="Calculation 2 4 22 2" xfId="1859"/>
    <cellStyle name="Calculation 2 4 22 2 2" xfId="1860"/>
    <cellStyle name="Calculation 2 4 22 2 2 2" xfId="1861"/>
    <cellStyle name="Calculation 2 4 22 2 3" xfId="1862"/>
    <cellStyle name="Calculation 2 4 22 3" xfId="1863"/>
    <cellStyle name="Calculation 2 4 22 3 2" xfId="1864"/>
    <cellStyle name="Calculation 2 4 22 4" xfId="1865"/>
    <cellStyle name="Calculation 2 4 22 5" xfId="1866"/>
    <cellStyle name="Calculation 2 4 23" xfId="1867"/>
    <cellStyle name="Calculation 2 4 23 2" xfId="1868"/>
    <cellStyle name="Calculation 2 4 23 2 2" xfId="1869"/>
    <cellStyle name="Calculation 2 4 23 2 2 2" xfId="1870"/>
    <cellStyle name="Calculation 2 4 23 2 3" xfId="1871"/>
    <cellStyle name="Calculation 2 4 23 3" xfId="1872"/>
    <cellStyle name="Calculation 2 4 23 3 2" xfId="1873"/>
    <cellStyle name="Calculation 2 4 23 4" xfId="1874"/>
    <cellStyle name="Calculation 2 4 23 5" xfId="1875"/>
    <cellStyle name="Calculation 2 4 24" xfId="1876"/>
    <cellStyle name="Calculation 2 4 24 2" xfId="1877"/>
    <cellStyle name="Calculation 2 4 24 2 2" xfId="1878"/>
    <cellStyle name="Calculation 2 4 24 2 2 2" xfId="1879"/>
    <cellStyle name="Calculation 2 4 24 2 3" xfId="1880"/>
    <cellStyle name="Calculation 2 4 24 3" xfId="1881"/>
    <cellStyle name="Calculation 2 4 24 3 2" xfId="1882"/>
    <cellStyle name="Calculation 2 4 24 4" xfId="1883"/>
    <cellStyle name="Calculation 2 4 24 5" xfId="1884"/>
    <cellStyle name="Calculation 2 4 25" xfId="1885"/>
    <cellStyle name="Calculation 2 4 25 2" xfId="1886"/>
    <cellStyle name="Calculation 2 4 25 2 2" xfId="1887"/>
    <cellStyle name="Calculation 2 4 25 2 2 2" xfId="1888"/>
    <cellStyle name="Calculation 2 4 25 2 3" xfId="1889"/>
    <cellStyle name="Calculation 2 4 25 3" xfId="1890"/>
    <cellStyle name="Calculation 2 4 25 3 2" xfId="1891"/>
    <cellStyle name="Calculation 2 4 25 4" xfId="1892"/>
    <cellStyle name="Calculation 2 4 25 5" xfId="1893"/>
    <cellStyle name="Calculation 2 4 26" xfId="1894"/>
    <cellStyle name="Calculation 2 4 26 2" xfId="1895"/>
    <cellStyle name="Calculation 2 4 26 2 2" xfId="1896"/>
    <cellStyle name="Calculation 2 4 26 2 2 2" xfId="1897"/>
    <cellStyle name="Calculation 2 4 26 2 3" xfId="1898"/>
    <cellStyle name="Calculation 2 4 26 3" xfId="1899"/>
    <cellStyle name="Calculation 2 4 26 3 2" xfId="1900"/>
    <cellStyle name="Calculation 2 4 26 4" xfId="1901"/>
    <cellStyle name="Calculation 2 4 26 5" xfId="1902"/>
    <cellStyle name="Calculation 2 4 27" xfId="1903"/>
    <cellStyle name="Calculation 2 4 27 2" xfId="1904"/>
    <cellStyle name="Calculation 2 4 27 2 2" xfId="1905"/>
    <cellStyle name="Calculation 2 4 27 2 2 2" xfId="1906"/>
    <cellStyle name="Calculation 2 4 27 2 3" xfId="1907"/>
    <cellStyle name="Calculation 2 4 27 3" xfId="1908"/>
    <cellStyle name="Calculation 2 4 27 3 2" xfId="1909"/>
    <cellStyle name="Calculation 2 4 27 4" xfId="1910"/>
    <cellStyle name="Calculation 2 4 27 5" xfId="1911"/>
    <cellStyle name="Calculation 2 4 28" xfId="1912"/>
    <cellStyle name="Calculation 2 4 28 2" xfId="1913"/>
    <cellStyle name="Calculation 2 4 28 2 2" xfId="1914"/>
    <cellStyle name="Calculation 2 4 28 2 2 2" xfId="1915"/>
    <cellStyle name="Calculation 2 4 28 2 3" xfId="1916"/>
    <cellStyle name="Calculation 2 4 28 3" xfId="1917"/>
    <cellStyle name="Calculation 2 4 28 3 2" xfId="1918"/>
    <cellStyle name="Calculation 2 4 28 4" xfId="1919"/>
    <cellStyle name="Calculation 2 4 28 5" xfId="1920"/>
    <cellStyle name="Calculation 2 4 29" xfId="1921"/>
    <cellStyle name="Calculation 2 4 29 2" xfId="1922"/>
    <cellStyle name="Calculation 2 4 29 2 2" xfId="1923"/>
    <cellStyle name="Calculation 2 4 29 2 2 2" xfId="1924"/>
    <cellStyle name="Calculation 2 4 29 2 3" xfId="1925"/>
    <cellStyle name="Calculation 2 4 29 3" xfId="1926"/>
    <cellStyle name="Calculation 2 4 29 3 2" xfId="1927"/>
    <cellStyle name="Calculation 2 4 29 4" xfId="1928"/>
    <cellStyle name="Calculation 2 4 29 5" xfId="1929"/>
    <cellStyle name="Calculation 2 4 3" xfId="1930"/>
    <cellStyle name="Calculation 2 4 3 2" xfId="1931"/>
    <cellStyle name="Calculation 2 4 3 2 2" xfId="1932"/>
    <cellStyle name="Calculation 2 4 3 2 2 2" xfId="1933"/>
    <cellStyle name="Calculation 2 4 3 2 3" xfId="1934"/>
    <cellStyle name="Calculation 2 4 3 3" xfId="1935"/>
    <cellStyle name="Calculation 2 4 3 3 2" xfId="1936"/>
    <cellStyle name="Calculation 2 4 3 3 2 2" xfId="1937"/>
    <cellStyle name="Calculation 2 4 3 3 3" xfId="1938"/>
    <cellStyle name="Calculation 2 4 3 4" xfId="1939"/>
    <cellStyle name="Calculation 2 4 3 4 2" xfId="1940"/>
    <cellStyle name="Calculation 2 4 3 5" xfId="1941"/>
    <cellStyle name="Calculation 2 4 3 6" xfId="1942"/>
    <cellStyle name="Calculation 2 4 30" xfId="1943"/>
    <cellStyle name="Calculation 2 4 30 2" xfId="1944"/>
    <cellStyle name="Calculation 2 4 30 2 2" xfId="1945"/>
    <cellStyle name="Calculation 2 4 30 2 2 2" xfId="1946"/>
    <cellStyle name="Calculation 2 4 30 2 3" xfId="1947"/>
    <cellStyle name="Calculation 2 4 30 3" xfId="1948"/>
    <cellStyle name="Calculation 2 4 30 3 2" xfId="1949"/>
    <cellStyle name="Calculation 2 4 30 4" xfId="1950"/>
    <cellStyle name="Calculation 2 4 30 5" xfId="1951"/>
    <cellStyle name="Calculation 2 4 31" xfId="1952"/>
    <cellStyle name="Calculation 2 4 31 2" xfId="1953"/>
    <cellStyle name="Calculation 2 4 31 2 2" xfId="1954"/>
    <cellStyle name="Calculation 2 4 31 2 2 2" xfId="1955"/>
    <cellStyle name="Calculation 2 4 31 2 3" xfId="1956"/>
    <cellStyle name="Calculation 2 4 31 3" xfId="1957"/>
    <cellStyle name="Calculation 2 4 31 3 2" xfId="1958"/>
    <cellStyle name="Calculation 2 4 31 4" xfId="1959"/>
    <cellStyle name="Calculation 2 4 31 5" xfId="1960"/>
    <cellStyle name="Calculation 2 4 32" xfId="1961"/>
    <cellStyle name="Calculation 2 4 32 2" xfId="1962"/>
    <cellStyle name="Calculation 2 4 32 2 2" xfId="1963"/>
    <cellStyle name="Calculation 2 4 32 2 2 2" xfId="1964"/>
    <cellStyle name="Calculation 2 4 32 2 3" xfId="1965"/>
    <cellStyle name="Calculation 2 4 32 3" xfId="1966"/>
    <cellStyle name="Calculation 2 4 32 3 2" xfId="1967"/>
    <cellStyle name="Calculation 2 4 32 4" xfId="1968"/>
    <cellStyle name="Calculation 2 4 32 5" xfId="1969"/>
    <cellStyle name="Calculation 2 4 33" xfId="1970"/>
    <cellStyle name="Calculation 2 4 33 2" xfId="1971"/>
    <cellStyle name="Calculation 2 4 33 2 2" xfId="1972"/>
    <cellStyle name="Calculation 2 4 33 2 2 2" xfId="1973"/>
    <cellStyle name="Calculation 2 4 33 2 3" xfId="1974"/>
    <cellStyle name="Calculation 2 4 33 3" xfId="1975"/>
    <cellStyle name="Calculation 2 4 33 3 2" xfId="1976"/>
    <cellStyle name="Calculation 2 4 33 4" xfId="1977"/>
    <cellStyle name="Calculation 2 4 33 5" xfId="1978"/>
    <cellStyle name="Calculation 2 4 34" xfId="1979"/>
    <cellStyle name="Calculation 2 4 34 2" xfId="1980"/>
    <cellStyle name="Calculation 2 4 34 2 2" xfId="1981"/>
    <cellStyle name="Calculation 2 4 34 2 2 2" xfId="1982"/>
    <cellStyle name="Calculation 2 4 34 2 3" xfId="1983"/>
    <cellStyle name="Calculation 2 4 34 3" xfId="1984"/>
    <cellStyle name="Calculation 2 4 34 3 2" xfId="1985"/>
    <cellStyle name="Calculation 2 4 34 4" xfId="1986"/>
    <cellStyle name="Calculation 2 4 34 5" xfId="1987"/>
    <cellStyle name="Calculation 2 4 35" xfId="1988"/>
    <cellStyle name="Calculation 2 4 35 2" xfId="1989"/>
    <cellStyle name="Calculation 2 4 35 2 2" xfId="1990"/>
    <cellStyle name="Calculation 2 4 35 2 2 2" xfId="1991"/>
    <cellStyle name="Calculation 2 4 35 2 3" xfId="1992"/>
    <cellStyle name="Calculation 2 4 35 3" xfId="1993"/>
    <cellStyle name="Calculation 2 4 35 3 2" xfId="1994"/>
    <cellStyle name="Calculation 2 4 35 4" xfId="1995"/>
    <cellStyle name="Calculation 2 4 35 5" xfId="1996"/>
    <cellStyle name="Calculation 2 4 36" xfId="1997"/>
    <cellStyle name="Calculation 2 4 36 2" xfId="1998"/>
    <cellStyle name="Calculation 2 4 36 2 2" xfId="1999"/>
    <cellStyle name="Calculation 2 4 36 2 2 2" xfId="2000"/>
    <cellStyle name="Calculation 2 4 36 2 3" xfId="2001"/>
    <cellStyle name="Calculation 2 4 36 3" xfId="2002"/>
    <cellStyle name="Calculation 2 4 36 3 2" xfId="2003"/>
    <cellStyle name="Calculation 2 4 36 4" xfId="2004"/>
    <cellStyle name="Calculation 2 4 36 5" xfId="2005"/>
    <cellStyle name="Calculation 2 4 37" xfId="2006"/>
    <cellStyle name="Calculation 2 4 37 2" xfId="2007"/>
    <cellStyle name="Calculation 2 4 37 2 2" xfId="2008"/>
    <cellStyle name="Calculation 2 4 37 2 2 2" xfId="2009"/>
    <cellStyle name="Calculation 2 4 37 2 3" xfId="2010"/>
    <cellStyle name="Calculation 2 4 37 3" xfId="2011"/>
    <cellStyle name="Calculation 2 4 37 3 2" xfId="2012"/>
    <cellStyle name="Calculation 2 4 37 4" xfId="2013"/>
    <cellStyle name="Calculation 2 4 37 5" xfId="2014"/>
    <cellStyle name="Calculation 2 4 38" xfId="2015"/>
    <cellStyle name="Calculation 2 4 38 2" xfId="2016"/>
    <cellStyle name="Calculation 2 4 38 2 2" xfId="2017"/>
    <cellStyle name="Calculation 2 4 38 2 2 2" xfId="2018"/>
    <cellStyle name="Calculation 2 4 38 2 3" xfId="2019"/>
    <cellStyle name="Calculation 2 4 38 3" xfId="2020"/>
    <cellStyle name="Calculation 2 4 38 3 2" xfId="2021"/>
    <cellStyle name="Calculation 2 4 38 4" xfId="2022"/>
    <cellStyle name="Calculation 2 4 38 5" xfId="2023"/>
    <cellStyle name="Calculation 2 4 39" xfId="2024"/>
    <cellStyle name="Calculation 2 4 39 2" xfId="2025"/>
    <cellStyle name="Calculation 2 4 39 2 2" xfId="2026"/>
    <cellStyle name="Calculation 2 4 39 2 2 2" xfId="2027"/>
    <cellStyle name="Calculation 2 4 39 2 3" xfId="2028"/>
    <cellStyle name="Calculation 2 4 39 3" xfId="2029"/>
    <cellStyle name="Calculation 2 4 39 3 2" xfId="2030"/>
    <cellStyle name="Calculation 2 4 39 4" xfId="2031"/>
    <cellStyle name="Calculation 2 4 39 5" xfId="2032"/>
    <cellStyle name="Calculation 2 4 4" xfId="2033"/>
    <cellStyle name="Calculation 2 4 4 2" xfId="2034"/>
    <cellStyle name="Calculation 2 4 4 2 2" xfId="2035"/>
    <cellStyle name="Calculation 2 4 4 2 2 2" xfId="2036"/>
    <cellStyle name="Calculation 2 4 4 2 3" xfId="2037"/>
    <cellStyle name="Calculation 2 4 4 3" xfId="2038"/>
    <cellStyle name="Calculation 2 4 4 3 2" xfId="2039"/>
    <cellStyle name="Calculation 2 4 4 3 2 2" xfId="2040"/>
    <cellStyle name="Calculation 2 4 4 3 3" xfId="2041"/>
    <cellStyle name="Calculation 2 4 4 4" xfId="2042"/>
    <cellStyle name="Calculation 2 4 4 4 2" xfId="2043"/>
    <cellStyle name="Calculation 2 4 4 5" xfId="2044"/>
    <cellStyle name="Calculation 2 4 4 6" xfId="2045"/>
    <cellStyle name="Calculation 2 4 40" xfId="2046"/>
    <cellStyle name="Calculation 2 4 40 2" xfId="2047"/>
    <cellStyle name="Calculation 2 4 40 2 2" xfId="2048"/>
    <cellStyle name="Calculation 2 4 40 2 2 2" xfId="2049"/>
    <cellStyle name="Calculation 2 4 40 2 3" xfId="2050"/>
    <cellStyle name="Calculation 2 4 40 3" xfId="2051"/>
    <cellStyle name="Calculation 2 4 40 3 2" xfId="2052"/>
    <cellStyle name="Calculation 2 4 40 4" xfId="2053"/>
    <cellStyle name="Calculation 2 4 40 5" xfId="2054"/>
    <cellStyle name="Calculation 2 4 41" xfId="2055"/>
    <cellStyle name="Calculation 2 4 41 2" xfId="2056"/>
    <cellStyle name="Calculation 2 4 41 2 2" xfId="2057"/>
    <cellStyle name="Calculation 2 4 41 2 2 2" xfId="2058"/>
    <cellStyle name="Calculation 2 4 41 2 3" xfId="2059"/>
    <cellStyle name="Calculation 2 4 41 3" xfId="2060"/>
    <cellStyle name="Calculation 2 4 41 3 2" xfId="2061"/>
    <cellStyle name="Calculation 2 4 41 4" xfId="2062"/>
    <cellStyle name="Calculation 2 4 41 5" xfId="2063"/>
    <cellStyle name="Calculation 2 4 42" xfId="2064"/>
    <cellStyle name="Calculation 2 4 42 2" xfId="2065"/>
    <cellStyle name="Calculation 2 4 42 2 2" xfId="2066"/>
    <cellStyle name="Calculation 2 4 42 2 2 2" xfId="2067"/>
    <cellStyle name="Calculation 2 4 42 2 3" xfId="2068"/>
    <cellStyle name="Calculation 2 4 42 3" xfId="2069"/>
    <cellStyle name="Calculation 2 4 42 3 2" xfId="2070"/>
    <cellStyle name="Calculation 2 4 42 4" xfId="2071"/>
    <cellStyle name="Calculation 2 4 42 5" xfId="2072"/>
    <cellStyle name="Calculation 2 4 43" xfId="2073"/>
    <cellStyle name="Calculation 2 4 43 2" xfId="2074"/>
    <cellStyle name="Calculation 2 4 43 2 2" xfId="2075"/>
    <cellStyle name="Calculation 2 4 43 2 2 2" xfId="2076"/>
    <cellStyle name="Calculation 2 4 43 2 3" xfId="2077"/>
    <cellStyle name="Calculation 2 4 43 3" xfId="2078"/>
    <cellStyle name="Calculation 2 4 43 3 2" xfId="2079"/>
    <cellStyle name="Calculation 2 4 43 4" xfId="2080"/>
    <cellStyle name="Calculation 2 4 43 5" xfId="2081"/>
    <cellStyle name="Calculation 2 4 44" xfId="2082"/>
    <cellStyle name="Calculation 2 4 44 2" xfId="2083"/>
    <cellStyle name="Calculation 2 4 44 2 2" xfId="2084"/>
    <cellStyle name="Calculation 2 4 44 2 2 2" xfId="2085"/>
    <cellStyle name="Calculation 2 4 44 2 3" xfId="2086"/>
    <cellStyle name="Calculation 2 4 44 3" xfId="2087"/>
    <cellStyle name="Calculation 2 4 44 3 2" xfId="2088"/>
    <cellStyle name="Calculation 2 4 44 4" xfId="2089"/>
    <cellStyle name="Calculation 2 4 44 5" xfId="2090"/>
    <cellStyle name="Calculation 2 4 45" xfId="2091"/>
    <cellStyle name="Calculation 2 4 45 2" xfId="2092"/>
    <cellStyle name="Calculation 2 4 45 2 2" xfId="2093"/>
    <cellStyle name="Calculation 2 4 45 2 2 2" xfId="2094"/>
    <cellStyle name="Calculation 2 4 45 2 3" xfId="2095"/>
    <cellStyle name="Calculation 2 4 45 3" xfId="2096"/>
    <cellStyle name="Calculation 2 4 45 3 2" xfId="2097"/>
    <cellStyle name="Calculation 2 4 45 4" xfId="2098"/>
    <cellStyle name="Calculation 2 4 45 5" xfId="2099"/>
    <cellStyle name="Calculation 2 4 46" xfId="2100"/>
    <cellStyle name="Calculation 2 4 46 2" xfId="2101"/>
    <cellStyle name="Calculation 2 4 46 2 2" xfId="2102"/>
    <cellStyle name="Calculation 2 4 46 2 2 2" xfId="2103"/>
    <cellStyle name="Calculation 2 4 46 2 3" xfId="2104"/>
    <cellStyle name="Calculation 2 4 46 3" xfId="2105"/>
    <cellStyle name="Calculation 2 4 46 3 2" xfId="2106"/>
    <cellStyle name="Calculation 2 4 46 4" xfId="2107"/>
    <cellStyle name="Calculation 2 4 46 5" xfId="2108"/>
    <cellStyle name="Calculation 2 4 47" xfId="2109"/>
    <cellStyle name="Calculation 2 4 47 2" xfId="2110"/>
    <cellStyle name="Calculation 2 4 47 2 2" xfId="2111"/>
    <cellStyle name="Calculation 2 4 47 2 2 2" xfId="2112"/>
    <cellStyle name="Calculation 2 4 47 2 3" xfId="2113"/>
    <cellStyle name="Calculation 2 4 47 3" xfId="2114"/>
    <cellStyle name="Calculation 2 4 47 3 2" xfId="2115"/>
    <cellStyle name="Calculation 2 4 47 4" xfId="2116"/>
    <cellStyle name="Calculation 2 4 47 5" xfId="2117"/>
    <cellStyle name="Calculation 2 4 48" xfId="2118"/>
    <cellStyle name="Calculation 2 4 48 2" xfId="2119"/>
    <cellStyle name="Calculation 2 4 48 2 2" xfId="2120"/>
    <cellStyle name="Calculation 2 4 48 2 2 2" xfId="2121"/>
    <cellStyle name="Calculation 2 4 48 2 3" xfId="2122"/>
    <cellStyle name="Calculation 2 4 48 3" xfId="2123"/>
    <cellStyle name="Calculation 2 4 48 3 2" xfId="2124"/>
    <cellStyle name="Calculation 2 4 48 4" xfId="2125"/>
    <cellStyle name="Calculation 2 4 48 5" xfId="2126"/>
    <cellStyle name="Calculation 2 4 49" xfId="2127"/>
    <cellStyle name="Calculation 2 4 49 2" xfId="2128"/>
    <cellStyle name="Calculation 2 4 49 2 2" xfId="2129"/>
    <cellStyle name="Calculation 2 4 49 3" xfId="2130"/>
    <cellStyle name="Calculation 2 4 5" xfId="2131"/>
    <cellStyle name="Calculation 2 4 5 2" xfId="2132"/>
    <cellStyle name="Calculation 2 4 5 2 2" xfId="2133"/>
    <cellStyle name="Calculation 2 4 5 2 2 2" xfId="2134"/>
    <cellStyle name="Calculation 2 4 5 2 3" xfId="2135"/>
    <cellStyle name="Calculation 2 4 5 3" xfId="2136"/>
    <cellStyle name="Calculation 2 4 5 3 2" xfId="2137"/>
    <cellStyle name="Calculation 2 4 5 3 2 2" xfId="2138"/>
    <cellStyle name="Calculation 2 4 5 3 3" xfId="2139"/>
    <cellStyle name="Calculation 2 4 5 4" xfId="2140"/>
    <cellStyle name="Calculation 2 4 5 4 2" xfId="2141"/>
    <cellStyle name="Calculation 2 4 5 5" xfId="2142"/>
    <cellStyle name="Calculation 2 4 5 6" xfId="2143"/>
    <cellStyle name="Calculation 2 4 50" xfId="2144"/>
    <cellStyle name="Calculation 2 4 50 2" xfId="2145"/>
    <cellStyle name="Calculation 2 4 50 2 2" xfId="2146"/>
    <cellStyle name="Calculation 2 4 50 3" xfId="2147"/>
    <cellStyle name="Calculation 2 4 51" xfId="2148"/>
    <cellStyle name="Calculation 2 4 51 2" xfId="2149"/>
    <cellStyle name="Calculation 2 4 51 2 2" xfId="2150"/>
    <cellStyle name="Calculation 2 4 51 3" xfId="2151"/>
    <cellStyle name="Calculation 2 4 52" xfId="2152"/>
    <cellStyle name="Calculation 2 4 52 2" xfId="2153"/>
    <cellStyle name="Calculation 2 4 53" xfId="2154"/>
    <cellStyle name="Calculation 2 4 54" xfId="2155"/>
    <cellStyle name="Calculation 2 4 6" xfId="2156"/>
    <cellStyle name="Calculation 2 4 6 2" xfId="2157"/>
    <cellStyle name="Calculation 2 4 6 2 2" xfId="2158"/>
    <cellStyle name="Calculation 2 4 6 2 2 2" xfId="2159"/>
    <cellStyle name="Calculation 2 4 6 2 3" xfId="2160"/>
    <cellStyle name="Calculation 2 4 6 3" xfId="2161"/>
    <cellStyle name="Calculation 2 4 6 3 2" xfId="2162"/>
    <cellStyle name="Calculation 2 4 6 3 2 2" xfId="2163"/>
    <cellStyle name="Calculation 2 4 6 3 3" xfId="2164"/>
    <cellStyle name="Calculation 2 4 6 4" xfId="2165"/>
    <cellStyle name="Calculation 2 4 6 4 2" xfId="2166"/>
    <cellStyle name="Calculation 2 4 6 5" xfId="2167"/>
    <cellStyle name="Calculation 2 4 6 6" xfId="2168"/>
    <cellStyle name="Calculation 2 4 7" xfId="2169"/>
    <cellStyle name="Calculation 2 4 7 2" xfId="2170"/>
    <cellStyle name="Calculation 2 4 7 2 2" xfId="2171"/>
    <cellStyle name="Calculation 2 4 7 2 2 2" xfId="2172"/>
    <cellStyle name="Calculation 2 4 7 2 3" xfId="2173"/>
    <cellStyle name="Calculation 2 4 7 3" xfId="2174"/>
    <cellStyle name="Calculation 2 4 7 3 2" xfId="2175"/>
    <cellStyle name="Calculation 2 4 7 3 2 2" xfId="2176"/>
    <cellStyle name="Calculation 2 4 7 3 3" xfId="2177"/>
    <cellStyle name="Calculation 2 4 7 4" xfId="2178"/>
    <cellStyle name="Calculation 2 4 7 4 2" xfId="2179"/>
    <cellStyle name="Calculation 2 4 7 5" xfId="2180"/>
    <cellStyle name="Calculation 2 4 7 6" xfId="2181"/>
    <cellStyle name="Calculation 2 4 8" xfId="2182"/>
    <cellStyle name="Calculation 2 4 8 2" xfId="2183"/>
    <cellStyle name="Calculation 2 4 8 2 2" xfId="2184"/>
    <cellStyle name="Calculation 2 4 8 2 2 2" xfId="2185"/>
    <cellStyle name="Calculation 2 4 8 2 3" xfId="2186"/>
    <cellStyle name="Calculation 2 4 8 3" xfId="2187"/>
    <cellStyle name="Calculation 2 4 8 3 2" xfId="2188"/>
    <cellStyle name="Calculation 2 4 8 3 2 2" xfId="2189"/>
    <cellStyle name="Calculation 2 4 8 3 3" xfId="2190"/>
    <cellStyle name="Calculation 2 4 8 4" xfId="2191"/>
    <cellStyle name="Calculation 2 4 8 4 2" xfId="2192"/>
    <cellStyle name="Calculation 2 4 8 5" xfId="2193"/>
    <cellStyle name="Calculation 2 4 8 6" xfId="2194"/>
    <cellStyle name="Calculation 2 4 9" xfId="2195"/>
    <cellStyle name="Calculation 2 4 9 2" xfId="2196"/>
    <cellStyle name="Calculation 2 4 9 2 2" xfId="2197"/>
    <cellStyle name="Calculation 2 4 9 2 2 2" xfId="2198"/>
    <cellStyle name="Calculation 2 4 9 2 3" xfId="2199"/>
    <cellStyle name="Calculation 2 4 9 3" xfId="2200"/>
    <cellStyle name="Calculation 2 4 9 3 2" xfId="2201"/>
    <cellStyle name="Calculation 2 4 9 4" xfId="2202"/>
    <cellStyle name="Calculation 2 4 9 5" xfId="2203"/>
    <cellStyle name="Calculation 2 5" xfId="2204"/>
    <cellStyle name="Calculation 2 5 10" xfId="2205"/>
    <cellStyle name="Calculation 2 5 10 2" xfId="2206"/>
    <cellStyle name="Calculation 2 5 10 2 2" xfId="2207"/>
    <cellStyle name="Calculation 2 5 10 2 2 2" xfId="2208"/>
    <cellStyle name="Calculation 2 5 10 2 3" xfId="2209"/>
    <cellStyle name="Calculation 2 5 10 3" xfId="2210"/>
    <cellStyle name="Calculation 2 5 10 3 2" xfId="2211"/>
    <cellStyle name="Calculation 2 5 10 4" xfId="2212"/>
    <cellStyle name="Calculation 2 5 10 5" xfId="2213"/>
    <cellStyle name="Calculation 2 5 11" xfId="2214"/>
    <cellStyle name="Calculation 2 5 11 2" xfId="2215"/>
    <cellStyle name="Calculation 2 5 11 2 2" xfId="2216"/>
    <cellStyle name="Calculation 2 5 11 2 2 2" xfId="2217"/>
    <cellStyle name="Calculation 2 5 11 2 3" xfId="2218"/>
    <cellStyle name="Calculation 2 5 11 3" xfId="2219"/>
    <cellStyle name="Calculation 2 5 11 3 2" xfId="2220"/>
    <cellStyle name="Calculation 2 5 11 4" xfId="2221"/>
    <cellStyle name="Calculation 2 5 11 5" xfId="2222"/>
    <cellStyle name="Calculation 2 5 12" xfId="2223"/>
    <cellStyle name="Calculation 2 5 12 2" xfId="2224"/>
    <cellStyle name="Calculation 2 5 12 2 2" xfId="2225"/>
    <cellStyle name="Calculation 2 5 12 2 2 2" xfId="2226"/>
    <cellStyle name="Calculation 2 5 12 2 3" xfId="2227"/>
    <cellStyle name="Calculation 2 5 12 3" xfId="2228"/>
    <cellStyle name="Calculation 2 5 12 3 2" xfId="2229"/>
    <cellStyle name="Calculation 2 5 12 4" xfId="2230"/>
    <cellStyle name="Calculation 2 5 12 5" xfId="2231"/>
    <cellStyle name="Calculation 2 5 13" xfId="2232"/>
    <cellStyle name="Calculation 2 5 13 2" xfId="2233"/>
    <cellStyle name="Calculation 2 5 13 2 2" xfId="2234"/>
    <cellStyle name="Calculation 2 5 13 2 2 2" xfId="2235"/>
    <cellStyle name="Calculation 2 5 13 2 3" xfId="2236"/>
    <cellStyle name="Calculation 2 5 13 3" xfId="2237"/>
    <cellStyle name="Calculation 2 5 13 3 2" xfId="2238"/>
    <cellStyle name="Calculation 2 5 13 4" xfId="2239"/>
    <cellStyle name="Calculation 2 5 13 5" xfId="2240"/>
    <cellStyle name="Calculation 2 5 14" xfId="2241"/>
    <cellStyle name="Calculation 2 5 14 2" xfId="2242"/>
    <cellStyle name="Calculation 2 5 14 2 2" xfId="2243"/>
    <cellStyle name="Calculation 2 5 14 2 2 2" xfId="2244"/>
    <cellStyle name="Calculation 2 5 14 2 3" xfId="2245"/>
    <cellStyle name="Calculation 2 5 14 3" xfId="2246"/>
    <cellStyle name="Calculation 2 5 14 3 2" xfId="2247"/>
    <cellStyle name="Calculation 2 5 14 4" xfId="2248"/>
    <cellStyle name="Calculation 2 5 14 5" xfId="2249"/>
    <cellStyle name="Calculation 2 5 15" xfId="2250"/>
    <cellStyle name="Calculation 2 5 15 2" xfId="2251"/>
    <cellStyle name="Calculation 2 5 15 2 2" xfId="2252"/>
    <cellStyle name="Calculation 2 5 15 2 2 2" xfId="2253"/>
    <cellStyle name="Calculation 2 5 15 2 3" xfId="2254"/>
    <cellStyle name="Calculation 2 5 15 3" xfId="2255"/>
    <cellStyle name="Calculation 2 5 15 3 2" xfId="2256"/>
    <cellStyle name="Calculation 2 5 15 4" xfId="2257"/>
    <cellStyle name="Calculation 2 5 15 5" xfId="2258"/>
    <cellStyle name="Calculation 2 5 16" xfId="2259"/>
    <cellStyle name="Calculation 2 5 16 2" xfId="2260"/>
    <cellStyle name="Calculation 2 5 16 2 2" xfId="2261"/>
    <cellStyle name="Calculation 2 5 16 2 2 2" xfId="2262"/>
    <cellStyle name="Calculation 2 5 16 2 3" xfId="2263"/>
    <cellStyle name="Calculation 2 5 16 3" xfId="2264"/>
    <cellStyle name="Calculation 2 5 16 3 2" xfId="2265"/>
    <cellStyle name="Calculation 2 5 16 4" xfId="2266"/>
    <cellStyle name="Calculation 2 5 16 5" xfId="2267"/>
    <cellStyle name="Calculation 2 5 17" xfId="2268"/>
    <cellStyle name="Calculation 2 5 17 2" xfId="2269"/>
    <cellStyle name="Calculation 2 5 17 2 2" xfId="2270"/>
    <cellStyle name="Calculation 2 5 17 2 2 2" xfId="2271"/>
    <cellStyle name="Calculation 2 5 17 2 3" xfId="2272"/>
    <cellStyle name="Calculation 2 5 17 3" xfId="2273"/>
    <cellStyle name="Calculation 2 5 17 3 2" xfId="2274"/>
    <cellStyle name="Calculation 2 5 17 4" xfId="2275"/>
    <cellStyle name="Calculation 2 5 17 5" xfId="2276"/>
    <cellStyle name="Calculation 2 5 18" xfId="2277"/>
    <cellStyle name="Calculation 2 5 18 2" xfId="2278"/>
    <cellStyle name="Calculation 2 5 18 2 2" xfId="2279"/>
    <cellStyle name="Calculation 2 5 18 2 2 2" xfId="2280"/>
    <cellStyle name="Calculation 2 5 18 2 3" xfId="2281"/>
    <cellStyle name="Calculation 2 5 18 3" xfId="2282"/>
    <cellStyle name="Calculation 2 5 18 3 2" xfId="2283"/>
    <cellStyle name="Calculation 2 5 18 4" xfId="2284"/>
    <cellStyle name="Calculation 2 5 18 5" xfId="2285"/>
    <cellStyle name="Calculation 2 5 19" xfId="2286"/>
    <cellStyle name="Calculation 2 5 19 2" xfId="2287"/>
    <cellStyle name="Calculation 2 5 19 2 2" xfId="2288"/>
    <cellStyle name="Calculation 2 5 19 2 2 2" xfId="2289"/>
    <cellStyle name="Calculation 2 5 19 2 3" xfId="2290"/>
    <cellStyle name="Calculation 2 5 19 3" xfId="2291"/>
    <cellStyle name="Calculation 2 5 19 3 2" xfId="2292"/>
    <cellStyle name="Calculation 2 5 19 4" xfId="2293"/>
    <cellStyle name="Calculation 2 5 19 5" xfId="2294"/>
    <cellStyle name="Calculation 2 5 2" xfId="2295"/>
    <cellStyle name="Calculation 2 5 2 2" xfId="2296"/>
    <cellStyle name="Calculation 2 5 2 2 2" xfId="2297"/>
    <cellStyle name="Calculation 2 5 2 2 2 2" xfId="2298"/>
    <cellStyle name="Calculation 2 5 2 2 3" xfId="2299"/>
    <cellStyle name="Calculation 2 5 2 3" xfId="2300"/>
    <cellStyle name="Calculation 2 5 2 3 2" xfId="2301"/>
    <cellStyle name="Calculation 2 5 2 3 2 2" xfId="2302"/>
    <cellStyle name="Calculation 2 5 2 3 3" xfId="2303"/>
    <cellStyle name="Calculation 2 5 2 4" xfId="2304"/>
    <cellStyle name="Calculation 2 5 2 4 2" xfId="2305"/>
    <cellStyle name="Calculation 2 5 2 5" xfId="2306"/>
    <cellStyle name="Calculation 2 5 2 6" xfId="2307"/>
    <cellStyle name="Calculation 2 5 20" xfId="2308"/>
    <cellStyle name="Calculation 2 5 20 2" xfId="2309"/>
    <cellStyle name="Calculation 2 5 20 2 2" xfId="2310"/>
    <cellStyle name="Calculation 2 5 20 2 2 2" xfId="2311"/>
    <cellStyle name="Calculation 2 5 20 2 3" xfId="2312"/>
    <cellStyle name="Calculation 2 5 20 3" xfId="2313"/>
    <cellStyle name="Calculation 2 5 20 3 2" xfId="2314"/>
    <cellStyle name="Calculation 2 5 20 4" xfId="2315"/>
    <cellStyle name="Calculation 2 5 20 5" xfId="2316"/>
    <cellStyle name="Calculation 2 5 21" xfId="2317"/>
    <cellStyle name="Calculation 2 5 21 2" xfId="2318"/>
    <cellStyle name="Calculation 2 5 21 2 2" xfId="2319"/>
    <cellStyle name="Calculation 2 5 21 2 2 2" xfId="2320"/>
    <cellStyle name="Calculation 2 5 21 2 3" xfId="2321"/>
    <cellStyle name="Calculation 2 5 21 3" xfId="2322"/>
    <cellStyle name="Calculation 2 5 21 3 2" xfId="2323"/>
    <cellStyle name="Calculation 2 5 21 4" xfId="2324"/>
    <cellStyle name="Calculation 2 5 21 5" xfId="2325"/>
    <cellStyle name="Calculation 2 5 22" xfId="2326"/>
    <cellStyle name="Calculation 2 5 22 2" xfId="2327"/>
    <cellStyle name="Calculation 2 5 22 2 2" xfId="2328"/>
    <cellStyle name="Calculation 2 5 22 2 2 2" xfId="2329"/>
    <cellStyle name="Calculation 2 5 22 2 3" xfId="2330"/>
    <cellStyle name="Calculation 2 5 22 3" xfId="2331"/>
    <cellStyle name="Calculation 2 5 22 3 2" xfId="2332"/>
    <cellStyle name="Calculation 2 5 22 4" xfId="2333"/>
    <cellStyle name="Calculation 2 5 22 5" xfId="2334"/>
    <cellStyle name="Calculation 2 5 23" xfId="2335"/>
    <cellStyle name="Calculation 2 5 23 2" xfId="2336"/>
    <cellStyle name="Calculation 2 5 23 2 2" xfId="2337"/>
    <cellStyle name="Calculation 2 5 23 2 2 2" xfId="2338"/>
    <cellStyle name="Calculation 2 5 23 2 3" xfId="2339"/>
    <cellStyle name="Calculation 2 5 23 3" xfId="2340"/>
    <cellStyle name="Calculation 2 5 23 3 2" xfId="2341"/>
    <cellStyle name="Calculation 2 5 23 4" xfId="2342"/>
    <cellStyle name="Calculation 2 5 23 5" xfId="2343"/>
    <cellStyle name="Calculation 2 5 24" xfId="2344"/>
    <cellStyle name="Calculation 2 5 24 2" xfId="2345"/>
    <cellStyle name="Calculation 2 5 24 2 2" xfId="2346"/>
    <cellStyle name="Calculation 2 5 24 2 2 2" xfId="2347"/>
    <cellStyle name="Calculation 2 5 24 2 3" xfId="2348"/>
    <cellStyle name="Calculation 2 5 24 3" xfId="2349"/>
    <cellStyle name="Calculation 2 5 24 3 2" xfId="2350"/>
    <cellStyle name="Calculation 2 5 24 4" xfId="2351"/>
    <cellStyle name="Calculation 2 5 24 5" xfId="2352"/>
    <cellStyle name="Calculation 2 5 25" xfId="2353"/>
    <cellStyle name="Calculation 2 5 25 2" xfId="2354"/>
    <cellStyle name="Calculation 2 5 25 2 2" xfId="2355"/>
    <cellStyle name="Calculation 2 5 25 2 2 2" xfId="2356"/>
    <cellStyle name="Calculation 2 5 25 2 3" xfId="2357"/>
    <cellStyle name="Calculation 2 5 25 3" xfId="2358"/>
    <cellStyle name="Calculation 2 5 25 3 2" xfId="2359"/>
    <cellStyle name="Calculation 2 5 25 4" xfId="2360"/>
    <cellStyle name="Calculation 2 5 25 5" xfId="2361"/>
    <cellStyle name="Calculation 2 5 26" xfId="2362"/>
    <cellStyle name="Calculation 2 5 26 2" xfId="2363"/>
    <cellStyle name="Calculation 2 5 26 2 2" xfId="2364"/>
    <cellStyle name="Calculation 2 5 26 2 2 2" xfId="2365"/>
    <cellStyle name="Calculation 2 5 26 2 3" xfId="2366"/>
    <cellStyle name="Calculation 2 5 26 3" xfId="2367"/>
    <cellStyle name="Calculation 2 5 26 3 2" xfId="2368"/>
    <cellStyle name="Calculation 2 5 26 4" xfId="2369"/>
    <cellStyle name="Calculation 2 5 26 5" xfId="2370"/>
    <cellStyle name="Calculation 2 5 27" xfId="2371"/>
    <cellStyle name="Calculation 2 5 27 2" xfId="2372"/>
    <cellStyle name="Calculation 2 5 27 2 2" xfId="2373"/>
    <cellStyle name="Calculation 2 5 27 2 2 2" xfId="2374"/>
    <cellStyle name="Calculation 2 5 27 2 3" xfId="2375"/>
    <cellStyle name="Calculation 2 5 27 3" xfId="2376"/>
    <cellStyle name="Calculation 2 5 27 3 2" xfId="2377"/>
    <cellStyle name="Calculation 2 5 27 4" xfId="2378"/>
    <cellStyle name="Calculation 2 5 27 5" xfId="2379"/>
    <cellStyle name="Calculation 2 5 28" xfId="2380"/>
    <cellStyle name="Calculation 2 5 28 2" xfId="2381"/>
    <cellStyle name="Calculation 2 5 28 2 2" xfId="2382"/>
    <cellStyle name="Calculation 2 5 28 2 2 2" xfId="2383"/>
    <cellStyle name="Calculation 2 5 28 2 3" xfId="2384"/>
    <cellStyle name="Calculation 2 5 28 3" xfId="2385"/>
    <cellStyle name="Calculation 2 5 28 3 2" xfId="2386"/>
    <cellStyle name="Calculation 2 5 28 4" xfId="2387"/>
    <cellStyle name="Calculation 2 5 28 5" xfId="2388"/>
    <cellStyle name="Calculation 2 5 29" xfId="2389"/>
    <cellStyle name="Calculation 2 5 29 2" xfId="2390"/>
    <cellStyle name="Calculation 2 5 29 2 2" xfId="2391"/>
    <cellStyle name="Calculation 2 5 29 2 2 2" xfId="2392"/>
    <cellStyle name="Calculation 2 5 29 2 3" xfId="2393"/>
    <cellStyle name="Calculation 2 5 29 3" xfId="2394"/>
    <cellStyle name="Calculation 2 5 29 3 2" xfId="2395"/>
    <cellStyle name="Calculation 2 5 29 4" xfId="2396"/>
    <cellStyle name="Calculation 2 5 29 5" xfId="2397"/>
    <cellStyle name="Calculation 2 5 3" xfId="2398"/>
    <cellStyle name="Calculation 2 5 3 2" xfId="2399"/>
    <cellStyle name="Calculation 2 5 3 2 2" xfId="2400"/>
    <cellStyle name="Calculation 2 5 3 2 2 2" xfId="2401"/>
    <cellStyle name="Calculation 2 5 3 2 3" xfId="2402"/>
    <cellStyle name="Calculation 2 5 3 3" xfId="2403"/>
    <cellStyle name="Calculation 2 5 3 3 2" xfId="2404"/>
    <cellStyle name="Calculation 2 5 3 3 2 2" xfId="2405"/>
    <cellStyle name="Calculation 2 5 3 3 3" xfId="2406"/>
    <cellStyle name="Calculation 2 5 3 4" xfId="2407"/>
    <cellStyle name="Calculation 2 5 3 4 2" xfId="2408"/>
    <cellStyle name="Calculation 2 5 3 5" xfId="2409"/>
    <cellStyle name="Calculation 2 5 3 6" xfId="2410"/>
    <cellStyle name="Calculation 2 5 30" xfId="2411"/>
    <cellStyle name="Calculation 2 5 30 2" xfId="2412"/>
    <cellStyle name="Calculation 2 5 30 2 2" xfId="2413"/>
    <cellStyle name="Calculation 2 5 30 2 2 2" xfId="2414"/>
    <cellStyle name="Calculation 2 5 30 2 3" xfId="2415"/>
    <cellStyle name="Calculation 2 5 30 3" xfId="2416"/>
    <cellStyle name="Calculation 2 5 30 3 2" xfId="2417"/>
    <cellStyle name="Calculation 2 5 30 4" xfId="2418"/>
    <cellStyle name="Calculation 2 5 30 5" xfId="2419"/>
    <cellStyle name="Calculation 2 5 31" xfId="2420"/>
    <cellStyle name="Calculation 2 5 31 2" xfId="2421"/>
    <cellStyle name="Calculation 2 5 31 2 2" xfId="2422"/>
    <cellStyle name="Calculation 2 5 31 2 2 2" xfId="2423"/>
    <cellStyle name="Calculation 2 5 31 2 3" xfId="2424"/>
    <cellStyle name="Calculation 2 5 31 3" xfId="2425"/>
    <cellStyle name="Calculation 2 5 31 3 2" xfId="2426"/>
    <cellStyle name="Calculation 2 5 31 4" xfId="2427"/>
    <cellStyle name="Calculation 2 5 31 5" xfId="2428"/>
    <cellStyle name="Calculation 2 5 32" xfId="2429"/>
    <cellStyle name="Calculation 2 5 32 2" xfId="2430"/>
    <cellStyle name="Calculation 2 5 32 2 2" xfId="2431"/>
    <cellStyle name="Calculation 2 5 32 2 2 2" xfId="2432"/>
    <cellStyle name="Calculation 2 5 32 2 3" xfId="2433"/>
    <cellStyle name="Calculation 2 5 32 3" xfId="2434"/>
    <cellStyle name="Calculation 2 5 32 3 2" xfId="2435"/>
    <cellStyle name="Calculation 2 5 32 4" xfId="2436"/>
    <cellStyle name="Calculation 2 5 32 5" xfId="2437"/>
    <cellStyle name="Calculation 2 5 33" xfId="2438"/>
    <cellStyle name="Calculation 2 5 33 2" xfId="2439"/>
    <cellStyle name="Calculation 2 5 33 2 2" xfId="2440"/>
    <cellStyle name="Calculation 2 5 33 2 2 2" xfId="2441"/>
    <cellStyle name="Calculation 2 5 33 2 3" xfId="2442"/>
    <cellStyle name="Calculation 2 5 33 3" xfId="2443"/>
    <cellStyle name="Calculation 2 5 33 3 2" xfId="2444"/>
    <cellStyle name="Calculation 2 5 33 4" xfId="2445"/>
    <cellStyle name="Calculation 2 5 33 5" xfId="2446"/>
    <cellStyle name="Calculation 2 5 34" xfId="2447"/>
    <cellStyle name="Calculation 2 5 34 2" xfId="2448"/>
    <cellStyle name="Calculation 2 5 34 2 2" xfId="2449"/>
    <cellStyle name="Calculation 2 5 34 2 2 2" xfId="2450"/>
    <cellStyle name="Calculation 2 5 34 2 3" xfId="2451"/>
    <cellStyle name="Calculation 2 5 34 3" xfId="2452"/>
    <cellStyle name="Calculation 2 5 34 3 2" xfId="2453"/>
    <cellStyle name="Calculation 2 5 34 4" xfId="2454"/>
    <cellStyle name="Calculation 2 5 34 5" xfId="2455"/>
    <cellStyle name="Calculation 2 5 35" xfId="2456"/>
    <cellStyle name="Calculation 2 5 35 2" xfId="2457"/>
    <cellStyle name="Calculation 2 5 35 2 2" xfId="2458"/>
    <cellStyle name="Calculation 2 5 35 2 2 2" xfId="2459"/>
    <cellStyle name="Calculation 2 5 35 2 3" xfId="2460"/>
    <cellStyle name="Calculation 2 5 35 3" xfId="2461"/>
    <cellStyle name="Calculation 2 5 35 3 2" xfId="2462"/>
    <cellStyle name="Calculation 2 5 35 4" xfId="2463"/>
    <cellStyle name="Calculation 2 5 35 5" xfId="2464"/>
    <cellStyle name="Calculation 2 5 36" xfId="2465"/>
    <cellStyle name="Calculation 2 5 36 2" xfId="2466"/>
    <cellStyle name="Calculation 2 5 36 2 2" xfId="2467"/>
    <cellStyle name="Calculation 2 5 36 2 2 2" xfId="2468"/>
    <cellStyle name="Calculation 2 5 36 2 3" xfId="2469"/>
    <cellStyle name="Calculation 2 5 36 3" xfId="2470"/>
    <cellStyle name="Calculation 2 5 36 3 2" xfId="2471"/>
    <cellStyle name="Calculation 2 5 36 4" xfId="2472"/>
    <cellStyle name="Calculation 2 5 36 5" xfId="2473"/>
    <cellStyle name="Calculation 2 5 37" xfId="2474"/>
    <cellStyle name="Calculation 2 5 37 2" xfId="2475"/>
    <cellStyle name="Calculation 2 5 37 2 2" xfId="2476"/>
    <cellStyle name="Calculation 2 5 37 2 2 2" xfId="2477"/>
    <cellStyle name="Calculation 2 5 37 2 3" xfId="2478"/>
    <cellStyle name="Calculation 2 5 37 3" xfId="2479"/>
    <cellStyle name="Calculation 2 5 37 3 2" xfId="2480"/>
    <cellStyle name="Calculation 2 5 37 4" xfId="2481"/>
    <cellStyle name="Calculation 2 5 37 5" xfId="2482"/>
    <cellStyle name="Calculation 2 5 38" xfId="2483"/>
    <cellStyle name="Calculation 2 5 38 2" xfId="2484"/>
    <cellStyle name="Calculation 2 5 38 2 2" xfId="2485"/>
    <cellStyle name="Calculation 2 5 38 2 2 2" xfId="2486"/>
    <cellStyle name="Calculation 2 5 38 2 3" xfId="2487"/>
    <cellStyle name="Calculation 2 5 38 3" xfId="2488"/>
    <cellStyle name="Calculation 2 5 38 3 2" xfId="2489"/>
    <cellStyle name="Calculation 2 5 38 4" xfId="2490"/>
    <cellStyle name="Calculation 2 5 38 5" xfId="2491"/>
    <cellStyle name="Calculation 2 5 39" xfId="2492"/>
    <cellStyle name="Calculation 2 5 39 2" xfId="2493"/>
    <cellStyle name="Calculation 2 5 39 2 2" xfId="2494"/>
    <cellStyle name="Calculation 2 5 39 2 2 2" xfId="2495"/>
    <cellStyle name="Calculation 2 5 39 2 3" xfId="2496"/>
    <cellStyle name="Calculation 2 5 39 3" xfId="2497"/>
    <cellStyle name="Calculation 2 5 39 3 2" xfId="2498"/>
    <cellStyle name="Calculation 2 5 39 4" xfId="2499"/>
    <cellStyle name="Calculation 2 5 39 5" xfId="2500"/>
    <cellStyle name="Calculation 2 5 4" xfId="2501"/>
    <cellStyle name="Calculation 2 5 4 2" xfId="2502"/>
    <cellStyle name="Calculation 2 5 4 2 2" xfId="2503"/>
    <cellStyle name="Calculation 2 5 4 2 2 2" xfId="2504"/>
    <cellStyle name="Calculation 2 5 4 2 3" xfId="2505"/>
    <cellStyle name="Calculation 2 5 4 3" xfId="2506"/>
    <cellStyle name="Calculation 2 5 4 3 2" xfId="2507"/>
    <cellStyle name="Calculation 2 5 4 3 2 2" xfId="2508"/>
    <cellStyle name="Calculation 2 5 4 3 3" xfId="2509"/>
    <cellStyle name="Calculation 2 5 4 4" xfId="2510"/>
    <cellStyle name="Calculation 2 5 4 4 2" xfId="2511"/>
    <cellStyle name="Calculation 2 5 4 5" xfId="2512"/>
    <cellStyle name="Calculation 2 5 4 6" xfId="2513"/>
    <cellStyle name="Calculation 2 5 40" xfId="2514"/>
    <cellStyle name="Calculation 2 5 40 2" xfId="2515"/>
    <cellStyle name="Calculation 2 5 40 2 2" xfId="2516"/>
    <cellStyle name="Calculation 2 5 40 2 2 2" xfId="2517"/>
    <cellStyle name="Calculation 2 5 40 2 3" xfId="2518"/>
    <cellStyle name="Calculation 2 5 40 3" xfId="2519"/>
    <cellStyle name="Calculation 2 5 40 3 2" xfId="2520"/>
    <cellStyle name="Calculation 2 5 40 4" xfId="2521"/>
    <cellStyle name="Calculation 2 5 40 5" xfId="2522"/>
    <cellStyle name="Calculation 2 5 41" xfId="2523"/>
    <cellStyle name="Calculation 2 5 41 2" xfId="2524"/>
    <cellStyle name="Calculation 2 5 41 2 2" xfId="2525"/>
    <cellStyle name="Calculation 2 5 41 2 2 2" xfId="2526"/>
    <cellStyle name="Calculation 2 5 41 2 3" xfId="2527"/>
    <cellStyle name="Calculation 2 5 41 3" xfId="2528"/>
    <cellStyle name="Calculation 2 5 41 3 2" xfId="2529"/>
    <cellStyle name="Calculation 2 5 41 4" xfId="2530"/>
    <cellStyle name="Calculation 2 5 41 5" xfId="2531"/>
    <cellStyle name="Calculation 2 5 42" xfId="2532"/>
    <cellStyle name="Calculation 2 5 42 2" xfId="2533"/>
    <cellStyle name="Calculation 2 5 42 2 2" xfId="2534"/>
    <cellStyle name="Calculation 2 5 42 2 2 2" xfId="2535"/>
    <cellStyle name="Calculation 2 5 42 2 3" xfId="2536"/>
    <cellStyle name="Calculation 2 5 42 3" xfId="2537"/>
    <cellStyle name="Calculation 2 5 42 3 2" xfId="2538"/>
    <cellStyle name="Calculation 2 5 42 4" xfId="2539"/>
    <cellStyle name="Calculation 2 5 42 5" xfId="2540"/>
    <cellStyle name="Calculation 2 5 43" xfId="2541"/>
    <cellStyle name="Calculation 2 5 43 2" xfId="2542"/>
    <cellStyle name="Calculation 2 5 43 2 2" xfId="2543"/>
    <cellStyle name="Calculation 2 5 43 2 2 2" xfId="2544"/>
    <cellStyle name="Calculation 2 5 43 2 3" xfId="2545"/>
    <cellStyle name="Calculation 2 5 43 3" xfId="2546"/>
    <cellStyle name="Calculation 2 5 43 3 2" xfId="2547"/>
    <cellStyle name="Calculation 2 5 43 4" xfId="2548"/>
    <cellStyle name="Calculation 2 5 43 5" xfId="2549"/>
    <cellStyle name="Calculation 2 5 44" xfId="2550"/>
    <cellStyle name="Calculation 2 5 44 2" xfId="2551"/>
    <cellStyle name="Calculation 2 5 44 2 2" xfId="2552"/>
    <cellStyle name="Calculation 2 5 44 2 2 2" xfId="2553"/>
    <cellStyle name="Calculation 2 5 44 2 3" xfId="2554"/>
    <cellStyle name="Calculation 2 5 44 3" xfId="2555"/>
    <cellStyle name="Calculation 2 5 44 3 2" xfId="2556"/>
    <cellStyle name="Calculation 2 5 44 4" xfId="2557"/>
    <cellStyle name="Calculation 2 5 44 5" xfId="2558"/>
    <cellStyle name="Calculation 2 5 45" xfId="2559"/>
    <cellStyle name="Calculation 2 5 45 2" xfId="2560"/>
    <cellStyle name="Calculation 2 5 45 2 2" xfId="2561"/>
    <cellStyle name="Calculation 2 5 45 2 2 2" xfId="2562"/>
    <cellStyle name="Calculation 2 5 45 2 3" xfId="2563"/>
    <cellStyle name="Calculation 2 5 45 3" xfId="2564"/>
    <cellStyle name="Calculation 2 5 45 3 2" xfId="2565"/>
    <cellStyle name="Calculation 2 5 45 4" xfId="2566"/>
    <cellStyle name="Calculation 2 5 45 5" xfId="2567"/>
    <cellStyle name="Calculation 2 5 46" xfId="2568"/>
    <cellStyle name="Calculation 2 5 46 2" xfId="2569"/>
    <cellStyle name="Calculation 2 5 46 2 2" xfId="2570"/>
    <cellStyle name="Calculation 2 5 46 2 2 2" xfId="2571"/>
    <cellStyle name="Calculation 2 5 46 2 3" xfId="2572"/>
    <cellStyle name="Calculation 2 5 46 3" xfId="2573"/>
    <cellStyle name="Calculation 2 5 46 3 2" xfId="2574"/>
    <cellStyle name="Calculation 2 5 46 4" xfId="2575"/>
    <cellStyle name="Calculation 2 5 46 5" xfId="2576"/>
    <cellStyle name="Calculation 2 5 47" xfId="2577"/>
    <cellStyle name="Calculation 2 5 47 2" xfId="2578"/>
    <cellStyle name="Calculation 2 5 47 2 2" xfId="2579"/>
    <cellStyle name="Calculation 2 5 47 2 2 2" xfId="2580"/>
    <cellStyle name="Calculation 2 5 47 2 3" xfId="2581"/>
    <cellStyle name="Calculation 2 5 47 3" xfId="2582"/>
    <cellStyle name="Calculation 2 5 47 3 2" xfId="2583"/>
    <cellStyle name="Calculation 2 5 47 4" xfId="2584"/>
    <cellStyle name="Calculation 2 5 47 5" xfId="2585"/>
    <cellStyle name="Calculation 2 5 48" xfId="2586"/>
    <cellStyle name="Calculation 2 5 48 2" xfId="2587"/>
    <cellStyle name="Calculation 2 5 48 2 2" xfId="2588"/>
    <cellStyle name="Calculation 2 5 48 2 2 2" xfId="2589"/>
    <cellStyle name="Calculation 2 5 48 2 3" xfId="2590"/>
    <cellStyle name="Calculation 2 5 48 3" xfId="2591"/>
    <cellStyle name="Calculation 2 5 48 3 2" xfId="2592"/>
    <cellStyle name="Calculation 2 5 48 4" xfId="2593"/>
    <cellStyle name="Calculation 2 5 48 5" xfId="2594"/>
    <cellStyle name="Calculation 2 5 49" xfId="2595"/>
    <cellStyle name="Calculation 2 5 49 2" xfId="2596"/>
    <cellStyle name="Calculation 2 5 49 2 2" xfId="2597"/>
    <cellStyle name="Calculation 2 5 49 3" xfId="2598"/>
    <cellStyle name="Calculation 2 5 5" xfId="2599"/>
    <cellStyle name="Calculation 2 5 5 2" xfId="2600"/>
    <cellStyle name="Calculation 2 5 5 2 2" xfId="2601"/>
    <cellStyle name="Calculation 2 5 5 2 2 2" xfId="2602"/>
    <cellStyle name="Calculation 2 5 5 2 3" xfId="2603"/>
    <cellStyle name="Calculation 2 5 5 3" xfId="2604"/>
    <cellStyle name="Calculation 2 5 5 3 2" xfId="2605"/>
    <cellStyle name="Calculation 2 5 5 3 2 2" xfId="2606"/>
    <cellStyle name="Calculation 2 5 5 3 3" xfId="2607"/>
    <cellStyle name="Calculation 2 5 5 4" xfId="2608"/>
    <cellStyle name="Calculation 2 5 5 4 2" xfId="2609"/>
    <cellStyle name="Calculation 2 5 5 5" xfId="2610"/>
    <cellStyle name="Calculation 2 5 5 6" xfId="2611"/>
    <cellStyle name="Calculation 2 5 50" xfId="2612"/>
    <cellStyle name="Calculation 2 5 50 2" xfId="2613"/>
    <cellStyle name="Calculation 2 5 50 2 2" xfId="2614"/>
    <cellStyle name="Calculation 2 5 50 3" xfId="2615"/>
    <cellStyle name="Calculation 2 5 51" xfId="2616"/>
    <cellStyle name="Calculation 2 5 51 2" xfId="2617"/>
    <cellStyle name="Calculation 2 5 51 2 2" xfId="2618"/>
    <cellStyle name="Calculation 2 5 51 3" xfId="2619"/>
    <cellStyle name="Calculation 2 5 52" xfId="2620"/>
    <cellStyle name="Calculation 2 5 52 2" xfId="2621"/>
    <cellStyle name="Calculation 2 5 53" xfId="2622"/>
    <cellStyle name="Calculation 2 5 54" xfId="2623"/>
    <cellStyle name="Calculation 2 5 6" xfId="2624"/>
    <cellStyle name="Calculation 2 5 6 2" xfId="2625"/>
    <cellStyle name="Calculation 2 5 6 2 2" xfId="2626"/>
    <cellStyle name="Calculation 2 5 6 2 2 2" xfId="2627"/>
    <cellStyle name="Calculation 2 5 6 2 3" xfId="2628"/>
    <cellStyle name="Calculation 2 5 6 3" xfId="2629"/>
    <cellStyle name="Calculation 2 5 6 3 2" xfId="2630"/>
    <cellStyle name="Calculation 2 5 6 3 2 2" xfId="2631"/>
    <cellStyle name="Calculation 2 5 6 3 3" xfId="2632"/>
    <cellStyle name="Calculation 2 5 6 4" xfId="2633"/>
    <cellStyle name="Calculation 2 5 6 4 2" xfId="2634"/>
    <cellStyle name="Calculation 2 5 6 5" xfId="2635"/>
    <cellStyle name="Calculation 2 5 6 6" xfId="2636"/>
    <cellStyle name="Calculation 2 5 7" xfId="2637"/>
    <cellStyle name="Calculation 2 5 7 2" xfId="2638"/>
    <cellStyle name="Calculation 2 5 7 2 2" xfId="2639"/>
    <cellStyle name="Calculation 2 5 7 2 2 2" xfId="2640"/>
    <cellStyle name="Calculation 2 5 7 2 3" xfId="2641"/>
    <cellStyle name="Calculation 2 5 7 3" xfId="2642"/>
    <cellStyle name="Calculation 2 5 7 3 2" xfId="2643"/>
    <cellStyle name="Calculation 2 5 7 3 2 2" xfId="2644"/>
    <cellStyle name="Calculation 2 5 7 3 3" xfId="2645"/>
    <cellStyle name="Calculation 2 5 7 4" xfId="2646"/>
    <cellStyle name="Calculation 2 5 7 4 2" xfId="2647"/>
    <cellStyle name="Calculation 2 5 7 5" xfId="2648"/>
    <cellStyle name="Calculation 2 5 7 6" xfId="2649"/>
    <cellStyle name="Calculation 2 5 8" xfId="2650"/>
    <cellStyle name="Calculation 2 5 8 2" xfId="2651"/>
    <cellStyle name="Calculation 2 5 8 2 2" xfId="2652"/>
    <cellStyle name="Calculation 2 5 8 2 2 2" xfId="2653"/>
    <cellStyle name="Calculation 2 5 8 2 3" xfId="2654"/>
    <cellStyle name="Calculation 2 5 8 3" xfId="2655"/>
    <cellStyle name="Calculation 2 5 8 3 2" xfId="2656"/>
    <cellStyle name="Calculation 2 5 8 3 2 2" xfId="2657"/>
    <cellStyle name="Calculation 2 5 8 3 3" xfId="2658"/>
    <cellStyle name="Calculation 2 5 8 4" xfId="2659"/>
    <cellStyle name="Calculation 2 5 8 4 2" xfId="2660"/>
    <cellStyle name="Calculation 2 5 8 5" xfId="2661"/>
    <cellStyle name="Calculation 2 5 8 6" xfId="2662"/>
    <cellStyle name="Calculation 2 5 9" xfId="2663"/>
    <cellStyle name="Calculation 2 5 9 2" xfId="2664"/>
    <cellStyle name="Calculation 2 5 9 2 2" xfId="2665"/>
    <cellStyle name="Calculation 2 5 9 2 2 2" xfId="2666"/>
    <cellStyle name="Calculation 2 5 9 2 3" xfId="2667"/>
    <cellStyle name="Calculation 2 5 9 3" xfId="2668"/>
    <cellStyle name="Calculation 2 5 9 3 2" xfId="2669"/>
    <cellStyle name="Calculation 2 5 9 4" xfId="2670"/>
    <cellStyle name="Calculation 2 5 9 5" xfId="2671"/>
    <cellStyle name="Calculation 2 6" xfId="2672"/>
    <cellStyle name="Calculation 2 6 10" xfId="2673"/>
    <cellStyle name="Calculation 2 6 10 2" xfId="2674"/>
    <cellStyle name="Calculation 2 6 10 2 2" xfId="2675"/>
    <cellStyle name="Calculation 2 6 10 2 2 2" xfId="2676"/>
    <cellStyle name="Calculation 2 6 10 2 3" xfId="2677"/>
    <cellStyle name="Calculation 2 6 10 3" xfId="2678"/>
    <cellStyle name="Calculation 2 6 10 3 2" xfId="2679"/>
    <cellStyle name="Calculation 2 6 10 4" xfId="2680"/>
    <cellStyle name="Calculation 2 6 10 5" xfId="2681"/>
    <cellStyle name="Calculation 2 6 11" xfId="2682"/>
    <cellStyle name="Calculation 2 6 11 2" xfId="2683"/>
    <cellStyle name="Calculation 2 6 11 2 2" xfId="2684"/>
    <cellStyle name="Calculation 2 6 11 2 2 2" xfId="2685"/>
    <cellStyle name="Calculation 2 6 11 2 3" xfId="2686"/>
    <cellStyle name="Calculation 2 6 11 3" xfId="2687"/>
    <cellStyle name="Calculation 2 6 11 3 2" xfId="2688"/>
    <cellStyle name="Calculation 2 6 11 4" xfId="2689"/>
    <cellStyle name="Calculation 2 6 11 5" xfId="2690"/>
    <cellStyle name="Calculation 2 6 12" xfId="2691"/>
    <cellStyle name="Calculation 2 6 12 2" xfId="2692"/>
    <cellStyle name="Calculation 2 6 12 2 2" xfId="2693"/>
    <cellStyle name="Calculation 2 6 12 2 2 2" xfId="2694"/>
    <cellStyle name="Calculation 2 6 12 2 3" xfId="2695"/>
    <cellStyle name="Calculation 2 6 12 3" xfId="2696"/>
    <cellStyle name="Calculation 2 6 12 3 2" xfId="2697"/>
    <cellStyle name="Calculation 2 6 12 4" xfId="2698"/>
    <cellStyle name="Calculation 2 6 12 5" xfId="2699"/>
    <cellStyle name="Calculation 2 6 13" xfId="2700"/>
    <cellStyle name="Calculation 2 6 13 2" xfId="2701"/>
    <cellStyle name="Calculation 2 6 13 2 2" xfId="2702"/>
    <cellStyle name="Calculation 2 6 13 2 2 2" xfId="2703"/>
    <cellStyle name="Calculation 2 6 13 2 3" xfId="2704"/>
    <cellStyle name="Calculation 2 6 13 3" xfId="2705"/>
    <cellStyle name="Calculation 2 6 13 3 2" xfId="2706"/>
    <cellStyle name="Calculation 2 6 13 4" xfId="2707"/>
    <cellStyle name="Calculation 2 6 13 5" xfId="2708"/>
    <cellStyle name="Calculation 2 6 14" xfId="2709"/>
    <cellStyle name="Calculation 2 6 14 2" xfId="2710"/>
    <cellStyle name="Calculation 2 6 14 2 2" xfId="2711"/>
    <cellStyle name="Calculation 2 6 14 2 2 2" xfId="2712"/>
    <cellStyle name="Calculation 2 6 14 2 3" xfId="2713"/>
    <cellStyle name="Calculation 2 6 14 3" xfId="2714"/>
    <cellStyle name="Calculation 2 6 14 3 2" xfId="2715"/>
    <cellStyle name="Calculation 2 6 14 4" xfId="2716"/>
    <cellStyle name="Calculation 2 6 14 5" xfId="2717"/>
    <cellStyle name="Calculation 2 6 15" xfId="2718"/>
    <cellStyle name="Calculation 2 6 15 2" xfId="2719"/>
    <cellStyle name="Calculation 2 6 15 2 2" xfId="2720"/>
    <cellStyle name="Calculation 2 6 15 2 2 2" xfId="2721"/>
    <cellStyle name="Calculation 2 6 15 2 3" xfId="2722"/>
    <cellStyle name="Calculation 2 6 15 3" xfId="2723"/>
    <cellStyle name="Calculation 2 6 15 3 2" xfId="2724"/>
    <cellStyle name="Calculation 2 6 15 4" xfId="2725"/>
    <cellStyle name="Calculation 2 6 15 5" xfId="2726"/>
    <cellStyle name="Calculation 2 6 16" xfId="2727"/>
    <cellStyle name="Calculation 2 6 16 2" xfId="2728"/>
    <cellStyle name="Calculation 2 6 16 2 2" xfId="2729"/>
    <cellStyle name="Calculation 2 6 16 2 2 2" xfId="2730"/>
    <cellStyle name="Calculation 2 6 16 2 3" xfId="2731"/>
    <cellStyle name="Calculation 2 6 16 3" xfId="2732"/>
    <cellStyle name="Calculation 2 6 16 3 2" xfId="2733"/>
    <cellStyle name="Calculation 2 6 16 4" xfId="2734"/>
    <cellStyle name="Calculation 2 6 16 5" xfId="2735"/>
    <cellStyle name="Calculation 2 6 17" xfId="2736"/>
    <cellStyle name="Calculation 2 6 17 2" xfId="2737"/>
    <cellStyle name="Calculation 2 6 17 2 2" xfId="2738"/>
    <cellStyle name="Calculation 2 6 17 2 2 2" xfId="2739"/>
    <cellStyle name="Calculation 2 6 17 2 3" xfId="2740"/>
    <cellStyle name="Calculation 2 6 17 3" xfId="2741"/>
    <cellStyle name="Calculation 2 6 17 3 2" xfId="2742"/>
    <cellStyle name="Calculation 2 6 17 4" xfId="2743"/>
    <cellStyle name="Calculation 2 6 17 5" xfId="2744"/>
    <cellStyle name="Calculation 2 6 18" xfId="2745"/>
    <cellStyle name="Calculation 2 6 18 2" xfId="2746"/>
    <cellStyle name="Calculation 2 6 18 2 2" xfId="2747"/>
    <cellStyle name="Calculation 2 6 18 2 2 2" xfId="2748"/>
    <cellStyle name="Calculation 2 6 18 2 3" xfId="2749"/>
    <cellStyle name="Calculation 2 6 18 3" xfId="2750"/>
    <cellStyle name="Calculation 2 6 18 3 2" xfId="2751"/>
    <cellStyle name="Calculation 2 6 18 4" xfId="2752"/>
    <cellStyle name="Calculation 2 6 18 5" xfId="2753"/>
    <cellStyle name="Calculation 2 6 19" xfId="2754"/>
    <cellStyle name="Calculation 2 6 19 2" xfId="2755"/>
    <cellStyle name="Calculation 2 6 19 2 2" xfId="2756"/>
    <cellStyle name="Calculation 2 6 19 2 2 2" xfId="2757"/>
    <cellStyle name="Calculation 2 6 19 2 3" xfId="2758"/>
    <cellStyle name="Calculation 2 6 19 3" xfId="2759"/>
    <cellStyle name="Calculation 2 6 19 3 2" xfId="2760"/>
    <cellStyle name="Calculation 2 6 19 4" xfId="2761"/>
    <cellStyle name="Calculation 2 6 19 5" xfId="2762"/>
    <cellStyle name="Calculation 2 6 2" xfId="2763"/>
    <cellStyle name="Calculation 2 6 2 2" xfId="2764"/>
    <cellStyle name="Calculation 2 6 2 2 2" xfId="2765"/>
    <cellStyle name="Calculation 2 6 2 2 2 2" xfId="2766"/>
    <cellStyle name="Calculation 2 6 2 2 3" xfId="2767"/>
    <cellStyle name="Calculation 2 6 2 3" xfId="2768"/>
    <cellStyle name="Calculation 2 6 2 3 2" xfId="2769"/>
    <cellStyle name="Calculation 2 6 2 3 2 2" xfId="2770"/>
    <cellStyle name="Calculation 2 6 2 3 3" xfId="2771"/>
    <cellStyle name="Calculation 2 6 2 4" xfId="2772"/>
    <cellStyle name="Calculation 2 6 2 4 2" xfId="2773"/>
    <cellStyle name="Calculation 2 6 2 5" xfId="2774"/>
    <cellStyle name="Calculation 2 6 2 6" xfId="2775"/>
    <cellStyle name="Calculation 2 6 20" xfId="2776"/>
    <cellStyle name="Calculation 2 6 20 2" xfId="2777"/>
    <cellStyle name="Calculation 2 6 20 2 2" xfId="2778"/>
    <cellStyle name="Calculation 2 6 20 2 2 2" xfId="2779"/>
    <cellStyle name="Calculation 2 6 20 2 3" xfId="2780"/>
    <cellStyle name="Calculation 2 6 20 3" xfId="2781"/>
    <cellStyle name="Calculation 2 6 20 3 2" xfId="2782"/>
    <cellStyle name="Calculation 2 6 20 4" xfId="2783"/>
    <cellStyle name="Calculation 2 6 20 5" xfId="2784"/>
    <cellStyle name="Calculation 2 6 21" xfId="2785"/>
    <cellStyle name="Calculation 2 6 21 2" xfId="2786"/>
    <cellStyle name="Calculation 2 6 21 2 2" xfId="2787"/>
    <cellStyle name="Calculation 2 6 21 2 2 2" xfId="2788"/>
    <cellStyle name="Calculation 2 6 21 2 3" xfId="2789"/>
    <cellStyle name="Calculation 2 6 21 3" xfId="2790"/>
    <cellStyle name="Calculation 2 6 21 3 2" xfId="2791"/>
    <cellStyle name="Calculation 2 6 21 4" xfId="2792"/>
    <cellStyle name="Calculation 2 6 21 5" xfId="2793"/>
    <cellStyle name="Calculation 2 6 22" xfId="2794"/>
    <cellStyle name="Calculation 2 6 22 2" xfId="2795"/>
    <cellStyle name="Calculation 2 6 22 2 2" xfId="2796"/>
    <cellStyle name="Calculation 2 6 22 2 2 2" xfId="2797"/>
    <cellStyle name="Calculation 2 6 22 2 3" xfId="2798"/>
    <cellStyle name="Calculation 2 6 22 3" xfId="2799"/>
    <cellStyle name="Calculation 2 6 22 3 2" xfId="2800"/>
    <cellStyle name="Calculation 2 6 22 4" xfId="2801"/>
    <cellStyle name="Calculation 2 6 22 5" xfId="2802"/>
    <cellStyle name="Calculation 2 6 23" xfId="2803"/>
    <cellStyle name="Calculation 2 6 23 2" xfId="2804"/>
    <cellStyle name="Calculation 2 6 23 2 2" xfId="2805"/>
    <cellStyle name="Calculation 2 6 23 2 2 2" xfId="2806"/>
    <cellStyle name="Calculation 2 6 23 2 3" xfId="2807"/>
    <cellStyle name="Calculation 2 6 23 3" xfId="2808"/>
    <cellStyle name="Calculation 2 6 23 3 2" xfId="2809"/>
    <cellStyle name="Calculation 2 6 23 4" xfId="2810"/>
    <cellStyle name="Calculation 2 6 23 5" xfId="2811"/>
    <cellStyle name="Calculation 2 6 24" xfId="2812"/>
    <cellStyle name="Calculation 2 6 24 2" xfId="2813"/>
    <cellStyle name="Calculation 2 6 24 2 2" xfId="2814"/>
    <cellStyle name="Calculation 2 6 24 2 2 2" xfId="2815"/>
    <cellStyle name="Calculation 2 6 24 2 3" xfId="2816"/>
    <cellStyle name="Calculation 2 6 24 3" xfId="2817"/>
    <cellStyle name="Calculation 2 6 24 3 2" xfId="2818"/>
    <cellStyle name="Calculation 2 6 24 4" xfId="2819"/>
    <cellStyle name="Calculation 2 6 24 5" xfId="2820"/>
    <cellStyle name="Calculation 2 6 25" xfId="2821"/>
    <cellStyle name="Calculation 2 6 25 2" xfId="2822"/>
    <cellStyle name="Calculation 2 6 25 2 2" xfId="2823"/>
    <cellStyle name="Calculation 2 6 25 2 2 2" xfId="2824"/>
    <cellStyle name="Calculation 2 6 25 2 3" xfId="2825"/>
    <cellStyle name="Calculation 2 6 25 3" xfId="2826"/>
    <cellStyle name="Calculation 2 6 25 3 2" xfId="2827"/>
    <cellStyle name="Calculation 2 6 25 4" xfId="2828"/>
    <cellStyle name="Calculation 2 6 25 5" xfId="2829"/>
    <cellStyle name="Calculation 2 6 26" xfId="2830"/>
    <cellStyle name="Calculation 2 6 26 2" xfId="2831"/>
    <cellStyle name="Calculation 2 6 26 2 2" xfId="2832"/>
    <cellStyle name="Calculation 2 6 26 2 2 2" xfId="2833"/>
    <cellStyle name="Calculation 2 6 26 2 3" xfId="2834"/>
    <cellStyle name="Calculation 2 6 26 3" xfId="2835"/>
    <cellStyle name="Calculation 2 6 26 3 2" xfId="2836"/>
    <cellStyle name="Calculation 2 6 26 4" xfId="2837"/>
    <cellStyle name="Calculation 2 6 26 5" xfId="2838"/>
    <cellStyle name="Calculation 2 6 27" xfId="2839"/>
    <cellStyle name="Calculation 2 6 27 2" xfId="2840"/>
    <cellStyle name="Calculation 2 6 27 2 2" xfId="2841"/>
    <cellStyle name="Calculation 2 6 27 2 2 2" xfId="2842"/>
    <cellStyle name="Calculation 2 6 27 2 3" xfId="2843"/>
    <cellStyle name="Calculation 2 6 27 3" xfId="2844"/>
    <cellStyle name="Calculation 2 6 27 3 2" xfId="2845"/>
    <cellStyle name="Calculation 2 6 27 4" xfId="2846"/>
    <cellStyle name="Calculation 2 6 27 5" xfId="2847"/>
    <cellStyle name="Calculation 2 6 28" xfId="2848"/>
    <cellStyle name="Calculation 2 6 28 2" xfId="2849"/>
    <cellStyle name="Calculation 2 6 28 2 2" xfId="2850"/>
    <cellStyle name="Calculation 2 6 28 2 2 2" xfId="2851"/>
    <cellStyle name="Calculation 2 6 28 2 3" xfId="2852"/>
    <cellStyle name="Calculation 2 6 28 3" xfId="2853"/>
    <cellStyle name="Calculation 2 6 28 3 2" xfId="2854"/>
    <cellStyle name="Calculation 2 6 28 4" xfId="2855"/>
    <cellStyle name="Calculation 2 6 28 5" xfId="2856"/>
    <cellStyle name="Calculation 2 6 29" xfId="2857"/>
    <cellStyle name="Calculation 2 6 29 2" xfId="2858"/>
    <cellStyle name="Calculation 2 6 29 2 2" xfId="2859"/>
    <cellStyle name="Calculation 2 6 29 2 2 2" xfId="2860"/>
    <cellStyle name="Calculation 2 6 29 2 3" xfId="2861"/>
    <cellStyle name="Calculation 2 6 29 3" xfId="2862"/>
    <cellStyle name="Calculation 2 6 29 3 2" xfId="2863"/>
    <cellStyle name="Calculation 2 6 29 4" xfId="2864"/>
    <cellStyle name="Calculation 2 6 29 5" xfId="2865"/>
    <cellStyle name="Calculation 2 6 3" xfId="2866"/>
    <cellStyle name="Calculation 2 6 3 2" xfId="2867"/>
    <cellStyle name="Calculation 2 6 3 2 2" xfId="2868"/>
    <cellStyle name="Calculation 2 6 3 2 2 2" xfId="2869"/>
    <cellStyle name="Calculation 2 6 3 2 3" xfId="2870"/>
    <cellStyle name="Calculation 2 6 3 3" xfId="2871"/>
    <cellStyle name="Calculation 2 6 3 3 2" xfId="2872"/>
    <cellStyle name="Calculation 2 6 3 3 2 2" xfId="2873"/>
    <cellStyle name="Calculation 2 6 3 3 3" xfId="2874"/>
    <cellStyle name="Calculation 2 6 3 4" xfId="2875"/>
    <cellStyle name="Calculation 2 6 3 4 2" xfId="2876"/>
    <cellStyle name="Calculation 2 6 3 5" xfId="2877"/>
    <cellStyle name="Calculation 2 6 3 6" xfId="2878"/>
    <cellStyle name="Calculation 2 6 30" xfId="2879"/>
    <cellStyle name="Calculation 2 6 30 2" xfId="2880"/>
    <cellStyle name="Calculation 2 6 30 2 2" xfId="2881"/>
    <cellStyle name="Calculation 2 6 30 2 2 2" xfId="2882"/>
    <cellStyle name="Calculation 2 6 30 2 3" xfId="2883"/>
    <cellStyle name="Calculation 2 6 30 3" xfId="2884"/>
    <cellStyle name="Calculation 2 6 30 3 2" xfId="2885"/>
    <cellStyle name="Calculation 2 6 30 4" xfId="2886"/>
    <cellStyle name="Calculation 2 6 30 5" xfId="2887"/>
    <cellStyle name="Calculation 2 6 31" xfId="2888"/>
    <cellStyle name="Calculation 2 6 31 2" xfId="2889"/>
    <cellStyle name="Calculation 2 6 31 2 2" xfId="2890"/>
    <cellStyle name="Calculation 2 6 31 2 2 2" xfId="2891"/>
    <cellStyle name="Calculation 2 6 31 2 3" xfId="2892"/>
    <cellStyle name="Calculation 2 6 31 3" xfId="2893"/>
    <cellStyle name="Calculation 2 6 31 3 2" xfId="2894"/>
    <cellStyle name="Calculation 2 6 31 4" xfId="2895"/>
    <cellStyle name="Calculation 2 6 31 5" xfId="2896"/>
    <cellStyle name="Calculation 2 6 32" xfId="2897"/>
    <cellStyle name="Calculation 2 6 32 2" xfId="2898"/>
    <cellStyle name="Calculation 2 6 32 2 2" xfId="2899"/>
    <cellStyle name="Calculation 2 6 32 2 2 2" xfId="2900"/>
    <cellStyle name="Calculation 2 6 32 2 3" xfId="2901"/>
    <cellStyle name="Calculation 2 6 32 3" xfId="2902"/>
    <cellStyle name="Calculation 2 6 32 3 2" xfId="2903"/>
    <cellStyle name="Calculation 2 6 32 4" xfId="2904"/>
    <cellStyle name="Calculation 2 6 32 5" xfId="2905"/>
    <cellStyle name="Calculation 2 6 33" xfId="2906"/>
    <cellStyle name="Calculation 2 6 33 2" xfId="2907"/>
    <cellStyle name="Calculation 2 6 33 2 2" xfId="2908"/>
    <cellStyle name="Calculation 2 6 33 2 2 2" xfId="2909"/>
    <cellStyle name="Calculation 2 6 33 2 3" xfId="2910"/>
    <cellStyle name="Calculation 2 6 33 3" xfId="2911"/>
    <cellStyle name="Calculation 2 6 33 3 2" xfId="2912"/>
    <cellStyle name="Calculation 2 6 33 4" xfId="2913"/>
    <cellStyle name="Calculation 2 6 33 5" xfId="2914"/>
    <cellStyle name="Calculation 2 6 34" xfId="2915"/>
    <cellStyle name="Calculation 2 6 34 2" xfId="2916"/>
    <cellStyle name="Calculation 2 6 34 2 2" xfId="2917"/>
    <cellStyle name="Calculation 2 6 34 2 2 2" xfId="2918"/>
    <cellStyle name="Calculation 2 6 34 2 3" xfId="2919"/>
    <cellStyle name="Calculation 2 6 34 3" xfId="2920"/>
    <cellStyle name="Calculation 2 6 34 3 2" xfId="2921"/>
    <cellStyle name="Calculation 2 6 34 4" xfId="2922"/>
    <cellStyle name="Calculation 2 6 34 5" xfId="2923"/>
    <cellStyle name="Calculation 2 6 35" xfId="2924"/>
    <cellStyle name="Calculation 2 6 35 2" xfId="2925"/>
    <cellStyle name="Calculation 2 6 35 2 2" xfId="2926"/>
    <cellStyle name="Calculation 2 6 35 2 2 2" xfId="2927"/>
    <cellStyle name="Calculation 2 6 35 2 3" xfId="2928"/>
    <cellStyle name="Calculation 2 6 35 3" xfId="2929"/>
    <cellStyle name="Calculation 2 6 35 3 2" xfId="2930"/>
    <cellStyle name="Calculation 2 6 35 4" xfId="2931"/>
    <cellStyle name="Calculation 2 6 35 5" xfId="2932"/>
    <cellStyle name="Calculation 2 6 36" xfId="2933"/>
    <cellStyle name="Calculation 2 6 36 2" xfId="2934"/>
    <cellStyle name="Calculation 2 6 36 2 2" xfId="2935"/>
    <cellStyle name="Calculation 2 6 36 2 2 2" xfId="2936"/>
    <cellStyle name="Calculation 2 6 36 2 3" xfId="2937"/>
    <cellStyle name="Calculation 2 6 36 3" xfId="2938"/>
    <cellStyle name="Calculation 2 6 36 3 2" xfId="2939"/>
    <cellStyle name="Calculation 2 6 36 4" xfId="2940"/>
    <cellStyle name="Calculation 2 6 36 5" xfId="2941"/>
    <cellStyle name="Calculation 2 6 37" xfId="2942"/>
    <cellStyle name="Calculation 2 6 37 2" xfId="2943"/>
    <cellStyle name="Calculation 2 6 37 2 2" xfId="2944"/>
    <cellStyle name="Calculation 2 6 37 2 2 2" xfId="2945"/>
    <cellStyle name="Calculation 2 6 37 2 3" xfId="2946"/>
    <cellStyle name="Calculation 2 6 37 3" xfId="2947"/>
    <cellStyle name="Calculation 2 6 37 3 2" xfId="2948"/>
    <cellStyle name="Calculation 2 6 37 4" xfId="2949"/>
    <cellStyle name="Calculation 2 6 37 5" xfId="2950"/>
    <cellStyle name="Calculation 2 6 38" xfId="2951"/>
    <cellStyle name="Calculation 2 6 38 2" xfId="2952"/>
    <cellStyle name="Calculation 2 6 38 2 2" xfId="2953"/>
    <cellStyle name="Calculation 2 6 38 2 2 2" xfId="2954"/>
    <cellStyle name="Calculation 2 6 38 2 3" xfId="2955"/>
    <cellStyle name="Calculation 2 6 38 3" xfId="2956"/>
    <cellStyle name="Calculation 2 6 38 3 2" xfId="2957"/>
    <cellStyle name="Calculation 2 6 38 4" xfId="2958"/>
    <cellStyle name="Calculation 2 6 38 5" xfId="2959"/>
    <cellStyle name="Calculation 2 6 39" xfId="2960"/>
    <cellStyle name="Calculation 2 6 39 2" xfId="2961"/>
    <cellStyle name="Calculation 2 6 39 2 2" xfId="2962"/>
    <cellStyle name="Calculation 2 6 39 2 2 2" xfId="2963"/>
    <cellStyle name="Calculation 2 6 39 2 3" xfId="2964"/>
    <cellStyle name="Calculation 2 6 39 3" xfId="2965"/>
    <cellStyle name="Calculation 2 6 39 3 2" xfId="2966"/>
    <cellStyle name="Calculation 2 6 39 4" xfId="2967"/>
    <cellStyle name="Calculation 2 6 39 5" xfId="2968"/>
    <cellStyle name="Calculation 2 6 4" xfId="2969"/>
    <cellStyle name="Calculation 2 6 4 2" xfId="2970"/>
    <cellStyle name="Calculation 2 6 4 2 2" xfId="2971"/>
    <cellStyle name="Calculation 2 6 4 2 2 2" xfId="2972"/>
    <cellStyle name="Calculation 2 6 4 2 3" xfId="2973"/>
    <cellStyle name="Calculation 2 6 4 3" xfId="2974"/>
    <cellStyle name="Calculation 2 6 4 3 2" xfId="2975"/>
    <cellStyle name="Calculation 2 6 4 3 2 2" xfId="2976"/>
    <cellStyle name="Calculation 2 6 4 3 3" xfId="2977"/>
    <cellStyle name="Calculation 2 6 4 4" xfId="2978"/>
    <cellStyle name="Calculation 2 6 4 4 2" xfId="2979"/>
    <cellStyle name="Calculation 2 6 4 5" xfId="2980"/>
    <cellStyle name="Calculation 2 6 4 6" xfId="2981"/>
    <cellStyle name="Calculation 2 6 40" xfId="2982"/>
    <cellStyle name="Calculation 2 6 40 2" xfId="2983"/>
    <cellStyle name="Calculation 2 6 40 2 2" xfId="2984"/>
    <cellStyle name="Calculation 2 6 40 2 2 2" xfId="2985"/>
    <cellStyle name="Calculation 2 6 40 2 3" xfId="2986"/>
    <cellStyle name="Calculation 2 6 40 3" xfId="2987"/>
    <cellStyle name="Calculation 2 6 40 3 2" xfId="2988"/>
    <cellStyle name="Calculation 2 6 40 4" xfId="2989"/>
    <cellStyle name="Calculation 2 6 40 5" xfId="2990"/>
    <cellStyle name="Calculation 2 6 41" xfId="2991"/>
    <cellStyle name="Calculation 2 6 41 2" xfId="2992"/>
    <cellStyle name="Calculation 2 6 41 2 2" xfId="2993"/>
    <cellStyle name="Calculation 2 6 41 2 2 2" xfId="2994"/>
    <cellStyle name="Calculation 2 6 41 2 3" xfId="2995"/>
    <cellStyle name="Calculation 2 6 41 3" xfId="2996"/>
    <cellStyle name="Calculation 2 6 41 3 2" xfId="2997"/>
    <cellStyle name="Calculation 2 6 41 4" xfId="2998"/>
    <cellStyle name="Calculation 2 6 41 5" xfId="2999"/>
    <cellStyle name="Calculation 2 6 42" xfId="3000"/>
    <cellStyle name="Calculation 2 6 42 2" xfId="3001"/>
    <cellStyle name="Calculation 2 6 42 2 2" xfId="3002"/>
    <cellStyle name="Calculation 2 6 42 2 2 2" xfId="3003"/>
    <cellStyle name="Calculation 2 6 42 2 3" xfId="3004"/>
    <cellStyle name="Calculation 2 6 42 3" xfId="3005"/>
    <cellStyle name="Calculation 2 6 42 3 2" xfId="3006"/>
    <cellStyle name="Calculation 2 6 42 4" xfId="3007"/>
    <cellStyle name="Calculation 2 6 42 5" xfId="3008"/>
    <cellStyle name="Calculation 2 6 43" xfId="3009"/>
    <cellStyle name="Calculation 2 6 43 2" xfId="3010"/>
    <cellStyle name="Calculation 2 6 43 2 2" xfId="3011"/>
    <cellStyle name="Calculation 2 6 43 2 2 2" xfId="3012"/>
    <cellStyle name="Calculation 2 6 43 2 3" xfId="3013"/>
    <cellStyle name="Calculation 2 6 43 3" xfId="3014"/>
    <cellStyle name="Calculation 2 6 43 3 2" xfId="3015"/>
    <cellStyle name="Calculation 2 6 43 4" xfId="3016"/>
    <cellStyle name="Calculation 2 6 43 5" xfId="3017"/>
    <cellStyle name="Calculation 2 6 44" xfId="3018"/>
    <cellStyle name="Calculation 2 6 44 2" xfId="3019"/>
    <cellStyle name="Calculation 2 6 44 2 2" xfId="3020"/>
    <cellStyle name="Calculation 2 6 44 2 2 2" xfId="3021"/>
    <cellStyle name="Calculation 2 6 44 2 3" xfId="3022"/>
    <cellStyle name="Calculation 2 6 44 3" xfId="3023"/>
    <cellStyle name="Calculation 2 6 44 3 2" xfId="3024"/>
    <cellStyle name="Calculation 2 6 44 4" xfId="3025"/>
    <cellStyle name="Calculation 2 6 44 5" xfId="3026"/>
    <cellStyle name="Calculation 2 6 45" xfId="3027"/>
    <cellStyle name="Calculation 2 6 45 2" xfId="3028"/>
    <cellStyle name="Calculation 2 6 45 2 2" xfId="3029"/>
    <cellStyle name="Calculation 2 6 45 2 2 2" xfId="3030"/>
    <cellStyle name="Calculation 2 6 45 2 3" xfId="3031"/>
    <cellStyle name="Calculation 2 6 45 3" xfId="3032"/>
    <cellStyle name="Calculation 2 6 45 3 2" xfId="3033"/>
    <cellStyle name="Calculation 2 6 45 4" xfId="3034"/>
    <cellStyle name="Calculation 2 6 45 5" xfId="3035"/>
    <cellStyle name="Calculation 2 6 46" xfId="3036"/>
    <cellStyle name="Calculation 2 6 46 2" xfId="3037"/>
    <cellStyle name="Calculation 2 6 46 2 2" xfId="3038"/>
    <cellStyle name="Calculation 2 6 46 2 2 2" xfId="3039"/>
    <cellStyle name="Calculation 2 6 46 2 3" xfId="3040"/>
    <cellStyle name="Calculation 2 6 46 3" xfId="3041"/>
    <cellStyle name="Calculation 2 6 46 3 2" xfId="3042"/>
    <cellStyle name="Calculation 2 6 46 4" xfId="3043"/>
    <cellStyle name="Calculation 2 6 46 5" xfId="3044"/>
    <cellStyle name="Calculation 2 6 47" xfId="3045"/>
    <cellStyle name="Calculation 2 6 47 2" xfId="3046"/>
    <cellStyle name="Calculation 2 6 47 2 2" xfId="3047"/>
    <cellStyle name="Calculation 2 6 47 2 2 2" xfId="3048"/>
    <cellStyle name="Calculation 2 6 47 2 3" xfId="3049"/>
    <cellStyle name="Calculation 2 6 47 3" xfId="3050"/>
    <cellStyle name="Calculation 2 6 47 3 2" xfId="3051"/>
    <cellStyle name="Calculation 2 6 47 4" xfId="3052"/>
    <cellStyle name="Calculation 2 6 47 5" xfId="3053"/>
    <cellStyle name="Calculation 2 6 48" xfId="3054"/>
    <cellStyle name="Calculation 2 6 48 2" xfId="3055"/>
    <cellStyle name="Calculation 2 6 48 2 2" xfId="3056"/>
    <cellStyle name="Calculation 2 6 48 2 2 2" xfId="3057"/>
    <cellStyle name="Calculation 2 6 48 2 3" xfId="3058"/>
    <cellStyle name="Calculation 2 6 48 3" xfId="3059"/>
    <cellStyle name="Calculation 2 6 48 3 2" xfId="3060"/>
    <cellStyle name="Calculation 2 6 48 4" xfId="3061"/>
    <cellStyle name="Calculation 2 6 48 5" xfId="3062"/>
    <cellStyle name="Calculation 2 6 49" xfId="3063"/>
    <cellStyle name="Calculation 2 6 49 2" xfId="3064"/>
    <cellStyle name="Calculation 2 6 49 2 2" xfId="3065"/>
    <cellStyle name="Calculation 2 6 49 3" xfId="3066"/>
    <cellStyle name="Calculation 2 6 5" xfId="3067"/>
    <cellStyle name="Calculation 2 6 5 2" xfId="3068"/>
    <cellStyle name="Calculation 2 6 5 2 2" xfId="3069"/>
    <cellStyle name="Calculation 2 6 5 2 2 2" xfId="3070"/>
    <cellStyle name="Calculation 2 6 5 2 3" xfId="3071"/>
    <cellStyle name="Calculation 2 6 5 3" xfId="3072"/>
    <cellStyle name="Calculation 2 6 5 3 2" xfId="3073"/>
    <cellStyle name="Calculation 2 6 5 3 2 2" xfId="3074"/>
    <cellStyle name="Calculation 2 6 5 3 3" xfId="3075"/>
    <cellStyle name="Calculation 2 6 5 4" xfId="3076"/>
    <cellStyle name="Calculation 2 6 5 4 2" xfId="3077"/>
    <cellStyle name="Calculation 2 6 5 5" xfId="3078"/>
    <cellStyle name="Calculation 2 6 5 6" xfId="3079"/>
    <cellStyle name="Calculation 2 6 50" xfId="3080"/>
    <cellStyle name="Calculation 2 6 50 2" xfId="3081"/>
    <cellStyle name="Calculation 2 6 50 2 2" xfId="3082"/>
    <cellStyle name="Calculation 2 6 50 3" xfId="3083"/>
    <cellStyle name="Calculation 2 6 51" xfId="3084"/>
    <cellStyle name="Calculation 2 6 51 2" xfId="3085"/>
    <cellStyle name="Calculation 2 6 51 2 2" xfId="3086"/>
    <cellStyle name="Calculation 2 6 51 3" xfId="3087"/>
    <cellStyle name="Calculation 2 6 52" xfId="3088"/>
    <cellStyle name="Calculation 2 6 52 2" xfId="3089"/>
    <cellStyle name="Calculation 2 6 53" xfId="3090"/>
    <cellStyle name="Calculation 2 6 54" xfId="3091"/>
    <cellStyle name="Calculation 2 6 6" xfId="3092"/>
    <cellStyle name="Calculation 2 6 6 2" xfId="3093"/>
    <cellStyle name="Calculation 2 6 6 2 2" xfId="3094"/>
    <cellStyle name="Calculation 2 6 6 2 2 2" xfId="3095"/>
    <cellStyle name="Calculation 2 6 6 2 3" xfId="3096"/>
    <cellStyle name="Calculation 2 6 6 3" xfId="3097"/>
    <cellStyle name="Calculation 2 6 6 3 2" xfId="3098"/>
    <cellStyle name="Calculation 2 6 6 3 2 2" xfId="3099"/>
    <cellStyle name="Calculation 2 6 6 3 3" xfId="3100"/>
    <cellStyle name="Calculation 2 6 6 4" xfId="3101"/>
    <cellStyle name="Calculation 2 6 6 4 2" xfId="3102"/>
    <cellStyle name="Calculation 2 6 6 5" xfId="3103"/>
    <cellStyle name="Calculation 2 6 6 6" xfId="3104"/>
    <cellStyle name="Calculation 2 6 7" xfId="3105"/>
    <cellStyle name="Calculation 2 6 7 2" xfId="3106"/>
    <cellStyle name="Calculation 2 6 7 2 2" xfId="3107"/>
    <cellStyle name="Calculation 2 6 7 2 2 2" xfId="3108"/>
    <cellStyle name="Calculation 2 6 7 2 3" xfId="3109"/>
    <cellStyle name="Calculation 2 6 7 3" xfId="3110"/>
    <cellStyle name="Calculation 2 6 7 3 2" xfId="3111"/>
    <cellStyle name="Calculation 2 6 7 3 2 2" xfId="3112"/>
    <cellStyle name="Calculation 2 6 7 3 3" xfId="3113"/>
    <cellStyle name="Calculation 2 6 7 4" xfId="3114"/>
    <cellStyle name="Calculation 2 6 7 4 2" xfId="3115"/>
    <cellStyle name="Calculation 2 6 7 5" xfId="3116"/>
    <cellStyle name="Calculation 2 6 7 6" xfId="3117"/>
    <cellStyle name="Calculation 2 6 8" xfId="3118"/>
    <cellStyle name="Calculation 2 6 8 2" xfId="3119"/>
    <cellStyle name="Calculation 2 6 8 2 2" xfId="3120"/>
    <cellStyle name="Calculation 2 6 8 2 2 2" xfId="3121"/>
    <cellStyle name="Calculation 2 6 8 2 3" xfId="3122"/>
    <cellStyle name="Calculation 2 6 8 3" xfId="3123"/>
    <cellStyle name="Calculation 2 6 8 3 2" xfId="3124"/>
    <cellStyle name="Calculation 2 6 8 3 2 2" xfId="3125"/>
    <cellStyle name="Calculation 2 6 8 3 3" xfId="3126"/>
    <cellStyle name="Calculation 2 6 8 4" xfId="3127"/>
    <cellStyle name="Calculation 2 6 8 4 2" xfId="3128"/>
    <cellStyle name="Calculation 2 6 8 5" xfId="3129"/>
    <cellStyle name="Calculation 2 6 8 6" xfId="3130"/>
    <cellStyle name="Calculation 2 6 9" xfId="3131"/>
    <cellStyle name="Calculation 2 6 9 2" xfId="3132"/>
    <cellStyle name="Calculation 2 6 9 2 2" xfId="3133"/>
    <cellStyle name="Calculation 2 6 9 2 2 2" xfId="3134"/>
    <cellStyle name="Calculation 2 6 9 2 3" xfId="3135"/>
    <cellStyle name="Calculation 2 6 9 3" xfId="3136"/>
    <cellStyle name="Calculation 2 6 9 3 2" xfId="3137"/>
    <cellStyle name="Calculation 2 6 9 4" xfId="3138"/>
    <cellStyle name="Calculation 2 6 9 5" xfId="3139"/>
    <cellStyle name="Calculation 2 7" xfId="3140"/>
    <cellStyle name="Calculation 2 7 10" xfId="3141"/>
    <cellStyle name="Calculation 2 7 10 2" xfId="3142"/>
    <cellStyle name="Calculation 2 7 10 2 2" xfId="3143"/>
    <cellStyle name="Calculation 2 7 10 2 2 2" xfId="3144"/>
    <cellStyle name="Calculation 2 7 10 2 3" xfId="3145"/>
    <cellStyle name="Calculation 2 7 10 3" xfId="3146"/>
    <cellStyle name="Calculation 2 7 10 3 2" xfId="3147"/>
    <cellStyle name="Calculation 2 7 10 4" xfId="3148"/>
    <cellStyle name="Calculation 2 7 10 5" xfId="3149"/>
    <cellStyle name="Calculation 2 7 11" xfId="3150"/>
    <cellStyle name="Calculation 2 7 11 2" xfId="3151"/>
    <cellStyle name="Calculation 2 7 11 2 2" xfId="3152"/>
    <cellStyle name="Calculation 2 7 11 2 2 2" xfId="3153"/>
    <cellStyle name="Calculation 2 7 11 2 3" xfId="3154"/>
    <cellStyle name="Calculation 2 7 11 3" xfId="3155"/>
    <cellStyle name="Calculation 2 7 11 3 2" xfId="3156"/>
    <cellStyle name="Calculation 2 7 11 4" xfId="3157"/>
    <cellStyle name="Calculation 2 7 11 5" xfId="3158"/>
    <cellStyle name="Calculation 2 7 12" xfId="3159"/>
    <cellStyle name="Calculation 2 7 12 2" xfId="3160"/>
    <cellStyle name="Calculation 2 7 12 2 2" xfId="3161"/>
    <cellStyle name="Calculation 2 7 12 2 2 2" xfId="3162"/>
    <cellStyle name="Calculation 2 7 12 2 3" xfId="3163"/>
    <cellStyle name="Calculation 2 7 12 3" xfId="3164"/>
    <cellStyle name="Calculation 2 7 12 3 2" xfId="3165"/>
    <cellStyle name="Calculation 2 7 12 4" xfId="3166"/>
    <cellStyle name="Calculation 2 7 12 5" xfId="3167"/>
    <cellStyle name="Calculation 2 7 13" xfId="3168"/>
    <cellStyle name="Calculation 2 7 13 2" xfId="3169"/>
    <cellStyle name="Calculation 2 7 13 2 2" xfId="3170"/>
    <cellStyle name="Calculation 2 7 13 2 2 2" xfId="3171"/>
    <cellStyle name="Calculation 2 7 13 2 3" xfId="3172"/>
    <cellStyle name="Calculation 2 7 13 3" xfId="3173"/>
    <cellStyle name="Calculation 2 7 13 3 2" xfId="3174"/>
    <cellStyle name="Calculation 2 7 13 4" xfId="3175"/>
    <cellStyle name="Calculation 2 7 13 5" xfId="3176"/>
    <cellStyle name="Calculation 2 7 14" xfId="3177"/>
    <cellStyle name="Calculation 2 7 14 2" xfId="3178"/>
    <cellStyle name="Calculation 2 7 14 2 2" xfId="3179"/>
    <cellStyle name="Calculation 2 7 14 2 2 2" xfId="3180"/>
    <cellStyle name="Calculation 2 7 14 2 3" xfId="3181"/>
    <cellStyle name="Calculation 2 7 14 3" xfId="3182"/>
    <cellStyle name="Calculation 2 7 14 3 2" xfId="3183"/>
    <cellStyle name="Calculation 2 7 14 4" xfId="3184"/>
    <cellStyle name="Calculation 2 7 14 5" xfId="3185"/>
    <cellStyle name="Calculation 2 7 15" xfId="3186"/>
    <cellStyle name="Calculation 2 7 15 2" xfId="3187"/>
    <cellStyle name="Calculation 2 7 15 2 2" xfId="3188"/>
    <cellStyle name="Calculation 2 7 15 2 2 2" xfId="3189"/>
    <cellStyle name="Calculation 2 7 15 2 3" xfId="3190"/>
    <cellStyle name="Calculation 2 7 15 3" xfId="3191"/>
    <cellStyle name="Calculation 2 7 15 3 2" xfId="3192"/>
    <cellStyle name="Calculation 2 7 15 4" xfId="3193"/>
    <cellStyle name="Calculation 2 7 15 5" xfId="3194"/>
    <cellStyle name="Calculation 2 7 16" xfId="3195"/>
    <cellStyle name="Calculation 2 7 16 2" xfId="3196"/>
    <cellStyle name="Calculation 2 7 16 2 2" xfId="3197"/>
    <cellStyle name="Calculation 2 7 16 2 2 2" xfId="3198"/>
    <cellStyle name="Calculation 2 7 16 2 3" xfId="3199"/>
    <cellStyle name="Calculation 2 7 16 3" xfId="3200"/>
    <cellStyle name="Calculation 2 7 16 3 2" xfId="3201"/>
    <cellStyle name="Calculation 2 7 16 4" xfId="3202"/>
    <cellStyle name="Calculation 2 7 16 5" xfId="3203"/>
    <cellStyle name="Calculation 2 7 17" xfId="3204"/>
    <cellStyle name="Calculation 2 7 17 2" xfId="3205"/>
    <cellStyle name="Calculation 2 7 17 2 2" xfId="3206"/>
    <cellStyle name="Calculation 2 7 17 2 2 2" xfId="3207"/>
    <cellStyle name="Calculation 2 7 17 2 3" xfId="3208"/>
    <cellStyle name="Calculation 2 7 17 3" xfId="3209"/>
    <cellStyle name="Calculation 2 7 17 3 2" xfId="3210"/>
    <cellStyle name="Calculation 2 7 17 4" xfId="3211"/>
    <cellStyle name="Calculation 2 7 17 5" xfId="3212"/>
    <cellStyle name="Calculation 2 7 18" xfId="3213"/>
    <cellStyle name="Calculation 2 7 18 2" xfId="3214"/>
    <cellStyle name="Calculation 2 7 18 2 2" xfId="3215"/>
    <cellStyle name="Calculation 2 7 18 2 2 2" xfId="3216"/>
    <cellStyle name="Calculation 2 7 18 2 3" xfId="3217"/>
    <cellStyle name="Calculation 2 7 18 3" xfId="3218"/>
    <cellStyle name="Calculation 2 7 18 3 2" xfId="3219"/>
    <cellStyle name="Calculation 2 7 18 4" xfId="3220"/>
    <cellStyle name="Calculation 2 7 18 5" xfId="3221"/>
    <cellStyle name="Calculation 2 7 19" xfId="3222"/>
    <cellStyle name="Calculation 2 7 19 2" xfId="3223"/>
    <cellStyle name="Calculation 2 7 19 2 2" xfId="3224"/>
    <cellStyle name="Calculation 2 7 19 2 2 2" xfId="3225"/>
    <cellStyle name="Calculation 2 7 19 2 3" xfId="3226"/>
    <cellStyle name="Calculation 2 7 19 3" xfId="3227"/>
    <cellStyle name="Calculation 2 7 19 3 2" xfId="3228"/>
    <cellStyle name="Calculation 2 7 19 4" xfId="3229"/>
    <cellStyle name="Calculation 2 7 19 5" xfId="3230"/>
    <cellStyle name="Calculation 2 7 2" xfId="3231"/>
    <cellStyle name="Calculation 2 7 2 2" xfId="3232"/>
    <cellStyle name="Calculation 2 7 2 2 2" xfId="3233"/>
    <cellStyle name="Calculation 2 7 2 2 2 2" xfId="3234"/>
    <cellStyle name="Calculation 2 7 2 2 3" xfId="3235"/>
    <cellStyle name="Calculation 2 7 2 3" xfId="3236"/>
    <cellStyle name="Calculation 2 7 2 3 2" xfId="3237"/>
    <cellStyle name="Calculation 2 7 2 3 2 2" xfId="3238"/>
    <cellStyle name="Calculation 2 7 2 3 3" xfId="3239"/>
    <cellStyle name="Calculation 2 7 2 4" xfId="3240"/>
    <cellStyle name="Calculation 2 7 2 4 2" xfId="3241"/>
    <cellStyle name="Calculation 2 7 2 5" xfId="3242"/>
    <cellStyle name="Calculation 2 7 2 6" xfId="3243"/>
    <cellStyle name="Calculation 2 7 20" xfId="3244"/>
    <cellStyle name="Calculation 2 7 20 2" xfId="3245"/>
    <cellStyle name="Calculation 2 7 20 2 2" xfId="3246"/>
    <cellStyle name="Calculation 2 7 20 2 2 2" xfId="3247"/>
    <cellStyle name="Calculation 2 7 20 2 3" xfId="3248"/>
    <cellStyle name="Calculation 2 7 20 3" xfId="3249"/>
    <cellStyle name="Calculation 2 7 20 3 2" xfId="3250"/>
    <cellStyle name="Calculation 2 7 20 4" xfId="3251"/>
    <cellStyle name="Calculation 2 7 20 5" xfId="3252"/>
    <cellStyle name="Calculation 2 7 21" xfId="3253"/>
    <cellStyle name="Calculation 2 7 21 2" xfId="3254"/>
    <cellStyle name="Calculation 2 7 21 2 2" xfId="3255"/>
    <cellStyle name="Calculation 2 7 21 2 2 2" xfId="3256"/>
    <cellStyle name="Calculation 2 7 21 2 3" xfId="3257"/>
    <cellStyle name="Calculation 2 7 21 3" xfId="3258"/>
    <cellStyle name="Calculation 2 7 21 3 2" xfId="3259"/>
    <cellStyle name="Calculation 2 7 21 4" xfId="3260"/>
    <cellStyle name="Calculation 2 7 21 5" xfId="3261"/>
    <cellStyle name="Calculation 2 7 22" xfId="3262"/>
    <cellStyle name="Calculation 2 7 22 2" xfId="3263"/>
    <cellStyle name="Calculation 2 7 22 2 2" xfId="3264"/>
    <cellStyle name="Calculation 2 7 22 2 2 2" xfId="3265"/>
    <cellStyle name="Calculation 2 7 22 2 3" xfId="3266"/>
    <cellStyle name="Calculation 2 7 22 3" xfId="3267"/>
    <cellStyle name="Calculation 2 7 22 3 2" xfId="3268"/>
    <cellStyle name="Calculation 2 7 22 4" xfId="3269"/>
    <cellStyle name="Calculation 2 7 22 5" xfId="3270"/>
    <cellStyle name="Calculation 2 7 23" xfId="3271"/>
    <cellStyle name="Calculation 2 7 23 2" xfId="3272"/>
    <cellStyle name="Calculation 2 7 23 2 2" xfId="3273"/>
    <cellStyle name="Calculation 2 7 23 2 2 2" xfId="3274"/>
    <cellStyle name="Calculation 2 7 23 2 3" xfId="3275"/>
    <cellStyle name="Calculation 2 7 23 3" xfId="3276"/>
    <cellStyle name="Calculation 2 7 23 3 2" xfId="3277"/>
    <cellStyle name="Calculation 2 7 23 4" xfId="3278"/>
    <cellStyle name="Calculation 2 7 23 5" xfId="3279"/>
    <cellStyle name="Calculation 2 7 24" xfId="3280"/>
    <cellStyle name="Calculation 2 7 24 2" xfId="3281"/>
    <cellStyle name="Calculation 2 7 24 2 2" xfId="3282"/>
    <cellStyle name="Calculation 2 7 24 2 2 2" xfId="3283"/>
    <cellStyle name="Calculation 2 7 24 2 3" xfId="3284"/>
    <cellStyle name="Calculation 2 7 24 3" xfId="3285"/>
    <cellStyle name="Calculation 2 7 24 3 2" xfId="3286"/>
    <cellStyle name="Calculation 2 7 24 4" xfId="3287"/>
    <cellStyle name="Calculation 2 7 24 5" xfId="3288"/>
    <cellStyle name="Calculation 2 7 25" xfId="3289"/>
    <cellStyle name="Calculation 2 7 25 2" xfId="3290"/>
    <cellStyle name="Calculation 2 7 25 2 2" xfId="3291"/>
    <cellStyle name="Calculation 2 7 25 2 2 2" xfId="3292"/>
    <cellStyle name="Calculation 2 7 25 2 3" xfId="3293"/>
    <cellStyle name="Calculation 2 7 25 3" xfId="3294"/>
    <cellStyle name="Calculation 2 7 25 3 2" xfId="3295"/>
    <cellStyle name="Calculation 2 7 25 4" xfId="3296"/>
    <cellStyle name="Calculation 2 7 25 5" xfId="3297"/>
    <cellStyle name="Calculation 2 7 26" xfId="3298"/>
    <cellStyle name="Calculation 2 7 26 2" xfId="3299"/>
    <cellStyle name="Calculation 2 7 26 2 2" xfId="3300"/>
    <cellStyle name="Calculation 2 7 26 2 2 2" xfId="3301"/>
    <cellStyle name="Calculation 2 7 26 2 3" xfId="3302"/>
    <cellStyle name="Calculation 2 7 26 3" xfId="3303"/>
    <cellStyle name="Calculation 2 7 26 3 2" xfId="3304"/>
    <cellStyle name="Calculation 2 7 26 4" xfId="3305"/>
    <cellStyle name="Calculation 2 7 26 5" xfId="3306"/>
    <cellStyle name="Calculation 2 7 27" xfId="3307"/>
    <cellStyle name="Calculation 2 7 27 2" xfId="3308"/>
    <cellStyle name="Calculation 2 7 27 2 2" xfId="3309"/>
    <cellStyle name="Calculation 2 7 27 2 2 2" xfId="3310"/>
    <cellStyle name="Calculation 2 7 27 2 3" xfId="3311"/>
    <cellStyle name="Calculation 2 7 27 3" xfId="3312"/>
    <cellStyle name="Calculation 2 7 27 3 2" xfId="3313"/>
    <cellStyle name="Calculation 2 7 27 4" xfId="3314"/>
    <cellStyle name="Calculation 2 7 27 5" xfId="3315"/>
    <cellStyle name="Calculation 2 7 28" xfId="3316"/>
    <cellStyle name="Calculation 2 7 28 2" xfId="3317"/>
    <cellStyle name="Calculation 2 7 28 2 2" xfId="3318"/>
    <cellStyle name="Calculation 2 7 28 2 2 2" xfId="3319"/>
    <cellStyle name="Calculation 2 7 28 2 3" xfId="3320"/>
    <cellStyle name="Calculation 2 7 28 3" xfId="3321"/>
    <cellStyle name="Calculation 2 7 28 3 2" xfId="3322"/>
    <cellStyle name="Calculation 2 7 28 4" xfId="3323"/>
    <cellStyle name="Calculation 2 7 28 5" xfId="3324"/>
    <cellStyle name="Calculation 2 7 29" xfId="3325"/>
    <cellStyle name="Calculation 2 7 29 2" xfId="3326"/>
    <cellStyle name="Calculation 2 7 29 2 2" xfId="3327"/>
    <cellStyle name="Calculation 2 7 29 2 2 2" xfId="3328"/>
    <cellStyle name="Calculation 2 7 29 2 3" xfId="3329"/>
    <cellStyle name="Calculation 2 7 29 3" xfId="3330"/>
    <cellStyle name="Calculation 2 7 29 3 2" xfId="3331"/>
    <cellStyle name="Calculation 2 7 29 4" xfId="3332"/>
    <cellStyle name="Calculation 2 7 29 5" xfId="3333"/>
    <cellStyle name="Calculation 2 7 3" xfId="3334"/>
    <cellStyle name="Calculation 2 7 3 2" xfId="3335"/>
    <cellStyle name="Calculation 2 7 3 2 2" xfId="3336"/>
    <cellStyle name="Calculation 2 7 3 2 2 2" xfId="3337"/>
    <cellStyle name="Calculation 2 7 3 2 3" xfId="3338"/>
    <cellStyle name="Calculation 2 7 3 3" xfId="3339"/>
    <cellStyle name="Calculation 2 7 3 3 2" xfId="3340"/>
    <cellStyle name="Calculation 2 7 3 3 2 2" xfId="3341"/>
    <cellStyle name="Calculation 2 7 3 3 3" xfId="3342"/>
    <cellStyle name="Calculation 2 7 3 4" xfId="3343"/>
    <cellStyle name="Calculation 2 7 3 4 2" xfId="3344"/>
    <cellStyle name="Calculation 2 7 3 5" xfId="3345"/>
    <cellStyle name="Calculation 2 7 3 6" xfId="3346"/>
    <cellStyle name="Calculation 2 7 30" xfId="3347"/>
    <cellStyle name="Calculation 2 7 30 2" xfId="3348"/>
    <cellStyle name="Calculation 2 7 30 2 2" xfId="3349"/>
    <cellStyle name="Calculation 2 7 30 2 2 2" xfId="3350"/>
    <cellStyle name="Calculation 2 7 30 2 3" xfId="3351"/>
    <cellStyle name="Calculation 2 7 30 3" xfId="3352"/>
    <cellStyle name="Calculation 2 7 30 3 2" xfId="3353"/>
    <cellStyle name="Calculation 2 7 30 4" xfId="3354"/>
    <cellStyle name="Calculation 2 7 30 5" xfId="3355"/>
    <cellStyle name="Calculation 2 7 31" xfId="3356"/>
    <cellStyle name="Calculation 2 7 31 2" xfId="3357"/>
    <cellStyle name="Calculation 2 7 31 2 2" xfId="3358"/>
    <cellStyle name="Calculation 2 7 31 2 2 2" xfId="3359"/>
    <cellStyle name="Calculation 2 7 31 2 3" xfId="3360"/>
    <cellStyle name="Calculation 2 7 31 3" xfId="3361"/>
    <cellStyle name="Calculation 2 7 31 3 2" xfId="3362"/>
    <cellStyle name="Calculation 2 7 31 4" xfId="3363"/>
    <cellStyle name="Calculation 2 7 31 5" xfId="3364"/>
    <cellStyle name="Calculation 2 7 32" xfId="3365"/>
    <cellStyle name="Calculation 2 7 32 2" xfId="3366"/>
    <cellStyle name="Calculation 2 7 32 2 2" xfId="3367"/>
    <cellStyle name="Calculation 2 7 32 2 2 2" xfId="3368"/>
    <cellStyle name="Calculation 2 7 32 2 3" xfId="3369"/>
    <cellStyle name="Calculation 2 7 32 3" xfId="3370"/>
    <cellStyle name="Calculation 2 7 32 3 2" xfId="3371"/>
    <cellStyle name="Calculation 2 7 32 4" xfId="3372"/>
    <cellStyle name="Calculation 2 7 32 5" xfId="3373"/>
    <cellStyle name="Calculation 2 7 33" xfId="3374"/>
    <cellStyle name="Calculation 2 7 33 2" xfId="3375"/>
    <cellStyle name="Calculation 2 7 33 2 2" xfId="3376"/>
    <cellStyle name="Calculation 2 7 33 2 2 2" xfId="3377"/>
    <cellStyle name="Calculation 2 7 33 2 3" xfId="3378"/>
    <cellStyle name="Calculation 2 7 33 3" xfId="3379"/>
    <cellStyle name="Calculation 2 7 33 3 2" xfId="3380"/>
    <cellStyle name="Calculation 2 7 33 4" xfId="3381"/>
    <cellStyle name="Calculation 2 7 33 5" xfId="3382"/>
    <cellStyle name="Calculation 2 7 34" xfId="3383"/>
    <cellStyle name="Calculation 2 7 34 2" xfId="3384"/>
    <cellStyle name="Calculation 2 7 34 2 2" xfId="3385"/>
    <cellStyle name="Calculation 2 7 34 2 2 2" xfId="3386"/>
    <cellStyle name="Calculation 2 7 34 2 3" xfId="3387"/>
    <cellStyle name="Calculation 2 7 34 3" xfId="3388"/>
    <cellStyle name="Calculation 2 7 34 3 2" xfId="3389"/>
    <cellStyle name="Calculation 2 7 34 4" xfId="3390"/>
    <cellStyle name="Calculation 2 7 34 5" xfId="3391"/>
    <cellStyle name="Calculation 2 7 35" xfId="3392"/>
    <cellStyle name="Calculation 2 7 35 2" xfId="3393"/>
    <cellStyle name="Calculation 2 7 35 2 2" xfId="3394"/>
    <cellStyle name="Calculation 2 7 35 2 2 2" xfId="3395"/>
    <cellStyle name="Calculation 2 7 35 2 3" xfId="3396"/>
    <cellStyle name="Calculation 2 7 35 3" xfId="3397"/>
    <cellStyle name="Calculation 2 7 35 3 2" xfId="3398"/>
    <cellStyle name="Calculation 2 7 35 4" xfId="3399"/>
    <cellStyle name="Calculation 2 7 35 5" xfId="3400"/>
    <cellStyle name="Calculation 2 7 36" xfId="3401"/>
    <cellStyle name="Calculation 2 7 36 2" xfId="3402"/>
    <cellStyle name="Calculation 2 7 36 2 2" xfId="3403"/>
    <cellStyle name="Calculation 2 7 36 2 2 2" xfId="3404"/>
    <cellStyle name="Calculation 2 7 36 2 3" xfId="3405"/>
    <cellStyle name="Calculation 2 7 36 3" xfId="3406"/>
    <cellStyle name="Calculation 2 7 36 3 2" xfId="3407"/>
    <cellStyle name="Calculation 2 7 36 4" xfId="3408"/>
    <cellStyle name="Calculation 2 7 36 5" xfId="3409"/>
    <cellStyle name="Calculation 2 7 37" xfId="3410"/>
    <cellStyle name="Calculation 2 7 37 2" xfId="3411"/>
    <cellStyle name="Calculation 2 7 37 2 2" xfId="3412"/>
    <cellStyle name="Calculation 2 7 37 2 2 2" xfId="3413"/>
    <cellStyle name="Calculation 2 7 37 2 3" xfId="3414"/>
    <cellStyle name="Calculation 2 7 37 3" xfId="3415"/>
    <cellStyle name="Calculation 2 7 37 3 2" xfId="3416"/>
    <cellStyle name="Calculation 2 7 37 4" xfId="3417"/>
    <cellStyle name="Calculation 2 7 37 5" xfId="3418"/>
    <cellStyle name="Calculation 2 7 38" xfId="3419"/>
    <cellStyle name="Calculation 2 7 38 2" xfId="3420"/>
    <cellStyle name="Calculation 2 7 38 2 2" xfId="3421"/>
    <cellStyle name="Calculation 2 7 38 2 2 2" xfId="3422"/>
    <cellStyle name="Calculation 2 7 38 2 3" xfId="3423"/>
    <cellStyle name="Calculation 2 7 38 3" xfId="3424"/>
    <cellStyle name="Calculation 2 7 38 3 2" xfId="3425"/>
    <cellStyle name="Calculation 2 7 38 4" xfId="3426"/>
    <cellStyle name="Calculation 2 7 38 5" xfId="3427"/>
    <cellStyle name="Calculation 2 7 39" xfId="3428"/>
    <cellStyle name="Calculation 2 7 39 2" xfId="3429"/>
    <cellStyle name="Calculation 2 7 39 2 2" xfId="3430"/>
    <cellStyle name="Calculation 2 7 39 2 2 2" xfId="3431"/>
    <cellStyle name="Calculation 2 7 39 2 3" xfId="3432"/>
    <cellStyle name="Calculation 2 7 39 3" xfId="3433"/>
    <cellStyle name="Calculation 2 7 39 3 2" xfId="3434"/>
    <cellStyle name="Calculation 2 7 39 4" xfId="3435"/>
    <cellStyle name="Calculation 2 7 39 5" xfId="3436"/>
    <cellStyle name="Calculation 2 7 4" xfId="3437"/>
    <cellStyle name="Calculation 2 7 4 2" xfId="3438"/>
    <cellStyle name="Calculation 2 7 4 2 2" xfId="3439"/>
    <cellStyle name="Calculation 2 7 4 2 2 2" xfId="3440"/>
    <cellStyle name="Calculation 2 7 4 2 3" xfId="3441"/>
    <cellStyle name="Calculation 2 7 4 3" xfId="3442"/>
    <cellStyle name="Calculation 2 7 4 3 2" xfId="3443"/>
    <cellStyle name="Calculation 2 7 4 3 2 2" xfId="3444"/>
    <cellStyle name="Calculation 2 7 4 3 3" xfId="3445"/>
    <cellStyle name="Calculation 2 7 4 4" xfId="3446"/>
    <cellStyle name="Calculation 2 7 4 4 2" xfId="3447"/>
    <cellStyle name="Calculation 2 7 4 5" xfId="3448"/>
    <cellStyle name="Calculation 2 7 4 6" xfId="3449"/>
    <cellStyle name="Calculation 2 7 40" xfId="3450"/>
    <cellStyle name="Calculation 2 7 40 2" xfId="3451"/>
    <cellStyle name="Calculation 2 7 40 2 2" xfId="3452"/>
    <cellStyle name="Calculation 2 7 40 2 2 2" xfId="3453"/>
    <cellStyle name="Calculation 2 7 40 2 3" xfId="3454"/>
    <cellStyle name="Calculation 2 7 40 3" xfId="3455"/>
    <cellStyle name="Calculation 2 7 40 3 2" xfId="3456"/>
    <cellStyle name="Calculation 2 7 40 4" xfId="3457"/>
    <cellStyle name="Calculation 2 7 40 5" xfId="3458"/>
    <cellStyle name="Calculation 2 7 41" xfId="3459"/>
    <cellStyle name="Calculation 2 7 41 2" xfId="3460"/>
    <cellStyle name="Calculation 2 7 41 2 2" xfId="3461"/>
    <cellStyle name="Calculation 2 7 41 2 2 2" xfId="3462"/>
    <cellStyle name="Calculation 2 7 41 2 3" xfId="3463"/>
    <cellStyle name="Calculation 2 7 41 3" xfId="3464"/>
    <cellStyle name="Calculation 2 7 41 3 2" xfId="3465"/>
    <cellStyle name="Calculation 2 7 41 4" xfId="3466"/>
    <cellStyle name="Calculation 2 7 41 5" xfId="3467"/>
    <cellStyle name="Calculation 2 7 42" xfId="3468"/>
    <cellStyle name="Calculation 2 7 42 2" xfId="3469"/>
    <cellStyle name="Calculation 2 7 42 2 2" xfId="3470"/>
    <cellStyle name="Calculation 2 7 42 2 2 2" xfId="3471"/>
    <cellStyle name="Calculation 2 7 42 2 3" xfId="3472"/>
    <cellStyle name="Calculation 2 7 42 3" xfId="3473"/>
    <cellStyle name="Calculation 2 7 42 3 2" xfId="3474"/>
    <cellStyle name="Calculation 2 7 42 4" xfId="3475"/>
    <cellStyle name="Calculation 2 7 42 5" xfId="3476"/>
    <cellStyle name="Calculation 2 7 43" xfId="3477"/>
    <cellStyle name="Calculation 2 7 43 2" xfId="3478"/>
    <cellStyle name="Calculation 2 7 43 2 2" xfId="3479"/>
    <cellStyle name="Calculation 2 7 43 2 2 2" xfId="3480"/>
    <cellStyle name="Calculation 2 7 43 2 3" xfId="3481"/>
    <cellStyle name="Calculation 2 7 43 3" xfId="3482"/>
    <cellStyle name="Calculation 2 7 43 3 2" xfId="3483"/>
    <cellStyle name="Calculation 2 7 43 4" xfId="3484"/>
    <cellStyle name="Calculation 2 7 43 5" xfId="3485"/>
    <cellStyle name="Calculation 2 7 44" xfId="3486"/>
    <cellStyle name="Calculation 2 7 44 2" xfId="3487"/>
    <cellStyle name="Calculation 2 7 44 2 2" xfId="3488"/>
    <cellStyle name="Calculation 2 7 44 2 2 2" xfId="3489"/>
    <cellStyle name="Calculation 2 7 44 2 3" xfId="3490"/>
    <cellStyle name="Calculation 2 7 44 3" xfId="3491"/>
    <cellStyle name="Calculation 2 7 44 3 2" xfId="3492"/>
    <cellStyle name="Calculation 2 7 44 4" xfId="3493"/>
    <cellStyle name="Calculation 2 7 44 5" xfId="3494"/>
    <cellStyle name="Calculation 2 7 45" xfId="3495"/>
    <cellStyle name="Calculation 2 7 45 2" xfId="3496"/>
    <cellStyle name="Calculation 2 7 45 2 2" xfId="3497"/>
    <cellStyle name="Calculation 2 7 45 2 2 2" xfId="3498"/>
    <cellStyle name="Calculation 2 7 45 2 3" xfId="3499"/>
    <cellStyle name="Calculation 2 7 45 3" xfId="3500"/>
    <cellStyle name="Calculation 2 7 45 3 2" xfId="3501"/>
    <cellStyle name="Calculation 2 7 45 4" xfId="3502"/>
    <cellStyle name="Calculation 2 7 45 5" xfId="3503"/>
    <cellStyle name="Calculation 2 7 46" xfId="3504"/>
    <cellStyle name="Calculation 2 7 46 2" xfId="3505"/>
    <cellStyle name="Calculation 2 7 46 2 2" xfId="3506"/>
    <cellStyle name="Calculation 2 7 46 2 2 2" xfId="3507"/>
    <cellStyle name="Calculation 2 7 46 2 3" xfId="3508"/>
    <cellStyle name="Calculation 2 7 46 3" xfId="3509"/>
    <cellStyle name="Calculation 2 7 46 3 2" xfId="3510"/>
    <cellStyle name="Calculation 2 7 46 4" xfId="3511"/>
    <cellStyle name="Calculation 2 7 46 5" xfId="3512"/>
    <cellStyle name="Calculation 2 7 47" xfId="3513"/>
    <cellStyle name="Calculation 2 7 47 2" xfId="3514"/>
    <cellStyle name="Calculation 2 7 47 2 2" xfId="3515"/>
    <cellStyle name="Calculation 2 7 47 2 2 2" xfId="3516"/>
    <cellStyle name="Calculation 2 7 47 2 3" xfId="3517"/>
    <cellStyle name="Calculation 2 7 47 3" xfId="3518"/>
    <cellStyle name="Calculation 2 7 47 3 2" xfId="3519"/>
    <cellStyle name="Calculation 2 7 47 4" xfId="3520"/>
    <cellStyle name="Calculation 2 7 47 5" xfId="3521"/>
    <cellStyle name="Calculation 2 7 48" xfId="3522"/>
    <cellStyle name="Calculation 2 7 48 2" xfId="3523"/>
    <cellStyle name="Calculation 2 7 48 2 2" xfId="3524"/>
    <cellStyle name="Calculation 2 7 48 2 2 2" xfId="3525"/>
    <cellStyle name="Calculation 2 7 48 2 3" xfId="3526"/>
    <cellStyle name="Calculation 2 7 48 3" xfId="3527"/>
    <cellStyle name="Calculation 2 7 48 3 2" xfId="3528"/>
    <cellStyle name="Calculation 2 7 48 4" xfId="3529"/>
    <cellStyle name="Calculation 2 7 48 5" xfId="3530"/>
    <cellStyle name="Calculation 2 7 49" xfId="3531"/>
    <cellStyle name="Calculation 2 7 49 2" xfId="3532"/>
    <cellStyle name="Calculation 2 7 49 2 2" xfId="3533"/>
    <cellStyle name="Calculation 2 7 49 3" xfId="3534"/>
    <cellStyle name="Calculation 2 7 5" xfId="3535"/>
    <cellStyle name="Calculation 2 7 5 2" xfId="3536"/>
    <cellStyle name="Calculation 2 7 5 2 2" xfId="3537"/>
    <cellStyle name="Calculation 2 7 5 2 2 2" xfId="3538"/>
    <cellStyle name="Calculation 2 7 5 2 3" xfId="3539"/>
    <cellStyle name="Calculation 2 7 5 3" xfId="3540"/>
    <cellStyle name="Calculation 2 7 5 3 2" xfId="3541"/>
    <cellStyle name="Calculation 2 7 5 3 2 2" xfId="3542"/>
    <cellStyle name="Calculation 2 7 5 3 3" xfId="3543"/>
    <cellStyle name="Calculation 2 7 5 4" xfId="3544"/>
    <cellStyle name="Calculation 2 7 5 4 2" xfId="3545"/>
    <cellStyle name="Calculation 2 7 5 5" xfId="3546"/>
    <cellStyle name="Calculation 2 7 5 6" xfId="3547"/>
    <cellStyle name="Calculation 2 7 50" xfId="3548"/>
    <cellStyle name="Calculation 2 7 50 2" xfId="3549"/>
    <cellStyle name="Calculation 2 7 50 2 2" xfId="3550"/>
    <cellStyle name="Calculation 2 7 50 3" xfId="3551"/>
    <cellStyle name="Calculation 2 7 51" xfId="3552"/>
    <cellStyle name="Calculation 2 7 51 2" xfId="3553"/>
    <cellStyle name="Calculation 2 7 51 2 2" xfId="3554"/>
    <cellStyle name="Calculation 2 7 51 3" xfId="3555"/>
    <cellStyle name="Calculation 2 7 52" xfId="3556"/>
    <cellStyle name="Calculation 2 7 52 2" xfId="3557"/>
    <cellStyle name="Calculation 2 7 53" xfId="3558"/>
    <cellStyle name="Calculation 2 7 54" xfId="3559"/>
    <cellStyle name="Calculation 2 7 6" xfId="3560"/>
    <cellStyle name="Calculation 2 7 6 2" xfId="3561"/>
    <cellStyle name="Calculation 2 7 6 2 2" xfId="3562"/>
    <cellStyle name="Calculation 2 7 6 2 2 2" xfId="3563"/>
    <cellStyle name="Calculation 2 7 6 2 3" xfId="3564"/>
    <cellStyle name="Calculation 2 7 6 3" xfId="3565"/>
    <cellStyle name="Calculation 2 7 6 3 2" xfId="3566"/>
    <cellStyle name="Calculation 2 7 6 3 2 2" xfId="3567"/>
    <cellStyle name="Calculation 2 7 6 3 3" xfId="3568"/>
    <cellStyle name="Calculation 2 7 6 4" xfId="3569"/>
    <cellStyle name="Calculation 2 7 6 4 2" xfId="3570"/>
    <cellStyle name="Calculation 2 7 6 5" xfId="3571"/>
    <cellStyle name="Calculation 2 7 6 6" xfId="3572"/>
    <cellStyle name="Calculation 2 7 7" xfId="3573"/>
    <cellStyle name="Calculation 2 7 7 2" xfId="3574"/>
    <cellStyle name="Calculation 2 7 7 2 2" xfId="3575"/>
    <cellStyle name="Calculation 2 7 7 2 2 2" xfId="3576"/>
    <cellStyle name="Calculation 2 7 7 2 3" xfId="3577"/>
    <cellStyle name="Calculation 2 7 7 3" xfId="3578"/>
    <cellStyle name="Calculation 2 7 7 3 2" xfId="3579"/>
    <cellStyle name="Calculation 2 7 7 3 2 2" xfId="3580"/>
    <cellStyle name="Calculation 2 7 7 3 3" xfId="3581"/>
    <cellStyle name="Calculation 2 7 7 4" xfId="3582"/>
    <cellStyle name="Calculation 2 7 7 4 2" xfId="3583"/>
    <cellStyle name="Calculation 2 7 7 5" xfId="3584"/>
    <cellStyle name="Calculation 2 7 7 6" xfId="3585"/>
    <cellStyle name="Calculation 2 7 8" xfId="3586"/>
    <cellStyle name="Calculation 2 7 8 2" xfId="3587"/>
    <cellStyle name="Calculation 2 7 8 2 2" xfId="3588"/>
    <cellStyle name="Calculation 2 7 8 2 2 2" xfId="3589"/>
    <cellStyle name="Calculation 2 7 8 2 3" xfId="3590"/>
    <cellStyle name="Calculation 2 7 8 3" xfId="3591"/>
    <cellStyle name="Calculation 2 7 8 3 2" xfId="3592"/>
    <cellStyle name="Calculation 2 7 8 3 2 2" xfId="3593"/>
    <cellStyle name="Calculation 2 7 8 3 3" xfId="3594"/>
    <cellStyle name="Calculation 2 7 8 4" xfId="3595"/>
    <cellStyle name="Calculation 2 7 8 4 2" xfId="3596"/>
    <cellStyle name="Calculation 2 7 8 5" xfId="3597"/>
    <cellStyle name="Calculation 2 7 8 6" xfId="3598"/>
    <cellStyle name="Calculation 2 7 9" xfId="3599"/>
    <cellStyle name="Calculation 2 7 9 2" xfId="3600"/>
    <cellStyle name="Calculation 2 7 9 2 2" xfId="3601"/>
    <cellStyle name="Calculation 2 7 9 2 2 2" xfId="3602"/>
    <cellStyle name="Calculation 2 7 9 2 3" xfId="3603"/>
    <cellStyle name="Calculation 2 7 9 3" xfId="3604"/>
    <cellStyle name="Calculation 2 7 9 3 2" xfId="3605"/>
    <cellStyle name="Calculation 2 7 9 4" xfId="3606"/>
    <cellStyle name="Calculation 2 7 9 5" xfId="3607"/>
    <cellStyle name="Calculation 2 8" xfId="3608"/>
    <cellStyle name="Calculation 2 8 10" xfId="3609"/>
    <cellStyle name="Calculation 2 8 10 2" xfId="3610"/>
    <cellStyle name="Calculation 2 8 10 2 2" xfId="3611"/>
    <cellStyle name="Calculation 2 8 10 2 2 2" xfId="3612"/>
    <cellStyle name="Calculation 2 8 10 2 3" xfId="3613"/>
    <cellStyle name="Calculation 2 8 10 3" xfId="3614"/>
    <cellStyle name="Calculation 2 8 10 3 2" xfId="3615"/>
    <cellStyle name="Calculation 2 8 10 4" xfId="3616"/>
    <cellStyle name="Calculation 2 8 10 5" xfId="3617"/>
    <cellStyle name="Calculation 2 8 11" xfId="3618"/>
    <cellStyle name="Calculation 2 8 11 2" xfId="3619"/>
    <cellStyle name="Calculation 2 8 11 2 2" xfId="3620"/>
    <cellStyle name="Calculation 2 8 11 2 2 2" xfId="3621"/>
    <cellStyle name="Calculation 2 8 11 2 3" xfId="3622"/>
    <cellStyle name="Calculation 2 8 11 3" xfId="3623"/>
    <cellStyle name="Calculation 2 8 11 3 2" xfId="3624"/>
    <cellStyle name="Calculation 2 8 11 4" xfId="3625"/>
    <cellStyle name="Calculation 2 8 11 5" xfId="3626"/>
    <cellStyle name="Calculation 2 8 12" xfId="3627"/>
    <cellStyle name="Calculation 2 8 12 2" xfId="3628"/>
    <cellStyle name="Calculation 2 8 12 2 2" xfId="3629"/>
    <cellStyle name="Calculation 2 8 12 2 2 2" xfId="3630"/>
    <cellStyle name="Calculation 2 8 12 2 3" xfId="3631"/>
    <cellStyle name="Calculation 2 8 12 3" xfId="3632"/>
    <cellStyle name="Calculation 2 8 12 3 2" xfId="3633"/>
    <cellStyle name="Calculation 2 8 12 4" xfId="3634"/>
    <cellStyle name="Calculation 2 8 12 5" xfId="3635"/>
    <cellStyle name="Calculation 2 8 13" xfId="3636"/>
    <cellStyle name="Calculation 2 8 13 2" xfId="3637"/>
    <cellStyle name="Calculation 2 8 13 2 2" xfId="3638"/>
    <cellStyle name="Calculation 2 8 13 2 2 2" xfId="3639"/>
    <cellStyle name="Calculation 2 8 13 2 3" xfId="3640"/>
    <cellStyle name="Calculation 2 8 13 3" xfId="3641"/>
    <cellStyle name="Calculation 2 8 13 3 2" xfId="3642"/>
    <cellStyle name="Calculation 2 8 13 4" xfId="3643"/>
    <cellStyle name="Calculation 2 8 13 5" xfId="3644"/>
    <cellStyle name="Calculation 2 8 14" xfId="3645"/>
    <cellStyle name="Calculation 2 8 14 2" xfId="3646"/>
    <cellStyle name="Calculation 2 8 14 2 2" xfId="3647"/>
    <cellStyle name="Calculation 2 8 14 2 2 2" xfId="3648"/>
    <cellStyle name="Calculation 2 8 14 2 3" xfId="3649"/>
    <cellStyle name="Calculation 2 8 14 3" xfId="3650"/>
    <cellStyle name="Calculation 2 8 14 3 2" xfId="3651"/>
    <cellStyle name="Calculation 2 8 14 4" xfId="3652"/>
    <cellStyle name="Calculation 2 8 14 5" xfId="3653"/>
    <cellStyle name="Calculation 2 8 15" xfId="3654"/>
    <cellStyle name="Calculation 2 8 15 2" xfId="3655"/>
    <cellStyle name="Calculation 2 8 15 2 2" xfId="3656"/>
    <cellStyle name="Calculation 2 8 15 2 2 2" xfId="3657"/>
    <cellStyle name="Calculation 2 8 15 2 3" xfId="3658"/>
    <cellStyle name="Calculation 2 8 15 3" xfId="3659"/>
    <cellStyle name="Calculation 2 8 15 3 2" xfId="3660"/>
    <cellStyle name="Calculation 2 8 15 4" xfId="3661"/>
    <cellStyle name="Calculation 2 8 15 5" xfId="3662"/>
    <cellStyle name="Calculation 2 8 16" xfId="3663"/>
    <cellStyle name="Calculation 2 8 16 2" xfId="3664"/>
    <cellStyle name="Calculation 2 8 16 2 2" xfId="3665"/>
    <cellStyle name="Calculation 2 8 16 2 2 2" xfId="3666"/>
    <cellStyle name="Calculation 2 8 16 2 3" xfId="3667"/>
    <cellStyle name="Calculation 2 8 16 3" xfId="3668"/>
    <cellStyle name="Calculation 2 8 16 3 2" xfId="3669"/>
    <cellStyle name="Calculation 2 8 16 4" xfId="3670"/>
    <cellStyle name="Calculation 2 8 16 5" xfId="3671"/>
    <cellStyle name="Calculation 2 8 17" xfId="3672"/>
    <cellStyle name="Calculation 2 8 17 2" xfId="3673"/>
    <cellStyle name="Calculation 2 8 17 2 2" xfId="3674"/>
    <cellStyle name="Calculation 2 8 17 2 2 2" xfId="3675"/>
    <cellStyle name="Calculation 2 8 17 2 3" xfId="3676"/>
    <cellStyle name="Calculation 2 8 17 3" xfId="3677"/>
    <cellStyle name="Calculation 2 8 17 3 2" xfId="3678"/>
    <cellStyle name="Calculation 2 8 17 4" xfId="3679"/>
    <cellStyle name="Calculation 2 8 17 5" xfId="3680"/>
    <cellStyle name="Calculation 2 8 18" xfId="3681"/>
    <cellStyle name="Calculation 2 8 18 2" xfId="3682"/>
    <cellStyle name="Calculation 2 8 18 2 2" xfId="3683"/>
    <cellStyle name="Calculation 2 8 18 2 2 2" xfId="3684"/>
    <cellStyle name="Calculation 2 8 18 2 3" xfId="3685"/>
    <cellStyle name="Calculation 2 8 18 3" xfId="3686"/>
    <cellStyle name="Calculation 2 8 18 3 2" xfId="3687"/>
    <cellStyle name="Calculation 2 8 18 4" xfId="3688"/>
    <cellStyle name="Calculation 2 8 18 5" xfId="3689"/>
    <cellStyle name="Calculation 2 8 19" xfId="3690"/>
    <cellStyle name="Calculation 2 8 19 2" xfId="3691"/>
    <cellStyle name="Calculation 2 8 19 2 2" xfId="3692"/>
    <cellStyle name="Calculation 2 8 19 2 2 2" xfId="3693"/>
    <cellStyle name="Calculation 2 8 19 2 3" xfId="3694"/>
    <cellStyle name="Calculation 2 8 19 3" xfId="3695"/>
    <cellStyle name="Calculation 2 8 19 3 2" xfId="3696"/>
    <cellStyle name="Calculation 2 8 19 4" xfId="3697"/>
    <cellStyle name="Calculation 2 8 19 5" xfId="3698"/>
    <cellStyle name="Calculation 2 8 2" xfId="3699"/>
    <cellStyle name="Calculation 2 8 2 2" xfId="3700"/>
    <cellStyle name="Calculation 2 8 2 2 2" xfId="3701"/>
    <cellStyle name="Calculation 2 8 2 2 2 2" xfId="3702"/>
    <cellStyle name="Calculation 2 8 2 2 3" xfId="3703"/>
    <cellStyle name="Calculation 2 8 2 3" xfId="3704"/>
    <cellStyle name="Calculation 2 8 2 3 2" xfId="3705"/>
    <cellStyle name="Calculation 2 8 2 3 2 2" xfId="3706"/>
    <cellStyle name="Calculation 2 8 2 3 3" xfId="3707"/>
    <cellStyle name="Calculation 2 8 2 4" xfId="3708"/>
    <cellStyle name="Calculation 2 8 2 4 2" xfId="3709"/>
    <cellStyle name="Calculation 2 8 2 5" xfId="3710"/>
    <cellStyle name="Calculation 2 8 2 6" xfId="3711"/>
    <cellStyle name="Calculation 2 8 20" xfId="3712"/>
    <cellStyle name="Calculation 2 8 20 2" xfId="3713"/>
    <cellStyle name="Calculation 2 8 20 2 2" xfId="3714"/>
    <cellStyle name="Calculation 2 8 20 2 2 2" xfId="3715"/>
    <cellStyle name="Calculation 2 8 20 2 3" xfId="3716"/>
    <cellStyle name="Calculation 2 8 20 3" xfId="3717"/>
    <cellStyle name="Calculation 2 8 20 3 2" xfId="3718"/>
    <cellStyle name="Calculation 2 8 20 4" xfId="3719"/>
    <cellStyle name="Calculation 2 8 20 5" xfId="3720"/>
    <cellStyle name="Calculation 2 8 21" xfId="3721"/>
    <cellStyle name="Calculation 2 8 21 2" xfId="3722"/>
    <cellStyle name="Calculation 2 8 21 2 2" xfId="3723"/>
    <cellStyle name="Calculation 2 8 21 2 2 2" xfId="3724"/>
    <cellStyle name="Calculation 2 8 21 2 3" xfId="3725"/>
    <cellStyle name="Calculation 2 8 21 3" xfId="3726"/>
    <cellStyle name="Calculation 2 8 21 3 2" xfId="3727"/>
    <cellStyle name="Calculation 2 8 21 4" xfId="3728"/>
    <cellStyle name="Calculation 2 8 21 5" xfId="3729"/>
    <cellStyle name="Calculation 2 8 22" xfId="3730"/>
    <cellStyle name="Calculation 2 8 22 2" xfId="3731"/>
    <cellStyle name="Calculation 2 8 22 2 2" xfId="3732"/>
    <cellStyle name="Calculation 2 8 22 2 2 2" xfId="3733"/>
    <cellStyle name="Calculation 2 8 22 2 3" xfId="3734"/>
    <cellStyle name="Calculation 2 8 22 3" xfId="3735"/>
    <cellStyle name="Calculation 2 8 22 3 2" xfId="3736"/>
    <cellStyle name="Calculation 2 8 22 4" xfId="3737"/>
    <cellStyle name="Calculation 2 8 22 5" xfId="3738"/>
    <cellStyle name="Calculation 2 8 23" xfId="3739"/>
    <cellStyle name="Calculation 2 8 23 2" xfId="3740"/>
    <cellStyle name="Calculation 2 8 23 2 2" xfId="3741"/>
    <cellStyle name="Calculation 2 8 23 2 2 2" xfId="3742"/>
    <cellStyle name="Calculation 2 8 23 2 3" xfId="3743"/>
    <cellStyle name="Calculation 2 8 23 3" xfId="3744"/>
    <cellStyle name="Calculation 2 8 23 3 2" xfId="3745"/>
    <cellStyle name="Calculation 2 8 23 4" xfId="3746"/>
    <cellStyle name="Calculation 2 8 23 5" xfId="3747"/>
    <cellStyle name="Calculation 2 8 24" xfId="3748"/>
    <cellStyle name="Calculation 2 8 24 2" xfId="3749"/>
    <cellStyle name="Calculation 2 8 24 2 2" xfId="3750"/>
    <cellStyle name="Calculation 2 8 24 2 2 2" xfId="3751"/>
    <cellStyle name="Calculation 2 8 24 2 3" xfId="3752"/>
    <cellStyle name="Calculation 2 8 24 3" xfId="3753"/>
    <cellStyle name="Calculation 2 8 24 3 2" xfId="3754"/>
    <cellStyle name="Calculation 2 8 24 4" xfId="3755"/>
    <cellStyle name="Calculation 2 8 24 5" xfId="3756"/>
    <cellStyle name="Calculation 2 8 25" xfId="3757"/>
    <cellStyle name="Calculation 2 8 25 2" xfId="3758"/>
    <cellStyle name="Calculation 2 8 25 2 2" xfId="3759"/>
    <cellStyle name="Calculation 2 8 25 2 2 2" xfId="3760"/>
    <cellStyle name="Calculation 2 8 25 2 3" xfId="3761"/>
    <cellStyle name="Calculation 2 8 25 3" xfId="3762"/>
    <cellStyle name="Calculation 2 8 25 3 2" xfId="3763"/>
    <cellStyle name="Calculation 2 8 25 4" xfId="3764"/>
    <cellStyle name="Calculation 2 8 25 5" xfId="3765"/>
    <cellStyle name="Calculation 2 8 26" xfId="3766"/>
    <cellStyle name="Calculation 2 8 26 2" xfId="3767"/>
    <cellStyle name="Calculation 2 8 26 2 2" xfId="3768"/>
    <cellStyle name="Calculation 2 8 26 2 2 2" xfId="3769"/>
    <cellStyle name="Calculation 2 8 26 2 3" xfId="3770"/>
    <cellStyle name="Calculation 2 8 26 3" xfId="3771"/>
    <cellStyle name="Calculation 2 8 26 3 2" xfId="3772"/>
    <cellStyle name="Calculation 2 8 26 4" xfId="3773"/>
    <cellStyle name="Calculation 2 8 26 5" xfId="3774"/>
    <cellStyle name="Calculation 2 8 27" xfId="3775"/>
    <cellStyle name="Calculation 2 8 27 2" xfId="3776"/>
    <cellStyle name="Calculation 2 8 27 2 2" xfId="3777"/>
    <cellStyle name="Calculation 2 8 27 2 2 2" xfId="3778"/>
    <cellStyle name="Calculation 2 8 27 2 3" xfId="3779"/>
    <cellStyle name="Calculation 2 8 27 3" xfId="3780"/>
    <cellStyle name="Calculation 2 8 27 3 2" xfId="3781"/>
    <cellStyle name="Calculation 2 8 27 4" xfId="3782"/>
    <cellStyle name="Calculation 2 8 27 5" xfId="3783"/>
    <cellStyle name="Calculation 2 8 28" xfId="3784"/>
    <cellStyle name="Calculation 2 8 28 2" xfId="3785"/>
    <cellStyle name="Calculation 2 8 28 2 2" xfId="3786"/>
    <cellStyle name="Calculation 2 8 28 2 2 2" xfId="3787"/>
    <cellStyle name="Calculation 2 8 28 2 3" xfId="3788"/>
    <cellStyle name="Calculation 2 8 28 3" xfId="3789"/>
    <cellStyle name="Calculation 2 8 28 3 2" xfId="3790"/>
    <cellStyle name="Calculation 2 8 28 4" xfId="3791"/>
    <cellStyle name="Calculation 2 8 28 5" xfId="3792"/>
    <cellStyle name="Calculation 2 8 29" xfId="3793"/>
    <cellStyle name="Calculation 2 8 29 2" xfId="3794"/>
    <cellStyle name="Calculation 2 8 29 2 2" xfId="3795"/>
    <cellStyle name="Calculation 2 8 29 2 2 2" xfId="3796"/>
    <cellStyle name="Calculation 2 8 29 2 3" xfId="3797"/>
    <cellStyle name="Calculation 2 8 29 3" xfId="3798"/>
    <cellStyle name="Calculation 2 8 29 3 2" xfId="3799"/>
    <cellStyle name="Calculation 2 8 29 4" xfId="3800"/>
    <cellStyle name="Calculation 2 8 29 5" xfId="3801"/>
    <cellStyle name="Calculation 2 8 3" xfId="3802"/>
    <cellStyle name="Calculation 2 8 3 2" xfId="3803"/>
    <cellStyle name="Calculation 2 8 3 2 2" xfId="3804"/>
    <cellStyle name="Calculation 2 8 3 2 2 2" xfId="3805"/>
    <cellStyle name="Calculation 2 8 3 2 3" xfId="3806"/>
    <cellStyle name="Calculation 2 8 3 3" xfId="3807"/>
    <cellStyle name="Calculation 2 8 3 3 2" xfId="3808"/>
    <cellStyle name="Calculation 2 8 3 3 2 2" xfId="3809"/>
    <cellStyle name="Calculation 2 8 3 3 3" xfId="3810"/>
    <cellStyle name="Calculation 2 8 3 4" xfId="3811"/>
    <cellStyle name="Calculation 2 8 3 4 2" xfId="3812"/>
    <cellStyle name="Calculation 2 8 3 5" xfId="3813"/>
    <cellStyle name="Calculation 2 8 3 6" xfId="3814"/>
    <cellStyle name="Calculation 2 8 30" xfId="3815"/>
    <cellStyle name="Calculation 2 8 30 2" xfId="3816"/>
    <cellStyle name="Calculation 2 8 30 2 2" xfId="3817"/>
    <cellStyle name="Calculation 2 8 30 2 2 2" xfId="3818"/>
    <cellStyle name="Calculation 2 8 30 2 3" xfId="3819"/>
    <cellStyle name="Calculation 2 8 30 3" xfId="3820"/>
    <cellStyle name="Calculation 2 8 30 3 2" xfId="3821"/>
    <cellStyle name="Calculation 2 8 30 4" xfId="3822"/>
    <cellStyle name="Calculation 2 8 30 5" xfId="3823"/>
    <cellStyle name="Calculation 2 8 31" xfId="3824"/>
    <cellStyle name="Calculation 2 8 31 2" xfId="3825"/>
    <cellStyle name="Calculation 2 8 31 2 2" xfId="3826"/>
    <cellStyle name="Calculation 2 8 31 2 2 2" xfId="3827"/>
    <cellStyle name="Calculation 2 8 31 2 3" xfId="3828"/>
    <cellStyle name="Calculation 2 8 31 3" xfId="3829"/>
    <cellStyle name="Calculation 2 8 31 3 2" xfId="3830"/>
    <cellStyle name="Calculation 2 8 31 4" xfId="3831"/>
    <cellStyle name="Calculation 2 8 31 5" xfId="3832"/>
    <cellStyle name="Calculation 2 8 32" xfId="3833"/>
    <cellStyle name="Calculation 2 8 32 2" xfId="3834"/>
    <cellStyle name="Calculation 2 8 32 2 2" xfId="3835"/>
    <cellStyle name="Calculation 2 8 32 2 2 2" xfId="3836"/>
    <cellStyle name="Calculation 2 8 32 2 3" xfId="3837"/>
    <cellStyle name="Calculation 2 8 32 3" xfId="3838"/>
    <cellStyle name="Calculation 2 8 32 3 2" xfId="3839"/>
    <cellStyle name="Calculation 2 8 32 4" xfId="3840"/>
    <cellStyle name="Calculation 2 8 32 5" xfId="3841"/>
    <cellStyle name="Calculation 2 8 33" xfId="3842"/>
    <cellStyle name="Calculation 2 8 33 2" xfId="3843"/>
    <cellStyle name="Calculation 2 8 33 2 2" xfId="3844"/>
    <cellStyle name="Calculation 2 8 33 2 2 2" xfId="3845"/>
    <cellStyle name="Calculation 2 8 33 2 3" xfId="3846"/>
    <cellStyle name="Calculation 2 8 33 3" xfId="3847"/>
    <cellStyle name="Calculation 2 8 33 3 2" xfId="3848"/>
    <cellStyle name="Calculation 2 8 33 4" xfId="3849"/>
    <cellStyle name="Calculation 2 8 33 5" xfId="3850"/>
    <cellStyle name="Calculation 2 8 34" xfId="3851"/>
    <cellStyle name="Calculation 2 8 34 2" xfId="3852"/>
    <cellStyle name="Calculation 2 8 34 2 2" xfId="3853"/>
    <cellStyle name="Calculation 2 8 34 2 2 2" xfId="3854"/>
    <cellStyle name="Calculation 2 8 34 2 3" xfId="3855"/>
    <cellStyle name="Calculation 2 8 34 3" xfId="3856"/>
    <cellStyle name="Calculation 2 8 34 3 2" xfId="3857"/>
    <cellStyle name="Calculation 2 8 34 4" xfId="3858"/>
    <cellStyle name="Calculation 2 8 34 5" xfId="3859"/>
    <cellStyle name="Calculation 2 8 35" xfId="3860"/>
    <cellStyle name="Calculation 2 8 35 2" xfId="3861"/>
    <cellStyle name="Calculation 2 8 35 2 2" xfId="3862"/>
    <cellStyle name="Calculation 2 8 35 2 2 2" xfId="3863"/>
    <cellStyle name="Calculation 2 8 35 2 3" xfId="3864"/>
    <cellStyle name="Calculation 2 8 35 3" xfId="3865"/>
    <cellStyle name="Calculation 2 8 35 3 2" xfId="3866"/>
    <cellStyle name="Calculation 2 8 35 4" xfId="3867"/>
    <cellStyle name="Calculation 2 8 35 5" xfId="3868"/>
    <cellStyle name="Calculation 2 8 36" xfId="3869"/>
    <cellStyle name="Calculation 2 8 36 2" xfId="3870"/>
    <cellStyle name="Calculation 2 8 36 2 2" xfId="3871"/>
    <cellStyle name="Calculation 2 8 36 2 2 2" xfId="3872"/>
    <cellStyle name="Calculation 2 8 36 2 3" xfId="3873"/>
    <cellStyle name="Calculation 2 8 36 3" xfId="3874"/>
    <cellStyle name="Calculation 2 8 36 3 2" xfId="3875"/>
    <cellStyle name="Calculation 2 8 36 4" xfId="3876"/>
    <cellStyle name="Calculation 2 8 36 5" xfId="3877"/>
    <cellStyle name="Calculation 2 8 37" xfId="3878"/>
    <cellStyle name="Calculation 2 8 37 2" xfId="3879"/>
    <cellStyle name="Calculation 2 8 37 2 2" xfId="3880"/>
    <cellStyle name="Calculation 2 8 37 2 2 2" xfId="3881"/>
    <cellStyle name="Calculation 2 8 37 2 3" xfId="3882"/>
    <cellStyle name="Calculation 2 8 37 3" xfId="3883"/>
    <cellStyle name="Calculation 2 8 37 3 2" xfId="3884"/>
    <cellStyle name="Calculation 2 8 37 4" xfId="3885"/>
    <cellStyle name="Calculation 2 8 37 5" xfId="3886"/>
    <cellStyle name="Calculation 2 8 38" xfId="3887"/>
    <cellStyle name="Calculation 2 8 38 2" xfId="3888"/>
    <cellStyle name="Calculation 2 8 38 2 2" xfId="3889"/>
    <cellStyle name="Calculation 2 8 38 2 2 2" xfId="3890"/>
    <cellStyle name="Calculation 2 8 38 2 3" xfId="3891"/>
    <cellStyle name="Calculation 2 8 38 3" xfId="3892"/>
    <cellStyle name="Calculation 2 8 38 3 2" xfId="3893"/>
    <cellStyle name="Calculation 2 8 38 4" xfId="3894"/>
    <cellStyle name="Calculation 2 8 38 5" xfId="3895"/>
    <cellStyle name="Calculation 2 8 39" xfId="3896"/>
    <cellStyle name="Calculation 2 8 39 2" xfId="3897"/>
    <cellStyle name="Calculation 2 8 39 2 2" xfId="3898"/>
    <cellStyle name="Calculation 2 8 39 2 2 2" xfId="3899"/>
    <cellStyle name="Calculation 2 8 39 2 3" xfId="3900"/>
    <cellStyle name="Calculation 2 8 39 3" xfId="3901"/>
    <cellStyle name="Calculation 2 8 39 3 2" xfId="3902"/>
    <cellStyle name="Calculation 2 8 39 4" xfId="3903"/>
    <cellStyle name="Calculation 2 8 39 5" xfId="3904"/>
    <cellStyle name="Calculation 2 8 4" xfId="3905"/>
    <cellStyle name="Calculation 2 8 4 2" xfId="3906"/>
    <cellStyle name="Calculation 2 8 4 2 2" xfId="3907"/>
    <cellStyle name="Calculation 2 8 4 2 2 2" xfId="3908"/>
    <cellStyle name="Calculation 2 8 4 2 3" xfId="3909"/>
    <cellStyle name="Calculation 2 8 4 3" xfId="3910"/>
    <cellStyle name="Calculation 2 8 4 3 2" xfId="3911"/>
    <cellStyle name="Calculation 2 8 4 3 2 2" xfId="3912"/>
    <cellStyle name="Calculation 2 8 4 3 3" xfId="3913"/>
    <cellStyle name="Calculation 2 8 4 4" xfId="3914"/>
    <cellStyle name="Calculation 2 8 4 4 2" xfId="3915"/>
    <cellStyle name="Calculation 2 8 4 5" xfId="3916"/>
    <cellStyle name="Calculation 2 8 4 6" xfId="3917"/>
    <cellStyle name="Calculation 2 8 40" xfId="3918"/>
    <cellStyle name="Calculation 2 8 40 2" xfId="3919"/>
    <cellStyle name="Calculation 2 8 40 2 2" xfId="3920"/>
    <cellStyle name="Calculation 2 8 40 2 2 2" xfId="3921"/>
    <cellStyle name="Calculation 2 8 40 2 3" xfId="3922"/>
    <cellStyle name="Calculation 2 8 40 3" xfId="3923"/>
    <cellStyle name="Calculation 2 8 40 3 2" xfId="3924"/>
    <cellStyle name="Calculation 2 8 40 4" xfId="3925"/>
    <cellStyle name="Calculation 2 8 40 5" xfId="3926"/>
    <cellStyle name="Calculation 2 8 41" xfId="3927"/>
    <cellStyle name="Calculation 2 8 41 2" xfId="3928"/>
    <cellStyle name="Calculation 2 8 41 2 2" xfId="3929"/>
    <cellStyle name="Calculation 2 8 41 2 2 2" xfId="3930"/>
    <cellStyle name="Calculation 2 8 41 2 3" xfId="3931"/>
    <cellStyle name="Calculation 2 8 41 3" xfId="3932"/>
    <cellStyle name="Calculation 2 8 41 3 2" xfId="3933"/>
    <cellStyle name="Calculation 2 8 41 4" xfId="3934"/>
    <cellStyle name="Calculation 2 8 41 5" xfId="3935"/>
    <cellStyle name="Calculation 2 8 42" xfId="3936"/>
    <cellStyle name="Calculation 2 8 42 2" xfId="3937"/>
    <cellStyle name="Calculation 2 8 42 2 2" xfId="3938"/>
    <cellStyle name="Calculation 2 8 42 2 2 2" xfId="3939"/>
    <cellStyle name="Calculation 2 8 42 2 3" xfId="3940"/>
    <cellStyle name="Calculation 2 8 42 3" xfId="3941"/>
    <cellStyle name="Calculation 2 8 42 3 2" xfId="3942"/>
    <cellStyle name="Calculation 2 8 42 4" xfId="3943"/>
    <cellStyle name="Calculation 2 8 42 5" xfId="3944"/>
    <cellStyle name="Calculation 2 8 43" xfId="3945"/>
    <cellStyle name="Calculation 2 8 43 2" xfId="3946"/>
    <cellStyle name="Calculation 2 8 43 2 2" xfId="3947"/>
    <cellStyle name="Calculation 2 8 43 2 2 2" xfId="3948"/>
    <cellStyle name="Calculation 2 8 43 2 3" xfId="3949"/>
    <cellStyle name="Calculation 2 8 43 3" xfId="3950"/>
    <cellStyle name="Calculation 2 8 43 3 2" xfId="3951"/>
    <cellStyle name="Calculation 2 8 43 4" xfId="3952"/>
    <cellStyle name="Calculation 2 8 43 5" xfId="3953"/>
    <cellStyle name="Calculation 2 8 44" xfId="3954"/>
    <cellStyle name="Calculation 2 8 44 2" xfId="3955"/>
    <cellStyle name="Calculation 2 8 44 2 2" xfId="3956"/>
    <cellStyle name="Calculation 2 8 44 2 2 2" xfId="3957"/>
    <cellStyle name="Calculation 2 8 44 2 3" xfId="3958"/>
    <cellStyle name="Calculation 2 8 44 3" xfId="3959"/>
    <cellStyle name="Calculation 2 8 44 3 2" xfId="3960"/>
    <cellStyle name="Calculation 2 8 44 4" xfId="3961"/>
    <cellStyle name="Calculation 2 8 44 5" xfId="3962"/>
    <cellStyle name="Calculation 2 8 45" xfId="3963"/>
    <cellStyle name="Calculation 2 8 45 2" xfId="3964"/>
    <cellStyle name="Calculation 2 8 45 2 2" xfId="3965"/>
    <cellStyle name="Calculation 2 8 45 2 2 2" xfId="3966"/>
    <cellStyle name="Calculation 2 8 45 2 3" xfId="3967"/>
    <cellStyle name="Calculation 2 8 45 3" xfId="3968"/>
    <cellStyle name="Calculation 2 8 45 3 2" xfId="3969"/>
    <cellStyle name="Calculation 2 8 45 4" xfId="3970"/>
    <cellStyle name="Calculation 2 8 45 5" xfId="3971"/>
    <cellStyle name="Calculation 2 8 46" xfId="3972"/>
    <cellStyle name="Calculation 2 8 46 2" xfId="3973"/>
    <cellStyle name="Calculation 2 8 46 2 2" xfId="3974"/>
    <cellStyle name="Calculation 2 8 46 2 2 2" xfId="3975"/>
    <cellStyle name="Calculation 2 8 46 2 3" xfId="3976"/>
    <cellStyle name="Calculation 2 8 46 3" xfId="3977"/>
    <cellStyle name="Calculation 2 8 46 3 2" xfId="3978"/>
    <cellStyle name="Calculation 2 8 46 4" xfId="3979"/>
    <cellStyle name="Calculation 2 8 46 5" xfId="3980"/>
    <cellStyle name="Calculation 2 8 47" xfId="3981"/>
    <cellStyle name="Calculation 2 8 47 2" xfId="3982"/>
    <cellStyle name="Calculation 2 8 47 2 2" xfId="3983"/>
    <cellStyle name="Calculation 2 8 47 2 2 2" xfId="3984"/>
    <cellStyle name="Calculation 2 8 47 2 3" xfId="3985"/>
    <cellStyle name="Calculation 2 8 47 3" xfId="3986"/>
    <cellStyle name="Calculation 2 8 47 3 2" xfId="3987"/>
    <cellStyle name="Calculation 2 8 47 4" xfId="3988"/>
    <cellStyle name="Calculation 2 8 47 5" xfId="3989"/>
    <cellStyle name="Calculation 2 8 48" xfId="3990"/>
    <cellStyle name="Calculation 2 8 48 2" xfId="3991"/>
    <cellStyle name="Calculation 2 8 48 2 2" xfId="3992"/>
    <cellStyle name="Calculation 2 8 48 2 2 2" xfId="3993"/>
    <cellStyle name="Calculation 2 8 48 2 3" xfId="3994"/>
    <cellStyle name="Calculation 2 8 48 3" xfId="3995"/>
    <cellStyle name="Calculation 2 8 48 3 2" xfId="3996"/>
    <cellStyle name="Calculation 2 8 48 4" xfId="3997"/>
    <cellStyle name="Calculation 2 8 48 5" xfId="3998"/>
    <cellStyle name="Calculation 2 8 49" xfId="3999"/>
    <cellStyle name="Calculation 2 8 49 2" xfId="4000"/>
    <cellStyle name="Calculation 2 8 49 2 2" xfId="4001"/>
    <cellStyle name="Calculation 2 8 49 3" xfId="4002"/>
    <cellStyle name="Calculation 2 8 5" xfId="4003"/>
    <cellStyle name="Calculation 2 8 5 2" xfId="4004"/>
    <cellStyle name="Calculation 2 8 5 2 2" xfId="4005"/>
    <cellStyle name="Calculation 2 8 5 2 2 2" xfId="4006"/>
    <cellStyle name="Calculation 2 8 5 2 3" xfId="4007"/>
    <cellStyle name="Calculation 2 8 5 3" xfId="4008"/>
    <cellStyle name="Calculation 2 8 5 3 2" xfId="4009"/>
    <cellStyle name="Calculation 2 8 5 3 2 2" xfId="4010"/>
    <cellStyle name="Calculation 2 8 5 3 3" xfId="4011"/>
    <cellStyle name="Calculation 2 8 5 4" xfId="4012"/>
    <cellStyle name="Calculation 2 8 5 4 2" xfId="4013"/>
    <cellStyle name="Calculation 2 8 5 5" xfId="4014"/>
    <cellStyle name="Calculation 2 8 5 6" xfId="4015"/>
    <cellStyle name="Calculation 2 8 50" xfId="4016"/>
    <cellStyle name="Calculation 2 8 50 2" xfId="4017"/>
    <cellStyle name="Calculation 2 8 50 2 2" xfId="4018"/>
    <cellStyle name="Calculation 2 8 50 3" xfId="4019"/>
    <cellStyle name="Calculation 2 8 51" xfId="4020"/>
    <cellStyle name="Calculation 2 8 51 2" xfId="4021"/>
    <cellStyle name="Calculation 2 8 51 2 2" xfId="4022"/>
    <cellStyle name="Calculation 2 8 51 3" xfId="4023"/>
    <cellStyle name="Calculation 2 8 52" xfId="4024"/>
    <cellStyle name="Calculation 2 8 52 2" xfId="4025"/>
    <cellStyle name="Calculation 2 8 53" xfId="4026"/>
    <cellStyle name="Calculation 2 8 54" xfId="4027"/>
    <cellStyle name="Calculation 2 8 6" xfId="4028"/>
    <cellStyle name="Calculation 2 8 6 2" xfId="4029"/>
    <cellStyle name="Calculation 2 8 6 2 2" xfId="4030"/>
    <cellStyle name="Calculation 2 8 6 2 2 2" xfId="4031"/>
    <cellStyle name="Calculation 2 8 6 2 3" xfId="4032"/>
    <cellStyle name="Calculation 2 8 6 3" xfId="4033"/>
    <cellStyle name="Calculation 2 8 6 3 2" xfId="4034"/>
    <cellStyle name="Calculation 2 8 6 3 2 2" xfId="4035"/>
    <cellStyle name="Calculation 2 8 6 3 3" xfId="4036"/>
    <cellStyle name="Calculation 2 8 6 4" xfId="4037"/>
    <cellStyle name="Calculation 2 8 6 4 2" xfId="4038"/>
    <cellStyle name="Calculation 2 8 6 5" xfId="4039"/>
    <cellStyle name="Calculation 2 8 6 6" xfId="4040"/>
    <cellStyle name="Calculation 2 8 7" xfId="4041"/>
    <cellStyle name="Calculation 2 8 7 2" xfId="4042"/>
    <cellStyle name="Calculation 2 8 7 2 2" xfId="4043"/>
    <cellStyle name="Calculation 2 8 7 2 2 2" xfId="4044"/>
    <cellStyle name="Calculation 2 8 7 2 3" xfId="4045"/>
    <cellStyle name="Calculation 2 8 7 3" xfId="4046"/>
    <cellStyle name="Calculation 2 8 7 3 2" xfId="4047"/>
    <cellStyle name="Calculation 2 8 7 3 2 2" xfId="4048"/>
    <cellStyle name="Calculation 2 8 7 3 3" xfId="4049"/>
    <cellStyle name="Calculation 2 8 7 4" xfId="4050"/>
    <cellStyle name="Calculation 2 8 7 4 2" xfId="4051"/>
    <cellStyle name="Calculation 2 8 7 5" xfId="4052"/>
    <cellStyle name="Calculation 2 8 7 6" xfId="4053"/>
    <cellStyle name="Calculation 2 8 8" xfId="4054"/>
    <cellStyle name="Calculation 2 8 8 2" xfId="4055"/>
    <cellStyle name="Calculation 2 8 8 2 2" xfId="4056"/>
    <cellStyle name="Calculation 2 8 8 2 2 2" xfId="4057"/>
    <cellStyle name="Calculation 2 8 8 2 3" xfId="4058"/>
    <cellStyle name="Calculation 2 8 8 3" xfId="4059"/>
    <cellStyle name="Calculation 2 8 8 3 2" xfId="4060"/>
    <cellStyle name="Calculation 2 8 8 3 2 2" xfId="4061"/>
    <cellStyle name="Calculation 2 8 8 3 3" xfId="4062"/>
    <cellStyle name="Calculation 2 8 8 4" xfId="4063"/>
    <cellStyle name="Calculation 2 8 8 4 2" xfId="4064"/>
    <cellStyle name="Calculation 2 8 8 5" xfId="4065"/>
    <cellStyle name="Calculation 2 8 8 6" xfId="4066"/>
    <cellStyle name="Calculation 2 8 9" xfId="4067"/>
    <cellStyle name="Calculation 2 8 9 2" xfId="4068"/>
    <cellStyle name="Calculation 2 8 9 2 2" xfId="4069"/>
    <cellStyle name="Calculation 2 8 9 2 2 2" xfId="4070"/>
    <cellStyle name="Calculation 2 8 9 2 3" xfId="4071"/>
    <cellStyle name="Calculation 2 8 9 3" xfId="4072"/>
    <cellStyle name="Calculation 2 8 9 3 2" xfId="4073"/>
    <cellStyle name="Calculation 2 8 9 4" xfId="4074"/>
    <cellStyle name="Calculation 2 8 9 5" xfId="4075"/>
    <cellStyle name="Calculation 2 9" xfId="4076"/>
    <cellStyle name="Calculation 2 9 10" xfId="4077"/>
    <cellStyle name="Calculation 2 9 10 2" xfId="4078"/>
    <cellStyle name="Calculation 2 9 10 2 2" xfId="4079"/>
    <cellStyle name="Calculation 2 9 10 2 2 2" xfId="4080"/>
    <cellStyle name="Calculation 2 9 10 2 3" xfId="4081"/>
    <cellStyle name="Calculation 2 9 10 3" xfId="4082"/>
    <cellStyle name="Calculation 2 9 10 3 2" xfId="4083"/>
    <cellStyle name="Calculation 2 9 10 4" xfId="4084"/>
    <cellStyle name="Calculation 2 9 10 5" xfId="4085"/>
    <cellStyle name="Calculation 2 9 11" xfId="4086"/>
    <cellStyle name="Calculation 2 9 11 2" xfId="4087"/>
    <cellStyle name="Calculation 2 9 11 2 2" xfId="4088"/>
    <cellStyle name="Calculation 2 9 11 2 2 2" xfId="4089"/>
    <cellStyle name="Calculation 2 9 11 2 3" xfId="4090"/>
    <cellStyle name="Calculation 2 9 11 3" xfId="4091"/>
    <cellStyle name="Calculation 2 9 11 3 2" xfId="4092"/>
    <cellStyle name="Calculation 2 9 11 4" xfId="4093"/>
    <cellStyle name="Calculation 2 9 11 5" xfId="4094"/>
    <cellStyle name="Calculation 2 9 12" xfId="4095"/>
    <cellStyle name="Calculation 2 9 12 2" xfId="4096"/>
    <cellStyle name="Calculation 2 9 12 2 2" xfId="4097"/>
    <cellStyle name="Calculation 2 9 12 2 2 2" xfId="4098"/>
    <cellStyle name="Calculation 2 9 12 2 3" xfId="4099"/>
    <cellStyle name="Calculation 2 9 12 3" xfId="4100"/>
    <cellStyle name="Calculation 2 9 12 3 2" xfId="4101"/>
    <cellStyle name="Calculation 2 9 12 4" xfId="4102"/>
    <cellStyle name="Calculation 2 9 12 5" xfId="4103"/>
    <cellStyle name="Calculation 2 9 13" xfId="4104"/>
    <cellStyle name="Calculation 2 9 13 2" xfId="4105"/>
    <cellStyle name="Calculation 2 9 13 2 2" xfId="4106"/>
    <cellStyle name="Calculation 2 9 13 2 2 2" xfId="4107"/>
    <cellStyle name="Calculation 2 9 13 2 3" xfId="4108"/>
    <cellStyle name="Calculation 2 9 13 3" xfId="4109"/>
    <cellStyle name="Calculation 2 9 13 3 2" xfId="4110"/>
    <cellStyle name="Calculation 2 9 13 4" xfId="4111"/>
    <cellStyle name="Calculation 2 9 13 5" xfId="4112"/>
    <cellStyle name="Calculation 2 9 14" xfId="4113"/>
    <cellStyle name="Calculation 2 9 14 2" xfId="4114"/>
    <cellStyle name="Calculation 2 9 14 2 2" xfId="4115"/>
    <cellStyle name="Calculation 2 9 14 2 2 2" xfId="4116"/>
    <cellStyle name="Calculation 2 9 14 2 3" xfId="4117"/>
    <cellStyle name="Calculation 2 9 14 3" xfId="4118"/>
    <cellStyle name="Calculation 2 9 14 3 2" xfId="4119"/>
    <cellStyle name="Calculation 2 9 14 4" xfId="4120"/>
    <cellStyle name="Calculation 2 9 14 5" xfId="4121"/>
    <cellStyle name="Calculation 2 9 15" xfId="4122"/>
    <cellStyle name="Calculation 2 9 15 2" xfId="4123"/>
    <cellStyle name="Calculation 2 9 15 2 2" xfId="4124"/>
    <cellStyle name="Calculation 2 9 15 2 2 2" xfId="4125"/>
    <cellStyle name="Calculation 2 9 15 2 3" xfId="4126"/>
    <cellStyle name="Calculation 2 9 15 3" xfId="4127"/>
    <cellStyle name="Calculation 2 9 15 3 2" xfId="4128"/>
    <cellStyle name="Calculation 2 9 15 4" xfId="4129"/>
    <cellStyle name="Calculation 2 9 15 5" xfId="4130"/>
    <cellStyle name="Calculation 2 9 16" xfId="4131"/>
    <cellStyle name="Calculation 2 9 16 2" xfId="4132"/>
    <cellStyle name="Calculation 2 9 16 2 2" xfId="4133"/>
    <cellStyle name="Calculation 2 9 16 2 2 2" xfId="4134"/>
    <cellStyle name="Calculation 2 9 16 2 3" xfId="4135"/>
    <cellStyle name="Calculation 2 9 16 3" xfId="4136"/>
    <cellStyle name="Calculation 2 9 16 3 2" xfId="4137"/>
    <cellStyle name="Calculation 2 9 16 4" xfId="4138"/>
    <cellStyle name="Calculation 2 9 16 5" xfId="4139"/>
    <cellStyle name="Calculation 2 9 17" xfId="4140"/>
    <cellStyle name="Calculation 2 9 17 2" xfId="4141"/>
    <cellStyle name="Calculation 2 9 17 2 2" xfId="4142"/>
    <cellStyle name="Calculation 2 9 17 2 2 2" xfId="4143"/>
    <cellStyle name="Calculation 2 9 17 2 3" xfId="4144"/>
    <cellStyle name="Calculation 2 9 17 3" xfId="4145"/>
    <cellStyle name="Calculation 2 9 17 3 2" xfId="4146"/>
    <cellStyle name="Calculation 2 9 17 4" xfId="4147"/>
    <cellStyle name="Calculation 2 9 17 5" xfId="4148"/>
    <cellStyle name="Calculation 2 9 18" xfId="4149"/>
    <cellStyle name="Calculation 2 9 18 2" xfId="4150"/>
    <cellStyle name="Calculation 2 9 18 2 2" xfId="4151"/>
    <cellStyle name="Calculation 2 9 18 2 2 2" xfId="4152"/>
    <cellStyle name="Calculation 2 9 18 2 3" xfId="4153"/>
    <cellStyle name="Calculation 2 9 18 3" xfId="4154"/>
    <cellStyle name="Calculation 2 9 18 3 2" xfId="4155"/>
    <cellStyle name="Calculation 2 9 18 4" xfId="4156"/>
    <cellStyle name="Calculation 2 9 18 5" xfId="4157"/>
    <cellStyle name="Calculation 2 9 19" xfId="4158"/>
    <cellStyle name="Calculation 2 9 19 2" xfId="4159"/>
    <cellStyle name="Calculation 2 9 19 2 2" xfId="4160"/>
    <cellStyle name="Calculation 2 9 19 2 2 2" xfId="4161"/>
    <cellStyle name="Calculation 2 9 19 2 3" xfId="4162"/>
    <cellStyle name="Calculation 2 9 19 3" xfId="4163"/>
    <cellStyle name="Calculation 2 9 19 3 2" xfId="4164"/>
    <cellStyle name="Calculation 2 9 19 4" xfId="4165"/>
    <cellStyle name="Calculation 2 9 19 5" xfId="4166"/>
    <cellStyle name="Calculation 2 9 2" xfId="4167"/>
    <cellStyle name="Calculation 2 9 2 2" xfId="4168"/>
    <cellStyle name="Calculation 2 9 2 2 2" xfId="4169"/>
    <cellStyle name="Calculation 2 9 2 2 2 2" xfId="4170"/>
    <cellStyle name="Calculation 2 9 2 2 3" xfId="4171"/>
    <cellStyle name="Calculation 2 9 2 3" xfId="4172"/>
    <cellStyle name="Calculation 2 9 2 3 2" xfId="4173"/>
    <cellStyle name="Calculation 2 9 2 3 2 2" xfId="4174"/>
    <cellStyle name="Calculation 2 9 2 3 3" xfId="4175"/>
    <cellStyle name="Calculation 2 9 2 4" xfId="4176"/>
    <cellStyle name="Calculation 2 9 2 4 2" xfId="4177"/>
    <cellStyle name="Calculation 2 9 2 5" xfId="4178"/>
    <cellStyle name="Calculation 2 9 2 6" xfId="4179"/>
    <cellStyle name="Calculation 2 9 20" xfId="4180"/>
    <cellStyle name="Calculation 2 9 20 2" xfId="4181"/>
    <cellStyle name="Calculation 2 9 20 2 2" xfId="4182"/>
    <cellStyle name="Calculation 2 9 20 2 2 2" xfId="4183"/>
    <cellStyle name="Calculation 2 9 20 2 3" xfId="4184"/>
    <cellStyle name="Calculation 2 9 20 3" xfId="4185"/>
    <cellStyle name="Calculation 2 9 20 3 2" xfId="4186"/>
    <cellStyle name="Calculation 2 9 20 4" xfId="4187"/>
    <cellStyle name="Calculation 2 9 20 5" xfId="4188"/>
    <cellStyle name="Calculation 2 9 21" xfId="4189"/>
    <cellStyle name="Calculation 2 9 21 2" xfId="4190"/>
    <cellStyle name="Calculation 2 9 21 2 2" xfId="4191"/>
    <cellStyle name="Calculation 2 9 21 2 2 2" xfId="4192"/>
    <cellStyle name="Calculation 2 9 21 2 3" xfId="4193"/>
    <cellStyle name="Calculation 2 9 21 3" xfId="4194"/>
    <cellStyle name="Calculation 2 9 21 3 2" xfId="4195"/>
    <cellStyle name="Calculation 2 9 21 4" xfId="4196"/>
    <cellStyle name="Calculation 2 9 21 5" xfId="4197"/>
    <cellStyle name="Calculation 2 9 22" xfId="4198"/>
    <cellStyle name="Calculation 2 9 22 2" xfId="4199"/>
    <cellStyle name="Calculation 2 9 22 2 2" xfId="4200"/>
    <cellStyle name="Calculation 2 9 22 2 2 2" xfId="4201"/>
    <cellStyle name="Calculation 2 9 22 2 3" xfId="4202"/>
    <cellStyle name="Calculation 2 9 22 3" xfId="4203"/>
    <cellStyle name="Calculation 2 9 22 3 2" xfId="4204"/>
    <cellStyle name="Calculation 2 9 22 4" xfId="4205"/>
    <cellStyle name="Calculation 2 9 22 5" xfId="4206"/>
    <cellStyle name="Calculation 2 9 23" xfId="4207"/>
    <cellStyle name="Calculation 2 9 23 2" xfId="4208"/>
    <cellStyle name="Calculation 2 9 23 2 2" xfId="4209"/>
    <cellStyle name="Calculation 2 9 23 2 2 2" xfId="4210"/>
    <cellStyle name="Calculation 2 9 23 2 3" xfId="4211"/>
    <cellStyle name="Calculation 2 9 23 3" xfId="4212"/>
    <cellStyle name="Calculation 2 9 23 3 2" xfId="4213"/>
    <cellStyle name="Calculation 2 9 23 4" xfId="4214"/>
    <cellStyle name="Calculation 2 9 23 5" xfId="4215"/>
    <cellStyle name="Calculation 2 9 24" xfId="4216"/>
    <cellStyle name="Calculation 2 9 24 2" xfId="4217"/>
    <cellStyle name="Calculation 2 9 24 2 2" xfId="4218"/>
    <cellStyle name="Calculation 2 9 24 2 2 2" xfId="4219"/>
    <cellStyle name="Calculation 2 9 24 2 3" xfId="4220"/>
    <cellStyle name="Calculation 2 9 24 3" xfId="4221"/>
    <cellStyle name="Calculation 2 9 24 3 2" xfId="4222"/>
    <cellStyle name="Calculation 2 9 24 4" xfId="4223"/>
    <cellStyle name="Calculation 2 9 24 5" xfId="4224"/>
    <cellStyle name="Calculation 2 9 25" xfId="4225"/>
    <cellStyle name="Calculation 2 9 25 2" xfId="4226"/>
    <cellStyle name="Calculation 2 9 25 2 2" xfId="4227"/>
    <cellStyle name="Calculation 2 9 25 2 2 2" xfId="4228"/>
    <cellStyle name="Calculation 2 9 25 2 3" xfId="4229"/>
    <cellStyle name="Calculation 2 9 25 3" xfId="4230"/>
    <cellStyle name="Calculation 2 9 25 3 2" xfId="4231"/>
    <cellStyle name="Calculation 2 9 25 4" xfId="4232"/>
    <cellStyle name="Calculation 2 9 25 5" xfId="4233"/>
    <cellStyle name="Calculation 2 9 26" xfId="4234"/>
    <cellStyle name="Calculation 2 9 26 2" xfId="4235"/>
    <cellStyle name="Calculation 2 9 26 2 2" xfId="4236"/>
    <cellStyle name="Calculation 2 9 26 2 2 2" xfId="4237"/>
    <cellStyle name="Calculation 2 9 26 2 3" xfId="4238"/>
    <cellStyle name="Calculation 2 9 26 3" xfId="4239"/>
    <cellStyle name="Calculation 2 9 26 3 2" xfId="4240"/>
    <cellStyle name="Calculation 2 9 26 4" xfId="4241"/>
    <cellStyle name="Calculation 2 9 26 5" xfId="4242"/>
    <cellStyle name="Calculation 2 9 27" xfId="4243"/>
    <cellStyle name="Calculation 2 9 27 2" xfId="4244"/>
    <cellStyle name="Calculation 2 9 27 2 2" xfId="4245"/>
    <cellStyle name="Calculation 2 9 27 2 2 2" xfId="4246"/>
    <cellStyle name="Calculation 2 9 27 2 3" xfId="4247"/>
    <cellStyle name="Calculation 2 9 27 3" xfId="4248"/>
    <cellStyle name="Calculation 2 9 27 3 2" xfId="4249"/>
    <cellStyle name="Calculation 2 9 27 4" xfId="4250"/>
    <cellStyle name="Calculation 2 9 27 5" xfId="4251"/>
    <cellStyle name="Calculation 2 9 28" xfId="4252"/>
    <cellStyle name="Calculation 2 9 28 2" xfId="4253"/>
    <cellStyle name="Calculation 2 9 28 2 2" xfId="4254"/>
    <cellStyle name="Calculation 2 9 28 2 2 2" xfId="4255"/>
    <cellStyle name="Calculation 2 9 28 2 3" xfId="4256"/>
    <cellStyle name="Calculation 2 9 28 3" xfId="4257"/>
    <cellStyle name="Calculation 2 9 28 3 2" xfId="4258"/>
    <cellStyle name="Calculation 2 9 28 4" xfId="4259"/>
    <cellStyle name="Calculation 2 9 28 5" xfId="4260"/>
    <cellStyle name="Calculation 2 9 29" xfId="4261"/>
    <cellStyle name="Calculation 2 9 29 2" xfId="4262"/>
    <cellStyle name="Calculation 2 9 29 2 2" xfId="4263"/>
    <cellStyle name="Calculation 2 9 29 2 2 2" xfId="4264"/>
    <cellStyle name="Calculation 2 9 29 2 3" xfId="4265"/>
    <cellStyle name="Calculation 2 9 29 3" xfId="4266"/>
    <cellStyle name="Calculation 2 9 29 3 2" xfId="4267"/>
    <cellStyle name="Calculation 2 9 29 4" xfId="4268"/>
    <cellStyle name="Calculation 2 9 29 5" xfId="4269"/>
    <cellStyle name="Calculation 2 9 3" xfId="4270"/>
    <cellStyle name="Calculation 2 9 3 2" xfId="4271"/>
    <cellStyle name="Calculation 2 9 3 2 2" xfId="4272"/>
    <cellStyle name="Calculation 2 9 3 2 2 2" xfId="4273"/>
    <cellStyle name="Calculation 2 9 3 2 3" xfId="4274"/>
    <cellStyle name="Calculation 2 9 3 3" xfId="4275"/>
    <cellStyle name="Calculation 2 9 3 3 2" xfId="4276"/>
    <cellStyle name="Calculation 2 9 3 3 2 2" xfId="4277"/>
    <cellStyle name="Calculation 2 9 3 3 3" xfId="4278"/>
    <cellStyle name="Calculation 2 9 3 4" xfId="4279"/>
    <cellStyle name="Calculation 2 9 3 4 2" xfId="4280"/>
    <cellStyle name="Calculation 2 9 3 5" xfId="4281"/>
    <cellStyle name="Calculation 2 9 3 6" xfId="4282"/>
    <cellStyle name="Calculation 2 9 30" xfId="4283"/>
    <cellStyle name="Calculation 2 9 30 2" xfId="4284"/>
    <cellStyle name="Calculation 2 9 30 2 2" xfId="4285"/>
    <cellStyle name="Calculation 2 9 30 2 2 2" xfId="4286"/>
    <cellStyle name="Calculation 2 9 30 2 3" xfId="4287"/>
    <cellStyle name="Calculation 2 9 30 3" xfId="4288"/>
    <cellStyle name="Calculation 2 9 30 3 2" xfId="4289"/>
    <cellStyle name="Calculation 2 9 30 4" xfId="4290"/>
    <cellStyle name="Calculation 2 9 30 5" xfId="4291"/>
    <cellStyle name="Calculation 2 9 31" xfId="4292"/>
    <cellStyle name="Calculation 2 9 31 2" xfId="4293"/>
    <cellStyle name="Calculation 2 9 31 2 2" xfId="4294"/>
    <cellStyle name="Calculation 2 9 31 2 2 2" xfId="4295"/>
    <cellStyle name="Calculation 2 9 31 2 3" xfId="4296"/>
    <cellStyle name="Calculation 2 9 31 3" xfId="4297"/>
    <cellStyle name="Calculation 2 9 31 3 2" xfId="4298"/>
    <cellStyle name="Calculation 2 9 31 4" xfId="4299"/>
    <cellStyle name="Calculation 2 9 31 5" xfId="4300"/>
    <cellStyle name="Calculation 2 9 32" xfId="4301"/>
    <cellStyle name="Calculation 2 9 32 2" xfId="4302"/>
    <cellStyle name="Calculation 2 9 32 2 2" xfId="4303"/>
    <cellStyle name="Calculation 2 9 32 2 2 2" xfId="4304"/>
    <cellStyle name="Calculation 2 9 32 2 3" xfId="4305"/>
    <cellStyle name="Calculation 2 9 32 3" xfId="4306"/>
    <cellStyle name="Calculation 2 9 32 3 2" xfId="4307"/>
    <cellStyle name="Calculation 2 9 32 4" xfId="4308"/>
    <cellStyle name="Calculation 2 9 32 5" xfId="4309"/>
    <cellStyle name="Calculation 2 9 33" xfId="4310"/>
    <cellStyle name="Calculation 2 9 33 2" xfId="4311"/>
    <cellStyle name="Calculation 2 9 33 2 2" xfId="4312"/>
    <cellStyle name="Calculation 2 9 33 2 2 2" xfId="4313"/>
    <cellStyle name="Calculation 2 9 33 2 3" xfId="4314"/>
    <cellStyle name="Calculation 2 9 33 3" xfId="4315"/>
    <cellStyle name="Calculation 2 9 33 3 2" xfId="4316"/>
    <cellStyle name="Calculation 2 9 33 4" xfId="4317"/>
    <cellStyle name="Calculation 2 9 33 5" xfId="4318"/>
    <cellStyle name="Calculation 2 9 34" xfId="4319"/>
    <cellStyle name="Calculation 2 9 34 2" xfId="4320"/>
    <cellStyle name="Calculation 2 9 34 2 2" xfId="4321"/>
    <cellStyle name="Calculation 2 9 34 2 2 2" xfId="4322"/>
    <cellStyle name="Calculation 2 9 34 2 3" xfId="4323"/>
    <cellStyle name="Calculation 2 9 34 3" xfId="4324"/>
    <cellStyle name="Calculation 2 9 34 3 2" xfId="4325"/>
    <cellStyle name="Calculation 2 9 34 4" xfId="4326"/>
    <cellStyle name="Calculation 2 9 34 5" xfId="4327"/>
    <cellStyle name="Calculation 2 9 35" xfId="4328"/>
    <cellStyle name="Calculation 2 9 35 2" xfId="4329"/>
    <cellStyle name="Calculation 2 9 35 2 2" xfId="4330"/>
    <cellStyle name="Calculation 2 9 35 2 2 2" xfId="4331"/>
    <cellStyle name="Calculation 2 9 35 2 3" xfId="4332"/>
    <cellStyle name="Calculation 2 9 35 3" xfId="4333"/>
    <cellStyle name="Calculation 2 9 35 3 2" xfId="4334"/>
    <cellStyle name="Calculation 2 9 35 4" xfId="4335"/>
    <cellStyle name="Calculation 2 9 35 5" xfId="4336"/>
    <cellStyle name="Calculation 2 9 36" xfId="4337"/>
    <cellStyle name="Calculation 2 9 36 2" xfId="4338"/>
    <cellStyle name="Calculation 2 9 36 2 2" xfId="4339"/>
    <cellStyle name="Calculation 2 9 36 2 2 2" xfId="4340"/>
    <cellStyle name="Calculation 2 9 36 2 3" xfId="4341"/>
    <cellStyle name="Calculation 2 9 36 3" xfId="4342"/>
    <cellStyle name="Calculation 2 9 36 3 2" xfId="4343"/>
    <cellStyle name="Calculation 2 9 36 4" xfId="4344"/>
    <cellStyle name="Calculation 2 9 36 5" xfId="4345"/>
    <cellStyle name="Calculation 2 9 37" xfId="4346"/>
    <cellStyle name="Calculation 2 9 37 2" xfId="4347"/>
    <cellStyle name="Calculation 2 9 37 2 2" xfId="4348"/>
    <cellStyle name="Calculation 2 9 37 2 2 2" xfId="4349"/>
    <cellStyle name="Calculation 2 9 37 2 3" xfId="4350"/>
    <cellStyle name="Calculation 2 9 37 3" xfId="4351"/>
    <cellStyle name="Calculation 2 9 37 3 2" xfId="4352"/>
    <cellStyle name="Calculation 2 9 37 4" xfId="4353"/>
    <cellStyle name="Calculation 2 9 37 5" xfId="4354"/>
    <cellStyle name="Calculation 2 9 38" xfId="4355"/>
    <cellStyle name="Calculation 2 9 38 2" xfId="4356"/>
    <cellStyle name="Calculation 2 9 38 2 2" xfId="4357"/>
    <cellStyle name="Calculation 2 9 38 2 2 2" xfId="4358"/>
    <cellStyle name="Calculation 2 9 38 2 3" xfId="4359"/>
    <cellStyle name="Calculation 2 9 38 3" xfId="4360"/>
    <cellStyle name="Calculation 2 9 38 3 2" xfId="4361"/>
    <cellStyle name="Calculation 2 9 38 4" xfId="4362"/>
    <cellStyle name="Calculation 2 9 38 5" xfId="4363"/>
    <cellStyle name="Calculation 2 9 39" xfId="4364"/>
    <cellStyle name="Calculation 2 9 39 2" xfId="4365"/>
    <cellStyle name="Calculation 2 9 39 2 2" xfId="4366"/>
    <cellStyle name="Calculation 2 9 39 2 2 2" xfId="4367"/>
    <cellStyle name="Calculation 2 9 39 2 3" xfId="4368"/>
    <cellStyle name="Calculation 2 9 39 3" xfId="4369"/>
    <cellStyle name="Calculation 2 9 39 3 2" xfId="4370"/>
    <cellStyle name="Calculation 2 9 39 4" xfId="4371"/>
    <cellStyle name="Calculation 2 9 39 5" xfId="4372"/>
    <cellStyle name="Calculation 2 9 4" xfId="4373"/>
    <cellStyle name="Calculation 2 9 4 2" xfId="4374"/>
    <cellStyle name="Calculation 2 9 4 2 2" xfId="4375"/>
    <cellStyle name="Calculation 2 9 4 2 2 2" xfId="4376"/>
    <cellStyle name="Calculation 2 9 4 2 3" xfId="4377"/>
    <cellStyle name="Calculation 2 9 4 3" xfId="4378"/>
    <cellStyle name="Calculation 2 9 4 3 2" xfId="4379"/>
    <cellStyle name="Calculation 2 9 4 3 2 2" xfId="4380"/>
    <cellStyle name="Calculation 2 9 4 3 3" xfId="4381"/>
    <cellStyle name="Calculation 2 9 4 4" xfId="4382"/>
    <cellStyle name="Calculation 2 9 4 4 2" xfId="4383"/>
    <cellStyle name="Calculation 2 9 4 5" xfId="4384"/>
    <cellStyle name="Calculation 2 9 4 6" xfId="4385"/>
    <cellStyle name="Calculation 2 9 40" xfId="4386"/>
    <cellStyle name="Calculation 2 9 40 2" xfId="4387"/>
    <cellStyle name="Calculation 2 9 40 2 2" xfId="4388"/>
    <cellStyle name="Calculation 2 9 40 2 2 2" xfId="4389"/>
    <cellStyle name="Calculation 2 9 40 2 3" xfId="4390"/>
    <cellStyle name="Calculation 2 9 40 3" xfId="4391"/>
    <cellStyle name="Calculation 2 9 40 3 2" xfId="4392"/>
    <cellStyle name="Calculation 2 9 40 4" xfId="4393"/>
    <cellStyle name="Calculation 2 9 40 5" xfId="4394"/>
    <cellStyle name="Calculation 2 9 41" xfId="4395"/>
    <cellStyle name="Calculation 2 9 41 2" xfId="4396"/>
    <cellStyle name="Calculation 2 9 41 2 2" xfId="4397"/>
    <cellStyle name="Calculation 2 9 41 2 2 2" xfId="4398"/>
    <cellStyle name="Calculation 2 9 41 2 3" xfId="4399"/>
    <cellStyle name="Calculation 2 9 41 3" xfId="4400"/>
    <cellStyle name="Calculation 2 9 41 3 2" xfId="4401"/>
    <cellStyle name="Calculation 2 9 41 4" xfId="4402"/>
    <cellStyle name="Calculation 2 9 41 5" xfId="4403"/>
    <cellStyle name="Calculation 2 9 42" xfId="4404"/>
    <cellStyle name="Calculation 2 9 42 2" xfId="4405"/>
    <cellStyle name="Calculation 2 9 42 2 2" xfId="4406"/>
    <cellStyle name="Calculation 2 9 42 2 2 2" xfId="4407"/>
    <cellStyle name="Calculation 2 9 42 2 3" xfId="4408"/>
    <cellStyle name="Calculation 2 9 42 3" xfId="4409"/>
    <cellStyle name="Calculation 2 9 42 3 2" xfId="4410"/>
    <cellStyle name="Calculation 2 9 42 4" xfId="4411"/>
    <cellStyle name="Calculation 2 9 42 5" xfId="4412"/>
    <cellStyle name="Calculation 2 9 43" xfId="4413"/>
    <cellStyle name="Calculation 2 9 43 2" xfId="4414"/>
    <cellStyle name="Calculation 2 9 43 2 2" xfId="4415"/>
    <cellStyle name="Calculation 2 9 43 2 2 2" xfId="4416"/>
    <cellStyle name="Calculation 2 9 43 2 3" xfId="4417"/>
    <cellStyle name="Calculation 2 9 43 3" xfId="4418"/>
    <cellStyle name="Calculation 2 9 43 3 2" xfId="4419"/>
    <cellStyle name="Calculation 2 9 43 4" xfId="4420"/>
    <cellStyle name="Calculation 2 9 43 5" xfId="4421"/>
    <cellStyle name="Calculation 2 9 44" xfId="4422"/>
    <cellStyle name="Calculation 2 9 44 2" xfId="4423"/>
    <cellStyle name="Calculation 2 9 44 2 2" xfId="4424"/>
    <cellStyle name="Calculation 2 9 44 2 2 2" xfId="4425"/>
    <cellStyle name="Calculation 2 9 44 2 3" xfId="4426"/>
    <cellStyle name="Calculation 2 9 44 3" xfId="4427"/>
    <cellStyle name="Calculation 2 9 44 3 2" xfId="4428"/>
    <cellStyle name="Calculation 2 9 44 4" xfId="4429"/>
    <cellStyle name="Calculation 2 9 44 5" xfId="4430"/>
    <cellStyle name="Calculation 2 9 45" xfId="4431"/>
    <cellStyle name="Calculation 2 9 45 2" xfId="4432"/>
    <cellStyle name="Calculation 2 9 45 2 2" xfId="4433"/>
    <cellStyle name="Calculation 2 9 45 2 2 2" xfId="4434"/>
    <cellStyle name="Calculation 2 9 45 2 3" xfId="4435"/>
    <cellStyle name="Calculation 2 9 45 3" xfId="4436"/>
    <cellStyle name="Calculation 2 9 45 3 2" xfId="4437"/>
    <cellStyle name="Calculation 2 9 45 4" xfId="4438"/>
    <cellStyle name="Calculation 2 9 45 5" xfId="4439"/>
    <cellStyle name="Calculation 2 9 46" xfId="4440"/>
    <cellStyle name="Calculation 2 9 46 2" xfId="4441"/>
    <cellStyle name="Calculation 2 9 46 2 2" xfId="4442"/>
    <cellStyle name="Calculation 2 9 46 2 2 2" xfId="4443"/>
    <cellStyle name="Calculation 2 9 46 2 3" xfId="4444"/>
    <cellStyle name="Calculation 2 9 46 3" xfId="4445"/>
    <cellStyle name="Calculation 2 9 46 3 2" xfId="4446"/>
    <cellStyle name="Calculation 2 9 46 4" xfId="4447"/>
    <cellStyle name="Calculation 2 9 46 5" xfId="4448"/>
    <cellStyle name="Calculation 2 9 47" xfId="4449"/>
    <cellStyle name="Calculation 2 9 47 2" xfId="4450"/>
    <cellStyle name="Calculation 2 9 47 2 2" xfId="4451"/>
    <cellStyle name="Calculation 2 9 47 2 2 2" xfId="4452"/>
    <cellStyle name="Calculation 2 9 47 2 3" xfId="4453"/>
    <cellStyle name="Calculation 2 9 47 3" xfId="4454"/>
    <cellStyle name="Calculation 2 9 47 3 2" xfId="4455"/>
    <cellStyle name="Calculation 2 9 47 4" xfId="4456"/>
    <cellStyle name="Calculation 2 9 47 5" xfId="4457"/>
    <cellStyle name="Calculation 2 9 48" xfId="4458"/>
    <cellStyle name="Calculation 2 9 48 2" xfId="4459"/>
    <cellStyle name="Calculation 2 9 48 2 2" xfId="4460"/>
    <cellStyle name="Calculation 2 9 48 2 2 2" xfId="4461"/>
    <cellStyle name="Calculation 2 9 48 2 3" xfId="4462"/>
    <cellStyle name="Calculation 2 9 48 3" xfId="4463"/>
    <cellStyle name="Calculation 2 9 48 3 2" xfId="4464"/>
    <cellStyle name="Calculation 2 9 48 4" xfId="4465"/>
    <cellStyle name="Calculation 2 9 48 5" xfId="4466"/>
    <cellStyle name="Calculation 2 9 49" xfId="4467"/>
    <cellStyle name="Calculation 2 9 49 2" xfId="4468"/>
    <cellStyle name="Calculation 2 9 49 2 2" xfId="4469"/>
    <cellStyle name="Calculation 2 9 49 3" xfId="4470"/>
    <cellStyle name="Calculation 2 9 5" xfId="4471"/>
    <cellStyle name="Calculation 2 9 5 2" xfId="4472"/>
    <cellStyle name="Calculation 2 9 5 2 2" xfId="4473"/>
    <cellStyle name="Calculation 2 9 5 2 2 2" xfId="4474"/>
    <cellStyle name="Calculation 2 9 5 2 3" xfId="4475"/>
    <cellStyle name="Calculation 2 9 5 3" xfId="4476"/>
    <cellStyle name="Calculation 2 9 5 3 2" xfId="4477"/>
    <cellStyle name="Calculation 2 9 5 3 2 2" xfId="4478"/>
    <cellStyle name="Calculation 2 9 5 3 3" xfId="4479"/>
    <cellStyle name="Calculation 2 9 5 4" xfId="4480"/>
    <cellStyle name="Calculation 2 9 5 4 2" xfId="4481"/>
    <cellStyle name="Calculation 2 9 5 5" xfId="4482"/>
    <cellStyle name="Calculation 2 9 5 6" xfId="4483"/>
    <cellStyle name="Calculation 2 9 50" xfId="4484"/>
    <cellStyle name="Calculation 2 9 50 2" xfId="4485"/>
    <cellStyle name="Calculation 2 9 50 2 2" xfId="4486"/>
    <cellStyle name="Calculation 2 9 50 3" xfId="4487"/>
    <cellStyle name="Calculation 2 9 51" xfId="4488"/>
    <cellStyle name="Calculation 2 9 51 2" xfId="4489"/>
    <cellStyle name="Calculation 2 9 51 2 2" xfId="4490"/>
    <cellStyle name="Calculation 2 9 51 3" xfId="4491"/>
    <cellStyle name="Calculation 2 9 52" xfId="4492"/>
    <cellStyle name="Calculation 2 9 52 2" xfId="4493"/>
    <cellStyle name="Calculation 2 9 53" xfId="4494"/>
    <cellStyle name="Calculation 2 9 54" xfId="4495"/>
    <cellStyle name="Calculation 2 9 6" xfId="4496"/>
    <cellStyle name="Calculation 2 9 6 2" xfId="4497"/>
    <cellStyle name="Calculation 2 9 6 2 2" xfId="4498"/>
    <cellStyle name="Calculation 2 9 6 2 2 2" xfId="4499"/>
    <cellStyle name="Calculation 2 9 6 2 3" xfId="4500"/>
    <cellStyle name="Calculation 2 9 6 3" xfId="4501"/>
    <cellStyle name="Calculation 2 9 6 3 2" xfId="4502"/>
    <cellStyle name="Calculation 2 9 6 3 2 2" xfId="4503"/>
    <cellStyle name="Calculation 2 9 6 3 3" xfId="4504"/>
    <cellStyle name="Calculation 2 9 6 4" xfId="4505"/>
    <cellStyle name="Calculation 2 9 6 4 2" xfId="4506"/>
    <cellStyle name="Calculation 2 9 6 5" xfId="4507"/>
    <cellStyle name="Calculation 2 9 6 6" xfId="4508"/>
    <cellStyle name="Calculation 2 9 7" xfId="4509"/>
    <cellStyle name="Calculation 2 9 7 2" xfId="4510"/>
    <cellStyle name="Calculation 2 9 7 2 2" xfId="4511"/>
    <cellStyle name="Calculation 2 9 7 2 2 2" xfId="4512"/>
    <cellStyle name="Calculation 2 9 7 2 3" xfId="4513"/>
    <cellStyle name="Calculation 2 9 7 3" xfId="4514"/>
    <cellStyle name="Calculation 2 9 7 3 2" xfId="4515"/>
    <cellStyle name="Calculation 2 9 7 3 2 2" xfId="4516"/>
    <cellStyle name="Calculation 2 9 7 3 3" xfId="4517"/>
    <cellStyle name="Calculation 2 9 7 4" xfId="4518"/>
    <cellStyle name="Calculation 2 9 7 4 2" xfId="4519"/>
    <cellStyle name="Calculation 2 9 7 5" xfId="4520"/>
    <cellStyle name="Calculation 2 9 7 6" xfId="4521"/>
    <cellStyle name="Calculation 2 9 8" xfId="4522"/>
    <cellStyle name="Calculation 2 9 8 2" xfId="4523"/>
    <cellStyle name="Calculation 2 9 8 2 2" xfId="4524"/>
    <cellStyle name="Calculation 2 9 8 2 2 2" xfId="4525"/>
    <cellStyle name="Calculation 2 9 8 2 3" xfId="4526"/>
    <cellStyle name="Calculation 2 9 8 3" xfId="4527"/>
    <cellStyle name="Calculation 2 9 8 3 2" xfId="4528"/>
    <cellStyle name="Calculation 2 9 8 3 2 2" xfId="4529"/>
    <cellStyle name="Calculation 2 9 8 3 3" xfId="4530"/>
    <cellStyle name="Calculation 2 9 8 4" xfId="4531"/>
    <cellStyle name="Calculation 2 9 8 4 2" xfId="4532"/>
    <cellStyle name="Calculation 2 9 8 5" xfId="4533"/>
    <cellStyle name="Calculation 2 9 8 6" xfId="4534"/>
    <cellStyle name="Calculation 2 9 9" xfId="4535"/>
    <cellStyle name="Calculation 2 9 9 2" xfId="4536"/>
    <cellStyle name="Calculation 2 9 9 2 2" xfId="4537"/>
    <cellStyle name="Calculation 2 9 9 2 2 2" xfId="4538"/>
    <cellStyle name="Calculation 2 9 9 2 3" xfId="4539"/>
    <cellStyle name="Calculation 2 9 9 3" xfId="4540"/>
    <cellStyle name="Calculation 2 9 9 3 2" xfId="4541"/>
    <cellStyle name="Calculation 2 9 9 4" xfId="4542"/>
    <cellStyle name="Calculation 2 9 9 5" xfId="4543"/>
    <cellStyle name="Calculation 3" xfId="4544"/>
    <cellStyle name="Calculation 3 10" xfId="4545"/>
    <cellStyle name="Calculation 3 10 2" xfId="4546"/>
    <cellStyle name="Calculation 3 10 2 2" xfId="4547"/>
    <cellStyle name="Calculation 3 10 3" xfId="4548"/>
    <cellStyle name="Calculation 3 11" xfId="4549"/>
    <cellStyle name="Calculation 3 11 2" xfId="4550"/>
    <cellStyle name="Calculation 3 11 2 2" xfId="4551"/>
    <cellStyle name="Calculation 3 11 3" xfId="4552"/>
    <cellStyle name="Calculation 3 12" xfId="4553"/>
    <cellStyle name="Calculation 3 12 2" xfId="4554"/>
    <cellStyle name="Calculation 3 13" xfId="4555"/>
    <cellStyle name="Calculation 3 14" xfId="4556"/>
    <cellStyle name="Calculation 3 2" xfId="4557"/>
    <cellStyle name="Calculation 3 2 2" xfId="4558"/>
    <cellStyle name="Calculation 3 2 2 2" xfId="4559"/>
    <cellStyle name="Calculation 3 2 2 2 2" xfId="4560"/>
    <cellStyle name="Calculation 3 2 2 3" xfId="4561"/>
    <cellStyle name="Calculation 3 2 3" xfId="4562"/>
    <cellStyle name="Calculation 3 2 3 2" xfId="4563"/>
    <cellStyle name="Calculation 3 2 3 2 2" xfId="4564"/>
    <cellStyle name="Calculation 3 2 3 3" xfId="4565"/>
    <cellStyle name="Calculation 3 2 4" xfId="4566"/>
    <cellStyle name="Calculation 3 2 4 2" xfId="4567"/>
    <cellStyle name="Calculation 3 2 4 2 2" xfId="4568"/>
    <cellStyle name="Calculation 3 2 4 3" xfId="4569"/>
    <cellStyle name="Calculation 3 2 5" xfId="4570"/>
    <cellStyle name="Calculation 3 2 5 2" xfId="4571"/>
    <cellStyle name="Calculation 3 2 5 2 2" xfId="4572"/>
    <cellStyle name="Calculation 3 2 5 3" xfId="4573"/>
    <cellStyle name="Calculation 3 2 6" xfId="4574"/>
    <cellStyle name="Calculation 3 2 6 2" xfId="4575"/>
    <cellStyle name="Calculation 3 2 6 2 2" xfId="4576"/>
    <cellStyle name="Calculation 3 2 6 3" xfId="4577"/>
    <cellStyle name="Calculation 3 2 7" xfId="4578"/>
    <cellStyle name="Calculation 3 2 7 2" xfId="4579"/>
    <cellStyle name="Calculation 3 2 8" xfId="4580"/>
    <cellStyle name="Calculation 3 2 9" xfId="4581"/>
    <cellStyle name="Calculation 3 3" xfId="4582"/>
    <cellStyle name="Calculation 3 3 2" xfId="4583"/>
    <cellStyle name="Calculation 3 3 2 2" xfId="4584"/>
    <cellStyle name="Calculation 3 3 2 2 2" xfId="4585"/>
    <cellStyle name="Calculation 3 3 2 3" xfId="4586"/>
    <cellStyle name="Calculation 3 3 3" xfId="4587"/>
    <cellStyle name="Calculation 3 3 3 2" xfId="4588"/>
    <cellStyle name="Calculation 3 3 3 2 2" xfId="4589"/>
    <cellStyle name="Calculation 3 3 3 3" xfId="4590"/>
    <cellStyle name="Calculation 3 3 4" xfId="4591"/>
    <cellStyle name="Calculation 3 3 4 2" xfId="4592"/>
    <cellStyle name="Calculation 3 3 5" xfId="4593"/>
    <cellStyle name="Calculation 3 4" xfId="4594"/>
    <cellStyle name="Calculation 3 4 2" xfId="4595"/>
    <cellStyle name="Calculation 3 4 2 2" xfId="4596"/>
    <cellStyle name="Calculation 3 4 2 2 2" xfId="4597"/>
    <cellStyle name="Calculation 3 4 2 3" xfId="4598"/>
    <cellStyle name="Calculation 3 4 3" xfId="4599"/>
    <cellStyle name="Calculation 3 4 3 2" xfId="4600"/>
    <cellStyle name="Calculation 3 4 3 2 2" xfId="4601"/>
    <cellStyle name="Calculation 3 4 3 3" xfId="4602"/>
    <cellStyle name="Calculation 3 4 4" xfId="4603"/>
    <cellStyle name="Calculation 3 4 4 2" xfId="4604"/>
    <cellStyle name="Calculation 3 4 5" xfId="4605"/>
    <cellStyle name="Calculation 3 5" xfId="4606"/>
    <cellStyle name="Calculation 3 5 2" xfId="4607"/>
    <cellStyle name="Calculation 3 5 2 2" xfId="4608"/>
    <cellStyle name="Calculation 3 5 2 2 2" xfId="4609"/>
    <cellStyle name="Calculation 3 5 2 3" xfId="4610"/>
    <cellStyle name="Calculation 3 5 3" xfId="4611"/>
    <cellStyle name="Calculation 3 5 3 2" xfId="4612"/>
    <cellStyle name="Calculation 3 5 3 2 2" xfId="4613"/>
    <cellStyle name="Calculation 3 5 3 3" xfId="4614"/>
    <cellStyle name="Calculation 3 5 4" xfId="4615"/>
    <cellStyle name="Calculation 3 5 4 2" xfId="4616"/>
    <cellStyle name="Calculation 3 5 5" xfId="4617"/>
    <cellStyle name="Calculation 3 6" xfId="4618"/>
    <cellStyle name="Calculation 3 6 2" xfId="4619"/>
    <cellStyle name="Calculation 3 6 2 2" xfId="4620"/>
    <cellStyle name="Calculation 3 6 2 2 2" xfId="4621"/>
    <cellStyle name="Calculation 3 6 2 3" xfId="4622"/>
    <cellStyle name="Calculation 3 6 3" xfId="4623"/>
    <cellStyle name="Calculation 3 6 3 2" xfId="4624"/>
    <cellStyle name="Calculation 3 6 4" xfId="4625"/>
    <cellStyle name="Calculation 3 7" xfId="4626"/>
    <cellStyle name="Calculation 3 7 2" xfId="4627"/>
    <cellStyle name="Calculation 3 7 2 2" xfId="4628"/>
    <cellStyle name="Calculation 3 7 2 2 2" xfId="4629"/>
    <cellStyle name="Calculation 3 7 2 3" xfId="4630"/>
    <cellStyle name="Calculation 3 7 3" xfId="4631"/>
    <cellStyle name="Calculation 3 7 3 2" xfId="4632"/>
    <cellStyle name="Calculation 3 7 4" xfId="4633"/>
    <cellStyle name="Calculation 3 8" xfId="4634"/>
    <cellStyle name="Calculation 3 8 2" xfId="4635"/>
    <cellStyle name="Calculation 3 8 2 2" xfId="4636"/>
    <cellStyle name="Calculation 3 8 2 2 2" xfId="4637"/>
    <cellStyle name="Calculation 3 8 2 3" xfId="4638"/>
    <cellStyle name="Calculation 3 8 3" xfId="4639"/>
    <cellStyle name="Calculation 3 8 3 2" xfId="4640"/>
    <cellStyle name="Calculation 3 8 4" xfId="4641"/>
    <cellStyle name="Calculation 3 9" xfId="4642"/>
    <cellStyle name="Calculation 3 9 2" xfId="4643"/>
    <cellStyle name="Calculation 3 9 2 2" xfId="4644"/>
    <cellStyle name="Calculation 3 9 3" xfId="4645"/>
    <cellStyle name="Calculation 4" xfId="4646"/>
    <cellStyle name="Calculation 4 10" xfId="4647"/>
    <cellStyle name="Calculation 4 10 2" xfId="4648"/>
    <cellStyle name="Calculation 4 10 2 2" xfId="4649"/>
    <cellStyle name="Calculation 4 10 3" xfId="4650"/>
    <cellStyle name="Calculation 4 11" xfId="4651"/>
    <cellStyle name="Calculation 4 11 2" xfId="4652"/>
    <cellStyle name="Calculation 4 11 2 2" xfId="4653"/>
    <cellStyle name="Calculation 4 11 3" xfId="4654"/>
    <cellStyle name="Calculation 4 12" xfId="4655"/>
    <cellStyle name="Calculation 4 12 2" xfId="4656"/>
    <cellStyle name="Calculation 4 13" xfId="4657"/>
    <cellStyle name="Calculation 4 14" xfId="4658"/>
    <cellStyle name="Calculation 4 2" xfId="4659"/>
    <cellStyle name="Calculation 4 2 2" xfId="4660"/>
    <cellStyle name="Calculation 4 2 2 2" xfId="4661"/>
    <cellStyle name="Calculation 4 2 2 2 2" xfId="4662"/>
    <cellStyle name="Calculation 4 2 2 3" xfId="4663"/>
    <cellStyle name="Calculation 4 2 3" xfId="4664"/>
    <cellStyle name="Calculation 4 2 3 2" xfId="4665"/>
    <cellStyle name="Calculation 4 2 3 2 2" xfId="4666"/>
    <cellStyle name="Calculation 4 2 3 3" xfId="4667"/>
    <cellStyle name="Calculation 4 2 4" xfId="4668"/>
    <cellStyle name="Calculation 4 2 4 2" xfId="4669"/>
    <cellStyle name="Calculation 4 2 4 2 2" xfId="4670"/>
    <cellStyle name="Calculation 4 2 4 3" xfId="4671"/>
    <cellStyle name="Calculation 4 2 5" xfId="4672"/>
    <cellStyle name="Calculation 4 2 5 2" xfId="4673"/>
    <cellStyle name="Calculation 4 2 5 2 2" xfId="4674"/>
    <cellStyle name="Calculation 4 2 5 3" xfId="4675"/>
    <cellStyle name="Calculation 4 2 6" xfId="4676"/>
    <cellStyle name="Calculation 4 2 6 2" xfId="4677"/>
    <cellStyle name="Calculation 4 2 6 2 2" xfId="4678"/>
    <cellStyle name="Calculation 4 2 6 3" xfId="4679"/>
    <cellStyle name="Calculation 4 2 7" xfId="4680"/>
    <cellStyle name="Calculation 4 2 7 2" xfId="4681"/>
    <cellStyle name="Calculation 4 2 8" xfId="4682"/>
    <cellStyle name="Calculation 4 2 9" xfId="4683"/>
    <cellStyle name="Calculation 4 3" xfId="4684"/>
    <cellStyle name="Calculation 4 3 2" xfId="4685"/>
    <cellStyle name="Calculation 4 3 2 2" xfId="4686"/>
    <cellStyle name="Calculation 4 3 2 2 2" xfId="4687"/>
    <cellStyle name="Calculation 4 3 2 3" xfId="4688"/>
    <cellStyle name="Calculation 4 3 3" xfId="4689"/>
    <cellStyle name="Calculation 4 3 3 2" xfId="4690"/>
    <cellStyle name="Calculation 4 3 3 2 2" xfId="4691"/>
    <cellStyle name="Calculation 4 3 3 3" xfId="4692"/>
    <cellStyle name="Calculation 4 3 4" xfId="4693"/>
    <cellStyle name="Calculation 4 3 4 2" xfId="4694"/>
    <cellStyle name="Calculation 4 3 5" xfId="4695"/>
    <cellStyle name="Calculation 4 4" xfId="4696"/>
    <cellStyle name="Calculation 4 4 2" xfId="4697"/>
    <cellStyle name="Calculation 4 4 2 2" xfId="4698"/>
    <cellStyle name="Calculation 4 4 2 2 2" xfId="4699"/>
    <cellStyle name="Calculation 4 4 2 3" xfId="4700"/>
    <cellStyle name="Calculation 4 4 3" xfId="4701"/>
    <cellStyle name="Calculation 4 4 3 2" xfId="4702"/>
    <cellStyle name="Calculation 4 4 3 2 2" xfId="4703"/>
    <cellStyle name="Calculation 4 4 3 3" xfId="4704"/>
    <cellStyle name="Calculation 4 4 4" xfId="4705"/>
    <cellStyle name="Calculation 4 4 4 2" xfId="4706"/>
    <cellStyle name="Calculation 4 4 5" xfId="4707"/>
    <cellStyle name="Calculation 4 5" xfId="4708"/>
    <cellStyle name="Calculation 4 5 2" xfId="4709"/>
    <cellStyle name="Calculation 4 5 2 2" xfId="4710"/>
    <cellStyle name="Calculation 4 5 2 2 2" xfId="4711"/>
    <cellStyle name="Calculation 4 5 2 3" xfId="4712"/>
    <cellStyle name="Calculation 4 5 3" xfId="4713"/>
    <cellStyle name="Calculation 4 5 3 2" xfId="4714"/>
    <cellStyle name="Calculation 4 5 3 2 2" xfId="4715"/>
    <cellStyle name="Calculation 4 5 3 3" xfId="4716"/>
    <cellStyle name="Calculation 4 5 4" xfId="4717"/>
    <cellStyle name="Calculation 4 5 4 2" xfId="4718"/>
    <cellStyle name="Calculation 4 5 5" xfId="4719"/>
    <cellStyle name="Calculation 4 6" xfId="4720"/>
    <cellStyle name="Calculation 4 6 2" xfId="4721"/>
    <cellStyle name="Calculation 4 6 2 2" xfId="4722"/>
    <cellStyle name="Calculation 4 6 2 2 2" xfId="4723"/>
    <cellStyle name="Calculation 4 6 2 3" xfId="4724"/>
    <cellStyle name="Calculation 4 6 3" xfId="4725"/>
    <cellStyle name="Calculation 4 6 3 2" xfId="4726"/>
    <cellStyle name="Calculation 4 6 4" xfId="4727"/>
    <cellStyle name="Calculation 4 7" xfId="4728"/>
    <cellStyle name="Calculation 4 7 2" xfId="4729"/>
    <cellStyle name="Calculation 4 7 2 2" xfId="4730"/>
    <cellStyle name="Calculation 4 7 2 2 2" xfId="4731"/>
    <cellStyle name="Calculation 4 7 2 3" xfId="4732"/>
    <cellStyle name="Calculation 4 7 3" xfId="4733"/>
    <cellStyle name="Calculation 4 7 3 2" xfId="4734"/>
    <cellStyle name="Calculation 4 7 4" xfId="4735"/>
    <cellStyle name="Calculation 4 8" xfId="4736"/>
    <cellStyle name="Calculation 4 8 2" xfId="4737"/>
    <cellStyle name="Calculation 4 8 2 2" xfId="4738"/>
    <cellStyle name="Calculation 4 8 2 2 2" xfId="4739"/>
    <cellStyle name="Calculation 4 8 2 3" xfId="4740"/>
    <cellStyle name="Calculation 4 8 3" xfId="4741"/>
    <cellStyle name="Calculation 4 8 3 2" xfId="4742"/>
    <cellStyle name="Calculation 4 8 4" xfId="4743"/>
    <cellStyle name="Calculation 4 9" xfId="4744"/>
    <cellStyle name="Calculation 4 9 2" xfId="4745"/>
    <cellStyle name="Calculation 4 9 2 2" xfId="4746"/>
    <cellStyle name="Calculation 4 9 3" xfId="4747"/>
    <cellStyle name="Calculation 5" xfId="4748"/>
    <cellStyle name="Calculation 5 10" xfId="4749"/>
    <cellStyle name="Calculation 5 10 2" xfId="4750"/>
    <cellStyle name="Calculation 5 10 2 2" xfId="4751"/>
    <cellStyle name="Calculation 5 10 2 2 2" xfId="4752"/>
    <cellStyle name="Calculation 5 10 2 3" xfId="4753"/>
    <cellStyle name="Calculation 5 10 3" xfId="4754"/>
    <cellStyle name="Calculation 5 10 3 2" xfId="4755"/>
    <cellStyle name="Calculation 5 10 4" xfId="4756"/>
    <cellStyle name="Calculation 5 10 5" xfId="4757"/>
    <cellStyle name="Calculation 5 11" xfId="4758"/>
    <cellStyle name="Calculation 5 11 2" xfId="4759"/>
    <cellStyle name="Calculation 5 11 2 2" xfId="4760"/>
    <cellStyle name="Calculation 5 11 2 2 2" xfId="4761"/>
    <cellStyle name="Calculation 5 11 2 3" xfId="4762"/>
    <cellStyle name="Calculation 5 11 3" xfId="4763"/>
    <cellStyle name="Calculation 5 11 3 2" xfId="4764"/>
    <cellStyle name="Calculation 5 11 4" xfId="4765"/>
    <cellStyle name="Calculation 5 11 5" xfId="4766"/>
    <cellStyle name="Calculation 5 12" xfId="4767"/>
    <cellStyle name="Calculation 5 12 2" xfId="4768"/>
    <cellStyle name="Calculation 5 12 2 2" xfId="4769"/>
    <cellStyle name="Calculation 5 12 2 2 2" xfId="4770"/>
    <cellStyle name="Calculation 5 12 2 3" xfId="4771"/>
    <cellStyle name="Calculation 5 12 3" xfId="4772"/>
    <cellStyle name="Calculation 5 12 3 2" xfId="4773"/>
    <cellStyle name="Calculation 5 12 4" xfId="4774"/>
    <cellStyle name="Calculation 5 12 5" xfId="4775"/>
    <cellStyle name="Calculation 5 13" xfId="4776"/>
    <cellStyle name="Calculation 5 13 2" xfId="4777"/>
    <cellStyle name="Calculation 5 13 2 2" xfId="4778"/>
    <cellStyle name="Calculation 5 13 2 2 2" xfId="4779"/>
    <cellStyle name="Calculation 5 13 2 3" xfId="4780"/>
    <cellStyle name="Calculation 5 13 3" xfId="4781"/>
    <cellStyle name="Calculation 5 13 3 2" xfId="4782"/>
    <cellStyle name="Calculation 5 13 4" xfId="4783"/>
    <cellStyle name="Calculation 5 13 5" xfId="4784"/>
    <cellStyle name="Calculation 5 14" xfId="4785"/>
    <cellStyle name="Calculation 5 14 2" xfId="4786"/>
    <cellStyle name="Calculation 5 14 2 2" xfId="4787"/>
    <cellStyle name="Calculation 5 14 2 2 2" xfId="4788"/>
    <cellStyle name="Calculation 5 14 2 3" xfId="4789"/>
    <cellStyle name="Calculation 5 14 3" xfId="4790"/>
    <cellStyle name="Calculation 5 14 3 2" xfId="4791"/>
    <cellStyle name="Calculation 5 14 4" xfId="4792"/>
    <cellStyle name="Calculation 5 14 5" xfId="4793"/>
    <cellStyle name="Calculation 5 15" xfId="4794"/>
    <cellStyle name="Calculation 5 15 2" xfId="4795"/>
    <cellStyle name="Calculation 5 15 2 2" xfId="4796"/>
    <cellStyle name="Calculation 5 15 2 2 2" xfId="4797"/>
    <cellStyle name="Calculation 5 15 2 3" xfId="4798"/>
    <cellStyle name="Calculation 5 15 3" xfId="4799"/>
    <cellStyle name="Calculation 5 15 3 2" xfId="4800"/>
    <cellStyle name="Calculation 5 15 4" xfId="4801"/>
    <cellStyle name="Calculation 5 15 5" xfId="4802"/>
    <cellStyle name="Calculation 5 16" xfId="4803"/>
    <cellStyle name="Calculation 5 16 2" xfId="4804"/>
    <cellStyle name="Calculation 5 16 2 2" xfId="4805"/>
    <cellStyle name="Calculation 5 16 2 2 2" xfId="4806"/>
    <cellStyle name="Calculation 5 16 2 3" xfId="4807"/>
    <cellStyle name="Calculation 5 16 3" xfId="4808"/>
    <cellStyle name="Calculation 5 16 3 2" xfId="4809"/>
    <cellStyle name="Calculation 5 16 4" xfId="4810"/>
    <cellStyle name="Calculation 5 16 5" xfId="4811"/>
    <cellStyle name="Calculation 5 17" xfId="4812"/>
    <cellStyle name="Calculation 5 17 2" xfId="4813"/>
    <cellStyle name="Calculation 5 17 2 2" xfId="4814"/>
    <cellStyle name="Calculation 5 17 2 2 2" xfId="4815"/>
    <cellStyle name="Calculation 5 17 2 3" xfId="4816"/>
    <cellStyle name="Calculation 5 17 3" xfId="4817"/>
    <cellStyle name="Calculation 5 17 3 2" xfId="4818"/>
    <cellStyle name="Calculation 5 17 4" xfId="4819"/>
    <cellStyle name="Calculation 5 17 5" xfId="4820"/>
    <cellStyle name="Calculation 5 18" xfId="4821"/>
    <cellStyle name="Calculation 5 18 2" xfId="4822"/>
    <cellStyle name="Calculation 5 18 2 2" xfId="4823"/>
    <cellStyle name="Calculation 5 18 2 2 2" xfId="4824"/>
    <cellStyle name="Calculation 5 18 2 3" xfId="4825"/>
    <cellStyle name="Calculation 5 18 3" xfId="4826"/>
    <cellStyle name="Calculation 5 18 3 2" xfId="4827"/>
    <cellStyle name="Calculation 5 18 4" xfId="4828"/>
    <cellStyle name="Calculation 5 18 5" xfId="4829"/>
    <cellStyle name="Calculation 5 19" xfId="4830"/>
    <cellStyle name="Calculation 5 19 2" xfId="4831"/>
    <cellStyle name="Calculation 5 19 2 2" xfId="4832"/>
    <cellStyle name="Calculation 5 19 2 2 2" xfId="4833"/>
    <cellStyle name="Calculation 5 19 2 3" xfId="4834"/>
    <cellStyle name="Calculation 5 19 3" xfId="4835"/>
    <cellStyle name="Calculation 5 19 3 2" xfId="4836"/>
    <cellStyle name="Calculation 5 19 4" xfId="4837"/>
    <cellStyle name="Calculation 5 19 5" xfId="4838"/>
    <cellStyle name="Calculation 5 2" xfId="4839"/>
    <cellStyle name="Calculation 5 2 2" xfId="4840"/>
    <cellStyle name="Calculation 5 2 2 2" xfId="4841"/>
    <cellStyle name="Calculation 5 2 2 2 2" xfId="4842"/>
    <cellStyle name="Calculation 5 2 2 3" xfId="4843"/>
    <cellStyle name="Calculation 5 2 3" xfId="4844"/>
    <cellStyle name="Calculation 5 2 3 2" xfId="4845"/>
    <cellStyle name="Calculation 5 2 3 2 2" xfId="4846"/>
    <cellStyle name="Calculation 5 2 3 3" xfId="4847"/>
    <cellStyle name="Calculation 5 2 4" xfId="4848"/>
    <cellStyle name="Calculation 5 2 4 2" xfId="4849"/>
    <cellStyle name="Calculation 5 2 5" xfId="4850"/>
    <cellStyle name="Calculation 5 2 6" xfId="4851"/>
    <cellStyle name="Calculation 5 20" xfId="4852"/>
    <cellStyle name="Calculation 5 20 2" xfId="4853"/>
    <cellStyle name="Calculation 5 20 2 2" xfId="4854"/>
    <cellStyle name="Calculation 5 20 2 2 2" xfId="4855"/>
    <cellStyle name="Calculation 5 20 2 3" xfId="4856"/>
    <cellStyle name="Calculation 5 20 3" xfId="4857"/>
    <cellStyle name="Calculation 5 20 3 2" xfId="4858"/>
    <cellStyle name="Calculation 5 20 4" xfId="4859"/>
    <cellStyle name="Calculation 5 20 5" xfId="4860"/>
    <cellStyle name="Calculation 5 21" xfId="4861"/>
    <cellStyle name="Calculation 5 21 2" xfId="4862"/>
    <cellStyle name="Calculation 5 21 2 2" xfId="4863"/>
    <cellStyle name="Calculation 5 21 2 2 2" xfId="4864"/>
    <cellStyle name="Calculation 5 21 2 3" xfId="4865"/>
    <cellStyle name="Calculation 5 21 3" xfId="4866"/>
    <cellStyle name="Calculation 5 21 3 2" xfId="4867"/>
    <cellStyle name="Calculation 5 21 4" xfId="4868"/>
    <cellStyle name="Calculation 5 21 5" xfId="4869"/>
    <cellStyle name="Calculation 5 22" xfId="4870"/>
    <cellStyle name="Calculation 5 22 2" xfId="4871"/>
    <cellStyle name="Calculation 5 22 2 2" xfId="4872"/>
    <cellStyle name="Calculation 5 22 2 2 2" xfId="4873"/>
    <cellStyle name="Calculation 5 22 2 3" xfId="4874"/>
    <cellStyle name="Calculation 5 22 3" xfId="4875"/>
    <cellStyle name="Calculation 5 22 3 2" xfId="4876"/>
    <cellStyle name="Calculation 5 22 4" xfId="4877"/>
    <cellStyle name="Calculation 5 22 5" xfId="4878"/>
    <cellStyle name="Calculation 5 23" xfId="4879"/>
    <cellStyle name="Calculation 5 23 2" xfId="4880"/>
    <cellStyle name="Calculation 5 23 2 2" xfId="4881"/>
    <cellStyle name="Calculation 5 23 2 2 2" xfId="4882"/>
    <cellStyle name="Calculation 5 23 2 3" xfId="4883"/>
    <cellStyle name="Calculation 5 23 3" xfId="4884"/>
    <cellStyle name="Calculation 5 23 3 2" xfId="4885"/>
    <cellStyle name="Calculation 5 23 4" xfId="4886"/>
    <cellStyle name="Calculation 5 23 5" xfId="4887"/>
    <cellStyle name="Calculation 5 24" xfId="4888"/>
    <cellStyle name="Calculation 5 24 2" xfId="4889"/>
    <cellStyle name="Calculation 5 24 2 2" xfId="4890"/>
    <cellStyle name="Calculation 5 24 2 2 2" xfId="4891"/>
    <cellStyle name="Calculation 5 24 2 3" xfId="4892"/>
    <cellStyle name="Calculation 5 24 3" xfId="4893"/>
    <cellStyle name="Calculation 5 24 3 2" xfId="4894"/>
    <cellStyle name="Calculation 5 24 4" xfId="4895"/>
    <cellStyle name="Calculation 5 24 5" xfId="4896"/>
    <cellStyle name="Calculation 5 25" xfId="4897"/>
    <cellStyle name="Calculation 5 25 2" xfId="4898"/>
    <cellStyle name="Calculation 5 25 2 2" xfId="4899"/>
    <cellStyle name="Calculation 5 25 2 2 2" xfId="4900"/>
    <cellStyle name="Calculation 5 25 2 3" xfId="4901"/>
    <cellStyle name="Calculation 5 25 3" xfId="4902"/>
    <cellStyle name="Calculation 5 25 3 2" xfId="4903"/>
    <cellStyle name="Calculation 5 25 4" xfId="4904"/>
    <cellStyle name="Calculation 5 25 5" xfId="4905"/>
    <cellStyle name="Calculation 5 26" xfId="4906"/>
    <cellStyle name="Calculation 5 26 2" xfId="4907"/>
    <cellStyle name="Calculation 5 26 2 2" xfId="4908"/>
    <cellStyle name="Calculation 5 26 2 2 2" xfId="4909"/>
    <cellStyle name="Calculation 5 26 2 3" xfId="4910"/>
    <cellStyle name="Calculation 5 26 3" xfId="4911"/>
    <cellStyle name="Calculation 5 26 3 2" xfId="4912"/>
    <cellStyle name="Calculation 5 26 4" xfId="4913"/>
    <cellStyle name="Calculation 5 26 5" xfId="4914"/>
    <cellStyle name="Calculation 5 27" xfId="4915"/>
    <cellStyle name="Calculation 5 27 2" xfId="4916"/>
    <cellStyle name="Calculation 5 27 2 2" xfId="4917"/>
    <cellStyle name="Calculation 5 27 2 2 2" xfId="4918"/>
    <cellStyle name="Calculation 5 27 2 3" xfId="4919"/>
    <cellStyle name="Calculation 5 27 3" xfId="4920"/>
    <cellStyle name="Calculation 5 27 3 2" xfId="4921"/>
    <cellStyle name="Calculation 5 27 4" xfId="4922"/>
    <cellStyle name="Calculation 5 27 5" xfId="4923"/>
    <cellStyle name="Calculation 5 28" xfId="4924"/>
    <cellStyle name="Calculation 5 28 2" xfId="4925"/>
    <cellStyle name="Calculation 5 28 2 2" xfId="4926"/>
    <cellStyle name="Calculation 5 28 2 2 2" xfId="4927"/>
    <cellStyle name="Calculation 5 28 2 3" xfId="4928"/>
    <cellStyle name="Calculation 5 28 3" xfId="4929"/>
    <cellStyle name="Calculation 5 28 3 2" xfId="4930"/>
    <cellStyle name="Calculation 5 28 4" xfId="4931"/>
    <cellStyle name="Calculation 5 28 5" xfId="4932"/>
    <cellStyle name="Calculation 5 29" xfId="4933"/>
    <cellStyle name="Calculation 5 29 2" xfId="4934"/>
    <cellStyle name="Calculation 5 29 2 2" xfId="4935"/>
    <cellStyle name="Calculation 5 29 2 2 2" xfId="4936"/>
    <cellStyle name="Calculation 5 29 2 3" xfId="4937"/>
    <cellStyle name="Calculation 5 29 3" xfId="4938"/>
    <cellStyle name="Calculation 5 29 3 2" xfId="4939"/>
    <cellStyle name="Calculation 5 29 4" xfId="4940"/>
    <cellStyle name="Calculation 5 29 5" xfId="4941"/>
    <cellStyle name="Calculation 5 3" xfId="4942"/>
    <cellStyle name="Calculation 5 3 2" xfId="4943"/>
    <cellStyle name="Calculation 5 3 2 2" xfId="4944"/>
    <cellStyle name="Calculation 5 3 2 2 2" xfId="4945"/>
    <cellStyle name="Calculation 5 3 2 3" xfId="4946"/>
    <cellStyle name="Calculation 5 3 3" xfId="4947"/>
    <cellStyle name="Calculation 5 3 3 2" xfId="4948"/>
    <cellStyle name="Calculation 5 3 3 2 2" xfId="4949"/>
    <cellStyle name="Calculation 5 3 3 3" xfId="4950"/>
    <cellStyle name="Calculation 5 3 4" xfId="4951"/>
    <cellStyle name="Calculation 5 3 4 2" xfId="4952"/>
    <cellStyle name="Calculation 5 3 5" xfId="4953"/>
    <cellStyle name="Calculation 5 3 6" xfId="4954"/>
    <cellStyle name="Calculation 5 30" xfId="4955"/>
    <cellStyle name="Calculation 5 30 2" xfId="4956"/>
    <cellStyle name="Calculation 5 30 2 2" xfId="4957"/>
    <cellStyle name="Calculation 5 30 2 2 2" xfId="4958"/>
    <cellStyle name="Calculation 5 30 2 3" xfId="4959"/>
    <cellStyle name="Calculation 5 30 3" xfId="4960"/>
    <cellStyle name="Calculation 5 30 3 2" xfId="4961"/>
    <cellStyle name="Calculation 5 30 4" xfId="4962"/>
    <cellStyle name="Calculation 5 30 5" xfId="4963"/>
    <cellStyle name="Calculation 5 31" xfId="4964"/>
    <cellStyle name="Calculation 5 31 2" xfId="4965"/>
    <cellStyle name="Calculation 5 31 2 2" xfId="4966"/>
    <cellStyle name="Calculation 5 31 2 2 2" xfId="4967"/>
    <cellStyle name="Calculation 5 31 2 3" xfId="4968"/>
    <cellStyle name="Calculation 5 31 3" xfId="4969"/>
    <cellStyle name="Calculation 5 31 3 2" xfId="4970"/>
    <cellStyle name="Calculation 5 31 4" xfId="4971"/>
    <cellStyle name="Calculation 5 31 5" xfId="4972"/>
    <cellStyle name="Calculation 5 32" xfId="4973"/>
    <cellStyle name="Calculation 5 32 2" xfId="4974"/>
    <cellStyle name="Calculation 5 32 2 2" xfId="4975"/>
    <cellStyle name="Calculation 5 32 2 2 2" xfId="4976"/>
    <cellStyle name="Calculation 5 32 2 3" xfId="4977"/>
    <cellStyle name="Calculation 5 32 3" xfId="4978"/>
    <cellStyle name="Calculation 5 32 3 2" xfId="4979"/>
    <cellStyle name="Calculation 5 32 4" xfId="4980"/>
    <cellStyle name="Calculation 5 32 5" xfId="4981"/>
    <cellStyle name="Calculation 5 33" xfId="4982"/>
    <cellStyle name="Calculation 5 33 2" xfId="4983"/>
    <cellStyle name="Calculation 5 33 2 2" xfId="4984"/>
    <cellStyle name="Calculation 5 33 2 2 2" xfId="4985"/>
    <cellStyle name="Calculation 5 33 2 3" xfId="4986"/>
    <cellStyle name="Calculation 5 33 3" xfId="4987"/>
    <cellStyle name="Calculation 5 33 3 2" xfId="4988"/>
    <cellStyle name="Calculation 5 33 4" xfId="4989"/>
    <cellStyle name="Calculation 5 33 5" xfId="4990"/>
    <cellStyle name="Calculation 5 34" xfId="4991"/>
    <cellStyle name="Calculation 5 34 2" xfId="4992"/>
    <cellStyle name="Calculation 5 34 2 2" xfId="4993"/>
    <cellStyle name="Calculation 5 34 2 2 2" xfId="4994"/>
    <cellStyle name="Calculation 5 34 2 3" xfId="4995"/>
    <cellStyle name="Calculation 5 34 3" xfId="4996"/>
    <cellStyle name="Calculation 5 34 3 2" xfId="4997"/>
    <cellStyle name="Calculation 5 34 4" xfId="4998"/>
    <cellStyle name="Calculation 5 34 5" xfId="4999"/>
    <cellStyle name="Calculation 5 35" xfId="5000"/>
    <cellStyle name="Calculation 5 35 2" xfId="5001"/>
    <cellStyle name="Calculation 5 35 2 2" xfId="5002"/>
    <cellStyle name="Calculation 5 35 2 2 2" xfId="5003"/>
    <cellStyle name="Calculation 5 35 2 3" xfId="5004"/>
    <cellStyle name="Calculation 5 35 3" xfId="5005"/>
    <cellStyle name="Calculation 5 35 3 2" xfId="5006"/>
    <cellStyle name="Calculation 5 35 4" xfId="5007"/>
    <cellStyle name="Calculation 5 35 5" xfId="5008"/>
    <cellStyle name="Calculation 5 36" xfId="5009"/>
    <cellStyle name="Calculation 5 36 2" xfId="5010"/>
    <cellStyle name="Calculation 5 36 2 2" xfId="5011"/>
    <cellStyle name="Calculation 5 36 2 2 2" xfId="5012"/>
    <cellStyle name="Calculation 5 36 2 3" xfId="5013"/>
    <cellStyle name="Calculation 5 36 3" xfId="5014"/>
    <cellStyle name="Calculation 5 36 3 2" xfId="5015"/>
    <cellStyle name="Calculation 5 36 4" xfId="5016"/>
    <cellStyle name="Calculation 5 36 5" xfId="5017"/>
    <cellStyle name="Calculation 5 37" xfId="5018"/>
    <cellStyle name="Calculation 5 37 2" xfId="5019"/>
    <cellStyle name="Calculation 5 37 2 2" xfId="5020"/>
    <cellStyle name="Calculation 5 37 2 2 2" xfId="5021"/>
    <cellStyle name="Calculation 5 37 2 3" xfId="5022"/>
    <cellStyle name="Calculation 5 37 3" xfId="5023"/>
    <cellStyle name="Calculation 5 37 3 2" xfId="5024"/>
    <cellStyle name="Calculation 5 37 4" xfId="5025"/>
    <cellStyle name="Calculation 5 37 5" xfId="5026"/>
    <cellStyle name="Calculation 5 38" xfId="5027"/>
    <cellStyle name="Calculation 5 38 2" xfId="5028"/>
    <cellStyle name="Calculation 5 38 2 2" xfId="5029"/>
    <cellStyle name="Calculation 5 38 2 2 2" xfId="5030"/>
    <cellStyle name="Calculation 5 38 2 3" xfId="5031"/>
    <cellStyle name="Calculation 5 38 3" xfId="5032"/>
    <cellStyle name="Calculation 5 38 3 2" xfId="5033"/>
    <cellStyle name="Calculation 5 38 4" xfId="5034"/>
    <cellStyle name="Calculation 5 38 5" xfId="5035"/>
    <cellStyle name="Calculation 5 39" xfId="5036"/>
    <cellStyle name="Calculation 5 39 2" xfId="5037"/>
    <cellStyle name="Calculation 5 39 2 2" xfId="5038"/>
    <cellStyle name="Calculation 5 39 2 2 2" xfId="5039"/>
    <cellStyle name="Calculation 5 39 2 3" xfId="5040"/>
    <cellStyle name="Calculation 5 39 3" xfId="5041"/>
    <cellStyle name="Calculation 5 39 3 2" xfId="5042"/>
    <cellStyle name="Calculation 5 39 4" xfId="5043"/>
    <cellStyle name="Calculation 5 39 5" xfId="5044"/>
    <cellStyle name="Calculation 5 4" xfId="5045"/>
    <cellStyle name="Calculation 5 4 2" xfId="5046"/>
    <cellStyle name="Calculation 5 4 2 2" xfId="5047"/>
    <cellStyle name="Calculation 5 4 2 2 2" xfId="5048"/>
    <cellStyle name="Calculation 5 4 2 3" xfId="5049"/>
    <cellStyle name="Calculation 5 4 3" xfId="5050"/>
    <cellStyle name="Calculation 5 4 3 2" xfId="5051"/>
    <cellStyle name="Calculation 5 4 3 2 2" xfId="5052"/>
    <cellStyle name="Calculation 5 4 3 3" xfId="5053"/>
    <cellStyle name="Calculation 5 4 4" xfId="5054"/>
    <cellStyle name="Calculation 5 4 4 2" xfId="5055"/>
    <cellStyle name="Calculation 5 4 5" xfId="5056"/>
    <cellStyle name="Calculation 5 4 6" xfId="5057"/>
    <cellStyle name="Calculation 5 40" xfId="5058"/>
    <cellStyle name="Calculation 5 40 2" xfId="5059"/>
    <cellStyle name="Calculation 5 40 2 2" xfId="5060"/>
    <cellStyle name="Calculation 5 40 2 2 2" xfId="5061"/>
    <cellStyle name="Calculation 5 40 2 3" xfId="5062"/>
    <cellStyle name="Calculation 5 40 3" xfId="5063"/>
    <cellStyle name="Calculation 5 40 3 2" xfId="5064"/>
    <cellStyle name="Calculation 5 40 4" xfId="5065"/>
    <cellStyle name="Calculation 5 40 5" xfId="5066"/>
    <cellStyle name="Calculation 5 41" xfId="5067"/>
    <cellStyle name="Calculation 5 41 2" xfId="5068"/>
    <cellStyle name="Calculation 5 41 2 2" xfId="5069"/>
    <cellStyle name="Calculation 5 41 2 2 2" xfId="5070"/>
    <cellStyle name="Calculation 5 41 2 3" xfId="5071"/>
    <cellStyle name="Calculation 5 41 3" xfId="5072"/>
    <cellStyle name="Calculation 5 41 3 2" xfId="5073"/>
    <cellStyle name="Calculation 5 41 4" xfId="5074"/>
    <cellStyle name="Calculation 5 41 5" xfId="5075"/>
    <cellStyle name="Calculation 5 42" xfId="5076"/>
    <cellStyle name="Calculation 5 42 2" xfId="5077"/>
    <cellStyle name="Calculation 5 42 2 2" xfId="5078"/>
    <cellStyle name="Calculation 5 42 2 2 2" xfId="5079"/>
    <cellStyle name="Calculation 5 42 2 3" xfId="5080"/>
    <cellStyle name="Calculation 5 42 3" xfId="5081"/>
    <cellStyle name="Calculation 5 42 3 2" xfId="5082"/>
    <cellStyle name="Calculation 5 42 4" xfId="5083"/>
    <cellStyle name="Calculation 5 42 5" xfId="5084"/>
    <cellStyle name="Calculation 5 43" xfId="5085"/>
    <cellStyle name="Calculation 5 43 2" xfId="5086"/>
    <cellStyle name="Calculation 5 43 2 2" xfId="5087"/>
    <cellStyle name="Calculation 5 43 2 2 2" xfId="5088"/>
    <cellStyle name="Calculation 5 43 2 3" xfId="5089"/>
    <cellStyle name="Calculation 5 43 3" xfId="5090"/>
    <cellStyle name="Calculation 5 43 3 2" xfId="5091"/>
    <cellStyle name="Calculation 5 43 4" xfId="5092"/>
    <cellStyle name="Calculation 5 43 5" xfId="5093"/>
    <cellStyle name="Calculation 5 44" xfId="5094"/>
    <cellStyle name="Calculation 5 44 2" xfId="5095"/>
    <cellStyle name="Calculation 5 44 2 2" xfId="5096"/>
    <cellStyle name="Calculation 5 44 2 2 2" xfId="5097"/>
    <cellStyle name="Calculation 5 44 2 3" xfId="5098"/>
    <cellStyle name="Calculation 5 44 3" xfId="5099"/>
    <cellStyle name="Calculation 5 44 3 2" xfId="5100"/>
    <cellStyle name="Calculation 5 44 4" xfId="5101"/>
    <cellStyle name="Calculation 5 44 5" xfId="5102"/>
    <cellStyle name="Calculation 5 45" xfId="5103"/>
    <cellStyle name="Calculation 5 45 2" xfId="5104"/>
    <cellStyle name="Calculation 5 45 2 2" xfId="5105"/>
    <cellStyle name="Calculation 5 45 2 2 2" xfId="5106"/>
    <cellStyle name="Calculation 5 45 2 3" xfId="5107"/>
    <cellStyle name="Calculation 5 45 3" xfId="5108"/>
    <cellStyle name="Calculation 5 45 3 2" xfId="5109"/>
    <cellStyle name="Calculation 5 45 4" xfId="5110"/>
    <cellStyle name="Calculation 5 45 5" xfId="5111"/>
    <cellStyle name="Calculation 5 46" xfId="5112"/>
    <cellStyle name="Calculation 5 46 2" xfId="5113"/>
    <cellStyle name="Calculation 5 46 2 2" xfId="5114"/>
    <cellStyle name="Calculation 5 46 2 2 2" xfId="5115"/>
    <cellStyle name="Calculation 5 46 2 3" xfId="5116"/>
    <cellStyle name="Calculation 5 46 3" xfId="5117"/>
    <cellStyle name="Calculation 5 46 3 2" xfId="5118"/>
    <cellStyle name="Calculation 5 46 4" xfId="5119"/>
    <cellStyle name="Calculation 5 46 5" xfId="5120"/>
    <cellStyle name="Calculation 5 47" xfId="5121"/>
    <cellStyle name="Calculation 5 47 2" xfId="5122"/>
    <cellStyle name="Calculation 5 47 2 2" xfId="5123"/>
    <cellStyle name="Calculation 5 47 2 2 2" xfId="5124"/>
    <cellStyle name="Calculation 5 47 2 3" xfId="5125"/>
    <cellStyle name="Calculation 5 47 3" xfId="5126"/>
    <cellStyle name="Calculation 5 47 3 2" xfId="5127"/>
    <cellStyle name="Calculation 5 47 4" xfId="5128"/>
    <cellStyle name="Calculation 5 47 5" xfId="5129"/>
    <cellStyle name="Calculation 5 48" xfId="5130"/>
    <cellStyle name="Calculation 5 48 2" xfId="5131"/>
    <cellStyle name="Calculation 5 48 2 2" xfId="5132"/>
    <cellStyle name="Calculation 5 48 2 2 2" xfId="5133"/>
    <cellStyle name="Calculation 5 48 2 3" xfId="5134"/>
    <cellStyle name="Calculation 5 48 3" xfId="5135"/>
    <cellStyle name="Calculation 5 48 3 2" xfId="5136"/>
    <cellStyle name="Calculation 5 48 4" xfId="5137"/>
    <cellStyle name="Calculation 5 48 5" xfId="5138"/>
    <cellStyle name="Calculation 5 49" xfId="5139"/>
    <cellStyle name="Calculation 5 49 2" xfId="5140"/>
    <cellStyle name="Calculation 5 49 2 2" xfId="5141"/>
    <cellStyle name="Calculation 5 49 3" xfId="5142"/>
    <cellStyle name="Calculation 5 5" xfId="5143"/>
    <cellStyle name="Calculation 5 5 2" xfId="5144"/>
    <cellStyle name="Calculation 5 5 2 2" xfId="5145"/>
    <cellStyle name="Calculation 5 5 2 2 2" xfId="5146"/>
    <cellStyle name="Calculation 5 5 2 3" xfId="5147"/>
    <cellStyle name="Calculation 5 5 3" xfId="5148"/>
    <cellStyle name="Calculation 5 5 3 2" xfId="5149"/>
    <cellStyle name="Calculation 5 5 3 2 2" xfId="5150"/>
    <cellStyle name="Calculation 5 5 3 3" xfId="5151"/>
    <cellStyle name="Calculation 5 5 4" xfId="5152"/>
    <cellStyle name="Calculation 5 5 4 2" xfId="5153"/>
    <cellStyle name="Calculation 5 5 5" xfId="5154"/>
    <cellStyle name="Calculation 5 5 6" xfId="5155"/>
    <cellStyle name="Calculation 5 50" xfId="5156"/>
    <cellStyle name="Calculation 5 50 2" xfId="5157"/>
    <cellStyle name="Calculation 5 50 2 2" xfId="5158"/>
    <cellStyle name="Calculation 5 50 3" xfId="5159"/>
    <cellStyle name="Calculation 5 51" xfId="5160"/>
    <cellStyle name="Calculation 5 51 2" xfId="5161"/>
    <cellStyle name="Calculation 5 51 2 2" xfId="5162"/>
    <cellStyle name="Calculation 5 51 3" xfId="5163"/>
    <cellStyle name="Calculation 5 52" xfId="5164"/>
    <cellStyle name="Calculation 5 52 2" xfId="5165"/>
    <cellStyle name="Calculation 5 53" xfId="5166"/>
    <cellStyle name="Calculation 5 54" xfId="5167"/>
    <cellStyle name="Calculation 5 6" xfId="5168"/>
    <cellStyle name="Calculation 5 6 2" xfId="5169"/>
    <cellStyle name="Calculation 5 6 2 2" xfId="5170"/>
    <cellStyle name="Calculation 5 6 2 2 2" xfId="5171"/>
    <cellStyle name="Calculation 5 6 2 3" xfId="5172"/>
    <cellStyle name="Calculation 5 6 3" xfId="5173"/>
    <cellStyle name="Calculation 5 6 3 2" xfId="5174"/>
    <cellStyle name="Calculation 5 6 3 2 2" xfId="5175"/>
    <cellStyle name="Calculation 5 6 3 3" xfId="5176"/>
    <cellStyle name="Calculation 5 6 4" xfId="5177"/>
    <cellStyle name="Calculation 5 6 4 2" xfId="5178"/>
    <cellStyle name="Calculation 5 6 5" xfId="5179"/>
    <cellStyle name="Calculation 5 6 6" xfId="5180"/>
    <cellStyle name="Calculation 5 7" xfId="5181"/>
    <cellStyle name="Calculation 5 7 2" xfId="5182"/>
    <cellStyle name="Calculation 5 7 2 2" xfId="5183"/>
    <cellStyle name="Calculation 5 7 2 2 2" xfId="5184"/>
    <cellStyle name="Calculation 5 7 2 3" xfId="5185"/>
    <cellStyle name="Calculation 5 7 3" xfId="5186"/>
    <cellStyle name="Calculation 5 7 3 2" xfId="5187"/>
    <cellStyle name="Calculation 5 7 3 2 2" xfId="5188"/>
    <cellStyle name="Calculation 5 7 3 3" xfId="5189"/>
    <cellStyle name="Calculation 5 7 4" xfId="5190"/>
    <cellStyle name="Calculation 5 7 4 2" xfId="5191"/>
    <cellStyle name="Calculation 5 7 5" xfId="5192"/>
    <cellStyle name="Calculation 5 7 6" xfId="5193"/>
    <cellStyle name="Calculation 5 8" xfId="5194"/>
    <cellStyle name="Calculation 5 8 2" xfId="5195"/>
    <cellStyle name="Calculation 5 8 2 2" xfId="5196"/>
    <cellStyle name="Calculation 5 8 2 2 2" xfId="5197"/>
    <cellStyle name="Calculation 5 8 2 3" xfId="5198"/>
    <cellStyle name="Calculation 5 8 3" xfId="5199"/>
    <cellStyle name="Calculation 5 8 3 2" xfId="5200"/>
    <cellStyle name="Calculation 5 8 3 2 2" xfId="5201"/>
    <cellStyle name="Calculation 5 8 3 3" xfId="5202"/>
    <cellStyle name="Calculation 5 8 4" xfId="5203"/>
    <cellStyle name="Calculation 5 8 4 2" xfId="5204"/>
    <cellStyle name="Calculation 5 8 5" xfId="5205"/>
    <cellStyle name="Calculation 5 8 6" xfId="5206"/>
    <cellStyle name="Calculation 5 9" xfId="5207"/>
    <cellStyle name="Calculation 5 9 2" xfId="5208"/>
    <cellStyle name="Calculation 5 9 2 2" xfId="5209"/>
    <cellStyle name="Calculation 5 9 2 2 2" xfId="5210"/>
    <cellStyle name="Calculation 5 9 2 3" xfId="5211"/>
    <cellStyle name="Calculation 5 9 3" xfId="5212"/>
    <cellStyle name="Calculation 5 9 3 2" xfId="5213"/>
    <cellStyle name="Calculation 5 9 4" xfId="5214"/>
    <cellStyle name="Calculation 5 9 5" xfId="5215"/>
    <cellStyle name="Calculation 6" xfId="5216"/>
    <cellStyle name="Calculation 6 2" xfId="5217"/>
    <cellStyle name="Calculation 6 2 2" xfId="5218"/>
    <cellStyle name="Calculation 6 2 2 2" xfId="5219"/>
    <cellStyle name="Calculation 6 2 3" xfId="5220"/>
    <cellStyle name="Calculation 6 3" xfId="5221"/>
    <cellStyle name="Calculation 6 3 2" xfId="5222"/>
    <cellStyle name="Calculation 6 3 2 2" xfId="5223"/>
    <cellStyle name="Calculation 6 3 3" xfId="5224"/>
    <cellStyle name="Calculation 6 4" xfId="5225"/>
    <cellStyle name="Calculation 6 4 2" xfId="5226"/>
    <cellStyle name="Calculation 6 4 2 2" xfId="5227"/>
    <cellStyle name="Calculation 6 4 3" xfId="5228"/>
    <cellStyle name="Calculation 6 5" xfId="5229"/>
    <cellStyle name="Calculation 6 5 2" xfId="5230"/>
    <cellStyle name="Calculation 6 5 2 2" xfId="5231"/>
    <cellStyle name="Calculation 6 5 3" xfId="5232"/>
    <cellStyle name="Calculation 6 6" xfId="5233"/>
    <cellStyle name="Calculation 6 6 2" xfId="5234"/>
    <cellStyle name="Calculation 6 6 2 2" xfId="5235"/>
    <cellStyle name="Calculation 6 6 3" xfId="5236"/>
    <cellStyle name="Calculation 6 7" xfId="5237"/>
    <cellStyle name="Calculation 6 7 2" xfId="5238"/>
    <cellStyle name="Calculation 6 8" xfId="5239"/>
    <cellStyle name="Calculation 6 9" xfId="5240"/>
    <cellStyle name="Calculation 7" xfId="5241"/>
    <cellStyle name="Calculation 7 2" xfId="5242"/>
    <cellStyle name="Calculation 7 2 2" xfId="5243"/>
    <cellStyle name="Calculation 7 2 2 2" xfId="5244"/>
    <cellStyle name="Calculation 7 2 3" xfId="5245"/>
    <cellStyle name="Calculation 7 3" xfId="5246"/>
    <cellStyle name="Calculation 7 3 2" xfId="5247"/>
    <cellStyle name="Calculation 7 3 2 2" xfId="5248"/>
    <cellStyle name="Calculation 7 3 3" xfId="5249"/>
    <cellStyle name="Calculation 7 4" xfId="5250"/>
    <cellStyle name="Calculation 7 4 2" xfId="5251"/>
    <cellStyle name="Calculation 7 4 2 2" xfId="5252"/>
    <cellStyle name="Calculation 7 4 3" xfId="5253"/>
    <cellStyle name="Calculation 7 5" xfId="5254"/>
    <cellStyle name="Calculation 7 5 2" xfId="5255"/>
    <cellStyle name="Calculation 7 5 2 2" xfId="5256"/>
    <cellStyle name="Calculation 7 5 3" xfId="5257"/>
    <cellStyle name="Calculation 7 6" xfId="5258"/>
    <cellStyle name="Calculation 7 6 2" xfId="5259"/>
    <cellStyle name="Calculation 7 6 2 2" xfId="5260"/>
    <cellStyle name="Calculation 7 6 3" xfId="5261"/>
    <cellStyle name="Calculation 7 7" xfId="5262"/>
    <cellStyle name="Calculation 7 7 2" xfId="5263"/>
    <cellStyle name="Calculation 7 8" xfId="5264"/>
    <cellStyle name="Calculation 7 9" xfId="5265"/>
    <cellStyle name="Calculation 8" xfId="5266"/>
    <cellStyle name="Calculation 8 2" xfId="5267"/>
    <cellStyle name="Calculation 8 2 2" xfId="5268"/>
    <cellStyle name="Calculation 8 2 2 2" xfId="5269"/>
    <cellStyle name="Calculation 8 2 3" xfId="5270"/>
    <cellStyle name="Calculation 8 3" xfId="5271"/>
    <cellStyle name="Calculation 8 3 2" xfId="5272"/>
    <cellStyle name="Calculation 8 3 2 2" xfId="5273"/>
    <cellStyle name="Calculation 8 3 3" xfId="5274"/>
    <cellStyle name="Calculation 8 4" xfId="5275"/>
    <cellStyle name="Calculation 8 4 2" xfId="5276"/>
    <cellStyle name="Calculation 8 4 2 2" xfId="5277"/>
    <cellStyle name="Calculation 8 4 3" xfId="5278"/>
    <cellStyle name="Calculation 8 5" xfId="5279"/>
    <cellStyle name="Calculation 8 5 2" xfId="5280"/>
    <cellStyle name="Calculation 8 5 2 2" xfId="5281"/>
    <cellStyle name="Calculation 8 5 3" xfId="5282"/>
    <cellStyle name="Calculation 8 6" xfId="5283"/>
    <cellStyle name="Calculation 8 6 2" xfId="5284"/>
    <cellStyle name="Calculation 8 6 2 2" xfId="5285"/>
    <cellStyle name="Calculation 8 6 3" xfId="5286"/>
    <cellStyle name="Calculation 8 7" xfId="5287"/>
    <cellStyle name="Calculation 8 7 2" xfId="5288"/>
    <cellStyle name="Calculation 8 8" xfId="5289"/>
    <cellStyle name="Calculation 8 9" xfId="5290"/>
    <cellStyle name="Check Cell 2" xfId="5291"/>
    <cellStyle name="Check Cell 3" xfId="5292"/>
    <cellStyle name="Check Cell 4" xfId="5293"/>
    <cellStyle name="Check Cell 5" xfId="5294"/>
    <cellStyle name="Check Cell 6" xfId="5295"/>
    <cellStyle name="Check Cell 7" xfId="5296"/>
    <cellStyle name="Check Cell 8" xfId="5297"/>
    <cellStyle name="Explanatory Text 2" xfId="5298"/>
    <cellStyle name="Explanatory Text 3" xfId="5299"/>
    <cellStyle name="Explanatory Text 4" xfId="5300"/>
    <cellStyle name="Explanatory Text 5" xfId="5301"/>
    <cellStyle name="Explanatory Text 6" xfId="5302"/>
    <cellStyle name="Explanatory Text 7" xfId="5303"/>
    <cellStyle name="Explanatory Text 8" xfId="5304"/>
    <cellStyle name="Good 2" xfId="5305"/>
    <cellStyle name="Good 3" xfId="5306"/>
    <cellStyle name="Good 4" xfId="5307"/>
    <cellStyle name="Good 5" xfId="5308"/>
    <cellStyle name="Good 6" xfId="5309"/>
    <cellStyle name="Good 7" xfId="5310"/>
    <cellStyle name="Good 8" xfId="5311"/>
    <cellStyle name="Heading 1 2" xfId="5312"/>
    <cellStyle name="Heading 1 3" xfId="5313"/>
    <cellStyle name="Heading 1 4" xfId="5314"/>
    <cellStyle name="Heading 1 5" xfId="5315"/>
    <cellStyle name="Heading 1 6" xfId="5316"/>
    <cellStyle name="Heading 1 7" xfId="5317"/>
    <cellStyle name="Heading 1 8" xfId="5318"/>
    <cellStyle name="Heading 2 2" xfId="5319"/>
    <cellStyle name="Heading 2 3" xfId="5320"/>
    <cellStyle name="Heading 2 4" xfId="5321"/>
    <cellStyle name="Heading 2 5" xfId="5322"/>
    <cellStyle name="Heading 2 6" xfId="5323"/>
    <cellStyle name="Heading 2 7" xfId="5324"/>
    <cellStyle name="Heading 2 8" xfId="5325"/>
    <cellStyle name="Heading 3 2" xfId="5326"/>
    <cellStyle name="Heading 3 3" xfId="5327"/>
    <cellStyle name="Heading 3 4" xfId="5328"/>
    <cellStyle name="Heading 3 5" xfId="5329"/>
    <cellStyle name="Heading 3 6" xfId="5330"/>
    <cellStyle name="Heading 3 7" xfId="5331"/>
    <cellStyle name="Heading 3 8" xfId="5332"/>
    <cellStyle name="Heading 4 2" xfId="5333"/>
    <cellStyle name="Heading 4 3" xfId="5334"/>
    <cellStyle name="Heading 4 4" xfId="5335"/>
    <cellStyle name="Heading 4 5" xfId="5336"/>
    <cellStyle name="Heading 4 6" xfId="5337"/>
    <cellStyle name="Heading 4 7" xfId="5338"/>
    <cellStyle name="Heading 4 8" xfId="5339"/>
    <cellStyle name="Hyperlink" xfId="24" builtinId="8"/>
    <cellStyle name="Hyperlink 2" xfId="5340"/>
    <cellStyle name="Hyperlink 3" xfId="48896"/>
    <cellStyle name="Input 2" xfId="5341"/>
    <cellStyle name="Input 2 10" xfId="5342"/>
    <cellStyle name="Input 2 10 10" xfId="5343"/>
    <cellStyle name="Input 2 10 10 2" xfId="5344"/>
    <cellStyle name="Input 2 10 10 2 2" xfId="5345"/>
    <cellStyle name="Input 2 10 10 2 2 2" xfId="5346"/>
    <cellStyle name="Input 2 10 10 2 3" xfId="5347"/>
    <cellStyle name="Input 2 10 10 3" xfId="5348"/>
    <cellStyle name="Input 2 10 10 3 2" xfId="5349"/>
    <cellStyle name="Input 2 10 10 4" xfId="5350"/>
    <cellStyle name="Input 2 10 10 5" xfId="5351"/>
    <cellStyle name="Input 2 10 11" xfId="5352"/>
    <cellStyle name="Input 2 10 11 2" xfId="5353"/>
    <cellStyle name="Input 2 10 11 2 2" xfId="5354"/>
    <cellStyle name="Input 2 10 11 2 2 2" xfId="5355"/>
    <cellStyle name="Input 2 10 11 2 3" xfId="5356"/>
    <cellStyle name="Input 2 10 11 3" xfId="5357"/>
    <cellStyle name="Input 2 10 11 3 2" xfId="5358"/>
    <cellStyle name="Input 2 10 11 4" xfId="5359"/>
    <cellStyle name="Input 2 10 11 5" xfId="5360"/>
    <cellStyle name="Input 2 10 12" xfId="5361"/>
    <cellStyle name="Input 2 10 12 2" xfId="5362"/>
    <cellStyle name="Input 2 10 12 2 2" xfId="5363"/>
    <cellStyle name="Input 2 10 12 2 2 2" xfId="5364"/>
    <cellStyle name="Input 2 10 12 2 3" xfId="5365"/>
    <cellStyle name="Input 2 10 12 3" xfId="5366"/>
    <cellStyle name="Input 2 10 12 3 2" xfId="5367"/>
    <cellStyle name="Input 2 10 12 4" xfId="5368"/>
    <cellStyle name="Input 2 10 12 5" xfId="5369"/>
    <cellStyle name="Input 2 10 13" xfId="5370"/>
    <cellStyle name="Input 2 10 13 2" xfId="5371"/>
    <cellStyle name="Input 2 10 13 2 2" xfId="5372"/>
    <cellStyle name="Input 2 10 13 2 2 2" xfId="5373"/>
    <cellStyle name="Input 2 10 13 2 3" xfId="5374"/>
    <cellStyle name="Input 2 10 13 3" xfId="5375"/>
    <cellStyle name="Input 2 10 13 3 2" xfId="5376"/>
    <cellStyle name="Input 2 10 13 4" xfId="5377"/>
    <cellStyle name="Input 2 10 13 5" xfId="5378"/>
    <cellStyle name="Input 2 10 14" xfId="5379"/>
    <cellStyle name="Input 2 10 14 2" xfId="5380"/>
    <cellStyle name="Input 2 10 14 2 2" xfId="5381"/>
    <cellStyle name="Input 2 10 14 2 2 2" xfId="5382"/>
    <cellStyle name="Input 2 10 14 2 3" xfId="5383"/>
    <cellStyle name="Input 2 10 14 3" xfId="5384"/>
    <cellStyle name="Input 2 10 14 3 2" xfId="5385"/>
    <cellStyle name="Input 2 10 14 4" xfId="5386"/>
    <cellStyle name="Input 2 10 14 5" xfId="5387"/>
    <cellStyle name="Input 2 10 15" xfId="5388"/>
    <cellStyle name="Input 2 10 15 2" xfId="5389"/>
    <cellStyle name="Input 2 10 15 2 2" xfId="5390"/>
    <cellStyle name="Input 2 10 15 2 2 2" xfId="5391"/>
    <cellStyle name="Input 2 10 15 2 3" xfId="5392"/>
    <cellStyle name="Input 2 10 15 3" xfId="5393"/>
    <cellStyle name="Input 2 10 15 3 2" xfId="5394"/>
    <cellStyle name="Input 2 10 15 4" xfId="5395"/>
    <cellStyle name="Input 2 10 15 5" xfId="5396"/>
    <cellStyle name="Input 2 10 16" xfId="5397"/>
    <cellStyle name="Input 2 10 16 2" xfId="5398"/>
    <cellStyle name="Input 2 10 16 2 2" xfId="5399"/>
    <cellStyle name="Input 2 10 16 2 2 2" xfId="5400"/>
    <cellStyle name="Input 2 10 16 2 3" xfId="5401"/>
    <cellStyle name="Input 2 10 16 3" xfId="5402"/>
    <cellStyle name="Input 2 10 16 3 2" xfId="5403"/>
    <cellStyle name="Input 2 10 16 4" xfId="5404"/>
    <cellStyle name="Input 2 10 16 5" xfId="5405"/>
    <cellStyle name="Input 2 10 17" xfId="5406"/>
    <cellStyle name="Input 2 10 17 2" xfId="5407"/>
    <cellStyle name="Input 2 10 17 2 2" xfId="5408"/>
    <cellStyle name="Input 2 10 17 2 2 2" xfId="5409"/>
    <cellStyle name="Input 2 10 17 2 3" xfId="5410"/>
    <cellStyle name="Input 2 10 17 3" xfId="5411"/>
    <cellStyle name="Input 2 10 17 3 2" xfId="5412"/>
    <cellStyle name="Input 2 10 17 4" xfId="5413"/>
    <cellStyle name="Input 2 10 17 5" xfId="5414"/>
    <cellStyle name="Input 2 10 18" xfId="5415"/>
    <cellStyle name="Input 2 10 18 2" xfId="5416"/>
    <cellStyle name="Input 2 10 18 2 2" xfId="5417"/>
    <cellStyle name="Input 2 10 18 2 2 2" xfId="5418"/>
    <cellStyle name="Input 2 10 18 2 3" xfId="5419"/>
    <cellStyle name="Input 2 10 18 3" xfId="5420"/>
    <cellStyle name="Input 2 10 18 3 2" xfId="5421"/>
    <cellStyle name="Input 2 10 18 4" xfId="5422"/>
    <cellStyle name="Input 2 10 18 5" xfId="5423"/>
    <cellStyle name="Input 2 10 19" xfId="5424"/>
    <cellStyle name="Input 2 10 19 2" xfId="5425"/>
    <cellStyle name="Input 2 10 19 2 2" xfId="5426"/>
    <cellStyle name="Input 2 10 19 2 2 2" xfId="5427"/>
    <cellStyle name="Input 2 10 19 2 3" xfId="5428"/>
    <cellStyle name="Input 2 10 19 3" xfId="5429"/>
    <cellStyle name="Input 2 10 19 3 2" xfId="5430"/>
    <cellStyle name="Input 2 10 19 4" xfId="5431"/>
    <cellStyle name="Input 2 10 19 5" xfId="5432"/>
    <cellStyle name="Input 2 10 2" xfId="5433"/>
    <cellStyle name="Input 2 10 2 2" xfId="5434"/>
    <cellStyle name="Input 2 10 2 2 2" xfId="5435"/>
    <cellStyle name="Input 2 10 2 2 2 2" xfId="5436"/>
    <cellStyle name="Input 2 10 2 2 3" xfId="5437"/>
    <cellStyle name="Input 2 10 2 3" xfId="5438"/>
    <cellStyle name="Input 2 10 2 3 2" xfId="5439"/>
    <cellStyle name="Input 2 10 2 3 2 2" xfId="5440"/>
    <cellStyle name="Input 2 10 2 3 3" xfId="5441"/>
    <cellStyle name="Input 2 10 2 4" xfId="5442"/>
    <cellStyle name="Input 2 10 2 4 2" xfId="5443"/>
    <cellStyle name="Input 2 10 2 5" xfId="5444"/>
    <cellStyle name="Input 2 10 2 6" xfId="5445"/>
    <cellStyle name="Input 2 10 20" xfId="5446"/>
    <cellStyle name="Input 2 10 20 2" xfId="5447"/>
    <cellStyle name="Input 2 10 20 2 2" xfId="5448"/>
    <cellStyle name="Input 2 10 20 2 2 2" xfId="5449"/>
    <cellStyle name="Input 2 10 20 2 3" xfId="5450"/>
    <cellStyle name="Input 2 10 20 3" xfId="5451"/>
    <cellStyle name="Input 2 10 20 3 2" xfId="5452"/>
    <cellStyle name="Input 2 10 20 4" xfId="5453"/>
    <cellStyle name="Input 2 10 20 5" xfId="5454"/>
    <cellStyle name="Input 2 10 21" xfId="5455"/>
    <cellStyle name="Input 2 10 21 2" xfId="5456"/>
    <cellStyle name="Input 2 10 21 2 2" xfId="5457"/>
    <cellStyle name="Input 2 10 21 2 2 2" xfId="5458"/>
    <cellStyle name="Input 2 10 21 2 3" xfId="5459"/>
    <cellStyle name="Input 2 10 21 3" xfId="5460"/>
    <cellStyle name="Input 2 10 21 3 2" xfId="5461"/>
    <cellStyle name="Input 2 10 21 4" xfId="5462"/>
    <cellStyle name="Input 2 10 21 5" xfId="5463"/>
    <cellStyle name="Input 2 10 22" xfId="5464"/>
    <cellStyle name="Input 2 10 22 2" xfId="5465"/>
    <cellStyle name="Input 2 10 22 2 2" xfId="5466"/>
    <cellStyle name="Input 2 10 22 2 2 2" xfId="5467"/>
    <cellStyle name="Input 2 10 22 2 3" xfId="5468"/>
    <cellStyle name="Input 2 10 22 3" xfId="5469"/>
    <cellStyle name="Input 2 10 22 3 2" xfId="5470"/>
    <cellStyle name="Input 2 10 22 4" xfId="5471"/>
    <cellStyle name="Input 2 10 22 5" xfId="5472"/>
    <cellStyle name="Input 2 10 23" xfId="5473"/>
    <cellStyle name="Input 2 10 23 2" xfId="5474"/>
    <cellStyle name="Input 2 10 23 2 2" xfId="5475"/>
    <cellStyle name="Input 2 10 23 2 2 2" xfId="5476"/>
    <cellStyle name="Input 2 10 23 2 3" xfId="5477"/>
    <cellStyle name="Input 2 10 23 3" xfId="5478"/>
    <cellStyle name="Input 2 10 23 3 2" xfId="5479"/>
    <cellStyle name="Input 2 10 23 4" xfId="5480"/>
    <cellStyle name="Input 2 10 23 5" xfId="5481"/>
    <cellStyle name="Input 2 10 24" xfId="5482"/>
    <cellStyle name="Input 2 10 24 2" xfId="5483"/>
    <cellStyle name="Input 2 10 24 2 2" xfId="5484"/>
    <cellStyle name="Input 2 10 24 2 2 2" xfId="5485"/>
    <cellStyle name="Input 2 10 24 2 3" xfId="5486"/>
    <cellStyle name="Input 2 10 24 3" xfId="5487"/>
    <cellStyle name="Input 2 10 24 3 2" xfId="5488"/>
    <cellStyle name="Input 2 10 24 4" xfId="5489"/>
    <cellStyle name="Input 2 10 24 5" xfId="5490"/>
    <cellStyle name="Input 2 10 25" xfId="5491"/>
    <cellStyle name="Input 2 10 25 2" xfId="5492"/>
    <cellStyle name="Input 2 10 25 2 2" xfId="5493"/>
    <cellStyle name="Input 2 10 25 2 2 2" xfId="5494"/>
    <cellStyle name="Input 2 10 25 2 3" xfId="5495"/>
    <cellStyle name="Input 2 10 25 3" xfId="5496"/>
    <cellStyle name="Input 2 10 25 3 2" xfId="5497"/>
    <cellStyle name="Input 2 10 25 4" xfId="5498"/>
    <cellStyle name="Input 2 10 25 5" xfId="5499"/>
    <cellStyle name="Input 2 10 26" xfId="5500"/>
    <cellStyle name="Input 2 10 26 2" xfId="5501"/>
    <cellStyle name="Input 2 10 26 2 2" xfId="5502"/>
    <cellStyle name="Input 2 10 26 2 2 2" xfId="5503"/>
    <cellStyle name="Input 2 10 26 2 3" xfId="5504"/>
    <cellStyle name="Input 2 10 26 3" xfId="5505"/>
    <cellStyle name="Input 2 10 26 3 2" xfId="5506"/>
    <cellStyle name="Input 2 10 26 4" xfId="5507"/>
    <cellStyle name="Input 2 10 26 5" xfId="5508"/>
    <cellStyle name="Input 2 10 27" xfId="5509"/>
    <cellStyle name="Input 2 10 27 2" xfId="5510"/>
    <cellStyle name="Input 2 10 27 2 2" xfId="5511"/>
    <cellStyle name="Input 2 10 27 2 2 2" xfId="5512"/>
    <cellStyle name="Input 2 10 27 2 3" xfId="5513"/>
    <cellStyle name="Input 2 10 27 3" xfId="5514"/>
    <cellStyle name="Input 2 10 27 3 2" xfId="5515"/>
    <cellStyle name="Input 2 10 27 4" xfId="5516"/>
    <cellStyle name="Input 2 10 27 5" xfId="5517"/>
    <cellStyle name="Input 2 10 28" xfId="5518"/>
    <cellStyle name="Input 2 10 28 2" xfId="5519"/>
    <cellStyle name="Input 2 10 28 2 2" xfId="5520"/>
    <cellStyle name="Input 2 10 28 2 2 2" xfId="5521"/>
    <cellStyle name="Input 2 10 28 2 3" xfId="5522"/>
    <cellStyle name="Input 2 10 28 3" xfId="5523"/>
    <cellStyle name="Input 2 10 28 3 2" xfId="5524"/>
    <cellStyle name="Input 2 10 28 4" xfId="5525"/>
    <cellStyle name="Input 2 10 28 5" xfId="5526"/>
    <cellStyle name="Input 2 10 29" xfId="5527"/>
    <cellStyle name="Input 2 10 29 2" xfId="5528"/>
    <cellStyle name="Input 2 10 29 2 2" xfId="5529"/>
    <cellStyle name="Input 2 10 29 2 2 2" xfId="5530"/>
    <cellStyle name="Input 2 10 29 2 3" xfId="5531"/>
    <cellStyle name="Input 2 10 29 3" xfId="5532"/>
    <cellStyle name="Input 2 10 29 3 2" xfId="5533"/>
    <cellStyle name="Input 2 10 29 4" xfId="5534"/>
    <cellStyle name="Input 2 10 29 5" xfId="5535"/>
    <cellStyle name="Input 2 10 3" xfId="5536"/>
    <cellStyle name="Input 2 10 3 2" xfId="5537"/>
    <cellStyle name="Input 2 10 3 2 2" xfId="5538"/>
    <cellStyle name="Input 2 10 3 2 2 2" xfId="5539"/>
    <cellStyle name="Input 2 10 3 2 3" xfId="5540"/>
    <cellStyle name="Input 2 10 3 3" xfId="5541"/>
    <cellStyle name="Input 2 10 3 3 2" xfId="5542"/>
    <cellStyle name="Input 2 10 3 3 2 2" xfId="5543"/>
    <cellStyle name="Input 2 10 3 3 3" xfId="5544"/>
    <cellStyle name="Input 2 10 3 4" xfId="5545"/>
    <cellStyle name="Input 2 10 3 4 2" xfId="5546"/>
    <cellStyle name="Input 2 10 3 5" xfId="5547"/>
    <cellStyle name="Input 2 10 3 6" xfId="5548"/>
    <cellStyle name="Input 2 10 30" xfId="5549"/>
    <cellStyle name="Input 2 10 30 2" xfId="5550"/>
    <cellStyle name="Input 2 10 30 2 2" xfId="5551"/>
    <cellStyle name="Input 2 10 30 2 2 2" xfId="5552"/>
    <cellStyle name="Input 2 10 30 2 3" xfId="5553"/>
    <cellStyle name="Input 2 10 30 3" xfId="5554"/>
    <cellStyle name="Input 2 10 30 3 2" xfId="5555"/>
    <cellStyle name="Input 2 10 30 4" xfId="5556"/>
    <cellStyle name="Input 2 10 30 5" xfId="5557"/>
    <cellStyle name="Input 2 10 31" xfId="5558"/>
    <cellStyle name="Input 2 10 31 2" xfId="5559"/>
    <cellStyle name="Input 2 10 31 2 2" xfId="5560"/>
    <cellStyle name="Input 2 10 31 2 2 2" xfId="5561"/>
    <cellStyle name="Input 2 10 31 2 3" xfId="5562"/>
    <cellStyle name="Input 2 10 31 3" xfId="5563"/>
    <cellStyle name="Input 2 10 31 3 2" xfId="5564"/>
    <cellStyle name="Input 2 10 31 4" xfId="5565"/>
    <cellStyle name="Input 2 10 31 5" xfId="5566"/>
    <cellStyle name="Input 2 10 32" xfId="5567"/>
    <cellStyle name="Input 2 10 32 2" xfId="5568"/>
    <cellStyle name="Input 2 10 32 2 2" xfId="5569"/>
    <cellStyle name="Input 2 10 32 2 2 2" xfId="5570"/>
    <cellStyle name="Input 2 10 32 2 3" xfId="5571"/>
    <cellStyle name="Input 2 10 32 3" xfId="5572"/>
    <cellStyle name="Input 2 10 32 3 2" xfId="5573"/>
    <cellStyle name="Input 2 10 32 4" xfId="5574"/>
    <cellStyle name="Input 2 10 32 5" xfId="5575"/>
    <cellStyle name="Input 2 10 33" xfId="5576"/>
    <cellStyle name="Input 2 10 33 2" xfId="5577"/>
    <cellStyle name="Input 2 10 33 2 2" xfId="5578"/>
    <cellStyle name="Input 2 10 33 2 2 2" xfId="5579"/>
    <cellStyle name="Input 2 10 33 2 3" xfId="5580"/>
    <cellStyle name="Input 2 10 33 3" xfId="5581"/>
    <cellStyle name="Input 2 10 33 3 2" xfId="5582"/>
    <cellStyle name="Input 2 10 33 4" xfId="5583"/>
    <cellStyle name="Input 2 10 33 5" xfId="5584"/>
    <cellStyle name="Input 2 10 34" xfId="5585"/>
    <cellStyle name="Input 2 10 34 2" xfId="5586"/>
    <cellStyle name="Input 2 10 34 2 2" xfId="5587"/>
    <cellStyle name="Input 2 10 34 2 2 2" xfId="5588"/>
    <cellStyle name="Input 2 10 34 2 3" xfId="5589"/>
    <cellStyle name="Input 2 10 34 3" xfId="5590"/>
    <cellStyle name="Input 2 10 34 3 2" xfId="5591"/>
    <cellStyle name="Input 2 10 34 4" xfId="5592"/>
    <cellStyle name="Input 2 10 34 5" xfId="5593"/>
    <cellStyle name="Input 2 10 35" xfId="5594"/>
    <cellStyle name="Input 2 10 35 2" xfId="5595"/>
    <cellStyle name="Input 2 10 35 2 2" xfId="5596"/>
    <cellStyle name="Input 2 10 35 2 2 2" xfId="5597"/>
    <cellStyle name="Input 2 10 35 2 3" xfId="5598"/>
    <cellStyle name="Input 2 10 35 3" xfId="5599"/>
    <cellStyle name="Input 2 10 35 3 2" xfId="5600"/>
    <cellStyle name="Input 2 10 35 4" xfId="5601"/>
    <cellStyle name="Input 2 10 35 5" xfId="5602"/>
    <cellStyle name="Input 2 10 36" xfId="5603"/>
    <cellStyle name="Input 2 10 36 2" xfId="5604"/>
    <cellStyle name="Input 2 10 36 2 2" xfId="5605"/>
    <cellStyle name="Input 2 10 36 2 2 2" xfId="5606"/>
    <cellStyle name="Input 2 10 36 2 3" xfId="5607"/>
    <cellStyle name="Input 2 10 36 3" xfId="5608"/>
    <cellStyle name="Input 2 10 36 3 2" xfId="5609"/>
    <cellStyle name="Input 2 10 36 4" xfId="5610"/>
    <cellStyle name="Input 2 10 36 5" xfId="5611"/>
    <cellStyle name="Input 2 10 37" xfId="5612"/>
    <cellStyle name="Input 2 10 37 2" xfId="5613"/>
    <cellStyle name="Input 2 10 37 2 2" xfId="5614"/>
    <cellStyle name="Input 2 10 37 2 2 2" xfId="5615"/>
    <cellStyle name="Input 2 10 37 2 3" xfId="5616"/>
    <cellStyle name="Input 2 10 37 3" xfId="5617"/>
    <cellStyle name="Input 2 10 37 3 2" xfId="5618"/>
    <cellStyle name="Input 2 10 37 4" xfId="5619"/>
    <cellStyle name="Input 2 10 37 5" xfId="5620"/>
    <cellStyle name="Input 2 10 38" xfId="5621"/>
    <cellStyle name="Input 2 10 38 2" xfId="5622"/>
    <cellStyle name="Input 2 10 38 2 2" xfId="5623"/>
    <cellStyle name="Input 2 10 38 2 2 2" xfId="5624"/>
    <cellStyle name="Input 2 10 38 2 3" xfId="5625"/>
    <cellStyle name="Input 2 10 38 3" xfId="5626"/>
    <cellStyle name="Input 2 10 38 3 2" xfId="5627"/>
    <cellStyle name="Input 2 10 38 4" xfId="5628"/>
    <cellStyle name="Input 2 10 38 5" xfId="5629"/>
    <cellStyle name="Input 2 10 39" xfId="5630"/>
    <cellStyle name="Input 2 10 39 2" xfId="5631"/>
    <cellStyle name="Input 2 10 39 2 2" xfId="5632"/>
    <cellStyle name="Input 2 10 39 2 2 2" xfId="5633"/>
    <cellStyle name="Input 2 10 39 2 3" xfId="5634"/>
    <cellStyle name="Input 2 10 39 3" xfId="5635"/>
    <cellStyle name="Input 2 10 39 3 2" xfId="5636"/>
    <cellStyle name="Input 2 10 39 4" xfId="5637"/>
    <cellStyle name="Input 2 10 39 5" xfId="5638"/>
    <cellStyle name="Input 2 10 4" xfId="5639"/>
    <cellStyle name="Input 2 10 4 2" xfId="5640"/>
    <cellStyle name="Input 2 10 4 2 2" xfId="5641"/>
    <cellStyle name="Input 2 10 4 2 2 2" xfId="5642"/>
    <cellStyle name="Input 2 10 4 2 3" xfId="5643"/>
    <cellStyle name="Input 2 10 4 3" xfId="5644"/>
    <cellStyle name="Input 2 10 4 3 2" xfId="5645"/>
    <cellStyle name="Input 2 10 4 3 2 2" xfId="5646"/>
    <cellStyle name="Input 2 10 4 3 3" xfId="5647"/>
    <cellStyle name="Input 2 10 4 4" xfId="5648"/>
    <cellStyle name="Input 2 10 4 4 2" xfId="5649"/>
    <cellStyle name="Input 2 10 4 5" xfId="5650"/>
    <cellStyle name="Input 2 10 4 6" xfId="5651"/>
    <cellStyle name="Input 2 10 40" xfId="5652"/>
    <cellStyle name="Input 2 10 40 2" xfId="5653"/>
    <cellStyle name="Input 2 10 40 2 2" xfId="5654"/>
    <cellStyle name="Input 2 10 40 2 2 2" xfId="5655"/>
    <cellStyle name="Input 2 10 40 2 3" xfId="5656"/>
    <cellStyle name="Input 2 10 40 3" xfId="5657"/>
    <cellStyle name="Input 2 10 40 3 2" xfId="5658"/>
    <cellStyle name="Input 2 10 40 4" xfId="5659"/>
    <cellStyle name="Input 2 10 40 5" xfId="5660"/>
    <cellStyle name="Input 2 10 41" xfId="5661"/>
    <cellStyle name="Input 2 10 41 2" xfId="5662"/>
    <cellStyle name="Input 2 10 41 2 2" xfId="5663"/>
    <cellStyle name="Input 2 10 41 2 2 2" xfId="5664"/>
    <cellStyle name="Input 2 10 41 2 3" xfId="5665"/>
    <cellStyle name="Input 2 10 41 3" xfId="5666"/>
    <cellStyle name="Input 2 10 41 3 2" xfId="5667"/>
    <cellStyle name="Input 2 10 41 4" xfId="5668"/>
    <cellStyle name="Input 2 10 41 5" xfId="5669"/>
    <cellStyle name="Input 2 10 42" xfId="5670"/>
    <cellStyle name="Input 2 10 42 2" xfId="5671"/>
    <cellStyle name="Input 2 10 42 2 2" xfId="5672"/>
    <cellStyle name="Input 2 10 42 2 2 2" xfId="5673"/>
    <cellStyle name="Input 2 10 42 2 3" xfId="5674"/>
    <cellStyle name="Input 2 10 42 3" xfId="5675"/>
    <cellStyle name="Input 2 10 42 3 2" xfId="5676"/>
    <cellStyle name="Input 2 10 42 4" xfId="5677"/>
    <cellStyle name="Input 2 10 42 5" xfId="5678"/>
    <cellStyle name="Input 2 10 43" xfId="5679"/>
    <cellStyle name="Input 2 10 43 2" xfId="5680"/>
    <cellStyle name="Input 2 10 43 2 2" xfId="5681"/>
    <cellStyle name="Input 2 10 43 2 2 2" xfId="5682"/>
    <cellStyle name="Input 2 10 43 2 3" xfId="5683"/>
    <cellStyle name="Input 2 10 43 3" xfId="5684"/>
    <cellStyle name="Input 2 10 43 3 2" xfId="5685"/>
    <cellStyle name="Input 2 10 43 4" xfId="5686"/>
    <cellStyle name="Input 2 10 43 5" xfId="5687"/>
    <cellStyle name="Input 2 10 44" xfId="5688"/>
    <cellStyle name="Input 2 10 44 2" xfId="5689"/>
    <cellStyle name="Input 2 10 44 2 2" xfId="5690"/>
    <cellStyle name="Input 2 10 44 2 2 2" xfId="5691"/>
    <cellStyle name="Input 2 10 44 2 3" xfId="5692"/>
    <cellStyle name="Input 2 10 44 3" xfId="5693"/>
    <cellStyle name="Input 2 10 44 3 2" xfId="5694"/>
    <cellStyle name="Input 2 10 44 4" xfId="5695"/>
    <cellStyle name="Input 2 10 44 5" xfId="5696"/>
    <cellStyle name="Input 2 10 45" xfId="5697"/>
    <cellStyle name="Input 2 10 45 2" xfId="5698"/>
    <cellStyle name="Input 2 10 45 2 2" xfId="5699"/>
    <cellStyle name="Input 2 10 45 2 2 2" xfId="5700"/>
    <cellStyle name="Input 2 10 45 2 3" xfId="5701"/>
    <cellStyle name="Input 2 10 45 3" xfId="5702"/>
    <cellStyle name="Input 2 10 45 3 2" xfId="5703"/>
    <cellStyle name="Input 2 10 45 4" xfId="5704"/>
    <cellStyle name="Input 2 10 45 5" xfId="5705"/>
    <cellStyle name="Input 2 10 46" xfId="5706"/>
    <cellStyle name="Input 2 10 46 2" xfId="5707"/>
    <cellStyle name="Input 2 10 46 2 2" xfId="5708"/>
    <cellStyle name="Input 2 10 46 2 2 2" xfId="5709"/>
    <cellStyle name="Input 2 10 46 2 3" xfId="5710"/>
    <cellStyle name="Input 2 10 46 3" xfId="5711"/>
    <cellStyle name="Input 2 10 46 3 2" xfId="5712"/>
    <cellStyle name="Input 2 10 46 4" xfId="5713"/>
    <cellStyle name="Input 2 10 46 5" xfId="5714"/>
    <cellStyle name="Input 2 10 47" xfId="5715"/>
    <cellStyle name="Input 2 10 47 2" xfId="5716"/>
    <cellStyle name="Input 2 10 47 2 2" xfId="5717"/>
    <cellStyle name="Input 2 10 47 2 2 2" xfId="5718"/>
    <cellStyle name="Input 2 10 47 2 3" xfId="5719"/>
    <cellStyle name="Input 2 10 47 3" xfId="5720"/>
    <cellStyle name="Input 2 10 47 3 2" xfId="5721"/>
    <cellStyle name="Input 2 10 47 4" xfId="5722"/>
    <cellStyle name="Input 2 10 47 5" xfId="5723"/>
    <cellStyle name="Input 2 10 48" xfId="5724"/>
    <cellStyle name="Input 2 10 48 2" xfId="5725"/>
    <cellStyle name="Input 2 10 48 2 2" xfId="5726"/>
    <cellStyle name="Input 2 10 48 2 2 2" xfId="5727"/>
    <cellStyle name="Input 2 10 48 2 3" xfId="5728"/>
    <cellStyle name="Input 2 10 48 3" xfId="5729"/>
    <cellStyle name="Input 2 10 48 3 2" xfId="5730"/>
    <cellStyle name="Input 2 10 48 4" xfId="5731"/>
    <cellStyle name="Input 2 10 48 5" xfId="5732"/>
    <cellStyle name="Input 2 10 49" xfId="5733"/>
    <cellStyle name="Input 2 10 49 2" xfId="5734"/>
    <cellStyle name="Input 2 10 49 2 2" xfId="5735"/>
    <cellStyle name="Input 2 10 49 3" xfId="5736"/>
    <cellStyle name="Input 2 10 5" xfId="5737"/>
    <cellStyle name="Input 2 10 5 2" xfId="5738"/>
    <cellStyle name="Input 2 10 5 2 2" xfId="5739"/>
    <cellStyle name="Input 2 10 5 2 2 2" xfId="5740"/>
    <cellStyle name="Input 2 10 5 2 3" xfId="5741"/>
    <cellStyle name="Input 2 10 5 3" xfId="5742"/>
    <cellStyle name="Input 2 10 5 3 2" xfId="5743"/>
    <cellStyle name="Input 2 10 5 3 2 2" xfId="5744"/>
    <cellStyle name="Input 2 10 5 3 3" xfId="5745"/>
    <cellStyle name="Input 2 10 5 4" xfId="5746"/>
    <cellStyle name="Input 2 10 5 4 2" xfId="5747"/>
    <cellStyle name="Input 2 10 5 5" xfId="5748"/>
    <cellStyle name="Input 2 10 5 6" xfId="5749"/>
    <cellStyle name="Input 2 10 50" xfId="5750"/>
    <cellStyle name="Input 2 10 50 2" xfId="5751"/>
    <cellStyle name="Input 2 10 50 2 2" xfId="5752"/>
    <cellStyle name="Input 2 10 50 3" xfId="5753"/>
    <cellStyle name="Input 2 10 51" xfId="5754"/>
    <cellStyle name="Input 2 10 51 2" xfId="5755"/>
    <cellStyle name="Input 2 10 51 2 2" xfId="5756"/>
    <cellStyle name="Input 2 10 51 3" xfId="5757"/>
    <cellStyle name="Input 2 10 52" xfId="5758"/>
    <cellStyle name="Input 2 10 52 2" xfId="5759"/>
    <cellStyle name="Input 2 10 53" xfId="5760"/>
    <cellStyle name="Input 2 10 54" xfId="5761"/>
    <cellStyle name="Input 2 10 6" xfId="5762"/>
    <cellStyle name="Input 2 10 6 2" xfId="5763"/>
    <cellStyle name="Input 2 10 6 2 2" xfId="5764"/>
    <cellStyle name="Input 2 10 6 2 2 2" xfId="5765"/>
    <cellStyle name="Input 2 10 6 2 3" xfId="5766"/>
    <cellStyle name="Input 2 10 6 3" xfId="5767"/>
    <cellStyle name="Input 2 10 6 3 2" xfId="5768"/>
    <cellStyle name="Input 2 10 6 3 2 2" xfId="5769"/>
    <cellStyle name="Input 2 10 6 3 3" xfId="5770"/>
    <cellStyle name="Input 2 10 6 4" xfId="5771"/>
    <cellStyle name="Input 2 10 6 4 2" xfId="5772"/>
    <cellStyle name="Input 2 10 6 5" xfId="5773"/>
    <cellStyle name="Input 2 10 6 6" xfId="5774"/>
    <cellStyle name="Input 2 10 7" xfId="5775"/>
    <cellStyle name="Input 2 10 7 2" xfId="5776"/>
    <cellStyle name="Input 2 10 7 2 2" xfId="5777"/>
    <cellStyle name="Input 2 10 7 2 2 2" xfId="5778"/>
    <cellStyle name="Input 2 10 7 2 3" xfId="5779"/>
    <cellStyle name="Input 2 10 7 3" xfId="5780"/>
    <cellStyle name="Input 2 10 7 3 2" xfId="5781"/>
    <cellStyle name="Input 2 10 7 3 2 2" xfId="5782"/>
    <cellStyle name="Input 2 10 7 3 3" xfId="5783"/>
    <cellStyle name="Input 2 10 7 4" xfId="5784"/>
    <cellStyle name="Input 2 10 7 4 2" xfId="5785"/>
    <cellStyle name="Input 2 10 7 5" xfId="5786"/>
    <cellStyle name="Input 2 10 7 6" xfId="5787"/>
    <cellStyle name="Input 2 10 8" xfId="5788"/>
    <cellStyle name="Input 2 10 8 2" xfId="5789"/>
    <cellStyle name="Input 2 10 8 2 2" xfId="5790"/>
    <cellStyle name="Input 2 10 8 2 2 2" xfId="5791"/>
    <cellStyle name="Input 2 10 8 2 3" xfId="5792"/>
    <cellStyle name="Input 2 10 8 3" xfId="5793"/>
    <cellStyle name="Input 2 10 8 3 2" xfId="5794"/>
    <cellStyle name="Input 2 10 8 3 2 2" xfId="5795"/>
    <cellStyle name="Input 2 10 8 3 3" xfId="5796"/>
    <cellStyle name="Input 2 10 8 4" xfId="5797"/>
    <cellStyle name="Input 2 10 8 4 2" xfId="5798"/>
    <cellStyle name="Input 2 10 8 5" xfId="5799"/>
    <cellStyle name="Input 2 10 8 6" xfId="5800"/>
    <cellStyle name="Input 2 10 9" xfId="5801"/>
    <cellStyle name="Input 2 10 9 2" xfId="5802"/>
    <cellStyle name="Input 2 10 9 2 2" xfId="5803"/>
    <cellStyle name="Input 2 10 9 2 2 2" xfId="5804"/>
    <cellStyle name="Input 2 10 9 2 3" xfId="5805"/>
    <cellStyle name="Input 2 10 9 3" xfId="5806"/>
    <cellStyle name="Input 2 10 9 3 2" xfId="5807"/>
    <cellStyle name="Input 2 10 9 4" xfId="5808"/>
    <cellStyle name="Input 2 10 9 5" xfId="5809"/>
    <cellStyle name="Input 2 11" xfId="5810"/>
    <cellStyle name="Input 2 11 2" xfId="5811"/>
    <cellStyle name="Input 2 11 2 2" xfId="5812"/>
    <cellStyle name="Input 2 11 2 2 2" xfId="5813"/>
    <cellStyle name="Input 2 11 2 3" xfId="5814"/>
    <cellStyle name="Input 2 11 3" xfId="5815"/>
    <cellStyle name="Input 2 11 3 2" xfId="5816"/>
    <cellStyle name="Input 2 11 3 2 2" xfId="5817"/>
    <cellStyle name="Input 2 11 3 3" xfId="5818"/>
    <cellStyle name="Input 2 11 4" xfId="5819"/>
    <cellStyle name="Input 2 11 4 2" xfId="5820"/>
    <cellStyle name="Input 2 11 4 2 2" xfId="5821"/>
    <cellStyle name="Input 2 11 4 3" xfId="5822"/>
    <cellStyle name="Input 2 11 5" xfId="5823"/>
    <cellStyle name="Input 2 11 5 2" xfId="5824"/>
    <cellStyle name="Input 2 11 5 2 2" xfId="5825"/>
    <cellStyle name="Input 2 11 5 3" xfId="5826"/>
    <cellStyle name="Input 2 11 6" xfId="5827"/>
    <cellStyle name="Input 2 11 6 2" xfId="5828"/>
    <cellStyle name="Input 2 11 6 2 2" xfId="5829"/>
    <cellStyle name="Input 2 11 6 3" xfId="5830"/>
    <cellStyle name="Input 2 11 7" xfId="5831"/>
    <cellStyle name="Input 2 11 7 2" xfId="5832"/>
    <cellStyle name="Input 2 11 8" xfId="5833"/>
    <cellStyle name="Input 2 11 9" xfId="5834"/>
    <cellStyle name="Input 2 12" xfId="5835"/>
    <cellStyle name="Input 2 12 2" xfId="5836"/>
    <cellStyle name="Input 2 12 2 2" xfId="5837"/>
    <cellStyle name="Input 2 12 2 2 2" xfId="5838"/>
    <cellStyle name="Input 2 12 2 3" xfId="5839"/>
    <cellStyle name="Input 2 12 3" xfId="5840"/>
    <cellStyle name="Input 2 12 3 2" xfId="5841"/>
    <cellStyle name="Input 2 12 3 2 2" xfId="5842"/>
    <cellStyle name="Input 2 12 3 3" xfId="5843"/>
    <cellStyle name="Input 2 12 4" xfId="5844"/>
    <cellStyle name="Input 2 12 4 2" xfId="5845"/>
    <cellStyle name="Input 2 12 4 2 2" xfId="5846"/>
    <cellStyle name="Input 2 12 4 3" xfId="5847"/>
    <cellStyle name="Input 2 12 5" xfId="5848"/>
    <cellStyle name="Input 2 12 5 2" xfId="5849"/>
    <cellStyle name="Input 2 12 6" xfId="5850"/>
    <cellStyle name="Input 2 12 7" xfId="5851"/>
    <cellStyle name="Input 2 13" xfId="5852"/>
    <cellStyle name="Input 2 13 2" xfId="5853"/>
    <cellStyle name="Input 2 13 2 2" xfId="5854"/>
    <cellStyle name="Input 2 13 2 2 2" xfId="5855"/>
    <cellStyle name="Input 2 13 2 3" xfId="5856"/>
    <cellStyle name="Input 2 13 3" xfId="5857"/>
    <cellStyle name="Input 2 13 3 2" xfId="5858"/>
    <cellStyle name="Input 2 13 3 2 2" xfId="5859"/>
    <cellStyle name="Input 2 13 3 3" xfId="5860"/>
    <cellStyle name="Input 2 13 4" xfId="5861"/>
    <cellStyle name="Input 2 13 4 2" xfId="5862"/>
    <cellStyle name="Input 2 13 4 2 2" xfId="5863"/>
    <cellStyle name="Input 2 13 4 3" xfId="5864"/>
    <cellStyle name="Input 2 13 5" xfId="5865"/>
    <cellStyle name="Input 2 13 5 2" xfId="5866"/>
    <cellStyle name="Input 2 13 6" xfId="5867"/>
    <cellStyle name="Input 2 13 7" xfId="5868"/>
    <cellStyle name="Input 2 14" xfId="5869"/>
    <cellStyle name="Input 2 14 2" xfId="5870"/>
    <cellStyle name="Input 2 14 2 2" xfId="5871"/>
    <cellStyle name="Input 2 14 2 2 2" xfId="5872"/>
    <cellStyle name="Input 2 14 2 3" xfId="5873"/>
    <cellStyle name="Input 2 14 3" xfId="5874"/>
    <cellStyle name="Input 2 14 3 2" xfId="5875"/>
    <cellStyle name="Input 2 14 3 2 2" xfId="5876"/>
    <cellStyle name="Input 2 14 3 3" xfId="5877"/>
    <cellStyle name="Input 2 14 4" xfId="5878"/>
    <cellStyle name="Input 2 14 4 2" xfId="5879"/>
    <cellStyle name="Input 2 14 5" xfId="5880"/>
    <cellStyle name="Input 2 15" xfId="5881"/>
    <cellStyle name="Input 2 15 2" xfId="5882"/>
    <cellStyle name="Input 2 15 2 2" xfId="5883"/>
    <cellStyle name="Input 2 15 2 2 2" xfId="5884"/>
    <cellStyle name="Input 2 15 2 3" xfId="5885"/>
    <cellStyle name="Input 2 15 3" xfId="5886"/>
    <cellStyle name="Input 2 15 3 2" xfId="5887"/>
    <cellStyle name="Input 2 15 4" xfId="5888"/>
    <cellStyle name="Input 2 16" xfId="5889"/>
    <cellStyle name="Input 2 16 2" xfId="5890"/>
    <cellStyle name="Input 2 16 2 2" xfId="5891"/>
    <cellStyle name="Input 2 16 2 2 2" xfId="5892"/>
    <cellStyle name="Input 2 16 2 3" xfId="5893"/>
    <cellStyle name="Input 2 16 3" xfId="5894"/>
    <cellStyle name="Input 2 16 3 2" xfId="5895"/>
    <cellStyle name="Input 2 16 4" xfId="5896"/>
    <cellStyle name="Input 2 17" xfId="5897"/>
    <cellStyle name="Input 2 17 2" xfId="5898"/>
    <cellStyle name="Input 2 17 2 2" xfId="5899"/>
    <cellStyle name="Input 2 17 2 2 2" xfId="5900"/>
    <cellStyle name="Input 2 17 2 3" xfId="5901"/>
    <cellStyle name="Input 2 17 3" xfId="5902"/>
    <cellStyle name="Input 2 17 3 2" xfId="5903"/>
    <cellStyle name="Input 2 17 4" xfId="5904"/>
    <cellStyle name="Input 2 18" xfId="5905"/>
    <cellStyle name="Input 2 18 2" xfId="5906"/>
    <cellStyle name="Input 2 18 2 2" xfId="5907"/>
    <cellStyle name="Input 2 18 2 2 2" xfId="5908"/>
    <cellStyle name="Input 2 18 2 3" xfId="5909"/>
    <cellStyle name="Input 2 18 3" xfId="5910"/>
    <cellStyle name="Input 2 18 3 2" xfId="5911"/>
    <cellStyle name="Input 2 18 4" xfId="5912"/>
    <cellStyle name="Input 2 19" xfId="5913"/>
    <cellStyle name="Input 2 19 2" xfId="5914"/>
    <cellStyle name="Input 2 19 2 2" xfId="5915"/>
    <cellStyle name="Input 2 19 2 2 2" xfId="5916"/>
    <cellStyle name="Input 2 19 2 3" xfId="5917"/>
    <cellStyle name="Input 2 19 3" xfId="5918"/>
    <cellStyle name="Input 2 19 3 2" xfId="5919"/>
    <cellStyle name="Input 2 19 4" xfId="5920"/>
    <cellStyle name="Input 2 2" xfId="5921"/>
    <cellStyle name="Input 2 2 10" xfId="5922"/>
    <cellStyle name="Input 2 2 10 2" xfId="5923"/>
    <cellStyle name="Input 2 2 10 2 2" xfId="5924"/>
    <cellStyle name="Input 2 2 10 2 2 2" xfId="5925"/>
    <cellStyle name="Input 2 2 10 2 3" xfId="5926"/>
    <cellStyle name="Input 2 2 10 3" xfId="5927"/>
    <cellStyle name="Input 2 2 10 3 2" xfId="5928"/>
    <cellStyle name="Input 2 2 10 4" xfId="5929"/>
    <cellStyle name="Input 2 2 10 5" xfId="5930"/>
    <cellStyle name="Input 2 2 11" xfId="5931"/>
    <cellStyle name="Input 2 2 11 2" xfId="5932"/>
    <cellStyle name="Input 2 2 11 2 2" xfId="5933"/>
    <cellStyle name="Input 2 2 11 2 2 2" xfId="5934"/>
    <cellStyle name="Input 2 2 11 2 3" xfId="5935"/>
    <cellStyle name="Input 2 2 11 3" xfId="5936"/>
    <cellStyle name="Input 2 2 11 3 2" xfId="5937"/>
    <cellStyle name="Input 2 2 11 4" xfId="5938"/>
    <cellStyle name="Input 2 2 11 5" xfId="5939"/>
    <cellStyle name="Input 2 2 12" xfId="5940"/>
    <cellStyle name="Input 2 2 12 2" xfId="5941"/>
    <cellStyle name="Input 2 2 12 2 2" xfId="5942"/>
    <cellStyle name="Input 2 2 12 2 2 2" xfId="5943"/>
    <cellStyle name="Input 2 2 12 2 3" xfId="5944"/>
    <cellStyle name="Input 2 2 12 3" xfId="5945"/>
    <cellStyle name="Input 2 2 12 3 2" xfId="5946"/>
    <cellStyle name="Input 2 2 12 4" xfId="5947"/>
    <cellStyle name="Input 2 2 12 5" xfId="5948"/>
    <cellStyle name="Input 2 2 13" xfId="5949"/>
    <cellStyle name="Input 2 2 13 2" xfId="5950"/>
    <cellStyle name="Input 2 2 13 2 2" xfId="5951"/>
    <cellStyle name="Input 2 2 13 2 2 2" xfId="5952"/>
    <cellStyle name="Input 2 2 13 2 3" xfId="5953"/>
    <cellStyle name="Input 2 2 13 3" xfId="5954"/>
    <cellStyle name="Input 2 2 13 3 2" xfId="5955"/>
    <cellStyle name="Input 2 2 13 4" xfId="5956"/>
    <cellStyle name="Input 2 2 13 5" xfId="5957"/>
    <cellStyle name="Input 2 2 14" xfId="5958"/>
    <cellStyle name="Input 2 2 14 2" xfId="5959"/>
    <cellStyle name="Input 2 2 14 2 2" xfId="5960"/>
    <cellStyle name="Input 2 2 14 2 2 2" xfId="5961"/>
    <cellStyle name="Input 2 2 14 2 3" xfId="5962"/>
    <cellStyle name="Input 2 2 14 3" xfId="5963"/>
    <cellStyle name="Input 2 2 14 3 2" xfId="5964"/>
    <cellStyle name="Input 2 2 14 4" xfId="5965"/>
    <cellStyle name="Input 2 2 14 5" xfId="5966"/>
    <cellStyle name="Input 2 2 15" xfId="5967"/>
    <cellStyle name="Input 2 2 15 2" xfId="5968"/>
    <cellStyle name="Input 2 2 15 2 2" xfId="5969"/>
    <cellStyle name="Input 2 2 15 2 2 2" xfId="5970"/>
    <cellStyle name="Input 2 2 15 2 3" xfId="5971"/>
    <cellStyle name="Input 2 2 15 3" xfId="5972"/>
    <cellStyle name="Input 2 2 15 3 2" xfId="5973"/>
    <cellStyle name="Input 2 2 15 4" xfId="5974"/>
    <cellStyle name="Input 2 2 15 5" xfId="5975"/>
    <cellStyle name="Input 2 2 16" xfId="5976"/>
    <cellStyle name="Input 2 2 16 2" xfId="5977"/>
    <cellStyle name="Input 2 2 16 2 2" xfId="5978"/>
    <cellStyle name="Input 2 2 16 2 2 2" xfId="5979"/>
    <cellStyle name="Input 2 2 16 2 3" xfId="5980"/>
    <cellStyle name="Input 2 2 16 3" xfId="5981"/>
    <cellStyle name="Input 2 2 16 3 2" xfId="5982"/>
    <cellStyle name="Input 2 2 16 4" xfId="5983"/>
    <cellStyle name="Input 2 2 16 5" xfId="5984"/>
    <cellStyle name="Input 2 2 17" xfId="5985"/>
    <cellStyle name="Input 2 2 17 2" xfId="5986"/>
    <cellStyle name="Input 2 2 17 2 2" xfId="5987"/>
    <cellStyle name="Input 2 2 17 2 2 2" xfId="5988"/>
    <cellStyle name="Input 2 2 17 2 3" xfId="5989"/>
    <cellStyle name="Input 2 2 17 3" xfId="5990"/>
    <cellStyle name="Input 2 2 17 3 2" xfId="5991"/>
    <cellStyle name="Input 2 2 17 4" xfId="5992"/>
    <cellStyle name="Input 2 2 17 5" xfId="5993"/>
    <cellStyle name="Input 2 2 18" xfId="5994"/>
    <cellStyle name="Input 2 2 18 2" xfId="5995"/>
    <cellStyle name="Input 2 2 18 2 2" xfId="5996"/>
    <cellStyle name="Input 2 2 18 2 2 2" xfId="5997"/>
    <cellStyle name="Input 2 2 18 2 3" xfId="5998"/>
    <cellStyle name="Input 2 2 18 3" xfId="5999"/>
    <cellStyle name="Input 2 2 18 3 2" xfId="6000"/>
    <cellStyle name="Input 2 2 18 4" xfId="6001"/>
    <cellStyle name="Input 2 2 18 5" xfId="6002"/>
    <cellStyle name="Input 2 2 19" xfId="6003"/>
    <cellStyle name="Input 2 2 19 2" xfId="6004"/>
    <cellStyle name="Input 2 2 19 2 2" xfId="6005"/>
    <cellStyle name="Input 2 2 19 2 2 2" xfId="6006"/>
    <cellStyle name="Input 2 2 19 2 3" xfId="6007"/>
    <cellStyle name="Input 2 2 19 3" xfId="6008"/>
    <cellStyle name="Input 2 2 19 3 2" xfId="6009"/>
    <cellStyle name="Input 2 2 19 4" xfId="6010"/>
    <cellStyle name="Input 2 2 19 5" xfId="6011"/>
    <cellStyle name="Input 2 2 2" xfId="6012"/>
    <cellStyle name="Input 2 2 2 2" xfId="6013"/>
    <cellStyle name="Input 2 2 2 2 2" xfId="6014"/>
    <cellStyle name="Input 2 2 2 2 2 2" xfId="6015"/>
    <cellStyle name="Input 2 2 2 2 3" xfId="6016"/>
    <cellStyle name="Input 2 2 2 3" xfId="6017"/>
    <cellStyle name="Input 2 2 2 3 2" xfId="6018"/>
    <cellStyle name="Input 2 2 2 3 2 2" xfId="6019"/>
    <cellStyle name="Input 2 2 2 3 3" xfId="6020"/>
    <cellStyle name="Input 2 2 2 4" xfId="6021"/>
    <cellStyle name="Input 2 2 2 4 2" xfId="6022"/>
    <cellStyle name="Input 2 2 2 5" xfId="6023"/>
    <cellStyle name="Input 2 2 2 6" xfId="6024"/>
    <cellStyle name="Input 2 2 20" xfId="6025"/>
    <cellStyle name="Input 2 2 20 2" xfId="6026"/>
    <cellStyle name="Input 2 2 20 2 2" xfId="6027"/>
    <cellStyle name="Input 2 2 20 2 2 2" xfId="6028"/>
    <cellStyle name="Input 2 2 20 2 3" xfId="6029"/>
    <cellStyle name="Input 2 2 20 3" xfId="6030"/>
    <cellStyle name="Input 2 2 20 3 2" xfId="6031"/>
    <cellStyle name="Input 2 2 20 4" xfId="6032"/>
    <cellStyle name="Input 2 2 20 5" xfId="6033"/>
    <cellStyle name="Input 2 2 21" xfId="6034"/>
    <cellStyle name="Input 2 2 21 2" xfId="6035"/>
    <cellStyle name="Input 2 2 21 2 2" xfId="6036"/>
    <cellStyle name="Input 2 2 21 2 2 2" xfId="6037"/>
    <cellStyle name="Input 2 2 21 2 3" xfId="6038"/>
    <cellStyle name="Input 2 2 21 3" xfId="6039"/>
    <cellStyle name="Input 2 2 21 3 2" xfId="6040"/>
    <cellStyle name="Input 2 2 21 4" xfId="6041"/>
    <cellStyle name="Input 2 2 21 5" xfId="6042"/>
    <cellStyle name="Input 2 2 22" xfId="6043"/>
    <cellStyle name="Input 2 2 22 2" xfId="6044"/>
    <cellStyle name="Input 2 2 22 2 2" xfId="6045"/>
    <cellStyle name="Input 2 2 22 2 2 2" xfId="6046"/>
    <cellStyle name="Input 2 2 22 2 3" xfId="6047"/>
    <cellStyle name="Input 2 2 22 3" xfId="6048"/>
    <cellStyle name="Input 2 2 22 3 2" xfId="6049"/>
    <cellStyle name="Input 2 2 22 4" xfId="6050"/>
    <cellStyle name="Input 2 2 22 5" xfId="6051"/>
    <cellStyle name="Input 2 2 23" xfId="6052"/>
    <cellStyle name="Input 2 2 23 2" xfId="6053"/>
    <cellStyle name="Input 2 2 23 2 2" xfId="6054"/>
    <cellStyle name="Input 2 2 23 2 2 2" xfId="6055"/>
    <cellStyle name="Input 2 2 23 2 3" xfId="6056"/>
    <cellStyle name="Input 2 2 23 3" xfId="6057"/>
    <cellStyle name="Input 2 2 23 3 2" xfId="6058"/>
    <cellStyle name="Input 2 2 23 4" xfId="6059"/>
    <cellStyle name="Input 2 2 23 5" xfId="6060"/>
    <cellStyle name="Input 2 2 24" xfId="6061"/>
    <cellStyle name="Input 2 2 24 2" xfId="6062"/>
    <cellStyle name="Input 2 2 24 2 2" xfId="6063"/>
    <cellStyle name="Input 2 2 24 2 2 2" xfId="6064"/>
    <cellStyle name="Input 2 2 24 2 3" xfId="6065"/>
    <cellStyle name="Input 2 2 24 3" xfId="6066"/>
    <cellStyle name="Input 2 2 24 3 2" xfId="6067"/>
    <cellStyle name="Input 2 2 24 4" xfId="6068"/>
    <cellStyle name="Input 2 2 24 5" xfId="6069"/>
    <cellStyle name="Input 2 2 25" xfId="6070"/>
    <cellStyle name="Input 2 2 25 2" xfId="6071"/>
    <cellStyle name="Input 2 2 25 2 2" xfId="6072"/>
    <cellStyle name="Input 2 2 25 2 2 2" xfId="6073"/>
    <cellStyle name="Input 2 2 25 2 3" xfId="6074"/>
    <cellStyle name="Input 2 2 25 3" xfId="6075"/>
    <cellStyle name="Input 2 2 25 3 2" xfId="6076"/>
    <cellStyle name="Input 2 2 25 4" xfId="6077"/>
    <cellStyle name="Input 2 2 25 5" xfId="6078"/>
    <cellStyle name="Input 2 2 26" xfId="6079"/>
    <cellStyle name="Input 2 2 26 2" xfId="6080"/>
    <cellStyle name="Input 2 2 26 2 2" xfId="6081"/>
    <cellStyle name="Input 2 2 26 2 2 2" xfId="6082"/>
    <cellStyle name="Input 2 2 26 2 3" xfId="6083"/>
    <cellStyle name="Input 2 2 26 3" xfId="6084"/>
    <cellStyle name="Input 2 2 26 3 2" xfId="6085"/>
    <cellStyle name="Input 2 2 26 4" xfId="6086"/>
    <cellStyle name="Input 2 2 26 5" xfId="6087"/>
    <cellStyle name="Input 2 2 27" xfId="6088"/>
    <cellStyle name="Input 2 2 27 2" xfId="6089"/>
    <cellStyle name="Input 2 2 27 2 2" xfId="6090"/>
    <cellStyle name="Input 2 2 27 2 2 2" xfId="6091"/>
    <cellStyle name="Input 2 2 27 2 3" xfId="6092"/>
    <cellStyle name="Input 2 2 27 3" xfId="6093"/>
    <cellStyle name="Input 2 2 27 3 2" xfId="6094"/>
    <cellStyle name="Input 2 2 27 4" xfId="6095"/>
    <cellStyle name="Input 2 2 27 5" xfId="6096"/>
    <cellStyle name="Input 2 2 28" xfId="6097"/>
    <cellStyle name="Input 2 2 28 2" xfId="6098"/>
    <cellStyle name="Input 2 2 28 2 2" xfId="6099"/>
    <cellStyle name="Input 2 2 28 2 2 2" xfId="6100"/>
    <cellStyle name="Input 2 2 28 2 3" xfId="6101"/>
    <cellStyle name="Input 2 2 28 3" xfId="6102"/>
    <cellStyle name="Input 2 2 28 3 2" xfId="6103"/>
    <cellStyle name="Input 2 2 28 4" xfId="6104"/>
    <cellStyle name="Input 2 2 28 5" xfId="6105"/>
    <cellStyle name="Input 2 2 29" xfId="6106"/>
    <cellStyle name="Input 2 2 29 2" xfId="6107"/>
    <cellStyle name="Input 2 2 29 2 2" xfId="6108"/>
    <cellStyle name="Input 2 2 29 2 2 2" xfId="6109"/>
    <cellStyle name="Input 2 2 29 2 3" xfId="6110"/>
    <cellStyle name="Input 2 2 29 3" xfId="6111"/>
    <cellStyle name="Input 2 2 29 3 2" xfId="6112"/>
    <cellStyle name="Input 2 2 29 4" xfId="6113"/>
    <cellStyle name="Input 2 2 29 5" xfId="6114"/>
    <cellStyle name="Input 2 2 3" xfId="6115"/>
    <cellStyle name="Input 2 2 3 2" xfId="6116"/>
    <cellStyle name="Input 2 2 3 2 2" xfId="6117"/>
    <cellStyle name="Input 2 2 3 2 2 2" xfId="6118"/>
    <cellStyle name="Input 2 2 3 2 3" xfId="6119"/>
    <cellStyle name="Input 2 2 3 3" xfId="6120"/>
    <cellStyle name="Input 2 2 3 3 2" xfId="6121"/>
    <cellStyle name="Input 2 2 3 3 2 2" xfId="6122"/>
    <cellStyle name="Input 2 2 3 3 3" xfId="6123"/>
    <cellStyle name="Input 2 2 3 4" xfId="6124"/>
    <cellStyle name="Input 2 2 3 4 2" xfId="6125"/>
    <cellStyle name="Input 2 2 3 5" xfId="6126"/>
    <cellStyle name="Input 2 2 3 6" xfId="6127"/>
    <cellStyle name="Input 2 2 30" xfId="6128"/>
    <cellStyle name="Input 2 2 30 2" xfId="6129"/>
    <cellStyle name="Input 2 2 30 2 2" xfId="6130"/>
    <cellStyle name="Input 2 2 30 2 2 2" xfId="6131"/>
    <cellStyle name="Input 2 2 30 2 3" xfId="6132"/>
    <cellStyle name="Input 2 2 30 3" xfId="6133"/>
    <cellStyle name="Input 2 2 30 3 2" xfId="6134"/>
    <cellStyle name="Input 2 2 30 4" xfId="6135"/>
    <cellStyle name="Input 2 2 30 5" xfId="6136"/>
    <cellStyle name="Input 2 2 31" xfId="6137"/>
    <cellStyle name="Input 2 2 31 2" xfId="6138"/>
    <cellStyle name="Input 2 2 31 2 2" xfId="6139"/>
    <cellStyle name="Input 2 2 31 2 2 2" xfId="6140"/>
    <cellStyle name="Input 2 2 31 2 3" xfId="6141"/>
    <cellStyle name="Input 2 2 31 3" xfId="6142"/>
    <cellStyle name="Input 2 2 31 3 2" xfId="6143"/>
    <cellStyle name="Input 2 2 31 4" xfId="6144"/>
    <cellStyle name="Input 2 2 31 5" xfId="6145"/>
    <cellStyle name="Input 2 2 32" xfId="6146"/>
    <cellStyle name="Input 2 2 32 2" xfId="6147"/>
    <cellStyle name="Input 2 2 32 2 2" xfId="6148"/>
    <cellStyle name="Input 2 2 32 2 2 2" xfId="6149"/>
    <cellStyle name="Input 2 2 32 2 3" xfId="6150"/>
    <cellStyle name="Input 2 2 32 3" xfId="6151"/>
    <cellStyle name="Input 2 2 32 3 2" xfId="6152"/>
    <cellStyle name="Input 2 2 32 4" xfId="6153"/>
    <cellStyle name="Input 2 2 32 5" xfId="6154"/>
    <cellStyle name="Input 2 2 33" xfId="6155"/>
    <cellStyle name="Input 2 2 33 2" xfId="6156"/>
    <cellStyle name="Input 2 2 33 2 2" xfId="6157"/>
    <cellStyle name="Input 2 2 33 2 2 2" xfId="6158"/>
    <cellStyle name="Input 2 2 33 2 3" xfId="6159"/>
    <cellStyle name="Input 2 2 33 3" xfId="6160"/>
    <cellStyle name="Input 2 2 33 3 2" xfId="6161"/>
    <cellStyle name="Input 2 2 33 4" xfId="6162"/>
    <cellStyle name="Input 2 2 33 5" xfId="6163"/>
    <cellStyle name="Input 2 2 34" xfId="6164"/>
    <cellStyle name="Input 2 2 34 2" xfId="6165"/>
    <cellStyle name="Input 2 2 34 2 2" xfId="6166"/>
    <cellStyle name="Input 2 2 34 2 2 2" xfId="6167"/>
    <cellStyle name="Input 2 2 34 2 3" xfId="6168"/>
    <cellStyle name="Input 2 2 34 3" xfId="6169"/>
    <cellStyle name="Input 2 2 34 3 2" xfId="6170"/>
    <cellStyle name="Input 2 2 34 4" xfId="6171"/>
    <cellStyle name="Input 2 2 34 5" xfId="6172"/>
    <cellStyle name="Input 2 2 35" xfId="6173"/>
    <cellStyle name="Input 2 2 35 2" xfId="6174"/>
    <cellStyle name="Input 2 2 35 2 2" xfId="6175"/>
    <cellStyle name="Input 2 2 35 2 2 2" xfId="6176"/>
    <cellStyle name="Input 2 2 35 2 3" xfId="6177"/>
    <cellStyle name="Input 2 2 35 3" xfId="6178"/>
    <cellStyle name="Input 2 2 35 3 2" xfId="6179"/>
    <cellStyle name="Input 2 2 35 4" xfId="6180"/>
    <cellStyle name="Input 2 2 35 5" xfId="6181"/>
    <cellStyle name="Input 2 2 36" xfId="6182"/>
    <cellStyle name="Input 2 2 36 2" xfId="6183"/>
    <cellStyle name="Input 2 2 36 2 2" xfId="6184"/>
    <cellStyle name="Input 2 2 36 2 2 2" xfId="6185"/>
    <cellStyle name="Input 2 2 36 2 3" xfId="6186"/>
    <cellStyle name="Input 2 2 36 3" xfId="6187"/>
    <cellStyle name="Input 2 2 36 3 2" xfId="6188"/>
    <cellStyle name="Input 2 2 36 4" xfId="6189"/>
    <cellStyle name="Input 2 2 36 5" xfId="6190"/>
    <cellStyle name="Input 2 2 37" xfId="6191"/>
    <cellStyle name="Input 2 2 37 2" xfId="6192"/>
    <cellStyle name="Input 2 2 37 2 2" xfId="6193"/>
    <cellStyle name="Input 2 2 37 2 2 2" xfId="6194"/>
    <cellStyle name="Input 2 2 37 2 3" xfId="6195"/>
    <cellStyle name="Input 2 2 37 3" xfId="6196"/>
    <cellStyle name="Input 2 2 37 3 2" xfId="6197"/>
    <cellStyle name="Input 2 2 37 4" xfId="6198"/>
    <cellStyle name="Input 2 2 37 5" xfId="6199"/>
    <cellStyle name="Input 2 2 38" xfId="6200"/>
    <cellStyle name="Input 2 2 38 2" xfId="6201"/>
    <cellStyle name="Input 2 2 38 2 2" xfId="6202"/>
    <cellStyle name="Input 2 2 38 2 2 2" xfId="6203"/>
    <cellStyle name="Input 2 2 38 2 3" xfId="6204"/>
    <cellStyle name="Input 2 2 38 3" xfId="6205"/>
    <cellStyle name="Input 2 2 38 3 2" xfId="6206"/>
    <cellStyle name="Input 2 2 38 4" xfId="6207"/>
    <cellStyle name="Input 2 2 38 5" xfId="6208"/>
    <cellStyle name="Input 2 2 39" xfId="6209"/>
    <cellStyle name="Input 2 2 39 2" xfId="6210"/>
    <cellStyle name="Input 2 2 39 2 2" xfId="6211"/>
    <cellStyle name="Input 2 2 39 2 2 2" xfId="6212"/>
    <cellStyle name="Input 2 2 39 2 3" xfId="6213"/>
    <cellStyle name="Input 2 2 39 3" xfId="6214"/>
    <cellStyle name="Input 2 2 39 3 2" xfId="6215"/>
    <cellStyle name="Input 2 2 39 4" xfId="6216"/>
    <cellStyle name="Input 2 2 39 5" xfId="6217"/>
    <cellStyle name="Input 2 2 4" xfId="6218"/>
    <cellStyle name="Input 2 2 4 2" xfId="6219"/>
    <cellStyle name="Input 2 2 4 2 2" xfId="6220"/>
    <cellStyle name="Input 2 2 4 2 2 2" xfId="6221"/>
    <cellStyle name="Input 2 2 4 2 3" xfId="6222"/>
    <cellStyle name="Input 2 2 4 3" xfId="6223"/>
    <cellStyle name="Input 2 2 4 3 2" xfId="6224"/>
    <cellStyle name="Input 2 2 4 3 2 2" xfId="6225"/>
    <cellStyle name="Input 2 2 4 3 3" xfId="6226"/>
    <cellStyle name="Input 2 2 4 4" xfId="6227"/>
    <cellStyle name="Input 2 2 4 4 2" xfId="6228"/>
    <cellStyle name="Input 2 2 4 5" xfId="6229"/>
    <cellStyle name="Input 2 2 4 6" xfId="6230"/>
    <cellStyle name="Input 2 2 40" xfId="6231"/>
    <cellStyle name="Input 2 2 40 2" xfId="6232"/>
    <cellStyle name="Input 2 2 40 2 2" xfId="6233"/>
    <cellStyle name="Input 2 2 40 2 2 2" xfId="6234"/>
    <cellStyle name="Input 2 2 40 2 3" xfId="6235"/>
    <cellStyle name="Input 2 2 40 3" xfId="6236"/>
    <cellStyle name="Input 2 2 40 3 2" xfId="6237"/>
    <cellStyle name="Input 2 2 40 4" xfId="6238"/>
    <cellStyle name="Input 2 2 40 5" xfId="6239"/>
    <cellStyle name="Input 2 2 41" xfId="6240"/>
    <cellStyle name="Input 2 2 41 2" xfId="6241"/>
    <cellStyle name="Input 2 2 41 2 2" xfId="6242"/>
    <cellStyle name="Input 2 2 41 2 2 2" xfId="6243"/>
    <cellStyle name="Input 2 2 41 2 3" xfId="6244"/>
    <cellStyle name="Input 2 2 41 3" xfId="6245"/>
    <cellStyle name="Input 2 2 41 3 2" xfId="6246"/>
    <cellStyle name="Input 2 2 41 4" xfId="6247"/>
    <cellStyle name="Input 2 2 41 5" xfId="6248"/>
    <cellStyle name="Input 2 2 42" xfId="6249"/>
    <cellStyle name="Input 2 2 42 2" xfId="6250"/>
    <cellStyle name="Input 2 2 42 2 2" xfId="6251"/>
    <cellStyle name="Input 2 2 42 2 2 2" xfId="6252"/>
    <cellStyle name="Input 2 2 42 2 3" xfId="6253"/>
    <cellStyle name="Input 2 2 42 3" xfId="6254"/>
    <cellStyle name="Input 2 2 42 3 2" xfId="6255"/>
    <cellStyle name="Input 2 2 42 4" xfId="6256"/>
    <cellStyle name="Input 2 2 42 5" xfId="6257"/>
    <cellStyle name="Input 2 2 43" xfId="6258"/>
    <cellStyle name="Input 2 2 43 2" xfId="6259"/>
    <cellStyle name="Input 2 2 43 2 2" xfId="6260"/>
    <cellStyle name="Input 2 2 43 2 2 2" xfId="6261"/>
    <cellStyle name="Input 2 2 43 2 3" xfId="6262"/>
    <cellStyle name="Input 2 2 43 3" xfId="6263"/>
    <cellStyle name="Input 2 2 43 3 2" xfId="6264"/>
    <cellStyle name="Input 2 2 43 4" xfId="6265"/>
    <cellStyle name="Input 2 2 43 5" xfId="6266"/>
    <cellStyle name="Input 2 2 44" xfId="6267"/>
    <cellStyle name="Input 2 2 44 2" xfId="6268"/>
    <cellStyle name="Input 2 2 44 2 2" xfId="6269"/>
    <cellStyle name="Input 2 2 44 2 2 2" xfId="6270"/>
    <cellStyle name="Input 2 2 44 2 3" xfId="6271"/>
    <cellStyle name="Input 2 2 44 3" xfId="6272"/>
    <cellStyle name="Input 2 2 44 3 2" xfId="6273"/>
    <cellStyle name="Input 2 2 44 4" xfId="6274"/>
    <cellStyle name="Input 2 2 44 5" xfId="6275"/>
    <cellStyle name="Input 2 2 45" xfId="6276"/>
    <cellStyle name="Input 2 2 45 2" xfId="6277"/>
    <cellStyle name="Input 2 2 45 2 2" xfId="6278"/>
    <cellStyle name="Input 2 2 45 2 2 2" xfId="6279"/>
    <cellStyle name="Input 2 2 45 2 3" xfId="6280"/>
    <cellStyle name="Input 2 2 45 3" xfId="6281"/>
    <cellStyle name="Input 2 2 45 3 2" xfId="6282"/>
    <cellStyle name="Input 2 2 45 4" xfId="6283"/>
    <cellStyle name="Input 2 2 45 5" xfId="6284"/>
    <cellStyle name="Input 2 2 46" xfId="6285"/>
    <cellStyle name="Input 2 2 46 2" xfId="6286"/>
    <cellStyle name="Input 2 2 46 2 2" xfId="6287"/>
    <cellStyle name="Input 2 2 46 2 2 2" xfId="6288"/>
    <cellStyle name="Input 2 2 46 2 3" xfId="6289"/>
    <cellStyle name="Input 2 2 46 3" xfId="6290"/>
    <cellStyle name="Input 2 2 46 3 2" xfId="6291"/>
    <cellStyle name="Input 2 2 46 4" xfId="6292"/>
    <cellStyle name="Input 2 2 46 5" xfId="6293"/>
    <cellStyle name="Input 2 2 47" xfId="6294"/>
    <cellStyle name="Input 2 2 47 2" xfId="6295"/>
    <cellStyle name="Input 2 2 47 2 2" xfId="6296"/>
    <cellStyle name="Input 2 2 47 2 2 2" xfId="6297"/>
    <cellStyle name="Input 2 2 47 2 3" xfId="6298"/>
    <cellStyle name="Input 2 2 47 3" xfId="6299"/>
    <cellStyle name="Input 2 2 47 3 2" xfId="6300"/>
    <cellStyle name="Input 2 2 47 4" xfId="6301"/>
    <cellStyle name="Input 2 2 47 5" xfId="6302"/>
    <cellStyle name="Input 2 2 48" xfId="6303"/>
    <cellStyle name="Input 2 2 48 2" xfId="6304"/>
    <cellStyle name="Input 2 2 48 2 2" xfId="6305"/>
    <cellStyle name="Input 2 2 48 2 2 2" xfId="6306"/>
    <cellStyle name="Input 2 2 48 2 3" xfId="6307"/>
    <cellStyle name="Input 2 2 48 3" xfId="6308"/>
    <cellStyle name="Input 2 2 48 3 2" xfId="6309"/>
    <cellStyle name="Input 2 2 48 4" xfId="6310"/>
    <cellStyle name="Input 2 2 48 5" xfId="6311"/>
    <cellStyle name="Input 2 2 49" xfId="6312"/>
    <cellStyle name="Input 2 2 49 2" xfId="6313"/>
    <cellStyle name="Input 2 2 49 2 2" xfId="6314"/>
    <cellStyle name="Input 2 2 49 3" xfId="6315"/>
    <cellStyle name="Input 2 2 5" xfId="6316"/>
    <cellStyle name="Input 2 2 5 2" xfId="6317"/>
    <cellStyle name="Input 2 2 5 2 2" xfId="6318"/>
    <cellStyle name="Input 2 2 5 2 2 2" xfId="6319"/>
    <cellStyle name="Input 2 2 5 2 3" xfId="6320"/>
    <cellStyle name="Input 2 2 5 3" xfId="6321"/>
    <cellStyle name="Input 2 2 5 3 2" xfId="6322"/>
    <cellStyle name="Input 2 2 5 3 2 2" xfId="6323"/>
    <cellStyle name="Input 2 2 5 3 3" xfId="6324"/>
    <cellStyle name="Input 2 2 5 4" xfId="6325"/>
    <cellStyle name="Input 2 2 5 4 2" xfId="6326"/>
    <cellStyle name="Input 2 2 5 5" xfId="6327"/>
    <cellStyle name="Input 2 2 5 6" xfId="6328"/>
    <cellStyle name="Input 2 2 50" xfId="6329"/>
    <cellStyle name="Input 2 2 50 2" xfId="6330"/>
    <cellStyle name="Input 2 2 50 2 2" xfId="6331"/>
    <cellStyle name="Input 2 2 50 3" xfId="6332"/>
    <cellStyle name="Input 2 2 51" xfId="6333"/>
    <cellStyle name="Input 2 2 51 2" xfId="6334"/>
    <cellStyle name="Input 2 2 51 2 2" xfId="6335"/>
    <cellStyle name="Input 2 2 51 3" xfId="6336"/>
    <cellStyle name="Input 2 2 52" xfId="6337"/>
    <cellStyle name="Input 2 2 52 2" xfId="6338"/>
    <cellStyle name="Input 2 2 53" xfId="6339"/>
    <cellStyle name="Input 2 2 54" xfId="6340"/>
    <cellStyle name="Input 2 2 6" xfId="6341"/>
    <cellStyle name="Input 2 2 6 2" xfId="6342"/>
    <cellStyle name="Input 2 2 6 2 2" xfId="6343"/>
    <cellStyle name="Input 2 2 6 2 2 2" xfId="6344"/>
    <cellStyle name="Input 2 2 6 2 3" xfId="6345"/>
    <cellStyle name="Input 2 2 6 3" xfId="6346"/>
    <cellStyle name="Input 2 2 6 3 2" xfId="6347"/>
    <cellStyle name="Input 2 2 6 3 2 2" xfId="6348"/>
    <cellStyle name="Input 2 2 6 3 3" xfId="6349"/>
    <cellStyle name="Input 2 2 6 4" xfId="6350"/>
    <cellStyle name="Input 2 2 6 4 2" xfId="6351"/>
    <cellStyle name="Input 2 2 6 5" xfId="6352"/>
    <cellStyle name="Input 2 2 6 6" xfId="6353"/>
    <cellStyle name="Input 2 2 7" xfId="6354"/>
    <cellStyle name="Input 2 2 7 2" xfId="6355"/>
    <cellStyle name="Input 2 2 7 2 2" xfId="6356"/>
    <cellStyle name="Input 2 2 7 2 2 2" xfId="6357"/>
    <cellStyle name="Input 2 2 7 2 3" xfId="6358"/>
    <cellStyle name="Input 2 2 7 3" xfId="6359"/>
    <cellStyle name="Input 2 2 7 3 2" xfId="6360"/>
    <cellStyle name="Input 2 2 7 3 2 2" xfId="6361"/>
    <cellStyle name="Input 2 2 7 3 3" xfId="6362"/>
    <cellStyle name="Input 2 2 7 4" xfId="6363"/>
    <cellStyle name="Input 2 2 7 4 2" xfId="6364"/>
    <cellStyle name="Input 2 2 7 5" xfId="6365"/>
    <cellStyle name="Input 2 2 7 6" xfId="6366"/>
    <cellStyle name="Input 2 2 8" xfId="6367"/>
    <cellStyle name="Input 2 2 8 2" xfId="6368"/>
    <cellStyle name="Input 2 2 8 2 2" xfId="6369"/>
    <cellStyle name="Input 2 2 8 2 2 2" xfId="6370"/>
    <cellStyle name="Input 2 2 8 2 3" xfId="6371"/>
    <cellStyle name="Input 2 2 8 3" xfId="6372"/>
    <cellStyle name="Input 2 2 8 3 2" xfId="6373"/>
    <cellStyle name="Input 2 2 8 3 2 2" xfId="6374"/>
    <cellStyle name="Input 2 2 8 3 3" xfId="6375"/>
    <cellStyle name="Input 2 2 8 4" xfId="6376"/>
    <cellStyle name="Input 2 2 8 4 2" xfId="6377"/>
    <cellStyle name="Input 2 2 8 5" xfId="6378"/>
    <cellStyle name="Input 2 2 8 6" xfId="6379"/>
    <cellStyle name="Input 2 2 9" xfId="6380"/>
    <cellStyle name="Input 2 2 9 2" xfId="6381"/>
    <cellStyle name="Input 2 2 9 2 2" xfId="6382"/>
    <cellStyle name="Input 2 2 9 2 2 2" xfId="6383"/>
    <cellStyle name="Input 2 2 9 2 3" xfId="6384"/>
    <cellStyle name="Input 2 2 9 3" xfId="6385"/>
    <cellStyle name="Input 2 2 9 3 2" xfId="6386"/>
    <cellStyle name="Input 2 2 9 4" xfId="6387"/>
    <cellStyle name="Input 2 2 9 5" xfId="6388"/>
    <cellStyle name="Input 2 20" xfId="6389"/>
    <cellStyle name="Input 2 20 2" xfId="6390"/>
    <cellStyle name="Input 2 20 2 2" xfId="6391"/>
    <cellStyle name="Input 2 20 2 2 2" xfId="6392"/>
    <cellStyle name="Input 2 20 2 3" xfId="6393"/>
    <cellStyle name="Input 2 20 3" xfId="6394"/>
    <cellStyle name="Input 2 20 3 2" xfId="6395"/>
    <cellStyle name="Input 2 20 4" xfId="6396"/>
    <cellStyle name="Input 2 21" xfId="6397"/>
    <cellStyle name="Input 2 21 2" xfId="6398"/>
    <cellStyle name="Input 2 21 2 2" xfId="6399"/>
    <cellStyle name="Input 2 21 3" xfId="6400"/>
    <cellStyle name="Input 2 22" xfId="6401"/>
    <cellStyle name="Input 2 22 2" xfId="6402"/>
    <cellStyle name="Input 2 22 2 2" xfId="6403"/>
    <cellStyle name="Input 2 22 3" xfId="6404"/>
    <cellStyle name="Input 2 23" xfId="6405"/>
    <cellStyle name="Input 2 23 2" xfId="6406"/>
    <cellStyle name="Input 2 24" xfId="6407"/>
    <cellStyle name="Input 2 25" xfId="6408"/>
    <cellStyle name="Input 2 3" xfId="6409"/>
    <cellStyle name="Input 2 3 10" xfId="6410"/>
    <cellStyle name="Input 2 3 10 2" xfId="6411"/>
    <cellStyle name="Input 2 3 10 2 2" xfId="6412"/>
    <cellStyle name="Input 2 3 10 2 2 2" xfId="6413"/>
    <cellStyle name="Input 2 3 10 2 3" xfId="6414"/>
    <cellStyle name="Input 2 3 10 3" xfId="6415"/>
    <cellStyle name="Input 2 3 10 3 2" xfId="6416"/>
    <cellStyle name="Input 2 3 10 4" xfId="6417"/>
    <cellStyle name="Input 2 3 10 5" xfId="6418"/>
    <cellStyle name="Input 2 3 11" xfId="6419"/>
    <cellStyle name="Input 2 3 11 2" xfId="6420"/>
    <cellStyle name="Input 2 3 11 2 2" xfId="6421"/>
    <cellStyle name="Input 2 3 11 2 2 2" xfId="6422"/>
    <cellStyle name="Input 2 3 11 2 3" xfId="6423"/>
    <cellStyle name="Input 2 3 11 3" xfId="6424"/>
    <cellStyle name="Input 2 3 11 3 2" xfId="6425"/>
    <cellStyle name="Input 2 3 11 4" xfId="6426"/>
    <cellStyle name="Input 2 3 11 5" xfId="6427"/>
    <cellStyle name="Input 2 3 12" xfId="6428"/>
    <cellStyle name="Input 2 3 12 2" xfId="6429"/>
    <cellStyle name="Input 2 3 12 2 2" xfId="6430"/>
    <cellStyle name="Input 2 3 12 2 2 2" xfId="6431"/>
    <cellStyle name="Input 2 3 12 2 3" xfId="6432"/>
    <cellStyle name="Input 2 3 12 3" xfId="6433"/>
    <cellStyle name="Input 2 3 12 3 2" xfId="6434"/>
    <cellStyle name="Input 2 3 12 4" xfId="6435"/>
    <cellStyle name="Input 2 3 12 5" xfId="6436"/>
    <cellStyle name="Input 2 3 13" xfId="6437"/>
    <cellStyle name="Input 2 3 13 2" xfId="6438"/>
    <cellStyle name="Input 2 3 13 2 2" xfId="6439"/>
    <cellStyle name="Input 2 3 13 2 2 2" xfId="6440"/>
    <cellStyle name="Input 2 3 13 2 3" xfId="6441"/>
    <cellStyle name="Input 2 3 13 3" xfId="6442"/>
    <cellStyle name="Input 2 3 13 3 2" xfId="6443"/>
    <cellStyle name="Input 2 3 13 4" xfId="6444"/>
    <cellStyle name="Input 2 3 13 5" xfId="6445"/>
    <cellStyle name="Input 2 3 14" xfId="6446"/>
    <cellStyle name="Input 2 3 14 2" xfId="6447"/>
    <cellStyle name="Input 2 3 14 2 2" xfId="6448"/>
    <cellStyle name="Input 2 3 14 2 2 2" xfId="6449"/>
    <cellStyle name="Input 2 3 14 2 3" xfId="6450"/>
    <cellStyle name="Input 2 3 14 3" xfId="6451"/>
    <cellStyle name="Input 2 3 14 3 2" xfId="6452"/>
    <cellStyle name="Input 2 3 14 4" xfId="6453"/>
    <cellStyle name="Input 2 3 14 5" xfId="6454"/>
    <cellStyle name="Input 2 3 15" xfId="6455"/>
    <cellStyle name="Input 2 3 15 2" xfId="6456"/>
    <cellStyle name="Input 2 3 15 2 2" xfId="6457"/>
    <cellStyle name="Input 2 3 15 2 2 2" xfId="6458"/>
    <cellStyle name="Input 2 3 15 2 3" xfId="6459"/>
    <cellStyle name="Input 2 3 15 3" xfId="6460"/>
    <cellStyle name="Input 2 3 15 3 2" xfId="6461"/>
    <cellStyle name="Input 2 3 15 4" xfId="6462"/>
    <cellStyle name="Input 2 3 15 5" xfId="6463"/>
    <cellStyle name="Input 2 3 16" xfId="6464"/>
    <cellStyle name="Input 2 3 16 2" xfId="6465"/>
    <cellStyle name="Input 2 3 16 2 2" xfId="6466"/>
    <cellStyle name="Input 2 3 16 2 2 2" xfId="6467"/>
    <cellStyle name="Input 2 3 16 2 3" xfId="6468"/>
    <cellStyle name="Input 2 3 16 3" xfId="6469"/>
    <cellStyle name="Input 2 3 16 3 2" xfId="6470"/>
    <cellStyle name="Input 2 3 16 4" xfId="6471"/>
    <cellStyle name="Input 2 3 16 5" xfId="6472"/>
    <cellStyle name="Input 2 3 17" xfId="6473"/>
    <cellStyle name="Input 2 3 17 2" xfId="6474"/>
    <cellStyle name="Input 2 3 17 2 2" xfId="6475"/>
    <cellStyle name="Input 2 3 17 2 2 2" xfId="6476"/>
    <cellStyle name="Input 2 3 17 2 3" xfId="6477"/>
    <cellStyle name="Input 2 3 17 3" xfId="6478"/>
    <cellStyle name="Input 2 3 17 3 2" xfId="6479"/>
    <cellStyle name="Input 2 3 17 4" xfId="6480"/>
    <cellStyle name="Input 2 3 17 5" xfId="6481"/>
    <cellStyle name="Input 2 3 18" xfId="6482"/>
    <cellStyle name="Input 2 3 18 2" xfId="6483"/>
    <cellStyle name="Input 2 3 18 2 2" xfId="6484"/>
    <cellStyle name="Input 2 3 18 2 2 2" xfId="6485"/>
    <cellStyle name="Input 2 3 18 2 3" xfId="6486"/>
    <cellStyle name="Input 2 3 18 3" xfId="6487"/>
    <cellStyle name="Input 2 3 18 3 2" xfId="6488"/>
    <cellStyle name="Input 2 3 18 4" xfId="6489"/>
    <cellStyle name="Input 2 3 18 5" xfId="6490"/>
    <cellStyle name="Input 2 3 19" xfId="6491"/>
    <cellStyle name="Input 2 3 19 2" xfId="6492"/>
    <cellStyle name="Input 2 3 19 2 2" xfId="6493"/>
    <cellStyle name="Input 2 3 19 2 2 2" xfId="6494"/>
    <cellStyle name="Input 2 3 19 2 3" xfId="6495"/>
    <cellStyle name="Input 2 3 19 3" xfId="6496"/>
    <cellStyle name="Input 2 3 19 3 2" xfId="6497"/>
    <cellStyle name="Input 2 3 19 4" xfId="6498"/>
    <cellStyle name="Input 2 3 19 5" xfId="6499"/>
    <cellStyle name="Input 2 3 2" xfId="6500"/>
    <cellStyle name="Input 2 3 2 2" xfId="6501"/>
    <cellStyle name="Input 2 3 2 2 2" xfId="6502"/>
    <cellStyle name="Input 2 3 2 2 2 2" xfId="6503"/>
    <cellStyle name="Input 2 3 2 2 3" xfId="6504"/>
    <cellStyle name="Input 2 3 2 3" xfId="6505"/>
    <cellStyle name="Input 2 3 2 3 2" xfId="6506"/>
    <cellStyle name="Input 2 3 2 3 2 2" xfId="6507"/>
    <cellStyle name="Input 2 3 2 3 3" xfId="6508"/>
    <cellStyle name="Input 2 3 2 4" xfId="6509"/>
    <cellStyle name="Input 2 3 2 4 2" xfId="6510"/>
    <cellStyle name="Input 2 3 2 5" xfId="6511"/>
    <cellStyle name="Input 2 3 2 6" xfId="6512"/>
    <cellStyle name="Input 2 3 20" xfId="6513"/>
    <cellStyle name="Input 2 3 20 2" xfId="6514"/>
    <cellStyle name="Input 2 3 20 2 2" xfId="6515"/>
    <cellStyle name="Input 2 3 20 2 2 2" xfId="6516"/>
    <cellStyle name="Input 2 3 20 2 3" xfId="6517"/>
    <cellStyle name="Input 2 3 20 3" xfId="6518"/>
    <cellStyle name="Input 2 3 20 3 2" xfId="6519"/>
    <cellStyle name="Input 2 3 20 4" xfId="6520"/>
    <cellStyle name="Input 2 3 20 5" xfId="6521"/>
    <cellStyle name="Input 2 3 21" xfId="6522"/>
    <cellStyle name="Input 2 3 21 2" xfId="6523"/>
    <cellStyle name="Input 2 3 21 2 2" xfId="6524"/>
    <cellStyle name="Input 2 3 21 2 2 2" xfId="6525"/>
    <cellStyle name="Input 2 3 21 2 3" xfId="6526"/>
    <cellStyle name="Input 2 3 21 3" xfId="6527"/>
    <cellStyle name="Input 2 3 21 3 2" xfId="6528"/>
    <cellStyle name="Input 2 3 21 4" xfId="6529"/>
    <cellStyle name="Input 2 3 21 5" xfId="6530"/>
    <cellStyle name="Input 2 3 22" xfId="6531"/>
    <cellStyle name="Input 2 3 22 2" xfId="6532"/>
    <cellStyle name="Input 2 3 22 2 2" xfId="6533"/>
    <cellStyle name="Input 2 3 22 2 2 2" xfId="6534"/>
    <cellStyle name="Input 2 3 22 2 3" xfId="6535"/>
    <cellStyle name="Input 2 3 22 3" xfId="6536"/>
    <cellStyle name="Input 2 3 22 3 2" xfId="6537"/>
    <cellStyle name="Input 2 3 22 4" xfId="6538"/>
    <cellStyle name="Input 2 3 22 5" xfId="6539"/>
    <cellStyle name="Input 2 3 23" xfId="6540"/>
    <cellStyle name="Input 2 3 23 2" xfId="6541"/>
    <cellStyle name="Input 2 3 23 2 2" xfId="6542"/>
    <cellStyle name="Input 2 3 23 2 2 2" xfId="6543"/>
    <cellStyle name="Input 2 3 23 2 3" xfId="6544"/>
    <cellStyle name="Input 2 3 23 3" xfId="6545"/>
    <cellStyle name="Input 2 3 23 3 2" xfId="6546"/>
    <cellStyle name="Input 2 3 23 4" xfId="6547"/>
    <cellStyle name="Input 2 3 23 5" xfId="6548"/>
    <cellStyle name="Input 2 3 24" xfId="6549"/>
    <cellStyle name="Input 2 3 24 2" xfId="6550"/>
    <cellStyle name="Input 2 3 24 2 2" xfId="6551"/>
    <cellStyle name="Input 2 3 24 2 2 2" xfId="6552"/>
    <cellStyle name="Input 2 3 24 2 3" xfId="6553"/>
    <cellStyle name="Input 2 3 24 3" xfId="6554"/>
    <cellStyle name="Input 2 3 24 3 2" xfId="6555"/>
    <cellStyle name="Input 2 3 24 4" xfId="6556"/>
    <cellStyle name="Input 2 3 24 5" xfId="6557"/>
    <cellStyle name="Input 2 3 25" xfId="6558"/>
    <cellStyle name="Input 2 3 25 2" xfId="6559"/>
    <cellStyle name="Input 2 3 25 2 2" xfId="6560"/>
    <cellStyle name="Input 2 3 25 2 2 2" xfId="6561"/>
    <cellStyle name="Input 2 3 25 2 3" xfId="6562"/>
    <cellStyle name="Input 2 3 25 3" xfId="6563"/>
    <cellStyle name="Input 2 3 25 3 2" xfId="6564"/>
    <cellStyle name="Input 2 3 25 4" xfId="6565"/>
    <cellStyle name="Input 2 3 25 5" xfId="6566"/>
    <cellStyle name="Input 2 3 26" xfId="6567"/>
    <cellStyle name="Input 2 3 26 2" xfId="6568"/>
    <cellStyle name="Input 2 3 26 2 2" xfId="6569"/>
    <cellStyle name="Input 2 3 26 2 2 2" xfId="6570"/>
    <cellStyle name="Input 2 3 26 2 3" xfId="6571"/>
    <cellStyle name="Input 2 3 26 3" xfId="6572"/>
    <cellStyle name="Input 2 3 26 3 2" xfId="6573"/>
    <cellStyle name="Input 2 3 26 4" xfId="6574"/>
    <cellStyle name="Input 2 3 26 5" xfId="6575"/>
    <cellStyle name="Input 2 3 27" xfId="6576"/>
    <cellStyle name="Input 2 3 27 2" xfId="6577"/>
    <cellStyle name="Input 2 3 27 2 2" xfId="6578"/>
    <cellStyle name="Input 2 3 27 2 2 2" xfId="6579"/>
    <cellStyle name="Input 2 3 27 2 3" xfId="6580"/>
    <cellStyle name="Input 2 3 27 3" xfId="6581"/>
    <cellStyle name="Input 2 3 27 3 2" xfId="6582"/>
    <cellStyle name="Input 2 3 27 4" xfId="6583"/>
    <cellStyle name="Input 2 3 27 5" xfId="6584"/>
    <cellStyle name="Input 2 3 28" xfId="6585"/>
    <cellStyle name="Input 2 3 28 2" xfId="6586"/>
    <cellStyle name="Input 2 3 28 2 2" xfId="6587"/>
    <cellStyle name="Input 2 3 28 2 2 2" xfId="6588"/>
    <cellStyle name="Input 2 3 28 2 3" xfId="6589"/>
    <cellStyle name="Input 2 3 28 3" xfId="6590"/>
    <cellStyle name="Input 2 3 28 3 2" xfId="6591"/>
    <cellStyle name="Input 2 3 28 4" xfId="6592"/>
    <cellStyle name="Input 2 3 28 5" xfId="6593"/>
    <cellStyle name="Input 2 3 29" xfId="6594"/>
    <cellStyle name="Input 2 3 29 2" xfId="6595"/>
    <cellStyle name="Input 2 3 29 2 2" xfId="6596"/>
    <cellStyle name="Input 2 3 29 2 2 2" xfId="6597"/>
    <cellStyle name="Input 2 3 29 2 3" xfId="6598"/>
    <cellStyle name="Input 2 3 29 3" xfId="6599"/>
    <cellStyle name="Input 2 3 29 3 2" xfId="6600"/>
    <cellStyle name="Input 2 3 29 4" xfId="6601"/>
    <cellStyle name="Input 2 3 29 5" xfId="6602"/>
    <cellStyle name="Input 2 3 3" xfId="6603"/>
    <cellStyle name="Input 2 3 3 2" xfId="6604"/>
    <cellStyle name="Input 2 3 3 2 2" xfId="6605"/>
    <cellStyle name="Input 2 3 3 2 2 2" xfId="6606"/>
    <cellStyle name="Input 2 3 3 2 3" xfId="6607"/>
    <cellStyle name="Input 2 3 3 3" xfId="6608"/>
    <cellStyle name="Input 2 3 3 3 2" xfId="6609"/>
    <cellStyle name="Input 2 3 3 3 2 2" xfId="6610"/>
    <cellStyle name="Input 2 3 3 3 3" xfId="6611"/>
    <cellStyle name="Input 2 3 3 4" xfId="6612"/>
    <cellStyle name="Input 2 3 3 4 2" xfId="6613"/>
    <cellStyle name="Input 2 3 3 5" xfId="6614"/>
    <cellStyle name="Input 2 3 3 6" xfId="6615"/>
    <cellStyle name="Input 2 3 30" xfId="6616"/>
    <cellStyle name="Input 2 3 30 2" xfId="6617"/>
    <cellStyle name="Input 2 3 30 2 2" xfId="6618"/>
    <cellStyle name="Input 2 3 30 2 2 2" xfId="6619"/>
    <cellStyle name="Input 2 3 30 2 3" xfId="6620"/>
    <cellStyle name="Input 2 3 30 3" xfId="6621"/>
    <cellStyle name="Input 2 3 30 3 2" xfId="6622"/>
    <cellStyle name="Input 2 3 30 4" xfId="6623"/>
    <cellStyle name="Input 2 3 30 5" xfId="6624"/>
    <cellStyle name="Input 2 3 31" xfId="6625"/>
    <cellStyle name="Input 2 3 31 2" xfId="6626"/>
    <cellStyle name="Input 2 3 31 2 2" xfId="6627"/>
    <cellStyle name="Input 2 3 31 2 2 2" xfId="6628"/>
    <cellStyle name="Input 2 3 31 2 3" xfId="6629"/>
    <cellStyle name="Input 2 3 31 3" xfId="6630"/>
    <cellStyle name="Input 2 3 31 3 2" xfId="6631"/>
    <cellStyle name="Input 2 3 31 4" xfId="6632"/>
    <cellStyle name="Input 2 3 31 5" xfId="6633"/>
    <cellStyle name="Input 2 3 32" xfId="6634"/>
    <cellStyle name="Input 2 3 32 2" xfId="6635"/>
    <cellStyle name="Input 2 3 32 2 2" xfId="6636"/>
    <cellStyle name="Input 2 3 32 2 2 2" xfId="6637"/>
    <cellStyle name="Input 2 3 32 2 3" xfId="6638"/>
    <cellStyle name="Input 2 3 32 3" xfId="6639"/>
    <cellStyle name="Input 2 3 32 3 2" xfId="6640"/>
    <cellStyle name="Input 2 3 32 4" xfId="6641"/>
    <cellStyle name="Input 2 3 32 5" xfId="6642"/>
    <cellStyle name="Input 2 3 33" xfId="6643"/>
    <cellStyle name="Input 2 3 33 2" xfId="6644"/>
    <cellStyle name="Input 2 3 33 2 2" xfId="6645"/>
    <cellStyle name="Input 2 3 33 2 2 2" xfId="6646"/>
    <cellStyle name="Input 2 3 33 2 3" xfId="6647"/>
    <cellStyle name="Input 2 3 33 3" xfId="6648"/>
    <cellStyle name="Input 2 3 33 3 2" xfId="6649"/>
    <cellStyle name="Input 2 3 33 4" xfId="6650"/>
    <cellStyle name="Input 2 3 33 5" xfId="6651"/>
    <cellStyle name="Input 2 3 34" xfId="6652"/>
    <cellStyle name="Input 2 3 34 2" xfId="6653"/>
    <cellStyle name="Input 2 3 34 2 2" xfId="6654"/>
    <cellStyle name="Input 2 3 34 2 2 2" xfId="6655"/>
    <cellStyle name="Input 2 3 34 2 3" xfId="6656"/>
    <cellStyle name="Input 2 3 34 3" xfId="6657"/>
    <cellStyle name="Input 2 3 34 3 2" xfId="6658"/>
    <cellStyle name="Input 2 3 34 4" xfId="6659"/>
    <cellStyle name="Input 2 3 34 5" xfId="6660"/>
    <cellStyle name="Input 2 3 35" xfId="6661"/>
    <cellStyle name="Input 2 3 35 2" xfId="6662"/>
    <cellStyle name="Input 2 3 35 2 2" xfId="6663"/>
    <cellStyle name="Input 2 3 35 2 2 2" xfId="6664"/>
    <cellStyle name="Input 2 3 35 2 3" xfId="6665"/>
    <cellStyle name="Input 2 3 35 3" xfId="6666"/>
    <cellStyle name="Input 2 3 35 3 2" xfId="6667"/>
    <cellStyle name="Input 2 3 35 4" xfId="6668"/>
    <cellStyle name="Input 2 3 35 5" xfId="6669"/>
    <cellStyle name="Input 2 3 36" xfId="6670"/>
    <cellStyle name="Input 2 3 36 2" xfId="6671"/>
    <cellStyle name="Input 2 3 36 2 2" xfId="6672"/>
    <cellStyle name="Input 2 3 36 2 2 2" xfId="6673"/>
    <cellStyle name="Input 2 3 36 2 3" xfId="6674"/>
    <cellStyle name="Input 2 3 36 3" xfId="6675"/>
    <cellStyle name="Input 2 3 36 3 2" xfId="6676"/>
    <cellStyle name="Input 2 3 36 4" xfId="6677"/>
    <cellStyle name="Input 2 3 36 5" xfId="6678"/>
    <cellStyle name="Input 2 3 37" xfId="6679"/>
    <cellStyle name="Input 2 3 37 2" xfId="6680"/>
    <cellStyle name="Input 2 3 37 2 2" xfId="6681"/>
    <cellStyle name="Input 2 3 37 2 2 2" xfId="6682"/>
    <cellStyle name="Input 2 3 37 2 3" xfId="6683"/>
    <cellStyle name="Input 2 3 37 3" xfId="6684"/>
    <cellStyle name="Input 2 3 37 3 2" xfId="6685"/>
    <cellStyle name="Input 2 3 37 4" xfId="6686"/>
    <cellStyle name="Input 2 3 37 5" xfId="6687"/>
    <cellStyle name="Input 2 3 38" xfId="6688"/>
    <cellStyle name="Input 2 3 38 2" xfId="6689"/>
    <cellStyle name="Input 2 3 38 2 2" xfId="6690"/>
    <cellStyle name="Input 2 3 38 2 2 2" xfId="6691"/>
    <cellStyle name="Input 2 3 38 2 3" xfId="6692"/>
    <cellStyle name="Input 2 3 38 3" xfId="6693"/>
    <cellStyle name="Input 2 3 38 3 2" xfId="6694"/>
    <cellStyle name="Input 2 3 38 4" xfId="6695"/>
    <cellStyle name="Input 2 3 38 5" xfId="6696"/>
    <cellStyle name="Input 2 3 39" xfId="6697"/>
    <cellStyle name="Input 2 3 39 2" xfId="6698"/>
    <cellStyle name="Input 2 3 39 2 2" xfId="6699"/>
    <cellStyle name="Input 2 3 39 2 2 2" xfId="6700"/>
    <cellStyle name="Input 2 3 39 2 3" xfId="6701"/>
    <cellStyle name="Input 2 3 39 3" xfId="6702"/>
    <cellStyle name="Input 2 3 39 3 2" xfId="6703"/>
    <cellStyle name="Input 2 3 39 4" xfId="6704"/>
    <cellStyle name="Input 2 3 39 5" xfId="6705"/>
    <cellStyle name="Input 2 3 4" xfId="6706"/>
    <cellStyle name="Input 2 3 4 2" xfId="6707"/>
    <cellStyle name="Input 2 3 4 2 2" xfId="6708"/>
    <cellStyle name="Input 2 3 4 2 2 2" xfId="6709"/>
    <cellStyle name="Input 2 3 4 2 3" xfId="6710"/>
    <cellStyle name="Input 2 3 4 3" xfId="6711"/>
    <cellStyle name="Input 2 3 4 3 2" xfId="6712"/>
    <cellStyle name="Input 2 3 4 3 2 2" xfId="6713"/>
    <cellStyle name="Input 2 3 4 3 3" xfId="6714"/>
    <cellStyle name="Input 2 3 4 4" xfId="6715"/>
    <cellStyle name="Input 2 3 4 4 2" xfId="6716"/>
    <cellStyle name="Input 2 3 4 5" xfId="6717"/>
    <cellStyle name="Input 2 3 4 6" xfId="6718"/>
    <cellStyle name="Input 2 3 40" xfId="6719"/>
    <cellStyle name="Input 2 3 40 2" xfId="6720"/>
    <cellStyle name="Input 2 3 40 2 2" xfId="6721"/>
    <cellStyle name="Input 2 3 40 2 2 2" xfId="6722"/>
    <cellStyle name="Input 2 3 40 2 3" xfId="6723"/>
    <cellStyle name="Input 2 3 40 3" xfId="6724"/>
    <cellStyle name="Input 2 3 40 3 2" xfId="6725"/>
    <cellStyle name="Input 2 3 40 4" xfId="6726"/>
    <cellStyle name="Input 2 3 40 5" xfId="6727"/>
    <cellStyle name="Input 2 3 41" xfId="6728"/>
    <cellStyle name="Input 2 3 41 2" xfId="6729"/>
    <cellStyle name="Input 2 3 41 2 2" xfId="6730"/>
    <cellStyle name="Input 2 3 41 2 2 2" xfId="6731"/>
    <cellStyle name="Input 2 3 41 2 3" xfId="6732"/>
    <cellStyle name="Input 2 3 41 3" xfId="6733"/>
    <cellStyle name="Input 2 3 41 3 2" xfId="6734"/>
    <cellStyle name="Input 2 3 41 4" xfId="6735"/>
    <cellStyle name="Input 2 3 41 5" xfId="6736"/>
    <cellStyle name="Input 2 3 42" xfId="6737"/>
    <cellStyle name="Input 2 3 42 2" xfId="6738"/>
    <cellStyle name="Input 2 3 42 2 2" xfId="6739"/>
    <cellStyle name="Input 2 3 42 2 2 2" xfId="6740"/>
    <cellStyle name="Input 2 3 42 2 3" xfId="6741"/>
    <cellStyle name="Input 2 3 42 3" xfId="6742"/>
    <cellStyle name="Input 2 3 42 3 2" xfId="6743"/>
    <cellStyle name="Input 2 3 42 4" xfId="6744"/>
    <cellStyle name="Input 2 3 42 5" xfId="6745"/>
    <cellStyle name="Input 2 3 43" xfId="6746"/>
    <cellStyle name="Input 2 3 43 2" xfId="6747"/>
    <cellStyle name="Input 2 3 43 2 2" xfId="6748"/>
    <cellStyle name="Input 2 3 43 2 2 2" xfId="6749"/>
    <cellStyle name="Input 2 3 43 2 3" xfId="6750"/>
    <cellStyle name="Input 2 3 43 3" xfId="6751"/>
    <cellStyle name="Input 2 3 43 3 2" xfId="6752"/>
    <cellStyle name="Input 2 3 43 4" xfId="6753"/>
    <cellStyle name="Input 2 3 43 5" xfId="6754"/>
    <cellStyle name="Input 2 3 44" xfId="6755"/>
    <cellStyle name="Input 2 3 44 2" xfId="6756"/>
    <cellStyle name="Input 2 3 44 2 2" xfId="6757"/>
    <cellStyle name="Input 2 3 44 2 2 2" xfId="6758"/>
    <cellStyle name="Input 2 3 44 2 3" xfId="6759"/>
    <cellStyle name="Input 2 3 44 3" xfId="6760"/>
    <cellStyle name="Input 2 3 44 3 2" xfId="6761"/>
    <cellStyle name="Input 2 3 44 4" xfId="6762"/>
    <cellStyle name="Input 2 3 44 5" xfId="6763"/>
    <cellStyle name="Input 2 3 45" xfId="6764"/>
    <cellStyle name="Input 2 3 45 2" xfId="6765"/>
    <cellStyle name="Input 2 3 45 2 2" xfId="6766"/>
    <cellStyle name="Input 2 3 45 2 2 2" xfId="6767"/>
    <cellStyle name="Input 2 3 45 2 3" xfId="6768"/>
    <cellStyle name="Input 2 3 45 3" xfId="6769"/>
    <cellStyle name="Input 2 3 45 3 2" xfId="6770"/>
    <cellStyle name="Input 2 3 45 4" xfId="6771"/>
    <cellStyle name="Input 2 3 45 5" xfId="6772"/>
    <cellStyle name="Input 2 3 46" xfId="6773"/>
    <cellStyle name="Input 2 3 46 2" xfId="6774"/>
    <cellStyle name="Input 2 3 46 2 2" xfId="6775"/>
    <cellStyle name="Input 2 3 46 2 2 2" xfId="6776"/>
    <cellStyle name="Input 2 3 46 2 3" xfId="6777"/>
    <cellStyle name="Input 2 3 46 3" xfId="6778"/>
    <cellStyle name="Input 2 3 46 3 2" xfId="6779"/>
    <cellStyle name="Input 2 3 46 4" xfId="6780"/>
    <cellStyle name="Input 2 3 46 5" xfId="6781"/>
    <cellStyle name="Input 2 3 47" xfId="6782"/>
    <cellStyle name="Input 2 3 47 2" xfId="6783"/>
    <cellStyle name="Input 2 3 47 2 2" xfId="6784"/>
    <cellStyle name="Input 2 3 47 2 2 2" xfId="6785"/>
    <cellStyle name="Input 2 3 47 2 3" xfId="6786"/>
    <cellStyle name="Input 2 3 47 3" xfId="6787"/>
    <cellStyle name="Input 2 3 47 3 2" xfId="6788"/>
    <cellStyle name="Input 2 3 47 4" xfId="6789"/>
    <cellStyle name="Input 2 3 47 5" xfId="6790"/>
    <cellStyle name="Input 2 3 48" xfId="6791"/>
    <cellStyle name="Input 2 3 48 2" xfId="6792"/>
    <cellStyle name="Input 2 3 48 2 2" xfId="6793"/>
    <cellStyle name="Input 2 3 48 2 2 2" xfId="6794"/>
    <cellStyle name="Input 2 3 48 2 3" xfId="6795"/>
    <cellStyle name="Input 2 3 48 3" xfId="6796"/>
    <cellStyle name="Input 2 3 48 3 2" xfId="6797"/>
    <cellStyle name="Input 2 3 48 4" xfId="6798"/>
    <cellStyle name="Input 2 3 48 5" xfId="6799"/>
    <cellStyle name="Input 2 3 49" xfId="6800"/>
    <cellStyle name="Input 2 3 49 2" xfId="6801"/>
    <cellStyle name="Input 2 3 49 2 2" xfId="6802"/>
    <cellStyle name="Input 2 3 49 3" xfId="6803"/>
    <cellStyle name="Input 2 3 5" xfId="6804"/>
    <cellStyle name="Input 2 3 5 2" xfId="6805"/>
    <cellStyle name="Input 2 3 5 2 2" xfId="6806"/>
    <cellStyle name="Input 2 3 5 2 2 2" xfId="6807"/>
    <cellStyle name="Input 2 3 5 2 3" xfId="6808"/>
    <cellStyle name="Input 2 3 5 3" xfId="6809"/>
    <cellStyle name="Input 2 3 5 3 2" xfId="6810"/>
    <cellStyle name="Input 2 3 5 3 2 2" xfId="6811"/>
    <cellStyle name="Input 2 3 5 3 3" xfId="6812"/>
    <cellStyle name="Input 2 3 5 4" xfId="6813"/>
    <cellStyle name="Input 2 3 5 4 2" xfId="6814"/>
    <cellStyle name="Input 2 3 5 5" xfId="6815"/>
    <cellStyle name="Input 2 3 5 6" xfId="6816"/>
    <cellStyle name="Input 2 3 50" xfId="6817"/>
    <cellStyle name="Input 2 3 50 2" xfId="6818"/>
    <cellStyle name="Input 2 3 50 2 2" xfId="6819"/>
    <cellStyle name="Input 2 3 50 3" xfId="6820"/>
    <cellStyle name="Input 2 3 51" xfId="6821"/>
    <cellStyle name="Input 2 3 51 2" xfId="6822"/>
    <cellStyle name="Input 2 3 51 2 2" xfId="6823"/>
    <cellStyle name="Input 2 3 51 3" xfId="6824"/>
    <cellStyle name="Input 2 3 52" xfId="6825"/>
    <cellStyle name="Input 2 3 52 2" xfId="6826"/>
    <cellStyle name="Input 2 3 53" xfId="6827"/>
    <cellStyle name="Input 2 3 54" xfId="6828"/>
    <cellStyle name="Input 2 3 6" xfId="6829"/>
    <cellStyle name="Input 2 3 6 2" xfId="6830"/>
    <cellStyle name="Input 2 3 6 2 2" xfId="6831"/>
    <cellStyle name="Input 2 3 6 2 2 2" xfId="6832"/>
    <cellStyle name="Input 2 3 6 2 3" xfId="6833"/>
    <cellStyle name="Input 2 3 6 3" xfId="6834"/>
    <cellStyle name="Input 2 3 6 3 2" xfId="6835"/>
    <cellStyle name="Input 2 3 6 3 2 2" xfId="6836"/>
    <cellStyle name="Input 2 3 6 3 3" xfId="6837"/>
    <cellStyle name="Input 2 3 6 4" xfId="6838"/>
    <cellStyle name="Input 2 3 6 4 2" xfId="6839"/>
    <cellStyle name="Input 2 3 6 5" xfId="6840"/>
    <cellStyle name="Input 2 3 6 6" xfId="6841"/>
    <cellStyle name="Input 2 3 7" xfId="6842"/>
    <cellStyle name="Input 2 3 7 2" xfId="6843"/>
    <cellStyle name="Input 2 3 7 2 2" xfId="6844"/>
    <cellStyle name="Input 2 3 7 2 2 2" xfId="6845"/>
    <cellStyle name="Input 2 3 7 2 3" xfId="6846"/>
    <cellStyle name="Input 2 3 7 3" xfId="6847"/>
    <cellStyle name="Input 2 3 7 3 2" xfId="6848"/>
    <cellStyle name="Input 2 3 7 3 2 2" xfId="6849"/>
    <cellStyle name="Input 2 3 7 3 3" xfId="6850"/>
    <cellStyle name="Input 2 3 7 4" xfId="6851"/>
    <cellStyle name="Input 2 3 7 4 2" xfId="6852"/>
    <cellStyle name="Input 2 3 7 5" xfId="6853"/>
    <cellStyle name="Input 2 3 7 6" xfId="6854"/>
    <cellStyle name="Input 2 3 8" xfId="6855"/>
    <cellStyle name="Input 2 3 8 2" xfId="6856"/>
    <cellStyle name="Input 2 3 8 2 2" xfId="6857"/>
    <cellStyle name="Input 2 3 8 2 2 2" xfId="6858"/>
    <cellStyle name="Input 2 3 8 2 3" xfId="6859"/>
    <cellStyle name="Input 2 3 8 3" xfId="6860"/>
    <cellStyle name="Input 2 3 8 3 2" xfId="6861"/>
    <cellStyle name="Input 2 3 8 3 2 2" xfId="6862"/>
    <cellStyle name="Input 2 3 8 3 3" xfId="6863"/>
    <cellStyle name="Input 2 3 8 4" xfId="6864"/>
    <cellStyle name="Input 2 3 8 4 2" xfId="6865"/>
    <cellStyle name="Input 2 3 8 5" xfId="6866"/>
    <cellStyle name="Input 2 3 8 6" xfId="6867"/>
    <cellStyle name="Input 2 3 9" xfId="6868"/>
    <cellStyle name="Input 2 3 9 2" xfId="6869"/>
    <cellStyle name="Input 2 3 9 2 2" xfId="6870"/>
    <cellStyle name="Input 2 3 9 2 2 2" xfId="6871"/>
    <cellStyle name="Input 2 3 9 2 3" xfId="6872"/>
    <cellStyle name="Input 2 3 9 3" xfId="6873"/>
    <cellStyle name="Input 2 3 9 3 2" xfId="6874"/>
    <cellStyle name="Input 2 3 9 4" xfId="6875"/>
    <cellStyle name="Input 2 3 9 5" xfId="6876"/>
    <cellStyle name="Input 2 4" xfId="6877"/>
    <cellStyle name="Input 2 4 10" xfId="6878"/>
    <cellStyle name="Input 2 4 10 2" xfId="6879"/>
    <cellStyle name="Input 2 4 10 2 2" xfId="6880"/>
    <cellStyle name="Input 2 4 10 2 2 2" xfId="6881"/>
    <cellStyle name="Input 2 4 10 2 3" xfId="6882"/>
    <cellStyle name="Input 2 4 10 3" xfId="6883"/>
    <cellStyle name="Input 2 4 10 3 2" xfId="6884"/>
    <cellStyle name="Input 2 4 10 4" xfId="6885"/>
    <cellStyle name="Input 2 4 10 5" xfId="6886"/>
    <cellStyle name="Input 2 4 11" xfId="6887"/>
    <cellStyle name="Input 2 4 11 2" xfId="6888"/>
    <cellStyle name="Input 2 4 11 2 2" xfId="6889"/>
    <cellStyle name="Input 2 4 11 2 2 2" xfId="6890"/>
    <cellStyle name="Input 2 4 11 2 3" xfId="6891"/>
    <cellStyle name="Input 2 4 11 3" xfId="6892"/>
    <cellStyle name="Input 2 4 11 3 2" xfId="6893"/>
    <cellStyle name="Input 2 4 11 4" xfId="6894"/>
    <cellStyle name="Input 2 4 11 5" xfId="6895"/>
    <cellStyle name="Input 2 4 12" xfId="6896"/>
    <cellStyle name="Input 2 4 12 2" xfId="6897"/>
    <cellStyle name="Input 2 4 12 2 2" xfId="6898"/>
    <cellStyle name="Input 2 4 12 2 2 2" xfId="6899"/>
    <cellStyle name="Input 2 4 12 2 3" xfId="6900"/>
    <cellStyle name="Input 2 4 12 3" xfId="6901"/>
    <cellStyle name="Input 2 4 12 3 2" xfId="6902"/>
    <cellStyle name="Input 2 4 12 4" xfId="6903"/>
    <cellStyle name="Input 2 4 12 5" xfId="6904"/>
    <cellStyle name="Input 2 4 13" xfId="6905"/>
    <cellStyle name="Input 2 4 13 2" xfId="6906"/>
    <cellStyle name="Input 2 4 13 2 2" xfId="6907"/>
    <cellStyle name="Input 2 4 13 2 2 2" xfId="6908"/>
    <cellStyle name="Input 2 4 13 2 3" xfId="6909"/>
    <cellStyle name="Input 2 4 13 3" xfId="6910"/>
    <cellStyle name="Input 2 4 13 3 2" xfId="6911"/>
    <cellStyle name="Input 2 4 13 4" xfId="6912"/>
    <cellStyle name="Input 2 4 13 5" xfId="6913"/>
    <cellStyle name="Input 2 4 14" xfId="6914"/>
    <cellStyle name="Input 2 4 14 2" xfId="6915"/>
    <cellStyle name="Input 2 4 14 2 2" xfId="6916"/>
    <cellStyle name="Input 2 4 14 2 2 2" xfId="6917"/>
    <cellStyle name="Input 2 4 14 2 3" xfId="6918"/>
    <cellStyle name="Input 2 4 14 3" xfId="6919"/>
    <cellStyle name="Input 2 4 14 3 2" xfId="6920"/>
    <cellStyle name="Input 2 4 14 4" xfId="6921"/>
    <cellStyle name="Input 2 4 14 5" xfId="6922"/>
    <cellStyle name="Input 2 4 15" xfId="6923"/>
    <cellStyle name="Input 2 4 15 2" xfId="6924"/>
    <cellStyle name="Input 2 4 15 2 2" xfId="6925"/>
    <cellStyle name="Input 2 4 15 2 2 2" xfId="6926"/>
    <cellStyle name="Input 2 4 15 2 3" xfId="6927"/>
    <cellStyle name="Input 2 4 15 3" xfId="6928"/>
    <cellStyle name="Input 2 4 15 3 2" xfId="6929"/>
    <cellStyle name="Input 2 4 15 4" xfId="6930"/>
    <cellStyle name="Input 2 4 15 5" xfId="6931"/>
    <cellStyle name="Input 2 4 16" xfId="6932"/>
    <cellStyle name="Input 2 4 16 2" xfId="6933"/>
    <cellStyle name="Input 2 4 16 2 2" xfId="6934"/>
    <cellStyle name="Input 2 4 16 2 2 2" xfId="6935"/>
    <cellStyle name="Input 2 4 16 2 3" xfId="6936"/>
    <cellStyle name="Input 2 4 16 3" xfId="6937"/>
    <cellStyle name="Input 2 4 16 3 2" xfId="6938"/>
    <cellStyle name="Input 2 4 16 4" xfId="6939"/>
    <cellStyle name="Input 2 4 16 5" xfId="6940"/>
    <cellStyle name="Input 2 4 17" xfId="6941"/>
    <cellStyle name="Input 2 4 17 2" xfId="6942"/>
    <cellStyle name="Input 2 4 17 2 2" xfId="6943"/>
    <cellStyle name="Input 2 4 17 2 2 2" xfId="6944"/>
    <cellStyle name="Input 2 4 17 2 3" xfId="6945"/>
    <cellStyle name="Input 2 4 17 3" xfId="6946"/>
    <cellStyle name="Input 2 4 17 3 2" xfId="6947"/>
    <cellStyle name="Input 2 4 17 4" xfId="6948"/>
    <cellStyle name="Input 2 4 17 5" xfId="6949"/>
    <cellStyle name="Input 2 4 18" xfId="6950"/>
    <cellStyle name="Input 2 4 18 2" xfId="6951"/>
    <cellStyle name="Input 2 4 18 2 2" xfId="6952"/>
    <cellStyle name="Input 2 4 18 2 2 2" xfId="6953"/>
    <cellStyle name="Input 2 4 18 2 3" xfId="6954"/>
    <cellStyle name="Input 2 4 18 3" xfId="6955"/>
    <cellStyle name="Input 2 4 18 3 2" xfId="6956"/>
    <cellStyle name="Input 2 4 18 4" xfId="6957"/>
    <cellStyle name="Input 2 4 18 5" xfId="6958"/>
    <cellStyle name="Input 2 4 19" xfId="6959"/>
    <cellStyle name="Input 2 4 19 2" xfId="6960"/>
    <cellStyle name="Input 2 4 19 2 2" xfId="6961"/>
    <cellStyle name="Input 2 4 19 2 2 2" xfId="6962"/>
    <cellStyle name="Input 2 4 19 2 3" xfId="6963"/>
    <cellStyle name="Input 2 4 19 3" xfId="6964"/>
    <cellStyle name="Input 2 4 19 3 2" xfId="6965"/>
    <cellStyle name="Input 2 4 19 4" xfId="6966"/>
    <cellStyle name="Input 2 4 19 5" xfId="6967"/>
    <cellStyle name="Input 2 4 2" xfId="6968"/>
    <cellStyle name="Input 2 4 2 2" xfId="6969"/>
    <cellStyle name="Input 2 4 2 2 2" xfId="6970"/>
    <cellStyle name="Input 2 4 2 2 2 2" xfId="6971"/>
    <cellStyle name="Input 2 4 2 2 3" xfId="6972"/>
    <cellStyle name="Input 2 4 2 3" xfId="6973"/>
    <cellStyle name="Input 2 4 2 3 2" xfId="6974"/>
    <cellStyle name="Input 2 4 2 3 2 2" xfId="6975"/>
    <cellStyle name="Input 2 4 2 3 3" xfId="6976"/>
    <cellStyle name="Input 2 4 2 4" xfId="6977"/>
    <cellStyle name="Input 2 4 2 4 2" xfId="6978"/>
    <cellStyle name="Input 2 4 2 5" xfId="6979"/>
    <cellStyle name="Input 2 4 2 6" xfId="6980"/>
    <cellStyle name="Input 2 4 20" xfId="6981"/>
    <cellStyle name="Input 2 4 20 2" xfId="6982"/>
    <cellStyle name="Input 2 4 20 2 2" xfId="6983"/>
    <cellStyle name="Input 2 4 20 2 2 2" xfId="6984"/>
    <cellStyle name="Input 2 4 20 2 3" xfId="6985"/>
    <cellStyle name="Input 2 4 20 3" xfId="6986"/>
    <cellStyle name="Input 2 4 20 3 2" xfId="6987"/>
    <cellStyle name="Input 2 4 20 4" xfId="6988"/>
    <cellStyle name="Input 2 4 20 5" xfId="6989"/>
    <cellStyle name="Input 2 4 21" xfId="6990"/>
    <cellStyle name="Input 2 4 21 2" xfId="6991"/>
    <cellStyle name="Input 2 4 21 2 2" xfId="6992"/>
    <cellStyle name="Input 2 4 21 2 2 2" xfId="6993"/>
    <cellStyle name="Input 2 4 21 2 3" xfId="6994"/>
    <cellStyle name="Input 2 4 21 3" xfId="6995"/>
    <cellStyle name="Input 2 4 21 3 2" xfId="6996"/>
    <cellStyle name="Input 2 4 21 4" xfId="6997"/>
    <cellStyle name="Input 2 4 21 5" xfId="6998"/>
    <cellStyle name="Input 2 4 22" xfId="6999"/>
    <cellStyle name="Input 2 4 22 2" xfId="7000"/>
    <cellStyle name="Input 2 4 22 2 2" xfId="7001"/>
    <cellStyle name="Input 2 4 22 2 2 2" xfId="7002"/>
    <cellStyle name="Input 2 4 22 2 3" xfId="7003"/>
    <cellStyle name="Input 2 4 22 3" xfId="7004"/>
    <cellStyle name="Input 2 4 22 3 2" xfId="7005"/>
    <cellStyle name="Input 2 4 22 4" xfId="7006"/>
    <cellStyle name="Input 2 4 22 5" xfId="7007"/>
    <cellStyle name="Input 2 4 23" xfId="7008"/>
    <cellStyle name="Input 2 4 23 2" xfId="7009"/>
    <cellStyle name="Input 2 4 23 2 2" xfId="7010"/>
    <cellStyle name="Input 2 4 23 2 2 2" xfId="7011"/>
    <cellStyle name="Input 2 4 23 2 3" xfId="7012"/>
    <cellStyle name="Input 2 4 23 3" xfId="7013"/>
    <cellStyle name="Input 2 4 23 3 2" xfId="7014"/>
    <cellStyle name="Input 2 4 23 4" xfId="7015"/>
    <cellStyle name="Input 2 4 23 5" xfId="7016"/>
    <cellStyle name="Input 2 4 24" xfId="7017"/>
    <cellStyle name="Input 2 4 24 2" xfId="7018"/>
    <cellStyle name="Input 2 4 24 2 2" xfId="7019"/>
    <cellStyle name="Input 2 4 24 2 2 2" xfId="7020"/>
    <cellStyle name="Input 2 4 24 2 3" xfId="7021"/>
    <cellStyle name="Input 2 4 24 3" xfId="7022"/>
    <cellStyle name="Input 2 4 24 3 2" xfId="7023"/>
    <cellStyle name="Input 2 4 24 4" xfId="7024"/>
    <cellStyle name="Input 2 4 24 5" xfId="7025"/>
    <cellStyle name="Input 2 4 25" xfId="7026"/>
    <cellStyle name="Input 2 4 25 2" xfId="7027"/>
    <cellStyle name="Input 2 4 25 2 2" xfId="7028"/>
    <cellStyle name="Input 2 4 25 2 2 2" xfId="7029"/>
    <cellStyle name="Input 2 4 25 2 3" xfId="7030"/>
    <cellStyle name="Input 2 4 25 3" xfId="7031"/>
    <cellStyle name="Input 2 4 25 3 2" xfId="7032"/>
    <cellStyle name="Input 2 4 25 4" xfId="7033"/>
    <cellStyle name="Input 2 4 25 5" xfId="7034"/>
    <cellStyle name="Input 2 4 26" xfId="7035"/>
    <cellStyle name="Input 2 4 26 2" xfId="7036"/>
    <cellStyle name="Input 2 4 26 2 2" xfId="7037"/>
    <cellStyle name="Input 2 4 26 2 2 2" xfId="7038"/>
    <cellStyle name="Input 2 4 26 2 3" xfId="7039"/>
    <cellStyle name="Input 2 4 26 3" xfId="7040"/>
    <cellStyle name="Input 2 4 26 3 2" xfId="7041"/>
    <cellStyle name="Input 2 4 26 4" xfId="7042"/>
    <cellStyle name="Input 2 4 26 5" xfId="7043"/>
    <cellStyle name="Input 2 4 27" xfId="7044"/>
    <cellStyle name="Input 2 4 27 2" xfId="7045"/>
    <cellStyle name="Input 2 4 27 2 2" xfId="7046"/>
    <cellStyle name="Input 2 4 27 2 2 2" xfId="7047"/>
    <cellStyle name="Input 2 4 27 2 3" xfId="7048"/>
    <cellStyle name="Input 2 4 27 3" xfId="7049"/>
    <cellStyle name="Input 2 4 27 3 2" xfId="7050"/>
    <cellStyle name="Input 2 4 27 4" xfId="7051"/>
    <cellStyle name="Input 2 4 27 5" xfId="7052"/>
    <cellStyle name="Input 2 4 28" xfId="7053"/>
    <cellStyle name="Input 2 4 28 2" xfId="7054"/>
    <cellStyle name="Input 2 4 28 2 2" xfId="7055"/>
    <cellStyle name="Input 2 4 28 2 2 2" xfId="7056"/>
    <cellStyle name="Input 2 4 28 2 3" xfId="7057"/>
    <cellStyle name="Input 2 4 28 3" xfId="7058"/>
    <cellStyle name="Input 2 4 28 3 2" xfId="7059"/>
    <cellStyle name="Input 2 4 28 4" xfId="7060"/>
    <cellStyle name="Input 2 4 28 5" xfId="7061"/>
    <cellStyle name="Input 2 4 29" xfId="7062"/>
    <cellStyle name="Input 2 4 29 2" xfId="7063"/>
    <cellStyle name="Input 2 4 29 2 2" xfId="7064"/>
    <cellStyle name="Input 2 4 29 2 2 2" xfId="7065"/>
    <cellStyle name="Input 2 4 29 2 3" xfId="7066"/>
    <cellStyle name="Input 2 4 29 3" xfId="7067"/>
    <cellStyle name="Input 2 4 29 3 2" xfId="7068"/>
    <cellStyle name="Input 2 4 29 4" xfId="7069"/>
    <cellStyle name="Input 2 4 29 5" xfId="7070"/>
    <cellStyle name="Input 2 4 3" xfId="7071"/>
    <cellStyle name="Input 2 4 3 2" xfId="7072"/>
    <cellStyle name="Input 2 4 3 2 2" xfId="7073"/>
    <cellStyle name="Input 2 4 3 2 2 2" xfId="7074"/>
    <cellStyle name="Input 2 4 3 2 3" xfId="7075"/>
    <cellStyle name="Input 2 4 3 3" xfId="7076"/>
    <cellStyle name="Input 2 4 3 3 2" xfId="7077"/>
    <cellStyle name="Input 2 4 3 3 2 2" xfId="7078"/>
    <cellStyle name="Input 2 4 3 3 3" xfId="7079"/>
    <cellStyle name="Input 2 4 3 4" xfId="7080"/>
    <cellStyle name="Input 2 4 3 4 2" xfId="7081"/>
    <cellStyle name="Input 2 4 3 5" xfId="7082"/>
    <cellStyle name="Input 2 4 3 6" xfId="7083"/>
    <cellStyle name="Input 2 4 30" xfId="7084"/>
    <cellStyle name="Input 2 4 30 2" xfId="7085"/>
    <cellStyle name="Input 2 4 30 2 2" xfId="7086"/>
    <cellStyle name="Input 2 4 30 2 2 2" xfId="7087"/>
    <cellStyle name="Input 2 4 30 2 3" xfId="7088"/>
    <cellStyle name="Input 2 4 30 3" xfId="7089"/>
    <cellStyle name="Input 2 4 30 3 2" xfId="7090"/>
    <cellStyle name="Input 2 4 30 4" xfId="7091"/>
    <cellStyle name="Input 2 4 30 5" xfId="7092"/>
    <cellStyle name="Input 2 4 31" xfId="7093"/>
    <cellStyle name="Input 2 4 31 2" xfId="7094"/>
    <cellStyle name="Input 2 4 31 2 2" xfId="7095"/>
    <cellStyle name="Input 2 4 31 2 2 2" xfId="7096"/>
    <cellStyle name="Input 2 4 31 2 3" xfId="7097"/>
    <cellStyle name="Input 2 4 31 3" xfId="7098"/>
    <cellStyle name="Input 2 4 31 3 2" xfId="7099"/>
    <cellStyle name="Input 2 4 31 4" xfId="7100"/>
    <cellStyle name="Input 2 4 31 5" xfId="7101"/>
    <cellStyle name="Input 2 4 32" xfId="7102"/>
    <cellStyle name="Input 2 4 32 2" xfId="7103"/>
    <cellStyle name="Input 2 4 32 2 2" xfId="7104"/>
    <cellStyle name="Input 2 4 32 2 2 2" xfId="7105"/>
    <cellStyle name="Input 2 4 32 2 3" xfId="7106"/>
    <cellStyle name="Input 2 4 32 3" xfId="7107"/>
    <cellStyle name="Input 2 4 32 3 2" xfId="7108"/>
    <cellStyle name="Input 2 4 32 4" xfId="7109"/>
    <cellStyle name="Input 2 4 32 5" xfId="7110"/>
    <cellStyle name="Input 2 4 33" xfId="7111"/>
    <cellStyle name="Input 2 4 33 2" xfId="7112"/>
    <cellStyle name="Input 2 4 33 2 2" xfId="7113"/>
    <cellStyle name="Input 2 4 33 2 2 2" xfId="7114"/>
    <cellStyle name="Input 2 4 33 2 3" xfId="7115"/>
    <cellStyle name="Input 2 4 33 3" xfId="7116"/>
    <cellStyle name="Input 2 4 33 3 2" xfId="7117"/>
    <cellStyle name="Input 2 4 33 4" xfId="7118"/>
    <cellStyle name="Input 2 4 33 5" xfId="7119"/>
    <cellStyle name="Input 2 4 34" xfId="7120"/>
    <cellStyle name="Input 2 4 34 2" xfId="7121"/>
    <cellStyle name="Input 2 4 34 2 2" xfId="7122"/>
    <cellStyle name="Input 2 4 34 2 2 2" xfId="7123"/>
    <cellStyle name="Input 2 4 34 2 3" xfId="7124"/>
    <cellStyle name="Input 2 4 34 3" xfId="7125"/>
    <cellStyle name="Input 2 4 34 3 2" xfId="7126"/>
    <cellStyle name="Input 2 4 34 4" xfId="7127"/>
    <cellStyle name="Input 2 4 34 5" xfId="7128"/>
    <cellStyle name="Input 2 4 35" xfId="7129"/>
    <cellStyle name="Input 2 4 35 2" xfId="7130"/>
    <cellStyle name="Input 2 4 35 2 2" xfId="7131"/>
    <cellStyle name="Input 2 4 35 2 2 2" xfId="7132"/>
    <cellStyle name="Input 2 4 35 2 3" xfId="7133"/>
    <cellStyle name="Input 2 4 35 3" xfId="7134"/>
    <cellStyle name="Input 2 4 35 3 2" xfId="7135"/>
    <cellStyle name="Input 2 4 35 4" xfId="7136"/>
    <cellStyle name="Input 2 4 35 5" xfId="7137"/>
    <cellStyle name="Input 2 4 36" xfId="7138"/>
    <cellStyle name="Input 2 4 36 2" xfId="7139"/>
    <cellStyle name="Input 2 4 36 2 2" xfId="7140"/>
    <cellStyle name="Input 2 4 36 2 2 2" xfId="7141"/>
    <cellStyle name="Input 2 4 36 2 3" xfId="7142"/>
    <cellStyle name="Input 2 4 36 3" xfId="7143"/>
    <cellStyle name="Input 2 4 36 3 2" xfId="7144"/>
    <cellStyle name="Input 2 4 36 4" xfId="7145"/>
    <cellStyle name="Input 2 4 36 5" xfId="7146"/>
    <cellStyle name="Input 2 4 37" xfId="7147"/>
    <cellStyle name="Input 2 4 37 2" xfId="7148"/>
    <cellStyle name="Input 2 4 37 2 2" xfId="7149"/>
    <cellStyle name="Input 2 4 37 2 2 2" xfId="7150"/>
    <cellStyle name="Input 2 4 37 2 3" xfId="7151"/>
    <cellStyle name="Input 2 4 37 3" xfId="7152"/>
    <cellStyle name="Input 2 4 37 3 2" xfId="7153"/>
    <cellStyle name="Input 2 4 37 4" xfId="7154"/>
    <cellStyle name="Input 2 4 37 5" xfId="7155"/>
    <cellStyle name="Input 2 4 38" xfId="7156"/>
    <cellStyle name="Input 2 4 38 2" xfId="7157"/>
    <cellStyle name="Input 2 4 38 2 2" xfId="7158"/>
    <cellStyle name="Input 2 4 38 2 2 2" xfId="7159"/>
    <cellStyle name="Input 2 4 38 2 3" xfId="7160"/>
    <cellStyle name="Input 2 4 38 3" xfId="7161"/>
    <cellStyle name="Input 2 4 38 3 2" xfId="7162"/>
    <cellStyle name="Input 2 4 38 4" xfId="7163"/>
    <cellStyle name="Input 2 4 38 5" xfId="7164"/>
    <cellStyle name="Input 2 4 39" xfId="7165"/>
    <cellStyle name="Input 2 4 39 2" xfId="7166"/>
    <cellStyle name="Input 2 4 39 2 2" xfId="7167"/>
    <cellStyle name="Input 2 4 39 2 2 2" xfId="7168"/>
    <cellStyle name="Input 2 4 39 2 3" xfId="7169"/>
    <cellStyle name="Input 2 4 39 3" xfId="7170"/>
    <cellStyle name="Input 2 4 39 3 2" xfId="7171"/>
    <cellStyle name="Input 2 4 39 4" xfId="7172"/>
    <cellStyle name="Input 2 4 39 5" xfId="7173"/>
    <cellStyle name="Input 2 4 4" xfId="7174"/>
    <cellStyle name="Input 2 4 4 2" xfId="7175"/>
    <cellStyle name="Input 2 4 4 2 2" xfId="7176"/>
    <cellStyle name="Input 2 4 4 2 2 2" xfId="7177"/>
    <cellStyle name="Input 2 4 4 2 3" xfId="7178"/>
    <cellStyle name="Input 2 4 4 3" xfId="7179"/>
    <cellStyle name="Input 2 4 4 3 2" xfId="7180"/>
    <cellStyle name="Input 2 4 4 3 2 2" xfId="7181"/>
    <cellStyle name="Input 2 4 4 3 3" xfId="7182"/>
    <cellStyle name="Input 2 4 4 4" xfId="7183"/>
    <cellStyle name="Input 2 4 4 4 2" xfId="7184"/>
    <cellStyle name="Input 2 4 4 5" xfId="7185"/>
    <cellStyle name="Input 2 4 4 6" xfId="7186"/>
    <cellStyle name="Input 2 4 40" xfId="7187"/>
    <cellStyle name="Input 2 4 40 2" xfId="7188"/>
    <cellStyle name="Input 2 4 40 2 2" xfId="7189"/>
    <cellStyle name="Input 2 4 40 2 2 2" xfId="7190"/>
    <cellStyle name="Input 2 4 40 2 3" xfId="7191"/>
    <cellStyle name="Input 2 4 40 3" xfId="7192"/>
    <cellStyle name="Input 2 4 40 3 2" xfId="7193"/>
    <cellStyle name="Input 2 4 40 4" xfId="7194"/>
    <cellStyle name="Input 2 4 40 5" xfId="7195"/>
    <cellStyle name="Input 2 4 41" xfId="7196"/>
    <cellStyle name="Input 2 4 41 2" xfId="7197"/>
    <cellStyle name="Input 2 4 41 2 2" xfId="7198"/>
    <cellStyle name="Input 2 4 41 2 2 2" xfId="7199"/>
    <cellStyle name="Input 2 4 41 2 3" xfId="7200"/>
    <cellStyle name="Input 2 4 41 3" xfId="7201"/>
    <cellStyle name="Input 2 4 41 3 2" xfId="7202"/>
    <cellStyle name="Input 2 4 41 4" xfId="7203"/>
    <cellStyle name="Input 2 4 41 5" xfId="7204"/>
    <cellStyle name="Input 2 4 42" xfId="7205"/>
    <cellStyle name="Input 2 4 42 2" xfId="7206"/>
    <cellStyle name="Input 2 4 42 2 2" xfId="7207"/>
    <cellStyle name="Input 2 4 42 2 2 2" xfId="7208"/>
    <cellStyle name="Input 2 4 42 2 3" xfId="7209"/>
    <cellStyle name="Input 2 4 42 3" xfId="7210"/>
    <cellStyle name="Input 2 4 42 3 2" xfId="7211"/>
    <cellStyle name="Input 2 4 42 4" xfId="7212"/>
    <cellStyle name="Input 2 4 42 5" xfId="7213"/>
    <cellStyle name="Input 2 4 43" xfId="7214"/>
    <cellStyle name="Input 2 4 43 2" xfId="7215"/>
    <cellStyle name="Input 2 4 43 2 2" xfId="7216"/>
    <cellStyle name="Input 2 4 43 2 2 2" xfId="7217"/>
    <cellStyle name="Input 2 4 43 2 3" xfId="7218"/>
    <cellStyle name="Input 2 4 43 3" xfId="7219"/>
    <cellStyle name="Input 2 4 43 3 2" xfId="7220"/>
    <cellStyle name="Input 2 4 43 4" xfId="7221"/>
    <cellStyle name="Input 2 4 43 5" xfId="7222"/>
    <cellStyle name="Input 2 4 44" xfId="7223"/>
    <cellStyle name="Input 2 4 44 2" xfId="7224"/>
    <cellStyle name="Input 2 4 44 2 2" xfId="7225"/>
    <cellStyle name="Input 2 4 44 2 2 2" xfId="7226"/>
    <cellStyle name="Input 2 4 44 2 3" xfId="7227"/>
    <cellStyle name="Input 2 4 44 3" xfId="7228"/>
    <cellStyle name="Input 2 4 44 3 2" xfId="7229"/>
    <cellStyle name="Input 2 4 44 4" xfId="7230"/>
    <cellStyle name="Input 2 4 44 5" xfId="7231"/>
    <cellStyle name="Input 2 4 45" xfId="7232"/>
    <cellStyle name="Input 2 4 45 2" xfId="7233"/>
    <cellStyle name="Input 2 4 45 2 2" xfId="7234"/>
    <cellStyle name="Input 2 4 45 2 2 2" xfId="7235"/>
    <cellStyle name="Input 2 4 45 2 3" xfId="7236"/>
    <cellStyle name="Input 2 4 45 3" xfId="7237"/>
    <cellStyle name="Input 2 4 45 3 2" xfId="7238"/>
    <cellStyle name="Input 2 4 45 4" xfId="7239"/>
    <cellStyle name="Input 2 4 45 5" xfId="7240"/>
    <cellStyle name="Input 2 4 46" xfId="7241"/>
    <cellStyle name="Input 2 4 46 2" xfId="7242"/>
    <cellStyle name="Input 2 4 46 2 2" xfId="7243"/>
    <cellStyle name="Input 2 4 46 2 2 2" xfId="7244"/>
    <cellStyle name="Input 2 4 46 2 3" xfId="7245"/>
    <cellStyle name="Input 2 4 46 3" xfId="7246"/>
    <cellStyle name="Input 2 4 46 3 2" xfId="7247"/>
    <cellStyle name="Input 2 4 46 4" xfId="7248"/>
    <cellStyle name="Input 2 4 46 5" xfId="7249"/>
    <cellStyle name="Input 2 4 47" xfId="7250"/>
    <cellStyle name="Input 2 4 47 2" xfId="7251"/>
    <cellStyle name="Input 2 4 47 2 2" xfId="7252"/>
    <cellStyle name="Input 2 4 47 2 2 2" xfId="7253"/>
    <cellStyle name="Input 2 4 47 2 3" xfId="7254"/>
    <cellStyle name="Input 2 4 47 3" xfId="7255"/>
    <cellStyle name="Input 2 4 47 3 2" xfId="7256"/>
    <cellStyle name="Input 2 4 47 4" xfId="7257"/>
    <cellStyle name="Input 2 4 47 5" xfId="7258"/>
    <cellStyle name="Input 2 4 48" xfId="7259"/>
    <cellStyle name="Input 2 4 48 2" xfId="7260"/>
    <cellStyle name="Input 2 4 48 2 2" xfId="7261"/>
    <cellStyle name="Input 2 4 48 2 2 2" xfId="7262"/>
    <cellStyle name="Input 2 4 48 2 3" xfId="7263"/>
    <cellStyle name="Input 2 4 48 3" xfId="7264"/>
    <cellStyle name="Input 2 4 48 3 2" xfId="7265"/>
    <cellStyle name="Input 2 4 48 4" xfId="7266"/>
    <cellStyle name="Input 2 4 48 5" xfId="7267"/>
    <cellStyle name="Input 2 4 49" xfId="7268"/>
    <cellStyle name="Input 2 4 49 2" xfId="7269"/>
    <cellStyle name="Input 2 4 49 2 2" xfId="7270"/>
    <cellStyle name="Input 2 4 49 3" xfId="7271"/>
    <cellStyle name="Input 2 4 5" xfId="7272"/>
    <cellStyle name="Input 2 4 5 2" xfId="7273"/>
    <cellStyle name="Input 2 4 5 2 2" xfId="7274"/>
    <cellStyle name="Input 2 4 5 2 2 2" xfId="7275"/>
    <cellStyle name="Input 2 4 5 2 3" xfId="7276"/>
    <cellStyle name="Input 2 4 5 3" xfId="7277"/>
    <cellStyle name="Input 2 4 5 3 2" xfId="7278"/>
    <cellStyle name="Input 2 4 5 3 2 2" xfId="7279"/>
    <cellStyle name="Input 2 4 5 3 3" xfId="7280"/>
    <cellStyle name="Input 2 4 5 4" xfId="7281"/>
    <cellStyle name="Input 2 4 5 4 2" xfId="7282"/>
    <cellStyle name="Input 2 4 5 5" xfId="7283"/>
    <cellStyle name="Input 2 4 5 6" xfId="7284"/>
    <cellStyle name="Input 2 4 50" xfId="7285"/>
    <cellStyle name="Input 2 4 50 2" xfId="7286"/>
    <cellStyle name="Input 2 4 50 2 2" xfId="7287"/>
    <cellStyle name="Input 2 4 50 3" xfId="7288"/>
    <cellStyle name="Input 2 4 51" xfId="7289"/>
    <cellStyle name="Input 2 4 51 2" xfId="7290"/>
    <cellStyle name="Input 2 4 51 2 2" xfId="7291"/>
    <cellStyle name="Input 2 4 51 3" xfId="7292"/>
    <cellStyle name="Input 2 4 52" xfId="7293"/>
    <cellStyle name="Input 2 4 52 2" xfId="7294"/>
    <cellStyle name="Input 2 4 53" xfId="7295"/>
    <cellStyle name="Input 2 4 54" xfId="7296"/>
    <cellStyle name="Input 2 4 6" xfId="7297"/>
    <cellStyle name="Input 2 4 6 2" xfId="7298"/>
    <cellStyle name="Input 2 4 6 2 2" xfId="7299"/>
    <cellStyle name="Input 2 4 6 2 2 2" xfId="7300"/>
    <cellStyle name="Input 2 4 6 2 3" xfId="7301"/>
    <cellStyle name="Input 2 4 6 3" xfId="7302"/>
    <cellStyle name="Input 2 4 6 3 2" xfId="7303"/>
    <cellStyle name="Input 2 4 6 3 2 2" xfId="7304"/>
    <cellStyle name="Input 2 4 6 3 3" xfId="7305"/>
    <cellStyle name="Input 2 4 6 4" xfId="7306"/>
    <cellStyle name="Input 2 4 6 4 2" xfId="7307"/>
    <cellStyle name="Input 2 4 6 5" xfId="7308"/>
    <cellStyle name="Input 2 4 6 6" xfId="7309"/>
    <cellStyle name="Input 2 4 7" xfId="7310"/>
    <cellStyle name="Input 2 4 7 2" xfId="7311"/>
    <cellStyle name="Input 2 4 7 2 2" xfId="7312"/>
    <cellStyle name="Input 2 4 7 2 2 2" xfId="7313"/>
    <cellStyle name="Input 2 4 7 2 3" xfId="7314"/>
    <cellStyle name="Input 2 4 7 3" xfId="7315"/>
    <cellStyle name="Input 2 4 7 3 2" xfId="7316"/>
    <cellStyle name="Input 2 4 7 3 2 2" xfId="7317"/>
    <cellStyle name="Input 2 4 7 3 3" xfId="7318"/>
    <cellStyle name="Input 2 4 7 4" xfId="7319"/>
    <cellStyle name="Input 2 4 7 4 2" xfId="7320"/>
    <cellStyle name="Input 2 4 7 5" xfId="7321"/>
    <cellStyle name="Input 2 4 7 6" xfId="7322"/>
    <cellStyle name="Input 2 4 8" xfId="7323"/>
    <cellStyle name="Input 2 4 8 2" xfId="7324"/>
    <cellStyle name="Input 2 4 8 2 2" xfId="7325"/>
    <cellStyle name="Input 2 4 8 2 2 2" xfId="7326"/>
    <cellStyle name="Input 2 4 8 2 3" xfId="7327"/>
    <cellStyle name="Input 2 4 8 3" xfId="7328"/>
    <cellStyle name="Input 2 4 8 3 2" xfId="7329"/>
    <cellStyle name="Input 2 4 8 3 2 2" xfId="7330"/>
    <cellStyle name="Input 2 4 8 3 3" xfId="7331"/>
    <cellStyle name="Input 2 4 8 4" xfId="7332"/>
    <cellStyle name="Input 2 4 8 4 2" xfId="7333"/>
    <cellStyle name="Input 2 4 8 5" xfId="7334"/>
    <cellStyle name="Input 2 4 8 6" xfId="7335"/>
    <cellStyle name="Input 2 4 9" xfId="7336"/>
    <cellStyle name="Input 2 4 9 2" xfId="7337"/>
    <cellStyle name="Input 2 4 9 2 2" xfId="7338"/>
    <cellStyle name="Input 2 4 9 2 2 2" xfId="7339"/>
    <cellStyle name="Input 2 4 9 2 3" xfId="7340"/>
    <cellStyle name="Input 2 4 9 3" xfId="7341"/>
    <cellStyle name="Input 2 4 9 3 2" xfId="7342"/>
    <cellStyle name="Input 2 4 9 4" xfId="7343"/>
    <cellStyle name="Input 2 4 9 5" xfId="7344"/>
    <cellStyle name="Input 2 5" xfId="7345"/>
    <cellStyle name="Input 2 5 10" xfId="7346"/>
    <cellStyle name="Input 2 5 10 2" xfId="7347"/>
    <cellStyle name="Input 2 5 10 2 2" xfId="7348"/>
    <cellStyle name="Input 2 5 10 2 2 2" xfId="7349"/>
    <cellStyle name="Input 2 5 10 2 3" xfId="7350"/>
    <cellStyle name="Input 2 5 10 3" xfId="7351"/>
    <cellStyle name="Input 2 5 10 3 2" xfId="7352"/>
    <cellStyle name="Input 2 5 10 4" xfId="7353"/>
    <cellStyle name="Input 2 5 10 5" xfId="7354"/>
    <cellStyle name="Input 2 5 11" xfId="7355"/>
    <cellStyle name="Input 2 5 11 2" xfId="7356"/>
    <cellStyle name="Input 2 5 11 2 2" xfId="7357"/>
    <cellStyle name="Input 2 5 11 2 2 2" xfId="7358"/>
    <cellStyle name="Input 2 5 11 2 3" xfId="7359"/>
    <cellStyle name="Input 2 5 11 3" xfId="7360"/>
    <cellStyle name="Input 2 5 11 3 2" xfId="7361"/>
    <cellStyle name="Input 2 5 11 4" xfId="7362"/>
    <cellStyle name="Input 2 5 11 5" xfId="7363"/>
    <cellStyle name="Input 2 5 12" xfId="7364"/>
    <cellStyle name="Input 2 5 12 2" xfId="7365"/>
    <cellStyle name="Input 2 5 12 2 2" xfId="7366"/>
    <cellStyle name="Input 2 5 12 2 2 2" xfId="7367"/>
    <cellStyle name="Input 2 5 12 2 3" xfId="7368"/>
    <cellStyle name="Input 2 5 12 3" xfId="7369"/>
    <cellStyle name="Input 2 5 12 3 2" xfId="7370"/>
    <cellStyle name="Input 2 5 12 4" xfId="7371"/>
    <cellStyle name="Input 2 5 12 5" xfId="7372"/>
    <cellStyle name="Input 2 5 13" xfId="7373"/>
    <cellStyle name="Input 2 5 13 2" xfId="7374"/>
    <cellStyle name="Input 2 5 13 2 2" xfId="7375"/>
    <cellStyle name="Input 2 5 13 2 2 2" xfId="7376"/>
    <cellStyle name="Input 2 5 13 2 3" xfId="7377"/>
    <cellStyle name="Input 2 5 13 3" xfId="7378"/>
    <cellStyle name="Input 2 5 13 3 2" xfId="7379"/>
    <cellStyle name="Input 2 5 13 4" xfId="7380"/>
    <cellStyle name="Input 2 5 13 5" xfId="7381"/>
    <cellStyle name="Input 2 5 14" xfId="7382"/>
    <cellStyle name="Input 2 5 14 2" xfId="7383"/>
    <cellStyle name="Input 2 5 14 2 2" xfId="7384"/>
    <cellStyle name="Input 2 5 14 2 2 2" xfId="7385"/>
    <cellStyle name="Input 2 5 14 2 3" xfId="7386"/>
    <cellStyle name="Input 2 5 14 3" xfId="7387"/>
    <cellStyle name="Input 2 5 14 3 2" xfId="7388"/>
    <cellStyle name="Input 2 5 14 4" xfId="7389"/>
    <cellStyle name="Input 2 5 14 5" xfId="7390"/>
    <cellStyle name="Input 2 5 15" xfId="7391"/>
    <cellStyle name="Input 2 5 15 2" xfId="7392"/>
    <cellStyle name="Input 2 5 15 2 2" xfId="7393"/>
    <cellStyle name="Input 2 5 15 2 2 2" xfId="7394"/>
    <cellStyle name="Input 2 5 15 2 3" xfId="7395"/>
    <cellStyle name="Input 2 5 15 3" xfId="7396"/>
    <cellStyle name="Input 2 5 15 3 2" xfId="7397"/>
    <cellStyle name="Input 2 5 15 4" xfId="7398"/>
    <cellStyle name="Input 2 5 15 5" xfId="7399"/>
    <cellStyle name="Input 2 5 16" xfId="7400"/>
    <cellStyle name="Input 2 5 16 2" xfId="7401"/>
    <cellStyle name="Input 2 5 16 2 2" xfId="7402"/>
    <cellStyle name="Input 2 5 16 2 2 2" xfId="7403"/>
    <cellStyle name="Input 2 5 16 2 3" xfId="7404"/>
    <cellStyle name="Input 2 5 16 3" xfId="7405"/>
    <cellStyle name="Input 2 5 16 3 2" xfId="7406"/>
    <cellStyle name="Input 2 5 16 4" xfId="7407"/>
    <cellStyle name="Input 2 5 16 5" xfId="7408"/>
    <cellStyle name="Input 2 5 17" xfId="7409"/>
    <cellStyle name="Input 2 5 17 2" xfId="7410"/>
    <cellStyle name="Input 2 5 17 2 2" xfId="7411"/>
    <cellStyle name="Input 2 5 17 2 2 2" xfId="7412"/>
    <cellStyle name="Input 2 5 17 2 3" xfId="7413"/>
    <cellStyle name="Input 2 5 17 3" xfId="7414"/>
    <cellStyle name="Input 2 5 17 3 2" xfId="7415"/>
    <cellStyle name="Input 2 5 17 4" xfId="7416"/>
    <cellStyle name="Input 2 5 17 5" xfId="7417"/>
    <cellStyle name="Input 2 5 18" xfId="7418"/>
    <cellStyle name="Input 2 5 18 2" xfId="7419"/>
    <cellStyle name="Input 2 5 18 2 2" xfId="7420"/>
    <cellStyle name="Input 2 5 18 2 2 2" xfId="7421"/>
    <cellStyle name="Input 2 5 18 2 3" xfId="7422"/>
    <cellStyle name="Input 2 5 18 3" xfId="7423"/>
    <cellStyle name="Input 2 5 18 3 2" xfId="7424"/>
    <cellStyle name="Input 2 5 18 4" xfId="7425"/>
    <cellStyle name="Input 2 5 18 5" xfId="7426"/>
    <cellStyle name="Input 2 5 19" xfId="7427"/>
    <cellStyle name="Input 2 5 19 2" xfId="7428"/>
    <cellStyle name="Input 2 5 19 2 2" xfId="7429"/>
    <cellStyle name="Input 2 5 19 2 2 2" xfId="7430"/>
    <cellStyle name="Input 2 5 19 2 3" xfId="7431"/>
    <cellStyle name="Input 2 5 19 3" xfId="7432"/>
    <cellStyle name="Input 2 5 19 3 2" xfId="7433"/>
    <cellStyle name="Input 2 5 19 4" xfId="7434"/>
    <cellStyle name="Input 2 5 19 5" xfId="7435"/>
    <cellStyle name="Input 2 5 2" xfId="7436"/>
    <cellStyle name="Input 2 5 2 2" xfId="7437"/>
    <cellStyle name="Input 2 5 2 2 2" xfId="7438"/>
    <cellStyle name="Input 2 5 2 2 2 2" xfId="7439"/>
    <cellStyle name="Input 2 5 2 2 3" xfId="7440"/>
    <cellStyle name="Input 2 5 2 3" xfId="7441"/>
    <cellStyle name="Input 2 5 2 3 2" xfId="7442"/>
    <cellStyle name="Input 2 5 2 3 2 2" xfId="7443"/>
    <cellStyle name="Input 2 5 2 3 3" xfId="7444"/>
    <cellStyle name="Input 2 5 2 4" xfId="7445"/>
    <cellStyle name="Input 2 5 2 4 2" xfId="7446"/>
    <cellStyle name="Input 2 5 2 5" xfId="7447"/>
    <cellStyle name="Input 2 5 2 6" xfId="7448"/>
    <cellStyle name="Input 2 5 20" xfId="7449"/>
    <cellStyle name="Input 2 5 20 2" xfId="7450"/>
    <cellStyle name="Input 2 5 20 2 2" xfId="7451"/>
    <cellStyle name="Input 2 5 20 2 2 2" xfId="7452"/>
    <cellStyle name="Input 2 5 20 2 3" xfId="7453"/>
    <cellStyle name="Input 2 5 20 3" xfId="7454"/>
    <cellStyle name="Input 2 5 20 3 2" xfId="7455"/>
    <cellStyle name="Input 2 5 20 4" xfId="7456"/>
    <cellStyle name="Input 2 5 20 5" xfId="7457"/>
    <cellStyle name="Input 2 5 21" xfId="7458"/>
    <cellStyle name="Input 2 5 21 2" xfId="7459"/>
    <cellStyle name="Input 2 5 21 2 2" xfId="7460"/>
    <cellStyle name="Input 2 5 21 2 2 2" xfId="7461"/>
    <cellStyle name="Input 2 5 21 2 3" xfId="7462"/>
    <cellStyle name="Input 2 5 21 3" xfId="7463"/>
    <cellStyle name="Input 2 5 21 3 2" xfId="7464"/>
    <cellStyle name="Input 2 5 21 4" xfId="7465"/>
    <cellStyle name="Input 2 5 21 5" xfId="7466"/>
    <cellStyle name="Input 2 5 22" xfId="7467"/>
    <cellStyle name="Input 2 5 22 2" xfId="7468"/>
    <cellStyle name="Input 2 5 22 2 2" xfId="7469"/>
    <cellStyle name="Input 2 5 22 2 2 2" xfId="7470"/>
    <cellStyle name="Input 2 5 22 2 3" xfId="7471"/>
    <cellStyle name="Input 2 5 22 3" xfId="7472"/>
    <cellStyle name="Input 2 5 22 3 2" xfId="7473"/>
    <cellStyle name="Input 2 5 22 4" xfId="7474"/>
    <cellStyle name="Input 2 5 22 5" xfId="7475"/>
    <cellStyle name="Input 2 5 23" xfId="7476"/>
    <cellStyle name="Input 2 5 23 2" xfId="7477"/>
    <cellStyle name="Input 2 5 23 2 2" xfId="7478"/>
    <cellStyle name="Input 2 5 23 2 2 2" xfId="7479"/>
    <cellStyle name="Input 2 5 23 2 3" xfId="7480"/>
    <cellStyle name="Input 2 5 23 3" xfId="7481"/>
    <cellStyle name="Input 2 5 23 3 2" xfId="7482"/>
    <cellStyle name="Input 2 5 23 4" xfId="7483"/>
    <cellStyle name="Input 2 5 23 5" xfId="7484"/>
    <cellStyle name="Input 2 5 24" xfId="7485"/>
    <cellStyle name="Input 2 5 24 2" xfId="7486"/>
    <cellStyle name="Input 2 5 24 2 2" xfId="7487"/>
    <cellStyle name="Input 2 5 24 2 2 2" xfId="7488"/>
    <cellStyle name="Input 2 5 24 2 3" xfId="7489"/>
    <cellStyle name="Input 2 5 24 3" xfId="7490"/>
    <cellStyle name="Input 2 5 24 3 2" xfId="7491"/>
    <cellStyle name="Input 2 5 24 4" xfId="7492"/>
    <cellStyle name="Input 2 5 24 5" xfId="7493"/>
    <cellStyle name="Input 2 5 25" xfId="7494"/>
    <cellStyle name="Input 2 5 25 2" xfId="7495"/>
    <cellStyle name="Input 2 5 25 2 2" xfId="7496"/>
    <cellStyle name="Input 2 5 25 2 2 2" xfId="7497"/>
    <cellStyle name="Input 2 5 25 2 3" xfId="7498"/>
    <cellStyle name="Input 2 5 25 3" xfId="7499"/>
    <cellStyle name="Input 2 5 25 3 2" xfId="7500"/>
    <cellStyle name="Input 2 5 25 4" xfId="7501"/>
    <cellStyle name="Input 2 5 25 5" xfId="7502"/>
    <cellStyle name="Input 2 5 26" xfId="7503"/>
    <cellStyle name="Input 2 5 26 2" xfId="7504"/>
    <cellStyle name="Input 2 5 26 2 2" xfId="7505"/>
    <cellStyle name="Input 2 5 26 2 2 2" xfId="7506"/>
    <cellStyle name="Input 2 5 26 2 3" xfId="7507"/>
    <cellStyle name="Input 2 5 26 3" xfId="7508"/>
    <cellStyle name="Input 2 5 26 3 2" xfId="7509"/>
    <cellStyle name="Input 2 5 26 4" xfId="7510"/>
    <cellStyle name="Input 2 5 26 5" xfId="7511"/>
    <cellStyle name="Input 2 5 27" xfId="7512"/>
    <cellStyle name="Input 2 5 27 2" xfId="7513"/>
    <cellStyle name="Input 2 5 27 2 2" xfId="7514"/>
    <cellStyle name="Input 2 5 27 2 2 2" xfId="7515"/>
    <cellStyle name="Input 2 5 27 2 3" xfId="7516"/>
    <cellStyle name="Input 2 5 27 3" xfId="7517"/>
    <cellStyle name="Input 2 5 27 3 2" xfId="7518"/>
    <cellStyle name="Input 2 5 27 4" xfId="7519"/>
    <cellStyle name="Input 2 5 27 5" xfId="7520"/>
    <cellStyle name="Input 2 5 28" xfId="7521"/>
    <cellStyle name="Input 2 5 28 2" xfId="7522"/>
    <cellStyle name="Input 2 5 28 2 2" xfId="7523"/>
    <cellStyle name="Input 2 5 28 2 2 2" xfId="7524"/>
    <cellStyle name="Input 2 5 28 2 3" xfId="7525"/>
    <cellStyle name="Input 2 5 28 3" xfId="7526"/>
    <cellStyle name="Input 2 5 28 3 2" xfId="7527"/>
    <cellStyle name="Input 2 5 28 4" xfId="7528"/>
    <cellStyle name="Input 2 5 28 5" xfId="7529"/>
    <cellStyle name="Input 2 5 29" xfId="7530"/>
    <cellStyle name="Input 2 5 29 2" xfId="7531"/>
    <cellStyle name="Input 2 5 29 2 2" xfId="7532"/>
    <cellStyle name="Input 2 5 29 2 2 2" xfId="7533"/>
    <cellStyle name="Input 2 5 29 2 3" xfId="7534"/>
    <cellStyle name="Input 2 5 29 3" xfId="7535"/>
    <cellStyle name="Input 2 5 29 3 2" xfId="7536"/>
    <cellStyle name="Input 2 5 29 4" xfId="7537"/>
    <cellStyle name="Input 2 5 29 5" xfId="7538"/>
    <cellStyle name="Input 2 5 3" xfId="7539"/>
    <cellStyle name="Input 2 5 3 2" xfId="7540"/>
    <cellStyle name="Input 2 5 3 2 2" xfId="7541"/>
    <cellStyle name="Input 2 5 3 2 2 2" xfId="7542"/>
    <cellStyle name="Input 2 5 3 2 3" xfId="7543"/>
    <cellStyle name="Input 2 5 3 3" xfId="7544"/>
    <cellStyle name="Input 2 5 3 3 2" xfId="7545"/>
    <cellStyle name="Input 2 5 3 3 2 2" xfId="7546"/>
    <cellStyle name="Input 2 5 3 3 3" xfId="7547"/>
    <cellStyle name="Input 2 5 3 4" xfId="7548"/>
    <cellStyle name="Input 2 5 3 4 2" xfId="7549"/>
    <cellStyle name="Input 2 5 3 5" xfId="7550"/>
    <cellStyle name="Input 2 5 3 6" xfId="7551"/>
    <cellStyle name="Input 2 5 30" xfId="7552"/>
    <cellStyle name="Input 2 5 30 2" xfId="7553"/>
    <cellStyle name="Input 2 5 30 2 2" xfId="7554"/>
    <cellStyle name="Input 2 5 30 2 2 2" xfId="7555"/>
    <cellStyle name="Input 2 5 30 2 3" xfId="7556"/>
    <cellStyle name="Input 2 5 30 3" xfId="7557"/>
    <cellStyle name="Input 2 5 30 3 2" xfId="7558"/>
    <cellStyle name="Input 2 5 30 4" xfId="7559"/>
    <cellStyle name="Input 2 5 30 5" xfId="7560"/>
    <cellStyle name="Input 2 5 31" xfId="7561"/>
    <cellStyle name="Input 2 5 31 2" xfId="7562"/>
    <cellStyle name="Input 2 5 31 2 2" xfId="7563"/>
    <cellStyle name="Input 2 5 31 2 2 2" xfId="7564"/>
    <cellStyle name="Input 2 5 31 2 3" xfId="7565"/>
    <cellStyle name="Input 2 5 31 3" xfId="7566"/>
    <cellStyle name="Input 2 5 31 3 2" xfId="7567"/>
    <cellStyle name="Input 2 5 31 4" xfId="7568"/>
    <cellStyle name="Input 2 5 31 5" xfId="7569"/>
    <cellStyle name="Input 2 5 32" xfId="7570"/>
    <cellStyle name="Input 2 5 32 2" xfId="7571"/>
    <cellStyle name="Input 2 5 32 2 2" xfId="7572"/>
    <cellStyle name="Input 2 5 32 2 2 2" xfId="7573"/>
    <cellStyle name="Input 2 5 32 2 3" xfId="7574"/>
    <cellStyle name="Input 2 5 32 3" xfId="7575"/>
    <cellStyle name="Input 2 5 32 3 2" xfId="7576"/>
    <cellStyle name="Input 2 5 32 4" xfId="7577"/>
    <cellStyle name="Input 2 5 32 5" xfId="7578"/>
    <cellStyle name="Input 2 5 33" xfId="7579"/>
    <cellStyle name="Input 2 5 33 2" xfId="7580"/>
    <cellStyle name="Input 2 5 33 2 2" xfId="7581"/>
    <cellStyle name="Input 2 5 33 2 2 2" xfId="7582"/>
    <cellStyle name="Input 2 5 33 2 3" xfId="7583"/>
    <cellStyle name="Input 2 5 33 3" xfId="7584"/>
    <cellStyle name="Input 2 5 33 3 2" xfId="7585"/>
    <cellStyle name="Input 2 5 33 4" xfId="7586"/>
    <cellStyle name="Input 2 5 33 5" xfId="7587"/>
    <cellStyle name="Input 2 5 34" xfId="7588"/>
    <cellStyle name="Input 2 5 34 2" xfId="7589"/>
    <cellStyle name="Input 2 5 34 2 2" xfId="7590"/>
    <cellStyle name="Input 2 5 34 2 2 2" xfId="7591"/>
    <cellStyle name="Input 2 5 34 2 3" xfId="7592"/>
    <cellStyle name="Input 2 5 34 3" xfId="7593"/>
    <cellStyle name="Input 2 5 34 3 2" xfId="7594"/>
    <cellStyle name="Input 2 5 34 4" xfId="7595"/>
    <cellStyle name="Input 2 5 34 5" xfId="7596"/>
    <cellStyle name="Input 2 5 35" xfId="7597"/>
    <cellStyle name="Input 2 5 35 2" xfId="7598"/>
    <cellStyle name="Input 2 5 35 2 2" xfId="7599"/>
    <cellStyle name="Input 2 5 35 2 2 2" xfId="7600"/>
    <cellStyle name="Input 2 5 35 2 3" xfId="7601"/>
    <cellStyle name="Input 2 5 35 3" xfId="7602"/>
    <cellStyle name="Input 2 5 35 3 2" xfId="7603"/>
    <cellStyle name="Input 2 5 35 4" xfId="7604"/>
    <cellStyle name="Input 2 5 35 5" xfId="7605"/>
    <cellStyle name="Input 2 5 36" xfId="7606"/>
    <cellStyle name="Input 2 5 36 2" xfId="7607"/>
    <cellStyle name="Input 2 5 36 2 2" xfId="7608"/>
    <cellStyle name="Input 2 5 36 2 2 2" xfId="7609"/>
    <cellStyle name="Input 2 5 36 2 3" xfId="7610"/>
    <cellStyle name="Input 2 5 36 3" xfId="7611"/>
    <cellStyle name="Input 2 5 36 3 2" xfId="7612"/>
    <cellStyle name="Input 2 5 36 4" xfId="7613"/>
    <cellStyle name="Input 2 5 36 5" xfId="7614"/>
    <cellStyle name="Input 2 5 37" xfId="7615"/>
    <cellStyle name="Input 2 5 37 2" xfId="7616"/>
    <cellStyle name="Input 2 5 37 2 2" xfId="7617"/>
    <cellStyle name="Input 2 5 37 2 2 2" xfId="7618"/>
    <cellStyle name="Input 2 5 37 2 3" xfId="7619"/>
    <cellStyle name="Input 2 5 37 3" xfId="7620"/>
    <cellStyle name="Input 2 5 37 3 2" xfId="7621"/>
    <cellStyle name="Input 2 5 37 4" xfId="7622"/>
    <cellStyle name="Input 2 5 37 5" xfId="7623"/>
    <cellStyle name="Input 2 5 38" xfId="7624"/>
    <cellStyle name="Input 2 5 38 2" xfId="7625"/>
    <cellStyle name="Input 2 5 38 2 2" xfId="7626"/>
    <cellStyle name="Input 2 5 38 2 2 2" xfId="7627"/>
    <cellStyle name="Input 2 5 38 2 3" xfId="7628"/>
    <cellStyle name="Input 2 5 38 3" xfId="7629"/>
    <cellStyle name="Input 2 5 38 3 2" xfId="7630"/>
    <cellStyle name="Input 2 5 38 4" xfId="7631"/>
    <cellStyle name="Input 2 5 38 5" xfId="7632"/>
    <cellStyle name="Input 2 5 39" xfId="7633"/>
    <cellStyle name="Input 2 5 39 2" xfId="7634"/>
    <cellStyle name="Input 2 5 39 2 2" xfId="7635"/>
    <cellStyle name="Input 2 5 39 2 2 2" xfId="7636"/>
    <cellStyle name="Input 2 5 39 2 3" xfId="7637"/>
    <cellStyle name="Input 2 5 39 3" xfId="7638"/>
    <cellStyle name="Input 2 5 39 3 2" xfId="7639"/>
    <cellStyle name="Input 2 5 39 4" xfId="7640"/>
    <cellStyle name="Input 2 5 39 5" xfId="7641"/>
    <cellStyle name="Input 2 5 4" xfId="7642"/>
    <cellStyle name="Input 2 5 4 2" xfId="7643"/>
    <cellStyle name="Input 2 5 4 2 2" xfId="7644"/>
    <cellStyle name="Input 2 5 4 2 2 2" xfId="7645"/>
    <cellStyle name="Input 2 5 4 2 3" xfId="7646"/>
    <cellStyle name="Input 2 5 4 3" xfId="7647"/>
    <cellStyle name="Input 2 5 4 3 2" xfId="7648"/>
    <cellStyle name="Input 2 5 4 3 2 2" xfId="7649"/>
    <cellStyle name="Input 2 5 4 3 3" xfId="7650"/>
    <cellStyle name="Input 2 5 4 4" xfId="7651"/>
    <cellStyle name="Input 2 5 4 4 2" xfId="7652"/>
    <cellStyle name="Input 2 5 4 5" xfId="7653"/>
    <cellStyle name="Input 2 5 4 6" xfId="7654"/>
    <cellStyle name="Input 2 5 40" xfId="7655"/>
    <cellStyle name="Input 2 5 40 2" xfId="7656"/>
    <cellStyle name="Input 2 5 40 2 2" xfId="7657"/>
    <cellStyle name="Input 2 5 40 2 2 2" xfId="7658"/>
    <cellStyle name="Input 2 5 40 2 3" xfId="7659"/>
    <cellStyle name="Input 2 5 40 3" xfId="7660"/>
    <cellStyle name="Input 2 5 40 3 2" xfId="7661"/>
    <cellStyle name="Input 2 5 40 4" xfId="7662"/>
    <cellStyle name="Input 2 5 40 5" xfId="7663"/>
    <cellStyle name="Input 2 5 41" xfId="7664"/>
    <cellStyle name="Input 2 5 41 2" xfId="7665"/>
    <cellStyle name="Input 2 5 41 2 2" xfId="7666"/>
    <cellStyle name="Input 2 5 41 2 2 2" xfId="7667"/>
    <cellStyle name="Input 2 5 41 2 3" xfId="7668"/>
    <cellStyle name="Input 2 5 41 3" xfId="7669"/>
    <cellStyle name="Input 2 5 41 3 2" xfId="7670"/>
    <cellStyle name="Input 2 5 41 4" xfId="7671"/>
    <cellStyle name="Input 2 5 41 5" xfId="7672"/>
    <cellStyle name="Input 2 5 42" xfId="7673"/>
    <cellStyle name="Input 2 5 42 2" xfId="7674"/>
    <cellStyle name="Input 2 5 42 2 2" xfId="7675"/>
    <cellStyle name="Input 2 5 42 2 2 2" xfId="7676"/>
    <cellStyle name="Input 2 5 42 2 3" xfId="7677"/>
    <cellStyle name="Input 2 5 42 3" xfId="7678"/>
    <cellStyle name="Input 2 5 42 3 2" xfId="7679"/>
    <cellStyle name="Input 2 5 42 4" xfId="7680"/>
    <cellStyle name="Input 2 5 42 5" xfId="7681"/>
    <cellStyle name="Input 2 5 43" xfId="7682"/>
    <cellStyle name="Input 2 5 43 2" xfId="7683"/>
    <cellStyle name="Input 2 5 43 2 2" xfId="7684"/>
    <cellStyle name="Input 2 5 43 2 2 2" xfId="7685"/>
    <cellStyle name="Input 2 5 43 2 3" xfId="7686"/>
    <cellStyle name="Input 2 5 43 3" xfId="7687"/>
    <cellStyle name="Input 2 5 43 3 2" xfId="7688"/>
    <cellStyle name="Input 2 5 43 4" xfId="7689"/>
    <cellStyle name="Input 2 5 43 5" xfId="7690"/>
    <cellStyle name="Input 2 5 44" xfId="7691"/>
    <cellStyle name="Input 2 5 44 2" xfId="7692"/>
    <cellStyle name="Input 2 5 44 2 2" xfId="7693"/>
    <cellStyle name="Input 2 5 44 2 2 2" xfId="7694"/>
    <cellStyle name="Input 2 5 44 2 3" xfId="7695"/>
    <cellStyle name="Input 2 5 44 3" xfId="7696"/>
    <cellStyle name="Input 2 5 44 3 2" xfId="7697"/>
    <cellStyle name="Input 2 5 44 4" xfId="7698"/>
    <cellStyle name="Input 2 5 44 5" xfId="7699"/>
    <cellStyle name="Input 2 5 45" xfId="7700"/>
    <cellStyle name="Input 2 5 45 2" xfId="7701"/>
    <cellStyle name="Input 2 5 45 2 2" xfId="7702"/>
    <cellStyle name="Input 2 5 45 2 2 2" xfId="7703"/>
    <cellStyle name="Input 2 5 45 2 3" xfId="7704"/>
    <cellStyle name="Input 2 5 45 3" xfId="7705"/>
    <cellStyle name="Input 2 5 45 3 2" xfId="7706"/>
    <cellStyle name="Input 2 5 45 4" xfId="7707"/>
    <cellStyle name="Input 2 5 45 5" xfId="7708"/>
    <cellStyle name="Input 2 5 46" xfId="7709"/>
    <cellStyle name="Input 2 5 46 2" xfId="7710"/>
    <cellStyle name="Input 2 5 46 2 2" xfId="7711"/>
    <cellStyle name="Input 2 5 46 2 2 2" xfId="7712"/>
    <cellStyle name="Input 2 5 46 2 3" xfId="7713"/>
    <cellStyle name="Input 2 5 46 3" xfId="7714"/>
    <cellStyle name="Input 2 5 46 3 2" xfId="7715"/>
    <cellStyle name="Input 2 5 46 4" xfId="7716"/>
    <cellStyle name="Input 2 5 46 5" xfId="7717"/>
    <cellStyle name="Input 2 5 47" xfId="7718"/>
    <cellStyle name="Input 2 5 47 2" xfId="7719"/>
    <cellStyle name="Input 2 5 47 2 2" xfId="7720"/>
    <cellStyle name="Input 2 5 47 2 2 2" xfId="7721"/>
    <cellStyle name="Input 2 5 47 2 3" xfId="7722"/>
    <cellStyle name="Input 2 5 47 3" xfId="7723"/>
    <cellStyle name="Input 2 5 47 3 2" xfId="7724"/>
    <cellStyle name="Input 2 5 47 4" xfId="7725"/>
    <cellStyle name="Input 2 5 47 5" xfId="7726"/>
    <cellStyle name="Input 2 5 48" xfId="7727"/>
    <cellStyle name="Input 2 5 48 2" xfId="7728"/>
    <cellStyle name="Input 2 5 48 2 2" xfId="7729"/>
    <cellStyle name="Input 2 5 48 2 2 2" xfId="7730"/>
    <cellStyle name="Input 2 5 48 2 3" xfId="7731"/>
    <cellStyle name="Input 2 5 48 3" xfId="7732"/>
    <cellStyle name="Input 2 5 48 3 2" xfId="7733"/>
    <cellStyle name="Input 2 5 48 4" xfId="7734"/>
    <cellStyle name="Input 2 5 48 5" xfId="7735"/>
    <cellStyle name="Input 2 5 49" xfId="7736"/>
    <cellStyle name="Input 2 5 49 2" xfId="7737"/>
    <cellStyle name="Input 2 5 49 2 2" xfId="7738"/>
    <cellStyle name="Input 2 5 49 3" xfId="7739"/>
    <cellStyle name="Input 2 5 5" xfId="7740"/>
    <cellStyle name="Input 2 5 5 2" xfId="7741"/>
    <cellStyle name="Input 2 5 5 2 2" xfId="7742"/>
    <cellStyle name="Input 2 5 5 2 2 2" xfId="7743"/>
    <cellStyle name="Input 2 5 5 2 3" xfId="7744"/>
    <cellStyle name="Input 2 5 5 3" xfId="7745"/>
    <cellStyle name="Input 2 5 5 3 2" xfId="7746"/>
    <cellStyle name="Input 2 5 5 3 2 2" xfId="7747"/>
    <cellStyle name="Input 2 5 5 3 3" xfId="7748"/>
    <cellStyle name="Input 2 5 5 4" xfId="7749"/>
    <cellStyle name="Input 2 5 5 4 2" xfId="7750"/>
    <cellStyle name="Input 2 5 5 5" xfId="7751"/>
    <cellStyle name="Input 2 5 5 6" xfId="7752"/>
    <cellStyle name="Input 2 5 50" xfId="7753"/>
    <cellStyle name="Input 2 5 50 2" xfId="7754"/>
    <cellStyle name="Input 2 5 50 2 2" xfId="7755"/>
    <cellStyle name="Input 2 5 50 3" xfId="7756"/>
    <cellStyle name="Input 2 5 51" xfId="7757"/>
    <cellStyle name="Input 2 5 51 2" xfId="7758"/>
    <cellStyle name="Input 2 5 51 2 2" xfId="7759"/>
    <cellStyle name="Input 2 5 51 3" xfId="7760"/>
    <cellStyle name="Input 2 5 52" xfId="7761"/>
    <cellStyle name="Input 2 5 52 2" xfId="7762"/>
    <cellStyle name="Input 2 5 53" xfId="7763"/>
    <cellStyle name="Input 2 5 54" xfId="7764"/>
    <cellStyle name="Input 2 5 6" xfId="7765"/>
    <cellStyle name="Input 2 5 6 2" xfId="7766"/>
    <cellStyle name="Input 2 5 6 2 2" xfId="7767"/>
    <cellStyle name="Input 2 5 6 2 2 2" xfId="7768"/>
    <cellStyle name="Input 2 5 6 2 3" xfId="7769"/>
    <cellStyle name="Input 2 5 6 3" xfId="7770"/>
    <cellStyle name="Input 2 5 6 3 2" xfId="7771"/>
    <cellStyle name="Input 2 5 6 3 2 2" xfId="7772"/>
    <cellStyle name="Input 2 5 6 3 3" xfId="7773"/>
    <cellStyle name="Input 2 5 6 4" xfId="7774"/>
    <cellStyle name="Input 2 5 6 4 2" xfId="7775"/>
    <cellStyle name="Input 2 5 6 5" xfId="7776"/>
    <cellStyle name="Input 2 5 6 6" xfId="7777"/>
    <cellStyle name="Input 2 5 7" xfId="7778"/>
    <cellStyle name="Input 2 5 7 2" xfId="7779"/>
    <cellStyle name="Input 2 5 7 2 2" xfId="7780"/>
    <cellStyle name="Input 2 5 7 2 2 2" xfId="7781"/>
    <cellStyle name="Input 2 5 7 2 3" xfId="7782"/>
    <cellStyle name="Input 2 5 7 3" xfId="7783"/>
    <cellStyle name="Input 2 5 7 3 2" xfId="7784"/>
    <cellStyle name="Input 2 5 7 3 2 2" xfId="7785"/>
    <cellStyle name="Input 2 5 7 3 3" xfId="7786"/>
    <cellStyle name="Input 2 5 7 4" xfId="7787"/>
    <cellStyle name="Input 2 5 7 4 2" xfId="7788"/>
    <cellStyle name="Input 2 5 7 5" xfId="7789"/>
    <cellStyle name="Input 2 5 7 6" xfId="7790"/>
    <cellStyle name="Input 2 5 8" xfId="7791"/>
    <cellStyle name="Input 2 5 8 2" xfId="7792"/>
    <cellStyle name="Input 2 5 8 2 2" xfId="7793"/>
    <cellStyle name="Input 2 5 8 2 2 2" xfId="7794"/>
    <cellStyle name="Input 2 5 8 2 3" xfId="7795"/>
    <cellStyle name="Input 2 5 8 3" xfId="7796"/>
    <cellStyle name="Input 2 5 8 3 2" xfId="7797"/>
    <cellStyle name="Input 2 5 8 3 2 2" xfId="7798"/>
    <cellStyle name="Input 2 5 8 3 3" xfId="7799"/>
    <cellStyle name="Input 2 5 8 4" xfId="7800"/>
    <cellStyle name="Input 2 5 8 4 2" xfId="7801"/>
    <cellStyle name="Input 2 5 8 5" xfId="7802"/>
    <cellStyle name="Input 2 5 8 6" xfId="7803"/>
    <cellStyle name="Input 2 5 9" xfId="7804"/>
    <cellStyle name="Input 2 5 9 2" xfId="7805"/>
    <cellStyle name="Input 2 5 9 2 2" xfId="7806"/>
    <cellStyle name="Input 2 5 9 2 2 2" xfId="7807"/>
    <cellStyle name="Input 2 5 9 2 3" xfId="7808"/>
    <cellStyle name="Input 2 5 9 3" xfId="7809"/>
    <cellStyle name="Input 2 5 9 3 2" xfId="7810"/>
    <cellStyle name="Input 2 5 9 4" xfId="7811"/>
    <cellStyle name="Input 2 5 9 5" xfId="7812"/>
    <cellStyle name="Input 2 6" xfId="7813"/>
    <cellStyle name="Input 2 6 10" xfId="7814"/>
    <cellStyle name="Input 2 6 10 2" xfId="7815"/>
    <cellStyle name="Input 2 6 10 2 2" xfId="7816"/>
    <cellStyle name="Input 2 6 10 2 2 2" xfId="7817"/>
    <cellStyle name="Input 2 6 10 2 3" xfId="7818"/>
    <cellStyle name="Input 2 6 10 3" xfId="7819"/>
    <cellStyle name="Input 2 6 10 3 2" xfId="7820"/>
    <cellStyle name="Input 2 6 10 4" xfId="7821"/>
    <cellStyle name="Input 2 6 10 5" xfId="7822"/>
    <cellStyle name="Input 2 6 11" xfId="7823"/>
    <cellStyle name="Input 2 6 11 2" xfId="7824"/>
    <cellStyle name="Input 2 6 11 2 2" xfId="7825"/>
    <cellStyle name="Input 2 6 11 2 2 2" xfId="7826"/>
    <cellStyle name="Input 2 6 11 2 3" xfId="7827"/>
    <cellStyle name="Input 2 6 11 3" xfId="7828"/>
    <cellStyle name="Input 2 6 11 3 2" xfId="7829"/>
    <cellStyle name="Input 2 6 11 4" xfId="7830"/>
    <cellStyle name="Input 2 6 11 5" xfId="7831"/>
    <cellStyle name="Input 2 6 12" xfId="7832"/>
    <cellStyle name="Input 2 6 12 2" xfId="7833"/>
    <cellStyle name="Input 2 6 12 2 2" xfId="7834"/>
    <cellStyle name="Input 2 6 12 2 2 2" xfId="7835"/>
    <cellStyle name="Input 2 6 12 2 3" xfId="7836"/>
    <cellStyle name="Input 2 6 12 3" xfId="7837"/>
    <cellStyle name="Input 2 6 12 3 2" xfId="7838"/>
    <cellStyle name="Input 2 6 12 4" xfId="7839"/>
    <cellStyle name="Input 2 6 12 5" xfId="7840"/>
    <cellStyle name="Input 2 6 13" xfId="7841"/>
    <cellStyle name="Input 2 6 13 2" xfId="7842"/>
    <cellStyle name="Input 2 6 13 2 2" xfId="7843"/>
    <cellStyle name="Input 2 6 13 2 2 2" xfId="7844"/>
    <cellStyle name="Input 2 6 13 2 3" xfId="7845"/>
    <cellStyle name="Input 2 6 13 3" xfId="7846"/>
    <cellStyle name="Input 2 6 13 3 2" xfId="7847"/>
    <cellStyle name="Input 2 6 13 4" xfId="7848"/>
    <cellStyle name="Input 2 6 13 5" xfId="7849"/>
    <cellStyle name="Input 2 6 14" xfId="7850"/>
    <cellStyle name="Input 2 6 14 2" xfId="7851"/>
    <cellStyle name="Input 2 6 14 2 2" xfId="7852"/>
    <cellStyle name="Input 2 6 14 2 2 2" xfId="7853"/>
    <cellStyle name="Input 2 6 14 2 3" xfId="7854"/>
    <cellStyle name="Input 2 6 14 3" xfId="7855"/>
    <cellStyle name="Input 2 6 14 3 2" xfId="7856"/>
    <cellStyle name="Input 2 6 14 4" xfId="7857"/>
    <cellStyle name="Input 2 6 14 5" xfId="7858"/>
    <cellStyle name="Input 2 6 15" xfId="7859"/>
    <cellStyle name="Input 2 6 15 2" xfId="7860"/>
    <cellStyle name="Input 2 6 15 2 2" xfId="7861"/>
    <cellStyle name="Input 2 6 15 2 2 2" xfId="7862"/>
    <cellStyle name="Input 2 6 15 2 3" xfId="7863"/>
    <cellStyle name="Input 2 6 15 3" xfId="7864"/>
    <cellStyle name="Input 2 6 15 3 2" xfId="7865"/>
    <cellStyle name="Input 2 6 15 4" xfId="7866"/>
    <cellStyle name="Input 2 6 15 5" xfId="7867"/>
    <cellStyle name="Input 2 6 16" xfId="7868"/>
    <cellStyle name="Input 2 6 16 2" xfId="7869"/>
    <cellStyle name="Input 2 6 16 2 2" xfId="7870"/>
    <cellStyle name="Input 2 6 16 2 2 2" xfId="7871"/>
    <cellStyle name="Input 2 6 16 2 3" xfId="7872"/>
    <cellStyle name="Input 2 6 16 3" xfId="7873"/>
    <cellStyle name="Input 2 6 16 3 2" xfId="7874"/>
    <cellStyle name="Input 2 6 16 4" xfId="7875"/>
    <cellStyle name="Input 2 6 16 5" xfId="7876"/>
    <cellStyle name="Input 2 6 17" xfId="7877"/>
    <cellStyle name="Input 2 6 17 2" xfId="7878"/>
    <cellStyle name="Input 2 6 17 2 2" xfId="7879"/>
    <cellStyle name="Input 2 6 17 2 2 2" xfId="7880"/>
    <cellStyle name="Input 2 6 17 2 3" xfId="7881"/>
    <cellStyle name="Input 2 6 17 3" xfId="7882"/>
    <cellStyle name="Input 2 6 17 3 2" xfId="7883"/>
    <cellStyle name="Input 2 6 17 4" xfId="7884"/>
    <cellStyle name="Input 2 6 17 5" xfId="7885"/>
    <cellStyle name="Input 2 6 18" xfId="7886"/>
    <cellStyle name="Input 2 6 18 2" xfId="7887"/>
    <cellStyle name="Input 2 6 18 2 2" xfId="7888"/>
    <cellStyle name="Input 2 6 18 2 2 2" xfId="7889"/>
    <cellStyle name="Input 2 6 18 2 3" xfId="7890"/>
    <cellStyle name="Input 2 6 18 3" xfId="7891"/>
    <cellStyle name="Input 2 6 18 3 2" xfId="7892"/>
    <cellStyle name="Input 2 6 18 4" xfId="7893"/>
    <cellStyle name="Input 2 6 18 5" xfId="7894"/>
    <cellStyle name="Input 2 6 19" xfId="7895"/>
    <cellStyle name="Input 2 6 19 2" xfId="7896"/>
    <cellStyle name="Input 2 6 19 2 2" xfId="7897"/>
    <cellStyle name="Input 2 6 19 2 2 2" xfId="7898"/>
    <cellStyle name="Input 2 6 19 2 3" xfId="7899"/>
    <cellStyle name="Input 2 6 19 3" xfId="7900"/>
    <cellStyle name="Input 2 6 19 3 2" xfId="7901"/>
    <cellStyle name="Input 2 6 19 4" xfId="7902"/>
    <cellStyle name="Input 2 6 19 5" xfId="7903"/>
    <cellStyle name="Input 2 6 2" xfId="7904"/>
    <cellStyle name="Input 2 6 2 2" xfId="7905"/>
    <cellStyle name="Input 2 6 2 2 2" xfId="7906"/>
    <cellStyle name="Input 2 6 2 2 2 2" xfId="7907"/>
    <cellStyle name="Input 2 6 2 2 3" xfId="7908"/>
    <cellStyle name="Input 2 6 2 3" xfId="7909"/>
    <cellStyle name="Input 2 6 2 3 2" xfId="7910"/>
    <cellStyle name="Input 2 6 2 3 2 2" xfId="7911"/>
    <cellStyle name="Input 2 6 2 3 3" xfId="7912"/>
    <cellStyle name="Input 2 6 2 4" xfId="7913"/>
    <cellStyle name="Input 2 6 2 4 2" xfId="7914"/>
    <cellStyle name="Input 2 6 2 5" xfId="7915"/>
    <cellStyle name="Input 2 6 2 6" xfId="7916"/>
    <cellStyle name="Input 2 6 20" xfId="7917"/>
    <cellStyle name="Input 2 6 20 2" xfId="7918"/>
    <cellStyle name="Input 2 6 20 2 2" xfId="7919"/>
    <cellStyle name="Input 2 6 20 2 2 2" xfId="7920"/>
    <cellStyle name="Input 2 6 20 2 3" xfId="7921"/>
    <cellStyle name="Input 2 6 20 3" xfId="7922"/>
    <cellStyle name="Input 2 6 20 3 2" xfId="7923"/>
    <cellStyle name="Input 2 6 20 4" xfId="7924"/>
    <cellStyle name="Input 2 6 20 5" xfId="7925"/>
    <cellStyle name="Input 2 6 21" xfId="7926"/>
    <cellStyle name="Input 2 6 21 2" xfId="7927"/>
    <cellStyle name="Input 2 6 21 2 2" xfId="7928"/>
    <cellStyle name="Input 2 6 21 2 2 2" xfId="7929"/>
    <cellStyle name="Input 2 6 21 2 3" xfId="7930"/>
    <cellStyle name="Input 2 6 21 3" xfId="7931"/>
    <cellStyle name="Input 2 6 21 3 2" xfId="7932"/>
    <cellStyle name="Input 2 6 21 4" xfId="7933"/>
    <cellStyle name="Input 2 6 21 5" xfId="7934"/>
    <cellStyle name="Input 2 6 22" xfId="7935"/>
    <cellStyle name="Input 2 6 22 2" xfId="7936"/>
    <cellStyle name="Input 2 6 22 2 2" xfId="7937"/>
    <cellStyle name="Input 2 6 22 2 2 2" xfId="7938"/>
    <cellStyle name="Input 2 6 22 2 3" xfId="7939"/>
    <cellStyle name="Input 2 6 22 3" xfId="7940"/>
    <cellStyle name="Input 2 6 22 3 2" xfId="7941"/>
    <cellStyle name="Input 2 6 22 4" xfId="7942"/>
    <cellStyle name="Input 2 6 22 5" xfId="7943"/>
    <cellStyle name="Input 2 6 23" xfId="7944"/>
    <cellStyle name="Input 2 6 23 2" xfId="7945"/>
    <cellStyle name="Input 2 6 23 2 2" xfId="7946"/>
    <cellStyle name="Input 2 6 23 2 2 2" xfId="7947"/>
    <cellStyle name="Input 2 6 23 2 3" xfId="7948"/>
    <cellStyle name="Input 2 6 23 3" xfId="7949"/>
    <cellStyle name="Input 2 6 23 3 2" xfId="7950"/>
    <cellStyle name="Input 2 6 23 4" xfId="7951"/>
    <cellStyle name="Input 2 6 23 5" xfId="7952"/>
    <cellStyle name="Input 2 6 24" xfId="7953"/>
    <cellStyle name="Input 2 6 24 2" xfId="7954"/>
    <cellStyle name="Input 2 6 24 2 2" xfId="7955"/>
    <cellStyle name="Input 2 6 24 2 2 2" xfId="7956"/>
    <cellStyle name="Input 2 6 24 2 3" xfId="7957"/>
    <cellStyle name="Input 2 6 24 3" xfId="7958"/>
    <cellStyle name="Input 2 6 24 3 2" xfId="7959"/>
    <cellStyle name="Input 2 6 24 4" xfId="7960"/>
    <cellStyle name="Input 2 6 24 5" xfId="7961"/>
    <cellStyle name="Input 2 6 25" xfId="7962"/>
    <cellStyle name="Input 2 6 25 2" xfId="7963"/>
    <cellStyle name="Input 2 6 25 2 2" xfId="7964"/>
    <cellStyle name="Input 2 6 25 2 2 2" xfId="7965"/>
    <cellStyle name="Input 2 6 25 2 3" xfId="7966"/>
    <cellStyle name="Input 2 6 25 3" xfId="7967"/>
    <cellStyle name="Input 2 6 25 3 2" xfId="7968"/>
    <cellStyle name="Input 2 6 25 4" xfId="7969"/>
    <cellStyle name="Input 2 6 25 5" xfId="7970"/>
    <cellStyle name="Input 2 6 26" xfId="7971"/>
    <cellStyle name="Input 2 6 26 2" xfId="7972"/>
    <cellStyle name="Input 2 6 26 2 2" xfId="7973"/>
    <cellStyle name="Input 2 6 26 2 2 2" xfId="7974"/>
    <cellStyle name="Input 2 6 26 2 3" xfId="7975"/>
    <cellStyle name="Input 2 6 26 3" xfId="7976"/>
    <cellStyle name="Input 2 6 26 3 2" xfId="7977"/>
    <cellStyle name="Input 2 6 26 4" xfId="7978"/>
    <cellStyle name="Input 2 6 26 5" xfId="7979"/>
    <cellStyle name="Input 2 6 27" xfId="7980"/>
    <cellStyle name="Input 2 6 27 2" xfId="7981"/>
    <cellStyle name="Input 2 6 27 2 2" xfId="7982"/>
    <cellStyle name="Input 2 6 27 2 2 2" xfId="7983"/>
    <cellStyle name="Input 2 6 27 2 3" xfId="7984"/>
    <cellStyle name="Input 2 6 27 3" xfId="7985"/>
    <cellStyle name="Input 2 6 27 3 2" xfId="7986"/>
    <cellStyle name="Input 2 6 27 4" xfId="7987"/>
    <cellStyle name="Input 2 6 27 5" xfId="7988"/>
    <cellStyle name="Input 2 6 28" xfId="7989"/>
    <cellStyle name="Input 2 6 28 2" xfId="7990"/>
    <cellStyle name="Input 2 6 28 2 2" xfId="7991"/>
    <cellStyle name="Input 2 6 28 2 2 2" xfId="7992"/>
    <cellStyle name="Input 2 6 28 2 3" xfId="7993"/>
    <cellStyle name="Input 2 6 28 3" xfId="7994"/>
    <cellStyle name="Input 2 6 28 3 2" xfId="7995"/>
    <cellStyle name="Input 2 6 28 4" xfId="7996"/>
    <cellStyle name="Input 2 6 28 5" xfId="7997"/>
    <cellStyle name="Input 2 6 29" xfId="7998"/>
    <cellStyle name="Input 2 6 29 2" xfId="7999"/>
    <cellStyle name="Input 2 6 29 2 2" xfId="8000"/>
    <cellStyle name="Input 2 6 29 2 2 2" xfId="8001"/>
    <cellStyle name="Input 2 6 29 2 3" xfId="8002"/>
    <cellStyle name="Input 2 6 29 3" xfId="8003"/>
    <cellStyle name="Input 2 6 29 3 2" xfId="8004"/>
    <cellStyle name="Input 2 6 29 4" xfId="8005"/>
    <cellStyle name="Input 2 6 29 5" xfId="8006"/>
    <cellStyle name="Input 2 6 3" xfId="8007"/>
    <cellStyle name="Input 2 6 3 2" xfId="8008"/>
    <cellStyle name="Input 2 6 3 2 2" xfId="8009"/>
    <cellStyle name="Input 2 6 3 2 2 2" xfId="8010"/>
    <cellStyle name="Input 2 6 3 2 3" xfId="8011"/>
    <cellStyle name="Input 2 6 3 3" xfId="8012"/>
    <cellStyle name="Input 2 6 3 3 2" xfId="8013"/>
    <cellStyle name="Input 2 6 3 3 2 2" xfId="8014"/>
    <cellStyle name="Input 2 6 3 3 3" xfId="8015"/>
    <cellStyle name="Input 2 6 3 4" xfId="8016"/>
    <cellStyle name="Input 2 6 3 4 2" xfId="8017"/>
    <cellStyle name="Input 2 6 3 5" xfId="8018"/>
    <cellStyle name="Input 2 6 3 6" xfId="8019"/>
    <cellStyle name="Input 2 6 30" xfId="8020"/>
    <cellStyle name="Input 2 6 30 2" xfId="8021"/>
    <cellStyle name="Input 2 6 30 2 2" xfId="8022"/>
    <cellStyle name="Input 2 6 30 2 2 2" xfId="8023"/>
    <cellStyle name="Input 2 6 30 2 3" xfId="8024"/>
    <cellStyle name="Input 2 6 30 3" xfId="8025"/>
    <cellStyle name="Input 2 6 30 3 2" xfId="8026"/>
    <cellStyle name="Input 2 6 30 4" xfId="8027"/>
    <cellStyle name="Input 2 6 30 5" xfId="8028"/>
    <cellStyle name="Input 2 6 31" xfId="8029"/>
    <cellStyle name="Input 2 6 31 2" xfId="8030"/>
    <cellStyle name="Input 2 6 31 2 2" xfId="8031"/>
    <cellStyle name="Input 2 6 31 2 2 2" xfId="8032"/>
    <cellStyle name="Input 2 6 31 2 3" xfId="8033"/>
    <cellStyle name="Input 2 6 31 3" xfId="8034"/>
    <cellStyle name="Input 2 6 31 3 2" xfId="8035"/>
    <cellStyle name="Input 2 6 31 4" xfId="8036"/>
    <cellStyle name="Input 2 6 31 5" xfId="8037"/>
    <cellStyle name="Input 2 6 32" xfId="8038"/>
    <cellStyle name="Input 2 6 32 2" xfId="8039"/>
    <cellStyle name="Input 2 6 32 2 2" xfId="8040"/>
    <cellStyle name="Input 2 6 32 2 2 2" xfId="8041"/>
    <cellStyle name="Input 2 6 32 2 3" xfId="8042"/>
    <cellStyle name="Input 2 6 32 3" xfId="8043"/>
    <cellStyle name="Input 2 6 32 3 2" xfId="8044"/>
    <cellStyle name="Input 2 6 32 4" xfId="8045"/>
    <cellStyle name="Input 2 6 32 5" xfId="8046"/>
    <cellStyle name="Input 2 6 33" xfId="8047"/>
    <cellStyle name="Input 2 6 33 2" xfId="8048"/>
    <cellStyle name="Input 2 6 33 2 2" xfId="8049"/>
    <cellStyle name="Input 2 6 33 2 2 2" xfId="8050"/>
    <cellStyle name="Input 2 6 33 2 3" xfId="8051"/>
    <cellStyle name="Input 2 6 33 3" xfId="8052"/>
    <cellStyle name="Input 2 6 33 3 2" xfId="8053"/>
    <cellStyle name="Input 2 6 33 4" xfId="8054"/>
    <cellStyle name="Input 2 6 33 5" xfId="8055"/>
    <cellStyle name="Input 2 6 34" xfId="8056"/>
    <cellStyle name="Input 2 6 34 2" xfId="8057"/>
    <cellStyle name="Input 2 6 34 2 2" xfId="8058"/>
    <cellStyle name="Input 2 6 34 2 2 2" xfId="8059"/>
    <cellStyle name="Input 2 6 34 2 3" xfId="8060"/>
    <cellStyle name="Input 2 6 34 3" xfId="8061"/>
    <cellStyle name="Input 2 6 34 3 2" xfId="8062"/>
    <cellStyle name="Input 2 6 34 4" xfId="8063"/>
    <cellStyle name="Input 2 6 34 5" xfId="8064"/>
    <cellStyle name="Input 2 6 35" xfId="8065"/>
    <cellStyle name="Input 2 6 35 2" xfId="8066"/>
    <cellStyle name="Input 2 6 35 2 2" xfId="8067"/>
    <cellStyle name="Input 2 6 35 2 2 2" xfId="8068"/>
    <cellStyle name="Input 2 6 35 2 3" xfId="8069"/>
    <cellStyle name="Input 2 6 35 3" xfId="8070"/>
    <cellStyle name="Input 2 6 35 3 2" xfId="8071"/>
    <cellStyle name="Input 2 6 35 4" xfId="8072"/>
    <cellStyle name="Input 2 6 35 5" xfId="8073"/>
    <cellStyle name="Input 2 6 36" xfId="8074"/>
    <cellStyle name="Input 2 6 36 2" xfId="8075"/>
    <cellStyle name="Input 2 6 36 2 2" xfId="8076"/>
    <cellStyle name="Input 2 6 36 2 2 2" xfId="8077"/>
    <cellStyle name="Input 2 6 36 2 3" xfId="8078"/>
    <cellStyle name="Input 2 6 36 3" xfId="8079"/>
    <cellStyle name="Input 2 6 36 3 2" xfId="8080"/>
    <cellStyle name="Input 2 6 36 4" xfId="8081"/>
    <cellStyle name="Input 2 6 36 5" xfId="8082"/>
    <cellStyle name="Input 2 6 37" xfId="8083"/>
    <cellStyle name="Input 2 6 37 2" xfId="8084"/>
    <cellStyle name="Input 2 6 37 2 2" xfId="8085"/>
    <cellStyle name="Input 2 6 37 2 2 2" xfId="8086"/>
    <cellStyle name="Input 2 6 37 2 3" xfId="8087"/>
    <cellStyle name="Input 2 6 37 3" xfId="8088"/>
    <cellStyle name="Input 2 6 37 3 2" xfId="8089"/>
    <cellStyle name="Input 2 6 37 4" xfId="8090"/>
    <cellStyle name="Input 2 6 37 5" xfId="8091"/>
    <cellStyle name="Input 2 6 38" xfId="8092"/>
    <cellStyle name="Input 2 6 38 2" xfId="8093"/>
    <cellStyle name="Input 2 6 38 2 2" xfId="8094"/>
    <cellStyle name="Input 2 6 38 2 2 2" xfId="8095"/>
    <cellStyle name="Input 2 6 38 2 3" xfId="8096"/>
    <cellStyle name="Input 2 6 38 3" xfId="8097"/>
    <cellStyle name="Input 2 6 38 3 2" xfId="8098"/>
    <cellStyle name="Input 2 6 38 4" xfId="8099"/>
    <cellStyle name="Input 2 6 38 5" xfId="8100"/>
    <cellStyle name="Input 2 6 39" xfId="8101"/>
    <cellStyle name="Input 2 6 39 2" xfId="8102"/>
    <cellStyle name="Input 2 6 39 2 2" xfId="8103"/>
    <cellStyle name="Input 2 6 39 2 2 2" xfId="8104"/>
    <cellStyle name="Input 2 6 39 2 3" xfId="8105"/>
    <cellStyle name="Input 2 6 39 3" xfId="8106"/>
    <cellStyle name="Input 2 6 39 3 2" xfId="8107"/>
    <cellStyle name="Input 2 6 39 4" xfId="8108"/>
    <cellStyle name="Input 2 6 39 5" xfId="8109"/>
    <cellStyle name="Input 2 6 4" xfId="8110"/>
    <cellStyle name="Input 2 6 4 2" xfId="8111"/>
    <cellStyle name="Input 2 6 4 2 2" xfId="8112"/>
    <cellStyle name="Input 2 6 4 2 2 2" xfId="8113"/>
    <cellStyle name="Input 2 6 4 2 3" xfId="8114"/>
    <cellStyle name="Input 2 6 4 3" xfId="8115"/>
    <cellStyle name="Input 2 6 4 3 2" xfId="8116"/>
    <cellStyle name="Input 2 6 4 3 2 2" xfId="8117"/>
    <cellStyle name="Input 2 6 4 3 3" xfId="8118"/>
    <cellStyle name="Input 2 6 4 4" xfId="8119"/>
    <cellStyle name="Input 2 6 4 4 2" xfId="8120"/>
    <cellStyle name="Input 2 6 4 5" xfId="8121"/>
    <cellStyle name="Input 2 6 4 6" xfId="8122"/>
    <cellStyle name="Input 2 6 40" xfId="8123"/>
    <cellStyle name="Input 2 6 40 2" xfId="8124"/>
    <cellStyle name="Input 2 6 40 2 2" xfId="8125"/>
    <cellStyle name="Input 2 6 40 2 2 2" xfId="8126"/>
    <cellStyle name="Input 2 6 40 2 3" xfId="8127"/>
    <cellStyle name="Input 2 6 40 3" xfId="8128"/>
    <cellStyle name="Input 2 6 40 3 2" xfId="8129"/>
    <cellStyle name="Input 2 6 40 4" xfId="8130"/>
    <cellStyle name="Input 2 6 40 5" xfId="8131"/>
    <cellStyle name="Input 2 6 41" xfId="8132"/>
    <cellStyle name="Input 2 6 41 2" xfId="8133"/>
    <cellStyle name="Input 2 6 41 2 2" xfId="8134"/>
    <cellStyle name="Input 2 6 41 2 2 2" xfId="8135"/>
    <cellStyle name="Input 2 6 41 2 3" xfId="8136"/>
    <cellStyle name="Input 2 6 41 3" xfId="8137"/>
    <cellStyle name="Input 2 6 41 3 2" xfId="8138"/>
    <cellStyle name="Input 2 6 41 4" xfId="8139"/>
    <cellStyle name="Input 2 6 41 5" xfId="8140"/>
    <cellStyle name="Input 2 6 42" xfId="8141"/>
    <cellStyle name="Input 2 6 42 2" xfId="8142"/>
    <cellStyle name="Input 2 6 42 2 2" xfId="8143"/>
    <cellStyle name="Input 2 6 42 2 2 2" xfId="8144"/>
    <cellStyle name="Input 2 6 42 2 3" xfId="8145"/>
    <cellStyle name="Input 2 6 42 3" xfId="8146"/>
    <cellStyle name="Input 2 6 42 3 2" xfId="8147"/>
    <cellStyle name="Input 2 6 42 4" xfId="8148"/>
    <cellStyle name="Input 2 6 42 5" xfId="8149"/>
    <cellStyle name="Input 2 6 43" xfId="8150"/>
    <cellStyle name="Input 2 6 43 2" xfId="8151"/>
    <cellStyle name="Input 2 6 43 2 2" xfId="8152"/>
    <cellStyle name="Input 2 6 43 2 2 2" xfId="8153"/>
    <cellStyle name="Input 2 6 43 2 3" xfId="8154"/>
    <cellStyle name="Input 2 6 43 3" xfId="8155"/>
    <cellStyle name="Input 2 6 43 3 2" xfId="8156"/>
    <cellStyle name="Input 2 6 43 4" xfId="8157"/>
    <cellStyle name="Input 2 6 43 5" xfId="8158"/>
    <cellStyle name="Input 2 6 44" xfId="8159"/>
    <cellStyle name="Input 2 6 44 2" xfId="8160"/>
    <cellStyle name="Input 2 6 44 2 2" xfId="8161"/>
    <cellStyle name="Input 2 6 44 2 2 2" xfId="8162"/>
    <cellStyle name="Input 2 6 44 2 3" xfId="8163"/>
    <cellStyle name="Input 2 6 44 3" xfId="8164"/>
    <cellStyle name="Input 2 6 44 3 2" xfId="8165"/>
    <cellStyle name="Input 2 6 44 4" xfId="8166"/>
    <cellStyle name="Input 2 6 44 5" xfId="8167"/>
    <cellStyle name="Input 2 6 45" xfId="8168"/>
    <cellStyle name="Input 2 6 45 2" xfId="8169"/>
    <cellStyle name="Input 2 6 45 2 2" xfId="8170"/>
    <cellStyle name="Input 2 6 45 2 2 2" xfId="8171"/>
    <cellStyle name="Input 2 6 45 2 3" xfId="8172"/>
    <cellStyle name="Input 2 6 45 3" xfId="8173"/>
    <cellStyle name="Input 2 6 45 3 2" xfId="8174"/>
    <cellStyle name="Input 2 6 45 4" xfId="8175"/>
    <cellStyle name="Input 2 6 45 5" xfId="8176"/>
    <cellStyle name="Input 2 6 46" xfId="8177"/>
    <cellStyle name="Input 2 6 46 2" xfId="8178"/>
    <cellStyle name="Input 2 6 46 2 2" xfId="8179"/>
    <cellStyle name="Input 2 6 46 2 2 2" xfId="8180"/>
    <cellStyle name="Input 2 6 46 2 3" xfId="8181"/>
    <cellStyle name="Input 2 6 46 3" xfId="8182"/>
    <cellStyle name="Input 2 6 46 3 2" xfId="8183"/>
    <cellStyle name="Input 2 6 46 4" xfId="8184"/>
    <cellStyle name="Input 2 6 46 5" xfId="8185"/>
    <cellStyle name="Input 2 6 47" xfId="8186"/>
    <cellStyle name="Input 2 6 47 2" xfId="8187"/>
    <cellStyle name="Input 2 6 47 2 2" xfId="8188"/>
    <cellStyle name="Input 2 6 47 2 2 2" xfId="8189"/>
    <cellStyle name="Input 2 6 47 2 3" xfId="8190"/>
    <cellStyle name="Input 2 6 47 3" xfId="8191"/>
    <cellStyle name="Input 2 6 47 3 2" xfId="8192"/>
    <cellStyle name="Input 2 6 47 4" xfId="8193"/>
    <cellStyle name="Input 2 6 47 5" xfId="8194"/>
    <cellStyle name="Input 2 6 48" xfId="8195"/>
    <cellStyle name="Input 2 6 48 2" xfId="8196"/>
    <cellStyle name="Input 2 6 48 2 2" xfId="8197"/>
    <cellStyle name="Input 2 6 48 2 2 2" xfId="8198"/>
    <cellStyle name="Input 2 6 48 2 3" xfId="8199"/>
    <cellStyle name="Input 2 6 48 3" xfId="8200"/>
    <cellStyle name="Input 2 6 48 3 2" xfId="8201"/>
    <cellStyle name="Input 2 6 48 4" xfId="8202"/>
    <cellStyle name="Input 2 6 48 5" xfId="8203"/>
    <cellStyle name="Input 2 6 49" xfId="8204"/>
    <cellStyle name="Input 2 6 49 2" xfId="8205"/>
    <cellStyle name="Input 2 6 49 2 2" xfId="8206"/>
    <cellStyle name="Input 2 6 49 3" xfId="8207"/>
    <cellStyle name="Input 2 6 5" xfId="8208"/>
    <cellStyle name="Input 2 6 5 2" xfId="8209"/>
    <cellStyle name="Input 2 6 5 2 2" xfId="8210"/>
    <cellStyle name="Input 2 6 5 2 2 2" xfId="8211"/>
    <cellStyle name="Input 2 6 5 2 3" xfId="8212"/>
    <cellStyle name="Input 2 6 5 3" xfId="8213"/>
    <cellStyle name="Input 2 6 5 3 2" xfId="8214"/>
    <cellStyle name="Input 2 6 5 3 2 2" xfId="8215"/>
    <cellStyle name="Input 2 6 5 3 3" xfId="8216"/>
    <cellStyle name="Input 2 6 5 4" xfId="8217"/>
    <cellStyle name="Input 2 6 5 4 2" xfId="8218"/>
    <cellStyle name="Input 2 6 5 5" xfId="8219"/>
    <cellStyle name="Input 2 6 5 6" xfId="8220"/>
    <cellStyle name="Input 2 6 50" xfId="8221"/>
    <cellStyle name="Input 2 6 50 2" xfId="8222"/>
    <cellStyle name="Input 2 6 50 2 2" xfId="8223"/>
    <cellStyle name="Input 2 6 50 3" xfId="8224"/>
    <cellStyle name="Input 2 6 51" xfId="8225"/>
    <cellStyle name="Input 2 6 51 2" xfId="8226"/>
    <cellStyle name="Input 2 6 51 2 2" xfId="8227"/>
    <cellStyle name="Input 2 6 51 3" xfId="8228"/>
    <cellStyle name="Input 2 6 52" xfId="8229"/>
    <cellStyle name="Input 2 6 52 2" xfId="8230"/>
    <cellStyle name="Input 2 6 53" xfId="8231"/>
    <cellStyle name="Input 2 6 54" xfId="8232"/>
    <cellStyle name="Input 2 6 6" xfId="8233"/>
    <cellStyle name="Input 2 6 6 2" xfId="8234"/>
    <cellStyle name="Input 2 6 6 2 2" xfId="8235"/>
    <cellStyle name="Input 2 6 6 2 2 2" xfId="8236"/>
    <cellStyle name="Input 2 6 6 2 3" xfId="8237"/>
    <cellStyle name="Input 2 6 6 3" xfId="8238"/>
    <cellStyle name="Input 2 6 6 3 2" xfId="8239"/>
    <cellStyle name="Input 2 6 6 3 2 2" xfId="8240"/>
    <cellStyle name="Input 2 6 6 3 3" xfId="8241"/>
    <cellStyle name="Input 2 6 6 4" xfId="8242"/>
    <cellStyle name="Input 2 6 6 4 2" xfId="8243"/>
    <cellStyle name="Input 2 6 6 5" xfId="8244"/>
    <cellStyle name="Input 2 6 6 6" xfId="8245"/>
    <cellStyle name="Input 2 6 7" xfId="8246"/>
    <cellStyle name="Input 2 6 7 2" xfId="8247"/>
    <cellStyle name="Input 2 6 7 2 2" xfId="8248"/>
    <cellStyle name="Input 2 6 7 2 2 2" xfId="8249"/>
    <cellStyle name="Input 2 6 7 2 3" xfId="8250"/>
    <cellStyle name="Input 2 6 7 3" xfId="8251"/>
    <cellStyle name="Input 2 6 7 3 2" xfId="8252"/>
    <cellStyle name="Input 2 6 7 3 2 2" xfId="8253"/>
    <cellStyle name="Input 2 6 7 3 3" xfId="8254"/>
    <cellStyle name="Input 2 6 7 4" xfId="8255"/>
    <cellStyle name="Input 2 6 7 4 2" xfId="8256"/>
    <cellStyle name="Input 2 6 7 5" xfId="8257"/>
    <cellStyle name="Input 2 6 7 6" xfId="8258"/>
    <cellStyle name="Input 2 6 8" xfId="8259"/>
    <cellStyle name="Input 2 6 8 2" xfId="8260"/>
    <cellStyle name="Input 2 6 8 2 2" xfId="8261"/>
    <cellStyle name="Input 2 6 8 2 2 2" xfId="8262"/>
    <cellStyle name="Input 2 6 8 2 3" xfId="8263"/>
    <cellStyle name="Input 2 6 8 3" xfId="8264"/>
    <cellStyle name="Input 2 6 8 3 2" xfId="8265"/>
    <cellStyle name="Input 2 6 8 3 2 2" xfId="8266"/>
    <cellStyle name="Input 2 6 8 3 3" xfId="8267"/>
    <cellStyle name="Input 2 6 8 4" xfId="8268"/>
    <cellStyle name="Input 2 6 8 4 2" xfId="8269"/>
    <cellStyle name="Input 2 6 8 5" xfId="8270"/>
    <cellStyle name="Input 2 6 8 6" xfId="8271"/>
    <cellStyle name="Input 2 6 9" xfId="8272"/>
    <cellStyle name="Input 2 6 9 2" xfId="8273"/>
    <cellStyle name="Input 2 6 9 2 2" xfId="8274"/>
    <cellStyle name="Input 2 6 9 2 2 2" xfId="8275"/>
    <cellStyle name="Input 2 6 9 2 3" xfId="8276"/>
    <cellStyle name="Input 2 6 9 3" xfId="8277"/>
    <cellStyle name="Input 2 6 9 3 2" xfId="8278"/>
    <cellStyle name="Input 2 6 9 4" xfId="8279"/>
    <cellStyle name="Input 2 6 9 5" xfId="8280"/>
    <cellStyle name="Input 2 7" xfId="8281"/>
    <cellStyle name="Input 2 7 10" xfId="8282"/>
    <cellStyle name="Input 2 7 10 2" xfId="8283"/>
    <cellStyle name="Input 2 7 10 2 2" xfId="8284"/>
    <cellStyle name="Input 2 7 10 2 2 2" xfId="8285"/>
    <cellStyle name="Input 2 7 10 2 3" xfId="8286"/>
    <cellStyle name="Input 2 7 10 3" xfId="8287"/>
    <cellStyle name="Input 2 7 10 3 2" xfId="8288"/>
    <cellStyle name="Input 2 7 10 4" xfId="8289"/>
    <cellStyle name="Input 2 7 10 5" xfId="8290"/>
    <cellStyle name="Input 2 7 11" xfId="8291"/>
    <cellStyle name="Input 2 7 11 2" xfId="8292"/>
    <cellStyle name="Input 2 7 11 2 2" xfId="8293"/>
    <cellStyle name="Input 2 7 11 2 2 2" xfId="8294"/>
    <cellStyle name="Input 2 7 11 2 3" xfId="8295"/>
    <cellStyle name="Input 2 7 11 3" xfId="8296"/>
    <cellStyle name="Input 2 7 11 3 2" xfId="8297"/>
    <cellStyle name="Input 2 7 11 4" xfId="8298"/>
    <cellStyle name="Input 2 7 11 5" xfId="8299"/>
    <cellStyle name="Input 2 7 12" xfId="8300"/>
    <cellStyle name="Input 2 7 12 2" xfId="8301"/>
    <cellStyle name="Input 2 7 12 2 2" xfId="8302"/>
    <cellStyle name="Input 2 7 12 2 2 2" xfId="8303"/>
    <cellStyle name="Input 2 7 12 2 3" xfId="8304"/>
    <cellStyle name="Input 2 7 12 3" xfId="8305"/>
    <cellStyle name="Input 2 7 12 3 2" xfId="8306"/>
    <cellStyle name="Input 2 7 12 4" xfId="8307"/>
    <cellStyle name="Input 2 7 12 5" xfId="8308"/>
    <cellStyle name="Input 2 7 13" xfId="8309"/>
    <cellStyle name="Input 2 7 13 2" xfId="8310"/>
    <cellStyle name="Input 2 7 13 2 2" xfId="8311"/>
    <cellStyle name="Input 2 7 13 2 2 2" xfId="8312"/>
    <cellStyle name="Input 2 7 13 2 3" xfId="8313"/>
    <cellStyle name="Input 2 7 13 3" xfId="8314"/>
    <cellStyle name="Input 2 7 13 3 2" xfId="8315"/>
    <cellStyle name="Input 2 7 13 4" xfId="8316"/>
    <cellStyle name="Input 2 7 13 5" xfId="8317"/>
    <cellStyle name="Input 2 7 14" xfId="8318"/>
    <cellStyle name="Input 2 7 14 2" xfId="8319"/>
    <cellStyle name="Input 2 7 14 2 2" xfId="8320"/>
    <cellStyle name="Input 2 7 14 2 2 2" xfId="8321"/>
    <cellStyle name="Input 2 7 14 2 3" xfId="8322"/>
    <cellStyle name="Input 2 7 14 3" xfId="8323"/>
    <cellStyle name="Input 2 7 14 3 2" xfId="8324"/>
    <cellStyle name="Input 2 7 14 4" xfId="8325"/>
    <cellStyle name="Input 2 7 14 5" xfId="8326"/>
    <cellStyle name="Input 2 7 15" xfId="8327"/>
    <cellStyle name="Input 2 7 15 2" xfId="8328"/>
    <cellStyle name="Input 2 7 15 2 2" xfId="8329"/>
    <cellStyle name="Input 2 7 15 2 2 2" xfId="8330"/>
    <cellStyle name="Input 2 7 15 2 3" xfId="8331"/>
    <cellStyle name="Input 2 7 15 3" xfId="8332"/>
    <cellStyle name="Input 2 7 15 3 2" xfId="8333"/>
    <cellStyle name="Input 2 7 15 4" xfId="8334"/>
    <cellStyle name="Input 2 7 15 5" xfId="8335"/>
    <cellStyle name="Input 2 7 16" xfId="8336"/>
    <cellStyle name="Input 2 7 16 2" xfId="8337"/>
    <cellStyle name="Input 2 7 16 2 2" xfId="8338"/>
    <cellStyle name="Input 2 7 16 2 2 2" xfId="8339"/>
    <cellStyle name="Input 2 7 16 2 3" xfId="8340"/>
    <cellStyle name="Input 2 7 16 3" xfId="8341"/>
    <cellStyle name="Input 2 7 16 3 2" xfId="8342"/>
    <cellStyle name="Input 2 7 16 4" xfId="8343"/>
    <cellStyle name="Input 2 7 16 5" xfId="8344"/>
    <cellStyle name="Input 2 7 17" xfId="8345"/>
    <cellStyle name="Input 2 7 17 2" xfId="8346"/>
    <cellStyle name="Input 2 7 17 2 2" xfId="8347"/>
    <cellStyle name="Input 2 7 17 2 2 2" xfId="8348"/>
    <cellStyle name="Input 2 7 17 2 3" xfId="8349"/>
    <cellStyle name="Input 2 7 17 3" xfId="8350"/>
    <cellStyle name="Input 2 7 17 3 2" xfId="8351"/>
    <cellStyle name="Input 2 7 17 4" xfId="8352"/>
    <cellStyle name="Input 2 7 17 5" xfId="8353"/>
    <cellStyle name="Input 2 7 18" xfId="8354"/>
    <cellStyle name="Input 2 7 18 2" xfId="8355"/>
    <cellStyle name="Input 2 7 18 2 2" xfId="8356"/>
    <cellStyle name="Input 2 7 18 2 2 2" xfId="8357"/>
    <cellStyle name="Input 2 7 18 2 3" xfId="8358"/>
    <cellStyle name="Input 2 7 18 3" xfId="8359"/>
    <cellStyle name="Input 2 7 18 3 2" xfId="8360"/>
    <cellStyle name="Input 2 7 18 4" xfId="8361"/>
    <cellStyle name="Input 2 7 18 5" xfId="8362"/>
    <cellStyle name="Input 2 7 19" xfId="8363"/>
    <cellStyle name="Input 2 7 19 2" xfId="8364"/>
    <cellStyle name="Input 2 7 19 2 2" xfId="8365"/>
    <cellStyle name="Input 2 7 19 2 2 2" xfId="8366"/>
    <cellStyle name="Input 2 7 19 2 3" xfId="8367"/>
    <cellStyle name="Input 2 7 19 3" xfId="8368"/>
    <cellStyle name="Input 2 7 19 3 2" xfId="8369"/>
    <cellStyle name="Input 2 7 19 4" xfId="8370"/>
    <cellStyle name="Input 2 7 19 5" xfId="8371"/>
    <cellStyle name="Input 2 7 2" xfId="8372"/>
    <cellStyle name="Input 2 7 2 2" xfId="8373"/>
    <cellStyle name="Input 2 7 2 2 2" xfId="8374"/>
    <cellStyle name="Input 2 7 2 2 2 2" xfId="8375"/>
    <cellStyle name="Input 2 7 2 2 3" xfId="8376"/>
    <cellStyle name="Input 2 7 2 3" xfId="8377"/>
    <cellStyle name="Input 2 7 2 3 2" xfId="8378"/>
    <cellStyle name="Input 2 7 2 3 2 2" xfId="8379"/>
    <cellStyle name="Input 2 7 2 3 3" xfId="8380"/>
    <cellStyle name="Input 2 7 2 4" xfId="8381"/>
    <cellStyle name="Input 2 7 2 4 2" xfId="8382"/>
    <cellStyle name="Input 2 7 2 5" xfId="8383"/>
    <cellStyle name="Input 2 7 2 6" xfId="8384"/>
    <cellStyle name="Input 2 7 20" xfId="8385"/>
    <cellStyle name="Input 2 7 20 2" xfId="8386"/>
    <cellStyle name="Input 2 7 20 2 2" xfId="8387"/>
    <cellStyle name="Input 2 7 20 2 2 2" xfId="8388"/>
    <cellStyle name="Input 2 7 20 2 3" xfId="8389"/>
    <cellStyle name="Input 2 7 20 3" xfId="8390"/>
    <cellStyle name="Input 2 7 20 3 2" xfId="8391"/>
    <cellStyle name="Input 2 7 20 4" xfId="8392"/>
    <cellStyle name="Input 2 7 20 5" xfId="8393"/>
    <cellStyle name="Input 2 7 21" xfId="8394"/>
    <cellStyle name="Input 2 7 21 2" xfId="8395"/>
    <cellStyle name="Input 2 7 21 2 2" xfId="8396"/>
    <cellStyle name="Input 2 7 21 2 2 2" xfId="8397"/>
    <cellStyle name="Input 2 7 21 2 3" xfId="8398"/>
    <cellStyle name="Input 2 7 21 3" xfId="8399"/>
    <cellStyle name="Input 2 7 21 3 2" xfId="8400"/>
    <cellStyle name="Input 2 7 21 4" xfId="8401"/>
    <cellStyle name="Input 2 7 21 5" xfId="8402"/>
    <cellStyle name="Input 2 7 22" xfId="8403"/>
    <cellStyle name="Input 2 7 22 2" xfId="8404"/>
    <cellStyle name="Input 2 7 22 2 2" xfId="8405"/>
    <cellStyle name="Input 2 7 22 2 2 2" xfId="8406"/>
    <cellStyle name="Input 2 7 22 2 3" xfId="8407"/>
    <cellStyle name="Input 2 7 22 3" xfId="8408"/>
    <cellStyle name="Input 2 7 22 3 2" xfId="8409"/>
    <cellStyle name="Input 2 7 22 4" xfId="8410"/>
    <cellStyle name="Input 2 7 22 5" xfId="8411"/>
    <cellStyle name="Input 2 7 23" xfId="8412"/>
    <cellStyle name="Input 2 7 23 2" xfId="8413"/>
    <cellStyle name="Input 2 7 23 2 2" xfId="8414"/>
    <cellStyle name="Input 2 7 23 2 2 2" xfId="8415"/>
    <cellStyle name="Input 2 7 23 2 3" xfId="8416"/>
    <cellStyle name="Input 2 7 23 3" xfId="8417"/>
    <cellStyle name="Input 2 7 23 3 2" xfId="8418"/>
    <cellStyle name="Input 2 7 23 4" xfId="8419"/>
    <cellStyle name="Input 2 7 23 5" xfId="8420"/>
    <cellStyle name="Input 2 7 24" xfId="8421"/>
    <cellStyle name="Input 2 7 24 2" xfId="8422"/>
    <cellStyle name="Input 2 7 24 2 2" xfId="8423"/>
    <cellStyle name="Input 2 7 24 2 2 2" xfId="8424"/>
    <cellStyle name="Input 2 7 24 2 3" xfId="8425"/>
    <cellStyle name="Input 2 7 24 3" xfId="8426"/>
    <cellStyle name="Input 2 7 24 3 2" xfId="8427"/>
    <cellStyle name="Input 2 7 24 4" xfId="8428"/>
    <cellStyle name="Input 2 7 24 5" xfId="8429"/>
    <cellStyle name="Input 2 7 25" xfId="8430"/>
    <cellStyle name="Input 2 7 25 2" xfId="8431"/>
    <cellStyle name="Input 2 7 25 2 2" xfId="8432"/>
    <cellStyle name="Input 2 7 25 2 2 2" xfId="8433"/>
    <cellStyle name="Input 2 7 25 2 3" xfId="8434"/>
    <cellStyle name="Input 2 7 25 3" xfId="8435"/>
    <cellStyle name="Input 2 7 25 3 2" xfId="8436"/>
    <cellStyle name="Input 2 7 25 4" xfId="8437"/>
    <cellStyle name="Input 2 7 25 5" xfId="8438"/>
    <cellStyle name="Input 2 7 26" xfId="8439"/>
    <cellStyle name="Input 2 7 26 2" xfId="8440"/>
    <cellStyle name="Input 2 7 26 2 2" xfId="8441"/>
    <cellStyle name="Input 2 7 26 2 2 2" xfId="8442"/>
    <cellStyle name="Input 2 7 26 2 3" xfId="8443"/>
    <cellStyle name="Input 2 7 26 3" xfId="8444"/>
    <cellStyle name="Input 2 7 26 3 2" xfId="8445"/>
    <cellStyle name="Input 2 7 26 4" xfId="8446"/>
    <cellStyle name="Input 2 7 26 5" xfId="8447"/>
    <cellStyle name="Input 2 7 27" xfId="8448"/>
    <cellStyle name="Input 2 7 27 2" xfId="8449"/>
    <cellStyle name="Input 2 7 27 2 2" xfId="8450"/>
    <cellStyle name="Input 2 7 27 2 2 2" xfId="8451"/>
    <cellStyle name="Input 2 7 27 2 3" xfId="8452"/>
    <cellStyle name="Input 2 7 27 3" xfId="8453"/>
    <cellStyle name="Input 2 7 27 3 2" xfId="8454"/>
    <cellStyle name="Input 2 7 27 4" xfId="8455"/>
    <cellStyle name="Input 2 7 27 5" xfId="8456"/>
    <cellStyle name="Input 2 7 28" xfId="8457"/>
    <cellStyle name="Input 2 7 28 2" xfId="8458"/>
    <cellStyle name="Input 2 7 28 2 2" xfId="8459"/>
    <cellStyle name="Input 2 7 28 2 2 2" xfId="8460"/>
    <cellStyle name="Input 2 7 28 2 3" xfId="8461"/>
    <cellStyle name="Input 2 7 28 3" xfId="8462"/>
    <cellStyle name="Input 2 7 28 3 2" xfId="8463"/>
    <cellStyle name="Input 2 7 28 4" xfId="8464"/>
    <cellStyle name="Input 2 7 28 5" xfId="8465"/>
    <cellStyle name="Input 2 7 29" xfId="8466"/>
    <cellStyle name="Input 2 7 29 2" xfId="8467"/>
    <cellStyle name="Input 2 7 29 2 2" xfId="8468"/>
    <cellStyle name="Input 2 7 29 2 2 2" xfId="8469"/>
    <cellStyle name="Input 2 7 29 2 3" xfId="8470"/>
    <cellStyle name="Input 2 7 29 3" xfId="8471"/>
    <cellStyle name="Input 2 7 29 3 2" xfId="8472"/>
    <cellStyle name="Input 2 7 29 4" xfId="8473"/>
    <cellStyle name="Input 2 7 29 5" xfId="8474"/>
    <cellStyle name="Input 2 7 3" xfId="8475"/>
    <cellStyle name="Input 2 7 3 2" xfId="8476"/>
    <cellStyle name="Input 2 7 3 2 2" xfId="8477"/>
    <cellStyle name="Input 2 7 3 2 2 2" xfId="8478"/>
    <cellStyle name="Input 2 7 3 2 3" xfId="8479"/>
    <cellStyle name="Input 2 7 3 3" xfId="8480"/>
    <cellStyle name="Input 2 7 3 3 2" xfId="8481"/>
    <cellStyle name="Input 2 7 3 3 2 2" xfId="8482"/>
    <cellStyle name="Input 2 7 3 3 3" xfId="8483"/>
    <cellStyle name="Input 2 7 3 4" xfId="8484"/>
    <cellStyle name="Input 2 7 3 4 2" xfId="8485"/>
    <cellStyle name="Input 2 7 3 5" xfId="8486"/>
    <cellStyle name="Input 2 7 3 6" xfId="8487"/>
    <cellStyle name="Input 2 7 30" xfId="8488"/>
    <cellStyle name="Input 2 7 30 2" xfId="8489"/>
    <cellStyle name="Input 2 7 30 2 2" xfId="8490"/>
    <cellStyle name="Input 2 7 30 2 2 2" xfId="8491"/>
    <cellStyle name="Input 2 7 30 2 3" xfId="8492"/>
    <cellStyle name="Input 2 7 30 3" xfId="8493"/>
    <cellStyle name="Input 2 7 30 3 2" xfId="8494"/>
    <cellStyle name="Input 2 7 30 4" xfId="8495"/>
    <cellStyle name="Input 2 7 30 5" xfId="8496"/>
    <cellStyle name="Input 2 7 31" xfId="8497"/>
    <cellStyle name="Input 2 7 31 2" xfId="8498"/>
    <cellStyle name="Input 2 7 31 2 2" xfId="8499"/>
    <cellStyle name="Input 2 7 31 2 2 2" xfId="8500"/>
    <cellStyle name="Input 2 7 31 2 3" xfId="8501"/>
    <cellStyle name="Input 2 7 31 3" xfId="8502"/>
    <cellStyle name="Input 2 7 31 3 2" xfId="8503"/>
    <cellStyle name="Input 2 7 31 4" xfId="8504"/>
    <cellStyle name="Input 2 7 31 5" xfId="8505"/>
    <cellStyle name="Input 2 7 32" xfId="8506"/>
    <cellStyle name="Input 2 7 32 2" xfId="8507"/>
    <cellStyle name="Input 2 7 32 2 2" xfId="8508"/>
    <cellStyle name="Input 2 7 32 2 2 2" xfId="8509"/>
    <cellStyle name="Input 2 7 32 2 3" xfId="8510"/>
    <cellStyle name="Input 2 7 32 3" xfId="8511"/>
    <cellStyle name="Input 2 7 32 3 2" xfId="8512"/>
    <cellStyle name="Input 2 7 32 4" xfId="8513"/>
    <cellStyle name="Input 2 7 32 5" xfId="8514"/>
    <cellStyle name="Input 2 7 33" xfId="8515"/>
    <cellStyle name="Input 2 7 33 2" xfId="8516"/>
    <cellStyle name="Input 2 7 33 2 2" xfId="8517"/>
    <cellStyle name="Input 2 7 33 2 2 2" xfId="8518"/>
    <cellStyle name="Input 2 7 33 2 3" xfId="8519"/>
    <cellStyle name="Input 2 7 33 3" xfId="8520"/>
    <cellStyle name="Input 2 7 33 3 2" xfId="8521"/>
    <cellStyle name="Input 2 7 33 4" xfId="8522"/>
    <cellStyle name="Input 2 7 33 5" xfId="8523"/>
    <cellStyle name="Input 2 7 34" xfId="8524"/>
    <cellStyle name="Input 2 7 34 2" xfId="8525"/>
    <cellStyle name="Input 2 7 34 2 2" xfId="8526"/>
    <cellStyle name="Input 2 7 34 2 2 2" xfId="8527"/>
    <cellStyle name="Input 2 7 34 2 3" xfId="8528"/>
    <cellStyle name="Input 2 7 34 3" xfId="8529"/>
    <cellStyle name="Input 2 7 34 3 2" xfId="8530"/>
    <cellStyle name="Input 2 7 34 4" xfId="8531"/>
    <cellStyle name="Input 2 7 34 5" xfId="8532"/>
    <cellStyle name="Input 2 7 35" xfId="8533"/>
    <cellStyle name="Input 2 7 35 2" xfId="8534"/>
    <cellStyle name="Input 2 7 35 2 2" xfId="8535"/>
    <cellStyle name="Input 2 7 35 2 2 2" xfId="8536"/>
    <cellStyle name="Input 2 7 35 2 3" xfId="8537"/>
    <cellStyle name="Input 2 7 35 3" xfId="8538"/>
    <cellStyle name="Input 2 7 35 3 2" xfId="8539"/>
    <cellStyle name="Input 2 7 35 4" xfId="8540"/>
    <cellStyle name="Input 2 7 35 5" xfId="8541"/>
    <cellStyle name="Input 2 7 36" xfId="8542"/>
    <cellStyle name="Input 2 7 36 2" xfId="8543"/>
    <cellStyle name="Input 2 7 36 2 2" xfId="8544"/>
    <cellStyle name="Input 2 7 36 2 2 2" xfId="8545"/>
    <cellStyle name="Input 2 7 36 2 3" xfId="8546"/>
    <cellStyle name="Input 2 7 36 3" xfId="8547"/>
    <cellStyle name="Input 2 7 36 3 2" xfId="8548"/>
    <cellStyle name="Input 2 7 36 4" xfId="8549"/>
    <cellStyle name="Input 2 7 36 5" xfId="8550"/>
    <cellStyle name="Input 2 7 37" xfId="8551"/>
    <cellStyle name="Input 2 7 37 2" xfId="8552"/>
    <cellStyle name="Input 2 7 37 2 2" xfId="8553"/>
    <cellStyle name="Input 2 7 37 2 2 2" xfId="8554"/>
    <cellStyle name="Input 2 7 37 2 3" xfId="8555"/>
    <cellStyle name="Input 2 7 37 3" xfId="8556"/>
    <cellStyle name="Input 2 7 37 3 2" xfId="8557"/>
    <cellStyle name="Input 2 7 37 4" xfId="8558"/>
    <cellStyle name="Input 2 7 37 5" xfId="8559"/>
    <cellStyle name="Input 2 7 38" xfId="8560"/>
    <cellStyle name="Input 2 7 38 2" xfId="8561"/>
    <cellStyle name="Input 2 7 38 2 2" xfId="8562"/>
    <cellStyle name="Input 2 7 38 2 2 2" xfId="8563"/>
    <cellStyle name="Input 2 7 38 2 3" xfId="8564"/>
    <cellStyle name="Input 2 7 38 3" xfId="8565"/>
    <cellStyle name="Input 2 7 38 3 2" xfId="8566"/>
    <cellStyle name="Input 2 7 38 4" xfId="8567"/>
    <cellStyle name="Input 2 7 38 5" xfId="8568"/>
    <cellStyle name="Input 2 7 39" xfId="8569"/>
    <cellStyle name="Input 2 7 39 2" xfId="8570"/>
    <cellStyle name="Input 2 7 39 2 2" xfId="8571"/>
    <cellStyle name="Input 2 7 39 2 2 2" xfId="8572"/>
    <cellStyle name="Input 2 7 39 2 3" xfId="8573"/>
    <cellStyle name="Input 2 7 39 3" xfId="8574"/>
    <cellStyle name="Input 2 7 39 3 2" xfId="8575"/>
    <cellStyle name="Input 2 7 39 4" xfId="8576"/>
    <cellStyle name="Input 2 7 39 5" xfId="8577"/>
    <cellStyle name="Input 2 7 4" xfId="8578"/>
    <cellStyle name="Input 2 7 4 2" xfId="8579"/>
    <cellStyle name="Input 2 7 4 2 2" xfId="8580"/>
    <cellStyle name="Input 2 7 4 2 2 2" xfId="8581"/>
    <cellStyle name="Input 2 7 4 2 3" xfId="8582"/>
    <cellStyle name="Input 2 7 4 3" xfId="8583"/>
    <cellStyle name="Input 2 7 4 3 2" xfId="8584"/>
    <cellStyle name="Input 2 7 4 3 2 2" xfId="8585"/>
    <cellStyle name="Input 2 7 4 3 3" xfId="8586"/>
    <cellStyle name="Input 2 7 4 4" xfId="8587"/>
    <cellStyle name="Input 2 7 4 4 2" xfId="8588"/>
    <cellStyle name="Input 2 7 4 5" xfId="8589"/>
    <cellStyle name="Input 2 7 4 6" xfId="8590"/>
    <cellStyle name="Input 2 7 40" xfId="8591"/>
    <cellStyle name="Input 2 7 40 2" xfId="8592"/>
    <cellStyle name="Input 2 7 40 2 2" xfId="8593"/>
    <cellStyle name="Input 2 7 40 2 2 2" xfId="8594"/>
    <cellStyle name="Input 2 7 40 2 3" xfId="8595"/>
    <cellStyle name="Input 2 7 40 3" xfId="8596"/>
    <cellStyle name="Input 2 7 40 3 2" xfId="8597"/>
    <cellStyle name="Input 2 7 40 4" xfId="8598"/>
    <cellStyle name="Input 2 7 40 5" xfId="8599"/>
    <cellStyle name="Input 2 7 41" xfId="8600"/>
    <cellStyle name="Input 2 7 41 2" xfId="8601"/>
    <cellStyle name="Input 2 7 41 2 2" xfId="8602"/>
    <cellStyle name="Input 2 7 41 2 2 2" xfId="8603"/>
    <cellStyle name="Input 2 7 41 2 3" xfId="8604"/>
    <cellStyle name="Input 2 7 41 3" xfId="8605"/>
    <cellStyle name="Input 2 7 41 3 2" xfId="8606"/>
    <cellStyle name="Input 2 7 41 4" xfId="8607"/>
    <cellStyle name="Input 2 7 41 5" xfId="8608"/>
    <cellStyle name="Input 2 7 42" xfId="8609"/>
    <cellStyle name="Input 2 7 42 2" xfId="8610"/>
    <cellStyle name="Input 2 7 42 2 2" xfId="8611"/>
    <cellStyle name="Input 2 7 42 2 2 2" xfId="8612"/>
    <cellStyle name="Input 2 7 42 2 3" xfId="8613"/>
    <cellStyle name="Input 2 7 42 3" xfId="8614"/>
    <cellStyle name="Input 2 7 42 3 2" xfId="8615"/>
    <cellStyle name="Input 2 7 42 4" xfId="8616"/>
    <cellStyle name="Input 2 7 42 5" xfId="8617"/>
    <cellStyle name="Input 2 7 43" xfId="8618"/>
    <cellStyle name="Input 2 7 43 2" xfId="8619"/>
    <cellStyle name="Input 2 7 43 2 2" xfId="8620"/>
    <cellStyle name="Input 2 7 43 2 2 2" xfId="8621"/>
    <cellStyle name="Input 2 7 43 2 3" xfId="8622"/>
    <cellStyle name="Input 2 7 43 3" xfId="8623"/>
    <cellStyle name="Input 2 7 43 3 2" xfId="8624"/>
    <cellStyle name="Input 2 7 43 4" xfId="8625"/>
    <cellStyle name="Input 2 7 43 5" xfId="8626"/>
    <cellStyle name="Input 2 7 44" xfId="8627"/>
    <cellStyle name="Input 2 7 44 2" xfId="8628"/>
    <cellStyle name="Input 2 7 44 2 2" xfId="8629"/>
    <cellStyle name="Input 2 7 44 2 2 2" xfId="8630"/>
    <cellStyle name="Input 2 7 44 2 3" xfId="8631"/>
    <cellStyle name="Input 2 7 44 3" xfId="8632"/>
    <cellStyle name="Input 2 7 44 3 2" xfId="8633"/>
    <cellStyle name="Input 2 7 44 4" xfId="8634"/>
    <cellStyle name="Input 2 7 44 5" xfId="8635"/>
    <cellStyle name="Input 2 7 45" xfId="8636"/>
    <cellStyle name="Input 2 7 45 2" xfId="8637"/>
    <cellStyle name="Input 2 7 45 2 2" xfId="8638"/>
    <cellStyle name="Input 2 7 45 2 2 2" xfId="8639"/>
    <cellStyle name="Input 2 7 45 2 3" xfId="8640"/>
    <cellStyle name="Input 2 7 45 3" xfId="8641"/>
    <cellStyle name="Input 2 7 45 3 2" xfId="8642"/>
    <cellStyle name="Input 2 7 45 4" xfId="8643"/>
    <cellStyle name="Input 2 7 45 5" xfId="8644"/>
    <cellStyle name="Input 2 7 46" xfId="8645"/>
    <cellStyle name="Input 2 7 46 2" xfId="8646"/>
    <cellStyle name="Input 2 7 46 2 2" xfId="8647"/>
    <cellStyle name="Input 2 7 46 2 2 2" xfId="8648"/>
    <cellStyle name="Input 2 7 46 2 3" xfId="8649"/>
    <cellStyle name="Input 2 7 46 3" xfId="8650"/>
    <cellStyle name="Input 2 7 46 3 2" xfId="8651"/>
    <cellStyle name="Input 2 7 46 4" xfId="8652"/>
    <cellStyle name="Input 2 7 46 5" xfId="8653"/>
    <cellStyle name="Input 2 7 47" xfId="8654"/>
    <cellStyle name="Input 2 7 47 2" xfId="8655"/>
    <cellStyle name="Input 2 7 47 2 2" xfId="8656"/>
    <cellStyle name="Input 2 7 47 2 2 2" xfId="8657"/>
    <cellStyle name="Input 2 7 47 2 3" xfId="8658"/>
    <cellStyle name="Input 2 7 47 3" xfId="8659"/>
    <cellStyle name="Input 2 7 47 3 2" xfId="8660"/>
    <cellStyle name="Input 2 7 47 4" xfId="8661"/>
    <cellStyle name="Input 2 7 47 5" xfId="8662"/>
    <cellStyle name="Input 2 7 48" xfId="8663"/>
    <cellStyle name="Input 2 7 48 2" xfId="8664"/>
    <cellStyle name="Input 2 7 48 2 2" xfId="8665"/>
    <cellStyle name="Input 2 7 48 2 2 2" xfId="8666"/>
    <cellStyle name="Input 2 7 48 2 3" xfId="8667"/>
    <cellStyle name="Input 2 7 48 3" xfId="8668"/>
    <cellStyle name="Input 2 7 48 3 2" xfId="8669"/>
    <cellStyle name="Input 2 7 48 4" xfId="8670"/>
    <cellStyle name="Input 2 7 48 5" xfId="8671"/>
    <cellStyle name="Input 2 7 49" xfId="8672"/>
    <cellStyle name="Input 2 7 49 2" xfId="8673"/>
    <cellStyle name="Input 2 7 49 2 2" xfId="8674"/>
    <cellStyle name="Input 2 7 49 3" xfId="8675"/>
    <cellStyle name="Input 2 7 5" xfId="8676"/>
    <cellStyle name="Input 2 7 5 2" xfId="8677"/>
    <cellStyle name="Input 2 7 5 2 2" xfId="8678"/>
    <cellStyle name="Input 2 7 5 2 2 2" xfId="8679"/>
    <cellStyle name="Input 2 7 5 2 3" xfId="8680"/>
    <cellStyle name="Input 2 7 5 3" xfId="8681"/>
    <cellStyle name="Input 2 7 5 3 2" xfId="8682"/>
    <cellStyle name="Input 2 7 5 3 2 2" xfId="8683"/>
    <cellStyle name="Input 2 7 5 3 3" xfId="8684"/>
    <cellStyle name="Input 2 7 5 4" xfId="8685"/>
    <cellStyle name="Input 2 7 5 4 2" xfId="8686"/>
    <cellStyle name="Input 2 7 5 5" xfId="8687"/>
    <cellStyle name="Input 2 7 5 6" xfId="8688"/>
    <cellStyle name="Input 2 7 50" xfId="8689"/>
    <cellStyle name="Input 2 7 50 2" xfId="8690"/>
    <cellStyle name="Input 2 7 50 2 2" xfId="8691"/>
    <cellStyle name="Input 2 7 50 3" xfId="8692"/>
    <cellStyle name="Input 2 7 51" xfId="8693"/>
    <cellStyle name="Input 2 7 51 2" xfId="8694"/>
    <cellStyle name="Input 2 7 51 2 2" xfId="8695"/>
    <cellStyle name="Input 2 7 51 3" xfId="8696"/>
    <cellStyle name="Input 2 7 52" xfId="8697"/>
    <cellStyle name="Input 2 7 52 2" xfId="8698"/>
    <cellStyle name="Input 2 7 53" xfId="8699"/>
    <cellStyle name="Input 2 7 54" xfId="8700"/>
    <cellStyle name="Input 2 7 6" xfId="8701"/>
    <cellStyle name="Input 2 7 6 2" xfId="8702"/>
    <cellStyle name="Input 2 7 6 2 2" xfId="8703"/>
    <cellStyle name="Input 2 7 6 2 2 2" xfId="8704"/>
    <cellStyle name="Input 2 7 6 2 3" xfId="8705"/>
    <cellStyle name="Input 2 7 6 3" xfId="8706"/>
    <cellStyle name="Input 2 7 6 3 2" xfId="8707"/>
    <cellStyle name="Input 2 7 6 3 2 2" xfId="8708"/>
    <cellStyle name="Input 2 7 6 3 3" xfId="8709"/>
    <cellStyle name="Input 2 7 6 4" xfId="8710"/>
    <cellStyle name="Input 2 7 6 4 2" xfId="8711"/>
    <cellStyle name="Input 2 7 6 5" xfId="8712"/>
    <cellStyle name="Input 2 7 6 6" xfId="8713"/>
    <cellStyle name="Input 2 7 7" xfId="8714"/>
    <cellStyle name="Input 2 7 7 2" xfId="8715"/>
    <cellStyle name="Input 2 7 7 2 2" xfId="8716"/>
    <cellStyle name="Input 2 7 7 2 2 2" xfId="8717"/>
    <cellStyle name="Input 2 7 7 2 3" xfId="8718"/>
    <cellStyle name="Input 2 7 7 3" xfId="8719"/>
    <cellStyle name="Input 2 7 7 3 2" xfId="8720"/>
    <cellStyle name="Input 2 7 7 3 2 2" xfId="8721"/>
    <cellStyle name="Input 2 7 7 3 3" xfId="8722"/>
    <cellStyle name="Input 2 7 7 4" xfId="8723"/>
    <cellStyle name="Input 2 7 7 4 2" xfId="8724"/>
    <cellStyle name="Input 2 7 7 5" xfId="8725"/>
    <cellStyle name="Input 2 7 7 6" xfId="8726"/>
    <cellStyle name="Input 2 7 8" xfId="8727"/>
    <cellStyle name="Input 2 7 8 2" xfId="8728"/>
    <cellStyle name="Input 2 7 8 2 2" xfId="8729"/>
    <cellStyle name="Input 2 7 8 2 2 2" xfId="8730"/>
    <cellStyle name="Input 2 7 8 2 3" xfId="8731"/>
    <cellStyle name="Input 2 7 8 3" xfId="8732"/>
    <cellStyle name="Input 2 7 8 3 2" xfId="8733"/>
    <cellStyle name="Input 2 7 8 3 2 2" xfId="8734"/>
    <cellStyle name="Input 2 7 8 3 3" xfId="8735"/>
    <cellStyle name="Input 2 7 8 4" xfId="8736"/>
    <cellStyle name="Input 2 7 8 4 2" xfId="8737"/>
    <cellStyle name="Input 2 7 8 5" xfId="8738"/>
    <cellStyle name="Input 2 7 8 6" xfId="8739"/>
    <cellStyle name="Input 2 7 9" xfId="8740"/>
    <cellStyle name="Input 2 7 9 2" xfId="8741"/>
    <cellStyle name="Input 2 7 9 2 2" xfId="8742"/>
    <cellStyle name="Input 2 7 9 2 2 2" xfId="8743"/>
    <cellStyle name="Input 2 7 9 2 3" xfId="8744"/>
    <cellStyle name="Input 2 7 9 3" xfId="8745"/>
    <cellStyle name="Input 2 7 9 3 2" xfId="8746"/>
    <cellStyle name="Input 2 7 9 4" xfId="8747"/>
    <cellStyle name="Input 2 7 9 5" xfId="8748"/>
    <cellStyle name="Input 2 8" xfId="8749"/>
    <cellStyle name="Input 2 8 10" xfId="8750"/>
    <cellStyle name="Input 2 8 10 2" xfId="8751"/>
    <cellStyle name="Input 2 8 10 2 2" xfId="8752"/>
    <cellStyle name="Input 2 8 10 2 2 2" xfId="8753"/>
    <cellStyle name="Input 2 8 10 2 3" xfId="8754"/>
    <cellStyle name="Input 2 8 10 3" xfId="8755"/>
    <cellStyle name="Input 2 8 10 3 2" xfId="8756"/>
    <cellStyle name="Input 2 8 10 4" xfId="8757"/>
    <cellStyle name="Input 2 8 10 5" xfId="8758"/>
    <cellStyle name="Input 2 8 11" xfId="8759"/>
    <cellStyle name="Input 2 8 11 2" xfId="8760"/>
    <cellStyle name="Input 2 8 11 2 2" xfId="8761"/>
    <cellStyle name="Input 2 8 11 2 2 2" xfId="8762"/>
    <cellStyle name="Input 2 8 11 2 3" xfId="8763"/>
    <cellStyle name="Input 2 8 11 3" xfId="8764"/>
    <cellStyle name="Input 2 8 11 3 2" xfId="8765"/>
    <cellStyle name="Input 2 8 11 4" xfId="8766"/>
    <cellStyle name="Input 2 8 11 5" xfId="8767"/>
    <cellStyle name="Input 2 8 12" xfId="8768"/>
    <cellStyle name="Input 2 8 12 2" xfId="8769"/>
    <cellStyle name="Input 2 8 12 2 2" xfId="8770"/>
    <cellStyle name="Input 2 8 12 2 2 2" xfId="8771"/>
    <cellStyle name="Input 2 8 12 2 3" xfId="8772"/>
    <cellStyle name="Input 2 8 12 3" xfId="8773"/>
    <cellStyle name="Input 2 8 12 3 2" xfId="8774"/>
    <cellStyle name="Input 2 8 12 4" xfId="8775"/>
    <cellStyle name="Input 2 8 12 5" xfId="8776"/>
    <cellStyle name="Input 2 8 13" xfId="8777"/>
    <cellStyle name="Input 2 8 13 2" xfId="8778"/>
    <cellStyle name="Input 2 8 13 2 2" xfId="8779"/>
    <cellStyle name="Input 2 8 13 2 2 2" xfId="8780"/>
    <cellStyle name="Input 2 8 13 2 3" xfId="8781"/>
    <cellStyle name="Input 2 8 13 3" xfId="8782"/>
    <cellStyle name="Input 2 8 13 3 2" xfId="8783"/>
    <cellStyle name="Input 2 8 13 4" xfId="8784"/>
    <cellStyle name="Input 2 8 13 5" xfId="8785"/>
    <cellStyle name="Input 2 8 14" xfId="8786"/>
    <cellStyle name="Input 2 8 14 2" xfId="8787"/>
    <cellStyle name="Input 2 8 14 2 2" xfId="8788"/>
    <cellStyle name="Input 2 8 14 2 2 2" xfId="8789"/>
    <cellStyle name="Input 2 8 14 2 3" xfId="8790"/>
    <cellStyle name="Input 2 8 14 3" xfId="8791"/>
    <cellStyle name="Input 2 8 14 3 2" xfId="8792"/>
    <cellStyle name="Input 2 8 14 4" xfId="8793"/>
    <cellStyle name="Input 2 8 14 5" xfId="8794"/>
    <cellStyle name="Input 2 8 15" xfId="8795"/>
    <cellStyle name="Input 2 8 15 2" xfId="8796"/>
    <cellStyle name="Input 2 8 15 2 2" xfId="8797"/>
    <cellStyle name="Input 2 8 15 2 2 2" xfId="8798"/>
    <cellStyle name="Input 2 8 15 2 3" xfId="8799"/>
    <cellStyle name="Input 2 8 15 3" xfId="8800"/>
    <cellStyle name="Input 2 8 15 3 2" xfId="8801"/>
    <cellStyle name="Input 2 8 15 4" xfId="8802"/>
    <cellStyle name="Input 2 8 15 5" xfId="8803"/>
    <cellStyle name="Input 2 8 16" xfId="8804"/>
    <cellStyle name="Input 2 8 16 2" xfId="8805"/>
    <cellStyle name="Input 2 8 16 2 2" xfId="8806"/>
    <cellStyle name="Input 2 8 16 2 2 2" xfId="8807"/>
    <cellStyle name="Input 2 8 16 2 3" xfId="8808"/>
    <cellStyle name="Input 2 8 16 3" xfId="8809"/>
    <cellStyle name="Input 2 8 16 3 2" xfId="8810"/>
    <cellStyle name="Input 2 8 16 4" xfId="8811"/>
    <cellStyle name="Input 2 8 16 5" xfId="8812"/>
    <cellStyle name="Input 2 8 17" xfId="8813"/>
    <cellStyle name="Input 2 8 17 2" xfId="8814"/>
    <cellStyle name="Input 2 8 17 2 2" xfId="8815"/>
    <cellStyle name="Input 2 8 17 2 2 2" xfId="8816"/>
    <cellStyle name="Input 2 8 17 2 3" xfId="8817"/>
    <cellStyle name="Input 2 8 17 3" xfId="8818"/>
    <cellStyle name="Input 2 8 17 3 2" xfId="8819"/>
    <cellStyle name="Input 2 8 17 4" xfId="8820"/>
    <cellStyle name="Input 2 8 17 5" xfId="8821"/>
    <cellStyle name="Input 2 8 18" xfId="8822"/>
    <cellStyle name="Input 2 8 18 2" xfId="8823"/>
    <cellStyle name="Input 2 8 18 2 2" xfId="8824"/>
    <cellStyle name="Input 2 8 18 2 2 2" xfId="8825"/>
    <cellStyle name="Input 2 8 18 2 3" xfId="8826"/>
    <cellStyle name="Input 2 8 18 3" xfId="8827"/>
    <cellStyle name="Input 2 8 18 3 2" xfId="8828"/>
    <cellStyle name="Input 2 8 18 4" xfId="8829"/>
    <cellStyle name="Input 2 8 18 5" xfId="8830"/>
    <cellStyle name="Input 2 8 19" xfId="8831"/>
    <cellStyle name="Input 2 8 19 2" xfId="8832"/>
    <cellStyle name="Input 2 8 19 2 2" xfId="8833"/>
    <cellStyle name="Input 2 8 19 2 2 2" xfId="8834"/>
    <cellStyle name="Input 2 8 19 2 3" xfId="8835"/>
    <cellStyle name="Input 2 8 19 3" xfId="8836"/>
    <cellStyle name="Input 2 8 19 3 2" xfId="8837"/>
    <cellStyle name="Input 2 8 19 4" xfId="8838"/>
    <cellStyle name="Input 2 8 19 5" xfId="8839"/>
    <cellStyle name="Input 2 8 2" xfId="8840"/>
    <cellStyle name="Input 2 8 2 2" xfId="8841"/>
    <cellStyle name="Input 2 8 2 2 2" xfId="8842"/>
    <cellStyle name="Input 2 8 2 2 2 2" xfId="8843"/>
    <cellStyle name="Input 2 8 2 2 3" xfId="8844"/>
    <cellStyle name="Input 2 8 2 3" xfId="8845"/>
    <cellStyle name="Input 2 8 2 3 2" xfId="8846"/>
    <cellStyle name="Input 2 8 2 3 2 2" xfId="8847"/>
    <cellStyle name="Input 2 8 2 3 3" xfId="8848"/>
    <cellStyle name="Input 2 8 2 4" xfId="8849"/>
    <cellStyle name="Input 2 8 2 4 2" xfId="8850"/>
    <cellStyle name="Input 2 8 2 5" xfId="8851"/>
    <cellStyle name="Input 2 8 2 6" xfId="8852"/>
    <cellStyle name="Input 2 8 20" xfId="8853"/>
    <cellStyle name="Input 2 8 20 2" xfId="8854"/>
    <cellStyle name="Input 2 8 20 2 2" xfId="8855"/>
    <cellStyle name="Input 2 8 20 2 2 2" xfId="8856"/>
    <cellStyle name="Input 2 8 20 2 3" xfId="8857"/>
    <cellStyle name="Input 2 8 20 3" xfId="8858"/>
    <cellStyle name="Input 2 8 20 3 2" xfId="8859"/>
    <cellStyle name="Input 2 8 20 4" xfId="8860"/>
    <cellStyle name="Input 2 8 20 5" xfId="8861"/>
    <cellStyle name="Input 2 8 21" xfId="8862"/>
    <cellStyle name="Input 2 8 21 2" xfId="8863"/>
    <cellStyle name="Input 2 8 21 2 2" xfId="8864"/>
    <cellStyle name="Input 2 8 21 2 2 2" xfId="8865"/>
    <cellStyle name="Input 2 8 21 2 3" xfId="8866"/>
    <cellStyle name="Input 2 8 21 3" xfId="8867"/>
    <cellStyle name="Input 2 8 21 3 2" xfId="8868"/>
    <cellStyle name="Input 2 8 21 4" xfId="8869"/>
    <cellStyle name="Input 2 8 21 5" xfId="8870"/>
    <cellStyle name="Input 2 8 22" xfId="8871"/>
    <cellStyle name="Input 2 8 22 2" xfId="8872"/>
    <cellStyle name="Input 2 8 22 2 2" xfId="8873"/>
    <cellStyle name="Input 2 8 22 2 2 2" xfId="8874"/>
    <cellStyle name="Input 2 8 22 2 3" xfId="8875"/>
    <cellStyle name="Input 2 8 22 3" xfId="8876"/>
    <cellStyle name="Input 2 8 22 3 2" xfId="8877"/>
    <cellStyle name="Input 2 8 22 4" xfId="8878"/>
    <cellStyle name="Input 2 8 22 5" xfId="8879"/>
    <cellStyle name="Input 2 8 23" xfId="8880"/>
    <cellStyle name="Input 2 8 23 2" xfId="8881"/>
    <cellStyle name="Input 2 8 23 2 2" xfId="8882"/>
    <cellStyle name="Input 2 8 23 2 2 2" xfId="8883"/>
    <cellStyle name="Input 2 8 23 2 3" xfId="8884"/>
    <cellStyle name="Input 2 8 23 3" xfId="8885"/>
    <cellStyle name="Input 2 8 23 3 2" xfId="8886"/>
    <cellStyle name="Input 2 8 23 4" xfId="8887"/>
    <cellStyle name="Input 2 8 23 5" xfId="8888"/>
    <cellStyle name="Input 2 8 24" xfId="8889"/>
    <cellStyle name="Input 2 8 24 2" xfId="8890"/>
    <cellStyle name="Input 2 8 24 2 2" xfId="8891"/>
    <cellStyle name="Input 2 8 24 2 2 2" xfId="8892"/>
    <cellStyle name="Input 2 8 24 2 3" xfId="8893"/>
    <cellStyle name="Input 2 8 24 3" xfId="8894"/>
    <cellStyle name="Input 2 8 24 3 2" xfId="8895"/>
    <cellStyle name="Input 2 8 24 4" xfId="8896"/>
    <cellStyle name="Input 2 8 24 5" xfId="8897"/>
    <cellStyle name="Input 2 8 25" xfId="8898"/>
    <cellStyle name="Input 2 8 25 2" xfId="8899"/>
    <cellStyle name="Input 2 8 25 2 2" xfId="8900"/>
    <cellStyle name="Input 2 8 25 2 2 2" xfId="8901"/>
    <cellStyle name="Input 2 8 25 2 3" xfId="8902"/>
    <cellStyle name="Input 2 8 25 3" xfId="8903"/>
    <cellStyle name="Input 2 8 25 3 2" xfId="8904"/>
    <cellStyle name="Input 2 8 25 4" xfId="8905"/>
    <cellStyle name="Input 2 8 25 5" xfId="8906"/>
    <cellStyle name="Input 2 8 26" xfId="8907"/>
    <cellStyle name="Input 2 8 26 2" xfId="8908"/>
    <cellStyle name="Input 2 8 26 2 2" xfId="8909"/>
    <cellStyle name="Input 2 8 26 2 2 2" xfId="8910"/>
    <cellStyle name="Input 2 8 26 2 3" xfId="8911"/>
    <cellStyle name="Input 2 8 26 3" xfId="8912"/>
    <cellStyle name="Input 2 8 26 3 2" xfId="8913"/>
    <cellStyle name="Input 2 8 26 4" xfId="8914"/>
    <cellStyle name="Input 2 8 26 5" xfId="8915"/>
    <cellStyle name="Input 2 8 27" xfId="8916"/>
    <cellStyle name="Input 2 8 27 2" xfId="8917"/>
    <cellStyle name="Input 2 8 27 2 2" xfId="8918"/>
    <cellStyle name="Input 2 8 27 2 2 2" xfId="8919"/>
    <cellStyle name="Input 2 8 27 2 3" xfId="8920"/>
    <cellStyle name="Input 2 8 27 3" xfId="8921"/>
    <cellStyle name="Input 2 8 27 3 2" xfId="8922"/>
    <cellStyle name="Input 2 8 27 4" xfId="8923"/>
    <cellStyle name="Input 2 8 27 5" xfId="8924"/>
    <cellStyle name="Input 2 8 28" xfId="8925"/>
    <cellStyle name="Input 2 8 28 2" xfId="8926"/>
    <cellStyle name="Input 2 8 28 2 2" xfId="8927"/>
    <cellStyle name="Input 2 8 28 2 2 2" xfId="8928"/>
    <cellStyle name="Input 2 8 28 2 3" xfId="8929"/>
    <cellStyle name="Input 2 8 28 3" xfId="8930"/>
    <cellStyle name="Input 2 8 28 3 2" xfId="8931"/>
    <cellStyle name="Input 2 8 28 4" xfId="8932"/>
    <cellStyle name="Input 2 8 28 5" xfId="8933"/>
    <cellStyle name="Input 2 8 29" xfId="8934"/>
    <cellStyle name="Input 2 8 29 2" xfId="8935"/>
    <cellStyle name="Input 2 8 29 2 2" xfId="8936"/>
    <cellStyle name="Input 2 8 29 2 2 2" xfId="8937"/>
    <cellStyle name="Input 2 8 29 2 3" xfId="8938"/>
    <cellStyle name="Input 2 8 29 3" xfId="8939"/>
    <cellStyle name="Input 2 8 29 3 2" xfId="8940"/>
    <cellStyle name="Input 2 8 29 4" xfId="8941"/>
    <cellStyle name="Input 2 8 29 5" xfId="8942"/>
    <cellStyle name="Input 2 8 3" xfId="8943"/>
    <cellStyle name="Input 2 8 3 2" xfId="8944"/>
    <cellStyle name="Input 2 8 3 2 2" xfId="8945"/>
    <cellStyle name="Input 2 8 3 2 2 2" xfId="8946"/>
    <cellStyle name="Input 2 8 3 2 3" xfId="8947"/>
    <cellStyle name="Input 2 8 3 3" xfId="8948"/>
    <cellStyle name="Input 2 8 3 3 2" xfId="8949"/>
    <cellStyle name="Input 2 8 3 3 2 2" xfId="8950"/>
    <cellStyle name="Input 2 8 3 3 3" xfId="8951"/>
    <cellStyle name="Input 2 8 3 4" xfId="8952"/>
    <cellStyle name="Input 2 8 3 4 2" xfId="8953"/>
    <cellStyle name="Input 2 8 3 5" xfId="8954"/>
    <cellStyle name="Input 2 8 3 6" xfId="8955"/>
    <cellStyle name="Input 2 8 30" xfId="8956"/>
    <cellStyle name="Input 2 8 30 2" xfId="8957"/>
    <cellStyle name="Input 2 8 30 2 2" xfId="8958"/>
    <cellStyle name="Input 2 8 30 2 2 2" xfId="8959"/>
    <cellStyle name="Input 2 8 30 2 3" xfId="8960"/>
    <cellStyle name="Input 2 8 30 3" xfId="8961"/>
    <cellStyle name="Input 2 8 30 3 2" xfId="8962"/>
    <cellStyle name="Input 2 8 30 4" xfId="8963"/>
    <cellStyle name="Input 2 8 30 5" xfId="8964"/>
    <cellStyle name="Input 2 8 31" xfId="8965"/>
    <cellStyle name="Input 2 8 31 2" xfId="8966"/>
    <cellStyle name="Input 2 8 31 2 2" xfId="8967"/>
    <cellStyle name="Input 2 8 31 2 2 2" xfId="8968"/>
    <cellStyle name="Input 2 8 31 2 3" xfId="8969"/>
    <cellStyle name="Input 2 8 31 3" xfId="8970"/>
    <cellStyle name="Input 2 8 31 3 2" xfId="8971"/>
    <cellStyle name="Input 2 8 31 4" xfId="8972"/>
    <cellStyle name="Input 2 8 31 5" xfId="8973"/>
    <cellStyle name="Input 2 8 32" xfId="8974"/>
    <cellStyle name="Input 2 8 32 2" xfId="8975"/>
    <cellStyle name="Input 2 8 32 2 2" xfId="8976"/>
    <cellStyle name="Input 2 8 32 2 2 2" xfId="8977"/>
    <cellStyle name="Input 2 8 32 2 3" xfId="8978"/>
    <cellStyle name="Input 2 8 32 3" xfId="8979"/>
    <cellStyle name="Input 2 8 32 3 2" xfId="8980"/>
    <cellStyle name="Input 2 8 32 4" xfId="8981"/>
    <cellStyle name="Input 2 8 32 5" xfId="8982"/>
    <cellStyle name="Input 2 8 33" xfId="8983"/>
    <cellStyle name="Input 2 8 33 2" xfId="8984"/>
    <cellStyle name="Input 2 8 33 2 2" xfId="8985"/>
    <cellStyle name="Input 2 8 33 2 2 2" xfId="8986"/>
    <cellStyle name="Input 2 8 33 2 3" xfId="8987"/>
    <cellStyle name="Input 2 8 33 3" xfId="8988"/>
    <cellStyle name="Input 2 8 33 3 2" xfId="8989"/>
    <cellStyle name="Input 2 8 33 4" xfId="8990"/>
    <cellStyle name="Input 2 8 33 5" xfId="8991"/>
    <cellStyle name="Input 2 8 34" xfId="8992"/>
    <cellStyle name="Input 2 8 34 2" xfId="8993"/>
    <cellStyle name="Input 2 8 34 2 2" xfId="8994"/>
    <cellStyle name="Input 2 8 34 2 2 2" xfId="8995"/>
    <cellStyle name="Input 2 8 34 2 3" xfId="8996"/>
    <cellStyle name="Input 2 8 34 3" xfId="8997"/>
    <cellStyle name="Input 2 8 34 3 2" xfId="8998"/>
    <cellStyle name="Input 2 8 34 4" xfId="8999"/>
    <cellStyle name="Input 2 8 34 5" xfId="9000"/>
    <cellStyle name="Input 2 8 35" xfId="9001"/>
    <cellStyle name="Input 2 8 35 2" xfId="9002"/>
    <cellStyle name="Input 2 8 35 2 2" xfId="9003"/>
    <cellStyle name="Input 2 8 35 2 2 2" xfId="9004"/>
    <cellStyle name="Input 2 8 35 2 3" xfId="9005"/>
    <cellStyle name="Input 2 8 35 3" xfId="9006"/>
    <cellStyle name="Input 2 8 35 3 2" xfId="9007"/>
    <cellStyle name="Input 2 8 35 4" xfId="9008"/>
    <cellStyle name="Input 2 8 35 5" xfId="9009"/>
    <cellStyle name="Input 2 8 36" xfId="9010"/>
    <cellStyle name="Input 2 8 36 2" xfId="9011"/>
    <cellStyle name="Input 2 8 36 2 2" xfId="9012"/>
    <cellStyle name="Input 2 8 36 2 2 2" xfId="9013"/>
    <cellStyle name="Input 2 8 36 2 3" xfId="9014"/>
    <cellStyle name="Input 2 8 36 3" xfId="9015"/>
    <cellStyle name="Input 2 8 36 3 2" xfId="9016"/>
    <cellStyle name="Input 2 8 36 4" xfId="9017"/>
    <cellStyle name="Input 2 8 36 5" xfId="9018"/>
    <cellStyle name="Input 2 8 37" xfId="9019"/>
    <cellStyle name="Input 2 8 37 2" xfId="9020"/>
    <cellStyle name="Input 2 8 37 2 2" xfId="9021"/>
    <cellStyle name="Input 2 8 37 2 2 2" xfId="9022"/>
    <cellStyle name="Input 2 8 37 2 3" xfId="9023"/>
    <cellStyle name="Input 2 8 37 3" xfId="9024"/>
    <cellStyle name="Input 2 8 37 3 2" xfId="9025"/>
    <cellStyle name="Input 2 8 37 4" xfId="9026"/>
    <cellStyle name="Input 2 8 37 5" xfId="9027"/>
    <cellStyle name="Input 2 8 38" xfId="9028"/>
    <cellStyle name="Input 2 8 38 2" xfId="9029"/>
    <cellStyle name="Input 2 8 38 2 2" xfId="9030"/>
    <cellStyle name="Input 2 8 38 2 2 2" xfId="9031"/>
    <cellStyle name="Input 2 8 38 2 3" xfId="9032"/>
    <cellStyle name="Input 2 8 38 3" xfId="9033"/>
    <cellStyle name="Input 2 8 38 3 2" xfId="9034"/>
    <cellStyle name="Input 2 8 38 4" xfId="9035"/>
    <cellStyle name="Input 2 8 38 5" xfId="9036"/>
    <cellStyle name="Input 2 8 39" xfId="9037"/>
    <cellStyle name="Input 2 8 39 2" xfId="9038"/>
    <cellStyle name="Input 2 8 39 2 2" xfId="9039"/>
    <cellStyle name="Input 2 8 39 2 2 2" xfId="9040"/>
    <cellStyle name="Input 2 8 39 2 3" xfId="9041"/>
    <cellStyle name="Input 2 8 39 3" xfId="9042"/>
    <cellStyle name="Input 2 8 39 3 2" xfId="9043"/>
    <cellStyle name="Input 2 8 39 4" xfId="9044"/>
    <cellStyle name="Input 2 8 39 5" xfId="9045"/>
    <cellStyle name="Input 2 8 4" xfId="9046"/>
    <cellStyle name="Input 2 8 4 2" xfId="9047"/>
    <cellStyle name="Input 2 8 4 2 2" xfId="9048"/>
    <cellStyle name="Input 2 8 4 2 2 2" xfId="9049"/>
    <cellStyle name="Input 2 8 4 2 3" xfId="9050"/>
    <cellStyle name="Input 2 8 4 3" xfId="9051"/>
    <cellStyle name="Input 2 8 4 3 2" xfId="9052"/>
    <cellStyle name="Input 2 8 4 3 2 2" xfId="9053"/>
    <cellStyle name="Input 2 8 4 3 3" xfId="9054"/>
    <cellStyle name="Input 2 8 4 4" xfId="9055"/>
    <cellStyle name="Input 2 8 4 4 2" xfId="9056"/>
    <cellStyle name="Input 2 8 4 5" xfId="9057"/>
    <cellStyle name="Input 2 8 4 6" xfId="9058"/>
    <cellStyle name="Input 2 8 40" xfId="9059"/>
    <cellStyle name="Input 2 8 40 2" xfId="9060"/>
    <cellStyle name="Input 2 8 40 2 2" xfId="9061"/>
    <cellStyle name="Input 2 8 40 2 2 2" xfId="9062"/>
    <cellStyle name="Input 2 8 40 2 3" xfId="9063"/>
    <cellStyle name="Input 2 8 40 3" xfId="9064"/>
    <cellStyle name="Input 2 8 40 3 2" xfId="9065"/>
    <cellStyle name="Input 2 8 40 4" xfId="9066"/>
    <cellStyle name="Input 2 8 40 5" xfId="9067"/>
    <cellStyle name="Input 2 8 41" xfId="9068"/>
    <cellStyle name="Input 2 8 41 2" xfId="9069"/>
    <cellStyle name="Input 2 8 41 2 2" xfId="9070"/>
    <cellStyle name="Input 2 8 41 2 2 2" xfId="9071"/>
    <cellStyle name="Input 2 8 41 2 3" xfId="9072"/>
    <cellStyle name="Input 2 8 41 3" xfId="9073"/>
    <cellStyle name="Input 2 8 41 3 2" xfId="9074"/>
    <cellStyle name="Input 2 8 41 4" xfId="9075"/>
    <cellStyle name="Input 2 8 41 5" xfId="9076"/>
    <cellStyle name="Input 2 8 42" xfId="9077"/>
    <cellStyle name="Input 2 8 42 2" xfId="9078"/>
    <cellStyle name="Input 2 8 42 2 2" xfId="9079"/>
    <cellStyle name="Input 2 8 42 2 2 2" xfId="9080"/>
    <cellStyle name="Input 2 8 42 2 3" xfId="9081"/>
    <cellStyle name="Input 2 8 42 3" xfId="9082"/>
    <cellStyle name="Input 2 8 42 3 2" xfId="9083"/>
    <cellStyle name="Input 2 8 42 4" xfId="9084"/>
    <cellStyle name="Input 2 8 42 5" xfId="9085"/>
    <cellStyle name="Input 2 8 43" xfId="9086"/>
    <cellStyle name="Input 2 8 43 2" xfId="9087"/>
    <cellStyle name="Input 2 8 43 2 2" xfId="9088"/>
    <cellStyle name="Input 2 8 43 2 2 2" xfId="9089"/>
    <cellStyle name="Input 2 8 43 2 3" xfId="9090"/>
    <cellStyle name="Input 2 8 43 3" xfId="9091"/>
    <cellStyle name="Input 2 8 43 3 2" xfId="9092"/>
    <cellStyle name="Input 2 8 43 4" xfId="9093"/>
    <cellStyle name="Input 2 8 43 5" xfId="9094"/>
    <cellStyle name="Input 2 8 44" xfId="9095"/>
    <cellStyle name="Input 2 8 44 2" xfId="9096"/>
    <cellStyle name="Input 2 8 44 2 2" xfId="9097"/>
    <cellStyle name="Input 2 8 44 2 2 2" xfId="9098"/>
    <cellStyle name="Input 2 8 44 2 3" xfId="9099"/>
    <cellStyle name="Input 2 8 44 3" xfId="9100"/>
    <cellStyle name="Input 2 8 44 3 2" xfId="9101"/>
    <cellStyle name="Input 2 8 44 4" xfId="9102"/>
    <cellStyle name="Input 2 8 44 5" xfId="9103"/>
    <cellStyle name="Input 2 8 45" xfId="9104"/>
    <cellStyle name="Input 2 8 45 2" xfId="9105"/>
    <cellStyle name="Input 2 8 45 2 2" xfId="9106"/>
    <cellStyle name="Input 2 8 45 2 2 2" xfId="9107"/>
    <cellStyle name="Input 2 8 45 2 3" xfId="9108"/>
    <cellStyle name="Input 2 8 45 3" xfId="9109"/>
    <cellStyle name="Input 2 8 45 3 2" xfId="9110"/>
    <cellStyle name="Input 2 8 45 4" xfId="9111"/>
    <cellStyle name="Input 2 8 45 5" xfId="9112"/>
    <cellStyle name="Input 2 8 46" xfId="9113"/>
    <cellStyle name="Input 2 8 46 2" xfId="9114"/>
    <cellStyle name="Input 2 8 46 2 2" xfId="9115"/>
    <cellStyle name="Input 2 8 46 2 2 2" xfId="9116"/>
    <cellStyle name="Input 2 8 46 2 3" xfId="9117"/>
    <cellStyle name="Input 2 8 46 3" xfId="9118"/>
    <cellStyle name="Input 2 8 46 3 2" xfId="9119"/>
    <cellStyle name="Input 2 8 46 4" xfId="9120"/>
    <cellStyle name="Input 2 8 46 5" xfId="9121"/>
    <cellStyle name="Input 2 8 47" xfId="9122"/>
    <cellStyle name="Input 2 8 47 2" xfId="9123"/>
    <cellStyle name="Input 2 8 47 2 2" xfId="9124"/>
    <cellStyle name="Input 2 8 47 2 2 2" xfId="9125"/>
    <cellStyle name="Input 2 8 47 2 3" xfId="9126"/>
    <cellStyle name="Input 2 8 47 3" xfId="9127"/>
    <cellStyle name="Input 2 8 47 3 2" xfId="9128"/>
    <cellStyle name="Input 2 8 47 4" xfId="9129"/>
    <cellStyle name="Input 2 8 47 5" xfId="9130"/>
    <cellStyle name="Input 2 8 48" xfId="9131"/>
    <cellStyle name="Input 2 8 48 2" xfId="9132"/>
    <cellStyle name="Input 2 8 48 2 2" xfId="9133"/>
    <cellStyle name="Input 2 8 48 2 2 2" xfId="9134"/>
    <cellStyle name="Input 2 8 48 2 3" xfId="9135"/>
    <cellStyle name="Input 2 8 48 3" xfId="9136"/>
    <cellStyle name="Input 2 8 48 3 2" xfId="9137"/>
    <cellStyle name="Input 2 8 48 4" xfId="9138"/>
    <cellStyle name="Input 2 8 48 5" xfId="9139"/>
    <cellStyle name="Input 2 8 49" xfId="9140"/>
    <cellStyle name="Input 2 8 49 2" xfId="9141"/>
    <cellStyle name="Input 2 8 49 2 2" xfId="9142"/>
    <cellStyle name="Input 2 8 49 3" xfId="9143"/>
    <cellStyle name="Input 2 8 5" xfId="9144"/>
    <cellStyle name="Input 2 8 5 2" xfId="9145"/>
    <cellStyle name="Input 2 8 5 2 2" xfId="9146"/>
    <cellStyle name="Input 2 8 5 2 2 2" xfId="9147"/>
    <cellStyle name="Input 2 8 5 2 3" xfId="9148"/>
    <cellStyle name="Input 2 8 5 3" xfId="9149"/>
    <cellStyle name="Input 2 8 5 3 2" xfId="9150"/>
    <cellStyle name="Input 2 8 5 3 2 2" xfId="9151"/>
    <cellStyle name="Input 2 8 5 3 3" xfId="9152"/>
    <cellStyle name="Input 2 8 5 4" xfId="9153"/>
    <cellStyle name="Input 2 8 5 4 2" xfId="9154"/>
    <cellStyle name="Input 2 8 5 5" xfId="9155"/>
    <cellStyle name="Input 2 8 5 6" xfId="9156"/>
    <cellStyle name="Input 2 8 50" xfId="9157"/>
    <cellStyle name="Input 2 8 50 2" xfId="9158"/>
    <cellStyle name="Input 2 8 50 2 2" xfId="9159"/>
    <cellStyle name="Input 2 8 50 3" xfId="9160"/>
    <cellStyle name="Input 2 8 51" xfId="9161"/>
    <cellStyle name="Input 2 8 51 2" xfId="9162"/>
    <cellStyle name="Input 2 8 51 2 2" xfId="9163"/>
    <cellStyle name="Input 2 8 51 3" xfId="9164"/>
    <cellStyle name="Input 2 8 52" xfId="9165"/>
    <cellStyle name="Input 2 8 52 2" xfId="9166"/>
    <cellStyle name="Input 2 8 53" xfId="9167"/>
    <cellStyle name="Input 2 8 54" xfId="9168"/>
    <cellStyle name="Input 2 8 6" xfId="9169"/>
    <cellStyle name="Input 2 8 6 2" xfId="9170"/>
    <cellStyle name="Input 2 8 6 2 2" xfId="9171"/>
    <cellStyle name="Input 2 8 6 2 2 2" xfId="9172"/>
    <cellStyle name="Input 2 8 6 2 3" xfId="9173"/>
    <cellStyle name="Input 2 8 6 3" xfId="9174"/>
    <cellStyle name="Input 2 8 6 3 2" xfId="9175"/>
    <cellStyle name="Input 2 8 6 3 2 2" xfId="9176"/>
    <cellStyle name="Input 2 8 6 3 3" xfId="9177"/>
    <cellStyle name="Input 2 8 6 4" xfId="9178"/>
    <cellStyle name="Input 2 8 6 4 2" xfId="9179"/>
    <cellStyle name="Input 2 8 6 5" xfId="9180"/>
    <cellStyle name="Input 2 8 6 6" xfId="9181"/>
    <cellStyle name="Input 2 8 7" xfId="9182"/>
    <cellStyle name="Input 2 8 7 2" xfId="9183"/>
    <cellStyle name="Input 2 8 7 2 2" xfId="9184"/>
    <cellStyle name="Input 2 8 7 2 2 2" xfId="9185"/>
    <cellStyle name="Input 2 8 7 2 3" xfId="9186"/>
    <cellStyle name="Input 2 8 7 3" xfId="9187"/>
    <cellStyle name="Input 2 8 7 3 2" xfId="9188"/>
    <cellStyle name="Input 2 8 7 3 2 2" xfId="9189"/>
    <cellStyle name="Input 2 8 7 3 3" xfId="9190"/>
    <cellStyle name="Input 2 8 7 4" xfId="9191"/>
    <cellStyle name="Input 2 8 7 4 2" xfId="9192"/>
    <cellStyle name="Input 2 8 7 5" xfId="9193"/>
    <cellStyle name="Input 2 8 7 6" xfId="9194"/>
    <cellStyle name="Input 2 8 8" xfId="9195"/>
    <cellStyle name="Input 2 8 8 2" xfId="9196"/>
    <cellStyle name="Input 2 8 8 2 2" xfId="9197"/>
    <cellStyle name="Input 2 8 8 2 2 2" xfId="9198"/>
    <cellStyle name="Input 2 8 8 2 3" xfId="9199"/>
    <cellStyle name="Input 2 8 8 3" xfId="9200"/>
    <cellStyle name="Input 2 8 8 3 2" xfId="9201"/>
    <cellStyle name="Input 2 8 8 3 2 2" xfId="9202"/>
    <cellStyle name="Input 2 8 8 3 3" xfId="9203"/>
    <cellStyle name="Input 2 8 8 4" xfId="9204"/>
    <cellStyle name="Input 2 8 8 4 2" xfId="9205"/>
    <cellStyle name="Input 2 8 8 5" xfId="9206"/>
    <cellStyle name="Input 2 8 8 6" xfId="9207"/>
    <cellStyle name="Input 2 8 9" xfId="9208"/>
    <cellStyle name="Input 2 8 9 2" xfId="9209"/>
    <cellStyle name="Input 2 8 9 2 2" xfId="9210"/>
    <cellStyle name="Input 2 8 9 2 2 2" xfId="9211"/>
    <cellStyle name="Input 2 8 9 2 3" xfId="9212"/>
    <cellStyle name="Input 2 8 9 3" xfId="9213"/>
    <cellStyle name="Input 2 8 9 3 2" xfId="9214"/>
    <cellStyle name="Input 2 8 9 4" xfId="9215"/>
    <cellStyle name="Input 2 8 9 5" xfId="9216"/>
    <cellStyle name="Input 2 9" xfId="9217"/>
    <cellStyle name="Input 2 9 10" xfId="9218"/>
    <cellStyle name="Input 2 9 10 2" xfId="9219"/>
    <cellStyle name="Input 2 9 10 2 2" xfId="9220"/>
    <cellStyle name="Input 2 9 10 2 2 2" xfId="9221"/>
    <cellStyle name="Input 2 9 10 2 3" xfId="9222"/>
    <cellStyle name="Input 2 9 10 3" xfId="9223"/>
    <cellStyle name="Input 2 9 10 3 2" xfId="9224"/>
    <cellStyle name="Input 2 9 10 4" xfId="9225"/>
    <cellStyle name="Input 2 9 10 5" xfId="9226"/>
    <cellStyle name="Input 2 9 11" xfId="9227"/>
    <cellStyle name="Input 2 9 11 2" xfId="9228"/>
    <cellStyle name="Input 2 9 11 2 2" xfId="9229"/>
    <cellStyle name="Input 2 9 11 2 2 2" xfId="9230"/>
    <cellStyle name="Input 2 9 11 2 3" xfId="9231"/>
    <cellStyle name="Input 2 9 11 3" xfId="9232"/>
    <cellStyle name="Input 2 9 11 3 2" xfId="9233"/>
    <cellStyle name="Input 2 9 11 4" xfId="9234"/>
    <cellStyle name="Input 2 9 11 5" xfId="9235"/>
    <cellStyle name="Input 2 9 12" xfId="9236"/>
    <cellStyle name="Input 2 9 12 2" xfId="9237"/>
    <cellStyle name="Input 2 9 12 2 2" xfId="9238"/>
    <cellStyle name="Input 2 9 12 2 2 2" xfId="9239"/>
    <cellStyle name="Input 2 9 12 2 3" xfId="9240"/>
    <cellStyle name="Input 2 9 12 3" xfId="9241"/>
    <cellStyle name="Input 2 9 12 3 2" xfId="9242"/>
    <cellStyle name="Input 2 9 12 4" xfId="9243"/>
    <cellStyle name="Input 2 9 12 5" xfId="9244"/>
    <cellStyle name="Input 2 9 13" xfId="9245"/>
    <cellStyle name="Input 2 9 13 2" xfId="9246"/>
    <cellStyle name="Input 2 9 13 2 2" xfId="9247"/>
    <cellStyle name="Input 2 9 13 2 2 2" xfId="9248"/>
    <cellStyle name="Input 2 9 13 2 3" xfId="9249"/>
    <cellStyle name="Input 2 9 13 3" xfId="9250"/>
    <cellStyle name="Input 2 9 13 3 2" xfId="9251"/>
    <cellStyle name="Input 2 9 13 4" xfId="9252"/>
    <cellStyle name="Input 2 9 13 5" xfId="9253"/>
    <cellStyle name="Input 2 9 14" xfId="9254"/>
    <cellStyle name="Input 2 9 14 2" xfId="9255"/>
    <cellStyle name="Input 2 9 14 2 2" xfId="9256"/>
    <cellStyle name="Input 2 9 14 2 2 2" xfId="9257"/>
    <cellStyle name="Input 2 9 14 2 3" xfId="9258"/>
    <cellStyle name="Input 2 9 14 3" xfId="9259"/>
    <cellStyle name="Input 2 9 14 3 2" xfId="9260"/>
    <cellStyle name="Input 2 9 14 4" xfId="9261"/>
    <cellStyle name="Input 2 9 14 5" xfId="9262"/>
    <cellStyle name="Input 2 9 15" xfId="9263"/>
    <cellStyle name="Input 2 9 15 2" xfId="9264"/>
    <cellStyle name="Input 2 9 15 2 2" xfId="9265"/>
    <cellStyle name="Input 2 9 15 2 2 2" xfId="9266"/>
    <cellStyle name="Input 2 9 15 2 3" xfId="9267"/>
    <cellStyle name="Input 2 9 15 3" xfId="9268"/>
    <cellStyle name="Input 2 9 15 3 2" xfId="9269"/>
    <cellStyle name="Input 2 9 15 4" xfId="9270"/>
    <cellStyle name="Input 2 9 15 5" xfId="9271"/>
    <cellStyle name="Input 2 9 16" xfId="9272"/>
    <cellStyle name="Input 2 9 16 2" xfId="9273"/>
    <cellStyle name="Input 2 9 16 2 2" xfId="9274"/>
    <cellStyle name="Input 2 9 16 2 2 2" xfId="9275"/>
    <cellStyle name="Input 2 9 16 2 3" xfId="9276"/>
    <cellStyle name="Input 2 9 16 3" xfId="9277"/>
    <cellStyle name="Input 2 9 16 3 2" xfId="9278"/>
    <cellStyle name="Input 2 9 16 4" xfId="9279"/>
    <cellStyle name="Input 2 9 16 5" xfId="9280"/>
    <cellStyle name="Input 2 9 17" xfId="9281"/>
    <cellStyle name="Input 2 9 17 2" xfId="9282"/>
    <cellStyle name="Input 2 9 17 2 2" xfId="9283"/>
    <cellStyle name="Input 2 9 17 2 2 2" xfId="9284"/>
    <cellStyle name="Input 2 9 17 2 3" xfId="9285"/>
    <cellStyle name="Input 2 9 17 3" xfId="9286"/>
    <cellStyle name="Input 2 9 17 3 2" xfId="9287"/>
    <cellStyle name="Input 2 9 17 4" xfId="9288"/>
    <cellStyle name="Input 2 9 17 5" xfId="9289"/>
    <cellStyle name="Input 2 9 18" xfId="9290"/>
    <cellStyle name="Input 2 9 18 2" xfId="9291"/>
    <cellStyle name="Input 2 9 18 2 2" xfId="9292"/>
    <cellStyle name="Input 2 9 18 2 2 2" xfId="9293"/>
    <cellStyle name="Input 2 9 18 2 3" xfId="9294"/>
    <cellStyle name="Input 2 9 18 3" xfId="9295"/>
    <cellStyle name="Input 2 9 18 3 2" xfId="9296"/>
    <cellStyle name="Input 2 9 18 4" xfId="9297"/>
    <cellStyle name="Input 2 9 18 5" xfId="9298"/>
    <cellStyle name="Input 2 9 19" xfId="9299"/>
    <cellStyle name="Input 2 9 19 2" xfId="9300"/>
    <cellStyle name="Input 2 9 19 2 2" xfId="9301"/>
    <cellStyle name="Input 2 9 19 2 2 2" xfId="9302"/>
    <cellStyle name="Input 2 9 19 2 3" xfId="9303"/>
    <cellStyle name="Input 2 9 19 3" xfId="9304"/>
    <cellStyle name="Input 2 9 19 3 2" xfId="9305"/>
    <cellStyle name="Input 2 9 19 4" xfId="9306"/>
    <cellStyle name="Input 2 9 19 5" xfId="9307"/>
    <cellStyle name="Input 2 9 2" xfId="9308"/>
    <cellStyle name="Input 2 9 2 2" xfId="9309"/>
    <cellStyle name="Input 2 9 2 2 2" xfId="9310"/>
    <cellStyle name="Input 2 9 2 2 2 2" xfId="9311"/>
    <cellStyle name="Input 2 9 2 2 3" xfId="9312"/>
    <cellStyle name="Input 2 9 2 3" xfId="9313"/>
    <cellStyle name="Input 2 9 2 3 2" xfId="9314"/>
    <cellStyle name="Input 2 9 2 3 2 2" xfId="9315"/>
    <cellStyle name="Input 2 9 2 3 3" xfId="9316"/>
    <cellStyle name="Input 2 9 2 4" xfId="9317"/>
    <cellStyle name="Input 2 9 2 4 2" xfId="9318"/>
    <cellStyle name="Input 2 9 2 5" xfId="9319"/>
    <cellStyle name="Input 2 9 2 6" xfId="9320"/>
    <cellStyle name="Input 2 9 20" xfId="9321"/>
    <cellStyle name="Input 2 9 20 2" xfId="9322"/>
    <cellStyle name="Input 2 9 20 2 2" xfId="9323"/>
    <cellStyle name="Input 2 9 20 2 2 2" xfId="9324"/>
    <cellStyle name="Input 2 9 20 2 3" xfId="9325"/>
    <cellStyle name="Input 2 9 20 3" xfId="9326"/>
    <cellStyle name="Input 2 9 20 3 2" xfId="9327"/>
    <cellStyle name="Input 2 9 20 4" xfId="9328"/>
    <cellStyle name="Input 2 9 20 5" xfId="9329"/>
    <cellStyle name="Input 2 9 21" xfId="9330"/>
    <cellStyle name="Input 2 9 21 2" xfId="9331"/>
    <cellStyle name="Input 2 9 21 2 2" xfId="9332"/>
    <cellStyle name="Input 2 9 21 2 2 2" xfId="9333"/>
    <cellStyle name="Input 2 9 21 2 3" xfId="9334"/>
    <cellStyle name="Input 2 9 21 3" xfId="9335"/>
    <cellStyle name="Input 2 9 21 3 2" xfId="9336"/>
    <cellStyle name="Input 2 9 21 4" xfId="9337"/>
    <cellStyle name="Input 2 9 21 5" xfId="9338"/>
    <cellStyle name="Input 2 9 22" xfId="9339"/>
    <cellStyle name="Input 2 9 22 2" xfId="9340"/>
    <cellStyle name="Input 2 9 22 2 2" xfId="9341"/>
    <cellStyle name="Input 2 9 22 2 2 2" xfId="9342"/>
    <cellStyle name="Input 2 9 22 2 3" xfId="9343"/>
    <cellStyle name="Input 2 9 22 3" xfId="9344"/>
    <cellStyle name="Input 2 9 22 3 2" xfId="9345"/>
    <cellStyle name="Input 2 9 22 4" xfId="9346"/>
    <cellStyle name="Input 2 9 22 5" xfId="9347"/>
    <cellStyle name="Input 2 9 23" xfId="9348"/>
    <cellStyle name="Input 2 9 23 2" xfId="9349"/>
    <cellStyle name="Input 2 9 23 2 2" xfId="9350"/>
    <cellStyle name="Input 2 9 23 2 2 2" xfId="9351"/>
    <cellStyle name="Input 2 9 23 2 3" xfId="9352"/>
    <cellStyle name="Input 2 9 23 3" xfId="9353"/>
    <cellStyle name="Input 2 9 23 3 2" xfId="9354"/>
    <cellStyle name="Input 2 9 23 4" xfId="9355"/>
    <cellStyle name="Input 2 9 23 5" xfId="9356"/>
    <cellStyle name="Input 2 9 24" xfId="9357"/>
    <cellStyle name="Input 2 9 24 2" xfId="9358"/>
    <cellStyle name="Input 2 9 24 2 2" xfId="9359"/>
    <cellStyle name="Input 2 9 24 2 2 2" xfId="9360"/>
    <cellStyle name="Input 2 9 24 2 3" xfId="9361"/>
    <cellStyle name="Input 2 9 24 3" xfId="9362"/>
    <cellStyle name="Input 2 9 24 3 2" xfId="9363"/>
    <cellStyle name="Input 2 9 24 4" xfId="9364"/>
    <cellStyle name="Input 2 9 24 5" xfId="9365"/>
    <cellStyle name="Input 2 9 25" xfId="9366"/>
    <cellStyle name="Input 2 9 25 2" xfId="9367"/>
    <cellStyle name="Input 2 9 25 2 2" xfId="9368"/>
    <cellStyle name="Input 2 9 25 2 2 2" xfId="9369"/>
    <cellStyle name="Input 2 9 25 2 3" xfId="9370"/>
    <cellStyle name="Input 2 9 25 3" xfId="9371"/>
    <cellStyle name="Input 2 9 25 3 2" xfId="9372"/>
    <cellStyle name="Input 2 9 25 4" xfId="9373"/>
    <cellStyle name="Input 2 9 25 5" xfId="9374"/>
    <cellStyle name="Input 2 9 26" xfId="9375"/>
    <cellStyle name="Input 2 9 26 2" xfId="9376"/>
    <cellStyle name="Input 2 9 26 2 2" xfId="9377"/>
    <cellStyle name="Input 2 9 26 2 2 2" xfId="9378"/>
    <cellStyle name="Input 2 9 26 2 3" xfId="9379"/>
    <cellStyle name="Input 2 9 26 3" xfId="9380"/>
    <cellStyle name="Input 2 9 26 3 2" xfId="9381"/>
    <cellStyle name="Input 2 9 26 4" xfId="9382"/>
    <cellStyle name="Input 2 9 26 5" xfId="9383"/>
    <cellStyle name="Input 2 9 27" xfId="9384"/>
    <cellStyle name="Input 2 9 27 2" xfId="9385"/>
    <cellStyle name="Input 2 9 27 2 2" xfId="9386"/>
    <cellStyle name="Input 2 9 27 2 2 2" xfId="9387"/>
    <cellStyle name="Input 2 9 27 2 3" xfId="9388"/>
    <cellStyle name="Input 2 9 27 3" xfId="9389"/>
    <cellStyle name="Input 2 9 27 3 2" xfId="9390"/>
    <cellStyle name="Input 2 9 27 4" xfId="9391"/>
    <cellStyle name="Input 2 9 27 5" xfId="9392"/>
    <cellStyle name="Input 2 9 28" xfId="9393"/>
    <cellStyle name="Input 2 9 28 2" xfId="9394"/>
    <cellStyle name="Input 2 9 28 2 2" xfId="9395"/>
    <cellStyle name="Input 2 9 28 2 2 2" xfId="9396"/>
    <cellStyle name="Input 2 9 28 2 3" xfId="9397"/>
    <cellStyle name="Input 2 9 28 3" xfId="9398"/>
    <cellStyle name="Input 2 9 28 3 2" xfId="9399"/>
    <cellStyle name="Input 2 9 28 4" xfId="9400"/>
    <cellStyle name="Input 2 9 28 5" xfId="9401"/>
    <cellStyle name="Input 2 9 29" xfId="9402"/>
    <cellStyle name="Input 2 9 29 2" xfId="9403"/>
    <cellStyle name="Input 2 9 29 2 2" xfId="9404"/>
    <cellStyle name="Input 2 9 29 2 2 2" xfId="9405"/>
    <cellStyle name="Input 2 9 29 2 3" xfId="9406"/>
    <cellStyle name="Input 2 9 29 3" xfId="9407"/>
    <cellStyle name="Input 2 9 29 3 2" xfId="9408"/>
    <cellStyle name="Input 2 9 29 4" xfId="9409"/>
    <cellStyle name="Input 2 9 29 5" xfId="9410"/>
    <cellStyle name="Input 2 9 3" xfId="9411"/>
    <cellStyle name="Input 2 9 3 2" xfId="9412"/>
    <cellStyle name="Input 2 9 3 2 2" xfId="9413"/>
    <cellStyle name="Input 2 9 3 2 2 2" xfId="9414"/>
    <cellStyle name="Input 2 9 3 2 3" xfId="9415"/>
    <cellStyle name="Input 2 9 3 3" xfId="9416"/>
    <cellStyle name="Input 2 9 3 3 2" xfId="9417"/>
    <cellStyle name="Input 2 9 3 3 2 2" xfId="9418"/>
    <cellStyle name="Input 2 9 3 3 3" xfId="9419"/>
    <cellStyle name="Input 2 9 3 4" xfId="9420"/>
    <cellStyle name="Input 2 9 3 4 2" xfId="9421"/>
    <cellStyle name="Input 2 9 3 5" xfId="9422"/>
    <cellStyle name="Input 2 9 3 6" xfId="9423"/>
    <cellStyle name="Input 2 9 30" xfId="9424"/>
    <cellStyle name="Input 2 9 30 2" xfId="9425"/>
    <cellStyle name="Input 2 9 30 2 2" xfId="9426"/>
    <cellStyle name="Input 2 9 30 2 2 2" xfId="9427"/>
    <cellStyle name="Input 2 9 30 2 3" xfId="9428"/>
    <cellStyle name="Input 2 9 30 3" xfId="9429"/>
    <cellStyle name="Input 2 9 30 3 2" xfId="9430"/>
    <cellStyle name="Input 2 9 30 4" xfId="9431"/>
    <cellStyle name="Input 2 9 30 5" xfId="9432"/>
    <cellStyle name="Input 2 9 31" xfId="9433"/>
    <cellStyle name="Input 2 9 31 2" xfId="9434"/>
    <cellStyle name="Input 2 9 31 2 2" xfId="9435"/>
    <cellStyle name="Input 2 9 31 2 2 2" xfId="9436"/>
    <cellStyle name="Input 2 9 31 2 3" xfId="9437"/>
    <cellStyle name="Input 2 9 31 3" xfId="9438"/>
    <cellStyle name="Input 2 9 31 3 2" xfId="9439"/>
    <cellStyle name="Input 2 9 31 4" xfId="9440"/>
    <cellStyle name="Input 2 9 31 5" xfId="9441"/>
    <cellStyle name="Input 2 9 32" xfId="9442"/>
    <cellStyle name="Input 2 9 32 2" xfId="9443"/>
    <cellStyle name="Input 2 9 32 2 2" xfId="9444"/>
    <cellStyle name="Input 2 9 32 2 2 2" xfId="9445"/>
    <cellStyle name="Input 2 9 32 2 3" xfId="9446"/>
    <cellStyle name="Input 2 9 32 3" xfId="9447"/>
    <cellStyle name="Input 2 9 32 3 2" xfId="9448"/>
    <cellStyle name="Input 2 9 32 4" xfId="9449"/>
    <cellStyle name="Input 2 9 32 5" xfId="9450"/>
    <cellStyle name="Input 2 9 33" xfId="9451"/>
    <cellStyle name="Input 2 9 33 2" xfId="9452"/>
    <cellStyle name="Input 2 9 33 2 2" xfId="9453"/>
    <cellStyle name="Input 2 9 33 2 2 2" xfId="9454"/>
    <cellStyle name="Input 2 9 33 2 3" xfId="9455"/>
    <cellStyle name="Input 2 9 33 3" xfId="9456"/>
    <cellStyle name="Input 2 9 33 3 2" xfId="9457"/>
    <cellStyle name="Input 2 9 33 4" xfId="9458"/>
    <cellStyle name="Input 2 9 33 5" xfId="9459"/>
    <cellStyle name="Input 2 9 34" xfId="9460"/>
    <cellStyle name="Input 2 9 34 2" xfId="9461"/>
    <cellStyle name="Input 2 9 34 2 2" xfId="9462"/>
    <cellStyle name="Input 2 9 34 2 2 2" xfId="9463"/>
    <cellStyle name="Input 2 9 34 2 3" xfId="9464"/>
    <cellStyle name="Input 2 9 34 3" xfId="9465"/>
    <cellStyle name="Input 2 9 34 3 2" xfId="9466"/>
    <cellStyle name="Input 2 9 34 4" xfId="9467"/>
    <cellStyle name="Input 2 9 34 5" xfId="9468"/>
    <cellStyle name="Input 2 9 35" xfId="9469"/>
    <cellStyle name="Input 2 9 35 2" xfId="9470"/>
    <cellStyle name="Input 2 9 35 2 2" xfId="9471"/>
    <cellStyle name="Input 2 9 35 2 2 2" xfId="9472"/>
    <cellStyle name="Input 2 9 35 2 3" xfId="9473"/>
    <cellStyle name="Input 2 9 35 3" xfId="9474"/>
    <cellStyle name="Input 2 9 35 3 2" xfId="9475"/>
    <cellStyle name="Input 2 9 35 4" xfId="9476"/>
    <cellStyle name="Input 2 9 35 5" xfId="9477"/>
    <cellStyle name="Input 2 9 36" xfId="9478"/>
    <cellStyle name="Input 2 9 36 2" xfId="9479"/>
    <cellStyle name="Input 2 9 36 2 2" xfId="9480"/>
    <cellStyle name="Input 2 9 36 2 2 2" xfId="9481"/>
    <cellStyle name="Input 2 9 36 2 3" xfId="9482"/>
    <cellStyle name="Input 2 9 36 3" xfId="9483"/>
    <cellStyle name="Input 2 9 36 3 2" xfId="9484"/>
    <cellStyle name="Input 2 9 36 4" xfId="9485"/>
    <cellStyle name="Input 2 9 36 5" xfId="9486"/>
    <cellStyle name="Input 2 9 37" xfId="9487"/>
    <cellStyle name="Input 2 9 37 2" xfId="9488"/>
    <cellStyle name="Input 2 9 37 2 2" xfId="9489"/>
    <cellStyle name="Input 2 9 37 2 2 2" xfId="9490"/>
    <cellStyle name="Input 2 9 37 2 3" xfId="9491"/>
    <cellStyle name="Input 2 9 37 3" xfId="9492"/>
    <cellStyle name="Input 2 9 37 3 2" xfId="9493"/>
    <cellStyle name="Input 2 9 37 4" xfId="9494"/>
    <cellStyle name="Input 2 9 37 5" xfId="9495"/>
    <cellStyle name="Input 2 9 38" xfId="9496"/>
    <cellStyle name="Input 2 9 38 2" xfId="9497"/>
    <cellStyle name="Input 2 9 38 2 2" xfId="9498"/>
    <cellStyle name="Input 2 9 38 2 2 2" xfId="9499"/>
    <cellStyle name="Input 2 9 38 2 3" xfId="9500"/>
    <cellStyle name="Input 2 9 38 3" xfId="9501"/>
    <cellStyle name="Input 2 9 38 3 2" xfId="9502"/>
    <cellStyle name="Input 2 9 38 4" xfId="9503"/>
    <cellStyle name="Input 2 9 38 5" xfId="9504"/>
    <cellStyle name="Input 2 9 39" xfId="9505"/>
    <cellStyle name="Input 2 9 39 2" xfId="9506"/>
    <cellStyle name="Input 2 9 39 2 2" xfId="9507"/>
    <cellStyle name="Input 2 9 39 2 2 2" xfId="9508"/>
    <cellStyle name="Input 2 9 39 2 3" xfId="9509"/>
    <cellStyle name="Input 2 9 39 3" xfId="9510"/>
    <cellStyle name="Input 2 9 39 3 2" xfId="9511"/>
    <cellStyle name="Input 2 9 39 4" xfId="9512"/>
    <cellStyle name="Input 2 9 39 5" xfId="9513"/>
    <cellStyle name="Input 2 9 4" xfId="9514"/>
    <cellStyle name="Input 2 9 4 2" xfId="9515"/>
    <cellStyle name="Input 2 9 4 2 2" xfId="9516"/>
    <cellStyle name="Input 2 9 4 2 2 2" xfId="9517"/>
    <cellStyle name="Input 2 9 4 2 3" xfId="9518"/>
    <cellStyle name="Input 2 9 4 3" xfId="9519"/>
    <cellStyle name="Input 2 9 4 3 2" xfId="9520"/>
    <cellStyle name="Input 2 9 4 3 2 2" xfId="9521"/>
    <cellStyle name="Input 2 9 4 3 3" xfId="9522"/>
    <cellStyle name="Input 2 9 4 4" xfId="9523"/>
    <cellStyle name="Input 2 9 4 4 2" xfId="9524"/>
    <cellStyle name="Input 2 9 4 5" xfId="9525"/>
    <cellStyle name="Input 2 9 4 6" xfId="9526"/>
    <cellStyle name="Input 2 9 40" xfId="9527"/>
    <cellStyle name="Input 2 9 40 2" xfId="9528"/>
    <cellStyle name="Input 2 9 40 2 2" xfId="9529"/>
    <cellStyle name="Input 2 9 40 2 2 2" xfId="9530"/>
    <cellStyle name="Input 2 9 40 2 3" xfId="9531"/>
    <cellStyle name="Input 2 9 40 3" xfId="9532"/>
    <cellStyle name="Input 2 9 40 3 2" xfId="9533"/>
    <cellStyle name="Input 2 9 40 4" xfId="9534"/>
    <cellStyle name="Input 2 9 40 5" xfId="9535"/>
    <cellStyle name="Input 2 9 41" xfId="9536"/>
    <cellStyle name="Input 2 9 41 2" xfId="9537"/>
    <cellStyle name="Input 2 9 41 2 2" xfId="9538"/>
    <cellStyle name="Input 2 9 41 2 2 2" xfId="9539"/>
    <cellStyle name="Input 2 9 41 2 3" xfId="9540"/>
    <cellStyle name="Input 2 9 41 3" xfId="9541"/>
    <cellStyle name="Input 2 9 41 3 2" xfId="9542"/>
    <cellStyle name="Input 2 9 41 4" xfId="9543"/>
    <cellStyle name="Input 2 9 41 5" xfId="9544"/>
    <cellStyle name="Input 2 9 42" xfId="9545"/>
    <cellStyle name="Input 2 9 42 2" xfId="9546"/>
    <cellStyle name="Input 2 9 42 2 2" xfId="9547"/>
    <cellStyle name="Input 2 9 42 2 2 2" xfId="9548"/>
    <cellStyle name="Input 2 9 42 2 3" xfId="9549"/>
    <cellStyle name="Input 2 9 42 3" xfId="9550"/>
    <cellStyle name="Input 2 9 42 3 2" xfId="9551"/>
    <cellStyle name="Input 2 9 42 4" xfId="9552"/>
    <cellStyle name="Input 2 9 42 5" xfId="9553"/>
    <cellStyle name="Input 2 9 43" xfId="9554"/>
    <cellStyle name="Input 2 9 43 2" xfId="9555"/>
    <cellStyle name="Input 2 9 43 2 2" xfId="9556"/>
    <cellStyle name="Input 2 9 43 2 2 2" xfId="9557"/>
    <cellStyle name="Input 2 9 43 2 3" xfId="9558"/>
    <cellStyle name="Input 2 9 43 3" xfId="9559"/>
    <cellStyle name="Input 2 9 43 3 2" xfId="9560"/>
    <cellStyle name="Input 2 9 43 4" xfId="9561"/>
    <cellStyle name="Input 2 9 43 5" xfId="9562"/>
    <cellStyle name="Input 2 9 44" xfId="9563"/>
    <cellStyle name="Input 2 9 44 2" xfId="9564"/>
    <cellStyle name="Input 2 9 44 2 2" xfId="9565"/>
    <cellStyle name="Input 2 9 44 2 2 2" xfId="9566"/>
    <cellStyle name="Input 2 9 44 2 3" xfId="9567"/>
    <cellStyle name="Input 2 9 44 3" xfId="9568"/>
    <cellStyle name="Input 2 9 44 3 2" xfId="9569"/>
    <cellStyle name="Input 2 9 44 4" xfId="9570"/>
    <cellStyle name="Input 2 9 44 5" xfId="9571"/>
    <cellStyle name="Input 2 9 45" xfId="9572"/>
    <cellStyle name="Input 2 9 45 2" xfId="9573"/>
    <cellStyle name="Input 2 9 45 2 2" xfId="9574"/>
    <cellStyle name="Input 2 9 45 2 2 2" xfId="9575"/>
    <cellStyle name="Input 2 9 45 2 3" xfId="9576"/>
    <cellStyle name="Input 2 9 45 3" xfId="9577"/>
    <cellStyle name="Input 2 9 45 3 2" xfId="9578"/>
    <cellStyle name="Input 2 9 45 4" xfId="9579"/>
    <cellStyle name="Input 2 9 45 5" xfId="9580"/>
    <cellStyle name="Input 2 9 46" xfId="9581"/>
    <cellStyle name="Input 2 9 46 2" xfId="9582"/>
    <cellStyle name="Input 2 9 46 2 2" xfId="9583"/>
    <cellStyle name="Input 2 9 46 2 2 2" xfId="9584"/>
    <cellStyle name="Input 2 9 46 2 3" xfId="9585"/>
    <cellStyle name="Input 2 9 46 3" xfId="9586"/>
    <cellStyle name="Input 2 9 46 3 2" xfId="9587"/>
    <cellStyle name="Input 2 9 46 4" xfId="9588"/>
    <cellStyle name="Input 2 9 46 5" xfId="9589"/>
    <cellStyle name="Input 2 9 47" xfId="9590"/>
    <cellStyle name="Input 2 9 47 2" xfId="9591"/>
    <cellStyle name="Input 2 9 47 2 2" xfId="9592"/>
    <cellStyle name="Input 2 9 47 2 2 2" xfId="9593"/>
    <cellStyle name="Input 2 9 47 2 3" xfId="9594"/>
    <cellStyle name="Input 2 9 47 3" xfId="9595"/>
    <cellStyle name="Input 2 9 47 3 2" xfId="9596"/>
    <cellStyle name="Input 2 9 47 4" xfId="9597"/>
    <cellStyle name="Input 2 9 47 5" xfId="9598"/>
    <cellStyle name="Input 2 9 48" xfId="9599"/>
    <cellStyle name="Input 2 9 48 2" xfId="9600"/>
    <cellStyle name="Input 2 9 48 2 2" xfId="9601"/>
    <cellStyle name="Input 2 9 48 2 2 2" xfId="9602"/>
    <cellStyle name="Input 2 9 48 2 3" xfId="9603"/>
    <cellStyle name="Input 2 9 48 3" xfId="9604"/>
    <cellStyle name="Input 2 9 48 3 2" xfId="9605"/>
    <cellStyle name="Input 2 9 48 4" xfId="9606"/>
    <cellStyle name="Input 2 9 48 5" xfId="9607"/>
    <cellStyle name="Input 2 9 49" xfId="9608"/>
    <cellStyle name="Input 2 9 49 2" xfId="9609"/>
    <cellStyle name="Input 2 9 49 2 2" xfId="9610"/>
    <cellStyle name="Input 2 9 49 3" xfId="9611"/>
    <cellStyle name="Input 2 9 5" xfId="9612"/>
    <cellStyle name="Input 2 9 5 2" xfId="9613"/>
    <cellStyle name="Input 2 9 5 2 2" xfId="9614"/>
    <cellStyle name="Input 2 9 5 2 2 2" xfId="9615"/>
    <cellStyle name="Input 2 9 5 2 3" xfId="9616"/>
    <cellStyle name="Input 2 9 5 3" xfId="9617"/>
    <cellStyle name="Input 2 9 5 3 2" xfId="9618"/>
    <cellStyle name="Input 2 9 5 3 2 2" xfId="9619"/>
    <cellStyle name="Input 2 9 5 3 3" xfId="9620"/>
    <cellStyle name="Input 2 9 5 4" xfId="9621"/>
    <cellStyle name="Input 2 9 5 4 2" xfId="9622"/>
    <cellStyle name="Input 2 9 5 5" xfId="9623"/>
    <cellStyle name="Input 2 9 5 6" xfId="9624"/>
    <cellStyle name="Input 2 9 50" xfId="9625"/>
    <cellStyle name="Input 2 9 50 2" xfId="9626"/>
    <cellStyle name="Input 2 9 50 2 2" xfId="9627"/>
    <cellStyle name="Input 2 9 50 3" xfId="9628"/>
    <cellStyle name="Input 2 9 51" xfId="9629"/>
    <cellStyle name="Input 2 9 51 2" xfId="9630"/>
    <cellStyle name="Input 2 9 51 2 2" xfId="9631"/>
    <cellStyle name="Input 2 9 51 3" xfId="9632"/>
    <cellStyle name="Input 2 9 52" xfId="9633"/>
    <cellStyle name="Input 2 9 52 2" xfId="9634"/>
    <cellStyle name="Input 2 9 53" xfId="9635"/>
    <cellStyle name="Input 2 9 54" xfId="9636"/>
    <cellStyle name="Input 2 9 6" xfId="9637"/>
    <cellStyle name="Input 2 9 6 2" xfId="9638"/>
    <cellStyle name="Input 2 9 6 2 2" xfId="9639"/>
    <cellStyle name="Input 2 9 6 2 2 2" xfId="9640"/>
    <cellStyle name="Input 2 9 6 2 3" xfId="9641"/>
    <cellStyle name="Input 2 9 6 3" xfId="9642"/>
    <cellStyle name="Input 2 9 6 3 2" xfId="9643"/>
    <cellStyle name="Input 2 9 6 3 2 2" xfId="9644"/>
    <cellStyle name="Input 2 9 6 3 3" xfId="9645"/>
    <cellStyle name="Input 2 9 6 4" xfId="9646"/>
    <cellStyle name="Input 2 9 6 4 2" xfId="9647"/>
    <cellStyle name="Input 2 9 6 5" xfId="9648"/>
    <cellStyle name="Input 2 9 6 6" xfId="9649"/>
    <cellStyle name="Input 2 9 7" xfId="9650"/>
    <cellStyle name="Input 2 9 7 2" xfId="9651"/>
    <cellStyle name="Input 2 9 7 2 2" xfId="9652"/>
    <cellStyle name="Input 2 9 7 2 2 2" xfId="9653"/>
    <cellStyle name="Input 2 9 7 2 3" xfId="9654"/>
    <cellStyle name="Input 2 9 7 3" xfId="9655"/>
    <cellStyle name="Input 2 9 7 3 2" xfId="9656"/>
    <cellStyle name="Input 2 9 7 3 2 2" xfId="9657"/>
    <cellStyle name="Input 2 9 7 3 3" xfId="9658"/>
    <cellStyle name="Input 2 9 7 4" xfId="9659"/>
    <cellStyle name="Input 2 9 7 4 2" xfId="9660"/>
    <cellStyle name="Input 2 9 7 5" xfId="9661"/>
    <cellStyle name="Input 2 9 7 6" xfId="9662"/>
    <cellStyle name="Input 2 9 8" xfId="9663"/>
    <cellStyle name="Input 2 9 8 2" xfId="9664"/>
    <cellStyle name="Input 2 9 8 2 2" xfId="9665"/>
    <cellStyle name="Input 2 9 8 2 2 2" xfId="9666"/>
    <cellStyle name="Input 2 9 8 2 3" xfId="9667"/>
    <cellStyle name="Input 2 9 8 3" xfId="9668"/>
    <cellStyle name="Input 2 9 8 3 2" xfId="9669"/>
    <cellStyle name="Input 2 9 8 3 2 2" xfId="9670"/>
    <cellStyle name="Input 2 9 8 3 3" xfId="9671"/>
    <cellStyle name="Input 2 9 8 4" xfId="9672"/>
    <cellStyle name="Input 2 9 8 4 2" xfId="9673"/>
    <cellStyle name="Input 2 9 8 5" xfId="9674"/>
    <cellStyle name="Input 2 9 8 6" xfId="9675"/>
    <cellStyle name="Input 2 9 9" xfId="9676"/>
    <cellStyle name="Input 2 9 9 2" xfId="9677"/>
    <cellStyle name="Input 2 9 9 2 2" xfId="9678"/>
    <cellStyle name="Input 2 9 9 2 2 2" xfId="9679"/>
    <cellStyle name="Input 2 9 9 2 3" xfId="9680"/>
    <cellStyle name="Input 2 9 9 3" xfId="9681"/>
    <cellStyle name="Input 2 9 9 3 2" xfId="9682"/>
    <cellStyle name="Input 2 9 9 4" xfId="9683"/>
    <cellStyle name="Input 2 9 9 5" xfId="9684"/>
    <cellStyle name="Input 3" xfId="9685"/>
    <cellStyle name="Input 3 10" xfId="9686"/>
    <cellStyle name="Input 3 10 2" xfId="9687"/>
    <cellStyle name="Input 3 10 2 2" xfId="9688"/>
    <cellStyle name="Input 3 10 3" xfId="9689"/>
    <cellStyle name="Input 3 11" xfId="9690"/>
    <cellStyle name="Input 3 11 2" xfId="9691"/>
    <cellStyle name="Input 3 11 2 2" xfId="9692"/>
    <cellStyle name="Input 3 11 3" xfId="9693"/>
    <cellStyle name="Input 3 12" xfId="9694"/>
    <cellStyle name="Input 3 12 2" xfId="9695"/>
    <cellStyle name="Input 3 13" xfId="9696"/>
    <cellStyle name="Input 3 14" xfId="9697"/>
    <cellStyle name="Input 3 2" xfId="9698"/>
    <cellStyle name="Input 3 2 2" xfId="9699"/>
    <cellStyle name="Input 3 2 2 2" xfId="9700"/>
    <cellStyle name="Input 3 2 2 2 2" xfId="9701"/>
    <cellStyle name="Input 3 2 2 3" xfId="9702"/>
    <cellStyle name="Input 3 2 3" xfId="9703"/>
    <cellStyle name="Input 3 2 3 2" xfId="9704"/>
    <cellStyle name="Input 3 2 3 2 2" xfId="9705"/>
    <cellStyle name="Input 3 2 3 3" xfId="9706"/>
    <cellStyle name="Input 3 2 4" xfId="9707"/>
    <cellStyle name="Input 3 2 4 2" xfId="9708"/>
    <cellStyle name="Input 3 2 4 2 2" xfId="9709"/>
    <cellStyle name="Input 3 2 4 3" xfId="9710"/>
    <cellStyle name="Input 3 2 5" xfId="9711"/>
    <cellStyle name="Input 3 2 5 2" xfId="9712"/>
    <cellStyle name="Input 3 2 5 2 2" xfId="9713"/>
    <cellStyle name="Input 3 2 5 3" xfId="9714"/>
    <cellStyle name="Input 3 2 6" xfId="9715"/>
    <cellStyle name="Input 3 2 6 2" xfId="9716"/>
    <cellStyle name="Input 3 2 6 2 2" xfId="9717"/>
    <cellStyle name="Input 3 2 6 3" xfId="9718"/>
    <cellStyle name="Input 3 2 7" xfId="9719"/>
    <cellStyle name="Input 3 2 7 2" xfId="9720"/>
    <cellStyle name="Input 3 2 8" xfId="9721"/>
    <cellStyle name="Input 3 2 9" xfId="9722"/>
    <cellStyle name="Input 3 3" xfId="9723"/>
    <cellStyle name="Input 3 3 2" xfId="9724"/>
    <cellStyle name="Input 3 3 2 2" xfId="9725"/>
    <cellStyle name="Input 3 3 2 2 2" xfId="9726"/>
    <cellStyle name="Input 3 3 2 3" xfId="9727"/>
    <cellStyle name="Input 3 3 3" xfId="9728"/>
    <cellStyle name="Input 3 3 3 2" xfId="9729"/>
    <cellStyle name="Input 3 3 3 2 2" xfId="9730"/>
    <cellStyle name="Input 3 3 3 3" xfId="9731"/>
    <cellStyle name="Input 3 3 4" xfId="9732"/>
    <cellStyle name="Input 3 3 4 2" xfId="9733"/>
    <cellStyle name="Input 3 3 5" xfId="9734"/>
    <cellStyle name="Input 3 4" xfId="9735"/>
    <cellStyle name="Input 3 4 2" xfId="9736"/>
    <cellStyle name="Input 3 4 2 2" xfId="9737"/>
    <cellStyle name="Input 3 4 2 2 2" xfId="9738"/>
    <cellStyle name="Input 3 4 2 3" xfId="9739"/>
    <cellStyle name="Input 3 4 3" xfId="9740"/>
    <cellStyle name="Input 3 4 3 2" xfId="9741"/>
    <cellStyle name="Input 3 4 3 2 2" xfId="9742"/>
    <cellStyle name="Input 3 4 3 3" xfId="9743"/>
    <cellStyle name="Input 3 4 4" xfId="9744"/>
    <cellStyle name="Input 3 4 4 2" xfId="9745"/>
    <cellStyle name="Input 3 4 5" xfId="9746"/>
    <cellStyle name="Input 3 5" xfId="9747"/>
    <cellStyle name="Input 3 5 2" xfId="9748"/>
    <cellStyle name="Input 3 5 2 2" xfId="9749"/>
    <cellStyle name="Input 3 5 2 2 2" xfId="9750"/>
    <cellStyle name="Input 3 5 2 3" xfId="9751"/>
    <cellStyle name="Input 3 5 3" xfId="9752"/>
    <cellStyle name="Input 3 5 3 2" xfId="9753"/>
    <cellStyle name="Input 3 5 3 2 2" xfId="9754"/>
    <cellStyle name="Input 3 5 3 3" xfId="9755"/>
    <cellStyle name="Input 3 5 4" xfId="9756"/>
    <cellStyle name="Input 3 5 4 2" xfId="9757"/>
    <cellStyle name="Input 3 5 5" xfId="9758"/>
    <cellStyle name="Input 3 6" xfId="9759"/>
    <cellStyle name="Input 3 6 2" xfId="9760"/>
    <cellStyle name="Input 3 6 2 2" xfId="9761"/>
    <cellStyle name="Input 3 6 2 2 2" xfId="9762"/>
    <cellStyle name="Input 3 6 2 3" xfId="9763"/>
    <cellStyle name="Input 3 6 3" xfId="9764"/>
    <cellStyle name="Input 3 6 3 2" xfId="9765"/>
    <cellStyle name="Input 3 6 4" xfId="9766"/>
    <cellStyle name="Input 3 7" xfId="9767"/>
    <cellStyle name="Input 3 7 2" xfId="9768"/>
    <cellStyle name="Input 3 7 2 2" xfId="9769"/>
    <cellStyle name="Input 3 7 2 2 2" xfId="9770"/>
    <cellStyle name="Input 3 7 2 3" xfId="9771"/>
    <cellStyle name="Input 3 7 3" xfId="9772"/>
    <cellStyle name="Input 3 7 3 2" xfId="9773"/>
    <cellStyle name="Input 3 7 4" xfId="9774"/>
    <cellStyle name="Input 3 8" xfId="9775"/>
    <cellStyle name="Input 3 8 2" xfId="9776"/>
    <cellStyle name="Input 3 8 2 2" xfId="9777"/>
    <cellStyle name="Input 3 8 2 2 2" xfId="9778"/>
    <cellStyle name="Input 3 8 2 3" xfId="9779"/>
    <cellStyle name="Input 3 8 3" xfId="9780"/>
    <cellStyle name="Input 3 8 3 2" xfId="9781"/>
    <cellStyle name="Input 3 8 4" xfId="9782"/>
    <cellStyle name="Input 3 9" xfId="9783"/>
    <cellStyle name="Input 3 9 2" xfId="9784"/>
    <cellStyle name="Input 3 9 2 2" xfId="9785"/>
    <cellStyle name="Input 3 9 3" xfId="9786"/>
    <cellStyle name="Input 4" xfId="9787"/>
    <cellStyle name="Input 4 10" xfId="9788"/>
    <cellStyle name="Input 4 10 2" xfId="9789"/>
    <cellStyle name="Input 4 10 2 2" xfId="9790"/>
    <cellStyle name="Input 4 10 3" xfId="9791"/>
    <cellStyle name="Input 4 11" xfId="9792"/>
    <cellStyle name="Input 4 11 2" xfId="9793"/>
    <cellStyle name="Input 4 11 2 2" xfId="9794"/>
    <cellStyle name="Input 4 11 3" xfId="9795"/>
    <cellStyle name="Input 4 12" xfId="9796"/>
    <cellStyle name="Input 4 12 2" xfId="9797"/>
    <cellStyle name="Input 4 13" xfId="9798"/>
    <cellStyle name="Input 4 14" xfId="9799"/>
    <cellStyle name="Input 4 2" xfId="9800"/>
    <cellStyle name="Input 4 2 2" xfId="9801"/>
    <cellStyle name="Input 4 2 2 2" xfId="9802"/>
    <cellStyle name="Input 4 2 2 2 2" xfId="9803"/>
    <cellStyle name="Input 4 2 2 3" xfId="9804"/>
    <cellStyle name="Input 4 2 3" xfId="9805"/>
    <cellStyle name="Input 4 2 3 2" xfId="9806"/>
    <cellStyle name="Input 4 2 3 2 2" xfId="9807"/>
    <cellStyle name="Input 4 2 3 3" xfId="9808"/>
    <cellStyle name="Input 4 2 4" xfId="9809"/>
    <cellStyle name="Input 4 2 4 2" xfId="9810"/>
    <cellStyle name="Input 4 2 4 2 2" xfId="9811"/>
    <cellStyle name="Input 4 2 4 3" xfId="9812"/>
    <cellStyle name="Input 4 2 5" xfId="9813"/>
    <cellStyle name="Input 4 2 5 2" xfId="9814"/>
    <cellStyle name="Input 4 2 5 2 2" xfId="9815"/>
    <cellStyle name="Input 4 2 5 3" xfId="9816"/>
    <cellStyle name="Input 4 2 6" xfId="9817"/>
    <cellStyle name="Input 4 2 6 2" xfId="9818"/>
    <cellStyle name="Input 4 2 6 2 2" xfId="9819"/>
    <cellStyle name="Input 4 2 6 3" xfId="9820"/>
    <cellStyle name="Input 4 2 7" xfId="9821"/>
    <cellStyle name="Input 4 2 7 2" xfId="9822"/>
    <cellStyle name="Input 4 2 8" xfId="9823"/>
    <cellStyle name="Input 4 2 9" xfId="9824"/>
    <cellStyle name="Input 4 3" xfId="9825"/>
    <cellStyle name="Input 4 3 2" xfId="9826"/>
    <cellStyle name="Input 4 3 2 2" xfId="9827"/>
    <cellStyle name="Input 4 3 2 2 2" xfId="9828"/>
    <cellStyle name="Input 4 3 2 3" xfId="9829"/>
    <cellStyle name="Input 4 3 3" xfId="9830"/>
    <cellStyle name="Input 4 3 3 2" xfId="9831"/>
    <cellStyle name="Input 4 3 3 2 2" xfId="9832"/>
    <cellStyle name="Input 4 3 3 3" xfId="9833"/>
    <cellStyle name="Input 4 3 4" xfId="9834"/>
    <cellStyle name="Input 4 3 4 2" xfId="9835"/>
    <cellStyle name="Input 4 3 5" xfId="9836"/>
    <cellStyle name="Input 4 4" xfId="9837"/>
    <cellStyle name="Input 4 4 2" xfId="9838"/>
    <cellStyle name="Input 4 4 2 2" xfId="9839"/>
    <cellStyle name="Input 4 4 2 2 2" xfId="9840"/>
    <cellStyle name="Input 4 4 2 3" xfId="9841"/>
    <cellStyle name="Input 4 4 3" xfId="9842"/>
    <cellStyle name="Input 4 4 3 2" xfId="9843"/>
    <cellStyle name="Input 4 4 3 2 2" xfId="9844"/>
    <cellStyle name="Input 4 4 3 3" xfId="9845"/>
    <cellStyle name="Input 4 4 4" xfId="9846"/>
    <cellStyle name="Input 4 4 4 2" xfId="9847"/>
    <cellStyle name="Input 4 4 5" xfId="9848"/>
    <cellStyle name="Input 4 5" xfId="9849"/>
    <cellStyle name="Input 4 5 2" xfId="9850"/>
    <cellStyle name="Input 4 5 2 2" xfId="9851"/>
    <cellStyle name="Input 4 5 2 2 2" xfId="9852"/>
    <cellStyle name="Input 4 5 2 3" xfId="9853"/>
    <cellStyle name="Input 4 5 3" xfId="9854"/>
    <cellStyle name="Input 4 5 3 2" xfId="9855"/>
    <cellStyle name="Input 4 5 3 2 2" xfId="9856"/>
    <cellStyle name="Input 4 5 3 3" xfId="9857"/>
    <cellStyle name="Input 4 5 4" xfId="9858"/>
    <cellStyle name="Input 4 5 4 2" xfId="9859"/>
    <cellStyle name="Input 4 5 5" xfId="9860"/>
    <cellStyle name="Input 4 6" xfId="9861"/>
    <cellStyle name="Input 4 6 2" xfId="9862"/>
    <cellStyle name="Input 4 6 2 2" xfId="9863"/>
    <cellStyle name="Input 4 6 2 2 2" xfId="9864"/>
    <cellStyle name="Input 4 6 2 3" xfId="9865"/>
    <cellStyle name="Input 4 6 3" xfId="9866"/>
    <cellStyle name="Input 4 6 3 2" xfId="9867"/>
    <cellStyle name="Input 4 6 4" xfId="9868"/>
    <cellStyle name="Input 4 7" xfId="9869"/>
    <cellStyle name="Input 4 7 2" xfId="9870"/>
    <cellStyle name="Input 4 7 2 2" xfId="9871"/>
    <cellStyle name="Input 4 7 2 2 2" xfId="9872"/>
    <cellStyle name="Input 4 7 2 3" xfId="9873"/>
    <cellStyle name="Input 4 7 3" xfId="9874"/>
    <cellStyle name="Input 4 7 3 2" xfId="9875"/>
    <cellStyle name="Input 4 7 4" xfId="9876"/>
    <cellStyle name="Input 4 8" xfId="9877"/>
    <cellStyle name="Input 4 8 2" xfId="9878"/>
    <cellStyle name="Input 4 8 2 2" xfId="9879"/>
    <cellStyle name="Input 4 8 2 2 2" xfId="9880"/>
    <cellStyle name="Input 4 8 2 3" xfId="9881"/>
    <cellStyle name="Input 4 8 3" xfId="9882"/>
    <cellStyle name="Input 4 8 3 2" xfId="9883"/>
    <cellStyle name="Input 4 8 4" xfId="9884"/>
    <cellStyle name="Input 4 9" xfId="9885"/>
    <cellStyle name="Input 4 9 2" xfId="9886"/>
    <cellStyle name="Input 4 9 2 2" xfId="9887"/>
    <cellStyle name="Input 4 9 3" xfId="9888"/>
    <cellStyle name="Input 5" xfId="9889"/>
    <cellStyle name="Input 5 10" xfId="9890"/>
    <cellStyle name="Input 5 10 2" xfId="9891"/>
    <cellStyle name="Input 5 10 2 2" xfId="9892"/>
    <cellStyle name="Input 5 10 2 2 2" xfId="9893"/>
    <cellStyle name="Input 5 10 2 3" xfId="9894"/>
    <cellStyle name="Input 5 10 3" xfId="9895"/>
    <cellStyle name="Input 5 10 3 2" xfId="9896"/>
    <cellStyle name="Input 5 10 4" xfId="9897"/>
    <cellStyle name="Input 5 10 5" xfId="9898"/>
    <cellStyle name="Input 5 11" xfId="9899"/>
    <cellStyle name="Input 5 11 2" xfId="9900"/>
    <cellStyle name="Input 5 11 2 2" xfId="9901"/>
    <cellStyle name="Input 5 11 2 2 2" xfId="9902"/>
    <cellStyle name="Input 5 11 2 3" xfId="9903"/>
    <cellStyle name="Input 5 11 3" xfId="9904"/>
    <cellStyle name="Input 5 11 3 2" xfId="9905"/>
    <cellStyle name="Input 5 11 4" xfId="9906"/>
    <cellStyle name="Input 5 11 5" xfId="9907"/>
    <cellStyle name="Input 5 12" xfId="9908"/>
    <cellStyle name="Input 5 12 2" xfId="9909"/>
    <cellStyle name="Input 5 12 2 2" xfId="9910"/>
    <cellStyle name="Input 5 12 2 2 2" xfId="9911"/>
    <cellStyle name="Input 5 12 2 3" xfId="9912"/>
    <cellStyle name="Input 5 12 3" xfId="9913"/>
    <cellStyle name="Input 5 12 3 2" xfId="9914"/>
    <cellStyle name="Input 5 12 4" xfId="9915"/>
    <cellStyle name="Input 5 12 5" xfId="9916"/>
    <cellStyle name="Input 5 13" xfId="9917"/>
    <cellStyle name="Input 5 13 2" xfId="9918"/>
    <cellStyle name="Input 5 13 2 2" xfId="9919"/>
    <cellStyle name="Input 5 13 2 2 2" xfId="9920"/>
    <cellStyle name="Input 5 13 2 3" xfId="9921"/>
    <cellStyle name="Input 5 13 3" xfId="9922"/>
    <cellStyle name="Input 5 13 3 2" xfId="9923"/>
    <cellStyle name="Input 5 13 4" xfId="9924"/>
    <cellStyle name="Input 5 13 5" xfId="9925"/>
    <cellStyle name="Input 5 14" xfId="9926"/>
    <cellStyle name="Input 5 14 2" xfId="9927"/>
    <cellStyle name="Input 5 14 2 2" xfId="9928"/>
    <cellStyle name="Input 5 14 2 2 2" xfId="9929"/>
    <cellStyle name="Input 5 14 2 3" xfId="9930"/>
    <cellStyle name="Input 5 14 3" xfId="9931"/>
    <cellStyle name="Input 5 14 3 2" xfId="9932"/>
    <cellStyle name="Input 5 14 4" xfId="9933"/>
    <cellStyle name="Input 5 14 5" xfId="9934"/>
    <cellStyle name="Input 5 15" xfId="9935"/>
    <cellStyle name="Input 5 15 2" xfId="9936"/>
    <cellStyle name="Input 5 15 2 2" xfId="9937"/>
    <cellStyle name="Input 5 15 2 2 2" xfId="9938"/>
    <cellStyle name="Input 5 15 2 3" xfId="9939"/>
    <cellStyle name="Input 5 15 3" xfId="9940"/>
    <cellStyle name="Input 5 15 3 2" xfId="9941"/>
    <cellStyle name="Input 5 15 4" xfId="9942"/>
    <cellStyle name="Input 5 15 5" xfId="9943"/>
    <cellStyle name="Input 5 16" xfId="9944"/>
    <cellStyle name="Input 5 16 2" xfId="9945"/>
    <cellStyle name="Input 5 16 2 2" xfId="9946"/>
    <cellStyle name="Input 5 16 2 2 2" xfId="9947"/>
    <cellStyle name="Input 5 16 2 3" xfId="9948"/>
    <cellStyle name="Input 5 16 3" xfId="9949"/>
    <cellStyle name="Input 5 16 3 2" xfId="9950"/>
    <cellStyle name="Input 5 16 4" xfId="9951"/>
    <cellStyle name="Input 5 16 5" xfId="9952"/>
    <cellStyle name="Input 5 17" xfId="9953"/>
    <cellStyle name="Input 5 17 2" xfId="9954"/>
    <cellStyle name="Input 5 17 2 2" xfId="9955"/>
    <cellStyle name="Input 5 17 2 2 2" xfId="9956"/>
    <cellStyle name="Input 5 17 2 3" xfId="9957"/>
    <cellStyle name="Input 5 17 3" xfId="9958"/>
    <cellStyle name="Input 5 17 3 2" xfId="9959"/>
    <cellStyle name="Input 5 17 4" xfId="9960"/>
    <cellStyle name="Input 5 17 5" xfId="9961"/>
    <cellStyle name="Input 5 18" xfId="9962"/>
    <cellStyle name="Input 5 18 2" xfId="9963"/>
    <cellStyle name="Input 5 18 2 2" xfId="9964"/>
    <cellStyle name="Input 5 18 2 2 2" xfId="9965"/>
    <cellStyle name="Input 5 18 2 3" xfId="9966"/>
    <cellStyle name="Input 5 18 3" xfId="9967"/>
    <cellStyle name="Input 5 18 3 2" xfId="9968"/>
    <cellStyle name="Input 5 18 4" xfId="9969"/>
    <cellStyle name="Input 5 18 5" xfId="9970"/>
    <cellStyle name="Input 5 19" xfId="9971"/>
    <cellStyle name="Input 5 19 2" xfId="9972"/>
    <cellStyle name="Input 5 19 2 2" xfId="9973"/>
    <cellStyle name="Input 5 19 2 2 2" xfId="9974"/>
    <cellStyle name="Input 5 19 2 3" xfId="9975"/>
    <cellStyle name="Input 5 19 3" xfId="9976"/>
    <cellStyle name="Input 5 19 3 2" xfId="9977"/>
    <cellStyle name="Input 5 19 4" xfId="9978"/>
    <cellStyle name="Input 5 19 5" xfId="9979"/>
    <cellStyle name="Input 5 2" xfId="9980"/>
    <cellStyle name="Input 5 2 2" xfId="9981"/>
    <cellStyle name="Input 5 2 2 2" xfId="9982"/>
    <cellStyle name="Input 5 2 2 2 2" xfId="9983"/>
    <cellStyle name="Input 5 2 2 3" xfId="9984"/>
    <cellStyle name="Input 5 2 3" xfId="9985"/>
    <cellStyle name="Input 5 2 3 2" xfId="9986"/>
    <cellStyle name="Input 5 2 3 2 2" xfId="9987"/>
    <cellStyle name="Input 5 2 3 3" xfId="9988"/>
    <cellStyle name="Input 5 2 4" xfId="9989"/>
    <cellStyle name="Input 5 2 4 2" xfId="9990"/>
    <cellStyle name="Input 5 2 5" xfId="9991"/>
    <cellStyle name="Input 5 2 6" xfId="9992"/>
    <cellStyle name="Input 5 20" xfId="9993"/>
    <cellStyle name="Input 5 20 2" xfId="9994"/>
    <cellStyle name="Input 5 20 2 2" xfId="9995"/>
    <cellStyle name="Input 5 20 2 2 2" xfId="9996"/>
    <cellStyle name="Input 5 20 2 3" xfId="9997"/>
    <cellStyle name="Input 5 20 3" xfId="9998"/>
    <cellStyle name="Input 5 20 3 2" xfId="9999"/>
    <cellStyle name="Input 5 20 4" xfId="10000"/>
    <cellStyle name="Input 5 20 5" xfId="10001"/>
    <cellStyle name="Input 5 21" xfId="10002"/>
    <cellStyle name="Input 5 21 2" xfId="10003"/>
    <cellStyle name="Input 5 21 2 2" xfId="10004"/>
    <cellStyle name="Input 5 21 2 2 2" xfId="10005"/>
    <cellStyle name="Input 5 21 2 3" xfId="10006"/>
    <cellStyle name="Input 5 21 3" xfId="10007"/>
    <cellStyle name="Input 5 21 3 2" xfId="10008"/>
    <cellStyle name="Input 5 21 4" xfId="10009"/>
    <cellStyle name="Input 5 21 5" xfId="10010"/>
    <cellStyle name="Input 5 22" xfId="10011"/>
    <cellStyle name="Input 5 22 2" xfId="10012"/>
    <cellStyle name="Input 5 22 2 2" xfId="10013"/>
    <cellStyle name="Input 5 22 2 2 2" xfId="10014"/>
    <cellStyle name="Input 5 22 2 3" xfId="10015"/>
    <cellStyle name="Input 5 22 3" xfId="10016"/>
    <cellStyle name="Input 5 22 3 2" xfId="10017"/>
    <cellStyle name="Input 5 22 4" xfId="10018"/>
    <cellStyle name="Input 5 22 5" xfId="10019"/>
    <cellStyle name="Input 5 23" xfId="10020"/>
    <cellStyle name="Input 5 23 2" xfId="10021"/>
    <cellStyle name="Input 5 23 2 2" xfId="10022"/>
    <cellStyle name="Input 5 23 2 2 2" xfId="10023"/>
    <cellStyle name="Input 5 23 2 3" xfId="10024"/>
    <cellStyle name="Input 5 23 3" xfId="10025"/>
    <cellStyle name="Input 5 23 3 2" xfId="10026"/>
    <cellStyle name="Input 5 23 4" xfId="10027"/>
    <cellStyle name="Input 5 23 5" xfId="10028"/>
    <cellStyle name="Input 5 24" xfId="10029"/>
    <cellStyle name="Input 5 24 2" xfId="10030"/>
    <cellStyle name="Input 5 24 2 2" xfId="10031"/>
    <cellStyle name="Input 5 24 2 2 2" xfId="10032"/>
    <cellStyle name="Input 5 24 2 3" xfId="10033"/>
    <cellStyle name="Input 5 24 3" xfId="10034"/>
    <cellStyle name="Input 5 24 3 2" xfId="10035"/>
    <cellStyle name="Input 5 24 4" xfId="10036"/>
    <cellStyle name="Input 5 24 5" xfId="10037"/>
    <cellStyle name="Input 5 25" xfId="10038"/>
    <cellStyle name="Input 5 25 2" xfId="10039"/>
    <cellStyle name="Input 5 25 2 2" xfId="10040"/>
    <cellStyle name="Input 5 25 2 2 2" xfId="10041"/>
    <cellStyle name="Input 5 25 2 3" xfId="10042"/>
    <cellStyle name="Input 5 25 3" xfId="10043"/>
    <cellStyle name="Input 5 25 3 2" xfId="10044"/>
    <cellStyle name="Input 5 25 4" xfId="10045"/>
    <cellStyle name="Input 5 25 5" xfId="10046"/>
    <cellStyle name="Input 5 26" xfId="10047"/>
    <cellStyle name="Input 5 26 2" xfId="10048"/>
    <cellStyle name="Input 5 26 2 2" xfId="10049"/>
    <cellStyle name="Input 5 26 2 2 2" xfId="10050"/>
    <cellStyle name="Input 5 26 2 3" xfId="10051"/>
    <cellStyle name="Input 5 26 3" xfId="10052"/>
    <cellStyle name="Input 5 26 3 2" xfId="10053"/>
    <cellStyle name="Input 5 26 4" xfId="10054"/>
    <cellStyle name="Input 5 26 5" xfId="10055"/>
    <cellStyle name="Input 5 27" xfId="10056"/>
    <cellStyle name="Input 5 27 2" xfId="10057"/>
    <cellStyle name="Input 5 27 2 2" xfId="10058"/>
    <cellStyle name="Input 5 27 2 2 2" xfId="10059"/>
    <cellStyle name="Input 5 27 2 3" xfId="10060"/>
    <cellStyle name="Input 5 27 3" xfId="10061"/>
    <cellStyle name="Input 5 27 3 2" xfId="10062"/>
    <cellStyle name="Input 5 27 4" xfId="10063"/>
    <cellStyle name="Input 5 27 5" xfId="10064"/>
    <cellStyle name="Input 5 28" xfId="10065"/>
    <cellStyle name="Input 5 28 2" xfId="10066"/>
    <cellStyle name="Input 5 28 2 2" xfId="10067"/>
    <cellStyle name="Input 5 28 2 2 2" xfId="10068"/>
    <cellStyle name="Input 5 28 2 3" xfId="10069"/>
    <cellStyle name="Input 5 28 3" xfId="10070"/>
    <cellStyle name="Input 5 28 3 2" xfId="10071"/>
    <cellStyle name="Input 5 28 4" xfId="10072"/>
    <cellStyle name="Input 5 28 5" xfId="10073"/>
    <cellStyle name="Input 5 29" xfId="10074"/>
    <cellStyle name="Input 5 29 2" xfId="10075"/>
    <cellStyle name="Input 5 29 2 2" xfId="10076"/>
    <cellStyle name="Input 5 29 2 2 2" xfId="10077"/>
    <cellStyle name="Input 5 29 2 3" xfId="10078"/>
    <cellStyle name="Input 5 29 3" xfId="10079"/>
    <cellStyle name="Input 5 29 3 2" xfId="10080"/>
    <cellStyle name="Input 5 29 4" xfId="10081"/>
    <cellStyle name="Input 5 29 5" xfId="10082"/>
    <cellStyle name="Input 5 3" xfId="10083"/>
    <cellStyle name="Input 5 3 2" xfId="10084"/>
    <cellStyle name="Input 5 3 2 2" xfId="10085"/>
    <cellStyle name="Input 5 3 2 2 2" xfId="10086"/>
    <cellStyle name="Input 5 3 2 3" xfId="10087"/>
    <cellStyle name="Input 5 3 3" xfId="10088"/>
    <cellStyle name="Input 5 3 3 2" xfId="10089"/>
    <cellStyle name="Input 5 3 3 2 2" xfId="10090"/>
    <cellStyle name="Input 5 3 3 3" xfId="10091"/>
    <cellStyle name="Input 5 3 4" xfId="10092"/>
    <cellStyle name="Input 5 3 4 2" xfId="10093"/>
    <cellStyle name="Input 5 3 5" xfId="10094"/>
    <cellStyle name="Input 5 3 6" xfId="10095"/>
    <cellStyle name="Input 5 30" xfId="10096"/>
    <cellStyle name="Input 5 30 2" xfId="10097"/>
    <cellStyle name="Input 5 30 2 2" xfId="10098"/>
    <cellStyle name="Input 5 30 2 2 2" xfId="10099"/>
    <cellStyle name="Input 5 30 2 3" xfId="10100"/>
    <cellStyle name="Input 5 30 3" xfId="10101"/>
    <cellStyle name="Input 5 30 3 2" xfId="10102"/>
    <cellStyle name="Input 5 30 4" xfId="10103"/>
    <cellStyle name="Input 5 30 5" xfId="10104"/>
    <cellStyle name="Input 5 31" xfId="10105"/>
    <cellStyle name="Input 5 31 2" xfId="10106"/>
    <cellStyle name="Input 5 31 2 2" xfId="10107"/>
    <cellStyle name="Input 5 31 2 2 2" xfId="10108"/>
    <cellStyle name="Input 5 31 2 3" xfId="10109"/>
    <cellStyle name="Input 5 31 3" xfId="10110"/>
    <cellStyle name="Input 5 31 3 2" xfId="10111"/>
    <cellStyle name="Input 5 31 4" xfId="10112"/>
    <cellStyle name="Input 5 31 5" xfId="10113"/>
    <cellStyle name="Input 5 32" xfId="10114"/>
    <cellStyle name="Input 5 32 2" xfId="10115"/>
    <cellStyle name="Input 5 32 2 2" xfId="10116"/>
    <cellStyle name="Input 5 32 2 2 2" xfId="10117"/>
    <cellStyle name="Input 5 32 2 3" xfId="10118"/>
    <cellStyle name="Input 5 32 3" xfId="10119"/>
    <cellStyle name="Input 5 32 3 2" xfId="10120"/>
    <cellStyle name="Input 5 32 4" xfId="10121"/>
    <cellStyle name="Input 5 32 5" xfId="10122"/>
    <cellStyle name="Input 5 33" xfId="10123"/>
    <cellStyle name="Input 5 33 2" xfId="10124"/>
    <cellStyle name="Input 5 33 2 2" xfId="10125"/>
    <cellStyle name="Input 5 33 2 2 2" xfId="10126"/>
    <cellStyle name="Input 5 33 2 3" xfId="10127"/>
    <cellStyle name="Input 5 33 3" xfId="10128"/>
    <cellStyle name="Input 5 33 3 2" xfId="10129"/>
    <cellStyle name="Input 5 33 4" xfId="10130"/>
    <cellStyle name="Input 5 33 5" xfId="10131"/>
    <cellStyle name="Input 5 34" xfId="10132"/>
    <cellStyle name="Input 5 34 2" xfId="10133"/>
    <cellStyle name="Input 5 34 2 2" xfId="10134"/>
    <cellStyle name="Input 5 34 2 2 2" xfId="10135"/>
    <cellStyle name="Input 5 34 2 3" xfId="10136"/>
    <cellStyle name="Input 5 34 3" xfId="10137"/>
    <cellStyle name="Input 5 34 3 2" xfId="10138"/>
    <cellStyle name="Input 5 34 4" xfId="10139"/>
    <cellStyle name="Input 5 34 5" xfId="10140"/>
    <cellStyle name="Input 5 35" xfId="10141"/>
    <cellStyle name="Input 5 35 2" xfId="10142"/>
    <cellStyle name="Input 5 35 2 2" xfId="10143"/>
    <cellStyle name="Input 5 35 2 2 2" xfId="10144"/>
    <cellStyle name="Input 5 35 2 3" xfId="10145"/>
    <cellStyle name="Input 5 35 3" xfId="10146"/>
    <cellStyle name="Input 5 35 3 2" xfId="10147"/>
    <cellStyle name="Input 5 35 4" xfId="10148"/>
    <cellStyle name="Input 5 35 5" xfId="10149"/>
    <cellStyle name="Input 5 36" xfId="10150"/>
    <cellStyle name="Input 5 36 2" xfId="10151"/>
    <cellStyle name="Input 5 36 2 2" xfId="10152"/>
    <cellStyle name="Input 5 36 2 2 2" xfId="10153"/>
    <cellStyle name="Input 5 36 2 3" xfId="10154"/>
    <cellStyle name="Input 5 36 3" xfId="10155"/>
    <cellStyle name="Input 5 36 3 2" xfId="10156"/>
    <cellStyle name="Input 5 36 4" xfId="10157"/>
    <cellStyle name="Input 5 36 5" xfId="10158"/>
    <cellStyle name="Input 5 37" xfId="10159"/>
    <cellStyle name="Input 5 37 2" xfId="10160"/>
    <cellStyle name="Input 5 37 2 2" xfId="10161"/>
    <cellStyle name="Input 5 37 2 2 2" xfId="10162"/>
    <cellStyle name="Input 5 37 2 3" xfId="10163"/>
    <cellStyle name="Input 5 37 3" xfId="10164"/>
    <cellStyle name="Input 5 37 3 2" xfId="10165"/>
    <cellStyle name="Input 5 37 4" xfId="10166"/>
    <cellStyle name="Input 5 37 5" xfId="10167"/>
    <cellStyle name="Input 5 38" xfId="10168"/>
    <cellStyle name="Input 5 38 2" xfId="10169"/>
    <cellStyle name="Input 5 38 2 2" xfId="10170"/>
    <cellStyle name="Input 5 38 2 2 2" xfId="10171"/>
    <cellStyle name="Input 5 38 2 3" xfId="10172"/>
    <cellStyle name="Input 5 38 3" xfId="10173"/>
    <cellStyle name="Input 5 38 3 2" xfId="10174"/>
    <cellStyle name="Input 5 38 4" xfId="10175"/>
    <cellStyle name="Input 5 38 5" xfId="10176"/>
    <cellStyle name="Input 5 39" xfId="10177"/>
    <cellStyle name="Input 5 39 2" xfId="10178"/>
    <cellStyle name="Input 5 39 2 2" xfId="10179"/>
    <cellStyle name="Input 5 39 2 2 2" xfId="10180"/>
    <cellStyle name="Input 5 39 2 3" xfId="10181"/>
    <cellStyle name="Input 5 39 3" xfId="10182"/>
    <cellStyle name="Input 5 39 3 2" xfId="10183"/>
    <cellStyle name="Input 5 39 4" xfId="10184"/>
    <cellStyle name="Input 5 39 5" xfId="10185"/>
    <cellStyle name="Input 5 4" xfId="10186"/>
    <cellStyle name="Input 5 4 2" xfId="10187"/>
    <cellStyle name="Input 5 4 2 2" xfId="10188"/>
    <cellStyle name="Input 5 4 2 2 2" xfId="10189"/>
    <cellStyle name="Input 5 4 2 3" xfId="10190"/>
    <cellStyle name="Input 5 4 3" xfId="10191"/>
    <cellStyle name="Input 5 4 3 2" xfId="10192"/>
    <cellStyle name="Input 5 4 3 2 2" xfId="10193"/>
    <cellStyle name="Input 5 4 3 3" xfId="10194"/>
    <cellStyle name="Input 5 4 4" xfId="10195"/>
    <cellStyle name="Input 5 4 4 2" xfId="10196"/>
    <cellStyle name="Input 5 4 5" xfId="10197"/>
    <cellStyle name="Input 5 4 6" xfId="10198"/>
    <cellStyle name="Input 5 40" xfId="10199"/>
    <cellStyle name="Input 5 40 2" xfId="10200"/>
    <cellStyle name="Input 5 40 2 2" xfId="10201"/>
    <cellStyle name="Input 5 40 2 2 2" xfId="10202"/>
    <cellStyle name="Input 5 40 2 3" xfId="10203"/>
    <cellStyle name="Input 5 40 3" xfId="10204"/>
    <cellStyle name="Input 5 40 3 2" xfId="10205"/>
    <cellStyle name="Input 5 40 4" xfId="10206"/>
    <cellStyle name="Input 5 40 5" xfId="10207"/>
    <cellStyle name="Input 5 41" xfId="10208"/>
    <cellStyle name="Input 5 41 2" xfId="10209"/>
    <cellStyle name="Input 5 41 2 2" xfId="10210"/>
    <cellStyle name="Input 5 41 2 2 2" xfId="10211"/>
    <cellStyle name="Input 5 41 2 3" xfId="10212"/>
    <cellStyle name="Input 5 41 3" xfId="10213"/>
    <cellStyle name="Input 5 41 3 2" xfId="10214"/>
    <cellStyle name="Input 5 41 4" xfId="10215"/>
    <cellStyle name="Input 5 41 5" xfId="10216"/>
    <cellStyle name="Input 5 42" xfId="10217"/>
    <cellStyle name="Input 5 42 2" xfId="10218"/>
    <cellStyle name="Input 5 42 2 2" xfId="10219"/>
    <cellStyle name="Input 5 42 2 2 2" xfId="10220"/>
    <cellStyle name="Input 5 42 2 3" xfId="10221"/>
    <cellStyle name="Input 5 42 3" xfId="10222"/>
    <cellStyle name="Input 5 42 3 2" xfId="10223"/>
    <cellStyle name="Input 5 42 4" xfId="10224"/>
    <cellStyle name="Input 5 42 5" xfId="10225"/>
    <cellStyle name="Input 5 43" xfId="10226"/>
    <cellStyle name="Input 5 43 2" xfId="10227"/>
    <cellStyle name="Input 5 43 2 2" xfId="10228"/>
    <cellStyle name="Input 5 43 2 2 2" xfId="10229"/>
    <cellStyle name="Input 5 43 2 3" xfId="10230"/>
    <cellStyle name="Input 5 43 3" xfId="10231"/>
    <cellStyle name="Input 5 43 3 2" xfId="10232"/>
    <cellStyle name="Input 5 43 4" xfId="10233"/>
    <cellStyle name="Input 5 43 5" xfId="10234"/>
    <cellStyle name="Input 5 44" xfId="10235"/>
    <cellStyle name="Input 5 44 2" xfId="10236"/>
    <cellStyle name="Input 5 44 2 2" xfId="10237"/>
    <cellStyle name="Input 5 44 2 2 2" xfId="10238"/>
    <cellStyle name="Input 5 44 2 3" xfId="10239"/>
    <cellStyle name="Input 5 44 3" xfId="10240"/>
    <cellStyle name="Input 5 44 3 2" xfId="10241"/>
    <cellStyle name="Input 5 44 4" xfId="10242"/>
    <cellStyle name="Input 5 44 5" xfId="10243"/>
    <cellStyle name="Input 5 45" xfId="10244"/>
    <cellStyle name="Input 5 45 2" xfId="10245"/>
    <cellStyle name="Input 5 45 2 2" xfId="10246"/>
    <cellStyle name="Input 5 45 2 2 2" xfId="10247"/>
    <cellStyle name="Input 5 45 2 3" xfId="10248"/>
    <cellStyle name="Input 5 45 3" xfId="10249"/>
    <cellStyle name="Input 5 45 3 2" xfId="10250"/>
    <cellStyle name="Input 5 45 4" xfId="10251"/>
    <cellStyle name="Input 5 45 5" xfId="10252"/>
    <cellStyle name="Input 5 46" xfId="10253"/>
    <cellStyle name="Input 5 46 2" xfId="10254"/>
    <cellStyle name="Input 5 46 2 2" xfId="10255"/>
    <cellStyle name="Input 5 46 2 2 2" xfId="10256"/>
    <cellStyle name="Input 5 46 2 3" xfId="10257"/>
    <cellStyle name="Input 5 46 3" xfId="10258"/>
    <cellStyle name="Input 5 46 3 2" xfId="10259"/>
    <cellStyle name="Input 5 46 4" xfId="10260"/>
    <cellStyle name="Input 5 46 5" xfId="10261"/>
    <cellStyle name="Input 5 47" xfId="10262"/>
    <cellStyle name="Input 5 47 2" xfId="10263"/>
    <cellStyle name="Input 5 47 2 2" xfId="10264"/>
    <cellStyle name="Input 5 47 2 2 2" xfId="10265"/>
    <cellStyle name="Input 5 47 2 3" xfId="10266"/>
    <cellStyle name="Input 5 47 3" xfId="10267"/>
    <cellStyle name="Input 5 47 3 2" xfId="10268"/>
    <cellStyle name="Input 5 47 4" xfId="10269"/>
    <cellStyle name="Input 5 47 5" xfId="10270"/>
    <cellStyle name="Input 5 48" xfId="10271"/>
    <cellStyle name="Input 5 48 2" xfId="10272"/>
    <cellStyle name="Input 5 48 2 2" xfId="10273"/>
    <cellStyle name="Input 5 48 2 2 2" xfId="10274"/>
    <cellStyle name="Input 5 48 2 3" xfId="10275"/>
    <cellStyle name="Input 5 48 3" xfId="10276"/>
    <cellStyle name="Input 5 48 3 2" xfId="10277"/>
    <cellStyle name="Input 5 48 4" xfId="10278"/>
    <cellStyle name="Input 5 48 5" xfId="10279"/>
    <cellStyle name="Input 5 49" xfId="10280"/>
    <cellStyle name="Input 5 49 2" xfId="10281"/>
    <cellStyle name="Input 5 49 2 2" xfId="10282"/>
    <cellStyle name="Input 5 49 3" xfId="10283"/>
    <cellStyle name="Input 5 5" xfId="10284"/>
    <cellStyle name="Input 5 5 2" xfId="10285"/>
    <cellStyle name="Input 5 5 2 2" xfId="10286"/>
    <cellStyle name="Input 5 5 2 2 2" xfId="10287"/>
    <cellStyle name="Input 5 5 2 3" xfId="10288"/>
    <cellStyle name="Input 5 5 3" xfId="10289"/>
    <cellStyle name="Input 5 5 3 2" xfId="10290"/>
    <cellStyle name="Input 5 5 3 2 2" xfId="10291"/>
    <cellStyle name="Input 5 5 3 3" xfId="10292"/>
    <cellStyle name="Input 5 5 4" xfId="10293"/>
    <cellStyle name="Input 5 5 4 2" xfId="10294"/>
    <cellStyle name="Input 5 5 5" xfId="10295"/>
    <cellStyle name="Input 5 5 6" xfId="10296"/>
    <cellStyle name="Input 5 50" xfId="10297"/>
    <cellStyle name="Input 5 50 2" xfId="10298"/>
    <cellStyle name="Input 5 50 2 2" xfId="10299"/>
    <cellStyle name="Input 5 50 3" xfId="10300"/>
    <cellStyle name="Input 5 51" xfId="10301"/>
    <cellStyle name="Input 5 51 2" xfId="10302"/>
    <cellStyle name="Input 5 51 2 2" xfId="10303"/>
    <cellStyle name="Input 5 51 3" xfId="10304"/>
    <cellStyle name="Input 5 52" xfId="10305"/>
    <cellStyle name="Input 5 52 2" xfId="10306"/>
    <cellStyle name="Input 5 53" xfId="10307"/>
    <cellStyle name="Input 5 54" xfId="10308"/>
    <cellStyle name="Input 5 6" xfId="10309"/>
    <cellStyle name="Input 5 6 2" xfId="10310"/>
    <cellStyle name="Input 5 6 2 2" xfId="10311"/>
    <cellStyle name="Input 5 6 2 2 2" xfId="10312"/>
    <cellStyle name="Input 5 6 2 3" xfId="10313"/>
    <cellStyle name="Input 5 6 3" xfId="10314"/>
    <cellStyle name="Input 5 6 3 2" xfId="10315"/>
    <cellStyle name="Input 5 6 3 2 2" xfId="10316"/>
    <cellStyle name="Input 5 6 3 3" xfId="10317"/>
    <cellStyle name="Input 5 6 4" xfId="10318"/>
    <cellStyle name="Input 5 6 4 2" xfId="10319"/>
    <cellStyle name="Input 5 6 5" xfId="10320"/>
    <cellStyle name="Input 5 6 6" xfId="10321"/>
    <cellStyle name="Input 5 7" xfId="10322"/>
    <cellStyle name="Input 5 7 2" xfId="10323"/>
    <cellStyle name="Input 5 7 2 2" xfId="10324"/>
    <cellStyle name="Input 5 7 2 2 2" xfId="10325"/>
    <cellStyle name="Input 5 7 2 3" xfId="10326"/>
    <cellStyle name="Input 5 7 3" xfId="10327"/>
    <cellStyle name="Input 5 7 3 2" xfId="10328"/>
    <cellStyle name="Input 5 7 3 2 2" xfId="10329"/>
    <cellStyle name="Input 5 7 3 3" xfId="10330"/>
    <cellStyle name="Input 5 7 4" xfId="10331"/>
    <cellStyle name="Input 5 7 4 2" xfId="10332"/>
    <cellStyle name="Input 5 7 5" xfId="10333"/>
    <cellStyle name="Input 5 7 6" xfId="10334"/>
    <cellStyle name="Input 5 8" xfId="10335"/>
    <cellStyle name="Input 5 8 2" xfId="10336"/>
    <cellStyle name="Input 5 8 2 2" xfId="10337"/>
    <cellStyle name="Input 5 8 2 2 2" xfId="10338"/>
    <cellStyle name="Input 5 8 2 3" xfId="10339"/>
    <cellStyle name="Input 5 8 3" xfId="10340"/>
    <cellStyle name="Input 5 8 3 2" xfId="10341"/>
    <cellStyle name="Input 5 8 3 2 2" xfId="10342"/>
    <cellStyle name="Input 5 8 3 3" xfId="10343"/>
    <cellStyle name="Input 5 8 4" xfId="10344"/>
    <cellStyle name="Input 5 8 4 2" xfId="10345"/>
    <cellStyle name="Input 5 8 5" xfId="10346"/>
    <cellStyle name="Input 5 8 6" xfId="10347"/>
    <cellStyle name="Input 5 9" xfId="10348"/>
    <cellStyle name="Input 5 9 2" xfId="10349"/>
    <cellStyle name="Input 5 9 2 2" xfId="10350"/>
    <cellStyle name="Input 5 9 2 2 2" xfId="10351"/>
    <cellStyle name="Input 5 9 2 3" xfId="10352"/>
    <cellStyle name="Input 5 9 3" xfId="10353"/>
    <cellStyle name="Input 5 9 3 2" xfId="10354"/>
    <cellStyle name="Input 5 9 4" xfId="10355"/>
    <cellStyle name="Input 5 9 5" xfId="10356"/>
    <cellStyle name="Input 6" xfId="10357"/>
    <cellStyle name="Input 6 2" xfId="10358"/>
    <cellStyle name="Input 6 2 2" xfId="10359"/>
    <cellStyle name="Input 6 2 2 2" xfId="10360"/>
    <cellStyle name="Input 6 2 3" xfId="10361"/>
    <cellStyle name="Input 6 3" xfId="10362"/>
    <cellStyle name="Input 6 3 2" xfId="10363"/>
    <cellStyle name="Input 6 3 2 2" xfId="10364"/>
    <cellStyle name="Input 6 3 3" xfId="10365"/>
    <cellStyle name="Input 6 4" xfId="10366"/>
    <cellStyle name="Input 6 4 2" xfId="10367"/>
    <cellStyle name="Input 6 4 2 2" xfId="10368"/>
    <cellStyle name="Input 6 4 3" xfId="10369"/>
    <cellStyle name="Input 6 5" xfId="10370"/>
    <cellStyle name="Input 6 5 2" xfId="10371"/>
    <cellStyle name="Input 6 5 2 2" xfId="10372"/>
    <cellStyle name="Input 6 5 3" xfId="10373"/>
    <cellStyle name="Input 6 6" xfId="10374"/>
    <cellStyle name="Input 6 6 2" xfId="10375"/>
    <cellStyle name="Input 6 6 2 2" xfId="10376"/>
    <cellStyle name="Input 6 6 3" xfId="10377"/>
    <cellStyle name="Input 6 7" xfId="10378"/>
    <cellStyle name="Input 6 7 2" xfId="10379"/>
    <cellStyle name="Input 6 8" xfId="10380"/>
    <cellStyle name="Input 6 9" xfId="10381"/>
    <cellStyle name="Input 7" xfId="10382"/>
    <cellStyle name="Input 7 2" xfId="10383"/>
    <cellStyle name="Input 7 2 2" xfId="10384"/>
    <cellStyle name="Input 7 2 2 2" xfId="10385"/>
    <cellStyle name="Input 7 2 3" xfId="10386"/>
    <cellStyle name="Input 7 3" xfId="10387"/>
    <cellStyle name="Input 7 3 2" xfId="10388"/>
    <cellStyle name="Input 7 3 2 2" xfId="10389"/>
    <cellStyle name="Input 7 3 3" xfId="10390"/>
    <cellStyle name="Input 7 4" xfId="10391"/>
    <cellStyle name="Input 7 4 2" xfId="10392"/>
    <cellStyle name="Input 7 4 2 2" xfId="10393"/>
    <cellStyle name="Input 7 4 3" xfId="10394"/>
    <cellStyle name="Input 7 5" xfId="10395"/>
    <cellStyle name="Input 7 5 2" xfId="10396"/>
    <cellStyle name="Input 7 5 2 2" xfId="10397"/>
    <cellStyle name="Input 7 5 3" xfId="10398"/>
    <cellStyle name="Input 7 6" xfId="10399"/>
    <cellStyle name="Input 7 6 2" xfId="10400"/>
    <cellStyle name="Input 7 6 2 2" xfId="10401"/>
    <cellStyle name="Input 7 6 3" xfId="10402"/>
    <cellStyle name="Input 7 7" xfId="10403"/>
    <cellStyle name="Input 7 7 2" xfId="10404"/>
    <cellStyle name="Input 7 8" xfId="10405"/>
    <cellStyle name="Input 7 9" xfId="10406"/>
    <cellStyle name="Input 8" xfId="10407"/>
    <cellStyle name="Input 8 2" xfId="10408"/>
    <cellStyle name="Input 8 2 2" xfId="10409"/>
    <cellStyle name="Input 8 2 2 2" xfId="10410"/>
    <cellStyle name="Input 8 2 3" xfId="10411"/>
    <cellStyle name="Input 8 3" xfId="10412"/>
    <cellStyle name="Input 8 3 2" xfId="10413"/>
    <cellStyle name="Input 8 3 2 2" xfId="10414"/>
    <cellStyle name="Input 8 3 3" xfId="10415"/>
    <cellStyle name="Input 8 4" xfId="10416"/>
    <cellStyle name="Input 8 4 2" xfId="10417"/>
    <cellStyle name="Input 8 4 2 2" xfId="10418"/>
    <cellStyle name="Input 8 4 3" xfId="10419"/>
    <cellStyle name="Input 8 5" xfId="10420"/>
    <cellStyle name="Input 8 5 2" xfId="10421"/>
    <cellStyle name="Input 8 5 2 2" xfId="10422"/>
    <cellStyle name="Input 8 5 3" xfId="10423"/>
    <cellStyle name="Input 8 6" xfId="10424"/>
    <cellStyle name="Input 8 6 2" xfId="10425"/>
    <cellStyle name="Input 8 6 2 2" xfId="10426"/>
    <cellStyle name="Input 8 6 3" xfId="10427"/>
    <cellStyle name="Input 8 7" xfId="10428"/>
    <cellStyle name="Input 8 7 2" xfId="10429"/>
    <cellStyle name="Input 8 8" xfId="10430"/>
    <cellStyle name="Input 8 9" xfId="10431"/>
    <cellStyle name="Linked Cell 2" xfId="10432"/>
    <cellStyle name="Linked Cell 3" xfId="10433"/>
    <cellStyle name="Linked Cell 4" xfId="10434"/>
    <cellStyle name="Linked Cell 5" xfId="10435"/>
    <cellStyle name="Linked Cell 6" xfId="10436"/>
    <cellStyle name="Linked Cell 7" xfId="10437"/>
    <cellStyle name="Linked Cell 8" xfId="10438"/>
    <cellStyle name="Neutral 2" xfId="10439"/>
    <cellStyle name="Neutral 3" xfId="10440"/>
    <cellStyle name="Neutral 4" xfId="10441"/>
    <cellStyle name="Neutral 5" xfId="10442"/>
    <cellStyle name="Neutral 6" xfId="10443"/>
    <cellStyle name="Neutral 7" xfId="10444"/>
    <cellStyle name="Neutral 8" xfId="10445"/>
    <cellStyle name="Normal" xfId="0" builtinId="0"/>
    <cellStyle name="Normal 10" xfId="13"/>
    <cellStyle name="Normal 10 10" xfId="10446"/>
    <cellStyle name="Normal 10 11" xfId="10447"/>
    <cellStyle name="Normal 10 11 2" xfId="10448"/>
    <cellStyle name="Normal 10 12" xfId="10449"/>
    <cellStyle name="Normal 10 12 2" xfId="10450"/>
    <cellStyle name="Normal 10 13" xfId="10451"/>
    <cellStyle name="Normal 10 13 2" xfId="10452"/>
    <cellStyle name="Normal 10 14" xfId="10453"/>
    <cellStyle name="Normal 10 14 2" xfId="10454"/>
    <cellStyle name="Normal 10 15" xfId="10455"/>
    <cellStyle name="Normal 10 15 2" xfId="10456"/>
    <cellStyle name="Normal 10 16" xfId="10457"/>
    <cellStyle name="Normal 10 17" xfId="10458"/>
    <cellStyle name="Normal 10 18" xfId="10459"/>
    <cellStyle name="Normal 10 18 2" xfId="10460"/>
    <cellStyle name="Normal 10 19" xfId="10461"/>
    <cellStyle name="Normal 10 2" xfId="10462"/>
    <cellStyle name="Normal 10 20" xfId="10463"/>
    <cellStyle name="Normal 10 21" xfId="10464"/>
    <cellStyle name="Normal 10 21 2" xfId="10465"/>
    <cellStyle name="Normal 10 22" xfId="10466"/>
    <cellStyle name="Normal 10 22 2" xfId="10467"/>
    <cellStyle name="Normal 10 23" xfId="10468"/>
    <cellStyle name="Normal 10 24" xfId="10469"/>
    <cellStyle name="Normal 10 25" xfId="10470"/>
    <cellStyle name="Normal 10 26" xfId="10471"/>
    <cellStyle name="Normal 10 26 2" xfId="10472"/>
    <cellStyle name="Normal 10 27" xfId="10473"/>
    <cellStyle name="Normal 10 28" xfId="10474"/>
    <cellStyle name="Normal 10 28 2" xfId="10475"/>
    <cellStyle name="Normal 10 29" xfId="10476"/>
    <cellStyle name="Normal 10 3" xfId="10477"/>
    <cellStyle name="Normal 10 3 2" xfId="10478"/>
    <cellStyle name="Normal 10 30" xfId="10479"/>
    <cellStyle name="Normal 10 31" xfId="10480"/>
    <cellStyle name="Normal 10 32" xfId="10481"/>
    <cellStyle name="Normal 10 33" xfId="10482"/>
    <cellStyle name="Normal 10 34" xfId="10483"/>
    <cellStyle name="Normal 10 35" xfId="10484"/>
    <cellStyle name="Normal 10 36" xfId="10485"/>
    <cellStyle name="Normal 10 37" xfId="10486"/>
    <cellStyle name="Normal 10 38" xfId="10487"/>
    <cellStyle name="Normal 10 39" xfId="10488"/>
    <cellStyle name="Normal 10 4" xfId="10489"/>
    <cellStyle name="Normal 10 4 2" xfId="10490"/>
    <cellStyle name="Normal 10 40" xfId="10491"/>
    <cellStyle name="Normal 10 41" xfId="10492"/>
    <cellStyle name="Normal 10 42" xfId="10493"/>
    <cellStyle name="Normal 10 43" xfId="10494"/>
    <cellStyle name="Normal 10 44" xfId="10495"/>
    <cellStyle name="Normal 10 45" xfId="10496"/>
    <cellStyle name="Normal 10 46" xfId="10497"/>
    <cellStyle name="Normal 10 47" xfId="10498"/>
    <cellStyle name="Normal 10 48" xfId="10499"/>
    <cellStyle name="Normal 10 49" xfId="10500"/>
    <cellStyle name="Normal 10 5" xfId="10501"/>
    <cellStyle name="Normal 10 5 2" xfId="10502"/>
    <cellStyle name="Normal 10 50" xfId="10503"/>
    <cellStyle name="Normal 10 6" xfId="10504"/>
    <cellStyle name="Normal 10 7" xfId="10505"/>
    <cellStyle name="Normal 10 7 2" xfId="10506"/>
    <cellStyle name="Normal 10 8" xfId="10507"/>
    <cellStyle name="Normal 10 8 2" xfId="10508"/>
    <cellStyle name="Normal 10 9" xfId="10509"/>
    <cellStyle name="Normal 100" xfId="10510"/>
    <cellStyle name="Normal 101" xfId="48892"/>
    <cellStyle name="Normal 11" xfId="15"/>
    <cellStyle name="Normal 11 10" xfId="10511"/>
    <cellStyle name="Normal 11 11" xfId="10512"/>
    <cellStyle name="Normal 11 12" xfId="10513"/>
    <cellStyle name="Normal 11 13" xfId="10514"/>
    <cellStyle name="Normal 11 14" xfId="10515"/>
    <cellStyle name="Normal 11 15" xfId="10516"/>
    <cellStyle name="Normal 11 16" xfId="10517"/>
    <cellStyle name="Normal 11 17" xfId="10518"/>
    <cellStyle name="Normal 11 18" xfId="10519"/>
    <cellStyle name="Normal 11 19" xfId="10520"/>
    <cellStyle name="Normal 11 2" xfId="10521"/>
    <cellStyle name="Normal 11 20" xfId="10522"/>
    <cellStyle name="Normal 11 21" xfId="10523"/>
    <cellStyle name="Normal 11 22" xfId="10524"/>
    <cellStyle name="Normal 11 23" xfId="10525"/>
    <cellStyle name="Normal 11 24" xfId="10526"/>
    <cellStyle name="Normal 11 25" xfId="10527"/>
    <cellStyle name="Normal 11 26" xfId="10528"/>
    <cellStyle name="Normal 11 27" xfId="10529"/>
    <cellStyle name="Normal 11 28" xfId="10530"/>
    <cellStyle name="Normal 11 29" xfId="10531"/>
    <cellStyle name="Normal 11 3" xfId="10532"/>
    <cellStyle name="Normal 11 30" xfId="10533"/>
    <cellStyle name="Normal 11 31" xfId="10534"/>
    <cellStyle name="Normal 11 32" xfId="10535"/>
    <cellStyle name="Normal 11 33" xfId="10536"/>
    <cellStyle name="Normal 11 34" xfId="10537"/>
    <cellStyle name="Normal 11 35" xfId="10538"/>
    <cellStyle name="Normal 11 36" xfId="10539"/>
    <cellStyle name="Normal 11 37" xfId="10540"/>
    <cellStyle name="Normal 11 38" xfId="10541"/>
    <cellStyle name="Normal 11 39" xfId="10542"/>
    <cellStyle name="Normal 11 4" xfId="10543"/>
    <cellStyle name="Normal 11 40" xfId="10544"/>
    <cellStyle name="Normal 11 41" xfId="10545"/>
    <cellStyle name="Normal 11 42" xfId="10546"/>
    <cellStyle name="Normal 11 43" xfId="10547"/>
    <cellStyle name="Normal 11 44" xfId="10548"/>
    <cellStyle name="Normal 11 45" xfId="10549"/>
    <cellStyle name="Normal 11 46" xfId="10550"/>
    <cellStyle name="Normal 11 47" xfId="10551"/>
    <cellStyle name="Normal 11 48" xfId="10552"/>
    <cellStyle name="Normal 11 49" xfId="10553"/>
    <cellStyle name="Normal 11 5" xfId="10554"/>
    <cellStyle name="Normal 11 50" xfId="10555"/>
    <cellStyle name="Normal 11 6" xfId="10556"/>
    <cellStyle name="Normal 11 7" xfId="10557"/>
    <cellStyle name="Normal 11 8" xfId="10558"/>
    <cellStyle name="Normal 11 9" xfId="10559"/>
    <cellStyle name="Normal 12" xfId="10560"/>
    <cellStyle name="Normal 12 10" xfId="10561"/>
    <cellStyle name="Normal 12 11" xfId="10562"/>
    <cellStyle name="Normal 12 12" xfId="10563"/>
    <cellStyle name="Normal 12 13" xfId="10564"/>
    <cellStyle name="Normal 12 14" xfId="10565"/>
    <cellStyle name="Normal 12 15" xfId="10566"/>
    <cellStyle name="Normal 12 16" xfId="10567"/>
    <cellStyle name="Normal 12 17" xfId="10568"/>
    <cellStyle name="Normal 12 18" xfId="10569"/>
    <cellStyle name="Normal 12 19" xfId="10570"/>
    <cellStyle name="Normal 12 2" xfId="10571"/>
    <cellStyle name="Normal 12 20" xfId="10572"/>
    <cellStyle name="Normal 12 21" xfId="10573"/>
    <cellStyle name="Normal 12 22" xfId="10574"/>
    <cellStyle name="Normal 12 23" xfId="10575"/>
    <cellStyle name="Normal 12 24" xfId="10576"/>
    <cellStyle name="Normal 12 25" xfId="10577"/>
    <cellStyle name="Normal 12 26" xfId="10578"/>
    <cellStyle name="Normal 12 27" xfId="10579"/>
    <cellStyle name="Normal 12 28" xfId="10580"/>
    <cellStyle name="Normal 12 29" xfId="10581"/>
    <cellStyle name="Normal 12 3" xfId="10582"/>
    <cellStyle name="Normal 12 30" xfId="10583"/>
    <cellStyle name="Normal 12 31" xfId="10584"/>
    <cellStyle name="Normal 12 32" xfId="10585"/>
    <cellStyle name="Normal 12 33" xfId="10586"/>
    <cellStyle name="Normal 12 34" xfId="10587"/>
    <cellStyle name="Normal 12 35" xfId="10588"/>
    <cellStyle name="Normal 12 36" xfId="10589"/>
    <cellStyle name="Normal 12 37" xfId="10590"/>
    <cellStyle name="Normal 12 38" xfId="10591"/>
    <cellStyle name="Normal 12 39" xfId="10592"/>
    <cellStyle name="Normal 12 4" xfId="10593"/>
    <cellStyle name="Normal 12 40" xfId="10594"/>
    <cellStyle name="Normal 12 41" xfId="10595"/>
    <cellStyle name="Normal 12 42" xfId="10596"/>
    <cellStyle name="Normal 12 43" xfId="10597"/>
    <cellStyle name="Normal 12 44" xfId="10598"/>
    <cellStyle name="Normal 12 45" xfId="10599"/>
    <cellStyle name="Normal 12 46" xfId="10600"/>
    <cellStyle name="Normal 12 47" xfId="10601"/>
    <cellStyle name="Normal 12 48" xfId="10602"/>
    <cellStyle name="Normal 12 5" xfId="10603"/>
    <cellStyle name="Normal 12 6" xfId="10604"/>
    <cellStyle name="Normal 12 7" xfId="10605"/>
    <cellStyle name="Normal 12 8" xfId="10606"/>
    <cellStyle name="Normal 12 9" xfId="10607"/>
    <cellStyle name="Normal 13" xfId="10608"/>
    <cellStyle name="Normal 13 10" xfId="10609"/>
    <cellStyle name="Normal 13 11" xfId="10610"/>
    <cellStyle name="Normal 13 12" xfId="10611"/>
    <cellStyle name="Normal 13 13" xfId="10612"/>
    <cellStyle name="Normal 13 14" xfId="10613"/>
    <cellStyle name="Normal 13 15" xfId="10614"/>
    <cellStyle name="Normal 13 16" xfId="10615"/>
    <cellStyle name="Normal 13 17" xfId="10616"/>
    <cellStyle name="Normal 13 18" xfId="10617"/>
    <cellStyle name="Normal 13 19" xfId="10618"/>
    <cellStyle name="Normal 13 2" xfId="10619"/>
    <cellStyle name="Normal 13 20" xfId="10620"/>
    <cellStyle name="Normal 13 21" xfId="10621"/>
    <cellStyle name="Normal 13 22" xfId="10622"/>
    <cellStyle name="Normal 13 23" xfId="10623"/>
    <cellStyle name="Normal 13 24" xfId="10624"/>
    <cellStyle name="Normal 13 25" xfId="10625"/>
    <cellStyle name="Normal 13 26" xfId="10626"/>
    <cellStyle name="Normal 13 27" xfId="10627"/>
    <cellStyle name="Normal 13 28" xfId="10628"/>
    <cellStyle name="Normal 13 29" xfId="10629"/>
    <cellStyle name="Normal 13 3" xfId="10630"/>
    <cellStyle name="Normal 13 30" xfId="10631"/>
    <cellStyle name="Normal 13 31" xfId="10632"/>
    <cellStyle name="Normal 13 32" xfId="10633"/>
    <cellStyle name="Normal 13 33" xfId="10634"/>
    <cellStyle name="Normal 13 34" xfId="10635"/>
    <cellStyle name="Normal 13 35" xfId="10636"/>
    <cellStyle name="Normal 13 36" xfId="10637"/>
    <cellStyle name="Normal 13 37" xfId="10638"/>
    <cellStyle name="Normal 13 38" xfId="10639"/>
    <cellStyle name="Normal 13 39" xfId="10640"/>
    <cellStyle name="Normal 13 4" xfId="10641"/>
    <cellStyle name="Normal 13 40" xfId="10642"/>
    <cellStyle name="Normal 13 41" xfId="10643"/>
    <cellStyle name="Normal 13 42" xfId="10644"/>
    <cellStyle name="Normal 13 43" xfId="10645"/>
    <cellStyle name="Normal 13 44" xfId="10646"/>
    <cellStyle name="Normal 13 45" xfId="10647"/>
    <cellStyle name="Normal 13 46" xfId="10648"/>
    <cellStyle name="Normal 13 47" xfId="10649"/>
    <cellStyle name="Normal 13 48" xfId="10650"/>
    <cellStyle name="Normal 13 5" xfId="10651"/>
    <cellStyle name="Normal 13 6" xfId="10652"/>
    <cellStyle name="Normal 13 7" xfId="10653"/>
    <cellStyle name="Normal 13 8" xfId="10654"/>
    <cellStyle name="Normal 13 9" xfId="10655"/>
    <cellStyle name="Normal 14" xfId="10656"/>
    <cellStyle name="Normal 14 10" xfId="10657"/>
    <cellStyle name="Normal 14 11" xfId="10658"/>
    <cellStyle name="Normal 14 12" xfId="10659"/>
    <cellStyle name="Normal 14 13" xfId="10660"/>
    <cellStyle name="Normal 14 14" xfId="10661"/>
    <cellStyle name="Normal 14 15" xfId="10662"/>
    <cellStyle name="Normal 14 16" xfId="10663"/>
    <cellStyle name="Normal 14 17" xfId="10664"/>
    <cellStyle name="Normal 14 18" xfId="10665"/>
    <cellStyle name="Normal 14 19" xfId="10666"/>
    <cellStyle name="Normal 14 2" xfId="10667"/>
    <cellStyle name="Normal 14 20" xfId="10668"/>
    <cellStyle name="Normal 14 21" xfId="10669"/>
    <cellStyle name="Normal 14 22" xfId="10670"/>
    <cellStyle name="Normal 14 23" xfId="10671"/>
    <cellStyle name="Normal 14 24" xfId="10672"/>
    <cellStyle name="Normal 14 25" xfId="10673"/>
    <cellStyle name="Normal 14 26" xfId="10674"/>
    <cellStyle name="Normal 14 27" xfId="10675"/>
    <cellStyle name="Normal 14 28" xfId="10676"/>
    <cellStyle name="Normal 14 29" xfId="10677"/>
    <cellStyle name="Normal 14 3" xfId="10678"/>
    <cellStyle name="Normal 14 30" xfId="10679"/>
    <cellStyle name="Normal 14 31" xfId="10680"/>
    <cellStyle name="Normal 14 32" xfId="10681"/>
    <cellStyle name="Normal 14 33" xfId="10682"/>
    <cellStyle name="Normal 14 34" xfId="10683"/>
    <cellStyle name="Normal 14 35" xfId="10684"/>
    <cellStyle name="Normal 14 36" xfId="10685"/>
    <cellStyle name="Normal 14 37" xfId="10686"/>
    <cellStyle name="Normal 14 38" xfId="10687"/>
    <cellStyle name="Normal 14 39" xfId="10688"/>
    <cellStyle name="Normal 14 4" xfId="10689"/>
    <cellStyle name="Normal 14 40" xfId="10690"/>
    <cellStyle name="Normal 14 41" xfId="10691"/>
    <cellStyle name="Normal 14 42" xfId="10692"/>
    <cellStyle name="Normal 14 43" xfId="10693"/>
    <cellStyle name="Normal 14 44" xfId="10694"/>
    <cellStyle name="Normal 14 45" xfId="10695"/>
    <cellStyle name="Normal 14 46" xfId="10696"/>
    <cellStyle name="Normal 14 47" xfId="10697"/>
    <cellStyle name="Normal 14 48" xfId="10698"/>
    <cellStyle name="Normal 14 5" xfId="10699"/>
    <cellStyle name="Normal 14 6" xfId="10700"/>
    <cellStyle name="Normal 14 7" xfId="10701"/>
    <cellStyle name="Normal 14 8" xfId="10702"/>
    <cellStyle name="Normal 14 9" xfId="10703"/>
    <cellStyle name="Normal 15" xfId="10704"/>
    <cellStyle name="Normal 15 10" xfId="10705"/>
    <cellStyle name="Normal 15 11" xfId="10706"/>
    <cellStyle name="Normal 15 12" xfId="10707"/>
    <cellStyle name="Normal 15 13" xfId="10708"/>
    <cellStyle name="Normal 15 14" xfId="10709"/>
    <cellStyle name="Normal 15 15" xfId="10710"/>
    <cellStyle name="Normal 15 16" xfId="10711"/>
    <cellStyle name="Normal 15 17" xfId="10712"/>
    <cellStyle name="Normal 15 18" xfId="10713"/>
    <cellStyle name="Normal 15 19" xfId="10714"/>
    <cellStyle name="Normal 15 2" xfId="10715"/>
    <cellStyle name="Normal 15 20" xfId="10716"/>
    <cellStyle name="Normal 15 21" xfId="10717"/>
    <cellStyle name="Normal 15 22" xfId="10718"/>
    <cellStyle name="Normal 15 23" xfId="10719"/>
    <cellStyle name="Normal 15 24" xfId="10720"/>
    <cellStyle name="Normal 15 25" xfId="10721"/>
    <cellStyle name="Normal 15 26" xfId="10722"/>
    <cellStyle name="Normal 15 27" xfId="10723"/>
    <cellStyle name="Normal 15 28" xfId="10724"/>
    <cellStyle name="Normal 15 29" xfId="10725"/>
    <cellStyle name="Normal 15 3" xfId="10726"/>
    <cellStyle name="Normal 15 30" xfId="10727"/>
    <cellStyle name="Normal 15 31" xfId="10728"/>
    <cellStyle name="Normal 15 32" xfId="10729"/>
    <cellStyle name="Normal 15 33" xfId="10730"/>
    <cellStyle name="Normal 15 34" xfId="10731"/>
    <cellStyle name="Normal 15 35" xfId="10732"/>
    <cellStyle name="Normal 15 36" xfId="10733"/>
    <cellStyle name="Normal 15 37" xfId="10734"/>
    <cellStyle name="Normal 15 38" xfId="10735"/>
    <cellStyle name="Normal 15 39" xfId="10736"/>
    <cellStyle name="Normal 15 4" xfId="10737"/>
    <cellStyle name="Normal 15 40" xfId="10738"/>
    <cellStyle name="Normal 15 41" xfId="10739"/>
    <cellStyle name="Normal 15 42" xfId="10740"/>
    <cellStyle name="Normal 15 43" xfId="10741"/>
    <cellStyle name="Normal 15 44" xfId="10742"/>
    <cellStyle name="Normal 15 45" xfId="10743"/>
    <cellStyle name="Normal 15 46" xfId="10744"/>
    <cellStyle name="Normal 15 47" xfId="10745"/>
    <cellStyle name="Normal 15 48" xfId="10746"/>
    <cellStyle name="Normal 15 5" xfId="10747"/>
    <cellStyle name="Normal 15 6" xfId="10748"/>
    <cellStyle name="Normal 15 7" xfId="10749"/>
    <cellStyle name="Normal 15 8" xfId="10750"/>
    <cellStyle name="Normal 15 9" xfId="10751"/>
    <cellStyle name="Normal 16" xfId="10752"/>
    <cellStyle name="Normal 16 10" xfId="10753"/>
    <cellStyle name="Normal 16 11" xfId="10754"/>
    <cellStyle name="Normal 16 12" xfId="10755"/>
    <cellStyle name="Normal 16 13" xfId="10756"/>
    <cellStyle name="Normal 16 14" xfId="10757"/>
    <cellStyle name="Normal 16 15" xfId="10758"/>
    <cellStyle name="Normal 16 16" xfId="10759"/>
    <cellStyle name="Normal 16 17" xfId="10760"/>
    <cellStyle name="Normal 16 18" xfId="10761"/>
    <cellStyle name="Normal 16 19" xfId="10762"/>
    <cellStyle name="Normal 16 2" xfId="10763"/>
    <cellStyle name="Normal 16 20" xfId="10764"/>
    <cellStyle name="Normal 16 21" xfId="10765"/>
    <cellStyle name="Normal 16 22" xfId="10766"/>
    <cellStyle name="Normal 16 23" xfId="10767"/>
    <cellStyle name="Normal 16 24" xfId="10768"/>
    <cellStyle name="Normal 16 25" xfId="10769"/>
    <cellStyle name="Normal 16 26" xfId="10770"/>
    <cellStyle name="Normal 16 27" xfId="10771"/>
    <cellStyle name="Normal 16 28" xfId="10772"/>
    <cellStyle name="Normal 16 29" xfId="10773"/>
    <cellStyle name="Normal 16 3" xfId="10774"/>
    <cellStyle name="Normal 16 30" xfId="10775"/>
    <cellStyle name="Normal 16 31" xfId="10776"/>
    <cellStyle name="Normal 16 32" xfId="10777"/>
    <cellStyle name="Normal 16 33" xfId="10778"/>
    <cellStyle name="Normal 16 34" xfId="10779"/>
    <cellStyle name="Normal 16 35" xfId="10780"/>
    <cellStyle name="Normal 16 36" xfId="10781"/>
    <cellStyle name="Normal 16 37" xfId="10782"/>
    <cellStyle name="Normal 16 38" xfId="10783"/>
    <cellStyle name="Normal 16 39" xfId="10784"/>
    <cellStyle name="Normal 16 4" xfId="10785"/>
    <cellStyle name="Normal 16 40" xfId="10786"/>
    <cellStyle name="Normal 16 41" xfId="10787"/>
    <cellStyle name="Normal 16 42" xfId="10788"/>
    <cellStyle name="Normal 16 43" xfId="10789"/>
    <cellStyle name="Normal 16 44" xfId="10790"/>
    <cellStyle name="Normal 16 45" xfId="10791"/>
    <cellStyle name="Normal 16 46" xfId="10792"/>
    <cellStyle name="Normal 16 47" xfId="10793"/>
    <cellStyle name="Normal 16 48" xfId="10794"/>
    <cellStyle name="Normal 16 5" xfId="10795"/>
    <cellStyle name="Normal 16 6" xfId="10796"/>
    <cellStyle name="Normal 16 7" xfId="10797"/>
    <cellStyle name="Normal 16 8" xfId="10798"/>
    <cellStyle name="Normal 16 9" xfId="10799"/>
    <cellStyle name="Normal 17" xfId="10800"/>
    <cellStyle name="Normal 17 10" xfId="10801"/>
    <cellStyle name="Normal 17 11" xfId="10802"/>
    <cellStyle name="Normal 17 12" xfId="10803"/>
    <cellStyle name="Normal 17 13" xfId="10804"/>
    <cellStyle name="Normal 17 14" xfId="10805"/>
    <cellStyle name="Normal 17 15" xfId="10806"/>
    <cellStyle name="Normal 17 16" xfId="10807"/>
    <cellStyle name="Normal 17 17" xfId="10808"/>
    <cellStyle name="Normal 17 18" xfId="10809"/>
    <cellStyle name="Normal 17 19" xfId="10810"/>
    <cellStyle name="Normal 17 2" xfId="10811"/>
    <cellStyle name="Normal 17 20" xfId="10812"/>
    <cellStyle name="Normal 17 21" xfId="10813"/>
    <cellStyle name="Normal 17 22" xfId="10814"/>
    <cellStyle name="Normal 17 23" xfId="10815"/>
    <cellStyle name="Normal 17 24" xfId="10816"/>
    <cellStyle name="Normal 17 25" xfId="10817"/>
    <cellStyle name="Normal 17 26" xfId="10818"/>
    <cellStyle name="Normal 17 27" xfId="10819"/>
    <cellStyle name="Normal 17 28" xfId="10820"/>
    <cellStyle name="Normal 17 29" xfId="10821"/>
    <cellStyle name="Normal 17 3" xfId="10822"/>
    <cellStyle name="Normal 17 30" xfId="10823"/>
    <cellStyle name="Normal 17 31" xfId="10824"/>
    <cellStyle name="Normal 17 32" xfId="10825"/>
    <cellStyle name="Normal 17 33" xfId="10826"/>
    <cellStyle name="Normal 17 34" xfId="10827"/>
    <cellStyle name="Normal 17 35" xfId="10828"/>
    <cellStyle name="Normal 17 36" xfId="10829"/>
    <cellStyle name="Normal 17 37" xfId="10830"/>
    <cellStyle name="Normal 17 38" xfId="10831"/>
    <cellStyle name="Normal 17 39" xfId="10832"/>
    <cellStyle name="Normal 17 4" xfId="10833"/>
    <cellStyle name="Normal 17 40" xfId="10834"/>
    <cellStyle name="Normal 17 41" xfId="10835"/>
    <cellStyle name="Normal 17 42" xfId="10836"/>
    <cellStyle name="Normal 17 43" xfId="10837"/>
    <cellStyle name="Normal 17 44" xfId="10838"/>
    <cellStyle name="Normal 17 45" xfId="10839"/>
    <cellStyle name="Normal 17 46" xfId="10840"/>
    <cellStyle name="Normal 17 47" xfId="10841"/>
    <cellStyle name="Normal 17 48" xfId="10842"/>
    <cellStyle name="Normal 17 5" xfId="10843"/>
    <cellStyle name="Normal 17 6" xfId="10844"/>
    <cellStyle name="Normal 17 7" xfId="10845"/>
    <cellStyle name="Normal 17 8" xfId="10846"/>
    <cellStyle name="Normal 17 9" xfId="10847"/>
    <cellStyle name="Normal 18" xfId="10848"/>
    <cellStyle name="Normal 18 10" xfId="10849"/>
    <cellStyle name="Normal 18 11" xfId="10850"/>
    <cellStyle name="Normal 18 12" xfId="10851"/>
    <cellStyle name="Normal 18 13" xfId="10852"/>
    <cellStyle name="Normal 18 14" xfId="10853"/>
    <cellStyle name="Normal 18 15" xfId="10854"/>
    <cellStyle name="Normal 18 16" xfId="10855"/>
    <cellStyle name="Normal 18 17" xfId="10856"/>
    <cellStyle name="Normal 18 18" xfId="10857"/>
    <cellStyle name="Normal 18 19" xfId="10858"/>
    <cellStyle name="Normal 18 2" xfId="10859"/>
    <cellStyle name="Normal 18 20" xfId="10860"/>
    <cellStyle name="Normal 18 21" xfId="10861"/>
    <cellStyle name="Normal 18 22" xfId="10862"/>
    <cellStyle name="Normal 18 23" xfId="10863"/>
    <cellStyle name="Normal 18 24" xfId="10864"/>
    <cellStyle name="Normal 18 25" xfId="10865"/>
    <cellStyle name="Normal 18 26" xfId="10866"/>
    <cellStyle name="Normal 18 27" xfId="10867"/>
    <cellStyle name="Normal 18 28" xfId="10868"/>
    <cellStyle name="Normal 18 29" xfId="10869"/>
    <cellStyle name="Normal 18 3" xfId="10870"/>
    <cellStyle name="Normal 18 30" xfId="10871"/>
    <cellStyle name="Normal 18 31" xfId="10872"/>
    <cellStyle name="Normal 18 32" xfId="10873"/>
    <cellStyle name="Normal 18 33" xfId="10874"/>
    <cellStyle name="Normal 18 34" xfId="10875"/>
    <cellStyle name="Normal 18 35" xfId="10876"/>
    <cellStyle name="Normal 18 36" xfId="10877"/>
    <cellStyle name="Normal 18 37" xfId="10878"/>
    <cellStyle name="Normal 18 38" xfId="10879"/>
    <cellStyle name="Normal 18 39" xfId="10880"/>
    <cellStyle name="Normal 18 4" xfId="10881"/>
    <cellStyle name="Normal 18 40" xfId="10882"/>
    <cellStyle name="Normal 18 41" xfId="10883"/>
    <cellStyle name="Normal 18 42" xfId="10884"/>
    <cellStyle name="Normal 18 43" xfId="10885"/>
    <cellStyle name="Normal 18 44" xfId="10886"/>
    <cellStyle name="Normal 18 45" xfId="10887"/>
    <cellStyle name="Normal 18 46" xfId="10888"/>
    <cellStyle name="Normal 18 47" xfId="10889"/>
    <cellStyle name="Normal 18 48" xfId="10890"/>
    <cellStyle name="Normal 18 5" xfId="10891"/>
    <cellStyle name="Normal 18 6" xfId="10892"/>
    <cellStyle name="Normal 18 7" xfId="10893"/>
    <cellStyle name="Normal 18 8" xfId="10894"/>
    <cellStyle name="Normal 18 9" xfId="10895"/>
    <cellStyle name="Normal 19" xfId="10896"/>
    <cellStyle name="Normal 19 10" xfId="10897"/>
    <cellStyle name="Normal 19 11" xfId="10898"/>
    <cellStyle name="Normal 19 12" xfId="10899"/>
    <cellStyle name="Normal 19 13" xfId="10900"/>
    <cellStyle name="Normal 19 14" xfId="10901"/>
    <cellStyle name="Normal 19 15" xfId="10902"/>
    <cellStyle name="Normal 19 16" xfId="10903"/>
    <cellStyle name="Normal 19 17" xfId="10904"/>
    <cellStyle name="Normal 19 18" xfId="10905"/>
    <cellStyle name="Normal 19 19" xfId="10906"/>
    <cellStyle name="Normal 19 2" xfId="10907"/>
    <cellStyle name="Normal 19 20" xfId="10908"/>
    <cellStyle name="Normal 19 21" xfId="10909"/>
    <cellStyle name="Normal 19 22" xfId="10910"/>
    <cellStyle name="Normal 19 23" xfId="10911"/>
    <cellStyle name="Normal 19 24" xfId="10912"/>
    <cellStyle name="Normal 19 25" xfId="10913"/>
    <cellStyle name="Normal 19 26" xfId="10914"/>
    <cellStyle name="Normal 19 27" xfId="10915"/>
    <cellStyle name="Normal 19 28" xfId="10916"/>
    <cellStyle name="Normal 19 29" xfId="10917"/>
    <cellStyle name="Normal 19 3" xfId="10918"/>
    <cellStyle name="Normal 19 30" xfId="10919"/>
    <cellStyle name="Normal 19 31" xfId="10920"/>
    <cellStyle name="Normal 19 32" xfId="10921"/>
    <cellStyle name="Normal 19 33" xfId="10922"/>
    <cellStyle name="Normal 19 34" xfId="10923"/>
    <cellStyle name="Normal 19 35" xfId="10924"/>
    <cellStyle name="Normal 19 36" xfId="10925"/>
    <cellStyle name="Normal 19 37" xfId="10926"/>
    <cellStyle name="Normal 19 38" xfId="10927"/>
    <cellStyle name="Normal 19 39" xfId="10928"/>
    <cellStyle name="Normal 19 4" xfId="10929"/>
    <cellStyle name="Normal 19 40" xfId="10930"/>
    <cellStyle name="Normal 19 41" xfId="10931"/>
    <cellStyle name="Normal 19 42" xfId="10932"/>
    <cellStyle name="Normal 19 43" xfId="10933"/>
    <cellStyle name="Normal 19 44" xfId="10934"/>
    <cellStyle name="Normal 19 45" xfId="10935"/>
    <cellStyle name="Normal 19 46" xfId="10936"/>
    <cellStyle name="Normal 19 47" xfId="10937"/>
    <cellStyle name="Normal 19 48" xfId="10938"/>
    <cellStyle name="Normal 19 5" xfId="10939"/>
    <cellStyle name="Normal 19 6" xfId="10940"/>
    <cellStyle name="Normal 19 7" xfId="10941"/>
    <cellStyle name="Normal 19 8" xfId="10942"/>
    <cellStyle name="Normal 19 9" xfId="10943"/>
    <cellStyle name="Normal 2" xfId="1"/>
    <cellStyle name="Normal 2 10" xfId="10944"/>
    <cellStyle name="Normal 2 10 10" xfId="10945"/>
    <cellStyle name="Normal 2 10 11" xfId="10946"/>
    <cellStyle name="Normal 2 10 12" xfId="10947"/>
    <cellStyle name="Normal 2 10 13" xfId="10948"/>
    <cellStyle name="Normal 2 10 14" xfId="10949"/>
    <cellStyle name="Normal 2 10 15" xfId="10950"/>
    <cellStyle name="Normal 2 10 16" xfId="10951"/>
    <cellStyle name="Normal 2 10 17" xfId="10952"/>
    <cellStyle name="Normal 2 10 18" xfId="10953"/>
    <cellStyle name="Normal 2 10 19" xfId="10954"/>
    <cellStyle name="Normal 2 10 2" xfId="10955"/>
    <cellStyle name="Normal 2 10 20" xfId="10956"/>
    <cellStyle name="Normal 2 10 21" xfId="10957"/>
    <cellStyle name="Normal 2 10 22" xfId="10958"/>
    <cellStyle name="Normal 2 10 23" xfId="10959"/>
    <cellStyle name="Normal 2 10 24" xfId="10960"/>
    <cellStyle name="Normal 2 10 25" xfId="10961"/>
    <cellStyle name="Normal 2 10 26" xfId="10962"/>
    <cellStyle name="Normal 2 10 27" xfId="10963"/>
    <cellStyle name="Normal 2 10 28" xfId="10964"/>
    <cellStyle name="Normal 2 10 29" xfId="10965"/>
    <cellStyle name="Normal 2 10 3" xfId="10966"/>
    <cellStyle name="Normal 2 10 30" xfId="10967"/>
    <cellStyle name="Normal 2 10 31" xfId="10968"/>
    <cellStyle name="Normal 2 10 32" xfId="10969"/>
    <cellStyle name="Normal 2 10 33" xfId="10970"/>
    <cellStyle name="Normal 2 10 34" xfId="10971"/>
    <cellStyle name="Normal 2 10 35" xfId="10972"/>
    <cellStyle name="Normal 2 10 36" xfId="10973"/>
    <cellStyle name="Normal 2 10 37" xfId="10974"/>
    <cellStyle name="Normal 2 10 38" xfId="10975"/>
    <cellStyle name="Normal 2 10 39" xfId="10976"/>
    <cellStyle name="Normal 2 10 4" xfId="10977"/>
    <cellStyle name="Normal 2 10 40" xfId="10978"/>
    <cellStyle name="Normal 2 10 41" xfId="10979"/>
    <cellStyle name="Normal 2 10 42" xfId="10980"/>
    <cellStyle name="Normal 2 10 43" xfId="10981"/>
    <cellStyle name="Normal 2 10 44" xfId="10982"/>
    <cellStyle name="Normal 2 10 45" xfId="10983"/>
    <cellStyle name="Normal 2 10 46" xfId="10984"/>
    <cellStyle name="Normal 2 10 47" xfId="10985"/>
    <cellStyle name="Normal 2 10 48" xfId="10986"/>
    <cellStyle name="Normal 2 10 5" xfId="10987"/>
    <cellStyle name="Normal 2 10 6" xfId="10988"/>
    <cellStyle name="Normal 2 10 7" xfId="10989"/>
    <cellStyle name="Normal 2 10 8" xfId="10990"/>
    <cellStyle name="Normal 2 10 9" xfId="10991"/>
    <cellStyle name="Normal 2 11" xfId="10992"/>
    <cellStyle name="Normal 2 11 10" xfId="10993"/>
    <cellStyle name="Normal 2 11 11" xfId="10994"/>
    <cellStyle name="Normal 2 11 12" xfId="10995"/>
    <cellStyle name="Normal 2 11 13" xfId="10996"/>
    <cellStyle name="Normal 2 11 14" xfId="10997"/>
    <cellStyle name="Normal 2 11 15" xfId="10998"/>
    <cellStyle name="Normal 2 11 16" xfId="10999"/>
    <cellStyle name="Normal 2 11 17" xfId="11000"/>
    <cellStyle name="Normal 2 11 18" xfId="11001"/>
    <cellStyle name="Normal 2 11 19" xfId="11002"/>
    <cellStyle name="Normal 2 11 2" xfId="11003"/>
    <cellStyle name="Normal 2 11 20" xfId="11004"/>
    <cellStyle name="Normal 2 11 21" xfId="11005"/>
    <cellStyle name="Normal 2 11 22" xfId="11006"/>
    <cellStyle name="Normal 2 11 23" xfId="11007"/>
    <cellStyle name="Normal 2 11 24" xfId="11008"/>
    <cellStyle name="Normal 2 11 25" xfId="11009"/>
    <cellStyle name="Normal 2 11 26" xfId="11010"/>
    <cellStyle name="Normal 2 11 27" xfId="11011"/>
    <cellStyle name="Normal 2 11 28" xfId="11012"/>
    <cellStyle name="Normal 2 11 29" xfId="11013"/>
    <cellStyle name="Normal 2 11 3" xfId="11014"/>
    <cellStyle name="Normal 2 11 30" xfId="11015"/>
    <cellStyle name="Normal 2 11 31" xfId="11016"/>
    <cellStyle name="Normal 2 11 32" xfId="11017"/>
    <cellStyle name="Normal 2 11 33" xfId="11018"/>
    <cellStyle name="Normal 2 11 34" xfId="11019"/>
    <cellStyle name="Normal 2 11 35" xfId="11020"/>
    <cellStyle name="Normal 2 11 36" xfId="11021"/>
    <cellStyle name="Normal 2 11 37" xfId="11022"/>
    <cellStyle name="Normal 2 11 38" xfId="11023"/>
    <cellStyle name="Normal 2 11 39" xfId="11024"/>
    <cellStyle name="Normal 2 11 4" xfId="11025"/>
    <cellStyle name="Normal 2 11 40" xfId="11026"/>
    <cellStyle name="Normal 2 11 41" xfId="11027"/>
    <cellStyle name="Normal 2 11 42" xfId="11028"/>
    <cellStyle name="Normal 2 11 43" xfId="11029"/>
    <cellStyle name="Normal 2 11 44" xfId="11030"/>
    <cellStyle name="Normal 2 11 45" xfId="11031"/>
    <cellStyle name="Normal 2 11 46" xfId="11032"/>
    <cellStyle name="Normal 2 11 47" xfId="11033"/>
    <cellStyle name="Normal 2 11 48" xfId="11034"/>
    <cellStyle name="Normal 2 11 5" xfId="11035"/>
    <cellStyle name="Normal 2 11 6" xfId="11036"/>
    <cellStyle name="Normal 2 11 7" xfId="11037"/>
    <cellStyle name="Normal 2 11 8" xfId="11038"/>
    <cellStyle name="Normal 2 11 9" xfId="11039"/>
    <cellStyle name="Normal 2 12" xfId="11040"/>
    <cellStyle name="Normal 2 12 10" xfId="11041"/>
    <cellStyle name="Normal 2 12 11" xfId="11042"/>
    <cellStyle name="Normal 2 12 12" xfId="11043"/>
    <cellStyle name="Normal 2 12 13" xfId="11044"/>
    <cellStyle name="Normal 2 12 14" xfId="11045"/>
    <cellStyle name="Normal 2 12 15" xfId="11046"/>
    <cellStyle name="Normal 2 12 16" xfId="11047"/>
    <cellStyle name="Normal 2 12 17" xfId="11048"/>
    <cellStyle name="Normal 2 12 18" xfId="11049"/>
    <cellStyle name="Normal 2 12 19" xfId="11050"/>
    <cellStyle name="Normal 2 12 2" xfId="11051"/>
    <cellStyle name="Normal 2 12 20" xfId="11052"/>
    <cellStyle name="Normal 2 12 21" xfId="11053"/>
    <cellStyle name="Normal 2 12 22" xfId="11054"/>
    <cellStyle name="Normal 2 12 23" xfId="11055"/>
    <cellStyle name="Normal 2 12 24" xfId="11056"/>
    <cellStyle name="Normal 2 12 25" xfId="11057"/>
    <cellStyle name="Normal 2 12 26" xfId="11058"/>
    <cellStyle name="Normal 2 12 27" xfId="11059"/>
    <cellStyle name="Normal 2 12 28" xfId="11060"/>
    <cellStyle name="Normal 2 12 29" xfId="11061"/>
    <cellStyle name="Normal 2 12 3" xfId="11062"/>
    <cellStyle name="Normal 2 12 30" xfId="11063"/>
    <cellStyle name="Normal 2 12 31" xfId="11064"/>
    <cellStyle name="Normal 2 12 32" xfId="11065"/>
    <cellStyle name="Normal 2 12 33" xfId="11066"/>
    <cellStyle name="Normal 2 12 34" xfId="11067"/>
    <cellStyle name="Normal 2 12 35" xfId="11068"/>
    <cellStyle name="Normal 2 12 36" xfId="11069"/>
    <cellStyle name="Normal 2 12 37" xfId="11070"/>
    <cellStyle name="Normal 2 12 38" xfId="11071"/>
    <cellStyle name="Normal 2 12 39" xfId="11072"/>
    <cellStyle name="Normal 2 12 4" xfId="11073"/>
    <cellStyle name="Normal 2 12 40" xfId="11074"/>
    <cellStyle name="Normal 2 12 41" xfId="11075"/>
    <cellStyle name="Normal 2 12 42" xfId="11076"/>
    <cellStyle name="Normal 2 12 43" xfId="11077"/>
    <cellStyle name="Normal 2 12 44" xfId="11078"/>
    <cellStyle name="Normal 2 12 45" xfId="11079"/>
    <cellStyle name="Normal 2 12 46" xfId="11080"/>
    <cellStyle name="Normal 2 12 47" xfId="11081"/>
    <cellStyle name="Normal 2 12 48" xfId="11082"/>
    <cellStyle name="Normal 2 12 5" xfId="11083"/>
    <cellStyle name="Normal 2 12 6" xfId="11084"/>
    <cellStyle name="Normal 2 12 7" xfId="11085"/>
    <cellStyle name="Normal 2 12 8" xfId="11086"/>
    <cellStyle name="Normal 2 12 9" xfId="11087"/>
    <cellStyle name="Normal 2 13" xfId="11088"/>
    <cellStyle name="Normal 2 13 10" xfId="11089"/>
    <cellStyle name="Normal 2 13 11" xfId="11090"/>
    <cellStyle name="Normal 2 13 12" xfId="11091"/>
    <cellStyle name="Normal 2 13 13" xfId="11092"/>
    <cellStyle name="Normal 2 13 14" xfId="11093"/>
    <cellStyle name="Normal 2 13 15" xfId="11094"/>
    <cellStyle name="Normal 2 13 16" xfId="11095"/>
    <cellStyle name="Normal 2 13 17" xfId="11096"/>
    <cellStyle name="Normal 2 13 18" xfId="11097"/>
    <cellStyle name="Normal 2 13 19" xfId="11098"/>
    <cellStyle name="Normal 2 13 2" xfId="11099"/>
    <cellStyle name="Normal 2 13 20" xfId="11100"/>
    <cellStyle name="Normal 2 13 21" xfId="11101"/>
    <cellStyle name="Normal 2 13 22" xfId="11102"/>
    <cellStyle name="Normal 2 13 23" xfId="11103"/>
    <cellStyle name="Normal 2 13 24" xfId="11104"/>
    <cellStyle name="Normal 2 13 25" xfId="11105"/>
    <cellStyle name="Normal 2 13 26" xfId="11106"/>
    <cellStyle name="Normal 2 13 27" xfId="11107"/>
    <cellStyle name="Normal 2 13 28" xfId="11108"/>
    <cellStyle name="Normal 2 13 29" xfId="11109"/>
    <cellStyle name="Normal 2 13 3" xfId="11110"/>
    <cellStyle name="Normal 2 13 30" xfId="11111"/>
    <cellStyle name="Normal 2 13 31" xfId="11112"/>
    <cellStyle name="Normal 2 13 32" xfId="11113"/>
    <cellStyle name="Normal 2 13 33" xfId="11114"/>
    <cellStyle name="Normal 2 13 34" xfId="11115"/>
    <cellStyle name="Normal 2 13 35" xfId="11116"/>
    <cellStyle name="Normal 2 13 36" xfId="11117"/>
    <cellStyle name="Normal 2 13 37" xfId="11118"/>
    <cellStyle name="Normal 2 13 38" xfId="11119"/>
    <cellStyle name="Normal 2 13 39" xfId="11120"/>
    <cellStyle name="Normal 2 13 4" xfId="11121"/>
    <cellStyle name="Normal 2 13 40" xfId="11122"/>
    <cellStyle name="Normal 2 13 41" xfId="11123"/>
    <cellStyle name="Normal 2 13 42" xfId="11124"/>
    <cellStyle name="Normal 2 13 43" xfId="11125"/>
    <cellStyle name="Normal 2 13 44" xfId="11126"/>
    <cellStyle name="Normal 2 13 45" xfId="11127"/>
    <cellStyle name="Normal 2 13 46" xfId="11128"/>
    <cellStyle name="Normal 2 13 47" xfId="11129"/>
    <cellStyle name="Normal 2 13 48" xfId="11130"/>
    <cellStyle name="Normal 2 13 5" xfId="11131"/>
    <cellStyle name="Normal 2 13 6" xfId="11132"/>
    <cellStyle name="Normal 2 13 7" xfId="11133"/>
    <cellStyle name="Normal 2 13 8" xfId="11134"/>
    <cellStyle name="Normal 2 13 9" xfId="11135"/>
    <cellStyle name="Normal 2 14" xfId="11136"/>
    <cellStyle name="Normal 2 14 10" xfId="11137"/>
    <cellStyle name="Normal 2 14 11" xfId="11138"/>
    <cellStyle name="Normal 2 14 12" xfId="11139"/>
    <cellStyle name="Normal 2 14 13" xfId="11140"/>
    <cellStyle name="Normal 2 14 14" xfId="11141"/>
    <cellStyle name="Normal 2 14 15" xfId="11142"/>
    <cellStyle name="Normal 2 14 16" xfId="11143"/>
    <cellStyle name="Normal 2 14 17" xfId="11144"/>
    <cellStyle name="Normal 2 14 18" xfId="11145"/>
    <cellStyle name="Normal 2 14 19" xfId="11146"/>
    <cellStyle name="Normal 2 14 2" xfId="11147"/>
    <cellStyle name="Normal 2 14 20" xfId="11148"/>
    <cellStyle name="Normal 2 14 21" xfId="11149"/>
    <cellStyle name="Normal 2 14 22" xfId="11150"/>
    <cellStyle name="Normal 2 14 23" xfId="11151"/>
    <cellStyle name="Normal 2 14 24" xfId="11152"/>
    <cellStyle name="Normal 2 14 25" xfId="11153"/>
    <cellStyle name="Normal 2 14 26" xfId="11154"/>
    <cellStyle name="Normal 2 14 27" xfId="11155"/>
    <cellStyle name="Normal 2 14 28" xfId="11156"/>
    <cellStyle name="Normal 2 14 29" xfId="11157"/>
    <cellStyle name="Normal 2 14 3" xfId="11158"/>
    <cellStyle name="Normal 2 14 30" xfId="11159"/>
    <cellStyle name="Normal 2 14 31" xfId="11160"/>
    <cellStyle name="Normal 2 14 32" xfId="11161"/>
    <cellStyle name="Normal 2 14 33" xfId="11162"/>
    <cellStyle name="Normal 2 14 34" xfId="11163"/>
    <cellStyle name="Normal 2 14 35" xfId="11164"/>
    <cellStyle name="Normal 2 14 36" xfId="11165"/>
    <cellStyle name="Normal 2 14 37" xfId="11166"/>
    <cellStyle name="Normal 2 14 38" xfId="11167"/>
    <cellStyle name="Normal 2 14 39" xfId="11168"/>
    <cellStyle name="Normal 2 14 4" xfId="11169"/>
    <cellStyle name="Normal 2 14 40" xfId="11170"/>
    <cellStyle name="Normal 2 14 41" xfId="11171"/>
    <cellStyle name="Normal 2 14 42" xfId="11172"/>
    <cellStyle name="Normal 2 14 43" xfId="11173"/>
    <cellStyle name="Normal 2 14 44" xfId="11174"/>
    <cellStyle name="Normal 2 14 45" xfId="11175"/>
    <cellStyle name="Normal 2 14 46" xfId="11176"/>
    <cellStyle name="Normal 2 14 47" xfId="11177"/>
    <cellStyle name="Normal 2 14 48" xfId="11178"/>
    <cellStyle name="Normal 2 14 5" xfId="11179"/>
    <cellStyle name="Normal 2 14 6" xfId="11180"/>
    <cellStyle name="Normal 2 14 7" xfId="11181"/>
    <cellStyle name="Normal 2 14 8" xfId="11182"/>
    <cellStyle name="Normal 2 14 9" xfId="11183"/>
    <cellStyle name="Normal 2 15" xfId="11184"/>
    <cellStyle name="Normal 2 15 10" xfId="11185"/>
    <cellStyle name="Normal 2 15 11" xfId="11186"/>
    <cellStyle name="Normal 2 15 12" xfId="11187"/>
    <cellStyle name="Normal 2 15 13" xfId="11188"/>
    <cellStyle name="Normal 2 15 14" xfId="11189"/>
    <cellStyle name="Normal 2 15 15" xfId="11190"/>
    <cellStyle name="Normal 2 15 16" xfId="11191"/>
    <cellStyle name="Normal 2 15 17" xfId="11192"/>
    <cellStyle name="Normal 2 15 18" xfId="11193"/>
    <cellStyle name="Normal 2 15 19" xfId="11194"/>
    <cellStyle name="Normal 2 15 2" xfId="11195"/>
    <cellStyle name="Normal 2 15 20" xfId="11196"/>
    <cellStyle name="Normal 2 15 21" xfId="11197"/>
    <cellStyle name="Normal 2 15 22" xfId="11198"/>
    <cellStyle name="Normal 2 15 23" xfId="11199"/>
    <cellStyle name="Normal 2 15 24" xfId="11200"/>
    <cellStyle name="Normal 2 15 25" xfId="11201"/>
    <cellStyle name="Normal 2 15 26" xfId="11202"/>
    <cellStyle name="Normal 2 15 27" xfId="11203"/>
    <cellStyle name="Normal 2 15 28" xfId="11204"/>
    <cellStyle name="Normal 2 15 29" xfId="11205"/>
    <cellStyle name="Normal 2 15 3" xfId="11206"/>
    <cellStyle name="Normal 2 15 30" xfId="11207"/>
    <cellStyle name="Normal 2 15 31" xfId="11208"/>
    <cellStyle name="Normal 2 15 32" xfId="11209"/>
    <cellStyle name="Normal 2 15 33" xfId="11210"/>
    <cellStyle name="Normal 2 15 34" xfId="11211"/>
    <cellStyle name="Normal 2 15 35" xfId="11212"/>
    <cellStyle name="Normal 2 15 36" xfId="11213"/>
    <cellStyle name="Normal 2 15 37" xfId="11214"/>
    <cellStyle name="Normal 2 15 38" xfId="11215"/>
    <cellStyle name="Normal 2 15 39" xfId="11216"/>
    <cellStyle name="Normal 2 15 4" xfId="11217"/>
    <cellStyle name="Normal 2 15 40" xfId="11218"/>
    <cellStyle name="Normal 2 15 41" xfId="11219"/>
    <cellStyle name="Normal 2 15 42" xfId="11220"/>
    <cellStyle name="Normal 2 15 43" xfId="11221"/>
    <cellStyle name="Normal 2 15 44" xfId="11222"/>
    <cellStyle name="Normal 2 15 45" xfId="11223"/>
    <cellStyle name="Normal 2 15 46" xfId="11224"/>
    <cellStyle name="Normal 2 15 47" xfId="11225"/>
    <cellStyle name="Normal 2 15 48" xfId="11226"/>
    <cellStyle name="Normal 2 15 5" xfId="11227"/>
    <cellStyle name="Normal 2 15 6" xfId="11228"/>
    <cellStyle name="Normal 2 15 7" xfId="11229"/>
    <cellStyle name="Normal 2 15 8" xfId="11230"/>
    <cellStyle name="Normal 2 15 9" xfId="11231"/>
    <cellStyle name="Normal 2 16" xfId="11232"/>
    <cellStyle name="Normal 2 16 10" xfId="11233"/>
    <cellStyle name="Normal 2 16 11" xfId="11234"/>
    <cellStyle name="Normal 2 16 12" xfId="11235"/>
    <cellStyle name="Normal 2 16 13" xfId="11236"/>
    <cellStyle name="Normal 2 16 14" xfId="11237"/>
    <cellStyle name="Normal 2 16 15" xfId="11238"/>
    <cellStyle name="Normal 2 16 16" xfId="11239"/>
    <cellStyle name="Normal 2 16 17" xfId="11240"/>
    <cellStyle name="Normal 2 16 18" xfId="11241"/>
    <cellStyle name="Normal 2 16 19" xfId="11242"/>
    <cellStyle name="Normal 2 16 2" xfId="11243"/>
    <cellStyle name="Normal 2 16 20" xfId="11244"/>
    <cellStyle name="Normal 2 16 21" xfId="11245"/>
    <cellStyle name="Normal 2 16 22" xfId="11246"/>
    <cellStyle name="Normal 2 16 23" xfId="11247"/>
    <cellStyle name="Normal 2 16 24" xfId="11248"/>
    <cellStyle name="Normal 2 16 25" xfId="11249"/>
    <cellStyle name="Normal 2 16 26" xfId="11250"/>
    <cellStyle name="Normal 2 16 27" xfId="11251"/>
    <cellStyle name="Normal 2 16 28" xfId="11252"/>
    <cellStyle name="Normal 2 16 29" xfId="11253"/>
    <cellStyle name="Normal 2 16 3" xfId="11254"/>
    <cellStyle name="Normal 2 16 30" xfId="11255"/>
    <cellStyle name="Normal 2 16 31" xfId="11256"/>
    <cellStyle name="Normal 2 16 32" xfId="11257"/>
    <cellStyle name="Normal 2 16 33" xfId="11258"/>
    <cellStyle name="Normal 2 16 34" xfId="11259"/>
    <cellStyle name="Normal 2 16 35" xfId="11260"/>
    <cellStyle name="Normal 2 16 36" xfId="11261"/>
    <cellStyle name="Normal 2 16 37" xfId="11262"/>
    <cellStyle name="Normal 2 16 38" xfId="11263"/>
    <cellStyle name="Normal 2 16 39" xfId="11264"/>
    <cellStyle name="Normal 2 16 4" xfId="11265"/>
    <cellStyle name="Normal 2 16 40" xfId="11266"/>
    <cellStyle name="Normal 2 16 41" xfId="11267"/>
    <cellStyle name="Normal 2 16 42" xfId="11268"/>
    <cellStyle name="Normal 2 16 43" xfId="11269"/>
    <cellStyle name="Normal 2 16 44" xfId="11270"/>
    <cellStyle name="Normal 2 16 45" xfId="11271"/>
    <cellStyle name="Normal 2 16 46" xfId="11272"/>
    <cellStyle name="Normal 2 16 47" xfId="11273"/>
    <cellStyle name="Normal 2 16 48" xfId="11274"/>
    <cellStyle name="Normal 2 16 5" xfId="11275"/>
    <cellStyle name="Normal 2 16 6" xfId="11276"/>
    <cellStyle name="Normal 2 16 7" xfId="11277"/>
    <cellStyle name="Normal 2 16 8" xfId="11278"/>
    <cellStyle name="Normal 2 16 9" xfId="11279"/>
    <cellStyle name="Normal 2 17" xfId="11280"/>
    <cellStyle name="Normal 2 17 10" xfId="11281"/>
    <cellStyle name="Normal 2 17 11" xfId="11282"/>
    <cellStyle name="Normal 2 17 12" xfId="11283"/>
    <cellStyle name="Normal 2 17 13" xfId="11284"/>
    <cellStyle name="Normal 2 17 14" xfId="11285"/>
    <cellStyle name="Normal 2 17 15" xfId="11286"/>
    <cellStyle name="Normal 2 17 16" xfId="11287"/>
    <cellStyle name="Normal 2 17 17" xfId="11288"/>
    <cellStyle name="Normal 2 17 18" xfId="11289"/>
    <cellStyle name="Normal 2 17 19" xfId="11290"/>
    <cellStyle name="Normal 2 17 2" xfId="11291"/>
    <cellStyle name="Normal 2 17 20" xfId="11292"/>
    <cellStyle name="Normal 2 17 21" xfId="11293"/>
    <cellStyle name="Normal 2 17 22" xfId="11294"/>
    <cellStyle name="Normal 2 17 23" xfId="11295"/>
    <cellStyle name="Normal 2 17 24" xfId="11296"/>
    <cellStyle name="Normal 2 17 25" xfId="11297"/>
    <cellStyle name="Normal 2 17 26" xfId="11298"/>
    <cellStyle name="Normal 2 17 27" xfId="11299"/>
    <cellStyle name="Normal 2 17 28" xfId="11300"/>
    <cellStyle name="Normal 2 17 29" xfId="11301"/>
    <cellStyle name="Normal 2 17 3" xfId="11302"/>
    <cellStyle name="Normal 2 17 30" xfId="11303"/>
    <cellStyle name="Normal 2 17 31" xfId="11304"/>
    <cellStyle name="Normal 2 17 32" xfId="11305"/>
    <cellStyle name="Normal 2 17 33" xfId="11306"/>
    <cellStyle name="Normal 2 17 34" xfId="11307"/>
    <cellStyle name="Normal 2 17 35" xfId="11308"/>
    <cellStyle name="Normal 2 17 36" xfId="11309"/>
    <cellStyle name="Normal 2 17 37" xfId="11310"/>
    <cellStyle name="Normal 2 17 38" xfId="11311"/>
    <cellStyle name="Normal 2 17 39" xfId="11312"/>
    <cellStyle name="Normal 2 17 4" xfId="11313"/>
    <cellStyle name="Normal 2 17 40" xfId="11314"/>
    <cellStyle name="Normal 2 17 41" xfId="11315"/>
    <cellStyle name="Normal 2 17 42" xfId="11316"/>
    <cellStyle name="Normal 2 17 43" xfId="11317"/>
    <cellStyle name="Normal 2 17 44" xfId="11318"/>
    <cellStyle name="Normal 2 17 45" xfId="11319"/>
    <cellStyle name="Normal 2 17 46" xfId="11320"/>
    <cellStyle name="Normal 2 17 47" xfId="11321"/>
    <cellStyle name="Normal 2 17 48" xfId="11322"/>
    <cellStyle name="Normal 2 17 5" xfId="11323"/>
    <cellStyle name="Normal 2 17 6" xfId="11324"/>
    <cellStyle name="Normal 2 17 7" xfId="11325"/>
    <cellStyle name="Normal 2 17 8" xfId="11326"/>
    <cellStyle name="Normal 2 17 9" xfId="11327"/>
    <cellStyle name="Normal 2 18" xfId="11328"/>
    <cellStyle name="Normal 2 18 10" xfId="11329"/>
    <cellStyle name="Normal 2 18 11" xfId="11330"/>
    <cellStyle name="Normal 2 18 12" xfId="11331"/>
    <cellStyle name="Normal 2 18 13" xfId="11332"/>
    <cellStyle name="Normal 2 18 14" xfId="11333"/>
    <cellStyle name="Normal 2 18 15" xfId="11334"/>
    <cellStyle name="Normal 2 18 16" xfId="11335"/>
    <cellStyle name="Normal 2 18 17" xfId="11336"/>
    <cellStyle name="Normal 2 18 18" xfId="11337"/>
    <cellStyle name="Normal 2 18 19" xfId="11338"/>
    <cellStyle name="Normal 2 18 2" xfId="11339"/>
    <cellStyle name="Normal 2 18 20" xfId="11340"/>
    <cellStyle name="Normal 2 18 21" xfId="11341"/>
    <cellStyle name="Normal 2 18 22" xfId="11342"/>
    <cellStyle name="Normal 2 18 23" xfId="11343"/>
    <cellStyle name="Normal 2 18 24" xfId="11344"/>
    <cellStyle name="Normal 2 18 25" xfId="11345"/>
    <cellStyle name="Normal 2 18 26" xfId="11346"/>
    <cellStyle name="Normal 2 18 27" xfId="11347"/>
    <cellStyle name="Normal 2 18 28" xfId="11348"/>
    <cellStyle name="Normal 2 18 29" xfId="11349"/>
    <cellStyle name="Normal 2 18 3" xfId="11350"/>
    <cellStyle name="Normal 2 18 30" xfId="11351"/>
    <cellStyle name="Normal 2 18 31" xfId="11352"/>
    <cellStyle name="Normal 2 18 32" xfId="11353"/>
    <cellStyle name="Normal 2 18 33" xfId="11354"/>
    <cellStyle name="Normal 2 18 34" xfId="11355"/>
    <cellStyle name="Normal 2 18 35" xfId="11356"/>
    <cellStyle name="Normal 2 18 36" xfId="11357"/>
    <cellStyle name="Normal 2 18 37" xfId="11358"/>
    <cellStyle name="Normal 2 18 38" xfId="11359"/>
    <cellStyle name="Normal 2 18 39" xfId="11360"/>
    <cellStyle name="Normal 2 18 4" xfId="11361"/>
    <cellStyle name="Normal 2 18 40" xfId="11362"/>
    <cellStyle name="Normal 2 18 41" xfId="11363"/>
    <cellStyle name="Normal 2 18 42" xfId="11364"/>
    <cellStyle name="Normal 2 18 43" xfId="11365"/>
    <cellStyle name="Normal 2 18 44" xfId="11366"/>
    <cellStyle name="Normal 2 18 45" xfId="11367"/>
    <cellStyle name="Normal 2 18 46" xfId="11368"/>
    <cellStyle name="Normal 2 18 47" xfId="11369"/>
    <cellStyle name="Normal 2 18 48" xfId="11370"/>
    <cellStyle name="Normal 2 18 5" xfId="11371"/>
    <cellStyle name="Normal 2 18 6" xfId="11372"/>
    <cellStyle name="Normal 2 18 7" xfId="11373"/>
    <cellStyle name="Normal 2 18 8" xfId="11374"/>
    <cellStyle name="Normal 2 18 9" xfId="11375"/>
    <cellStyle name="Normal 2 19" xfId="11376"/>
    <cellStyle name="Normal 2 19 10" xfId="11377"/>
    <cellStyle name="Normal 2 19 11" xfId="11378"/>
    <cellStyle name="Normal 2 19 12" xfId="11379"/>
    <cellStyle name="Normal 2 19 13" xfId="11380"/>
    <cellStyle name="Normal 2 19 14" xfId="11381"/>
    <cellStyle name="Normal 2 19 15" xfId="11382"/>
    <cellStyle name="Normal 2 19 16" xfId="11383"/>
    <cellStyle name="Normal 2 19 17" xfId="11384"/>
    <cellStyle name="Normal 2 19 18" xfId="11385"/>
    <cellStyle name="Normal 2 19 19" xfId="11386"/>
    <cellStyle name="Normal 2 19 2" xfId="11387"/>
    <cellStyle name="Normal 2 19 20" xfId="11388"/>
    <cellStyle name="Normal 2 19 21" xfId="11389"/>
    <cellStyle name="Normal 2 19 22" xfId="11390"/>
    <cellStyle name="Normal 2 19 23" xfId="11391"/>
    <cellStyle name="Normal 2 19 24" xfId="11392"/>
    <cellStyle name="Normal 2 19 25" xfId="11393"/>
    <cellStyle name="Normal 2 19 26" xfId="11394"/>
    <cellStyle name="Normal 2 19 27" xfId="11395"/>
    <cellStyle name="Normal 2 19 28" xfId="11396"/>
    <cellStyle name="Normal 2 19 29" xfId="11397"/>
    <cellStyle name="Normal 2 19 3" xfId="11398"/>
    <cellStyle name="Normal 2 19 30" xfId="11399"/>
    <cellStyle name="Normal 2 19 31" xfId="11400"/>
    <cellStyle name="Normal 2 19 32" xfId="11401"/>
    <cellStyle name="Normal 2 19 33" xfId="11402"/>
    <cellStyle name="Normal 2 19 34" xfId="11403"/>
    <cellStyle name="Normal 2 19 35" xfId="11404"/>
    <cellStyle name="Normal 2 19 36" xfId="11405"/>
    <cellStyle name="Normal 2 19 37" xfId="11406"/>
    <cellStyle name="Normal 2 19 38" xfId="11407"/>
    <cellStyle name="Normal 2 19 39" xfId="11408"/>
    <cellStyle name="Normal 2 19 4" xfId="11409"/>
    <cellStyle name="Normal 2 19 40" xfId="11410"/>
    <cellStyle name="Normal 2 19 41" xfId="11411"/>
    <cellStyle name="Normal 2 19 42" xfId="11412"/>
    <cellStyle name="Normal 2 19 43" xfId="11413"/>
    <cellStyle name="Normal 2 19 44" xfId="11414"/>
    <cellStyle name="Normal 2 19 45" xfId="11415"/>
    <cellStyle name="Normal 2 19 46" xfId="11416"/>
    <cellStyle name="Normal 2 19 47" xfId="11417"/>
    <cellStyle name="Normal 2 19 48" xfId="11418"/>
    <cellStyle name="Normal 2 19 5" xfId="11419"/>
    <cellStyle name="Normal 2 19 6" xfId="11420"/>
    <cellStyle name="Normal 2 19 7" xfId="11421"/>
    <cellStyle name="Normal 2 19 8" xfId="11422"/>
    <cellStyle name="Normal 2 19 9" xfId="11423"/>
    <cellStyle name="Normal 2 2" xfId="11424"/>
    <cellStyle name="Normal 2 2 10" xfId="11425"/>
    <cellStyle name="Normal 2 2 11" xfId="11426"/>
    <cellStyle name="Normal 2 2 12" xfId="11427"/>
    <cellStyle name="Normal 2 2 13" xfId="11428"/>
    <cellStyle name="Normal 2 2 14" xfId="11429"/>
    <cellStyle name="Normal 2 2 15" xfId="11430"/>
    <cellStyle name="Normal 2 2 16" xfId="11431"/>
    <cellStyle name="Normal 2 2 17" xfId="11432"/>
    <cellStyle name="Normal 2 2 18" xfId="11433"/>
    <cellStyle name="Normal 2 2 19" xfId="11434"/>
    <cellStyle name="Normal 2 2 2" xfId="11435"/>
    <cellStyle name="Normal 2 2 20" xfId="11436"/>
    <cellStyle name="Normal 2 2 21" xfId="11437"/>
    <cellStyle name="Normal 2 2 22" xfId="11438"/>
    <cellStyle name="Normal 2 2 23" xfId="11439"/>
    <cellStyle name="Normal 2 2 24" xfId="11440"/>
    <cellStyle name="Normal 2 2 25" xfId="11441"/>
    <cellStyle name="Normal 2 2 26" xfId="11442"/>
    <cellStyle name="Normal 2 2 27" xfId="11443"/>
    <cellStyle name="Normal 2 2 28" xfId="11444"/>
    <cellStyle name="Normal 2 2 29" xfId="11445"/>
    <cellStyle name="Normal 2 2 3" xfId="11446"/>
    <cellStyle name="Normal 2 2 30" xfId="11447"/>
    <cellStyle name="Normal 2 2 31" xfId="11448"/>
    <cellStyle name="Normal 2 2 32" xfId="11449"/>
    <cellStyle name="Normal 2 2 33" xfId="11450"/>
    <cellStyle name="Normal 2 2 34" xfId="11451"/>
    <cellStyle name="Normal 2 2 35" xfId="11452"/>
    <cellStyle name="Normal 2 2 36" xfId="11453"/>
    <cellStyle name="Normal 2 2 37" xfId="11454"/>
    <cellStyle name="Normal 2 2 38" xfId="11455"/>
    <cellStyle name="Normal 2 2 39" xfId="11456"/>
    <cellStyle name="Normal 2 2 4" xfId="11457"/>
    <cellStyle name="Normal 2 2 40" xfId="11458"/>
    <cellStyle name="Normal 2 2 41" xfId="11459"/>
    <cellStyle name="Normal 2 2 42" xfId="11460"/>
    <cellStyle name="Normal 2 2 43" xfId="11461"/>
    <cellStyle name="Normal 2 2 44" xfId="11462"/>
    <cellStyle name="Normal 2 2 45" xfId="11463"/>
    <cellStyle name="Normal 2 2 46" xfId="11464"/>
    <cellStyle name="Normal 2 2 47" xfId="11465"/>
    <cellStyle name="Normal 2 2 48" xfId="11466"/>
    <cellStyle name="Normal 2 2 49" xfId="11467"/>
    <cellStyle name="Normal 2 2 5" xfId="11468"/>
    <cellStyle name="Normal 2 2 50" xfId="11469"/>
    <cellStyle name="Normal 2 2 6" xfId="11470"/>
    <cellStyle name="Normal 2 2 7" xfId="11471"/>
    <cellStyle name="Normal 2 2 8" xfId="11472"/>
    <cellStyle name="Normal 2 2 9" xfId="11473"/>
    <cellStyle name="Normal 2 20" xfId="11474"/>
    <cellStyle name="Normal 2 20 10" xfId="11475"/>
    <cellStyle name="Normal 2 20 11" xfId="11476"/>
    <cellStyle name="Normal 2 20 12" xfId="11477"/>
    <cellStyle name="Normal 2 20 13" xfId="11478"/>
    <cellStyle name="Normal 2 20 14" xfId="11479"/>
    <cellStyle name="Normal 2 20 15" xfId="11480"/>
    <cellStyle name="Normal 2 20 16" xfId="11481"/>
    <cellStyle name="Normal 2 20 17" xfId="11482"/>
    <cellStyle name="Normal 2 20 18" xfId="11483"/>
    <cellStyle name="Normal 2 20 19" xfId="11484"/>
    <cellStyle name="Normal 2 20 2" xfId="11485"/>
    <cellStyle name="Normal 2 20 20" xfId="11486"/>
    <cellStyle name="Normal 2 20 21" xfId="11487"/>
    <cellStyle name="Normal 2 20 22" xfId="11488"/>
    <cellStyle name="Normal 2 20 23" xfId="11489"/>
    <cellStyle name="Normal 2 20 24" xfId="11490"/>
    <cellStyle name="Normal 2 20 25" xfId="11491"/>
    <cellStyle name="Normal 2 20 26" xfId="11492"/>
    <cellStyle name="Normal 2 20 27" xfId="11493"/>
    <cellStyle name="Normal 2 20 28" xfId="11494"/>
    <cellStyle name="Normal 2 20 29" xfId="11495"/>
    <cellStyle name="Normal 2 20 3" xfId="11496"/>
    <cellStyle name="Normal 2 20 30" xfId="11497"/>
    <cellStyle name="Normal 2 20 31" xfId="11498"/>
    <cellStyle name="Normal 2 20 32" xfId="11499"/>
    <cellStyle name="Normal 2 20 33" xfId="11500"/>
    <cellStyle name="Normal 2 20 34" xfId="11501"/>
    <cellStyle name="Normal 2 20 35" xfId="11502"/>
    <cellStyle name="Normal 2 20 36" xfId="11503"/>
    <cellStyle name="Normal 2 20 37" xfId="11504"/>
    <cellStyle name="Normal 2 20 38" xfId="11505"/>
    <cellStyle name="Normal 2 20 39" xfId="11506"/>
    <cellStyle name="Normal 2 20 4" xfId="11507"/>
    <cellStyle name="Normal 2 20 40" xfId="11508"/>
    <cellStyle name="Normal 2 20 41" xfId="11509"/>
    <cellStyle name="Normal 2 20 42" xfId="11510"/>
    <cellStyle name="Normal 2 20 43" xfId="11511"/>
    <cellStyle name="Normal 2 20 44" xfId="11512"/>
    <cellStyle name="Normal 2 20 45" xfId="11513"/>
    <cellStyle name="Normal 2 20 46" xfId="11514"/>
    <cellStyle name="Normal 2 20 47" xfId="11515"/>
    <cellStyle name="Normal 2 20 48" xfId="11516"/>
    <cellStyle name="Normal 2 20 5" xfId="11517"/>
    <cellStyle name="Normal 2 20 6" xfId="11518"/>
    <cellStyle name="Normal 2 20 7" xfId="11519"/>
    <cellStyle name="Normal 2 20 8" xfId="11520"/>
    <cellStyle name="Normal 2 20 9" xfId="11521"/>
    <cellStyle name="Normal 2 21" xfId="11522"/>
    <cellStyle name="Normal 2 21 10" xfId="11523"/>
    <cellStyle name="Normal 2 21 11" xfId="11524"/>
    <cellStyle name="Normal 2 21 12" xfId="11525"/>
    <cellStyle name="Normal 2 21 13" xfId="11526"/>
    <cellStyle name="Normal 2 21 14" xfId="11527"/>
    <cellStyle name="Normal 2 21 15" xfId="11528"/>
    <cellStyle name="Normal 2 21 16" xfId="11529"/>
    <cellStyle name="Normal 2 21 17" xfId="11530"/>
    <cellStyle name="Normal 2 21 18" xfId="11531"/>
    <cellStyle name="Normal 2 21 19" xfId="11532"/>
    <cellStyle name="Normal 2 21 2" xfId="11533"/>
    <cellStyle name="Normal 2 21 20" xfId="11534"/>
    <cellStyle name="Normal 2 21 21" xfId="11535"/>
    <cellStyle name="Normal 2 21 22" xfId="11536"/>
    <cellStyle name="Normal 2 21 23" xfId="11537"/>
    <cellStyle name="Normal 2 21 24" xfId="11538"/>
    <cellStyle name="Normal 2 21 25" xfId="11539"/>
    <cellStyle name="Normal 2 21 26" xfId="11540"/>
    <cellStyle name="Normal 2 21 27" xfId="11541"/>
    <cellStyle name="Normal 2 21 28" xfId="11542"/>
    <cellStyle name="Normal 2 21 29" xfId="11543"/>
    <cellStyle name="Normal 2 21 3" xfId="11544"/>
    <cellStyle name="Normal 2 21 30" xfId="11545"/>
    <cellStyle name="Normal 2 21 31" xfId="11546"/>
    <cellStyle name="Normal 2 21 32" xfId="11547"/>
    <cellStyle name="Normal 2 21 33" xfId="11548"/>
    <cellStyle name="Normal 2 21 34" xfId="11549"/>
    <cellStyle name="Normal 2 21 35" xfId="11550"/>
    <cellStyle name="Normal 2 21 36" xfId="11551"/>
    <cellStyle name="Normal 2 21 37" xfId="11552"/>
    <cellStyle name="Normal 2 21 38" xfId="11553"/>
    <cellStyle name="Normal 2 21 39" xfId="11554"/>
    <cellStyle name="Normal 2 21 4" xfId="11555"/>
    <cellStyle name="Normal 2 21 40" xfId="11556"/>
    <cellStyle name="Normal 2 21 41" xfId="11557"/>
    <cellStyle name="Normal 2 21 42" xfId="11558"/>
    <cellStyle name="Normal 2 21 43" xfId="11559"/>
    <cellStyle name="Normal 2 21 44" xfId="11560"/>
    <cellStyle name="Normal 2 21 45" xfId="11561"/>
    <cellStyle name="Normal 2 21 46" xfId="11562"/>
    <cellStyle name="Normal 2 21 47" xfId="11563"/>
    <cellStyle name="Normal 2 21 48" xfId="11564"/>
    <cellStyle name="Normal 2 21 5" xfId="11565"/>
    <cellStyle name="Normal 2 21 6" xfId="11566"/>
    <cellStyle name="Normal 2 21 7" xfId="11567"/>
    <cellStyle name="Normal 2 21 8" xfId="11568"/>
    <cellStyle name="Normal 2 21 9" xfId="11569"/>
    <cellStyle name="Normal 2 22" xfId="11570"/>
    <cellStyle name="Normal 2 22 10" xfId="11571"/>
    <cellStyle name="Normal 2 22 11" xfId="11572"/>
    <cellStyle name="Normal 2 22 12" xfId="11573"/>
    <cellStyle name="Normal 2 22 13" xfId="11574"/>
    <cellStyle name="Normal 2 22 14" xfId="11575"/>
    <cellStyle name="Normal 2 22 15" xfId="11576"/>
    <cellStyle name="Normal 2 22 16" xfId="11577"/>
    <cellStyle name="Normal 2 22 17" xfId="11578"/>
    <cellStyle name="Normal 2 22 18" xfId="11579"/>
    <cellStyle name="Normal 2 22 19" xfId="11580"/>
    <cellStyle name="Normal 2 22 2" xfId="11581"/>
    <cellStyle name="Normal 2 22 20" xfId="11582"/>
    <cellStyle name="Normal 2 22 21" xfId="11583"/>
    <cellStyle name="Normal 2 22 22" xfId="11584"/>
    <cellStyle name="Normal 2 22 23" xfId="11585"/>
    <cellStyle name="Normal 2 22 24" xfId="11586"/>
    <cellStyle name="Normal 2 22 25" xfId="11587"/>
    <cellStyle name="Normal 2 22 26" xfId="11588"/>
    <cellStyle name="Normal 2 22 27" xfId="11589"/>
    <cellStyle name="Normal 2 22 28" xfId="11590"/>
    <cellStyle name="Normal 2 22 29" xfId="11591"/>
    <cellStyle name="Normal 2 22 3" xfId="11592"/>
    <cellStyle name="Normal 2 22 30" xfId="11593"/>
    <cellStyle name="Normal 2 22 31" xfId="11594"/>
    <cellStyle name="Normal 2 22 32" xfId="11595"/>
    <cellStyle name="Normal 2 22 33" xfId="11596"/>
    <cellStyle name="Normal 2 22 34" xfId="11597"/>
    <cellStyle name="Normal 2 22 35" xfId="11598"/>
    <cellStyle name="Normal 2 22 36" xfId="11599"/>
    <cellStyle name="Normal 2 22 37" xfId="11600"/>
    <cellStyle name="Normal 2 22 38" xfId="11601"/>
    <cellStyle name="Normal 2 22 39" xfId="11602"/>
    <cellStyle name="Normal 2 22 4" xfId="11603"/>
    <cellStyle name="Normal 2 22 40" xfId="11604"/>
    <cellStyle name="Normal 2 22 41" xfId="11605"/>
    <cellStyle name="Normal 2 22 42" xfId="11606"/>
    <cellStyle name="Normal 2 22 43" xfId="11607"/>
    <cellStyle name="Normal 2 22 44" xfId="11608"/>
    <cellStyle name="Normal 2 22 45" xfId="11609"/>
    <cellStyle name="Normal 2 22 46" xfId="11610"/>
    <cellStyle name="Normal 2 22 47" xfId="11611"/>
    <cellStyle name="Normal 2 22 48" xfId="11612"/>
    <cellStyle name="Normal 2 22 5" xfId="11613"/>
    <cellStyle name="Normal 2 22 6" xfId="11614"/>
    <cellStyle name="Normal 2 22 7" xfId="11615"/>
    <cellStyle name="Normal 2 22 8" xfId="11616"/>
    <cellStyle name="Normal 2 22 9" xfId="11617"/>
    <cellStyle name="Normal 2 23" xfId="11618"/>
    <cellStyle name="Normal 2 23 10" xfId="11619"/>
    <cellStyle name="Normal 2 23 11" xfId="11620"/>
    <cellStyle name="Normal 2 23 12" xfId="11621"/>
    <cellStyle name="Normal 2 23 13" xfId="11622"/>
    <cellStyle name="Normal 2 23 14" xfId="11623"/>
    <cellStyle name="Normal 2 23 15" xfId="11624"/>
    <cellStyle name="Normal 2 23 16" xfId="11625"/>
    <cellStyle name="Normal 2 23 17" xfId="11626"/>
    <cellStyle name="Normal 2 23 18" xfId="11627"/>
    <cellStyle name="Normal 2 23 19" xfId="11628"/>
    <cellStyle name="Normal 2 23 2" xfId="11629"/>
    <cellStyle name="Normal 2 23 20" xfId="11630"/>
    <cellStyle name="Normal 2 23 21" xfId="11631"/>
    <cellStyle name="Normal 2 23 22" xfId="11632"/>
    <cellStyle name="Normal 2 23 23" xfId="11633"/>
    <cellStyle name="Normal 2 23 24" xfId="11634"/>
    <cellStyle name="Normal 2 23 25" xfId="11635"/>
    <cellStyle name="Normal 2 23 26" xfId="11636"/>
    <cellStyle name="Normal 2 23 27" xfId="11637"/>
    <cellStyle name="Normal 2 23 28" xfId="11638"/>
    <cellStyle name="Normal 2 23 29" xfId="11639"/>
    <cellStyle name="Normal 2 23 3" xfId="11640"/>
    <cellStyle name="Normal 2 23 30" xfId="11641"/>
    <cellStyle name="Normal 2 23 31" xfId="11642"/>
    <cellStyle name="Normal 2 23 32" xfId="11643"/>
    <cellStyle name="Normal 2 23 33" xfId="11644"/>
    <cellStyle name="Normal 2 23 34" xfId="11645"/>
    <cellStyle name="Normal 2 23 35" xfId="11646"/>
    <cellStyle name="Normal 2 23 36" xfId="11647"/>
    <cellStyle name="Normal 2 23 37" xfId="11648"/>
    <cellStyle name="Normal 2 23 38" xfId="11649"/>
    <cellStyle name="Normal 2 23 39" xfId="11650"/>
    <cellStyle name="Normal 2 23 4" xfId="11651"/>
    <cellStyle name="Normal 2 23 40" xfId="11652"/>
    <cellStyle name="Normal 2 23 41" xfId="11653"/>
    <cellStyle name="Normal 2 23 42" xfId="11654"/>
    <cellStyle name="Normal 2 23 43" xfId="11655"/>
    <cellStyle name="Normal 2 23 44" xfId="11656"/>
    <cellStyle name="Normal 2 23 45" xfId="11657"/>
    <cellStyle name="Normal 2 23 46" xfId="11658"/>
    <cellStyle name="Normal 2 23 47" xfId="11659"/>
    <cellStyle name="Normal 2 23 48" xfId="11660"/>
    <cellStyle name="Normal 2 23 5" xfId="11661"/>
    <cellStyle name="Normal 2 23 6" xfId="11662"/>
    <cellStyle name="Normal 2 23 7" xfId="11663"/>
    <cellStyle name="Normal 2 23 8" xfId="11664"/>
    <cellStyle name="Normal 2 23 9" xfId="11665"/>
    <cellStyle name="Normal 2 24" xfId="11666"/>
    <cellStyle name="Normal 2 24 10" xfId="11667"/>
    <cellStyle name="Normal 2 24 11" xfId="11668"/>
    <cellStyle name="Normal 2 24 12" xfId="11669"/>
    <cellStyle name="Normal 2 24 13" xfId="11670"/>
    <cellStyle name="Normal 2 24 14" xfId="11671"/>
    <cellStyle name="Normal 2 24 15" xfId="11672"/>
    <cellStyle name="Normal 2 24 16" xfId="11673"/>
    <cellStyle name="Normal 2 24 17" xfId="11674"/>
    <cellStyle name="Normal 2 24 18" xfId="11675"/>
    <cellStyle name="Normal 2 24 19" xfId="11676"/>
    <cellStyle name="Normal 2 24 2" xfId="11677"/>
    <cellStyle name="Normal 2 24 20" xfId="11678"/>
    <cellStyle name="Normal 2 24 21" xfId="11679"/>
    <cellStyle name="Normal 2 24 22" xfId="11680"/>
    <cellStyle name="Normal 2 24 23" xfId="11681"/>
    <cellStyle name="Normal 2 24 24" xfId="11682"/>
    <cellStyle name="Normal 2 24 25" xfId="11683"/>
    <cellStyle name="Normal 2 24 26" xfId="11684"/>
    <cellStyle name="Normal 2 24 27" xfId="11685"/>
    <cellStyle name="Normal 2 24 28" xfId="11686"/>
    <cellStyle name="Normal 2 24 29" xfId="11687"/>
    <cellStyle name="Normal 2 24 3" xfId="11688"/>
    <cellStyle name="Normal 2 24 30" xfId="11689"/>
    <cellStyle name="Normal 2 24 31" xfId="11690"/>
    <cellStyle name="Normal 2 24 32" xfId="11691"/>
    <cellStyle name="Normal 2 24 33" xfId="11692"/>
    <cellStyle name="Normal 2 24 34" xfId="11693"/>
    <cellStyle name="Normal 2 24 35" xfId="11694"/>
    <cellStyle name="Normal 2 24 36" xfId="11695"/>
    <cellStyle name="Normal 2 24 37" xfId="11696"/>
    <cellStyle name="Normal 2 24 38" xfId="11697"/>
    <cellStyle name="Normal 2 24 39" xfId="11698"/>
    <cellStyle name="Normal 2 24 4" xfId="11699"/>
    <cellStyle name="Normal 2 24 40" xfId="11700"/>
    <cellStyle name="Normal 2 24 41" xfId="11701"/>
    <cellStyle name="Normal 2 24 42" xfId="11702"/>
    <cellStyle name="Normal 2 24 43" xfId="11703"/>
    <cellStyle name="Normal 2 24 44" xfId="11704"/>
    <cellStyle name="Normal 2 24 45" xfId="11705"/>
    <cellStyle name="Normal 2 24 46" xfId="11706"/>
    <cellStyle name="Normal 2 24 47" xfId="11707"/>
    <cellStyle name="Normal 2 24 48" xfId="11708"/>
    <cellStyle name="Normal 2 24 5" xfId="11709"/>
    <cellStyle name="Normal 2 24 6" xfId="11710"/>
    <cellStyle name="Normal 2 24 7" xfId="11711"/>
    <cellStyle name="Normal 2 24 8" xfId="11712"/>
    <cellStyle name="Normal 2 24 9" xfId="11713"/>
    <cellStyle name="Normal 2 25" xfId="11714"/>
    <cellStyle name="Normal 2 25 10" xfId="11715"/>
    <cellStyle name="Normal 2 25 11" xfId="11716"/>
    <cellStyle name="Normal 2 25 12" xfId="11717"/>
    <cellStyle name="Normal 2 25 13" xfId="11718"/>
    <cellStyle name="Normal 2 25 14" xfId="11719"/>
    <cellStyle name="Normal 2 25 15" xfId="11720"/>
    <cellStyle name="Normal 2 25 16" xfId="11721"/>
    <cellStyle name="Normal 2 25 17" xfId="11722"/>
    <cellStyle name="Normal 2 25 18" xfId="11723"/>
    <cellStyle name="Normal 2 25 19" xfId="11724"/>
    <cellStyle name="Normal 2 25 2" xfId="11725"/>
    <cellStyle name="Normal 2 25 20" xfId="11726"/>
    <cellStyle name="Normal 2 25 21" xfId="11727"/>
    <cellStyle name="Normal 2 25 22" xfId="11728"/>
    <cellStyle name="Normal 2 25 23" xfId="11729"/>
    <cellStyle name="Normal 2 25 24" xfId="11730"/>
    <cellStyle name="Normal 2 25 25" xfId="11731"/>
    <cellStyle name="Normal 2 25 26" xfId="11732"/>
    <cellStyle name="Normal 2 25 27" xfId="11733"/>
    <cellStyle name="Normal 2 25 28" xfId="11734"/>
    <cellStyle name="Normal 2 25 29" xfId="11735"/>
    <cellStyle name="Normal 2 25 3" xfId="11736"/>
    <cellStyle name="Normal 2 25 30" xfId="11737"/>
    <cellStyle name="Normal 2 25 31" xfId="11738"/>
    <cellStyle name="Normal 2 25 32" xfId="11739"/>
    <cellStyle name="Normal 2 25 33" xfId="11740"/>
    <cellStyle name="Normal 2 25 34" xfId="11741"/>
    <cellStyle name="Normal 2 25 35" xfId="11742"/>
    <cellStyle name="Normal 2 25 36" xfId="11743"/>
    <cellStyle name="Normal 2 25 37" xfId="11744"/>
    <cellStyle name="Normal 2 25 38" xfId="11745"/>
    <cellStyle name="Normal 2 25 39" xfId="11746"/>
    <cellStyle name="Normal 2 25 4" xfId="11747"/>
    <cellStyle name="Normal 2 25 40" xfId="11748"/>
    <cellStyle name="Normal 2 25 41" xfId="11749"/>
    <cellStyle name="Normal 2 25 42" xfId="11750"/>
    <cellStyle name="Normal 2 25 43" xfId="11751"/>
    <cellStyle name="Normal 2 25 44" xfId="11752"/>
    <cellStyle name="Normal 2 25 45" xfId="11753"/>
    <cellStyle name="Normal 2 25 46" xfId="11754"/>
    <cellStyle name="Normal 2 25 47" xfId="11755"/>
    <cellStyle name="Normal 2 25 48" xfId="11756"/>
    <cellStyle name="Normal 2 25 5" xfId="11757"/>
    <cellStyle name="Normal 2 25 6" xfId="11758"/>
    <cellStyle name="Normal 2 25 7" xfId="11759"/>
    <cellStyle name="Normal 2 25 8" xfId="11760"/>
    <cellStyle name="Normal 2 25 9" xfId="11761"/>
    <cellStyle name="Normal 2 26" xfId="11762"/>
    <cellStyle name="Normal 2 26 10" xfId="11763"/>
    <cellStyle name="Normal 2 26 11" xfId="11764"/>
    <cellStyle name="Normal 2 26 12" xfId="11765"/>
    <cellStyle name="Normal 2 26 13" xfId="11766"/>
    <cellStyle name="Normal 2 26 14" xfId="11767"/>
    <cellStyle name="Normal 2 26 15" xfId="11768"/>
    <cellStyle name="Normal 2 26 16" xfId="11769"/>
    <cellStyle name="Normal 2 26 17" xfId="11770"/>
    <cellStyle name="Normal 2 26 18" xfId="11771"/>
    <cellStyle name="Normal 2 26 19" xfId="11772"/>
    <cellStyle name="Normal 2 26 2" xfId="11773"/>
    <cellStyle name="Normal 2 26 20" xfId="11774"/>
    <cellStyle name="Normal 2 26 21" xfId="11775"/>
    <cellStyle name="Normal 2 26 22" xfId="11776"/>
    <cellStyle name="Normal 2 26 23" xfId="11777"/>
    <cellStyle name="Normal 2 26 24" xfId="11778"/>
    <cellStyle name="Normal 2 26 25" xfId="11779"/>
    <cellStyle name="Normal 2 26 26" xfId="11780"/>
    <cellStyle name="Normal 2 26 27" xfId="11781"/>
    <cellStyle name="Normal 2 26 28" xfId="11782"/>
    <cellStyle name="Normal 2 26 29" xfId="11783"/>
    <cellStyle name="Normal 2 26 3" xfId="11784"/>
    <cellStyle name="Normal 2 26 30" xfId="11785"/>
    <cellStyle name="Normal 2 26 31" xfId="11786"/>
    <cellStyle name="Normal 2 26 32" xfId="11787"/>
    <cellStyle name="Normal 2 26 33" xfId="11788"/>
    <cellStyle name="Normal 2 26 34" xfId="11789"/>
    <cellStyle name="Normal 2 26 35" xfId="11790"/>
    <cellStyle name="Normal 2 26 36" xfId="11791"/>
    <cellStyle name="Normal 2 26 37" xfId="11792"/>
    <cellStyle name="Normal 2 26 38" xfId="11793"/>
    <cellStyle name="Normal 2 26 39" xfId="11794"/>
    <cellStyle name="Normal 2 26 4" xfId="11795"/>
    <cellStyle name="Normal 2 26 40" xfId="11796"/>
    <cellStyle name="Normal 2 26 41" xfId="11797"/>
    <cellStyle name="Normal 2 26 42" xfId="11798"/>
    <cellStyle name="Normal 2 26 43" xfId="11799"/>
    <cellStyle name="Normal 2 26 44" xfId="11800"/>
    <cellStyle name="Normal 2 26 45" xfId="11801"/>
    <cellStyle name="Normal 2 26 46" xfId="11802"/>
    <cellStyle name="Normal 2 26 47" xfId="11803"/>
    <cellStyle name="Normal 2 26 48" xfId="11804"/>
    <cellStyle name="Normal 2 26 5" xfId="11805"/>
    <cellStyle name="Normal 2 26 6" xfId="11806"/>
    <cellStyle name="Normal 2 26 7" xfId="11807"/>
    <cellStyle name="Normal 2 26 8" xfId="11808"/>
    <cellStyle name="Normal 2 26 9" xfId="11809"/>
    <cellStyle name="Normal 2 27" xfId="11810"/>
    <cellStyle name="Normal 2 27 10" xfId="11811"/>
    <cellStyle name="Normal 2 27 11" xfId="11812"/>
    <cellStyle name="Normal 2 27 12" xfId="11813"/>
    <cellStyle name="Normal 2 27 13" xfId="11814"/>
    <cellStyle name="Normal 2 27 14" xfId="11815"/>
    <cellStyle name="Normal 2 27 15" xfId="11816"/>
    <cellStyle name="Normal 2 27 16" xfId="11817"/>
    <cellStyle name="Normal 2 27 17" xfId="11818"/>
    <cellStyle name="Normal 2 27 18" xfId="11819"/>
    <cellStyle name="Normal 2 27 19" xfId="11820"/>
    <cellStyle name="Normal 2 27 2" xfId="11821"/>
    <cellStyle name="Normal 2 27 20" xfId="11822"/>
    <cellStyle name="Normal 2 27 21" xfId="11823"/>
    <cellStyle name="Normal 2 27 22" xfId="11824"/>
    <cellStyle name="Normal 2 27 23" xfId="11825"/>
    <cellStyle name="Normal 2 27 24" xfId="11826"/>
    <cellStyle name="Normal 2 27 25" xfId="11827"/>
    <cellStyle name="Normal 2 27 26" xfId="11828"/>
    <cellStyle name="Normal 2 27 27" xfId="11829"/>
    <cellStyle name="Normal 2 27 28" xfId="11830"/>
    <cellStyle name="Normal 2 27 29" xfId="11831"/>
    <cellStyle name="Normal 2 27 3" xfId="11832"/>
    <cellStyle name="Normal 2 27 30" xfId="11833"/>
    <cellStyle name="Normal 2 27 31" xfId="11834"/>
    <cellStyle name="Normal 2 27 32" xfId="11835"/>
    <cellStyle name="Normal 2 27 33" xfId="11836"/>
    <cellStyle name="Normal 2 27 34" xfId="11837"/>
    <cellStyle name="Normal 2 27 35" xfId="11838"/>
    <cellStyle name="Normal 2 27 36" xfId="11839"/>
    <cellStyle name="Normal 2 27 37" xfId="11840"/>
    <cellStyle name="Normal 2 27 38" xfId="11841"/>
    <cellStyle name="Normal 2 27 39" xfId="11842"/>
    <cellStyle name="Normal 2 27 4" xfId="11843"/>
    <cellStyle name="Normal 2 27 40" xfId="11844"/>
    <cellStyle name="Normal 2 27 41" xfId="11845"/>
    <cellStyle name="Normal 2 27 42" xfId="11846"/>
    <cellStyle name="Normal 2 27 43" xfId="11847"/>
    <cellStyle name="Normal 2 27 44" xfId="11848"/>
    <cellStyle name="Normal 2 27 45" xfId="11849"/>
    <cellStyle name="Normal 2 27 46" xfId="11850"/>
    <cellStyle name="Normal 2 27 47" xfId="11851"/>
    <cellStyle name="Normal 2 27 48" xfId="11852"/>
    <cellStyle name="Normal 2 27 5" xfId="11853"/>
    <cellStyle name="Normal 2 27 6" xfId="11854"/>
    <cellStyle name="Normal 2 27 7" xfId="11855"/>
    <cellStyle name="Normal 2 27 8" xfId="11856"/>
    <cellStyle name="Normal 2 27 9" xfId="11857"/>
    <cellStyle name="Normal 2 28" xfId="11858"/>
    <cellStyle name="Normal 2 28 10" xfId="11859"/>
    <cellStyle name="Normal 2 28 11" xfId="11860"/>
    <cellStyle name="Normal 2 28 12" xfId="11861"/>
    <cellStyle name="Normal 2 28 13" xfId="11862"/>
    <cellStyle name="Normal 2 28 14" xfId="11863"/>
    <cellStyle name="Normal 2 28 15" xfId="11864"/>
    <cellStyle name="Normal 2 28 16" xfId="11865"/>
    <cellStyle name="Normal 2 28 17" xfId="11866"/>
    <cellStyle name="Normal 2 28 18" xfId="11867"/>
    <cellStyle name="Normal 2 28 19" xfId="11868"/>
    <cellStyle name="Normal 2 28 2" xfId="11869"/>
    <cellStyle name="Normal 2 28 20" xfId="11870"/>
    <cellStyle name="Normal 2 28 21" xfId="11871"/>
    <cellStyle name="Normal 2 28 22" xfId="11872"/>
    <cellStyle name="Normal 2 28 23" xfId="11873"/>
    <cellStyle name="Normal 2 28 24" xfId="11874"/>
    <cellStyle name="Normal 2 28 25" xfId="11875"/>
    <cellStyle name="Normal 2 28 26" xfId="11876"/>
    <cellStyle name="Normal 2 28 27" xfId="11877"/>
    <cellStyle name="Normal 2 28 28" xfId="11878"/>
    <cellStyle name="Normal 2 28 29" xfId="11879"/>
    <cellStyle name="Normal 2 28 3" xfId="11880"/>
    <cellStyle name="Normal 2 28 30" xfId="11881"/>
    <cellStyle name="Normal 2 28 31" xfId="11882"/>
    <cellStyle name="Normal 2 28 32" xfId="11883"/>
    <cellStyle name="Normal 2 28 33" xfId="11884"/>
    <cellStyle name="Normal 2 28 34" xfId="11885"/>
    <cellStyle name="Normal 2 28 35" xfId="11886"/>
    <cellStyle name="Normal 2 28 36" xfId="11887"/>
    <cellStyle name="Normal 2 28 37" xfId="11888"/>
    <cellStyle name="Normal 2 28 38" xfId="11889"/>
    <cellStyle name="Normal 2 28 39" xfId="11890"/>
    <cellStyle name="Normal 2 28 4" xfId="11891"/>
    <cellStyle name="Normal 2 28 40" xfId="11892"/>
    <cellStyle name="Normal 2 28 41" xfId="11893"/>
    <cellStyle name="Normal 2 28 42" xfId="11894"/>
    <cellStyle name="Normal 2 28 43" xfId="11895"/>
    <cellStyle name="Normal 2 28 44" xfId="11896"/>
    <cellStyle name="Normal 2 28 45" xfId="11897"/>
    <cellStyle name="Normal 2 28 46" xfId="11898"/>
    <cellStyle name="Normal 2 28 47" xfId="11899"/>
    <cellStyle name="Normal 2 28 48" xfId="11900"/>
    <cellStyle name="Normal 2 28 5" xfId="11901"/>
    <cellStyle name="Normal 2 28 6" xfId="11902"/>
    <cellStyle name="Normal 2 28 7" xfId="11903"/>
    <cellStyle name="Normal 2 28 8" xfId="11904"/>
    <cellStyle name="Normal 2 28 9" xfId="11905"/>
    <cellStyle name="Normal 2 29" xfId="11906"/>
    <cellStyle name="Normal 2 29 10" xfId="11907"/>
    <cellStyle name="Normal 2 29 11" xfId="11908"/>
    <cellStyle name="Normal 2 29 12" xfId="11909"/>
    <cellStyle name="Normal 2 29 13" xfId="11910"/>
    <cellStyle name="Normal 2 29 14" xfId="11911"/>
    <cellStyle name="Normal 2 29 15" xfId="11912"/>
    <cellStyle name="Normal 2 29 16" xfId="11913"/>
    <cellStyle name="Normal 2 29 17" xfId="11914"/>
    <cellStyle name="Normal 2 29 18" xfId="11915"/>
    <cellStyle name="Normal 2 29 19" xfId="11916"/>
    <cellStyle name="Normal 2 29 2" xfId="11917"/>
    <cellStyle name="Normal 2 29 20" xfId="11918"/>
    <cellStyle name="Normal 2 29 21" xfId="11919"/>
    <cellStyle name="Normal 2 29 22" xfId="11920"/>
    <cellStyle name="Normal 2 29 23" xfId="11921"/>
    <cellStyle name="Normal 2 29 24" xfId="11922"/>
    <cellStyle name="Normal 2 29 25" xfId="11923"/>
    <cellStyle name="Normal 2 29 26" xfId="11924"/>
    <cellStyle name="Normal 2 29 27" xfId="11925"/>
    <cellStyle name="Normal 2 29 28" xfId="11926"/>
    <cellStyle name="Normal 2 29 29" xfId="11927"/>
    <cellStyle name="Normal 2 29 3" xfId="11928"/>
    <cellStyle name="Normal 2 29 30" xfId="11929"/>
    <cellStyle name="Normal 2 29 31" xfId="11930"/>
    <cellStyle name="Normal 2 29 32" xfId="11931"/>
    <cellStyle name="Normal 2 29 33" xfId="11932"/>
    <cellStyle name="Normal 2 29 34" xfId="11933"/>
    <cellStyle name="Normal 2 29 35" xfId="11934"/>
    <cellStyle name="Normal 2 29 36" xfId="11935"/>
    <cellStyle name="Normal 2 29 37" xfId="11936"/>
    <cellStyle name="Normal 2 29 38" xfId="11937"/>
    <cellStyle name="Normal 2 29 39" xfId="11938"/>
    <cellStyle name="Normal 2 29 4" xfId="11939"/>
    <cellStyle name="Normal 2 29 40" xfId="11940"/>
    <cellStyle name="Normal 2 29 41" xfId="11941"/>
    <cellStyle name="Normal 2 29 42" xfId="11942"/>
    <cellStyle name="Normal 2 29 43" xfId="11943"/>
    <cellStyle name="Normal 2 29 44" xfId="11944"/>
    <cellStyle name="Normal 2 29 45" xfId="11945"/>
    <cellStyle name="Normal 2 29 46" xfId="11946"/>
    <cellStyle name="Normal 2 29 47" xfId="11947"/>
    <cellStyle name="Normal 2 29 48" xfId="11948"/>
    <cellStyle name="Normal 2 29 5" xfId="11949"/>
    <cellStyle name="Normal 2 29 6" xfId="11950"/>
    <cellStyle name="Normal 2 29 7" xfId="11951"/>
    <cellStyle name="Normal 2 29 8" xfId="11952"/>
    <cellStyle name="Normal 2 29 9" xfId="11953"/>
    <cellStyle name="Normal 2 3" xfId="11954"/>
    <cellStyle name="Normal 2 3 10" xfId="11955"/>
    <cellStyle name="Normal 2 3 11" xfId="11956"/>
    <cellStyle name="Normal 2 3 12" xfId="11957"/>
    <cellStyle name="Normal 2 3 13" xfId="11958"/>
    <cellStyle name="Normal 2 3 14" xfId="11959"/>
    <cellStyle name="Normal 2 3 15" xfId="11960"/>
    <cellStyle name="Normal 2 3 16" xfId="11961"/>
    <cellStyle name="Normal 2 3 17" xfId="11962"/>
    <cellStyle name="Normal 2 3 18" xfId="11963"/>
    <cellStyle name="Normal 2 3 19" xfId="11964"/>
    <cellStyle name="Normal 2 3 2" xfId="11965"/>
    <cellStyle name="Normal 2 3 20" xfId="11966"/>
    <cellStyle name="Normal 2 3 21" xfId="11967"/>
    <cellStyle name="Normal 2 3 22" xfId="11968"/>
    <cellStyle name="Normal 2 3 23" xfId="11969"/>
    <cellStyle name="Normal 2 3 24" xfId="11970"/>
    <cellStyle name="Normal 2 3 25" xfId="11971"/>
    <cellStyle name="Normal 2 3 26" xfId="11972"/>
    <cellStyle name="Normal 2 3 27" xfId="11973"/>
    <cellStyle name="Normal 2 3 28" xfId="11974"/>
    <cellStyle name="Normal 2 3 29" xfId="11975"/>
    <cellStyle name="Normal 2 3 3" xfId="11976"/>
    <cellStyle name="Normal 2 3 30" xfId="11977"/>
    <cellStyle name="Normal 2 3 31" xfId="11978"/>
    <cellStyle name="Normal 2 3 32" xfId="11979"/>
    <cellStyle name="Normal 2 3 33" xfId="11980"/>
    <cellStyle name="Normal 2 3 34" xfId="11981"/>
    <cellStyle name="Normal 2 3 35" xfId="11982"/>
    <cellStyle name="Normal 2 3 36" xfId="11983"/>
    <cellStyle name="Normal 2 3 37" xfId="11984"/>
    <cellStyle name="Normal 2 3 38" xfId="11985"/>
    <cellStyle name="Normal 2 3 39" xfId="11986"/>
    <cellStyle name="Normal 2 3 4" xfId="11987"/>
    <cellStyle name="Normal 2 3 40" xfId="11988"/>
    <cellStyle name="Normal 2 3 41" xfId="11989"/>
    <cellStyle name="Normal 2 3 42" xfId="11990"/>
    <cellStyle name="Normal 2 3 43" xfId="11991"/>
    <cellStyle name="Normal 2 3 44" xfId="11992"/>
    <cellStyle name="Normal 2 3 45" xfId="11993"/>
    <cellStyle name="Normal 2 3 46" xfId="11994"/>
    <cellStyle name="Normal 2 3 47" xfId="11995"/>
    <cellStyle name="Normal 2 3 48" xfId="11996"/>
    <cellStyle name="Normal 2 3 49" xfId="11997"/>
    <cellStyle name="Normal 2 3 5" xfId="11998"/>
    <cellStyle name="Normal 2 3 50" xfId="11999"/>
    <cellStyle name="Normal 2 3 6" xfId="12000"/>
    <cellStyle name="Normal 2 3 7" xfId="12001"/>
    <cellStyle name="Normal 2 3 8" xfId="12002"/>
    <cellStyle name="Normal 2 3 9" xfId="12003"/>
    <cellStyle name="Normal 2 30" xfId="12004"/>
    <cellStyle name="Normal 2 30 2" xfId="12005"/>
    <cellStyle name="Normal 2 31" xfId="12006"/>
    <cellStyle name="Normal 2 4" xfId="12007"/>
    <cellStyle name="Normal 2 4 10" xfId="12008"/>
    <cellStyle name="Normal 2 4 10 2" xfId="12009"/>
    <cellStyle name="Normal 2 4 11" xfId="12010"/>
    <cellStyle name="Normal 2 4 11 2" xfId="12011"/>
    <cellStyle name="Normal 2 4 12" xfId="12012"/>
    <cellStyle name="Normal 2 4 12 2" xfId="12013"/>
    <cellStyle name="Normal 2 4 13" xfId="12014"/>
    <cellStyle name="Normal 2 4 13 2" xfId="12015"/>
    <cellStyle name="Normal 2 4 14" xfId="12016"/>
    <cellStyle name="Normal 2 4 14 2" xfId="12017"/>
    <cellStyle name="Normal 2 4 15" xfId="12018"/>
    <cellStyle name="Normal 2 4 15 2" xfId="12019"/>
    <cellStyle name="Normal 2 4 16" xfId="12020"/>
    <cellStyle name="Normal 2 4 16 2" xfId="12021"/>
    <cellStyle name="Normal 2 4 17" xfId="12022"/>
    <cellStyle name="Normal 2 4 17 2" xfId="12023"/>
    <cellStyle name="Normal 2 4 18" xfId="12024"/>
    <cellStyle name="Normal 2 4 18 2" xfId="12025"/>
    <cellStyle name="Normal 2 4 19" xfId="12026"/>
    <cellStyle name="Normal 2 4 19 2" xfId="12027"/>
    <cellStyle name="Normal 2 4 2" xfId="12028"/>
    <cellStyle name="Normal 2 4 2 2" xfId="12029"/>
    <cellStyle name="Normal 2 4 20" xfId="12030"/>
    <cellStyle name="Normal 2 4 20 2" xfId="12031"/>
    <cellStyle name="Normal 2 4 21" xfId="12032"/>
    <cellStyle name="Normal 2 4 21 2" xfId="12033"/>
    <cellStyle name="Normal 2 4 22" xfId="12034"/>
    <cellStyle name="Normal 2 4 22 2" xfId="12035"/>
    <cellStyle name="Normal 2 4 23" xfId="12036"/>
    <cellStyle name="Normal 2 4 23 2" xfId="12037"/>
    <cellStyle name="Normal 2 4 24" xfId="12038"/>
    <cellStyle name="Normal 2 4 24 2" xfId="12039"/>
    <cellStyle name="Normal 2 4 25" xfId="12040"/>
    <cellStyle name="Normal 2 4 25 2" xfId="12041"/>
    <cellStyle name="Normal 2 4 26" xfId="12042"/>
    <cellStyle name="Normal 2 4 26 2" xfId="12043"/>
    <cellStyle name="Normal 2 4 27" xfId="12044"/>
    <cellStyle name="Normal 2 4 27 2" xfId="12045"/>
    <cellStyle name="Normal 2 4 28" xfId="12046"/>
    <cellStyle name="Normal 2 4 28 2" xfId="12047"/>
    <cellStyle name="Normal 2 4 29" xfId="12048"/>
    <cellStyle name="Normal 2 4 29 2" xfId="12049"/>
    <cellStyle name="Normal 2 4 3" xfId="12050"/>
    <cellStyle name="Normal 2 4 3 2" xfId="12051"/>
    <cellStyle name="Normal 2 4 30" xfId="12052"/>
    <cellStyle name="Normal 2 4 30 2" xfId="12053"/>
    <cellStyle name="Normal 2 4 31" xfId="12054"/>
    <cellStyle name="Normal 2 4 31 2" xfId="12055"/>
    <cellStyle name="Normal 2 4 32" xfId="12056"/>
    <cellStyle name="Normal 2 4 32 2" xfId="12057"/>
    <cellStyle name="Normal 2 4 33" xfId="12058"/>
    <cellStyle name="Normal 2 4 33 2" xfId="12059"/>
    <cellStyle name="Normal 2 4 34" xfId="12060"/>
    <cellStyle name="Normal 2 4 34 2" xfId="12061"/>
    <cellStyle name="Normal 2 4 35" xfId="12062"/>
    <cellStyle name="Normal 2 4 35 2" xfId="12063"/>
    <cellStyle name="Normal 2 4 36" xfId="12064"/>
    <cellStyle name="Normal 2 4 36 2" xfId="12065"/>
    <cellStyle name="Normal 2 4 37" xfId="12066"/>
    <cellStyle name="Normal 2 4 37 2" xfId="12067"/>
    <cellStyle name="Normal 2 4 38" xfId="12068"/>
    <cellStyle name="Normal 2 4 38 2" xfId="12069"/>
    <cellStyle name="Normal 2 4 39" xfId="12070"/>
    <cellStyle name="Normal 2 4 39 2" xfId="12071"/>
    <cellStyle name="Normal 2 4 4" xfId="12072"/>
    <cellStyle name="Normal 2 4 4 2" xfId="12073"/>
    <cellStyle name="Normal 2 4 40" xfId="12074"/>
    <cellStyle name="Normal 2 4 40 2" xfId="12075"/>
    <cellStyle name="Normal 2 4 41" xfId="12076"/>
    <cellStyle name="Normal 2 4 41 2" xfId="12077"/>
    <cellStyle name="Normal 2 4 42" xfId="12078"/>
    <cellStyle name="Normal 2 4 42 2" xfId="12079"/>
    <cellStyle name="Normal 2 4 43" xfId="12080"/>
    <cellStyle name="Normal 2 4 43 2" xfId="12081"/>
    <cellStyle name="Normal 2 4 44" xfId="12082"/>
    <cellStyle name="Normal 2 4 44 2" xfId="12083"/>
    <cellStyle name="Normal 2 4 45" xfId="12084"/>
    <cellStyle name="Normal 2 4 45 2" xfId="12085"/>
    <cellStyle name="Normal 2 4 46" xfId="12086"/>
    <cellStyle name="Normal 2 4 46 2" xfId="12087"/>
    <cellStyle name="Normal 2 4 47" xfId="12088"/>
    <cellStyle name="Normal 2 4 47 2" xfId="12089"/>
    <cellStyle name="Normal 2 4 48" xfId="12090"/>
    <cellStyle name="Normal 2 4 48 2" xfId="12091"/>
    <cellStyle name="Normal 2 4 49" xfId="12092"/>
    <cellStyle name="Normal 2 4 49 2" xfId="12093"/>
    <cellStyle name="Normal 2 4 5" xfId="12094"/>
    <cellStyle name="Normal 2 4 5 2" xfId="12095"/>
    <cellStyle name="Normal 2 4 50" xfId="12096"/>
    <cellStyle name="Normal 2 4 50 2" xfId="12097"/>
    <cellStyle name="Normal 2 4 51" xfId="12098"/>
    <cellStyle name="Normal 2 4 51 2" xfId="12099"/>
    <cellStyle name="Normal 2 4 52" xfId="12100"/>
    <cellStyle name="Normal 2 4 52 2" xfId="12101"/>
    <cellStyle name="Normal 2 4 53" xfId="12102"/>
    <cellStyle name="Normal 2 4 53 2" xfId="12103"/>
    <cellStyle name="Normal 2 4 54" xfId="12104"/>
    <cellStyle name="Normal 2 4 54 2" xfId="12105"/>
    <cellStyle name="Normal 2 4 55" xfId="12106"/>
    <cellStyle name="Normal 2 4 55 2" xfId="12107"/>
    <cellStyle name="Normal 2 4 56" xfId="12108"/>
    <cellStyle name="Normal 2 4 56 2" xfId="12109"/>
    <cellStyle name="Normal 2 4 57" xfId="12110"/>
    <cellStyle name="Normal 2 4 57 2" xfId="12111"/>
    <cellStyle name="Normal 2 4 58" xfId="12112"/>
    <cellStyle name="Normal 2 4 58 2" xfId="12113"/>
    <cellStyle name="Normal 2 4 59" xfId="12114"/>
    <cellStyle name="Normal 2 4 59 2" xfId="12115"/>
    <cellStyle name="Normal 2 4 6" xfId="12116"/>
    <cellStyle name="Normal 2 4 6 2" xfId="12117"/>
    <cellStyle name="Normal 2 4 60" xfId="12118"/>
    <cellStyle name="Normal 2 4 60 2" xfId="12119"/>
    <cellStyle name="Normal 2 4 61" xfId="12120"/>
    <cellStyle name="Normal 2 4 61 2" xfId="12121"/>
    <cellStyle name="Normal 2 4 62" xfId="12122"/>
    <cellStyle name="Normal 2 4 62 2" xfId="12123"/>
    <cellStyle name="Normal 2 4 63" xfId="12124"/>
    <cellStyle name="Normal 2 4 63 2" xfId="12125"/>
    <cellStyle name="Normal 2 4 64" xfId="12126"/>
    <cellStyle name="Normal 2 4 64 2" xfId="12127"/>
    <cellStyle name="Normal 2 4 65" xfId="12128"/>
    <cellStyle name="Normal 2 4 65 2" xfId="12129"/>
    <cellStyle name="Normal 2 4 66" xfId="12130"/>
    <cellStyle name="Normal 2 4 66 2" xfId="12131"/>
    <cellStyle name="Normal 2 4 67" xfId="12132"/>
    <cellStyle name="Normal 2 4 67 2" xfId="12133"/>
    <cellStyle name="Normal 2 4 68" xfId="12134"/>
    <cellStyle name="Normal 2 4 68 2" xfId="12135"/>
    <cellStyle name="Normal 2 4 69" xfId="12136"/>
    <cellStyle name="Normal 2 4 69 2" xfId="12137"/>
    <cellStyle name="Normal 2 4 7" xfId="12138"/>
    <cellStyle name="Normal 2 4 7 2" xfId="12139"/>
    <cellStyle name="Normal 2 4 70" xfId="12140"/>
    <cellStyle name="Normal 2 4 70 2" xfId="12141"/>
    <cellStyle name="Normal 2 4 71" xfId="12142"/>
    <cellStyle name="Normal 2 4 71 2" xfId="12143"/>
    <cellStyle name="Normal 2 4 72" xfId="12144"/>
    <cellStyle name="Normal 2 4 72 2" xfId="12145"/>
    <cellStyle name="Normal 2 4 73" xfId="12146"/>
    <cellStyle name="Normal 2 4 73 2" xfId="12147"/>
    <cellStyle name="Normal 2 4 74" xfId="12148"/>
    <cellStyle name="Normal 2 4 74 2" xfId="12149"/>
    <cellStyle name="Normal 2 4 75" xfId="12150"/>
    <cellStyle name="Normal 2 4 75 2" xfId="12151"/>
    <cellStyle name="Normal 2 4 76" xfId="12152"/>
    <cellStyle name="Normal 2 4 76 2" xfId="12153"/>
    <cellStyle name="Normal 2 4 77" xfId="12154"/>
    <cellStyle name="Normal 2 4 77 2" xfId="12155"/>
    <cellStyle name="Normal 2 4 78" xfId="12156"/>
    <cellStyle name="Normal 2 4 78 2" xfId="12157"/>
    <cellStyle name="Normal 2 4 79" xfId="12158"/>
    <cellStyle name="Normal 2 4 79 2" xfId="12159"/>
    <cellStyle name="Normal 2 4 8" xfId="12160"/>
    <cellStyle name="Normal 2 4 8 2" xfId="12161"/>
    <cellStyle name="Normal 2 4 80" xfId="12162"/>
    <cellStyle name="Normal 2 4 80 2" xfId="12163"/>
    <cellStyle name="Normal 2 4 81" xfId="12164"/>
    <cellStyle name="Normal 2 4 81 2" xfId="12165"/>
    <cellStyle name="Normal 2 4 82" xfId="12166"/>
    <cellStyle name="Normal 2 4 82 2" xfId="12167"/>
    <cellStyle name="Normal 2 4 83" xfId="12168"/>
    <cellStyle name="Normal 2 4 83 2" xfId="12169"/>
    <cellStyle name="Normal 2 4 84" xfId="12170"/>
    <cellStyle name="Normal 2 4 84 2" xfId="12171"/>
    <cellStyle name="Normal 2 4 85" xfId="12172"/>
    <cellStyle name="Normal 2 4 85 2" xfId="12173"/>
    <cellStyle name="Normal 2 4 86" xfId="12174"/>
    <cellStyle name="Normal 2 4 87" xfId="12175"/>
    <cellStyle name="Normal 2 4 9" xfId="12176"/>
    <cellStyle name="Normal 2 4 9 2" xfId="12177"/>
    <cellStyle name="Normal 2 5" xfId="12178"/>
    <cellStyle name="Normal 2 5 10" xfId="12179"/>
    <cellStyle name="Normal 2 5 11" xfId="12180"/>
    <cellStyle name="Normal 2 5 12" xfId="12181"/>
    <cellStyle name="Normal 2 5 13" xfId="12182"/>
    <cellStyle name="Normal 2 5 14" xfId="12183"/>
    <cellStyle name="Normal 2 5 15" xfId="12184"/>
    <cellStyle name="Normal 2 5 16" xfId="12185"/>
    <cellStyle name="Normal 2 5 17" xfId="12186"/>
    <cellStyle name="Normal 2 5 18" xfId="12187"/>
    <cellStyle name="Normal 2 5 19" xfId="12188"/>
    <cellStyle name="Normal 2 5 2" xfId="12189"/>
    <cellStyle name="Normal 2 5 20" xfId="12190"/>
    <cellStyle name="Normal 2 5 21" xfId="12191"/>
    <cellStyle name="Normal 2 5 22" xfId="12192"/>
    <cellStyle name="Normal 2 5 23" xfId="12193"/>
    <cellStyle name="Normal 2 5 24" xfId="12194"/>
    <cellStyle name="Normal 2 5 25" xfId="12195"/>
    <cellStyle name="Normal 2 5 26" xfId="12196"/>
    <cellStyle name="Normal 2 5 27" xfId="12197"/>
    <cellStyle name="Normal 2 5 28" xfId="12198"/>
    <cellStyle name="Normal 2 5 29" xfId="12199"/>
    <cellStyle name="Normal 2 5 3" xfId="12200"/>
    <cellStyle name="Normal 2 5 30" xfId="12201"/>
    <cellStyle name="Normal 2 5 31" xfId="12202"/>
    <cellStyle name="Normal 2 5 32" xfId="12203"/>
    <cellStyle name="Normal 2 5 33" xfId="12204"/>
    <cellStyle name="Normal 2 5 34" xfId="12205"/>
    <cellStyle name="Normal 2 5 35" xfId="12206"/>
    <cellStyle name="Normal 2 5 36" xfId="12207"/>
    <cellStyle name="Normal 2 5 37" xfId="12208"/>
    <cellStyle name="Normal 2 5 38" xfId="12209"/>
    <cellStyle name="Normal 2 5 39" xfId="12210"/>
    <cellStyle name="Normal 2 5 4" xfId="12211"/>
    <cellStyle name="Normal 2 5 40" xfId="12212"/>
    <cellStyle name="Normal 2 5 41" xfId="12213"/>
    <cellStyle name="Normal 2 5 42" xfId="12214"/>
    <cellStyle name="Normal 2 5 43" xfId="12215"/>
    <cellStyle name="Normal 2 5 44" xfId="12216"/>
    <cellStyle name="Normal 2 5 45" xfId="12217"/>
    <cellStyle name="Normal 2 5 46" xfId="12218"/>
    <cellStyle name="Normal 2 5 47" xfId="12219"/>
    <cellStyle name="Normal 2 5 48" xfId="12220"/>
    <cellStyle name="Normal 2 5 5" xfId="12221"/>
    <cellStyle name="Normal 2 5 6" xfId="12222"/>
    <cellStyle name="Normal 2 5 7" xfId="12223"/>
    <cellStyle name="Normal 2 5 8" xfId="12224"/>
    <cellStyle name="Normal 2 5 9" xfId="12225"/>
    <cellStyle name="Normal 2 6" xfId="12226"/>
    <cellStyle name="Normal 2 6 10" xfId="12227"/>
    <cellStyle name="Normal 2 6 11" xfId="12228"/>
    <cellStyle name="Normal 2 6 12" xfId="12229"/>
    <cellStyle name="Normal 2 6 13" xfId="12230"/>
    <cellStyle name="Normal 2 6 14" xfId="12231"/>
    <cellStyle name="Normal 2 6 15" xfId="12232"/>
    <cellStyle name="Normal 2 6 16" xfId="12233"/>
    <cellStyle name="Normal 2 6 17" xfId="12234"/>
    <cellStyle name="Normal 2 6 18" xfId="12235"/>
    <cellStyle name="Normal 2 6 19" xfId="12236"/>
    <cellStyle name="Normal 2 6 2" xfId="12237"/>
    <cellStyle name="Normal 2 6 20" xfId="12238"/>
    <cellStyle name="Normal 2 6 21" xfId="12239"/>
    <cellStyle name="Normal 2 6 22" xfId="12240"/>
    <cellStyle name="Normal 2 6 23" xfId="12241"/>
    <cellStyle name="Normal 2 6 24" xfId="12242"/>
    <cellStyle name="Normal 2 6 25" xfId="12243"/>
    <cellStyle name="Normal 2 6 26" xfId="12244"/>
    <cellStyle name="Normal 2 6 27" xfId="12245"/>
    <cellStyle name="Normal 2 6 28" xfId="12246"/>
    <cellStyle name="Normal 2 6 29" xfId="12247"/>
    <cellStyle name="Normal 2 6 3" xfId="12248"/>
    <cellStyle name="Normal 2 6 30" xfId="12249"/>
    <cellStyle name="Normal 2 6 31" xfId="12250"/>
    <cellStyle name="Normal 2 6 32" xfId="12251"/>
    <cellStyle name="Normal 2 6 33" xfId="12252"/>
    <cellStyle name="Normal 2 6 34" xfId="12253"/>
    <cellStyle name="Normal 2 6 35" xfId="12254"/>
    <cellStyle name="Normal 2 6 36" xfId="12255"/>
    <cellStyle name="Normal 2 6 37" xfId="12256"/>
    <cellStyle name="Normal 2 6 38" xfId="12257"/>
    <cellStyle name="Normal 2 6 39" xfId="12258"/>
    <cellStyle name="Normal 2 6 4" xfId="12259"/>
    <cellStyle name="Normal 2 6 40" xfId="12260"/>
    <cellStyle name="Normal 2 6 41" xfId="12261"/>
    <cellStyle name="Normal 2 6 42" xfId="12262"/>
    <cellStyle name="Normal 2 6 43" xfId="12263"/>
    <cellStyle name="Normal 2 6 44" xfId="12264"/>
    <cellStyle name="Normal 2 6 45" xfId="12265"/>
    <cellStyle name="Normal 2 6 46" xfId="12266"/>
    <cellStyle name="Normal 2 6 47" xfId="12267"/>
    <cellStyle name="Normal 2 6 48" xfId="12268"/>
    <cellStyle name="Normal 2 6 5" xfId="12269"/>
    <cellStyle name="Normal 2 6 6" xfId="12270"/>
    <cellStyle name="Normal 2 6 7" xfId="12271"/>
    <cellStyle name="Normal 2 6 8" xfId="12272"/>
    <cellStyle name="Normal 2 6 9" xfId="12273"/>
    <cellStyle name="Normal 2 7" xfId="12274"/>
    <cellStyle name="Normal 2 7 10" xfId="12275"/>
    <cellStyle name="Normal 2 7 11" xfId="12276"/>
    <cellStyle name="Normal 2 7 12" xfId="12277"/>
    <cellStyle name="Normal 2 7 13" xfId="12278"/>
    <cellStyle name="Normal 2 7 14" xfId="12279"/>
    <cellStyle name="Normal 2 7 15" xfId="12280"/>
    <cellStyle name="Normal 2 7 16" xfId="12281"/>
    <cellStyle name="Normal 2 7 17" xfId="12282"/>
    <cellStyle name="Normal 2 7 18" xfId="12283"/>
    <cellStyle name="Normal 2 7 19" xfId="12284"/>
    <cellStyle name="Normal 2 7 2" xfId="12285"/>
    <cellStyle name="Normal 2 7 20" xfId="12286"/>
    <cellStyle name="Normal 2 7 21" xfId="12287"/>
    <cellStyle name="Normal 2 7 22" xfId="12288"/>
    <cellStyle name="Normal 2 7 23" xfId="12289"/>
    <cellStyle name="Normal 2 7 24" xfId="12290"/>
    <cellStyle name="Normal 2 7 25" xfId="12291"/>
    <cellStyle name="Normal 2 7 26" xfId="12292"/>
    <cellStyle name="Normal 2 7 27" xfId="12293"/>
    <cellStyle name="Normal 2 7 28" xfId="12294"/>
    <cellStyle name="Normal 2 7 29" xfId="12295"/>
    <cellStyle name="Normal 2 7 3" xfId="12296"/>
    <cellStyle name="Normal 2 7 30" xfId="12297"/>
    <cellStyle name="Normal 2 7 31" xfId="12298"/>
    <cellStyle name="Normal 2 7 32" xfId="12299"/>
    <cellStyle name="Normal 2 7 33" xfId="12300"/>
    <cellStyle name="Normal 2 7 34" xfId="12301"/>
    <cellStyle name="Normal 2 7 35" xfId="12302"/>
    <cellStyle name="Normal 2 7 36" xfId="12303"/>
    <cellStyle name="Normal 2 7 37" xfId="12304"/>
    <cellStyle name="Normal 2 7 38" xfId="12305"/>
    <cellStyle name="Normal 2 7 39" xfId="12306"/>
    <cellStyle name="Normal 2 7 4" xfId="12307"/>
    <cellStyle name="Normal 2 7 40" xfId="12308"/>
    <cellStyle name="Normal 2 7 41" xfId="12309"/>
    <cellStyle name="Normal 2 7 42" xfId="12310"/>
    <cellStyle name="Normal 2 7 43" xfId="12311"/>
    <cellStyle name="Normal 2 7 44" xfId="12312"/>
    <cellStyle name="Normal 2 7 45" xfId="12313"/>
    <cellStyle name="Normal 2 7 46" xfId="12314"/>
    <cellStyle name="Normal 2 7 47" xfId="12315"/>
    <cellStyle name="Normal 2 7 48" xfId="12316"/>
    <cellStyle name="Normal 2 7 5" xfId="12317"/>
    <cellStyle name="Normal 2 7 6" xfId="12318"/>
    <cellStyle name="Normal 2 7 7" xfId="12319"/>
    <cellStyle name="Normal 2 7 8" xfId="12320"/>
    <cellStyle name="Normal 2 7 9" xfId="12321"/>
    <cellStyle name="Normal 2 8" xfId="12322"/>
    <cellStyle name="Normal 2 8 10" xfId="12323"/>
    <cellStyle name="Normal 2 8 11" xfId="12324"/>
    <cellStyle name="Normal 2 8 12" xfId="12325"/>
    <cellStyle name="Normal 2 8 13" xfId="12326"/>
    <cellStyle name="Normal 2 8 14" xfId="12327"/>
    <cellStyle name="Normal 2 8 15" xfId="12328"/>
    <cellStyle name="Normal 2 8 16" xfId="12329"/>
    <cellStyle name="Normal 2 8 17" xfId="12330"/>
    <cellStyle name="Normal 2 8 18" xfId="12331"/>
    <cellStyle name="Normal 2 8 19" xfId="12332"/>
    <cellStyle name="Normal 2 8 2" xfId="12333"/>
    <cellStyle name="Normal 2 8 20" xfId="12334"/>
    <cellStyle name="Normal 2 8 21" xfId="12335"/>
    <cellStyle name="Normal 2 8 22" xfId="12336"/>
    <cellStyle name="Normal 2 8 23" xfId="12337"/>
    <cellStyle name="Normal 2 8 24" xfId="12338"/>
    <cellStyle name="Normal 2 8 25" xfId="12339"/>
    <cellStyle name="Normal 2 8 26" xfId="12340"/>
    <cellStyle name="Normal 2 8 27" xfId="12341"/>
    <cellStyle name="Normal 2 8 28" xfId="12342"/>
    <cellStyle name="Normal 2 8 29" xfId="12343"/>
    <cellStyle name="Normal 2 8 3" xfId="12344"/>
    <cellStyle name="Normal 2 8 30" xfId="12345"/>
    <cellStyle name="Normal 2 8 31" xfId="12346"/>
    <cellStyle name="Normal 2 8 32" xfId="12347"/>
    <cellStyle name="Normal 2 8 33" xfId="12348"/>
    <cellStyle name="Normal 2 8 34" xfId="12349"/>
    <cellStyle name="Normal 2 8 35" xfId="12350"/>
    <cellStyle name="Normal 2 8 36" xfId="12351"/>
    <cellStyle name="Normal 2 8 37" xfId="12352"/>
    <cellStyle name="Normal 2 8 38" xfId="12353"/>
    <cellStyle name="Normal 2 8 39" xfId="12354"/>
    <cellStyle name="Normal 2 8 4" xfId="12355"/>
    <cellStyle name="Normal 2 8 40" xfId="12356"/>
    <cellStyle name="Normal 2 8 41" xfId="12357"/>
    <cellStyle name="Normal 2 8 42" xfId="12358"/>
    <cellStyle name="Normal 2 8 43" xfId="12359"/>
    <cellStyle name="Normal 2 8 44" xfId="12360"/>
    <cellStyle name="Normal 2 8 45" xfId="12361"/>
    <cellStyle name="Normal 2 8 46" xfId="12362"/>
    <cellStyle name="Normal 2 8 47" xfId="12363"/>
    <cellStyle name="Normal 2 8 48" xfId="12364"/>
    <cellStyle name="Normal 2 8 5" xfId="12365"/>
    <cellStyle name="Normal 2 8 6" xfId="12366"/>
    <cellStyle name="Normal 2 8 7" xfId="12367"/>
    <cellStyle name="Normal 2 8 8" xfId="12368"/>
    <cellStyle name="Normal 2 8 9" xfId="12369"/>
    <cellStyle name="Normal 2 9" xfId="12370"/>
    <cellStyle name="Normal 2 9 10" xfId="12371"/>
    <cellStyle name="Normal 2 9 11" xfId="12372"/>
    <cellStyle name="Normal 2 9 12" xfId="12373"/>
    <cellStyle name="Normal 2 9 13" xfId="12374"/>
    <cellStyle name="Normal 2 9 14" xfId="12375"/>
    <cellStyle name="Normal 2 9 15" xfId="12376"/>
    <cellStyle name="Normal 2 9 16" xfId="12377"/>
    <cellStyle name="Normal 2 9 17" xfId="12378"/>
    <cellStyle name="Normal 2 9 18" xfId="12379"/>
    <cellStyle name="Normal 2 9 19" xfId="12380"/>
    <cellStyle name="Normal 2 9 2" xfId="12381"/>
    <cellStyle name="Normal 2 9 20" xfId="12382"/>
    <cellStyle name="Normal 2 9 21" xfId="12383"/>
    <cellStyle name="Normal 2 9 22" xfId="12384"/>
    <cellStyle name="Normal 2 9 23" xfId="12385"/>
    <cellStyle name="Normal 2 9 24" xfId="12386"/>
    <cellStyle name="Normal 2 9 25" xfId="12387"/>
    <cellStyle name="Normal 2 9 26" xfId="12388"/>
    <cellStyle name="Normal 2 9 27" xfId="12389"/>
    <cellStyle name="Normal 2 9 28" xfId="12390"/>
    <cellStyle name="Normal 2 9 29" xfId="12391"/>
    <cellStyle name="Normal 2 9 3" xfId="12392"/>
    <cellStyle name="Normal 2 9 30" xfId="12393"/>
    <cellStyle name="Normal 2 9 31" xfId="12394"/>
    <cellStyle name="Normal 2 9 32" xfId="12395"/>
    <cellStyle name="Normal 2 9 33" xfId="12396"/>
    <cellStyle name="Normal 2 9 34" xfId="12397"/>
    <cellStyle name="Normal 2 9 35" xfId="12398"/>
    <cellStyle name="Normal 2 9 36" xfId="12399"/>
    <cellStyle name="Normal 2 9 37" xfId="12400"/>
    <cellStyle name="Normal 2 9 38" xfId="12401"/>
    <cellStyle name="Normal 2 9 39" xfId="12402"/>
    <cellStyle name="Normal 2 9 4" xfId="12403"/>
    <cellStyle name="Normal 2 9 40" xfId="12404"/>
    <cellStyle name="Normal 2 9 41" xfId="12405"/>
    <cellStyle name="Normal 2 9 42" xfId="12406"/>
    <cellStyle name="Normal 2 9 43" xfId="12407"/>
    <cellStyle name="Normal 2 9 44" xfId="12408"/>
    <cellStyle name="Normal 2 9 45" xfId="12409"/>
    <cellStyle name="Normal 2 9 46" xfId="12410"/>
    <cellStyle name="Normal 2 9 47" xfId="12411"/>
    <cellStyle name="Normal 2 9 48" xfId="12412"/>
    <cellStyle name="Normal 2 9 5" xfId="12413"/>
    <cellStyle name="Normal 2 9 6" xfId="12414"/>
    <cellStyle name="Normal 2 9 7" xfId="12415"/>
    <cellStyle name="Normal 2 9 8" xfId="12416"/>
    <cellStyle name="Normal 2 9 9" xfId="12417"/>
    <cellStyle name="Normal 20" xfId="12418"/>
    <cellStyle name="Normal 20 10" xfId="12419"/>
    <cellStyle name="Normal 20 11" xfId="12420"/>
    <cellStyle name="Normal 20 12" xfId="12421"/>
    <cellStyle name="Normal 20 13" xfId="12422"/>
    <cellStyle name="Normal 20 14" xfId="12423"/>
    <cellStyle name="Normal 20 15" xfId="12424"/>
    <cellStyle name="Normal 20 16" xfId="12425"/>
    <cellStyle name="Normal 20 17" xfId="12426"/>
    <cellStyle name="Normal 20 18" xfId="12427"/>
    <cellStyle name="Normal 20 19" xfId="12428"/>
    <cellStyle name="Normal 20 2" xfId="12429"/>
    <cellStyle name="Normal 20 20" xfId="12430"/>
    <cellStyle name="Normal 20 21" xfId="12431"/>
    <cellStyle name="Normal 20 22" xfId="12432"/>
    <cellStyle name="Normal 20 23" xfId="12433"/>
    <cellStyle name="Normal 20 24" xfId="12434"/>
    <cellStyle name="Normal 20 25" xfId="12435"/>
    <cellStyle name="Normal 20 26" xfId="12436"/>
    <cellStyle name="Normal 20 27" xfId="12437"/>
    <cellStyle name="Normal 20 28" xfId="12438"/>
    <cellStyle name="Normal 20 29" xfId="12439"/>
    <cellStyle name="Normal 20 3" xfId="12440"/>
    <cellStyle name="Normal 20 30" xfId="12441"/>
    <cellStyle name="Normal 20 31" xfId="12442"/>
    <cellStyle name="Normal 20 32" xfId="12443"/>
    <cellStyle name="Normal 20 33" xfId="12444"/>
    <cellStyle name="Normal 20 34" xfId="12445"/>
    <cellStyle name="Normal 20 35" xfId="12446"/>
    <cellStyle name="Normal 20 36" xfId="12447"/>
    <cellStyle name="Normal 20 37" xfId="12448"/>
    <cellStyle name="Normal 20 38" xfId="12449"/>
    <cellStyle name="Normal 20 39" xfId="12450"/>
    <cellStyle name="Normal 20 4" xfId="12451"/>
    <cellStyle name="Normal 20 40" xfId="12452"/>
    <cellStyle name="Normal 20 41" xfId="12453"/>
    <cellStyle name="Normal 20 42" xfId="12454"/>
    <cellStyle name="Normal 20 43" xfId="12455"/>
    <cellStyle name="Normal 20 44" xfId="12456"/>
    <cellStyle name="Normal 20 45" xfId="12457"/>
    <cellStyle name="Normal 20 46" xfId="12458"/>
    <cellStyle name="Normal 20 47" xfId="12459"/>
    <cellStyle name="Normal 20 48" xfId="12460"/>
    <cellStyle name="Normal 20 5" xfId="12461"/>
    <cellStyle name="Normal 20 6" xfId="12462"/>
    <cellStyle name="Normal 20 7" xfId="12463"/>
    <cellStyle name="Normal 20 8" xfId="12464"/>
    <cellStyle name="Normal 20 9" xfId="12465"/>
    <cellStyle name="Normal 21" xfId="12466"/>
    <cellStyle name="Normal 21 10" xfId="12467"/>
    <cellStyle name="Normal 21 11" xfId="12468"/>
    <cellStyle name="Normal 21 12" xfId="12469"/>
    <cellStyle name="Normal 21 13" xfId="12470"/>
    <cellStyle name="Normal 21 14" xfId="12471"/>
    <cellStyle name="Normal 21 15" xfId="12472"/>
    <cellStyle name="Normal 21 16" xfId="12473"/>
    <cellStyle name="Normal 21 17" xfId="12474"/>
    <cellStyle name="Normal 21 18" xfId="12475"/>
    <cellStyle name="Normal 21 19" xfId="12476"/>
    <cellStyle name="Normal 21 2" xfId="12477"/>
    <cellStyle name="Normal 21 20" xfId="12478"/>
    <cellStyle name="Normal 21 21" xfId="12479"/>
    <cellStyle name="Normal 21 22" xfId="12480"/>
    <cellStyle name="Normal 21 23" xfId="12481"/>
    <cellStyle name="Normal 21 24" xfId="12482"/>
    <cellStyle name="Normal 21 25" xfId="12483"/>
    <cellStyle name="Normal 21 26" xfId="12484"/>
    <cellStyle name="Normal 21 27" xfId="12485"/>
    <cellStyle name="Normal 21 28" xfId="12486"/>
    <cellStyle name="Normal 21 29" xfId="12487"/>
    <cellStyle name="Normal 21 3" xfId="12488"/>
    <cellStyle name="Normal 21 30" xfId="12489"/>
    <cellStyle name="Normal 21 31" xfId="12490"/>
    <cellStyle name="Normal 21 32" xfId="12491"/>
    <cellStyle name="Normal 21 33" xfId="12492"/>
    <cellStyle name="Normal 21 34" xfId="12493"/>
    <cellStyle name="Normal 21 35" xfId="12494"/>
    <cellStyle name="Normal 21 36" xfId="12495"/>
    <cellStyle name="Normal 21 37" xfId="12496"/>
    <cellStyle name="Normal 21 38" xfId="12497"/>
    <cellStyle name="Normal 21 39" xfId="12498"/>
    <cellStyle name="Normal 21 4" xfId="12499"/>
    <cellStyle name="Normal 21 40" xfId="12500"/>
    <cellStyle name="Normal 21 41" xfId="12501"/>
    <cellStyle name="Normal 21 42" xfId="12502"/>
    <cellStyle name="Normal 21 43" xfId="12503"/>
    <cellStyle name="Normal 21 44" xfId="12504"/>
    <cellStyle name="Normal 21 45" xfId="12505"/>
    <cellStyle name="Normal 21 46" xfId="12506"/>
    <cellStyle name="Normal 21 47" xfId="12507"/>
    <cellStyle name="Normal 21 48" xfId="12508"/>
    <cellStyle name="Normal 21 5" xfId="12509"/>
    <cellStyle name="Normal 21 6" xfId="12510"/>
    <cellStyle name="Normal 21 7" xfId="12511"/>
    <cellStyle name="Normal 21 8" xfId="12512"/>
    <cellStyle name="Normal 21 9" xfId="12513"/>
    <cellStyle name="Normal 22" xfId="12514"/>
    <cellStyle name="Normal 22 10" xfId="12515"/>
    <cellStyle name="Normal 22 11" xfId="12516"/>
    <cellStyle name="Normal 22 12" xfId="12517"/>
    <cellStyle name="Normal 22 13" xfId="12518"/>
    <cellStyle name="Normal 22 14" xfId="12519"/>
    <cellStyle name="Normal 22 15" xfId="12520"/>
    <cellStyle name="Normal 22 16" xfId="12521"/>
    <cellStyle name="Normal 22 17" xfId="12522"/>
    <cellStyle name="Normal 22 18" xfId="12523"/>
    <cellStyle name="Normal 22 19" xfId="12524"/>
    <cellStyle name="Normal 22 2" xfId="12525"/>
    <cellStyle name="Normal 22 20" xfId="12526"/>
    <cellStyle name="Normal 22 21" xfId="12527"/>
    <cellStyle name="Normal 22 22" xfId="12528"/>
    <cellStyle name="Normal 22 23" xfId="12529"/>
    <cellStyle name="Normal 22 24" xfId="12530"/>
    <cellStyle name="Normal 22 25" xfId="12531"/>
    <cellStyle name="Normal 22 26" xfId="12532"/>
    <cellStyle name="Normal 22 27" xfId="12533"/>
    <cellStyle name="Normal 22 28" xfId="12534"/>
    <cellStyle name="Normal 22 29" xfId="12535"/>
    <cellStyle name="Normal 22 3" xfId="12536"/>
    <cellStyle name="Normal 22 30" xfId="12537"/>
    <cellStyle name="Normal 22 31" xfId="12538"/>
    <cellStyle name="Normal 22 32" xfId="12539"/>
    <cellStyle name="Normal 22 33" xfId="12540"/>
    <cellStyle name="Normal 22 34" xfId="12541"/>
    <cellStyle name="Normal 22 35" xfId="12542"/>
    <cellStyle name="Normal 22 36" xfId="12543"/>
    <cellStyle name="Normal 22 37" xfId="12544"/>
    <cellStyle name="Normal 22 38" xfId="12545"/>
    <cellStyle name="Normal 22 39" xfId="12546"/>
    <cellStyle name="Normal 22 4" xfId="12547"/>
    <cellStyle name="Normal 22 40" xfId="12548"/>
    <cellStyle name="Normal 22 41" xfId="12549"/>
    <cellStyle name="Normal 22 42" xfId="12550"/>
    <cellStyle name="Normal 22 43" xfId="12551"/>
    <cellStyle name="Normal 22 44" xfId="12552"/>
    <cellStyle name="Normal 22 45" xfId="12553"/>
    <cellStyle name="Normal 22 46" xfId="12554"/>
    <cellStyle name="Normal 22 47" xfId="12555"/>
    <cellStyle name="Normal 22 48" xfId="12556"/>
    <cellStyle name="Normal 22 5" xfId="12557"/>
    <cellStyle name="Normal 22 6" xfId="12558"/>
    <cellStyle name="Normal 22 7" xfId="12559"/>
    <cellStyle name="Normal 22 8" xfId="12560"/>
    <cellStyle name="Normal 22 9" xfId="12561"/>
    <cellStyle name="Normal 23" xfId="12562"/>
    <cellStyle name="Normal 23 10" xfId="12563"/>
    <cellStyle name="Normal 23 11" xfId="12564"/>
    <cellStyle name="Normal 23 12" xfId="12565"/>
    <cellStyle name="Normal 23 13" xfId="12566"/>
    <cellStyle name="Normal 23 14" xfId="12567"/>
    <cellStyle name="Normal 23 15" xfId="12568"/>
    <cellStyle name="Normal 23 16" xfId="12569"/>
    <cellStyle name="Normal 23 17" xfId="12570"/>
    <cellStyle name="Normal 23 18" xfId="12571"/>
    <cellStyle name="Normal 23 19" xfId="12572"/>
    <cellStyle name="Normal 23 2" xfId="12573"/>
    <cellStyle name="Normal 23 20" xfId="12574"/>
    <cellStyle name="Normal 23 21" xfId="12575"/>
    <cellStyle name="Normal 23 22" xfId="12576"/>
    <cellStyle name="Normal 23 23" xfId="12577"/>
    <cellStyle name="Normal 23 24" xfId="12578"/>
    <cellStyle name="Normal 23 25" xfId="12579"/>
    <cellStyle name="Normal 23 26" xfId="12580"/>
    <cellStyle name="Normal 23 27" xfId="12581"/>
    <cellStyle name="Normal 23 28" xfId="12582"/>
    <cellStyle name="Normal 23 29" xfId="12583"/>
    <cellStyle name="Normal 23 3" xfId="12584"/>
    <cellStyle name="Normal 23 30" xfId="12585"/>
    <cellStyle name="Normal 23 31" xfId="12586"/>
    <cellStyle name="Normal 23 32" xfId="12587"/>
    <cellStyle name="Normal 23 33" xfId="12588"/>
    <cellStyle name="Normal 23 34" xfId="12589"/>
    <cellStyle name="Normal 23 35" xfId="12590"/>
    <cellStyle name="Normal 23 36" xfId="12591"/>
    <cellStyle name="Normal 23 37" xfId="12592"/>
    <cellStyle name="Normal 23 38" xfId="12593"/>
    <cellStyle name="Normal 23 39" xfId="12594"/>
    <cellStyle name="Normal 23 4" xfId="12595"/>
    <cellStyle name="Normal 23 40" xfId="12596"/>
    <cellStyle name="Normal 23 41" xfId="12597"/>
    <cellStyle name="Normal 23 42" xfId="12598"/>
    <cellStyle name="Normal 23 43" xfId="12599"/>
    <cellStyle name="Normal 23 44" xfId="12600"/>
    <cellStyle name="Normal 23 45" xfId="12601"/>
    <cellStyle name="Normal 23 46" xfId="12602"/>
    <cellStyle name="Normal 23 47" xfId="12603"/>
    <cellStyle name="Normal 23 48" xfId="12604"/>
    <cellStyle name="Normal 23 5" xfId="12605"/>
    <cellStyle name="Normal 23 6" xfId="12606"/>
    <cellStyle name="Normal 23 7" xfId="12607"/>
    <cellStyle name="Normal 23 8" xfId="12608"/>
    <cellStyle name="Normal 23 9" xfId="12609"/>
    <cellStyle name="Normal 24" xfId="12610"/>
    <cellStyle name="Normal 24 10" xfId="12611"/>
    <cellStyle name="Normal 24 11" xfId="12612"/>
    <cellStyle name="Normal 24 12" xfId="12613"/>
    <cellStyle name="Normal 24 13" xfId="12614"/>
    <cellStyle name="Normal 24 14" xfId="12615"/>
    <cellStyle name="Normal 24 15" xfId="12616"/>
    <cellStyle name="Normal 24 16" xfId="12617"/>
    <cellStyle name="Normal 24 17" xfId="12618"/>
    <cellStyle name="Normal 24 18" xfId="12619"/>
    <cellStyle name="Normal 24 19" xfId="12620"/>
    <cellStyle name="Normal 24 2" xfId="12621"/>
    <cellStyle name="Normal 24 20" xfId="12622"/>
    <cellStyle name="Normal 24 21" xfId="12623"/>
    <cellStyle name="Normal 24 22" xfId="12624"/>
    <cellStyle name="Normal 24 23" xfId="12625"/>
    <cellStyle name="Normal 24 24" xfId="12626"/>
    <cellStyle name="Normal 24 25" xfId="12627"/>
    <cellStyle name="Normal 24 26" xfId="12628"/>
    <cellStyle name="Normal 24 27" xfId="12629"/>
    <cellStyle name="Normal 24 28" xfId="12630"/>
    <cellStyle name="Normal 24 29" xfId="12631"/>
    <cellStyle name="Normal 24 3" xfId="12632"/>
    <cellStyle name="Normal 24 30" xfId="12633"/>
    <cellStyle name="Normal 24 31" xfId="12634"/>
    <cellStyle name="Normal 24 32" xfId="12635"/>
    <cellStyle name="Normal 24 33" xfId="12636"/>
    <cellStyle name="Normal 24 34" xfId="12637"/>
    <cellStyle name="Normal 24 35" xfId="12638"/>
    <cellStyle name="Normal 24 36" xfId="12639"/>
    <cellStyle name="Normal 24 37" xfId="12640"/>
    <cellStyle name="Normal 24 38" xfId="12641"/>
    <cellStyle name="Normal 24 39" xfId="12642"/>
    <cellStyle name="Normal 24 4" xfId="12643"/>
    <cellStyle name="Normal 24 40" xfId="12644"/>
    <cellStyle name="Normal 24 41" xfId="12645"/>
    <cellStyle name="Normal 24 42" xfId="12646"/>
    <cellStyle name="Normal 24 43" xfId="12647"/>
    <cellStyle name="Normal 24 44" xfId="12648"/>
    <cellStyle name="Normal 24 45" xfId="12649"/>
    <cellStyle name="Normal 24 46" xfId="12650"/>
    <cellStyle name="Normal 24 47" xfId="12651"/>
    <cellStyle name="Normal 24 48" xfId="12652"/>
    <cellStyle name="Normal 24 5" xfId="12653"/>
    <cellStyle name="Normal 24 6" xfId="12654"/>
    <cellStyle name="Normal 24 7" xfId="12655"/>
    <cellStyle name="Normal 24 8" xfId="12656"/>
    <cellStyle name="Normal 24 9" xfId="12657"/>
    <cellStyle name="Normal 25" xfId="21"/>
    <cellStyle name="Normal 25 10" xfId="12658"/>
    <cellStyle name="Normal 25 11" xfId="12659"/>
    <cellStyle name="Normal 25 12" xfId="12660"/>
    <cellStyle name="Normal 25 13" xfId="12661"/>
    <cellStyle name="Normal 25 14" xfId="12662"/>
    <cellStyle name="Normal 25 15" xfId="12663"/>
    <cellStyle name="Normal 25 16" xfId="12664"/>
    <cellStyle name="Normal 25 17" xfId="12665"/>
    <cellStyle name="Normal 25 18" xfId="12666"/>
    <cellStyle name="Normal 25 19" xfId="12667"/>
    <cellStyle name="Normal 25 2" xfId="12668"/>
    <cellStyle name="Normal 25 20" xfId="12669"/>
    <cellStyle name="Normal 25 21" xfId="12670"/>
    <cellStyle name="Normal 25 22" xfId="12671"/>
    <cellStyle name="Normal 25 23" xfId="12672"/>
    <cellStyle name="Normal 25 24" xfId="12673"/>
    <cellStyle name="Normal 25 25" xfId="12674"/>
    <cellStyle name="Normal 25 26" xfId="12675"/>
    <cellStyle name="Normal 25 27" xfId="12676"/>
    <cellStyle name="Normal 25 28" xfId="12677"/>
    <cellStyle name="Normal 25 29" xfId="12678"/>
    <cellStyle name="Normal 25 3" xfId="12679"/>
    <cellStyle name="Normal 25 30" xfId="12680"/>
    <cellStyle name="Normal 25 31" xfId="12681"/>
    <cellStyle name="Normal 25 32" xfId="12682"/>
    <cellStyle name="Normal 25 33" xfId="12683"/>
    <cellStyle name="Normal 25 34" xfId="12684"/>
    <cellStyle name="Normal 25 35" xfId="12685"/>
    <cellStyle name="Normal 25 36" xfId="12686"/>
    <cellStyle name="Normal 25 37" xfId="12687"/>
    <cellStyle name="Normal 25 38" xfId="12688"/>
    <cellStyle name="Normal 25 39" xfId="12689"/>
    <cellStyle name="Normal 25 4" xfId="12690"/>
    <cellStyle name="Normal 25 40" xfId="12691"/>
    <cellStyle name="Normal 25 41" xfId="12692"/>
    <cellStyle name="Normal 25 42" xfId="12693"/>
    <cellStyle name="Normal 25 43" xfId="12694"/>
    <cellStyle name="Normal 25 44" xfId="12695"/>
    <cellStyle name="Normal 25 45" xfId="12696"/>
    <cellStyle name="Normal 25 46" xfId="12697"/>
    <cellStyle name="Normal 25 47" xfId="12698"/>
    <cellStyle name="Normal 25 48" xfId="12699"/>
    <cellStyle name="Normal 25 5" xfId="12700"/>
    <cellStyle name="Normal 25 6" xfId="12701"/>
    <cellStyle name="Normal 25 7" xfId="12702"/>
    <cellStyle name="Normal 25 8" xfId="12703"/>
    <cellStyle name="Normal 25 9" xfId="12704"/>
    <cellStyle name="Normal 26" xfId="12705"/>
    <cellStyle name="Normal 26 10" xfId="12706"/>
    <cellStyle name="Normal 26 11" xfId="12707"/>
    <cellStyle name="Normal 26 12" xfId="12708"/>
    <cellStyle name="Normal 26 13" xfId="12709"/>
    <cellStyle name="Normal 26 14" xfId="12710"/>
    <cellStyle name="Normal 26 15" xfId="12711"/>
    <cellStyle name="Normal 26 16" xfId="12712"/>
    <cellStyle name="Normal 26 17" xfId="12713"/>
    <cellStyle name="Normal 26 18" xfId="12714"/>
    <cellStyle name="Normal 26 19" xfId="12715"/>
    <cellStyle name="Normal 26 2" xfId="12716"/>
    <cellStyle name="Normal 26 20" xfId="12717"/>
    <cellStyle name="Normal 26 21" xfId="12718"/>
    <cellStyle name="Normal 26 22" xfId="12719"/>
    <cellStyle name="Normal 26 23" xfId="12720"/>
    <cellStyle name="Normal 26 24" xfId="12721"/>
    <cellStyle name="Normal 26 25" xfId="12722"/>
    <cellStyle name="Normal 26 26" xfId="12723"/>
    <cellStyle name="Normal 26 27" xfId="12724"/>
    <cellStyle name="Normal 26 28" xfId="12725"/>
    <cellStyle name="Normal 26 29" xfId="12726"/>
    <cellStyle name="Normal 26 3" xfId="12727"/>
    <cellStyle name="Normal 26 30" xfId="12728"/>
    <cellStyle name="Normal 26 31" xfId="12729"/>
    <cellStyle name="Normal 26 32" xfId="12730"/>
    <cellStyle name="Normal 26 33" xfId="12731"/>
    <cellStyle name="Normal 26 34" xfId="12732"/>
    <cellStyle name="Normal 26 35" xfId="12733"/>
    <cellStyle name="Normal 26 36" xfId="12734"/>
    <cellStyle name="Normal 26 37" xfId="12735"/>
    <cellStyle name="Normal 26 38" xfId="12736"/>
    <cellStyle name="Normal 26 39" xfId="12737"/>
    <cellStyle name="Normal 26 4" xfId="12738"/>
    <cellStyle name="Normal 26 40" xfId="12739"/>
    <cellStyle name="Normal 26 41" xfId="12740"/>
    <cellStyle name="Normal 26 42" xfId="12741"/>
    <cellStyle name="Normal 26 43" xfId="12742"/>
    <cellStyle name="Normal 26 44" xfId="12743"/>
    <cellStyle name="Normal 26 45" xfId="12744"/>
    <cellStyle name="Normal 26 46" xfId="12745"/>
    <cellStyle name="Normal 26 47" xfId="12746"/>
    <cellStyle name="Normal 26 48" xfId="12747"/>
    <cellStyle name="Normal 26 5" xfId="12748"/>
    <cellStyle name="Normal 26 6" xfId="12749"/>
    <cellStyle name="Normal 26 7" xfId="12750"/>
    <cellStyle name="Normal 26 8" xfId="12751"/>
    <cellStyle name="Normal 26 9" xfId="12752"/>
    <cellStyle name="Normal 27" xfId="17"/>
    <cellStyle name="Normal 27 10" xfId="12753"/>
    <cellStyle name="Normal 27 11" xfId="12754"/>
    <cellStyle name="Normal 27 12" xfId="12755"/>
    <cellStyle name="Normal 27 13" xfId="12756"/>
    <cellStyle name="Normal 27 14" xfId="12757"/>
    <cellStyle name="Normal 27 15" xfId="12758"/>
    <cellStyle name="Normal 27 16" xfId="12759"/>
    <cellStyle name="Normal 27 17" xfId="12760"/>
    <cellStyle name="Normal 27 18" xfId="12761"/>
    <cellStyle name="Normal 27 19" xfId="12762"/>
    <cellStyle name="Normal 27 2" xfId="20"/>
    <cellStyle name="Normal 27 20" xfId="12763"/>
    <cellStyle name="Normal 27 21" xfId="12764"/>
    <cellStyle name="Normal 27 22" xfId="12765"/>
    <cellStyle name="Normal 27 23" xfId="12766"/>
    <cellStyle name="Normal 27 24" xfId="12767"/>
    <cellStyle name="Normal 27 25" xfId="12768"/>
    <cellStyle name="Normal 27 26" xfId="12769"/>
    <cellStyle name="Normal 27 27" xfId="12770"/>
    <cellStyle name="Normal 27 28" xfId="12771"/>
    <cellStyle name="Normal 27 29" xfId="12772"/>
    <cellStyle name="Normal 27 3" xfId="12773"/>
    <cellStyle name="Normal 27 30" xfId="12774"/>
    <cellStyle name="Normal 27 31" xfId="12775"/>
    <cellStyle name="Normal 27 32" xfId="12776"/>
    <cellStyle name="Normal 27 33" xfId="12777"/>
    <cellStyle name="Normal 27 34" xfId="12778"/>
    <cellStyle name="Normal 27 35" xfId="12779"/>
    <cellStyle name="Normal 27 36" xfId="12780"/>
    <cellStyle name="Normal 27 37" xfId="12781"/>
    <cellStyle name="Normal 27 38" xfId="12782"/>
    <cellStyle name="Normal 27 39" xfId="12783"/>
    <cellStyle name="Normal 27 4" xfId="12784"/>
    <cellStyle name="Normal 27 40" xfId="12785"/>
    <cellStyle name="Normal 27 41" xfId="12786"/>
    <cellStyle name="Normal 27 42" xfId="12787"/>
    <cellStyle name="Normal 27 43" xfId="12788"/>
    <cellStyle name="Normal 27 44" xfId="12789"/>
    <cellStyle name="Normal 27 45" xfId="12790"/>
    <cellStyle name="Normal 27 46" xfId="12791"/>
    <cellStyle name="Normal 27 47" xfId="12792"/>
    <cellStyle name="Normal 27 48" xfId="12793"/>
    <cellStyle name="Normal 27 5" xfId="12794"/>
    <cellStyle name="Normal 27 6" xfId="12795"/>
    <cellStyle name="Normal 27 7" xfId="12796"/>
    <cellStyle name="Normal 27 8" xfId="12797"/>
    <cellStyle name="Normal 27 9" xfId="12798"/>
    <cellStyle name="Normal 28" xfId="12799"/>
    <cellStyle name="Normal 28 10" xfId="12800"/>
    <cellStyle name="Normal 28 11" xfId="12801"/>
    <cellStyle name="Normal 28 12" xfId="12802"/>
    <cellStyle name="Normal 28 13" xfId="12803"/>
    <cellStyle name="Normal 28 14" xfId="12804"/>
    <cellStyle name="Normal 28 15" xfId="12805"/>
    <cellStyle name="Normal 28 16" xfId="12806"/>
    <cellStyle name="Normal 28 17" xfId="12807"/>
    <cellStyle name="Normal 28 18" xfId="12808"/>
    <cellStyle name="Normal 28 19" xfId="12809"/>
    <cellStyle name="Normal 28 2" xfId="22"/>
    <cellStyle name="Normal 28 20" xfId="12810"/>
    <cellStyle name="Normal 28 21" xfId="12811"/>
    <cellStyle name="Normal 28 22" xfId="12812"/>
    <cellStyle name="Normal 28 23" xfId="12813"/>
    <cellStyle name="Normal 28 24" xfId="12814"/>
    <cellStyle name="Normal 28 25" xfId="12815"/>
    <cellStyle name="Normal 28 26" xfId="12816"/>
    <cellStyle name="Normal 28 27" xfId="12817"/>
    <cellStyle name="Normal 28 28" xfId="12818"/>
    <cellStyle name="Normal 28 29" xfId="12819"/>
    <cellStyle name="Normal 28 3" xfId="12820"/>
    <cellStyle name="Normal 28 30" xfId="12821"/>
    <cellStyle name="Normal 28 31" xfId="12822"/>
    <cellStyle name="Normal 28 32" xfId="12823"/>
    <cellStyle name="Normal 28 33" xfId="12824"/>
    <cellStyle name="Normal 28 34" xfId="12825"/>
    <cellStyle name="Normal 28 35" xfId="12826"/>
    <cellStyle name="Normal 28 36" xfId="12827"/>
    <cellStyle name="Normal 28 37" xfId="12828"/>
    <cellStyle name="Normal 28 38" xfId="12829"/>
    <cellStyle name="Normal 28 39" xfId="12830"/>
    <cellStyle name="Normal 28 4" xfId="12831"/>
    <cellStyle name="Normal 28 40" xfId="12832"/>
    <cellStyle name="Normal 28 41" xfId="12833"/>
    <cellStyle name="Normal 28 42" xfId="12834"/>
    <cellStyle name="Normal 28 43" xfId="12835"/>
    <cellStyle name="Normal 28 44" xfId="12836"/>
    <cellStyle name="Normal 28 45" xfId="12837"/>
    <cellStyle name="Normal 28 46" xfId="12838"/>
    <cellStyle name="Normal 28 47" xfId="12839"/>
    <cellStyle name="Normal 28 48" xfId="12840"/>
    <cellStyle name="Normal 28 5" xfId="12841"/>
    <cellStyle name="Normal 28 6" xfId="12842"/>
    <cellStyle name="Normal 28 7" xfId="12843"/>
    <cellStyle name="Normal 28 8" xfId="12844"/>
    <cellStyle name="Normal 28 9" xfId="12845"/>
    <cellStyle name="Normal 29" xfId="12846"/>
    <cellStyle name="Normal 29 10" xfId="12847"/>
    <cellStyle name="Normal 29 11" xfId="12848"/>
    <cellStyle name="Normal 29 12" xfId="12849"/>
    <cellStyle name="Normal 29 13" xfId="12850"/>
    <cellStyle name="Normal 29 14" xfId="12851"/>
    <cellStyle name="Normal 29 15" xfId="12852"/>
    <cellStyle name="Normal 29 16" xfId="12853"/>
    <cellStyle name="Normal 29 17" xfId="12854"/>
    <cellStyle name="Normal 29 18" xfId="12855"/>
    <cellStyle name="Normal 29 19" xfId="12856"/>
    <cellStyle name="Normal 29 2" xfId="12857"/>
    <cellStyle name="Normal 29 20" xfId="12858"/>
    <cellStyle name="Normal 29 21" xfId="12859"/>
    <cellStyle name="Normal 29 22" xfId="12860"/>
    <cellStyle name="Normal 29 23" xfId="12861"/>
    <cellStyle name="Normal 29 24" xfId="12862"/>
    <cellStyle name="Normal 29 25" xfId="12863"/>
    <cellStyle name="Normal 29 26" xfId="12864"/>
    <cellStyle name="Normal 29 27" xfId="12865"/>
    <cellStyle name="Normal 29 28" xfId="12866"/>
    <cellStyle name="Normal 29 29" xfId="12867"/>
    <cellStyle name="Normal 29 3" xfId="12868"/>
    <cellStyle name="Normal 29 30" xfId="12869"/>
    <cellStyle name="Normal 29 31" xfId="12870"/>
    <cellStyle name="Normal 29 32" xfId="12871"/>
    <cellStyle name="Normal 29 33" xfId="12872"/>
    <cellStyle name="Normal 29 34" xfId="12873"/>
    <cellStyle name="Normal 29 35" xfId="12874"/>
    <cellStyle name="Normal 29 36" xfId="12875"/>
    <cellStyle name="Normal 29 37" xfId="12876"/>
    <cellStyle name="Normal 29 38" xfId="12877"/>
    <cellStyle name="Normal 29 39" xfId="12878"/>
    <cellStyle name="Normal 29 4" xfId="12879"/>
    <cellStyle name="Normal 29 40" xfId="12880"/>
    <cellStyle name="Normal 29 41" xfId="12881"/>
    <cellStyle name="Normal 29 42" xfId="12882"/>
    <cellStyle name="Normal 29 43" xfId="12883"/>
    <cellStyle name="Normal 29 44" xfId="12884"/>
    <cellStyle name="Normal 29 45" xfId="12885"/>
    <cellStyle name="Normal 29 46" xfId="12886"/>
    <cellStyle name="Normal 29 47" xfId="12887"/>
    <cellStyle name="Normal 29 48" xfId="12888"/>
    <cellStyle name="Normal 29 5" xfId="12889"/>
    <cellStyle name="Normal 29 6" xfId="12890"/>
    <cellStyle name="Normal 29 7" xfId="12891"/>
    <cellStyle name="Normal 29 8" xfId="12892"/>
    <cellStyle name="Normal 29 9" xfId="12893"/>
    <cellStyle name="Normal 3" xfId="4"/>
    <cellStyle name="Normal 3 10" xfId="12894"/>
    <cellStyle name="Normal 3 10 2" xfId="12895"/>
    <cellStyle name="Normal 3 10 2 2" xfId="12896"/>
    <cellStyle name="Normal 3 10 2 2 2" xfId="12897"/>
    <cellStyle name="Normal 3 10 2 2 2 2" xfId="12898"/>
    <cellStyle name="Normal 3 10 2 2 3" xfId="12899"/>
    <cellStyle name="Normal 3 10 2 2 4" xfId="12900"/>
    <cellStyle name="Normal 3 10 2 3" xfId="12901"/>
    <cellStyle name="Normal 3 10 2 3 2" xfId="12902"/>
    <cellStyle name="Normal 3 10 2 4" xfId="12903"/>
    <cellStyle name="Normal 3 10 3" xfId="12904"/>
    <cellStyle name="Normal 3 10 3 2" xfId="12905"/>
    <cellStyle name="Normal 3 10 3 2 2" xfId="12906"/>
    <cellStyle name="Normal 3 10 3 3" xfId="12907"/>
    <cellStyle name="Normal 3 10 4" xfId="12908"/>
    <cellStyle name="Normal 3 10 4 2" xfId="12909"/>
    <cellStyle name="Normal 3 10 5" xfId="12910"/>
    <cellStyle name="Normal 3 10 6" xfId="12911"/>
    <cellStyle name="Normal 3 11" xfId="12912"/>
    <cellStyle name="Normal 3 11 2" xfId="12913"/>
    <cellStyle name="Normal 3 11 2 2" xfId="12914"/>
    <cellStyle name="Normal 3 11 2 2 2" xfId="12915"/>
    <cellStyle name="Normal 3 11 2 2 2 2" xfId="12916"/>
    <cellStyle name="Normal 3 11 2 2 3" xfId="12917"/>
    <cellStyle name="Normal 3 11 2 3" xfId="12918"/>
    <cellStyle name="Normal 3 11 2 3 2" xfId="12919"/>
    <cellStyle name="Normal 3 11 2 4" xfId="12920"/>
    <cellStyle name="Normal 3 11 3" xfId="12921"/>
    <cellStyle name="Normal 3 11 3 2" xfId="12922"/>
    <cellStyle name="Normal 3 11 3 2 2" xfId="12923"/>
    <cellStyle name="Normal 3 11 3 3" xfId="12924"/>
    <cellStyle name="Normal 3 11 4" xfId="12925"/>
    <cellStyle name="Normal 3 11 4 2" xfId="12926"/>
    <cellStyle name="Normal 3 11 5" xfId="12927"/>
    <cellStyle name="Normal 3 11 6" xfId="12928"/>
    <cellStyle name="Normal 3 12" xfId="12929"/>
    <cellStyle name="Normal 3 12 2" xfId="12930"/>
    <cellStyle name="Normal 3 12 2 2" xfId="12931"/>
    <cellStyle name="Normal 3 12 2 2 2" xfId="12932"/>
    <cellStyle name="Normal 3 12 2 2 2 2" xfId="12933"/>
    <cellStyle name="Normal 3 12 2 2 3" xfId="12934"/>
    <cellStyle name="Normal 3 12 2 3" xfId="12935"/>
    <cellStyle name="Normal 3 12 2 3 2" xfId="12936"/>
    <cellStyle name="Normal 3 12 2 4" xfId="12937"/>
    <cellStyle name="Normal 3 12 3" xfId="12938"/>
    <cellStyle name="Normal 3 12 3 2" xfId="12939"/>
    <cellStyle name="Normal 3 12 3 2 2" xfId="12940"/>
    <cellStyle name="Normal 3 12 3 3" xfId="12941"/>
    <cellStyle name="Normal 3 12 4" xfId="12942"/>
    <cellStyle name="Normal 3 12 4 2" xfId="12943"/>
    <cellStyle name="Normal 3 12 5" xfId="12944"/>
    <cellStyle name="Normal 3 12 6" xfId="12945"/>
    <cellStyle name="Normal 3 13" xfId="12946"/>
    <cellStyle name="Normal 3 13 2" xfId="12947"/>
    <cellStyle name="Normal 3 13 2 2" xfId="12948"/>
    <cellStyle name="Normal 3 13 2 2 2" xfId="12949"/>
    <cellStyle name="Normal 3 13 2 2 2 2" xfId="12950"/>
    <cellStyle name="Normal 3 13 2 2 3" xfId="12951"/>
    <cellStyle name="Normal 3 13 2 3" xfId="12952"/>
    <cellStyle name="Normal 3 13 2 3 2" xfId="12953"/>
    <cellStyle name="Normal 3 13 2 4" xfId="12954"/>
    <cellStyle name="Normal 3 13 3" xfId="12955"/>
    <cellStyle name="Normal 3 13 3 2" xfId="12956"/>
    <cellStyle name="Normal 3 13 3 2 2" xfId="12957"/>
    <cellStyle name="Normal 3 13 3 3" xfId="12958"/>
    <cellStyle name="Normal 3 13 4" xfId="12959"/>
    <cellStyle name="Normal 3 13 4 2" xfId="12960"/>
    <cellStyle name="Normal 3 13 5" xfId="12961"/>
    <cellStyle name="Normal 3 13 6" xfId="12962"/>
    <cellStyle name="Normal 3 14" xfId="12963"/>
    <cellStyle name="Normal 3 14 2" xfId="12964"/>
    <cellStyle name="Normal 3 14 2 2" xfId="12965"/>
    <cellStyle name="Normal 3 14 2 2 2" xfId="12966"/>
    <cellStyle name="Normal 3 14 2 2 2 2" xfId="12967"/>
    <cellStyle name="Normal 3 14 2 2 3" xfId="12968"/>
    <cellStyle name="Normal 3 14 2 3" xfId="12969"/>
    <cellStyle name="Normal 3 14 2 3 2" xfId="12970"/>
    <cellStyle name="Normal 3 14 2 4" xfId="12971"/>
    <cellStyle name="Normal 3 14 3" xfId="12972"/>
    <cellStyle name="Normal 3 14 3 2" xfId="12973"/>
    <cellStyle name="Normal 3 14 3 2 2" xfId="12974"/>
    <cellStyle name="Normal 3 14 3 3" xfId="12975"/>
    <cellStyle name="Normal 3 14 4" xfId="12976"/>
    <cellStyle name="Normal 3 14 4 2" xfId="12977"/>
    <cellStyle name="Normal 3 14 5" xfId="12978"/>
    <cellStyle name="Normal 3 14 6" xfId="12979"/>
    <cellStyle name="Normal 3 15" xfId="12980"/>
    <cellStyle name="Normal 3 15 2" xfId="12981"/>
    <cellStyle name="Normal 3 15 2 2" xfId="12982"/>
    <cellStyle name="Normal 3 15 2 2 2" xfId="12983"/>
    <cellStyle name="Normal 3 15 2 2 2 2" xfId="12984"/>
    <cellStyle name="Normal 3 15 2 2 3" xfId="12985"/>
    <cellStyle name="Normal 3 15 2 3" xfId="12986"/>
    <cellStyle name="Normal 3 15 2 3 2" xfId="12987"/>
    <cellStyle name="Normal 3 15 2 4" xfId="12988"/>
    <cellStyle name="Normal 3 15 3" xfId="12989"/>
    <cellStyle name="Normal 3 15 3 2" xfId="12990"/>
    <cellStyle name="Normal 3 15 3 2 2" xfId="12991"/>
    <cellStyle name="Normal 3 15 3 3" xfId="12992"/>
    <cellStyle name="Normal 3 15 4" xfId="12993"/>
    <cellStyle name="Normal 3 15 4 2" xfId="12994"/>
    <cellStyle name="Normal 3 15 5" xfId="12995"/>
    <cellStyle name="Normal 3 15 6" xfId="12996"/>
    <cellStyle name="Normal 3 16" xfId="12997"/>
    <cellStyle name="Normal 3 16 2" xfId="12998"/>
    <cellStyle name="Normal 3 16 2 2" xfId="12999"/>
    <cellStyle name="Normal 3 16 2 2 2" xfId="13000"/>
    <cellStyle name="Normal 3 16 2 2 2 2" xfId="13001"/>
    <cellStyle name="Normal 3 16 2 2 3" xfId="13002"/>
    <cellStyle name="Normal 3 16 2 3" xfId="13003"/>
    <cellStyle name="Normal 3 16 2 3 2" xfId="13004"/>
    <cellStyle name="Normal 3 16 2 4" xfId="13005"/>
    <cellStyle name="Normal 3 16 3" xfId="13006"/>
    <cellStyle name="Normal 3 16 3 2" xfId="13007"/>
    <cellStyle name="Normal 3 16 3 2 2" xfId="13008"/>
    <cellStyle name="Normal 3 16 3 3" xfId="13009"/>
    <cellStyle name="Normal 3 16 4" xfId="13010"/>
    <cellStyle name="Normal 3 16 4 2" xfId="13011"/>
    <cellStyle name="Normal 3 16 5" xfId="13012"/>
    <cellStyle name="Normal 3 16 6" xfId="13013"/>
    <cellStyle name="Normal 3 17" xfId="13014"/>
    <cellStyle name="Normal 3 17 2" xfId="13015"/>
    <cellStyle name="Normal 3 17 2 2" xfId="13016"/>
    <cellStyle name="Normal 3 17 2 2 2" xfId="13017"/>
    <cellStyle name="Normal 3 17 2 2 2 2" xfId="13018"/>
    <cellStyle name="Normal 3 17 2 2 3" xfId="13019"/>
    <cellStyle name="Normal 3 17 2 3" xfId="13020"/>
    <cellStyle name="Normal 3 17 2 3 2" xfId="13021"/>
    <cellStyle name="Normal 3 17 2 4" xfId="13022"/>
    <cellStyle name="Normal 3 17 3" xfId="13023"/>
    <cellStyle name="Normal 3 17 3 2" xfId="13024"/>
    <cellStyle name="Normal 3 17 3 2 2" xfId="13025"/>
    <cellStyle name="Normal 3 17 3 3" xfId="13026"/>
    <cellStyle name="Normal 3 17 4" xfId="13027"/>
    <cellStyle name="Normal 3 17 4 2" xfId="13028"/>
    <cellStyle name="Normal 3 17 5" xfId="13029"/>
    <cellStyle name="Normal 3 17 6" xfId="13030"/>
    <cellStyle name="Normal 3 18" xfId="13031"/>
    <cellStyle name="Normal 3 18 2" xfId="13032"/>
    <cellStyle name="Normal 3 18 2 2" xfId="13033"/>
    <cellStyle name="Normal 3 18 2 2 2" xfId="13034"/>
    <cellStyle name="Normal 3 18 2 2 2 2" xfId="13035"/>
    <cellStyle name="Normal 3 18 2 2 3" xfId="13036"/>
    <cellStyle name="Normal 3 18 2 3" xfId="13037"/>
    <cellStyle name="Normal 3 18 2 3 2" xfId="13038"/>
    <cellStyle name="Normal 3 18 2 4" xfId="13039"/>
    <cellStyle name="Normal 3 18 3" xfId="13040"/>
    <cellStyle name="Normal 3 18 3 2" xfId="13041"/>
    <cellStyle name="Normal 3 18 3 2 2" xfId="13042"/>
    <cellStyle name="Normal 3 18 3 3" xfId="13043"/>
    <cellStyle name="Normal 3 18 4" xfId="13044"/>
    <cellStyle name="Normal 3 18 4 2" xfId="13045"/>
    <cellStyle name="Normal 3 18 5" xfId="13046"/>
    <cellStyle name="Normal 3 18 6" xfId="13047"/>
    <cellStyle name="Normal 3 19" xfId="13048"/>
    <cellStyle name="Normal 3 19 2" xfId="13049"/>
    <cellStyle name="Normal 3 19 2 2" xfId="13050"/>
    <cellStyle name="Normal 3 19 2 2 2" xfId="13051"/>
    <cellStyle name="Normal 3 19 2 2 2 2" xfId="13052"/>
    <cellStyle name="Normal 3 19 2 2 3" xfId="13053"/>
    <cellStyle name="Normal 3 19 2 3" xfId="13054"/>
    <cellStyle name="Normal 3 19 2 3 2" xfId="13055"/>
    <cellStyle name="Normal 3 19 2 4" xfId="13056"/>
    <cellStyle name="Normal 3 19 3" xfId="13057"/>
    <cellStyle name="Normal 3 19 3 2" xfId="13058"/>
    <cellStyle name="Normal 3 19 3 2 2" xfId="13059"/>
    <cellStyle name="Normal 3 19 3 3" xfId="13060"/>
    <cellStyle name="Normal 3 19 4" xfId="13061"/>
    <cellStyle name="Normal 3 19 4 2" xfId="13062"/>
    <cellStyle name="Normal 3 19 5" xfId="13063"/>
    <cellStyle name="Normal 3 19 6" xfId="13064"/>
    <cellStyle name="Normal 3 2" xfId="13065"/>
    <cellStyle name="Normal 3 2 10" xfId="13066"/>
    <cellStyle name="Normal 3 2 11" xfId="13067"/>
    <cellStyle name="Normal 3 2 12" xfId="13068"/>
    <cellStyle name="Normal 3 2 13" xfId="13069"/>
    <cellStyle name="Normal 3 2 14" xfId="13070"/>
    <cellStyle name="Normal 3 2 15" xfId="13071"/>
    <cellStyle name="Normal 3 2 16" xfId="13072"/>
    <cellStyle name="Normal 3 2 17" xfId="13073"/>
    <cellStyle name="Normal 3 2 18" xfId="13074"/>
    <cellStyle name="Normal 3 2 19" xfId="13075"/>
    <cellStyle name="Normal 3 2 2" xfId="13076"/>
    <cellStyle name="Normal 3 2 2 2" xfId="13077"/>
    <cellStyle name="Normal 3 2 2 3" xfId="13078"/>
    <cellStyle name="Normal 3 2 2 3 2" xfId="13079"/>
    <cellStyle name="Normal 3 2 2 3 2 2" xfId="13080"/>
    <cellStyle name="Normal 3 2 2 3 3" xfId="13081"/>
    <cellStyle name="Normal 3 2 2 4" xfId="13082"/>
    <cellStyle name="Normal 3 2 2 4 2" xfId="13083"/>
    <cellStyle name="Normal 3 2 2 5" xfId="13084"/>
    <cellStyle name="Normal 3 2 20" xfId="13085"/>
    <cellStyle name="Normal 3 2 21" xfId="13086"/>
    <cellStyle name="Normal 3 2 22" xfId="13087"/>
    <cellStyle name="Normal 3 2 23" xfId="13088"/>
    <cellStyle name="Normal 3 2 24" xfId="13089"/>
    <cellStyle name="Normal 3 2 25" xfId="13090"/>
    <cellStyle name="Normal 3 2 26" xfId="13091"/>
    <cellStyle name="Normal 3 2 27" xfId="13092"/>
    <cellStyle name="Normal 3 2 28" xfId="13093"/>
    <cellStyle name="Normal 3 2 29" xfId="13094"/>
    <cellStyle name="Normal 3 2 3" xfId="13095"/>
    <cellStyle name="Normal 3 2 30" xfId="13096"/>
    <cellStyle name="Normal 3 2 31" xfId="13097"/>
    <cellStyle name="Normal 3 2 32" xfId="13098"/>
    <cellStyle name="Normal 3 2 33" xfId="13099"/>
    <cellStyle name="Normal 3 2 34" xfId="13100"/>
    <cellStyle name="Normal 3 2 35" xfId="13101"/>
    <cellStyle name="Normal 3 2 36" xfId="13102"/>
    <cellStyle name="Normal 3 2 37" xfId="13103"/>
    <cellStyle name="Normal 3 2 38" xfId="13104"/>
    <cellStyle name="Normal 3 2 39" xfId="13105"/>
    <cellStyle name="Normal 3 2 4" xfId="13106"/>
    <cellStyle name="Normal 3 2 40" xfId="13107"/>
    <cellStyle name="Normal 3 2 41" xfId="13108"/>
    <cellStyle name="Normal 3 2 42" xfId="13109"/>
    <cellStyle name="Normal 3 2 43" xfId="13110"/>
    <cellStyle name="Normal 3 2 44" xfId="13111"/>
    <cellStyle name="Normal 3 2 45" xfId="13112"/>
    <cellStyle name="Normal 3 2 46" xfId="13113"/>
    <cellStyle name="Normal 3 2 47" xfId="13114"/>
    <cellStyle name="Normal 3 2 48" xfId="13115"/>
    <cellStyle name="Normal 3 2 49" xfId="13116"/>
    <cellStyle name="Normal 3 2 49 2" xfId="13117"/>
    <cellStyle name="Normal 3 2 49 2 2" xfId="13118"/>
    <cellStyle name="Normal 3 2 49 3" xfId="13119"/>
    <cellStyle name="Normal 3 2 5" xfId="13120"/>
    <cellStyle name="Normal 3 2 50" xfId="13121"/>
    <cellStyle name="Normal 3 2 51" xfId="13122"/>
    <cellStyle name="Normal 3 2 6" xfId="13123"/>
    <cellStyle name="Normal 3 2 7" xfId="13124"/>
    <cellStyle name="Normal 3 2 8" xfId="13125"/>
    <cellStyle name="Normal 3 2 9" xfId="13126"/>
    <cellStyle name="Normal 3 20" xfId="13127"/>
    <cellStyle name="Normal 3 20 2" xfId="13128"/>
    <cellStyle name="Normal 3 20 2 2" xfId="13129"/>
    <cellStyle name="Normal 3 20 2 2 2" xfId="13130"/>
    <cellStyle name="Normal 3 20 2 2 2 2" xfId="13131"/>
    <cellStyle name="Normal 3 20 2 2 3" xfId="13132"/>
    <cellStyle name="Normal 3 20 2 3" xfId="13133"/>
    <cellStyle name="Normal 3 20 2 3 2" xfId="13134"/>
    <cellStyle name="Normal 3 20 2 4" xfId="13135"/>
    <cellStyle name="Normal 3 20 3" xfId="13136"/>
    <cellStyle name="Normal 3 20 3 2" xfId="13137"/>
    <cellStyle name="Normal 3 20 3 2 2" xfId="13138"/>
    <cellStyle name="Normal 3 20 3 3" xfId="13139"/>
    <cellStyle name="Normal 3 20 4" xfId="13140"/>
    <cellStyle name="Normal 3 20 4 2" xfId="13141"/>
    <cellStyle name="Normal 3 20 5" xfId="13142"/>
    <cellStyle name="Normal 3 20 6" xfId="13143"/>
    <cellStyle name="Normal 3 21" xfId="13144"/>
    <cellStyle name="Normal 3 21 2" xfId="13145"/>
    <cellStyle name="Normal 3 21 2 2" xfId="13146"/>
    <cellStyle name="Normal 3 21 2 2 2" xfId="13147"/>
    <cellStyle name="Normal 3 21 2 2 2 2" xfId="13148"/>
    <cellStyle name="Normal 3 21 2 2 3" xfId="13149"/>
    <cellStyle name="Normal 3 21 2 3" xfId="13150"/>
    <cellStyle name="Normal 3 21 2 3 2" xfId="13151"/>
    <cellStyle name="Normal 3 21 2 4" xfId="13152"/>
    <cellStyle name="Normal 3 21 3" xfId="13153"/>
    <cellStyle name="Normal 3 21 3 2" xfId="13154"/>
    <cellStyle name="Normal 3 21 3 2 2" xfId="13155"/>
    <cellStyle name="Normal 3 21 3 3" xfId="13156"/>
    <cellStyle name="Normal 3 21 4" xfId="13157"/>
    <cellStyle name="Normal 3 21 4 2" xfId="13158"/>
    <cellStyle name="Normal 3 21 5" xfId="13159"/>
    <cellStyle name="Normal 3 21 6" xfId="13160"/>
    <cellStyle name="Normal 3 22" xfId="13161"/>
    <cellStyle name="Normal 3 22 2" xfId="13162"/>
    <cellStyle name="Normal 3 22 2 2" xfId="13163"/>
    <cellStyle name="Normal 3 22 2 2 2" xfId="13164"/>
    <cellStyle name="Normal 3 22 2 2 2 2" xfId="13165"/>
    <cellStyle name="Normal 3 22 2 2 3" xfId="13166"/>
    <cellStyle name="Normal 3 22 2 3" xfId="13167"/>
    <cellStyle name="Normal 3 22 2 3 2" xfId="13168"/>
    <cellStyle name="Normal 3 22 2 4" xfId="13169"/>
    <cellStyle name="Normal 3 22 3" xfId="13170"/>
    <cellStyle name="Normal 3 22 3 2" xfId="13171"/>
    <cellStyle name="Normal 3 22 3 2 2" xfId="13172"/>
    <cellStyle name="Normal 3 22 3 3" xfId="13173"/>
    <cellStyle name="Normal 3 22 4" xfId="13174"/>
    <cellStyle name="Normal 3 22 4 2" xfId="13175"/>
    <cellStyle name="Normal 3 22 5" xfId="13176"/>
    <cellStyle name="Normal 3 22 6" xfId="13177"/>
    <cellStyle name="Normal 3 23" xfId="13178"/>
    <cellStyle name="Normal 3 23 2" xfId="13179"/>
    <cellStyle name="Normal 3 23 2 2" xfId="13180"/>
    <cellStyle name="Normal 3 23 2 2 2" xfId="13181"/>
    <cellStyle name="Normal 3 23 2 2 2 2" xfId="13182"/>
    <cellStyle name="Normal 3 23 2 2 3" xfId="13183"/>
    <cellStyle name="Normal 3 23 2 3" xfId="13184"/>
    <cellStyle name="Normal 3 23 2 3 2" xfId="13185"/>
    <cellStyle name="Normal 3 23 2 4" xfId="13186"/>
    <cellStyle name="Normal 3 23 3" xfId="13187"/>
    <cellStyle name="Normal 3 23 3 2" xfId="13188"/>
    <cellStyle name="Normal 3 23 3 2 2" xfId="13189"/>
    <cellStyle name="Normal 3 23 3 3" xfId="13190"/>
    <cellStyle name="Normal 3 23 4" xfId="13191"/>
    <cellStyle name="Normal 3 23 4 2" xfId="13192"/>
    <cellStyle name="Normal 3 23 5" xfId="13193"/>
    <cellStyle name="Normal 3 23 6" xfId="13194"/>
    <cellStyle name="Normal 3 24" xfId="13195"/>
    <cellStyle name="Normal 3 24 2" xfId="13196"/>
    <cellStyle name="Normal 3 24 2 2" xfId="13197"/>
    <cellStyle name="Normal 3 24 2 2 2" xfId="13198"/>
    <cellStyle name="Normal 3 24 2 2 2 2" xfId="13199"/>
    <cellStyle name="Normal 3 24 2 2 3" xfId="13200"/>
    <cellStyle name="Normal 3 24 2 3" xfId="13201"/>
    <cellStyle name="Normal 3 24 2 3 2" xfId="13202"/>
    <cellStyle name="Normal 3 24 2 4" xfId="13203"/>
    <cellStyle name="Normal 3 24 3" xfId="13204"/>
    <cellStyle name="Normal 3 24 3 2" xfId="13205"/>
    <cellStyle name="Normal 3 24 3 2 2" xfId="13206"/>
    <cellStyle name="Normal 3 24 3 3" xfId="13207"/>
    <cellStyle name="Normal 3 24 4" xfId="13208"/>
    <cellStyle name="Normal 3 24 4 2" xfId="13209"/>
    <cellStyle name="Normal 3 24 5" xfId="13210"/>
    <cellStyle name="Normal 3 24 6" xfId="13211"/>
    <cellStyle name="Normal 3 25" xfId="13212"/>
    <cellStyle name="Normal 3 25 2" xfId="13213"/>
    <cellStyle name="Normal 3 25 2 2" xfId="13214"/>
    <cellStyle name="Normal 3 25 2 2 2" xfId="13215"/>
    <cellStyle name="Normal 3 25 2 2 2 2" xfId="13216"/>
    <cellStyle name="Normal 3 25 2 2 3" xfId="13217"/>
    <cellStyle name="Normal 3 25 2 3" xfId="13218"/>
    <cellStyle name="Normal 3 25 2 3 2" xfId="13219"/>
    <cellStyle name="Normal 3 25 2 4" xfId="13220"/>
    <cellStyle name="Normal 3 25 3" xfId="13221"/>
    <cellStyle name="Normal 3 25 3 2" xfId="13222"/>
    <cellStyle name="Normal 3 25 3 2 2" xfId="13223"/>
    <cellStyle name="Normal 3 25 3 3" xfId="13224"/>
    <cellStyle name="Normal 3 25 4" xfId="13225"/>
    <cellStyle name="Normal 3 25 4 2" xfId="13226"/>
    <cellStyle name="Normal 3 25 5" xfId="13227"/>
    <cellStyle name="Normal 3 25 6" xfId="13228"/>
    <cellStyle name="Normal 3 26" xfId="13229"/>
    <cellStyle name="Normal 3 26 2" xfId="13230"/>
    <cellStyle name="Normal 3 26 2 2" xfId="13231"/>
    <cellStyle name="Normal 3 26 2 2 2" xfId="13232"/>
    <cellStyle name="Normal 3 26 2 2 2 2" xfId="13233"/>
    <cellStyle name="Normal 3 26 2 2 3" xfId="13234"/>
    <cellStyle name="Normal 3 26 2 3" xfId="13235"/>
    <cellStyle name="Normal 3 26 2 3 2" xfId="13236"/>
    <cellStyle name="Normal 3 26 2 4" xfId="13237"/>
    <cellStyle name="Normal 3 26 3" xfId="13238"/>
    <cellStyle name="Normal 3 26 3 2" xfId="13239"/>
    <cellStyle name="Normal 3 26 3 2 2" xfId="13240"/>
    <cellStyle name="Normal 3 26 3 3" xfId="13241"/>
    <cellStyle name="Normal 3 26 4" xfId="13242"/>
    <cellStyle name="Normal 3 26 4 2" xfId="13243"/>
    <cellStyle name="Normal 3 26 5" xfId="13244"/>
    <cellStyle name="Normal 3 26 6" xfId="13245"/>
    <cellStyle name="Normal 3 27" xfId="13246"/>
    <cellStyle name="Normal 3 27 2" xfId="13247"/>
    <cellStyle name="Normal 3 27 2 2" xfId="13248"/>
    <cellStyle name="Normal 3 27 2 2 2" xfId="13249"/>
    <cellStyle name="Normal 3 27 2 2 2 2" xfId="13250"/>
    <cellStyle name="Normal 3 27 2 2 3" xfId="13251"/>
    <cellStyle name="Normal 3 27 2 3" xfId="13252"/>
    <cellStyle name="Normal 3 27 2 3 2" xfId="13253"/>
    <cellStyle name="Normal 3 27 2 4" xfId="13254"/>
    <cellStyle name="Normal 3 27 3" xfId="13255"/>
    <cellStyle name="Normal 3 27 3 2" xfId="13256"/>
    <cellStyle name="Normal 3 27 3 2 2" xfId="13257"/>
    <cellStyle name="Normal 3 27 3 3" xfId="13258"/>
    <cellStyle name="Normal 3 27 4" xfId="13259"/>
    <cellStyle name="Normal 3 27 4 2" xfId="13260"/>
    <cellStyle name="Normal 3 27 5" xfId="13261"/>
    <cellStyle name="Normal 3 27 6" xfId="13262"/>
    <cellStyle name="Normal 3 28" xfId="13263"/>
    <cellStyle name="Normal 3 28 2" xfId="13264"/>
    <cellStyle name="Normal 3 28 2 2" xfId="13265"/>
    <cellStyle name="Normal 3 28 2 2 2" xfId="13266"/>
    <cellStyle name="Normal 3 28 2 2 2 2" xfId="13267"/>
    <cellStyle name="Normal 3 28 2 2 3" xfId="13268"/>
    <cellStyle name="Normal 3 28 2 3" xfId="13269"/>
    <cellStyle name="Normal 3 28 2 3 2" xfId="13270"/>
    <cellStyle name="Normal 3 28 2 4" xfId="13271"/>
    <cellStyle name="Normal 3 28 3" xfId="13272"/>
    <cellStyle name="Normal 3 28 3 2" xfId="13273"/>
    <cellStyle name="Normal 3 28 3 2 2" xfId="13274"/>
    <cellStyle name="Normal 3 28 3 3" xfId="13275"/>
    <cellStyle name="Normal 3 28 4" xfId="13276"/>
    <cellStyle name="Normal 3 28 4 2" xfId="13277"/>
    <cellStyle name="Normal 3 28 5" xfId="13278"/>
    <cellStyle name="Normal 3 28 6" xfId="13279"/>
    <cellStyle name="Normal 3 29" xfId="13280"/>
    <cellStyle name="Normal 3 29 2" xfId="13281"/>
    <cellStyle name="Normal 3 29 2 2" xfId="13282"/>
    <cellStyle name="Normal 3 29 2 2 2" xfId="13283"/>
    <cellStyle name="Normal 3 29 2 2 2 2" xfId="13284"/>
    <cellStyle name="Normal 3 29 2 2 3" xfId="13285"/>
    <cellStyle name="Normal 3 29 2 3" xfId="13286"/>
    <cellStyle name="Normal 3 29 2 3 2" xfId="13287"/>
    <cellStyle name="Normal 3 29 2 4" xfId="13288"/>
    <cellStyle name="Normal 3 29 3" xfId="13289"/>
    <cellStyle name="Normal 3 29 3 2" xfId="13290"/>
    <cellStyle name="Normal 3 29 3 2 2" xfId="13291"/>
    <cellStyle name="Normal 3 29 3 3" xfId="13292"/>
    <cellStyle name="Normal 3 29 4" xfId="13293"/>
    <cellStyle name="Normal 3 29 4 2" xfId="13294"/>
    <cellStyle name="Normal 3 29 5" xfId="13295"/>
    <cellStyle name="Normal 3 29 6" xfId="13296"/>
    <cellStyle name="Normal 3 3" xfId="13297"/>
    <cellStyle name="Normal 3 3 10" xfId="13298"/>
    <cellStyle name="Normal 3 3 10 2" xfId="13299"/>
    <cellStyle name="Normal 3 3 10 2 2" xfId="13300"/>
    <cellStyle name="Normal 3 3 10 2 2 2" xfId="13301"/>
    <cellStyle name="Normal 3 3 10 2 2 2 2" xfId="13302"/>
    <cellStyle name="Normal 3 3 10 2 2 3" xfId="13303"/>
    <cellStyle name="Normal 3 3 10 2 3" xfId="13304"/>
    <cellStyle name="Normal 3 3 10 2 3 2" xfId="13305"/>
    <cellStyle name="Normal 3 3 10 2 4" xfId="13306"/>
    <cellStyle name="Normal 3 3 10 3" xfId="13307"/>
    <cellStyle name="Normal 3 3 10 3 2" xfId="13308"/>
    <cellStyle name="Normal 3 3 10 3 2 2" xfId="13309"/>
    <cellStyle name="Normal 3 3 10 3 3" xfId="13310"/>
    <cellStyle name="Normal 3 3 10 4" xfId="13311"/>
    <cellStyle name="Normal 3 3 10 4 2" xfId="13312"/>
    <cellStyle name="Normal 3 3 10 5" xfId="13313"/>
    <cellStyle name="Normal 3 3 11" xfId="13314"/>
    <cellStyle name="Normal 3 3 11 2" xfId="13315"/>
    <cellStyle name="Normal 3 3 11 2 2" xfId="13316"/>
    <cellStyle name="Normal 3 3 11 2 2 2" xfId="13317"/>
    <cellStyle name="Normal 3 3 11 2 2 2 2" xfId="13318"/>
    <cellStyle name="Normal 3 3 11 2 2 3" xfId="13319"/>
    <cellStyle name="Normal 3 3 11 2 3" xfId="13320"/>
    <cellStyle name="Normal 3 3 11 2 3 2" xfId="13321"/>
    <cellStyle name="Normal 3 3 11 2 4" xfId="13322"/>
    <cellStyle name="Normal 3 3 11 3" xfId="13323"/>
    <cellStyle name="Normal 3 3 11 3 2" xfId="13324"/>
    <cellStyle name="Normal 3 3 11 3 2 2" xfId="13325"/>
    <cellStyle name="Normal 3 3 11 3 3" xfId="13326"/>
    <cellStyle name="Normal 3 3 11 4" xfId="13327"/>
    <cellStyle name="Normal 3 3 11 4 2" xfId="13328"/>
    <cellStyle name="Normal 3 3 11 5" xfId="13329"/>
    <cellStyle name="Normal 3 3 12" xfId="13330"/>
    <cellStyle name="Normal 3 3 12 2" xfId="13331"/>
    <cellStyle name="Normal 3 3 12 2 2" xfId="13332"/>
    <cellStyle name="Normal 3 3 12 2 2 2" xfId="13333"/>
    <cellStyle name="Normal 3 3 12 2 2 2 2" xfId="13334"/>
    <cellStyle name="Normal 3 3 12 2 2 3" xfId="13335"/>
    <cellStyle name="Normal 3 3 12 2 3" xfId="13336"/>
    <cellStyle name="Normal 3 3 12 2 3 2" xfId="13337"/>
    <cellStyle name="Normal 3 3 12 2 4" xfId="13338"/>
    <cellStyle name="Normal 3 3 12 3" xfId="13339"/>
    <cellStyle name="Normal 3 3 12 3 2" xfId="13340"/>
    <cellStyle name="Normal 3 3 12 3 2 2" xfId="13341"/>
    <cellStyle name="Normal 3 3 12 3 3" xfId="13342"/>
    <cellStyle name="Normal 3 3 12 4" xfId="13343"/>
    <cellStyle name="Normal 3 3 12 4 2" xfId="13344"/>
    <cellStyle name="Normal 3 3 12 5" xfId="13345"/>
    <cellStyle name="Normal 3 3 13" xfId="13346"/>
    <cellStyle name="Normal 3 3 13 2" xfId="13347"/>
    <cellStyle name="Normal 3 3 13 2 2" xfId="13348"/>
    <cellStyle name="Normal 3 3 13 2 2 2" xfId="13349"/>
    <cellStyle name="Normal 3 3 13 2 2 2 2" xfId="13350"/>
    <cellStyle name="Normal 3 3 13 2 2 3" xfId="13351"/>
    <cellStyle name="Normal 3 3 13 2 3" xfId="13352"/>
    <cellStyle name="Normal 3 3 13 2 3 2" xfId="13353"/>
    <cellStyle name="Normal 3 3 13 2 4" xfId="13354"/>
    <cellStyle name="Normal 3 3 13 3" xfId="13355"/>
    <cellStyle name="Normal 3 3 13 3 2" xfId="13356"/>
    <cellStyle name="Normal 3 3 13 3 2 2" xfId="13357"/>
    <cellStyle name="Normal 3 3 13 3 3" xfId="13358"/>
    <cellStyle name="Normal 3 3 13 4" xfId="13359"/>
    <cellStyle name="Normal 3 3 13 4 2" xfId="13360"/>
    <cellStyle name="Normal 3 3 13 5" xfId="13361"/>
    <cellStyle name="Normal 3 3 14" xfId="13362"/>
    <cellStyle name="Normal 3 3 14 2" xfId="13363"/>
    <cellStyle name="Normal 3 3 14 2 2" xfId="13364"/>
    <cellStyle name="Normal 3 3 14 2 2 2" xfId="13365"/>
    <cellStyle name="Normal 3 3 14 2 2 2 2" xfId="13366"/>
    <cellStyle name="Normal 3 3 14 2 2 3" xfId="13367"/>
    <cellStyle name="Normal 3 3 14 2 3" xfId="13368"/>
    <cellStyle name="Normal 3 3 14 2 3 2" xfId="13369"/>
    <cellStyle name="Normal 3 3 14 2 4" xfId="13370"/>
    <cellStyle name="Normal 3 3 14 3" xfId="13371"/>
    <cellStyle name="Normal 3 3 14 3 2" xfId="13372"/>
    <cellStyle name="Normal 3 3 14 3 2 2" xfId="13373"/>
    <cellStyle name="Normal 3 3 14 3 3" xfId="13374"/>
    <cellStyle name="Normal 3 3 14 4" xfId="13375"/>
    <cellStyle name="Normal 3 3 14 4 2" xfId="13376"/>
    <cellStyle name="Normal 3 3 14 5" xfId="13377"/>
    <cellStyle name="Normal 3 3 15" xfId="13378"/>
    <cellStyle name="Normal 3 3 15 2" xfId="13379"/>
    <cellStyle name="Normal 3 3 15 2 2" xfId="13380"/>
    <cellStyle name="Normal 3 3 15 2 2 2" xfId="13381"/>
    <cellStyle name="Normal 3 3 15 2 2 2 2" xfId="13382"/>
    <cellStyle name="Normal 3 3 15 2 2 3" xfId="13383"/>
    <cellStyle name="Normal 3 3 15 2 3" xfId="13384"/>
    <cellStyle name="Normal 3 3 15 2 3 2" xfId="13385"/>
    <cellStyle name="Normal 3 3 15 2 4" xfId="13386"/>
    <cellStyle name="Normal 3 3 15 3" xfId="13387"/>
    <cellStyle name="Normal 3 3 15 3 2" xfId="13388"/>
    <cellStyle name="Normal 3 3 15 3 2 2" xfId="13389"/>
    <cellStyle name="Normal 3 3 15 3 3" xfId="13390"/>
    <cellStyle name="Normal 3 3 15 4" xfId="13391"/>
    <cellStyle name="Normal 3 3 15 4 2" xfId="13392"/>
    <cellStyle name="Normal 3 3 15 5" xfId="13393"/>
    <cellStyle name="Normal 3 3 16" xfId="13394"/>
    <cellStyle name="Normal 3 3 16 2" xfId="13395"/>
    <cellStyle name="Normal 3 3 16 2 2" xfId="13396"/>
    <cellStyle name="Normal 3 3 16 2 2 2" xfId="13397"/>
    <cellStyle name="Normal 3 3 16 2 2 2 2" xfId="13398"/>
    <cellStyle name="Normal 3 3 16 2 2 3" xfId="13399"/>
    <cellStyle name="Normal 3 3 16 2 3" xfId="13400"/>
    <cellStyle name="Normal 3 3 16 2 3 2" xfId="13401"/>
    <cellStyle name="Normal 3 3 16 2 4" xfId="13402"/>
    <cellStyle name="Normal 3 3 16 3" xfId="13403"/>
    <cellStyle name="Normal 3 3 16 3 2" xfId="13404"/>
    <cellStyle name="Normal 3 3 16 3 2 2" xfId="13405"/>
    <cellStyle name="Normal 3 3 16 3 3" xfId="13406"/>
    <cellStyle name="Normal 3 3 16 4" xfId="13407"/>
    <cellStyle name="Normal 3 3 16 4 2" xfId="13408"/>
    <cellStyle name="Normal 3 3 16 5" xfId="13409"/>
    <cellStyle name="Normal 3 3 17" xfId="13410"/>
    <cellStyle name="Normal 3 3 17 2" xfId="13411"/>
    <cellStyle name="Normal 3 3 17 2 2" xfId="13412"/>
    <cellStyle name="Normal 3 3 17 2 2 2" xfId="13413"/>
    <cellStyle name="Normal 3 3 17 2 2 2 2" xfId="13414"/>
    <cellStyle name="Normal 3 3 17 2 2 3" xfId="13415"/>
    <cellStyle name="Normal 3 3 17 2 3" xfId="13416"/>
    <cellStyle name="Normal 3 3 17 2 3 2" xfId="13417"/>
    <cellStyle name="Normal 3 3 17 2 4" xfId="13418"/>
    <cellStyle name="Normal 3 3 17 3" xfId="13419"/>
    <cellStyle name="Normal 3 3 17 3 2" xfId="13420"/>
    <cellStyle name="Normal 3 3 17 3 2 2" xfId="13421"/>
    <cellStyle name="Normal 3 3 17 3 3" xfId="13422"/>
    <cellStyle name="Normal 3 3 17 4" xfId="13423"/>
    <cellStyle name="Normal 3 3 17 4 2" xfId="13424"/>
    <cellStyle name="Normal 3 3 17 5" xfId="13425"/>
    <cellStyle name="Normal 3 3 18" xfId="13426"/>
    <cellStyle name="Normal 3 3 18 2" xfId="13427"/>
    <cellStyle name="Normal 3 3 18 2 2" xfId="13428"/>
    <cellStyle name="Normal 3 3 18 2 2 2" xfId="13429"/>
    <cellStyle name="Normal 3 3 18 2 2 2 2" xfId="13430"/>
    <cellStyle name="Normal 3 3 18 2 2 3" xfId="13431"/>
    <cellStyle name="Normal 3 3 18 2 3" xfId="13432"/>
    <cellStyle name="Normal 3 3 18 2 3 2" xfId="13433"/>
    <cellStyle name="Normal 3 3 18 2 4" xfId="13434"/>
    <cellStyle name="Normal 3 3 18 3" xfId="13435"/>
    <cellStyle name="Normal 3 3 18 3 2" xfId="13436"/>
    <cellStyle name="Normal 3 3 18 3 2 2" xfId="13437"/>
    <cellStyle name="Normal 3 3 18 3 3" xfId="13438"/>
    <cellStyle name="Normal 3 3 18 4" xfId="13439"/>
    <cellStyle name="Normal 3 3 18 4 2" xfId="13440"/>
    <cellStyle name="Normal 3 3 18 5" xfId="13441"/>
    <cellStyle name="Normal 3 3 19" xfId="13442"/>
    <cellStyle name="Normal 3 3 19 2" xfId="13443"/>
    <cellStyle name="Normal 3 3 19 2 2" xfId="13444"/>
    <cellStyle name="Normal 3 3 19 2 2 2" xfId="13445"/>
    <cellStyle name="Normal 3 3 19 2 2 2 2" xfId="13446"/>
    <cellStyle name="Normal 3 3 19 2 2 3" xfId="13447"/>
    <cellStyle name="Normal 3 3 19 2 3" xfId="13448"/>
    <cellStyle name="Normal 3 3 19 2 3 2" xfId="13449"/>
    <cellStyle name="Normal 3 3 19 2 4" xfId="13450"/>
    <cellStyle name="Normal 3 3 19 3" xfId="13451"/>
    <cellStyle name="Normal 3 3 19 3 2" xfId="13452"/>
    <cellStyle name="Normal 3 3 19 3 2 2" xfId="13453"/>
    <cellStyle name="Normal 3 3 19 3 3" xfId="13454"/>
    <cellStyle name="Normal 3 3 19 4" xfId="13455"/>
    <cellStyle name="Normal 3 3 19 4 2" xfId="13456"/>
    <cellStyle name="Normal 3 3 19 5" xfId="13457"/>
    <cellStyle name="Normal 3 3 2" xfId="13458"/>
    <cellStyle name="Normal 3 3 2 10" xfId="13459"/>
    <cellStyle name="Normal 3 3 2 10 2" xfId="13460"/>
    <cellStyle name="Normal 3 3 2 10 2 2" xfId="13461"/>
    <cellStyle name="Normal 3 3 2 10 2 2 2" xfId="13462"/>
    <cellStyle name="Normal 3 3 2 10 2 2 2 2" xfId="13463"/>
    <cellStyle name="Normal 3 3 2 10 2 2 3" xfId="13464"/>
    <cellStyle name="Normal 3 3 2 10 2 3" xfId="13465"/>
    <cellStyle name="Normal 3 3 2 10 2 3 2" xfId="13466"/>
    <cellStyle name="Normal 3 3 2 10 2 4" xfId="13467"/>
    <cellStyle name="Normal 3 3 2 10 3" xfId="13468"/>
    <cellStyle name="Normal 3 3 2 10 3 2" xfId="13469"/>
    <cellStyle name="Normal 3 3 2 10 3 2 2" xfId="13470"/>
    <cellStyle name="Normal 3 3 2 10 3 3" xfId="13471"/>
    <cellStyle name="Normal 3 3 2 10 4" xfId="13472"/>
    <cellStyle name="Normal 3 3 2 10 4 2" xfId="13473"/>
    <cellStyle name="Normal 3 3 2 10 5" xfId="13474"/>
    <cellStyle name="Normal 3 3 2 11" xfId="13475"/>
    <cellStyle name="Normal 3 3 2 11 2" xfId="13476"/>
    <cellStyle name="Normal 3 3 2 11 2 2" xfId="13477"/>
    <cellStyle name="Normal 3 3 2 11 2 2 2" xfId="13478"/>
    <cellStyle name="Normal 3 3 2 11 2 2 2 2" xfId="13479"/>
    <cellStyle name="Normal 3 3 2 11 2 2 3" xfId="13480"/>
    <cellStyle name="Normal 3 3 2 11 2 3" xfId="13481"/>
    <cellStyle name="Normal 3 3 2 11 2 3 2" xfId="13482"/>
    <cellStyle name="Normal 3 3 2 11 2 4" xfId="13483"/>
    <cellStyle name="Normal 3 3 2 11 3" xfId="13484"/>
    <cellStyle name="Normal 3 3 2 11 3 2" xfId="13485"/>
    <cellStyle name="Normal 3 3 2 11 3 2 2" xfId="13486"/>
    <cellStyle name="Normal 3 3 2 11 3 3" xfId="13487"/>
    <cellStyle name="Normal 3 3 2 11 4" xfId="13488"/>
    <cellStyle name="Normal 3 3 2 11 4 2" xfId="13489"/>
    <cellStyle name="Normal 3 3 2 11 5" xfId="13490"/>
    <cellStyle name="Normal 3 3 2 12" xfId="13491"/>
    <cellStyle name="Normal 3 3 2 12 2" xfId="13492"/>
    <cellStyle name="Normal 3 3 2 12 2 2" xfId="13493"/>
    <cellStyle name="Normal 3 3 2 12 2 2 2" xfId="13494"/>
    <cellStyle name="Normal 3 3 2 12 2 2 2 2" xfId="13495"/>
    <cellStyle name="Normal 3 3 2 12 2 2 3" xfId="13496"/>
    <cellStyle name="Normal 3 3 2 12 2 3" xfId="13497"/>
    <cellStyle name="Normal 3 3 2 12 2 3 2" xfId="13498"/>
    <cellStyle name="Normal 3 3 2 12 2 4" xfId="13499"/>
    <cellStyle name="Normal 3 3 2 12 3" xfId="13500"/>
    <cellStyle name="Normal 3 3 2 12 3 2" xfId="13501"/>
    <cellStyle name="Normal 3 3 2 12 3 2 2" xfId="13502"/>
    <cellStyle name="Normal 3 3 2 12 3 3" xfId="13503"/>
    <cellStyle name="Normal 3 3 2 12 4" xfId="13504"/>
    <cellStyle name="Normal 3 3 2 12 4 2" xfId="13505"/>
    <cellStyle name="Normal 3 3 2 12 5" xfId="13506"/>
    <cellStyle name="Normal 3 3 2 13" xfId="13507"/>
    <cellStyle name="Normal 3 3 2 13 2" xfId="13508"/>
    <cellStyle name="Normal 3 3 2 13 2 2" xfId="13509"/>
    <cellStyle name="Normal 3 3 2 13 2 2 2" xfId="13510"/>
    <cellStyle name="Normal 3 3 2 13 2 2 2 2" xfId="13511"/>
    <cellStyle name="Normal 3 3 2 13 2 2 3" xfId="13512"/>
    <cellStyle name="Normal 3 3 2 13 2 3" xfId="13513"/>
    <cellStyle name="Normal 3 3 2 13 2 3 2" xfId="13514"/>
    <cellStyle name="Normal 3 3 2 13 2 4" xfId="13515"/>
    <cellStyle name="Normal 3 3 2 13 3" xfId="13516"/>
    <cellStyle name="Normal 3 3 2 13 3 2" xfId="13517"/>
    <cellStyle name="Normal 3 3 2 13 3 2 2" xfId="13518"/>
    <cellStyle name="Normal 3 3 2 13 3 3" xfId="13519"/>
    <cellStyle name="Normal 3 3 2 13 4" xfId="13520"/>
    <cellStyle name="Normal 3 3 2 13 4 2" xfId="13521"/>
    <cellStyle name="Normal 3 3 2 13 5" xfId="13522"/>
    <cellStyle name="Normal 3 3 2 14" xfId="13523"/>
    <cellStyle name="Normal 3 3 2 14 2" xfId="13524"/>
    <cellStyle name="Normal 3 3 2 14 2 2" xfId="13525"/>
    <cellStyle name="Normal 3 3 2 14 2 2 2" xfId="13526"/>
    <cellStyle name="Normal 3 3 2 14 2 2 2 2" xfId="13527"/>
    <cellStyle name="Normal 3 3 2 14 2 2 3" xfId="13528"/>
    <cellStyle name="Normal 3 3 2 14 2 3" xfId="13529"/>
    <cellStyle name="Normal 3 3 2 14 2 3 2" xfId="13530"/>
    <cellStyle name="Normal 3 3 2 14 2 4" xfId="13531"/>
    <cellStyle name="Normal 3 3 2 14 3" xfId="13532"/>
    <cellStyle name="Normal 3 3 2 14 3 2" xfId="13533"/>
    <cellStyle name="Normal 3 3 2 14 3 2 2" xfId="13534"/>
    <cellStyle name="Normal 3 3 2 14 3 3" xfId="13535"/>
    <cellStyle name="Normal 3 3 2 14 4" xfId="13536"/>
    <cellStyle name="Normal 3 3 2 14 4 2" xfId="13537"/>
    <cellStyle name="Normal 3 3 2 14 5" xfId="13538"/>
    <cellStyle name="Normal 3 3 2 15" xfId="13539"/>
    <cellStyle name="Normal 3 3 2 15 2" xfId="13540"/>
    <cellStyle name="Normal 3 3 2 15 2 2" xfId="13541"/>
    <cellStyle name="Normal 3 3 2 15 2 2 2" xfId="13542"/>
    <cellStyle name="Normal 3 3 2 15 2 2 2 2" xfId="13543"/>
    <cellStyle name="Normal 3 3 2 15 2 2 3" xfId="13544"/>
    <cellStyle name="Normal 3 3 2 15 2 3" xfId="13545"/>
    <cellStyle name="Normal 3 3 2 15 2 3 2" xfId="13546"/>
    <cellStyle name="Normal 3 3 2 15 2 4" xfId="13547"/>
    <cellStyle name="Normal 3 3 2 15 3" xfId="13548"/>
    <cellStyle name="Normal 3 3 2 15 3 2" xfId="13549"/>
    <cellStyle name="Normal 3 3 2 15 3 2 2" xfId="13550"/>
    <cellStyle name="Normal 3 3 2 15 3 3" xfId="13551"/>
    <cellStyle name="Normal 3 3 2 15 4" xfId="13552"/>
    <cellStyle name="Normal 3 3 2 15 4 2" xfId="13553"/>
    <cellStyle name="Normal 3 3 2 15 5" xfId="13554"/>
    <cellStyle name="Normal 3 3 2 16" xfId="13555"/>
    <cellStyle name="Normal 3 3 2 16 2" xfId="13556"/>
    <cellStyle name="Normal 3 3 2 16 2 2" xfId="13557"/>
    <cellStyle name="Normal 3 3 2 16 2 2 2" xfId="13558"/>
    <cellStyle name="Normal 3 3 2 16 2 2 2 2" xfId="13559"/>
    <cellStyle name="Normal 3 3 2 16 2 2 3" xfId="13560"/>
    <cellStyle name="Normal 3 3 2 16 2 3" xfId="13561"/>
    <cellStyle name="Normal 3 3 2 16 2 3 2" xfId="13562"/>
    <cellStyle name="Normal 3 3 2 16 2 4" xfId="13563"/>
    <cellStyle name="Normal 3 3 2 16 3" xfId="13564"/>
    <cellStyle name="Normal 3 3 2 16 3 2" xfId="13565"/>
    <cellStyle name="Normal 3 3 2 16 3 2 2" xfId="13566"/>
    <cellStyle name="Normal 3 3 2 16 3 3" xfId="13567"/>
    <cellStyle name="Normal 3 3 2 16 4" xfId="13568"/>
    <cellStyle name="Normal 3 3 2 16 4 2" xfId="13569"/>
    <cellStyle name="Normal 3 3 2 16 5" xfId="13570"/>
    <cellStyle name="Normal 3 3 2 17" xfId="13571"/>
    <cellStyle name="Normal 3 3 2 17 2" xfId="13572"/>
    <cellStyle name="Normal 3 3 2 17 2 2" xfId="13573"/>
    <cellStyle name="Normal 3 3 2 17 2 2 2" xfId="13574"/>
    <cellStyle name="Normal 3 3 2 17 2 2 2 2" xfId="13575"/>
    <cellStyle name="Normal 3 3 2 17 2 2 3" xfId="13576"/>
    <cellStyle name="Normal 3 3 2 17 2 3" xfId="13577"/>
    <cellStyle name="Normal 3 3 2 17 2 3 2" xfId="13578"/>
    <cellStyle name="Normal 3 3 2 17 2 4" xfId="13579"/>
    <cellStyle name="Normal 3 3 2 17 3" xfId="13580"/>
    <cellStyle name="Normal 3 3 2 17 3 2" xfId="13581"/>
    <cellStyle name="Normal 3 3 2 17 3 2 2" xfId="13582"/>
    <cellStyle name="Normal 3 3 2 17 3 3" xfId="13583"/>
    <cellStyle name="Normal 3 3 2 17 4" xfId="13584"/>
    <cellStyle name="Normal 3 3 2 17 4 2" xfId="13585"/>
    <cellStyle name="Normal 3 3 2 17 5" xfId="13586"/>
    <cellStyle name="Normal 3 3 2 18" xfId="13587"/>
    <cellStyle name="Normal 3 3 2 18 2" xfId="13588"/>
    <cellStyle name="Normal 3 3 2 18 2 2" xfId="13589"/>
    <cellStyle name="Normal 3 3 2 18 2 2 2" xfId="13590"/>
    <cellStyle name="Normal 3 3 2 18 2 2 2 2" xfId="13591"/>
    <cellStyle name="Normal 3 3 2 18 2 2 3" xfId="13592"/>
    <cellStyle name="Normal 3 3 2 18 2 3" xfId="13593"/>
    <cellStyle name="Normal 3 3 2 18 2 3 2" xfId="13594"/>
    <cellStyle name="Normal 3 3 2 18 2 4" xfId="13595"/>
    <cellStyle name="Normal 3 3 2 18 3" xfId="13596"/>
    <cellStyle name="Normal 3 3 2 18 3 2" xfId="13597"/>
    <cellStyle name="Normal 3 3 2 18 3 2 2" xfId="13598"/>
    <cellStyle name="Normal 3 3 2 18 3 3" xfId="13599"/>
    <cellStyle name="Normal 3 3 2 18 4" xfId="13600"/>
    <cellStyle name="Normal 3 3 2 18 4 2" xfId="13601"/>
    <cellStyle name="Normal 3 3 2 18 5" xfId="13602"/>
    <cellStyle name="Normal 3 3 2 19" xfId="13603"/>
    <cellStyle name="Normal 3 3 2 19 2" xfId="13604"/>
    <cellStyle name="Normal 3 3 2 19 2 2" xfId="13605"/>
    <cellStyle name="Normal 3 3 2 19 2 2 2" xfId="13606"/>
    <cellStyle name="Normal 3 3 2 19 2 2 2 2" xfId="13607"/>
    <cellStyle name="Normal 3 3 2 19 2 2 3" xfId="13608"/>
    <cellStyle name="Normal 3 3 2 19 2 3" xfId="13609"/>
    <cellStyle name="Normal 3 3 2 19 2 3 2" xfId="13610"/>
    <cellStyle name="Normal 3 3 2 19 2 4" xfId="13611"/>
    <cellStyle name="Normal 3 3 2 19 3" xfId="13612"/>
    <cellStyle name="Normal 3 3 2 19 3 2" xfId="13613"/>
    <cellStyle name="Normal 3 3 2 19 3 2 2" xfId="13614"/>
    <cellStyle name="Normal 3 3 2 19 3 3" xfId="13615"/>
    <cellStyle name="Normal 3 3 2 19 4" xfId="13616"/>
    <cellStyle name="Normal 3 3 2 19 4 2" xfId="13617"/>
    <cellStyle name="Normal 3 3 2 19 5" xfId="13618"/>
    <cellStyle name="Normal 3 3 2 2" xfId="13619"/>
    <cellStyle name="Normal 3 3 2 2 2" xfId="13620"/>
    <cellStyle name="Normal 3 3 2 2 2 2" xfId="13621"/>
    <cellStyle name="Normal 3 3 2 2 2 2 2" xfId="13622"/>
    <cellStyle name="Normal 3 3 2 2 2 2 2 2" xfId="13623"/>
    <cellStyle name="Normal 3 3 2 2 2 2 3" xfId="13624"/>
    <cellStyle name="Normal 3 3 2 2 2 3" xfId="13625"/>
    <cellStyle name="Normal 3 3 2 2 2 3 2" xfId="13626"/>
    <cellStyle name="Normal 3 3 2 2 2 4" xfId="13627"/>
    <cellStyle name="Normal 3 3 2 2 3" xfId="13628"/>
    <cellStyle name="Normal 3 3 2 2 3 2" xfId="13629"/>
    <cellStyle name="Normal 3 3 2 2 3 2 2" xfId="13630"/>
    <cellStyle name="Normal 3 3 2 2 3 3" xfId="13631"/>
    <cellStyle name="Normal 3 3 2 2 4" xfId="13632"/>
    <cellStyle name="Normal 3 3 2 2 4 2" xfId="13633"/>
    <cellStyle name="Normal 3 3 2 2 5" xfId="13634"/>
    <cellStyle name="Normal 3 3 2 20" xfId="13635"/>
    <cellStyle name="Normal 3 3 2 20 2" xfId="13636"/>
    <cellStyle name="Normal 3 3 2 20 2 2" xfId="13637"/>
    <cellStyle name="Normal 3 3 2 20 2 2 2" xfId="13638"/>
    <cellStyle name="Normal 3 3 2 20 2 2 2 2" xfId="13639"/>
    <cellStyle name="Normal 3 3 2 20 2 2 3" xfId="13640"/>
    <cellStyle name="Normal 3 3 2 20 2 3" xfId="13641"/>
    <cellStyle name="Normal 3 3 2 20 2 3 2" xfId="13642"/>
    <cellStyle name="Normal 3 3 2 20 2 4" xfId="13643"/>
    <cellStyle name="Normal 3 3 2 20 3" xfId="13644"/>
    <cellStyle name="Normal 3 3 2 20 3 2" xfId="13645"/>
    <cellStyle name="Normal 3 3 2 20 3 2 2" xfId="13646"/>
    <cellStyle name="Normal 3 3 2 20 3 3" xfId="13647"/>
    <cellStyle name="Normal 3 3 2 20 4" xfId="13648"/>
    <cellStyle name="Normal 3 3 2 20 4 2" xfId="13649"/>
    <cellStyle name="Normal 3 3 2 20 5" xfId="13650"/>
    <cellStyle name="Normal 3 3 2 21" xfId="13651"/>
    <cellStyle name="Normal 3 3 2 21 2" xfId="13652"/>
    <cellStyle name="Normal 3 3 2 21 2 2" xfId="13653"/>
    <cellStyle name="Normal 3 3 2 21 2 2 2" xfId="13654"/>
    <cellStyle name="Normal 3 3 2 21 2 2 2 2" xfId="13655"/>
    <cellStyle name="Normal 3 3 2 21 2 2 3" xfId="13656"/>
    <cellStyle name="Normal 3 3 2 21 2 3" xfId="13657"/>
    <cellStyle name="Normal 3 3 2 21 2 3 2" xfId="13658"/>
    <cellStyle name="Normal 3 3 2 21 2 4" xfId="13659"/>
    <cellStyle name="Normal 3 3 2 21 3" xfId="13660"/>
    <cellStyle name="Normal 3 3 2 21 3 2" xfId="13661"/>
    <cellStyle name="Normal 3 3 2 21 3 2 2" xfId="13662"/>
    <cellStyle name="Normal 3 3 2 21 3 3" xfId="13663"/>
    <cellStyle name="Normal 3 3 2 21 4" xfId="13664"/>
    <cellStyle name="Normal 3 3 2 21 4 2" xfId="13665"/>
    <cellStyle name="Normal 3 3 2 21 5" xfId="13666"/>
    <cellStyle name="Normal 3 3 2 22" xfId="13667"/>
    <cellStyle name="Normal 3 3 2 22 2" xfId="13668"/>
    <cellStyle name="Normal 3 3 2 22 2 2" xfId="13669"/>
    <cellStyle name="Normal 3 3 2 22 2 2 2" xfId="13670"/>
    <cellStyle name="Normal 3 3 2 22 2 2 2 2" xfId="13671"/>
    <cellStyle name="Normal 3 3 2 22 2 2 3" xfId="13672"/>
    <cellStyle name="Normal 3 3 2 22 2 3" xfId="13673"/>
    <cellStyle name="Normal 3 3 2 22 2 3 2" xfId="13674"/>
    <cellStyle name="Normal 3 3 2 22 2 4" xfId="13675"/>
    <cellStyle name="Normal 3 3 2 22 3" xfId="13676"/>
    <cellStyle name="Normal 3 3 2 22 3 2" xfId="13677"/>
    <cellStyle name="Normal 3 3 2 22 3 2 2" xfId="13678"/>
    <cellStyle name="Normal 3 3 2 22 3 3" xfId="13679"/>
    <cellStyle name="Normal 3 3 2 22 4" xfId="13680"/>
    <cellStyle name="Normal 3 3 2 22 4 2" xfId="13681"/>
    <cellStyle name="Normal 3 3 2 22 5" xfId="13682"/>
    <cellStyle name="Normal 3 3 2 23" xfId="13683"/>
    <cellStyle name="Normal 3 3 2 23 2" xfId="13684"/>
    <cellStyle name="Normal 3 3 2 23 2 2" xfId="13685"/>
    <cellStyle name="Normal 3 3 2 23 2 2 2" xfId="13686"/>
    <cellStyle name="Normal 3 3 2 23 2 2 2 2" xfId="13687"/>
    <cellStyle name="Normal 3 3 2 23 2 2 3" xfId="13688"/>
    <cellStyle name="Normal 3 3 2 23 2 3" xfId="13689"/>
    <cellStyle name="Normal 3 3 2 23 2 3 2" xfId="13690"/>
    <cellStyle name="Normal 3 3 2 23 2 4" xfId="13691"/>
    <cellStyle name="Normal 3 3 2 23 3" xfId="13692"/>
    <cellStyle name="Normal 3 3 2 23 3 2" xfId="13693"/>
    <cellStyle name="Normal 3 3 2 23 3 2 2" xfId="13694"/>
    <cellStyle name="Normal 3 3 2 23 3 3" xfId="13695"/>
    <cellStyle name="Normal 3 3 2 23 4" xfId="13696"/>
    <cellStyle name="Normal 3 3 2 23 4 2" xfId="13697"/>
    <cellStyle name="Normal 3 3 2 23 5" xfId="13698"/>
    <cellStyle name="Normal 3 3 2 24" xfId="13699"/>
    <cellStyle name="Normal 3 3 2 24 2" xfId="13700"/>
    <cellStyle name="Normal 3 3 2 24 2 2" xfId="13701"/>
    <cellStyle name="Normal 3 3 2 24 2 2 2" xfId="13702"/>
    <cellStyle name="Normal 3 3 2 24 2 2 2 2" xfId="13703"/>
    <cellStyle name="Normal 3 3 2 24 2 2 3" xfId="13704"/>
    <cellStyle name="Normal 3 3 2 24 2 3" xfId="13705"/>
    <cellStyle name="Normal 3 3 2 24 2 3 2" xfId="13706"/>
    <cellStyle name="Normal 3 3 2 24 2 4" xfId="13707"/>
    <cellStyle name="Normal 3 3 2 24 3" xfId="13708"/>
    <cellStyle name="Normal 3 3 2 24 3 2" xfId="13709"/>
    <cellStyle name="Normal 3 3 2 24 3 2 2" xfId="13710"/>
    <cellStyle name="Normal 3 3 2 24 3 3" xfId="13711"/>
    <cellStyle name="Normal 3 3 2 24 4" xfId="13712"/>
    <cellStyle name="Normal 3 3 2 24 4 2" xfId="13713"/>
    <cellStyle name="Normal 3 3 2 24 5" xfId="13714"/>
    <cellStyle name="Normal 3 3 2 25" xfId="13715"/>
    <cellStyle name="Normal 3 3 2 25 2" xfId="13716"/>
    <cellStyle name="Normal 3 3 2 25 2 2" xfId="13717"/>
    <cellStyle name="Normal 3 3 2 25 2 2 2" xfId="13718"/>
    <cellStyle name="Normal 3 3 2 25 2 2 2 2" xfId="13719"/>
    <cellStyle name="Normal 3 3 2 25 2 2 3" xfId="13720"/>
    <cellStyle name="Normal 3 3 2 25 2 3" xfId="13721"/>
    <cellStyle name="Normal 3 3 2 25 2 3 2" xfId="13722"/>
    <cellStyle name="Normal 3 3 2 25 2 4" xfId="13723"/>
    <cellStyle name="Normal 3 3 2 25 3" xfId="13724"/>
    <cellStyle name="Normal 3 3 2 25 3 2" xfId="13725"/>
    <cellStyle name="Normal 3 3 2 25 3 2 2" xfId="13726"/>
    <cellStyle name="Normal 3 3 2 25 3 3" xfId="13727"/>
    <cellStyle name="Normal 3 3 2 25 4" xfId="13728"/>
    <cellStyle name="Normal 3 3 2 25 4 2" xfId="13729"/>
    <cellStyle name="Normal 3 3 2 25 5" xfId="13730"/>
    <cellStyle name="Normal 3 3 2 26" xfId="13731"/>
    <cellStyle name="Normal 3 3 2 26 2" xfId="13732"/>
    <cellStyle name="Normal 3 3 2 26 2 2" xfId="13733"/>
    <cellStyle name="Normal 3 3 2 26 2 2 2" xfId="13734"/>
    <cellStyle name="Normal 3 3 2 26 2 2 2 2" xfId="13735"/>
    <cellStyle name="Normal 3 3 2 26 2 2 3" xfId="13736"/>
    <cellStyle name="Normal 3 3 2 26 2 3" xfId="13737"/>
    <cellStyle name="Normal 3 3 2 26 2 3 2" xfId="13738"/>
    <cellStyle name="Normal 3 3 2 26 2 4" xfId="13739"/>
    <cellStyle name="Normal 3 3 2 26 3" xfId="13740"/>
    <cellStyle name="Normal 3 3 2 26 3 2" xfId="13741"/>
    <cellStyle name="Normal 3 3 2 26 3 2 2" xfId="13742"/>
    <cellStyle name="Normal 3 3 2 26 3 3" xfId="13743"/>
    <cellStyle name="Normal 3 3 2 26 4" xfId="13744"/>
    <cellStyle name="Normal 3 3 2 26 4 2" xfId="13745"/>
    <cellStyle name="Normal 3 3 2 26 5" xfId="13746"/>
    <cellStyle name="Normal 3 3 2 27" xfId="13747"/>
    <cellStyle name="Normal 3 3 2 27 2" xfId="13748"/>
    <cellStyle name="Normal 3 3 2 27 2 2" xfId="13749"/>
    <cellStyle name="Normal 3 3 2 27 2 2 2" xfId="13750"/>
    <cellStyle name="Normal 3 3 2 27 2 2 2 2" xfId="13751"/>
    <cellStyle name="Normal 3 3 2 27 2 2 3" xfId="13752"/>
    <cellStyle name="Normal 3 3 2 27 2 3" xfId="13753"/>
    <cellStyle name="Normal 3 3 2 27 2 3 2" xfId="13754"/>
    <cellStyle name="Normal 3 3 2 27 2 4" xfId="13755"/>
    <cellStyle name="Normal 3 3 2 27 3" xfId="13756"/>
    <cellStyle name="Normal 3 3 2 27 3 2" xfId="13757"/>
    <cellStyle name="Normal 3 3 2 27 3 2 2" xfId="13758"/>
    <cellStyle name="Normal 3 3 2 27 3 3" xfId="13759"/>
    <cellStyle name="Normal 3 3 2 27 4" xfId="13760"/>
    <cellStyle name="Normal 3 3 2 27 4 2" xfId="13761"/>
    <cellStyle name="Normal 3 3 2 27 5" xfId="13762"/>
    <cellStyle name="Normal 3 3 2 28" xfId="13763"/>
    <cellStyle name="Normal 3 3 2 28 2" xfId="13764"/>
    <cellStyle name="Normal 3 3 2 28 2 2" xfId="13765"/>
    <cellStyle name="Normal 3 3 2 28 2 2 2" xfId="13766"/>
    <cellStyle name="Normal 3 3 2 28 2 2 2 2" xfId="13767"/>
    <cellStyle name="Normal 3 3 2 28 2 2 3" xfId="13768"/>
    <cellStyle name="Normal 3 3 2 28 2 3" xfId="13769"/>
    <cellStyle name="Normal 3 3 2 28 2 3 2" xfId="13770"/>
    <cellStyle name="Normal 3 3 2 28 2 4" xfId="13771"/>
    <cellStyle name="Normal 3 3 2 28 3" xfId="13772"/>
    <cellStyle name="Normal 3 3 2 28 3 2" xfId="13773"/>
    <cellStyle name="Normal 3 3 2 28 3 2 2" xfId="13774"/>
    <cellStyle name="Normal 3 3 2 28 3 3" xfId="13775"/>
    <cellStyle name="Normal 3 3 2 28 4" xfId="13776"/>
    <cellStyle name="Normal 3 3 2 28 4 2" xfId="13777"/>
    <cellStyle name="Normal 3 3 2 28 5" xfId="13778"/>
    <cellStyle name="Normal 3 3 2 29" xfId="13779"/>
    <cellStyle name="Normal 3 3 2 29 2" xfId="13780"/>
    <cellStyle name="Normal 3 3 2 29 2 2" xfId="13781"/>
    <cellStyle name="Normal 3 3 2 29 2 2 2" xfId="13782"/>
    <cellStyle name="Normal 3 3 2 29 2 2 2 2" xfId="13783"/>
    <cellStyle name="Normal 3 3 2 29 2 2 3" xfId="13784"/>
    <cellStyle name="Normal 3 3 2 29 2 3" xfId="13785"/>
    <cellStyle name="Normal 3 3 2 29 2 3 2" xfId="13786"/>
    <cellStyle name="Normal 3 3 2 29 2 4" xfId="13787"/>
    <cellStyle name="Normal 3 3 2 29 3" xfId="13788"/>
    <cellStyle name="Normal 3 3 2 29 3 2" xfId="13789"/>
    <cellStyle name="Normal 3 3 2 29 3 2 2" xfId="13790"/>
    <cellStyle name="Normal 3 3 2 29 3 3" xfId="13791"/>
    <cellStyle name="Normal 3 3 2 29 4" xfId="13792"/>
    <cellStyle name="Normal 3 3 2 29 4 2" xfId="13793"/>
    <cellStyle name="Normal 3 3 2 29 5" xfId="13794"/>
    <cellStyle name="Normal 3 3 2 3" xfId="13795"/>
    <cellStyle name="Normal 3 3 2 3 2" xfId="13796"/>
    <cellStyle name="Normal 3 3 2 3 2 2" xfId="13797"/>
    <cellStyle name="Normal 3 3 2 3 2 2 2" xfId="13798"/>
    <cellStyle name="Normal 3 3 2 3 2 2 2 2" xfId="13799"/>
    <cellStyle name="Normal 3 3 2 3 2 2 3" xfId="13800"/>
    <cellStyle name="Normal 3 3 2 3 2 3" xfId="13801"/>
    <cellStyle name="Normal 3 3 2 3 2 3 2" xfId="13802"/>
    <cellStyle name="Normal 3 3 2 3 2 4" xfId="13803"/>
    <cellStyle name="Normal 3 3 2 3 3" xfId="13804"/>
    <cellStyle name="Normal 3 3 2 3 3 2" xfId="13805"/>
    <cellStyle name="Normal 3 3 2 3 3 2 2" xfId="13806"/>
    <cellStyle name="Normal 3 3 2 3 3 3" xfId="13807"/>
    <cellStyle name="Normal 3 3 2 3 4" xfId="13808"/>
    <cellStyle name="Normal 3 3 2 3 4 2" xfId="13809"/>
    <cellStyle name="Normal 3 3 2 3 5" xfId="13810"/>
    <cellStyle name="Normal 3 3 2 30" xfId="13811"/>
    <cellStyle name="Normal 3 3 2 30 2" xfId="13812"/>
    <cellStyle name="Normal 3 3 2 30 2 2" xfId="13813"/>
    <cellStyle name="Normal 3 3 2 30 2 2 2" xfId="13814"/>
    <cellStyle name="Normal 3 3 2 30 2 2 2 2" xfId="13815"/>
    <cellStyle name="Normal 3 3 2 30 2 2 3" xfId="13816"/>
    <cellStyle name="Normal 3 3 2 30 2 3" xfId="13817"/>
    <cellStyle name="Normal 3 3 2 30 2 3 2" xfId="13818"/>
    <cellStyle name="Normal 3 3 2 30 2 4" xfId="13819"/>
    <cellStyle name="Normal 3 3 2 30 3" xfId="13820"/>
    <cellStyle name="Normal 3 3 2 30 3 2" xfId="13821"/>
    <cellStyle name="Normal 3 3 2 30 3 2 2" xfId="13822"/>
    <cellStyle name="Normal 3 3 2 30 3 3" xfId="13823"/>
    <cellStyle name="Normal 3 3 2 30 4" xfId="13824"/>
    <cellStyle name="Normal 3 3 2 30 4 2" xfId="13825"/>
    <cellStyle name="Normal 3 3 2 30 5" xfId="13826"/>
    <cellStyle name="Normal 3 3 2 31" xfId="13827"/>
    <cellStyle name="Normal 3 3 2 31 2" xfId="13828"/>
    <cellStyle name="Normal 3 3 2 31 2 2" xfId="13829"/>
    <cellStyle name="Normal 3 3 2 31 2 2 2" xfId="13830"/>
    <cellStyle name="Normal 3 3 2 31 2 2 2 2" xfId="13831"/>
    <cellStyle name="Normal 3 3 2 31 2 2 3" xfId="13832"/>
    <cellStyle name="Normal 3 3 2 31 2 3" xfId="13833"/>
    <cellStyle name="Normal 3 3 2 31 2 3 2" xfId="13834"/>
    <cellStyle name="Normal 3 3 2 31 2 4" xfId="13835"/>
    <cellStyle name="Normal 3 3 2 31 3" xfId="13836"/>
    <cellStyle name="Normal 3 3 2 31 3 2" xfId="13837"/>
    <cellStyle name="Normal 3 3 2 31 3 2 2" xfId="13838"/>
    <cellStyle name="Normal 3 3 2 31 3 3" xfId="13839"/>
    <cellStyle name="Normal 3 3 2 31 4" xfId="13840"/>
    <cellStyle name="Normal 3 3 2 31 4 2" xfId="13841"/>
    <cellStyle name="Normal 3 3 2 31 5" xfId="13842"/>
    <cellStyle name="Normal 3 3 2 32" xfId="13843"/>
    <cellStyle name="Normal 3 3 2 32 2" xfId="13844"/>
    <cellStyle name="Normal 3 3 2 32 2 2" xfId="13845"/>
    <cellStyle name="Normal 3 3 2 32 2 2 2" xfId="13846"/>
    <cellStyle name="Normal 3 3 2 32 2 2 2 2" xfId="13847"/>
    <cellStyle name="Normal 3 3 2 32 2 2 3" xfId="13848"/>
    <cellStyle name="Normal 3 3 2 32 2 3" xfId="13849"/>
    <cellStyle name="Normal 3 3 2 32 2 3 2" xfId="13850"/>
    <cellStyle name="Normal 3 3 2 32 2 4" xfId="13851"/>
    <cellStyle name="Normal 3 3 2 32 3" xfId="13852"/>
    <cellStyle name="Normal 3 3 2 32 3 2" xfId="13853"/>
    <cellStyle name="Normal 3 3 2 32 3 2 2" xfId="13854"/>
    <cellStyle name="Normal 3 3 2 32 3 3" xfId="13855"/>
    <cellStyle name="Normal 3 3 2 32 4" xfId="13856"/>
    <cellStyle name="Normal 3 3 2 32 4 2" xfId="13857"/>
    <cellStyle name="Normal 3 3 2 32 5" xfId="13858"/>
    <cellStyle name="Normal 3 3 2 33" xfId="13859"/>
    <cellStyle name="Normal 3 3 2 33 2" xfId="13860"/>
    <cellStyle name="Normal 3 3 2 33 2 2" xfId="13861"/>
    <cellStyle name="Normal 3 3 2 33 2 2 2" xfId="13862"/>
    <cellStyle name="Normal 3 3 2 33 2 2 2 2" xfId="13863"/>
    <cellStyle name="Normal 3 3 2 33 2 2 3" xfId="13864"/>
    <cellStyle name="Normal 3 3 2 33 2 3" xfId="13865"/>
    <cellStyle name="Normal 3 3 2 33 2 3 2" xfId="13866"/>
    <cellStyle name="Normal 3 3 2 33 2 4" xfId="13867"/>
    <cellStyle name="Normal 3 3 2 33 3" xfId="13868"/>
    <cellStyle name="Normal 3 3 2 33 3 2" xfId="13869"/>
    <cellStyle name="Normal 3 3 2 33 3 2 2" xfId="13870"/>
    <cellStyle name="Normal 3 3 2 33 3 3" xfId="13871"/>
    <cellStyle name="Normal 3 3 2 33 4" xfId="13872"/>
    <cellStyle name="Normal 3 3 2 33 4 2" xfId="13873"/>
    <cellStyle name="Normal 3 3 2 33 5" xfId="13874"/>
    <cellStyle name="Normal 3 3 2 34" xfId="13875"/>
    <cellStyle name="Normal 3 3 2 34 2" xfId="13876"/>
    <cellStyle name="Normal 3 3 2 34 2 2" xfId="13877"/>
    <cellStyle name="Normal 3 3 2 34 2 2 2" xfId="13878"/>
    <cellStyle name="Normal 3 3 2 34 2 2 2 2" xfId="13879"/>
    <cellStyle name="Normal 3 3 2 34 2 2 3" xfId="13880"/>
    <cellStyle name="Normal 3 3 2 34 2 3" xfId="13881"/>
    <cellStyle name="Normal 3 3 2 34 2 3 2" xfId="13882"/>
    <cellStyle name="Normal 3 3 2 34 2 4" xfId="13883"/>
    <cellStyle name="Normal 3 3 2 34 3" xfId="13884"/>
    <cellStyle name="Normal 3 3 2 34 3 2" xfId="13885"/>
    <cellStyle name="Normal 3 3 2 34 3 2 2" xfId="13886"/>
    <cellStyle name="Normal 3 3 2 34 3 3" xfId="13887"/>
    <cellStyle name="Normal 3 3 2 34 4" xfId="13888"/>
    <cellStyle name="Normal 3 3 2 34 4 2" xfId="13889"/>
    <cellStyle name="Normal 3 3 2 34 5" xfId="13890"/>
    <cellStyle name="Normal 3 3 2 35" xfId="13891"/>
    <cellStyle name="Normal 3 3 2 35 2" xfId="13892"/>
    <cellStyle name="Normal 3 3 2 35 2 2" xfId="13893"/>
    <cellStyle name="Normal 3 3 2 35 2 2 2" xfId="13894"/>
    <cellStyle name="Normal 3 3 2 35 2 2 2 2" xfId="13895"/>
    <cellStyle name="Normal 3 3 2 35 2 2 3" xfId="13896"/>
    <cellStyle name="Normal 3 3 2 35 2 3" xfId="13897"/>
    <cellStyle name="Normal 3 3 2 35 2 3 2" xfId="13898"/>
    <cellStyle name="Normal 3 3 2 35 2 4" xfId="13899"/>
    <cellStyle name="Normal 3 3 2 35 3" xfId="13900"/>
    <cellStyle name="Normal 3 3 2 35 3 2" xfId="13901"/>
    <cellStyle name="Normal 3 3 2 35 3 2 2" xfId="13902"/>
    <cellStyle name="Normal 3 3 2 35 3 3" xfId="13903"/>
    <cellStyle name="Normal 3 3 2 35 4" xfId="13904"/>
    <cellStyle name="Normal 3 3 2 35 4 2" xfId="13905"/>
    <cellStyle name="Normal 3 3 2 35 5" xfId="13906"/>
    <cellStyle name="Normal 3 3 2 36" xfId="13907"/>
    <cellStyle name="Normal 3 3 2 36 2" xfId="13908"/>
    <cellStyle name="Normal 3 3 2 36 2 2" xfId="13909"/>
    <cellStyle name="Normal 3 3 2 36 2 2 2" xfId="13910"/>
    <cellStyle name="Normal 3 3 2 36 2 2 2 2" xfId="13911"/>
    <cellStyle name="Normal 3 3 2 36 2 2 3" xfId="13912"/>
    <cellStyle name="Normal 3 3 2 36 2 3" xfId="13913"/>
    <cellStyle name="Normal 3 3 2 36 2 3 2" xfId="13914"/>
    <cellStyle name="Normal 3 3 2 36 2 4" xfId="13915"/>
    <cellStyle name="Normal 3 3 2 36 3" xfId="13916"/>
    <cellStyle name="Normal 3 3 2 36 3 2" xfId="13917"/>
    <cellStyle name="Normal 3 3 2 36 3 2 2" xfId="13918"/>
    <cellStyle name="Normal 3 3 2 36 3 3" xfId="13919"/>
    <cellStyle name="Normal 3 3 2 36 4" xfId="13920"/>
    <cellStyle name="Normal 3 3 2 36 4 2" xfId="13921"/>
    <cellStyle name="Normal 3 3 2 36 5" xfId="13922"/>
    <cellStyle name="Normal 3 3 2 37" xfId="13923"/>
    <cellStyle name="Normal 3 3 2 37 2" xfId="13924"/>
    <cellStyle name="Normal 3 3 2 37 2 2" xfId="13925"/>
    <cellStyle name="Normal 3 3 2 37 2 2 2" xfId="13926"/>
    <cellStyle name="Normal 3 3 2 37 2 2 2 2" xfId="13927"/>
    <cellStyle name="Normal 3 3 2 37 2 2 3" xfId="13928"/>
    <cellStyle name="Normal 3 3 2 37 2 3" xfId="13929"/>
    <cellStyle name="Normal 3 3 2 37 2 3 2" xfId="13930"/>
    <cellStyle name="Normal 3 3 2 37 2 4" xfId="13931"/>
    <cellStyle name="Normal 3 3 2 37 3" xfId="13932"/>
    <cellStyle name="Normal 3 3 2 37 3 2" xfId="13933"/>
    <cellStyle name="Normal 3 3 2 37 3 2 2" xfId="13934"/>
    <cellStyle name="Normal 3 3 2 37 3 3" xfId="13935"/>
    <cellStyle name="Normal 3 3 2 37 4" xfId="13936"/>
    <cellStyle name="Normal 3 3 2 37 4 2" xfId="13937"/>
    <cellStyle name="Normal 3 3 2 37 5" xfId="13938"/>
    <cellStyle name="Normal 3 3 2 38" xfId="13939"/>
    <cellStyle name="Normal 3 3 2 38 2" xfId="13940"/>
    <cellStyle name="Normal 3 3 2 38 2 2" xfId="13941"/>
    <cellStyle name="Normal 3 3 2 38 2 2 2" xfId="13942"/>
    <cellStyle name="Normal 3 3 2 38 2 2 2 2" xfId="13943"/>
    <cellStyle name="Normal 3 3 2 38 2 2 3" xfId="13944"/>
    <cellStyle name="Normal 3 3 2 38 2 3" xfId="13945"/>
    <cellStyle name="Normal 3 3 2 38 2 3 2" xfId="13946"/>
    <cellStyle name="Normal 3 3 2 38 2 4" xfId="13947"/>
    <cellStyle name="Normal 3 3 2 38 3" xfId="13948"/>
    <cellStyle name="Normal 3 3 2 38 3 2" xfId="13949"/>
    <cellStyle name="Normal 3 3 2 38 3 2 2" xfId="13950"/>
    <cellStyle name="Normal 3 3 2 38 3 3" xfId="13951"/>
    <cellStyle name="Normal 3 3 2 38 4" xfId="13952"/>
    <cellStyle name="Normal 3 3 2 38 4 2" xfId="13953"/>
    <cellStyle name="Normal 3 3 2 38 5" xfId="13954"/>
    <cellStyle name="Normal 3 3 2 39" xfId="13955"/>
    <cellStyle name="Normal 3 3 2 39 2" xfId="13956"/>
    <cellStyle name="Normal 3 3 2 39 2 2" xfId="13957"/>
    <cellStyle name="Normal 3 3 2 39 2 2 2" xfId="13958"/>
    <cellStyle name="Normal 3 3 2 39 2 2 2 2" xfId="13959"/>
    <cellStyle name="Normal 3 3 2 39 2 2 3" xfId="13960"/>
    <cellStyle name="Normal 3 3 2 39 2 3" xfId="13961"/>
    <cellStyle name="Normal 3 3 2 39 2 3 2" xfId="13962"/>
    <cellStyle name="Normal 3 3 2 39 2 4" xfId="13963"/>
    <cellStyle name="Normal 3 3 2 39 3" xfId="13964"/>
    <cellStyle name="Normal 3 3 2 39 3 2" xfId="13965"/>
    <cellStyle name="Normal 3 3 2 39 3 2 2" xfId="13966"/>
    <cellStyle name="Normal 3 3 2 39 3 3" xfId="13967"/>
    <cellStyle name="Normal 3 3 2 39 4" xfId="13968"/>
    <cellStyle name="Normal 3 3 2 39 4 2" xfId="13969"/>
    <cellStyle name="Normal 3 3 2 39 5" xfId="13970"/>
    <cellStyle name="Normal 3 3 2 4" xfId="13971"/>
    <cellStyle name="Normal 3 3 2 4 2" xfId="13972"/>
    <cellStyle name="Normal 3 3 2 4 2 2" xfId="13973"/>
    <cellStyle name="Normal 3 3 2 4 2 2 2" xfId="13974"/>
    <cellStyle name="Normal 3 3 2 4 2 2 2 2" xfId="13975"/>
    <cellStyle name="Normal 3 3 2 4 2 2 3" xfId="13976"/>
    <cellStyle name="Normal 3 3 2 4 2 3" xfId="13977"/>
    <cellStyle name="Normal 3 3 2 4 2 3 2" xfId="13978"/>
    <cellStyle name="Normal 3 3 2 4 2 4" xfId="13979"/>
    <cellStyle name="Normal 3 3 2 4 3" xfId="13980"/>
    <cellStyle name="Normal 3 3 2 4 3 2" xfId="13981"/>
    <cellStyle name="Normal 3 3 2 4 3 2 2" xfId="13982"/>
    <cellStyle name="Normal 3 3 2 4 3 3" xfId="13983"/>
    <cellStyle name="Normal 3 3 2 4 4" xfId="13984"/>
    <cellStyle name="Normal 3 3 2 4 4 2" xfId="13985"/>
    <cellStyle name="Normal 3 3 2 4 5" xfId="13986"/>
    <cellStyle name="Normal 3 3 2 40" xfId="13987"/>
    <cellStyle name="Normal 3 3 2 40 2" xfId="13988"/>
    <cellStyle name="Normal 3 3 2 40 2 2" xfId="13989"/>
    <cellStyle name="Normal 3 3 2 40 2 2 2" xfId="13990"/>
    <cellStyle name="Normal 3 3 2 40 2 2 2 2" xfId="13991"/>
    <cellStyle name="Normal 3 3 2 40 2 2 3" xfId="13992"/>
    <cellStyle name="Normal 3 3 2 40 2 3" xfId="13993"/>
    <cellStyle name="Normal 3 3 2 40 2 3 2" xfId="13994"/>
    <cellStyle name="Normal 3 3 2 40 2 4" xfId="13995"/>
    <cellStyle name="Normal 3 3 2 40 3" xfId="13996"/>
    <cellStyle name="Normal 3 3 2 40 3 2" xfId="13997"/>
    <cellStyle name="Normal 3 3 2 40 3 2 2" xfId="13998"/>
    <cellStyle name="Normal 3 3 2 40 3 3" xfId="13999"/>
    <cellStyle name="Normal 3 3 2 40 4" xfId="14000"/>
    <cellStyle name="Normal 3 3 2 40 4 2" xfId="14001"/>
    <cellStyle name="Normal 3 3 2 40 5" xfId="14002"/>
    <cellStyle name="Normal 3 3 2 41" xfId="14003"/>
    <cellStyle name="Normal 3 3 2 41 2" xfId="14004"/>
    <cellStyle name="Normal 3 3 2 41 2 2" xfId="14005"/>
    <cellStyle name="Normal 3 3 2 41 2 2 2" xfId="14006"/>
    <cellStyle name="Normal 3 3 2 41 2 3" xfId="14007"/>
    <cellStyle name="Normal 3 3 2 41 3" xfId="14008"/>
    <cellStyle name="Normal 3 3 2 41 3 2" xfId="14009"/>
    <cellStyle name="Normal 3 3 2 41 4" xfId="14010"/>
    <cellStyle name="Normal 3 3 2 42" xfId="14011"/>
    <cellStyle name="Normal 3 3 2 42 2" xfId="14012"/>
    <cellStyle name="Normal 3 3 2 42 2 2" xfId="14013"/>
    <cellStyle name="Normal 3 3 2 42 3" xfId="14014"/>
    <cellStyle name="Normal 3 3 2 43" xfId="14015"/>
    <cellStyle name="Normal 3 3 2 43 2" xfId="14016"/>
    <cellStyle name="Normal 3 3 2 44" xfId="14017"/>
    <cellStyle name="Normal 3 3 2 5" xfId="14018"/>
    <cellStyle name="Normal 3 3 2 5 2" xfId="14019"/>
    <cellStyle name="Normal 3 3 2 5 2 2" xfId="14020"/>
    <cellStyle name="Normal 3 3 2 5 2 2 2" xfId="14021"/>
    <cellStyle name="Normal 3 3 2 5 2 2 2 2" xfId="14022"/>
    <cellStyle name="Normal 3 3 2 5 2 2 3" xfId="14023"/>
    <cellStyle name="Normal 3 3 2 5 2 3" xfId="14024"/>
    <cellStyle name="Normal 3 3 2 5 2 3 2" xfId="14025"/>
    <cellStyle name="Normal 3 3 2 5 2 4" xfId="14026"/>
    <cellStyle name="Normal 3 3 2 5 3" xfId="14027"/>
    <cellStyle name="Normal 3 3 2 5 3 2" xfId="14028"/>
    <cellStyle name="Normal 3 3 2 5 3 2 2" xfId="14029"/>
    <cellStyle name="Normal 3 3 2 5 3 3" xfId="14030"/>
    <cellStyle name="Normal 3 3 2 5 4" xfId="14031"/>
    <cellStyle name="Normal 3 3 2 5 4 2" xfId="14032"/>
    <cellStyle name="Normal 3 3 2 5 5" xfId="14033"/>
    <cellStyle name="Normal 3 3 2 6" xfId="14034"/>
    <cellStyle name="Normal 3 3 2 6 2" xfId="14035"/>
    <cellStyle name="Normal 3 3 2 6 2 2" xfId="14036"/>
    <cellStyle name="Normal 3 3 2 6 2 2 2" xfId="14037"/>
    <cellStyle name="Normal 3 3 2 6 2 2 2 2" xfId="14038"/>
    <cellStyle name="Normal 3 3 2 6 2 2 3" xfId="14039"/>
    <cellStyle name="Normal 3 3 2 6 2 3" xfId="14040"/>
    <cellStyle name="Normal 3 3 2 6 2 3 2" xfId="14041"/>
    <cellStyle name="Normal 3 3 2 6 2 4" xfId="14042"/>
    <cellStyle name="Normal 3 3 2 6 3" xfId="14043"/>
    <cellStyle name="Normal 3 3 2 6 3 2" xfId="14044"/>
    <cellStyle name="Normal 3 3 2 6 3 2 2" xfId="14045"/>
    <cellStyle name="Normal 3 3 2 6 3 3" xfId="14046"/>
    <cellStyle name="Normal 3 3 2 6 4" xfId="14047"/>
    <cellStyle name="Normal 3 3 2 6 4 2" xfId="14048"/>
    <cellStyle name="Normal 3 3 2 6 5" xfId="14049"/>
    <cellStyle name="Normal 3 3 2 7" xfId="14050"/>
    <cellStyle name="Normal 3 3 2 7 2" xfId="14051"/>
    <cellStyle name="Normal 3 3 2 7 2 2" xfId="14052"/>
    <cellStyle name="Normal 3 3 2 7 2 2 2" xfId="14053"/>
    <cellStyle name="Normal 3 3 2 7 2 2 2 2" xfId="14054"/>
    <cellStyle name="Normal 3 3 2 7 2 2 3" xfId="14055"/>
    <cellStyle name="Normal 3 3 2 7 2 3" xfId="14056"/>
    <cellStyle name="Normal 3 3 2 7 2 3 2" xfId="14057"/>
    <cellStyle name="Normal 3 3 2 7 2 4" xfId="14058"/>
    <cellStyle name="Normal 3 3 2 7 3" xfId="14059"/>
    <cellStyle name="Normal 3 3 2 7 3 2" xfId="14060"/>
    <cellStyle name="Normal 3 3 2 7 3 2 2" xfId="14061"/>
    <cellStyle name="Normal 3 3 2 7 3 3" xfId="14062"/>
    <cellStyle name="Normal 3 3 2 7 4" xfId="14063"/>
    <cellStyle name="Normal 3 3 2 7 4 2" xfId="14064"/>
    <cellStyle name="Normal 3 3 2 7 5" xfId="14065"/>
    <cellStyle name="Normal 3 3 2 8" xfId="14066"/>
    <cellStyle name="Normal 3 3 2 8 2" xfId="14067"/>
    <cellStyle name="Normal 3 3 2 8 2 2" xfId="14068"/>
    <cellStyle name="Normal 3 3 2 8 2 2 2" xfId="14069"/>
    <cellStyle name="Normal 3 3 2 8 2 2 2 2" xfId="14070"/>
    <cellStyle name="Normal 3 3 2 8 2 2 3" xfId="14071"/>
    <cellStyle name="Normal 3 3 2 8 2 3" xfId="14072"/>
    <cellStyle name="Normal 3 3 2 8 2 3 2" xfId="14073"/>
    <cellStyle name="Normal 3 3 2 8 2 4" xfId="14074"/>
    <cellStyle name="Normal 3 3 2 8 3" xfId="14075"/>
    <cellStyle name="Normal 3 3 2 8 3 2" xfId="14076"/>
    <cellStyle name="Normal 3 3 2 8 3 2 2" xfId="14077"/>
    <cellStyle name="Normal 3 3 2 8 3 3" xfId="14078"/>
    <cellStyle name="Normal 3 3 2 8 4" xfId="14079"/>
    <cellStyle name="Normal 3 3 2 8 4 2" xfId="14080"/>
    <cellStyle name="Normal 3 3 2 8 5" xfId="14081"/>
    <cellStyle name="Normal 3 3 2 9" xfId="14082"/>
    <cellStyle name="Normal 3 3 2 9 2" xfId="14083"/>
    <cellStyle name="Normal 3 3 2 9 2 2" xfId="14084"/>
    <cellStyle name="Normal 3 3 2 9 2 2 2" xfId="14085"/>
    <cellStyle name="Normal 3 3 2 9 2 2 2 2" xfId="14086"/>
    <cellStyle name="Normal 3 3 2 9 2 2 3" xfId="14087"/>
    <cellStyle name="Normal 3 3 2 9 2 3" xfId="14088"/>
    <cellStyle name="Normal 3 3 2 9 2 3 2" xfId="14089"/>
    <cellStyle name="Normal 3 3 2 9 2 4" xfId="14090"/>
    <cellStyle name="Normal 3 3 2 9 3" xfId="14091"/>
    <cellStyle name="Normal 3 3 2 9 3 2" xfId="14092"/>
    <cellStyle name="Normal 3 3 2 9 3 2 2" xfId="14093"/>
    <cellStyle name="Normal 3 3 2 9 3 3" xfId="14094"/>
    <cellStyle name="Normal 3 3 2 9 4" xfId="14095"/>
    <cellStyle name="Normal 3 3 2 9 4 2" xfId="14096"/>
    <cellStyle name="Normal 3 3 2 9 5" xfId="14097"/>
    <cellStyle name="Normal 3 3 20" xfId="14098"/>
    <cellStyle name="Normal 3 3 20 2" xfId="14099"/>
    <cellStyle name="Normal 3 3 20 2 2" xfId="14100"/>
    <cellStyle name="Normal 3 3 20 2 2 2" xfId="14101"/>
    <cellStyle name="Normal 3 3 20 2 2 2 2" xfId="14102"/>
    <cellStyle name="Normal 3 3 20 2 2 3" xfId="14103"/>
    <cellStyle name="Normal 3 3 20 2 3" xfId="14104"/>
    <cellStyle name="Normal 3 3 20 2 3 2" xfId="14105"/>
    <cellStyle name="Normal 3 3 20 2 4" xfId="14106"/>
    <cellStyle name="Normal 3 3 20 3" xfId="14107"/>
    <cellStyle name="Normal 3 3 20 3 2" xfId="14108"/>
    <cellStyle name="Normal 3 3 20 3 2 2" xfId="14109"/>
    <cellStyle name="Normal 3 3 20 3 3" xfId="14110"/>
    <cellStyle name="Normal 3 3 20 4" xfId="14111"/>
    <cellStyle name="Normal 3 3 20 4 2" xfId="14112"/>
    <cellStyle name="Normal 3 3 20 5" xfId="14113"/>
    <cellStyle name="Normal 3 3 21" xfId="14114"/>
    <cellStyle name="Normal 3 3 21 2" xfId="14115"/>
    <cellStyle name="Normal 3 3 21 2 2" xfId="14116"/>
    <cellStyle name="Normal 3 3 21 2 2 2" xfId="14117"/>
    <cellStyle name="Normal 3 3 21 2 2 2 2" xfId="14118"/>
    <cellStyle name="Normal 3 3 21 2 2 3" xfId="14119"/>
    <cellStyle name="Normal 3 3 21 2 3" xfId="14120"/>
    <cellStyle name="Normal 3 3 21 2 3 2" xfId="14121"/>
    <cellStyle name="Normal 3 3 21 2 4" xfId="14122"/>
    <cellStyle name="Normal 3 3 21 3" xfId="14123"/>
    <cellStyle name="Normal 3 3 21 3 2" xfId="14124"/>
    <cellStyle name="Normal 3 3 21 3 2 2" xfId="14125"/>
    <cellStyle name="Normal 3 3 21 3 3" xfId="14126"/>
    <cellStyle name="Normal 3 3 21 4" xfId="14127"/>
    <cellStyle name="Normal 3 3 21 4 2" xfId="14128"/>
    <cellStyle name="Normal 3 3 21 5" xfId="14129"/>
    <cellStyle name="Normal 3 3 22" xfId="14130"/>
    <cellStyle name="Normal 3 3 22 2" xfId="14131"/>
    <cellStyle name="Normal 3 3 22 2 2" xfId="14132"/>
    <cellStyle name="Normal 3 3 22 2 2 2" xfId="14133"/>
    <cellStyle name="Normal 3 3 22 2 2 2 2" xfId="14134"/>
    <cellStyle name="Normal 3 3 22 2 2 3" xfId="14135"/>
    <cellStyle name="Normal 3 3 22 2 3" xfId="14136"/>
    <cellStyle name="Normal 3 3 22 2 3 2" xfId="14137"/>
    <cellStyle name="Normal 3 3 22 2 4" xfId="14138"/>
    <cellStyle name="Normal 3 3 22 3" xfId="14139"/>
    <cellStyle name="Normal 3 3 22 3 2" xfId="14140"/>
    <cellStyle name="Normal 3 3 22 3 2 2" xfId="14141"/>
    <cellStyle name="Normal 3 3 22 3 3" xfId="14142"/>
    <cellStyle name="Normal 3 3 22 4" xfId="14143"/>
    <cellStyle name="Normal 3 3 22 4 2" xfId="14144"/>
    <cellStyle name="Normal 3 3 22 5" xfId="14145"/>
    <cellStyle name="Normal 3 3 23" xfId="14146"/>
    <cellStyle name="Normal 3 3 23 2" xfId="14147"/>
    <cellStyle name="Normal 3 3 23 2 2" xfId="14148"/>
    <cellStyle name="Normal 3 3 23 2 2 2" xfId="14149"/>
    <cellStyle name="Normal 3 3 23 2 2 2 2" xfId="14150"/>
    <cellStyle name="Normal 3 3 23 2 2 3" xfId="14151"/>
    <cellStyle name="Normal 3 3 23 2 3" xfId="14152"/>
    <cellStyle name="Normal 3 3 23 2 3 2" xfId="14153"/>
    <cellStyle name="Normal 3 3 23 2 4" xfId="14154"/>
    <cellStyle name="Normal 3 3 23 3" xfId="14155"/>
    <cellStyle name="Normal 3 3 23 3 2" xfId="14156"/>
    <cellStyle name="Normal 3 3 23 3 2 2" xfId="14157"/>
    <cellStyle name="Normal 3 3 23 3 3" xfId="14158"/>
    <cellStyle name="Normal 3 3 23 4" xfId="14159"/>
    <cellStyle name="Normal 3 3 23 4 2" xfId="14160"/>
    <cellStyle name="Normal 3 3 23 5" xfId="14161"/>
    <cellStyle name="Normal 3 3 24" xfId="14162"/>
    <cellStyle name="Normal 3 3 24 2" xfId="14163"/>
    <cellStyle name="Normal 3 3 24 2 2" xfId="14164"/>
    <cellStyle name="Normal 3 3 24 2 2 2" xfId="14165"/>
    <cellStyle name="Normal 3 3 24 2 2 2 2" xfId="14166"/>
    <cellStyle name="Normal 3 3 24 2 2 3" xfId="14167"/>
    <cellStyle name="Normal 3 3 24 2 3" xfId="14168"/>
    <cellStyle name="Normal 3 3 24 2 3 2" xfId="14169"/>
    <cellStyle name="Normal 3 3 24 2 4" xfId="14170"/>
    <cellStyle name="Normal 3 3 24 3" xfId="14171"/>
    <cellStyle name="Normal 3 3 24 3 2" xfId="14172"/>
    <cellStyle name="Normal 3 3 24 3 2 2" xfId="14173"/>
    <cellStyle name="Normal 3 3 24 3 3" xfId="14174"/>
    <cellStyle name="Normal 3 3 24 4" xfId="14175"/>
    <cellStyle name="Normal 3 3 24 4 2" xfId="14176"/>
    <cellStyle name="Normal 3 3 24 5" xfId="14177"/>
    <cellStyle name="Normal 3 3 25" xfId="14178"/>
    <cellStyle name="Normal 3 3 25 2" xfId="14179"/>
    <cellStyle name="Normal 3 3 25 2 2" xfId="14180"/>
    <cellStyle name="Normal 3 3 25 2 2 2" xfId="14181"/>
    <cellStyle name="Normal 3 3 25 2 2 2 2" xfId="14182"/>
    <cellStyle name="Normal 3 3 25 2 2 3" xfId="14183"/>
    <cellStyle name="Normal 3 3 25 2 3" xfId="14184"/>
    <cellStyle name="Normal 3 3 25 2 3 2" xfId="14185"/>
    <cellStyle name="Normal 3 3 25 2 4" xfId="14186"/>
    <cellStyle name="Normal 3 3 25 3" xfId="14187"/>
    <cellStyle name="Normal 3 3 25 3 2" xfId="14188"/>
    <cellStyle name="Normal 3 3 25 3 2 2" xfId="14189"/>
    <cellStyle name="Normal 3 3 25 3 3" xfId="14190"/>
    <cellStyle name="Normal 3 3 25 4" xfId="14191"/>
    <cellStyle name="Normal 3 3 25 4 2" xfId="14192"/>
    <cellStyle name="Normal 3 3 25 5" xfId="14193"/>
    <cellStyle name="Normal 3 3 26" xfId="14194"/>
    <cellStyle name="Normal 3 3 26 2" xfId="14195"/>
    <cellStyle name="Normal 3 3 26 2 2" xfId="14196"/>
    <cellStyle name="Normal 3 3 26 2 2 2" xfId="14197"/>
    <cellStyle name="Normal 3 3 26 2 2 2 2" xfId="14198"/>
    <cellStyle name="Normal 3 3 26 2 2 3" xfId="14199"/>
    <cellStyle name="Normal 3 3 26 2 3" xfId="14200"/>
    <cellStyle name="Normal 3 3 26 2 3 2" xfId="14201"/>
    <cellStyle name="Normal 3 3 26 2 4" xfId="14202"/>
    <cellStyle name="Normal 3 3 26 3" xfId="14203"/>
    <cellStyle name="Normal 3 3 26 3 2" xfId="14204"/>
    <cellStyle name="Normal 3 3 26 3 2 2" xfId="14205"/>
    <cellStyle name="Normal 3 3 26 3 3" xfId="14206"/>
    <cellStyle name="Normal 3 3 26 4" xfId="14207"/>
    <cellStyle name="Normal 3 3 26 4 2" xfId="14208"/>
    <cellStyle name="Normal 3 3 26 5" xfId="14209"/>
    <cellStyle name="Normal 3 3 27" xfId="14210"/>
    <cellStyle name="Normal 3 3 27 2" xfId="14211"/>
    <cellStyle name="Normal 3 3 27 2 2" xfId="14212"/>
    <cellStyle name="Normal 3 3 27 2 2 2" xfId="14213"/>
    <cellStyle name="Normal 3 3 27 2 2 2 2" xfId="14214"/>
    <cellStyle name="Normal 3 3 27 2 2 3" xfId="14215"/>
    <cellStyle name="Normal 3 3 27 2 3" xfId="14216"/>
    <cellStyle name="Normal 3 3 27 2 3 2" xfId="14217"/>
    <cellStyle name="Normal 3 3 27 2 4" xfId="14218"/>
    <cellStyle name="Normal 3 3 27 3" xfId="14219"/>
    <cellStyle name="Normal 3 3 27 3 2" xfId="14220"/>
    <cellStyle name="Normal 3 3 27 3 2 2" xfId="14221"/>
    <cellStyle name="Normal 3 3 27 3 3" xfId="14222"/>
    <cellStyle name="Normal 3 3 27 4" xfId="14223"/>
    <cellStyle name="Normal 3 3 27 4 2" xfId="14224"/>
    <cellStyle name="Normal 3 3 27 5" xfId="14225"/>
    <cellStyle name="Normal 3 3 28" xfId="14226"/>
    <cellStyle name="Normal 3 3 28 2" xfId="14227"/>
    <cellStyle name="Normal 3 3 28 2 2" xfId="14228"/>
    <cellStyle name="Normal 3 3 28 2 2 2" xfId="14229"/>
    <cellStyle name="Normal 3 3 28 2 2 2 2" xfId="14230"/>
    <cellStyle name="Normal 3 3 28 2 2 3" xfId="14231"/>
    <cellStyle name="Normal 3 3 28 2 3" xfId="14232"/>
    <cellStyle name="Normal 3 3 28 2 3 2" xfId="14233"/>
    <cellStyle name="Normal 3 3 28 2 4" xfId="14234"/>
    <cellStyle name="Normal 3 3 28 3" xfId="14235"/>
    <cellStyle name="Normal 3 3 28 3 2" xfId="14236"/>
    <cellStyle name="Normal 3 3 28 3 2 2" xfId="14237"/>
    <cellStyle name="Normal 3 3 28 3 3" xfId="14238"/>
    <cellStyle name="Normal 3 3 28 4" xfId="14239"/>
    <cellStyle name="Normal 3 3 28 4 2" xfId="14240"/>
    <cellStyle name="Normal 3 3 28 5" xfId="14241"/>
    <cellStyle name="Normal 3 3 29" xfId="14242"/>
    <cellStyle name="Normal 3 3 29 2" xfId="14243"/>
    <cellStyle name="Normal 3 3 29 2 2" xfId="14244"/>
    <cellStyle name="Normal 3 3 29 2 2 2" xfId="14245"/>
    <cellStyle name="Normal 3 3 29 2 2 2 2" xfId="14246"/>
    <cellStyle name="Normal 3 3 29 2 2 3" xfId="14247"/>
    <cellStyle name="Normal 3 3 29 2 3" xfId="14248"/>
    <cellStyle name="Normal 3 3 29 2 3 2" xfId="14249"/>
    <cellStyle name="Normal 3 3 29 2 4" xfId="14250"/>
    <cellStyle name="Normal 3 3 29 3" xfId="14251"/>
    <cellStyle name="Normal 3 3 29 3 2" xfId="14252"/>
    <cellStyle name="Normal 3 3 29 3 2 2" xfId="14253"/>
    <cellStyle name="Normal 3 3 29 3 3" xfId="14254"/>
    <cellStyle name="Normal 3 3 29 4" xfId="14255"/>
    <cellStyle name="Normal 3 3 29 4 2" xfId="14256"/>
    <cellStyle name="Normal 3 3 29 5" xfId="14257"/>
    <cellStyle name="Normal 3 3 3" xfId="14258"/>
    <cellStyle name="Normal 3 3 3 2" xfId="14259"/>
    <cellStyle name="Normal 3 3 3 2 2" xfId="14260"/>
    <cellStyle name="Normal 3 3 3 2 2 2" xfId="14261"/>
    <cellStyle name="Normal 3 3 3 2 2 2 2" xfId="14262"/>
    <cellStyle name="Normal 3 3 3 2 2 3" xfId="14263"/>
    <cellStyle name="Normal 3 3 3 2 3" xfId="14264"/>
    <cellStyle name="Normal 3 3 3 2 3 2" xfId="14265"/>
    <cellStyle name="Normal 3 3 3 2 4" xfId="14266"/>
    <cellStyle name="Normal 3 3 3 3" xfId="14267"/>
    <cellStyle name="Normal 3 3 3 3 2" xfId="14268"/>
    <cellStyle name="Normal 3 3 3 3 2 2" xfId="14269"/>
    <cellStyle name="Normal 3 3 3 3 3" xfId="14270"/>
    <cellStyle name="Normal 3 3 3 4" xfId="14271"/>
    <cellStyle name="Normal 3 3 3 4 2" xfId="14272"/>
    <cellStyle name="Normal 3 3 3 5" xfId="14273"/>
    <cellStyle name="Normal 3 3 30" xfId="14274"/>
    <cellStyle name="Normal 3 3 30 2" xfId="14275"/>
    <cellStyle name="Normal 3 3 30 2 2" xfId="14276"/>
    <cellStyle name="Normal 3 3 30 2 2 2" xfId="14277"/>
    <cellStyle name="Normal 3 3 30 2 2 2 2" xfId="14278"/>
    <cellStyle name="Normal 3 3 30 2 2 3" xfId="14279"/>
    <cellStyle name="Normal 3 3 30 2 3" xfId="14280"/>
    <cellStyle name="Normal 3 3 30 2 3 2" xfId="14281"/>
    <cellStyle name="Normal 3 3 30 2 4" xfId="14282"/>
    <cellStyle name="Normal 3 3 30 3" xfId="14283"/>
    <cellStyle name="Normal 3 3 30 3 2" xfId="14284"/>
    <cellStyle name="Normal 3 3 30 3 2 2" xfId="14285"/>
    <cellStyle name="Normal 3 3 30 3 3" xfId="14286"/>
    <cellStyle name="Normal 3 3 30 4" xfId="14287"/>
    <cellStyle name="Normal 3 3 30 4 2" xfId="14288"/>
    <cellStyle name="Normal 3 3 30 5" xfId="14289"/>
    <cellStyle name="Normal 3 3 31" xfId="14290"/>
    <cellStyle name="Normal 3 3 31 2" xfId="14291"/>
    <cellStyle name="Normal 3 3 31 2 2" xfId="14292"/>
    <cellStyle name="Normal 3 3 31 2 2 2" xfId="14293"/>
    <cellStyle name="Normal 3 3 31 2 2 2 2" xfId="14294"/>
    <cellStyle name="Normal 3 3 31 2 2 3" xfId="14295"/>
    <cellStyle name="Normal 3 3 31 2 3" xfId="14296"/>
    <cellStyle name="Normal 3 3 31 2 3 2" xfId="14297"/>
    <cellStyle name="Normal 3 3 31 2 4" xfId="14298"/>
    <cellStyle name="Normal 3 3 31 3" xfId="14299"/>
    <cellStyle name="Normal 3 3 31 3 2" xfId="14300"/>
    <cellStyle name="Normal 3 3 31 3 2 2" xfId="14301"/>
    <cellStyle name="Normal 3 3 31 3 3" xfId="14302"/>
    <cellStyle name="Normal 3 3 31 4" xfId="14303"/>
    <cellStyle name="Normal 3 3 31 4 2" xfId="14304"/>
    <cellStyle name="Normal 3 3 31 5" xfId="14305"/>
    <cellStyle name="Normal 3 3 32" xfId="14306"/>
    <cellStyle name="Normal 3 3 32 2" xfId="14307"/>
    <cellStyle name="Normal 3 3 32 2 2" xfId="14308"/>
    <cellStyle name="Normal 3 3 32 2 2 2" xfId="14309"/>
    <cellStyle name="Normal 3 3 32 2 2 2 2" xfId="14310"/>
    <cellStyle name="Normal 3 3 32 2 2 3" xfId="14311"/>
    <cellStyle name="Normal 3 3 32 2 3" xfId="14312"/>
    <cellStyle name="Normal 3 3 32 2 3 2" xfId="14313"/>
    <cellStyle name="Normal 3 3 32 2 4" xfId="14314"/>
    <cellStyle name="Normal 3 3 32 3" xfId="14315"/>
    <cellStyle name="Normal 3 3 32 3 2" xfId="14316"/>
    <cellStyle name="Normal 3 3 32 3 2 2" xfId="14317"/>
    <cellStyle name="Normal 3 3 32 3 3" xfId="14318"/>
    <cellStyle name="Normal 3 3 32 4" xfId="14319"/>
    <cellStyle name="Normal 3 3 32 4 2" xfId="14320"/>
    <cellStyle name="Normal 3 3 32 5" xfId="14321"/>
    <cellStyle name="Normal 3 3 33" xfId="14322"/>
    <cellStyle name="Normal 3 3 33 2" xfId="14323"/>
    <cellStyle name="Normal 3 3 33 2 2" xfId="14324"/>
    <cellStyle name="Normal 3 3 33 2 2 2" xfId="14325"/>
    <cellStyle name="Normal 3 3 33 2 2 2 2" xfId="14326"/>
    <cellStyle name="Normal 3 3 33 2 2 3" xfId="14327"/>
    <cellStyle name="Normal 3 3 33 2 3" xfId="14328"/>
    <cellStyle name="Normal 3 3 33 2 3 2" xfId="14329"/>
    <cellStyle name="Normal 3 3 33 2 4" xfId="14330"/>
    <cellStyle name="Normal 3 3 33 3" xfId="14331"/>
    <cellStyle name="Normal 3 3 33 3 2" xfId="14332"/>
    <cellStyle name="Normal 3 3 33 3 2 2" xfId="14333"/>
    <cellStyle name="Normal 3 3 33 3 3" xfId="14334"/>
    <cellStyle name="Normal 3 3 33 4" xfId="14335"/>
    <cellStyle name="Normal 3 3 33 4 2" xfId="14336"/>
    <cellStyle name="Normal 3 3 33 5" xfId="14337"/>
    <cellStyle name="Normal 3 3 34" xfId="14338"/>
    <cellStyle name="Normal 3 3 34 2" xfId="14339"/>
    <cellStyle name="Normal 3 3 34 2 2" xfId="14340"/>
    <cellStyle name="Normal 3 3 34 2 2 2" xfId="14341"/>
    <cellStyle name="Normal 3 3 34 2 2 2 2" xfId="14342"/>
    <cellStyle name="Normal 3 3 34 2 2 3" xfId="14343"/>
    <cellStyle name="Normal 3 3 34 2 3" xfId="14344"/>
    <cellStyle name="Normal 3 3 34 2 3 2" xfId="14345"/>
    <cellStyle name="Normal 3 3 34 2 4" xfId="14346"/>
    <cellStyle name="Normal 3 3 34 3" xfId="14347"/>
    <cellStyle name="Normal 3 3 34 3 2" xfId="14348"/>
    <cellStyle name="Normal 3 3 34 3 2 2" xfId="14349"/>
    <cellStyle name="Normal 3 3 34 3 3" xfId="14350"/>
    <cellStyle name="Normal 3 3 34 4" xfId="14351"/>
    <cellStyle name="Normal 3 3 34 4 2" xfId="14352"/>
    <cellStyle name="Normal 3 3 34 5" xfId="14353"/>
    <cellStyle name="Normal 3 3 35" xfId="14354"/>
    <cellStyle name="Normal 3 3 35 2" xfId="14355"/>
    <cellStyle name="Normal 3 3 35 2 2" xfId="14356"/>
    <cellStyle name="Normal 3 3 35 2 2 2" xfId="14357"/>
    <cellStyle name="Normal 3 3 35 2 2 2 2" xfId="14358"/>
    <cellStyle name="Normal 3 3 35 2 2 3" xfId="14359"/>
    <cellStyle name="Normal 3 3 35 2 3" xfId="14360"/>
    <cellStyle name="Normal 3 3 35 2 3 2" xfId="14361"/>
    <cellStyle name="Normal 3 3 35 2 4" xfId="14362"/>
    <cellStyle name="Normal 3 3 35 3" xfId="14363"/>
    <cellStyle name="Normal 3 3 35 3 2" xfId="14364"/>
    <cellStyle name="Normal 3 3 35 3 2 2" xfId="14365"/>
    <cellStyle name="Normal 3 3 35 3 3" xfId="14366"/>
    <cellStyle name="Normal 3 3 35 4" xfId="14367"/>
    <cellStyle name="Normal 3 3 35 4 2" xfId="14368"/>
    <cellStyle name="Normal 3 3 35 5" xfId="14369"/>
    <cellStyle name="Normal 3 3 36" xfId="14370"/>
    <cellStyle name="Normal 3 3 36 2" xfId="14371"/>
    <cellStyle name="Normal 3 3 36 2 2" xfId="14372"/>
    <cellStyle name="Normal 3 3 36 2 2 2" xfId="14373"/>
    <cellStyle name="Normal 3 3 36 2 2 2 2" xfId="14374"/>
    <cellStyle name="Normal 3 3 36 2 2 3" xfId="14375"/>
    <cellStyle name="Normal 3 3 36 2 3" xfId="14376"/>
    <cellStyle name="Normal 3 3 36 2 3 2" xfId="14377"/>
    <cellStyle name="Normal 3 3 36 2 4" xfId="14378"/>
    <cellStyle name="Normal 3 3 36 3" xfId="14379"/>
    <cellStyle name="Normal 3 3 36 3 2" xfId="14380"/>
    <cellStyle name="Normal 3 3 36 3 2 2" xfId="14381"/>
    <cellStyle name="Normal 3 3 36 3 3" xfId="14382"/>
    <cellStyle name="Normal 3 3 36 4" xfId="14383"/>
    <cellStyle name="Normal 3 3 36 4 2" xfId="14384"/>
    <cellStyle name="Normal 3 3 36 5" xfId="14385"/>
    <cellStyle name="Normal 3 3 37" xfId="14386"/>
    <cellStyle name="Normal 3 3 37 2" xfId="14387"/>
    <cellStyle name="Normal 3 3 37 2 2" xfId="14388"/>
    <cellStyle name="Normal 3 3 37 2 2 2" xfId="14389"/>
    <cellStyle name="Normal 3 3 37 2 2 2 2" xfId="14390"/>
    <cellStyle name="Normal 3 3 37 2 2 3" xfId="14391"/>
    <cellStyle name="Normal 3 3 37 2 3" xfId="14392"/>
    <cellStyle name="Normal 3 3 37 2 3 2" xfId="14393"/>
    <cellStyle name="Normal 3 3 37 2 4" xfId="14394"/>
    <cellStyle name="Normal 3 3 37 3" xfId="14395"/>
    <cellStyle name="Normal 3 3 37 3 2" xfId="14396"/>
    <cellStyle name="Normal 3 3 37 3 2 2" xfId="14397"/>
    <cellStyle name="Normal 3 3 37 3 3" xfId="14398"/>
    <cellStyle name="Normal 3 3 37 4" xfId="14399"/>
    <cellStyle name="Normal 3 3 37 4 2" xfId="14400"/>
    <cellStyle name="Normal 3 3 37 5" xfId="14401"/>
    <cellStyle name="Normal 3 3 38" xfId="14402"/>
    <cellStyle name="Normal 3 3 38 2" xfId="14403"/>
    <cellStyle name="Normal 3 3 38 2 2" xfId="14404"/>
    <cellStyle name="Normal 3 3 38 2 2 2" xfId="14405"/>
    <cellStyle name="Normal 3 3 38 2 2 2 2" xfId="14406"/>
    <cellStyle name="Normal 3 3 38 2 2 3" xfId="14407"/>
    <cellStyle name="Normal 3 3 38 2 3" xfId="14408"/>
    <cellStyle name="Normal 3 3 38 2 3 2" xfId="14409"/>
    <cellStyle name="Normal 3 3 38 2 4" xfId="14410"/>
    <cellStyle name="Normal 3 3 38 3" xfId="14411"/>
    <cellStyle name="Normal 3 3 38 3 2" xfId="14412"/>
    <cellStyle name="Normal 3 3 38 3 2 2" xfId="14413"/>
    <cellStyle name="Normal 3 3 38 3 3" xfId="14414"/>
    <cellStyle name="Normal 3 3 38 4" xfId="14415"/>
    <cellStyle name="Normal 3 3 38 4 2" xfId="14416"/>
    <cellStyle name="Normal 3 3 38 5" xfId="14417"/>
    <cellStyle name="Normal 3 3 39" xfId="14418"/>
    <cellStyle name="Normal 3 3 39 2" xfId="14419"/>
    <cellStyle name="Normal 3 3 39 2 2" xfId="14420"/>
    <cellStyle name="Normal 3 3 39 2 2 2" xfId="14421"/>
    <cellStyle name="Normal 3 3 39 2 2 2 2" xfId="14422"/>
    <cellStyle name="Normal 3 3 39 2 2 3" xfId="14423"/>
    <cellStyle name="Normal 3 3 39 2 3" xfId="14424"/>
    <cellStyle name="Normal 3 3 39 2 3 2" xfId="14425"/>
    <cellStyle name="Normal 3 3 39 2 4" xfId="14426"/>
    <cellStyle name="Normal 3 3 39 3" xfId="14427"/>
    <cellStyle name="Normal 3 3 39 3 2" xfId="14428"/>
    <cellStyle name="Normal 3 3 39 3 2 2" xfId="14429"/>
    <cellStyle name="Normal 3 3 39 3 3" xfId="14430"/>
    <cellStyle name="Normal 3 3 39 4" xfId="14431"/>
    <cellStyle name="Normal 3 3 39 4 2" xfId="14432"/>
    <cellStyle name="Normal 3 3 39 5" xfId="14433"/>
    <cellStyle name="Normal 3 3 4" xfId="14434"/>
    <cellStyle name="Normal 3 3 4 2" xfId="14435"/>
    <cellStyle name="Normal 3 3 4 2 2" xfId="14436"/>
    <cellStyle name="Normal 3 3 4 2 2 2" xfId="14437"/>
    <cellStyle name="Normal 3 3 4 2 2 2 2" xfId="14438"/>
    <cellStyle name="Normal 3 3 4 2 2 3" xfId="14439"/>
    <cellStyle name="Normal 3 3 4 2 3" xfId="14440"/>
    <cellStyle name="Normal 3 3 4 2 3 2" xfId="14441"/>
    <cellStyle name="Normal 3 3 4 2 4" xfId="14442"/>
    <cellStyle name="Normal 3 3 4 3" xfId="14443"/>
    <cellStyle name="Normal 3 3 4 3 2" xfId="14444"/>
    <cellStyle name="Normal 3 3 4 3 2 2" xfId="14445"/>
    <cellStyle name="Normal 3 3 4 3 3" xfId="14446"/>
    <cellStyle name="Normal 3 3 4 4" xfId="14447"/>
    <cellStyle name="Normal 3 3 4 4 2" xfId="14448"/>
    <cellStyle name="Normal 3 3 4 5" xfId="14449"/>
    <cellStyle name="Normal 3 3 40" xfId="14450"/>
    <cellStyle name="Normal 3 3 40 2" xfId="14451"/>
    <cellStyle name="Normal 3 3 40 2 2" xfId="14452"/>
    <cellStyle name="Normal 3 3 40 2 2 2" xfId="14453"/>
    <cellStyle name="Normal 3 3 40 2 2 2 2" xfId="14454"/>
    <cellStyle name="Normal 3 3 40 2 2 3" xfId="14455"/>
    <cellStyle name="Normal 3 3 40 2 3" xfId="14456"/>
    <cellStyle name="Normal 3 3 40 2 3 2" xfId="14457"/>
    <cellStyle name="Normal 3 3 40 2 4" xfId="14458"/>
    <cellStyle name="Normal 3 3 40 3" xfId="14459"/>
    <cellStyle name="Normal 3 3 40 3 2" xfId="14460"/>
    <cellStyle name="Normal 3 3 40 3 2 2" xfId="14461"/>
    <cellStyle name="Normal 3 3 40 3 3" xfId="14462"/>
    <cellStyle name="Normal 3 3 40 4" xfId="14463"/>
    <cellStyle name="Normal 3 3 40 4 2" xfId="14464"/>
    <cellStyle name="Normal 3 3 40 5" xfId="14465"/>
    <cellStyle name="Normal 3 3 41" xfId="14466"/>
    <cellStyle name="Normal 3 3 41 2" xfId="14467"/>
    <cellStyle name="Normal 3 3 41 2 2" xfId="14468"/>
    <cellStyle name="Normal 3 3 41 2 2 2" xfId="14469"/>
    <cellStyle name="Normal 3 3 41 2 2 2 2" xfId="14470"/>
    <cellStyle name="Normal 3 3 41 2 2 3" xfId="14471"/>
    <cellStyle name="Normal 3 3 41 2 3" xfId="14472"/>
    <cellStyle name="Normal 3 3 41 2 3 2" xfId="14473"/>
    <cellStyle name="Normal 3 3 41 2 4" xfId="14474"/>
    <cellStyle name="Normal 3 3 41 3" xfId="14475"/>
    <cellStyle name="Normal 3 3 41 3 2" xfId="14476"/>
    <cellStyle name="Normal 3 3 41 3 2 2" xfId="14477"/>
    <cellStyle name="Normal 3 3 41 3 3" xfId="14478"/>
    <cellStyle name="Normal 3 3 41 4" xfId="14479"/>
    <cellStyle name="Normal 3 3 41 4 2" xfId="14480"/>
    <cellStyle name="Normal 3 3 41 5" xfId="14481"/>
    <cellStyle name="Normal 3 3 42" xfId="14482"/>
    <cellStyle name="Normal 3 3 42 2" xfId="14483"/>
    <cellStyle name="Normal 3 3 42 2 2" xfId="14484"/>
    <cellStyle name="Normal 3 3 42 2 2 2" xfId="14485"/>
    <cellStyle name="Normal 3 3 42 2 2 2 2" xfId="14486"/>
    <cellStyle name="Normal 3 3 42 2 2 3" xfId="14487"/>
    <cellStyle name="Normal 3 3 42 2 3" xfId="14488"/>
    <cellStyle name="Normal 3 3 42 2 3 2" xfId="14489"/>
    <cellStyle name="Normal 3 3 42 2 4" xfId="14490"/>
    <cellStyle name="Normal 3 3 42 3" xfId="14491"/>
    <cellStyle name="Normal 3 3 42 3 2" xfId="14492"/>
    <cellStyle name="Normal 3 3 42 3 2 2" xfId="14493"/>
    <cellStyle name="Normal 3 3 42 3 3" xfId="14494"/>
    <cellStyle name="Normal 3 3 42 4" xfId="14495"/>
    <cellStyle name="Normal 3 3 42 4 2" xfId="14496"/>
    <cellStyle name="Normal 3 3 42 5" xfId="14497"/>
    <cellStyle name="Normal 3 3 43" xfId="14498"/>
    <cellStyle name="Normal 3 3 43 2" xfId="14499"/>
    <cellStyle name="Normal 3 3 43 2 2" xfId="14500"/>
    <cellStyle name="Normal 3 3 43 2 2 2" xfId="14501"/>
    <cellStyle name="Normal 3 3 43 2 2 2 2" xfId="14502"/>
    <cellStyle name="Normal 3 3 43 2 2 3" xfId="14503"/>
    <cellStyle name="Normal 3 3 43 2 3" xfId="14504"/>
    <cellStyle name="Normal 3 3 43 2 3 2" xfId="14505"/>
    <cellStyle name="Normal 3 3 43 2 4" xfId="14506"/>
    <cellStyle name="Normal 3 3 43 3" xfId="14507"/>
    <cellStyle name="Normal 3 3 43 3 2" xfId="14508"/>
    <cellStyle name="Normal 3 3 43 3 2 2" xfId="14509"/>
    <cellStyle name="Normal 3 3 43 3 3" xfId="14510"/>
    <cellStyle name="Normal 3 3 43 4" xfId="14511"/>
    <cellStyle name="Normal 3 3 43 4 2" xfId="14512"/>
    <cellStyle name="Normal 3 3 43 5" xfId="14513"/>
    <cellStyle name="Normal 3 3 44" xfId="14514"/>
    <cellStyle name="Normal 3 3 44 2" xfId="14515"/>
    <cellStyle name="Normal 3 3 44 2 2" xfId="14516"/>
    <cellStyle name="Normal 3 3 44 2 2 2" xfId="14517"/>
    <cellStyle name="Normal 3 3 44 2 2 2 2" xfId="14518"/>
    <cellStyle name="Normal 3 3 44 2 2 3" xfId="14519"/>
    <cellStyle name="Normal 3 3 44 2 3" xfId="14520"/>
    <cellStyle name="Normal 3 3 44 2 3 2" xfId="14521"/>
    <cellStyle name="Normal 3 3 44 2 4" xfId="14522"/>
    <cellStyle name="Normal 3 3 44 3" xfId="14523"/>
    <cellStyle name="Normal 3 3 44 3 2" xfId="14524"/>
    <cellStyle name="Normal 3 3 44 3 2 2" xfId="14525"/>
    <cellStyle name="Normal 3 3 44 3 3" xfId="14526"/>
    <cellStyle name="Normal 3 3 44 4" xfId="14527"/>
    <cellStyle name="Normal 3 3 44 4 2" xfId="14528"/>
    <cellStyle name="Normal 3 3 44 5" xfId="14529"/>
    <cellStyle name="Normal 3 3 45" xfId="14530"/>
    <cellStyle name="Normal 3 3 45 2" xfId="14531"/>
    <cellStyle name="Normal 3 3 45 2 2" xfId="14532"/>
    <cellStyle name="Normal 3 3 45 2 2 2" xfId="14533"/>
    <cellStyle name="Normal 3 3 45 2 2 2 2" xfId="14534"/>
    <cellStyle name="Normal 3 3 45 2 2 3" xfId="14535"/>
    <cellStyle name="Normal 3 3 45 2 3" xfId="14536"/>
    <cellStyle name="Normal 3 3 45 2 3 2" xfId="14537"/>
    <cellStyle name="Normal 3 3 45 2 4" xfId="14538"/>
    <cellStyle name="Normal 3 3 45 3" xfId="14539"/>
    <cellStyle name="Normal 3 3 45 3 2" xfId="14540"/>
    <cellStyle name="Normal 3 3 45 3 2 2" xfId="14541"/>
    <cellStyle name="Normal 3 3 45 3 3" xfId="14542"/>
    <cellStyle name="Normal 3 3 45 4" xfId="14543"/>
    <cellStyle name="Normal 3 3 45 4 2" xfId="14544"/>
    <cellStyle name="Normal 3 3 45 5" xfId="14545"/>
    <cellStyle name="Normal 3 3 46" xfId="14546"/>
    <cellStyle name="Normal 3 3 46 2" xfId="14547"/>
    <cellStyle name="Normal 3 3 46 2 2" xfId="14548"/>
    <cellStyle name="Normal 3 3 46 2 2 2" xfId="14549"/>
    <cellStyle name="Normal 3 3 46 2 2 2 2" xfId="14550"/>
    <cellStyle name="Normal 3 3 46 2 2 3" xfId="14551"/>
    <cellStyle name="Normal 3 3 46 2 3" xfId="14552"/>
    <cellStyle name="Normal 3 3 46 2 3 2" xfId="14553"/>
    <cellStyle name="Normal 3 3 46 2 4" xfId="14554"/>
    <cellStyle name="Normal 3 3 46 3" xfId="14555"/>
    <cellStyle name="Normal 3 3 46 3 2" xfId="14556"/>
    <cellStyle name="Normal 3 3 46 3 2 2" xfId="14557"/>
    <cellStyle name="Normal 3 3 46 3 3" xfId="14558"/>
    <cellStyle name="Normal 3 3 46 4" xfId="14559"/>
    <cellStyle name="Normal 3 3 46 4 2" xfId="14560"/>
    <cellStyle name="Normal 3 3 46 5" xfId="14561"/>
    <cellStyle name="Normal 3 3 47" xfId="14562"/>
    <cellStyle name="Normal 3 3 47 2" xfId="14563"/>
    <cellStyle name="Normal 3 3 47 2 2" xfId="14564"/>
    <cellStyle name="Normal 3 3 47 2 2 2" xfId="14565"/>
    <cellStyle name="Normal 3 3 47 2 3" xfId="14566"/>
    <cellStyle name="Normal 3 3 47 3" xfId="14567"/>
    <cellStyle name="Normal 3 3 47 3 2" xfId="14568"/>
    <cellStyle name="Normal 3 3 47 4" xfId="14569"/>
    <cellStyle name="Normal 3 3 48" xfId="14570"/>
    <cellStyle name="Normal 3 3 48 2" xfId="14571"/>
    <cellStyle name="Normal 3 3 48 2 2" xfId="14572"/>
    <cellStyle name="Normal 3 3 48 3" xfId="14573"/>
    <cellStyle name="Normal 3 3 49" xfId="14574"/>
    <cellStyle name="Normal 3 3 49 2" xfId="14575"/>
    <cellStyle name="Normal 3 3 5" xfId="14576"/>
    <cellStyle name="Normal 3 3 5 2" xfId="14577"/>
    <cellStyle name="Normal 3 3 5 2 2" xfId="14578"/>
    <cellStyle name="Normal 3 3 5 2 2 2" xfId="14579"/>
    <cellStyle name="Normal 3 3 5 2 2 2 2" xfId="14580"/>
    <cellStyle name="Normal 3 3 5 2 2 3" xfId="14581"/>
    <cellStyle name="Normal 3 3 5 2 3" xfId="14582"/>
    <cellStyle name="Normal 3 3 5 2 3 2" xfId="14583"/>
    <cellStyle name="Normal 3 3 5 2 4" xfId="14584"/>
    <cellStyle name="Normal 3 3 5 3" xfId="14585"/>
    <cellStyle name="Normal 3 3 5 3 2" xfId="14586"/>
    <cellStyle name="Normal 3 3 5 3 2 2" xfId="14587"/>
    <cellStyle name="Normal 3 3 5 3 3" xfId="14588"/>
    <cellStyle name="Normal 3 3 5 4" xfId="14589"/>
    <cellStyle name="Normal 3 3 5 4 2" xfId="14590"/>
    <cellStyle name="Normal 3 3 5 5" xfId="14591"/>
    <cellStyle name="Normal 3 3 50" xfId="14592"/>
    <cellStyle name="Normal 3 3 51" xfId="14593"/>
    <cellStyle name="Normal 3 3 6" xfId="14594"/>
    <cellStyle name="Normal 3 3 6 2" xfId="14595"/>
    <cellStyle name="Normal 3 3 6 2 2" xfId="14596"/>
    <cellStyle name="Normal 3 3 6 2 2 2" xfId="14597"/>
    <cellStyle name="Normal 3 3 6 2 2 2 2" xfId="14598"/>
    <cellStyle name="Normal 3 3 6 2 2 3" xfId="14599"/>
    <cellStyle name="Normal 3 3 6 2 3" xfId="14600"/>
    <cellStyle name="Normal 3 3 6 2 3 2" xfId="14601"/>
    <cellStyle name="Normal 3 3 6 2 4" xfId="14602"/>
    <cellStyle name="Normal 3 3 6 3" xfId="14603"/>
    <cellStyle name="Normal 3 3 6 3 2" xfId="14604"/>
    <cellStyle name="Normal 3 3 6 3 2 2" xfId="14605"/>
    <cellStyle name="Normal 3 3 6 3 3" xfId="14606"/>
    <cellStyle name="Normal 3 3 6 4" xfId="14607"/>
    <cellStyle name="Normal 3 3 6 4 2" xfId="14608"/>
    <cellStyle name="Normal 3 3 6 5" xfId="14609"/>
    <cellStyle name="Normal 3 3 7" xfId="14610"/>
    <cellStyle name="Normal 3 3 7 2" xfId="14611"/>
    <cellStyle name="Normal 3 3 7 2 2" xfId="14612"/>
    <cellStyle name="Normal 3 3 7 2 2 2" xfId="14613"/>
    <cellStyle name="Normal 3 3 7 2 2 2 2" xfId="14614"/>
    <cellStyle name="Normal 3 3 7 2 2 3" xfId="14615"/>
    <cellStyle name="Normal 3 3 7 2 3" xfId="14616"/>
    <cellStyle name="Normal 3 3 7 2 3 2" xfId="14617"/>
    <cellStyle name="Normal 3 3 7 2 4" xfId="14618"/>
    <cellStyle name="Normal 3 3 7 3" xfId="14619"/>
    <cellStyle name="Normal 3 3 7 3 2" xfId="14620"/>
    <cellStyle name="Normal 3 3 7 3 2 2" xfId="14621"/>
    <cellStyle name="Normal 3 3 7 3 3" xfId="14622"/>
    <cellStyle name="Normal 3 3 7 4" xfId="14623"/>
    <cellStyle name="Normal 3 3 7 4 2" xfId="14624"/>
    <cellStyle name="Normal 3 3 7 5" xfId="14625"/>
    <cellStyle name="Normal 3 3 8" xfId="14626"/>
    <cellStyle name="Normal 3 3 8 2" xfId="14627"/>
    <cellStyle name="Normal 3 3 8 2 2" xfId="14628"/>
    <cellStyle name="Normal 3 3 8 2 2 2" xfId="14629"/>
    <cellStyle name="Normal 3 3 8 2 2 2 2" xfId="14630"/>
    <cellStyle name="Normal 3 3 8 2 2 3" xfId="14631"/>
    <cellStyle name="Normal 3 3 8 2 3" xfId="14632"/>
    <cellStyle name="Normal 3 3 8 2 3 2" xfId="14633"/>
    <cellStyle name="Normal 3 3 8 2 4" xfId="14634"/>
    <cellStyle name="Normal 3 3 8 3" xfId="14635"/>
    <cellStyle name="Normal 3 3 8 3 2" xfId="14636"/>
    <cellStyle name="Normal 3 3 8 3 2 2" xfId="14637"/>
    <cellStyle name="Normal 3 3 8 3 3" xfId="14638"/>
    <cellStyle name="Normal 3 3 8 4" xfId="14639"/>
    <cellStyle name="Normal 3 3 8 4 2" xfId="14640"/>
    <cellStyle name="Normal 3 3 8 5" xfId="14641"/>
    <cellStyle name="Normal 3 3 9" xfId="14642"/>
    <cellStyle name="Normal 3 3 9 2" xfId="14643"/>
    <cellStyle name="Normal 3 3 9 2 2" xfId="14644"/>
    <cellStyle name="Normal 3 3 9 2 2 2" xfId="14645"/>
    <cellStyle name="Normal 3 3 9 2 2 2 2" xfId="14646"/>
    <cellStyle name="Normal 3 3 9 2 2 3" xfId="14647"/>
    <cellStyle name="Normal 3 3 9 2 3" xfId="14648"/>
    <cellStyle name="Normal 3 3 9 2 3 2" xfId="14649"/>
    <cellStyle name="Normal 3 3 9 2 4" xfId="14650"/>
    <cellStyle name="Normal 3 3 9 3" xfId="14651"/>
    <cellStyle name="Normal 3 3 9 3 2" xfId="14652"/>
    <cellStyle name="Normal 3 3 9 3 2 2" xfId="14653"/>
    <cellStyle name="Normal 3 3 9 3 3" xfId="14654"/>
    <cellStyle name="Normal 3 3 9 4" xfId="14655"/>
    <cellStyle name="Normal 3 3 9 4 2" xfId="14656"/>
    <cellStyle name="Normal 3 3 9 5" xfId="14657"/>
    <cellStyle name="Normal 3 30" xfId="14658"/>
    <cellStyle name="Normal 3 30 2" xfId="14659"/>
    <cellStyle name="Normal 3 30 2 2" xfId="14660"/>
    <cellStyle name="Normal 3 30 2 2 2" xfId="14661"/>
    <cellStyle name="Normal 3 30 2 2 2 2" xfId="14662"/>
    <cellStyle name="Normal 3 30 2 2 3" xfId="14663"/>
    <cellStyle name="Normal 3 30 2 3" xfId="14664"/>
    <cellStyle name="Normal 3 30 2 3 2" xfId="14665"/>
    <cellStyle name="Normal 3 30 2 4" xfId="14666"/>
    <cellStyle name="Normal 3 30 3" xfId="14667"/>
    <cellStyle name="Normal 3 30 3 2" xfId="14668"/>
    <cellStyle name="Normal 3 30 3 2 2" xfId="14669"/>
    <cellStyle name="Normal 3 30 3 3" xfId="14670"/>
    <cellStyle name="Normal 3 30 4" xfId="14671"/>
    <cellStyle name="Normal 3 30 4 2" xfId="14672"/>
    <cellStyle name="Normal 3 30 5" xfId="14673"/>
    <cellStyle name="Normal 3 30 6" xfId="14674"/>
    <cellStyle name="Normal 3 31" xfId="14675"/>
    <cellStyle name="Normal 3 31 2" xfId="14676"/>
    <cellStyle name="Normal 3 31 2 2" xfId="14677"/>
    <cellStyle name="Normal 3 31 2 2 2" xfId="14678"/>
    <cellStyle name="Normal 3 31 2 2 2 2" xfId="14679"/>
    <cellStyle name="Normal 3 31 2 2 3" xfId="14680"/>
    <cellStyle name="Normal 3 31 2 3" xfId="14681"/>
    <cellStyle name="Normal 3 31 2 3 2" xfId="14682"/>
    <cellStyle name="Normal 3 31 2 4" xfId="14683"/>
    <cellStyle name="Normal 3 31 3" xfId="14684"/>
    <cellStyle name="Normal 3 31 3 2" xfId="14685"/>
    <cellStyle name="Normal 3 31 3 2 2" xfId="14686"/>
    <cellStyle name="Normal 3 31 3 3" xfId="14687"/>
    <cellStyle name="Normal 3 31 4" xfId="14688"/>
    <cellStyle name="Normal 3 31 4 2" xfId="14689"/>
    <cellStyle name="Normal 3 31 5" xfId="14690"/>
    <cellStyle name="Normal 3 31 6" xfId="14691"/>
    <cellStyle name="Normal 3 32" xfId="14692"/>
    <cellStyle name="Normal 3 32 2" xfId="14693"/>
    <cellStyle name="Normal 3 32 2 2" xfId="14694"/>
    <cellStyle name="Normal 3 32 2 2 2" xfId="14695"/>
    <cellStyle name="Normal 3 32 2 2 2 2" xfId="14696"/>
    <cellStyle name="Normal 3 32 2 2 3" xfId="14697"/>
    <cellStyle name="Normal 3 32 2 3" xfId="14698"/>
    <cellStyle name="Normal 3 32 2 3 2" xfId="14699"/>
    <cellStyle name="Normal 3 32 2 4" xfId="14700"/>
    <cellStyle name="Normal 3 32 3" xfId="14701"/>
    <cellStyle name="Normal 3 32 3 2" xfId="14702"/>
    <cellStyle name="Normal 3 32 3 2 2" xfId="14703"/>
    <cellStyle name="Normal 3 32 3 3" xfId="14704"/>
    <cellStyle name="Normal 3 32 4" xfId="14705"/>
    <cellStyle name="Normal 3 32 4 2" xfId="14706"/>
    <cellStyle name="Normal 3 32 5" xfId="14707"/>
    <cellStyle name="Normal 3 32 6" xfId="14708"/>
    <cellStyle name="Normal 3 33" xfId="14709"/>
    <cellStyle name="Normal 3 33 2" xfId="14710"/>
    <cellStyle name="Normal 3 33 2 2" xfId="14711"/>
    <cellStyle name="Normal 3 33 2 2 2" xfId="14712"/>
    <cellStyle name="Normal 3 33 2 2 2 2" xfId="14713"/>
    <cellStyle name="Normal 3 33 2 2 3" xfId="14714"/>
    <cellStyle name="Normal 3 33 2 3" xfId="14715"/>
    <cellStyle name="Normal 3 33 2 3 2" xfId="14716"/>
    <cellStyle name="Normal 3 33 2 4" xfId="14717"/>
    <cellStyle name="Normal 3 33 3" xfId="14718"/>
    <cellStyle name="Normal 3 33 3 2" xfId="14719"/>
    <cellStyle name="Normal 3 33 3 2 2" xfId="14720"/>
    <cellStyle name="Normal 3 33 3 3" xfId="14721"/>
    <cellStyle name="Normal 3 33 4" xfId="14722"/>
    <cellStyle name="Normal 3 33 4 2" xfId="14723"/>
    <cellStyle name="Normal 3 33 5" xfId="14724"/>
    <cellStyle name="Normal 3 33 6" xfId="14725"/>
    <cellStyle name="Normal 3 34" xfId="14726"/>
    <cellStyle name="Normal 3 34 2" xfId="14727"/>
    <cellStyle name="Normal 3 34 2 2" xfId="14728"/>
    <cellStyle name="Normal 3 34 2 2 2" xfId="14729"/>
    <cellStyle name="Normal 3 34 2 2 2 2" xfId="14730"/>
    <cellStyle name="Normal 3 34 2 2 3" xfId="14731"/>
    <cellStyle name="Normal 3 34 2 3" xfId="14732"/>
    <cellStyle name="Normal 3 34 2 3 2" xfId="14733"/>
    <cellStyle name="Normal 3 34 2 4" xfId="14734"/>
    <cellStyle name="Normal 3 34 3" xfId="14735"/>
    <cellStyle name="Normal 3 34 3 2" xfId="14736"/>
    <cellStyle name="Normal 3 34 3 2 2" xfId="14737"/>
    <cellStyle name="Normal 3 34 3 3" xfId="14738"/>
    <cellStyle name="Normal 3 34 4" xfId="14739"/>
    <cellStyle name="Normal 3 34 4 2" xfId="14740"/>
    <cellStyle name="Normal 3 34 5" xfId="14741"/>
    <cellStyle name="Normal 3 34 6" xfId="14742"/>
    <cellStyle name="Normal 3 35" xfId="14743"/>
    <cellStyle name="Normal 3 35 2" xfId="14744"/>
    <cellStyle name="Normal 3 35 2 2" xfId="14745"/>
    <cellStyle name="Normal 3 35 2 2 2" xfId="14746"/>
    <cellStyle name="Normal 3 35 2 2 2 2" xfId="14747"/>
    <cellStyle name="Normal 3 35 2 2 3" xfId="14748"/>
    <cellStyle name="Normal 3 35 2 3" xfId="14749"/>
    <cellStyle name="Normal 3 35 2 3 2" xfId="14750"/>
    <cellStyle name="Normal 3 35 2 4" xfId="14751"/>
    <cellStyle name="Normal 3 35 3" xfId="14752"/>
    <cellStyle name="Normal 3 35 3 2" xfId="14753"/>
    <cellStyle name="Normal 3 35 3 2 2" xfId="14754"/>
    <cellStyle name="Normal 3 35 3 3" xfId="14755"/>
    <cellStyle name="Normal 3 35 4" xfId="14756"/>
    <cellStyle name="Normal 3 35 4 2" xfId="14757"/>
    <cellStyle name="Normal 3 35 5" xfId="14758"/>
    <cellStyle name="Normal 3 35 6" xfId="14759"/>
    <cellStyle name="Normal 3 36" xfId="14760"/>
    <cellStyle name="Normal 3 36 2" xfId="14761"/>
    <cellStyle name="Normal 3 36 2 2" xfId="14762"/>
    <cellStyle name="Normal 3 36 2 2 2" xfId="14763"/>
    <cellStyle name="Normal 3 36 2 2 2 2" xfId="14764"/>
    <cellStyle name="Normal 3 36 2 2 3" xfId="14765"/>
    <cellStyle name="Normal 3 36 2 3" xfId="14766"/>
    <cellStyle name="Normal 3 36 2 3 2" xfId="14767"/>
    <cellStyle name="Normal 3 36 2 4" xfId="14768"/>
    <cellStyle name="Normal 3 36 3" xfId="14769"/>
    <cellStyle name="Normal 3 36 3 2" xfId="14770"/>
    <cellStyle name="Normal 3 36 3 2 2" xfId="14771"/>
    <cellStyle name="Normal 3 36 3 3" xfId="14772"/>
    <cellStyle name="Normal 3 36 4" xfId="14773"/>
    <cellStyle name="Normal 3 36 4 2" xfId="14774"/>
    <cellStyle name="Normal 3 36 5" xfId="14775"/>
    <cellStyle name="Normal 3 36 6" xfId="14776"/>
    <cellStyle name="Normal 3 37" xfId="14777"/>
    <cellStyle name="Normal 3 37 2" xfId="14778"/>
    <cellStyle name="Normal 3 37 2 2" xfId="14779"/>
    <cellStyle name="Normal 3 37 2 2 2" xfId="14780"/>
    <cellStyle name="Normal 3 37 2 2 2 2" xfId="14781"/>
    <cellStyle name="Normal 3 37 2 2 3" xfId="14782"/>
    <cellStyle name="Normal 3 37 2 3" xfId="14783"/>
    <cellStyle name="Normal 3 37 2 3 2" xfId="14784"/>
    <cellStyle name="Normal 3 37 2 4" xfId="14785"/>
    <cellStyle name="Normal 3 37 3" xfId="14786"/>
    <cellStyle name="Normal 3 37 3 2" xfId="14787"/>
    <cellStyle name="Normal 3 37 3 2 2" xfId="14788"/>
    <cellStyle name="Normal 3 37 3 3" xfId="14789"/>
    <cellStyle name="Normal 3 37 4" xfId="14790"/>
    <cellStyle name="Normal 3 37 4 2" xfId="14791"/>
    <cellStyle name="Normal 3 37 5" xfId="14792"/>
    <cellStyle name="Normal 3 37 6" xfId="14793"/>
    <cellStyle name="Normal 3 38" xfId="14794"/>
    <cellStyle name="Normal 3 38 2" xfId="14795"/>
    <cellStyle name="Normal 3 38 2 2" xfId="14796"/>
    <cellStyle name="Normal 3 38 2 2 2" xfId="14797"/>
    <cellStyle name="Normal 3 38 2 2 2 2" xfId="14798"/>
    <cellStyle name="Normal 3 38 2 2 3" xfId="14799"/>
    <cellStyle name="Normal 3 38 2 3" xfId="14800"/>
    <cellStyle name="Normal 3 38 2 3 2" xfId="14801"/>
    <cellStyle name="Normal 3 38 2 4" xfId="14802"/>
    <cellStyle name="Normal 3 38 3" xfId="14803"/>
    <cellStyle name="Normal 3 38 3 2" xfId="14804"/>
    <cellStyle name="Normal 3 38 3 2 2" xfId="14805"/>
    <cellStyle name="Normal 3 38 3 3" xfId="14806"/>
    <cellStyle name="Normal 3 38 4" xfId="14807"/>
    <cellStyle name="Normal 3 38 4 2" xfId="14808"/>
    <cellStyle name="Normal 3 38 5" xfId="14809"/>
    <cellStyle name="Normal 3 38 6" xfId="14810"/>
    <cellStyle name="Normal 3 39" xfId="14811"/>
    <cellStyle name="Normal 3 39 2" xfId="14812"/>
    <cellStyle name="Normal 3 39 2 2" xfId="14813"/>
    <cellStyle name="Normal 3 39 2 2 2" xfId="14814"/>
    <cellStyle name="Normal 3 39 2 2 2 2" xfId="14815"/>
    <cellStyle name="Normal 3 39 2 2 3" xfId="14816"/>
    <cellStyle name="Normal 3 39 2 3" xfId="14817"/>
    <cellStyle name="Normal 3 39 2 3 2" xfId="14818"/>
    <cellStyle name="Normal 3 39 2 4" xfId="14819"/>
    <cellStyle name="Normal 3 39 3" xfId="14820"/>
    <cellStyle name="Normal 3 39 3 2" xfId="14821"/>
    <cellStyle name="Normal 3 39 3 2 2" xfId="14822"/>
    <cellStyle name="Normal 3 39 3 3" xfId="14823"/>
    <cellStyle name="Normal 3 39 4" xfId="14824"/>
    <cellStyle name="Normal 3 39 4 2" xfId="14825"/>
    <cellStyle name="Normal 3 39 5" xfId="14826"/>
    <cellStyle name="Normal 3 39 6" xfId="14827"/>
    <cellStyle name="Normal 3 4" xfId="14828"/>
    <cellStyle name="Normal 3 4 10" xfId="14829"/>
    <cellStyle name="Normal 3 4 10 2" xfId="14830"/>
    <cellStyle name="Normal 3 4 10 2 2" xfId="14831"/>
    <cellStyle name="Normal 3 4 10 2 2 2" xfId="14832"/>
    <cellStyle name="Normal 3 4 10 2 2 2 2" xfId="14833"/>
    <cellStyle name="Normal 3 4 10 2 2 3" xfId="14834"/>
    <cellStyle name="Normal 3 4 10 2 3" xfId="14835"/>
    <cellStyle name="Normal 3 4 10 2 3 2" xfId="14836"/>
    <cellStyle name="Normal 3 4 10 2 3 2 2" xfId="14837"/>
    <cellStyle name="Normal 3 4 10 2 3 3" xfId="14838"/>
    <cellStyle name="Normal 3 4 10 2 4" xfId="14839"/>
    <cellStyle name="Normal 3 4 10 3" xfId="14840"/>
    <cellStyle name="Normal 3 4 10 3 2" xfId="14841"/>
    <cellStyle name="Normal 3 4 10 3 2 2" xfId="14842"/>
    <cellStyle name="Normal 3 4 10 3 3" xfId="14843"/>
    <cellStyle name="Normal 3 4 10 4" xfId="14844"/>
    <cellStyle name="Normal 3 4 10 4 2" xfId="14845"/>
    <cellStyle name="Normal 3 4 10 4 2 2" xfId="14846"/>
    <cellStyle name="Normal 3 4 10 4 3" xfId="14847"/>
    <cellStyle name="Normal 3 4 10 5" xfId="14848"/>
    <cellStyle name="Normal 3 4 11" xfId="14849"/>
    <cellStyle name="Normal 3 4 11 2" xfId="14850"/>
    <cellStyle name="Normal 3 4 11 2 2" xfId="14851"/>
    <cellStyle name="Normal 3 4 11 2 2 2" xfId="14852"/>
    <cellStyle name="Normal 3 4 11 2 2 2 2" xfId="14853"/>
    <cellStyle name="Normal 3 4 11 2 2 3" xfId="14854"/>
    <cellStyle name="Normal 3 4 11 2 3" xfId="14855"/>
    <cellStyle name="Normal 3 4 11 2 3 2" xfId="14856"/>
    <cellStyle name="Normal 3 4 11 2 3 2 2" xfId="14857"/>
    <cellStyle name="Normal 3 4 11 2 3 3" xfId="14858"/>
    <cellStyle name="Normal 3 4 11 2 4" xfId="14859"/>
    <cellStyle name="Normal 3 4 11 3" xfId="14860"/>
    <cellStyle name="Normal 3 4 11 3 2" xfId="14861"/>
    <cellStyle name="Normal 3 4 11 3 2 2" xfId="14862"/>
    <cellStyle name="Normal 3 4 11 3 3" xfId="14863"/>
    <cellStyle name="Normal 3 4 11 4" xfId="14864"/>
    <cellStyle name="Normal 3 4 11 4 2" xfId="14865"/>
    <cellStyle name="Normal 3 4 11 4 2 2" xfId="14866"/>
    <cellStyle name="Normal 3 4 11 4 3" xfId="14867"/>
    <cellStyle name="Normal 3 4 11 5" xfId="14868"/>
    <cellStyle name="Normal 3 4 12" xfId="14869"/>
    <cellStyle name="Normal 3 4 12 2" xfId="14870"/>
    <cellStyle name="Normal 3 4 12 2 2" xfId="14871"/>
    <cellStyle name="Normal 3 4 12 2 2 2" xfId="14872"/>
    <cellStyle name="Normal 3 4 12 2 2 2 2" xfId="14873"/>
    <cellStyle name="Normal 3 4 12 2 2 3" xfId="14874"/>
    <cellStyle name="Normal 3 4 12 2 3" xfId="14875"/>
    <cellStyle name="Normal 3 4 12 2 3 2" xfId="14876"/>
    <cellStyle name="Normal 3 4 12 2 3 2 2" xfId="14877"/>
    <cellStyle name="Normal 3 4 12 2 3 3" xfId="14878"/>
    <cellStyle name="Normal 3 4 12 2 4" xfId="14879"/>
    <cellStyle name="Normal 3 4 12 3" xfId="14880"/>
    <cellStyle name="Normal 3 4 12 3 2" xfId="14881"/>
    <cellStyle name="Normal 3 4 12 3 2 2" xfId="14882"/>
    <cellStyle name="Normal 3 4 12 3 3" xfId="14883"/>
    <cellStyle name="Normal 3 4 12 4" xfId="14884"/>
    <cellStyle name="Normal 3 4 12 4 2" xfId="14885"/>
    <cellStyle name="Normal 3 4 12 4 2 2" xfId="14886"/>
    <cellStyle name="Normal 3 4 12 4 3" xfId="14887"/>
    <cellStyle name="Normal 3 4 12 5" xfId="14888"/>
    <cellStyle name="Normal 3 4 13" xfId="14889"/>
    <cellStyle name="Normal 3 4 13 2" xfId="14890"/>
    <cellStyle name="Normal 3 4 13 2 2" xfId="14891"/>
    <cellStyle name="Normal 3 4 13 2 2 2" xfId="14892"/>
    <cellStyle name="Normal 3 4 13 2 2 2 2" xfId="14893"/>
    <cellStyle name="Normal 3 4 13 2 2 3" xfId="14894"/>
    <cellStyle name="Normal 3 4 13 2 3" xfId="14895"/>
    <cellStyle name="Normal 3 4 13 2 3 2" xfId="14896"/>
    <cellStyle name="Normal 3 4 13 2 3 2 2" xfId="14897"/>
    <cellStyle name="Normal 3 4 13 2 3 3" xfId="14898"/>
    <cellStyle name="Normal 3 4 13 2 4" xfId="14899"/>
    <cellStyle name="Normal 3 4 13 3" xfId="14900"/>
    <cellStyle name="Normal 3 4 13 3 2" xfId="14901"/>
    <cellStyle name="Normal 3 4 13 3 2 2" xfId="14902"/>
    <cellStyle name="Normal 3 4 13 3 3" xfId="14903"/>
    <cellStyle name="Normal 3 4 13 4" xfId="14904"/>
    <cellStyle name="Normal 3 4 13 4 2" xfId="14905"/>
    <cellStyle name="Normal 3 4 13 4 2 2" xfId="14906"/>
    <cellStyle name="Normal 3 4 13 4 3" xfId="14907"/>
    <cellStyle name="Normal 3 4 13 5" xfId="14908"/>
    <cellStyle name="Normal 3 4 14" xfId="14909"/>
    <cellStyle name="Normal 3 4 14 2" xfId="14910"/>
    <cellStyle name="Normal 3 4 14 2 2" xfId="14911"/>
    <cellStyle name="Normal 3 4 14 2 2 2" xfId="14912"/>
    <cellStyle name="Normal 3 4 14 2 2 2 2" xfId="14913"/>
    <cellStyle name="Normal 3 4 14 2 2 3" xfId="14914"/>
    <cellStyle name="Normal 3 4 14 2 3" xfId="14915"/>
    <cellStyle name="Normal 3 4 14 2 3 2" xfId="14916"/>
    <cellStyle name="Normal 3 4 14 2 3 2 2" xfId="14917"/>
    <cellStyle name="Normal 3 4 14 2 3 3" xfId="14918"/>
    <cellStyle name="Normal 3 4 14 2 4" xfId="14919"/>
    <cellStyle name="Normal 3 4 14 3" xfId="14920"/>
    <cellStyle name="Normal 3 4 14 3 2" xfId="14921"/>
    <cellStyle name="Normal 3 4 14 3 2 2" xfId="14922"/>
    <cellStyle name="Normal 3 4 14 3 3" xfId="14923"/>
    <cellStyle name="Normal 3 4 14 4" xfId="14924"/>
    <cellStyle name="Normal 3 4 14 4 2" xfId="14925"/>
    <cellStyle name="Normal 3 4 14 4 2 2" xfId="14926"/>
    <cellStyle name="Normal 3 4 14 4 3" xfId="14927"/>
    <cellStyle name="Normal 3 4 14 5" xfId="14928"/>
    <cellStyle name="Normal 3 4 15" xfId="14929"/>
    <cellStyle name="Normal 3 4 15 2" xfId="14930"/>
    <cellStyle name="Normal 3 4 15 2 2" xfId="14931"/>
    <cellStyle name="Normal 3 4 15 2 2 2" xfId="14932"/>
    <cellStyle name="Normal 3 4 15 2 2 2 2" xfId="14933"/>
    <cellStyle name="Normal 3 4 15 2 2 3" xfId="14934"/>
    <cellStyle name="Normal 3 4 15 2 3" xfId="14935"/>
    <cellStyle name="Normal 3 4 15 2 3 2" xfId="14936"/>
    <cellStyle name="Normal 3 4 15 2 3 2 2" xfId="14937"/>
    <cellStyle name="Normal 3 4 15 2 3 3" xfId="14938"/>
    <cellStyle name="Normal 3 4 15 2 4" xfId="14939"/>
    <cellStyle name="Normal 3 4 15 3" xfId="14940"/>
    <cellStyle name="Normal 3 4 15 3 2" xfId="14941"/>
    <cellStyle name="Normal 3 4 15 3 2 2" xfId="14942"/>
    <cellStyle name="Normal 3 4 15 3 3" xfId="14943"/>
    <cellStyle name="Normal 3 4 15 4" xfId="14944"/>
    <cellStyle name="Normal 3 4 15 4 2" xfId="14945"/>
    <cellStyle name="Normal 3 4 15 4 2 2" xfId="14946"/>
    <cellStyle name="Normal 3 4 15 4 3" xfId="14947"/>
    <cellStyle name="Normal 3 4 15 5" xfId="14948"/>
    <cellStyle name="Normal 3 4 16" xfId="14949"/>
    <cellStyle name="Normal 3 4 16 2" xfId="14950"/>
    <cellStyle name="Normal 3 4 16 2 2" xfId="14951"/>
    <cellStyle name="Normal 3 4 16 2 2 2" xfId="14952"/>
    <cellStyle name="Normal 3 4 16 2 2 2 2" xfId="14953"/>
    <cellStyle name="Normal 3 4 16 2 2 3" xfId="14954"/>
    <cellStyle name="Normal 3 4 16 2 3" xfId="14955"/>
    <cellStyle name="Normal 3 4 16 2 3 2" xfId="14956"/>
    <cellStyle name="Normal 3 4 16 2 3 2 2" xfId="14957"/>
    <cellStyle name="Normal 3 4 16 2 3 3" xfId="14958"/>
    <cellStyle name="Normal 3 4 16 2 4" xfId="14959"/>
    <cellStyle name="Normal 3 4 16 3" xfId="14960"/>
    <cellStyle name="Normal 3 4 16 3 2" xfId="14961"/>
    <cellStyle name="Normal 3 4 16 3 2 2" xfId="14962"/>
    <cellStyle name="Normal 3 4 16 3 3" xfId="14963"/>
    <cellStyle name="Normal 3 4 16 4" xfId="14964"/>
    <cellStyle name="Normal 3 4 16 4 2" xfId="14965"/>
    <cellStyle name="Normal 3 4 16 4 2 2" xfId="14966"/>
    <cellStyle name="Normal 3 4 16 4 3" xfId="14967"/>
    <cellStyle name="Normal 3 4 16 5" xfId="14968"/>
    <cellStyle name="Normal 3 4 17" xfId="14969"/>
    <cellStyle name="Normal 3 4 17 2" xfId="14970"/>
    <cellStyle name="Normal 3 4 17 2 2" xfId="14971"/>
    <cellStyle name="Normal 3 4 17 2 2 2" xfId="14972"/>
    <cellStyle name="Normal 3 4 17 2 2 2 2" xfId="14973"/>
    <cellStyle name="Normal 3 4 17 2 2 3" xfId="14974"/>
    <cellStyle name="Normal 3 4 17 2 3" xfId="14975"/>
    <cellStyle name="Normal 3 4 17 2 3 2" xfId="14976"/>
    <cellStyle name="Normal 3 4 17 2 3 2 2" xfId="14977"/>
    <cellStyle name="Normal 3 4 17 2 3 3" xfId="14978"/>
    <cellStyle name="Normal 3 4 17 2 4" xfId="14979"/>
    <cellStyle name="Normal 3 4 17 3" xfId="14980"/>
    <cellStyle name="Normal 3 4 17 3 2" xfId="14981"/>
    <cellStyle name="Normal 3 4 17 3 2 2" xfId="14982"/>
    <cellStyle name="Normal 3 4 17 3 3" xfId="14983"/>
    <cellStyle name="Normal 3 4 17 4" xfId="14984"/>
    <cellStyle name="Normal 3 4 17 4 2" xfId="14985"/>
    <cellStyle name="Normal 3 4 17 4 2 2" xfId="14986"/>
    <cellStyle name="Normal 3 4 17 4 3" xfId="14987"/>
    <cellStyle name="Normal 3 4 17 5" xfId="14988"/>
    <cellStyle name="Normal 3 4 18" xfId="14989"/>
    <cellStyle name="Normal 3 4 18 2" xfId="14990"/>
    <cellStyle name="Normal 3 4 18 2 2" xfId="14991"/>
    <cellStyle name="Normal 3 4 18 2 2 2" xfId="14992"/>
    <cellStyle name="Normal 3 4 18 2 2 2 2" xfId="14993"/>
    <cellStyle name="Normal 3 4 18 2 2 3" xfId="14994"/>
    <cellStyle name="Normal 3 4 18 2 3" xfId="14995"/>
    <cellStyle name="Normal 3 4 18 2 3 2" xfId="14996"/>
    <cellStyle name="Normal 3 4 18 2 3 2 2" xfId="14997"/>
    <cellStyle name="Normal 3 4 18 2 3 3" xfId="14998"/>
    <cellStyle name="Normal 3 4 18 2 4" xfId="14999"/>
    <cellStyle name="Normal 3 4 18 3" xfId="15000"/>
    <cellStyle name="Normal 3 4 18 3 2" xfId="15001"/>
    <cellStyle name="Normal 3 4 18 3 2 2" xfId="15002"/>
    <cellStyle name="Normal 3 4 18 3 3" xfId="15003"/>
    <cellStyle name="Normal 3 4 18 4" xfId="15004"/>
    <cellStyle name="Normal 3 4 18 4 2" xfId="15005"/>
    <cellStyle name="Normal 3 4 18 4 2 2" xfId="15006"/>
    <cellStyle name="Normal 3 4 18 4 3" xfId="15007"/>
    <cellStyle name="Normal 3 4 18 5" xfId="15008"/>
    <cellStyle name="Normal 3 4 19" xfId="15009"/>
    <cellStyle name="Normal 3 4 19 2" xfId="15010"/>
    <cellStyle name="Normal 3 4 19 2 2" xfId="15011"/>
    <cellStyle name="Normal 3 4 19 2 2 2" xfId="15012"/>
    <cellStyle name="Normal 3 4 19 2 2 2 2" xfId="15013"/>
    <cellStyle name="Normal 3 4 19 2 2 3" xfId="15014"/>
    <cellStyle name="Normal 3 4 19 2 3" xfId="15015"/>
    <cellStyle name="Normal 3 4 19 2 3 2" xfId="15016"/>
    <cellStyle name="Normal 3 4 19 2 3 2 2" xfId="15017"/>
    <cellStyle name="Normal 3 4 19 2 3 3" xfId="15018"/>
    <cellStyle name="Normal 3 4 19 2 4" xfId="15019"/>
    <cellStyle name="Normal 3 4 19 3" xfId="15020"/>
    <cellStyle name="Normal 3 4 19 3 2" xfId="15021"/>
    <cellStyle name="Normal 3 4 19 3 2 2" xfId="15022"/>
    <cellStyle name="Normal 3 4 19 3 3" xfId="15023"/>
    <cellStyle name="Normal 3 4 19 4" xfId="15024"/>
    <cellStyle name="Normal 3 4 19 4 2" xfId="15025"/>
    <cellStyle name="Normal 3 4 19 4 2 2" xfId="15026"/>
    <cellStyle name="Normal 3 4 19 4 3" xfId="15027"/>
    <cellStyle name="Normal 3 4 19 5" xfId="15028"/>
    <cellStyle name="Normal 3 4 2" xfId="15029"/>
    <cellStyle name="Normal 3 4 2 2" xfId="15030"/>
    <cellStyle name="Normal 3 4 2 2 2" xfId="15031"/>
    <cellStyle name="Normal 3 4 2 2 2 2" xfId="15032"/>
    <cellStyle name="Normal 3 4 2 2 2 2 2" xfId="15033"/>
    <cellStyle name="Normal 3 4 2 2 2 3" xfId="15034"/>
    <cellStyle name="Normal 3 4 2 2 3" xfId="15035"/>
    <cellStyle name="Normal 3 4 2 2 3 2" xfId="15036"/>
    <cellStyle name="Normal 3 4 2 2 3 2 2" xfId="15037"/>
    <cellStyle name="Normal 3 4 2 2 3 3" xfId="15038"/>
    <cellStyle name="Normal 3 4 2 2 4" xfId="15039"/>
    <cellStyle name="Normal 3 4 2 3" xfId="15040"/>
    <cellStyle name="Normal 3 4 2 3 2" xfId="15041"/>
    <cellStyle name="Normal 3 4 2 3 2 2" xfId="15042"/>
    <cellStyle name="Normal 3 4 2 3 3" xfId="15043"/>
    <cellStyle name="Normal 3 4 2 4" xfId="15044"/>
    <cellStyle name="Normal 3 4 2 4 2" xfId="15045"/>
    <cellStyle name="Normal 3 4 2 4 2 2" xfId="15046"/>
    <cellStyle name="Normal 3 4 2 4 3" xfId="15047"/>
    <cellStyle name="Normal 3 4 2 5" xfId="15048"/>
    <cellStyle name="Normal 3 4 20" xfId="15049"/>
    <cellStyle name="Normal 3 4 20 2" xfId="15050"/>
    <cellStyle name="Normal 3 4 20 2 2" xfId="15051"/>
    <cellStyle name="Normal 3 4 20 2 2 2" xfId="15052"/>
    <cellStyle name="Normal 3 4 20 2 2 2 2" xfId="15053"/>
    <cellStyle name="Normal 3 4 20 2 2 3" xfId="15054"/>
    <cellStyle name="Normal 3 4 20 2 3" xfId="15055"/>
    <cellStyle name="Normal 3 4 20 2 3 2" xfId="15056"/>
    <cellStyle name="Normal 3 4 20 2 3 2 2" xfId="15057"/>
    <cellStyle name="Normal 3 4 20 2 3 3" xfId="15058"/>
    <cellStyle name="Normal 3 4 20 2 4" xfId="15059"/>
    <cellStyle name="Normal 3 4 20 3" xfId="15060"/>
    <cellStyle name="Normal 3 4 20 3 2" xfId="15061"/>
    <cellStyle name="Normal 3 4 20 3 2 2" xfId="15062"/>
    <cellStyle name="Normal 3 4 20 3 3" xfId="15063"/>
    <cellStyle name="Normal 3 4 20 4" xfId="15064"/>
    <cellStyle name="Normal 3 4 20 4 2" xfId="15065"/>
    <cellStyle name="Normal 3 4 20 4 2 2" xfId="15066"/>
    <cellStyle name="Normal 3 4 20 4 3" xfId="15067"/>
    <cellStyle name="Normal 3 4 20 5" xfId="15068"/>
    <cellStyle name="Normal 3 4 21" xfId="15069"/>
    <cellStyle name="Normal 3 4 21 2" xfId="15070"/>
    <cellStyle name="Normal 3 4 21 2 2" xfId="15071"/>
    <cellStyle name="Normal 3 4 21 2 2 2" xfId="15072"/>
    <cellStyle name="Normal 3 4 21 2 2 2 2" xfId="15073"/>
    <cellStyle name="Normal 3 4 21 2 2 3" xfId="15074"/>
    <cellStyle name="Normal 3 4 21 2 3" xfId="15075"/>
    <cellStyle name="Normal 3 4 21 2 3 2" xfId="15076"/>
    <cellStyle name="Normal 3 4 21 2 3 2 2" xfId="15077"/>
    <cellStyle name="Normal 3 4 21 2 3 3" xfId="15078"/>
    <cellStyle name="Normal 3 4 21 2 4" xfId="15079"/>
    <cellStyle name="Normal 3 4 21 3" xfId="15080"/>
    <cellStyle name="Normal 3 4 21 3 2" xfId="15081"/>
    <cellStyle name="Normal 3 4 21 3 2 2" xfId="15082"/>
    <cellStyle name="Normal 3 4 21 3 3" xfId="15083"/>
    <cellStyle name="Normal 3 4 21 4" xfId="15084"/>
    <cellStyle name="Normal 3 4 21 4 2" xfId="15085"/>
    <cellStyle name="Normal 3 4 21 4 2 2" xfId="15086"/>
    <cellStyle name="Normal 3 4 21 4 3" xfId="15087"/>
    <cellStyle name="Normal 3 4 21 5" xfId="15088"/>
    <cellStyle name="Normal 3 4 22" xfId="15089"/>
    <cellStyle name="Normal 3 4 22 2" xfId="15090"/>
    <cellStyle name="Normal 3 4 22 2 2" xfId="15091"/>
    <cellStyle name="Normal 3 4 22 2 2 2" xfId="15092"/>
    <cellStyle name="Normal 3 4 22 2 2 2 2" xfId="15093"/>
    <cellStyle name="Normal 3 4 22 2 2 3" xfId="15094"/>
    <cellStyle name="Normal 3 4 22 2 3" xfId="15095"/>
    <cellStyle name="Normal 3 4 22 2 3 2" xfId="15096"/>
    <cellStyle name="Normal 3 4 22 2 3 2 2" xfId="15097"/>
    <cellStyle name="Normal 3 4 22 2 3 3" xfId="15098"/>
    <cellStyle name="Normal 3 4 22 2 4" xfId="15099"/>
    <cellStyle name="Normal 3 4 22 3" xfId="15100"/>
    <cellStyle name="Normal 3 4 22 3 2" xfId="15101"/>
    <cellStyle name="Normal 3 4 22 3 2 2" xfId="15102"/>
    <cellStyle name="Normal 3 4 22 3 3" xfId="15103"/>
    <cellStyle name="Normal 3 4 22 4" xfId="15104"/>
    <cellStyle name="Normal 3 4 22 4 2" xfId="15105"/>
    <cellStyle name="Normal 3 4 22 4 2 2" xfId="15106"/>
    <cellStyle name="Normal 3 4 22 4 3" xfId="15107"/>
    <cellStyle name="Normal 3 4 22 5" xfId="15108"/>
    <cellStyle name="Normal 3 4 23" xfId="15109"/>
    <cellStyle name="Normal 3 4 23 2" xfId="15110"/>
    <cellStyle name="Normal 3 4 23 2 2" xfId="15111"/>
    <cellStyle name="Normal 3 4 23 2 2 2" xfId="15112"/>
    <cellStyle name="Normal 3 4 23 2 2 2 2" xfId="15113"/>
    <cellStyle name="Normal 3 4 23 2 2 3" xfId="15114"/>
    <cellStyle name="Normal 3 4 23 2 3" xfId="15115"/>
    <cellStyle name="Normal 3 4 23 2 3 2" xfId="15116"/>
    <cellStyle name="Normal 3 4 23 2 3 2 2" xfId="15117"/>
    <cellStyle name="Normal 3 4 23 2 3 3" xfId="15118"/>
    <cellStyle name="Normal 3 4 23 2 4" xfId="15119"/>
    <cellStyle name="Normal 3 4 23 3" xfId="15120"/>
    <cellStyle name="Normal 3 4 23 3 2" xfId="15121"/>
    <cellStyle name="Normal 3 4 23 3 2 2" xfId="15122"/>
    <cellStyle name="Normal 3 4 23 3 3" xfId="15123"/>
    <cellStyle name="Normal 3 4 23 4" xfId="15124"/>
    <cellStyle name="Normal 3 4 23 4 2" xfId="15125"/>
    <cellStyle name="Normal 3 4 23 4 2 2" xfId="15126"/>
    <cellStyle name="Normal 3 4 23 4 3" xfId="15127"/>
    <cellStyle name="Normal 3 4 23 5" xfId="15128"/>
    <cellStyle name="Normal 3 4 24" xfId="15129"/>
    <cellStyle name="Normal 3 4 24 2" xfId="15130"/>
    <cellStyle name="Normal 3 4 24 2 2" xfId="15131"/>
    <cellStyle name="Normal 3 4 24 2 2 2" xfId="15132"/>
    <cellStyle name="Normal 3 4 24 2 2 2 2" xfId="15133"/>
    <cellStyle name="Normal 3 4 24 2 2 3" xfId="15134"/>
    <cellStyle name="Normal 3 4 24 2 3" xfId="15135"/>
    <cellStyle name="Normal 3 4 24 2 3 2" xfId="15136"/>
    <cellStyle name="Normal 3 4 24 2 3 2 2" xfId="15137"/>
    <cellStyle name="Normal 3 4 24 2 3 3" xfId="15138"/>
    <cellStyle name="Normal 3 4 24 2 4" xfId="15139"/>
    <cellStyle name="Normal 3 4 24 3" xfId="15140"/>
    <cellStyle name="Normal 3 4 24 3 2" xfId="15141"/>
    <cellStyle name="Normal 3 4 24 3 2 2" xfId="15142"/>
    <cellStyle name="Normal 3 4 24 3 3" xfId="15143"/>
    <cellStyle name="Normal 3 4 24 4" xfId="15144"/>
    <cellStyle name="Normal 3 4 24 4 2" xfId="15145"/>
    <cellStyle name="Normal 3 4 24 4 2 2" xfId="15146"/>
    <cellStyle name="Normal 3 4 24 4 3" xfId="15147"/>
    <cellStyle name="Normal 3 4 24 5" xfId="15148"/>
    <cellStyle name="Normal 3 4 25" xfId="15149"/>
    <cellStyle name="Normal 3 4 25 2" xfId="15150"/>
    <cellStyle name="Normal 3 4 25 2 2" xfId="15151"/>
    <cellStyle name="Normal 3 4 25 2 2 2" xfId="15152"/>
    <cellStyle name="Normal 3 4 25 2 2 2 2" xfId="15153"/>
    <cellStyle name="Normal 3 4 25 2 2 3" xfId="15154"/>
    <cellStyle name="Normal 3 4 25 2 3" xfId="15155"/>
    <cellStyle name="Normal 3 4 25 2 3 2" xfId="15156"/>
    <cellStyle name="Normal 3 4 25 2 3 2 2" xfId="15157"/>
    <cellStyle name="Normal 3 4 25 2 3 3" xfId="15158"/>
    <cellStyle name="Normal 3 4 25 2 4" xfId="15159"/>
    <cellStyle name="Normal 3 4 25 3" xfId="15160"/>
    <cellStyle name="Normal 3 4 25 3 2" xfId="15161"/>
    <cellStyle name="Normal 3 4 25 3 2 2" xfId="15162"/>
    <cellStyle name="Normal 3 4 25 3 3" xfId="15163"/>
    <cellStyle name="Normal 3 4 25 4" xfId="15164"/>
    <cellStyle name="Normal 3 4 25 4 2" xfId="15165"/>
    <cellStyle name="Normal 3 4 25 4 2 2" xfId="15166"/>
    <cellStyle name="Normal 3 4 25 4 3" xfId="15167"/>
    <cellStyle name="Normal 3 4 25 5" xfId="15168"/>
    <cellStyle name="Normal 3 4 26" xfId="15169"/>
    <cellStyle name="Normal 3 4 26 2" xfId="15170"/>
    <cellStyle name="Normal 3 4 26 2 2" xfId="15171"/>
    <cellStyle name="Normal 3 4 26 2 2 2" xfId="15172"/>
    <cellStyle name="Normal 3 4 26 2 2 2 2" xfId="15173"/>
    <cellStyle name="Normal 3 4 26 2 2 3" xfId="15174"/>
    <cellStyle name="Normal 3 4 26 2 3" xfId="15175"/>
    <cellStyle name="Normal 3 4 26 2 3 2" xfId="15176"/>
    <cellStyle name="Normal 3 4 26 2 3 2 2" xfId="15177"/>
    <cellStyle name="Normal 3 4 26 2 3 3" xfId="15178"/>
    <cellStyle name="Normal 3 4 26 2 4" xfId="15179"/>
    <cellStyle name="Normal 3 4 26 3" xfId="15180"/>
    <cellStyle name="Normal 3 4 26 3 2" xfId="15181"/>
    <cellStyle name="Normal 3 4 26 3 2 2" xfId="15182"/>
    <cellStyle name="Normal 3 4 26 3 3" xfId="15183"/>
    <cellStyle name="Normal 3 4 26 4" xfId="15184"/>
    <cellStyle name="Normal 3 4 26 4 2" xfId="15185"/>
    <cellStyle name="Normal 3 4 26 4 2 2" xfId="15186"/>
    <cellStyle name="Normal 3 4 26 4 3" xfId="15187"/>
    <cellStyle name="Normal 3 4 26 5" xfId="15188"/>
    <cellStyle name="Normal 3 4 27" xfId="15189"/>
    <cellStyle name="Normal 3 4 27 2" xfId="15190"/>
    <cellStyle name="Normal 3 4 27 2 2" xfId="15191"/>
    <cellStyle name="Normal 3 4 27 2 2 2" xfId="15192"/>
    <cellStyle name="Normal 3 4 27 2 2 2 2" xfId="15193"/>
    <cellStyle name="Normal 3 4 27 2 2 3" xfId="15194"/>
    <cellStyle name="Normal 3 4 27 2 3" xfId="15195"/>
    <cellStyle name="Normal 3 4 27 2 3 2" xfId="15196"/>
    <cellStyle name="Normal 3 4 27 2 3 2 2" xfId="15197"/>
    <cellStyle name="Normal 3 4 27 2 3 3" xfId="15198"/>
    <cellStyle name="Normal 3 4 27 2 4" xfId="15199"/>
    <cellStyle name="Normal 3 4 27 3" xfId="15200"/>
    <cellStyle name="Normal 3 4 27 3 2" xfId="15201"/>
    <cellStyle name="Normal 3 4 27 3 2 2" xfId="15202"/>
    <cellStyle name="Normal 3 4 27 3 3" xfId="15203"/>
    <cellStyle name="Normal 3 4 27 4" xfId="15204"/>
    <cellStyle name="Normal 3 4 27 4 2" xfId="15205"/>
    <cellStyle name="Normal 3 4 27 4 2 2" xfId="15206"/>
    <cellStyle name="Normal 3 4 27 4 3" xfId="15207"/>
    <cellStyle name="Normal 3 4 27 5" xfId="15208"/>
    <cellStyle name="Normal 3 4 28" xfId="15209"/>
    <cellStyle name="Normal 3 4 28 2" xfId="15210"/>
    <cellStyle name="Normal 3 4 28 2 2" xfId="15211"/>
    <cellStyle name="Normal 3 4 28 2 2 2" xfId="15212"/>
    <cellStyle name="Normal 3 4 28 2 2 2 2" xfId="15213"/>
    <cellStyle name="Normal 3 4 28 2 2 3" xfId="15214"/>
    <cellStyle name="Normal 3 4 28 2 3" xfId="15215"/>
    <cellStyle name="Normal 3 4 28 2 3 2" xfId="15216"/>
    <cellStyle name="Normal 3 4 28 2 3 2 2" xfId="15217"/>
    <cellStyle name="Normal 3 4 28 2 3 3" xfId="15218"/>
    <cellStyle name="Normal 3 4 28 2 4" xfId="15219"/>
    <cellStyle name="Normal 3 4 28 3" xfId="15220"/>
    <cellStyle name="Normal 3 4 28 3 2" xfId="15221"/>
    <cellStyle name="Normal 3 4 28 3 2 2" xfId="15222"/>
    <cellStyle name="Normal 3 4 28 3 3" xfId="15223"/>
    <cellStyle name="Normal 3 4 28 4" xfId="15224"/>
    <cellStyle name="Normal 3 4 28 4 2" xfId="15225"/>
    <cellStyle name="Normal 3 4 28 4 2 2" xfId="15226"/>
    <cellStyle name="Normal 3 4 28 4 3" xfId="15227"/>
    <cellStyle name="Normal 3 4 28 5" xfId="15228"/>
    <cellStyle name="Normal 3 4 29" xfId="15229"/>
    <cellStyle name="Normal 3 4 29 2" xfId="15230"/>
    <cellStyle name="Normal 3 4 29 2 2" xfId="15231"/>
    <cellStyle name="Normal 3 4 29 2 2 2" xfId="15232"/>
    <cellStyle name="Normal 3 4 29 2 2 2 2" xfId="15233"/>
    <cellStyle name="Normal 3 4 29 2 2 3" xfId="15234"/>
    <cellStyle name="Normal 3 4 29 2 3" xfId="15235"/>
    <cellStyle name="Normal 3 4 29 2 3 2" xfId="15236"/>
    <cellStyle name="Normal 3 4 29 2 3 2 2" xfId="15237"/>
    <cellStyle name="Normal 3 4 29 2 3 3" xfId="15238"/>
    <cellStyle name="Normal 3 4 29 2 4" xfId="15239"/>
    <cellStyle name="Normal 3 4 29 3" xfId="15240"/>
    <cellStyle name="Normal 3 4 29 3 2" xfId="15241"/>
    <cellStyle name="Normal 3 4 29 3 2 2" xfId="15242"/>
    <cellStyle name="Normal 3 4 29 3 3" xfId="15243"/>
    <cellStyle name="Normal 3 4 29 4" xfId="15244"/>
    <cellStyle name="Normal 3 4 29 4 2" xfId="15245"/>
    <cellStyle name="Normal 3 4 29 4 2 2" xfId="15246"/>
    <cellStyle name="Normal 3 4 29 4 3" xfId="15247"/>
    <cellStyle name="Normal 3 4 29 5" xfId="15248"/>
    <cellStyle name="Normal 3 4 3" xfId="15249"/>
    <cellStyle name="Normal 3 4 3 2" xfId="15250"/>
    <cellStyle name="Normal 3 4 3 2 2" xfId="15251"/>
    <cellStyle name="Normal 3 4 3 2 2 2" xfId="15252"/>
    <cellStyle name="Normal 3 4 3 2 2 2 2" xfId="15253"/>
    <cellStyle name="Normal 3 4 3 2 2 3" xfId="15254"/>
    <cellStyle name="Normal 3 4 3 2 3" xfId="15255"/>
    <cellStyle name="Normal 3 4 3 2 3 2" xfId="15256"/>
    <cellStyle name="Normal 3 4 3 2 3 2 2" xfId="15257"/>
    <cellStyle name="Normal 3 4 3 2 3 3" xfId="15258"/>
    <cellStyle name="Normal 3 4 3 2 4" xfId="15259"/>
    <cellStyle name="Normal 3 4 3 3" xfId="15260"/>
    <cellStyle name="Normal 3 4 3 3 2" xfId="15261"/>
    <cellStyle name="Normal 3 4 3 3 2 2" xfId="15262"/>
    <cellStyle name="Normal 3 4 3 3 3" xfId="15263"/>
    <cellStyle name="Normal 3 4 3 4" xfId="15264"/>
    <cellStyle name="Normal 3 4 3 4 2" xfId="15265"/>
    <cellStyle name="Normal 3 4 3 4 2 2" xfId="15266"/>
    <cellStyle name="Normal 3 4 3 4 3" xfId="15267"/>
    <cellStyle name="Normal 3 4 3 5" xfId="15268"/>
    <cellStyle name="Normal 3 4 30" xfId="15269"/>
    <cellStyle name="Normal 3 4 30 2" xfId="15270"/>
    <cellStyle name="Normal 3 4 30 2 2" xfId="15271"/>
    <cellStyle name="Normal 3 4 30 2 2 2" xfId="15272"/>
    <cellStyle name="Normal 3 4 30 2 2 2 2" xfId="15273"/>
    <cellStyle name="Normal 3 4 30 2 2 3" xfId="15274"/>
    <cellStyle name="Normal 3 4 30 2 3" xfId="15275"/>
    <cellStyle name="Normal 3 4 30 2 3 2" xfId="15276"/>
    <cellStyle name="Normal 3 4 30 2 3 2 2" xfId="15277"/>
    <cellStyle name="Normal 3 4 30 2 3 3" xfId="15278"/>
    <cellStyle name="Normal 3 4 30 2 4" xfId="15279"/>
    <cellStyle name="Normal 3 4 30 3" xfId="15280"/>
    <cellStyle name="Normal 3 4 30 3 2" xfId="15281"/>
    <cellStyle name="Normal 3 4 30 3 2 2" xfId="15282"/>
    <cellStyle name="Normal 3 4 30 3 3" xfId="15283"/>
    <cellStyle name="Normal 3 4 30 4" xfId="15284"/>
    <cellStyle name="Normal 3 4 30 4 2" xfId="15285"/>
    <cellStyle name="Normal 3 4 30 4 2 2" xfId="15286"/>
    <cellStyle name="Normal 3 4 30 4 3" xfId="15287"/>
    <cellStyle name="Normal 3 4 30 5" xfId="15288"/>
    <cellStyle name="Normal 3 4 31" xfId="15289"/>
    <cellStyle name="Normal 3 4 31 2" xfId="15290"/>
    <cellStyle name="Normal 3 4 31 2 2" xfId="15291"/>
    <cellStyle name="Normal 3 4 31 2 2 2" xfId="15292"/>
    <cellStyle name="Normal 3 4 31 2 2 2 2" xfId="15293"/>
    <cellStyle name="Normal 3 4 31 2 2 3" xfId="15294"/>
    <cellStyle name="Normal 3 4 31 2 3" xfId="15295"/>
    <cellStyle name="Normal 3 4 31 2 3 2" xfId="15296"/>
    <cellStyle name="Normal 3 4 31 2 3 2 2" xfId="15297"/>
    <cellStyle name="Normal 3 4 31 2 3 3" xfId="15298"/>
    <cellStyle name="Normal 3 4 31 2 4" xfId="15299"/>
    <cellStyle name="Normal 3 4 31 3" xfId="15300"/>
    <cellStyle name="Normal 3 4 31 3 2" xfId="15301"/>
    <cellStyle name="Normal 3 4 31 3 2 2" xfId="15302"/>
    <cellStyle name="Normal 3 4 31 3 3" xfId="15303"/>
    <cellStyle name="Normal 3 4 31 4" xfId="15304"/>
    <cellStyle name="Normal 3 4 31 4 2" xfId="15305"/>
    <cellStyle name="Normal 3 4 31 4 2 2" xfId="15306"/>
    <cellStyle name="Normal 3 4 31 4 3" xfId="15307"/>
    <cellStyle name="Normal 3 4 31 5" xfId="15308"/>
    <cellStyle name="Normal 3 4 32" xfId="15309"/>
    <cellStyle name="Normal 3 4 32 2" xfId="15310"/>
    <cellStyle name="Normal 3 4 32 2 2" xfId="15311"/>
    <cellStyle name="Normal 3 4 32 2 2 2" xfId="15312"/>
    <cellStyle name="Normal 3 4 32 2 2 2 2" xfId="15313"/>
    <cellStyle name="Normal 3 4 32 2 2 3" xfId="15314"/>
    <cellStyle name="Normal 3 4 32 2 3" xfId="15315"/>
    <cellStyle name="Normal 3 4 32 2 3 2" xfId="15316"/>
    <cellStyle name="Normal 3 4 32 2 3 2 2" xfId="15317"/>
    <cellStyle name="Normal 3 4 32 2 3 3" xfId="15318"/>
    <cellStyle name="Normal 3 4 32 2 4" xfId="15319"/>
    <cellStyle name="Normal 3 4 32 3" xfId="15320"/>
    <cellStyle name="Normal 3 4 32 3 2" xfId="15321"/>
    <cellStyle name="Normal 3 4 32 3 2 2" xfId="15322"/>
    <cellStyle name="Normal 3 4 32 3 3" xfId="15323"/>
    <cellStyle name="Normal 3 4 32 4" xfId="15324"/>
    <cellStyle name="Normal 3 4 32 4 2" xfId="15325"/>
    <cellStyle name="Normal 3 4 32 4 2 2" xfId="15326"/>
    <cellStyle name="Normal 3 4 32 4 3" xfId="15327"/>
    <cellStyle name="Normal 3 4 32 5" xfId="15328"/>
    <cellStyle name="Normal 3 4 33" xfId="15329"/>
    <cellStyle name="Normal 3 4 33 2" xfId="15330"/>
    <cellStyle name="Normal 3 4 33 2 2" xfId="15331"/>
    <cellStyle name="Normal 3 4 33 2 2 2" xfId="15332"/>
    <cellStyle name="Normal 3 4 33 2 2 2 2" xfId="15333"/>
    <cellStyle name="Normal 3 4 33 2 2 3" xfId="15334"/>
    <cellStyle name="Normal 3 4 33 2 3" xfId="15335"/>
    <cellStyle name="Normal 3 4 33 2 3 2" xfId="15336"/>
    <cellStyle name="Normal 3 4 33 2 3 2 2" xfId="15337"/>
    <cellStyle name="Normal 3 4 33 2 3 3" xfId="15338"/>
    <cellStyle name="Normal 3 4 33 2 4" xfId="15339"/>
    <cellStyle name="Normal 3 4 33 3" xfId="15340"/>
    <cellStyle name="Normal 3 4 33 3 2" xfId="15341"/>
    <cellStyle name="Normal 3 4 33 3 2 2" xfId="15342"/>
    <cellStyle name="Normal 3 4 33 3 3" xfId="15343"/>
    <cellStyle name="Normal 3 4 33 4" xfId="15344"/>
    <cellStyle name="Normal 3 4 33 4 2" xfId="15345"/>
    <cellStyle name="Normal 3 4 33 4 2 2" xfId="15346"/>
    <cellStyle name="Normal 3 4 33 4 3" xfId="15347"/>
    <cellStyle name="Normal 3 4 33 5" xfId="15348"/>
    <cellStyle name="Normal 3 4 34" xfId="15349"/>
    <cellStyle name="Normal 3 4 34 2" xfId="15350"/>
    <cellStyle name="Normal 3 4 34 2 2" xfId="15351"/>
    <cellStyle name="Normal 3 4 34 2 2 2" xfId="15352"/>
    <cellStyle name="Normal 3 4 34 2 2 2 2" xfId="15353"/>
    <cellStyle name="Normal 3 4 34 2 2 3" xfId="15354"/>
    <cellStyle name="Normal 3 4 34 2 3" xfId="15355"/>
    <cellStyle name="Normal 3 4 34 2 3 2" xfId="15356"/>
    <cellStyle name="Normal 3 4 34 2 3 2 2" xfId="15357"/>
    <cellStyle name="Normal 3 4 34 2 3 3" xfId="15358"/>
    <cellStyle name="Normal 3 4 34 2 4" xfId="15359"/>
    <cellStyle name="Normal 3 4 34 3" xfId="15360"/>
    <cellStyle name="Normal 3 4 34 3 2" xfId="15361"/>
    <cellStyle name="Normal 3 4 34 3 2 2" xfId="15362"/>
    <cellStyle name="Normal 3 4 34 3 3" xfId="15363"/>
    <cellStyle name="Normal 3 4 34 4" xfId="15364"/>
    <cellStyle name="Normal 3 4 34 4 2" xfId="15365"/>
    <cellStyle name="Normal 3 4 34 4 2 2" xfId="15366"/>
    <cellStyle name="Normal 3 4 34 4 3" xfId="15367"/>
    <cellStyle name="Normal 3 4 34 5" xfId="15368"/>
    <cellStyle name="Normal 3 4 35" xfId="15369"/>
    <cellStyle name="Normal 3 4 35 2" xfId="15370"/>
    <cellStyle name="Normal 3 4 35 2 2" xfId="15371"/>
    <cellStyle name="Normal 3 4 35 2 2 2" xfId="15372"/>
    <cellStyle name="Normal 3 4 35 2 2 2 2" xfId="15373"/>
    <cellStyle name="Normal 3 4 35 2 2 3" xfId="15374"/>
    <cellStyle name="Normal 3 4 35 2 3" xfId="15375"/>
    <cellStyle name="Normal 3 4 35 2 3 2" xfId="15376"/>
    <cellStyle name="Normal 3 4 35 2 3 2 2" xfId="15377"/>
    <cellStyle name="Normal 3 4 35 2 3 3" xfId="15378"/>
    <cellStyle name="Normal 3 4 35 2 4" xfId="15379"/>
    <cellStyle name="Normal 3 4 35 3" xfId="15380"/>
    <cellStyle name="Normal 3 4 35 3 2" xfId="15381"/>
    <cellStyle name="Normal 3 4 35 3 2 2" xfId="15382"/>
    <cellStyle name="Normal 3 4 35 3 3" xfId="15383"/>
    <cellStyle name="Normal 3 4 35 4" xfId="15384"/>
    <cellStyle name="Normal 3 4 35 4 2" xfId="15385"/>
    <cellStyle name="Normal 3 4 35 4 2 2" xfId="15386"/>
    <cellStyle name="Normal 3 4 35 4 3" xfId="15387"/>
    <cellStyle name="Normal 3 4 35 5" xfId="15388"/>
    <cellStyle name="Normal 3 4 36" xfId="15389"/>
    <cellStyle name="Normal 3 4 36 2" xfId="15390"/>
    <cellStyle name="Normal 3 4 36 2 2" xfId="15391"/>
    <cellStyle name="Normal 3 4 36 2 2 2" xfId="15392"/>
    <cellStyle name="Normal 3 4 36 2 2 2 2" xfId="15393"/>
    <cellStyle name="Normal 3 4 36 2 2 3" xfId="15394"/>
    <cellStyle name="Normal 3 4 36 2 3" xfId="15395"/>
    <cellStyle name="Normal 3 4 36 2 3 2" xfId="15396"/>
    <cellStyle name="Normal 3 4 36 2 3 2 2" xfId="15397"/>
    <cellStyle name="Normal 3 4 36 2 3 3" xfId="15398"/>
    <cellStyle name="Normal 3 4 36 2 4" xfId="15399"/>
    <cellStyle name="Normal 3 4 36 3" xfId="15400"/>
    <cellStyle name="Normal 3 4 36 3 2" xfId="15401"/>
    <cellStyle name="Normal 3 4 36 3 2 2" xfId="15402"/>
    <cellStyle name="Normal 3 4 36 3 3" xfId="15403"/>
    <cellStyle name="Normal 3 4 36 4" xfId="15404"/>
    <cellStyle name="Normal 3 4 36 4 2" xfId="15405"/>
    <cellStyle name="Normal 3 4 36 4 2 2" xfId="15406"/>
    <cellStyle name="Normal 3 4 36 4 3" xfId="15407"/>
    <cellStyle name="Normal 3 4 36 5" xfId="15408"/>
    <cellStyle name="Normal 3 4 37" xfId="15409"/>
    <cellStyle name="Normal 3 4 37 2" xfId="15410"/>
    <cellStyle name="Normal 3 4 37 2 2" xfId="15411"/>
    <cellStyle name="Normal 3 4 37 2 2 2" xfId="15412"/>
    <cellStyle name="Normal 3 4 37 2 2 2 2" xfId="15413"/>
    <cellStyle name="Normal 3 4 37 2 2 3" xfId="15414"/>
    <cellStyle name="Normal 3 4 37 2 3" xfId="15415"/>
    <cellStyle name="Normal 3 4 37 2 3 2" xfId="15416"/>
    <cellStyle name="Normal 3 4 37 2 3 2 2" xfId="15417"/>
    <cellStyle name="Normal 3 4 37 2 3 3" xfId="15418"/>
    <cellStyle name="Normal 3 4 37 2 4" xfId="15419"/>
    <cellStyle name="Normal 3 4 37 3" xfId="15420"/>
    <cellStyle name="Normal 3 4 37 3 2" xfId="15421"/>
    <cellStyle name="Normal 3 4 37 3 2 2" xfId="15422"/>
    <cellStyle name="Normal 3 4 37 3 3" xfId="15423"/>
    <cellStyle name="Normal 3 4 37 4" xfId="15424"/>
    <cellStyle name="Normal 3 4 37 4 2" xfId="15425"/>
    <cellStyle name="Normal 3 4 37 4 2 2" xfId="15426"/>
    <cellStyle name="Normal 3 4 37 4 3" xfId="15427"/>
    <cellStyle name="Normal 3 4 37 5" xfId="15428"/>
    <cellStyle name="Normal 3 4 38" xfId="15429"/>
    <cellStyle name="Normal 3 4 38 2" xfId="15430"/>
    <cellStyle name="Normal 3 4 38 2 2" xfId="15431"/>
    <cellStyle name="Normal 3 4 38 2 2 2" xfId="15432"/>
    <cellStyle name="Normal 3 4 38 2 2 2 2" xfId="15433"/>
    <cellStyle name="Normal 3 4 38 2 2 3" xfId="15434"/>
    <cellStyle name="Normal 3 4 38 2 3" xfId="15435"/>
    <cellStyle name="Normal 3 4 38 2 3 2" xfId="15436"/>
    <cellStyle name="Normal 3 4 38 2 3 2 2" xfId="15437"/>
    <cellStyle name="Normal 3 4 38 2 3 3" xfId="15438"/>
    <cellStyle name="Normal 3 4 38 2 4" xfId="15439"/>
    <cellStyle name="Normal 3 4 38 3" xfId="15440"/>
    <cellStyle name="Normal 3 4 38 3 2" xfId="15441"/>
    <cellStyle name="Normal 3 4 38 3 2 2" xfId="15442"/>
    <cellStyle name="Normal 3 4 38 3 3" xfId="15443"/>
    <cellStyle name="Normal 3 4 38 4" xfId="15444"/>
    <cellStyle name="Normal 3 4 38 4 2" xfId="15445"/>
    <cellStyle name="Normal 3 4 38 4 2 2" xfId="15446"/>
    <cellStyle name="Normal 3 4 38 4 3" xfId="15447"/>
    <cellStyle name="Normal 3 4 38 5" xfId="15448"/>
    <cellStyle name="Normal 3 4 39" xfId="15449"/>
    <cellStyle name="Normal 3 4 39 2" xfId="15450"/>
    <cellStyle name="Normal 3 4 39 2 2" xfId="15451"/>
    <cellStyle name="Normal 3 4 39 2 2 2" xfId="15452"/>
    <cellStyle name="Normal 3 4 39 2 2 2 2" xfId="15453"/>
    <cellStyle name="Normal 3 4 39 2 2 3" xfId="15454"/>
    <cellStyle name="Normal 3 4 39 2 3" xfId="15455"/>
    <cellStyle name="Normal 3 4 39 2 3 2" xfId="15456"/>
    <cellStyle name="Normal 3 4 39 2 3 2 2" xfId="15457"/>
    <cellStyle name="Normal 3 4 39 2 3 3" xfId="15458"/>
    <cellStyle name="Normal 3 4 39 2 4" xfId="15459"/>
    <cellStyle name="Normal 3 4 39 3" xfId="15460"/>
    <cellStyle name="Normal 3 4 39 3 2" xfId="15461"/>
    <cellStyle name="Normal 3 4 39 3 2 2" xfId="15462"/>
    <cellStyle name="Normal 3 4 39 3 3" xfId="15463"/>
    <cellStyle name="Normal 3 4 39 4" xfId="15464"/>
    <cellStyle name="Normal 3 4 39 4 2" xfId="15465"/>
    <cellStyle name="Normal 3 4 39 4 2 2" xfId="15466"/>
    <cellStyle name="Normal 3 4 39 4 3" xfId="15467"/>
    <cellStyle name="Normal 3 4 39 5" xfId="15468"/>
    <cellStyle name="Normal 3 4 4" xfId="15469"/>
    <cellStyle name="Normal 3 4 4 2" xfId="15470"/>
    <cellStyle name="Normal 3 4 4 2 2" xfId="15471"/>
    <cellStyle name="Normal 3 4 4 2 2 2" xfId="15472"/>
    <cellStyle name="Normal 3 4 4 2 2 2 2" xfId="15473"/>
    <cellStyle name="Normal 3 4 4 2 2 3" xfId="15474"/>
    <cellStyle name="Normal 3 4 4 2 3" xfId="15475"/>
    <cellStyle name="Normal 3 4 4 2 3 2" xfId="15476"/>
    <cellStyle name="Normal 3 4 4 2 3 2 2" xfId="15477"/>
    <cellStyle name="Normal 3 4 4 2 3 3" xfId="15478"/>
    <cellStyle name="Normal 3 4 4 2 4" xfId="15479"/>
    <cellStyle name="Normal 3 4 4 3" xfId="15480"/>
    <cellStyle name="Normal 3 4 4 3 2" xfId="15481"/>
    <cellStyle name="Normal 3 4 4 3 2 2" xfId="15482"/>
    <cellStyle name="Normal 3 4 4 3 3" xfId="15483"/>
    <cellStyle name="Normal 3 4 4 4" xfId="15484"/>
    <cellStyle name="Normal 3 4 4 4 2" xfId="15485"/>
    <cellStyle name="Normal 3 4 4 4 2 2" xfId="15486"/>
    <cellStyle name="Normal 3 4 4 4 3" xfId="15487"/>
    <cellStyle name="Normal 3 4 4 5" xfId="15488"/>
    <cellStyle name="Normal 3 4 40" xfId="15489"/>
    <cellStyle name="Normal 3 4 40 2" xfId="15490"/>
    <cellStyle name="Normal 3 4 40 2 2" xfId="15491"/>
    <cellStyle name="Normal 3 4 40 2 2 2" xfId="15492"/>
    <cellStyle name="Normal 3 4 40 2 2 2 2" xfId="15493"/>
    <cellStyle name="Normal 3 4 40 2 2 3" xfId="15494"/>
    <cellStyle name="Normal 3 4 40 2 3" xfId="15495"/>
    <cellStyle name="Normal 3 4 40 2 3 2" xfId="15496"/>
    <cellStyle name="Normal 3 4 40 2 3 2 2" xfId="15497"/>
    <cellStyle name="Normal 3 4 40 2 3 3" xfId="15498"/>
    <cellStyle name="Normal 3 4 40 2 4" xfId="15499"/>
    <cellStyle name="Normal 3 4 40 3" xfId="15500"/>
    <cellStyle name="Normal 3 4 40 3 2" xfId="15501"/>
    <cellStyle name="Normal 3 4 40 3 2 2" xfId="15502"/>
    <cellStyle name="Normal 3 4 40 3 3" xfId="15503"/>
    <cellStyle name="Normal 3 4 40 4" xfId="15504"/>
    <cellStyle name="Normal 3 4 40 4 2" xfId="15505"/>
    <cellStyle name="Normal 3 4 40 4 2 2" xfId="15506"/>
    <cellStyle name="Normal 3 4 40 4 3" xfId="15507"/>
    <cellStyle name="Normal 3 4 40 5" xfId="15508"/>
    <cellStyle name="Normal 3 4 41" xfId="15509"/>
    <cellStyle name="Normal 3 4 41 2" xfId="15510"/>
    <cellStyle name="Normal 3 4 41 2 2" xfId="15511"/>
    <cellStyle name="Normal 3 4 41 2 2 2" xfId="15512"/>
    <cellStyle name="Normal 3 4 41 2 2 2 2" xfId="15513"/>
    <cellStyle name="Normal 3 4 41 2 2 3" xfId="15514"/>
    <cellStyle name="Normal 3 4 41 2 3" xfId="15515"/>
    <cellStyle name="Normal 3 4 41 2 3 2" xfId="15516"/>
    <cellStyle name="Normal 3 4 41 2 3 2 2" xfId="15517"/>
    <cellStyle name="Normal 3 4 41 2 3 3" xfId="15518"/>
    <cellStyle name="Normal 3 4 41 2 4" xfId="15519"/>
    <cellStyle name="Normal 3 4 41 3" xfId="15520"/>
    <cellStyle name="Normal 3 4 41 3 2" xfId="15521"/>
    <cellStyle name="Normal 3 4 41 3 2 2" xfId="15522"/>
    <cellStyle name="Normal 3 4 41 3 3" xfId="15523"/>
    <cellStyle name="Normal 3 4 41 4" xfId="15524"/>
    <cellStyle name="Normal 3 4 41 4 2" xfId="15525"/>
    <cellStyle name="Normal 3 4 41 4 2 2" xfId="15526"/>
    <cellStyle name="Normal 3 4 41 4 3" xfId="15527"/>
    <cellStyle name="Normal 3 4 41 5" xfId="15528"/>
    <cellStyle name="Normal 3 4 42" xfId="15529"/>
    <cellStyle name="Normal 3 4 42 2" xfId="15530"/>
    <cellStyle name="Normal 3 4 42 2 2" xfId="15531"/>
    <cellStyle name="Normal 3 4 42 2 2 2" xfId="15532"/>
    <cellStyle name="Normal 3 4 42 2 2 2 2" xfId="15533"/>
    <cellStyle name="Normal 3 4 42 2 2 3" xfId="15534"/>
    <cellStyle name="Normal 3 4 42 2 3" xfId="15535"/>
    <cellStyle name="Normal 3 4 42 2 3 2" xfId="15536"/>
    <cellStyle name="Normal 3 4 42 2 3 2 2" xfId="15537"/>
    <cellStyle name="Normal 3 4 42 2 3 3" xfId="15538"/>
    <cellStyle name="Normal 3 4 42 2 4" xfId="15539"/>
    <cellStyle name="Normal 3 4 42 3" xfId="15540"/>
    <cellStyle name="Normal 3 4 42 3 2" xfId="15541"/>
    <cellStyle name="Normal 3 4 42 3 2 2" xfId="15542"/>
    <cellStyle name="Normal 3 4 42 3 3" xfId="15543"/>
    <cellStyle name="Normal 3 4 42 4" xfId="15544"/>
    <cellStyle name="Normal 3 4 42 4 2" xfId="15545"/>
    <cellStyle name="Normal 3 4 42 4 2 2" xfId="15546"/>
    <cellStyle name="Normal 3 4 42 4 3" xfId="15547"/>
    <cellStyle name="Normal 3 4 42 5" xfId="15548"/>
    <cellStyle name="Normal 3 4 43" xfId="15549"/>
    <cellStyle name="Normal 3 4 43 2" xfId="15550"/>
    <cellStyle name="Normal 3 4 43 2 2" xfId="15551"/>
    <cellStyle name="Normal 3 4 43 2 2 2" xfId="15552"/>
    <cellStyle name="Normal 3 4 43 2 2 2 2" xfId="15553"/>
    <cellStyle name="Normal 3 4 43 2 2 3" xfId="15554"/>
    <cellStyle name="Normal 3 4 43 2 3" xfId="15555"/>
    <cellStyle name="Normal 3 4 43 2 3 2" xfId="15556"/>
    <cellStyle name="Normal 3 4 43 2 3 2 2" xfId="15557"/>
    <cellStyle name="Normal 3 4 43 2 3 3" xfId="15558"/>
    <cellStyle name="Normal 3 4 43 2 4" xfId="15559"/>
    <cellStyle name="Normal 3 4 43 3" xfId="15560"/>
    <cellStyle name="Normal 3 4 43 3 2" xfId="15561"/>
    <cellStyle name="Normal 3 4 43 3 2 2" xfId="15562"/>
    <cellStyle name="Normal 3 4 43 3 3" xfId="15563"/>
    <cellStyle name="Normal 3 4 43 4" xfId="15564"/>
    <cellStyle name="Normal 3 4 43 4 2" xfId="15565"/>
    <cellStyle name="Normal 3 4 43 4 2 2" xfId="15566"/>
    <cellStyle name="Normal 3 4 43 4 3" xfId="15567"/>
    <cellStyle name="Normal 3 4 43 5" xfId="15568"/>
    <cellStyle name="Normal 3 4 44" xfId="15569"/>
    <cellStyle name="Normal 3 4 44 2" xfId="15570"/>
    <cellStyle name="Normal 3 4 44 2 2" xfId="15571"/>
    <cellStyle name="Normal 3 4 44 2 2 2" xfId="15572"/>
    <cellStyle name="Normal 3 4 44 2 2 2 2" xfId="15573"/>
    <cellStyle name="Normal 3 4 44 2 2 3" xfId="15574"/>
    <cellStyle name="Normal 3 4 44 2 3" xfId="15575"/>
    <cellStyle name="Normal 3 4 44 2 3 2" xfId="15576"/>
    <cellStyle name="Normal 3 4 44 2 3 2 2" xfId="15577"/>
    <cellStyle name="Normal 3 4 44 2 3 3" xfId="15578"/>
    <cellStyle name="Normal 3 4 44 2 4" xfId="15579"/>
    <cellStyle name="Normal 3 4 44 3" xfId="15580"/>
    <cellStyle name="Normal 3 4 44 3 2" xfId="15581"/>
    <cellStyle name="Normal 3 4 44 3 2 2" xfId="15582"/>
    <cellStyle name="Normal 3 4 44 3 3" xfId="15583"/>
    <cellStyle name="Normal 3 4 44 4" xfId="15584"/>
    <cellStyle name="Normal 3 4 44 4 2" xfId="15585"/>
    <cellStyle name="Normal 3 4 44 4 2 2" xfId="15586"/>
    <cellStyle name="Normal 3 4 44 4 3" xfId="15587"/>
    <cellStyle name="Normal 3 4 44 5" xfId="15588"/>
    <cellStyle name="Normal 3 4 45" xfId="15589"/>
    <cellStyle name="Normal 3 4 45 2" xfId="15590"/>
    <cellStyle name="Normal 3 4 45 2 2" xfId="15591"/>
    <cellStyle name="Normal 3 4 45 2 2 2" xfId="15592"/>
    <cellStyle name="Normal 3 4 45 2 2 2 2" xfId="15593"/>
    <cellStyle name="Normal 3 4 45 2 2 3" xfId="15594"/>
    <cellStyle name="Normal 3 4 45 2 3" xfId="15595"/>
    <cellStyle name="Normal 3 4 45 2 3 2" xfId="15596"/>
    <cellStyle name="Normal 3 4 45 2 3 2 2" xfId="15597"/>
    <cellStyle name="Normal 3 4 45 2 3 3" xfId="15598"/>
    <cellStyle name="Normal 3 4 45 2 4" xfId="15599"/>
    <cellStyle name="Normal 3 4 45 3" xfId="15600"/>
    <cellStyle name="Normal 3 4 45 3 2" xfId="15601"/>
    <cellStyle name="Normal 3 4 45 3 2 2" xfId="15602"/>
    <cellStyle name="Normal 3 4 45 3 3" xfId="15603"/>
    <cellStyle name="Normal 3 4 45 4" xfId="15604"/>
    <cellStyle name="Normal 3 4 45 4 2" xfId="15605"/>
    <cellStyle name="Normal 3 4 45 4 2 2" xfId="15606"/>
    <cellStyle name="Normal 3 4 45 4 3" xfId="15607"/>
    <cellStyle name="Normal 3 4 45 5" xfId="15608"/>
    <cellStyle name="Normal 3 4 46" xfId="15609"/>
    <cellStyle name="Normal 3 4 46 2" xfId="15610"/>
    <cellStyle name="Normal 3 4 46 2 2" xfId="15611"/>
    <cellStyle name="Normal 3 4 46 2 2 2" xfId="15612"/>
    <cellStyle name="Normal 3 4 46 2 2 2 2" xfId="15613"/>
    <cellStyle name="Normal 3 4 46 2 2 3" xfId="15614"/>
    <cellStyle name="Normal 3 4 46 2 3" xfId="15615"/>
    <cellStyle name="Normal 3 4 46 2 3 2" xfId="15616"/>
    <cellStyle name="Normal 3 4 46 2 3 2 2" xfId="15617"/>
    <cellStyle name="Normal 3 4 46 2 3 3" xfId="15618"/>
    <cellStyle name="Normal 3 4 46 2 4" xfId="15619"/>
    <cellStyle name="Normal 3 4 46 3" xfId="15620"/>
    <cellStyle name="Normal 3 4 46 3 2" xfId="15621"/>
    <cellStyle name="Normal 3 4 46 3 2 2" xfId="15622"/>
    <cellStyle name="Normal 3 4 46 3 3" xfId="15623"/>
    <cellStyle name="Normal 3 4 46 4" xfId="15624"/>
    <cellStyle name="Normal 3 4 46 4 2" xfId="15625"/>
    <cellStyle name="Normal 3 4 46 4 2 2" xfId="15626"/>
    <cellStyle name="Normal 3 4 46 4 3" xfId="15627"/>
    <cellStyle name="Normal 3 4 46 5" xfId="15628"/>
    <cellStyle name="Normal 3 4 47" xfId="15629"/>
    <cellStyle name="Normal 3 4 47 2" xfId="15630"/>
    <cellStyle name="Normal 3 4 47 2 2" xfId="15631"/>
    <cellStyle name="Normal 3 4 47 2 2 2" xfId="15632"/>
    <cellStyle name="Normal 3 4 47 2 3" xfId="15633"/>
    <cellStyle name="Normal 3 4 47 3" xfId="15634"/>
    <cellStyle name="Normal 3 4 47 3 2" xfId="15635"/>
    <cellStyle name="Normal 3 4 47 3 2 2" xfId="15636"/>
    <cellStyle name="Normal 3 4 47 3 3" xfId="15637"/>
    <cellStyle name="Normal 3 4 47 4" xfId="15638"/>
    <cellStyle name="Normal 3 4 48" xfId="15639"/>
    <cellStyle name="Normal 3 4 48 2" xfId="15640"/>
    <cellStyle name="Normal 3 4 48 2 2" xfId="15641"/>
    <cellStyle name="Normal 3 4 48 3" xfId="15642"/>
    <cellStyle name="Normal 3 4 49" xfId="15643"/>
    <cellStyle name="Normal 3 4 49 2" xfId="15644"/>
    <cellStyle name="Normal 3 4 5" xfId="15645"/>
    <cellStyle name="Normal 3 4 5 2" xfId="15646"/>
    <cellStyle name="Normal 3 4 5 2 2" xfId="15647"/>
    <cellStyle name="Normal 3 4 5 2 2 2" xfId="15648"/>
    <cellStyle name="Normal 3 4 5 2 2 2 2" xfId="15649"/>
    <cellStyle name="Normal 3 4 5 2 2 3" xfId="15650"/>
    <cellStyle name="Normal 3 4 5 2 3" xfId="15651"/>
    <cellStyle name="Normal 3 4 5 2 3 2" xfId="15652"/>
    <cellStyle name="Normal 3 4 5 2 3 2 2" xfId="15653"/>
    <cellStyle name="Normal 3 4 5 2 3 3" xfId="15654"/>
    <cellStyle name="Normal 3 4 5 2 4" xfId="15655"/>
    <cellStyle name="Normal 3 4 5 3" xfId="15656"/>
    <cellStyle name="Normal 3 4 5 3 2" xfId="15657"/>
    <cellStyle name="Normal 3 4 5 3 2 2" xfId="15658"/>
    <cellStyle name="Normal 3 4 5 3 3" xfId="15659"/>
    <cellStyle name="Normal 3 4 5 4" xfId="15660"/>
    <cellStyle name="Normal 3 4 5 4 2" xfId="15661"/>
    <cellStyle name="Normal 3 4 5 4 2 2" xfId="15662"/>
    <cellStyle name="Normal 3 4 5 4 3" xfId="15663"/>
    <cellStyle name="Normal 3 4 5 5" xfId="15664"/>
    <cellStyle name="Normal 3 4 50" xfId="15665"/>
    <cellStyle name="Normal 3 4 51" xfId="15666"/>
    <cellStyle name="Normal 3 4 6" xfId="15667"/>
    <cellStyle name="Normal 3 4 6 2" xfId="15668"/>
    <cellStyle name="Normal 3 4 6 2 2" xfId="15669"/>
    <cellStyle name="Normal 3 4 6 2 2 2" xfId="15670"/>
    <cellStyle name="Normal 3 4 6 2 2 2 2" xfId="15671"/>
    <cellStyle name="Normal 3 4 6 2 2 3" xfId="15672"/>
    <cellStyle name="Normal 3 4 6 2 3" xfId="15673"/>
    <cellStyle name="Normal 3 4 6 2 3 2" xfId="15674"/>
    <cellStyle name="Normal 3 4 6 2 3 2 2" xfId="15675"/>
    <cellStyle name="Normal 3 4 6 2 3 3" xfId="15676"/>
    <cellStyle name="Normal 3 4 6 2 4" xfId="15677"/>
    <cellStyle name="Normal 3 4 6 3" xfId="15678"/>
    <cellStyle name="Normal 3 4 6 3 2" xfId="15679"/>
    <cellStyle name="Normal 3 4 6 3 2 2" xfId="15680"/>
    <cellStyle name="Normal 3 4 6 3 3" xfId="15681"/>
    <cellStyle name="Normal 3 4 6 4" xfId="15682"/>
    <cellStyle name="Normal 3 4 6 4 2" xfId="15683"/>
    <cellStyle name="Normal 3 4 6 4 2 2" xfId="15684"/>
    <cellStyle name="Normal 3 4 6 4 3" xfId="15685"/>
    <cellStyle name="Normal 3 4 6 5" xfId="15686"/>
    <cellStyle name="Normal 3 4 7" xfId="15687"/>
    <cellStyle name="Normal 3 4 7 2" xfId="15688"/>
    <cellStyle name="Normal 3 4 7 2 2" xfId="15689"/>
    <cellStyle name="Normal 3 4 7 2 2 2" xfId="15690"/>
    <cellStyle name="Normal 3 4 7 2 2 2 2" xfId="15691"/>
    <cellStyle name="Normal 3 4 7 2 2 3" xfId="15692"/>
    <cellStyle name="Normal 3 4 7 2 3" xfId="15693"/>
    <cellStyle name="Normal 3 4 7 2 3 2" xfId="15694"/>
    <cellStyle name="Normal 3 4 7 2 3 2 2" xfId="15695"/>
    <cellStyle name="Normal 3 4 7 2 3 3" xfId="15696"/>
    <cellStyle name="Normal 3 4 7 2 4" xfId="15697"/>
    <cellStyle name="Normal 3 4 7 3" xfId="15698"/>
    <cellStyle name="Normal 3 4 7 3 2" xfId="15699"/>
    <cellStyle name="Normal 3 4 7 3 2 2" xfId="15700"/>
    <cellStyle name="Normal 3 4 7 3 3" xfId="15701"/>
    <cellStyle name="Normal 3 4 7 4" xfId="15702"/>
    <cellStyle name="Normal 3 4 7 4 2" xfId="15703"/>
    <cellStyle name="Normal 3 4 7 4 2 2" xfId="15704"/>
    <cellStyle name="Normal 3 4 7 4 3" xfId="15705"/>
    <cellStyle name="Normal 3 4 7 5" xfId="15706"/>
    <cellStyle name="Normal 3 4 8" xfId="15707"/>
    <cellStyle name="Normal 3 4 8 2" xfId="15708"/>
    <cellStyle name="Normal 3 4 8 2 2" xfId="15709"/>
    <cellStyle name="Normal 3 4 8 2 2 2" xfId="15710"/>
    <cellStyle name="Normal 3 4 8 2 2 2 2" xfId="15711"/>
    <cellStyle name="Normal 3 4 8 2 2 3" xfId="15712"/>
    <cellStyle name="Normal 3 4 8 2 3" xfId="15713"/>
    <cellStyle name="Normal 3 4 8 2 3 2" xfId="15714"/>
    <cellStyle name="Normal 3 4 8 2 3 2 2" xfId="15715"/>
    <cellStyle name="Normal 3 4 8 2 3 3" xfId="15716"/>
    <cellStyle name="Normal 3 4 8 2 4" xfId="15717"/>
    <cellStyle name="Normal 3 4 8 3" xfId="15718"/>
    <cellStyle name="Normal 3 4 8 3 2" xfId="15719"/>
    <cellStyle name="Normal 3 4 8 3 2 2" xfId="15720"/>
    <cellStyle name="Normal 3 4 8 3 3" xfId="15721"/>
    <cellStyle name="Normal 3 4 8 4" xfId="15722"/>
    <cellStyle name="Normal 3 4 8 4 2" xfId="15723"/>
    <cellStyle name="Normal 3 4 8 4 2 2" xfId="15724"/>
    <cellStyle name="Normal 3 4 8 4 3" xfId="15725"/>
    <cellStyle name="Normal 3 4 8 5" xfId="15726"/>
    <cellStyle name="Normal 3 4 9" xfId="15727"/>
    <cellStyle name="Normal 3 4 9 2" xfId="15728"/>
    <cellStyle name="Normal 3 4 9 2 2" xfId="15729"/>
    <cellStyle name="Normal 3 4 9 2 2 2" xfId="15730"/>
    <cellStyle name="Normal 3 4 9 2 2 2 2" xfId="15731"/>
    <cellStyle name="Normal 3 4 9 2 2 3" xfId="15732"/>
    <cellStyle name="Normal 3 4 9 2 3" xfId="15733"/>
    <cellStyle name="Normal 3 4 9 2 3 2" xfId="15734"/>
    <cellStyle name="Normal 3 4 9 2 3 2 2" xfId="15735"/>
    <cellStyle name="Normal 3 4 9 2 3 3" xfId="15736"/>
    <cellStyle name="Normal 3 4 9 2 4" xfId="15737"/>
    <cellStyle name="Normal 3 4 9 3" xfId="15738"/>
    <cellStyle name="Normal 3 4 9 3 2" xfId="15739"/>
    <cellStyle name="Normal 3 4 9 3 2 2" xfId="15740"/>
    <cellStyle name="Normal 3 4 9 3 3" xfId="15741"/>
    <cellStyle name="Normal 3 4 9 4" xfId="15742"/>
    <cellStyle name="Normal 3 4 9 4 2" xfId="15743"/>
    <cellStyle name="Normal 3 4 9 4 2 2" xfId="15744"/>
    <cellStyle name="Normal 3 4 9 4 3" xfId="15745"/>
    <cellStyle name="Normal 3 4 9 5" xfId="15746"/>
    <cellStyle name="Normal 3 40" xfId="15747"/>
    <cellStyle name="Normal 3 40 2" xfId="15748"/>
    <cellStyle name="Normal 3 40 2 2" xfId="15749"/>
    <cellStyle name="Normal 3 40 2 2 2" xfId="15750"/>
    <cellStyle name="Normal 3 40 2 2 2 2" xfId="15751"/>
    <cellStyle name="Normal 3 40 2 2 3" xfId="15752"/>
    <cellStyle name="Normal 3 40 2 3" xfId="15753"/>
    <cellStyle name="Normal 3 40 2 3 2" xfId="15754"/>
    <cellStyle name="Normal 3 40 2 3 2 2" xfId="15755"/>
    <cellStyle name="Normal 3 40 2 3 3" xfId="15756"/>
    <cellStyle name="Normal 3 40 2 4" xfId="15757"/>
    <cellStyle name="Normal 3 40 3" xfId="15758"/>
    <cellStyle name="Normal 3 40 3 2" xfId="15759"/>
    <cellStyle name="Normal 3 40 3 2 2" xfId="15760"/>
    <cellStyle name="Normal 3 40 3 3" xfId="15761"/>
    <cellStyle name="Normal 3 40 4" xfId="15762"/>
    <cellStyle name="Normal 3 40 4 2" xfId="15763"/>
    <cellStyle name="Normal 3 40 4 2 2" xfId="15764"/>
    <cellStyle name="Normal 3 40 4 3" xfId="15765"/>
    <cellStyle name="Normal 3 40 5" xfId="15766"/>
    <cellStyle name="Normal 3 40 6" xfId="15767"/>
    <cellStyle name="Normal 3 41" xfId="15768"/>
    <cellStyle name="Normal 3 41 2" xfId="15769"/>
    <cellStyle name="Normal 3 41 2 2" xfId="15770"/>
    <cellStyle name="Normal 3 41 2 2 2" xfId="15771"/>
    <cellStyle name="Normal 3 41 2 2 2 2" xfId="15772"/>
    <cellStyle name="Normal 3 41 2 2 3" xfId="15773"/>
    <cellStyle name="Normal 3 41 2 3" xfId="15774"/>
    <cellStyle name="Normal 3 41 2 3 2" xfId="15775"/>
    <cellStyle name="Normal 3 41 2 3 2 2" xfId="15776"/>
    <cellStyle name="Normal 3 41 2 3 3" xfId="15777"/>
    <cellStyle name="Normal 3 41 2 4" xfId="15778"/>
    <cellStyle name="Normal 3 41 3" xfId="15779"/>
    <cellStyle name="Normal 3 41 3 2" xfId="15780"/>
    <cellStyle name="Normal 3 41 3 2 2" xfId="15781"/>
    <cellStyle name="Normal 3 41 3 3" xfId="15782"/>
    <cellStyle name="Normal 3 41 4" xfId="15783"/>
    <cellStyle name="Normal 3 41 4 2" xfId="15784"/>
    <cellStyle name="Normal 3 41 4 2 2" xfId="15785"/>
    <cellStyle name="Normal 3 41 4 3" xfId="15786"/>
    <cellStyle name="Normal 3 41 5" xfId="15787"/>
    <cellStyle name="Normal 3 41 6" xfId="15788"/>
    <cellStyle name="Normal 3 42" xfId="15789"/>
    <cellStyle name="Normal 3 42 2" xfId="15790"/>
    <cellStyle name="Normal 3 42 2 2" xfId="15791"/>
    <cellStyle name="Normal 3 42 2 2 2" xfId="15792"/>
    <cellStyle name="Normal 3 42 2 2 2 2" xfId="15793"/>
    <cellStyle name="Normal 3 42 2 2 3" xfId="15794"/>
    <cellStyle name="Normal 3 42 2 3" xfId="15795"/>
    <cellStyle name="Normal 3 42 2 3 2" xfId="15796"/>
    <cellStyle name="Normal 3 42 2 3 2 2" xfId="15797"/>
    <cellStyle name="Normal 3 42 2 3 3" xfId="15798"/>
    <cellStyle name="Normal 3 42 2 4" xfId="15799"/>
    <cellStyle name="Normal 3 42 3" xfId="15800"/>
    <cellStyle name="Normal 3 42 3 2" xfId="15801"/>
    <cellStyle name="Normal 3 42 3 2 2" xfId="15802"/>
    <cellStyle name="Normal 3 42 3 3" xfId="15803"/>
    <cellStyle name="Normal 3 42 4" xfId="15804"/>
    <cellStyle name="Normal 3 42 4 2" xfId="15805"/>
    <cellStyle name="Normal 3 42 4 2 2" xfId="15806"/>
    <cellStyle name="Normal 3 42 4 3" xfId="15807"/>
    <cellStyle name="Normal 3 42 5" xfId="15808"/>
    <cellStyle name="Normal 3 42 6" xfId="15809"/>
    <cellStyle name="Normal 3 43" xfId="15810"/>
    <cellStyle name="Normal 3 43 2" xfId="15811"/>
    <cellStyle name="Normal 3 43 2 2" xfId="15812"/>
    <cellStyle name="Normal 3 43 2 2 2" xfId="15813"/>
    <cellStyle name="Normal 3 43 2 2 2 2" xfId="15814"/>
    <cellStyle name="Normal 3 43 2 2 3" xfId="15815"/>
    <cellStyle name="Normal 3 43 2 3" xfId="15816"/>
    <cellStyle name="Normal 3 43 2 3 2" xfId="15817"/>
    <cellStyle name="Normal 3 43 2 3 2 2" xfId="15818"/>
    <cellStyle name="Normal 3 43 2 3 3" xfId="15819"/>
    <cellStyle name="Normal 3 43 2 4" xfId="15820"/>
    <cellStyle name="Normal 3 43 3" xfId="15821"/>
    <cellStyle name="Normal 3 43 3 2" xfId="15822"/>
    <cellStyle name="Normal 3 43 3 2 2" xfId="15823"/>
    <cellStyle name="Normal 3 43 3 2 2 2" xfId="15824"/>
    <cellStyle name="Normal 3 43 3 2 3" xfId="15825"/>
    <cellStyle name="Normal 3 43 3 3" xfId="15826"/>
    <cellStyle name="Normal 3 43 3 3 2" xfId="15827"/>
    <cellStyle name="Normal 3 43 3 3 2 2" xfId="15828"/>
    <cellStyle name="Normal 3 43 3 3 3" xfId="15829"/>
    <cellStyle name="Normal 3 43 3 4" xfId="15830"/>
    <cellStyle name="Normal 3 43 4" xfId="15831"/>
    <cellStyle name="Normal 3 43 4 2" xfId="15832"/>
    <cellStyle name="Normal 3 43 4 2 2" xfId="15833"/>
    <cellStyle name="Normal 3 43 4 3" xfId="15834"/>
    <cellStyle name="Normal 3 43 5" xfId="15835"/>
    <cellStyle name="Normal 3 43 5 2" xfId="15836"/>
    <cellStyle name="Normal 3 43 5 2 2" xfId="15837"/>
    <cellStyle name="Normal 3 43 5 3" xfId="15838"/>
    <cellStyle name="Normal 3 43 6" xfId="15839"/>
    <cellStyle name="Normal 3 43 7" xfId="15840"/>
    <cellStyle name="Normal 3 44" xfId="15841"/>
    <cellStyle name="Normal 3 44 2" xfId="15842"/>
    <cellStyle name="Normal 3 44 2 2" xfId="15843"/>
    <cellStyle name="Normal 3 44 2 2 2" xfId="15844"/>
    <cellStyle name="Normal 3 44 2 2 2 2" xfId="15845"/>
    <cellStyle name="Normal 3 44 2 2 3" xfId="15846"/>
    <cellStyle name="Normal 3 44 2 3" xfId="15847"/>
    <cellStyle name="Normal 3 44 2 3 2" xfId="15848"/>
    <cellStyle name="Normal 3 44 2 3 2 2" xfId="15849"/>
    <cellStyle name="Normal 3 44 2 3 3" xfId="15850"/>
    <cellStyle name="Normal 3 44 2 4" xfId="15851"/>
    <cellStyle name="Normal 3 44 3" xfId="15852"/>
    <cellStyle name="Normal 3 44 3 2" xfId="15853"/>
    <cellStyle name="Normal 3 44 3 2 2" xfId="15854"/>
    <cellStyle name="Normal 3 44 3 3" xfId="15855"/>
    <cellStyle name="Normal 3 44 4" xfId="15856"/>
    <cellStyle name="Normal 3 44 4 2" xfId="15857"/>
    <cellStyle name="Normal 3 44 4 2 2" xfId="15858"/>
    <cellStyle name="Normal 3 44 4 3" xfId="15859"/>
    <cellStyle name="Normal 3 44 5" xfId="15860"/>
    <cellStyle name="Normal 3 44 6" xfId="15861"/>
    <cellStyle name="Normal 3 45" xfId="15862"/>
    <cellStyle name="Normal 3 45 2" xfId="15863"/>
    <cellStyle name="Normal 3 45 2 2" xfId="15864"/>
    <cellStyle name="Normal 3 45 2 2 2" xfId="15865"/>
    <cellStyle name="Normal 3 45 2 2 2 2" xfId="15866"/>
    <cellStyle name="Normal 3 45 2 2 3" xfId="15867"/>
    <cellStyle name="Normal 3 45 2 3" xfId="15868"/>
    <cellStyle name="Normal 3 45 2 3 2" xfId="15869"/>
    <cellStyle name="Normal 3 45 2 3 2 2" xfId="15870"/>
    <cellStyle name="Normal 3 45 2 3 3" xfId="15871"/>
    <cellStyle name="Normal 3 45 2 4" xfId="15872"/>
    <cellStyle name="Normal 3 45 3" xfId="15873"/>
    <cellStyle name="Normal 3 45 3 2" xfId="15874"/>
    <cellStyle name="Normal 3 45 3 2 2" xfId="15875"/>
    <cellStyle name="Normal 3 45 3 3" xfId="15876"/>
    <cellStyle name="Normal 3 45 4" xfId="15877"/>
    <cellStyle name="Normal 3 45 4 2" xfId="15878"/>
    <cellStyle name="Normal 3 45 4 2 2" xfId="15879"/>
    <cellStyle name="Normal 3 45 4 3" xfId="15880"/>
    <cellStyle name="Normal 3 45 5" xfId="15881"/>
    <cellStyle name="Normal 3 45 6" xfId="15882"/>
    <cellStyle name="Normal 3 46" xfId="15883"/>
    <cellStyle name="Normal 3 46 2" xfId="15884"/>
    <cellStyle name="Normal 3 46 2 2" xfId="15885"/>
    <cellStyle name="Normal 3 46 2 2 2" xfId="15886"/>
    <cellStyle name="Normal 3 46 2 2 2 2" xfId="15887"/>
    <cellStyle name="Normal 3 46 2 2 3" xfId="15888"/>
    <cellStyle name="Normal 3 46 2 3" xfId="15889"/>
    <cellStyle name="Normal 3 46 2 3 2" xfId="15890"/>
    <cellStyle name="Normal 3 46 2 3 2 2" xfId="15891"/>
    <cellStyle name="Normal 3 46 2 3 3" xfId="15892"/>
    <cellStyle name="Normal 3 46 2 4" xfId="15893"/>
    <cellStyle name="Normal 3 46 3" xfId="15894"/>
    <cellStyle name="Normal 3 46 3 2" xfId="15895"/>
    <cellStyle name="Normal 3 46 3 2 2" xfId="15896"/>
    <cellStyle name="Normal 3 46 3 3" xfId="15897"/>
    <cellStyle name="Normal 3 46 4" xfId="15898"/>
    <cellStyle name="Normal 3 46 4 2" xfId="15899"/>
    <cellStyle name="Normal 3 46 4 2 2" xfId="15900"/>
    <cellStyle name="Normal 3 46 4 3" xfId="15901"/>
    <cellStyle name="Normal 3 46 5" xfId="15902"/>
    <cellStyle name="Normal 3 46 6" xfId="15903"/>
    <cellStyle name="Normal 3 47" xfId="15904"/>
    <cellStyle name="Normal 3 47 2" xfId="15905"/>
    <cellStyle name="Normal 3 47 2 2" xfId="15906"/>
    <cellStyle name="Normal 3 47 2 2 2" xfId="15907"/>
    <cellStyle name="Normal 3 47 2 2 2 2" xfId="15908"/>
    <cellStyle name="Normal 3 47 2 2 3" xfId="15909"/>
    <cellStyle name="Normal 3 47 2 3" xfId="15910"/>
    <cellStyle name="Normal 3 47 2 3 2" xfId="15911"/>
    <cellStyle name="Normal 3 47 2 3 2 2" xfId="15912"/>
    <cellStyle name="Normal 3 47 2 3 3" xfId="15913"/>
    <cellStyle name="Normal 3 47 2 4" xfId="15914"/>
    <cellStyle name="Normal 3 47 3" xfId="15915"/>
    <cellStyle name="Normal 3 47 3 2" xfId="15916"/>
    <cellStyle name="Normal 3 47 3 2 2" xfId="15917"/>
    <cellStyle name="Normal 3 47 3 3" xfId="15918"/>
    <cellStyle name="Normal 3 47 4" xfId="15919"/>
    <cellStyle name="Normal 3 47 4 2" xfId="15920"/>
    <cellStyle name="Normal 3 47 4 2 2" xfId="15921"/>
    <cellStyle name="Normal 3 47 4 3" xfId="15922"/>
    <cellStyle name="Normal 3 47 5" xfId="15923"/>
    <cellStyle name="Normal 3 47 6" xfId="15924"/>
    <cellStyle name="Normal 3 48" xfId="15925"/>
    <cellStyle name="Normal 3 48 2" xfId="15926"/>
    <cellStyle name="Normal 3 48 2 2" xfId="15927"/>
    <cellStyle name="Normal 3 48 2 2 2" xfId="15928"/>
    <cellStyle name="Normal 3 48 2 2 2 2" xfId="15929"/>
    <cellStyle name="Normal 3 48 2 2 3" xfId="15930"/>
    <cellStyle name="Normal 3 48 2 3" xfId="15931"/>
    <cellStyle name="Normal 3 48 2 3 2" xfId="15932"/>
    <cellStyle name="Normal 3 48 2 3 2 2" xfId="15933"/>
    <cellStyle name="Normal 3 48 2 3 3" xfId="15934"/>
    <cellStyle name="Normal 3 48 2 4" xfId="15935"/>
    <cellStyle name="Normal 3 48 3" xfId="15936"/>
    <cellStyle name="Normal 3 48 3 2" xfId="15937"/>
    <cellStyle name="Normal 3 48 3 2 2" xfId="15938"/>
    <cellStyle name="Normal 3 48 3 3" xfId="15939"/>
    <cellStyle name="Normal 3 48 4" xfId="15940"/>
    <cellStyle name="Normal 3 48 4 2" xfId="15941"/>
    <cellStyle name="Normal 3 48 4 2 2" xfId="15942"/>
    <cellStyle name="Normal 3 48 4 3" xfId="15943"/>
    <cellStyle name="Normal 3 48 5" xfId="15944"/>
    <cellStyle name="Normal 3 48 6" xfId="15945"/>
    <cellStyle name="Normal 3 49" xfId="15946"/>
    <cellStyle name="Normal 3 49 2" xfId="15947"/>
    <cellStyle name="Normal 3 49 2 2" xfId="15948"/>
    <cellStyle name="Normal 3 49 2 2 2" xfId="15949"/>
    <cellStyle name="Normal 3 49 2 2 2 2" xfId="15950"/>
    <cellStyle name="Normal 3 49 2 2 3" xfId="15951"/>
    <cellStyle name="Normal 3 49 2 3" xfId="15952"/>
    <cellStyle name="Normal 3 49 2 3 2" xfId="15953"/>
    <cellStyle name="Normal 3 49 2 3 2 2" xfId="15954"/>
    <cellStyle name="Normal 3 49 2 3 3" xfId="15955"/>
    <cellStyle name="Normal 3 49 2 4" xfId="15956"/>
    <cellStyle name="Normal 3 49 3" xfId="15957"/>
    <cellStyle name="Normal 3 49 3 2" xfId="15958"/>
    <cellStyle name="Normal 3 49 3 2 2" xfId="15959"/>
    <cellStyle name="Normal 3 49 3 2 2 2" xfId="15960"/>
    <cellStyle name="Normal 3 49 3 2 3" xfId="15961"/>
    <cellStyle name="Normal 3 49 3 3" xfId="15962"/>
    <cellStyle name="Normal 3 49 3 3 2" xfId="15963"/>
    <cellStyle name="Normal 3 49 3 3 2 2" xfId="15964"/>
    <cellStyle name="Normal 3 49 3 3 3" xfId="15965"/>
    <cellStyle name="Normal 3 49 3 4" xfId="15966"/>
    <cellStyle name="Normal 3 49 4" xfId="15967"/>
    <cellStyle name="Normal 3 49 4 2" xfId="15968"/>
    <cellStyle name="Normal 3 49 4 2 2" xfId="15969"/>
    <cellStyle name="Normal 3 49 4 3" xfId="15970"/>
    <cellStyle name="Normal 3 49 5" xfId="15971"/>
    <cellStyle name="Normal 3 49 5 2" xfId="15972"/>
    <cellStyle name="Normal 3 49 5 2 2" xfId="15973"/>
    <cellStyle name="Normal 3 49 5 3" xfId="15974"/>
    <cellStyle name="Normal 3 49 6" xfId="15975"/>
    <cellStyle name="Normal 3 49 7" xfId="15976"/>
    <cellStyle name="Normal 3 5" xfId="15977"/>
    <cellStyle name="Normal 3 5 2" xfId="15978"/>
    <cellStyle name="Normal 3 5 2 2" xfId="15979"/>
    <cellStyle name="Normal 3 5 2 2 2" xfId="15980"/>
    <cellStyle name="Normal 3 5 2 2 2 2" xfId="15981"/>
    <cellStyle name="Normal 3 5 2 2 3" xfId="15982"/>
    <cellStyle name="Normal 3 5 2 3" xfId="15983"/>
    <cellStyle name="Normal 3 5 2 3 2" xfId="15984"/>
    <cellStyle name="Normal 3 5 2 3 2 2" xfId="15985"/>
    <cellStyle name="Normal 3 5 2 3 3" xfId="15986"/>
    <cellStyle name="Normal 3 5 2 4" xfId="15987"/>
    <cellStyle name="Normal 3 5 3" xfId="15988"/>
    <cellStyle name="Normal 3 5 3 2" xfId="15989"/>
    <cellStyle name="Normal 3 5 3 2 2" xfId="15990"/>
    <cellStyle name="Normal 3 5 3 3" xfId="15991"/>
    <cellStyle name="Normal 3 5 4" xfId="15992"/>
    <cellStyle name="Normal 3 5 4 2" xfId="15993"/>
    <cellStyle name="Normal 3 5 4 2 2" xfId="15994"/>
    <cellStyle name="Normal 3 5 4 3" xfId="15995"/>
    <cellStyle name="Normal 3 5 5" xfId="15996"/>
    <cellStyle name="Normal 3 5 6" xfId="15997"/>
    <cellStyle name="Normal 3 50" xfId="15998"/>
    <cellStyle name="Normal 3 50 2" xfId="15999"/>
    <cellStyle name="Normal 3 50 2 2" xfId="16000"/>
    <cellStyle name="Normal 3 50 2 2 2" xfId="16001"/>
    <cellStyle name="Normal 3 50 2 3" xfId="16002"/>
    <cellStyle name="Normal 3 50 3" xfId="16003"/>
    <cellStyle name="Normal 3 50 3 2" xfId="16004"/>
    <cellStyle name="Normal 3 50 3 2 2" xfId="16005"/>
    <cellStyle name="Normal 3 50 3 3" xfId="16006"/>
    <cellStyle name="Normal 3 50 4" xfId="16007"/>
    <cellStyle name="Normal 3 51" xfId="16008"/>
    <cellStyle name="Normal 3 51 2" xfId="16009"/>
    <cellStyle name="Normal 3 51 2 2" xfId="16010"/>
    <cellStyle name="Normal 3 51 2 2 2" xfId="16011"/>
    <cellStyle name="Normal 3 51 2 3" xfId="16012"/>
    <cellStyle name="Normal 3 51 3" xfId="16013"/>
    <cellStyle name="Normal 3 51 3 2" xfId="16014"/>
    <cellStyle name="Normal 3 51 3 2 2" xfId="16015"/>
    <cellStyle name="Normal 3 51 3 3" xfId="16016"/>
    <cellStyle name="Normal 3 51 4" xfId="16017"/>
    <cellStyle name="Normal 3 52" xfId="16018"/>
    <cellStyle name="Normal 3 52 2" xfId="16019"/>
    <cellStyle name="Normal 3 52 2 2" xfId="16020"/>
    <cellStyle name="Normal 3 52 2 2 2" xfId="16021"/>
    <cellStyle name="Normal 3 52 2 3" xfId="16022"/>
    <cellStyle name="Normal 3 52 3" xfId="16023"/>
    <cellStyle name="Normal 3 52 3 2" xfId="16024"/>
    <cellStyle name="Normal 3 52 3 2 2" xfId="16025"/>
    <cellStyle name="Normal 3 52 3 3" xfId="16026"/>
    <cellStyle name="Normal 3 52 4" xfId="16027"/>
    <cellStyle name="Normal 3 53" xfId="16028"/>
    <cellStyle name="Normal 3 53 2" xfId="16029"/>
    <cellStyle name="Normal 3 53 2 2" xfId="16030"/>
    <cellStyle name="Normal 3 53 2 2 2" xfId="16031"/>
    <cellStyle name="Normal 3 53 2 3" xfId="16032"/>
    <cellStyle name="Normal 3 53 3" xfId="16033"/>
    <cellStyle name="Normal 3 53 3 2" xfId="16034"/>
    <cellStyle name="Normal 3 53 3 2 2" xfId="16035"/>
    <cellStyle name="Normal 3 53 3 3" xfId="16036"/>
    <cellStyle name="Normal 3 53 4" xfId="16037"/>
    <cellStyle name="Normal 3 54" xfId="16038"/>
    <cellStyle name="Normal 3 54 2" xfId="16039"/>
    <cellStyle name="Normal 3 54 2 2" xfId="16040"/>
    <cellStyle name="Normal 3 54 2 2 2" xfId="16041"/>
    <cellStyle name="Normal 3 54 2 3" xfId="16042"/>
    <cellStyle name="Normal 3 54 2 3 2" xfId="16043"/>
    <cellStyle name="Normal 3 54 2 3 2 2" xfId="16044"/>
    <cellStyle name="Normal 3 54 2 3 3" xfId="16045"/>
    <cellStyle name="Normal 3 54 2 4" xfId="16046"/>
    <cellStyle name="Normal 3 54 2 4 2" xfId="16047"/>
    <cellStyle name="Normal 3 54 2 4 2 2" xfId="16048"/>
    <cellStyle name="Normal 3 54 2 4 3" xfId="16049"/>
    <cellStyle name="Normal 3 54 3" xfId="16050"/>
    <cellStyle name="Normal 3 54 3 2" xfId="16051"/>
    <cellStyle name="Normal 3 54 4" xfId="16052"/>
    <cellStyle name="Normal 3 55" xfId="16053"/>
    <cellStyle name="Normal 3 55 2" xfId="16054"/>
    <cellStyle name="Normal 3 55 2 2" xfId="16055"/>
    <cellStyle name="Normal 3 55 2 2 2" xfId="16056"/>
    <cellStyle name="Normal 3 55 2 3" xfId="16057"/>
    <cellStyle name="Normal 3 55 2 3 2" xfId="16058"/>
    <cellStyle name="Normal 3 55 2 3 2 2" xfId="16059"/>
    <cellStyle name="Normal 3 55 2 3 3" xfId="16060"/>
    <cellStyle name="Normal 3 55 2 4" xfId="16061"/>
    <cellStyle name="Normal 3 55 2 4 2" xfId="16062"/>
    <cellStyle name="Normal 3 55 2 4 2 2" xfId="16063"/>
    <cellStyle name="Normal 3 55 2 4 3" xfId="16064"/>
    <cellStyle name="Normal 3 55 3" xfId="16065"/>
    <cellStyle name="Normal 3 55 3 2" xfId="16066"/>
    <cellStyle name="Normal 3 55 4" xfId="16067"/>
    <cellStyle name="Normal 3 56" xfId="16068"/>
    <cellStyle name="Normal 3 56 2" xfId="16069"/>
    <cellStyle name="Normal 3 56 2 2" xfId="16070"/>
    <cellStyle name="Normal 3 56 2 2 2" xfId="16071"/>
    <cellStyle name="Normal 3 56 2 2 2 2" xfId="16072"/>
    <cellStyle name="Normal 3 56 2 2 3" xfId="16073"/>
    <cellStyle name="Normal 3 56 2 3" xfId="16074"/>
    <cellStyle name="Normal 3 56 2 3 2" xfId="16075"/>
    <cellStyle name="Normal 3 56 2 3 2 2" xfId="16076"/>
    <cellStyle name="Normal 3 56 2 3 3" xfId="16077"/>
    <cellStyle name="Normal 3 56 2 4" xfId="16078"/>
    <cellStyle name="Normal 3 56 3" xfId="16079"/>
    <cellStyle name="Normal 3 57" xfId="16080"/>
    <cellStyle name="Normal 3 57 2" xfId="16081"/>
    <cellStyle name="Normal 3 57 2 2" xfId="16082"/>
    <cellStyle name="Normal 3 57 2 2 2" xfId="16083"/>
    <cellStyle name="Normal 3 57 2 3" xfId="16084"/>
    <cellStyle name="Normal 3 57 3" xfId="16085"/>
    <cellStyle name="Normal 3 57 3 2" xfId="16086"/>
    <cellStyle name="Normal 3 57 3 2 2" xfId="16087"/>
    <cellStyle name="Normal 3 57 3 3" xfId="16088"/>
    <cellStyle name="Normal 3 57 4" xfId="16089"/>
    <cellStyle name="Normal 3 58" xfId="16090"/>
    <cellStyle name="Normal 3 58 2" xfId="16091"/>
    <cellStyle name="Normal 3 58 2 2" xfId="16092"/>
    <cellStyle name="Normal 3 58 2 2 2" xfId="16093"/>
    <cellStyle name="Normal 3 58 2 3" xfId="16094"/>
    <cellStyle name="Normal 3 58 3" xfId="16095"/>
    <cellStyle name="Normal 3 58 3 2" xfId="16096"/>
    <cellStyle name="Normal 3 58 3 2 2" xfId="16097"/>
    <cellStyle name="Normal 3 58 3 3" xfId="16098"/>
    <cellStyle name="Normal 3 58 4" xfId="16099"/>
    <cellStyle name="Normal 3 59" xfId="16100"/>
    <cellStyle name="Normal 3 59 2" xfId="16101"/>
    <cellStyle name="Normal 3 59 2 2" xfId="16102"/>
    <cellStyle name="Normal 3 59 2 2 2" xfId="16103"/>
    <cellStyle name="Normal 3 59 2 3" xfId="16104"/>
    <cellStyle name="Normal 3 59 3" xfId="16105"/>
    <cellStyle name="Normal 3 59 3 2" xfId="16106"/>
    <cellStyle name="Normal 3 59 3 2 2" xfId="16107"/>
    <cellStyle name="Normal 3 59 3 3" xfId="16108"/>
    <cellStyle name="Normal 3 59 4" xfId="16109"/>
    <cellStyle name="Normal 3 6" xfId="16110"/>
    <cellStyle name="Normal 3 6 2" xfId="16111"/>
    <cellStyle name="Normal 3 6 2 2" xfId="16112"/>
    <cellStyle name="Normal 3 6 2 2 2" xfId="16113"/>
    <cellStyle name="Normal 3 6 2 2 2 2" xfId="16114"/>
    <cellStyle name="Normal 3 6 2 2 3" xfId="16115"/>
    <cellStyle name="Normal 3 6 2 3" xfId="16116"/>
    <cellStyle name="Normal 3 6 2 3 2" xfId="16117"/>
    <cellStyle name="Normal 3 6 2 3 2 2" xfId="16118"/>
    <cellStyle name="Normal 3 6 2 3 3" xfId="16119"/>
    <cellStyle name="Normal 3 6 2 4" xfId="16120"/>
    <cellStyle name="Normal 3 6 3" xfId="16121"/>
    <cellStyle name="Normal 3 6 3 2" xfId="16122"/>
    <cellStyle name="Normal 3 6 3 2 2" xfId="16123"/>
    <cellStyle name="Normal 3 6 3 3" xfId="16124"/>
    <cellStyle name="Normal 3 6 4" xfId="16125"/>
    <cellStyle name="Normal 3 6 4 2" xfId="16126"/>
    <cellStyle name="Normal 3 6 4 2 2" xfId="16127"/>
    <cellStyle name="Normal 3 6 4 3" xfId="16128"/>
    <cellStyle name="Normal 3 6 5" xfId="16129"/>
    <cellStyle name="Normal 3 6 6" xfId="16130"/>
    <cellStyle name="Normal 3 60" xfId="16131"/>
    <cellStyle name="Normal 3 60 2" xfId="16132"/>
    <cellStyle name="Normal 3 60 2 2" xfId="16133"/>
    <cellStyle name="Normal 3 60 3" xfId="16134"/>
    <cellStyle name="Normal 3 61" xfId="16135"/>
    <cellStyle name="Normal 3 61 2" xfId="16136"/>
    <cellStyle name="Normal 3 62" xfId="16137"/>
    <cellStyle name="Normal 3 63" xfId="16138"/>
    <cellStyle name="Normal 3 7" xfId="16139"/>
    <cellStyle name="Normal 3 7 2" xfId="16140"/>
    <cellStyle name="Normal 3 7 2 2" xfId="16141"/>
    <cellStyle name="Normal 3 7 2 2 2" xfId="16142"/>
    <cellStyle name="Normal 3 7 2 2 2 2" xfId="16143"/>
    <cellStyle name="Normal 3 7 2 2 3" xfId="16144"/>
    <cellStyle name="Normal 3 7 2 3" xfId="16145"/>
    <cellStyle name="Normal 3 7 2 3 2" xfId="16146"/>
    <cellStyle name="Normal 3 7 2 3 2 2" xfId="16147"/>
    <cellStyle name="Normal 3 7 2 3 3" xfId="16148"/>
    <cellStyle name="Normal 3 7 2 4" xfId="16149"/>
    <cellStyle name="Normal 3 7 3" xfId="16150"/>
    <cellStyle name="Normal 3 7 3 2" xfId="16151"/>
    <cellStyle name="Normal 3 7 3 2 2" xfId="16152"/>
    <cellStyle name="Normal 3 7 3 3" xfId="16153"/>
    <cellStyle name="Normal 3 7 4" xfId="16154"/>
    <cellStyle name="Normal 3 7 4 2" xfId="16155"/>
    <cellStyle name="Normal 3 7 4 2 2" xfId="16156"/>
    <cellStyle name="Normal 3 7 4 3" xfId="16157"/>
    <cellStyle name="Normal 3 7 5" xfId="16158"/>
    <cellStyle name="Normal 3 7 6" xfId="16159"/>
    <cellStyle name="Normal 3 8" xfId="16160"/>
    <cellStyle name="Normal 3 8 2" xfId="16161"/>
    <cellStyle name="Normal 3 8 2 2" xfId="16162"/>
    <cellStyle name="Normal 3 8 2 2 2" xfId="16163"/>
    <cellStyle name="Normal 3 8 2 2 2 2" xfId="16164"/>
    <cellStyle name="Normal 3 8 2 2 3" xfId="16165"/>
    <cellStyle name="Normal 3 8 2 3" xfId="16166"/>
    <cellStyle name="Normal 3 8 2 3 2" xfId="16167"/>
    <cellStyle name="Normal 3 8 2 3 2 2" xfId="16168"/>
    <cellStyle name="Normal 3 8 2 3 3" xfId="16169"/>
    <cellStyle name="Normal 3 8 2 4" xfId="16170"/>
    <cellStyle name="Normal 3 8 3" xfId="16171"/>
    <cellStyle name="Normal 3 8 3 2" xfId="16172"/>
    <cellStyle name="Normal 3 8 3 2 2" xfId="16173"/>
    <cellStyle name="Normal 3 8 3 3" xfId="16174"/>
    <cellStyle name="Normal 3 8 4" xfId="16175"/>
    <cellStyle name="Normal 3 8 4 2" xfId="16176"/>
    <cellStyle name="Normal 3 8 4 2 2" xfId="16177"/>
    <cellStyle name="Normal 3 8 4 3" xfId="16178"/>
    <cellStyle name="Normal 3 8 5" xfId="16179"/>
    <cellStyle name="Normal 3 8 6" xfId="16180"/>
    <cellStyle name="Normal 3 9" xfId="16181"/>
    <cellStyle name="Normal 3 9 2" xfId="16182"/>
    <cellStyle name="Normal 3 9 2 2" xfId="16183"/>
    <cellStyle name="Normal 3 9 2 2 2" xfId="16184"/>
    <cellStyle name="Normal 3 9 2 2 2 2" xfId="16185"/>
    <cellStyle name="Normal 3 9 2 2 3" xfId="16186"/>
    <cellStyle name="Normal 3 9 2 3" xfId="16187"/>
    <cellStyle name="Normal 3 9 2 3 2" xfId="16188"/>
    <cellStyle name="Normal 3 9 2 3 2 2" xfId="16189"/>
    <cellStyle name="Normal 3 9 2 3 3" xfId="16190"/>
    <cellStyle name="Normal 3 9 2 4" xfId="16191"/>
    <cellStyle name="Normal 3 9 3" xfId="16192"/>
    <cellStyle name="Normal 3 9 3 2" xfId="16193"/>
    <cellStyle name="Normal 3 9 3 2 2" xfId="16194"/>
    <cellStyle name="Normal 3 9 3 3" xfId="16195"/>
    <cellStyle name="Normal 3 9 4" xfId="16196"/>
    <cellStyle name="Normal 3 9 4 2" xfId="16197"/>
    <cellStyle name="Normal 3 9 4 2 2" xfId="16198"/>
    <cellStyle name="Normal 3 9 4 3" xfId="16199"/>
    <cellStyle name="Normal 3 9 5" xfId="16200"/>
    <cellStyle name="Normal 3 9 6" xfId="16201"/>
    <cellStyle name="Normal 30" xfId="16202"/>
    <cellStyle name="Normal 30 10" xfId="16203"/>
    <cellStyle name="Normal 30 10 2" xfId="10"/>
    <cellStyle name="Normal 30 11" xfId="16204"/>
    <cellStyle name="Normal 30 11 2" xfId="16205"/>
    <cellStyle name="Normal 30 12" xfId="16206"/>
    <cellStyle name="Normal 30 12 2" xfId="16207"/>
    <cellStyle name="Normal 30 13" xfId="16208"/>
    <cellStyle name="Normal 30 13 2" xfId="16209"/>
    <cellStyle name="Normal 30 14" xfId="16210"/>
    <cellStyle name="Normal 30 14 2" xfId="16211"/>
    <cellStyle name="Normal 30 15" xfId="16212"/>
    <cellStyle name="Normal 30 15 2" xfId="16213"/>
    <cellStyle name="Normal 30 16" xfId="16214"/>
    <cellStyle name="Normal 30 16 2" xfId="16215"/>
    <cellStyle name="Normal 30 17" xfId="16216"/>
    <cellStyle name="Normal 30 17 2" xfId="16217"/>
    <cellStyle name="Normal 30 18" xfId="16218"/>
    <cellStyle name="Normal 30 18 2" xfId="16219"/>
    <cellStyle name="Normal 30 19" xfId="16220"/>
    <cellStyle name="Normal 30 19 2" xfId="16221"/>
    <cellStyle name="Normal 30 2" xfId="16222"/>
    <cellStyle name="Normal 30 2 2" xfId="19"/>
    <cellStyle name="Normal 30 20" xfId="16223"/>
    <cellStyle name="Normal 30 20 2" xfId="16224"/>
    <cellStyle name="Normal 30 21" xfId="16225"/>
    <cellStyle name="Normal 30 21 2" xfId="16226"/>
    <cellStyle name="Normal 30 22" xfId="16227"/>
    <cellStyle name="Normal 30 22 2" xfId="16228"/>
    <cellStyle name="Normal 30 23" xfId="16229"/>
    <cellStyle name="Normal 30 23 2" xfId="16230"/>
    <cellStyle name="Normal 30 24" xfId="16231"/>
    <cellStyle name="Normal 30 24 2" xfId="16232"/>
    <cellStyle name="Normal 30 25" xfId="16233"/>
    <cellStyle name="Normal 30 25 2" xfId="16234"/>
    <cellStyle name="Normal 30 26" xfId="16235"/>
    <cellStyle name="Normal 30 26 2" xfId="16236"/>
    <cellStyle name="Normal 30 27" xfId="16237"/>
    <cellStyle name="Normal 30 27 2" xfId="16238"/>
    <cellStyle name="Normal 30 28" xfId="16239"/>
    <cellStyle name="Normal 30 28 2" xfId="16240"/>
    <cellStyle name="Normal 30 29" xfId="16241"/>
    <cellStyle name="Normal 30 29 2" xfId="16242"/>
    <cellStyle name="Normal 30 3" xfId="16243"/>
    <cellStyle name="Normal 30 3 2" xfId="16244"/>
    <cellStyle name="Normal 30 30" xfId="16245"/>
    <cellStyle name="Normal 30 30 2" xfId="16246"/>
    <cellStyle name="Normal 30 31" xfId="16247"/>
    <cellStyle name="Normal 30 31 2" xfId="16248"/>
    <cellStyle name="Normal 30 32" xfId="16249"/>
    <cellStyle name="Normal 30 32 2" xfId="16250"/>
    <cellStyle name="Normal 30 33" xfId="16251"/>
    <cellStyle name="Normal 30 33 2" xfId="16252"/>
    <cellStyle name="Normal 30 34" xfId="16253"/>
    <cellStyle name="Normal 30 34 2" xfId="16254"/>
    <cellStyle name="Normal 30 35" xfId="16255"/>
    <cellStyle name="Normal 30 35 2" xfId="16256"/>
    <cellStyle name="Normal 30 36" xfId="16257"/>
    <cellStyle name="Normal 30 36 2" xfId="16258"/>
    <cellStyle name="Normal 30 37" xfId="16259"/>
    <cellStyle name="Normal 30 37 2" xfId="16260"/>
    <cellStyle name="Normal 30 38" xfId="16261"/>
    <cellStyle name="Normal 30 38 2" xfId="16262"/>
    <cellStyle name="Normal 30 39" xfId="16263"/>
    <cellStyle name="Normal 30 39 2" xfId="16264"/>
    <cellStyle name="Normal 30 4" xfId="16265"/>
    <cellStyle name="Normal 30 4 2" xfId="16266"/>
    <cellStyle name="Normal 30 40" xfId="16267"/>
    <cellStyle name="Normal 30 40 2" xfId="16268"/>
    <cellStyle name="Normal 30 41" xfId="16269"/>
    <cellStyle name="Normal 30 41 2" xfId="16270"/>
    <cellStyle name="Normal 30 42" xfId="16271"/>
    <cellStyle name="Normal 30 42 2" xfId="16272"/>
    <cellStyle name="Normal 30 43" xfId="16273"/>
    <cellStyle name="Normal 30 43 2" xfId="16274"/>
    <cellStyle name="Normal 30 44" xfId="16275"/>
    <cellStyle name="Normal 30 44 2" xfId="16276"/>
    <cellStyle name="Normal 30 45" xfId="16277"/>
    <cellStyle name="Normal 30 45 2" xfId="16278"/>
    <cellStyle name="Normal 30 46" xfId="16279"/>
    <cellStyle name="Normal 30 46 2" xfId="16280"/>
    <cellStyle name="Normal 30 47" xfId="16281"/>
    <cellStyle name="Normal 30 47 2" xfId="16282"/>
    <cellStyle name="Normal 30 48" xfId="16283"/>
    <cellStyle name="Normal 30 48 2" xfId="16284"/>
    <cellStyle name="Normal 30 49" xfId="16285"/>
    <cellStyle name="Normal 30 5" xfId="16286"/>
    <cellStyle name="Normal 30 5 2" xfId="16287"/>
    <cellStyle name="Normal 30 6" xfId="16288"/>
    <cellStyle name="Normal 30 6 2" xfId="16289"/>
    <cellStyle name="Normal 30 7" xfId="16290"/>
    <cellStyle name="Normal 30 7 2" xfId="16291"/>
    <cellStyle name="Normal 30 8" xfId="16292"/>
    <cellStyle name="Normal 30 8 2" xfId="16293"/>
    <cellStyle name="Normal 30 9" xfId="16294"/>
    <cellStyle name="Normal 30 9 2" xfId="16295"/>
    <cellStyle name="Normal 31" xfId="16296"/>
    <cellStyle name="Normal 31 10" xfId="16297"/>
    <cellStyle name="Normal 31 10 2" xfId="8"/>
    <cellStyle name="Normal 31 11" xfId="16298"/>
    <cellStyle name="Normal 31 11 2" xfId="16299"/>
    <cellStyle name="Normal 31 12" xfId="16300"/>
    <cellStyle name="Normal 31 12 2" xfId="16301"/>
    <cellStyle name="Normal 31 13" xfId="16302"/>
    <cellStyle name="Normal 31 13 2" xfId="16303"/>
    <cellStyle name="Normal 31 14" xfId="16304"/>
    <cellStyle name="Normal 31 14 2" xfId="16305"/>
    <cellStyle name="Normal 31 15" xfId="16306"/>
    <cellStyle name="Normal 31 15 2" xfId="16307"/>
    <cellStyle name="Normal 31 16" xfId="16308"/>
    <cellStyle name="Normal 31 16 2" xfId="16309"/>
    <cellStyle name="Normal 31 17" xfId="16310"/>
    <cellStyle name="Normal 31 17 2" xfId="16311"/>
    <cellStyle name="Normal 31 18" xfId="16312"/>
    <cellStyle name="Normal 31 18 2" xfId="16313"/>
    <cellStyle name="Normal 31 19" xfId="16314"/>
    <cellStyle name="Normal 31 19 2" xfId="16315"/>
    <cellStyle name="Normal 31 2" xfId="16316"/>
    <cellStyle name="Normal 31 2 2" xfId="9"/>
    <cellStyle name="Normal 31 20" xfId="16317"/>
    <cellStyle name="Normal 31 20 2" xfId="16318"/>
    <cellStyle name="Normal 31 21" xfId="16319"/>
    <cellStyle name="Normal 31 21 2" xfId="16320"/>
    <cellStyle name="Normal 31 22" xfId="16321"/>
    <cellStyle name="Normal 31 22 2" xfId="16322"/>
    <cellStyle name="Normal 31 23" xfId="16323"/>
    <cellStyle name="Normal 31 23 2" xfId="16324"/>
    <cellStyle name="Normal 31 24" xfId="16325"/>
    <cellStyle name="Normal 31 24 2" xfId="16326"/>
    <cellStyle name="Normal 31 25" xfId="16327"/>
    <cellStyle name="Normal 31 25 2" xfId="16328"/>
    <cellStyle name="Normal 31 26" xfId="16329"/>
    <cellStyle name="Normal 31 26 2" xfId="16330"/>
    <cellStyle name="Normal 31 27" xfId="16331"/>
    <cellStyle name="Normal 31 27 2" xfId="16332"/>
    <cellStyle name="Normal 31 28" xfId="16333"/>
    <cellStyle name="Normal 31 28 2" xfId="16334"/>
    <cellStyle name="Normal 31 29" xfId="16335"/>
    <cellStyle name="Normal 31 29 2" xfId="16336"/>
    <cellStyle name="Normal 31 3" xfId="16337"/>
    <cellStyle name="Normal 31 3 2" xfId="16338"/>
    <cellStyle name="Normal 31 30" xfId="16339"/>
    <cellStyle name="Normal 31 30 2" xfId="16340"/>
    <cellStyle name="Normal 31 31" xfId="16341"/>
    <cellStyle name="Normal 31 31 2" xfId="16342"/>
    <cellStyle name="Normal 31 32" xfId="16343"/>
    <cellStyle name="Normal 31 32 2" xfId="16344"/>
    <cellStyle name="Normal 31 33" xfId="16345"/>
    <cellStyle name="Normal 31 33 2" xfId="16346"/>
    <cellStyle name="Normal 31 34" xfId="16347"/>
    <cellStyle name="Normal 31 34 2" xfId="16348"/>
    <cellStyle name="Normal 31 35" xfId="16349"/>
    <cellStyle name="Normal 31 35 2" xfId="16350"/>
    <cellStyle name="Normal 31 36" xfId="16351"/>
    <cellStyle name="Normal 31 36 2" xfId="16352"/>
    <cellStyle name="Normal 31 37" xfId="16353"/>
    <cellStyle name="Normal 31 37 2" xfId="16354"/>
    <cellStyle name="Normal 31 38" xfId="16355"/>
    <cellStyle name="Normal 31 38 2" xfId="16356"/>
    <cellStyle name="Normal 31 39" xfId="16357"/>
    <cellStyle name="Normal 31 39 2" xfId="16358"/>
    <cellStyle name="Normal 31 4" xfId="16359"/>
    <cellStyle name="Normal 31 4 2" xfId="16360"/>
    <cellStyle name="Normal 31 40" xfId="16361"/>
    <cellStyle name="Normal 31 40 2" xfId="16362"/>
    <cellStyle name="Normal 31 41" xfId="16363"/>
    <cellStyle name="Normal 31 41 2" xfId="16364"/>
    <cellStyle name="Normal 31 42" xfId="16365"/>
    <cellStyle name="Normal 31 42 2" xfId="16366"/>
    <cellStyle name="Normal 31 43" xfId="16367"/>
    <cellStyle name="Normal 31 43 2" xfId="16368"/>
    <cellStyle name="Normal 31 44" xfId="16369"/>
    <cellStyle name="Normal 31 44 2" xfId="16370"/>
    <cellStyle name="Normal 31 45" xfId="16371"/>
    <cellStyle name="Normal 31 45 2" xfId="16372"/>
    <cellStyle name="Normal 31 46" xfId="16373"/>
    <cellStyle name="Normal 31 46 2" xfId="16374"/>
    <cellStyle name="Normal 31 47" xfId="16375"/>
    <cellStyle name="Normal 31 47 2" xfId="16376"/>
    <cellStyle name="Normal 31 48" xfId="16377"/>
    <cellStyle name="Normal 31 48 2" xfId="16378"/>
    <cellStyle name="Normal 31 49" xfId="16379"/>
    <cellStyle name="Normal 31 5" xfId="16380"/>
    <cellStyle name="Normal 31 5 2" xfId="16381"/>
    <cellStyle name="Normal 31 6" xfId="16382"/>
    <cellStyle name="Normal 31 6 2" xfId="16383"/>
    <cellStyle name="Normal 31 7" xfId="16384"/>
    <cellStyle name="Normal 31 7 2" xfId="16385"/>
    <cellStyle name="Normal 31 8" xfId="16386"/>
    <cellStyle name="Normal 31 8 2" xfId="16387"/>
    <cellStyle name="Normal 31 9" xfId="16388"/>
    <cellStyle name="Normal 31 9 2" xfId="16389"/>
    <cellStyle name="Normal 32" xfId="16390"/>
    <cellStyle name="Normal 32 10" xfId="16391"/>
    <cellStyle name="Normal 32 10 2" xfId="16392"/>
    <cellStyle name="Normal 32 11" xfId="16393"/>
    <cellStyle name="Normal 32 11 2" xfId="16394"/>
    <cellStyle name="Normal 32 12" xfId="16395"/>
    <cellStyle name="Normal 32 12 2" xfId="16396"/>
    <cellStyle name="Normal 32 13" xfId="16397"/>
    <cellStyle name="Normal 32 13 2" xfId="16398"/>
    <cellStyle name="Normal 32 14" xfId="16399"/>
    <cellStyle name="Normal 32 14 2" xfId="16400"/>
    <cellStyle name="Normal 32 15" xfId="16401"/>
    <cellStyle name="Normal 32 15 2" xfId="16402"/>
    <cellStyle name="Normal 32 16" xfId="16403"/>
    <cellStyle name="Normal 32 16 2" xfId="16404"/>
    <cellStyle name="Normal 32 17" xfId="16405"/>
    <cellStyle name="Normal 32 17 2" xfId="16406"/>
    <cellStyle name="Normal 32 18" xfId="16407"/>
    <cellStyle name="Normal 32 18 2" xfId="16408"/>
    <cellStyle name="Normal 32 19" xfId="16409"/>
    <cellStyle name="Normal 32 19 2" xfId="16410"/>
    <cellStyle name="Normal 32 2" xfId="16411"/>
    <cellStyle name="Normal 32 2 2" xfId="16412"/>
    <cellStyle name="Normal 32 20" xfId="16413"/>
    <cellStyle name="Normal 32 20 2" xfId="16414"/>
    <cellStyle name="Normal 32 21" xfId="16415"/>
    <cellStyle name="Normal 32 21 2" xfId="16416"/>
    <cellStyle name="Normal 32 22" xfId="16417"/>
    <cellStyle name="Normal 32 22 2" xfId="16418"/>
    <cellStyle name="Normal 32 23" xfId="16419"/>
    <cellStyle name="Normal 32 23 2" xfId="16420"/>
    <cellStyle name="Normal 32 24" xfId="16421"/>
    <cellStyle name="Normal 32 24 2" xfId="16422"/>
    <cellStyle name="Normal 32 25" xfId="16423"/>
    <cellStyle name="Normal 32 25 2" xfId="16424"/>
    <cellStyle name="Normal 32 26" xfId="16425"/>
    <cellStyle name="Normal 32 26 2" xfId="16426"/>
    <cellStyle name="Normal 32 27" xfId="16427"/>
    <cellStyle name="Normal 32 27 2" xfId="16428"/>
    <cellStyle name="Normal 32 28" xfId="16429"/>
    <cellStyle name="Normal 32 28 2" xfId="16430"/>
    <cellStyle name="Normal 32 29" xfId="16431"/>
    <cellStyle name="Normal 32 29 2" xfId="16432"/>
    <cellStyle name="Normal 32 3" xfId="16433"/>
    <cellStyle name="Normal 32 3 2" xfId="16434"/>
    <cellStyle name="Normal 32 30" xfId="16435"/>
    <cellStyle name="Normal 32 30 2" xfId="16436"/>
    <cellStyle name="Normal 32 31" xfId="16437"/>
    <cellStyle name="Normal 32 31 2" xfId="16438"/>
    <cellStyle name="Normal 32 32" xfId="16439"/>
    <cellStyle name="Normal 32 32 2" xfId="16440"/>
    <cellStyle name="Normal 32 33" xfId="16441"/>
    <cellStyle name="Normal 32 33 2" xfId="16442"/>
    <cellStyle name="Normal 32 34" xfId="16443"/>
    <cellStyle name="Normal 32 34 2" xfId="16444"/>
    <cellStyle name="Normal 32 35" xfId="16445"/>
    <cellStyle name="Normal 32 35 2" xfId="16446"/>
    <cellStyle name="Normal 32 36" xfId="16447"/>
    <cellStyle name="Normal 32 36 2" xfId="16448"/>
    <cellStyle name="Normal 32 37" xfId="16449"/>
    <cellStyle name="Normal 32 37 2" xfId="16450"/>
    <cellStyle name="Normal 32 38" xfId="16451"/>
    <cellStyle name="Normal 32 38 2" xfId="16452"/>
    <cellStyle name="Normal 32 39" xfId="16453"/>
    <cellStyle name="Normal 32 39 2" xfId="16454"/>
    <cellStyle name="Normal 32 4" xfId="16455"/>
    <cellStyle name="Normal 32 4 2" xfId="16456"/>
    <cellStyle name="Normal 32 40" xfId="16457"/>
    <cellStyle name="Normal 32 40 2" xfId="16458"/>
    <cellStyle name="Normal 32 41" xfId="16459"/>
    <cellStyle name="Normal 32 41 2" xfId="16460"/>
    <cellStyle name="Normal 32 42" xfId="16461"/>
    <cellStyle name="Normal 32 42 2" xfId="16462"/>
    <cellStyle name="Normal 32 43" xfId="16463"/>
    <cellStyle name="Normal 32 43 2" xfId="16464"/>
    <cellStyle name="Normal 32 44" xfId="16465"/>
    <cellStyle name="Normal 32 44 2" xfId="16466"/>
    <cellStyle name="Normal 32 45" xfId="16467"/>
    <cellStyle name="Normal 32 45 2" xfId="16468"/>
    <cellStyle name="Normal 32 46" xfId="16469"/>
    <cellStyle name="Normal 32 46 2" xfId="16470"/>
    <cellStyle name="Normal 32 47" xfId="16471"/>
    <cellStyle name="Normal 32 47 2" xfId="16472"/>
    <cellStyle name="Normal 32 48" xfId="16473"/>
    <cellStyle name="Normal 32 48 2" xfId="16474"/>
    <cellStyle name="Normal 32 49" xfId="16475"/>
    <cellStyle name="Normal 32 5" xfId="16476"/>
    <cellStyle name="Normal 32 5 2" xfId="16477"/>
    <cellStyle name="Normal 32 6" xfId="16478"/>
    <cellStyle name="Normal 32 6 2" xfId="16479"/>
    <cellStyle name="Normal 32 7" xfId="16480"/>
    <cellStyle name="Normal 32 7 2" xfId="16481"/>
    <cellStyle name="Normal 32 8" xfId="16482"/>
    <cellStyle name="Normal 32 8 2" xfId="16483"/>
    <cellStyle name="Normal 32 9" xfId="16484"/>
    <cellStyle name="Normal 32 9 2" xfId="16485"/>
    <cellStyle name="Normal 33" xfId="16486"/>
    <cellStyle name="Normal 33 10" xfId="16487"/>
    <cellStyle name="Normal 33 10 2" xfId="16488"/>
    <cellStyle name="Normal 33 11" xfId="16489"/>
    <cellStyle name="Normal 33 11 2" xfId="16490"/>
    <cellStyle name="Normal 33 12" xfId="16491"/>
    <cellStyle name="Normal 33 12 2" xfId="16492"/>
    <cellStyle name="Normal 33 13" xfId="16493"/>
    <cellStyle name="Normal 33 13 2" xfId="16494"/>
    <cellStyle name="Normal 33 14" xfId="16495"/>
    <cellStyle name="Normal 33 14 2" xfId="16496"/>
    <cellStyle name="Normal 33 15" xfId="16497"/>
    <cellStyle name="Normal 33 15 2" xfId="16498"/>
    <cellStyle name="Normal 33 16" xfId="16499"/>
    <cellStyle name="Normal 33 16 2" xfId="16500"/>
    <cellStyle name="Normal 33 17" xfId="16501"/>
    <cellStyle name="Normal 33 17 2" xfId="16502"/>
    <cellStyle name="Normal 33 18" xfId="16503"/>
    <cellStyle name="Normal 33 18 2" xfId="16504"/>
    <cellStyle name="Normal 33 19" xfId="16505"/>
    <cellStyle name="Normal 33 19 2" xfId="16506"/>
    <cellStyle name="Normal 33 2" xfId="16507"/>
    <cellStyle name="Normal 33 2 2" xfId="16508"/>
    <cellStyle name="Normal 33 20" xfId="16509"/>
    <cellStyle name="Normal 33 20 2" xfId="16510"/>
    <cellStyle name="Normal 33 21" xfId="16511"/>
    <cellStyle name="Normal 33 21 2" xfId="16512"/>
    <cellStyle name="Normal 33 22" xfId="16513"/>
    <cellStyle name="Normal 33 22 2" xfId="16514"/>
    <cellStyle name="Normal 33 23" xfId="16515"/>
    <cellStyle name="Normal 33 23 2" xfId="16516"/>
    <cellStyle name="Normal 33 24" xfId="16517"/>
    <cellStyle name="Normal 33 24 2" xfId="16518"/>
    <cellStyle name="Normal 33 25" xfId="16519"/>
    <cellStyle name="Normal 33 25 2" xfId="16520"/>
    <cellStyle name="Normal 33 26" xfId="16521"/>
    <cellStyle name="Normal 33 26 2" xfId="16522"/>
    <cellStyle name="Normal 33 27" xfId="16523"/>
    <cellStyle name="Normal 33 27 2" xfId="16524"/>
    <cellStyle name="Normal 33 28" xfId="16525"/>
    <cellStyle name="Normal 33 28 2" xfId="16526"/>
    <cellStyle name="Normal 33 29" xfId="16527"/>
    <cellStyle name="Normal 33 29 2" xfId="16528"/>
    <cellStyle name="Normal 33 3" xfId="16529"/>
    <cellStyle name="Normal 33 3 2" xfId="16530"/>
    <cellStyle name="Normal 33 30" xfId="16531"/>
    <cellStyle name="Normal 33 30 2" xfId="16532"/>
    <cellStyle name="Normal 33 31" xfId="16533"/>
    <cellStyle name="Normal 33 31 2" xfId="16534"/>
    <cellStyle name="Normal 33 32" xfId="16535"/>
    <cellStyle name="Normal 33 32 2" xfId="16536"/>
    <cellStyle name="Normal 33 33" xfId="16537"/>
    <cellStyle name="Normal 33 33 2" xfId="16538"/>
    <cellStyle name="Normal 33 34" xfId="16539"/>
    <cellStyle name="Normal 33 34 2" xfId="16540"/>
    <cellStyle name="Normal 33 35" xfId="16541"/>
    <cellStyle name="Normal 33 35 2" xfId="16542"/>
    <cellStyle name="Normal 33 36" xfId="16543"/>
    <cellStyle name="Normal 33 36 2" xfId="16544"/>
    <cellStyle name="Normal 33 37" xfId="16545"/>
    <cellStyle name="Normal 33 37 2" xfId="16546"/>
    <cellStyle name="Normal 33 38" xfId="16547"/>
    <cellStyle name="Normal 33 38 2" xfId="16548"/>
    <cellStyle name="Normal 33 39" xfId="16549"/>
    <cellStyle name="Normal 33 39 2" xfId="16550"/>
    <cellStyle name="Normal 33 4" xfId="16551"/>
    <cellStyle name="Normal 33 4 2" xfId="16552"/>
    <cellStyle name="Normal 33 40" xfId="16553"/>
    <cellStyle name="Normal 33 40 2" xfId="16554"/>
    <cellStyle name="Normal 33 41" xfId="16555"/>
    <cellStyle name="Normal 33 41 2" xfId="16556"/>
    <cellStyle name="Normal 33 42" xfId="16557"/>
    <cellStyle name="Normal 33 42 2" xfId="16558"/>
    <cellStyle name="Normal 33 43" xfId="16559"/>
    <cellStyle name="Normal 33 43 2" xfId="16560"/>
    <cellStyle name="Normal 33 44" xfId="16561"/>
    <cellStyle name="Normal 33 44 2" xfId="16562"/>
    <cellStyle name="Normal 33 45" xfId="16563"/>
    <cellStyle name="Normal 33 45 2" xfId="16564"/>
    <cellStyle name="Normal 33 46" xfId="16565"/>
    <cellStyle name="Normal 33 46 2" xfId="16566"/>
    <cellStyle name="Normal 33 47" xfId="16567"/>
    <cellStyle name="Normal 33 47 2" xfId="16568"/>
    <cellStyle name="Normal 33 48" xfId="16569"/>
    <cellStyle name="Normal 33 48 2" xfId="16570"/>
    <cellStyle name="Normal 33 49" xfId="16571"/>
    <cellStyle name="Normal 33 5" xfId="16572"/>
    <cellStyle name="Normal 33 5 2" xfId="16573"/>
    <cellStyle name="Normal 33 6" xfId="16574"/>
    <cellStyle name="Normal 33 6 2" xfId="16575"/>
    <cellStyle name="Normal 33 7" xfId="16576"/>
    <cellStyle name="Normal 33 7 2" xfId="16577"/>
    <cellStyle name="Normal 33 8" xfId="16578"/>
    <cellStyle name="Normal 33 8 2" xfId="16579"/>
    <cellStyle name="Normal 33 9" xfId="16580"/>
    <cellStyle name="Normal 33 9 2" xfId="16581"/>
    <cellStyle name="Normal 34" xfId="16582"/>
    <cellStyle name="Normal 34 10" xfId="16583"/>
    <cellStyle name="Normal 34 10 2" xfId="16584"/>
    <cellStyle name="Normal 34 11" xfId="16585"/>
    <cellStyle name="Normal 34 11 2" xfId="16586"/>
    <cellStyle name="Normal 34 12" xfId="16587"/>
    <cellStyle name="Normal 34 12 2" xfId="16588"/>
    <cellStyle name="Normal 34 13" xfId="16589"/>
    <cellStyle name="Normal 34 13 2" xfId="16590"/>
    <cellStyle name="Normal 34 14" xfId="16591"/>
    <cellStyle name="Normal 34 14 2" xfId="16592"/>
    <cellStyle name="Normal 34 15" xfId="16593"/>
    <cellStyle name="Normal 34 15 2" xfId="16594"/>
    <cellStyle name="Normal 34 16" xfId="16595"/>
    <cellStyle name="Normal 34 16 2" xfId="16596"/>
    <cellStyle name="Normal 34 17" xfId="16597"/>
    <cellStyle name="Normal 34 17 2" xfId="16598"/>
    <cellStyle name="Normal 34 18" xfId="16599"/>
    <cellStyle name="Normal 34 18 2" xfId="16600"/>
    <cellStyle name="Normal 34 19" xfId="16601"/>
    <cellStyle name="Normal 34 19 2" xfId="16602"/>
    <cellStyle name="Normal 34 2" xfId="16603"/>
    <cellStyle name="Normal 34 2 2" xfId="16604"/>
    <cellStyle name="Normal 34 20" xfId="16605"/>
    <cellStyle name="Normal 34 20 2" xfId="16606"/>
    <cellStyle name="Normal 34 21" xfId="16607"/>
    <cellStyle name="Normal 34 21 2" xfId="16608"/>
    <cellStyle name="Normal 34 22" xfId="16609"/>
    <cellStyle name="Normal 34 22 2" xfId="16610"/>
    <cellStyle name="Normal 34 23" xfId="16611"/>
    <cellStyle name="Normal 34 23 2" xfId="16612"/>
    <cellStyle name="Normal 34 24" xfId="16613"/>
    <cellStyle name="Normal 34 24 2" xfId="16614"/>
    <cellStyle name="Normal 34 25" xfId="16615"/>
    <cellStyle name="Normal 34 25 2" xfId="16616"/>
    <cellStyle name="Normal 34 26" xfId="16617"/>
    <cellStyle name="Normal 34 26 2" xfId="16618"/>
    <cellStyle name="Normal 34 27" xfId="16619"/>
    <cellStyle name="Normal 34 27 2" xfId="16620"/>
    <cellStyle name="Normal 34 28" xfId="16621"/>
    <cellStyle name="Normal 34 28 2" xfId="16622"/>
    <cellStyle name="Normal 34 29" xfId="16623"/>
    <cellStyle name="Normal 34 29 2" xfId="16624"/>
    <cellStyle name="Normal 34 3" xfId="16625"/>
    <cellStyle name="Normal 34 3 2" xfId="16626"/>
    <cellStyle name="Normal 34 30" xfId="16627"/>
    <cellStyle name="Normal 34 30 2" xfId="16628"/>
    <cellStyle name="Normal 34 31" xfId="16629"/>
    <cellStyle name="Normal 34 31 2" xfId="16630"/>
    <cellStyle name="Normal 34 32" xfId="16631"/>
    <cellStyle name="Normal 34 32 2" xfId="16632"/>
    <cellStyle name="Normal 34 33" xfId="16633"/>
    <cellStyle name="Normal 34 33 2" xfId="16634"/>
    <cellStyle name="Normal 34 34" xfId="16635"/>
    <cellStyle name="Normal 34 34 2" xfId="16636"/>
    <cellStyle name="Normal 34 35" xfId="16637"/>
    <cellStyle name="Normal 34 35 2" xfId="16638"/>
    <cellStyle name="Normal 34 36" xfId="16639"/>
    <cellStyle name="Normal 34 36 2" xfId="16640"/>
    <cellStyle name="Normal 34 37" xfId="16641"/>
    <cellStyle name="Normal 34 37 2" xfId="16642"/>
    <cellStyle name="Normal 34 38" xfId="16643"/>
    <cellStyle name="Normal 34 38 2" xfId="16644"/>
    <cellStyle name="Normal 34 39" xfId="16645"/>
    <cellStyle name="Normal 34 39 2" xfId="16646"/>
    <cellStyle name="Normal 34 4" xfId="16647"/>
    <cellStyle name="Normal 34 4 2" xfId="16648"/>
    <cellStyle name="Normal 34 40" xfId="16649"/>
    <cellStyle name="Normal 34 40 2" xfId="16650"/>
    <cellStyle name="Normal 34 41" xfId="16651"/>
    <cellStyle name="Normal 34 41 2" xfId="16652"/>
    <cellStyle name="Normal 34 42" xfId="16653"/>
    <cellStyle name="Normal 34 42 2" xfId="16654"/>
    <cellStyle name="Normal 34 43" xfId="16655"/>
    <cellStyle name="Normal 34 43 2" xfId="16656"/>
    <cellStyle name="Normal 34 44" xfId="16657"/>
    <cellStyle name="Normal 34 44 2" xfId="16658"/>
    <cellStyle name="Normal 34 45" xfId="16659"/>
    <cellStyle name="Normal 34 45 2" xfId="16660"/>
    <cellStyle name="Normal 34 46" xfId="16661"/>
    <cellStyle name="Normal 34 46 2" xfId="16662"/>
    <cellStyle name="Normal 34 47" xfId="16663"/>
    <cellStyle name="Normal 34 47 2" xfId="16664"/>
    <cellStyle name="Normal 34 48" xfId="16665"/>
    <cellStyle name="Normal 34 48 2" xfId="16666"/>
    <cellStyle name="Normal 34 49" xfId="16667"/>
    <cellStyle name="Normal 34 5" xfId="16668"/>
    <cellStyle name="Normal 34 5 2" xfId="16669"/>
    <cellStyle name="Normal 34 6" xfId="16670"/>
    <cellStyle name="Normal 34 6 2" xfId="16671"/>
    <cellStyle name="Normal 34 7" xfId="16672"/>
    <cellStyle name="Normal 34 7 2" xfId="16673"/>
    <cellStyle name="Normal 34 8" xfId="16674"/>
    <cellStyle name="Normal 34 8 2" xfId="16675"/>
    <cellStyle name="Normal 34 9" xfId="16676"/>
    <cellStyle name="Normal 34 9 2" xfId="16677"/>
    <cellStyle name="Normal 35" xfId="16678"/>
    <cellStyle name="Normal 35 10" xfId="16679"/>
    <cellStyle name="Normal 35 10 2" xfId="16"/>
    <cellStyle name="Normal 35 11" xfId="16680"/>
    <cellStyle name="Normal 35 11 2" xfId="16681"/>
    <cellStyle name="Normal 35 12" xfId="16682"/>
    <cellStyle name="Normal 35 12 2" xfId="16683"/>
    <cellStyle name="Normal 35 13" xfId="16684"/>
    <cellStyle name="Normal 35 13 2" xfId="16685"/>
    <cellStyle name="Normal 35 14" xfId="16686"/>
    <cellStyle name="Normal 35 14 2" xfId="16687"/>
    <cellStyle name="Normal 35 15" xfId="16688"/>
    <cellStyle name="Normal 35 15 2" xfId="16689"/>
    <cellStyle name="Normal 35 16" xfId="16690"/>
    <cellStyle name="Normal 35 16 2" xfId="16691"/>
    <cellStyle name="Normal 35 17" xfId="16692"/>
    <cellStyle name="Normal 35 17 2" xfId="16693"/>
    <cellStyle name="Normal 35 18" xfId="16694"/>
    <cellStyle name="Normal 35 18 2" xfId="16695"/>
    <cellStyle name="Normal 35 19" xfId="16696"/>
    <cellStyle name="Normal 35 19 2" xfId="16697"/>
    <cellStyle name="Normal 35 2" xfId="16698"/>
    <cellStyle name="Normal 35 2 2" xfId="16699"/>
    <cellStyle name="Normal 35 20" xfId="16700"/>
    <cellStyle name="Normal 35 20 2" xfId="16701"/>
    <cellStyle name="Normal 35 21" xfId="16702"/>
    <cellStyle name="Normal 35 21 2" xfId="16703"/>
    <cellStyle name="Normal 35 22" xfId="16704"/>
    <cellStyle name="Normal 35 22 2" xfId="16705"/>
    <cellStyle name="Normal 35 23" xfId="16706"/>
    <cellStyle name="Normal 35 23 2" xfId="16707"/>
    <cellStyle name="Normal 35 24" xfId="16708"/>
    <cellStyle name="Normal 35 24 2" xfId="16709"/>
    <cellStyle name="Normal 35 25" xfId="16710"/>
    <cellStyle name="Normal 35 25 2" xfId="16711"/>
    <cellStyle name="Normal 35 26" xfId="16712"/>
    <cellStyle name="Normal 35 26 2" xfId="16713"/>
    <cellStyle name="Normal 35 27" xfId="16714"/>
    <cellStyle name="Normal 35 27 2" xfId="16715"/>
    <cellStyle name="Normal 35 28" xfId="16716"/>
    <cellStyle name="Normal 35 28 2" xfId="16717"/>
    <cellStyle name="Normal 35 29" xfId="16718"/>
    <cellStyle name="Normal 35 29 2" xfId="16719"/>
    <cellStyle name="Normal 35 3" xfId="16720"/>
    <cellStyle name="Normal 35 3 2" xfId="16721"/>
    <cellStyle name="Normal 35 30" xfId="16722"/>
    <cellStyle name="Normal 35 30 2" xfId="16723"/>
    <cellStyle name="Normal 35 31" xfId="16724"/>
    <cellStyle name="Normal 35 31 2" xfId="16725"/>
    <cellStyle name="Normal 35 32" xfId="16726"/>
    <cellStyle name="Normal 35 32 2" xfId="16727"/>
    <cellStyle name="Normal 35 33" xfId="16728"/>
    <cellStyle name="Normal 35 33 2" xfId="16729"/>
    <cellStyle name="Normal 35 34" xfId="16730"/>
    <cellStyle name="Normal 35 34 2" xfId="16731"/>
    <cellStyle name="Normal 35 35" xfId="16732"/>
    <cellStyle name="Normal 35 35 2" xfId="16733"/>
    <cellStyle name="Normal 35 36" xfId="16734"/>
    <cellStyle name="Normal 35 36 2" xfId="16735"/>
    <cellStyle name="Normal 35 37" xfId="16736"/>
    <cellStyle name="Normal 35 37 2" xfId="16737"/>
    <cellStyle name="Normal 35 38" xfId="16738"/>
    <cellStyle name="Normal 35 38 2" xfId="16739"/>
    <cellStyle name="Normal 35 39" xfId="16740"/>
    <cellStyle name="Normal 35 39 2" xfId="16741"/>
    <cellStyle name="Normal 35 4" xfId="16742"/>
    <cellStyle name="Normal 35 4 2" xfId="16743"/>
    <cellStyle name="Normal 35 40" xfId="16744"/>
    <cellStyle name="Normal 35 40 2" xfId="16745"/>
    <cellStyle name="Normal 35 41" xfId="16746"/>
    <cellStyle name="Normal 35 41 2" xfId="16747"/>
    <cellStyle name="Normal 35 42" xfId="16748"/>
    <cellStyle name="Normal 35 42 2" xfId="16749"/>
    <cellStyle name="Normal 35 43" xfId="16750"/>
    <cellStyle name="Normal 35 43 2" xfId="16751"/>
    <cellStyle name="Normal 35 44" xfId="16752"/>
    <cellStyle name="Normal 35 44 2" xfId="16753"/>
    <cellStyle name="Normal 35 45" xfId="16754"/>
    <cellStyle name="Normal 35 45 2" xfId="16755"/>
    <cellStyle name="Normal 35 46" xfId="16756"/>
    <cellStyle name="Normal 35 46 2" xfId="16757"/>
    <cellStyle name="Normal 35 47" xfId="16758"/>
    <cellStyle name="Normal 35 47 2" xfId="16759"/>
    <cellStyle name="Normal 35 48" xfId="16760"/>
    <cellStyle name="Normal 35 48 2" xfId="16761"/>
    <cellStyle name="Normal 35 49" xfId="16762"/>
    <cellStyle name="Normal 35 5" xfId="16763"/>
    <cellStyle name="Normal 35 5 2" xfId="16764"/>
    <cellStyle name="Normal 35 6" xfId="16765"/>
    <cellStyle name="Normal 35 6 2" xfId="16766"/>
    <cellStyle name="Normal 35 7" xfId="16767"/>
    <cellStyle name="Normal 35 7 2" xfId="16768"/>
    <cellStyle name="Normal 35 8" xfId="16769"/>
    <cellStyle name="Normal 35 8 2" xfId="16770"/>
    <cellStyle name="Normal 35 9" xfId="16771"/>
    <cellStyle name="Normal 35 9 2" xfId="16772"/>
    <cellStyle name="Normal 36" xfId="16773"/>
    <cellStyle name="Normal 36 10" xfId="16774"/>
    <cellStyle name="Normal 36 10 2" xfId="16775"/>
    <cellStyle name="Normal 36 11" xfId="16776"/>
    <cellStyle name="Normal 36 11 2" xfId="16777"/>
    <cellStyle name="Normal 36 12" xfId="16778"/>
    <cellStyle name="Normal 36 12 2" xfId="16779"/>
    <cellStyle name="Normal 36 13" xfId="16780"/>
    <cellStyle name="Normal 36 13 2" xfId="16781"/>
    <cellStyle name="Normal 36 14" xfId="16782"/>
    <cellStyle name="Normal 36 14 2" xfId="16783"/>
    <cellStyle name="Normal 36 15" xfId="16784"/>
    <cellStyle name="Normal 36 15 2" xfId="16785"/>
    <cellStyle name="Normal 36 16" xfId="16786"/>
    <cellStyle name="Normal 36 16 2" xfId="16787"/>
    <cellStyle name="Normal 36 17" xfId="16788"/>
    <cellStyle name="Normal 36 17 2" xfId="16789"/>
    <cellStyle name="Normal 36 18" xfId="16790"/>
    <cellStyle name="Normal 36 18 2" xfId="16791"/>
    <cellStyle name="Normal 36 19" xfId="16792"/>
    <cellStyle name="Normal 36 19 2" xfId="16793"/>
    <cellStyle name="Normal 36 2" xfId="16794"/>
    <cellStyle name="Normal 36 2 2" xfId="16795"/>
    <cellStyle name="Normal 36 20" xfId="16796"/>
    <cellStyle name="Normal 36 20 2" xfId="16797"/>
    <cellStyle name="Normal 36 21" xfId="16798"/>
    <cellStyle name="Normal 36 21 2" xfId="16799"/>
    <cellStyle name="Normal 36 22" xfId="16800"/>
    <cellStyle name="Normal 36 22 2" xfId="16801"/>
    <cellStyle name="Normal 36 23" xfId="16802"/>
    <cellStyle name="Normal 36 23 2" xfId="16803"/>
    <cellStyle name="Normal 36 24" xfId="16804"/>
    <cellStyle name="Normal 36 24 2" xfId="16805"/>
    <cellStyle name="Normal 36 25" xfId="16806"/>
    <cellStyle name="Normal 36 25 2" xfId="16807"/>
    <cellStyle name="Normal 36 26" xfId="16808"/>
    <cellStyle name="Normal 36 26 2" xfId="16809"/>
    <cellStyle name="Normal 36 27" xfId="16810"/>
    <cellStyle name="Normal 36 27 2" xfId="16811"/>
    <cellStyle name="Normal 36 28" xfId="16812"/>
    <cellStyle name="Normal 36 28 2" xfId="16813"/>
    <cellStyle name="Normal 36 29" xfId="16814"/>
    <cellStyle name="Normal 36 29 2" xfId="16815"/>
    <cellStyle name="Normal 36 3" xfId="16816"/>
    <cellStyle name="Normal 36 3 2" xfId="16817"/>
    <cellStyle name="Normal 36 30" xfId="16818"/>
    <cellStyle name="Normal 36 30 2" xfId="16819"/>
    <cellStyle name="Normal 36 31" xfId="16820"/>
    <cellStyle name="Normal 36 31 2" xfId="16821"/>
    <cellStyle name="Normal 36 32" xfId="16822"/>
    <cellStyle name="Normal 36 32 2" xfId="16823"/>
    <cellStyle name="Normal 36 33" xfId="16824"/>
    <cellStyle name="Normal 36 33 2" xfId="16825"/>
    <cellStyle name="Normal 36 34" xfId="16826"/>
    <cellStyle name="Normal 36 34 2" xfId="16827"/>
    <cellStyle name="Normal 36 35" xfId="16828"/>
    <cellStyle name="Normal 36 35 2" xfId="16829"/>
    <cellStyle name="Normal 36 36" xfId="16830"/>
    <cellStyle name="Normal 36 36 2" xfId="16831"/>
    <cellStyle name="Normal 36 37" xfId="16832"/>
    <cellStyle name="Normal 36 37 2" xfId="16833"/>
    <cellStyle name="Normal 36 38" xfId="16834"/>
    <cellStyle name="Normal 36 38 2" xfId="16835"/>
    <cellStyle name="Normal 36 39" xfId="16836"/>
    <cellStyle name="Normal 36 39 2" xfId="16837"/>
    <cellStyle name="Normal 36 4" xfId="16838"/>
    <cellStyle name="Normal 36 4 2" xfId="16839"/>
    <cellStyle name="Normal 36 40" xfId="16840"/>
    <cellStyle name="Normal 36 40 2" xfId="16841"/>
    <cellStyle name="Normal 36 41" xfId="16842"/>
    <cellStyle name="Normal 36 41 2" xfId="16843"/>
    <cellStyle name="Normal 36 42" xfId="16844"/>
    <cellStyle name="Normal 36 42 2" xfId="16845"/>
    <cellStyle name="Normal 36 43" xfId="16846"/>
    <cellStyle name="Normal 36 43 2" xfId="16847"/>
    <cellStyle name="Normal 36 44" xfId="16848"/>
    <cellStyle name="Normal 36 44 2" xfId="16849"/>
    <cellStyle name="Normal 36 45" xfId="16850"/>
    <cellStyle name="Normal 36 45 2" xfId="16851"/>
    <cellStyle name="Normal 36 46" xfId="16852"/>
    <cellStyle name="Normal 36 46 2" xfId="16853"/>
    <cellStyle name="Normal 36 47" xfId="16854"/>
    <cellStyle name="Normal 36 47 2" xfId="16855"/>
    <cellStyle name="Normal 36 48" xfId="16856"/>
    <cellStyle name="Normal 36 48 2" xfId="16857"/>
    <cellStyle name="Normal 36 49" xfId="16858"/>
    <cellStyle name="Normal 36 5" xfId="16859"/>
    <cellStyle name="Normal 36 5 2" xfId="16860"/>
    <cellStyle name="Normal 36 6" xfId="16861"/>
    <cellStyle name="Normal 36 6 2" xfId="16862"/>
    <cellStyle name="Normal 36 7" xfId="16863"/>
    <cellStyle name="Normal 36 7 2" xfId="16864"/>
    <cellStyle name="Normal 36 8" xfId="16865"/>
    <cellStyle name="Normal 36 8 2" xfId="16866"/>
    <cellStyle name="Normal 36 9" xfId="16867"/>
    <cellStyle name="Normal 36 9 2" xfId="16868"/>
    <cellStyle name="Normal 37" xfId="16869"/>
    <cellStyle name="Normal 37 2" xfId="16870"/>
    <cellStyle name="Normal 37 2 2" xfId="16871"/>
    <cellStyle name="Normal 37 3" xfId="16872"/>
    <cellStyle name="Normal 38" xfId="16873"/>
    <cellStyle name="Normal 38 2" xfId="16874"/>
    <cellStyle name="Normal 38 2 2" xfId="16875"/>
    <cellStyle name="Normal 38 2 2 2" xfId="16876"/>
    <cellStyle name="Normal 38 2 3" xfId="16877"/>
    <cellStyle name="Normal 38 3" xfId="16878"/>
    <cellStyle name="Normal 39" xfId="16879"/>
    <cellStyle name="Normal 39 2" xfId="16880"/>
    <cellStyle name="Normal 39 2 2" xfId="16881"/>
    <cellStyle name="Normal 39 3" xfId="16882"/>
    <cellStyle name="Normal 4" xfId="16883"/>
    <cellStyle name="Normal 4 10" xfId="16884"/>
    <cellStyle name="Normal 4 10 2" xfId="16885"/>
    <cellStyle name="Normal 4 10 2 2" xfId="16886"/>
    <cellStyle name="Normal 4 10 2 2 2" xfId="16887"/>
    <cellStyle name="Normal 4 10 2 2 2 2" xfId="16888"/>
    <cellStyle name="Normal 4 10 2 2 3" xfId="16889"/>
    <cellStyle name="Normal 4 10 2 3" xfId="16890"/>
    <cellStyle name="Normal 4 10 2 3 2" xfId="16891"/>
    <cellStyle name="Normal 4 10 2 3 2 2" xfId="16892"/>
    <cellStyle name="Normal 4 10 2 3 3" xfId="16893"/>
    <cellStyle name="Normal 4 10 2 4" xfId="16894"/>
    <cellStyle name="Normal 4 10 3" xfId="16895"/>
    <cellStyle name="Normal 4 10 3 2" xfId="16896"/>
    <cellStyle name="Normal 4 10 3 2 2" xfId="16897"/>
    <cellStyle name="Normal 4 10 3 3" xfId="16898"/>
    <cellStyle name="Normal 4 10 4" xfId="16899"/>
    <cellStyle name="Normal 4 10 4 2" xfId="16900"/>
    <cellStyle name="Normal 4 10 4 2 2" xfId="16901"/>
    <cellStyle name="Normal 4 10 4 3" xfId="16902"/>
    <cellStyle name="Normal 4 10 5" xfId="16903"/>
    <cellStyle name="Normal 4 11" xfId="16904"/>
    <cellStyle name="Normal 4 11 2" xfId="16905"/>
    <cellStyle name="Normal 4 11 2 2" xfId="16906"/>
    <cellStyle name="Normal 4 11 2 2 2" xfId="16907"/>
    <cellStyle name="Normal 4 11 2 2 2 2" xfId="16908"/>
    <cellStyle name="Normal 4 11 2 2 3" xfId="16909"/>
    <cellStyle name="Normal 4 11 2 3" xfId="16910"/>
    <cellStyle name="Normal 4 11 2 3 2" xfId="16911"/>
    <cellStyle name="Normal 4 11 2 3 2 2" xfId="16912"/>
    <cellStyle name="Normal 4 11 2 3 3" xfId="16913"/>
    <cellStyle name="Normal 4 11 2 4" xfId="16914"/>
    <cellStyle name="Normal 4 11 3" xfId="16915"/>
    <cellStyle name="Normal 4 11 3 2" xfId="16916"/>
    <cellStyle name="Normal 4 11 3 2 2" xfId="16917"/>
    <cellStyle name="Normal 4 11 3 3" xfId="16918"/>
    <cellStyle name="Normal 4 11 4" xfId="16919"/>
    <cellStyle name="Normal 4 11 4 2" xfId="16920"/>
    <cellStyle name="Normal 4 11 4 2 2" xfId="16921"/>
    <cellStyle name="Normal 4 11 4 3" xfId="16922"/>
    <cellStyle name="Normal 4 11 5" xfId="16923"/>
    <cellStyle name="Normal 4 12" xfId="16924"/>
    <cellStyle name="Normal 4 12 2" xfId="16925"/>
    <cellStyle name="Normal 4 12 2 2" xfId="16926"/>
    <cellStyle name="Normal 4 12 2 2 2" xfId="16927"/>
    <cellStyle name="Normal 4 12 2 2 2 2" xfId="16928"/>
    <cellStyle name="Normal 4 12 2 2 3" xfId="16929"/>
    <cellStyle name="Normal 4 12 2 3" xfId="16930"/>
    <cellStyle name="Normal 4 12 2 3 2" xfId="16931"/>
    <cellStyle name="Normal 4 12 2 3 2 2" xfId="16932"/>
    <cellStyle name="Normal 4 12 2 3 3" xfId="16933"/>
    <cellStyle name="Normal 4 12 2 4" xfId="16934"/>
    <cellStyle name="Normal 4 12 3" xfId="16935"/>
    <cellStyle name="Normal 4 12 3 2" xfId="16936"/>
    <cellStyle name="Normal 4 12 3 2 2" xfId="16937"/>
    <cellStyle name="Normal 4 12 3 3" xfId="16938"/>
    <cellStyle name="Normal 4 12 4" xfId="16939"/>
    <cellStyle name="Normal 4 12 4 2" xfId="16940"/>
    <cellStyle name="Normal 4 12 4 2 2" xfId="16941"/>
    <cellStyle name="Normal 4 12 4 3" xfId="16942"/>
    <cellStyle name="Normal 4 12 5" xfId="16943"/>
    <cellStyle name="Normal 4 13" xfId="16944"/>
    <cellStyle name="Normal 4 13 2" xfId="16945"/>
    <cellStyle name="Normal 4 13 2 2" xfId="16946"/>
    <cellStyle name="Normal 4 13 2 2 2" xfId="16947"/>
    <cellStyle name="Normal 4 13 2 2 2 2" xfId="16948"/>
    <cellStyle name="Normal 4 13 2 2 3" xfId="16949"/>
    <cellStyle name="Normal 4 13 2 3" xfId="16950"/>
    <cellStyle name="Normal 4 13 2 3 2" xfId="16951"/>
    <cellStyle name="Normal 4 13 2 3 2 2" xfId="16952"/>
    <cellStyle name="Normal 4 13 2 3 3" xfId="16953"/>
    <cellStyle name="Normal 4 13 2 4" xfId="16954"/>
    <cellStyle name="Normal 4 13 3" xfId="16955"/>
    <cellStyle name="Normal 4 13 3 2" xfId="16956"/>
    <cellStyle name="Normal 4 13 3 2 2" xfId="16957"/>
    <cellStyle name="Normal 4 13 3 3" xfId="16958"/>
    <cellStyle name="Normal 4 13 4" xfId="16959"/>
    <cellStyle name="Normal 4 13 4 2" xfId="16960"/>
    <cellStyle name="Normal 4 13 4 2 2" xfId="16961"/>
    <cellStyle name="Normal 4 13 4 3" xfId="16962"/>
    <cellStyle name="Normal 4 13 5" xfId="16963"/>
    <cellStyle name="Normal 4 14" xfId="16964"/>
    <cellStyle name="Normal 4 14 2" xfId="16965"/>
    <cellStyle name="Normal 4 14 2 2" xfId="16966"/>
    <cellStyle name="Normal 4 14 2 2 2" xfId="16967"/>
    <cellStyle name="Normal 4 14 2 2 2 2" xfId="16968"/>
    <cellStyle name="Normal 4 14 2 2 3" xfId="16969"/>
    <cellStyle name="Normal 4 14 2 3" xfId="16970"/>
    <cellStyle name="Normal 4 14 2 3 2" xfId="16971"/>
    <cellStyle name="Normal 4 14 2 3 2 2" xfId="16972"/>
    <cellStyle name="Normal 4 14 2 3 3" xfId="16973"/>
    <cellStyle name="Normal 4 14 2 4" xfId="16974"/>
    <cellStyle name="Normal 4 14 3" xfId="16975"/>
    <cellStyle name="Normal 4 14 3 2" xfId="16976"/>
    <cellStyle name="Normal 4 14 3 2 2" xfId="16977"/>
    <cellStyle name="Normal 4 14 3 3" xfId="16978"/>
    <cellStyle name="Normal 4 14 4" xfId="16979"/>
    <cellStyle name="Normal 4 14 4 2" xfId="16980"/>
    <cellStyle name="Normal 4 14 4 2 2" xfId="16981"/>
    <cellStyle name="Normal 4 14 4 3" xfId="16982"/>
    <cellStyle name="Normal 4 14 5" xfId="16983"/>
    <cellStyle name="Normal 4 15" xfId="16984"/>
    <cellStyle name="Normal 4 15 2" xfId="16985"/>
    <cellStyle name="Normal 4 15 2 2" xfId="16986"/>
    <cellStyle name="Normal 4 15 2 2 2" xfId="16987"/>
    <cellStyle name="Normal 4 15 2 2 2 2" xfId="16988"/>
    <cellStyle name="Normal 4 15 2 2 3" xfId="16989"/>
    <cellStyle name="Normal 4 15 2 3" xfId="16990"/>
    <cellStyle name="Normal 4 15 2 3 2" xfId="16991"/>
    <cellStyle name="Normal 4 15 2 3 2 2" xfId="16992"/>
    <cellStyle name="Normal 4 15 2 3 3" xfId="16993"/>
    <cellStyle name="Normal 4 15 2 4" xfId="16994"/>
    <cellStyle name="Normal 4 15 3" xfId="16995"/>
    <cellStyle name="Normal 4 15 3 2" xfId="16996"/>
    <cellStyle name="Normal 4 15 3 2 2" xfId="16997"/>
    <cellStyle name="Normal 4 15 3 3" xfId="16998"/>
    <cellStyle name="Normal 4 15 4" xfId="16999"/>
    <cellStyle name="Normal 4 15 4 2" xfId="17000"/>
    <cellStyle name="Normal 4 15 4 2 2" xfId="17001"/>
    <cellStyle name="Normal 4 15 4 3" xfId="17002"/>
    <cellStyle name="Normal 4 15 5" xfId="17003"/>
    <cellStyle name="Normal 4 16" xfId="17004"/>
    <cellStyle name="Normal 4 16 2" xfId="17005"/>
    <cellStyle name="Normal 4 16 2 2" xfId="17006"/>
    <cellStyle name="Normal 4 16 2 2 2" xfId="17007"/>
    <cellStyle name="Normal 4 16 2 2 2 2" xfId="17008"/>
    <cellStyle name="Normal 4 16 2 2 3" xfId="17009"/>
    <cellStyle name="Normal 4 16 2 3" xfId="17010"/>
    <cellStyle name="Normal 4 16 2 3 2" xfId="17011"/>
    <cellStyle name="Normal 4 16 2 3 2 2" xfId="17012"/>
    <cellStyle name="Normal 4 16 2 3 3" xfId="17013"/>
    <cellStyle name="Normal 4 16 2 4" xfId="17014"/>
    <cellStyle name="Normal 4 16 3" xfId="17015"/>
    <cellStyle name="Normal 4 16 3 2" xfId="17016"/>
    <cellStyle name="Normal 4 16 3 2 2" xfId="17017"/>
    <cellStyle name="Normal 4 16 3 3" xfId="17018"/>
    <cellStyle name="Normal 4 16 4" xfId="17019"/>
    <cellStyle name="Normal 4 16 4 2" xfId="17020"/>
    <cellStyle name="Normal 4 16 4 2 2" xfId="17021"/>
    <cellStyle name="Normal 4 16 4 3" xfId="17022"/>
    <cellStyle name="Normal 4 16 5" xfId="17023"/>
    <cellStyle name="Normal 4 17" xfId="17024"/>
    <cellStyle name="Normal 4 17 2" xfId="17025"/>
    <cellStyle name="Normal 4 17 2 2" xfId="17026"/>
    <cellStyle name="Normal 4 17 2 2 2" xfId="17027"/>
    <cellStyle name="Normal 4 17 2 2 2 2" xfId="17028"/>
    <cellStyle name="Normal 4 17 2 2 3" xfId="17029"/>
    <cellStyle name="Normal 4 17 2 3" xfId="17030"/>
    <cellStyle name="Normal 4 17 2 3 2" xfId="17031"/>
    <cellStyle name="Normal 4 17 2 3 2 2" xfId="17032"/>
    <cellStyle name="Normal 4 17 2 3 3" xfId="17033"/>
    <cellStyle name="Normal 4 17 2 4" xfId="17034"/>
    <cellStyle name="Normal 4 17 3" xfId="17035"/>
    <cellStyle name="Normal 4 17 3 2" xfId="17036"/>
    <cellStyle name="Normal 4 17 3 2 2" xfId="17037"/>
    <cellStyle name="Normal 4 17 3 3" xfId="17038"/>
    <cellStyle name="Normal 4 17 4" xfId="17039"/>
    <cellStyle name="Normal 4 17 4 2" xfId="17040"/>
    <cellStyle name="Normal 4 17 4 2 2" xfId="17041"/>
    <cellStyle name="Normal 4 17 4 3" xfId="17042"/>
    <cellStyle name="Normal 4 17 5" xfId="17043"/>
    <cellStyle name="Normal 4 18" xfId="17044"/>
    <cellStyle name="Normal 4 18 2" xfId="17045"/>
    <cellStyle name="Normal 4 18 2 2" xfId="17046"/>
    <cellStyle name="Normal 4 18 2 2 2" xfId="17047"/>
    <cellStyle name="Normal 4 18 2 2 2 2" xfId="17048"/>
    <cellStyle name="Normal 4 18 2 2 3" xfId="17049"/>
    <cellStyle name="Normal 4 18 2 3" xfId="17050"/>
    <cellStyle name="Normal 4 18 2 3 2" xfId="17051"/>
    <cellStyle name="Normal 4 18 2 3 2 2" xfId="17052"/>
    <cellStyle name="Normal 4 18 2 3 3" xfId="17053"/>
    <cellStyle name="Normal 4 18 2 4" xfId="17054"/>
    <cellStyle name="Normal 4 18 3" xfId="17055"/>
    <cellStyle name="Normal 4 18 3 2" xfId="17056"/>
    <cellStyle name="Normal 4 18 3 2 2" xfId="17057"/>
    <cellStyle name="Normal 4 18 3 3" xfId="17058"/>
    <cellStyle name="Normal 4 18 4" xfId="17059"/>
    <cellStyle name="Normal 4 18 4 2" xfId="17060"/>
    <cellStyle name="Normal 4 18 4 2 2" xfId="17061"/>
    <cellStyle name="Normal 4 18 4 3" xfId="17062"/>
    <cellStyle name="Normal 4 18 5" xfId="17063"/>
    <cellStyle name="Normal 4 19" xfId="17064"/>
    <cellStyle name="Normal 4 19 2" xfId="17065"/>
    <cellStyle name="Normal 4 19 2 2" xfId="17066"/>
    <cellStyle name="Normal 4 19 2 2 2" xfId="17067"/>
    <cellStyle name="Normal 4 19 2 2 2 2" xfId="17068"/>
    <cellStyle name="Normal 4 19 2 2 3" xfId="17069"/>
    <cellStyle name="Normal 4 19 2 3" xfId="17070"/>
    <cellStyle name="Normal 4 19 2 3 2" xfId="17071"/>
    <cellStyle name="Normal 4 19 2 3 2 2" xfId="17072"/>
    <cellStyle name="Normal 4 19 2 3 3" xfId="17073"/>
    <cellStyle name="Normal 4 19 2 4" xfId="17074"/>
    <cellStyle name="Normal 4 19 3" xfId="17075"/>
    <cellStyle name="Normal 4 19 3 2" xfId="17076"/>
    <cellStyle name="Normal 4 19 3 2 2" xfId="17077"/>
    <cellStyle name="Normal 4 19 3 3" xfId="17078"/>
    <cellStyle name="Normal 4 19 4" xfId="17079"/>
    <cellStyle name="Normal 4 19 4 2" xfId="17080"/>
    <cellStyle name="Normal 4 19 4 2 2" xfId="17081"/>
    <cellStyle name="Normal 4 19 4 3" xfId="17082"/>
    <cellStyle name="Normal 4 19 5" xfId="17083"/>
    <cellStyle name="Normal 4 2" xfId="17084"/>
    <cellStyle name="Normal 4 2 10" xfId="17085"/>
    <cellStyle name="Normal 4 2 10 2" xfId="17086"/>
    <cellStyle name="Normal 4 2 10 2 2" xfId="17087"/>
    <cellStyle name="Normal 4 2 10 2 2 2" xfId="17088"/>
    <cellStyle name="Normal 4 2 10 2 2 2 2" xfId="17089"/>
    <cellStyle name="Normal 4 2 10 2 2 3" xfId="17090"/>
    <cellStyle name="Normal 4 2 10 2 3" xfId="17091"/>
    <cellStyle name="Normal 4 2 10 2 3 2" xfId="17092"/>
    <cellStyle name="Normal 4 2 10 2 3 2 2" xfId="17093"/>
    <cellStyle name="Normal 4 2 10 2 3 3" xfId="17094"/>
    <cellStyle name="Normal 4 2 10 2 4" xfId="17095"/>
    <cellStyle name="Normal 4 2 10 3" xfId="17096"/>
    <cellStyle name="Normal 4 2 10 3 2" xfId="17097"/>
    <cellStyle name="Normal 4 2 10 3 2 2" xfId="17098"/>
    <cellStyle name="Normal 4 2 10 3 3" xfId="17099"/>
    <cellStyle name="Normal 4 2 10 4" xfId="17100"/>
    <cellStyle name="Normal 4 2 10 4 2" xfId="17101"/>
    <cellStyle name="Normal 4 2 10 4 2 2" xfId="17102"/>
    <cellStyle name="Normal 4 2 10 4 3" xfId="17103"/>
    <cellStyle name="Normal 4 2 10 5" xfId="17104"/>
    <cellStyle name="Normal 4 2 11" xfId="17105"/>
    <cellStyle name="Normal 4 2 11 2" xfId="17106"/>
    <cellStyle name="Normal 4 2 11 2 2" xfId="17107"/>
    <cellStyle name="Normal 4 2 11 2 2 2" xfId="17108"/>
    <cellStyle name="Normal 4 2 11 2 2 2 2" xfId="17109"/>
    <cellStyle name="Normal 4 2 11 2 2 3" xfId="17110"/>
    <cellStyle name="Normal 4 2 11 2 3" xfId="17111"/>
    <cellStyle name="Normal 4 2 11 2 3 2" xfId="17112"/>
    <cellStyle name="Normal 4 2 11 2 3 2 2" xfId="17113"/>
    <cellStyle name="Normal 4 2 11 2 3 3" xfId="17114"/>
    <cellStyle name="Normal 4 2 11 2 4" xfId="17115"/>
    <cellStyle name="Normal 4 2 11 3" xfId="17116"/>
    <cellStyle name="Normal 4 2 11 3 2" xfId="17117"/>
    <cellStyle name="Normal 4 2 11 3 2 2" xfId="17118"/>
    <cellStyle name="Normal 4 2 11 3 3" xfId="17119"/>
    <cellStyle name="Normal 4 2 11 4" xfId="17120"/>
    <cellStyle name="Normal 4 2 11 4 2" xfId="17121"/>
    <cellStyle name="Normal 4 2 11 4 2 2" xfId="17122"/>
    <cellStyle name="Normal 4 2 11 4 3" xfId="17123"/>
    <cellStyle name="Normal 4 2 11 5" xfId="17124"/>
    <cellStyle name="Normal 4 2 12" xfId="17125"/>
    <cellStyle name="Normal 4 2 12 2" xfId="17126"/>
    <cellStyle name="Normal 4 2 12 2 2" xfId="17127"/>
    <cellStyle name="Normal 4 2 12 2 2 2" xfId="17128"/>
    <cellStyle name="Normal 4 2 12 2 2 2 2" xfId="17129"/>
    <cellStyle name="Normal 4 2 12 2 2 3" xfId="17130"/>
    <cellStyle name="Normal 4 2 12 2 3" xfId="17131"/>
    <cellStyle name="Normal 4 2 12 2 3 2" xfId="17132"/>
    <cellStyle name="Normal 4 2 12 2 3 2 2" xfId="17133"/>
    <cellStyle name="Normal 4 2 12 2 3 3" xfId="17134"/>
    <cellStyle name="Normal 4 2 12 2 4" xfId="17135"/>
    <cellStyle name="Normal 4 2 12 3" xfId="17136"/>
    <cellStyle name="Normal 4 2 12 3 2" xfId="17137"/>
    <cellStyle name="Normal 4 2 12 3 2 2" xfId="17138"/>
    <cellStyle name="Normal 4 2 12 3 3" xfId="17139"/>
    <cellStyle name="Normal 4 2 12 4" xfId="17140"/>
    <cellStyle name="Normal 4 2 12 4 2" xfId="17141"/>
    <cellStyle name="Normal 4 2 12 4 2 2" xfId="17142"/>
    <cellStyle name="Normal 4 2 12 4 3" xfId="17143"/>
    <cellStyle name="Normal 4 2 12 5" xfId="17144"/>
    <cellStyle name="Normal 4 2 13" xfId="17145"/>
    <cellStyle name="Normal 4 2 13 2" xfId="17146"/>
    <cellStyle name="Normal 4 2 13 2 2" xfId="17147"/>
    <cellStyle name="Normal 4 2 13 2 2 2" xfId="17148"/>
    <cellStyle name="Normal 4 2 13 2 2 2 2" xfId="17149"/>
    <cellStyle name="Normal 4 2 13 2 2 3" xfId="17150"/>
    <cellStyle name="Normal 4 2 13 2 3" xfId="17151"/>
    <cellStyle name="Normal 4 2 13 2 3 2" xfId="17152"/>
    <cellStyle name="Normal 4 2 13 2 3 2 2" xfId="17153"/>
    <cellStyle name="Normal 4 2 13 2 3 3" xfId="17154"/>
    <cellStyle name="Normal 4 2 13 2 4" xfId="17155"/>
    <cellStyle name="Normal 4 2 13 3" xfId="17156"/>
    <cellStyle name="Normal 4 2 13 3 2" xfId="17157"/>
    <cellStyle name="Normal 4 2 13 3 2 2" xfId="17158"/>
    <cellStyle name="Normal 4 2 13 3 3" xfId="17159"/>
    <cellStyle name="Normal 4 2 13 4" xfId="17160"/>
    <cellStyle name="Normal 4 2 13 4 2" xfId="17161"/>
    <cellStyle name="Normal 4 2 13 4 2 2" xfId="17162"/>
    <cellStyle name="Normal 4 2 13 4 3" xfId="17163"/>
    <cellStyle name="Normal 4 2 13 5" xfId="17164"/>
    <cellStyle name="Normal 4 2 14" xfId="17165"/>
    <cellStyle name="Normal 4 2 14 2" xfId="17166"/>
    <cellStyle name="Normal 4 2 14 2 2" xfId="17167"/>
    <cellStyle name="Normal 4 2 14 2 2 2" xfId="17168"/>
    <cellStyle name="Normal 4 2 14 2 2 2 2" xfId="17169"/>
    <cellStyle name="Normal 4 2 14 2 2 3" xfId="17170"/>
    <cellStyle name="Normal 4 2 14 2 3" xfId="17171"/>
    <cellStyle name="Normal 4 2 14 2 3 2" xfId="17172"/>
    <cellStyle name="Normal 4 2 14 2 3 2 2" xfId="17173"/>
    <cellStyle name="Normal 4 2 14 2 3 3" xfId="17174"/>
    <cellStyle name="Normal 4 2 14 2 4" xfId="17175"/>
    <cellStyle name="Normal 4 2 14 3" xfId="17176"/>
    <cellStyle name="Normal 4 2 14 3 2" xfId="17177"/>
    <cellStyle name="Normal 4 2 14 3 2 2" xfId="17178"/>
    <cellStyle name="Normal 4 2 14 3 3" xfId="17179"/>
    <cellStyle name="Normal 4 2 14 4" xfId="17180"/>
    <cellStyle name="Normal 4 2 14 4 2" xfId="17181"/>
    <cellStyle name="Normal 4 2 14 4 2 2" xfId="17182"/>
    <cellStyle name="Normal 4 2 14 4 3" xfId="17183"/>
    <cellStyle name="Normal 4 2 14 5" xfId="17184"/>
    <cellStyle name="Normal 4 2 15" xfId="17185"/>
    <cellStyle name="Normal 4 2 15 2" xfId="17186"/>
    <cellStyle name="Normal 4 2 15 2 2" xfId="17187"/>
    <cellStyle name="Normal 4 2 15 2 2 2" xfId="17188"/>
    <cellStyle name="Normal 4 2 15 2 2 2 2" xfId="17189"/>
    <cellStyle name="Normal 4 2 15 2 2 3" xfId="17190"/>
    <cellStyle name="Normal 4 2 15 2 3" xfId="17191"/>
    <cellStyle name="Normal 4 2 15 2 3 2" xfId="17192"/>
    <cellStyle name="Normal 4 2 15 2 3 2 2" xfId="17193"/>
    <cellStyle name="Normal 4 2 15 2 3 3" xfId="17194"/>
    <cellStyle name="Normal 4 2 15 2 4" xfId="17195"/>
    <cellStyle name="Normal 4 2 15 3" xfId="17196"/>
    <cellStyle name="Normal 4 2 15 3 2" xfId="17197"/>
    <cellStyle name="Normal 4 2 15 3 2 2" xfId="17198"/>
    <cellStyle name="Normal 4 2 15 3 3" xfId="17199"/>
    <cellStyle name="Normal 4 2 15 4" xfId="17200"/>
    <cellStyle name="Normal 4 2 15 4 2" xfId="17201"/>
    <cellStyle name="Normal 4 2 15 4 2 2" xfId="17202"/>
    <cellStyle name="Normal 4 2 15 4 3" xfId="17203"/>
    <cellStyle name="Normal 4 2 15 5" xfId="17204"/>
    <cellStyle name="Normal 4 2 16" xfId="17205"/>
    <cellStyle name="Normal 4 2 16 2" xfId="17206"/>
    <cellStyle name="Normal 4 2 16 2 2" xfId="17207"/>
    <cellStyle name="Normal 4 2 16 2 2 2" xfId="17208"/>
    <cellStyle name="Normal 4 2 16 2 2 2 2" xfId="17209"/>
    <cellStyle name="Normal 4 2 16 2 2 3" xfId="17210"/>
    <cellStyle name="Normal 4 2 16 2 3" xfId="17211"/>
    <cellStyle name="Normal 4 2 16 2 3 2" xfId="17212"/>
    <cellStyle name="Normal 4 2 16 2 3 2 2" xfId="17213"/>
    <cellStyle name="Normal 4 2 16 2 3 3" xfId="17214"/>
    <cellStyle name="Normal 4 2 16 2 4" xfId="17215"/>
    <cellStyle name="Normal 4 2 16 3" xfId="17216"/>
    <cellStyle name="Normal 4 2 16 3 2" xfId="17217"/>
    <cellStyle name="Normal 4 2 16 3 2 2" xfId="17218"/>
    <cellStyle name="Normal 4 2 16 3 3" xfId="17219"/>
    <cellStyle name="Normal 4 2 16 4" xfId="17220"/>
    <cellStyle name="Normal 4 2 16 4 2" xfId="17221"/>
    <cellStyle name="Normal 4 2 16 4 2 2" xfId="17222"/>
    <cellStyle name="Normal 4 2 16 4 3" xfId="17223"/>
    <cellStyle name="Normal 4 2 16 5" xfId="17224"/>
    <cellStyle name="Normal 4 2 17" xfId="17225"/>
    <cellStyle name="Normal 4 2 17 2" xfId="17226"/>
    <cellStyle name="Normal 4 2 17 2 2" xfId="17227"/>
    <cellStyle name="Normal 4 2 17 2 2 2" xfId="17228"/>
    <cellStyle name="Normal 4 2 17 2 2 2 2" xfId="17229"/>
    <cellStyle name="Normal 4 2 17 2 2 3" xfId="17230"/>
    <cellStyle name="Normal 4 2 17 2 3" xfId="17231"/>
    <cellStyle name="Normal 4 2 17 2 3 2" xfId="17232"/>
    <cellStyle name="Normal 4 2 17 2 3 2 2" xfId="17233"/>
    <cellStyle name="Normal 4 2 17 2 3 3" xfId="17234"/>
    <cellStyle name="Normal 4 2 17 2 4" xfId="17235"/>
    <cellStyle name="Normal 4 2 17 3" xfId="17236"/>
    <cellStyle name="Normal 4 2 17 3 2" xfId="17237"/>
    <cellStyle name="Normal 4 2 17 3 2 2" xfId="17238"/>
    <cellStyle name="Normal 4 2 17 3 3" xfId="17239"/>
    <cellStyle name="Normal 4 2 17 4" xfId="17240"/>
    <cellStyle name="Normal 4 2 17 4 2" xfId="17241"/>
    <cellStyle name="Normal 4 2 17 4 2 2" xfId="17242"/>
    <cellStyle name="Normal 4 2 17 4 3" xfId="17243"/>
    <cellStyle name="Normal 4 2 17 5" xfId="17244"/>
    <cellStyle name="Normal 4 2 18" xfId="17245"/>
    <cellStyle name="Normal 4 2 18 2" xfId="17246"/>
    <cellStyle name="Normal 4 2 18 2 2" xfId="17247"/>
    <cellStyle name="Normal 4 2 18 2 2 2" xfId="17248"/>
    <cellStyle name="Normal 4 2 18 2 2 2 2" xfId="17249"/>
    <cellStyle name="Normal 4 2 18 2 2 3" xfId="17250"/>
    <cellStyle name="Normal 4 2 18 2 3" xfId="17251"/>
    <cellStyle name="Normal 4 2 18 2 3 2" xfId="17252"/>
    <cellStyle name="Normal 4 2 18 2 3 2 2" xfId="17253"/>
    <cellStyle name="Normal 4 2 18 2 3 3" xfId="17254"/>
    <cellStyle name="Normal 4 2 18 2 4" xfId="17255"/>
    <cellStyle name="Normal 4 2 18 3" xfId="17256"/>
    <cellStyle name="Normal 4 2 18 3 2" xfId="17257"/>
    <cellStyle name="Normal 4 2 18 3 2 2" xfId="17258"/>
    <cellStyle name="Normal 4 2 18 3 3" xfId="17259"/>
    <cellStyle name="Normal 4 2 18 4" xfId="17260"/>
    <cellStyle name="Normal 4 2 18 4 2" xfId="17261"/>
    <cellStyle name="Normal 4 2 18 4 2 2" xfId="17262"/>
    <cellStyle name="Normal 4 2 18 4 3" xfId="17263"/>
    <cellStyle name="Normal 4 2 18 5" xfId="17264"/>
    <cellStyle name="Normal 4 2 19" xfId="17265"/>
    <cellStyle name="Normal 4 2 19 2" xfId="17266"/>
    <cellStyle name="Normal 4 2 19 2 2" xfId="17267"/>
    <cellStyle name="Normal 4 2 19 2 2 2" xfId="17268"/>
    <cellStyle name="Normal 4 2 19 2 2 2 2" xfId="17269"/>
    <cellStyle name="Normal 4 2 19 2 2 3" xfId="17270"/>
    <cellStyle name="Normal 4 2 19 2 3" xfId="17271"/>
    <cellStyle name="Normal 4 2 19 2 3 2" xfId="17272"/>
    <cellStyle name="Normal 4 2 19 2 3 2 2" xfId="17273"/>
    <cellStyle name="Normal 4 2 19 2 3 3" xfId="17274"/>
    <cellStyle name="Normal 4 2 19 2 4" xfId="17275"/>
    <cellStyle name="Normal 4 2 19 3" xfId="17276"/>
    <cellStyle name="Normal 4 2 19 3 2" xfId="17277"/>
    <cellStyle name="Normal 4 2 19 3 2 2" xfId="17278"/>
    <cellStyle name="Normal 4 2 19 3 3" xfId="17279"/>
    <cellStyle name="Normal 4 2 19 4" xfId="17280"/>
    <cellStyle name="Normal 4 2 19 4 2" xfId="17281"/>
    <cellStyle name="Normal 4 2 19 4 2 2" xfId="17282"/>
    <cellStyle name="Normal 4 2 19 4 3" xfId="17283"/>
    <cellStyle name="Normal 4 2 19 5" xfId="17284"/>
    <cellStyle name="Normal 4 2 2" xfId="17285"/>
    <cellStyle name="Normal 4 2 2 2" xfId="17286"/>
    <cellStyle name="Normal 4 2 2 2 2" xfId="17287"/>
    <cellStyle name="Normal 4 2 2 2 2 2" xfId="17288"/>
    <cellStyle name="Normal 4 2 2 2 2 2 2" xfId="17289"/>
    <cellStyle name="Normal 4 2 2 2 2 3" xfId="17290"/>
    <cellStyle name="Normal 4 2 2 2 3" xfId="17291"/>
    <cellStyle name="Normal 4 2 2 2 3 2" xfId="17292"/>
    <cellStyle name="Normal 4 2 2 2 3 2 2" xfId="17293"/>
    <cellStyle name="Normal 4 2 2 2 3 3" xfId="17294"/>
    <cellStyle name="Normal 4 2 2 2 4" xfId="17295"/>
    <cellStyle name="Normal 4 2 2 3" xfId="17296"/>
    <cellStyle name="Normal 4 2 2 3 2" xfId="17297"/>
    <cellStyle name="Normal 4 2 2 3 2 2" xfId="17298"/>
    <cellStyle name="Normal 4 2 2 3 3" xfId="17299"/>
    <cellStyle name="Normal 4 2 2 4" xfId="17300"/>
    <cellStyle name="Normal 4 2 2 4 2" xfId="17301"/>
    <cellStyle name="Normal 4 2 2 4 2 2" xfId="17302"/>
    <cellStyle name="Normal 4 2 2 4 3" xfId="17303"/>
    <cellStyle name="Normal 4 2 2 5" xfId="17304"/>
    <cellStyle name="Normal 4 2 20" xfId="17305"/>
    <cellStyle name="Normal 4 2 20 2" xfId="17306"/>
    <cellStyle name="Normal 4 2 20 2 2" xfId="17307"/>
    <cellStyle name="Normal 4 2 20 2 2 2" xfId="17308"/>
    <cellStyle name="Normal 4 2 20 2 2 2 2" xfId="17309"/>
    <cellStyle name="Normal 4 2 20 2 2 3" xfId="17310"/>
    <cellStyle name="Normal 4 2 20 2 3" xfId="17311"/>
    <cellStyle name="Normal 4 2 20 2 3 2" xfId="17312"/>
    <cellStyle name="Normal 4 2 20 2 3 2 2" xfId="17313"/>
    <cellStyle name="Normal 4 2 20 2 3 3" xfId="17314"/>
    <cellStyle name="Normal 4 2 20 2 4" xfId="17315"/>
    <cellStyle name="Normal 4 2 20 3" xfId="17316"/>
    <cellStyle name="Normal 4 2 20 3 2" xfId="17317"/>
    <cellStyle name="Normal 4 2 20 3 2 2" xfId="17318"/>
    <cellStyle name="Normal 4 2 20 3 3" xfId="17319"/>
    <cellStyle name="Normal 4 2 20 4" xfId="17320"/>
    <cellStyle name="Normal 4 2 20 4 2" xfId="17321"/>
    <cellStyle name="Normal 4 2 20 4 2 2" xfId="17322"/>
    <cellStyle name="Normal 4 2 20 4 3" xfId="17323"/>
    <cellStyle name="Normal 4 2 20 5" xfId="17324"/>
    <cellStyle name="Normal 4 2 21" xfId="17325"/>
    <cellStyle name="Normal 4 2 21 2" xfId="17326"/>
    <cellStyle name="Normal 4 2 21 2 2" xfId="17327"/>
    <cellStyle name="Normal 4 2 21 2 2 2" xfId="17328"/>
    <cellStyle name="Normal 4 2 21 2 2 2 2" xfId="17329"/>
    <cellStyle name="Normal 4 2 21 2 2 3" xfId="17330"/>
    <cellStyle name="Normal 4 2 21 2 3" xfId="17331"/>
    <cellStyle name="Normal 4 2 21 2 3 2" xfId="17332"/>
    <cellStyle name="Normal 4 2 21 2 3 2 2" xfId="17333"/>
    <cellStyle name="Normal 4 2 21 2 3 3" xfId="17334"/>
    <cellStyle name="Normal 4 2 21 2 4" xfId="17335"/>
    <cellStyle name="Normal 4 2 21 3" xfId="17336"/>
    <cellStyle name="Normal 4 2 21 3 2" xfId="17337"/>
    <cellStyle name="Normal 4 2 21 3 2 2" xfId="17338"/>
    <cellStyle name="Normal 4 2 21 3 3" xfId="17339"/>
    <cellStyle name="Normal 4 2 21 4" xfId="17340"/>
    <cellStyle name="Normal 4 2 21 4 2" xfId="17341"/>
    <cellStyle name="Normal 4 2 21 4 2 2" xfId="17342"/>
    <cellStyle name="Normal 4 2 21 4 3" xfId="17343"/>
    <cellStyle name="Normal 4 2 21 5" xfId="17344"/>
    <cellStyle name="Normal 4 2 22" xfId="17345"/>
    <cellStyle name="Normal 4 2 22 2" xfId="17346"/>
    <cellStyle name="Normal 4 2 22 2 2" xfId="17347"/>
    <cellStyle name="Normal 4 2 22 2 2 2" xfId="17348"/>
    <cellStyle name="Normal 4 2 22 2 2 2 2" xfId="17349"/>
    <cellStyle name="Normal 4 2 22 2 2 3" xfId="17350"/>
    <cellStyle name="Normal 4 2 22 2 3" xfId="17351"/>
    <cellStyle name="Normal 4 2 22 2 3 2" xfId="17352"/>
    <cellStyle name="Normal 4 2 22 2 3 2 2" xfId="17353"/>
    <cellStyle name="Normal 4 2 22 2 3 3" xfId="17354"/>
    <cellStyle name="Normal 4 2 22 2 4" xfId="17355"/>
    <cellStyle name="Normal 4 2 22 3" xfId="17356"/>
    <cellStyle name="Normal 4 2 22 3 2" xfId="17357"/>
    <cellStyle name="Normal 4 2 22 3 2 2" xfId="17358"/>
    <cellStyle name="Normal 4 2 22 3 3" xfId="17359"/>
    <cellStyle name="Normal 4 2 22 4" xfId="17360"/>
    <cellStyle name="Normal 4 2 22 4 2" xfId="17361"/>
    <cellStyle name="Normal 4 2 22 4 2 2" xfId="17362"/>
    <cellStyle name="Normal 4 2 22 4 3" xfId="17363"/>
    <cellStyle name="Normal 4 2 22 5" xfId="17364"/>
    <cellStyle name="Normal 4 2 23" xfId="17365"/>
    <cellStyle name="Normal 4 2 23 2" xfId="17366"/>
    <cellStyle name="Normal 4 2 23 2 2" xfId="17367"/>
    <cellStyle name="Normal 4 2 23 2 2 2" xfId="17368"/>
    <cellStyle name="Normal 4 2 23 2 2 2 2" xfId="17369"/>
    <cellStyle name="Normal 4 2 23 2 2 3" xfId="17370"/>
    <cellStyle name="Normal 4 2 23 2 3" xfId="17371"/>
    <cellStyle name="Normal 4 2 23 2 3 2" xfId="17372"/>
    <cellStyle name="Normal 4 2 23 2 3 2 2" xfId="17373"/>
    <cellStyle name="Normal 4 2 23 2 3 3" xfId="17374"/>
    <cellStyle name="Normal 4 2 23 2 4" xfId="17375"/>
    <cellStyle name="Normal 4 2 23 3" xfId="17376"/>
    <cellStyle name="Normal 4 2 23 3 2" xfId="17377"/>
    <cellStyle name="Normal 4 2 23 3 2 2" xfId="17378"/>
    <cellStyle name="Normal 4 2 23 3 3" xfId="17379"/>
    <cellStyle name="Normal 4 2 23 4" xfId="17380"/>
    <cellStyle name="Normal 4 2 23 4 2" xfId="17381"/>
    <cellStyle name="Normal 4 2 23 4 2 2" xfId="17382"/>
    <cellStyle name="Normal 4 2 23 4 3" xfId="17383"/>
    <cellStyle name="Normal 4 2 23 5" xfId="17384"/>
    <cellStyle name="Normal 4 2 24" xfId="17385"/>
    <cellStyle name="Normal 4 2 24 2" xfId="17386"/>
    <cellStyle name="Normal 4 2 24 2 2" xfId="17387"/>
    <cellStyle name="Normal 4 2 24 2 2 2" xfId="17388"/>
    <cellStyle name="Normal 4 2 24 2 2 2 2" xfId="17389"/>
    <cellStyle name="Normal 4 2 24 2 2 3" xfId="17390"/>
    <cellStyle name="Normal 4 2 24 2 3" xfId="17391"/>
    <cellStyle name="Normal 4 2 24 2 3 2" xfId="17392"/>
    <cellStyle name="Normal 4 2 24 2 3 2 2" xfId="17393"/>
    <cellStyle name="Normal 4 2 24 2 3 3" xfId="17394"/>
    <cellStyle name="Normal 4 2 24 2 4" xfId="17395"/>
    <cellStyle name="Normal 4 2 24 3" xfId="17396"/>
    <cellStyle name="Normal 4 2 24 3 2" xfId="17397"/>
    <cellStyle name="Normal 4 2 24 3 2 2" xfId="17398"/>
    <cellStyle name="Normal 4 2 24 3 3" xfId="17399"/>
    <cellStyle name="Normal 4 2 24 4" xfId="17400"/>
    <cellStyle name="Normal 4 2 24 4 2" xfId="17401"/>
    <cellStyle name="Normal 4 2 24 4 2 2" xfId="17402"/>
    <cellStyle name="Normal 4 2 24 4 3" xfId="17403"/>
    <cellStyle name="Normal 4 2 24 5" xfId="17404"/>
    <cellStyle name="Normal 4 2 25" xfId="17405"/>
    <cellStyle name="Normal 4 2 25 2" xfId="17406"/>
    <cellStyle name="Normal 4 2 25 2 2" xfId="17407"/>
    <cellStyle name="Normal 4 2 25 2 2 2" xfId="17408"/>
    <cellStyle name="Normal 4 2 25 2 2 2 2" xfId="17409"/>
    <cellStyle name="Normal 4 2 25 2 2 3" xfId="17410"/>
    <cellStyle name="Normal 4 2 25 2 3" xfId="17411"/>
    <cellStyle name="Normal 4 2 25 2 3 2" xfId="17412"/>
    <cellStyle name="Normal 4 2 25 2 3 2 2" xfId="17413"/>
    <cellStyle name="Normal 4 2 25 2 3 3" xfId="17414"/>
    <cellStyle name="Normal 4 2 25 2 4" xfId="17415"/>
    <cellStyle name="Normal 4 2 25 3" xfId="17416"/>
    <cellStyle name="Normal 4 2 25 3 2" xfId="17417"/>
    <cellStyle name="Normal 4 2 25 3 2 2" xfId="17418"/>
    <cellStyle name="Normal 4 2 25 3 3" xfId="17419"/>
    <cellStyle name="Normal 4 2 25 4" xfId="17420"/>
    <cellStyle name="Normal 4 2 25 4 2" xfId="17421"/>
    <cellStyle name="Normal 4 2 25 4 2 2" xfId="17422"/>
    <cellStyle name="Normal 4 2 25 4 3" xfId="17423"/>
    <cellStyle name="Normal 4 2 25 5" xfId="17424"/>
    <cellStyle name="Normal 4 2 26" xfId="17425"/>
    <cellStyle name="Normal 4 2 26 2" xfId="17426"/>
    <cellStyle name="Normal 4 2 26 2 2" xfId="17427"/>
    <cellStyle name="Normal 4 2 26 2 2 2" xfId="17428"/>
    <cellStyle name="Normal 4 2 26 2 2 2 2" xfId="17429"/>
    <cellStyle name="Normal 4 2 26 2 2 3" xfId="17430"/>
    <cellStyle name="Normal 4 2 26 2 3" xfId="17431"/>
    <cellStyle name="Normal 4 2 26 2 3 2" xfId="17432"/>
    <cellStyle name="Normal 4 2 26 2 3 2 2" xfId="17433"/>
    <cellStyle name="Normal 4 2 26 2 3 3" xfId="17434"/>
    <cellStyle name="Normal 4 2 26 2 4" xfId="17435"/>
    <cellStyle name="Normal 4 2 26 3" xfId="17436"/>
    <cellStyle name="Normal 4 2 26 3 2" xfId="17437"/>
    <cellStyle name="Normal 4 2 26 3 2 2" xfId="17438"/>
    <cellStyle name="Normal 4 2 26 3 3" xfId="17439"/>
    <cellStyle name="Normal 4 2 26 4" xfId="17440"/>
    <cellStyle name="Normal 4 2 26 4 2" xfId="17441"/>
    <cellStyle name="Normal 4 2 26 4 2 2" xfId="17442"/>
    <cellStyle name="Normal 4 2 26 4 3" xfId="17443"/>
    <cellStyle name="Normal 4 2 26 5" xfId="17444"/>
    <cellStyle name="Normal 4 2 27" xfId="17445"/>
    <cellStyle name="Normal 4 2 27 2" xfId="17446"/>
    <cellStyle name="Normal 4 2 27 2 2" xfId="17447"/>
    <cellStyle name="Normal 4 2 27 2 2 2" xfId="17448"/>
    <cellStyle name="Normal 4 2 27 2 2 2 2" xfId="17449"/>
    <cellStyle name="Normal 4 2 27 2 2 3" xfId="17450"/>
    <cellStyle name="Normal 4 2 27 2 3" xfId="17451"/>
    <cellStyle name="Normal 4 2 27 2 3 2" xfId="17452"/>
    <cellStyle name="Normal 4 2 27 2 3 2 2" xfId="17453"/>
    <cellStyle name="Normal 4 2 27 2 3 3" xfId="17454"/>
    <cellStyle name="Normal 4 2 27 2 4" xfId="17455"/>
    <cellStyle name="Normal 4 2 27 3" xfId="17456"/>
    <cellStyle name="Normal 4 2 27 3 2" xfId="17457"/>
    <cellStyle name="Normal 4 2 27 3 2 2" xfId="17458"/>
    <cellStyle name="Normal 4 2 27 3 3" xfId="17459"/>
    <cellStyle name="Normal 4 2 27 4" xfId="17460"/>
    <cellStyle name="Normal 4 2 27 4 2" xfId="17461"/>
    <cellStyle name="Normal 4 2 27 4 2 2" xfId="17462"/>
    <cellStyle name="Normal 4 2 27 4 3" xfId="17463"/>
    <cellStyle name="Normal 4 2 27 5" xfId="17464"/>
    <cellStyle name="Normal 4 2 28" xfId="17465"/>
    <cellStyle name="Normal 4 2 28 2" xfId="17466"/>
    <cellStyle name="Normal 4 2 28 2 2" xfId="17467"/>
    <cellStyle name="Normal 4 2 28 2 2 2" xfId="17468"/>
    <cellStyle name="Normal 4 2 28 2 2 2 2" xfId="17469"/>
    <cellStyle name="Normal 4 2 28 2 2 3" xfId="17470"/>
    <cellStyle name="Normal 4 2 28 2 3" xfId="17471"/>
    <cellStyle name="Normal 4 2 28 2 3 2" xfId="17472"/>
    <cellStyle name="Normal 4 2 28 2 3 2 2" xfId="17473"/>
    <cellStyle name="Normal 4 2 28 2 3 3" xfId="17474"/>
    <cellStyle name="Normal 4 2 28 2 4" xfId="17475"/>
    <cellStyle name="Normal 4 2 28 3" xfId="17476"/>
    <cellStyle name="Normal 4 2 28 3 2" xfId="17477"/>
    <cellStyle name="Normal 4 2 28 3 2 2" xfId="17478"/>
    <cellStyle name="Normal 4 2 28 3 3" xfId="17479"/>
    <cellStyle name="Normal 4 2 28 4" xfId="17480"/>
    <cellStyle name="Normal 4 2 28 4 2" xfId="17481"/>
    <cellStyle name="Normal 4 2 28 4 2 2" xfId="17482"/>
    <cellStyle name="Normal 4 2 28 4 3" xfId="17483"/>
    <cellStyle name="Normal 4 2 28 5" xfId="17484"/>
    <cellStyle name="Normal 4 2 29" xfId="17485"/>
    <cellStyle name="Normal 4 2 29 2" xfId="17486"/>
    <cellStyle name="Normal 4 2 29 2 2" xfId="17487"/>
    <cellStyle name="Normal 4 2 29 2 2 2" xfId="17488"/>
    <cellStyle name="Normal 4 2 29 2 2 2 2" xfId="17489"/>
    <cellStyle name="Normal 4 2 29 2 2 3" xfId="17490"/>
    <cellStyle name="Normal 4 2 29 2 3" xfId="17491"/>
    <cellStyle name="Normal 4 2 29 2 3 2" xfId="17492"/>
    <cellStyle name="Normal 4 2 29 2 3 2 2" xfId="17493"/>
    <cellStyle name="Normal 4 2 29 2 3 3" xfId="17494"/>
    <cellStyle name="Normal 4 2 29 2 4" xfId="17495"/>
    <cellStyle name="Normal 4 2 29 3" xfId="17496"/>
    <cellStyle name="Normal 4 2 29 3 2" xfId="17497"/>
    <cellStyle name="Normal 4 2 29 3 2 2" xfId="17498"/>
    <cellStyle name="Normal 4 2 29 3 3" xfId="17499"/>
    <cellStyle name="Normal 4 2 29 4" xfId="17500"/>
    <cellStyle name="Normal 4 2 29 4 2" xfId="17501"/>
    <cellStyle name="Normal 4 2 29 4 2 2" xfId="17502"/>
    <cellStyle name="Normal 4 2 29 4 3" xfId="17503"/>
    <cellStyle name="Normal 4 2 29 5" xfId="17504"/>
    <cellStyle name="Normal 4 2 3" xfId="17505"/>
    <cellStyle name="Normal 4 2 3 2" xfId="17506"/>
    <cellStyle name="Normal 4 2 3 2 2" xfId="17507"/>
    <cellStyle name="Normal 4 2 3 2 2 2" xfId="17508"/>
    <cellStyle name="Normal 4 2 3 2 2 2 2" xfId="17509"/>
    <cellStyle name="Normal 4 2 3 2 2 3" xfId="17510"/>
    <cellStyle name="Normal 4 2 3 2 3" xfId="17511"/>
    <cellStyle name="Normal 4 2 3 2 3 2" xfId="17512"/>
    <cellStyle name="Normal 4 2 3 2 3 2 2" xfId="17513"/>
    <cellStyle name="Normal 4 2 3 2 3 3" xfId="17514"/>
    <cellStyle name="Normal 4 2 3 2 4" xfId="17515"/>
    <cellStyle name="Normal 4 2 3 3" xfId="17516"/>
    <cellStyle name="Normal 4 2 3 3 2" xfId="17517"/>
    <cellStyle name="Normal 4 2 3 3 2 2" xfId="17518"/>
    <cellStyle name="Normal 4 2 3 3 3" xfId="17519"/>
    <cellStyle name="Normal 4 2 3 4" xfId="17520"/>
    <cellStyle name="Normal 4 2 3 4 2" xfId="17521"/>
    <cellStyle name="Normal 4 2 3 4 2 2" xfId="17522"/>
    <cellStyle name="Normal 4 2 3 4 3" xfId="17523"/>
    <cellStyle name="Normal 4 2 3 5" xfId="17524"/>
    <cellStyle name="Normal 4 2 30" xfId="17525"/>
    <cellStyle name="Normal 4 2 30 2" xfId="17526"/>
    <cellStyle name="Normal 4 2 30 2 2" xfId="17527"/>
    <cellStyle name="Normal 4 2 30 2 2 2" xfId="17528"/>
    <cellStyle name="Normal 4 2 30 2 2 2 2" xfId="17529"/>
    <cellStyle name="Normal 4 2 30 2 2 3" xfId="17530"/>
    <cellStyle name="Normal 4 2 30 2 3" xfId="17531"/>
    <cellStyle name="Normal 4 2 30 2 3 2" xfId="17532"/>
    <cellStyle name="Normal 4 2 30 2 3 2 2" xfId="17533"/>
    <cellStyle name="Normal 4 2 30 2 3 3" xfId="17534"/>
    <cellStyle name="Normal 4 2 30 2 4" xfId="17535"/>
    <cellStyle name="Normal 4 2 30 3" xfId="17536"/>
    <cellStyle name="Normal 4 2 30 3 2" xfId="17537"/>
    <cellStyle name="Normal 4 2 30 3 2 2" xfId="17538"/>
    <cellStyle name="Normal 4 2 30 3 3" xfId="17539"/>
    <cellStyle name="Normal 4 2 30 4" xfId="17540"/>
    <cellStyle name="Normal 4 2 30 4 2" xfId="17541"/>
    <cellStyle name="Normal 4 2 30 4 2 2" xfId="17542"/>
    <cellStyle name="Normal 4 2 30 4 3" xfId="17543"/>
    <cellStyle name="Normal 4 2 30 5" xfId="17544"/>
    <cellStyle name="Normal 4 2 31" xfId="17545"/>
    <cellStyle name="Normal 4 2 31 2" xfId="17546"/>
    <cellStyle name="Normal 4 2 31 2 2" xfId="17547"/>
    <cellStyle name="Normal 4 2 31 2 2 2" xfId="17548"/>
    <cellStyle name="Normal 4 2 31 2 2 2 2" xfId="17549"/>
    <cellStyle name="Normal 4 2 31 2 2 3" xfId="17550"/>
    <cellStyle name="Normal 4 2 31 2 3" xfId="17551"/>
    <cellStyle name="Normal 4 2 31 2 3 2" xfId="17552"/>
    <cellStyle name="Normal 4 2 31 2 3 2 2" xfId="17553"/>
    <cellStyle name="Normal 4 2 31 2 3 3" xfId="17554"/>
    <cellStyle name="Normal 4 2 31 2 4" xfId="17555"/>
    <cellStyle name="Normal 4 2 31 3" xfId="17556"/>
    <cellStyle name="Normal 4 2 31 3 2" xfId="17557"/>
    <cellStyle name="Normal 4 2 31 3 2 2" xfId="17558"/>
    <cellStyle name="Normal 4 2 31 3 3" xfId="17559"/>
    <cellStyle name="Normal 4 2 31 4" xfId="17560"/>
    <cellStyle name="Normal 4 2 31 4 2" xfId="17561"/>
    <cellStyle name="Normal 4 2 31 4 2 2" xfId="17562"/>
    <cellStyle name="Normal 4 2 31 4 3" xfId="17563"/>
    <cellStyle name="Normal 4 2 31 5" xfId="17564"/>
    <cellStyle name="Normal 4 2 32" xfId="17565"/>
    <cellStyle name="Normal 4 2 32 2" xfId="17566"/>
    <cellStyle name="Normal 4 2 32 2 2" xfId="17567"/>
    <cellStyle name="Normal 4 2 32 2 2 2" xfId="17568"/>
    <cellStyle name="Normal 4 2 32 2 2 2 2" xfId="17569"/>
    <cellStyle name="Normal 4 2 32 2 2 3" xfId="17570"/>
    <cellStyle name="Normal 4 2 32 2 3" xfId="17571"/>
    <cellStyle name="Normal 4 2 32 2 3 2" xfId="17572"/>
    <cellStyle name="Normal 4 2 32 2 3 2 2" xfId="17573"/>
    <cellStyle name="Normal 4 2 32 2 3 3" xfId="17574"/>
    <cellStyle name="Normal 4 2 32 2 4" xfId="17575"/>
    <cellStyle name="Normal 4 2 32 3" xfId="17576"/>
    <cellStyle name="Normal 4 2 32 3 2" xfId="17577"/>
    <cellStyle name="Normal 4 2 32 3 2 2" xfId="17578"/>
    <cellStyle name="Normal 4 2 32 3 3" xfId="17579"/>
    <cellStyle name="Normal 4 2 32 4" xfId="17580"/>
    <cellStyle name="Normal 4 2 32 4 2" xfId="17581"/>
    <cellStyle name="Normal 4 2 32 4 2 2" xfId="17582"/>
    <cellStyle name="Normal 4 2 32 4 3" xfId="17583"/>
    <cellStyle name="Normal 4 2 32 5" xfId="17584"/>
    <cellStyle name="Normal 4 2 33" xfId="17585"/>
    <cellStyle name="Normal 4 2 33 2" xfId="17586"/>
    <cellStyle name="Normal 4 2 33 2 2" xfId="17587"/>
    <cellStyle name="Normal 4 2 33 2 2 2" xfId="17588"/>
    <cellStyle name="Normal 4 2 33 2 2 2 2" xfId="17589"/>
    <cellStyle name="Normal 4 2 33 2 2 3" xfId="17590"/>
    <cellStyle name="Normal 4 2 33 2 3" xfId="17591"/>
    <cellStyle name="Normal 4 2 33 2 3 2" xfId="17592"/>
    <cellStyle name="Normal 4 2 33 2 3 2 2" xfId="17593"/>
    <cellStyle name="Normal 4 2 33 2 3 3" xfId="17594"/>
    <cellStyle name="Normal 4 2 33 2 4" xfId="17595"/>
    <cellStyle name="Normal 4 2 33 3" xfId="17596"/>
    <cellStyle name="Normal 4 2 33 3 2" xfId="17597"/>
    <cellStyle name="Normal 4 2 33 3 2 2" xfId="17598"/>
    <cellStyle name="Normal 4 2 33 3 3" xfId="17599"/>
    <cellStyle name="Normal 4 2 33 4" xfId="17600"/>
    <cellStyle name="Normal 4 2 33 4 2" xfId="17601"/>
    <cellStyle name="Normal 4 2 33 4 2 2" xfId="17602"/>
    <cellStyle name="Normal 4 2 33 4 3" xfId="17603"/>
    <cellStyle name="Normal 4 2 33 5" xfId="17604"/>
    <cellStyle name="Normal 4 2 34" xfId="17605"/>
    <cellStyle name="Normal 4 2 34 2" xfId="17606"/>
    <cellStyle name="Normal 4 2 34 2 2" xfId="17607"/>
    <cellStyle name="Normal 4 2 34 2 2 2" xfId="17608"/>
    <cellStyle name="Normal 4 2 34 2 2 2 2" xfId="17609"/>
    <cellStyle name="Normal 4 2 34 2 2 3" xfId="17610"/>
    <cellStyle name="Normal 4 2 34 2 3" xfId="17611"/>
    <cellStyle name="Normal 4 2 34 2 3 2" xfId="17612"/>
    <cellStyle name="Normal 4 2 34 2 3 2 2" xfId="17613"/>
    <cellStyle name="Normal 4 2 34 2 3 3" xfId="17614"/>
    <cellStyle name="Normal 4 2 34 2 4" xfId="17615"/>
    <cellStyle name="Normal 4 2 34 3" xfId="17616"/>
    <cellStyle name="Normal 4 2 34 3 2" xfId="17617"/>
    <cellStyle name="Normal 4 2 34 3 2 2" xfId="17618"/>
    <cellStyle name="Normal 4 2 34 3 3" xfId="17619"/>
    <cellStyle name="Normal 4 2 34 4" xfId="17620"/>
    <cellStyle name="Normal 4 2 34 4 2" xfId="17621"/>
    <cellStyle name="Normal 4 2 34 4 2 2" xfId="17622"/>
    <cellStyle name="Normal 4 2 34 4 3" xfId="17623"/>
    <cellStyle name="Normal 4 2 34 5" xfId="17624"/>
    <cellStyle name="Normal 4 2 35" xfId="17625"/>
    <cellStyle name="Normal 4 2 35 2" xfId="17626"/>
    <cellStyle name="Normal 4 2 35 2 2" xfId="17627"/>
    <cellStyle name="Normal 4 2 35 2 2 2" xfId="17628"/>
    <cellStyle name="Normal 4 2 35 2 2 2 2" xfId="17629"/>
    <cellStyle name="Normal 4 2 35 2 2 3" xfId="17630"/>
    <cellStyle name="Normal 4 2 35 2 3" xfId="17631"/>
    <cellStyle name="Normal 4 2 35 2 3 2" xfId="17632"/>
    <cellStyle name="Normal 4 2 35 2 3 2 2" xfId="17633"/>
    <cellStyle name="Normal 4 2 35 2 3 3" xfId="17634"/>
    <cellStyle name="Normal 4 2 35 2 4" xfId="17635"/>
    <cellStyle name="Normal 4 2 35 3" xfId="17636"/>
    <cellStyle name="Normal 4 2 35 3 2" xfId="17637"/>
    <cellStyle name="Normal 4 2 35 3 2 2" xfId="17638"/>
    <cellStyle name="Normal 4 2 35 3 3" xfId="17639"/>
    <cellStyle name="Normal 4 2 35 4" xfId="17640"/>
    <cellStyle name="Normal 4 2 35 4 2" xfId="17641"/>
    <cellStyle name="Normal 4 2 35 4 2 2" xfId="17642"/>
    <cellStyle name="Normal 4 2 35 4 3" xfId="17643"/>
    <cellStyle name="Normal 4 2 35 5" xfId="17644"/>
    <cellStyle name="Normal 4 2 36" xfId="17645"/>
    <cellStyle name="Normal 4 2 36 2" xfId="17646"/>
    <cellStyle name="Normal 4 2 36 2 2" xfId="17647"/>
    <cellStyle name="Normal 4 2 36 2 2 2" xfId="17648"/>
    <cellStyle name="Normal 4 2 36 2 2 2 2" xfId="17649"/>
    <cellStyle name="Normal 4 2 36 2 2 3" xfId="17650"/>
    <cellStyle name="Normal 4 2 36 2 3" xfId="17651"/>
    <cellStyle name="Normal 4 2 36 2 3 2" xfId="17652"/>
    <cellStyle name="Normal 4 2 36 2 3 2 2" xfId="17653"/>
    <cellStyle name="Normal 4 2 36 2 3 3" xfId="17654"/>
    <cellStyle name="Normal 4 2 36 2 4" xfId="17655"/>
    <cellStyle name="Normal 4 2 36 3" xfId="17656"/>
    <cellStyle name="Normal 4 2 36 3 2" xfId="17657"/>
    <cellStyle name="Normal 4 2 36 3 2 2" xfId="17658"/>
    <cellStyle name="Normal 4 2 36 3 3" xfId="17659"/>
    <cellStyle name="Normal 4 2 36 4" xfId="17660"/>
    <cellStyle name="Normal 4 2 36 4 2" xfId="17661"/>
    <cellStyle name="Normal 4 2 36 4 2 2" xfId="17662"/>
    <cellStyle name="Normal 4 2 36 4 3" xfId="17663"/>
    <cellStyle name="Normal 4 2 36 5" xfId="17664"/>
    <cellStyle name="Normal 4 2 37" xfId="17665"/>
    <cellStyle name="Normal 4 2 37 2" xfId="17666"/>
    <cellStyle name="Normal 4 2 37 2 2" xfId="17667"/>
    <cellStyle name="Normal 4 2 37 2 2 2" xfId="17668"/>
    <cellStyle name="Normal 4 2 37 2 2 2 2" xfId="17669"/>
    <cellStyle name="Normal 4 2 37 2 2 3" xfId="17670"/>
    <cellStyle name="Normal 4 2 37 2 3" xfId="17671"/>
    <cellStyle name="Normal 4 2 37 2 3 2" xfId="17672"/>
    <cellStyle name="Normal 4 2 37 2 3 2 2" xfId="17673"/>
    <cellStyle name="Normal 4 2 37 2 3 3" xfId="17674"/>
    <cellStyle name="Normal 4 2 37 2 4" xfId="17675"/>
    <cellStyle name="Normal 4 2 37 3" xfId="17676"/>
    <cellStyle name="Normal 4 2 37 3 2" xfId="17677"/>
    <cellStyle name="Normal 4 2 37 3 2 2" xfId="17678"/>
    <cellStyle name="Normal 4 2 37 3 3" xfId="17679"/>
    <cellStyle name="Normal 4 2 37 4" xfId="17680"/>
    <cellStyle name="Normal 4 2 37 4 2" xfId="17681"/>
    <cellStyle name="Normal 4 2 37 4 2 2" xfId="17682"/>
    <cellStyle name="Normal 4 2 37 4 3" xfId="17683"/>
    <cellStyle name="Normal 4 2 37 5" xfId="17684"/>
    <cellStyle name="Normal 4 2 38" xfId="17685"/>
    <cellStyle name="Normal 4 2 38 2" xfId="17686"/>
    <cellStyle name="Normal 4 2 38 2 2" xfId="17687"/>
    <cellStyle name="Normal 4 2 38 2 2 2" xfId="17688"/>
    <cellStyle name="Normal 4 2 38 2 2 2 2" xfId="17689"/>
    <cellStyle name="Normal 4 2 38 2 2 3" xfId="17690"/>
    <cellStyle name="Normal 4 2 38 2 3" xfId="17691"/>
    <cellStyle name="Normal 4 2 38 2 3 2" xfId="17692"/>
    <cellStyle name="Normal 4 2 38 2 3 2 2" xfId="17693"/>
    <cellStyle name="Normal 4 2 38 2 3 3" xfId="17694"/>
    <cellStyle name="Normal 4 2 38 2 4" xfId="17695"/>
    <cellStyle name="Normal 4 2 38 3" xfId="17696"/>
    <cellStyle name="Normal 4 2 38 3 2" xfId="17697"/>
    <cellStyle name="Normal 4 2 38 3 2 2" xfId="17698"/>
    <cellStyle name="Normal 4 2 38 3 3" xfId="17699"/>
    <cellStyle name="Normal 4 2 38 4" xfId="17700"/>
    <cellStyle name="Normal 4 2 38 4 2" xfId="17701"/>
    <cellStyle name="Normal 4 2 38 4 2 2" xfId="17702"/>
    <cellStyle name="Normal 4 2 38 4 3" xfId="17703"/>
    <cellStyle name="Normal 4 2 38 5" xfId="17704"/>
    <cellStyle name="Normal 4 2 39" xfId="17705"/>
    <cellStyle name="Normal 4 2 39 2" xfId="17706"/>
    <cellStyle name="Normal 4 2 39 2 2" xfId="17707"/>
    <cellStyle name="Normal 4 2 39 2 2 2" xfId="17708"/>
    <cellStyle name="Normal 4 2 39 2 2 2 2" xfId="17709"/>
    <cellStyle name="Normal 4 2 39 2 2 3" xfId="17710"/>
    <cellStyle name="Normal 4 2 39 2 3" xfId="17711"/>
    <cellStyle name="Normal 4 2 39 2 3 2" xfId="17712"/>
    <cellStyle name="Normal 4 2 39 2 3 2 2" xfId="17713"/>
    <cellStyle name="Normal 4 2 39 2 3 3" xfId="17714"/>
    <cellStyle name="Normal 4 2 39 2 4" xfId="17715"/>
    <cellStyle name="Normal 4 2 39 3" xfId="17716"/>
    <cellStyle name="Normal 4 2 39 3 2" xfId="17717"/>
    <cellStyle name="Normal 4 2 39 3 2 2" xfId="17718"/>
    <cellStyle name="Normal 4 2 39 3 3" xfId="17719"/>
    <cellStyle name="Normal 4 2 39 4" xfId="17720"/>
    <cellStyle name="Normal 4 2 39 4 2" xfId="17721"/>
    <cellStyle name="Normal 4 2 39 4 2 2" xfId="17722"/>
    <cellStyle name="Normal 4 2 39 4 3" xfId="17723"/>
    <cellStyle name="Normal 4 2 39 5" xfId="17724"/>
    <cellStyle name="Normal 4 2 4" xfId="17725"/>
    <cellStyle name="Normal 4 2 4 2" xfId="17726"/>
    <cellStyle name="Normal 4 2 4 2 2" xfId="17727"/>
    <cellStyle name="Normal 4 2 4 2 2 2" xfId="17728"/>
    <cellStyle name="Normal 4 2 4 2 2 2 2" xfId="17729"/>
    <cellStyle name="Normal 4 2 4 2 2 3" xfId="17730"/>
    <cellStyle name="Normal 4 2 4 2 3" xfId="17731"/>
    <cellStyle name="Normal 4 2 4 2 3 2" xfId="17732"/>
    <cellStyle name="Normal 4 2 4 2 3 2 2" xfId="17733"/>
    <cellStyle name="Normal 4 2 4 2 3 3" xfId="17734"/>
    <cellStyle name="Normal 4 2 4 2 4" xfId="17735"/>
    <cellStyle name="Normal 4 2 4 3" xfId="17736"/>
    <cellStyle name="Normal 4 2 4 3 2" xfId="17737"/>
    <cellStyle name="Normal 4 2 4 3 2 2" xfId="17738"/>
    <cellStyle name="Normal 4 2 4 3 3" xfId="17739"/>
    <cellStyle name="Normal 4 2 4 4" xfId="17740"/>
    <cellStyle name="Normal 4 2 4 4 2" xfId="17741"/>
    <cellStyle name="Normal 4 2 4 4 2 2" xfId="17742"/>
    <cellStyle name="Normal 4 2 4 4 3" xfId="17743"/>
    <cellStyle name="Normal 4 2 4 5" xfId="17744"/>
    <cellStyle name="Normal 4 2 40" xfId="17745"/>
    <cellStyle name="Normal 4 2 40 2" xfId="17746"/>
    <cellStyle name="Normal 4 2 40 2 2" xfId="17747"/>
    <cellStyle name="Normal 4 2 40 2 2 2" xfId="17748"/>
    <cellStyle name="Normal 4 2 40 2 2 2 2" xfId="17749"/>
    <cellStyle name="Normal 4 2 40 2 2 3" xfId="17750"/>
    <cellStyle name="Normal 4 2 40 2 3" xfId="17751"/>
    <cellStyle name="Normal 4 2 40 2 3 2" xfId="17752"/>
    <cellStyle name="Normal 4 2 40 2 3 2 2" xfId="17753"/>
    <cellStyle name="Normal 4 2 40 2 3 3" xfId="17754"/>
    <cellStyle name="Normal 4 2 40 2 4" xfId="17755"/>
    <cellStyle name="Normal 4 2 40 3" xfId="17756"/>
    <cellStyle name="Normal 4 2 40 3 2" xfId="17757"/>
    <cellStyle name="Normal 4 2 40 3 2 2" xfId="17758"/>
    <cellStyle name="Normal 4 2 40 3 3" xfId="17759"/>
    <cellStyle name="Normal 4 2 40 4" xfId="17760"/>
    <cellStyle name="Normal 4 2 40 4 2" xfId="17761"/>
    <cellStyle name="Normal 4 2 40 4 2 2" xfId="17762"/>
    <cellStyle name="Normal 4 2 40 4 3" xfId="17763"/>
    <cellStyle name="Normal 4 2 40 5" xfId="17764"/>
    <cellStyle name="Normal 4 2 41" xfId="17765"/>
    <cellStyle name="Normal 4 2 41 2" xfId="17766"/>
    <cellStyle name="Normal 4 2 41 2 2" xfId="17767"/>
    <cellStyle name="Normal 4 2 41 2 2 2" xfId="17768"/>
    <cellStyle name="Normal 4 2 41 2 2 2 2" xfId="17769"/>
    <cellStyle name="Normal 4 2 41 2 2 3" xfId="17770"/>
    <cellStyle name="Normal 4 2 41 2 3" xfId="17771"/>
    <cellStyle name="Normal 4 2 41 2 3 2" xfId="17772"/>
    <cellStyle name="Normal 4 2 41 2 3 2 2" xfId="17773"/>
    <cellStyle name="Normal 4 2 41 2 3 3" xfId="17774"/>
    <cellStyle name="Normal 4 2 41 2 4" xfId="17775"/>
    <cellStyle name="Normal 4 2 41 3" xfId="17776"/>
    <cellStyle name="Normal 4 2 41 3 2" xfId="17777"/>
    <cellStyle name="Normal 4 2 41 3 2 2" xfId="17778"/>
    <cellStyle name="Normal 4 2 41 3 3" xfId="17779"/>
    <cellStyle name="Normal 4 2 41 4" xfId="17780"/>
    <cellStyle name="Normal 4 2 41 4 2" xfId="17781"/>
    <cellStyle name="Normal 4 2 41 4 2 2" xfId="17782"/>
    <cellStyle name="Normal 4 2 41 4 3" xfId="17783"/>
    <cellStyle name="Normal 4 2 41 5" xfId="17784"/>
    <cellStyle name="Normal 4 2 42" xfId="17785"/>
    <cellStyle name="Normal 4 2 42 2" xfId="17786"/>
    <cellStyle name="Normal 4 2 42 2 2" xfId="17787"/>
    <cellStyle name="Normal 4 2 42 2 2 2" xfId="17788"/>
    <cellStyle name="Normal 4 2 42 2 2 2 2" xfId="17789"/>
    <cellStyle name="Normal 4 2 42 2 2 3" xfId="17790"/>
    <cellStyle name="Normal 4 2 42 2 3" xfId="17791"/>
    <cellStyle name="Normal 4 2 42 2 3 2" xfId="17792"/>
    <cellStyle name="Normal 4 2 42 2 3 2 2" xfId="17793"/>
    <cellStyle name="Normal 4 2 42 2 3 3" xfId="17794"/>
    <cellStyle name="Normal 4 2 42 2 4" xfId="17795"/>
    <cellStyle name="Normal 4 2 42 3" xfId="17796"/>
    <cellStyle name="Normal 4 2 42 3 2" xfId="17797"/>
    <cellStyle name="Normal 4 2 42 3 2 2" xfId="17798"/>
    <cellStyle name="Normal 4 2 42 3 3" xfId="17799"/>
    <cellStyle name="Normal 4 2 42 4" xfId="17800"/>
    <cellStyle name="Normal 4 2 42 4 2" xfId="17801"/>
    <cellStyle name="Normal 4 2 42 4 2 2" xfId="17802"/>
    <cellStyle name="Normal 4 2 42 4 3" xfId="17803"/>
    <cellStyle name="Normal 4 2 42 5" xfId="17804"/>
    <cellStyle name="Normal 4 2 43" xfId="17805"/>
    <cellStyle name="Normal 4 2 43 2" xfId="17806"/>
    <cellStyle name="Normal 4 2 43 2 2" xfId="17807"/>
    <cellStyle name="Normal 4 2 43 2 2 2" xfId="17808"/>
    <cellStyle name="Normal 4 2 43 2 2 2 2" xfId="17809"/>
    <cellStyle name="Normal 4 2 43 2 2 3" xfId="17810"/>
    <cellStyle name="Normal 4 2 43 2 3" xfId="17811"/>
    <cellStyle name="Normal 4 2 43 2 3 2" xfId="17812"/>
    <cellStyle name="Normal 4 2 43 2 3 2 2" xfId="17813"/>
    <cellStyle name="Normal 4 2 43 2 3 3" xfId="17814"/>
    <cellStyle name="Normal 4 2 43 2 4" xfId="17815"/>
    <cellStyle name="Normal 4 2 43 3" xfId="17816"/>
    <cellStyle name="Normal 4 2 43 3 2" xfId="17817"/>
    <cellStyle name="Normal 4 2 43 3 2 2" xfId="17818"/>
    <cellStyle name="Normal 4 2 43 3 3" xfId="17819"/>
    <cellStyle name="Normal 4 2 43 4" xfId="17820"/>
    <cellStyle name="Normal 4 2 43 4 2" xfId="17821"/>
    <cellStyle name="Normal 4 2 43 4 2 2" xfId="17822"/>
    <cellStyle name="Normal 4 2 43 4 3" xfId="17823"/>
    <cellStyle name="Normal 4 2 43 5" xfId="17824"/>
    <cellStyle name="Normal 4 2 44" xfId="17825"/>
    <cellStyle name="Normal 4 2 44 2" xfId="17826"/>
    <cellStyle name="Normal 4 2 44 2 2" xfId="17827"/>
    <cellStyle name="Normal 4 2 44 2 2 2" xfId="17828"/>
    <cellStyle name="Normal 4 2 44 2 2 2 2" xfId="17829"/>
    <cellStyle name="Normal 4 2 44 2 2 3" xfId="17830"/>
    <cellStyle name="Normal 4 2 44 2 3" xfId="17831"/>
    <cellStyle name="Normal 4 2 44 2 3 2" xfId="17832"/>
    <cellStyle name="Normal 4 2 44 2 3 2 2" xfId="17833"/>
    <cellStyle name="Normal 4 2 44 2 3 3" xfId="17834"/>
    <cellStyle name="Normal 4 2 44 2 4" xfId="17835"/>
    <cellStyle name="Normal 4 2 44 3" xfId="17836"/>
    <cellStyle name="Normal 4 2 44 3 2" xfId="17837"/>
    <cellStyle name="Normal 4 2 44 3 2 2" xfId="17838"/>
    <cellStyle name="Normal 4 2 44 3 3" xfId="17839"/>
    <cellStyle name="Normal 4 2 44 4" xfId="17840"/>
    <cellStyle name="Normal 4 2 44 4 2" xfId="17841"/>
    <cellStyle name="Normal 4 2 44 4 2 2" xfId="17842"/>
    <cellStyle name="Normal 4 2 44 4 3" xfId="17843"/>
    <cellStyle name="Normal 4 2 44 5" xfId="17844"/>
    <cellStyle name="Normal 4 2 45" xfId="17845"/>
    <cellStyle name="Normal 4 2 45 2" xfId="17846"/>
    <cellStyle name="Normal 4 2 45 2 2" xfId="17847"/>
    <cellStyle name="Normal 4 2 45 2 2 2" xfId="17848"/>
    <cellStyle name="Normal 4 2 45 2 2 2 2" xfId="17849"/>
    <cellStyle name="Normal 4 2 45 2 2 3" xfId="17850"/>
    <cellStyle name="Normal 4 2 45 2 3" xfId="17851"/>
    <cellStyle name="Normal 4 2 45 2 3 2" xfId="17852"/>
    <cellStyle name="Normal 4 2 45 2 3 2 2" xfId="17853"/>
    <cellStyle name="Normal 4 2 45 2 3 3" xfId="17854"/>
    <cellStyle name="Normal 4 2 45 2 4" xfId="17855"/>
    <cellStyle name="Normal 4 2 45 3" xfId="17856"/>
    <cellStyle name="Normal 4 2 45 3 2" xfId="17857"/>
    <cellStyle name="Normal 4 2 45 3 2 2" xfId="17858"/>
    <cellStyle name="Normal 4 2 45 3 3" xfId="17859"/>
    <cellStyle name="Normal 4 2 45 4" xfId="17860"/>
    <cellStyle name="Normal 4 2 45 4 2" xfId="17861"/>
    <cellStyle name="Normal 4 2 45 4 2 2" xfId="17862"/>
    <cellStyle name="Normal 4 2 45 4 3" xfId="17863"/>
    <cellStyle name="Normal 4 2 45 5" xfId="17864"/>
    <cellStyle name="Normal 4 2 46" xfId="17865"/>
    <cellStyle name="Normal 4 2 46 2" xfId="17866"/>
    <cellStyle name="Normal 4 2 46 2 2" xfId="17867"/>
    <cellStyle name="Normal 4 2 46 2 2 2" xfId="17868"/>
    <cellStyle name="Normal 4 2 46 2 2 2 2" xfId="17869"/>
    <cellStyle name="Normal 4 2 46 2 2 3" xfId="17870"/>
    <cellStyle name="Normal 4 2 46 2 3" xfId="17871"/>
    <cellStyle name="Normal 4 2 46 2 3 2" xfId="17872"/>
    <cellStyle name="Normal 4 2 46 2 3 2 2" xfId="17873"/>
    <cellStyle name="Normal 4 2 46 2 3 3" xfId="17874"/>
    <cellStyle name="Normal 4 2 46 2 4" xfId="17875"/>
    <cellStyle name="Normal 4 2 46 3" xfId="17876"/>
    <cellStyle name="Normal 4 2 46 3 2" xfId="17877"/>
    <cellStyle name="Normal 4 2 46 3 2 2" xfId="17878"/>
    <cellStyle name="Normal 4 2 46 3 3" xfId="17879"/>
    <cellStyle name="Normal 4 2 46 4" xfId="17880"/>
    <cellStyle name="Normal 4 2 46 4 2" xfId="17881"/>
    <cellStyle name="Normal 4 2 46 4 2 2" xfId="17882"/>
    <cellStyle name="Normal 4 2 46 4 3" xfId="17883"/>
    <cellStyle name="Normal 4 2 46 5" xfId="17884"/>
    <cellStyle name="Normal 4 2 47" xfId="17885"/>
    <cellStyle name="Normal 4 2 47 2" xfId="17886"/>
    <cellStyle name="Normal 4 2 47 2 2" xfId="17887"/>
    <cellStyle name="Normal 4 2 47 2 2 2" xfId="17888"/>
    <cellStyle name="Normal 4 2 47 2 3" xfId="17889"/>
    <cellStyle name="Normal 4 2 47 3" xfId="17890"/>
    <cellStyle name="Normal 4 2 47 3 2" xfId="17891"/>
    <cellStyle name="Normal 4 2 47 3 2 2" xfId="17892"/>
    <cellStyle name="Normal 4 2 47 3 3" xfId="17893"/>
    <cellStyle name="Normal 4 2 47 4" xfId="17894"/>
    <cellStyle name="Normal 4 2 48" xfId="17895"/>
    <cellStyle name="Normal 4 2 48 2" xfId="17896"/>
    <cellStyle name="Normal 4 2 48 2 2" xfId="17897"/>
    <cellStyle name="Normal 4 2 48 3" xfId="17898"/>
    <cellStyle name="Normal 4 2 49" xfId="17899"/>
    <cellStyle name="Normal 4 2 49 2" xfId="17900"/>
    <cellStyle name="Normal 4 2 49 2 2" xfId="17901"/>
    <cellStyle name="Normal 4 2 49 3" xfId="17902"/>
    <cellStyle name="Normal 4 2 5" xfId="17903"/>
    <cellStyle name="Normal 4 2 5 2" xfId="17904"/>
    <cellStyle name="Normal 4 2 5 2 2" xfId="17905"/>
    <cellStyle name="Normal 4 2 5 2 2 2" xfId="17906"/>
    <cellStyle name="Normal 4 2 5 2 2 2 2" xfId="17907"/>
    <cellStyle name="Normal 4 2 5 2 2 3" xfId="17908"/>
    <cellStyle name="Normal 4 2 5 2 3" xfId="17909"/>
    <cellStyle name="Normal 4 2 5 2 3 2" xfId="17910"/>
    <cellStyle name="Normal 4 2 5 2 3 2 2" xfId="17911"/>
    <cellStyle name="Normal 4 2 5 2 3 3" xfId="17912"/>
    <cellStyle name="Normal 4 2 5 2 4" xfId="17913"/>
    <cellStyle name="Normal 4 2 5 3" xfId="17914"/>
    <cellStyle name="Normal 4 2 5 3 2" xfId="17915"/>
    <cellStyle name="Normal 4 2 5 3 2 2" xfId="17916"/>
    <cellStyle name="Normal 4 2 5 3 3" xfId="17917"/>
    <cellStyle name="Normal 4 2 5 4" xfId="17918"/>
    <cellStyle name="Normal 4 2 5 4 2" xfId="17919"/>
    <cellStyle name="Normal 4 2 5 4 2 2" xfId="17920"/>
    <cellStyle name="Normal 4 2 5 4 3" xfId="17921"/>
    <cellStyle name="Normal 4 2 5 5" xfId="17922"/>
    <cellStyle name="Normal 4 2 50" xfId="17923"/>
    <cellStyle name="Normal 4 2 51" xfId="17924"/>
    <cellStyle name="Normal 4 2 6" xfId="17925"/>
    <cellStyle name="Normal 4 2 6 2" xfId="17926"/>
    <cellStyle name="Normal 4 2 6 2 2" xfId="17927"/>
    <cellStyle name="Normal 4 2 6 2 2 2" xfId="17928"/>
    <cellStyle name="Normal 4 2 6 2 2 2 2" xfId="17929"/>
    <cellStyle name="Normal 4 2 6 2 2 3" xfId="17930"/>
    <cellStyle name="Normal 4 2 6 2 3" xfId="17931"/>
    <cellStyle name="Normal 4 2 6 2 3 2" xfId="17932"/>
    <cellStyle name="Normal 4 2 6 2 3 2 2" xfId="17933"/>
    <cellStyle name="Normal 4 2 6 2 3 3" xfId="17934"/>
    <cellStyle name="Normal 4 2 6 2 4" xfId="17935"/>
    <cellStyle name="Normal 4 2 6 3" xfId="17936"/>
    <cellStyle name="Normal 4 2 6 3 2" xfId="17937"/>
    <cellStyle name="Normal 4 2 6 3 2 2" xfId="17938"/>
    <cellStyle name="Normal 4 2 6 3 3" xfId="17939"/>
    <cellStyle name="Normal 4 2 6 4" xfId="17940"/>
    <cellStyle name="Normal 4 2 6 4 2" xfId="17941"/>
    <cellStyle name="Normal 4 2 6 4 2 2" xfId="17942"/>
    <cellStyle name="Normal 4 2 6 4 3" xfId="17943"/>
    <cellStyle name="Normal 4 2 6 5" xfId="17944"/>
    <cellStyle name="Normal 4 2 7" xfId="17945"/>
    <cellStyle name="Normal 4 2 7 2" xfId="17946"/>
    <cellStyle name="Normal 4 2 7 2 2" xfId="17947"/>
    <cellStyle name="Normal 4 2 7 2 2 2" xfId="17948"/>
    <cellStyle name="Normal 4 2 7 2 2 2 2" xfId="17949"/>
    <cellStyle name="Normal 4 2 7 2 2 3" xfId="17950"/>
    <cellStyle name="Normal 4 2 7 2 3" xfId="17951"/>
    <cellStyle name="Normal 4 2 7 2 3 2" xfId="17952"/>
    <cellStyle name="Normal 4 2 7 2 3 2 2" xfId="17953"/>
    <cellStyle name="Normal 4 2 7 2 3 3" xfId="17954"/>
    <cellStyle name="Normal 4 2 7 2 4" xfId="17955"/>
    <cellStyle name="Normal 4 2 7 3" xfId="17956"/>
    <cellStyle name="Normal 4 2 7 3 2" xfId="17957"/>
    <cellStyle name="Normal 4 2 7 3 2 2" xfId="17958"/>
    <cellStyle name="Normal 4 2 7 3 3" xfId="17959"/>
    <cellStyle name="Normal 4 2 7 4" xfId="17960"/>
    <cellStyle name="Normal 4 2 7 4 2" xfId="17961"/>
    <cellStyle name="Normal 4 2 7 4 2 2" xfId="17962"/>
    <cellStyle name="Normal 4 2 7 4 3" xfId="17963"/>
    <cellStyle name="Normal 4 2 7 5" xfId="17964"/>
    <cellStyle name="Normal 4 2 8" xfId="17965"/>
    <cellStyle name="Normal 4 2 8 2" xfId="17966"/>
    <cellStyle name="Normal 4 2 8 2 2" xfId="17967"/>
    <cellStyle name="Normal 4 2 8 2 2 2" xfId="17968"/>
    <cellStyle name="Normal 4 2 8 2 2 2 2" xfId="17969"/>
    <cellStyle name="Normal 4 2 8 2 2 3" xfId="17970"/>
    <cellStyle name="Normal 4 2 8 2 3" xfId="17971"/>
    <cellStyle name="Normal 4 2 8 2 3 2" xfId="17972"/>
    <cellStyle name="Normal 4 2 8 2 3 2 2" xfId="17973"/>
    <cellStyle name="Normal 4 2 8 2 3 3" xfId="17974"/>
    <cellStyle name="Normal 4 2 8 2 4" xfId="17975"/>
    <cellStyle name="Normal 4 2 8 3" xfId="17976"/>
    <cellStyle name="Normal 4 2 8 3 2" xfId="17977"/>
    <cellStyle name="Normal 4 2 8 3 2 2" xfId="17978"/>
    <cellStyle name="Normal 4 2 8 3 3" xfId="17979"/>
    <cellStyle name="Normal 4 2 8 4" xfId="17980"/>
    <cellStyle name="Normal 4 2 8 4 2" xfId="17981"/>
    <cellStyle name="Normal 4 2 8 4 2 2" xfId="17982"/>
    <cellStyle name="Normal 4 2 8 4 3" xfId="17983"/>
    <cellStyle name="Normal 4 2 8 5" xfId="17984"/>
    <cellStyle name="Normal 4 2 9" xfId="17985"/>
    <cellStyle name="Normal 4 2 9 2" xfId="17986"/>
    <cellStyle name="Normal 4 2 9 2 2" xfId="17987"/>
    <cellStyle name="Normal 4 2 9 2 2 2" xfId="17988"/>
    <cellStyle name="Normal 4 2 9 2 2 2 2" xfId="17989"/>
    <cellStyle name="Normal 4 2 9 2 2 3" xfId="17990"/>
    <cellStyle name="Normal 4 2 9 2 3" xfId="17991"/>
    <cellStyle name="Normal 4 2 9 2 3 2" xfId="17992"/>
    <cellStyle name="Normal 4 2 9 2 3 2 2" xfId="17993"/>
    <cellStyle name="Normal 4 2 9 2 3 3" xfId="17994"/>
    <cellStyle name="Normal 4 2 9 2 4" xfId="17995"/>
    <cellStyle name="Normal 4 2 9 3" xfId="17996"/>
    <cellStyle name="Normal 4 2 9 3 2" xfId="17997"/>
    <cellStyle name="Normal 4 2 9 3 2 2" xfId="17998"/>
    <cellStyle name="Normal 4 2 9 3 3" xfId="17999"/>
    <cellStyle name="Normal 4 2 9 4" xfId="18000"/>
    <cellStyle name="Normal 4 2 9 4 2" xfId="18001"/>
    <cellStyle name="Normal 4 2 9 4 2 2" xfId="18002"/>
    <cellStyle name="Normal 4 2 9 4 3" xfId="18003"/>
    <cellStyle name="Normal 4 2 9 5" xfId="18004"/>
    <cellStyle name="Normal 4 20" xfId="18005"/>
    <cellStyle name="Normal 4 20 2" xfId="18006"/>
    <cellStyle name="Normal 4 20 2 2" xfId="18007"/>
    <cellStyle name="Normal 4 20 2 2 2" xfId="18008"/>
    <cellStyle name="Normal 4 20 2 2 2 2" xfId="18009"/>
    <cellStyle name="Normal 4 20 2 2 3" xfId="18010"/>
    <cellStyle name="Normal 4 20 2 3" xfId="18011"/>
    <cellStyle name="Normal 4 20 2 3 2" xfId="18012"/>
    <cellStyle name="Normal 4 20 2 3 2 2" xfId="18013"/>
    <cellStyle name="Normal 4 20 2 3 3" xfId="18014"/>
    <cellStyle name="Normal 4 20 2 4" xfId="18015"/>
    <cellStyle name="Normal 4 20 3" xfId="18016"/>
    <cellStyle name="Normal 4 20 3 2" xfId="18017"/>
    <cellStyle name="Normal 4 20 3 2 2" xfId="18018"/>
    <cellStyle name="Normal 4 20 3 3" xfId="18019"/>
    <cellStyle name="Normal 4 20 4" xfId="18020"/>
    <cellStyle name="Normal 4 20 4 2" xfId="18021"/>
    <cellStyle name="Normal 4 20 4 2 2" xfId="18022"/>
    <cellStyle name="Normal 4 20 4 3" xfId="18023"/>
    <cellStyle name="Normal 4 20 5" xfId="18024"/>
    <cellStyle name="Normal 4 21" xfId="18025"/>
    <cellStyle name="Normal 4 21 2" xfId="18026"/>
    <cellStyle name="Normal 4 21 2 2" xfId="18027"/>
    <cellStyle name="Normal 4 21 2 2 2" xfId="18028"/>
    <cellStyle name="Normal 4 21 2 2 2 2" xfId="18029"/>
    <cellStyle name="Normal 4 21 2 2 3" xfId="18030"/>
    <cellStyle name="Normal 4 21 2 3" xfId="18031"/>
    <cellStyle name="Normal 4 21 2 3 2" xfId="18032"/>
    <cellStyle name="Normal 4 21 2 3 2 2" xfId="18033"/>
    <cellStyle name="Normal 4 21 2 3 3" xfId="18034"/>
    <cellStyle name="Normal 4 21 2 4" xfId="18035"/>
    <cellStyle name="Normal 4 21 3" xfId="18036"/>
    <cellStyle name="Normal 4 21 3 2" xfId="18037"/>
    <cellStyle name="Normal 4 21 3 2 2" xfId="18038"/>
    <cellStyle name="Normal 4 21 3 3" xfId="18039"/>
    <cellStyle name="Normal 4 21 4" xfId="18040"/>
    <cellStyle name="Normal 4 21 4 2" xfId="18041"/>
    <cellStyle name="Normal 4 21 4 2 2" xfId="18042"/>
    <cellStyle name="Normal 4 21 4 3" xfId="18043"/>
    <cellStyle name="Normal 4 21 5" xfId="18044"/>
    <cellStyle name="Normal 4 22" xfId="18045"/>
    <cellStyle name="Normal 4 22 2" xfId="18046"/>
    <cellStyle name="Normal 4 22 2 2" xfId="18047"/>
    <cellStyle name="Normal 4 22 2 2 2" xfId="18048"/>
    <cellStyle name="Normal 4 22 2 2 2 2" xfId="18049"/>
    <cellStyle name="Normal 4 22 2 2 3" xfId="18050"/>
    <cellStyle name="Normal 4 22 2 3" xfId="18051"/>
    <cellStyle name="Normal 4 22 2 3 2" xfId="18052"/>
    <cellStyle name="Normal 4 22 2 3 2 2" xfId="18053"/>
    <cellStyle name="Normal 4 22 2 3 3" xfId="18054"/>
    <cellStyle name="Normal 4 22 2 4" xfId="18055"/>
    <cellStyle name="Normal 4 22 3" xfId="18056"/>
    <cellStyle name="Normal 4 22 3 2" xfId="18057"/>
    <cellStyle name="Normal 4 22 3 2 2" xfId="18058"/>
    <cellStyle name="Normal 4 22 3 3" xfId="18059"/>
    <cellStyle name="Normal 4 22 4" xfId="18060"/>
    <cellStyle name="Normal 4 22 4 2" xfId="18061"/>
    <cellStyle name="Normal 4 22 4 2 2" xfId="18062"/>
    <cellStyle name="Normal 4 22 4 3" xfId="18063"/>
    <cellStyle name="Normal 4 22 5" xfId="18064"/>
    <cellStyle name="Normal 4 23" xfId="18065"/>
    <cellStyle name="Normal 4 23 2" xfId="18066"/>
    <cellStyle name="Normal 4 23 2 2" xfId="18067"/>
    <cellStyle name="Normal 4 23 2 2 2" xfId="18068"/>
    <cellStyle name="Normal 4 23 2 2 2 2" xfId="18069"/>
    <cellStyle name="Normal 4 23 2 2 3" xfId="18070"/>
    <cellStyle name="Normal 4 23 2 3" xfId="18071"/>
    <cellStyle name="Normal 4 23 2 3 2" xfId="18072"/>
    <cellStyle name="Normal 4 23 2 3 2 2" xfId="18073"/>
    <cellStyle name="Normal 4 23 2 3 3" xfId="18074"/>
    <cellStyle name="Normal 4 23 2 4" xfId="18075"/>
    <cellStyle name="Normal 4 23 3" xfId="18076"/>
    <cellStyle name="Normal 4 23 3 2" xfId="18077"/>
    <cellStyle name="Normal 4 23 3 2 2" xfId="18078"/>
    <cellStyle name="Normal 4 23 3 3" xfId="18079"/>
    <cellStyle name="Normal 4 23 4" xfId="18080"/>
    <cellStyle name="Normal 4 23 4 2" xfId="18081"/>
    <cellStyle name="Normal 4 23 4 2 2" xfId="18082"/>
    <cellStyle name="Normal 4 23 4 3" xfId="18083"/>
    <cellStyle name="Normal 4 23 5" xfId="18084"/>
    <cellStyle name="Normal 4 24" xfId="18085"/>
    <cellStyle name="Normal 4 24 2" xfId="18086"/>
    <cellStyle name="Normal 4 24 2 2" xfId="18087"/>
    <cellStyle name="Normal 4 24 2 2 2" xfId="18088"/>
    <cellStyle name="Normal 4 24 2 2 2 2" xfId="18089"/>
    <cellStyle name="Normal 4 24 2 2 3" xfId="18090"/>
    <cellStyle name="Normal 4 24 2 3" xfId="18091"/>
    <cellStyle name="Normal 4 24 2 3 2" xfId="18092"/>
    <cellStyle name="Normal 4 24 2 3 2 2" xfId="18093"/>
    <cellStyle name="Normal 4 24 2 3 3" xfId="18094"/>
    <cellStyle name="Normal 4 24 2 4" xfId="18095"/>
    <cellStyle name="Normal 4 24 3" xfId="18096"/>
    <cellStyle name="Normal 4 24 3 2" xfId="18097"/>
    <cellStyle name="Normal 4 24 3 2 2" xfId="18098"/>
    <cellStyle name="Normal 4 24 3 3" xfId="18099"/>
    <cellStyle name="Normal 4 24 4" xfId="18100"/>
    <cellStyle name="Normal 4 24 4 2" xfId="18101"/>
    <cellStyle name="Normal 4 24 4 2 2" xfId="18102"/>
    <cellStyle name="Normal 4 24 4 3" xfId="18103"/>
    <cellStyle name="Normal 4 24 5" xfId="18104"/>
    <cellStyle name="Normal 4 25" xfId="18105"/>
    <cellStyle name="Normal 4 25 2" xfId="18106"/>
    <cellStyle name="Normal 4 25 2 2" xfId="18107"/>
    <cellStyle name="Normal 4 25 2 2 2" xfId="18108"/>
    <cellStyle name="Normal 4 25 2 2 2 2" xfId="18109"/>
    <cellStyle name="Normal 4 25 2 2 3" xfId="18110"/>
    <cellStyle name="Normal 4 25 2 3" xfId="18111"/>
    <cellStyle name="Normal 4 25 2 3 2" xfId="18112"/>
    <cellStyle name="Normal 4 25 2 3 2 2" xfId="18113"/>
    <cellStyle name="Normal 4 25 2 3 3" xfId="18114"/>
    <cellStyle name="Normal 4 25 2 4" xfId="18115"/>
    <cellStyle name="Normal 4 25 3" xfId="18116"/>
    <cellStyle name="Normal 4 25 3 2" xfId="18117"/>
    <cellStyle name="Normal 4 25 3 2 2" xfId="18118"/>
    <cellStyle name="Normal 4 25 3 3" xfId="18119"/>
    <cellStyle name="Normal 4 25 4" xfId="18120"/>
    <cellStyle name="Normal 4 25 4 2" xfId="18121"/>
    <cellStyle name="Normal 4 25 4 2 2" xfId="18122"/>
    <cellStyle name="Normal 4 25 4 3" xfId="18123"/>
    <cellStyle name="Normal 4 25 5" xfId="18124"/>
    <cellStyle name="Normal 4 26" xfId="18125"/>
    <cellStyle name="Normal 4 26 2" xfId="18126"/>
    <cellStyle name="Normal 4 26 2 2" xfId="18127"/>
    <cellStyle name="Normal 4 26 2 2 2" xfId="18128"/>
    <cellStyle name="Normal 4 26 2 2 2 2" xfId="18129"/>
    <cellStyle name="Normal 4 26 2 2 3" xfId="18130"/>
    <cellStyle name="Normal 4 26 2 3" xfId="18131"/>
    <cellStyle name="Normal 4 26 2 3 2" xfId="18132"/>
    <cellStyle name="Normal 4 26 2 3 2 2" xfId="18133"/>
    <cellStyle name="Normal 4 26 2 3 3" xfId="18134"/>
    <cellStyle name="Normal 4 26 2 4" xfId="18135"/>
    <cellStyle name="Normal 4 26 3" xfId="18136"/>
    <cellStyle name="Normal 4 26 3 2" xfId="18137"/>
    <cellStyle name="Normal 4 26 3 2 2" xfId="18138"/>
    <cellStyle name="Normal 4 26 3 3" xfId="18139"/>
    <cellStyle name="Normal 4 26 4" xfId="18140"/>
    <cellStyle name="Normal 4 26 4 2" xfId="18141"/>
    <cellStyle name="Normal 4 26 4 2 2" xfId="18142"/>
    <cellStyle name="Normal 4 26 4 3" xfId="18143"/>
    <cellStyle name="Normal 4 26 5" xfId="18144"/>
    <cellStyle name="Normal 4 27" xfId="18145"/>
    <cellStyle name="Normal 4 27 2" xfId="18146"/>
    <cellStyle name="Normal 4 27 2 2" xfId="18147"/>
    <cellStyle name="Normal 4 27 2 2 2" xfId="18148"/>
    <cellStyle name="Normal 4 27 2 2 2 2" xfId="18149"/>
    <cellStyle name="Normal 4 27 2 2 3" xfId="18150"/>
    <cellStyle name="Normal 4 27 2 3" xfId="18151"/>
    <cellStyle name="Normal 4 27 2 3 2" xfId="18152"/>
    <cellStyle name="Normal 4 27 2 3 2 2" xfId="18153"/>
    <cellStyle name="Normal 4 27 2 3 3" xfId="18154"/>
    <cellStyle name="Normal 4 27 2 4" xfId="18155"/>
    <cellStyle name="Normal 4 27 3" xfId="18156"/>
    <cellStyle name="Normal 4 27 3 2" xfId="18157"/>
    <cellStyle name="Normal 4 27 3 2 2" xfId="18158"/>
    <cellStyle name="Normal 4 27 3 3" xfId="18159"/>
    <cellStyle name="Normal 4 27 4" xfId="18160"/>
    <cellStyle name="Normal 4 27 4 2" xfId="18161"/>
    <cellStyle name="Normal 4 27 4 2 2" xfId="18162"/>
    <cellStyle name="Normal 4 27 4 3" xfId="18163"/>
    <cellStyle name="Normal 4 27 5" xfId="18164"/>
    <cellStyle name="Normal 4 28" xfId="18165"/>
    <cellStyle name="Normal 4 28 2" xfId="18166"/>
    <cellStyle name="Normal 4 28 2 2" xfId="18167"/>
    <cellStyle name="Normal 4 28 2 2 2" xfId="18168"/>
    <cellStyle name="Normal 4 28 2 2 2 2" xfId="18169"/>
    <cellStyle name="Normal 4 28 2 2 3" xfId="18170"/>
    <cellStyle name="Normal 4 28 2 3" xfId="18171"/>
    <cellStyle name="Normal 4 28 2 3 2" xfId="18172"/>
    <cellStyle name="Normal 4 28 2 3 2 2" xfId="18173"/>
    <cellStyle name="Normal 4 28 2 3 3" xfId="18174"/>
    <cellStyle name="Normal 4 28 2 4" xfId="18175"/>
    <cellStyle name="Normal 4 28 3" xfId="18176"/>
    <cellStyle name="Normal 4 28 3 2" xfId="18177"/>
    <cellStyle name="Normal 4 28 3 2 2" xfId="18178"/>
    <cellStyle name="Normal 4 28 3 3" xfId="18179"/>
    <cellStyle name="Normal 4 28 4" xfId="18180"/>
    <cellStyle name="Normal 4 28 4 2" xfId="18181"/>
    <cellStyle name="Normal 4 28 4 2 2" xfId="18182"/>
    <cellStyle name="Normal 4 28 4 3" xfId="18183"/>
    <cellStyle name="Normal 4 28 5" xfId="18184"/>
    <cellStyle name="Normal 4 29" xfId="18185"/>
    <cellStyle name="Normal 4 29 2" xfId="18186"/>
    <cellStyle name="Normal 4 29 2 2" xfId="18187"/>
    <cellStyle name="Normal 4 29 2 2 2" xfId="18188"/>
    <cellStyle name="Normal 4 29 2 2 2 2" xfId="18189"/>
    <cellStyle name="Normal 4 29 2 2 3" xfId="18190"/>
    <cellStyle name="Normal 4 29 2 3" xfId="18191"/>
    <cellStyle name="Normal 4 29 2 3 2" xfId="18192"/>
    <cellStyle name="Normal 4 29 2 3 2 2" xfId="18193"/>
    <cellStyle name="Normal 4 29 2 3 3" xfId="18194"/>
    <cellStyle name="Normal 4 29 2 4" xfId="18195"/>
    <cellStyle name="Normal 4 29 3" xfId="18196"/>
    <cellStyle name="Normal 4 29 3 2" xfId="18197"/>
    <cellStyle name="Normal 4 29 3 2 2" xfId="18198"/>
    <cellStyle name="Normal 4 29 3 3" xfId="18199"/>
    <cellStyle name="Normal 4 29 4" xfId="18200"/>
    <cellStyle name="Normal 4 29 4 2" xfId="18201"/>
    <cellStyle name="Normal 4 29 4 2 2" xfId="18202"/>
    <cellStyle name="Normal 4 29 4 3" xfId="18203"/>
    <cellStyle name="Normal 4 29 5" xfId="18204"/>
    <cellStyle name="Normal 4 3" xfId="18205"/>
    <cellStyle name="Normal 4 3 2" xfId="18206"/>
    <cellStyle name="Normal 4 3 2 2" xfId="18207"/>
    <cellStyle name="Normal 4 3 2 2 2" xfId="18208"/>
    <cellStyle name="Normal 4 3 2 2 2 2" xfId="18209"/>
    <cellStyle name="Normal 4 3 2 2 3" xfId="18210"/>
    <cellStyle name="Normal 4 3 2 3" xfId="18211"/>
    <cellStyle name="Normal 4 3 2 3 2" xfId="18212"/>
    <cellStyle name="Normal 4 3 2 3 2 2" xfId="18213"/>
    <cellStyle name="Normal 4 3 2 3 3" xfId="18214"/>
    <cellStyle name="Normal 4 3 2 4" xfId="18215"/>
    <cellStyle name="Normal 4 3 3" xfId="18216"/>
    <cellStyle name="Normal 4 3 3 2" xfId="18217"/>
    <cellStyle name="Normal 4 3 3 2 2" xfId="18218"/>
    <cellStyle name="Normal 4 3 3 3" xfId="18219"/>
    <cellStyle name="Normal 4 3 4" xfId="18220"/>
    <cellStyle name="Normal 4 3 4 2" xfId="18221"/>
    <cellStyle name="Normal 4 3 4 2 2" xfId="18222"/>
    <cellStyle name="Normal 4 3 4 3" xfId="18223"/>
    <cellStyle name="Normal 4 3 5" xfId="18224"/>
    <cellStyle name="Normal 4 30" xfId="18225"/>
    <cellStyle name="Normal 4 30 2" xfId="18226"/>
    <cellStyle name="Normal 4 30 2 2" xfId="18227"/>
    <cellStyle name="Normal 4 30 2 2 2" xfId="18228"/>
    <cellStyle name="Normal 4 30 2 2 2 2" xfId="18229"/>
    <cellStyle name="Normal 4 30 2 2 3" xfId="18230"/>
    <cellStyle name="Normal 4 30 2 3" xfId="18231"/>
    <cellStyle name="Normal 4 30 2 3 2" xfId="18232"/>
    <cellStyle name="Normal 4 30 2 3 2 2" xfId="18233"/>
    <cellStyle name="Normal 4 30 2 3 3" xfId="18234"/>
    <cellStyle name="Normal 4 30 2 4" xfId="18235"/>
    <cellStyle name="Normal 4 30 3" xfId="18236"/>
    <cellStyle name="Normal 4 30 3 2" xfId="18237"/>
    <cellStyle name="Normal 4 30 3 2 2" xfId="18238"/>
    <cellStyle name="Normal 4 30 3 3" xfId="18239"/>
    <cellStyle name="Normal 4 30 4" xfId="18240"/>
    <cellStyle name="Normal 4 30 4 2" xfId="18241"/>
    <cellStyle name="Normal 4 30 4 2 2" xfId="18242"/>
    <cellStyle name="Normal 4 30 4 3" xfId="18243"/>
    <cellStyle name="Normal 4 30 5" xfId="18244"/>
    <cellStyle name="Normal 4 31" xfId="18245"/>
    <cellStyle name="Normal 4 31 2" xfId="18246"/>
    <cellStyle name="Normal 4 31 2 2" xfId="18247"/>
    <cellStyle name="Normal 4 31 2 2 2" xfId="18248"/>
    <cellStyle name="Normal 4 31 2 2 2 2" xfId="18249"/>
    <cellStyle name="Normal 4 31 2 2 3" xfId="18250"/>
    <cellStyle name="Normal 4 31 2 3" xfId="18251"/>
    <cellStyle name="Normal 4 31 2 3 2" xfId="18252"/>
    <cellStyle name="Normal 4 31 2 3 2 2" xfId="18253"/>
    <cellStyle name="Normal 4 31 2 3 3" xfId="18254"/>
    <cellStyle name="Normal 4 31 2 4" xfId="18255"/>
    <cellStyle name="Normal 4 31 3" xfId="18256"/>
    <cellStyle name="Normal 4 31 3 2" xfId="18257"/>
    <cellStyle name="Normal 4 31 3 2 2" xfId="18258"/>
    <cellStyle name="Normal 4 31 3 3" xfId="18259"/>
    <cellStyle name="Normal 4 31 4" xfId="18260"/>
    <cellStyle name="Normal 4 31 4 2" xfId="18261"/>
    <cellStyle name="Normal 4 31 4 2 2" xfId="18262"/>
    <cellStyle name="Normal 4 31 4 3" xfId="18263"/>
    <cellStyle name="Normal 4 31 5" xfId="18264"/>
    <cellStyle name="Normal 4 32" xfId="18265"/>
    <cellStyle name="Normal 4 32 2" xfId="18266"/>
    <cellStyle name="Normal 4 32 2 2" xfId="18267"/>
    <cellStyle name="Normal 4 32 2 2 2" xfId="18268"/>
    <cellStyle name="Normal 4 32 2 2 2 2" xfId="18269"/>
    <cellStyle name="Normal 4 32 2 2 3" xfId="18270"/>
    <cellStyle name="Normal 4 32 2 3" xfId="18271"/>
    <cellStyle name="Normal 4 32 2 3 2" xfId="18272"/>
    <cellStyle name="Normal 4 32 2 3 2 2" xfId="18273"/>
    <cellStyle name="Normal 4 32 2 3 3" xfId="18274"/>
    <cellStyle name="Normal 4 32 2 4" xfId="18275"/>
    <cellStyle name="Normal 4 32 3" xfId="18276"/>
    <cellStyle name="Normal 4 32 3 2" xfId="18277"/>
    <cellStyle name="Normal 4 32 3 2 2" xfId="18278"/>
    <cellStyle name="Normal 4 32 3 3" xfId="18279"/>
    <cellStyle name="Normal 4 32 4" xfId="18280"/>
    <cellStyle name="Normal 4 32 4 2" xfId="18281"/>
    <cellStyle name="Normal 4 32 4 2 2" xfId="18282"/>
    <cellStyle name="Normal 4 32 4 3" xfId="18283"/>
    <cellStyle name="Normal 4 32 5" xfId="18284"/>
    <cellStyle name="Normal 4 33" xfId="18285"/>
    <cellStyle name="Normal 4 33 2" xfId="18286"/>
    <cellStyle name="Normal 4 33 2 2" xfId="18287"/>
    <cellStyle name="Normal 4 33 2 2 2" xfId="18288"/>
    <cellStyle name="Normal 4 33 2 2 2 2" xfId="18289"/>
    <cellStyle name="Normal 4 33 2 2 3" xfId="18290"/>
    <cellStyle name="Normal 4 33 2 3" xfId="18291"/>
    <cellStyle name="Normal 4 33 2 3 2" xfId="18292"/>
    <cellStyle name="Normal 4 33 2 3 2 2" xfId="18293"/>
    <cellStyle name="Normal 4 33 2 3 3" xfId="18294"/>
    <cellStyle name="Normal 4 33 2 4" xfId="18295"/>
    <cellStyle name="Normal 4 33 3" xfId="18296"/>
    <cellStyle name="Normal 4 33 3 2" xfId="18297"/>
    <cellStyle name="Normal 4 33 3 2 2" xfId="18298"/>
    <cellStyle name="Normal 4 33 3 3" xfId="18299"/>
    <cellStyle name="Normal 4 33 4" xfId="18300"/>
    <cellStyle name="Normal 4 33 4 2" xfId="18301"/>
    <cellStyle name="Normal 4 33 4 2 2" xfId="18302"/>
    <cellStyle name="Normal 4 33 4 3" xfId="18303"/>
    <cellStyle name="Normal 4 33 5" xfId="18304"/>
    <cellStyle name="Normal 4 34" xfId="18305"/>
    <cellStyle name="Normal 4 34 2" xfId="18306"/>
    <cellStyle name="Normal 4 34 2 2" xfId="18307"/>
    <cellStyle name="Normal 4 34 2 2 2" xfId="18308"/>
    <cellStyle name="Normal 4 34 2 2 2 2" xfId="18309"/>
    <cellStyle name="Normal 4 34 2 2 3" xfId="18310"/>
    <cellStyle name="Normal 4 34 2 3" xfId="18311"/>
    <cellStyle name="Normal 4 34 2 3 2" xfId="18312"/>
    <cellStyle name="Normal 4 34 2 3 2 2" xfId="18313"/>
    <cellStyle name="Normal 4 34 2 3 3" xfId="18314"/>
    <cellStyle name="Normal 4 34 2 4" xfId="18315"/>
    <cellStyle name="Normal 4 34 3" xfId="18316"/>
    <cellStyle name="Normal 4 34 3 2" xfId="18317"/>
    <cellStyle name="Normal 4 34 3 2 2" xfId="18318"/>
    <cellStyle name="Normal 4 34 3 3" xfId="18319"/>
    <cellStyle name="Normal 4 34 4" xfId="18320"/>
    <cellStyle name="Normal 4 34 4 2" xfId="18321"/>
    <cellStyle name="Normal 4 34 4 2 2" xfId="18322"/>
    <cellStyle name="Normal 4 34 4 3" xfId="18323"/>
    <cellStyle name="Normal 4 34 5" xfId="18324"/>
    <cellStyle name="Normal 4 35" xfId="18325"/>
    <cellStyle name="Normal 4 35 2" xfId="18326"/>
    <cellStyle name="Normal 4 35 2 2" xfId="18327"/>
    <cellStyle name="Normal 4 35 2 2 2" xfId="18328"/>
    <cellStyle name="Normal 4 35 2 2 2 2" xfId="18329"/>
    <cellStyle name="Normal 4 35 2 2 3" xfId="18330"/>
    <cellStyle name="Normal 4 35 2 3" xfId="18331"/>
    <cellStyle name="Normal 4 35 2 3 2" xfId="18332"/>
    <cellStyle name="Normal 4 35 2 3 2 2" xfId="18333"/>
    <cellStyle name="Normal 4 35 2 3 3" xfId="18334"/>
    <cellStyle name="Normal 4 35 2 4" xfId="18335"/>
    <cellStyle name="Normal 4 35 3" xfId="18336"/>
    <cellStyle name="Normal 4 35 3 2" xfId="18337"/>
    <cellStyle name="Normal 4 35 3 2 2" xfId="18338"/>
    <cellStyle name="Normal 4 35 3 3" xfId="18339"/>
    <cellStyle name="Normal 4 35 4" xfId="18340"/>
    <cellStyle name="Normal 4 35 4 2" xfId="18341"/>
    <cellStyle name="Normal 4 35 4 2 2" xfId="18342"/>
    <cellStyle name="Normal 4 35 4 3" xfId="18343"/>
    <cellStyle name="Normal 4 35 5" xfId="18344"/>
    <cellStyle name="Normal 4 36" xfId="18345"/>
    <cellStyle name="Normal 4 36 2" xfId="18346"/>
    <cellStyle name="Normal 4 36 2 2" xfId="18347"/>
    <cellStyle name="Normal 4 36 2 2 2" xfId="18348"/>
    <cellStyle name="Normal 4 36 2 2 2 2" xfId="18349"/>
    <cellStyle name="Normal 4 36 2 2 3" xfId="18350"/>
    <cellStyle name="Normal 4 36 2 3" xfId="18351"/>
    <cellStyle name="Normal 4 36 2 3 2" xfId="18352"/>
    <cellStyle name="Normal 4 36 2 3 2 2" xfId="18353"/>
    <cellStyle name="Normal 4 36 2 3 3" xfId="18354"/>
    <cellStyle name="Normal 4 36 2 4" xfId="18355"/>
    <cellStyle name="Normal 4 36 3" xfId="18356"/>
    <cellStyle name="Normal 4 36 3 2" xfId="18357"/>
    <cellStyle name="Normal 4 36 3 2 2" xfId="18358"/>
    <cellStyle name="Normal 4 36 3 3" xfId="18359"/>
    <cellStyle name="Normal 4 36 4" xfId="18360"/>
    <cellStyle name="Normal 4 36 4 2" xfId="18361"/>
    <cellStyle name="Normal 4 36 4 2 2" xfId="18362"/>
    <cellStyle name="Normal 4 36 4 3" xfId="18363"/>
    <cellStyle name="Normal 4 36 5" xfId="18364"/>
    <cellStyle name="Normal 4 37" xfId="18365"/>
    <cellStyle name="Normal 4 37 2" xfId="18366"/>
    <cellStyle name="Normal 4 37 2 2" xfId="18367"/>
    <cellStyle name="Normal 4 37 2 2 2" xfId="18368"/>
    <cellStyle name="Normal 4 37 2 2 2 2" xfId="18369"/>
    <cellStyle name="Normal 4 37 2 2 3" xfId="18370"/>
    <cellStyle name="Normal 4 37 2 3" xfId="18371"/>
    <cellStyle name="Normal 4 37 2 3 2" xfId="18372"/>
    <cellStyle name="Normal 4 37 2 3 2 2" xfId="18373"/>
    <cellStyle name="Normal 4 37 2 3 3" xfId="18374"/>
    <cellStyle name="Normal 4 37 2 4" xfId="18375"/>
    <cellStyle name="Normal 4 37 3" xfId="18376"/>
    <cellStyle name="Normal 4 37 3 2" xfId="18377"/>
    <cellStyle name="Normal 4 37 3 2 2" xfId="18378"/>
    <cellStyle name="Normal 4 37 3 3" xfId="18379"/>
    <cellStyle name="Normal 4 37 4" xfId="18380"/>
    <cellStyle name="Normal 4 37 4 2" xfId="18381"/>
    <cellStyle name="Normal 4 37 4 2 2" xfId="18382"/>
    <cellStyle name="Normal 4 37 4 3" xfId="18383"/>
    <cellStyle name="Normal 4 37 5" xfId="18384"/>
    <cellStyle name="Normal 4 38" xfId="18385"/>
    <cellStyle name="Normal 4 38 2" xfId="18386"/>
    <cellStyle name="Normal 4 38 2 2" xfId="18387"/>
    <cellStyle name="Normal 4 38 2 2 2" xfId="18388"/>
    <cellStyle name="Normal 4 38 2 2 2 2" xfId="18389"/>
    <cellStyle name="Normal 4 38 2 2 3" xfId="18390"/>
    <cellStyle name="Normal 4 38 2 3" xfId="18391"/>
    <cellStyle name="Normal 4 38 2 3 2" xfId="18392"/>
    <cellStyle name="Normal 4 38 2 3 2 2" xfId="18393"/>
    <cellStyle name="Normal 4 38 2 3 3" xfId="18394"/>
    <cellStyle name="Normal 4 38 2 4" xfId="18395"/>
    <cellStyle name="Normal 4 38 3" xfId="18396"/>
    <cellStyle name="Normal 4 38 3 2" xfId="18397"/>
    <cellStyle name="Normal 4 38 3 2 2" xfId="18398"/>
    <cellStyle name="Normal 4 38 3 3" xfId="18399"/>
    <cellStyle name="Normal 4 38 4" xfId="18400"/>
    <cellStyle name="Normal 4 38 4 2" xfId="18401"/>
    <cellStyle name="Normal 4 38 4 2 2" xfId="18402"/>
    <cellStyle name="Normal 4 38 4 3" xfId="18403"/>
    <cellStyle name="Normal 4 38 5" xfId="18404"/>
    <cellStyle name="Normal 4 39" xfId="18405"/>
    <cellStyle name="Normal 4 39 2" xfId="18406"/>
    <cellStyle name="Normal 4 39 2 2" xfId="18407"/>
    <cellStyle name="Normal 4 39 2 2 2" xfId="18408"/>
    <cellStyle name="Normal 4 39 2 2 2 2" xfId="18409"/>
    <cellStyle name="Normal 4 39 2 2 3" xfId="18410"/>
    <cellStyle name="Normal 4 39 2 3" xfId="18411"/>
    <cellStyle name="Normal 4 39 2 3 2" xfId="18412"/>
    <cellStyle name="Normal 4 39 2 3 2 2" xfId="18413"/>
    <cellStyle name="Normal 4 39 2 3 3" xfId="18414"/>
    <cellStyle name="Normal 4 39 2 4" xfId="18415"/>
    <cellStyle name="Normal 4 39 3" xfId="18416"/>
    <cellStyle name="Normal 4 39 3 2" xfId="18417"/>
    <cellStyle name="Normal 4 39 3 2 2" xfId="18418"/>
    <cellStyle name="Normal 4 39 3 3" xfId="18419"/>
    <cellStyle name="Normal 4 39 4" xfId="18420"/>
    <cellStyle name="Normal 4 39 4 2" xfId="18421"/>
    <cellStyle name="Normal 4 39 4 2 2" xfId="18422"/>
    <cellStyle name="Normal 4 39 4 3" xfId="18423"/>
    <cellStyle name="Normal 4 39 5" xfId="18424"/>
    <cellStyle name="Normal 4 4" xfId="18425"/>
    <cellStyle name="Normal 4 4 2" xfId="18426"/>
    <cellStyle name="Normal 4 4 2 2" xfId="18427"/>
    <cellStyle name="Normal 4 4 2 2 2" xfId="18428"/>
    <cellStyle name="Normal 4 4 2 2 2 2" xfId="18429"/>
    <cellStyle name="Normal 4 4 2 2 3" xfId="18430"/>
    <cellStyle name="Normal 4 4 2 3" xfId="18431"/>
    <cellStyle name="Normal 4 4 2 3 2" xfId="18432"/>
    <cellStyle name="Normal 4 4 2 3 2 2" xfId="18433"/>
    <cellStyle name="Normal 4 4 2 3 3" xfId="18434"/>
    <cellStyle name="Normal 4 4 2 4" xfId="18435"/>
    <cellStyle name="Normal 4 4 3" xfId="18436"/>
    <cellStyle name="Normal 4 4 3 2" xfId="18437"/>
    <cellStyle name="Normal 4 4 3 2 2" xfId="18438"/>
    <cellStyle name="Normal 4 4 3 3" xfId="18439"/>
    <cellStyle name="Normal 4 4 4" xfId="18440"/>
    <cellStyle name="Normal 4 4 4 2" xfId="18441"/>
    <cellStyle name="Normal 4 4 4 2 2" xfId="18442"/>
    <cellStyle name="Normal 4 4 4 3" xfId="18443"/>
    <cellStyle name="Normal 4 4 5" xfId="18444"/>
    <cellStyle name="Normal 4 40" xfId="18445"/>
    <cellStyle name="Normal 4 40 2" xfId="18446"/>
    <cellStyle name="Normal 4 40 2 2" xfId="18447"/>
    <cellStyle name="Normal 4 40 2 2 2" xfId="18448"/>
    <cellStyle name="Normal 4 40 2 2 2 2" xfId="18449"/>
    <cellStyle name="Normal 4 40 2 2 3" xfId="18450"/>
    <cellStyle name="Normal 4 40 2 3" xfId="18451"/>
    <cellStyle name="Normal 4 40 2 3 2" xfId="18452"/>
    <cellStyle name="Normal 4 40 2 3 2 2" xfId="18453"/>
    <cellStyle name="Normal 4 40 2 3 3" xfId="18454"/>
    <cellStyle name="Normal 4 40 2 4" xfId="18455"/>
    <cellStyle name="Normal 4 40 3" xfId="18456"/>
    <cellStyle name="Normal 4 40 3 2" xfId="18457"/>
    <cellStyle name="Normal 4 40 3 2 2" xfId="18458"/>
    <cellStyle name="Normal 4 40 3 3" xfId="18459"/>
    <cellStyle name="Normal 4 40 4" xfId="18460"/>
    <cellStyle name="Normal 4 40 4 2" xfId="18461"/>
    <cellStyle name="Normal 4 40 4 2 2" xfId="18462"/>
    <cellStyle name="Normal 4 40 4 3" xfId="18463"/>
    <cellStyle name="Normal 4 40 5" xfId="18464"/>
    <cellStyle name="Normal 4 41" xfId="18465"/>
    <cellStyle name="Normal 4 41 2" xfId="18466"/>
    <cellStyle name="Normal 4 41 2 2" xfId="18467"/>
    <cellStyle name="Normal 4 41 2 2 2" xfId="18468"/>
    <cellStyle name="Normal 4 41 2 2 2 2" xfId="18469"/>
    <cellStyle name="Normal 4 41 2 2 3" xfId="18470"/>
    <cellStyle name="Normal 4 41 2 3" xfId="18471"/>
    <cellStyle name="Normal 4 41 2 3 2" xfId="18472"/>
    <cellStyle name="Normal 4 41 2 3 2 2" xfId="18473"/>
    <cellStyle name="Normal 4 41 2 3 3" xfId="18474"/>
    <cellStyle name="Normal 4 41 2 4" xfId="18475"/>
    <cellStyle name="Normal 4 41 3" xfId="18476"/>
    <cellStyle name="Normal 4 41 3 2" xfId="18477"/>
    <cellStyle name="Normal 4 41 3 2 2" xfId="18478"/>
    <cellStyle name="Normal 4 41 3 3" xfId="18479"/>
    <cellStyle name="Normal 4 41 4" xfId="18480"/>
    <cellStyle name="Normal 4 41 4 2" xfId="18481"/>
    <cellStyle name="Normal 4 41 4 2 2" xfId="18482"/>
    <cellStyle name="Normal 4 41 4 3" xfId="18483"/>
    <cellStyle name="Normal 4 41 5" xfId="18484"/>
    <cellStyle name="Normal 4 42" xfId="18485"/>
    <cellStyle name="Normal 4 42 2" xfId="18486"/>
    <cellStyle name="Normal 4 42 2 2" xfId="18487"/>
    <cellStyle name="Normal 4 42 2 2 2" xfId="18488"/>
    <cellStyle name="Normal 4 42 2 2 2 2" xfId="18489"/>
    <cellStyle name="Normal 4 42 2 2 3" xfId="18490"/>
    <cellStyle name="Normal 4 42 2 3" xfId="18491"/>
    <cellStyle name="Normal 4 42 2 3 2" xfId="18492"/>
    <cellStyle name="Normal 4 42 2 3 2 2" xfId="18493"/>
    <cellStyle name="Normal 4 42 2 3 3" xfId="18494"/>
    <cellStyle name="Normal 4 42 2 4" xfId="18495"/>
    <cellStyle name="Normal 4 42 3" xfId="18496"/>
    <cellStyle name="Normal 4 42 3 2" xfId="18497"/>
    <cellStyle name="Normal 4 42 3 2 2" xfId="18498"/>
    <cellStyle name="Normal 4 42 3 3" xfId="18499"/>
    <cellStyle name="Normal 4 42 4" xfId="18500"/>
    <cellStyle name="Normal 4 42 4 2" xfId="18501"/>
    <cellStyle name="Normal 4 42 4 2 2" xfId="18502"/>
    <cellStyle name="Normal 4 42 4 3" xfId="18503"/>
    <cellStyle name="Normal 4 42 5" xfId="18504"/>
    <cellStyle name="Normal 4 43" xfId="18505"/>
    <cellStyle name="Normal 4 43 2" xfId="18506"/>
    <cellStyle name="Normal 4 43 2 2" xfId="18507"/>
    <cellStyle name="Normal 4 43 2 2 2" xfId="18508"/>
    <cellStyle name="Normal 4 43 2 2 2 2" xfId="18509"/>
    <cellStyle name="Normal 4 43 2 2 3" xfId="18510"/>
    <cellStyle name="Normal 4 43 2 3" xfId="18511"/>
    <cellStyle name="Normal 4 43 2 3 2" xfId="18512"/>
    <cellStyle name="Normal 4 43 2 3 2 2" xfId="18513"/>
    <cellStyle name="Normal 4 43 2 3 3" xfId="18514"/>
    <cellStyle name="Normal 4 43 2 4" xfId="18515"/>
    <cellStyle name="Normal 4 43 3" xfId="18516"/>
    <cellStyle name="Normal 4 43 3 2" xfId="18517"/>
    <cellStyle name="Normal 4 43 3 2 2" xfId="18518"/>
    <cellStyle name="Normal 4 43 3 3" xfId="18519"/>
    <cellStyle name="Normal 4 43 4" xfId="18520"/>
    <cellStyle name="Normal 4 43 4 2" xfId="18521"/>
    <cellStyle name="Normal 4 43 4 2 2" xfId="18522"/>
    <cellStyle name="Normal 4 43 4 3" xfId="18523"/>
    <cellStyle name="Normal 4 43 5" xfId="18524"/>
    <cellStyle name="Normal 4 44" xfId="18525"/>
    <cellStyle name="Normal 4 44 2" xfId="18526"/>
    <cellStyle name="Normal 4 44 2 2" xfId="18527"/>
    <cellStyle name="Normal 4 44 2 2 2" xfId="18528"/>
    <cellStyle name="Normal 4 44 2 2 2 2" xfId="18529"/>
    <cellStyle name="Normal 4 44 2 2 3" xfId="18530"/>
    <cellStyle name="Normal 4 44 2 3" xfId="18531"/>
    <cellStyle name="Normal 4 44 2 3 2" xfId="18532"/>
    <cellStyle name="Normal 4 44 2 3 2 2" xfId="18533"/>
    <cellStyle name="Normal 4 44 2 3 3" xfId="18534"/>
    <cellStyle name="Normal 4 44 2 4" xfId="18535"/>
    <cellStyle name="Normal 4 44 3" xfId="18536"/>
    <cellStyle name="Normal 4 44 3 2" xfId="18537"/>
    <cellStyle name="Normal 4 44 3 2 2" xfId="18538"/>
    <cellStyle name="Normal 4 44 3 3" xfId="18539"/>
    <cellStyle name="Normal 4 44 4" xfId="18540"/>
    <cellStyle name="Normal 4 44 4 2" xfId="18541"/>
    <cellStyle name="Normal 4 44 4 2 2" xfId="18542"/>
    <cellStyle name="Normal 4 44 4 3" xfId="18543"/>
    <cellStyle name="Normal 4 44 5" xfId="18544"/>
    <cellStyle name="Normal 4 45" xfId="18545"/>
    <cellStyle name="Normal 4 45 2" xfId="18546"/>
    <cellStyle name="Normal 4 45 2 2" xfId="18547"/>
    <cellStyle name="Normal 4 45 2 2 2" xfId="18548"/>
    <cellStyle name="Normal 4 45 2 2 2 2" xfId="18549"/>
    <cellStyle name="Normal 4 45 2 2 3" xfId="18550"/>
    <cellStyle name="Normal 4 45 2 3" xfId="18551"/>
    <cellStyle name="Normal 4 45 2 3 2" xfId="18552"/>
    <cellStyle name="Normal 4 45 2 3 2 2" xfId="18553"/>
    <cellStyle name="Normal 4 45 2 3 3" xfId="18554"/>
    <cellStyle name="Normal 4 45 2 4" xfId="18555"/>
    <cellStyle name="Normal 4 45 3" xfId="18556"/>
    <cellStyle name="Normal 4 45 3 2" xfId="18557"/>
    <cellStyle name="Normal 4 45 3 2 2" xfId="18558"/>
    <cellStyle name="Normal 4 45 3 3" xfId="18559"/>
    <cellStyle name="Normal 4 45 4" xfId="18560"/>
    <cellStyle name="Normal 4 45 4 2" xfId="18561"/>
    <cellStyle name="Normal 4 45 4 2 2" xfId="18562"/>
    <cellStyle name="Normal 4 45 4 3" xfId="18563"/>
    <cellStyle name="Normal 4 45 5" xfId="18564"/>
    <cellStyle name="Normal 4 46" xfId="18565"/>
    <cellStyle name="Normal 4 46 2" xfId="18566"/>
    <cellStyle name="Normal 4 46 2 2" xfId="18567"/>
    <cellStyle name="Normal 4 46 2 2 2" xfId="18568"/>
    <cellStyle name="Normal 4 46 2 2 2 2" xfId="18569"/>
    <cellStyle name="Normal 4 46 2 2 3" xfId="18570"/>
    <cellStyle name="Normal 4 46 2 3" xfId="18571"/>
    <cellStyle name="Normal 4 46 2 3 2" xfId="18572"/>
    <cellStyle name="Normal 4 46 2 3 2 2" xfId="18573"/>
    <cellStyle name="Normal 4 46 2 3 3" xfId="18574"/>
    <cellStyle name="Normal 4 46 2 4" xfId="18575"/>
    <cellStyle name="Normal 4 46 3" xfId="18576"/>
    <cellStyle name="Normal 4 46 3 2" xfId="18577"/>
    <cellStyle name="Normal 4 46 3 2 2" xfId="18578"/>
    <cellStyle name="Normal 4 46 3 3" xfId="18579"/>
    <cellStyle name="Normal 4 46 4" xfId="18580"/>
    <cellStyle name="Normal 4 46 4 2" xfId="18581"/>
    <cellStyle name="Normal 4 46 4 2 2" xfId="18582"/>
    <cellStyle name="Normal 4 46 4 3" xfId="18583"/>
    <cellStyle name="Normal 4 46 5" xfId="18584"/>
    <cellStyle name="Normal 4 47" xfId="18585"/>
    <cellStyle name="Normal 4 47 2" xfId="18586"/>
    <cellStyle name="Normal 4 47 2 2" xfId="18587"/>
    <cellStyle name="Normal 4 47 2 2 2" xfId="18588"/>
    <cellStyle name="Normal 4 47 2 2 2 2" xfId="18589"/>
    <cellStyle name="Normal 4 47 2 2 3" xfId="18590"/>
    <cellStyle name="Normal 4 47 2 3" xfId="18591"/>
    <cellStyle name="Normal 4 47 2 3 2" xfId="18592"/>
    <cellStyle name="Normal 4 47 2 3 2 2" xfId="18593"/>
    <cellStyle name="Normal 4 47 2 3 3" xfId="18594"/>
    <cellStyle name="Normal 4 47 2 4" xfId="18595"/>
    <cellStyle name="Normal 4 47 3" xfId="18596"/>
    <cellStyle name="Normal 4 47 3 2" xfId="18597"/>
    <cellStyle name="Normal 4 47 3 2 2" xfId="18598"/>
    <cellStyle name="Normal 4 47 3 3" xfId="18599"/>
    <cellStyle name="Normal 4 47 4" xfId="18600"/>
    <cellStyle name="Normal 4 47 4 2" xfId="18601"/>
    <cellStyle name="Normal 4 47 4 2 2" xfId="18602"/>
    <cellStyle name="Normal 4 47 4 3" xfId="18603"/>
    <cellStyle name="Normal 4 47 5" xfId="18604"/>
    <cellStyle name="Normal 4 48" xfId="18605"/>
    <cellStyle name="Normal 4 48 2" xfId="18606"/>
    <cellStyle name="Normal 4 48 2 2" xfId="18607"/>
    <cellStyle name="Normal 4 48 2 2 2" xfId="18608"/>
    <cellStyle name="Normal 4 48 2 3" xfId="18609"/>
    <cellStyle name="Normal 4 48 3" xfId="18610"/>
    <cellStyle name="Normal 4 48 3 2" xfId="18611"/>
    <cellStyle name="Normal 4 48 3 2 2" xfId="18612"/>
    <cellStyle name="Normal 4 48 3 3" xfId="18613"/>
    <cellStyle name="Normal 4 48 4" xfId="18614"/>
    <cellStyle name="Normal 4 49" xfId="18615"/>
    <cellStyle name="Normal 4 49 2" xfId="18616"/>
    <cellStyle name="Normal 4 49 2 2" xfId="18617"/>
    <cellStyle name="Normal 4 49 3" xfId="18618"/>
    <cellStyle name="Normal 4 5" xfId="18619"/>
    <cellStyle name="Normal 4 5 2" xfId="18620"/>
    <cellStyle name="Normal 4 5 2 2" xfId="18621"/>
    <cellStyle name="Normal 4 5 2 2 2" xfId="18622"/>
    <cellStyle name="Normal 4 5 2 2 2 2" xfId="18623"/>
    <cellStyle name="Normal 4 5 2 2 3" xfId="18624"/>
    <cellStyle name="Normal 4 5 2 3" xfId="18625"/>
    <cellStyle name="Normal 4 5 2 3 2" xfId="18626"/>
    <cellStyle name="Normal 4 5 2 3 2 2" xfId="18627"/>
    <cellStyle name="Normal 4 5 2 3 3" xfId="18628"/>
    <cellStyle name="Normal 4 5 2 4" xfId="18629"/>
    <cellStyle name="Normal 4 5 3" xfId="18630"/>
    <cellStyle name="Normal 4 5 3 2" xfId="18631"/>
    <cellStyle name="Normal 4 5 3 2 2" xfId="18632"/>
    <cellStyle name="Normal 4 5 3 3" xfId="18633"/>
    <cellStyle name="Normal 4 5 4" xfId="18634"/>
    <cellStyle name="Normal 4 5 4 2" xfId="18635"/>
    <cellStyle name="Normal 4 5 4 2 2" xfId="18636"/>
    <cellStyle name="Normal 4 5 4 3" xfId="18637"/>
    <cellStyle name="Normal 4 5 5" xfId="18638"/>
    <cellStyle name="Normal 4 50" xfId="18639"/>
    <cellStyle name="Normal 4 50 2" xfId="18640"/>
    <cellStyle name="Normal 4 50 2 2" xfId="18641"/>
    <cellStyle name="Normal 4 50 3" xfId="18642"/>
    <cellStyle name="Normal 4 51" xfId="18643"/>
    <cellStyle name="Normal 4 52" xfId="18644"/>
    <cellStyle name="Normal 4 6" xfId="18645"/>
    <cellStyle name="Normal 4 6 2" xfId="18646"/>
    <cellStyle name="Normal 4 6 2 2" xfId="18647"/>
    <cellStyle name="Normal 4 6 2 2 2" xfId="18648"/>
    <cellStyle name="Normal 4 6 2 2 2 2" xfId="18649"/>
    <cellStyle name="Normal 4 6 2 2 3" xfId="18650"/>
    <cellStyle name="Normal 4 6 2 3" xfId="18651"/>
    <cellStyle name="Normal 4 6 2 3 2" xfId="18652"/>
    <cellStyle name="Normal 4 6 2 3 2 2" xfId="18653"/>
    <cellStyle name="Normal 4 6 2 3 3" xfId="18654"/>
    <cellStyle name="Normal 4 6 2 4" xfId="18655"/>
    <cellStyle name="Normal 4 6 3" xfId="18656"/>
    <cellStyle name="Normal 4 6 3 2" xfId="18657"/>
    <cellStyle name="Normal 4 6 3 2 2" xfId="18658"/>
    <cellStyle name="Normal 4 6 3 3" xfId="18659"/>
    <cellStyle name="Normal 4 6 4" xfId="18660"/>
    <cellStyle name="Normal 4 6 4 2" xfId="18661"/>
    <cellStyle name="Normal 4 6 4 2 2" xfId="18662"/>
    <cellStyle name="Normal 4 6 4 3" xfId="18663"/>
    <cellStyle name="Normal 4 6 5" xfId="18664"/>
    <cellStyle name="Normal 4 7" xfId="18665"/>
    <cellStyle name="Normal 4 7 2" xfId="18666"/>
    <cellStyle name="Normal 4 7 2 2" xfId="18667"/>
    <cellStyle name="Normal 4 7 2 2 2" xfId="18668"/>
    <cellStyle name="Normal 4 7 2 2 2 2" xfId="18669"/>
    <cellStyle name="Normal 4 7 2 2 3" xfId="18670"/>
    <cellStyle name="Normal 4 7 2 3" xfId="18671"/>
    <cellStyle name="Normal 4 7 2 3 2" xfId="18672"/>
    <cellStyle name="Normal 4 7 2 3 2 2" xfId="18673"/>
    <cellStyle name="Normal 4 7 2 3 3" xfId="18674"/>
    <cellStyle name="Normal 4 7 2 4" xfId="18675"/>
    <cellStyle name="Normal 4 7 3" xfId="18676"/>
    <cellStyle name="Normal 4 7 3 2" xfId="18677"/>
    <cellStyle name="Normal 4 7 3 2 2" xfId="18678"/>
    <cellStyle name="Normal 4 7 3 3" xfId="18679"/>
    <cellStyle name="Normal 4 7 4" xfId="18680"/>
    <cellStyle name="Normal 4 7 4 2" xfId="18681"/>
    <cellStyle name="Normal 4 7 4 2 2" xfId="18682"/>
    <cellStyle name="Normal 4 7 4 3" xfId="18683"/>
    <cellStyle name="Normal 4 7 5" xfId="18684"/>
    <cellStyle name="Normal 4 8" xfId="18685"/>
    <cellStyle name="Normal 4 8 2" xfId="18686"/>
    <cellStyle name="Normal 4 8 2 2" xfId="18687"/>
    <cellStyle name="Normal 4 8 2 2 2" xfId="18688"/>
    <cellStyle name="Normal 4 8 2 2 2 2" xfId="18689"/>
    <cellStyle name="Normal 4 8 2 2 3" xfId="18690"/>
    <cellStyle name="Normal 4 8 2 3" xfId="18691"/>
    <cellStyle name="Normal 4 8 2 3 2" xfId="18692"/>
    <cellStyle name="Normal 4 8 2 3 2 2" xfId="18693"/>
    <cellStyle name="Normal 4 8 2 3 3" xfId="18694"/>
    <cellStyle name="Normal 4 8 2 4" xfId="18695"/>
    <cellStyle name="Normal 4 8 3" xfId="18696"/>
    <cellStyle name="Normal 4 8 3 2" xfId="18697"/>
    <cellStyle name="Normal 4 8 3 2 2" xfId="18698"/>
    <cellStyle name="Normal 4 8 3 3" xfId="18699"/>
    <cellStyle name="Normal 4 8 4" xfId="18700"/>
    <cellStyle name="Normal 4 8 4 2" xfId="18701"/>
    <cellStyle name="Normal 4 8 4 2 2" xfId="18702"/>
    <cellStyle name="Normal 4 8 4 3" xfId="18703"/>
    <cellStyle name="Normal 4 8 5" xfId="18704"/>
    <cellStyle name="Normal 4 9" xfId="18705"/>
    <cellStyle name="Normal 4 9 2" xfId="18706"/>
    <cellStyle name="Normal 4 9 2 2" xfId="18707"/>
    <cellStyle name="Normal 4 9 2 2 2" xfId="18708"/>
    <cellStyle name="Normal 4 9 2 2 2 2" xfId="18709"/>
    <cellStyle name="Normal 4 9 2 2 3" xfId="18710"/>
    <cellStyle name="Normal 4 9 2 3" xfId="18711"/>
    <cellStyle name="Normal 4 9 2 3 2" xfId="18712"/>
    <cellStyle name="Normal 4 9 2 3 2 2" xfId="18713"/>
    <cellStyle name="Normal 4 9 2 3 3" xfId="18714"/>
    <cellStyle name="Normal 4 9 2 4" xfId="18715"/>
    <cellStyle name="Normal 4 9 3" xfId="18716"/>
    <cellStyle name="Normal 4 9 3 2" xfId="18717"/>
    <cellStyle name="Normal 4 9 3 2 2" xfId="18718"/>
    <cellStyle name="Normal 4 9 3 3" xfId="18719"/>
    <cellStyle name="Normal 4 9 4" xfId="18720"/>
    <cellStyle name="Normal 4 9 4 2" xfId="18721"/>
    <cellStyle name="Normal 4 9 4 2 2" xfId="18722"/>
    <cellStyle name="Normal 4 9 4 3" xfId="18723"/>
    <cellStyle name="Normal 4 9 5" xfId="18724"/>
    <cellStyle name="Normal 40" xfId="18725"/>
    <cellStyle name="Normal 40 2" xfId="18726"/>
    <cellStyle name="Normal 40 2 2" xfId="18727"/>
    <cellStyle name="Normal 40 3" xfId="18728"/>
    <cellStyle name="Normal 41" xfId="18729"/>
    <cellStyle name="Normal 41 2" xfId="18730"/>
    <cellStyle name="Normal 41 2 2" xfId="18731"/>
    <cellStyle name="Normal 41 2 2 2" xfId="18732"/>
    <cellStyle name="Normal 41 2 3" xfId="18733"/>
    <cellStyle name="Normal 41 3" xfId="18734"/>
    <cellStyle name="Normal 42" xfId="18735"/>
    <cellStyle name="Normal 42 2" xfId="18736"/>
    <cellStyle name="Normal 42 2 2" xfId="18737"/>
    <cellStyle name="Normal 42 3" xfId="18738"/>
    <cellStyle name="Normal 43" xfId="18739"/>
    <cellStyle name="Normal 43 2" xfId="18740"/>
    <cellStyle name="Normal 43 2 2" xfId="18741"/>
    <cellStyle name="Normal 43 3" xfId="18742"/>
    <cellStyle name="Normal 44" xfId="18743"/>
    <cellStyle name="Normal 44 2" xfId="18744"/>
    <cellStyle name="Normal 44 2 2" xfId="18745"/>
    <cellStyle name="Normal 44 3" xfId="18746"/>
    <cellStyle name="Normal 45" xfId="18747"/>
    <cellStyle name="Normal 45 2" xfId="18748"/>
    <cellStyle name="Normal 45 2 2" xfId="18749"/>
    <cellStyle name="Normal 45 3" xfId="18750"/>
    <cellStyle name="Normal 46" xfId="18751"/>
    <cellStyle name="Normal 46 2" xfId="18752"/>
    <cellStyle name="Normal 46 2 2" xfId="18753"/>
    <cellStyle name="Normal 46 3" xfId="18754"/>
    <cellStyle name="Normal 47" xfId="18755"/>
    <cellStyle name="Normal 47 2" xfId="18756"/>
    <cellStyle name="Normal 47 2 2" xfId="18757"/>
    <cellStyle name="Normal 47 3" xfId="18758"/>
    <cellStyle name="Normal 48" xfId="18759"/>
    <cellStyle name="Normal 48 2" xfId="18760"/>
    <cellStyle name="Normal 48 2 2" xfId="18761"/>
    <cellStyle name="Normal 48 3" xfId="18762"/>
    <cellStyle name="Normal 49" xfId="18763"/>
    <cellStyle name="Normal 49 2" xfId="18764"/>
    <cellStyle name="Normal 49 2 2" xfId="18765"/>
    <cellStyle name="Normal 49 3" xfId="18766"/>
    <cellStyle name="Normal 5" xfId="18767"/>
    <cellStyle name="Normal 5 10" xfId="18768"/>
    <cellStyle name="Normal 5 10 2" xfId="18769"/>
    <cellStyle name="Normal 5 11" xfId="18770"/>
    <cellStyle name="Normal 5 11 2" xfId="18771"/>
    <cellStyle name="Normal 5 12" xfId="18772"/>
    <cellStyle name="Normal 5 12 2" xfId="18773"/>
    <cellStyle name="Normal 5 13" xfId="18774"/>
    <cellStyle name="Normal 5 13 2" xfId="18775"/>
    <cellStyle name="Normal 5 14" xfId="18776"/>
    <cellStyle name="Normal 5 14 2" xfId="18777"/>
    <cellStyle name="Normal 5 15" xfId="18778"/>
    <cellStyle name="Normal 5 15 2" xfId="18779"/>
    <cellStyle name="Normal 5 16" xfId="18780"/>
    <cellStyle name="Normal 5 16 2" xfId="18781"/>
    <cellStyle name="Normal 5 17" xfId="18782"/>
    <cellStyle name="Normal 5 17 2" xfId="18783"/>
    <cellStyle name="Normal 5 18" xfId="18784"/>
    <cellStyle name="Normal 5 18 2" xfId="18785"/>
    <cellStyle name="Normal 5 19" xfId="18786"/>
    <cellStyle name="Normal 5 19 2" xfId="18787"/>
    <cellStyle name="Normal 5 2" xfId="18788"/>
    <cellStyle name="Normal 5 2 2" xfId="18789"/>
    <cellStyle name="Normal 5 20" xfId="18790"/>
    <cellStyle name="Normal 5 20 2" xfId="18791"/>
    <cellStyle name="Normal 5 21" xfId="18792"/>
    <cellStyle name="Normal 5 21 2" xfId="18793"/>
    <cellStyle name="Normal 5 22" xfId="18794"/>
    <cellStyle name="Normal 5 22 2" xfId="18795"/>
    <cellStyle name="Normal 5 23" xfId="18796"/>
    <cellStyle name="Normal 5 23 2" xfId="18797"/>
    <cellStyle name="Normal 5 24" xfId="18798"/>
    <cellStyle name="Normal 5 24 2" xfId="18799"/>
    <cellStyle name="Normal 5 25" xfId="18800"/>
    <cellStyle name="Normal 5 25 2" xfId="18801"/>
    <cellStyle name="Normal 5 26" xfId="18802"/>
    <cellStyle name="Normal 5 26 2" xfId="18803"/>
    <cellStyle name="Normal 5 27" xfId="18804"/>
    <cellStyle name="Normal 5 27 2" xfId="18805"/>
    <cellStyle name="Normal 5 28" xfId="18806"/>
    <cellStyle name="Normal 5 28 2" xfId="18807"/>
    <cellStyle name="Normal 5 29" xfId="18808"/>
    <cellStyle name="Normal 5 29 2" xfId="18809"/>
    <cellStyle name="Normal 5 3" xfId="18810"/>
    <cellStyle name="Normal 5 3 2" xfId="18811"/>
    <cellStyle name="Normal 5 30" xfId="18812"/>
    <cellStyle name="Normal 5 30 2" xfId="18813"/>
    <cellStyle name="Normal 5 31" xfId="18814"/>
    <cellStyle name="Normal 5 31 2" xfId="18815"/>
    <cellStyle name="Normal 5 32" xfId="18816"/>
    <cellStyle name="Normal 5 32 2" xfId="18817"/>
    <cellStyle name="Normal 5 33" xfId="18818"/>
    <cellStyle name="Normal 5 33 2" xfId="18819"/>
    <cellStyle name="Normal 5 34" xfId="18820"/>
    <cellStyle name="Normal 5 34 2" xfId="18821"/>
    <cellStyle name="Normal 5 35" xfId="18822"/>
    <cellStyle name="Normal 5 35 2" xfId="18823"/>
    <cellStyle name="Normal 5 36" xfId="18824"/>
    <cellStyle name="Normal 5 36 2" xfId="18825"/>
    <cellStyle name="Normal 5 37" xfId="18826"/>
    <cellStyle name="Normal 5 37 2" xfId="18827"/>
    <cellStyle name="Normal 5 38" xfId="18828"/>
    <cellStyle name="Normal 5 38 2" xfId="18829"/>
    <cellStyle name="Normal 5 39" xfId="18830"/>
    <cellStyle name="Normal 5 39 2" xfId="18831"/>
    <cellStyle name="Normal 5 4" xfId="18832"/>
    <cellStyle name="Normal 5 4 2" xfId="18833"/>
    <cellStyle name="Normal 5 40" xfId="18834"/>
    <cellStyle name="Normal 5 40 2" xfId="18835"/>
    <cellStyle name="Normal 5 41" xfId="18836"/>
    <cellStyle name="Normal 5 41 2" xfId="18837"/>
    <cellStyle name="Normal 5 42" xfId="18838"/>
    <cellStyle name="Normal 5 42 2" xfId="18839"/>
    <cellStyle name="Normal 5 43" xfId="18840"/>
    <cellStyle name="Normal 5 43 2" xfId="18841"/>
    <cellStyle name="Normal 5 44" xfId="18842"/>
    <cellStyle name="Normal 5 44 2" xfId="18843"/>
    <cellStyle name="Normal 5 45" xfId="18844"/>
    <cellStyle name="Normal 5 45 2" xfId="18845"/>
    <cellStyle name="Normal 5 46" xfId="18846"/>
    <cellStyle name="Normal 5 46 2" xfId="18847"/>
    <cellStyle name="Normal 5 47" xfId="18848"/>
    <cellStyle name="Normal 5 47 2" xfId="18849"/>
    <cellStyle name="Normal 5 48" xfId="18850"/>
    <cellStyle name="Normal 5 48 2" xfId="18851"/>
    <cellStyle name="Normal 5 49" xfId="18852"/>
    <cellStyle name="Normal 5 5" xfId="18853"/>
    <cellStyle name="Normal 5 5 2" xfId="18854"/>
    <cellStyle name="Normal 5 6" xfId="18855"/>
    <cellStyle name="Normal 5 6 2" xfId="18856"/>
    <cellStyle name="Normal 5 7" xfId="18857"/>
    <cellStyle name="Normal 5 7 2" xfId="18858"/>
    <cellStyle name="Normal 5 8" xfId="18859"/>
    <cellStyle name="Normal 5 8 2" xfId="18860"/>
    <cellStyle name="Normal 5 9" xfId="18861"/>
    <cellStyle name="Normal 5 9 2" xfId="18862"/>
    <cellStyle name="Normal 50" xfId="18863"/>
    <cellStyle name="Normal 50 2" xfId="18864"/>
    <cellStyle name="Normal 50 2 2" xfId="18865"/>
    <cellStyle name="Normal 50 3" xfId="18866"/>
    <cellStyle name="Normal 51" xfId="18867"/>
    <cellStyle name="Normal 51 2" xfId="18868"/>
    <cellStyle name="Normal 51 2 2" xfId="18869"/>
    <cellStyle name="Normal 51 3" xfId="18870"/>
    <cellStyle name="Normal 52" xfId="18871"/>
    <cellStyle name="Normal 52 2" xfId="18872"/>
    <cellStyle name="Normal 52 2 2" xfId="18873"/>
    <cellStyle name="Normal 52 3" xfId="18874"/>
    <cellStyle name="Normal 53" xfId="18875"/>
    <cellStyle name="Normal 53 2" xfId="18876"/>
    <cellStyle name="Normal 53 2 2" xfId="18877"/>
    <cellStyle name="Normal 53 3" xfId="18878"/>
    <cellStyle name="Normal 54" xfId="18879"/>
    <cellStyle name="Normal 54 2" xfId="18880"/>
    <cellStyle name="Normal 54 2 2" xfId="18881"/>
    <cellStyle name="Normal 54 22" xfId="18882"/>
    <cellStyle name="Normal 54 22 2" xfId="18883"/>
    <cellStyle name="Normal 54 22 2 2" xfId="18884"/>
    <cellStyle name="Normal 54 22 3" xfId="18885"/>
    <cellStyle name="Normal 54 3" xfId="18886"/>
    <cellStyle name="Normal 54 3 2" xfId="18887"/>
    <cellStyle name="Normal 54 4" xfId="18888"/>
    <cellStyle name="Normal 54 5" xfId="18889"/>
    <cellStyle name="Normal 54 5 2" xfId="18890"/>
    <cellStyle name="Normal 54 5 2 2" xfId="18891"/>
    <cellStyle name="Normal 54 5 3" xfId="18892"/>
    <cellStyle name="Normal 54 6" xfId="18893"/>
    <cellStyle name="Normal 55" xfId="18894"/>
    <cellStyle name="Normal 55 2" xfId="18895"/>
    <cellStyle name="Normal 55 2 2" xfId="18896"/>
    <cellStyle name="Normal 55 3" xfId="18897"/>
    <cellStyle name="Normal 56" xfId="18898"/>
    <cellStyle name="Normal 56 2" xfId="18899"/>
    <cellStyle name="Normal 56 2 2" xfId="18900"/>
    <cellStyle name="Normal 56 3" xfId="18901"/>
    <cellStyle name="Normal 57" xfId="18902"/>
    <cellStyle name="Normal 57 2" xfId="18903"/>
    <cellStyle name="Normal 57 2 2" xfId="18904"/>
    <cellStyle name="Normal 57 3" xfId="18905"/>
    <cellStyle name="Normal 58" xfId="18906"/>
    <cellStyle name="Normal 58 2" xfId="18907"/>
    <cellStyle name="Normal 58 2 2" xfId="18908"/>
    <cellStyle name="Normal 58 3" xfId="18909"/>
    <cellStyle name="Normal 59" xfId="18910"/>
    <cellStyle name="Normal 59 2" xfId="18911"/>
    <cellStyle name="Normal 59 2 2" xfId="18912"/>
    <cellStyle name="Normal 59 3" xfId="18913"/>
    <cellStyle name="Normal 6" xfId="18914"/>
    <cellStyle name="Normal 6 10" xfId="18915"/>
    <cellStyle name="Normal 6 10 2" xfId="18916"/>
    <cellStyle name="Normal 6 11" xfId="18917"/>
    <cellStyle name="Normal 6 11 2" xfId="18918"/>
    <cellStyle name="Normal 6 12" xfId="18919"/>
    <cellStyle name="Normal 6 12 2" xfId="18920"/>
    <cellStyle name="Normal 6 13" xfId="18921"/>
    <cellStyle name="Normal 6 13 2" xfId="18922"/>
    <cellStyle name="Normal 6 14" xfId="18923"/>
    <cellStyle name="Normal 6 14 2" xfId="18924"/>
    <cellStyle name="Normal 6 15" xfId="18925"/>
    <cellStyle name="Normal 6 15 2" xfId="18926"/>
    <cellStyle name="Normal 6 16" xfId="18927"/>
    <cellStyle name="Normal 6 16 2" xfId="18928"/>
    <cellStyle name="Normal 6 17" xfId="18929"/>
    <cellStyle name="Normal 6 17 2" xfId="18930"/>
    <cellStyle name="Normal 6 18" xfId="18931"/>
    <cellStyle name="Normal 6 18 2" xfId="18932"/>
    <cellStyle name="Normal 6 19" xfId="18933"/>
    <cellStyle name="Normal 6 19 2" xfId="18934"/>
    <cellStyle name="Normal 6 2" xfId="18935"/>
    <cellStyle name="Normal 6 2 2" xfId="18936"/>
    <cellStyle name="Normal 6 20" xfId="18937"/>
    <cellStyle name="Normal 6 20 2" xfId="18938"/>
    <cellStyle name="Normal 6 21" xfId="18939"/>
    <cellStyle name="Normal 6 21 2" xfId="18940"/>
    <cellStyle name="Normal 6 22" xfId="18941"/>
    <cellStyle name="Normal 6 22 2" xfId="18942"/>
    <cellStyle name="Normal 6 23" xfId="18943"/>
    <cellStyle name="Normal 6 23 2" xfId="18944"/>
    <cellStyle name="Normal 6 24" xfId="18945"/>
    <cellStyle name="Normal 6 24 2" xfId="18946"/>
    <cellStyle name="Normal 6 25" xfId="18947"/>
    <cellStyle name="Normal 6 25 2" xfId="18948"/>
    <cellStyle name="Normal 6 26" xfId="18949"/>
    <cellStyle name="Normal 6 26 2" xfId="18950"/>
    <cellStyle name="Normal 6 27" xfId="18951"/>
    <cellStyle name="Normal 6 27 2" xfId="18952"/>
    <cellStyle name="Normal 6 28" xfId="18953"/>
    <cellStyle name="Normal 6 28 2" xfId="18954"/>
    <cellStyle name="Normal 6 29" xfId="18955"/>
    <cellStyle name="Normal 6 29 2" xfId="18956"/>
    <cellStyle name="Normal 6 3" xfId="18957"/>
    <cellStyle name="Normal 6 3 2" xfId="18958"/>
    <cellStyle name="Normal 6 30" xfId="18959"/>
    <cellStyle name="Normal 6 30 2" xfId="18960"/>
    <cellStyle name="Normal 6 31" xfId="18961"/>
    <cellStyle name="Normal 6 31 2" xfId="18962"/>
    <cellStyle name="Normal 6 32" xfId="18963"/>
    <cellStyle name="Normal 6 32 2" xfId="18964"/>
    <cellStyle name="Normal 6 33" xfId="18965"/>
    <cellStyle name="Normal 6 33 2" xfId="18966"/>
    <cellStyle name="Normal 6 34" xfId="18967"/>
    <cellStyle name="Normal 6 34 2" xfId="18968"/>
    <cellStyle name="Normal 6 35" xfId="18969"/>
    <cellStyle name="Normal 6 35 2" xfId="18970"/>
    <cellStyle name="Normal 6 36" xfId="18971"/>
    <cellStyle name="Normal 6 36 2" xfId="18972"/>
    <cellStyle name="Normal 6 37" xfId="18973"/>
    <cellStyle name="Normal 6 37 2" xfId="18974"/>
    <cellStyle name="Normal 6 38" xfId="18975"/>
    <cellStyle name="Normal 6 38 2" xfId="18976"/>
    <cellStyle name="Normal 6 39" xfId="18977"/>
    <cellStyle name="Normal 6 39 2" xfId="18978"/>
    <cellStyle name="Normal 6 4" xfId="18979"/>
    <cellStyle name="Normal 6 4 2" xfId="18980"/>
    <cellStyle name="Normal 6 40" xfId="18981"/>
    <cellStyle name="Normal 6 40 2" xfId="18982"/>
    <cellStyle name="Normal 6 41" xfId="18983"/>
    <cellStyle name="Normal 6 41 2" xfId="18984"/>
    <cellStyle name="Normal 6 42" xfId="18985"/>
    <cellStyle name="Normal 6 42 2" xfId="18986"/>
    <cellStyle name="Normal 6 43" xfId="18987"/>
    <cellStyle name="Normal 6 43 2" xfId="18988"/>
    <cellStyle name="Normal 6 44" xfId="18989"/>
    <cellStyle name="Normal 6 44 2" xfId="18990"/>
    <cellStyle name="Normal 6 45" xfId="18991"/>
    <cellStyle name="Normal 6 45 2" xfId="18992"/>
    <cellStyle name="Normal 6 46" xfId="18993"/>
    <cellStyle name="Normal 6 46 2" xfId="18994"/>
    <cellStyle name="Normal 6 47" xfId="18995"/>
    <cellStyle name="Normal 6 47 2" xfId="18996"/>
    <cellStyle name="Normal 6 48" xfId="18997"/>
    <cellStyle name="Normal 6 48 2" xfId="18998"/>
    <cellStyle name="Normal 6 49" xfId="18999"/>
    <cellStyle name="Normal 6 5" xfId="19000"/>
    <cellStyle name="Normal 6 5 2" xfId="19001"/>
    <cellStyle name="Normal 6 6" xfId="19002"/>
    <cellStyle name="Normal 6 6 2" xfId="19003"/>
    <cellStyle name="Normal 6 7" xfId="19004"/>
    <cellStyle name="Normal 6 7 2" xfId="19005"/>
    <cellStyle name="Normal 6 8" xfId="19006"/>
    <cellStyle name="Normal 6 8 2" xfId="19007"/>
    <cellStyle name="Normal 6 9" xfId="19008"/>
    <cellStyle name="Normal 6 9 2" xfId="19009"/>
    <cellStyle name="Normal 60" xfId="19010"/>
    <cellStyle name="Normal 60 2" xfId="19011"/>
    <cellStyle name="Normal 60 2 2" xfId="19012"/>
    <cellStyle name="Normal 60 2 2 2" xfId="19013"/>
    <cellStyle name="Normal 60 2 3" xfId="19014"/>
    <cellStyle name="Normal 60 3" xfId="19015"/>
    <cellStyle name="Normal 61" xfId="19016"/>
    <cellStyle name="Normal 61 2" xfId="19017"/>
    <cellStyle name="Normal 61 2 2" xfId="19018"/>
    <cellStyle name="Normal 61 2 2 2" xfId="19019"/>
    <cellStyle name="Normal 61 2 3" xfId="19020"/>
    <cellStyle name="Normal 61 3" xfId="19021"/>
    <cellStyle name="Normal 62" xfId="19022"/>
    <cellStyle name="Normal 62 2" xfId="19023"/>
    <cellStyle name="Normal 62 2 2" xfId="19024"/>
    <cellStyle name="Normal 62 2 2 2" xfId="19025"/>
    <cellStyle name="Normal 62 2 3" xfId="19026"/>
    <cellStyle name="Normal 62 3" xfId="19027"/>
    <cellStyle name="Normal 63" xfId="19028"/>
    <cellStyle name="Normal 63 2" xfId="19029"/>
    <cellStyle name="Normal 63 2 2" xfId="19030"/>
    <cellStyle name="Normal 63 2 2 2" xfId="19031"/>
    <cellStyle name="Normal 63 2 3" xfId="19032"/>
    <cellStyle name="Normal 63 3" xfId="19033"/>
    <cellStyle name="Normal 64" xfId="19034"/>
    <cellStyle name="Normal 64 2" xfId="19035"/>
    <cellStyle name="Normal 64 2 2" xfId="19036"/>
    <cellStyle name="Normal 64 3" xfId="19037"/>
    <cellStyle name="Normal 65" xfId="19038"/>
    <cellStyle name="Normal 65 2" xfId="19039"/>
    <cellStyle name="Normal 65 2 2" xfId="19040"/>
    <cellStyle name="Normal 65 2 2 2" xfId="19041"/>
    <cellStyle name="Normal 65 2 3" xfId="19042"/>
    <cellStyle name="Normal 65 3" xfId="19043"/>
    <cellStyle name="Normal 66" xfId="19044"/>
    <cellStyle name="Normal 66 2" xfId="19045"/>
    <cellStyle name="Normal 66 2 2" xfId="19046"/>
    <cellStyle name="Normal 66 3" xfId="19047"/>
    <cellStyle name="Normal 67" xfId="19048"/>
    <cellStyle name="Normal 67 2" xfId="19049"/>
    <cellStyle name="Normal 68" xfId="19050"/>
    <cellStyle name="Normal 68 2" xfId="19051"/>
    <cellStyle name="Normal 69" xfId="19052"/>
    <cellStyle name="Normal 69 2" xfId="19053"/>
    <cellStyle name="Normal 69 2 2" xfId="19054"/>
    <cellStyle name="Normal 69 3" xfId="19055"/>
    <cellStyle name="Normal 7" xfId="19056"/>
    <cellStyle name="Normal 7 10" xfId="19057"/>
    <cellStyle name="Normal 7 10 2" xfId="19058"/>
    <cellStyle name="Normal 7 11" xfId="19059"/>
    <cellStyle name="Normal 7 11 2" xfId="19060"/>
    <cellStyle name="Normal 7 12" xfId="19061"/>
    <cellStyle name="Normal 7 12 2" xfId="19062"/>
    <cellStyle name="Normal 7 13" xfId="19063"/>
    <cellStyle name="Normal 7 13 2" xfId="19064"/>
    <cellStyle name="Normal 7 14" xfId="19065"/>
    <cellStyle name="Normal 7 14 2" xfId="19066"/>
    <cellStyle name="Normal 7 15" xfId="19067"/>
    <cellStyle name="Normal 7 15 2" xfId="19068"/>
    <cellStyle name="Normal 7 16" xfId="19069"/>
    <cellStyle name="Normal 7 16 2" xfId="19070"/>
    <cellStyle name="Normal 7 17" xfId="19071"/>
    <cellStyle name="Normal 7 17 2" xfId="19072"/>
    <cellStyle name="Normal 7 18" xfId="19073"/>
    <cellStyle name="Normal 7 18 2" xfId="19074"/>
    <cellStyle name="Normal 7 19" xfId="19075"/>
    <cellStyle name="Normal 7 19 2" xfId="19076"/>
    <cellStyle name="Normal 7 2" xfId="19077"/>
    <cellStyle name="Normal 7 2 2" xfId="19078"/>
    <cellStyle name="Normal 7 20" xfId="19079"/>
    <cellStyle name="Normal 7 20 2" xfId="19080"/>
    <cellStyle name="Normal 7 21" xfId="19081"/>
    <cellStyle name="Normal 7 21 2" xfId="19082"/>
    <cellStyle name="Normal 7 22" xfId="19083"/>
    <cellStyle name="Normal 7 22 2" xfId="19084"/>
    <cellStyle name="Normal 7 23" xfId="19085"/>
    <cellStyle name="Normal 7 23 2" xfId="19086"/>
    <cellStyle name="Normal 7 24" xfId="19087"/>
    <cellStyle name="Normal 7 24 2" xfId="19088"/>
    <cellStyle name="Normal 7 25" xfId="19089"/>
    <cellStyle name="Normal 7 25 2" xfId="19090"/>
    <cellStyle name="Normal 7 26" xfId="19091"/>
    <cellStyle name="Normal 7 26 2" xfId="19092"/>
    <cellStyle name="Normal 7 27" xfId="19093"/>
    <cellStyle name="Normal 7 27 2" xfId="19094"/>
    <cellStyle name="Normal 7 28" xfId="19095"/>
    <cellStyle name="Normal 7 28 2" xfId="19096"/>
    <cellStyle name="Normal 7 29" xfId="19097"/>
    <cellStyle name="Normal 7 29 2" xfId="19098"/>
    <cellStyle name="Normal 7 3" xfId="19099"/>
    <cellStyle name="Normal 7 3 2" xfId="19100"/>
    <cellStyle name="Normal 7 30" xfId="19101"/>
    <cellStyle name="Normal 7 30 2" xfId="19102"/>
    <cellStyle name="Normal 7 31" xfId="19103"/>
    <cellStyle name="Normal 7 31 2" xfId="19104"/>
    <cellStyle name="Normal 7 32" xfId="19105"/>
    <cellStyle name="Normal 7 32 2" xfId="19106"/>
    <cellStyle name="Normal 7 33" xfId="19107"/>
    <cellStyle name="Normal 7 33 2" xfId="19108"/>
    <cellStyle name="Normal 7 34" xfId="19109"/>
    <cellStyle name="Normal 7 34 2" xfId="19110"/>
    <cellStyle name="Normal 7 35" xfId="19111"/>
    <cellStyle name="Normal 7 35 2" xfId="19112"/>
    <cellStyle name="Normal 7 36" xfId="19113"/>
    <cellStyle name="Normal 7 36 2" xfId="19114"/>
    <cellStyle name="Normal 7 37" xfId="19115"/>
    <cellStyle name="Normal 7 37 2" xfId="19116"/>
    <cellStyle name="Normal 7 38" xfId="19117"/>
    <cellStyle name="Normal 7 38 2" xfId="19118"/>
    <cellStyle name="Normal 7 39" xfId="19119"/>
    <cellStyle name="Normal 7 39 2" xfId="19120"/>
    <cellStyle name="Normal 7 4" xfId="19121"/>
    <cellStyle name="Normal 7 4 2" xfId="19122"/>
    <cellStyle name="Normal 7 40" xfId="19123"/>
    <cellStyle name="Normal 7 40 2" xfId="19124"/>
    <cellStyle name="Normal 7 41" xfId="19125"/>
    <cellStyle name="Normal 7 41 2" xfId="19126"/>
    <cellStyle name="Normal 7 42" xfId="19127"/>
    <cellStyle name="Normal 7 42 2" xfId="19128"/>
    <cellStyle name="Normal 7 43" xfId="19129"/>
    <cellStyle name="Normal 7 43 2" xfId="19130"/>
    <cellStyle name="Normal 7 44" xfId="19131"/>
    <cellStyle name="Normal 7 44 2" xfId="19132"/>
    <cellStyle name="Normal 7 45" xfId="19133"/>
    <cellStyle name="Normal 7 45 2" xfId="19134"/>
    <cellStyle name="Normal 7 46" xfId="19135"/>
    <cellStyle name="Normal 7 46 2" xfId="19136"/>
    <cellStyle name="Normal 7 47" xfId="19137"/>
    <cellStyle name="Normal 7 47 2" xfId="19138"/>
    <cellStyle name="Normal 7 48" xfId="19139"/>
    <cellStyle name="Normal 7 48 2" xfId="19140"/>
    <cellStyle name="Normal 7 49" xfId="19141"/>
    <cellStyle name="Normal 7 49 2" xfId="19142"/>
    <cellStyle name="Normal 7 5" xfId="19143"/>
    <cellStyle name="Normal 7 5 2" xfId="19144"/>
    <cellStyle name="Normal 7 50" xfId="19145"/>
    <cellStyle name="Normal 7 50 2" xfId="19146"/>
    <cellStyle name="Normal 7 51" xfId="19147"/>
    <cellStyle name="Normal 7 6" xfId="19148"/>
    <cellStyle name="Normal 7 6 2" xfId="19149"/>
    <cellStyle name="Normal 7 7" xfId="19150"/>
    <cellStyle name="Normal 7 7 2" xfId="19151"/>
    <cellStyle name="Normal 7 8" xfId="19152"/>
    <cellStyle name="Normal 7 8 2" xfId="19153"/>
    <cellStyle name="Normal 7 9" xfId="19154"/>
    <cellStyle name="Normal 7 9 2" xfId="19155"/>
    <cellStyle name="Normal 70" xfId="19156"/>
    <cellStyle name="Normal 70 2" xfId="19157"/>
    <cellStyle name="Normal 70 2 2" xfId="19158"/>
    <cellStyle name="Normal 70 3" xfId="19159"/>
    <cellStyle name="Normal 71" xfId="19160"/>
    <cellStyle name="Normal 71 2" xfId="19161"/>
    <cellStyle name="Normal 72" xfId="19162"/>
    <cellStyle name="Normal 72 2" xfId="19163"/>
    <cellStyle name="Normal 72 2 2" xfId="19164"/>
    <cellStyle name="Normal 72 3" xfId="19165"/>
    <cellStyle name="Normal 73" xfId="19166"/>
    <cellStyle name="Normal 73 2" xfId="19167"/>
    <cellStyle name="Normal 73 2 2" xfId="19168"/>
    <cellStyle name="Normal 73 3" xfId="19169"/>
    <cellStyle name="Normal 74" xfId="19170"/>
    <cellStyle name="Normal 74 2" xfId="19171"/>
    <cellStyle name="Normal 75" xfId="19172"/>
    <cellStyle name="Normal 75 2" xfId="19173"/>
    <cellStyle name="Normal 75 2 2" xfId="19174"/>
    <cellStyle name="Normal 75 22" xfId="19175"/>
    <cellStyle name="Normal 75 22 2" xfId="19176"/>
    <cellStyle name="Normal 75 22 2 2" xfId="19177"/>
    <cellStyle name="Normal 75 22 3" xfId="19178"/>
    <cellStyle name="Normal 75 3" xfId="19179"/>
    <cellStyle name="Normal 76" xfId="19180"/>
    <cellStyle name="Normal 76 2" xfId="19181"/>
    <cellStyle name="Normal 76 2 2" xfId="18"/>
    <cellStyle name="Normal 76 3" xfId="19182"/>
    <cellStyle name="Normal 77" xfId="19183"/>
    <cellStyle name="Normal 77 2" xfId="19184"/>
    <cellStyle name="Normal 77 2 2" xfId="11"/>
    <cellStyle name="Normal 77 3" xfId="19185"/>
    <cellStyle name="Normal 78" xfId="19186"/>
    <cellStyle name="Normal 78 2" xfId="19187"/>
    <cellStyle name="Normal 79" xfId="19188"/>
    <cellStyle name="Normal 79 2" xfId="19189"/>
    <cellStyle name="Normal 79 2 2" xfId="23"/>
    <cellStyle name="Normal 79 3" xfId="19190"/>
    <cellStyle name="Normal 8" xfId="19191"/>
    <cellStyle name="Normal 8 10" xfId="19192"/>
    <cellStyle name="Normal 8 10 2" xfId="19193"/>
    <cellStyle name="Normal 8 11" xfId="19194"/>
    <cellStyle name="Normal 8 11 2" xfId="19195"/>
    <cellStyle name="Normal 8 12" xfId="19196"/>
    <cellStyle name="Normal 8 12 2" xfId="19197"/>
    <cellStyle name="Normal 8 13" xfId="19198"/>
    <cellStyle name="Normal 8 13 2" xfId="19199"/>
    <cellStyle name="Normal 8 14" xfId="19200"/>
    <cellStyle name="Normal 8 14 2" xfId="19201"/>
    <cellStyle name="Normal 8 15" xfId="19202"/>
    <cellStyle name="Normal 8 15 2" xfId="19203"/>
    <cellStyle name="Normal 8 16" xfId="19204"/>
    <cellStyle name="Normal 8 16 2" xfId="19205"/>
    <cellStyle name="Normal 8 17" xfId="19206"/>
    <cellStyle name="Normal 8 17 2" xfId="19207"/>
    <cellStyle name="Normal 8 18" xfId="19208"/>
    <cellStyle name="Normal 8 18 2" xfId="19209"/>
    <cellStyle name="Normal 8 19" xfId="19210"/>
    <cellStyle name="Normal 8 19 2" xfId="19211"/>
    <cellStyle name="Normal 8 2" xfId="19212"/>
    <cellStyle name="Normal 8 2 2" xfId="19213"/>
    <cellStyle name="Normal 8 20" xfId="19214"/>
    <cellStyle name="Normal 8 20 2" xfId="19215"/>
    <cellStyle name="Normal 8 21" xfId="19216"/>
    <cellStyle name="Normal 8 21 2" xfId="19217"/>
    <cellStyle name="Normal 8 22" xfId="19218"/>
    <cellStyle name="Normal 8 22 2" xfId="19219"/>
    <cellStyle name="Normal 8 23" xfId="19220"/>
    <cellStyle name="Normal 8 23 2" xfId="19221"/>
    <cellStyle name="Normal 8 24" xfId="19222"/>
    <cellStyle name="Normal 8 24 2" xfId="19223"/>
    <cellStyle name="Normal 8 25" xfId="19224"/>
    <cellStyle name="Normal 8 25 2" xfId="19225"/>
    <cellStyle name="Normal 8 26" xfId="19226"/>
    <cellStyle name="Normal 8 26 2" xfId="19227"/>
    <cellStyle name="Normal 8 27" xfId="19228"/>
    <cellStyle name="Normal 8 27 2" xfId="19229"/>
    <cellStyle name="Normal 8 28" xfId="19230"/>
    <cellStyle name="Normal 8 28 2" xfId="19231"/>
    <cellStyle name="Normal 8 29" xfId="19232"/>
    <cellStyle name="Normal 8 29 2" xfId="19233"/>
    <cellStyle name="Normal 8 3" xfId="19234"/>
    <cellStyle name="Normal 8 3 2" xfId="19235"/>
    <cellStyle name="Normal 8 30" xfId="19236"/>
    <cellStyle name="Normal 8 30 2" xfId="19237"/>
    <cellStyle name="Normal 8 31" xfId="19238"/>
    <cellStyle name="Normal 8 31 2" xfId="19239"/>
    <cellStyle name="Normal 8 32" xfId="19240"/>
    <cellStyle name="Normal 8 32 2" xfId="19241"/>
    <cellStyle name="Normal 8 33" xfId="19242"/>
    <cellStyle name="Normal 8 33 2" xfId="19243"/>
    <cellStyle name="Normal 8 34" xfId="19244"/>
    <cellStyle name="Normal 8 34 2" xfId="19245"/>
    <cellStyle name="Normal 8 35" xfId="19246"/>
    <cellStyle name="Normal 8 35 2" xfId="19247"/>
    <cellStyle name="Normal 8 36" xfId="19248"/>
    <cellStyle name="Normal 8 36 2" xfId="19249"/>
    <cellStyle name="Normal 8 37" xfId="19250"/>
    <cellStyle name="Normal 8 37 2" xfId="19251"/>
    <cellStyle name="Normal 8 38" xfId="19252"/>
    <cellStyle name="Normal 8 38 2" xfId="19253"/>
    <cellStyle name="Normal 8 39" xfId="19254"/>
    <cellStyle name="Normal 8 39 2" xfId="19255"/>
    <cellStyle name="Normal 8 4" xfId="19256"/>
    <cellStyle name="Normal 8 4 2" xfId="19257"/>
    <cellStyle name="Normal 8 40" xfId="19258"/>
    <cellStyle name="Normal 8 40 2" xfId="19259"/>
    <cellStyle name="Normal 8 41" xfId="19260"/>
    <cellStyle name="Normal 8 41 2" xfId="19261"/>
    <cellStyle name="Normal 8 42" xfId="19262"/>
    <cellStyle name="Normal 8 42 2" xfId="19263"/>
    <cellStyle name="Normal 8 43" xfId="19264"/>
    <cellStyle name="Normal 8 43 2" xfId="19265"/>
    <cellStyle name="Normal 8 44" xfId="19266"/>
    <cellStyle name="Normal 8 44 2" xfId="19267"/>
    <cellStyle name="Normal 8 45" xfId="19268"/>
    <cellStyle name="Normal 8 45 2" xfId="19269"/>
    <cellStyle name="Normal 8 46" xfId="19270"/>
    <cellStyle name="Normal 8 46 2" xfId="19271"/>
    <cellStyle name="Normal 8 47" xfId="19272"/>
    <cellStyle name="Normal 8 47 2" xfId="19273"/>
    <cellStyle name="Normal 8 48" xfId="19274"/>
    <cellStyle name="Normal 8 48 2" xfId="19275"/>
    <cellStyle name="Normal 8 49" xfId="19276"/>
    <cellStyle name="Normal 8 5" xfId="19277"/>
    <cellStyle name="Normal 8 5 2" xfId="19278"/>
    <cellStyle name="Normal 8 6" xfId="19279"/>
    <cellStyle name="Normal 8 6 2" xfId="19280"/>
    <cellStyle name="Normal 8 7" xfId="19281"/>
    <cellStyle name="Normal 8 7 2" xfId="19282"/>
    <cellStyle name="Normal 8 8" xfId="19283"/>
    <cellStyle name="Normal 8 8 2" xfId="19284"/>
    <cellStyle name="Normal 8 9" xfId="19285"/>
    <cellStyle name="Normal 8 9 2" xfId="19286"/>
    <cellStyle name="Normal 80" xfId="19287"/>
    <cellStyle name="Normal 80 2" xfId="19288"/>
    <cellStyle name="Normal 80 2 2" xfId="19289"/>
    <cellStyle name="Normal 80 3" xfId="19290"/>
    <cellStyle name="Normal 81" xfId="19291"/>
    <cellStyle name="Normal 81 2" xfId="19292"/>
    <cellStyle name="Normal 81 2 2" xfId="19293"/>
    <cellStyle name="Normal 81 3" xfId="19294"/>
    <cellStyle name="Normal 82" xfId="19295"/>
    <cellStyle name="Normal 82 2" xfId="19296"/>
    <cellStyle name="Normal 83" xfId="19297"/>
    <cellStyle name="Normal 83 2" xfId="19298"/>
    <cellStyle name="Normal 84" xfId="19299"/>
    <cellStyle name="Normal 84 2" xfId="19300"/>
    <cellStyle name="Normal 84 2 2" xfId="19301"/>
    <cellStyle name="Normal 84 2 2 2" xfId="19302"/>
    <cellStyle name="Normal 84 2 3" xfId="19303"/>
    <cellStyle name="Normal 84 3" xfId="19304"/>
    <cellStyle name="Normal 84 4" xfId="19305"/>
    <cellStyle name="Normal 85" xfId="19306"/>
    <cellStyle name="Normal 85 2" xfId="19307"/>
    <cellStyle name="Normal 85 2 2" xfId="19308"/>
    <cellStyle name="Normal 85 3" xfId="19309"/>
    <cellStyle name="Normal 85 3 2" xfId="19310"/>
    <cellStyle name="Normal 85 4" xfId="19311"/>
    <cellStyle name="Normal 85 5" xfId="19312"/>
    <cellStyle name="Normal 85 5 2" xfId="19313"/>
    <cellStyle name="Normal 85 5 2 2" xfId="19314"/>
    <cellStyle name="Normal 85 5 3" xfId="19315"/>
    <cellStyle name="Normal 85 6" xfId="19316"/>
    <cellStyle name="Normal 86" xfId="19317"/>
    <cellStyle name="Normal 86 2" xfId="19318"/>
    <cellStyle name="Normal 86 2 2" xfId="19319"/>
    <cellStyle name="Normal 86 3" xfId="19320"/>
    <cellStyle name="Normal 86 3 2" xfId="19321"/>
    <cellStyle name="Normal 86 4" xfId="19322"/>
    <cellStyle name="Normal 86 5" xfId="19323"/>
    <cellStyle name="Normal 86 5 2" xfId="19324"/>
    <cellStyle name="Normal 86 5 2 2" xfId="19325"/>
    <cellStyle name="Normal 86 5 3" xfId="19326"/>
    <cellStyle name="Normal 86 6" xfId="19327"/>
    <cellStyle name="Normal 87" xfId="19328"/>
    <cellStyle name="Normal 87 2" xfId="19329"/>
    <cellStyle name="Normal 87 2 2" xfId="2"/>
    <cellStyle name="Normal 87 26" xfId="19330"/>
    <cellStyle name="Normal 87 26 2" xfId="19331"/>
    <cellStyle name="Normal 87 26 2 2" xfId="19332"/>
    <cellStyle name="Normal 87 26 3" xfId="19333"/>
    <cellStyle name="Normal 87 3" xfId="19334"/>
    <cellStyle name="Normal 87 3 2" xfId="19335"/>
    <cellStyle name="Normal 87 4" xfId="19336"/>
    <cellStyle name="Normal 87 5" xfId="19337"/>
    <cellStyle name="Normal 87 5 2" xfId="19338"/>
    <cellStyle name="Normal 87 5 2 2" xfId="19339"/>
    <cellStyle name="Normal 87 5 3" xfId="19340"/>
    <cellStyle name="Normal 87 6" xfId="19341"/>
    <cellStyle name="Normal 87 6 2" xfId="19342"/>
    <cellStyle name="Normal 87 6 2 2" xfId="19343"/>
    <cellStyle name="Normal 87 6 3" xfId="19344"/>
    <cellStyle name="Normal 87 7" xfId="19345"/>
    <cellStyle name="Normal 88" xfId="19346"/>
    <cellStyle name="Normal 88 2" xfId="19347"/>
    <cellStyle name="Normal 88 2 2" xfId="19348"/>
    <cellStyle name="Normal 88 3" xfId="19349"/>
    <cellStyle name="Normal 88 3 2" xfId="19350"/>
    <cellStyle name="Normal 88 4" xfId="19351"/>
    <cellStyle name="Normal 88 5" xfId="19352"/>
    <cellStyle name="Normal 88 5 2" xfId="19353"/>
    <cellStyle name="Normal 88 5 2 2" xfId="19354"/>
    <cellStyle name="Normal 88 5 3" xfId="19355"/>
    <cellStyle name="Normal 88 6" xfId="19356"/>
    <cellStyle name="Normal 89" xfId="19357"/>
    <cellStyle name="Normal 89 2" xfId="19358"/>
    <cellStyle name="Normal 89 2 2" xfId="19359"/>
    <cellStyle name="Normal 89 3" xfId="19360"/>
    <cellStyle name="Normal 89 3 2" xfId="19361"/>
    <cellStyle name="Normal 89 4" xfId="19362"/>
    <cellStyle name="Normal 89 5" xfId="19363"/>
    <cellStyle name="Normal 89 5 2" xfId="19364"/>
    <cellStyle name="Normal 89 5 2 2" xfId="19365"/>
    <cellStyle name="Normal 89 5 3" xfId="19366"/>
    <cellStyle name="Normal 89 6" xfId="19367"/>
    <cellStyle name="Normal 9" xfId="19368"/>
    <cellStyle name="Normal 9 10" xfId="19369"/>
    <cellStyle name="Normal 9 10 2" xfId="19370"/>
    <cellStyle name="Normal 9 11" xfId="19371"/>
    <cellStyle name="Normal 9 11 2" xfId="19372"/>
    <cellStyle name="Normal 9 12" xfId="19373"/>
    <cellStyle name="Normal 9 12 2" xfId="19374"/>
    <cellStyle name="Normal 9 13" xfId="19375"/>
    <cellStyle name="Normal 9 13 2" xfId="19376"/>
    <cellStyle name="Normal 9 14" xfId="19377"/>
    <cellStyle name="Normal 9 14 2" xfId="19378"/>
    <cellStyle name="Normal 9 15" xfId="19379"/>
    <cellStyle name="Normal 9 15 2" xfId="19380"/>
    <cellStyle name="Normal 9 16" xfId="19381"/>
    <cellStyle name="Normal 9 16 2" xfId="19382"/>
    <cellStyle name="Normal 9 17" xfId="19383"/>
    <cellStyle name="Normal 9 17 2" xfId="19384"/>
    <cellStyle name="Normal 9 18" xfId="19385"/>
    <cellStyle name="Normal 9 18 2" xfId="19386"/>
    <cellStyle name="Normal 9 19" xfId="19387"/>
    <cellStyle name="Normal 9 19 2" xfId="19388"/>
    <cellStyle name="Normal 9 2" xfId="19389"/>
    <cellStyle name="Normal 9 2 2" xfId="19390"/>
    <cellStyle name="Normal 9 20" xfId="19391"/>
    <cellStyle name="Normal 9 20 2" xfId="19392"/>
    <cellStyle name="Normal 9 21" xfId="19393"/>
    <cellStyle name="Normal 9 21 2" xfId="19394"/>
    <cellStyle name="Normal 9 22" xfId="19395"/>
    <cellStyle name="Normal 9 22 2" xfId="19396"/>
    <cellStyle name="Normal 9 23" xfId="19397"/>
    <cellStyle name="Normal 9 23 2" xfId="19398"/>
    <cellStyle name="Normal 9 24" xfId="19399"/>
    <cellStyle name="Normal 9 24 2" xfId="19400"/>
    <cellStyle name="Normal 9 25" xfId="19401"/>
    <cellStyle name="Normal 9 25 2" xfId="19402"/>
    <cellStyle name="Normal 9 26" xfId="19403"/>
    <cellStyle name="Normal 9 26 2" xfId="19404"/>
    <cellStyle name="Normal 9 27" xfId="19405"/>
    <cellStyle name="Normal 9 27 2" xfId="19406"/>
    <cellStyle name="Normal 9 28" xfId="19407"/>
    <cellStyle name="Normal 9 28 2" xfId="19408"/>
    <cellStyle name="Normal 9 29" xfId="19409"/>
    <cellStyle name="Normal 9 29 2" xfId="19410"/>
    <cellStyle name="Normal 9 3" xfId="19411"/>
    <cellStyle name="Normal 9 3 2" xfId="19412"/>
    <cellStyle name="Normal 9 30" xfId="19413"/>
    <cellStyle name="Normal 9 30 2" xfId="19414"/>
    <cellStyle name="Normal 9 31" xfId="19415"/>
    <cellStyle name="Normal 9 31 2" xfId="19416"/>
    <cellStyle name="Normal 9 32" xfId="19417"/>
    <cellStyle name="Normal 9 32 2" xfId="19418"/>
    <cellStyle name="Normal 9 33" xfId="19419"/>
    <cellStyle name="Normal 9 33 2" xfId="19420"/>
    <cellStyle name="Normal 9 34" xfId="19421"/>
    <cellStyle name="Normal 9 34 2" xfId="19422"/>
    <cellStyle name="Normal 9 35" xfId="19423"/>
    <cellStyle name="Normal 9 35 2" xfId="19424"/>
    <cellStyle name="Normal 9 36" xfId="19425"/>
    <cellStyle name="Normal 9 36 2" xfId="19426"/>
    <cellStyle name="Normal 9 37" xfId="19427"/>
    <cellStyle name="Normal 9 37 2" xfId="19428"/>
    <cellStyle name="Normal 9 38" xfId="19429"/>
    <cellStyle name="Normal 9 38 2" xfId="19430"/>
    <cellStyle name="Normal 9 39" xfId="19431"/>
    <cellStyle name="Normal 9 39 2" xfId="19432"/>
    <cellStyle name="Normal 9 4" xfId="19433"/>
    <cellStyle name="Normal 9 4 2" xfId="19434"/>
    <cellStyle name="Normal 9 40" xfId="19435"/>
    <cellStyle name="Normal 9 40 2" xfId="19436"/>
    <cellStyle name="Normal 9 41" xfId="19437"/>
    <cellStyle name="Normal 9 41 2" xfId="19438"/>
    <cellStyle name="Normal 9 42" xfId="19439"/>
    <cellStyle name="Normal 9 42 2" xfId="19440"/>
    <cellStyle name="Normal 9 43" xfId="19441"/>
    <cellStyle name="Normal 9 43 2" xfId="19442"/>
    <cellStyle name="Normal 9 44" xfId="19443"/>
    <cellStyle name="Normal 9 44 2" xfId="19444"/>
    <cellStyle name="Normal 9 45" xfId="19445"/>
    <cellStyle name="Normal 9 45 2" xfId="19446"/>
    <cellStyle name="Normal 9 46" xfId="19447"/>
    <cellStyle name="Normal 9 46 2" xfId="19448"/>
    <cellStyle name="Normal 9 47" xfId="19449"/>
    <cellStyle name="Normal 9 47 2" xfId="19450"/>
    <cellStyle name="Normal 9 48" xfId="19451"/>
    <cellStyle name="Normal 9 48 2" xfId="19452"/>
    <cellStyle name="Normal 9 49" xfId="19453"/>
    <cellStyle name="Normal 9 5" xfId="19454"/>
    <cellStyle name="Normal 9 5 2" xfId="19455"/>
    <cellStyle name="Normal 9 6" xfId="19456"/>
    <cellStyle name="Normal 9 6 2" xfId="19457"/>
    <cellStyle name="Normal 9 7" xfId="19458"/>
    <cellStyle name="Normal 9 7 2" xfId="19459"/>
    <cellStyle name="Normal 9 8" xfId="19460"/>
    <cellStyle name="Normal 9 8 2" xfId="19461"/>
    <cellStyle name="Normal 9 9" xfId="19462"/>
    <cellStyle name="Normal 9 9 2" xfId="19463"/>
    <cellStyle name="Normal 90" xfId="19464"/>
    <cellStyle name="Normal 90 2" xfId="19465"/>
    <cellStyle name="Normal 90 2 2" xfId="19466"/>
    <cellStyle name="Normal 90 3" xfId="19467"/>
    <cellStyle name="Normal 90 3 2" xfId="19468"/>
    <cellStyle name="Normal 90 4" xfId="19469"/>
    <cellStyle name="Normal 90 5" xfId="19470"/>
    <cellStyle name="Normal 90 5 2" xfId="19471"/>
    <cellStyle name="Normal 90 5 2 2" xfId="19472"/>
    <cellStyle name="Normal 90 5 3" xfId="19473"/>
    <cellStyle name="Normal 90 6" xfId="19474"/>
    <cellStyle name="Normal 91" xfId="19475"/>
    <cellStyle name="Normal 91 2" xfId="19476"/>
    <cellStyle name="Normal 91 2 2" xfId="19477"/>
    <cellStyle name="Normal 91 3" xfId="19478"/>
    <cellStyle name="Normal 91 3 2" xfId="19479"/>
    <cellStyle name="Normal 91 4" xfId="19480"/>
    <cellStyle name="Normal 91 5" xfId="19481"/>
    <cellStyle name="Normal 91 5 2" xfId="19482"/>
    <cellStyle name="Normal 91 5 2 2" xfId="19483"/>
    <cellStyle name="Normal 91 5 3" xfId="19484"/>
    <cellStyle name="Normal 91 6" xfId="19485"/>
    <cellStyle name="Normal 92" xfId="19486"/>
    <cellStyle name="Normal 92 2" xfId="19487"/>
    <cellStyle name="Normal 92 2 2" xfId="19488"/>
    <cellStyle name="Normal 92 2 2 2" xfId="19489"/>
    <cellStyle name="Normal 92 2 3" xfId="19490"/>
    <cellStyle name="Normal 92 3" xfId="19491"/>
    <cellStyle name="Normal 92 4" xfId="19492"/>
    <cellStyle name="Normal 93" xfId="19493"/>
    <cellStyle name="Normal 93 2" xfId="19494"/>
    <cellStyle name="Normal 93 2 2" xfId="19495"/>
    <cellStyle name="Normal 93 3" xfId="19496"/>
    <cellStyle name="Normal 93 3 2" xfId="19497"/>
    <cellStyle name="Normal 93 4" xfId="19498"/>
    <cellStyle name="Normal 93 5" xfId="19499"/>
    <cellStyle name="Normal 93 5 2" xfId="19500"/>
    <cellStyle name="Normal 93 5 2 2" xfId="19501"/>
    <cellStyle name="Normal 93 5 3" xfId="19502"/>
    <cellStyle name="Normal 93 6" xfId="19503"/>
    <cellStyle name="Normal 94" xfId="19504"/>
    <cellStyle name="Normal 94 2" xfId="19505"/>
    <cellStyle name="Normal 94 2 2" xfId="19506"/>
    <cellStyle name="Normal 94 3" xfId="19507"/>
    <cellStyle name="Normal 94 3 2" xfId="19508"/>
    <cellStyle name="Normal 94 4" xfId="19509"/>
    <cellStyle name="Normal 94 5" xfId="19510"/>
    <cellStyle name="Normal 94 5 2" xfId="19511"/>
    <cellStyle name="Normal 94 5 2 2" xfId="19512"/>
    <cellStyle name="Normal 94 5 3" xfId="19513"/>
    <cellStyle name="Normal 94 6" xfId="19514"/>
    <cellStyle name="Normal 95" xfId="19515"/>
    <cellStyle name="Normal 95 2" xfId="19516"/>
    <cellStyle name="Normal 95 2 2" xfId="19517"/>
    <cellStyle name="Normal 95 2 2 2" xfId="19518"/>
    <cellStyle name="Normal 95 2 3" xfId="19519"/>
    <cellStyle name="Normal 95 3" xfId="19520"/>
    <cellStyle name="Normal 95 4" xfId="19521"/>
    <cellStyle name="Normal 96" xfId="19522"/>
    <cellStyle name="Normal 96 2" xfId="19523"/>
    <cellStyle name="Normal 96 2 2" xfId="19524"/>
    <cellStyle name="Normal 96 3" xfId="19525"/>
    <cellStyle name="Normal 97" xfId="19526"/>
    <cellStyle name="Normal 98" xfId="19527"/>
    <cellStyle name="Normal 98 2" xfId="19528"/>
    <cellStyle name="Normal 99" xfId="19529"/>
    <cellStyle name="Normal_AFR 3" xfId="48897"/>
    <cellStyle name="Normal_AFR 3 23" xfId="48898"/>
    <cellStyle name="Normal_CAD Mapping Reqs" xfId="14"/>
    <cellStyle name="Normal_CAD Mapping Reqs 4" xfId="48895"/>
    <cellStyle name="Normal_CAD System Admin Reqs" xfId="5"/>
    <cellStyle name="Normal_CAD System Admin Reqs 6" xfId="12"/>
    <cellStyle name="Normal_Crime Analysis 31" xfId="48899"/>
    <cellStyle name="Normal_Interfaces" xfId="7"/>
    <cellStyle name="Normal_Law Enforcement Dispatch" xfId="48894"/>
    <cellStyle name="Normal_Personnel" xfId="48900"/>
    <cellStyle name="Normal_RMS" xfId="48901"/>
    <cellStyle name="Normal_Sheet1" xfId="3"/>
    <cellStyle name="Normal_Sheet2" xfId="48902"/>
    <cellStyle name="Normal_Sheet2 2" xfId="48903"/>
    <cellStyle name="Normal_Sheet3" xfId="48904"/>
    <cellStyle name="Normal_VCC RMS Functional Reqs Workbook" xfId="6"/>
    <cellStyle name="Normal_VCC RMS Functional Reqs Workbook 3" xfId="48905"/>
    <cellStyle name="Normal_VCC RMS Functional Reqs Workbook 31" xfId="48893"/>
    <cellStyle name="Normal_VCC RMS Functional Reqs Workbook 6" xfId="48906"/>
    <cellStyle name="Note 2" xfId="19530"/>
    <cellStyle name="Note 2 10" xfId="19531"/>
    <cellStyle name="Note 2 10 10" xfId="19532"/>
    <cellStyle name="Note 2 10 10 2" xfId="19533"/>
    <cellStyle name="Note 2 10 10 2 2" xfId="19534"/>
    <cellStyle name="Note 2 10 10 2 2 2" xfId="19535"/>
    <cellStyle name="Note 2 10 10 2 3" xfId="19536"/>
    <cellStyle name="Note 2 10 10 3" xfId="19537"/>
    <cellStyle name="Note 2 10 10 4" xfId="19538"/>
    <cellStyle name="Note 2 10 11" xfId="19539"/>
    <cellStyle name="Note 2 10 11 2" xfId="19540"/>
    <cellStyle name="Note 2 10 11 2 2" xfId="19541"/>
    <cellStyle name="Note 2 10 11 2 2 2" xfId="19542"/>
    <cellStyle name="Note 2 10 11 2 3" xfId="19543"/>
    <cellStyle name="Note 2 10 11 3" xfId="19544"/>
    <cellStyle name="Note 2 10 11 4" xfId="19545"/>
    <cellStyle name="Note 2 10 12" xfId="19546"/>
    <cellStyle name="Note 2 10 12 2" xfId="19547"/>
    <cellStyle name="Note 2 10 12 2 2" xfId="19548"/>
    <cellStyle name="Note 2 10 12 2 2 2" xfId="19549"/>
    <cellStyle name="Note 2 10 12 2 3" xfId="19550"/>
    <cellStyle name="Note 2 10 12 3" xfId="19551"/>
    <cellStyle name="Note 2 10 12 4" xfId="19552"/>
    <cellStyle name="Note 2 10 13" xfId="19553"/>
    <cellStyle name="Note 2 10 13 2" xfId="19554"/>
    <cellStyle name="Note 2 10 13 2 2" xfId="19555"/>
    <cellStyle name="Note 2 10 13 2 2 2" xfId="19556"/>
    <cellStyle name="Note 2 10 13 2 3" xfId="19557"/>
    <cellStyle name="Note 2 10 13 3" xfId="19558"/>
    <cellStyle name="Note 2 10 13 4" xfId="19559"/>
    <cellStyle name="Note 2 10 14" xfId="19560"/>
    <cellStyle name="Note 2 10 14 2" xfId="19561"/>
    <cellStyle name="Note 2 10 14 2 2" xfId="19562"/>
    <cellStyle name="Note 2 10 14 2 2 2" xfId="19563"/>
    <cellStyle name="Note 2 10 14 2 3" xfId="19564"/>
    <cellStyle name="Note 2 10 14 3" xfId="19565"/>
    <cellStyle name="Note 2 10 14 4" xfId="19566"/>
    <cellStyle name="Note 2 10 15" xfId="19567"/>
    <cellStyle name="Note 2 10 15 2" xfId="19568"/>
    <cellStyle name="Note 2 10 15 2 2" xfId="19569"/>
    <cellStyle name="Note 2 10 15 2 2 2" xfId="19570"/>
    <cellStyle name="Note 2 10 15 2 3" xfId="19571"/>
    <cellStyle name="Note 2 10 15 3" xfId="19572"/>
    <cellStyle name="Note 2 10 15 4" xfId="19573"/>
    <cellStyle name="Note 2 10 16" xfId="19574"/>
    <cellStyle name="Note 2 10 16 2" xfId="19575"/>
    <cellStyle name="Note 2 10 16 2 2" xfId="19576"/>
    <cellStyle name="Note 2 10 16 2 2 2" xfId="19577"/>
    <cellStyle name="Note 2 10 16 2 3" xfId="19578"/>
    <cellStyle name="Note 2 10 16 3" xfId="19579"/>
    <cellStyle name="Note 2 10 16 4" xfId="19580"/>
    <cellStyle name="Note 2 10 17" xfId="19581"/>
    <cellStyle name="Note 2 10 17 2" xfId="19582"/>
    <cellStyle name="Note 2 10 17 2 2" xfId="19583"/>
    <cellStyle name="Note 2 10 17 2 2 2" xfId="19584"/>
    <cellStyle name="Note 2 10 17 2 3" xfId="19585"/>
    <cellStyle name="Note 2 10 17 3" xfId="19586"/>
    <cellStyle name="Note 2 10 17 4" xfId="19587"/>
    <cellStyle name="Note 2 10 18" xfId="19588"/>
    <cellStyle name="Note 2 10 18 2" xfId="19589"/>
    <cellStyle name="Note 2 10 18 2 2" xfId="19590"/>
    <cellStyle name="Note 2 10 18 2 2 2" xfId="19591"/>
    <cellStyle name="Note 2 10 18 2 3" xfId="19592"/>
    <cellStyle name="Note 2 10 18 3" xfId="19593"/>
    <cellStyle name="Note 2 10 18 4" xfId="19594"/>
    <cellStyle name="Note 2 10 19" xfId="19595"/>
    <cellStyle name="Note 2 10 19 2" xfId="19596"/>
    <cellStyle name="Note 2 10 19 2 2" xfId="19597"/>
    <cellStyle name="Note 2 10 19 2 2 2" xfId="19598"/>
    <cellStyle name="Note 2 10 19 2 3" xfId="19599"/>
    <cellStyle name="Note 2 10 19 3" xfId="19600"/>
    <cellStyle name="Note 2 10 19 4" xfId="19601"/>
    <cellStyle name="Note 2 10 2" xfId="19602"/>
    <cellStyle name="Note 2 10 2 2" xfId="19603"/>
    <cellStyle name="Note 2 10 2 2 2" xfId="19604"/>
    <cellStyle name="Note 2 10 2 2 2 2" xfId="19605"/>
    <cellStyle name="Note 2 10 2 2 2 2 2" xfId="19606"/>
    <cellStyle name="Note 2 10 2 2 2 3" xfId="19607"/>
    <cellStyle name="Note 2 10 2 2 3" xfId="19608"/>
    <cellStyle name="Note 2 10 2 2 3 2" xfId="19609"/>
    <cellStyle name="Note 2 10 2 2 4" xfId="19610"/>
    <cellStyle name="Note 2 10 2 3" xfId="19611"/>
    <cellStyle name="Note 2 10 2 3 2" xfId="19612"/>
    <cellStyle name="Note 2 10 2 3 2 2" xfId="19613"/>
    <cellStyle name="Note 2 10 2 3 3" xfId="19614"/>
    <cellStyle name="Note 2 10 2 4" xfId="19615"/>
    <cellStyle name="Note 2 10 2 4 2" xfId="19616"/>
    <cellStyle name="Note 2 10 2 4 2 2" xfId="19617"/>
    <cellStyle name="Note 2 10 2 4 3" xfId="19618"/>
    <cellStyle name="Note 2 10 2 5" xfId="19619"/>
    <cellStyle name="Note 2 10 2 5 2" xfId="19620"/>
    <cellStyle name="Note 2 10 2 5 2 2" xfId="19621"/>
    <cellStyle name="Note 2 10 2 5 3" xfId="19622"/>
    <cellStyle name="Note 2 10 2 6" xfId="19623"/>
    <cellStyle name="Note 2 10 2 6 2" xfId="19624"/>
    <cellStyle name="Note 2 10 2 6 2 2" xfId="19625"/>
    <cellStyle name="Note 2 10 2 6 3" xfId="19626"/>
    <cellStyle name="Note 2 10 2 7" xfId="19627"/>
    <cellStyle name="Note 2 10 2 8" xfId="19628"/>
    <cellStyle name="Note 2 10 20" xfId="19629"/>
    <cellStyle name="Note 2 10 20 2" xfId="19630"/>
    <cellStyle name="Note 2 10 20 2 2" xfId="19631"/>
    <cellStyle name="Note 2 10 20 2 2 2" xfId="19632"/>
    <cellStyle name="Note 2 10 20 2 3" xfId="19633"/>
    <cellStyle name="Note 2 10 20 3" xfId="19634"/>
    <cellStyle name="Note 2 10 20 4" xfId="19635"/>
    <cellStyle name="Note 2 10 21" xfId="19636"/>
    <cellStyle name="Note 2 10 21 2" xfId="19637"/>
    <cellStyle name="Note 2 10 21 2 2" xfId="19638"/>
    <cellStyle name="Note 2 10 21 2 2 2" xfId="19639"/>
    <cellStyle name="Note 2 10 21 2 3" xfId="19640"/>
    <cellStyle name="Note 2 10 21 3" xfId="19641"/>
    <cellStyle name="Note 2 10 21 4" xfId="19642"/>
    <cellStyle name="Note 2 10 22" xfId="19643"/>
    <cellStyle name="Note 2 10 22 2" xfId="19644"/>
    <cellStyle name="Note 2 10 22 2 2" xfId="19645"/>
    <cellStyle name="Note 2 10 22 2 2 2" xfId="19646"/>
    <cellStyle name="Note 2 10 22 2 3" xfId="19647"/>
    <cellStyle name="Note 2 10 22 3" xfId="19648"/>
    <cellStyle name="Note 2 10 22 4" xfId="19649"/>
    <cellStyle name="Note 2 10 23" xfId="19650"/>
    <cellStyle name="Note 2 10 23 2" xfId="19651"/>
    <cellStyle name="Note 2 10 23 2 2" xfId="19652"/>
    <cellStyle name="Note 2 10 23 2 2 2" xfId="19653"/>
    <cellStyle name="Note 2 10 23 2 3" xfId="19654"/>
    <cellStyle name="Note 2 10 23 3" xfId="19655"/>
    <cellStyle name="Note 2 10 23 4" xfId="19656"/>
    <cellStyle name="Note 2 10 24" xfId="19657"/>
    <cellStyle name="Note 2 10 24 2" xfId="19658"/>
    <cellStyle name="Note 2 10 24 2 2" xfId="19659"/>
    <cellStyle name="Note 2 10 24 2 2 2" xfId="19660"/>
    <cellStyle name="Note 2 10 24 2 3" xfId="19661"/>
    <cellStyle name="Note 2 10 24 3" xfId="19662"/>
    <cellStyle name="Note 2 10 24 4" xfId="19663"/>
    <cellStyle name="Note 2 10 25" xfId="19664"/>
    <cellStyle name="Note 2 10 25 2" xfId="19665"/>
    <cellStyle name="Note 2 10 25 2 2" xfId="19666"/>
    <cellStyle name="Note 2 10 25 2 2 2" xfId="19667"/>
    <cellStyle name="Note 2 10 25 2 3" xfId="19668"/>
    <cellStyle name="Note 2 10 25 3" xfId="19669"/>
    <cellStyle name="Note 2 10 25 4" xfId="19670"/>
    <cellStyle name="Note 2 10 26" xfId="19671"/>
    <cellStyle name="Note 2 10 26 2" xfId="19672"/>
    <cellStyle name="Note 2 10 26 2 2" xfId="19673"/>
    <cellStyle name="Note 2 10 26 2 2 2" xfId="19674"/>
    <cellStyle name="Note 2 10 26 2 3" xfId="19675"/>
    <cellStyle name="Note 2 10 26 3" xfId="19676"/>
    <cellStyle name="Note 2 10 26 4" xfId="19677"/>
    <cellStyle name="Note 2 10 27" xfId="19678"/>
    <cellStyle name="Note 2 10 27 2" xfId="19679"/>
    <cellStyle name="Note 2 10 27 2 2" xfId="19680"/>
    <cellStyle name="Note 2 10 27 2 2 2" xfId="19681"/>
    <cellStyle name="Note 2 10 27 2 3" xfId="19682"/>
    <cellStyle name="Note 2 10 27 3" xfId="19683"/>
    <cellStyle name="Note 2 10 27 4" xfId="19684"/>
    <cellStyle name="Note 2 10 28" xfId="19685"/>
    <cellStyle name="Note 2 10 28 2" xfId="19686"/>
    <cellStyle name="Note 2 10 28 2 2" xfId="19687"/>
    <cellStyle name="Note 2 10 28 2 2 2" xfId="19688"/>
    <cellStyle name="Note 2 10 28 2 3" xfId="19689"/>
    <cellStyle name="Note 2 10 28 3" xfId="19690"/>
    <cellStyle name="Note 2 10 28 4" xfId="19691"/>
    <cellStyle name="Note 2 10 29" xfId="19692"/>
    <cellStyle name="Note 2 10 29 2" xfId="19693"/>
    <cellStyle name="Note 2 10 29 2 2" xfId="19694"/>
    <cellStyle name="Note 2 10 29 2 2 2" xfId="19695"/>
    <cellStyle name="Note 2 10 29 2 3" xfId="19696"/>
    <cellStyle name="Note 2 10 29 3" xfId="19697"/>
    <cellStyle name="Note 2 10 29 4" xfId="19698"/>
    <cellStyle name="Note 2 10 3" xfId="19699"/>
    <cellStyle name="Note 2 10 3 2" xfId="19700"/>
    <cellStyle name="Note 2 10 3 2 2" xfId="19701"/>
    <cellStyle name="Note 2 10 3 2 2 2" xfId="19702"/>
    <cellStyle name="Note 2 10 3 2 3" xfId="19703"/>
    <cellStyle name="Note 2 10 3 3" xfId="19704"/>
    <cellStyle name="Note 2 10 3 3 2" xfId="19705"/>
    <cellStyle name="Note 2 10 3 3 2 2" xfId="19706"/>
    <cellStyle name="Note 2 10 3 3 3" xfId="19707"/>
    <cellStyle name="Note 2 10 3 4" xfId="19708"/>
    <cellStyle name="Note 2 10 3 4 2" xfId="19709"/>
    <cellStyle name="Note 2 10 3 4 2 2" xfId="19710"/>
    <cellStyle name="Note 2 10 3 4 3" xfId="19711"/>
    <cellStyle name="Note 2 10 3 5" xfId="19712"/>
    <cellStyle name="Note 2 10 3 6" xfId="19713"/>
    <cellStyle name="Note 2 10 30" xfId="19714"/>
    <cellStyle name="Note 2 10 30 2" xfId="19715"/>
    <cellStyle name="Note 2 10 30 2 2" xfId="19716"/>
    <cellStyle name="Note 2 10 30 2 2 2" xfId="19717"/>
    <cellStyle name="Note 2 10 30 2 3" xfId="19718"/>
    <cellStyle name="Note 2 10 30 3" xfId="19719"/>
    <cellStyle name="Note 2 10 30 4" xfId="19720"/>
    <cellStyle name="Note 2 10 31" xfId="19721"/>
    <cellStyle name="Note 2 10 31 2" xfId="19722"/>
    <cellStyle name="Note 2 10 31 2 2" xfId="19723"/>
    <cellStyle name="Note 2 10 31 2 2 2" xfId="19724"/>
    <cellStyle name="Note 2 10 31 2 3" xfId="19725"/>
    <cellStyle name="Note 2 10 31 3" xfId="19726"/>
    <cellStyle name="Note 2 10 31 4" xfId="19727"/>
    <cellStyle name="Note 2 10 32" xfId="19728"/>
    <cellStyle name="Note 2 10 32 2" xfId="19729"/>
    <cellStyle name="Note 2 10 32 2 2" xfId="19730"/>
    <cellStyle name="Note 2 10 32 2 2 2" xfId="19731"/>
    <cellStyle name="Note 2 10 32 2 3" xfId="19732"/>
    <cellStyle name="Note 2 10 32 3" xfId="19733"/>
    <cellStyle name="Note 2 10 32 4" xfId="19734"/>
    <cellStyle name="Note 2 10 33" xfId="19735"/>
    <cellStyle name="Note 2 10 33 2" xfId="19736"/>
    <cellStyle name="Note 2 10 33 2 2" xfId="19737"/>
    <cellStyle name="Note 2 10 33 2 2 2" xfId="19738"/>
    <cellStyle name="Note 2 10 33 2 3" xfId="19739"/>
    <cellStyle name="Note 2 10 33 3" xfId="19740"/>
    <cellStyle name="Note 2 10 33 4" xfId="19741"/>
    <cellStyle name="Note 2 10 34" xfId="19742"/>
    <cellStyle name="Note 2 10 34 2" xfId="19743"/>
    <cellStyle name="Note 2 10 34 2 2" xfId="19744"/>
    <cellStyle name="Note 2 10 34 2 2 2" xfId="19745"/>
    <cellStyle name="Note 2 10 34 2 3" xfId="19746"/>
    <cellStyle name="Note 2 10 34 3" xfId="19747"/>
    <cellStyle name="Note 2 10 34 4" xfId="19748"/>
    <cellStyle name="Note 2 10 35" xfId="19749"/>
    <cellStyle name="Note 2 10 35 2" xfId="19750"/>
    <cellStyle name="Note 2 10 35 2 2" xfId="19751"/>
    <cellStyle name="Note 2 10 35 2 2 2" xfId="19752"/>
    <cellStyle name="Note 2 10 35 2 3" xfId="19753"/>
    <cellStyle name="Note 2 10 35 3" xfId="19754"/>
    <cellStyle name="Note 2 10 35 4" xfId="19755"/>
    <cellStyle name="Note 2 10 36" xfId="19756"/>
    <cellStyle name="Note 2 10 36 2" xfId="19757"/>
    <cellStyle name="Note 2 10 36 2 2" xfId="19758"/>
    <cellStyle name="Note 2 10 36 2 2 2" xfId="19759"/>
    <cellStyle name="Note 2 10 36 2 3" xfId="19760"/>
    <cellStyle name="Note 2 10 36 3" xfId="19761"/>
    <cellStyle name="Note 2 10 36 4" xfId="19762"/>
    <cellStyle name="Note 2 10 37" xfId="19763"/>
    <cellStyle name="Note 2 10 37 2" xfId="19764"/>
    <cellStyle name="Note 2 10 37 2 2" xfId="19765"/>
    <cellStyle name="Note 2 10 37 2 2 2" xfId="19766"/>
    <cellStyle name="Note 2 10 37 2 3" xfId="19767"/>
    <cellStyle name="Note 2 10 37 3" xfId="19768"/>
    <cellStyle name="Note 2 10 37 4" xfId="19769"/>
    <cellStyle name="Note 2 10 38" xfId="19770"/>
    <cellStyle name="Note 2 10 38 2" xfId="19771"/>
    <cellStyle name="Note 2 10 38 2 2" xfId="19772"/>
    <cellStyle name="Note 2 10 38 2 2 2" xfId="19773"/>
    <cellStyle name="Note 2 10 38 2 3" xfId="19774"/>
    <cellStyle name="Note 2 10 38 3" xfId="19775"/>
    <cellStyle name="Note 2 10 38 4" xfId="19776"/>
    <cellStyle name="Note 2 10 39" xfId="19777"/>
    <cellStyle name="Note 2 10 39 2" xfId="19778"/>
    <cellStyle name="Note 2 10 39 2 2" xfId="19779"/>
    <cellStyle name="Note 2 10 39 2 2 2" xfId="19780"/>
    <cellStyle name="Note 2 10 39 2 3" xfId="19781"/>
    <cellStyle name="Note 2 10 39 3" xfId="19782"/>
    <cellStyle name="Note 2 10 39 4" xfId="19783"/>
    <cellStyle name="Note 2 10 4" xfId="19784"/>
    <cellStyle name="Note 2 10 4 2" xfId="19785"/>
    <cellStyle name="Note 2 10 4 2 2" xfId="19786"/>
    <cellStyle name="Note 2 10 4 2 2 2" xfId="19787"/>
    <cellStyle name="Note 2 10 4 2 3" xfId="19788"/>
    <cellStyle name="Note 2 10 4 3" xfId="19789"/>
    <cellStyle name="Note 2 10 4 3 2" xfId="19790"/>
    <cellStyle name="Note 2 10 4 3 2 2" xfId="19791"/>
    <cellStyle name="Note 2 10 4 3 3" xfId="19792"/>
    <cellStyle name="Note 2 10 4 4" xfId="19793"/>
    <cellStyle name="Note 2 10 4 4 2" xfId="19794"/>
    <cellStyle name="Note 2 10 4 4 2 2" xfId="19795"/>
    <cellStyle name="Note 2 10 4 4 3" xfId="19796"/>
    <cellStyle name="Note 2 10 4 5" xfId="19797"/>
    <cellStyle name="Note 2 10 4 6" xfId="19798"/>
    <cellStyle name="Note 2 10 40" xfId="19799"/>
    <cellStyle name="Note 2 10 40 2" xfId="19800"/>
    <cellStyle name="Note 2 10 40 2 2" xfId="19801"/>
    <cellStyle name="Note 2 10 40 2 2 2" xfId="19802"/>
    <cellStyle name="Note 2 10 40 2 3" xfId="19803"/>
    <cellStyle name="Note 2 10 40 3" xfId="19804"/>
    <cellStyle name="Note 2 10 40 4" xfId="19805"/>
    <cellStyle name="Note 2 10 41" xfId="19806"/>
    <cellStyle name="Note 2 10 41 2" xfId="19807"/>
    <cellStyle name="Note 2 10 41 2 2" xfId="19808"/>
    <cellStyle name="Note 2 10 41 2 2 2" xfId="19809"/>
    <cellStyle name="Note 2 10 41 2 3" xfId="19810"/>
    <cellStyle name="Note 2 10 41 3" xfId="19811"/>
    <cellStyle name="Note 2 10 41 4" xfId="19812"/>
    <cellStyle name="Note 2 10 42" xfId="19813"/>
    <cellStyle name="Note 2 10 42 2" xfId="19814"/>
    <cellStyle name="Note 2 10 42 2 2" xfId="19815"/>
    <cellStyle name="Note 2 10 42 2 2 2" xfId="19816"/>
    <cellStyle name="Note 2 10 42 2 3" xfId="19817"/>
    <cellStyle name="Note 2 10 42 3" xfId="19818"/>
    <cellStyle name="Note 2 10 42 4" xfId="19819"/>
    <cellStyle name="Note 2 10 43" xfId="19820"/>
    <cellStyle name="Note 2 10 43 2" xfId="19821"/>
    <cellStyle name="Note 2 10 43 2 2" xfId="19822"/>
    <cellStyle name="Note 2 10 43 2 2 2" xfId="19823"/>
    <cellStyle name="Note 2 10 43 2 3" xfId="19824"/>
    <cellStyle name="Note 2 10 43 3" xfId="19825"/>
    <cellStyle name="Note 2 10 43 4" xfId="19826"/>
    <cellStyle name="Note 2 10 44" xfId="19827"/>
    <cellStyle name="Note 2 10 44 2" xfId="19828"/>
    <cellStyle name="Note 2 10 44 2 2" xfId="19829"/>
    <cellStyle name="Note 2 10 44 2 2 2" xfId="19830"/>
    <cellStyle name="Note 2 10 44 2 3" xfId="19831"/>
    <cellStyle name="Note 2 10 44 3" xfId="19832"/>
    <cellStyle name="Note 2 10 44 4" xfId="19833"/>
    <cellStyle name="Note 2 10 45" xfId="19834"/>
    <cellStyle name="Note 2 10 45 2" xfId="19835"/>
    <cellStyle name="Note 2 10 45 2 2" xfId="19836"/>
    <cellStyle name="Note 2 10 45 2 2 2" xfId="19837"/>
    <cellStyle name="Note 2 10 45 2 3" xfId="19838"/>
    <cellStyle name="Note 2 10 45 3" xfId="19839"/>
    <cellStyle name="Note 2 10 45 4" xfId="19840"/>
    <cellStyle name="Note 2 10 46" xfId="19841"/>
    <cellStyle name="Note 2 10 46 2" xfId="19842"/>
    <cellStyle name="Note 2 10 46 2 2" xfId="19843"/>
    <cellStyle name="Note 2 10 46 2 2 2" xfId="19844"/>
    <cellStyle name="Note 2 10 46 2 3" xfId="19845"/>
    <cellStyle name="Note 2 10 46 3" xfId="19846"/>
    <cellStyle name="Note 2 10 46 4" xfId="19847"/>
    <cellStyle name="Note 2 10 47" xfId="19848"/>
    <cellStyle name="Note 2 10 47 2" xfId="19849"/>
    <cellStyle name="Note 2 10 47 2 2" xfId="19850"/>
    <cellStyle name="Note 2 10 47 2 2 2" xfId="19851"/>
    <cellStyle name="Note 2 10 47 2 3" xfId="19852"/>
    <cellStyle name="Note 2 10 47 3" xfId="19853"/>
    <cellStyle name="Note 2 10 47 4" xfId="19854"/>
    <cellStyle name="Note 2 10 48" xfId="19855"/>
    <cellStyle name="Note 2 10 48 2" xfId="19856"/>
    <cellStyle name="Note 2 10 48 2 2" xfId="19857"/>
    <cellStyle name="Note 2 10 48 2 2 2" xfId="19858"/>
    <cellStyle name="Note 2 10 48 2 3" xfId="19859"/>
    <cellStyle name="Note 2 10 48 3" xfId="19860"/>
    <cellStyle name="Note 2 10 48 4" xfId="19861"/>
    <cellStyle name="Note 2 10 49" xfId="19862"/>
    <cellStyle name="Note 2 10 49 2" xfId="19863"/>
    <cellStyle name="Note 2 10 49 2 2" xfId="19864"/>
    <cellStyle name="Note 2 10 49 3" xfId="19865"/>
    <cellStyle name="Note 2 10 5" xfId="19866"/>
    <cellStyle name="Note 2 10 5 2" xfId="19867"/>
    <cellStyle name="Note 2 10 5 2 2" xfId="19868"/>
    <cellStyle name="Note 2 10 5 2 2 2" xfId="19869"/>
    <cellStyle name="Note 2 10 5 2 3" xfId="19870"/>
    <cellStyle name="Note 2 10 5 3" xfId="19871"/>
    <cellStyle name="Note 2 10 5 3 2" xfId="19872"/>
    <cellStyle name="Note 2 10 5 3 2 2" xfId="19873"/>
    <cellStyle name="Note 2 10 5 3 3" xfId="19874"/>
    <cellStyle name="Note 2 10 5 4" xfId="19875"/>
    <cellStyle name="Note 2 10 5 4 2" xfId="19876"/>
    <cellStyle name="Note 2 10 5 4 2 2" xfId="19877"/>
    <cellStyle name="Note 2 10 5 4 3" xfId="19878"/>
    <cellStyle name="Note 2 10 5 5" xfId="19879"/>
    <cellStyle name="Note 2 10 5 6" xfId="19880"/>
    <cellStyle name="Note 2 10 50" xfId="19881"/>
    <cellStyle name="Note 2 10 50 2" xfId="19882"/>
    <cellStyle name="Note 2 10 50 2 2" xfId="19883"/>
    <cellStyle name="Note 2 10 50 3" xfId="19884"/>
    <cellStyle name="Note 2 10 51" xfId="19885"/>
    <cellStyle name="Note 2 10 51 2" xfId="19886"/>
    <cellStyle name="Note 2 10 51 2 2" xfId="19887"/>
    <cellStyle name="Note 2 10 51 3" xfId="19888"/>
    <cellStyle name="Note 2 10 52" xfId="19889"/>
    <cellStyle name="Note 2 10 52 2" xfId="19890"/>
    <cellStyle name="Note 2 10 52 2 2" xfId="19891"/>
    <cellStyle name="Note 2 10 52 3" xfId="19892"/>
    <cellStyle name="Note 2 10 53" xfId="19893"/>
    <cellStyle name="Note 2 10 54" xfId="19894"/>
    <cellStyle name="Note 2 10 6" xfId="19895"/>
    <cellStyle name="Note 2 10 6 2" xfId="19896"/>
    <cellStyle name="Note 2 10 6 2 2" xfId="19897"/>
    <cellStyle name="Note 2 10 6 2 2 2" xfId="19898"/>
    <cellStyle name="Note 2 10 6 2 3" xfId="19899"/>
    <cellStyle name="Note 2 10 6 3" xfId="19900"/>
    <cellStyle name="Note 2 10 6 3 2" xfId="19901"/>
    <cellStyle name="Note 2 10 6 3 2 2" xfId="19902"/>
    <cellStyle name="Note 2 10 6 3 3" xfId="19903"/>
    <cellStyle name="Note 2 10 6 4" xfId="19904"/>
    <cellStyle name="Note 2 10 6 4 2" xfId="19905"/>
    <cellStyle name="Note 2 10 6 4 2 2" xfId="19906"/>
    <cellStyle name="Note 2 10 6 4 3" xfId="19907"/>
    <cellStyle name="Note 2 10 6 5" xfId="19908"/>
    <cellStyle name="Note 2 10 6 6" xfId="19909"/>
    <cellStyle name="Note 2 10 7" xfId="19910"/>
    <cellStyle name="Note 2 10 7 2" xfId="19911"/>
    <cellStyle name="Note 2 10 7 2 2" xfId="19912"/>
    <cellStyle name="Note 2 10 7 2 2 2" xfId="19913"/>
    <cellStyle name="Note 2 10 7 2 3" xfId="19914"/>
    <cellStyle name="Note 2 10 7 3" xfId="19915"/>
    <cellStyle name="Note 2 10 7 3 2" xfId="19916"/>
    <cellStyle name="Note 2 10 7 3 2 2" xfId="19917"/>
    <cellStyle name="Note 2 10 7 3 3" xfId="19918"/>
    <cellStyle name="Note 2 10 7 4" xfId="19919"/>
    <cellStyle name="Note 2 10 7 4 2" xfId="19920"/>
    <cellStyle name="Note 2 10 7 4 2 2" xfId="19921"/>
    <cellStyle name="Note 2 10 7 4 3" xfId="19922"/>
    <cellStyle name="Note 2 10 7 5" xfId="19923"/>
    <cellStyle name="Note 2 10 7 6" xfId="19924"/>
    <cellStyle name="Note 2 10 8" xfId="19925"/>
    <cellStyle name="Note 2 10 8 2" xfId="19926"/>
    <cellStyle name="Note 2 10 8 2 2" xfId="19927"/>
    <cellStyle name="Note 2 10 8 2 2 2" xfId="19928"/>
    <cellStyle name="Note 2 10 8 2 3" xfId="19929"/>
    <cellStyle name="Note 2 10 8 3" xfId="19930"/>
    <cellStyle name="Note 2 10 8 3 2" xfId="19931"/>
    <cellStyle name="Note 2 10 8 3 2 2" xfId="19932"/>
    <cellStyle name="Note 2 10 8 3 3" xfId="19933"/>
    <cellStyle name="Note 2 10 8 4" xfId="19934"/>
    <cellStyle name="Note 2 10 8 4 2" xfId="19935"/>
    <cellStyle name="Note 2 10 8 4 2 2" xfId="19936"/>
    <cellStyle name="Note 2 10 8 4 3" xfId="19937"/>
    <cellStyle name="Note 2 10 8 5" xfId="19938"/>
    <cellStyle name="Note 2 10 8 6" xfId="19939"/>
    <cellStyle name="Note 2 10 9" xfId="19940"/>
    <cellStyle name="Note 2 10 9 2" xfId="19941"/>
    <cellStyle name="Note 2 10 9 2 2" xfId="19942"/>
    <cellStyle name="Note 2 10 9 2 2 2" xfId="19943"/>
    <cellStyle name="Note 2 10 9 2 3" xfId="19944"/>
    <cellStyle name="Note 2 10 9 3" xfId="19945"/>
    <cellStyle name="Note 2 10 9 4" xfId="19946"/>
    <cellStyle name="Note 2 11" xfId="19947"/>
    <cellStyle name="Note 2 11 2" xfId="19948"/>
    <cellStyle name="Note 2 11 2 2" xfId="19949"/>
    <cellStyle name="Note 2 11 2 2 2" xfId="19950"/>
    <cellStyle name="Note 2 11 2 2 2 2" xfId="19951"/>
    <cellStyle name="Note 2 11 2 2 2 2 2" xfId="19952"/>
    <cellStyle name="Note 2 11 2 2 2 3" xfId="19953"/>
    <cellStyle name="Note 2 11 2 2 3" xfId="19954"/>
    <cellStyle name="Note 2 11 2 2 3 2" xfId="19955"/>
    <cellStyle name="Note 2 11 2 2 4" xfId="19956"/>
    <cellStyle name="Note 2 11 2 3" xfId="19957"/>
    <cellStyle name="Note 2 11 2 3 2" xfId="19958"/>
    <cellStyle name="Note 2 11 2 3 2 2" xfId="19959"/>
    <cellStyle name="Note 2 11 2 3 3" xfId="19960"/>
    <cellStyle name="Note 2 11 2 4" xfId="19961"/>
    <cellStyle name="Note 2 11 2 4 2" xfId="19962"/>
    <cellStyle name="Note 2 11 2 4 2 2" xfId="19963"/>
    <cellStyle name="Note 2 11 2 4 3" xfId="19964"/>
    <cellStyle name="Note 2 11 2 5" xfId="19965"/>
    <cellStyle name="Note 2 11 2 5 2" xfId="19966"/>
    <cellStyle name="Note 2 11 2 5 2 2" xfId="19967"/>
    <cellStyle name="Note 2 11 2 5 3" xfId="19968"/>
    <cellStyle name="Note 2 11 2 6" xfId="19969"/>
    <cellStyle name="Note 2 11 2 6 2" xfId="19970"/>
    <cellStyle name="Note 2 11 2 6 2 2" xfId="19971"/>
    <cellStyle name="Note 2 11 2 6 3" xfId="19972"/>
    <cellStyle name="Note 2 11 2 7" xfId="19973"/>
    <cellStyle name="Note 2 11 3" xfId="19974"/>
    <cellStyle name="Note 2 11 3 2" xfId="19975"/>
    <cellStyle name="Note 2 11 3 2 2" xfId="19976"/>
    <cellStyle name="Note 2 11 3 2 2 2" xfId="19977"/>
    <cellStyle name="Note 2 11 3 2 3" xfId="19978"/>
    <cellStyle name="Note 2 11 3 3" xfId="19979"/>
    <cellStyle name="Note 2 11 3 3 2" xfId="19980"/>
    <cellStyle name="Note 2 11 3 4" xfId="19981"/>
    <cellStyle name="Note 2 11 4" xfId="19982"/>
    <cellStyle name="Note 2 11 4 2" xfId="19983"/>
    <cellStyle name="Note 2 11 4 2 2" xfId="19984"/>
    <cellStyle name="Note 2 11 4 3" xfId="19985"/>
    <cellStyle name="Note 2 11 5" xfId="19986"/>
    <cellStyle name="Note 2 11 5 2" xfId="19987"/>
    <cellStyle name="Note 2 11 5 2 2" xfId="19988"/>
    <cellStyle name="Note 2 11 5 3" xfId="19989"/>
    <cellStyle name="Note 2 11 6" xfId="19990"/>
    <cellStyle name="Note 2 11 6 2" xfId="19991"/>
    <cellStyle name="Note 2 11 6 2 2" xfId="19992"/>
    <cellStyle name="Note 2 11 6 3" xfId="19993"/>
    <cellStyle name="Note 2 11 7" xfId="19994"/>
    <cellStyle name="Note 2 11 7 2" xfId="19995"/>
    <cellStyle name="Note 2 11 7 2 2" xfId="19996"/>
    <cellStyle name="Note 2 11 7 3" xfId="19997"/>
    <cellStyle name="Note 2 11 8" xfId="19998"/>
    <cellStyle name="Note 2 11 9" xfId="19999"/>
    <cellStyle name="Note 2 12" xfId="20000"/>
    <cellStyle name="Note 2 12 2" xfId="20001"/>
    <cellStyle name="Note 2 12 2 2" xfId="20002"/>
    <cellStyle name="Note 2 12 2 2 2" xfId="20003"/>
    <cellStyle name="Note 2 12 2 2 2 2" xfId="20004"/>
    <cellStyle name="Note 2 12 2 2 2 2 2" xfId="20005"/>
    <cellStyle name="Note 2 12 2 2 2 3" xfId="20006"/>
    <cellStyle name="Note 2 12 2 2 3" xfId="20007"/>
    <cellStyle name="Note 2 12 2 2 3 2" xfId="20008"/>
    <cellStyle name="Note 2 12 2 2 4" xfId="20009"/>
    <cellStyle name="Note 2 12 2 3" xfId="20010"/>
    <cellStyle name="Note 2 12 2 3 2" xfId="20011"/>
    <cellStyle name="Note 2 12 2 3 2 2" xfId="20012"/>
    <cellStyle name="Note 2 12 2 3 3" xfId="20013"/>
    <cellStyle name="Note 2 12 2 4" xfId="20014"/>
    <cellStyle name="Note 2 12 2 4 2" xfId="20015"/>
    <cellStyle name="Note 2 12 2 4 2 2" xfId="20016"/>
    <cellStyle name="Note 2 12 2 4 3" xfId="20017"/>
    <cellStyle name="Note 2 12 2 5" xfId="20018"/>
    <cellStyle name="Note 2 12 2 5 2" xfId="20019"/>
    <cellStyle name="Note 2 12 2 5 2 2" xfId="20020"/>
    <cellStyle name="Note 2 12 2 5 3" xfId="20021"/>
    <cellStyle name="Note 2 12 2 6" xfId="20022"/>
    <cellStyle name="Note 2 12 2 6 2" xfId="20023"/>
    <cellStyle name="Note 2 12 2 6 2 2" xfId="20024"/>
    <cellStyle name="Note 2 12 2 6 3" xfId="20025"/>
    <cellStyle name="Note 2 12 2 7" xfId="20026"/>
    <cellStyle name="Note 2 12 3" xfId="20027"/>
    <cellStyle name="Note 2 12 3 2" xfId="20028"/>
    <cellStyle name="Note 2 12 3 2 2" xfId="20029"/>
    <cellStyle name="Note 2 12 3 2 2 2" xfId="20030"/>
    <cellStyle name="Note 2 12 3 2 3" xfId="20031"/>
    <cellStyle name="Note 2 12 3 3" xfId="20032"/>
    <cellStyle name="Note 2 12 3 3 2" xfId="20033"/>
    <cellStyle name="Note 2 12 3 4" xfId="20034"/>
    <cellStyle name="Note 2 12 4" xfId="20035"/>
    <cellStyle name="Note 2 12 4 2" xfId="20036"/>
    <cellStyle name="Note 2 12 4 2 2" xfId="20037"/>
    <cellStyle name="Note 2 12 4 3" xfId="20038"/>
    <cellStyle name="Note 2 12 5" xfId="20039"/>
    <cellStyle name="Note 2 12 5 2" xfId="20040"/>
    <cellStyle name="Note 2 12 5 2 2" xfId="20041"/>
    <cellStyle name="Note 2 12 5 3" xfId="20042"/>
    <cellStyle name="Note 2 12 6" xfId="20043"/>
    <cellStyle name="Note 2 12 6 2" xfId="20044"/>
    <cellStyle name="Note 2 12 6 2 2" xfId="20045"/>
    <cellStyle name="Note 2 12 6 3" xfId="20046"/>
    <cellStyle name="Note 2 12 7" xfId="20047"/>
    <cellStyle name="Note 2 12 7 2" xfId="20048"/>
    <cellStyle name="Note 2 12 7 2 2" xfId="20049"/>
    <cellStyle name="Note 2 12 7 3" xfId="20050"/>
    <cellStyle name="Note 2 12 8" xfId="20051"/>
    <cellStyle name="Note 2 12 9" xfId="20052"/>
    <cellStyle name="Note 2 13" xfId="20053"/>
    <cellStyle name="Note 2 13 2" xfId="20054"/>
    <cellStyle name="Note 2 13 2 2" xfId="20055"/>
    <cellStyle name="Note 2 13 2 2 2" xfId="20056"/>
    <cellStyle name="Note 2 13 2 2 2 2" xfId="20057"/>
    <cellStyle name="Note 2 13 2 2 2 2 2" xfId="20058"/>
    <cellStyle name="Note 2 13 2 2 2 3" xfId="20059"/>
    <cellStyle name="Note 2 13 2 2 3" xfId="20060"/>
    <cellStyle name="Note 2 13 2 2 3 2" xfId="20061"/>
    <cellStyle name="Note 2 13 2 2 4" xfId="20062"/>
    <cellStyle name="Note 2 13 2 3" xfId="20063"/>
    <cellStyle name="Note 2 13 2 3 2" xfId="20064"/>
    <cellStyle name="Note 2 13 2 3 2 2" xfId="20065"/>
    <cellStyle name="Note 2 13 2 3 3" xfId="20066"/>
    <cellStyle name="Note 2 13 2 4" xfId="20067"/>
    <cellStyle name="Note 2 13 2 4 2" xfId="20068"/>
    <cellStyle name="Note 2 13 2 4 2 2" xfId="20069"/>
    <cellStyle name="Note 2 13 2 4 3" xfId="20070"/>
    <cellStyle name="Note 2 13 2 5" xfId="20071"/>
    <cellStyle name="Note 2 13 2 5 2" xfId="20072"/>
    <cellStyle name="Note 2 13 2 5 2 2" xfId="20073"/>
    <cellStyle name="Note 2 13 2 5 3" xfId="20074"/>
    <cellStyle name="Note 2 13 2 6" xfId="20075"/>
    <cellStyle name="Note 2 13 2 6 2" xfId="20076"/>
    <cellStyle name="Note 2 13 2 6 2 2" xfId="20077"/>
    <cellStyle name="Note 2 13 2 6 3" xfId="20078"/>
    <cellStyle name="Note 2 13 2 7" xfId="20079"/>
    <cellStyle name="Note 2 13 3" xfId="20080"/>
    <cellStyle name="Note 2 13 3 2" xfId="20081"/>
    <cellStyle name="Note 2 13 3 2 2" xfId="20082"/>
    <cellStyle name="Note 2 13 3 2 2 2" xfId="20083"/>
    <cellStyle name="Note 2 13 3 2 3" xfId="20084"/>
    <cellStyle name="Note 2 13 3 3" xfId="20085"/>
    <cellStyle name="Note 2 13 3 3 2" xfId="20086"/>
    <cellStyle name="Note 2 13 3 4" xfId="20087"/>
    <cellStyle name="Note 2 13 4" xfId="20088"/>
    <cellStyle name="Note 2 13 4 2" xfId="20089"/>
    <cellStyle name="Note 2 13 4 2 2" xfId="20090"/>
    <cellStyle name="Note 2 13 4 3" xfId="20091"/>
    <cellStyle name="Note 2 13 5" xfId="20092"/>
    <cellStyle name="Note 2 13 5 2" xfId="20093"/>
    <cellStyle name="Note 2 13 5 2 2" xfId="20094"/>
    <cellStyle name="Note 2 13 5 3" xfId="20095"/>
    <cellStyle name="Note 2 13 6" xfId="20096"/>
    <cellStyle name="Note 2 13 6 2" xfId="20097"/>
    <cellStyle name="Note 2 13 6 2 2" xfId="20098"/>
    <cellStyle name="Note 2 13 6 3" xfId="20099"/>
    <cellStyle name="Note 2 13 7" xfId="20100"/>
    <cellStyle name="Note 2 13 7 2" xfId="20101"/>
    <cellStyle name="Note 2 13 7 2 2" xfId="20102"/>
    <cellStyle name="Note 2 13 7 3" xfId="20103"/>
    <cellStyle name="Note 2 13 8" xfId="20104"/>
    <cellStyle name="Note 2 13 9" xfId="20105"/>
    <cellStyle name="Note 2 14" xfId="20106"/>
    <cellStyle name="Note 2 14 2" xfId="20107"/>
    <cellStyle name="Note 2 14 2 2" xfId="20108"/>
    <cellStyle name="Note 2 14 2 2 2" xfId="20109"/>
    <cellStyle name="Note 2 14 2 2 2 2" xfId="20110"/>
    <cellStyle name="Note 2 14 2 2 2 2 2" xfId="20111"/>
    <cellStyle name="Note 2 14 2 2 2 3" xfId="20112"/>
    <cellStyle name="Note 2 14 2 2 3" xfId="20113"/>
    <cellStyle name="Note 2 14 2 2 3 2" xfId="20114"/>
    <cellStyle name="Note 2 14 2 2 4" xfId="20115"/>
    <cellStyle name="Note 2 14 2 3" xfId="20116"/>
    <cellStyle name="Note 2 14 2 3 2" xfId="20117"/>
    <cellStyle name="Note 2 14 2 3 2 2" xfId="20118"/>
    <cellStyle name="Note 2 14 2 3 3" xfId="20119"/>
    <cellStyle name="Note 2 14 2 4" xfId="20120"/>
    <cellStyle name="Note 2 14 2 4 2" xfId="20121"/>
    <cellStyle name="Note 2 14 2 4 2 2" xfId="20122"/>
    <cellStyle name="Note 2 14 2 4 3" xfId="20123"/>
    <cellStyle name="Note 2 14 2 5" xfId="20124"/>
    <cellStyle name="Note 2 14 2 5 2" xfId="20125"/>
    <cellStyle name="Note 2 14 2 5 2 2" xfId="20126"/>
    <cellStyle name="Note 2 14 2 5 3" xfId="20127"/>
    <cellStyle name="Note 2 14 2 6" xfId="20128"/>
    <cellStyle name="Note 2 14 2 6 2" xfId="20129"/>
    <cellStyle name="Note 2 14 2 6 2 2" xfId="20130"/>
    <cellStyle name="Note 2 14 2 6 3" xfId="20131"/>
    <cellStyle name="Note 2 14 2 7" xfId="20132"/>
    <cellStyle name="Note 2 14 3" xfId="20133"/>
    <cellStyle name="Note 2 14 3 2" xfId="20134"/>
    <cellStyle name="Note 2 14 3 2 2" xfId="20135"/>
    <cellStyle name="Note 2 14 3 2 2 2" xfId="20136"/>
    <cellStyle name="Note 2 14 3 2 3" xfId="20137"/>
    <cellStyle name="Note 2 14 3 3" xfId="20138"/>
    <cellStyle name="Note 2 14 3 3 2" xfId="20139"/>
    <cellStyle name="Note 2 14 3 4" xfId="20140"/>
    <cellStyle name="Note 2 14 4" xfId="20141"/>
    <cellStyle name="Note 2 14 4 2" xfId="20142"/>
    <cellStyle name="Note 2 14 4 2 2" xfId="20143"/>
    <cellStyle name="Note 2 14 4 3" xfId="20144"/>
    <cellStyle name="Note 2 14 5" xfId="20145"/>
    <cellStyle name="Note 2 14 5 2" xfId="20146"/>
    <cellStyle name="Note 2 14 5 2 2" xfId="20147"/>
    <cellStyle name="Note 2 14 5 3" xfId="20148"/>
    <cellStyle name="Note 2 14 6" xfId="20149"/>
    <cellStyle name="Note 2 14 6 2" xfId="20150"/>
    <cellStyle name="Note 2 14 6 2 2" xfId="20151"/>
    <cellStyle name="Note 2 14 6 3" xfId="20152"/>
    <cellStyle name="Note 2 14 7" xfId="20153"/>
    <cellStyle name="Note 2 14 7 2" xfId="20154"/>
    <cellStyle name="Note 2 14 7 2 2" xfId="20155"/>
    <cellStyle name="Note 2 14 7 3" xfId="20156"/>
    <cellStyle name="Note 2 14 8" xfId="20157"/>
    <cellStyle name="Note 2 14 9" xfId="20158"/>
    <cellStyle name="Note 2 15" xfId="20159"/>
    <cellStyle name="Note 2 15 2" xfId="20160"/>
    <cellStyle name="Note 2 15 2 2" xfId="20161"/>
    <cellStyle name="Note 2 15 2 2 2" xfId="20162"/>
    <cellStyle name="Note 2 15 2 2 2 2" xfId="20163"/>
    <cellStyle name="Note 2 15 2 2 2 2 2" xfId="20164"/>
    <cellStyle name="Note 2 15 2 2 2 3" xfId="20165"/>
    <cellStyle name="Note 2 15 2 2 3" xfId="20166"/>
    <cellStyle name="Note 2 15 2 2 3 2" xfId="20167"/>
    <cellStyle name="Note 2 15 2 2 4" xfId="20168"/>
    <cellStyle name="Note 2 15 2 3" xfId="20169"/>
    <cellStyle name="Note 2 15 2 3 2" xfId="20170"/>
    <cellStyle name="Note 2 15 2 3 2 2" xfId="20171"/>
    <cellStyle name="Note 2 15 2 3 3" xfId="20172"/>
    <cellStyle name="Note 2 15 2 4" xfId="20173"/>
    <cellStyle name="Note 2 15 2 4 2" xfId="20174"/>
    <cellStyle name="Note 2 15 2 4 2 2" xfId="20175"/>
    <cellStyle name="Note 2 15 2 4 3" xfId="20176"/>
    <cellStyle name="Note 2 15 2 5" xfId="20177"/>
    <cellStyle name="Note 2 15 2 5 2" xfId="20178"/>
    <cellStyle name="Note 2 15 2 5 2 2" xfId="20179"/>
    <cellStyle name="Note 2 15 2 5 3" xfId="20180"/>
    <cellStyle name="Note 2 15 2 6" xfId="20181"/>
    <cellStyle name="Note 2 15 2 6 2" xfId="20182"/>
    <cellStyle name="Note 2 15 2 6 2 2" xfId="20183"/>
    <cellStyle name="Note 2 15 2 6 3" xfId="20184"/>
    <cellStyle name="Note 2 15 2 7" xfId="20185"/>
    <cellStyle name="Note 2 15 3" xfId="20186"/>
    <cellStyle name="Note 2 15 3 2" xfId="20187"/>
    <cellStyle name="Note 2 15 3 2 2" xfId="20188"/>
    <cellStyle name="Note 2 15 3 2 2 2" xfId="20189"/>
    <cellStyle name="Note 2 15 3 2 3" xfId="20190"/>
    <cellStyle name="Note 2 15 3 3" xfId="20191"/>
    <cellStyle name="Note 2 15 3 3 2" xfId="20192"/>
    <cellStyle name="Note 2 15 3 4" xfId="20193"/>
    <cellStyle name="Note 2 15 4" xfId="20194"/>
    <cellStyle name="Note 2 15 4 2" xfId="20195"/>
    <cellStyle name="Note 2 15 4 2 2" xfId="20196"/>
    <cellStyle name="Note 2 15 4 3" xfId="20197"/>
    <cellStyle name="Note 2 15 5" xfId="20198"/>
    <cellStyle name="Note 2 15 5 2" xfId="20199"/>
    <cellStyle name="Note 2 15 5 2 2" xfId="20200"/>
    <cellStyle name="Note 2 15 5 3" xfId="20201"/>
    <cellStyle name="Note 2 15 6" xfId="20202"/>
    <cellStyle name="Note 2 15 6 2" xfId="20203"/>
    <cellStyle name="Note 2 15 6 2 2" xfId="20204"/>
    <cellStyle name="Note 2 15 6 3" xfId="20205"/>
    <cellStyle name="Note 2 15 7" xfId="20206"/>
    <cellStyle name="Note 2 15 7 2" xfId="20207"/>
    <cellStyle name="Note 2 15 7 2 2" xfId="20208"/>
    <cellStyle name="Note 2 15 7 3" xfId="20209"/>
    <cellStyle name="Note 2 15 8" xfId="20210"/>
    <cellStyle name="Note 2 15 9" xfId="20211"/>
    <cellStyle name="Note 2 16" xfId="20212"/>
    <cellStyle name="Note 2 16 2" xfId="20213"/>
    <cellStyle name="Note 2 16 2 2" xfId="20214"/>
    <cellStyle name="Note 2 16 2 2 2" xfId="20215"/>
    <cellStyle name="Note 2 16 2 2 2 2" xfId="20216"/>
    <cellStyle name="Note 2 16 2 2 2 2 2" xfId="20217"/>
    <cellStyle name="Note 2 16 2 2 2 3" xfId="20218"/>
    <cellStyle name="Note 2 16 2 2 3" xfId="20219"/>
    <cellStyle name="Note 2 16 2 2 3 2" xfId="20220"/>
    <cellStyle name="Note 2 16 2 2 4" xfId="20221"/>
    <cellStyle name="Note 2 16 2 3" xfId="20222"/>
    <cellStyle name="Note 2 16 2 3 2" xfId="20223"/>
    <cellStyle name="Note 2 16 2 3 2 2" xfId="20224"/>
    <cellStyle name="Note 2 16 2 3 3" xfId="20225"/>
    <cellStyle name="Note 2 16 2 4" xfId="20226"/>
    <cellStyle name="Note 2 16 2 4 2" xfId="20227"/>
    <cellStyle name="Note 2 16 2 4 2 2" xfId="20228"/>
    <cellStyle name="Note 2 16 2 4 3" xfId="20229"/>
    <cellStyle name="Note 2 16 2 5" xfId="20230"/>
    <cellStyle name="Note 2 16 2 5 2" xfId="20231"/>
    <cellStyle name="Note 2 16 2 5 2 2" xfId="20232"/>
    <cellStyle name="Note 2 16 2 5 3" xfId="20233"/>
    <cellStyle name="Note 2 16 2 6" xfId="20234"/>
    <cellStyle name="Note 2 16 2 6 2" xfId="20235"/>
    <cellStyle name="Note 2 16 2 6 2 2" xfId="20236"/>
    <cellStyle name="Note 2 16 2 6 3" xfId="20237"/>
    <cellStyle name="Note 2 16 2 7" xfId="20238"/>
    <cellStyle name="Note 2 16 3" xfId="20239"/>
    <cellStyle name="Note 2 16 3 2" xfId="20240"/>
    <cellStyle name="Note 2 16 3 2 2" xfId="20241"/>
    <cellStyle name="Note 2 16 3 2 2 2" xfId="20242"/>
    <cellStyle name="Note 2 16 3 2 3" xfId="20243"/>
    <cellStyle name="Note 2 16 3 3" xfId="20244"/>
    <cellStyle name="Note 2 16 3 3 2" xfId="20245"/>
    <cellStyle name="Note 2 16 3 4" xfId="20246"/>
    <cellStyle name="Note 2 16 4" xfId="20247"/>
    <cellStyle name="Note 2 16 4 2" xfId="20248"/>
    <cellStyle name="Note 2 16 4 2 2" xfId="20249"/>
    <cellStyle name="Note 2 16 4 3" xfId="20250"/>
    <cellStyle name="Note 2 16 5" xfId="20251"/>
    <cellStyle name="Note 2 16 5 2" xfId="20252"/>
    <cellStyle name="Note 2 16 5 2 2" xfId="20253"/>
    <cellStyle name="Note 2 16 5 3" xfId="20254"/>
    <cellStyle name="Note 2 16 6" xfId="20255"/>
    <cellStyle name="Note 2 16 6 2" xfId="20256"/>
    <cellStyle name="Note 2 16 6 2 2" xfId="20257"/>
    <cellStyle name="Note 2 16 6 3" xfId="20258"/>
    <cellStyle name="Note 2 16 7" xfId="20259"/>
    <cellStyle name="Note 2 16 7 2" xfId="20260"/>
    <cellStyle name="Note 2 16 7 2 2" xfId="20261"/>
    <cellStyle name="Note 2 16 7 3" xfId="20262"/>
    <cellStyle name="Note 2 16 8" xfId="20263"/>
    <cellStyle name="Note 2 16 9" xfId="20264"/>
    <cellStyle name="Note 2 17" xfId="20265"/>
    <cellStyle name="Note 2 17 2" xfId="20266"/>
    <cellStyle name="Note 2 17 2 2" xfId="20267"/>
    <cellStyle name="Note 2 17 2 2 2" xfId="20268"/>
    <cellStyle name="Note 2 17 2 2 2 2" xfId="20269"/>
    <cellStyle name="Note 2 17 2 2 2 2 2" xfId="20270"/>
    <cellStyle name="Note 2 17 2 2 2 3" xfId="20271"/>
    <cellStyle name="Note 2 17 2 2 3" xfId="20272"/>
    <cellStyle name="Note 2 17 2 2 3 2" xfId="20273"/>
    <cellStyle name="Note 2 17 2 2 4" xfId="20274"/>
    <cellStyle name="Note 2 17 2 3" xfId="20275"/>
    <cellStyle name="Note 2 17 2 3 2" xfId="20276"/>
    <cellStyle name="Note 2 17 2 3 2 2" xfId="20277"/>
    <cellStyle name="Note 2 17 2 3 3" xfId="20278"/>
    <cellStyle name="Note 2 17 2 4" xfId="20279"/>
    <cellStyle name="Note 2 17 2 4 2" xfId="20280"/>
    <cellStyle name="Note 2 17 2 4 2 2" xfId="20281"/>
    <cellStyle name="Note 2 17 2 4 3" xfId="20282"/>
    <cellStyle name="Note 2 17 2 5" xfId="20283"/>
    <cellStyle name="Note 2 17 2 5 2" xfId="20284"/>
    <cellStyle name="Note 2 17 2 5 2 2" xfId="20285"/>
    <cellStyle name="Note 2 17 2 5 3" xfId="20286"/>
    <cellStyle name="Note 2 17 2 6" xfId="20287"/>
    <cellStyle name="Note 2 17 2 6 2" xfId="20288"/>
    <cellStyle name="Note 2 17 2 6 2 2" xfId="20289"/>
    <cellStyle name="Note 2 17 2 6 3" xfId="20290"/>
    <cellStyle name="Note 2 17 2 7" xfId="20291"/>
    <cellStyle name="Note 2 17 3" xfId="20292"/>
    <cellStyle name="Note 2 17 3 2" xfId="20293"/>
    <cellStyle name="Note 2 17 3 2 2" xfId="20294"/>
    <cellStyle name="Note 2 17 3 2 2 2" xfId="20295"/>
    <cellStyle name="Note 2 17 3 2 3" xfId="20296"/>
    <cellStyle name="Note 2 17 3 3" xfId="20297"/>
    <cellStyle name="Note 2 17 3 3 2" xfId="20298"/>
    <cellStyle name="Note 2 17 3 4" xfId="20299"/>
    <cellStyle name="Note 2 17 4" xfId="20300"/>
    <cellStyle name="Note 2 17 4 2" xfId="20301"/>
    <cellStyle name="Note 2 17 4 2 2" xfId="20302"/>
    <cellStyle name="Note 2 17 4 3" xfId="20303"/>
    <cellStyle name="Note 2 17 5" xfId="20304"/>
    <cellStyle name="Note 2 17 5 2" xfId="20305"/>
    <cellStyle name="Note 2 17 5 2 2" xfId="20306"/>
    <cellStyle name="Note 2 17 5 3" xfId="20307"/>
    <cellStyle name="Note 2 17 6" xfId="20308"/>
    <cellStyle name="Note 2 17 6 2" xfId="20309"/>
    <cellStyle name="Note 2 17 6 2 2" xfId="20310"/>
    <cellStyle name="Note 2 17 6 3" xfId="20311"/>
    <cellStyle name="Note 2 17 7" xfId="20312"/>
    <cellStyle name="Note 2 17 7 2" xfId="20313"/>
    <cellStyle name="Note 2 17 7 2 2" xfId="20314"/>
    <cellStyle name="Note 2 17 7 3" xfId="20315"/>
    <cellStyle name="Note 2 17 8" xfId="20316"/>
    <cellStyle name="Note 2 17 9" xfId="20317"/>
    <cellStyle name="Note 2 18" xfId="20318"/>
    <cellStyle name="Note 2 18 2" xfId="20319"/>
    <cellStyle name="Note 2 18 2 2" xfId="20320"/>
    <cellStyle name="Note 2 18 2 2 2" xfId="20321"/>
    <cellStyle name="Note 2 18 2 2 2 2" xfId="20322"/>
    <cellStyle name="Note 2 18 2 2 2 2 2" xfId="20323"/>
    <cellStyle name="Note 2 18 2 2 2 3" xfId="20324"/>
    <cellStyle name="Note 2 18 2 2 3" xfId="20325"/>
    <cellStyle name="Note 2 18 2 2 3 2" xfId="20326"/>
    <cellStyle name="Note 2 18 2 2 4" xfId="20327"/>
    <cellStyle name="Note 2 18 2 3" xfId="20328"/>
    <cellStyle name="Note 2 18 2 3 2" xfId="20329"/>
    <cellStyle name="Note 2 18 2 3 2 2" xfId="20330"/>
    <cellStyle name="Note 2 18 2 3 3" xfId="20331"/>
    <cellStyle name="Note 2 18 2 4" xfId="20332"/>
    <cellStyle name="Note 2 18 2 4 2" xfId="20333"/>
    <cellStyle name="Note 2 18 2 4 2 2" xfId="20334"/>
    <cellStyle name="Note 2 18 2 4 3" xfId="20335"/>
    <cellStyle name="Note 2 18 2 5" xfId="20336"/>
    <cellStyle name="Note 2 18 2 5 2" xfId="20337"/>
    <cellStyle name="Note 2 18 2 5 2 2" xfId="20338"/>
    <cellStyle name="Note 2 18 2 5 3" xfId="20339"/>
    <cellStyle name="Note 2 18 2 6" xfId="20340"/>
    <cellStyle name="Note 2 18 2 6 2" xfId="20341"/>
    <cellStyle name="Note 2 18 2 6 2 2" xfId="20342"/>
    <cellStyle name="Note 2 18 2 6 3" xfId="20343"/>
    <cellStyle name="Note 2 18 2 7" xfId="20344"/>
    <cellStyle name="Note 2 18 3" xfId="20345"/>
    <cellStyle name="Note 2 18 3 2" xfId="20346"/>
    <cellStyle name="Note 2 18 3 2 2" xfId="20347"/>
    <cellStyle name="Note 2 18 3 2 2 2" xfId="20348"/>
    <cellStyle name="Note 2 18 3 2 3" xfId="20349"/>
    <cellStyle name="Note 2 18 3 3" xfId="20350"/>
    <cellStyle name="Note 2 18 3 3 2" xfId="20351"/>
    <cellStyle name="Note 2 18 3 4" xfId="20352"/>
    <cellStyle name="Note 2 18 4" xfId="20353"/>
    <cellStyle name="Note 2 18 4 2" xfId="20354"/>
    <cellStyle name="Note 2 18 4 2 2" xfId="20355"/>
    <cellStyle name="Note 2 18 4 3" xfId="20356"/>
    <cellStyle name="Note 2 18 5" xfId="20357"/>
    <cellStyle name="Note 2 18 5 2" xfId="20358"/>
    <cellStyle name="Note 2 18 5 2 2" xfId="20359"/>
    <cellStyle name="Note 2 18 5 3" xfId="20360"/>
    <cellStyle name="Note 2 18 6" xfId="20361"/>
    <cellStyle name="Note 2 18 6 2" xfId="20362"/>
    <cellStyle name="Note 2 18 6 2 2" xfId="20363"/>
    <cellStyle name="Note 2 18 6 3" xfId="20364"/>
    <cellStyle name="Note 2 18 7" xfId="20365"/>
    <cellStyle name="Note 2 18 7 2" xfId="20366"/>
    <cellStyle name="Note 2 18 7 2 2" xfId="20367"/>
    <cellStyle name="Note 2 18 7 3" xfId="20368"/>
    <cellStyle name="Note 2 18 8" xfId="20369"/>
    <cellStyle name="Note 2 18 9" xfId="20370"/>
    <cellStyle name="Note 2 19" xfId="20371"/>
    <cellStyle name="Note 2 19 2" xfId="20372"/>
    <cellStyle name="Note 2 19 2 2" xfId="20373"/>
    <cellStyle name="Note 2 19 2 2 2" xfId="20374"/>
    <cellStyle name="Note 2 19 2 2 2 2" xfId="20375"/>
    <cellStyle name="Note 2 19 2 2 2 2 2" xfId="20376"/>
    <cellStyle name="Note 2 19 2 2 2 3" xfId="20377"/>
    <cellStyle name="Note 2 19 2 2 3" xfId="20378"/>
    <cellStyle name="Note 2 19 2 2 3 2" xfId="20379"/>
    <cellStyle name="Note 2 19 2 2 4" xfId="20380"/>
    <cellStyle name="Note 2 19 2 3" xfId="20381"/>
    <cellStyle name="Note 2 19 2 3 2" xfId="20382"/>
    <cellStyle name="Note 2 19 2 3 2 2" xfId="20383"/>
    <cellStyle name="Note 2 19 2 3 3" xfId="20384"/>
    <cellStyle name="Note 2 19 2 4" xfId="20385"/>
    <cellStyle name="Note 2 19 2 4 2" xfId="20386"/>
    <cellStyle name="Note 2 19 2 4 2 2" xfId="20387"/>
    <cellStyle name="Note 2 19 2 4 3" xfId="20388"/>
    <cellStyle name="Note 2 19 2 5" xfId="20389"/>
    <cellStyle name="Note 2 19 2 5 2" xfId="20390"/>
    <cellStyle name="Note 2 19 2 5 2 2" xfId="20391"/>
    <cellStyle name="Note 2 19 2 5 3" xfId="20392"/>
    <cellStyle name="Note 2 19 2 6" xfId="20393"/>
    <cellStyle name="Note 2 19 2 6 2" xfId="20394"/>
    <cellStyle name="Note 2 19 2 6 2 2" xfId="20395"/>
    <cellStyle name="Note 2 19 2 6 3" xfId="20396"/>
    <cellStyle name="Note 2 19 2 7" xfId="20397"/>
    <cellStyle name="Note 2 19 3" xfId="20398"/>
    <cellStyle name="Note 2 19 3 2" xfId="20399"/>
    <cellStyle name="Note 2 19 3 2 2" xfId="20400"/>
    <cellStyle name="Note 2 19 3 2 2 2" xfId="20401"/>
    <cellStyle name="Note 2 19 3 2 3" xfId="20402"/>
    <cellStyle name="Note 2 19 3 3" xfId="20403"/>
    <cellStyle name="Note 2 19 3 3 2" xfId="20404"/>
    <cellStyle name="Note 2 19 3 4" xfId="20405"/>
    <cellStyle name="Note 2 19 4" xfId="20406"/>
    <cellStyle name="Note 2 19 4 2" xfId="20407"/>
    <cellStyle name="Note 2 19 4 2 2" xfId="20408"/>
    <cellStyle name="Note 2 19 4 3" xfId="20409"/>
    <cellStyle name="Note 2 19 5" xfId="20410"/>
    <cellStyle name="Note 2 19 5 2" xfId="20411"/>
    <cellStyle name="Note 2 19 5 2 2" xfId="20412"/>
    <cellStyle name="Note 2 19 5 3" xfId="20413"/>
    <cellStyle name="Note 2 19 6" xfId="20414"/>
    <cellStyle name="Note 2 19 6 2" xfId="20415"/>
    <cellStyle name="Note 2 19 6 2 2" xfId="20416"/>
    <cellStyle name="Note 2 19 6 3" xfId="20417"/>
    <cellStyle name="Note 2 19 7" xfId="20418"/>
    <cellStyle name="Note 2 19 7 2" xfId="20419"/>
    <cellStyle name="Note 2 19 7 2 2" xfId="20420"/>
    <cellStyle name="Note 2 19 7 3" xfId="20421"/>
    <cellStyle name="Note 2 19 8" xfId="20422"/>
    <cellStyle name="Note 2 19 9" xfId="20423"/>
    <cellStyle name="Note 2 2" xfId="20424"/>
    <cellStyle name="Note 2 2 10" xfId="20425"/>
    <cellStyle name="Note 2 2 10 2" xfId="20426"/>
    <cellStyle name="Note 2 2 10 2 2" xfId="20427"/>
    <cellStyle name="Note 2 2 10 2 2 2" xfId="20428"/>
    <cellStyle name="Note 2 2 10 2 3" xfId="20429"/>
    <cellStyle name="Note 2 2 10 3" xfId="20430"/>
    <cellStyle name="Note 2 2 10 4" xfId="20431"/>
    <cellStyle name="Note 2 2 11" xfId="20432"/>
    <cellStyle name="Note 2 2 11 2" xfId="20433"/>
    <cellStyle name="Note 2 2 11 2 2" xfId="20434"/>
    <cellStyle name="Note 2 2 11 2 2 2" xfId="20435"/>
    <cellStyle name="Note 2 2 11 2 3" xfId="20436"/>
    <cellStyle name="Note 2 2 11 3" xfId="20437"/>
    <cellStyle name="Note 2 2 11 4" xfId="20438"/>
    <cellStyle name="Note 2 2 12" xfId="20439"/>
    <cellStyle name="Note 2 2 12 2" xfId="20440"/>
    <cellStyle name="Note 2 2 12 2 2" xfId="20441"/>
    <cellStyle name="Note 2 2 12 2 2 2" xfId="20442"/>
    <cellStyle name="Note 2 2 12 2 3" xfId="20443"/>
    <cellStyle name="Note 2 2 12 3" xfId="20444"/>
    <cellStyle name="Note 2 2 12 4" xfId="20445"/>
    <cellStyle name="Note 2 2 13" xfId="20446"/>
    <cellStyle name="Note 2 2 13 2" xfId="20447"/>
    <cellStyle name="Note 2 2 13 2 2" xfId="20448"/>
    <cellStyle name="Note 2 2 13 2 2 2" xfId="20449"/>
    <cellStyle name="Note 2 2 13 2 3" xfId="20450"/>
    <cellStyle name="Note 2 2 13 3" xfId="20451"/>
    <cellStyle name="Note 2 2 13 4" xfId="20452"/>
    <cellStyle name="Note 2 2 14" xfId="20453"/>
    <cellStyle name="Note 2 2 14 2" xfId="20454"/>
    <cellStyle name="Note 2 2 14 2 2" xfId="20455"/>
    <cellStyle name="Note 2 2 14 2 2 2" xfId="20456"/>
    <cellStyle name="Note 2 2 14 2 3" xfId="20457"/>
    <cellStyle name="Note 2 2 14 3" xfId="20458"/>
    <cellStyle name="Note 2 2 14 4" xfId="20459"/>
    <cellStyle name="Note 2 2 15" xfId="20460"/>
    <cellStyle name="Note 2 2 15 2" xfId="20461"/>
    <cellStyle name="Note 2 2 15 2 2" xfId="20462"/>
    <cellStyle name="Note 2 2 15 2 2 2" xfId="20463"/>
    <cellStyle name="Note 2 2 15 2 3" xfId="20464"/>
    <cellStyle name="Note 2 2 15 3" xfId="20465"/>
    <cellStyle name="Note 2 2 15 4" xfId="20466"/>
    <cellStyle name="Note 2 2 16" xfId="20467"/>
    <cellStyle name="Note 2 2 16 2" xfId="20468"/>
    <cellStyle name="Note 2 2 16 2 2" xfId="20469"/>
    <cellStyle name="Note 2 2 16 2 2 2" xfId="20470"/>
    <cellStyle name="Note 2 2 16 2 3" xfId="20471"/>
    <cellStyle name="Note 2 2 16 3" xfId="20472"/>
    <cellStyle name="Note 2 2 16 4" xfId="20473"/>
    <cellStyle name="Note 2 2 17" xfId="20474"/>
    <cellStyle name="Note 2 2 17 2" xfId="20475"/>
    <cellStyle name="Note 2 2 17 2 2" xfId="20476"/>
    <cellStyle name="Note 2 2 17 2 2 2" xfId="20477"/>
    <cellStyle name="Note 2 2 17 2 3" xfId="20478"/>
    <cellStyle name="Note 2 2 17 3" xfId="20479"/>
    <cellStyle name="Note 2 2 17 4" xfId="20480"/>
    <cellStyle name="Note 2 2 18" xfId="20481"/>
    <cellStyle name="Note 2 2 18 2" xfId="20482"/>
    <cellStyle name="Note 2 2 18 2 2" xfId="20483"/>
    <cellStyle name="Note 2 2 18 2 2 2" xfId="20484"/>
    <cellStyle name="Note 2 2 18 2 3" xfId="20485"/>
    <cellStyle name="Note 2 2 18 3" xfId="20486"/>
    <cellStyle name="Note 2 2 18 4" xfId="20487"/>
    <cellStyle name="Note 2 2 19" xfId="20488"/>
    <cellStyle name="Note 2 2 19 2" xfId="20489"/>
    <cellStyle name="Note 2 2 19 2 2" xfId="20490"/>
    <cellStyle name="Note 2 2 19 2 2 2" xfId="20491"/>
    <cellStyle name="Note 2 2 19 2 3" xfId="20492"/>
    <cellStyle name="Note 2 2 19 3" xfId="20493"/>
    <cellStyle name="Note 2 2 19 4" xfId="20494"/>
    <cellStyle name="Note 2 2 2" xfId="20495"/>
    <cellStyle name="Note 2 2 2 2" xfId="20496"/>
    <cellStyle name="Note 2 2 2 2 2" xfId="20497"/>
    <cellStyle name="Note 2 2 2 2 2 2" xfId="20498"/>
    <cellStyle name="Note 2 2 2 2 2 2 2" xfId="20499"/>
    <cellStyle name="Note 2 2 2 2 2 3" xfId="20500"/>
    <cellStyle name="Note 2 2 2 2 3" xfId="20501"/>
    <cellStyle name="Note 2 2 2 2 3 2" xfId="20502"/>
    <cellStyle name="Note 2 2 2 2 4" xfId="20503"/>
    <cellStyle name="Note 2 2 2 3" xfId="20504"/>
    <cellStyle name="Note 2 2 2 3 2" xfId="20505"/>
    <cellStyle name="Note 2 2 2 3 2 2" xfId="20506"/>
    <cellStyle name="Note 2 2 2 3 3" xfId="20507"/>
    <cellStyle name="Note 2 2 2 4" xfId="20508"/>
    <cellStyle name="Note 2 2 2 4 2" xfId="20509"/>
    <cellStyle name="Note 2 2 2 4 2 2" xfId="20510"/>
    <cellStyle name="Note 2 2 2 4 3" xfId="20511"/>
    <cellStyle name="Note 2 2 2 5" xfId="20512"/>
    <cellStyle name="Note 2 2 2 5 2" xfId="20513"/>
    <cellStyle name="Note 2 2 2 5 2 2" xfId="20514"/>
    <cellStyle name="Note 2 2 2 5 3" xfId="20515"/>
    <cellStyle name="Note 2 2 2 6" xfId="20516"/>
    <cellStyle name="Note 2 2 2 6 2" xfId="20517"/>
    <cellStyle name="Note 2 2 2 6 2 2" xfId="20518"/>
    <cellStyle name="Note 2 2 2 6 3" xfId="20519"/>
    <cellStyle name="Note 2 2 2 7" xfId="20520"/>
    <cellStyle name="Note 2 2 2 8" xfId="20521"/>
    <cellStyle name="Note 2 2 20" xfId="20522"/>
    <cellStyle name="Note 2 2 20 2" xfId="20523"/>
    <cellStyle name="Note 2 2 20 2 2" xfId="20524"/>
    <cellStyle name="Note 2 2 20 2 2 2" xfId="20525"/>
    <cellStyle name="Note 2 2 20 2 3" xfId="20526"/>
    <cellStyle name="Note 2 2 20 3" xfId="20527"/>
    <cellStyle name="Note 2 2 20 4" xfId="20528"/>
    <cellStyle name="Note 2 2 21" xfId="20529"/>
    <cellStyle name="Note 2 2 21 2" xfId="20530"/>
    <cellStyle name="Note 2 2 21 2 2" xfId="20531"/>
    <cellStyle name="Note 2 2 21 2 2 2" xfId="20532"/>
    <cellStyle name="Note 2 2 21 2 3" xfId="20533"/>
    <cellStyle name="Note 2 2 21 3" xfId="20534"/>
    <cellStyle name="Note 2 2 21 4" xfId="20535"/>
    <cellStyle name="Note 2 2 22" xfId="20536"/>
    <cellStyle name="Note 2 2 22 2" xfId="20537"/>
    <cellStyle name="Note 2 2 22 2 2" xfId="20538"/>
    <cellStyle name="Note 2 2 22 2 2 2" xfId="20539"/>
    <cellStyle name="Note 2 2 22 2 3" xfId="20540"/>
    <cellStyle name="Note 2 2 22 3" xfId="20541"/>
    <cellStyle name="Note 2 2 22 4" xfId="20542"/>
    <cellStyle name="Note 2 2 23" xfId="20543"/>
    <cellStyle name="Note 2 2 23 2" xfId="20544"/>
    <cellStyle name="Note 2 2 23 2 2" xfId="20545"/>
    <cellStyle name="Note 2 2 23 2 2 2" xfId="20546"/>
    <cellStyle name="Note 2 2 23 2 3" xfId="20547"/>
    <cellStyle name="Note 2 2 23 3" xfId="20548"/>
    <cellStyle name="Note 2 2 23 4" xfId="20549"/>
    <cellStyle name="Note 2 2 24" xfId="20550"/>
    <cellStyle name="Note 2 2 24 2" xfId="20551"/>
    <cellStyle name="Note 2 2 24 2 2" xfId="20552"/>
    <cellStyle name="Note 2 2 24 2 2 2" xfId="20553"/>
    <cellStyle name="Note 2 2 24 2 3" xfId="20554"/>
    <cellStyle name="Note 2 2 24 3" xfId="20555"/>
    <cellStyle name="Note 2 2 24 4" xfId="20556"/>
    <cellStyle name="Note 2 2 25" xfId="20557"/>
    <cellStyle name="Note 2 2 25 2" xfId="20558"/>
    <cellStyle name="Note 2 2 25 2 2" xfId="20559"/>
    <cellStyle name="Note 2 2 25 2 2 2" xfId="20560"/>
    <cellStyle name="Note 2 2 25 2 3" xfId="20561"/>
    <cellStyle name="Note 2 2 25 3" xfId="20562"/>
    <cellStyle name="Note 2 2 25 4" xfId="20563"/>
    <cellStyle name="Note 2 2 26" xfId="20564"/>
    <cellStyle name="Note 2 2 26 2" xfId="20565"/>
    <cellStyle name="Note 2 2 26 2 2" xfId="20566"/>
    <cellStyle name="Note 2 2 26 2 2 2" xfId="20567"/>
    <cellStyle name="Note 2 2 26 2 3" xfId="20568"/>
    <cellStyle name="Note 2 2 26 3" xfId="20569"/>
    <cellStyle name="Note 2 2 26 4" xfId="20570"/>
    <cellStyle name="Note 2 2 27" xfId="20571"/>
    <cellStyle name="Note 2 2 27 2" xfId="20572"/>
    <cellStyle name="Note 2 2 27 2 2" xfId="20573"/>
    <cellStyle name="Note 2 2 27 2 2 2" xfId="20574"/>
    <cellStyle name="Note 2 2 27 2 3" xfId="20575"/>
    <cellStyle name="Note 2 2 27 3" xfId="20576"/>
    <cellStyle name="Note 2 2 27 4" xfId="20577"/>
    <cellStyle name="Note 2 2 28" xfId="20578"/>
    <cellStyle name="Note 2 2 28 2" xfId="20579"/>
    <cellStyle name="Note 2 2 28 2 2" xfId="20580"/>
    <cellStyle name="Note 2 2 28 2 2 2" xfId="20581"/>
    <cellStyle name="Note 2 2 28 2 3" xfId="20582"/>
    <cellStyle name="Note 2 2 28 3" xfId="20583"/>
    <cellStyle name="Note 2 2 28 4" xfId="20584"/>
    <cellStyle name="Note 2 2 29" xfId="20585"/>
    <cellStyle name="Note 2 2 29 2" xfId="20586"/>
    <cellStyle name="Note 2 2 29 2 2" xfId="20587"/>
    <cellStyle name="Note 2 2 29 2 2 2" xfId="20588"/>
    <cellStyle name="Note 2 2 29 2 3" xfId="20589"/>
    <cellStyle name="Note 2 2 29 3" xfId="20590"/>
    <cellStyle name="Note 2 2 29 4" xfId="20591"/>
    <cellStyle name="Note 2 2 3" xfId="20592"/>
    <cellStyle name="Note 2 2 3 2" xfId="20593"/>
    <cellStyle name="Note 2 2 3 2 2" xfId="20594"/>
    <cellStyle name="Note 2 2 3 2 2 2" xfId="20595"/>
    <cellStyle name="Note 2 2 3 2 3" xfId="20596"/>
    <cellStyle name="Note 2 2 3 3" xfId="20597"/>
    <cellStyle name="Note 2 2 3 3 2" xfId="20598"/>
    <cellStyle name="Note 2 2 3 3 2 2" xfId="20599"/>
    <cellStyle name="Note 2 2 3 3 3" xfId="20600"/>
    <cellStyle name="Note 2 2 3 4" xfId="20601"/>
    <cellStyle name="Note 2 2 3 4 2" xfId="20602"/>
    <cellStyle name="Note 2 2 3 4 2 2" xfId="20603"/>
    <cellStyle name="Note 2 2 3 4 3" xfId="20604"/>
    <cellStyle name="Note 2 2 3 5" xfId="20605"/>
    <cellStyle name="Note 2 2 3 6" xfId="20606"/>
    <cellStyle name="Note 2 2 30" xfId="20607"/>
    <cellStyle name="Note 2 2 30 2" xfId="20608"/>
    <cellStyle name="Note 2 2 30 2 2" xfId="20609"/>
    <cellStyle name="Note 2 2 30 2 2 2" xfId="20610"/>
    <cellStyle name="Note 2 2 30 2 3" xfId="20611"/>
    <cellStyle name="Note 2 2 30 3" xfId="20612"/>
    <cellStyle name="Note 2 2 30 4" xfId="20613"/>
    <cellStyle name="Note 2 2 31" xfId="20614"/>
    <cellStyle name="Note 2 2 31 2" xfId="20615"/>
    <cellStyle name="Note 2 2 31 2 2" xfId="20616"/>
    <cellStyle name="Note 2 2 31 2 2 2" xfId="20617"/>
    <cellStyle name="Note 2 2 31 2 3" xfId="20618"/>
    <cellStyle name="Note 2 2 31 3" xfId="20619"/>
    <cellStyle name="Note 2 2 31 4" xfId="20620"/>
    <cellStyle name="Note 2 2 32" xfId="20621"/>
    <cellStyle name="Note 2 2 32 2" xfId="20622"/>
    <cellStyle name="Note 2 2 32 2 2" xfId="20623"/>
    <cellStyle name="Note 2 2 32 2 2 2" xfId="20624"/>
    <cellStyle name="Note 2 2 32 2 3" xfId="20625"/>
    <cellStyle name="Note 2 2 32 3" xfId="20626"/>
    <cellStyle name="Note 2 2 32 4" xfId="20627"/>
    <cellStyle name="Note 2 2 33" xfId="20628"/>
    <cellStyle name="Note 2 2 33 2" xfId="20629"/>
    <cellStyle name="Note 2 2 33 2 2" xfId="20630"/>
    <cellStyle name="Note 2 2 33 2 2 2" xfId="20631"/>
    <cellStyle name="Note 2 2 33 2 3" xfId="20632"/>
    <cellStyle name="Note 2 2 33 3" xfId="20633"/>
    <cellStyle name="Note 2 2 33 4" xfId="20634"/>
    <cellStyle name="Note 2 2 34" xfId="20635"/>
    <cellStyle name="Note 2 2 34 2" xfId="20636"/>
    <cellStyle name="Note 2 2 34 2 2" xfId="20637"/>
    <cellStyle name="Note 2 2 34 2 2 2" xfId="20638"/>
    <cellStyle name="Note 2 2 34 2 3" xfId="20639"/>
    <cellStyle name="Note 2 2 34 3" xfId="20640"/>
    <cellStyle name="Note 2 2 34 4" xfId="20641"/>
    <cellStyle name="Note 2 2 35" xfId="20642"/>
    <cellStyle name="Note 2 2 35 2" xfId="20643"/>
    <cellStyle name="Note 2 2 35 2 2" xfId="20644"/>
    <cellStyle name="Note 2 2 35 2 2 2" xfId="20645"/>
    <cellStyle name="Note 2 2 35 2 3" xfId="20646"/>
    <cellStyle name="Note 2 2 35 3" xfId="20647"/>
    <cellStyle name="Note 2 2 35 4" xfId="20648"/>
    <cellStyle name="Note 2 2 36" xfId="20649"/>
    <cellStyle name="Note 2 2 36 2" xfId="20650"/>
    <cellStyle name="Note 2 2 36 2 2" xfId="20651"/>
    <cellStyle name="Note 2 2 36 2 2 2" xfId="20652"/>
    <cellStyle name="Note 2 2 36 2 3" xfId="20653"/>
    <cellStyle name="Note 2 2 36 3" xfId="20654"/>
    <cellStyle name="Note 2 2 36 4" xfId="20655"/>
    <cellStyle name="Note 2 2 37" xfId="20656"/>
    <cellStyle name="Note 2 2 37 2" xfId="20657"/>
    <cellStyle name="Note 2 2 37 2 2" xfId="20658"/>
    <cellStyle name="Note 2 2 37 2 2 2" xfId="20659"/>
    <cellStyle name="Note 2 2 37 2 3" xfId="20660"/>
    <cellStyle name="Note 2 2 37 3" xfId="20661"/>
    <cellStyle name="Note 2 2 37 4" xfId="20662"/>
    <cellStyle name="Note 2 2 38" xfId="20663"/>
    <cellStyle name="Note 2 2 38 2" xfId="20664"/>
    <cellStyle name="Note 2 2 38 2 2" xfId="20665"/>
    <cellStyle name="Note 2 2 38 2 2 2" xfId="20666"/>
    <cellStyle name="Note 2 2 38 2 3" xfId="20667"/>
    <cellStyle name="Note 2 2 38 3" xfId="20668"/>
    <cellStyle name="Note 2 2 38 4" xfId="20669"/>
    <cellStyle name="Note 2 2 39" xfId="20670"/>
    <cellStyle name="Note 2 2 39 2" xfId="20671"/>
    <cellStyle name="Note 2 2 39 2 2" xfId="20672"/>
    <cellStyle name="Note 2 2 39 2 2 2" xfId="20673"/>
    <cellStyle name="Note 2 2 39 2 3" xfId="20674"/>
    <cellStyle name="Note 2 2 39 3" xfId="20675"/>
    <cellStyle name="Note 2 2 39 4" xfId="20676"/>
    <cellStyle name="Note 2 2 4" xfId="20677"/>
    <cellStyle name="Note 2 2 4 2" xfId="20678"/>
    <cellStyle name="Note 2 2 4 2 2" xfId="20679"/>
    <cellStyle name="Note 2 2 4 2 2 2" xfId="20680"/>
    <cellStyle name="Note 2 2 4 2 3" xfId="20681"/>
    <cellStyle name="Note 2 2 4 3" xfId="20682"/>
    <cellStyle name="Note 2 2 4 3 2" xfId="20683"/>
    <cellStyle name="Note 2 2 4 3 2 2" xfId="20684"/>
    <cellStyle name="Note 2 2 4 3 3" xfId="20685"/>
    <cellStyle name="Note 2 2 4 4" xfId="20686"/>
    <cellStyle name="Note 2 2 4 4 2" xfId="20687"/>
    <cellStyle name="Note 2 2 4 4 2 2" xfId="20688"/>
    <cellStyle name="Note 2 2 4 4 3" xfId="20689"/>
    <cellStyle name="Note 2 2 4 5" xfId="20690"/>
    <cellStyle name="Note 2 2 4 6" xfId="20691"/>
    <cellStyle name="Note 2 2 40" xfId="20692"/>
    <cellStyle name="Note 2 2 40 2" xfId="20693"/>
    <cellStyle name="Note 2 2 40 2 2" xfId="20694"/>
    <cellStyle name="Note 2 2 40 2 2 2" xfId="20695"/>
    <cellStyle name="Note 2 2 40 2 3" xfId="20696"/>
    <cellStyle name="Note 2 2 40 3" xfId="20697"/>
    <cellStyle name="Note 2 2 40 4" xfId="20698"/>
    <cellStyle name="Note 2 2 41" xfId="20699"/>
    <cellStyle name="Note 2 2 41 2" xfId="20700"/>
    <cellStyle name="Note 2 2 41 2 2" xfId="20701"/>
    <cellStyle name="Note 2 2 41 2 2 2" xfId="20702"/>
    <cellStyle name="Note 2 2 41 2 3" xfId="20703"/>
    <cellStyle name="Note 2 2 41 3" xfId="20704"/>
    <cellStyle name="Note 2 2 41 4" xfId="20705"/>
    <cellStyle name="Note 2 2 42" xfId="20706"/>
    <cellStyle name="Note 2 2 42 2" xfId="20707"/>
    <cellStyle name="Note 2 2 42 2 2" xfId="20708"/>
    <cellStyle name="Note 2 2 42 2 2 2" xfId="20709"/>
    <cellStyle name="Note 2 2 42 2 3" xfId="20710"/>
    <cellStyle name="Note 2 2 42 3" xfId="20711"/>
    <cellStyle name="Note 2 2 42 4" xfId="20712"/>
    <cellStyle name="Note 2 2 43" xfId="20713"/>
    <cellStyle name="Note 2 2 43 2" xfId="20714"/>
    <cellStyle name="Note 2 2 43 2 2" xfId="20715"/>
    <cellStyle name="Note 2 2 43 2 2 2" xfId="20716"/>
    <cellStyle name="Note 2 2 43 2 3" xfId="20717"/>
    <cellStyle name="Note 2 2 43 3" xfId="20718"/>
    <cellStyle name="Note 2 2 43 4" xfId="20719"/>
    <cellStyle name="Note 2 2 44" xfId="20720"/>
    <cellStyle name="Note 2 2 44 2" xfId="20721"/>
    <cellStyle name="Note 2 2 44 2 2" xfId="20722"/>
    <cellStyle name="Note 2 2 44 2 2 2" xfId="20723"/>
    <cellStyle name="Note 2 2 44 2 3" xfId="20724"/>
    <cellStyle name="Note 2 2 44 3" xfId="20725"/>
    <cellStyle name="Note 2 2 44 4" xfId="20726"/>
    <cellStyle name="Note 2 2 45" xfId="20727"/>
    <cellStyle name="Note 2 2 45 2" xfId="20728"/>
    <cellStyle name="Note 2 2 45 2 2" xfId="20729"/>
    <cellStyle name="Note 2 2 45 2 2 2" xfId="20730"/>
    <cellStyle name="Note 2 2 45 2 3" xfId="20731"/>
    <cellStyle name="Note 2 2 45 3" xfId="20732"/>
    <cellStyle name="Note 2 2 45 4" xfId="20733"/>
    <cellStyle name="Note 2 2 46" xfId="20734"/>
    <cellStyle name="Note 2 2 46 2" xfId="20735"/>
    <cellStyle name="Note 2 2 46 2 2" xfId="20736"/>
    <cellStyle name="Note 2 2 46 2 2 2" xfId="20737"/>
    <cellStyle name="Note 2 2 46 2 3" xfId="20738"/>
    <cellStyle name="Note 2 2 46 3" xfId="20739"/>
    <cellStyle name="Note 2 2 46 4" xfId="20740"/>
    <cellStyle name="Note 2 2 47" xfId="20741"/>
    <cellStyle name="Note 2 2 47 2" xfId="20742"/>
    <cellStyle name="Note 2 2 47 2 2" xfId="20743"/>
    <cellStyle name="Note 2 2 47 2 2 2" xfId="20744"/>
    <cellStyle name="Note 2 2 47 2 3" xfId="20745"/>
    <cellStyle name="Note 2 2 47 3" xfId="20746"/>
    <cellStyle name="Note 2 2 47 4" xfId="20747"/>
    <cellStyle name="Note 2 2 48" xfId="20748"/>
    <cellStyle name="Note 2 2 48 2" xfId="20749"/>
    <cellStyle name="Note 2 2 48 2 2" xfId="20750"/>
    <cellStyle name="Note 2 2 48 2 2 2" xfId="20751"/>
    <cellStyle name="Note 2 2 48 2 3" xfId="20752"/>
    <cellStyle name="Note 2 2 48 3" xfId="20753"/>
    <cellStyle name="Note 2 2 48 4" xfId="20754"/>
    <cellStyle name="Note 2 2 49" xfId="20755"/>
    <cellStyle name="Note 2 2 49 2" xfId="20756"/>
    <cellStyle name="Note 2 2 49 2 2" xfId="20757"/>
    <cellStyle name="Note 2 2 49 3" xfId="20758"/>
    <cellStyle name="Note 2 2 5" xfId="20759"/>
    <cellStyle name="Note 2 2 5 2" xfId="20760"/>
    <cellStyle name="Note 2 2 5 2 2" xfId="20761"/>
    <cellStyle name="Note 2 2 5 2 2 2" xfId="20762"/>
    <cellStyle name="Note 2 2 5 2 3" xfId="20763"/>
    <cellStyle name="Note 2 2 5 3" xfId="20764"/>
    <cellStyle name="Note 2 2 5 3 2" xfId="20765"/>
    <cellStyle name="Note 2 2 5 3 2 2" xfId="20766"/>
    <cellStyle name="Note 2 2 5 3 3" xfId="20767"/>
    <cellStyle name="Note 2 2 5 4" xfId="20768"/>
    <cellStyle name="Note 2 2 5 4 2" xfId="20769"/>
    <cellStyle name="Note 2 2 5 4 2 2" xfId="20770"/>
    <cellStyle name="Note 2 2 5 4 3" xfId="20771"/>
    <cellStyle name="Note 2 2 5 5" xfId="20772"/>
    <cellStyle name="Note 2 2 5 6" xfId="20773"/>
    <cellStyle name="Note 2 2 50" xfId="20774"/>
    <cellStyle name="Note 2 2 50 2" xfId="20775"/>
    <cellStyle name="Note 2 2 50 2 2" xfId="20776"/>
    <cellStyle name="Note 2 2 50 3" xfId="20777"/>
    <cellStyle name="Note 2 2 51" xfId="20778"/>
    <cellStyle name="Note 2 2 51 2" xfId="20779"/>
    <cellStyle name="Note 2 2 51 2 2" xfId="20780"/>
    <cellStyle name="Note 2 2 51 3" xfId="20781"/>
    <cellStyle name="Note 2 2 52" xfId="20782"/>
    <cellStyle name="Note 2 2 52 2" xfId="20783"/>
    <cellStyle name="Note 2 2 52 2 2" xfId="20784"/>
    <cellStyle name="Note 2 2 52 3" xfId="20785"/>
    <cellStyle name="Note 2 2 53" xfId="20786"/>
    <cellStyle name="Note 2 2 54" xfId="20787"/>
    <cellStyle name="Note 2 2 6" xfId="20788"/>
    <cellStyle name="Note 2 2 6 2" xfId="20789"/>
    <cellStyle name="Note 2 2 6 2 2" xfId="20790"/>
    <cellStyle name="Note 2 2 6 2 2 2" xfId="20791"/>
    <cellStyle name="Note 2 2 6 2 3" xfId="20792"/>
    <cellStyle name="Note 2 2 6 3" xfId="20793"/>
    <cellStyle name="Note 2 2 6 3 2" xfId="20794"/>
    <cellStyle name="Note 2 2 6 3 2 2" xfId="20795"/>
    <cellStyle name="Note 2 2 6 3 3" xfId="20796"/>
    <cellStyle name="Note 2 2 6 4" xfId="20797"/>
    <cellStyle name="Note 2 2 6 4 2" xfId="20798"/>
    <cellStyle name="Note 2 2 6 4 2 2" xfId="20799"/>
    <cellStyle name="Note 2 2 6 4 3" xfId="20800"/>
    <cellStyle name="Note 2 2 6 5" xfId="20801"/>
    <cellStyle name="Note 2 2 6 6" xfId="20802"/>
    <cellStyle name="Note 2 2 7" xfId="20803"/>
    <cellStyle name="Note 2 2 7 2" xfId="20804"/>
    <cellStyle name="Note 2 2 7 2 2" xfId="20805"/>
    <cellStyle name="Note 2 2 7 2 2 2" xfId="20806"/>
    <cellStyle name="Note 2 2 7 2 3" xfId="20807"/>
    <cellStyle name="Note 2 2 7 3" xfId="20808"/>
    <cellStyle name="Note 2 2 7 3 2" xfId="20809"/>
    <cellStyle name="Note 2 2 7 3 2 2" xfId="20810"/>
    <cellStyle name="Note 2 2 7 3 3" xfId="20811"/>
    <cellStyle name="Note 2 2 7 4" xfId="20812"/>
    <cellStyle name="Note 2 2 7 4 2" xfId="20813"/>
    <cellStyle name="Note 2 2 7 4 2 2" xfId="20814"/>
    <cellStyle name="Note 2 2 7 4 3" xfId="20815"/>
    <cellStyle name="Note 2 2 7 5" xfId="20816"/>
    <cellStyle name="Note 2 2 7 6" xfId="20817"/>
    <cellStyle name="Note 2 2 8" xfId="20818"/>
    <cellStyle name="Note 2 2 8 2" xfId="20819"/>
    <cellStyle name="Note 2 2 8 2 2" xfId="20820"/>
    <cellStyle name="Note 2 2 8 2 2 2" xfId="20821"/>
    <cellStyle name="Note 2 2 8 2 3" xfId="20822"/>
    <cellStyle name="Note 2 2 8 3" xfId="20823"/>
    <cellStyle name="Note 2 2 8 3 2" xfId="20824"/>
    <cellStyle name="Note 2 2 8 3 2 2" xfId="20825"/>
    <cellStyle name="Note 2 2 8 3 3" xfId="20826"/>
    <cellStyle name="Note 2 2 8 4" xfId="20827"/>
    <cellStyle name="Note 2 2 8 4 2" xfId="20828"/>
    <cellStyle name="Note 2 2 8 4 2 2" xfId="20829"/>
    <cellStyle name="Note 2 2 8 4 3" xfId="20830"/>
    <cellStyle name="Note 2 2 8 5" xfId="20831"/>
    <cellStyle name="Note 2 2 8 6" xfId="20832"/>
    <cellStyle name="Note 2 2 9" xfId="20833"/>
    <cellStyle name="Note 2 2 9 2" xfId="20834"/>
    <cellStyle name="Note 2 2 9 2 2" xfId="20835"/>
    <cellStyle name="Note 2 2 9 2 2 2" xfId="20836"/>
    <cellStyle name="Note 2 2 9 2 3" xfId="20837"/>
    <cellStyle name="Note 2 2 9 3" xfId="20838"/>
    <cellStyle name="Note 2 2 9 4" xfId="20839"/>
    <cellStyle name="Note 2 20" xfId="20840"/>
    <cellStyle name="Note 2 20 2" xfId="20841"/>
    <cellStyle name="Note 2 20 2 2" xfId="20842"/>
    <cellStyle name="Note 2 20 2 2 2" xfId="20843"/>
    <cellStyle name="Note 2 20 2 2 2 2" xfId="20844"/>
    <cellStyle name="Note 2 20 2 2 2 2 2" xfId="20845"/>
    <cellStyle name="Note 2 20 2 2 2 3" xfId="20846"/>
    <cellStyle name="Note 2 20 2 2 3" xfId="20847"/>
    <cellStyle name="Note 2 20 2 2 3 2" xfId="20848"/>
    <cellStyle name="Note 2 20 2 2 4" xfId="20849"/>
    <cellStyle name="Note 2 20 2 3" xfId="20850"/>
    <cellStyle name="Note 2 20 2 3 2" xfId="20851"/>
    <cellStyle name="Note 2 20 2 3 2 2" xfId="20852"/>
    <cellStyle name="Note 2 20 2 3 3" xfId="20853"/>
    <cellStyle name="Note 2 20 2 4" xfId="20854"/>
    <cellStyle name="Note 2 20 2 4 2" xfId="20855"/>
    <cellStyle name="Note 2 20 2 4 2 2" xfId="20856"/>
    <cellStyle name="Note 2 20 2 4 3" xfId="20857"/>
    <cellStyle name="Note 2 20 2 5" xfId="20858"/>
    <cellStyle name="Note 2 20 2 5 2" xfId="20859"/>
    <cellStyle name="Note 2 20 2 5 2 2" xfId="20860"/>
    <cellStyle name="Note 2 20 2 5 3" xfId="20861"/>
    <cellStyle name="Note 2 20 2 6" xfId="20862"/>
    <cellStyle name="Note 2 20 2 6 2" xfId="20863"/>
    <cellStyle name="Note 2 20 2 6 2 2" xfId="20864"/>
    <cellStyle name="Note 2 20 2 6 3" xfId="20865"/>
    <cellStyle name="Note 2 20 2 7" xfId="20866"/>
    <cellStyle name="Note 2 20 3" xfId="20867"/>
    <cellStyle name="Note 2 20 3 2" xfId="20868"/>
    <cellStyle name="Note 2 20 3 2 2" xfId="20869"/>
    <cellStyle name="Note 2 20 3 2 2 2" xfId="20870"/>
    <cellStyle name="Note 2 20 3 2 3" xfId="20871"/>
    <cellStyle name="Note 2 20 3 3" xfId="20872"/>
    <cellStyle name="Note 2 20 3 3 2" xfId="20873"/>
    <cellStyle name="Note 2 20 3 4" xfId="20874"/>
    <cellStyle name="Note 2 20 4" xfId="20875"/>
    <cellStyle name="Note 2 20 4 2" xfId="20876"/>
    <cellStyle name="Note 2 20 4 2 2" xfId="20877"/>
    <cellStyle name="Note 2 20 4 3" xfId="20878"/>
    <cellStyle name="Note 2 20 5" xfId="20879"/>
    <cellStyle name="Note 2 20 5 2" xfId="20880"/>
    <cellStyle name="Note 2 20 5 2 2" xfId="20881"/>
    <cellStyle name="Note 2 20 5 3" xfId="20882"/>
    <cellStyle name="Note 2 20 6" xfId="20883"/>
    <cellStyle name="Note 2 20 6 2" xfId="20884"/>
    <cellStyle name="Note 2 20 6 2 2" xfId="20885"/>
    <cellStyle name="Note 2 20 6 3" xfId="20886"/>
    <cellStyle name="Note 2 20 7" xfId="20887"/>
    <cellStyle name="Note 2 20 7 2" xfId="20888"/>
    <cellStyle name="Note 2 20 7 2 2" xfId="20889"/>
    <cellStyle name="Note 2 20 7 3" xfId="20890"/>
    <cellStyle name="Note 2 20 8" xfId="20891"/>
    <cellStyle name="Note 2 20 9" xfId="20892"/>
    <cellStyle name="Note 2 21" xfId="20893"/>
    <cellStyle name="Note 2 21 2" xfId="20894"/>
    <cellStyle name="Note 2 21 2 2" xfId="20895"/>
    <cellStyle name="Note 2 21 2 2 2" xfId="20896"/>
    <cellStyle name="Note 2 21 2 2 2 2" xfId="20897"/>
    <cellStyle name="Note 2 21 2 2 2 2 2" xfId="20898"/>
    <cellStyle name="Note 2 21 2 2 2 3" xfId="20899"/>
    <cellStyle name="Note 2 21 2 2 3" xfId="20900"/>
    <cellStyle name="Note 2 21 2 2 3 2" xfId="20901"/>
    <cellStyle name="Note 2 21 2 2 4" xfId="20902"/>
    <cellStyle name="Note 2 21 2 3" xfId="20903"/>
    <cellStyle name="Note 2 21 2 3 2" xfId="20904"/>
    <cellStyle name="Note 2 21 2 3 2 2" xfId="20905"/>
    <cellStyle name="Note 2 21 2 3 3" xfId="20906"/>
    <cellStyle name="Note 2 21 2 4" xfId="20907"/>
    <cellStyle name="Note 2 21 2 4 2" xfId="20908"/>
    <cellStyle name="Note 2 21 2 4 2 2" xfId="20909"/>
    <cellStyle name="Note 2 21 2 4 3" xfId="20910"/>
    <cellStyle name="Note 2 21 2 5" xfId="20911"/>
    <cellStyle name="Note 2 21 2 5 2" xfId="20912"/>
    <cellStyle name="Note 2 21 2 5 2 2" xfId="20913"/>
    <cellStyle name="Note 2 21 2 5 3" xfId="20914"/>
    <cellStyle name="Note 2 21 2 6" xfId="20915"/>
    <cellStyle name="Note 2 21 2 6 2" xfId="20916"/>
    <cellStyle name="Note 2 21 2 6 2 2" xfId="20917"/>
    <cellStyle name="Note 2 21 2 6 3" xfId="20918"/>
    <cellStyle name="Note 2 21 2 7" xfId="20919"/>
    <cellStyle name="Note 2 21 3" xfId="20920"/>
    <cellStyle name="Note 2 21 3 2" xfId="20921"/>
    <cellStyle name="Note 2 21 3 2 2" xfId="20922"/>
    <cellStyle name="Note 2 21 3 2 2 2" xfId="20923"/>
    <cellStyle name="Note 2 21 3 2 3" xfId="20924"/>
    <cellStyle name="Note 2 21 3 3" xfId="20925"/>
    <cellStyle name="Note 2 21 3 3 2" xfId="20926"/>
    <cellStyle name="Note 2 21 3 4" xfId="20927"/>
    <cellStyle name="Note 2 21 4" xfId="20928"/>
    <cellStyle name="Note 2 21 4 2" xfId="20929"/>
    <cellStyle name="Note 2 21 4 2 2" xfId="20930"/>
    <cellStyle name="Note 2 21 4 3" xfId="20931"/>
    <cellStyle name="Note 2 21 5" xfId="20932"/>
    <cellStyle name="Note 2 21 5 2" xfId="20933"/>
    <cellStyle name="Note 2 21 5 2 2" xfId="20934"/>
    <cellStyle name="Note 2 21 5 3" xfId="20935"/>
    <cellStyle name="Note 2 21 6" xfId="20936"/>
    <cellStyle name="Note 2 21 6 2" xfId="20937"/>
    <cellStyle name="Note 2 21 6 2 2" xfId="20938"/>
    <cellStyle name="Note 2 21 6 3" xfId="20939"/>
    <cellStyle name="Note 2 21 7" xfId="20940"/>
    <cellStyle name="Note 2 21 7 2" xfId="20941"/>
    <cellStyle name="Note 2 21 7 2 2" xfId="20942"/>
    <cellStyle name="Note 2 21 7 3" xfId="20943"/>
    <cellStyle name="Note 2 21 8" xfId="20944"/>
    <cellStyle name="Note 2 21 9" xfId="20945"/>
    <cellStyle name="Note 2 22" xfId="20946"/>
    <cellStyle name="Note 2 22 2" xfId="20947"/>
    <cellStyle name="Note 2 22 2 2" xfId="20948"/>
    <cellStyle name="Note 2 22 2 2 2" xfId="20949"/>
    <cellStyle name="Note 2 22 2 2 2 2" xfId="20950"/>
    <cellStyle name="Note 2 22 2 2 2 2 2" xfId="20951"/>
    <cellStyle name="Note 2 22 2 2 2 3" xfId="20952"/>
    <cellStyle name="Note 2 22 2 2 3" xfId="20953"/>
    <cellStyle name="Note 2 22 2 2 3 2" xfId="20954"/>
    <cellStyle name="Note 2 22 2 2 4" xfId="20955"/>
    <cellStyle name="Note 2 22 2 3" xfId="20956"/>
    <cellStyle name="Note 2 22 2 3 2" xfId="20957"/>
    <cellStyle name="Note 2 22 2 3 2 2" xfId="20958"/>
    <cellStyle name="Note 2 22 2 3 3" xfId="20959"/>
    <cellStyle name="Note 2 22 2 4" xfId="20960"/>
    <cellStyle name="Note 2 22 2 4 2" xfId="20961"/>
    <cellStyle name="Note 2 22 2 4 2 2" xfId="20962"/>
    <cellStyle name="Note 2 22 2 4 3" xfId="20963"/>
    <cellStyle name="Note 2 22 2 5" xfId="20964"/>
    <cellStyle name="Note 2 22 2 5 2" xfId="20965"/>
    <cellStyle name="Note 2 22 2 5 2 2" xfId="20966"/>
    <cellStyle name="Note 2 22 2 5 3" xfId="20967"/>
    <cellStyle name="Note 2 22 2 6" xfId="20968"/>
    <cellStyle name="Note 2 22 2 6 2" xfId="20969"/>
    <cellStyle name="Note 2 22 2 6 2 2" xfId="20970"/>
    <cellStyle name="Note 2 22 2 6 3" xfId="20971"/>
    <cellStyle name="Note 2 22 2 7" xfId="20972"/>
    <cellStyle name="Note 2 22 3" xfId="20973"/>
    <cellStyle name="Note 2 22 3 2" xfId="20974"/>
    <cellStyle name="Note 2 22 3 2 2" xfId="20975"/>
    <cellStyle name="Note 2 22 3 2 2 2" xfId="20976"/>
    <cellStyle name="Note 2 22 3 2 3" xfId="20977"/>
    <cellStyle name="Note 2 22 3 3" xfId="20978"/>
    <cellStyle name="Note 2 22 3 3 2" xfId="20979"/>
    <cellStyle name="Note 2 22 3 4" xfId="20980"/>
    <cellStyle name="Note 2 22 4" xfId="20981"/>
    <cellStyle name="Note 2 22 4 2" xfId="20982"/>
    <cellStyle name="Note 2 22 4 2 2" xfId="20983"/>
    <cellStyle name="Note 2 22 4 3" xfId="20984"/>
    <cellStyle name="Note 2 22 5" xfId="20985"/>
    <cellStyle name="Note 2 22 5 2" xfId="20986"/>
    <cellStyle name="Note 2 22 5 2 2" xfId="20987"/>
    <cellStyle name="Note 2 22 5 3" xfId="20988"/>
    <cellStyle name="Note 2 22 6" xfId="20989"/>
    <cellStyle name="Note 2 22 6 2" xfId="20990"/>
    <cellStyle name="Note 2 22 6 2 2" xfId="20991"/>
    <cellStyle name="Note 2 22 6 3" xfId="20992"/>
    <cellStyle name="Note 2 22 7" xfId="20993"/>
    <cellStyle name="Note 2 22 7 2" xfId="20994"/>
    <cellStyle name="Note 2 22 7 2 2" xfId="20995"/>
    <cellStyle name="Note 2 22 7 3" xfId="20996"/>
    <cellStyle name="Note 2 22 8" xfId="20997"/>
    <cellStyle name="Note 2 22 9" xfId="20998"/>
    <cellStyle name="Note 2 23" xfId="20999"/>
    <cellStyle name="Note 2 23 2" xfId="21000"/>
    <cellStyle name="Note 2 23 2 2" xfId="21001"/>
    <cellStyle name="Note 2 23 2 2 2" xfId="21002"/>
    <cellStyle name="Note 2 23 2 2 2 2" xfId="21003"/>
    <cellStyle name="Note 2 23 2 2 2 2 2" xfId="21004"/>
    <cellStyle name="Note 2 23 2 2 2 3" xfId="21005"/>
    <cellStyle name="Note 2 23 2 2 3" xfId="21006"/>
    <cellStyle name="Note 2 23 2 2 3 2" xfId="21007"/>
    <cellStyle name="Note 2 23 2 2 4" xfId="21008"/>
    <cellStyle name="Note 2 23 2 3" xfId="21009"/>
    <cellStyle name="Note 2 23 2 3 2" xfId="21010"/>
    <cellStyle name="Note 2 23 2 3 2 2" xfId="21011"/>
    <cellStyle name="Note 2 23 2 3 3" xfId="21012"/>
    <cellStyle name="Note 2 23 2 4" xfId="21013"/>
    <cellStyle name="Note 2 23 2 4 2" xfId="21014"/>
    <cellStyle name="Note 2 23 2 4 2 2" xfId="21015"/>
    <cellStyle name="Note 2 23 2 4 3" xfId="21016"/>
    <cellStyle name="Note 2 23 2 5" xfId="21017"/>
    <cellStyle name="Note 2 23 2 5 2" xfId="21018"/>
    <cellStyle name="Note 2 23 2 5 2 2" xfId="21019"/>
    <cellStyle name="Note 2 23 2 5 3" xfId="21020"/>
    <cellStyle name="Note 2 23 2 6" xfId="21021"/>
    <cellStyle name="Note 2 23 2 6 2" xfId="21022"/>
    <cellStyle name="Note 2 23 2 6 2 2" xfId="21023"/>
    <cellStyle name="Note 2 23 2 6 3" xfId="21024"/>
    <cellStyle name="Note 2 23 2 7" xfId="21025"/>
    <cellStyle name="Note 2 23 3" xfId="21026"/>
    <cellStyle name="Note 2 23 3 2" xfId="21027"/>
    <cellStyle name="Note 2 23 3 2 2" xfId="21028"/>
    <cellStyle name="Note 2 23 3 2 2 2" xfId="21029"/>
    <cellStyle name="Note 2 23 3 2 3" xfId="21030"/>
    <cellStyle name="Note 2 23 3 3" xfId="21031"/>
    <cellStyle name="Note 2 23 3 3 2" xfId="21032"/>
    <cellStyle name="Note 2 23 3 4" xfId="21033"/>
    <cellStyle name="Note 2 23 4" xfId="21034"/>
    <cellStyle name="Note 2 23 4 2" xfId="21035"/>
    <cellStyle name="Note 2 23 4 2 2" xfId="21036"/>
    <cellStyle name="Note 2 23 4 3" xfId="21037"/>
    <cellStyle name="Note 2 23 5" xfId="21038"/>
    <cellStyle name="Note 2 23 5 2" xfId="21039"/>
    <cellStyle name="Note 2 23 5 2 2" xfId="21040"/>
    <cellStyle name="Note 2 23 5 3" xfId="21041"/>
    <cellStyle name="Note 2 23 6" xfId="21042"/>
    <cellStyle name="Note 2 23 6 2" xfId="21043"/>
    <cellStyle name="Note 2 23 6 2 2" xfId="21044"/>
    <cellStyle name="Note 2 23 6 3" xfId="21045"/>
    <cellStyle name="Note 2 23 7" xfId="21046"/>
    <cellStyle name="Note 2 23 7 2" xfId="21047"/>
    <cellStyle name="Note 2 23 7 2 2" xfId="21048"/>
    <cellStyle name="Note 2 23 7 3" xfId="21049"/>
    <cellStyle name="Note 2 23 8" xfId="21050"/>
    <cellStyle name="Note 2 23 9" xfId="21051"/>
    <cellStyle name="Note 2 24" xfId="21052"/>
    <cellStyle name="Note 2 24 2" xfId="21053"/>
    <cellStyle name="Note 2 24 2 2" xfId="21054"/>
    <cellStyle name="Note 2 24 2 2 2" xfId="21055"/>
    <cellStyle name="Note 2 24 2 2 2 2" xfId="21056"/>
    <cellStyle name="Note 2 24 2 2 2 2 2" xfId="21057"/>
    <cellStyle name="Note 2 24 2 2 2 3" xfId="21058"/>
    <cellStyle name="Note 2 24 2 2 3" xfId="21059"/>
    <cellStyle name="Note 2 24 2 2 3 2" xfId="21060"/>
    <cellStyle name="Note 2 24 2 2 4" xfId="21061"/>
    <cellStyle name="Note 2 24 2 3" xfId="21062"/>
    <cellStyle name="Note 2 24 2 3 2" xfId="21063"/>
    <cellStyle name="Note 2 24 2 3 2 2" xfId="21064"/>
    <cellStyle name="Note 2 24 2 3 3" xfId="21065"/>
    <cellStyle name="Note 2 24 2 4" xfId="21066"/>
    <cellStyle name="Note 2 24 2 4 2" xfId="21067"/>
    <cellStyle name="Note 2 24 2 4 2 2" xfId="21068"/>
    <cellStyle name="Note 2 24 2 4 3" xfId="21069"/>
    <cellStyle name="Note 2 24 2 5" xfId="21070"/>
    <cellStyle name="Note 2 24 2 5 2" xfId="21071"/>
    <cellStyle name="Note 2 24 2 5 2 2" xfId="21072"/>
    <cellStyle name="Note 2 24 2 5 3" xfId="21073"/>
    <cellStyle name="Note 2 24 2 6" xfId="21074"/>
    <cellStyle name="Note 2 24 2 6 2" xfId="21075"/>
    <cellStyle name="Note 2 24 2 6 2 2" xfId="21076"/>
    <cellStyle name="Note 2 24 2 6 3" xfId="21077"/>
    <cellStyle name="Note 2 24 2 7" xfId="21078"/>
    <cellStyle name="Note 2 24 3" xfId="21079"/>
    <cellStyle name="Note 2 24 3 2" xfId="21080"/>
    <cellStyle name="Note 2 24 3 2 2" xfId="21081"/>
    <cellStyle name="Note 2 24 3 2 2 2" xfId="21082"/>
    <cellStyle name="Note 2 24 3 2 3" xfId="21083"/>
    <cellStyle name="Note 2 24 3 3" xfId="21084"/>
    <cellStyle name="Note 2 24 3 3 2" xfId="21085"/>
    <cellStyle name="Note 2 24 3 4" xfId="21086"/>
    <cellStyle name="Note 2 24 4" xfId="21087"/>
    <cellStyle name="Note 2 24 4 2" xfId="21088"/>
    <cellStyle name="Note 2 24 4 2 2" xfId="21089"/>
    <cellStyle name="Note 2 24 4 3" xfId="21090"/>
    <cellStyle name="Note 2 24 5" xfId="21091"/>
    <cellStyle name="Note 2 24 5 2" xfId="21092"/>
    <cellStyle name="Note 2 24 5 2 2" xfId="21093"/>
    <cellStyle name="Note 2 24 5 3" xfId="21094"/>
    <cellStyle name="Note 2 24 6" xfId="21095"/>
    <cellStyle name="Note 2 24 6 2" xfId="21096"/>
    <cellStyle name="Note 2 24 6 2 2" xfId="21097"/>
    <cellStyle name="Note 2 24 6 3" xfId="21098"/>
    <cellStyle name="Note 2 24 7" xfId="21099"/>
    <cellStyle name="Note 2 24 7 2" xfId="21100"/>
    <cellStyle name="Note 2 24 7 2 2" xfId="21101"/>
    <cellStyle name="Note 2 24 7 3" xfId="21102"/>
    <cellStyle name="Note 2 24 8" xfId="21103"/>
    <cellStyle name="Note 2 24 9" xfId="21104"/>
    <cellStyle name="Note 2 25" xfId="21105"/>
    <cellStyle name="Note 2 25 2" xfId="21106"/>
    <cellStyle name="Note 2 25 2 2" xfId="21107"/>
    <cellStyle name="Note 2 25 2 2 2" xfId="21108"/>
    <cellStyle name="Note 2 25 2 2 2 2" xfId="21109"/>
    <cellStyle name="Note 2 25 2 2 2 2 2" xfId="21110"/>
    <cellStyle name="Note 2 25 2 2 2 3" xfId="21111"/>
    <cellStyle name="Note 2 25 2 2 3" xfId="21112"/>
    <cellStyle name="Note 2 25 2 2 3 2" xfId="21113"/>
    <cellStyle name="Note 2 25 2 2 4" xfId="21114"/>
    <cellStyle name="Note 2 25 2 3" xfId="21115"/>
    <cellStyle name="Note 2 25 2 3 2" xfId="21116"/>
    <cellStyle name="Note 2 25 2 3 2 2" xfId="21117"/>
    <cellStyle name="Note 2 25 2 3 3" xfId="21118"/>
    <cellStyle name="Note 2 25 2 4" xfId="21119"/>
    <cellStyle name="Note 2 25 2 4 2" xfId="21120"/>
    <cellStyle name="Note 2 25 2 4 2 2" xfId="21121"/>
    <cellStyle name="Note 2 25 2 4 3" xfId="21122"/>
    <cellStyle name="Note 2 25 2 5" xfId="21123"/>
    <cellStyle name="Note 2 25 2 5 2" xfId="21124"/>
    <cellStyle name="Note 2 25 2 5 2 2" xfId="21125"/>
    <cellStyle name="Note 2 25 2 5 3" xfId="21126"/>
    <cellStyle name="Note 2 25 2 6" xfId="21127"/>
    <cellStyle name="Note 2 25 2 6 2" xfId="21128"/>
    <cellStyle name="Note 2 25 2 6 2 2" xfId="21129"/>
    <cellStyle name="Note 2 25 2 6 3" xfId="21130"/>
    <cellStyle name="Note 2 25 2 7" xfId="21131"/>
    <cellStyle name="Note 2 25 3" xfId="21132"/>
    <cellStyle name="Note 2 25 3 2" xfId="21133"/>
    <cellStyle name="Note 2 25 3 2 2" xfId="21134"/>
    <cellStyle name="Note 2 25 3 2 2 2" xfId="21135"/>
    <cellStyle name="Note 2 25 3 2 3" xfId="21136"/>
    <cellStyle name="Note 2 25 3 3" xfId="21137"/>
    <cellStyle name="Note 2 25 3 3 2" xfId="21138"/>
    <cellStyle name="Note 2 25 3 4" xfId="21139"/>
    <cellStyle name="Note 2 25 4" xfId="21140"/>
    <cellStyle name="Note 2 25 4 2" xfId="21141"/>
    <cellStyle name="Note 2 25 4 2 2" xfId="21142"/>
    <cellStyle name="Note 2 25 4 3" xfId="21143"/>
    <cellStyle name="Note 2 25 5" xfId="21144"/>
    <cellStyle name="Note 2 25 5 2" xfId="21145"/>
    <cellStyle name="Note 2 25 5 2 2" xfId="21146"/>
    <cellStyle name="Note 2 25 5 3" xfId="21147"/>
    <cellStyle name="Note 2 25 6" xfId="21148"/>
    <cellStyle name="Note 2 25 6 2" xfId="21149"/>
    <cellStyle name="Note 2 25 6 2 2" xfId="21150"/>
    <cellStyle name="Note 2 25 6 3" xfId="21151"/>
    <cellStyle name="Note 2 25 7" xfId="21152"/>
    <cellStyle name="Note 2 25 7 2" xfId="21153"/>
    <cellStyle name="Note 2 25 7 2 2" xfId="21154"/>
    <cellStyle name="Note 2 25 7 3" xfId="21155"/>
    <cellStyle name="Note 2 25 8" xfId="21156"/>
    <cellStyle name="Note 2 25 9" xfId="21157"/>
    <cellStyle name="Note 2 26" xfId="21158"/>
    <cellStyle name="Note 2 26 2" xfId="21159"/>
    <cellStyle name="Note 2 26 2 2" xfId="21160"/>
    <cellStyle name="Note 2 26 2 2 2" xfId="21161"/>
    <cellStyle name="Note 2 26 2 2 2 2" xfId="21162"/>
    <cellStyle name="Note 2 26 2 2 2 2 2" xfId="21163"/>
    <cellStyle name="Note 2 26 2 2 2 3" xfId="21164"/>
    <cellStyle name="Note 2 26 2 2 3" xfId="21165"/>
    <cellStyle name="Note 2 26 2 2 3 2" xfId="21166"/>
    <cellStyle name="Note 2 26 2 2 4" xfId="21167"/>
    <cellStyle name="Note 2 26 2 3" xfId="21168"/>
    <cellStyle name="Note 2 26 2 3 2" xfId="21169"/>
    <cellStyle name="Note 2 26 2 3 2 2" xfId="21170"/>
    <cellStyle name="Note 2 26 2 3 3" xfId="21171"/>
    <cellStyle name="Note 2 26 2 4" xfId="21172"/>
    <cellStyle name="Note 2 26 2 4 2" xfId="21173"/>
    <cellStyle name="Note 2 26 2 4 2 2" xfId="21174"/>
    <cellStyle name="Note 2 26 2 4 3" xfId="21175"/>
    <cellStyle name="Note 2 26 2 5" xfId="21176"/>
    <cellStyle name="Note 2 26 2 5 2" xfId="21177"/>
    <cellStyle name="Note 2 26 2 5 2 2" xfId="21178"/>
    <cellStyle name="Note 2 26 2 5 3" xfId="21179"/>
    <cellStyle name="Note 2 26 2 6" xfId="21180"/>
    <cellStyle name="Note 2 26 2 6 2" xfId="21181"/>
    <cellStyle name="Note 2 26 2 6 2 2" xfId="21182"/>
    <cellStyle name="Note 2 26 2 6 3" xfId="21183"/>
    <cellStyle name="Note 2 26 2 7" xfId="21184"/>
    <cellStyle name="Note 2 26 3" xfId="21185"/>
    <cellStyle name="Note 2 26 3 2" xfId="21186"/>
    <cellStyle name="Note 2 26 3 2 2" xfId="21187"/>
    <cellStyle name="Note 2 26 3 2 2 2" xfId="21188"/>
    <cellStyle name="Note 2 26 3 2 3" xfId="21189"/>
    <cellStyle name="Note 2 26 3 3" xfId="21190"/>
    <cellStyle name="Note 2 26 3 3 2" xfId="21191"/>
    <cellStyle name="Note 2 26 3 4" xfId="21192"/>
    <cellStyle name="Note 2 26 4" xfId="21193"/>
    <cellStyle name="Note 2 26 4 2" xfId="21194"/>
    <cellStyle name="Note 2 26 4 2 2" xfId="21195"/>
    <cellStyle name="Note 2 26 4 3" xfId="21196"/>
    <cellStyle name="Note 2 26 5" xfId="21197"/>
    <cellStyle name="Note 2 26 5 2" xfId="21198"/>
    <cellStyle name="Note 2 26 5 2 2" xfId="21199"/>
    <cellStyle name="Note 2 26 5 3" xfId="21200"/>
    <cellStyle name="Note 2 26 6" xfId="21201"/>
    <cellStyle name="Note 2 26 6 2" xfId="21202"/>
    <cellStyle name="Note 2 26 6 2 2" xfId="21203"/>
    <cellStyle name="Note 2 26 6 3" xfId="21204"/>
    <cellStyle name="Note 2 26 7" xfId="21205"/>
    <cellStyle name="Note 2 26 7 2" xfId="21206"/>
    <cellStyle name="Note 2 26 7 2 2" xfId="21207"/>
    <cellStyle name="Note 2 26 7 3" xfId="21208"/>
    <cellStyle name="Note 2 26 8" xfId="21209"/>
    <cellStyle name="Note 2 26 9" xfId="21210"/>
    <cellStyle name="Note 2 27" xfId="21211"/>
    <cellStyle name="Note 2 27 2" xfId="21212"/>
    <cellStyle name="Note 2 27 2 2" xfId="21213"/>
    <cellStyle name="Note 2 27 2 2 2" xfId="21214"/>
    <cellStyle name="Note 2 27 2 2 2 2" xfId="21215"/>
    <cellStyle name="Note 2 27 2 2 2 2 2" xfId="21216"/>
    <cellStyle name="Note 2 27 2 2 2 3" xfId="21217"/>
    <cellStyle name="Note 2 27 2 2 3" xfId="21218"/>
    <cellStyle name="Note 2 27 2 2 3 2" xfId="21219"/>
    <cellStyle name="Note 2 27 2 2 4" xfId="21220"/>
    <cellStyle name="Note 2 27 2 3" xfId="21221"/>
    <cellStyle name="Note 2 27 2 3 2" xfId="21222"/>
    <cellStyle name="Note 2 27 2 3 2 2" xfId="21223"/>
    <cellStyle name="Note 2 27 2 3 3" xfId="21224"/>
    <cellStyle name="Note 2 27 2 4" xfId="21225"/>
    <cellStyle name="Note 2 27 2 4 2" xfId="21226"/>
    <cellStyle name="Note 2 27 2 4 2 2" xfId="21227"/>
    <cellStyle name="Note 2 27 2 4 3" xfId="21228"/>
    <cellStyle name="Note 2 27 2 5" xfId="21229"/>
    <cellStyle name="Note 2 27 2 5 2" xfId="21230"/>
    <cellStyle name="Note 2 27 2 5 2 2" xfId="21231"/>
    <cellStyle name="Note 2 27 2 5 3" xfId="21232"/>
    <cellStyle name="Note 2 27 2 6" xfId="21233"/>
    <cellStyle name="Note 2 27 2 6 2" xfId="21234"/>
    <cellStyle name="Note 2 27 2 6 2 2" xfId="21235"/>
    <cellStyle name="Note 2 27 2 6 3" xfId="21236"/>
    <cellStyle name="Note 2 27 2 7" xfId="21237"/>
    <cellStyle name="Note 2 27 3" xfId="21238"/>
    <cellStyle name="Note 2 27 3 2" xfId="21239"/>
    <cellStyle name="Note 2 27 3 2 2" xfId="21240"/>
    <cellStyle name="Note 2 27 3 2 2 2" xfId="21241"/>
    <cellStyle name="Note 2 27 3 2 3" xfId="21242"/>
    <cellStyle name="Note 2 27 3 3" xfId="21243"/>
    <cellStyle name="Note 2 27 3 3 2" xfId="21244"/>
    <cellStyle name="Note 2 27 3 4" xfId="21245"/>
    <cellStyle name="Note 2 27 4" xfId="21246"/>
    <cellStyle name="Note 2 27 4 2" xfId="21247"/>
    <cellStyle name="Note 2 27 4 2 2" xfId="21248"/>
    <cellStyle name="Note 2 27 4 3" xfId="21249"/>
    <cellStyle name="Note 2 27 5" xfId="21250"/>
    <cellStyle name="Note 2 27 5 2" xfId="21251"/>
    <cellStyle name="Note 2 27 5 2 2" xfId="21252"/>
    <cellStyle name="Note 2 27 5 3" xfId="21253"/>
    <cellStyle name="Note 2 27 6" xfId="21254"/>
    <cellStyle name="Note 2 27 6 2" xfId="21255"/>
    <cellStyle name="Note 2 27 6 2 2" xfId="21256"/>
    <cellStyle name="Note 2 27 6 3" xfId="21257"/>
    <cellStyle name="Note 2 27 7" xfId="21258"/>
    <cellStyle name="Note 2 27 7 2" xfId="21259"/>
    <cellStyle name="Note 2 27 7 2 2" xfId="21260"/>
    <cellStyle name="Note 2 27 7 3" xfId="21261"/>
    <cellStyle name="Note 2 27 8" xfId="21262"/>
    <cellStyle name="Note 2 27 9" xfId="21263"/>
    <cellStyle name="Note 2 28" xfId="21264"/>
    <cellStyle name="Note 2 28 2" xfId="21265"/>
    <cellStyle name="Note 2 28 2 2" xfId="21266"/>
    <cellStyle name="Note 2 28 2 2 2" xfId="21267"/>
    <cellStyle name="Note 2 28 2 2 2 2" xfId="21268"/>
    <cellStyle name="Note 2 28 2 2 2 2 2" xfId="21269"/>
    <cellStyle name="Note 2 28 2 2 2 3" xfId="21270"/>
    <cellStyle name="Note 2 28 2 2 3" xfId="21271"/>
    <cellStyle name="Note 2 28 2 2 3 2" xfId="21272"/>
    <cellStyle name="Note 2 28 2 2 4" xfId="21273"/>
    <cellStyle name="Note 2 28 2 3" xfId="21274"/>
    <cellStyle name="Note 2 28 2 3 2" xfId="21275"/>
    <cellStyle name="Note 2 28 2 3 2 2" xfId="21276"/>
    <cellStyle name="Note 2 28 2 3 3" xfId="21277"/>
    <cellStyle name="Note 2 28 2 4" xfId="21278"/>
    <cellStyle name="Note 2 28 2 4 2" xfId="21279"/>
    <cellStyle name="Note 2 28 2 4 2 2" xfId="21280"/>
    <cellStyle name="Note 2 28 2 4 3" xfId="21281"/>
    <cellStyle name="Note 2 28 2 5" xfId="21282"/>
    <cellStyle name="Note 2 28 2 5 2" xfId="21283"/>
    <cellStyle name="Note 2 28 2 5 2 2" xfId="21284"/>
    <cellStyle name="Note 2 28 2 5 3" xfId="21285"/>
    <cellStyle name="Note 2 28 2 6" xfId="21286"/>
    <cellStyle name="Note 2 28 2 6 2" xfId="21287"/>
    <cellStyle name="Note 2 28 2 6 2 2" xfId="21288"/>
    <cellStyle name="Note 2 28 2 6 3" xfId="21289"/>
    <cellStyle name="Note 2 28 2 7" xfId="21290"/>
    <cellStyle name="Note 2 28 3" xfId="21291"/>
    <cellStyle name="Note 2 28 3 2" xfId="21292"/>
    <cellStyle name="Note 2 28 3 2 2" xfId="21293"/>
    <cellStyle name="Note 2 28 3 2 2 2" xfId="21294"/>
    <cellStyle name="Note 2 28 3 2 3" xfId="21295"/>
    <cellStyle name="Note 2 28 3 3" xfId="21296"/>
    <cellStyle name="Note 2 28 3 3 2" xfId="21297"/>
    <cellStyle name="Note 2 28 3 4" xfId="21298"/>
    <cellStyle name="Note 2 28 4" xfId="21299"/>
    <cellStyle name="Note 2 28 4 2" xfId="21300"/>
    <cellStyle name="Note 2 28 4 2 2" xfId="21301"/>
    <cellStyle name="Note 2 28 4 3" xfId="21302"/>
    <cellStyle name="Note 2 28 5" xfId="21303"/>
    <cellStyle name="Note 2 28 5 2" xfId="21304"/>
    <cellStyle name="Note 2 28 5 2 2" xfId="21305"/>
    <cellStyle name="Note 2 28 5 3" xfId="21306"/>
    <cellStyle name="Note 2 28 6" xfId="21307"/>
    <cellStyle name="Note 2 28 6 2" xfId="21308"/>
    <cellStyle name="Note 2 28 6 2 2" xfId="21309"/>
    <cellStyle name="Note 2 28 6 3" xfId="21310"/>
    <cellStyle name="Note 2 28 7" xfId="21311"/>
    <cellStyle name="Note 2 28 7 2" xfId="21312"/>
    <cellStyle name="Note 2 28 7 2 2" xfId="21313"/>
    <cellStyle name="Note 2 28 7 3" xfId="21314"/>
    <cellStyle name="Note 2 28 8" xfId="21315"/>
    <cellStyle name="Note 2 28 9" xfId="21316"/>
    <cellStyle name="Note 2 29" xfId="21317"/>
    <cellStyle name="Note 2 29 2" xfId="21318"/>
    <cellStyle name="Note 2 29 2 2" xfId="21319"/>
    <cellStyle name="Note 2 29 2 2 2" xfId="21320"/>
    <cellStyle name="Note 2 29 2 2 2 2" xfId="21321"/>
    <cellStyle name="Note 2 29 2 2 2 2 2" xfId="21322"/>
    <cellStyle name="Note 2 29 2 2 2 3" xfId="21323"/>
    <cellStyle name="Note 2 29 2 2 3" xfId="21324"/>
    <cellStyle name="Note 2 29 2 2 3 2" xfId="21325"/>
    <cellStyle name="Note 2 29 2 2 4" xfId="21326"/>
    <cellStyle name="Note 2 29 2 3" xfId="21327"/>
    <cellStyle name="Note 2 29 2 3 2" xfId="21328"/>
    <cellStyle name="Note 2 29 2 3 2 2" xfId="21329"/>
    <cellStyle name="Note 2 29 2 3 3" xfId="21330"/>
    <cellStyle name="Note 2 29 2 4" xfId="21331"/>
    <cellStyle name="Note 2 29 2 4 2" xfId="21332"/>
    <cellStyle name="Note 2 29 2 4 2 2" xfId="21333"/>
    <cellStyle name="Note 2 29 2 4 3" xfId="21334"/>
    <cellStyle name="Note 2 29 2 5" xfId="21335"/>
    <cellStyle name="Note 2 29 2 5 2" xfId="21336"/>
    <cellStyle name="Note 2 29 2 5 2 2" xfId="21337"/>
    <cellStyle name="Note 2 29 2 5 3" xfId="21338"/>
    <cellStyle name="Note 2 29 2 6" xfId="21339"/>
    <cellStyle name="Note 2 29 2 6 2" xfId="21340"/>
    <cellStyle name="Note 2 29 2 6 2 2" xfId="21341"/>
    <cellStyle name="Note 2 29 2 6 3" xfId="21342"/>
    <cellStyle name="Note 2 29 2 7" xfId="21343"/>
    <cellStyle name="Note 2 29 3" xfId="21344"/>
    <cellStyle name="Note 2 29 3 2" xfId="21345"/>
    <cellStyle name="Note 2 29 3 2 2" xfId="21346"/>
    <cellStyle name="Note 2 29 3 2 2 2" xfId="21347"/>
    <cellStyle name="Note 2 29 3 2 3" xfId="21348"/>
    <cellStyle name="Note 2 29 3 3" xfId="21349"/>
    <cellStyle name="Note 2 29 3 3 2" xfId="21350"/>
    <cellStyle name="Note 2 29 3 4" xfId="21351"/>
    <cellStyle name="Note 2 29 4" xfId="21352"/>
    <cellStyle name="Note 2 29 4 2" xfId="21353"/>
    <cellStyle name="Note 2 29 4 2 2" xfId="21354"/>
    <cellStyle name="Note 2 29 4 3" xfId="21355"/>
    <cellStyle name="Note 2 29 5" xfId="21356"/>
    <cellStyle name="Note 2 29 5 2" xfId="21357"/>
    <cellStyle name="Note 2 29 5 2 2" xfId="21358"/>
    <cellStyle name="Note 2 29 5 3" xfId="21359"/>
    <cellStyle name="Note 2 29 6" xfId="21360"/>
    <cellStyle name="Note 2 29 6 2" xfId="21361"/>
    <cellStyle name="Note 2 29 6 2 2" xfId="21362"/>
    <cellStyle name="Note 2 29 6 3" xfId="21363"/>
    <cellStyle name="Note 2 29 7" xfId="21364"/>
    <cellStyle name="Note 2 29 7 2" xfId="21365"/>
    <cellStyle name="Note 2 29 7 2 2" xfId="21366"/>
    <cellStyle name="Note 2 29 7 3" xfId="21367"/>
    <cellStyle name="Note 2 29 8" xfId="21368"/>
    <cellStyle name="Note 2 29 9" xfId="21369"/>
    <cellStyle name="Note 2 3" xfId="21370"/>
    <cellStyle name="Note 2 3 10" xfId="21371"/>
    <cellStyle name="Note 2 3 10 2" xfId="21372"/>
    <cellStyle name="Note 2 3 10 2 2" xfId="21373"/>
    <cellStyle name="Note 2 3 10 2 2 2" xfId="21374"/>
    <cellStyle name="Note 2 3 10 2 3" xfId="21375"/>
    <cellStyle name="Note 2 3 10 3" xfId="21376"/>
    <cellStyle name="Note 2 3 10 4" xfId="21377"/>
    <cellStyle name="Note 2 3 11" xfId="21378"/>
    <cellStyle name="Note 2 3 11 2" xfId="21379"/>
    <cellStyle name="Note 2 3 11 2 2" xfId="21380"/>
    <cellStyle name="Note 2 3 11 2 2 2" xfId="21381"/>
    <cellStyle name="Note 2 3 11 2 3" xfId="21382"/>
    <cellStyle name="Note 2 3 11 3" xfId="21383"/>
    <cellStyle name="Note 2 3 11 4" xfId="21384"/>
    <cellStyle name="Note 2 3 12" xfId="21385"/>
    <cellStyle name="Note 2 3 12 2" xfId="21386"/>
    <cellStyle name="Note 2 3 12 2 2" xfId="21387"/>
    <cellStyle name="Note 2 3 12 2 2 2" xfId="21388"/>
    <cellStyle name="Note 2 3 12 2 3" xfId="21389"/>
    <cellStyle name="Note 2 3 12 3" xfId="21390"/>
    <cellStyle name="Note 2 3 12 4" xfId="21391"/>
    <cellStyle name="Note 2 3 13" xfId="21392"/>
    <cellStyle name="Note 2 3 13 2" xfId="21393"/>
    <cellStyle name="Note 2 3 13 2 2" xfId="21394"/>
    <cellStyle name="Note 2 3 13 2 2 2" xfId="21395"/>
    <cellStyle name="Note 2 3 13 2 3" xfId="21396"/>
    <cellStyle name="Note 2 3 13 3" xfId="21397"/>
    <cellStyle name="Note 2 3 13 4" xfId="21398"/>
    <cellStyle name="Note 2 3 14" xfId="21399"/>
    <cellStyle name="Note 2 3 14 2" xfId="21400"/>
    <cellStyle name="Note 2 3 14 2 2" xfId="21401"/>
    <cellStyle name="Note 2 3 14 2 2 2" xfId="21402"/>
    <cellStyle name="Note 2 3 14 2 3" xfId="21403"/>
    <cellStyle name="Note 2 3 14 3" xfId="21404"/>
    <cellStyle name="Note 2 3 14 4" xfId="21405"/>
    <cellStyle name="Note 2 3 15" xfId="21406"/>
    <cellStyle name="Note 2 3 15 2" xfId="21407"/>
    <cellStyle name="Note 2 3 15 2 2" xfId="21408"/>
    <cellStyle name="Note 2 3 15 2 2 2" xfId="21409"/>
    <cellStyle name="Note 2 3 15 2 3" xfId="21410"/>
    <cellStyle name="Note 2 3 15 3" xfId="21411"/>
    <cellStyle name="Note 2 3 15 4" xfId="21412"/>
    <cellStyle name="Note 2 3 16" xfId="21413"/>
    <cellStyle name="Note 2 3 16 2" xfId="21414"/>
    <cellStyle name="Note 2 3 16 2 2" xfId="21415"/>
    <cellStyle name="Note 2 3 16 2 2 2" xfId="21416"/>
    <cellStyle name="Note 2 3 16 2 3" xfId="21417"/>
    <cellStyle name="Note 2 3 16 3" xfId="21418"/>
    <cellStyle name="Note 2 3 16 4" xfId="21419"/>
    <cellStyle name="Note 2 3 17" xfId="21420"/>
    <cellStyle name="Note 2 3 17 2" xfId="21421"/>
    <cellStyle name="Note 2 3 17 2 2" xfId="21422"/>
    <cellStyle name="Note 2 3 17 2 2 2" xfId="21423"/>
    <cellStyle name="Note 2 3 17 2 3" xfId="21424"/>
    <cellStyle name="Note 2 3 17 3" xfId="21425"/>
    <cellStyle name="Note 2 3 17 4" xfId="21426"/>
    <cellStyle name="Note 2 3 18" xfId="21427"/>
    <cellStyle name="Note 2 3 18 2" xfId="21428"/>
    <cellStyle name="Note 2 3 18 2 2" xfId="21429"/>
    <cellStyle name="Note 2 3 18 2 2 2" xfId="21430"/>
    <cellStyle name="Note 2 3 18 2 3" xfId="21431"/>
    <cellStyle name="Note 2 3 18 3" xfId="21432"/>
    <cellStyle name="Note 2 3 18 4" xfId="21433"/>
    <cellStyle name="Note 2 3 19" xfId="21434"/>
    <cellStyle name="Note 2 3 19 2" xfId="21435"/>
    <cellStyle name="Note 2 3 19 2 2" xfId="21436"/>
    <cellStyle name="Note 2 3 19 2 2 2" xfId="21437"/>
    <cellStyle name="Note 2 3 19 2 3" xfId="21438"/>
    <cellStyle name="Note 2 3 19 3" xfId="21439"/>
    <cellStyle name="Note 2 3 19 4" xfId="21440"/>
    <cellStyle name="Note 2 3 2" xfId="21441"/>
    <cellStyle name="Note 2 3 2 2" xfId="21442"/>
    <cellStyle name="Note 2 3 2 2 2" xfId="21443"/>
    <cellStyle name="Note 2 3 2 2 2 2" xfId="21444"/>
    <cellStyle name="Note 2 3 2 2 2 2 2" xfId="21445"/>
    <cellStyle name="Note 2 3 2 2 2 3" xfId="21446"/>
    <cellStyle name="Note 2 3 2 2 3" xfId="21447"/>
    <cellStyle name="Note 2 3 2 2 3 2" xfId="21448"/>
    <cellStyle name="Note 2 3 2 2 4" xfId="21449"/>
    <cellStyle name="Note 2 3 2 3" xfId="21450"/>
    <cellStyle name="Note 2 3 2 3 2" xfId="21451"/>
    <cellStyle name="Note 2 3 2 3 2 2" xfId="21452"/>
    <cellStyle name="Note 2 3 2 3 3" xfId="21453"/>
    <cellStyle name="Note 2 3 2 4" xfId="21454"/>
    <cellStyle name="Note 2 3 2 4 2" xfId="21455"/>
    <cellStyle name="Note 2 3 2 4 2 2" xfId="21456"/>
    <cellStyle name="Note 2 3 2 4 3" xfId="21457"/>
    <cellStyle name="Note 2 3 2 5" xfId="21458"/>
    <cellStyle name="Note 2 3 2 5 2" xfId="21459"/>
    <cellStyle name="Note 2 3 2 5 2 2" xfId="21460"/>
    <cellStyle name="Note 2 3 2 5 3" xfId="21461"/>
    <cellStyle name="Note 2 3 2 6" xfId="21462"/>
    <cellStyle name="Note 2 3 2 6 2" xfId="21463"/>
    <cellStyle name="Note 2 3 2 6 2 2" xfId="21464"/>
    <cellStyle name="Note 2 3 2 6 3" xfId="21465"/>
    <cellStyle name="Note 2 3 2 7" xfId="21466"/>
    <cellStyle name="Note 2 3 2 8" xfId="21467"/>
    <cellStyle name="Note 2 3 20" xfId="21468"/>
    <cellStyle name="Note 2 3 20 2" xfId="21469"/>
    <cellStyle name="Note 2 3 20 2 2" xfId="21470"/>
    <cellStyle name="Note 2 3 20 2 2 2" xfId="21471"/>
    <cellStyle name="Note 2 3 20 2 3" xfId="21472"/>
    <cellStyle name="Note 2 3 20 3" xfId="21473"/>
    <cellStyle name="Note 2 3 20 4" xfId="21474"/>
    <cellStyle name="Note 2 3 21" xfId="21475"/>
    <cellStyle name="Note 2 3 21 2" xfId="21476"/>
    <cellStyle name="Note 2 3 21 2 2" xfId="21477"/>
    <cellStyle name="Note 2 3 21 2 2 2" xfId="21478"/>
    <cellStyle name="Note 2 3 21 2 3" xfId="21479"/>
    <cellStyle name="Note 2 3 21 3" xfId="21480"/>
    <cellStyle name="Note 2 3 21 4" xfId="21481"/>
    <cellStyle name="Note 2 3 22" xfId="21482"/>
    <cellStyle name="Note 2 3 22 2" xfId="21483"/>
    <cellStyle name="Note 2 3 22 2 2" xfId="21484"/>
    <cellStyle name="Note 2 3 22 2 2 2" xfId="21485"/>
    <cellStyle name="Note 2 3 22 2 3" xfId="21486"/>
    <cellStyle name="Note 2 3 22 3" xfId="21487"/>
    <cellStyle name="Note 2 3 22 4" xfId="21488"/>
    <cellStyle name="Note 2 3 23" xfId="21489"/>
    <cellStyle name="Note 2 3 23 2" xfId="21490"/>
    <cellStyle name="Note 2 3 23 2 2" xfId="21491"/>
    <cellStyle name="Note 2 3 23 2 2 2" xfId="21492"/>
    <cellStyle name="Note 2 3 23 2 3" xfId="21493"/>
    <cellStyle name="Note 2 3 23 3" xfId="21494"/>
    <cellStyle name="Note 2 3 23 4" xfId="21495"/>
    <cellStyle name="Note 2 3 24" xfId="21496"/>
    <cellStyle name="Note 2 3 24 2" xfId="21497"/>
    <cellStyle name="Note 2 3 24 2 2" xfId="21498"/>
    <cellStyle name="Note 2 3 24 2 2 2" xfId="21499"/>
    <cellStyle name="Note 2 3 24 2 3" xfId="21500"/>
    <cellStyle name="Note 2 3 24 3" xfId="21501"/>
    <cellStyle name="Note 2 3 24 4" xfId="21502"/>
    <cellStyle name="Note 2 3 25" xfId="21503"/>
    <cellStyle name="Note 2 3 25 2" xfId="21504"/>
    <cellStyle name="Note 2 3 25 2 2" xfId="21505"/>
    <cellStyle name="Note 2 3 25 2 2 2" xfId="21506"/>
    <cellStyle name="Note 2 3 25 2 3" xfId="21507"/>
    <cellStyle name="Note 2 3 25 3" xfId="21508"/>
    <cellStyle name="Note 2 3 25 4" xfId="21509"/>
    <cellStyle name="Note 2 3 26" xfId="21510"/>
    <cellStyle name="Note 2 3 26 2" xfId="21511"/>
    <cellStyle name="Note 2 3 26 2 2" xfId="21512"/>
    <cellStyle name="Note 2 3 26 2 2 2" xfId="21513"/>
    <cellStyle name="Note 2 3 26 2 3" xfId="21514"/>
    <cellStyle name="Note 2 3 26 3" xfId="21515"/>
    <cellStyle name="Note 2 3 26 4" xfId="21516"/>
    <cellStyle name="Note 2 3 27" xfId="21517"/>
    <cellStyle name="Note 2 3 27 2" xfId="21518"/>
    <cellStyle name="Note 2 3 27 2 2" xfId="21519"/>
    <cellStyle name="Note 2 3 27 2 2 2" xfId="21520"/>
    <cellStyle name="Note 2 3 27 2 3" xfId="21521"/>
    <cellStyle name="Note 2 3 27 3" xfId="21522"/>
    <cellStyle name="Note 2 3 27 4" xfId="21523"/>
    <cellStyle name="Note 2 3 28" xfId="21524"/>
    <cellStyle name="Note 2 3 28 2" xfId="21525"/>
    <cellStyle name="Note 2 3 28 2 2" xfId="21526"/>
    <cellStyle name="Note 2 3 28 2 2 2" xfId="21527"/>
    <cellStyle name="Note 2 3 28 2 3" xfId="21528"/>
    <cellStyle name="Note 2 3 28 3" xfId="21529"/>
    <cellStyle name="Note 2 3 28 4" xfId="21530"/>
    <cellStyle name="Note 2 3 29" xfId="21531"/>
    <cellStyle name="Note 2 3 29 2" xfId="21532"/>
    <cellStyle name="Note 2 3 29 2 2" xfId="21533"/>
    <cellStyle name="Note 2 3 29 2 2 2" xfId="21534"/>
    <cellStyle name="Note 2 3 29 2 3" xfId="21535"/>
    <cellStyle name="Note 2 3 29 3" xfId="21536"/>
    <cellStyle name="Note 2 3 29 4" xfId="21537"/>
    <cellStyle name="Note 2 3 3" xfId="21538"/>
    <cellStyle name="Note 2 3 3 2" xfId="21539"/>
    <cellStyle name="Note 2 3 3 2 2" xfId="21540"/>
    <cellStyle name="Note 2 3 3 2 2 2" xfId="21541"/>
    <cellStyle name="Note 2 3 3 2 3" xfId="21542"/>
    <cellStyle name="Note 2 3 3 3" xfId="21543"/>
    <cellStyle name="Note 2 3 3 3 2" xfId="21544"/>
    <cellStyle name="Note 2 3 3 3 2 2" xfId="21545"/>
    <cellStyle name="Note 2 3 3 3 3" xfId="21546"/>
    <cellStyle name="Note 2 3 3 4" xfId="21547"/>
    <cellStyle name="Note 2 3 3 4 2" xfId="21548"/>
    <cellStyle name="Note 2 3 3 4 2 2" xfId="21549"/>
    <cellStyle name="Note 2 3 3 4 3" xfId="21550"/>
    <cellStyle name="Note 2 3 3 5" xfId="21551"/>
    <cellStyle name="Note 2 3 3 6" xfId="21552"/>
    <cellStyle name="Note 2 3 30" xfId="21553"/>
    <cellStyle name="Note 2 3 30 2" xfId="21554"/>
    <cellStyle name="Note 2 3 30 2 2" xfId="21555"/>
    <cellStyle name="Note 2 3 30 2 2 2" xfId="21556"/>
    <cellStyle name="Note 2 3 30 2 3" xfId="21557"/>
    <cellStyle name="Note 2 3 30 3" xfId="21558"/>
    <cellStyle name="Note 2 3 30 4" xfId="21559"/>
    <cellStyle name="Note 2 3 31" xfId="21560"/>
    <cellStyle name="Note 2 3 31 2" xfId="21561"/>
    <cellStyle name="Note 2 3 31 2 2" xfId="21562"/>
    <cellStyle name="Note 2 3 31 2 2 2" xfId="21563"/>
    <cellStyle name="Note 2 3 31 2 3" xfId="21564"/>
    <cellStyle name="Note 2 3 31 3" xfId="21565"/>
    <cellStyle name="Note 2 3 31 4" xfId="21566"/>
    <cellStyle name="Note 2 3 32" xfId="21567"/>
    <cellStyle name="Note 2 3 32 2" xfId="21568"/>
    <cellStyle name="Note 2 3 32 2 2" xfId="21569"/>
    <cellStyle name="Note 2 3 32 2 2 2" xfId="21570"/>
    <cellStyle name="Note 2 3 32 2 3" xfId="21571"/>
    <cellStyle name="Note 2 3 32 3" xfId="21572"/>
    <cellStyle name="Note 2 3 32 4" xfId="21573"/>
    <cellStyle name="Note 2 3 33" xfId="21574"/>
    <cellStyle name="Note 2 3 33 2" xfId="21575"/>
    <cellStyle name="Note 2 3 33 2 2" xfId="21576"/>
    <cellStyle name="Note 2 3 33 2 2 2" xfId="21577"/>
    <cellStyle name="Note 2 3 33 2 3" xfId="21578"/>
    <cellStyle name="Note 2 3 33 3" xfId="21579"/>
    <cellStyle name="Note 2 3 33 4" xfId="21580"/>
    <cellStyle name="Note 2 3 34" xfId="21581"/>
    <cellStyle name="Note 2 3 34 2" xfId="21582"/>
    <cellStyle name="Note 2 3 34 2 2" xfId="21583"/>
    <cellStyle name="Note 2 3 34 2 2 2" xfId="21584"/>
    <cellStyle name="Note 2 3 34 2 3" xfId="21585"/>
    <cellStyle name="Note 2 3 34 3" xfId="21586"/>
    <cellStyle name="Note 2 3 34 4" xfId="21587"/>
    <cellStyle name="Note 2 3 35" xfId="21588"/>
    <cellStyle name="Note 2 3 35 2" xfId="21589"/>
    <cellStyle name="Note 2 3 35 2 2" xfId="21590"/>
    <cellStyle name="Note 2 3 35 2 2 2" xfId="21591"/>
    <cellStyle name="Note 2 3 35 2 3" xfId="21592"/>
    <cellStyle name="Note 2 3 35 3" xfId="21593"/>
    <cellStyle name="Note 2 3 35 4" xfId="21594"/>
    <cellStyle name="Note 2 3 36" xfId="21595"/>
    <cellStyle name="Note 2 3 36 2" xfId="21596"/>
    <cellStyle name="Note 2 3 36 2 2" xfId="21597"/>
    <cellStyle name="Note 2 3 36 2 2 2" xfId="21598"/>
    <cellStyle name="Note 2 3 36 2 3" xfId="21599"/>
    <cellStyle name="Note 2 3 36 3" xfId="21600"/>
    <cellStyle name="Note 2 3 36 4" xfId="21601"/>
    <cellStyle name="Note 2 3 37" xfId="21602"/>
    <cellStyle name="Note 2 3 37 2" xfId="21603"/>
    <cellStyle name="Note 2 3 37 2 2" xfId="21604"/>
    <cellStyle name="Note 2 3 37 2 2 2" xfId="21605"/>
    <cellStyle name="Note 2 3 37 2 3" xfId="21606"/>
    <cellStyle name="Note 2 3 37 3" xfId="21607"/>
    <cellStyle name="Note 2 3 37 4" xfId="21608"/>
    <cellStyle name="Note 2 3 38" xfId="21609"/>
    <cellStyle name="Note 2 3 38 2" xfId="21610"/>
    <cellStyle name="Note 2 3 38 2 2" xfId="21611"/>
    <cellStyle name="Note 2 3 38 2 2 2" xfId="21612"/>
    <cellStyle name="Note 2 3 38 2 3" xfId="21613"/>
    <cellStyle name="Note 2 3 38 3" xfId="21614"/>
    <cellStyle name="Note 2 3 38 4" xfId="21615"/>
    <cellStyle name="Note 2 3 39" xfId="21616"/>
    <cellStyle name="Note 2 3 39 2" xfId="21617"/>
    <cellStyle name="Note 2 3 39 2 2" xfId="21618"/>
    <cellStyle name="Note 2 3 39 2 2 2" xfId="21619"/>
    <cellStyle name="Note 2 3 39 2 3" xfId="21620"/>
    <cellStyle name="Note 2 3 39 3" xfId="21621"/>
    <cellStyle name="Note 2 3 39 4" xfId="21622"/>
    <cellStyle name="Note 2 3 4" xfId="21623"/>
    <cellStyle name="Note 2 3 4 2" xfId="21624"/>
    <cellStyle name="Note 2 3 4 2 2" xfId="21625"/>
    <cellStyle name="Note 2 3 4 2 2 2" xfId="21626"/>
    <cellStyle name="Note 2 3 4 2 3" xfId="21627"/>
    <cellStyle name="Note 2 3 4 3" xfId="21628"/>
    <cellStyle name="Note 2 3 4 3 2" xfId="21629"/>
    <cellStyle name="Note 2 3 4 3 2 2" xfId="21630"/>
    <cellStyle name="Note 2 3 4 3 3" xfId="21631"/>
    <cellStyle name="Note 2 3 4 4" xfId="21632"/>
    <cellStyle name="Note 2 3 4 4 2" xfId="21633"/>
    <cellStyle name="Note 2 3 4 4 2 2" xfId="21634"/>
    <cellStyle name="Note 2 3 4 4 3" xfId="21635"/>
    <cellStyle name="Note 2 3 4 5" xfId="21636"/>
    <cellStyle name="Note 2 3 4 6" xfId="21637"/>
    <cellStyle name="Note 2 3 40" xfId="21638"/>
    <cellStyle name="Note 2 3 40 2" xfId="21639"/>
    <cellStyle name="Note 2 3 40 2 2" xfId="21640"/>
    <cellStyle name="Note 2 3 40 2 2 2" xfId="21641"/>
    <cellStyle name="Note 2 3 40 2 3" xfId="21642"/>
    <cellStyle name="Note 2 3 40 3" xfId="21643"/>
    <cellStyle name="Note 2 3 40 4" xfId="21644"/>
    <cellStyle name="Note 2 3 41" xfId="21645"/>
    <cellStyle name="Note 2 3 41 2" xfId="21646"/>
    <cellStyle name="Note 2 3 41 2 2" xfId="21647"/>
    <cellStyle name="Note 2 3 41 2 2 2" xfId="21648"/>
    <cellStyle name="Note 2 3 41 2 3" xfId="21649"/>
    <cellStyle name="Note 2 3 41 3" xfId="21650"/>
    <cellStyle name="Note 2 3 41 4" xfId="21651"/>
    <cellStyle name="Note 2 3 42" xfId="21652"/>
    <cellStyle name="Note 2 3 42 2" xfId="21653"/>
    <cellStyle name="Note 2 3 42 2 2" xfId="21654"/>
    <cellStyle name="Note 2 3 42 2 2 2" xfId="21655"/>
    <cellStyle name="Note 2 3 42 2 3" xfId="21656"/>
    <cellStyle name="Note 2 3 42 3" xfId="21657"/>
    <cellStyle name="Note 2 3 42 4" xfId="21658"/>
    <cellStyle name="Note 2 3 43" xfId="21659"/>
    <cellStyle name="Note 2 3 43 2" xfId="21660"/>
    <cellStyle name="Note 2 3 43 2 2" xfId="21661"/>
    <cellStyle name="Note 2 3 43 2 2 2" xfId="21662"/>
    <cellStyle name="Note 2 3 43 2 3" xfId="21663"/>
    <cellStyle name="Note 2 3 43 3" xfId="21664"/>
    <cellStyle name="Note 2 3 43 4" xfId="21665"/>
    <cellStyle name="Note 2 3 44" xfId="21666"/>
    <cellStyle name="Note 2 3 44 2" xfId="21667"/>
    <cellStyle name="Note 2 3 44 2 2" xfId="21668"/>
    <cellStyle name="Note 2 3 44 2 2 2" xfId="21669"/>
    <cellStyle name="Note 2 3 44 2 3" xfId="21670"/>
    <cellStyle name="Note 2 3 44 3" xfId="21671"/>
    <cellStyle name="Note 2 3 44 4" xfId="21672"/>
    <cellStyle name="Note 2 3 45" xfId="21673"/>
    <cellStyle name="Note 2 3 45 2" xfId="21674"/>
    <cellStyle name="Note 2 3 45 2 2" xfId="21675"/>
    <cellStyle name="Note 2 3 45 2 2 2" xfId="21676"/>
    <cellStyle name="Note 2 3 45 2 3" xfId="21677"/>
    <cellStyle name="Note 2 3 45 3" xfId="21678"/>
    <cellStyle name="Note 2 3 45 4" xfId="21679"/>
    <cellStyle name="Note 2 3 46" xfId="21680"/>
    <cellStyle name="Note 2 3 46 2" xfId="21681"/>
    <cellStyle name="Note 2 3 46 2 2" xfId="21682"/>
    <cellStyle name="Note 2 3 46 2 2 2" xfId="21683"/>
    <cellStyle name="Note 2 3 46 2 3" xfId="21684"/>
    <cellStyle name="Note 2 3 46 3" xfId="21685"/>
    <cellStyle name="Note 2 3 46 4" xfId="21686"/>
    <cellStyle name="Note 2 3 47" xfId="21687"/>
    <cellStyle name="Note 2 3 47 2" xfId="21688"/>
    <cellStyle name="Note 2 3 47 2 2" xfId="21689"/>
    <cellStyle name="Note 2 3 47 2 2 2" xfId="21690"/>
    <cellStyle name="Note 2 3 47 2 3" xfId="21691"/>
    <cellStyle name="Note 2 3 47 3" xfId="21692"/>
    <cellStyle name="Note 2 3 47 4" xfId="21693"/>
    <cellStyle name="Note 2 3 48" xfId="21694"/>
    <cellStyle name="Note 2 3 48 2" xfId="21695"/>
    <cellStyle name="Note 2 3 48 2 2" xfId="21696"/>
    <cellStyle name="Note 2 3 48 2 2 2" xfId="21697"/>
    <cellStyle name="Note 2 3 48 2 3" xfId="21698"/>
    <cellStyle name="Note 2 3 48 3" xfId="21699"/>
    <cellStyle name="Note 2 3 48 4" xfId="21700"/>
    <cellStyle name="Note 2 3 49" xfId="21701"/>
    <cellStyle name="Note 2 3 49 2" xfId="21702"/>
    <cellStyle name="Note 2 3 49 2 2" xfId="21703"/>
    <cellStyle name="Note 2 3 49 3" xfId="21704"/>
    <cellStyle name="Note 2 3 5" xfId="21705"/>
    <cellStyle name="Note 2 3 5 2" xfId="21706"/>
    <cellStyle name="Note 2 3 5 2 2" xfId="21707"/>
    <cellStyle name="Note 2 3 5 2 2 2" xfId="21708"/>
    <cellStyle name="Note 2 3 5 2 3" xfId="21709"/>
    <cellStyle name="Note 2 3 5 3" xfId="21710"/>
    <cellStyle name="Note 2 3 5 3 2" xfId="21711"/>
    <cellStyle name="Note 2 3 5 3 2 2" xfId="21712"/>
    <cellStyle name="Note 2 3 5 3 3" xfId="21713"/>
    <cellStyle name="Note 2 3 5 4" xfId="21714"/>
    <cellStyle name="Note 2 3 5 4 2" xfId="21715"/>
    <cellStyle name="Note 2 3 5 4 2 2" xfId="21716"/>
    <cellStyle name="Note 2 3 5 4 3" xfId="21717"/>
    <cellStyle name="Note 2 3 5 5" xfId="21718"/>
    <cellStyle name="Note 2 3 5 6" xfId="21719"/>
    <cellStyle name="Note 2 3 50" xfId="21720"/>
    <cellStyle name="Note 2 3 50 2" xfId="21721"/>
    <cellStyle name="Note 2 3 50 2 2" xfId="21722"/>
    <cellStyle name="Note 2 3 50 3" xfId="21723"/>
    <cellStyle name="Note 2 3 51" xfId="21724"/>
    <cellStyle name="Note 2 3 51 2" xfId="21725"/>
    <cellStyle name="Note 2 3 51 2 2" xfId="21726"/>
    <cellStyle name="Note 2 3 51 3" xfId="21727"/>
    <cellStyle name="Note 2 3 52" xfId="21728"/>
    <cellStyle name="Note 2 3 52 2" xfId="21729"/>
    <cellStyle name="Note 2 3 52 2 2" xfId="21730"/>
    <cellStyle name="Note 2 3 52 3" xfId="21731"/>
    <cellStyle name="Note 2 3 53" xfId="21732"/>
    <cellStyle name="Note 2 3 54" xfId="21733"/>
    <cellStyle name="Note 2 3 6" xfId="21734"/>
    <cellStyle name="Note 2 3 6 2" xfId="21735"/>
    <cellStyle name="Note 2 3 6 2 2" xfId="21736"/>
    <cellStyle name="Note 2 3 6 2 2 2" xfId="21737"/>
    <cellStyle name="Note 2 3 6 2 3" xfId="21738"/>
    <cellStyle name="Note 2 3 6 3" xfId="21739"/>
    <cellStyle name="Note 2 3 6 3 2" xfId="21740"/>
    <cellStyle name="Note 2 3 6 3 2 2" xfId="21741"/>
    <cellStyle name="Note 2 3 6 3 3" xfId="21742"/>
    <cellStyle name="Note 2 3 6 4" xfId="21743"/>
    <cellStyle name="Note 2 3 6 4 2" xfId="21744"/>
    <cellStyle name="Note 2 3 6 4 2 2" xfId="21745"/>
    <cellStyle name="Note 2 3 6 4 3" xfId="21746"/>
    <cellStyle name="Note 2 3 6 5" xfId="21747"/>
    <cellStyle name="Note 2 3 6 6" xfId="21748"/>
    <cellStyle name="Note 2 3 7" xfId="21749"/>
    <cellStyle name="Note 2 3 7 2" xfId="21750"/>
    <cellStyle name="Note 2 3 7 2 2" xfId="21751"/>
    <cellStyle name="Note 2 3 7 2 2 2" xfId="21752"/>
    <cellStyle name="Note 2 3 7 2 3" xfId="21753"/>
    <cellStyle name="Note 2 3 7 3" xfId="21754"/>
    <cellStyle name="Note 2 3 7 3 2" xfId="21755"/>
    <cellStyle name="Note 2 3 7 3 2 2" xfId="21756"/>
    <cellStyle name="Note 2 3 7 3 3" xfId="21757"/>
    <cellStyle name="Note 2 3 7 4" xfId="21758"/>
    <cellStyle name="Note 2 3 7 4 2" xfId="21759"/>
    <cellStyle name="Note 2 3 7 4 2 2" xfId="21760"/>
    <cellStyle name="Note 2 3 7 4 3" xfId="21761"/>
    <cellStyle name="Note 2 3 7 5" xfId="21762"/>
    <cellStyle name="Note 2 3 7 6" xfId="21763"/>
    <cellStyle name="Note 2 3 8" xfId="21764"/>
    <cellStyle name="Note 2 3 8 2" xfId="21765"/>
    <cellStyle name="Note 2 3 8 2 2" xfId="21766"/>
    <cellStyle name="Note 2 3 8 2 2 2" xfId="21767"/>
    <cellStyle name="Note 2 3 8 2 3" xfId="21768"/>
    <cellStyle name="Note 2 3 8 3" xfId="21769"/>
    <cellStyle name="Note 2 3 8 3 2" xfId="21770"/>
    <cellStyle name="Note 2 3 8 3 2 2" xfId="21771"/>
    <cellStyle name="Note 2 3 8 3 3" xfId="21772"/>
    <cellStyle name="Note 2 3 8 4" xfId="21773"/>
    <cellStyle name="Note 2 3 8 4 2" xfId="21774"/>
    <cellStyle name="Note 2 3 8 4 2 2" xfId="21775"/>
    <cellStyle name="Note 2 3 8 4 3" xfId="21776"/>
    <cellStyle name="Note 2 3 8 5" xfId="21777"/>
    <cellStyle name="Note 2 3 8 6" xfId="21778"/>
    <cellStyle name="Note 2 3 9" xfId="21779"/>
    <cellStyle name="Note 2 3 9 2" xfId="21780"/>
    <cellStyle name="Note 2 3 9 2 2" xfId="21781"/>
    <cellStyle name="Note 2 3 9 2 2 2" xfId="21782"/>
    <cellStyle name="Note 2 3 9 2 3" xfId="21783"/>
    <cellStyle name="Note 2 3 9 3" xfId="21784"/>
    <cellStyle name="Note 2 3 9 4" xfId="21785"/>
    <cellStyle name="Note 2 30" xfId="21786"/>
    <cellStyle name="Note 2 30 2" xfId="21787"/>
    <cellStyle name="Note 2 30 2 2" xfId="21788"/>
    <cellStyle name="Note 2 30 2 2 2" xfId="21789"/>
    <cellStyle name="Note 2 30 2 2 2 2" xfId="21790"/>
    <cellStyle name="Note 2 30 2 2 2 2 2" xfId="21791"/>
    <cellStyle name="Note 2 30 2 2 2 3" xfId="21792"/>
    <cellStyle name="Note 2 30 2 2 3" xfId="21793"/>
    <cellStyle name="Note 2 30 2 2 3 2" xfId="21794"/>
    <cellStyle name="Note 2 30 2 2 4" xfId="21795"/>
    <cellStyle name="Note 2 30 2 3" xfId="21796"/>
    <cellStyle name="Note 2 30 2 3 2" xfId="21797"/>
    <cellStyle name="Note 2 30 2 3 2 2" xfId="21798"/>
    <cellStyle name="Note 2 30 2 3 3" xfId="21799"/>
    <cellStyle name="Note 2 30 2 4" xfId="21800"/>
    <cellStyle name="Note 2 30 2 4 2" xfId="21801"/>
    <cellStyle name="Note 2 30 2 4 2 2" xfId="21802"/>
    <cellStyle name="Note 2 30 2 4 3" xfId="21803"/>
    <cellStyle name="Note 2 30 2 5" xfId="21804"/>
    <cellStyle name="Note 2 30 2 5 2" xfId="21805"/>
    <cellStyle name="Note 2 30 2 5 2 2" xfId="21806"/>
    <cellStyle name="Note 2 30 2 5 3" xfId="21807"/>
    <cellStyle name="Note 2 30 2 6" xfId="21808"/>
    <cellStyle name="Note 2 30 2 6 2" xfId="21809"/>
    <cellStyle name="Note 2 30 2 6 2 2" xfId="21810"/>
    <cellStyle name="Note 2 30 2 6 3" xfId="21811"/>
    <cellStyle name="Note 2 30 2 7" xfId="21812"/>
    <cellStyle name="Note 2 30 3" xfId="21813"/>
    <cellStyle name="Note 2 30 3 2" xfId="21814"/>
    <cellStyle name="Note 2 30 3 2 2" xfId="21815"/>
    <cellStyle name="Note 2 30 3 2 2 2" xfId="21816"/>
    <cellStyle name="Note 2 30 3 2 3" xfId="21817"/>
    <cellStyle name="Note 2 30 3 3" xfId="21818"/>
    <cellStyle name="Note 2 30 3 3 2" xfId="21819"/>
    <cellStyle name="Note 2 30 3 4" xfId="21820"/>
    <cellStyle name="Note 2 30 4" xfId="21821"/>
    <cellStyle name="Note 2 30 4 2" xfId="21822"/>
    <cellStyle name="Note 2 30 4 2 2" xfId="21823"/>
    <cellStyle name="Note 2 30 4 3" xfId="21824"/>
    <cellStyle name="Note 2 30 5" xfId="21825"/>
    <cellStyle name="Note 2 30 5 2" xfId="21826"/>
    <cellStyle name="Note 2 30 5 2 2" xfId="21827"/>
    <cellStyle name="Note 2 30 5 3" xfId="21828"/>
    <cellStyle name="Note 2 30 6" xfId="21829"/>
    <cellStyle name="Note 2 30 6 2" xfId="21830"/>
    <cellStyle name="Note 2 30 6 2 2" xfId="21831"/>
    <cellStyle name="Note 2 30 6 3" xfId="21832"/>
    <cellStyle name="Note 2 30 7" xfId="21833"/>
    <cellStyle name="Note 2 30 7 2" xfId="21834"/>
    <cellStyle name="Note 2 30 7 2 2" xfId="21835"/>
    <cellStyle name="Note 2 30 7 3" xfId="21836"/>
    <cellStyle name="Note 2 30 8" xfId="21837"/>
    <cellStyle name="Note 2 30 9" xfId="21838"/>
    <cellStyle name="Note 2 31" xfId="21839"/>
    <cellStyle name="Note 2 31 2" xfId="21840"/>
    <cellStyle name="Note 2 31 2 2" xfId="21841"/>
    <cellStyle name="Note 2 31 2 2 2" xfId="21842"/>
    <cellStyle name="Note 2 31 2 2 2 2" xfId="21843"/>
    <cellStyle name="Note 2 31 2 2 2 2 2" xfId="21844"/>
    <cellStyle name="Note 2 31 2 2 2 3" xfId="21845"/>
    <cellStyle name="Note 2 31 2 2 3" xfId="21846"/>
    <cellStyle name="Note 2 31 2 2 3 2" xfId="21847"/>
    <cellStyle name="Note 2 31 2 2 4" xfId="21848"/>
    <cellStyle name="Note 2 31 2 3" xfId="21849"/>
    <cellStyle name="Note 2 31 2 3 2" xfId="21850"/>
    <cellStyle name="Note 2 31 2 3 2 2" xfId="21851"/>
    <cellStyle name="Note 2 31 2 3 3" xfId="21852"/>
    <cellStyle name="Note 2 31 2 4" xfId="21853"/>
    <cellStyle name="Note 2 31 2 4 2" xfId="21854"/>
    <cellStyle name="Note 2 31 2 4 2 2" xfId="21855"/>
    <cellStyle name="Note 2 31 2 4 3" xfId="21856"/>
    <cellStyle name="Note 2 31 2 5" xfId="21857"/>
    <cellStyle name="Note 2 31 2 5 2" xfId="21858"/>
    <cellStyle name="Note 2 31 2 5 2 2" xfId="21859"/>
    <cellStyle name="Note 2 31 2 5 3" xfId="21860"/>
    <cellStyle name="Note 2 31 2 6" xfId="21861"/>
    <cellStyle name="Note 2 31 2 6 2" xfId="21862"/>
    <cellStyle name="Note 2 31 2 6 2 2" xfId="21863"/>
    <cellStyle name="Note 2 31 2 6 3" xfId="21864"/>
    <cellStyle name="Note 2 31 2 7" xfId="21865"/>
    <cellStyle name="Note 2 31 3" xfId="21866"/>
    <cellStyle name="Note 2 31 3 2" xfId="21867"/>
    <cellStyle name="Note 2 31 3 2 2" xfId="21868"/>
    <cellStyle name="Note 2 31 3 2 2 2" xfId="21869"/>
    <cellStyle name="Note 2 31 3 2 3" xfId="21870"/>
    <cellStyle name="Note 2 31 3 3" xfId="21871"/>
    <cellStyle name="Note 2 31 3 3 2" xfId="21872"/>
    <cellStyle name="Note 2 31 3 4" xfId="21873"/>
    <cellStyle name="Note 2 31 4" xfId="21874"/>
    <cellStyle name="Note 2 31 4 2" xfId="21875"/>
    <cellStyle name="Note 2 31 4 2 2" xfId="21876"/>
    <cellStyle name="Note 2 31 4 3" xfId="21877"/>
    <cellStyle name="Note 2 31 5" xfId="21878"/>
    <cellStyle name="Note 2 31 5 2" xfId="21879"/>
    <cellStyle name="Note 2 31 5 2 2" xfId="21880"/>
    <cellStyle name="Note 2 31 5 3" xfId="21881"/>
    <cellStyle name="Note 2 31 6" xfId="21882"/>
    <cellStyle name="Note 2 31 6 2" xfId="21883"/>
    <cellStyle name="Note 2 31 6 2 2" xfId="21884"/>
    <cellStyle name="Note 2 31 6 3" xfId="21885"/>
    <cellStyle name="Note 2 31 7" xfId="21886"/>
    <cellStyle name="Note 2 31 7 2" xfId="21887"/>
    <cellStyle name="Note 2 31 7 2 2" xfId="21888"/>
    <cellStyle name="Note 2 31 7 3" xfId="21889"/>
    <cellStyle name="Note 2 31 8" xfId="21890"/>
    <cellStyle name="Note 2 31 9" xfId="21891"/>
    <cellStyle name="Note 2 32" xfId="21892"/>
    <cellStyle name="Note 2 32 2" xfId="21893"/>
    <cellStyle name="Note 2 32 2 2" xfId="21894"/>
    <cellStyle name="Note 2 32 2 2 2" xfId="21895"/>
    <cellStyle name="Note 2 32 2 2 2 2" xfId="21896"/>
    <cellStyle name="Note 2 32 2 2 2 2 2" xfId="21897"/>
    <cellStyle name="Note 2 32 2 2 2 3" xfId="21898"/>
    <cellStyle name="Note 2 32 2 2 3" xfId="21899"/>
    <cellStyle name="Note 2 32 2 2 3 2" xfId="21900"/>
    <cellStyle name="Note 2 32 2 2 4" xfId="21901"/>
    <cellStyle name="Note 2 32 2 3" xfId="21902"/>
    <cellStyle name="Note 2 32 2 3 2" xfId="21903"/>
    <cellStyle name="Note 2 32 2 3 2 2" xfId="21904"/>
    <cellStyle name="Note 2 32 2 3 3" xfId="21905"/>
    <cellStyle name="Note 2 32 2 4" xfId="21906"/>
    <cellStyle name="Note 2 32 2 4 2" xfId="21907"/>
    <cellStyle name="Note 2 32 2 4 2 2" xfId="21908"/>
    <cellStyle name="Note 2 32 2 4 3" xfId="21909"/>
    <cellStyle name="Note 2 32 2 5" xfId="21910"/>
    <cellStyle name="Note 2 32 2 5 2" xfId="21911"/>
    <cellStyle name="Note 2 32 2 5 2 2" xfId="21912"/>
    <cellStyle name="Note 2 32 2 5 3" xfId="21913"/>
    <cellStyle name="Note 2 32 2 6" xfId="21914"/>
    <cellStyle name="Note 2 32 2 6 2" xfId="21915"/>
    <cellStyle name="Note 2 32 2 6 2 2" xfId="21916"/>
    <cellStyle name="Note 2 32 2 6 3" xfId="21917"/>
    <cellStyle name="Note 2 32 2 7" xfId="21918"/>
    <cellStyle name="Note 2 32 3" xfId="21919"/>
    <cellStyle name="Note 2 32 3 2" xfId="21920"/>
    <cellStyle name="Note 2 32 3 2 2" xfId="21921"/>
    <cellStyle name="Note 2 32 3 2 2 2" xfId="21922"/>
    <cellStyle name="Note 2 32 3 2 3" xfId="21923"/>
    <cellStyle name="Note 2 32 3 3" xfId="21924"/>
    <cellStyle name="Note 2 32 3 3 2" xfId="21925"/>
    <cellStyle name="Note 2 32 3 4" xfId="21926"/>
    <cellStyle name="Note 2 32 4" xfId="21927"/>
    <cellStyle name="Note 2 32 4 2" xfId="21928"/>
    <cellStyle name="Note 2 32 4 2 2" xfId="21929"/>
    <cellStyle name="Note 2 32 4 3" xfId="21930"/>
    <cellStyle name="Note 2 32 5" xfId="21931"/>
    <cellStyle name="Note 2 32 5 2" xfId="21932"/>
    <cellStyle name="Note 2 32 5 2 2" xfId="21933"/>
    <cellStyle name="Note 2 32 5 3" xfId="21934"/>
    <cellStyle name="Note 2 32 6" xfId="21935"/>
    <cellStyle name="Note 2 32 6 2" xfId="21936"/>
    <cellStyle name="Note 2 32 6 2 2" xfId="21937"/>
    <cellStyle name="Note 2 32 6 3" xfId="21938"/>
    <cellStyle name="Note 2 32 7" xfId="21939"/>
    <cellStyle name="Note 2 32 7 2" xfId="21940"/>
    <cellStyle name="Note 2 32 7 2 2" xfId="21941"/>
    <cellStyle name="Note 2 32 7 3" xfId="21942"/>
    <cellStyle name="Note 2 32 8" xfId="21943"/>
    <cellStyle name="Note 2 32 9" xfId="21944"/>
    <cellStyle name="Note 2 33" xfId="21945"/>
    <cellStyle name="Note 2 33 2" xfId="21946"/>
    <cellStyle name="Note 2 33 2 2" xfId="21947"/>
    <cellStyle name="Note 2 33 2 2 2" xfId="21948"/>
    <cellStyle name="Note 2 33 2 2 2 2" xfId="21949"/>
    <cellStyle name="Note 2 33 2 2 2 2 2" xfId="21950"/>
    <cellStyle name="Note 2 33 2 2 2 3" xfId="21951"/>
    <cellStyle name="Note 2 33 2 2 3" xfId="21952"/>
    <cellStyle name="Note 2 33 2 2 3 2" xfId="21953"/>
    <cellStyle name="Note 2 33 2 2 4" xfId="21954"/>
    <cellStyle name="Note 2 33 2 3" xfId="21955"/>
    <cellStyle name="Note 2 33 2 3 2" xfId="21956"/>
    <cellStyle name="Note 2 33 2 3 2 2" xfId="21957"/>
    <cellStyle name="Note 2 33 2 3 3" xfId="21958"/>
    <cellStyle name="Note 2 33 2 4" xfId="21959"/>
    <cellStyle name="Note 2 33 2 4 2" xfId="21960"/>
    <cellStyle name="Note 2 33 2 4 2 2" xfId="21961"/>
    <cellStyle name="Note 2 33 2 4 3" xfId="21962"/>
    <cellStyle name="Note 2 33 2 5" xfId="21963"/>
    <cellStyle name="Note 2 33 2 5 2" xfId="21964"/>
    <cellStyle name="Note 2 33 2 5 2 2" xfId="21965"/>
    <cellStyle name="Note 2 33 2 5 3" xfId="21966"/>
    <cellStyle name="Note 2 33 2 6" xfId="21967"/>
    <cellStyle name="Note 2 33 2 6 2" xfId="21968"/>
    <cellStyle name="Note 2 33 2 6 2 2" xfId="21969"/>
    <cellStyle name="Note 2 33 2 6 3" xfId="21970"/>
    <cellStyle name="Note 2 33 2 7" xfId="21971"/>
    <cellStyle name="Note 2 33 3" xfId="21972"/>
    <cellStyle name="Note 2 33 3 2" xfId="21973"/>
    <cellStyle name="Note 2 33 3 2 2" xfId="21974"/>
    <cellStyle name="Note 2 33 3 2 2 2" xfId="21975"/>
    <cellStyle name="Note 2 33 3 2 3" xfId="21976"/>
    <cellStyle name="Note 2 33 3 3" xfId="21977"/>
    <cellStyle name="Note 2 33 3 3 2" xfId="21978"/>
    <cellStyle name="Note 2 33 3 4" xfId="21979"/>
    <cellStyle name="Note 2 33 4" xfId="21980"/>
    <cellStyle name="Note 2 33 4 2" xfId="21981"/>
    <cellStyle name="Note 2 33 4 2 2" xfId="21982"/>
    <cellStyle name="Note 2 33 4 3" xfId="21983"/>
    <cellStyle name="Note 2 33 5" xfId="21984"/>
    <cellStyle name="Note 2 33 5 2" xfId="21985"/>
    <cellStyle name="Note 2 33 5 2 2" xfId="21986"/>
    <cellStyle name="Note 2 33 5 3" xfId="21987"/>
    <cellStyle name="Note 2 33 6" xfId="21988"/>
    <cellStyle name="Note 2 33 6 2" xfId="21989"/>
    <cellStyle name="Note 2 33 6 2 2" xfId="21990"/>
    <cellStyle name="Note 2 33 6 3" xfId="21991"/>
    <cellStyle name="Note 2 33 7" xfId="21992"/>
    <cellStyle name="Note 2 33 7 2" xfId="21993"/>
    <cellStyle name="Note 2 33 7 2 2" xfId="21994"/>
    <cellStyle name="Note 2 33 7 3" xfId="21995"/>
    <cellStyle name="Note 2 33 8" xfId="21996"/>
    <cellStyle name="Note 2 33 9" xfId="21997"/>
    <cellStyle name="Note 2 34" xfId="21998"/>
    <cellStyle name="Note 2 34 2" xfId="21999"/>
    <cellStyle name="Note 2 34 2 2" xfId="22000"/>
    <cellStyle name="Note 2 34 2 2 2" xfId="22001"/>
    <cellStyle name="Note 2 34 2 2 2 2" xfId="22002"/>
    <cellStyle name="Note 2 34 2 2 2 2 2" xfId="22003"/>
    <cellStyle name="Note 2 34 2 2 2 3" xfId="22004"/>
    <cellStyle name="Note 2 34 2 2 3" xfId="22005"/>
    <cellStyle name="Note 2 34 2 2 3 2" xfId="22006"/>
    <cellStyle name="Note 2 34 2 2 4" xfId="22007"/>
    <cellStyle name="Note 2 34 2 3" xfId="22008"/>
    <cellStyle name="Note 2 34 2 3 2" xfId="22009"/>
    <cellStyle name="Note 2 34 2 3 2 2" xfId="22010"/>
    <cellStyle name="Note 2 34 2 3 3" xfId="22011"/>
    <cellStyle name="Note 2 34 2 4" xfId="22012"/>
    <cellStyle name="Note 2 34 2 4 2" xfId="22013"/>
    <cellStyle name="Note 2 34 2 4 2 2" xfId="22014"/>
    <cellStyle name="Note 2 34 2 4 3" xfId="22015"/>
    <cellStyle name="Note 2 34 2 5" xfId="22016"/>
    <cellStyle name="Note 2 34 2 5 2" xfId="22017"/>
    <cellStyle name="Note 2 34 2 5 2 2" xfId="22018"/>
    <cellStyle name="Note 2 34 2 5 3" xfId="22019"/>
    <cellStyle name="Note 2 34 2 6" xfId="22020"/>
    <cellStyle name="Note 2 34 2 6 2" xfId="22021"/>
    <cellStyle name="Note 2 34 2 6 2 2" xfId="22022"/>
    <cellStyle name="Note 2 34 2 6 3" xfId="22023"/>
    <cellStyle name="Note 2 34 2 7" xfId="22024"/>
    <cellStyle name="Note 2 34 3" xfId="22025"/>
    <cellStyle name="Note 2 34 3 2" xfId="22026"/>
    <cellStyle name="Note 2 34 3 2 2" xfId="22027"/>
    <cellStyle name="Note 2 34 3 2 2 2" xfId="22028"/>
    <cellStyle name="Note 2 34 3 2 3" xfId="22029"/>
    <cellStyle name="Note 2 34 3 3" xfId="22030"/>
    <cellStyle name="Note 2 34 3 3 2" xfId="22031"/>
    <cellStyle name="Note 2 34 3 4" xfId="22032"/>
    <cellStyle name="Note 2 34 4" xfId="22033"/>
    <cellStyle name="Note 2 34 4 2" xfId="22034"/>
    <cellStyle name="Note 2 34 4 2 2" xfId="22035"/>
    <cellStyle name="Note 2 34 4 3" xfId="22036"/>
    <cellStyle name="Note 2 34 5" xfId="22037"/>
    <cellStyle name="Note 2 34 5 2" xfId="22038"/>
    <cellStyle name="Note 2 34 5 2 2" xfId="22039"/>
    <cellStyle name="Note 2 34 5 3" xfId="22040"/>
    <cellStyle name="Note 2 34 6" xfId="22041"/>
    <cellStyle name="Note 2 34 6 2" xfId="22042"/>
    <cellStyle name="Note 2 34 6 2 2" xfId="22043"/>
    <cellStyle name="Note 2 34 6 3" xfId="22044"/>
    <cellStyle name="Note 2 34 7" xfId="22045"/>
    <cellStyle name="Note 2 34 7 2" xfId="22046"/>
    <cellStyle name="Note 2 34 7 2 2" xfId="22047"/>
    <cellStyle name="Note 2 34 7 3" xfId="22048"/>
    <cellStyle name="Note 2 34 8" xfId="22049"/>
    <cellStyle name="Note 2 34 9" xfId="22050"/>
    <cellStyle name="Note 2 35" xfId="22051"/>
    <cellStyle name="Note 2 35 2" xfId="22052"/>
    <cellStyle name="Note 2 35 2 2" xfId="22053"/>
    <cellStyle name="Note 2 35 2 2 2" xfId="22054"/>
    <cellStyle name="Note 2 35 2 2 2 2" xfId="22055"/>
    <cellStyle name="Note 2 35 2 2 2 2 2" xfId="22056"/>
    <cellStyle name="Note 2 35 2 2 2 3" xfId="22057"/>
    <cellStyle name="Note 2 35 2 2 3" xfId="22058"/>
    <cellStyle name="Note 2 35 2 2 3 2" xfId="22059"/>
    <cellStyle name="Note 2 35 2 2 4" xfId="22060"/>
    <cellStyle name="Note 2 35 2 3" xfId="22061"/>
    <cellStyle name="Note 2 35 2 3 2" xfId="22062"/>
    <cellStyle name="Note 2 35 2 3 2 2" xfId="22063"/>
    <cellStyle name="Note 2 35 2 3 3" xfId="22064"/>
    <cellStyle name="Note 2 35 2 4" xfId="22065"/>
    <cellStyle name="Note 2 35 2 4 2" xfId="22066"/>
    <cellStyle name="Note 2 35 2 4 2 2" xfId="22067"/>
    <cellStyle name="Note 2 35 2 4 3" xfId="22068"/>
    <cellStyle name="Note 2 35 2 5" xfId="22069"/>
    <cellStyle name="Note 2 35 2 5 2" xfId="22070"/>
    <cellStyle name="Note 2 35 2 5 2 2" xfId="22071"/>
    <cellStyle name="Note 2 35 2 5 3" xfId="22072"/>
    <cellStyle name="Note 2 35 2 6" xfId="22073"/>
    <cellStyle name="Note 2 35 2 6 2" xfId="22074"/>
    <cellStyle name="Note 2 35 2 6 2 2" xfId="22075"/>
    <cellStyle name="Note 2 35 2 6 3" xfId="22076"/>
    <cellStyle name="Note 2 35 2 7" xfId="22077"/>
    <cellStyle name="Note 2 35 3" xfId="22078"/>
    <cellStyle name="Note 2 35 3 2" xfId="22079"/>
    <cellStyle name="Note 2 35 3 2 2" xfId="22080"/>
    <cellStyle name="Note 2 35 3 2 2 2" xfId="22081"/>
    <cellStyle name="Note 2 35 3 2 3" xfId="22082"/>
    <cellStyle name="Note 2 35 3 3" xfId="22083"/>
    <cellStyle name="Note 2 35 3 3 2" xfId="22084"/>
    <cellStyle name="Note 2 35 3 4" xfId="22085"/>
    <cellStyle name="Note 2 35 4" xfId="22086"/>
    <cellStyle name="Note 2 35 4 2" xfId="22087"/>
    <cellStyle name="Note 2 35 4 2 2" xfId="22088"/>
    <cellStyle name="Note 2 35 4 3" xfId="22089"/>
    <cellStyle name="Note 2 35 5" xfId="22090"/>
    <cellStyle name="Note 2 35 5 2" xfId="22091"/>
    <cellStyle name="Note 2 35 5 2 2" xfId="22092"/>
    <cellStyle name="Note 2 35 5 3" xfId="22093"/>
    <cellStyle name="Note 2 35 6" xfId="22094"/>
    <cellStyle name="Note 2 35 6 2" xfId="22095"/>
    <cellStyle name="Note 2 35 6 2 2" xfId="22096"/>
    <cellStyle name="Note 2 35 6 3" xfId="22097"/>
    <cellStyle name="Note 2 35 7" xfId="22098"/>
    <cellStyle name="Note 2 35 7 2" xfId="22099"/>
    <cellStyle name="Note 2 35 7 2 2" xfId="22100"/>
    <cellStyle name="Note 2 35 7 3" xfId="22101"/>
    <cellStyle name="Note 2 35 8" xfId="22102"/>
    <cellStyle name="Note 2 35 9" xfId="22103"/>
    <cellStyle name="Note 2 36" xfId="22104"/>
    <cellStyle name="Note 2 36 2" xfId="22105"/>
    <cellStyle name="Note 2 36 2 2" xfId="22106"/>
    <cellStyle name="Note 2 36 2 2 2" xfId="22107"/>
    <cellStyle name="Note 2 36 2 2 2 2" xfId="22108"/>
    <cellStyle name="Note 2 36 2 2 2 2 2" xfId="22109"/>
    <cellStyle name="Note 2 36 2 2 2 3" xfId="22110"/>
    <cellStyle name="Note 2 36 2 2 3" xfId="22111"/>
    <cellStyle name="Note 2 36 2 2 3 2" xfId="22112"/>
    <cellStyle name="Note 2 36 2 2 4" xfId="22113"/>
    <cellStyle name="Note 2 36 2 3" xfId="22114"/>
    <cellStyle name="Note 2 36 2 3 2" xfId="22115"/>
    <cellStyle name="Note 2 36 2 3 2 2" xfId="22116"/>
    <cellStyle name="Note 2 36 2 3 3" xfId="22117"/>
    <cellStyle name="Note 2 36 2 4" xfId="22118"/>
    <cellStyle name="Note 2 36 2 4 2" xfId="22119"/>
    <cellStyle name="Note 2 36 2 4 2 2" xfId="22120"/>
    <cellStyle name="Note 2 36 2 4 3" xfId="22121"/>
    <cellStyle name="Note 2 36 2 5" xfId="22122"/>
    <cellStyle name="Note 2 36 2 5 2" xfId="22123"/>
    <cellStyle name="Note 2 36 2 5 2 2" xfId="22124"/>
    <cellStyle name="Note 2 36 2 5 3" xfId="22125"/>
    <cellStyle name="Note 2 36 2 6" xfId="22126"/>
    <cellStyle name="Note 2 36 2 6 2" xfId="22127"/>
    <cellStyle name="Note 2 36 2 6 2 2" xfId="22128"/>
    <cellStyle name="Note 2 36 2 6 3" xfId="22129"/>
    <cellStyle name="Note 2 36 2 7" xfId="22130"/>
    <cellStyle name="Note 2 36 3" xfId="22131"/>
    <cellStyle name="Note 2 36 3 2" xfId="22132"/>
    <cellStyle name="Note 2 36 3 2 2" xfId="22133"/>
    <cellStyle name="Note 2 36 3 2 2 2" xfId="22134"/>
    <cellStyle name="Note 2 36 3 2 3" xfId="22135"/>
    <cellStyle name="Note 2 36 3 3" xfId="22136"/>
    <cellStyle name="Note 2 36 3 3 2" xfId="22137"/>
    <cellStyle name="Note 2 36 3 4" xfId="22138"/>
    <cellStyle name="Note 2 36 4" xfId="22139"/>
    <cellStyle name="Note 2 36 4 2" xfId="22140"/>
    <cellStyle name="Note 2 36 4 2 2" xfId="22141"/>
    <cellStyle name="Note 2 36 4 3" xfId="22142"/>
    <cellStyle name="Note 2 36 5" xfId="22143"/>
    <cellStyle name="Note 2 36 5 2" xfId="22144"/>
    <cellStyle name="Note 2 36 5 2 2" xfId="22145"/>
    <cellStyle name="Note 2 36 5 3" xfId="22146"/>
    <cellStyle name="Note 2 36 6" xfId="22147"/>
    <cellStyle name="Note 2 36 6 2" xfId="22148"/>
    <cellStyle name="Note 2 36 6 2 2" xfId="22149"/>
    <cellStyle name="Note 2 36 6 3" xfId="22150"/>
    <cellStyle name="Note 2 36 7" xfId="22151"/>
    <cellStyle name="Note 2 36 7 2" xfId="22152"/>
    <cellStyle name="Note 2 36 7 2 2" xfId="22153"/>
    <cellStyle name="Note 2 36 7 3" xfId="22154"/>
    <cellStyle name="Note 2 36 8" xfId="22155"/>
    <cellStyle name="Note 2 36 9" xfId="22156"/>
    <cellStyle name="Note 2 37" xfId="22157"/>
    <cellStyle name="Note 2 37 2" xfId="22158"/>
    <cellStyle name="Note 2 37 2 2" xfId="22159"/>
    <cellStyle name="Note 2 37 2 2 2" xfId="22160"/>
    <cellStyle name="Note 2 37 2 2 2 2" xfId="22161"/>
    <cellStyle name="Note 2 37 2 2 2 2 2" xfId="22162"/>
    <cellStyle name="Note 2 37 2 2 2 3" xfId="22163"/>
    <cellStyle name="Note 2 37 2 2 3" xfId="22164"/>
    <cellStyle name="Note 2 37 2 2 3 2" xfId="22165"/>
    <cellStyle name="Note 2 37 2 2 4" xfId="22166"/>
    <cellStyle name="Note 2 37 2 3" xfId="22167"/>
    <cellStyle name="Note 2 37 2 3 2" xfId="22168"/>
    <cellStyle name="Note 2 37 2 3 2 2" xfId="22169"/>
    <cellStyle name="Note 2 37 2 3 3" xfId="22170"/>
    <cellStyle name="Note 2 37 2 4" xfId="22171"/>
    <cellStyle name="Note 2 37 2 4 2" xfId="22172"/>
    <cellStyle name="Note 2 37 2 4 2 2" xfId="22173"/>
    <cellStyle name="Note 2 37 2 4 3" xfId="22174"/>
    <cellStyle name="Note 2 37 2 5" xfId="22175"/>
    <cellStyle name="Note 2 37 2 5 2" xfId="22176"/>
    <cellStyle name="Note 2 37 2 5 2 2" xfId="22177"/>
    <cellStyle name="Note 2 37 2 5 3" xfId="22178"/>
    <cellStyle name="Note 2 37 2 6" xfId="22179"/>
    <cellStyle name="Note 2 37 2 6 2" xfId="22180"/>
    <cellStyle name="Note 2 37 2 6 2 2" xfId="22181"/>
    <cellStyle name="Note 2 37 2 6 3" xfId="22182"/>
    <cellStyle name="Note 2 37 2 7" xfId="22183"/>
    <cellStyle name="Note 2 37 3" xfId="22184"/>
    <cellStyle name="Note 2 37 3 2" xfId="22185"/>
    <cellStyle name="Note 2 37 3 2 2" xfId="22186"/>
    <cellStyle name="Note 2 37 3 2 2 2" xfId="22187"/>
    <cellStyle name="Note 2 37 3 2 3" xfId="22188"/>
    <cellStyle name="Note 2 37 3 3" xfId="22189"/>
    <cellStyle name="Note 2 37 3 3 2" xfId="22190"/>
    <cellStyle name="Note 2 37 3 4" xfId="22191"/>
    <cellStyle name="Note 2 37 4" xfId="22192"/>
    <cellStyle name="Note 2 37 4 2" xfId="22193"/>
    <cellStyle name="Note 2 37 4 2 2" xfId="22194"/>
    <cellStyle name="Note 2 37 4 3" xfId="22195"/>
    <cellStyle name="Note 2 37 5" xfId="22196"/>
    <cellStyle name="Note 2 37 5 2" xfId="22197"/>
    <cellStyle name="Note 2 37 5 2 2" xfId="22198"/>
    <cellStyle name="Note 2 37 5 3" xfId="22199"/>
    <cellStyle name="Note 2 37 6" xfId="22200"/>
    <cellStyle name="Note 2 37 6 2" xfId="22201"/>
    <cellStyle name="Note 2 37 6 2 2" xfId="22202"/>
    <cellStyle name="Note 2 37 6 3" xfId="22203"/>
    <cellStyle name="Note 2 37 7" xfId="22204"/>
    <cellStyle name="Note 2 37 7 2" xfId="22205"/>
    <cellStyle name="Note 2 37 7 2 2" xfId="22206"/>
    <cellStyle name="Note 2 37 7 3" xfId="22207"/>
    <cellStyle name="Note 2 37 8" xfId="22208"/>
    <cellStyle name="Note 2 37 9" xfId="22209"/>
    <cellStyle name="Note 2 38" xfId="22210"/>
    <cellStyle name="Note 2 38 2" xfId="22211"/>
    <cellStyle name="Note 2 38 2 2" xfId="22212"/>
    <cellStyle name="Note 2 38 2 2 2" xfId="22213"/>
    <cellStyle name="Note 2 38 2 2 2 2" xfId="22214"/>
    <cellStyle name="Note 2 38 2 2 2 2 2" xfId="22215"/>
    <cellStyle name="Note 2 38 2 2 2 3" xfId="22216"/>
    <cellStyle name="Note 2 38 2 2 3" xfId="22217"/>
    <cellStyle name="Note 2 38 2 2 3 2" xfId="22218"/>
    <cellStyle name="Note 2 38 2 2 4" xfId="22219"/>
    <cellStyle name="Note 2 38 2 3" xfId="22220"/>
    <cellStyle name="Note 2 38 2 3 2" xfId="22221"/>
    <cellStyle name="Note 2 38 2 3 2 2" xfId="22222"/>
    <cellStyle name="Note 2 38 2 3 3" xfId="22223"/>
    <cellStyle name="Note 2 38 2 4" xfId="22224"/>
    <cellStyle name="Note 2 38 2 4 2" xfId="22225"/>
    <cellStyle name="Note 2 38 2 4 2 2" xfId="22226"/>
    <cellStyle name="Note 2 38 2 4 3" xfId="22227"/>
    <cellStyle name="Note 2 38 2 5" xfId="22228"/>
    <cellStyle name="Note 2 38 2 5 2" xfId="22229"/>
    <cellStyle name="Note 2 38 2 5 2 2" xfId="22230"/>
    <cellStyle name="Note 2 38 2 5 3" xfId="22231"/>
    <cellStyle name="Note 2 38 2 6" xfId="22232"/>
    <cellStyle name="Note 2 38 2 6 2" xfId="22233"/>
    <cellStyle name="Note 2 38 2 6 2 2" xfId="22234"/>
    <cellStyle name="Note 2 38 2 6 3" xfId="22235"/>
    <cellStyle name="Note 2 38 2 7" xfId="22236"/>
    <cellStyle name="Note 2 38 3" xfId="22237"/>
    <cellStyle name="Note 2 38 3 2" xfId="22238"/>
    <cellStyle name="Note 2 38 3 2 2" xfId="22239"/>
    <cellStyle name="Note 2 38 3 2 2 2" xfId="22240"/>
    <cellStyle name="Note 2 38 3 2 3" xfId="22241"/>
    <cellStyle name="Note 2 38 3 3" xfId="22242"/>
    <cellStyle name="Note 2 38 3 3 2" xfId="22243"/>
    <cellStyle name="Note 2 38 3 4" xfId="22244"/>
    <cellStyle name="Note 2 38 4" xfId="22245"/>
    <cellStyle name="Note 2 38 4 2" xfId="22246"/>
    <cellStyle name="Note 2 38 4 2 2" xfId="22247"/>
    <cellStyle name="Note 2 38 4 3" xfId="22248"/>
    <cellStyle name="Note 2 38 5" xfId="22249"/>
    <cellStyle name="Note 2 38 5 2" xfId="22250"/>
    <cellStyle name="Note 2 38 5 2 2" xfId="22251"/>
    <cellStyle name="Note 2 38 5 3" xfId="22252"/>
    <cellStyle name="Note 2 38 6" xfId="22253"/>
    <cellStyle name="Note 2 38 6 2" xfId="22254"/>
    <cellStyle name="Note 2 38 6 2 2" xfId="22255"/>
    <cellStyle name="Note 2 38 6 3" xfId="22256"/>
    <cellStyle name="Note 2 38 7" xfId="22257"/>
    <cellStyle name="Note 2 38 7 2" xfId="22258"/>
    <cellStyle name="Note 2 38 7 2 2" xfId="22259"/>
    <cellStyle name="Note 2 38 7 3" xfId="22260"/>
    <cellStyle name="Note 2 38 8" xfId="22261"/>
    <cellStyle name="Note 2 38 9" xfId="22262"/>
    <cellStyle name="Note 2 39" xfId="22263"/>
    <cellStyle name="Note 2 39 2" xfId="22264"/>
    <cellStyle name="Note 2 39 2 2" xfId="22265"/>
    <cellStyle name="Note 2 39 2 2 2" xfId="22266"/>
    <cellStyle name="Note 2 39 2 2 2 2" xfId="22267"/>
    <cellStyle name="Note 2 39 2 2 2 2 2" xfId="22268"/>
    <cellStyle name="Note 2 39 2 2 2 3" xfId="22269"/>
    <cellStyle name="Note 2 39 2 2 3" xfId="22270"/>
    <cellStyle name="Note 2 39 2 2 3 2" xfId="22271"/>
    <cellStyle name="Note 2 39 2 2 4" xfId="22272"/>
    <cellStyle name="Note 2 39 2 3" xfId="22273"/>
    <cellStyle name="Note 2 39 2 3 2" xfId="22274"/>
    <cellStyle name="Note 2 39 2 3 2 2" xfId="22275"/>
    <cellStyle name="Note 2 39 2 3 3" xfId="22276"/>
    <cellStyle name="Note 2 39 2 4" xfId="22277"/>
    <cellStyle name="Note 2 39 2 4 2" xfId="22278"/>
    <cellStyle name="Note 2 39 2 4 2 2" xfId="22279"/>
    <cellStyle name="Note 2 39 2 4 3" xfId="22280"/>
    <cellStyle name="Note 2 39 2 5" xfId="22281"/>
    <cellStyle name="Note 2 39 2 5 2" xfId="22282"/>
    <cellStyle name="Note 2 39 2 5 2 2" xfId="22283"/>
    <cellStyle name="Note 2 39 2 5 3" xfId="22284"/>
    <cellStyle name="Note 2 39 2 6" xfId="22285"/>
    <cellStyle name="Note 2 39 2 6 2" xfId="22286"/>
    <cellStyle name="Note 2 39 2 6 2 2" xfId="22287"/>
    <cellStyle name="Note 2 39 2 6 3" xfId="22288"/>
    <cellStyle name="Note 2 39 2 7" xfId="22289"/>
    <cellStyle name="Note 2 39 3" xfId="22290"/>
    <cellStyle name="Note 2 39 3 2" xfId="22291"/>
    <cellStyle name="Note 2 39 3 2 2" xfId="22292"/>
    <cellStyle name="Note 2 39 3 2 2 2" xfId="22293"/>
    <cellStyle name="Note 2 39 3 2 3" xfId="22294"/>
    <cellStyle name="Note 2 39 3 3" xfId="22295"/>
    <cellStyle name="Note 2 39 3 3 2" xfId="22296"/>
    <cellStyle name="Note 2 39 3 4" xfId="22297"/>
    <cellStyle name="Note 2 39 4" xfId="22298"/>
    <cellStyle name="Note 2 39 4 2" xfId="22299"/>
    <cellStyle name="Note 2 39 4 2 2" xfId="22300"/>
    <cellStyle name="Note 2 39 4 3" xfId="22301"/>
    <cellStyle name="Note 2 39 5" xfId="22302"/>
    <cellStyle name="Note 2 39 5 2" xfId="22303"/>
    <cellStyle name="Note 2 39 5 2 2" xfId="22304"/>
    <cellStyle name="Note 2 39 5 3" xfId="22305"/>
    <cellStyle name="Note 2 39 6" xfId="22306"/>
    <cellStyle name="Note 2 39 6 2" xfId="22307"/>
    <cellStyle name="Note 2 39 6 2 2" xfId="22308"/>
    <cellStyle name="Note 2 39 6 3" xfId="22309"/>
    <cellStyle name="Note 2 39 7" xfId="22310"/>
    <cellStyle name="Note 2 39 7 2" xfId="22311"/>
    <cellStyle name="Note 2 39 7 2 2" xfId="22312"/>
    <cellStyle name="Note 2 39 7 3" xfId="22313"/>
    <cellStyle name="Note 2 39 8" xfId="22314"/>
    <cellStyle name="Note 2 39 9" xfId="22315"/>
    <cellStyle name="Note 2 4" xfId="22316"/>
    <cellStyle name="Note 2 4 10" xfId="22317"/>
    <cellStyle name="Note 2 4 10 2" xfId="22318"/>
    <cellStyle name="Note 2 4 10 2 2" xfId="22319"/>
    <cellStyle name="Note 2 4 10 2 2 2" xfId="22320"/>
    <cellStyle name="Note 2 4 10 2 3" xfId="22321"/>
    <cellStyle name="Note 2 4 10 3" xfId="22322"/>
    <cellStyle name="Note 2 4 10 4" xfId="22323"/>
    <cellStyle name="Note 2 4 11" xfId="22324"/>
    <cellStyle name="Note 2 4 11 2" xfId="22325"/>
    <cellStyle name="Note 2 4 11 2 2" xfId="22326"/>
    <cellStyle name="Note 2 4 11 2 2 2" xfId="22327"/>
    <cellStyle name="Note 2 4 11 2 3" xfId="22328"/>
    <cellStyle name="Note 2 4 11 3" xfId="22329"/>
    <cellStyle name="Note 2 4 11 4" xfId="22330"/>
    <cellStyle name="Note 2 4 12" xfId="22331"/>
    <cellStyle name="Note 2 4 12 2" xfId="22332"/>
    <cellStyle name="Note 2 4 12 2 2" xfId="22333"/>
    <cellStyle name="Note 2 4 12 2 2 2" xfId="22334"/>
    <cellStyle name="Note 2 4 12 2 3" xfId="22335"/>
    <cellStyle name="Note 2 4 12 3" xfId="22336"/>
    <cellStyle name="Note 2 4 12 4" xfId="22337"/>
    <cellStyle name="Note 2 4 13" xfId="22338"/>
    <cellStyle name="Note 2 4 13 2" xfId="22339"/>
    <cellStyle name="Note 2 4 13 2 2" xfId="22340"/>
    <cellStyle name="Note 2 4 13 2 2 2" xfId="22341"/>
    <cellStyle name="Note 2 4 13 2 3" xfId="22342"/>
    <cellStyle name="Note 2 4 13 3" xfId="22343"/>
    <cellStyle name="Note 2 4 13 4" xfId="22344"/>
    <cellStyle name="Note 2 4 14" xfId="22345"/>
    <cellStyle name="Note 2 4 14 2" xfId="22346"/>
    <cellStyle name="Note 2 4 14 2 2" xfId="22347"/>
    <cellStyle name="Note 2 4 14 2 2 2" xfId="22348"/>
    <cellStyle name="Note 2 4 14 2 3" xfId="22349"/>
    <cellStyle name="Note 2 4 14 3" xfId="22350"/>
    <cellStyle name="Note 2 4 14 4" xfId="22351"/>
    <cellStyle name="Note 2 4 15" xfId="22352"/>
    <cellStyle name="Note 2 4 15 2" xfId="22353"/>
    <cellStyle name="Note 2 4 15 2 2" xfId="22354"/>
    <cellStyle name="Note 2 4 15 2 2 2" xfId="22355"/>
    <cellStyle name="Note 2 4 15 2 3" xfId="22356"/>
    <cellStyle name="Note 2 4 15 3" xfId="22357"/>
    <cellStyle name="Note 2 4 15 4" xfId="22358"/>
    <cellStyle name="Note 2 4 16" xfId="22359"/>
    <cellStyle name="Note 2 4 16 2" xfId="22360"/>
    <cellStyle name="Note 2 4 16 2 2" xfId="22361"/>
    <cellStyle name="Note 2 4 16 2 2 2" xfId="22362"/>
    <cellStyle name="Note 2 4 16 2 3" xfId="22363"/>
    <cellStyle name="Note 2 4 16 3" xfId="22364"/>
    <cellStyle name="Note 2 4 16 4" xfId="22365"/>
    <cellStyle name="Note 2 4 17" xfId="22366"/>
    <cellStyle name="Note 2 4 17 2" xfId="22367"/>
    <cellStyle name="Note 2 4 17 2 2" xfId="22368"/>
    <cellStyle name="Note 2 4 17 2 2 2" xfId="22369"/>
    <cellStyle name="Note 2 4 17 2 3" xfId="22370"/>
    <cellStyle name="Note 2 4 17 3" xfId="22371"/>
    <cellStyle name="Note 2 4 17 4" xfId="22372"/>
    <cellStyle name="Note 2 4 18" xfId="22373"/>
    <cellStyle name="Note 2 4 18 2" xfId="22374"/>
    <cellStyle name="Note 2 4 18 2 2" xfId="22375"/>
    <cellStyle name="Note 2 4 18 2 2 2" xfId="22376"/>
    <cellStyle name="Note 2 4 18 2 3" xfId="22377"/>
    <cellStyle name="Note 2 4 18 3" xfId="22378"/>
    <cellStyle name="Note 2 4 18 4" xfId="22379"/>
    <cellStyle name="Note 2 4 19" xfId="22380"/>
    <cellStyle name="Note 2 4 19 2" xfId="22381"/>
    <cellStyle name="Note 2 4 19 2 2" xfId="22382"/>
    <cellStyle name="Note 2 4 19 2 2 2" xfId="22383"/>
    <cellStyle name="Note 2 4 19 2 3" xfId="22384"/>
    <cellStyle name="Note 2 4 19 3" xfId="22385"/>
    <cellStyle name="Note 2 4 19 4" xfId="22386"/>
    <cellStyle name="Note 2 4 2" xfId="22387"/>
    <cellStyle name="Note 2 4 2 2" xfId="22388"/>
    <cellStyle name="Note 2 4 2 2 2" xfId="22389"/>
    <cellStyle name="Note 2 4 2 2 2 2" xfId="22390"/>
    <cellStyle name="Note 2 4 2 2 2 2 2" xfId="22391"/>
    <cellStyle name="Note 2 4 2 2 2 3" xfId="22392"/>
    <cellStyle name="Note 2 4 2 2 3" xfId="22393"/>
    <cellStyle name="Note 2 4 2 2 3 2" xfId="22394"/>
    <cellStyle name="Note 2 4 2 2 4" xfId="22395"/>
    <cellStyle name="Note 2 4 2 3" xfId="22396"/>
    <cellStyle name="Note 2 4 2 3 2" xfId="22397"/>
    <cellStyle name="Note 2 4 2 3 2 2" xfId="22398"/>
    <cellStyle name="Note 2 4 2 3 3" xfId="22399"/>
    <cellStyle name="Note 2 4 2 4" xfId="22400"/>
    <cellStyle name="Note 2 4 2 4 2" xfId="22401"/>
    <cellStyle name="Note 2 4 2 4 2 2" xfId="22402"/>
    <cellStyle name="Note 2 4 2 4 3" xfId="22403"/>
    <cellStyle name="Note 2 4 2 5" xfId="22404"/>
    <cellStyle name="Note 2 4 2 5 2" xfId="22405"/>
    <cellStyle name="Note 2 4 2 5 2 2" xfId="22406"/>
    <cellStyle name="Note 2 4 2 5 3" xfId="22407"/>
    <cellStyle name="Note 2 4 2 6" xfId="22408"/>
    <cellStyle name="Note 2 4 2 6 2" xfId="22409"/>
    <cellStyle name="Note 2 4 2 6 2 2" xfId="22410"/>
    <cellStyle name="Note 2 4 2 6 3" xfId="22411"/>
    <cellStyle name="Note 2 4 2 7" xfId="22412"/>
    <cellStyle name="Note 2 4 2 8" xfId="22413"/>
    <cellStyle name="Note 2 4 20" xfId="22414"/>
    <cellStyle name="Note 2 4 20 2" xfId="22415"/>
    <cellStyle name="Note 2 4 20 2 2" xfId="22416"/>
    <cellStyle name="Note 2 4 20 2 2 2" xfId="22417"/>
    <cellStyle name="Note 2 4 20 2 3" xfId="22418"/>
    <cellStyle name="Note 2 4 20 3" xfId="22419"/>
    <cellStyle name="Note 2 4 20 4" xfId="22420"/>
    <cellStyle name="Note 2 4 21" xfId="22421"/>
    <cellStyle name="Note 2 4 21 2" xfId="22422"/>
    <cellStyle name="Note 2 4 21 2 2" xfId="22423"/>
    <cellStyle name="Note 2 4 21 2 2 2" xfId="22424"/>
    <cellStyle name="Note 2 4 21 2 3" xfId="22425"/>
    <cellStyle name="Note 2 4 21 3" xfId="22426"/>
    <cellStyle name="Note 2 4 21 4" xfId="22427"/>
    <cellStyle name="Note 2 4 22" xfId="22428"/>
    <cellStyle name="Note 2 4 22 2" xfId="22429"/>
    <cellStyle name="Note 2 4 22 2 2" xfId="22430"/>
    <cellStyle name="Note 2 4 22 2 2 2" xfId="22431"/>
    <cellStyle name="Note 2 4 22 2 3" xfId="22432"/>
    <cellStyle name="Note 2 4 22 3" xfId="22433"/>
    <cellStyle name="Note 2 4 22 4" xfId="22434"/>
    <cellStyle name="Note 2 4 23" xfId="22435"/>
    <cellStyle name="Note 2 4 23 2" xfId="22436"/>
    <cellStyle name="Note 2 4 23 2 2" xfId="22437"/>
    <cellStyle name="Note 2 4 23 2 2 2" xfId="22438"/>
    <cellStyle name="Note 2 4 23 2 3" xfId="22439"/>
    <cellStyle name="Note 2 4 23 3" xfId="22440"/>
    <cellStyle name="Note 2 4 23 4" xfId="22441"/>
    <cellStyle name="Note 2 4 24" xfId="22442"/>
    <cellStyle name="Note 2 4 24 2" xfId="22443"/>
    <cellStyle name="Note 2 4 24 2 2" xfId="22444"/>
    <cellStyle name="Note 2 4 24 2 2 2" xfId="22445"/>
    <cellStyle name="Note 2 4 24 2 3" xfId="22446"/>
    <cellStyle name="Note 2 4 24 3" xfId="22447"/>
    <cellStyle name="Note 2 4 24 4" xfId="22448"/>
    <cellStyle name="Note 2 4 25" xfId="22449"/>
    <cellStyle name="Note 2 4 25 2" xfId="22450"/>
    <cellStyle name="Note 2 4 25 2 2" xfId="22451"/>
    <cellStyle name="Note 2 4 25 2 2 2" xfId="22452"/>
    <cellStyle name="Note 2 4 25 2 3" xfId="22453"/>
    <cellStyle name="Note 2 4 25 3" xfId="22454"/>
    <cellStyle name="Note 2 4 25 4" xfId="22455"/>
    <cellStyle name="Note 2 4 26" xfId="22456"/>
    <cellStyle name="Note 2 4 26 2" xfId="22457"/>
    <cellStyle name="Note 2 4 26 2 2" xfId="22458"/>
    <cellStyle name="Note 2 4 26 2 2 2" xfId="22459"/>
    <cellStyle name="Note 2 4 26 2 3" xfId="22460"/>
    <cellStyle name="Note 2 4 26 3" xfId="22461"/>
    <cellStyle name="Note 2 4 26 4" xfId="22462"/>
    <cellStyle name="Note 2 4 27" xfId="22463"/>
    <cellStyle name="Note 2 4 27 2" xfId="22464"/>
    <cellStyle name="Note 2 4 27 2 2" xfId="22465"/>
    <cellStyle name="Note 2 4 27 2 2 2" xfId="22466"/>
    <cellStyle name="Note 2 4 27 2 3" xfId="22467"/>
    <cellStyle name="Note 2 4 27 3" xfId="22468"/>
    <cellStyle name="Note 2 4 27 4" xfId="22469"/>
    <cellStyle name="Note 2 4 28" xfId="22470"/>
    <cellStyle name="Note 2 4 28 2" xfId="22471"/>
    <cellStyle name="Note 2 4 28 2 2" xfId="22472"/>
    <cellStyle name="Note 2 4 28 2 2 2" xfId="22473"/>
    <cellStyle name="Note 2 4 28 2 3" xfId="22474"/>
    <cellStyle name="Note 2 4 28 3" xfId="22475"/>
    <cellStyle name="Note 2 4 28 4" xfId="22476"/>
    <cellStyle name="Note 2 4 29" xfId="22477"/>
    <cellStyle name="Note 2 4 29 2" xfId="22478"/>
    <cellStyle name="Note 2 4 29 2 2" xfId="22479"/>
    <cellStyle name="Note 2 4 29 2 2 2" xfId="22480"/>
    <cellStyle name="Note 2 4 29 2 3" xfId="22481"/>
    <cellStyle name="Note 2 4 29 3" xfId="22482"/>
    <cellStyle name="Note 2 4 29 4" xfId="22483"/>
    <cellStyle name="Note 2 4 3" xfId="22484"/>
    <cellStyle name="Note 2 4 3 2" xfId="22485"/>
    <cellStyle name="Note 2 4 3 2 2" xfId="22486"/>
    <cellStyle name="Note 2 4 3 2 2 2" xfId="22487"/>
    <cellStyle name="Note 2 4 3 2 3" xfId="22488"/>
    <cellStyle name="Note 2 4 3 3" xfId="22489"/>
    <cellStyle name="Note 2 4 3 3 2" xfId="22490"/>
    <cellStyle name="Note 2 4 3 3 2 2" xfId="22491"/>
    <cellStyle name="Note 2 4 3 3 3" xfId="22492"/>
    <cellStyle name="Note 2 4 3 4" xfId="22493"/>
    <cellStyle name="Note 2 4 3 4 2" xfId="22494"/>
    <cellStyle name="Note 2 4 3 4 2 2" xfId="22495"/>
    <cellStyle name="Note 2 4 3 4 3" xfId="22496"/>
    <cellStyle name="Note 2 4 3 5" xfId="22497"/>
    <cellStyle name="Note 2 4 3 6" xfId="22498"/>
    <cellStyle name="Note 2 4 30" xfId="22499"/>
    <cellStyle name="Note 2 4 30 2" xfId="22500"/>
    <cellStyle name="Note 2 4 30 2 2" xfId="22501"/>
    <cellStyle name="Note 2 4 30 2 2 2" xfId="22502"/>
    <cellStyle name="Note 2 4 30 2 3" xfId="22503"/>
    <cellStyle name="Note 2 4 30 3" xfId="22504"/>
    <cellStyle name="Note 2 4 30 4" xfId="22505"/>
    <cellStyle name="Note 2 4 31" xfId="22506"/>
    <cellStyle name="Note 2 4 31 2" xfId="22507"/>
    <cellStyle name="Note 2 4 31 2 2" xfId="22508"/>
    <cellStyle name="Note 2 4 31 2 2 2" xfId="22509"/>
    <cellStyle name="Note 2 4 31 2 3" xfId="22510"/>
    <cellStyle name="Note 2 4 31 3" xfId="22511"/>
    <cellStyle name="Note 2 4 31 4" xfId="22512"/>
    <cellStyle name="Note 2 4 32" xfId="22513"/>
    <cellStyle name="Note 2 4 32 2" xfId="22514"/>
    <cellStyle name="Note 2 4 32 2 2" xfId="22515"/>
    <cellStyle name="Note 2 4 32 2 2 2" xfId="22516"/>
    <cellStyle name="Note 2 4 32 2 3" xfId="22517"/>
    <cellStyle name="Note 2 4 32 3" xfId="22518"/>
    <cellStyle name="Note 2 4 32 4" xfId="22519"/>
    <cellStyle name="Note 2 4 33" xfId="22520"/>
    <cellStyle name="Note 2 4 33 2" xfId="22521"/>
    <cellStyle name="Note 2 4 33 2 2" xfId="22522"/>
    <cellStyle name="Note 2 4 33 2 2 2" xfId="22523"/>
    <cellStyle name="Note 2 4 33 2 3" xfId="22524"/>
    <cellStyle name="Note 2 4 33 3" xfId="22525"/>
    <cellStyle name="Note 2 4 33 4" xfId="22526"/>
    <cellStyle name="Note 2 4 34" xfId="22527"/>
    <cellStyle name="Note 2 4 34 2" xfId="22528"/>
    <cellStyle name="Note 2 4 34 2 2" xfId="22529"/>
    <cellStyle name="Note 2 4 34 2 2 2" xfId="22530"/>
    <cellStyle name="Note 2 4 34 2 3" xfId="22531"/>
    <cellStyle name="Note 2 4 34 3" xfId="22532"/>
    <cellStyle name="Note 2 4 34 4" xfId="22533"/>
    <cellStyle name="Note 2 4 35" xfId="22534"/>
    <cellStyle name="Note 2 4 35 2" xfId="22535"/>
    <cellStyle name="Note 2 4 35 2 2" xfId="22536"/>
    <cellStyle name="Note 2 4 35 2 2 2" xfId="22537"/>
    <cellStyle name="Note 2 4 35 2 3" xfId="22538"/>
    <cellStyle name="Note 2 4 35 3" xfId="22539"/>
    <cellStyle name="Note 2 4 35 4" xfId="22540"/>
    <cellStyle name="Note 2 4 36" xfId="22541"/>
    <cellStyle name="Note 2 4 36 2" xfId="22542"/>
    <cellStyle name="Note 2 4 36 2 2" xfId="22543"/>
    <cellStyle name="Note 2 4 36 2 2 2" xfId="22544"/>
    <cellStyle name="Note 2 4 36 2 3" xfId="22545"/>
    <cellStyle name="Note 2 4 36 3" xfId="22546"/>
    <cellStyle name="Note 2 4 36 4" xfId="22547"/>
    <cellStyle name="Note 2 4 37" xfId="22548"/>
    <cellStyle name="Note 2 4 37 2" xfId="22549"/>
    <cellStyle name="Note 2 4 37 2 2" xfId="22550"/>
    <cellStyle name="Note 2 4 37 2 2 2" xfId="22551"/>
    <cellStyle name="Note 2 4 37 2 3" xfId="22552"/>
    <cellStyle name="Note 2 4 37 3" xfId="22553"/>
    <cellStyle name="Note 2 4 37 4" xfId="22554"/>
    <cellStyle name="Note 2 4 38" xfId="22555"/>
    <cellStyle name="Note 2 4 38 2" xfId="22556"/>
    <cellStyle name="Note 2 4 38 2 2" xfId="22557"/>
    <cellStyle name="Note 2 4 38 2 2 2" xfId="22558"/>
    <cellStyle name="Note 2 4 38 2 3" xfId="22559"/>
    <cellStyle name="Note 2 4 38 3" xfId="22560"/>
    <cellStyle name="Note 2 4 38 4" xfId="22561"/>
    <cellStyle name="Note 2 4 39" xfId="22562"/>
    <cellStyle name="Note 2 4 39 2" xfId="22563"/>
    <cellStyle name="Note 2 4 39 2 2" xfId="22564"/>
    <cellStyle name="Note 2 4 39 2 2 2" xfId="22565"/>
    <cellStyle name="Note 2 4 39 2 3" xfId="22566"/>
    <cellStyle name="Note 2 4 39 3" xfId="22567"/>
    <cellStyle name="Note 2 4 39 4" xfId="22568"/>
    <cellStyle name="Note 2 4 4" xfId="22569"/>
    <cellStyle name="Note 2 4 4 2" xfId="22570"/>
    <cellStyle name="Note 2 4 4 2 2" xfId="22571"/>
    <cellStyle name="Note 2 4 4 2 2 2" xfId="22572"/>
    <cellStyle name="Note 2 4 4 2 3" xfId="22573"/>
    <cellStyle name="Note 2 4 4 3" xfId="22574"/>
    <cellStyle name="Note 2 4 4 3 2" xfId="22575"/>
    <cellStyle name="Note 2 4 4 3 2 2" xfId="22576"/>
    <cellStyle name="Note 2 4 4 3 3" xfId="22577"/>
    <cellStyle name="Note 2 4 4 4" xfId="22578"/>
    <cellStyle name="Note 2 4 4 4 2" xfId="22579"/>
    <cellStyle name="Note 2 4 4 4 2 2" xfId="22580"/>
    <cellStyle name="Note 2 4 4 4 3" xfId="22581"/>
    <cellStyle name="Note 2 4 4 5" xfId="22582"/>
    <cellStyle name="Note 2 4 4 6" xfId="22583"/>
    <cellStyle name="Note 2 4 40" xfId="22584"/>
    <cellStyle name="Note 2 4 40 2" xfId="22585"/>
    <cellStyle name="Note 2 4 40 2 2" xfId="22586"/>
    <cellStyle name="Note 2 4 40 2 2 2" xfId="22587"/>
    <cellStyle name="Note 2 4 40 2 3" xfId="22588"/>
    <cellStyle name="Note 2 4 40 3" xfId="22589"/>
    <cellStyle name="Note 2 4 40 4" xfId="22590"/>
    <cellStyle name="Note 2 4 41" xfId="22591"/>
    <cellStyle name="Note 2 4 41 2" xfId="22592"/>
    <cellStyle name="Note 2 4 41 2 2" xfId="22593"/>
    <cellStyle name="Note 2 4 41 2 2 2" xfId="22594"/>
    <cellStyle name="Note 2 4 41 2 3" xfId="22595"/>
    <cellStyle name="Note 2 4 41 3" xfId="22596"/>
    <cellStyle name="Note 2 4 41 4" xfId="22597"/>
    <cellStyle name="Note 2 4 42" xfId="22598"/>
    <cellStyle name="Note 2 4 42 2" xfId="22599"/>
    <cellStyle name="Note 2 4 42 2 2" xfId="22600"/>
    <cellStyle name="Note 2 4 42 2 2 2" xfId="22601"/>
    <cellStyle name="Note 2 4 42 2 3" xfId="22602"/>
    <cellStyle name="Note 2 4 42 3" xfId="22603"/>
    <cellStyle name="Note 2 4 42 4" xfId="22604"/>
    <cellStyle name="Note 2 4 43" xfId="22605"/>
    <cellStyle name="Note 2 4 43 2" xfId="22606"/>
    <cellStyle name="Note 2 4 43 2 2" xfId="22607"/>
    <cellStyle name="Note 2 4 43 2 2 2" xfId="22608"/>
    <cellStyle name="Note 2 4 43 2 3" xfId="22609"/>
    <cellStyle name="Note 2 4 43 3" xfId="22610"/>
    <cellStyle name="Note 2 4 43 4" xfId="22611"/>
    <cellStyle name="Note 2 4 44" xfId="22612"/>
    <cellStyle name="Note 2 4 44 2" xfId="22613"/>
    <cellStyle name="Note 2 4 44 2 2" xfId="22614"/>
    <cellStyle name="Note 2 4 44 2 2 2" xfId="22615"/>
    <cellStyle name="Note 2 4 44 2 3" xfId="22616"/>
    <cellStyle name="Note 2 4 44 3" xfId="22617"/>
    <cellStyle name="Note 2 4 44 4" xfId="22618"/>
    <cellStyle name="Note 2 4 45" xfId="22619"/>
    <cellStyle name="Note 2 4 45 2" xfId="22620"/>
    <cellStyle name="Note 2 4 45 2 2" xfId="22621"/>
    <cellStyle name="Note 2 4 45 2 2 2" xfId="22622"/>
    <cellStyle name="Note 2 4 45 2 3" xfId="22623"/>
    <cellStyle name="Note 2 4 45 3" xfId="22624"/>
    <cellStyle name="Note 2 4 45 4" xfId="22625"/>
    <cellStyle name="Note 2 4 46" xfId="22626"/>
    <cellStyle name="Note 2 4 46 2" xfId="22627"/>
    <cellStyle name="Note 2 4 46 2 2" xfId="22628"/>
    <cellStyle name="Note 2 4 46 2 2 2" xfId="22629"/>
    <cellStyle name="Note 2 4 46 2 3" xfId="22630"/>
    <cellStyle name="Note 2 4 46 3" xfId="22631"/>
    <cellStyle name="Note 2 4 46 4" xfId="22632"/>
    <cellStyle name="Note 2 4 47" xfId="22633"/>
    <cellStyle name="Note 2 4 47 2" xfId="22634"/>
    <cellStyle name="Note 2 4 47 2 2" xfId="22635"/>
    <cellStyle name="Note 2 4 47 2 2 2" xfId="22636"/>
    <cellStyle name="Note 2 4 47 2 3" xfId="22637"/>
    <cellStyle name="Note 2 4 47 3" xfId="22638"/>
    <cellStyle name="Note 2 4 47 4" xfId="22639"/>
    <cellStyle name="Note 2 4 48" xfId="22640"/>
    <cellStyle name="Note 2 4 48 2" xfId="22641"/>
    <cellStyle name="Note 2 4 48 2 2" xfId="22642"/>
    <cellStyle name="Note 2 4 48 2 2 2" xfId="22643"/>
    <cellStyle name="Note 2 4 48 2 3" xfId="22644"/>
    <cellStyle name="Note 2 4 48 3" xfId="22645"/>
    <cellStyle name="Note 2 4 48 4" xfId="22646"/>
    <cellStyle name="Note 2 4 49" xfId="22647"/>
    <cellStyle name="Note 2 4 49 2" xfId="22648"/>
    <cellStyle name="Note 2 4 49 2 2" xfId="22649"/>
    <cellStyle name="Note 2 4 49 3" xfId="22650"/>
    <cellStyle name="Note 2 4 5" xfId="22651"/>
    <cellStyle name="Note 2 4 5 2" xfId="22652"/>
    <cellStyle name="Note 2 4 5 2 2" xfId="22653"/>
    <cellStyle name="Note 2 4 5 2 2 2" xfId="22654"/>
    <cellStyle name="Note 2 4 5 2 3" xfId="22655"/>
    <cellStyle name="Note 2 4 5 3" xfId="22656"/>
    <cellStyle name="Note 2 4 5 3 2" xfId="22657"/>
    <cellStyle name="Note 2 4 5 3 2 2" xfId="22658"/>
    <cellStyle name="Note 2 4 5 3 3" xfId="22659"/>
    <cellStyle name="Note 2 4 5 4" xfId="22660"/>
    <cellStyle name="Note 2 4 5 4 2" xfId="22661"/>
    <cellStyle name="Note 2 4 5 4 2 2" xfId="22662"/>
    <cellStyle name="Note 2 4 5 4 3" xfId="22663"/>
    <cellStyle name="Note 2 4 5 5" xfId="22664"/>
    <cellStyle name="Note 2 4 5 6" xfId="22665"/>
    <cellStyle name="Note 2 4 50" xfId="22666"/>
    <cellStyle name="Note 2 4 50 2" xfId="22667"/>
    <cellStyle name="Note 2 4 50 2 2" xfId="22668"/>
    <cellStyle name="Note 2 4 50 3" xfId="22669"/>
    <cellStyle name="Note 2 4 51" xfId="22670"/>
    <cellStyle name="Note 2 4 51 2" xfId="22671"/>
    <cellStyle name="Note 2 4 51 2 2" xfId="22672"/>
    <cellStyle name="Note 2 4 51 3" xfId="22673"/>
    <cellStyle name="Note 2 4 52" xfId="22674"/>
    <cellStyle name="Note 2 4 52 2" xfId="22675"/>
    <cellStyle name="Note 2 4 52 2 2" xfId="22676"/>
    <cellStyle name="Note 2 4 52 3" xfId="22677"/>
    <cellStyle name="Note 2 4 53" xfId="22678"/>
    <cellStyle name="Note 2 4 54" xfId="22679"/>
    <cellStyle name="Note 2 4 6" xfId="22680"/>
    <cellStyle name="Note 2 4 6 2" xfId="22681"/>
    <cellStyle name="Note 2 4 6 2 2" xfId="22682"/>
    <cellStyle name="Note 2 4 6 2 2 2" xfId="22683"/>
    <cellStyle name="Note 2 4 6 2 3" xfId="22684"/>
    <cellStyle name="Note 2 4 6 3" xfId="22685"/>
    <cellStyle name="Note 2 4 6 3 2" xfId="22686"/>
    <cellStyle name="Note 2 4 6 3 2 2" xfId="22687"/>
    <cellStyle name="Note 2 4 6 3 3" xfId="22688"/>
    <cellStyle name="Note 2 4 6 4" xfId="22689"/>
    <cellStyle name="Note 2 4 6 4 2" xfId="22690"/>
    <cellStyle name="Note 2 4 6 4 2 2" xfId="22691"/>
    <cellStyle name="Note 2 4 6 4 3" xfId="22692"/>
    <cellStyle name="Note 2 4 6 5" xfId="22693"/>
    <cellStyle name="Note 2 4 6 6" xfId="22694"/>
    <cellStyle name="Note 2 4 7" xfId="22695"/>
    <cellStyle name="Note 2 4 7 2" xfId="22696"/>
    <cellStyle name="Note 2 4 7 2 2" xfId="22697"/>
    <cellStyle name="Note 2 4 7 2 2 2" xfId="22698"/>
    <cellStyle name="Note 2 4 7 2 3" xfId="22699"/>
    <cellStyle name="Note 2 4 7 3" xfId="22700"/>
    <cellStyle name="Note 2 4 7 3 2" xfId="22701"/>
    <cellStyle name="Note 2 4 7 3 2 2" xfId="22702"/>
    <cellStyle name="Note 2 4 7 3 3" xfId="22703"/>
    <cellStyle name="Note 2 4 7 4" xfId="22704"/>
    <cellStyle name="Note 2 4 7 4 2" xfId="22705"/>
    <cellStyle name="Note 2 4 7 4 2 2" xfId="22706"/>
    <cellStyle name="Note 2 4 7 4 3" xfId="22707"/>
    <cellStyle name="Note 2 4 7 5" xfId="22708"/>
    <cellStyle name="Note 2 4 7 6" xfId="22709"/>
    <cellStyle name="Note 2 4 8" xfId="22710"/>
    <cellStyle name="Note 2 4 8 2" xfId="22711"/>
    <cellStyle name="Note 2 4 8 2 2" xfId="22712"/>
    <cellStyle name="Note 2 4 8 2 2 2" xfId="22713"/>
    <cellStyle name="Note 2 4 8 2 3" xfId="22714"/>
    <cellStyle name="Note 2 4 8 3" xfId="22715"/>
    <cellStyle name="Note 2 4 8 3 2" xfId="22716"/>
    <cellStyle name="Note 2 4 8 3 2 2" xfId="22717"/>
    <cellStyle name="Note 2 4 8 3 3" xfId="22718"/>
    <cellStyle name="Note 2 4 8 4" xfId="22719"/>
    <cellStyle name="Note 2 4 8 4 2" xfId="22720"/>
    <cellStyle name="Note 2 4 8 4 2 2" xfId="22721"/>
    <cellStyle name="Note 2 4 8 4 3" xfId="22722"/>
    <cellStyle name="Note 2 4 8 5" xfId="22723"/>
    <cellStyle name="Note 2 4 8 6" xfId="22724"/>
    <cellStyle name="Note 2 4 9" xfId="22725"/>
    <cellStyle name="Note 2 4 9 2" xfId="22726"/>
    <cellStyle name="Note 2 4 9 2 2" xfId="22727"/>
    <cellStyle name="Note 2 4 9 2 2 2" xfId="22728"/>
    <cellStyle name="Note 2 4 9 2 3" xfId="22729"/>
    <cellStyle name="Note 2 4 9 3" xfId="22730"/>
    <cellStyle name="Note 2 4 9 4" xfId="22731"/>
    <cellStyle name="Note 2 40" xfId="22732"/>
    <cellStyle name="Note 2 40 2" xfId="22733"/>
    <cellStyle name="Note 2 40 2 2" xfId="22734"/>
    <cellStyle name="Note 2 40 2 2 2" xfId="22735"/>
    <cellStyle name="Note 2 40 2 2 2 2" xfId="22736"/>
    <cellStyle name="Note 2 40 2 2 2 2 2" xfId="22737"/>
    <cellStyle name="Note 2 40 2 2 2 3" xfId="22738"/>
    <cellStyle name="Note 2 40 2 2 3" xfId="22739"/>
    <cellStyle name="Note 2 40 2 2 3 2" xfId="22740"/>
    <cellStyle name="Note 2 40 2 2 4" xfId="22741"/>
    <cellStyle name="Note 2 40 2 3" xfId="22742"/>
    <cellStyle name="Note 2 40 2 3 2" xfId="22743"/>
    <cellStyle name="Note 2 40 2 3 2 2" xfId="22744"/>
    <cellStyle name="Note 2 40 2 3 3" xfId="22745"/>
    <cellStyle name="Note 2 40 2 4" xfId="22746"/>
    <cellStyle name="Note 2 40 2 4 2" xfId="22747"/>
    <cellStyle name="Note 2 40 2 4 2 2" xfId="22748"/>
    <cellStyle name="Note 2 40 2 4 3" xfId="22749"/>
    <cellStyle name="Note 2 40 2 5" xfId="22750"/>
    <cellStyle name="Note 2 40 2 5 2" xfId="22751"/>
    <cellStyle name="Note 2 40 2 5 2 2" xfId="22752"/>
    <cellStyle name="Note 2 40 2 5 3" xfId="22753"/>
    <cellStyle name="Note 2 40 2 6" xfId="22754"/>
    <cellStyle name="Note 2 40 2 6 2" xfId="22755"/>
    <cellStyle name="Note 2 40 2 6 2 2" xfId="22756"/>
    <cellStyle name="Note 2 40 2 6 3" xfId="22757"/>
    <cellStyle name="Note 2 40 2 7" xfId="22758"/>
    <cellStyle name="Note 2 40 3" xfId="22759"/>
    <cellStyle name="Note 2 40 3 2" xfId="22760"/>
    <cellStyle name="Note 2 40 3 2 2" xfId="22761"/>
    <cellStyle name="Note 2 40 3 2 2 2" xfId="22762"/>
    <cellStyle name="Note 2 40 3 2 3" xfId="22763"/>
    <cellStyle name="Note 2 40 3 3" xfId="22764"/>
    <cellStyle name="Note 2 40 3 3 2" xfId="22765"/>
    <cellStyle name="Note 2 40 3 4" xfId="22766"/>
    <cellStyle name="Note 2 40 4" xfId="22767"/>
    <cellStyle name="Note 2 40 4 2" xfId="22768"/>
    <cellStyle name="Note 2 40 4 2 2" xfId="22769"/>
    <cellStyle name="Note 2 40 4 3" xfId="22770"/>
    <cellStyle name="Note 2 40 5" xfId="22771"/>
    <cellStyle name="Note 2 40 5 2" xfId="22772"/>
    <cellStyle name="Note 2 40 5 2 2" xfId="22773"/>
    <cellStyle name="Note 2 40 5 3" xfId="22774"/>
    <cellStyle name="Note 2 40 6" xfId="22775"/>
    <cellStyle name="Note 2 40 6 2" xfId="22776"/>
    <cellStyle name="Note 2 40 6 2 2" xfId="22777"/>
    <cellStyle name="Note 2 40 6 3" xfId="22778"/>
    <cellStyle name="Note 2 40 7" xfId="22779"/>
    <cellStyle name="Note 2 40 7 2" xfId="22780"/>
    <cellStyle name="Note 2 40 7 2 2" xfId="22781"/>
    <cellStyle name="Note 2 40 7 3" xfId="22782"/>
    <cellStyle name="Note 2 40 8" xfId="22783"/>
    <cellStyle name="Note 2 40 9" xfId="22784"/>
    <cellStyle name="Note 2 41" xfId="22785"/>
    <cellStyle name="Note 2 41 2" xfId="22786"/>
    <cellStyle name="Note 2 41 2 2" xfId="22787"/>
    <cellStyle name="Note 2 41 2 2 2" xfId="22788"/>
    <cellStyle name="Note 2 41 2 2 2 2" xfId="22789"/>
    <cellStyle name="Note 2 41 2 2 2 2 2" xfId="22790"/>
    <cellStyle name="Note 2 41 2 2 2 3" xfId="22791"/>
    <cellStyle name="Note 2 41 2 2 3" xfId="22792"/>
    <cellStyle name="Note 2 41 2 2 3 2" xfId="22793"/>
    <cellStyle name="Note 2 41 2 2 4" xfId="22794"/>
    <cellStyle name="Note 2 41 2 3" xfId="22795"/>
    <cellStyle name="Note 2 41 2 3 2" xfId="22796"/>
    <cellStyle name="Note 2 41 2 3 2 2" xfId="22797"/>
    <cellStyle name="Note 2 41 2 3 3" xfId="22798"/>
    <cellStyle name="Note 2 41 2 4" xfId="22799"/>
    <cellStyle name="Note 2 41 2 4 2" xfId="22800"/>
    <cellStyle name="Note 2 41 2 4 2 2" xfId="22801"/>
    <cellStyle name="Note 2 41 2 4 3" xfId="22802"/>
    <cellStyle name="Note 2 41 2 5" xfId="22803"/>
    <cellStyle name="Note 2 41 2 5 2" xfId="22804"/>
    <cellStyle name="Note 2 41 2 5 2 2" xfId="22805"/>
    <cellStyle name="Note 2 41 2 5 3" xfId="22806"/>
    <cellStyle name="Note 2 41 2 6" xfId="22807"/>
    <cellStyle name="Note 2 41 2 6 2" xfId="22808"/>
    <cellStyle name="Note 2 41 2 6 2 2" xfId="22809"/>
    <cellStyle name="Note 2 41 2 6 3" xfId="22810"/>
    <cellStyle name="Note 2 41 2 7" xfId="22811"/>
    <cellStyle name="Note 2 41 3" xfId="22812"/>
    <cellStyle name="Note 2 41 3 2" xfId="22813"/>
    <cellStyle name="Note 2 41 3 2 2" xfId="22814"/>
    <cellStyle name="Note 2 41 3 2 2 2" xfId="22815"/>
    <cellStyle name="Note 2 41 3 2 3" xfId="22816"/>
    <cellStyle name="Note 2 41 3 3" xfId="22817"/>
    <cellStyle name="Note 2 41 3 3 2" xfId="22818"/>
    <cellStyle name="Note 2 41 3 4" xfId="22819"/>
    <cellStyle name="Note 2 41 4" xfId="22820"/>
    <cellStyle name="Note 2 41 4 2" xfId="22821"/>
    <cellStyle name="Note 2 41 4 2 2" xfId="22822"/>
    <cellStyle name="Note 2 41 4 3" xfId="22823"/>
    <cellStyle name="Note 2 41 5" xfId="22824"/>
    <cellStyle name="Note 2 41 5 2" xfId="22825"/>
    <cellStyle name="Note 2 41 5 2 2" xfId="22826"/>
    <cellStyle name="Note 2 41 5 3" xfId="22827"/>
    <cellStyle name="Note 2 41 6" xfId="22828"/>
    <cellStyle name="Note 2 41 6 2" xfId="22829"/>
    <cellStyle name="Note 2 41 6 2 2" xfId="22830"/>
    <cellStyle name="Note 2 41 6 3" xfId="22831"/>
    <cellStyle name="Note 2 41 7" xfId="22832"/>
    <cellStyle name="Note 2 41 7 2" xfId="22833"/>
    <cellStyle name="Note 2 41 7 2 2" xfId="22834"/>
    <cellStyle name="Note 2 41 7 3" xfId="22835"/>
    <cellStyle name="Note 2 41 8" xfId="22836"/>
    <cellStyle name="Note 2 41 9" xfId="22837"/>
    <cellStyle name="Note 2 42" xfId="22838"/>
    <cellStyle name="Note 2 42 2" xfId="22839"/>
    <cellStyle name="Note 2 42 2 2" xfId="22840"/>
    <cellStyle name="Note 2 42 2 2 2" xfId="22841"/>
    <cellStyle name="Note 2 42 2 2 2 2" xfId="22842"/>
    <cellStyle name="Note 2 42 2 2 2 2 2" xfId="22843"/>
    <cellStyle name="Note 2 42 2 2 2 3" xfId="22844"/>
    <cellStyle name="Note 2 42 2 2 3" xfId="22845"/>
    <cellStyle name="Note 2 42 2 2 3 2" xfId="22846"/>
    <cellStyle name="Note 2 42 2 2 4" xfId="22847"/>
    <cellStyle name="Note 2 42 2 3" xfId="22848"/>
    <cellStyle name="Note 2 42 2 3 2" xfId="22849"/>
    <cellStyle name="Note 2 42 2 3 2 2" xfId="22850"/>
    <cellStyle name="Note 2 42 2 3 3" xfId="22851"/>
    <cellStyle name="Note 2 42 2 4" xfId="22852"/>
    <cellStyle name="Note 2 42 2 4 2" xfId="22853"/>
    <cellStyle name="Note 2 42 2 4 2 2" xfId="22854"/>
    <cellStyle name="Note 2 42 2 4 3" xfId="22855"/>
    <cellStyle name="Note 2 42 2 5" xfId="22856"/>
    <cellStyle name="Note 2 42 2 5 2" xfId="22857"/>
    <cellStyle name="Note 2 42 2 5 2 2" xfId="22858"/>
    <cellStyle name="Note 2 42 2 5 3" xfId="22859"/>
    <cellStyle name="Note 2 42 2 6" xfId="22860"/>
    <cellStyle name="Note 2 42 2 6 2" xfId="22861"/>
    <cellStyle name="Note 2 42 2 6 2 2" xfId="22862"/>
    <cellStyle name="Note 2 42 2 6 3" xfId="22863"/>
    <cellStyle name="Note 2 42 2 7" xfId="22864"/>
    <cellStyle name="Note 2 42 3" xfId="22865"/>
    <cellStyle name="Note 2 42 3 2" xfId="22866"/>
    <cellStyle name="Note 2 42 3 2 2" xfId="22867"/>
    <cellStyle name="Note 2 42 3 2 2 2" xfId="22868"/>
    <cellStyle name="Note 2 42 3 2 3" xfId="22869"/>
    <cellStyle name="Note 2 42 3 3" xfId="22870"/>
    <cellStyle name="Note 2 42 3 3 2" xfId="22871"/>
    <cellStyle name="Note 2 42 3 4" xfId="22872"/>
    <cellStyle name="Note 2 42 4" xfId="22873"/>
    <cellStyle name="Note 2 42 4 2" xfId="22874"/>
    <cellStyle name="Note 2 42 4 2 2" xfId="22875"/>
    <cellStyle name="Note 2 42 4 3" xfId="22876"/>
    <cellStyle name="Note 2 42 5" xfId="22877"/>
    <cellStyle name="Note 2 42 5 2" xfId="22878"/>
    <cellStyle name="Note 2 42 5 2 2" xfId="22879"/>
    <cellStyle name="Note 2 42 5 3" xfId="22880"/>
    <cellStyle name="Note 2 42 6" xfId="22881"/>
    <cellStyle name="Note 2 42 6 2" xfId="22882"/>
    <cellStyle name="Note 2 42 6 2 2" xfId="22883"/>
    <cellStyle name="Note 2 42 6 3" xfId="22884"/>
    <cellStyle name="Note 2 42 7" xfId="22885"/>
    <cellStyle name="Note 2 42 7 2" xfId="22886"/>
    <cellStyle name="Note 2 42 7 2 2" xfId="22887"/>
    <cellStyle name="Note 2 42 7 3" xfId="22888"/>
    <cellStyle name="Note 2 42 8" xfId="22889"/>
    <cellStyle name="Note 2 42 9" xfId="22890"/>
    <cellStyle name="Note 2 43" xfId="22891"/>
    <cellStyle name="Note 2 43 2" xfId="22892"/>
    <cellStyle name="Note 2 43 2 2" xfId="22893"/>
    <cellStyle name="Note 2 43 2 2 2" xfId="22894"/>
    <cellStyle name="Note 2 43 2 2 2 2" xfId="22895"/>
    <cellStyle name="Note 2 43 2 2 2 2 2" xfId="22896"/>
    <cellStyle name="Note 2 43 2 2 2 3" xfId="22897"/>
    <cellStyle name="Note 2 43 2 2 3" xfId="22898"/>
    <cellStyle name="Note 2 43 2 2 3 2" xfId="22899"/>
    <cellStyle name="Note 2 43 2 2 4" xfId="22900"/>
    <cellStyle name="Note 2 43 2 3" xfId="22901"/>
    <cellStyle name="Note 2 43 2 3 2" xfId="22902"/>
    <cellStyle name="Note 2 43 2 3 2 2" xfId="22903"/>
    <cellStyle name="Note 2 43 2 3 3" xfId="22904"/>
    <cellStyle name="Note 2 43 2 4" xfId="22905"/>
    <cellStyle name="Note 2 43 2 4 2" xfId="22906"/>
    <cellStyle name="Note 2 43 2 4 2 2" xfId="22907"/>
    <cellStyle name="Note 2 43 2 4 3" xfId="22908"/>
    <cellStyle name="Note 2 43 2 5" xfId="22909"/>
    <cellStyle name="Note 2 43 2 5 2" xfId="22910"/>
    <cellStyle name="Note 2 43 2 5 2 2" xfId="22911"/>
    <cellStyle name="Note 2 43 2 5 3" xfId="22912"/>
    <cellStyle name="Note 2 43 2 6" xfId="22913"/>
    <cellStyle name="Note 2 43 2 6 2" xfId="22914"/>
    <cellStyle name="Note 2 43 2 6 2 2" xfId="22915"/>
    <cellStyle name="Note 2 43 2 6 3" xfId="22916"/>
    <cellStyle name="Note 2 43 2 7" xfId="22917"/>
    <cellStyle name="Note 2 43 3" xfId="22918"/>
    <cellStyle name="Note 2 43 3 2" xfId="22919"/>
    <cellStyle name="Note 2 43 3 2 2" xfId="22920"/>
    <cellStyle name="Note 2 43 3 2 2 2" xfId="22921"/>
    <cellStyle name="Note 2 43 3 2 3" xfId="22922"/>
    <cellStyle name="Note 2 43 3 3" xfId="22923"/>
    <cellStyle name="Note 2 43 3 3 2" xfId="22924"/>
    <cellStyle name="Note 2 43 3 4" xfId="22925"/>
    <cellStyle name="Note 2 43 4" xfId="22926"/>
    <cellStyle name="Note 2 43 4 2" xfId="22927"/>
    <cellStyle name="Note 2 43 4 2 2" xfId="22928"/>
    <cellStyle name="Note 2 43 4 3" xfId="22929"/>
    <cellStyle name="Note 2 43 5" xfId="22930"/>
    <cellStyle name="Note 2 43 5 2" xfId="22931"/>
    <cellStyle name="Note 2 43 5 2 2" xfId="22932"/>
    <cellStyle name="Note 2 43 5 3" xfId="22933"/>
    <cellStyle name="Note 2 43 6" xfId="22934"/>
    <cellStyle name="Note 2 43 6 2" xfId="22935"/>
    <cellStyle name="Note 2 43 6 2 2" xfId="22936"/>
    <cellStyle name="Note 2 43 6 3" xfId="22937"/>
    <cellStyle name="Note 2 43 7" xfId="22938"/>
    <cellStyle name="Note 2 43 7 2" xfId="22939"/>
    <cellStyle name="Note 2 43 7 2 2" xfId="22940"/>
    <cellStyle name="Note 2 43 7 3" xfId="22941"/>
    <cellStyle name="Note 2 43 8" xfId="22942"/>
    <cellStyle name="Note 2 43 9" xfId="22943"/>
    <cellStyle name="Note 2 44" xfId="22944"/>
    <cellStyle name="Note 2 44 2" xfId="22945"/>
    <cellStyle name="Note 2 44 2 2" xfId="22946"/>
    <cellStyle name="Note 2 44 2 2 2" xfId="22947"/>
    <cellStyle name="Note 2 44 2 2 2 2" xfId="22948"/>
    <cellStyle name="Note 2 44 2 2 2 2 2" xfId="22949"/>
    <cellStyle name="Note 2 44 2 2 2 3" xfId="22950"/>
    <cellStyle name="Note 2 44 2 2 3" xfId="22951"/>
    <cellStyle name="Note 2 44 2 2 3 2" xfId="22952"/>
    <cellStyle name="Note 2 44 2 2 4" xfId="22953"/>
    <cellStyle name="Note 2 44 2 3" xfId="22954"/>
    <cellStyle name="Note 2 44 2 3 2" xfId="22955"/>
    <cellStyle name="Note 2 44 2 3 2 2" xfId="22956"/>
    <cellStyle name="Note 2 44 2 3 3" xfId="22957"/>
    <cellStyle name="Note 2 44 2 4" xfId="22958"/>
    <cellStyle name="Note 2 44 2 4 2" xfId="22959"/>
    <cellStyle name="Note 2 44 2 4 2 2" xfId="22960"/>
    <cellStyle name="Note 2 44 2 4 3" xfId="22961"/>
    <cellStyle name="Note 2 44 2 5" xfId="22962"/>
    <cellStyle name="Note 2 44 2 5 2" xfId="22963"/>
    <cellStyle name="Note 2 44 2 5 2 2" xfId="22964"/>
    <cellStyle name="Note 2 44 2 5 3" xfId="22965"/>
    <cellStyle name="Note 2 44 2 6" xfId="22966"/>
    <cellStyle name="Note 2 44 2 6 2" xfId="22967"/>
    <cellStyle name="Note 2 44 2 6 2 2" xfId="22968"/>
    <cellStyle name="Note 2 44 2 6 3" xfId="22969"/>
    <cellStyle name="Note 2 44 2 7" xfId="22970"/>
    <cellStyle name="Note 2 44 3" xfId="22971"/>
    <cellStyle name="Note 2 44 3 2" xfId="22972"/>
    <cellStyle name="Note 2 44 3 2 2" xfId="22973"/>
    <cellStyle name="Note 2 44 3 2 2 2" xfId="22974"/>
    <cellStyle name="Note 2 44 3 2 3" xfId="22975"/>
    <cellStyle name="Note 2 44 3 3" xfId="22976"/>
    <cellStyle name="Note 2 44 3 3 2" xfId="22977"/>
    <cellStyle name="Note 2 44 3 4" xfId="22978"/>
    <cellStyle name="Note 2 44 4" xfId="22979"/>
    <cellStyle name="Note 2 44 4 2" xfId="22980"/>
    <cellStyle name="Note 2 44 4 2 2" xfId="22981"/>
    <cellStyle name="Note 2 44 4 3" xfId="22982"/>
    <cellStyle name="Note 2 44 5" xfId="22983"/>
    <cellStyle name="Note 2 44 5 2" xfId="22984"/>
    <cellStyle name="Note 2 44 5 2 2" xfId="22985"/>
    <cellStyle name="Note 2 44 5 3" xfId="22986"/>
    <cellStyle name="Note 2 44 6" xfId="22987"/>
    <cellStyle name="Note 2 44 6 2" xfId="22988"/>
    <cellStyle name="Note 2 44 6 2 2" xfId="22989"/>
    <cellStyle name="Note 2 44 6 3" xfId="22990"/>
    <cellStyle name="Note 2 44 7" xfId="22991"/>
    <cellStyle name="Note 2 44 7 2" xfId="22992"/>
    <cellStyle name="Note 2 44 7 2 2" xfId="22993"/>
    <cellStyle name="Note 2 44 7 3" xfId="22994"/>
    <cellStyle name="Note 2 44 8" xfId="22995"/>
    <cellStyle name="Note 2 44 9" xfId="22996"/>
    <cellStyle name="Note 2 45" xfId="22997"/>
    <cellStyle name="Note 2 45 2" xfId="22998"/>
    <cellStyle name="Note 2 45 2 2" xfId="22999"/>
    <cellStyle name="Note 2 45 2 2 2" xfId="23000"/>
    <cellStyle name="Note 2 45 2 2 2 2" xfId="23001"/>
    <cellStyle name="Note 2 45 2 2 2 2 2" xfId="23002"/>
    <cellStyle name="Note 2 45 2 2 2 3" xfId="23003"/>
    <cellStyle name="Note 2 45 2 2 3" xfId="23004"/>
    <cellStyle name="Note 2 45 2 2 3 2" xfId="23005"/>
    <cellStyle name="Note 2 45 2 2 4" xfId="23006"/>
    <cellStyle name="Note 2 45 2 3" xfId="23007"/>
    <cellStyle name="Note 2 45 2 3 2" xfId="23008"/>
    <cellStyle name="Note 2 45 2 3 2 2" xfId="23009"/>
    <cellStyle name="Note 2 45 2 3 3" xfId="23010"/>
    <cellStyle name="Note 2 45 2 4" xfId="23011"/>
    <cellStyle name="Note 2 45 2 4 2" xfId="23012"/>
    <cellStyle name="Note 2 45 2 4 2 2" xfId="23013"/>
    <cellStyle name="Note 2 45 2 4 3" xfId="23014"/>
    <cellStyle name="Note 2 45 2 5" xfId="23015"/>
    <cellStyle name="Note 2 45 2 5 2" xfId="23016"/>
    <cellStyle name="Note 2 45 2 5 2 2" xfId="23017"/>
    <cellStyle name="Note 2 45 2 5 3" xfId="23018"/>
    <cellStyle name="Note 2 45 2 6" xfId="23019"/>
    <cellStyle name="Note 2 45 2 6 2" xfId="23020"/>
    <cellStyle name="Note 2 45 2 6 2 2" xfId="23021"/>
    <cellStyle name="Note 2 45 2 6 3" xfId="23022"/>
    <cellStyle name="Note 2 45 2 7" xfId="23023"/>
    <cellStyle name="Note 2 45 3" xfId="23024"/>
    <cellStyle name="Note 2 45 3 2" xfId="23025"/>
    <cellStyle name="Note 2 45 3 2 2" xfId="23026"/>
    <cellStyle name="Note 2 45 3 2 2 2" xfId="23027"/>
    <cellStyle name="Note 2 45 3 2 3" xfId="23028"/>
    <cellStyle name="Note 2 45 3 3" xfId="23029"/>
    <cellStyle name="Note 2 45 3 3 2" xfId="23030"/>
    <cellStyle name="Note 2 45 3 4" xfId="23031"/>
    <cellStyle name="Note 2 45 4" xfId="23032"/>
    <cellStyle name="Note 2 45 4 2" xfId="23033"/>
    <cellStyle name="Note 2 45 4 2 2" xfId="23034"/>
    <cellStyle name="Note 2 45 4 3" xfId="23035"/>
    <cellStyle name="Note 2 45 5" xfId="23036"/>
    <cellStyle name="Note 2 45 5 2" xfId="23037"/>
    <cellStyle name="Note 2 45 5 2 2" xfId="23038"/>
    <cellStyle name="Note 2 45 5 3" xfId="23039"/>
    <cellStyle name="Note 2 45 6" xfId="23040"/>
    <cellStyle name="Note 2 45 6 2" xfId="23041"/>
    <cellStyle name="Note 2 45 6 2 2" xfId="23042"/>
    <cellStyle name="Note 2 45 6 3" xfId="23043"/>
    <cellStyle name="Note 2 45 7" xfId="23044"/>
    <cellStyle name="Note 2 45 7 2" xfId="23045"/>
    <cellStyle name="Note 2 45 7 2 2" xfId="23046"/>
    <cellStyle name="Note 2 45 7 3" xfId="23047"/>
    <cellStyle name="Note 2 45 8" xfId="23048"/>
    <cellStyle name="Note 2 45 9" xfId="23049"/>
    <cellStyle name="Note 2 46" xfId="23050"/>
    <cellStyle name="Note 2 46 2" xfId="23051"/>
    <cellStyle name="Note 2 46 2 2" xfId="23052"/>
    <cellStyle name="Note 2 46 2 2 2" xfId="23053"/>
    <cellStyle name="Note 2 46 2 2 2 2" xfId="23054"/>
    <cellStyle name="Note 2 46 2 2 2 2 2" xfId="23055"/>
    <cellStyle name="Note 2 46 2 2 2 3" xfId="23056"/>
    <cellStyle name="Note 2 46 2 2 3" xfId="23057"/>
    <cellStyle name="Note 2 46 2 2 3 2" xfId="23058"/>
    <cellStyle name="Note 2 46 2 2 4" xfId="23059"/>
    <cellStyle name="Note 2 46 2 3" xfId="23060"/>
    <cellStyle name="Note 2 46 2 3 2" xfId="23061"/>
    <cellStyle name="Note 2 46 2 3 2 2" xfId="23062"/>
    <cellStyle name="Note 2 46 2 3 3" xfId="23063"/>
    <cellStyle name="Note 2 46 2 4" xfId="23064"/>
    <cellStyle name="Note 2 46 2 4 2" xfId="23065"/>
    <cellStyle name="Note 2 46 2 4 2 2" xfId="23066"/>
    <cellStyle name="Note 2 46 2 4 3" xfId="23067"/>
    <cellStyle name="Note 2 46 2 5" xfId="23068"/>
    <cellStyle name="Note 2 46 2 5 2" xfId="23069"/>
    <cellStyle name="Note 2 46 2 5 2 2" xfId="23070"/>
    <cellStyle name="Note 2 46 2 5 3" xfId="23071"/>
    <cellStyle name="Note 2 46 2 6" xfId="23072"/>
    <cellStyle name="Note 2 46 2 6 2" xfId="23073"/>
    <cellStyle name="Note 2 46 2 6 2 2" xfId="23074"/>
    <cellStyle name="Note 2 46 2 6 3" xfId="23075"/>
    <cellStyle name="Note 2 46 2 7" xfId="23076"/>
    <cellStyle name="Note 2 46 3" xfId="23077"/>
    <cellStyle name="Note 2 46 3 2" xfId="23078"/>
    <cellStyle name="Note 2 46 3 2 2" xfId="23079"/>
    <cellStyle name="Note 2 46 3 2 2 2" xfId="23080"/>
    <cellStyle name="Note 2 46 3 2 3" xfId="23081"/>
    <cellStyle name="Note 2 46 3 3" xfId="23082"/>
    <cellStyle name="Note 2 46 3 3 2" xfId="23083"/>
    <cellStyle name="Note 2 46 3 4" xfId="23084"/>
    <cellStyle name="Note 2 46 4" xfId="23085"/>
    <cellStyle name="Note 2 46 4 2" xfId="23086"/>
    <cellStyle name="Note 2 46 4 2 2" xfId="23087"/>
    <cellStyle name="Note 2 46 4 3" xfId="23088"/>
    <cellStyle name="Note 2 46 5" xfId="23089"/>
    <cellStyle name="Note 2 46 5 2" xfId="23090"/>
    <cellStyle name="Note 2 46 5 2 2" xfId="23091"/>
    <cellStyle name="Note 2 46 5 3" xfId="23092"/>
    <cellStyle name="Note 2 46 6" xfId="23093"/>
    <cellStyle name="Note 2 46 6 2" xfId="23094"/>
    <cellStyle name="Note 2 46 6 2 2" xfId="23095"/>
    <cellStyle name="Note 2 46 6 3" xfId="23096"/>
    <cellStyle name="Note 2 46 7" xfId="23097"/>
    <cellStyle name="Note 2 46 7 2" xfId="23098"/>
    <cellStyle name="Note 2 46 7 2 2" xfId="23099"/>
    <cellStyle name="Note 2 46 7 3" xfId="23100"/>
    <cellStyle name="Note 2 46 8" xfId="23101"/>
    <cellStyle name="Note 2 46 9" xfId="23102"/>
    <cellStyle name="Note 2 47" xfId="23103"/>
    <cellStyle name="Note 2 47 2" xfId="23104"/>
    <cellStyle name="Note 2 47 2 2" xfId="23105"/>
    <cellStyle name="Note 2 47 2 2 2" xfId="23106"/>
    <cellStyle name="Note 2 47 2 2 2 2" xfId="23107"/>
    <cellStyle name="Note 2 47 2 2 2 2 2" xfId="23108"/>
    <cellStyle name="Note 2 47 2 2 2 3" xfId="23109"/>
    <cellStyle name="Note 2 47 2 2 3" xfId="23110"/>
    <cellStyle name="Note 2 47 2 2 3 2" xfId="23111"/>
    <cellStyle name="Note 2 47 2 2 4" xfId="23112"/>
    <cellStyle name="Note 2 47 2 3" xfId="23113"/>
    <cellStyle name="Note 2 47 2 3 2" xfId="23114"/>
    <cellStyle name="Note 2 47 2 3 2 2" xfId="23115"/>
    <cellStyle name="Note 2 47 2 3 3" xfId="23116"/>
    <cellStyle name="Note 2 47 2 4" xfId="23117"/>
    <cellStyle name="Note 2 47 2 4 2" xfId="23118"/>
    <cellStyle name="Note 2 47 2 4 2 2" xfId="23119"/>
    <cellStyle name="Note 2 47 2 4 3" xfId="23120"/>
    <cellStyle name="Note 2 47 2 5" xfId="23121"/>
    <cellStyle name="Note 2 47 2 5 2" xfId="23122"/>
    <cellStyle name="Note 2 47 2 5 2 2" xfId="23123"/>
    <cellStyle name="Note 2 47 2 5 3" xfId="23124"/>
    <cellStyle name="Note 2 47 2 6" xfId="23125"/>
    <cellStyle name="Note 2 47 2 6 2" xfId="23126"/>
    <cellStyle name="Note 2 47 2 6 2 2" xfId="23127"/>
    <cellStyle name="Note 2 47 2 6 3" xfId="23128"/>
    <cellStyle name="Note 2 47 2 7" xfId="23129"/>
    <cellStyle name="Note 2 47 3" xfId="23130"/>
    <cellStyle name="Note 2 47 3 2" xfId="23131"/>
    <cellStyle name="Note 2 47 3 2 2" xfId="23132"/>
    <cellStyle name="Note 2 47 3 2 2 2" xfId="23133"/>
    <cellStyle name="Note 2 47 3 2 3" xfId="23134"/>
    <cellStyle name="Note 2 47 3 3" xfId="23135"/>
    <cellStyle name="Note 2 47 3 3 2" xfId="23136"/>
    <cellStyle name="Note 2 47 3 4" xfId="23137"/>
    <cellStyle name="Note 2 47 4" xfId="23138"/>
    <cellStyle name="Note 2 47 4 2" xfId="23139"/>
    <cellStyle name="Note 2 47 4 2 2" xfId="23140"/>
    <cellStyle name="Note 2 47 4 3" xfId="23141"/>
    <cellStyle name="Note 2 47 5" xfId="23142"/>
    <cellStyle name="Note 2 47 5 2" xfId="23143"/>
    <cellStyle name="Note 2 47 5 2 2" xfId="23144"/>
    <cellStyle name="Note 2 47 5 3" xfId="23145"/>
    <cellStyle name="Note 2 47 6" xfId="23146"/>
    <cellStyle name="Note 2 47 6 2" xfId="23147"/>
    <cellStyle name="Note 2 47 6 2 2" xfId="23148"/>
    <cellStyle name="Note 2 47 6 3" xfId="23149"/>
    <cellStyle name="Note 2 47 7" xfId="23150"/>
    <cellStyle name="Note 2 47 7 2" xfId="23151"/>
    <cellStyle name="Note 2 47 7 2 2" xfId="23152"/>
    <cellStyle name="Note 2 47 7 3" xfId="23153"/>
    <cellStyle name="Note 2 47 8" xfId="23154"/>
    <cellStyle name="Note 2 47 9" xfId="23155"/>
    <cellStyle name="Note 2 48" xfId="23156"/>
    <cellStyle name="Note 2 48 2" xfId="23157"/>
    <cellStyle name="Note 2 48 2 2" xfId="23158"/>
    <cellStyle name="Note 2 48 2 2 2" xfId="23159"/>
    <cellStyle name="Note 2 48 2 2 2 2" xfId="23160"/>
    <cellStyle name="Note 2 48 2 2 2 2 2" xfId="23161"/>
    <cellStyle name="Note 2 48 2 2 2 3" xfId="23162"/>
    <cellStyle name="Note 2 48 2 2 3" xfId="23163"/>
    <cellStyle name="Note 2 48 2 2 3 2" xfId="23164"/>
    <cellStyle name="Note 2 48 2 2 4" xfId="23165"/>
    <cellStyle name="Note 2 48 2 3" xfId="23166"/>
    <cellStyle name="Note 2 48 2 3 2" xfId="23167"/>
    <cellStyle name="Note 2 48 2 3 2 2" xfId="23168"/>
    <cellStyle name="Note 2 48 2 3 3" xfId="23169"/>
    <cellStyle name="Note 2 48 2 4" xfId="23170"/>
    <cellStyle name="Note 2 48 2 4 2" xfId="23171"/>
    <cellStyle name="Note 2 48 2 4 2 2" xfId="23172"/>
    <cellStyle name="Note 2 48 2 4 3" xfId="23173"/>
    <cellStyle name="Note 2 48 2 5" xfId="23174"/>
    <cellStyle name="Note 2 48 2 5 2" xfId="23175"/>
    <cellStyle name="Note 2 48 2 5 2 2" xfId="23176"/>
    <cellStyle name="Note 2 48 2 5 3" xfId="23177"/>
    <cellStyle name="Note 2 48 2 6" xfId="23178"/>
    <cellStyle name="Note 2 48 2 6 2" xfId="23179"/>
    <cellStyle name="Note 2 48 2 6 2 2" xfId="23180"/>
    <cellStyle name="Note 2 48 2 6 3" xfId="23181"/>
    <cellStyle name="Note 2 48 2 7" xfId="23182"/>
    <cellStyle name="Note 2 48 3" xfId="23183"/>
    <cellStyle name="Note 2 48 3 2" xfId="23184"/>
    <cellStyle name="Note 2 48 3 2 2" xfId="23185"/>
    <cellStyle name="Note 2 48 3 2 2 2" xfId="23186"/>
    <cellStyle name="Note 2 48 3 2 3" xfId="23187"/>
    <cellStyle name="Note 2 48 3 3" xfId="23188"/>
    <cellStyle name="Note 2 48 3 3 2" xfId="23189"/>
    <cellStyle name="Note 2 48 3 4" xfId="23190"/>
    <cellStyle name="Note 2 48 4" xfId="23191"/>
    <cellStyle name="Note 2 48 4 2" xfId="23192"/>
    <cellStyle name="Note 2 48 4 2 2" xfId="23193"/>
    <cellStyle name="Note 2 48 4 3" xfId="23194"/>
    <cellStyle name="Note 2 48 5" xfId="23195"/>
    <cellStyle name="Note 2 48 5 2" xfId="23196"/>
    <cellStyle name="Note 2 48 5 2 2" xfId="23197"/>
    <cellStyle name="Note 2 48 5 3" xfId="23198"/>
    <cellStyle name="Note 2 48 6" xfId="23199"/>
    <cellStyle name="Note 2 48 6 2" xfId="23200"/>
    <cellStyle name="Note 2 48 6 2 2" xfId="23201"/>
    <cellStyle name="Note 2 48 6 3" xfId="23202"/>
    <cellStyle name="Note 2 48 7" xfId="23203"/>
    <cellStyle name="Note 2 48 7 2" xfId="23204"/>
    <cellStyle name="Note 2 48 7 2 2" xfId="23205"/>
    <cellStyle name="Note 2 48 7 3" xfId="23206"/>
    <cellStyle name="Note 2 48 8" xfId="23207"/>
    <cellStyle name="Note 2 48 9" xfId="23208"/>
    <cellStyle name="Note 2 49" xfId="23209"/>
    <cellStyle name="Note 2 49 2" xfId="23210"/>
    <cellStyle name="Note 2 49 2 2" xfId="23211"/>
    <cellStyle name="Note 2 49 2 2 2" xfId="23212"/>
    <cellStyle name="Note 2 49 2 2 2 2" xfId="23213"/>
    <cellStyle name="Note 2 49 2 2 2 2 2" xfId="23214"/>
    <cellStyle name="Note 2 49 2 2 2 3" xfId="23215"/>
    <cellStyle name="Note 2 49 2 2 3" xfId="23216"/>
    <cellStyle name="Note 2 49 2 2 3 2" xfId="23217"/>
    <cellStyle name="Note 2 49 2 2 4" xfId="23218"/>
    <cellStyle name="Note 2 49 2 3" xfId="23219"/>
    <cellStyle name="Note 2 49 2 3 2" xfId="23220"/>
    <cellStyle name="Note 2 49 2 3 2 2" xfId="23221"/>
    <cellStyle name="Note 2 49 2 3 3" xfId="23222"/>
    <cellStyle name="Note 2 49 2 4" xfId="23223"/>
    <cellStyle name="Note 2 49 2 4 2" xfId="23224"/>
    <cellStyle name="Note 2 49 2 4 2 2" xfId="23225"/>
    <cellStyle name="Note 2 49 2 4 3" xfId="23226"/>
    <cellStyle name="Note 2 49 2 5" xfId="23227"/>
    <cellStyle name="Note 2 49 2 5 2" xfId="23228"/>
    <cellStyle name="Note 2 49 2 5 2 2" xfId="23229"/>
    <cellStyle name="Note 2 49 2 5 3" xfId="23230"/>
    <cellStyle name="Note 2 49 2 6" xfId="23231"/>
    <cellStyle name="Note 2 49 2 6 2" xfId="23232"/>
    <cellStyle name="Note 2 49 2 6 2 2" xfId="23233"/>
    <cellStyle name="Note 2 49 2 6 3" xfId="23234"/>
    <cellStyle name="Note 2 49 2 7" xfId="23235"/>
    <cellStyle name="Note 2 49 3" xfId="23236"/>
    <cellStyle name="Note 2 49 3 2" xfId="23237"/>
    <cellStyle name="Note 2 49 3 2 2" xfId="23238"/>
    <cellStyle name="Note 2 49 3 2 2 2" xfId="23239"/>
    <cellStyle name="Note 2 49 3 2 3" xfId="23240"/>
    <cellStyle name="Note 2 49 3 3" xfId="23241"/>
    <cellStyle name="Note 2 49 3 3 2" xfId="23242"/>
    <cellStyle name="Note 2 49 3 4" xfId="23243"/>
    <cellStyle name="Note 2 49 4" xfId="23244"/>
    <cellStyle name="Note 2 49 4 2" xfId="23245"/>
    <cellStyle name="Note 2 49 4 2 2" xfId="23246"/>
    <cellStyle name="Note 2 49 4 3" xfId="23247"/>
    <cellStyle name="Note 2 49 5" xfId="23248"/>
    <cellStyle name="Note 2 49 5 2" xfId="23249"/>
    <cellStyle name="Note 2 49 5 2 2" xfId="23250"/>
    <cellStyle name="Note 2 49 5 3" xfId="23251"/>
    <cellStyle name="Note 2 49 6" xfId="23252"/>
    <cellStyle name="Note 2 49 6 2" xfId="23253"/>
    <cellStyle name="Note 2 49 6 2 2" xfId="23254"/>
    <cellStyle name="Note 2 49 6 3" xfId="23255"/>
    <cellStyle name="Note 2 49 7" xfId="23256"/>
    <cellStyle name="Note 2 49 7 2" xfId="23257"/>
    <cellStyle name="Note 2 49 7 2 2" xfId="23258"/>
    <cellStyle name="Note 2 49 7 3" xfId="23259"/>
    <cellStyle name="Note 2 49 8" xfId="23260"/>
    <cellStyle name="Note 2 49 9" xfId="23261"/>
    <cellStyle name="Note 2 5" xfId="23262"/>
    <cellStyle name="Note 2 5 10" xfId="23263"/>
    <cellStyle name="Note 2 5 10 2" xfId="23264"/>
    <cellStyle name="Note 2 5 10 2 2" xfId="23265"/>
    <cellStyle name="Note 2 5 10 2 2 2" xfId="23266"/>
    <cellStyle name="Note 2 5 10 2 3" xfId="23267"/>
    <cellStyle name="Note 2 5 10 3" xfId="23268"/>
    <cellStyle name="Note 2 5 10 4" xfId="23269"/>
    <cellStyle name="Note 2 5 11" xfId="23270"/>
    <cellStyle name="Note 2 5 11 2" xfId="23271"/>
    <cellStyle name="Note 2 5 11 2 2" xfId="23272"/>
    <cellStyle name="Note 2 5 11 2 2 2" xfId="23273"/>
    <cellStyle name="Note 2 5 11 2 3" xfId="23274"/>
    <cellStyle name="Note 2 5 11 3" xfId="23275"/>
    <cellStyle name="Note 2 5 11 4" xfId="23276"/>
    <cellStyle name="Note 2 5 12" xfId="23277"/>
    <cellStyle name="Note 2 5 12 2" xfId="23278"/>
    <cellStyle name="Note 2 5 12 2 2" xfId="23279"/>
    <cellStyle name="Note 2 5 12 2 2 2" xfId="23280"/>
    <cellStyle name="Note 2 5 12 2 3" xfId="23281"/>
    <cellStyle name="Note 2 5 12 3" xfId="23282"/>
    <cellStyle name="Note 2 5 12 4" xfId="23283"/>
    <cellStyle name="Note 2 5 13" xfId="23284"/>
    <cellStyle name="Note 2 5 13 2" xfId="23285"/>
    <cellStyle name="Note 2 5 13 2 2" xfId="23286"/>
    <cellStyle name="Note 2 5 13 2 2 2" xfId="23287"/>
    <cellStyle name="Note 2 5 13 2 3" xfId="23288"/>
    <cellStyle name="Note 2 5 13 3" xfId="23289"/>
    <cellStyle name="Note 2 5 13 4" xfId="23290"/>
    <cellStyle name="Note 2 5 14" xfId="23291"/>
    <cellStyle name="Note 2 5 14 2" xfId="23292"/>
    <cellStyle name="Note 2 5 14 2 2" xfId="23293"/>
    <cellStyle name="Note 2 5 14 2 2 2" xfId="23294"/>
    <cellStyle name="Note 2 5 14 2 3" xfId="23295"/>
    <cellStyle name="Note 2 5 14 3" xfId="23296"/>
    <cellStyle name="Note 2 5 14 4" xfId="23297"/>
    <cellStyle name="Note 2 5 15" xfId="23298"/>
    <cellStyle name="Note 2 5 15 2" xfId="23299"/>
    <cellStyle name="Note 2 5 15 2 2" xfId="23300"/>
    <cellStyle name="Note 2 5 15 2 2 2" xfId="23301"/>
    <cellStyle name="Note 2 5 15 2 3" xfId="23302"/>
    <cellStyle name="Note 2 5 15 3" xfId="23303"/>
    <cellStyle name="Note 2 5 15 4" xfId="23304"/>
    <cellStyle name="Note 2 5 16" xfId="23305"/>
    <cellStyle name="Note 2 5 16 2" xfId="23306"/>
    <cellStyle name="Note 2 5 16 2 2" xfId="23307"/>
    <cellStyle name="Note 2 5 16 2 2 2" xfId="23308"/>
    <cellStyle name="Note 2 5 16 2 3" xfId="23309"/>
    <cellStyle name="Note 2 5 16 3" xfId="23310"/>
    <cellStyle name="Note 2 5 16 4" xfId="23311"/>
    <cellStyle name="Note 2 5 17" xfId="23312"/>
    <cellStyle name="Note 2 5 17 2" xfId="23313"/>
    <cellStyle name="Note 2 5 17 2 2" xfId="23314"/>
    <cellStyle name="Note 2 5 17 2 2 2" xfId="23315"/>
    <cellStyle name="Note 2 5 17 2 3" xfId="23316"/>
    <cellStyle name="Note 2 5 17 3" xfId="23317"/>
    <cellStyle name="Note 2 5 17 4" xfId="23318"/>
    <cellStyle name="Note 2 5 18" xfId="23319"/>
    <cellStyle name="Note 2 5 18 2" xfId="23320"/>
    <cellStyle name="Note 2 5 18 2 2" xfId="23321"/>
    <cellStyle name="Note 2 5 18 2 2 2" xfId="23322"/>
    <cellStyle name="Note 2 5 18 2 3" xfId="23323"/>
    <cellStyle name="Note 2 5 18 3" xfId="23324"/>
    <cellStyle name="Note 2 5 18 4" xfId="23325"/>
    <cellStyle name="Note 2 5 19" xfId="23326"/>
    <cellStyle name="Note 2 5 19 2" xfId="23327"/>
    <cellStyle name="Note 2 5 19 2 2" xfId="23328"/>
    <cellStyle name="Note 2 5 19 2 2 2" xfId="23329"/>
    <cellStyle name="Note 2 5 19 2 3" xfId="23330"/>
    <cellStyle name="Note 2 5 19 3" xfId="23331"/>
    <cellStyle name="Note 2 5 19 4" xfId="23332"/>
    <cellStyle name="Note 2 5 2" xfId="23333"/>
    <cellStyle name="Note 2 5 2 2" xfId="23334"/>
    <cellStyle name="Note 2 5 2 2 2" xfId="23335"/>
    <cellStyle name="Note 2 5 2 2 2 2" xfId="23336"/>
    <cellStyle name="Note 2 5 2 2 2 2 2" xfId="23337"/>
    <cellStyle name="Note 2 5 2 2 2 3" xfId="23338"/>
    <cellStyle name="Note 2 5 2 2 3" xfId="23339"/>
    <cellStyle name="Note 2 5 2 2 3 2" xfId="23340"/>
    <cellStyle name="Note 2 5 2 2 4" xfId="23341"/>
    <cellStyle name="Note 2 5 2 3" xfId="23342"/>
    <cellStyle name="Note 2 5 2 3 2" xfId="23343"/>
    <cellStyle name="Note 2 5 2 3 2 2" xfId="23344"/>
    <cellStyle name="Note 2 5 2 3 3" xfId="23345"/>
    <cellStyle name="Note 2 5 2 4" xfId="23346"/>
    <cellStyle name="Note 2 5 2 4 2" xfId="23347"/>
    <cellStyle name="Note 2 5 2 4 2 2" xfId="23348"/>
    <cellStyle name="Note 2 5 2 4 3" xfId="23349"/>
    <cellStyle name="Note 2 5 2 5" xfId="23350"/>
    <cellStyle name="Note 2 5 2 5 2" xfId="23351"/>
    <cellStyle name="Note 2 5 2 5 2 2" xfId="23352"/>
    <cellStyle name="Note 2 5 2 5 3" xfId="23353"/>
    <cellStyle name="Note 2 5 2 6" xfId="23354"/>
    <cellStyle name="Note 2 5 2 6 2" xfId="23355"/>
    <cellStyle name="Note 2 5 2 6 2 2" xfId="23356"/>
    <cellStyle name="Note 2 5 2 6 3" xfId="23357"/>
    <cellStyle name="Note 2 5 2 7" xfId="23358"/>
    <cellStyle name="Note 2 5 2 8" xfId="23359"/>
    <cellStyle name="Note 2 5 20" xfId="23360"/>
    <cellStyle name="Note 2 5 20 2" xfId="23361"/>
    <cellStyle name="Note 2 5 20 2 2" xfId="23362"/>
    <cellStyle name="Note 2 5 20 2 2 2" xfId="23363"/>
    <cellStyle name="Note 2 5 20 2 3" xfId="23364"/>
    <cellStyle name="Note 2 5 20 3" xfId="23365"/>
    <cellStyle name="Note 2 5 20 4" xfId="23366"/>
    <cellStyle name="Note 2 5 21" xfId="23367"/>
    <cellStyle name="Note 2 5 21 2" xfId="23368"/>
    <cellStyle name="Note 2 5 21 2 2" xfId="23369"/>
    <cellStyle name="Note 2 5 21 2 2 2" xfId="23370"/>
    <cellStyle name="Note 2 5 21 2 3" xfId="23371"/>
    <cellStyle name="Note 2 5 21 3" xfId="23372"/>
    <cellStyle name="Note 2 5 21 4" xfId="23373"/>
    <cellStyle name="Note 2 5 22" xfId="23374"/>
    <cellStyle name="Note 2 5 22 2" xfId="23375"/>
    <cellStyle name="Note 2 5 22 2 2" xfId="23376"/>
    <cellStyle name="Note 2 5 22 2 2 2" xfId="23377"/>
    <cellStyle name="Note 2 5 22 2 3" xfId="23378"/>
    <cellStyle name="Note 2 5 22 3" xfId="23379"/>
    <cellStyle name="Note 2 5 22 4" xfId="23380"/>
    <cellStyle name="Note 2 5 23" xfId="23381"/>
    <cellStyle name="Note 2 5 23 2" xfId="23382"/>
    <cellStyle name="Note 2 5 23 2 2" xfId="23383"/>
    <cellStyle name="Note 2 5 23 2 2 2" xfId="23384"/>
    <cellStyle name="Note 2 5 23 2 3" xfId="23385"/>
    <cellStyle name="Note 2 5 23 3" xfId="23386"/>
    <cellStyle name="Note 2 5 23 4" xfId="23387"/>
    <cellStyle name="Note 2 5 24" xfId="23388"/>
    <cellStyle name="Note 2 5 24 2" xfId="23389"/>
    <cellStyle name="Note 2 5 24 2 2" xfId="23390"/>
    <cellStyle name="Note 2 5 24 2 2 2" xfId="23391"/>
    <cellStyle name="Note 2 5 24 2 3" xfId="23392"/>
    <cellStyle name="Note 2 5 24 3" xfId="23393"/>
    <cellStyle name="Note 2 5 24 4" xfId="23394"/>
    <cellStyle name="Note 2 5 25" xfId="23395"/>
    <cellStyle name="Note 2 5 25 2" xfId="23396"/>
    <cellStyle name="Note 2 5 25 2 2" xfId="23397"/>
    <cellStyle name="Note 2 5 25 2 2 2" xfId="23398"/>
    <cellStyle name="Note 2 5 25 2 3" xfId="23399"/>
    <cellStyle name="Note 2 5 25 3" xfId="23400"/>
    <cellStyle name="Note 2 5 25 4" xfId="23401"/>
    <cellStyle name="Note 2 5 26" xfId="23402"/>
    <cellStyle name="Note 2 5 26 2" xfId="23403"/>
    <cellStyle name="Note 2 5 26 2 2" xfId="23404"/>
    <cellStyle name="Note 2 5 26 2 2 2" xfId="23405"/>
    <cellStyle name="Note 2 5 26 2 3" xfId="23406"/>
    <cellStyle name="Note 2 5 26 3" xfId="23407"/>
    <cellStyle name="Note 2 5 26 4" xfId="23408"/>
    <cellStyle name="Note 2 5 27" xfId="23409"/>
    <cellStyle name="Note 2 5 27 2" xfId="23410"/>
    <cellStyle name="Note 2 5 27 2 2" xfId="23411"/>
    <cellStyle name="Note 2 5 27 2 2 2" xfId="23412"/>
    <cellStyle name="Note 2 5 27 2 3" xfId="23413"/>
    <cellStyle name="Note 2 5 27 3" xfId="23414"/>
    <cellStyle name="Note 2 5 27 4" xfId="23415"/>
    <cellStyle name="Note 2 5 28" xfId="23416"/>
    <cellStyle name="Note 2 5 28 2" xfId="23417"/>
    <cellStyle name="Note 2 5 28 2 2" xfId="23418"/>
    <cellStyle name="Note 2 5 28 2 2 2" xfId="23419"/>
    <cellStyle name="Note 2 5 28 2 3" xfId="23420"/>
    <cellStyle name="Note 2 5 28 3" xfId="23421"/>
    <cellStyle name="Note 2 5 28 4" xfId="23422"/>
    <cellStyle name="Note 2 5 29" xfId="23423"/>
    <cellStyle name="Note 2 5 29 2" xfId="23424"/>
    <cellStyle name="Note 2 5 29 2 2" xfId="23425"/>
    <cellStyle name="Note 2 5 29 2 2 2" xfId="23426"/>
    <cellStyle name="Note 2 5 29 2 3" xfId="23427"/>
    <cellStyle name="Note 2 5 29 3" xfId="23428"/>
    <cellStyle name="Note 2 5 29 4" xfId="23429"/>
    <cellStyle name="Note 2 5 3" xfId="23430"/>
    <cellStyle name="Note 2 5 3 2" xfId="23431"/>
    <cellStyle name="Note 2 5 3 2 2" xfId="23432"/>
    <cellStyle name="Note 2 5 3 2 2 2" xfId="23433"/>
    <cellStyle name="Note 2 5 3 2 3" xfId="23434"/>
    <cellStyle name="Note 2 5 3 3" xfId="23435"/>
    <cellStyle name="Note 2 5 3 3 2" xfId="23436"/>
    <cellStyle name="Note 2 5 3 3 2 2" xfId="23437"/>
    <cellStyle name="Note 2 5 3 3 3" xfId="23438"/>
    <cellStyle name="Note 2 5 3 4" xfId="23439"/>
    <cellStyle name="Note 2 5 3 4 2" xfId="23440"/>
    <cellStyle name="Note 2 5 3 4 2 2" xfId="23441"/>
    <cellStyle name="Note 2 5 3 4 3" xfId="23442"/>
    <cellStyle name="Note 2 5 3 5" xfId="23443"/>
    <cellStyle name="Note 2 5 3 6" xfId="23444"/>
    <cellStyle name="Note 2 5 30" xfId="23445"/>
    <cellStyle name="Note 2 5 30 2" xfId="23446"/>
    <cellStyle name="Note 2 5 30 2 2" xfId="23447"/>
    <cellStyle name="Note 2 5 30 2 2 2" xfId="23448"/>
    <cellStyle name="Note 2 5 30 2 3" xfId="23449"/>
    <cellStyle name="Note 2 5 30 3" xfId="23450"/>
    <cellStyle name="Note 2 5 30 4" xfId="23451"/>
    <cellStyle name="Note 2 5 31" xfId="23452"/>
    <cellStyle name="Note 2 5 31 2" xfId="23453"/>
    <cellStyle name="Note 2 5 31 2 2" xfId="23454"/>
    <cellStyle name="Note 2 5 31 2 2 2" xfId="23455"/>
    <cellStyle name="Note 2 5 31 2 3" xfId="23456"/>
    <cellStyle name="Note 2 5 31 3" xfId="23457"/>
    <cellStyle name="Note 2 5 31 4" xfId="23458"/>
    <cellStyle name="Note 2 5 32" xfId="23459"/>
    <cellStyle name="Note 2 5 32 2" xfId="23460"/>
    <cellStyle name="Note 2 5 32 2 2" xfId="23461"/>
    <cellStyle name="Note 2 5 32 2 2 2" xfId="23462"/>
    <cellStyle name="Note 2 5 32 2 3" xfId="23463"/>
    <cellStyle name="Note 2 5 32 3" xfId="23464"/>
    <cellStyle name="Note 2 5 32 4" xfId="23465"/>
    <cellStyle name="Note 2 5 33" xfId="23466"/>
    <cellStyle name="Note 2 5 33 2" xfId="23467"/>
    <cellStyle name="Note 2 5 33 2 2" xfId="23468"/>
    <cellStyle name="Note 2 5 33 2 2 2" xfId="23469"/>
    <cellStyle name="Note 2 5 33 2 3" xfId="23470"/>
    <cellStyle name="Note 2 5 33 3" xfId="23471"/>
    <cellStyle name="Note 2 5 33 4" xfId="23472"/>
    <cellStyle name="Note 2 5 34" xfId="23473"/>
    <cellStyle name="Note 2 5 34 2" xfId="23474"/>
    <cellStyle name="Note 2 5 34 2 2" xfId="23475"/>
    <cellStyle name="Note 2 5 34 2 2 2" xfId="23476"/>
    <cellStyle name="Note 2 5 34 2 3" xfId="23477"/>
    <cellStyle name="Note 2 5 34 3" xfId="23478"/>
    <cellStyle name="Note 2 5 34 4" xfId="23479"/>
    <cellStyle name="Note 2 5 35" xfId="23480"/>
    <cellStyle name="Note 2 5 35 2" xfId="23481"/>
    <cellStyle name="Note 2 5 35 2 2" xfId="23482"/>
    <cellStyle name="Note 2 5 35 2 2 2" xfId="23483"/>
    <cellStyle name="Note 2 5 35 2 3" xfId="23484"/>
    <cellStyle name="Note 2 5 35 3" xfId="23485"/>
    <cellStyle name="Note 2 5 35 4" xfId="23486"/>
    <cellStyle name="Note 2 5 36" xfId="23487"/>
    <cellStyle name="Note 2 5 36 2" xfId="23488"/>
    <cellStyle name="Note 2 5 36 2 2" xfId="23489"/>
    <cellStyle name="Note 2 5 36 2 2 2" xfId="23490"/>
    <cellStyle name="Note 2 5 36 2 3" xfId="23491"/>
    <cellStyle name="Note 2 5 36 3" xfId="23492"/>
    <cellStyle name="Note 2 5 36 4" xfId="23493"/>
    <cellStyle name="Note 2 5 37" xfId="23494"/>
    <cellStyle name="Note 2 5 37 2" xfId="23495"/>
    <cellStyle name="Note 2 5 37 2 2" xfId="23496"/>
    <cellStyle name="Note 2 5 37 2 2 2" xfId="23497"/>
    <cellStyle name="Note 2 5 37 2 3" xfId="23498"/>
    <cellStyle name="Note 2 5 37 3" xfId="23499"/>
    <cellStyle name="Note 2 5 37 4" xfId="23500"/>
    <cellStyle name="Note 2 5 38" xfId="23501"/>
    <cellStyle name="Note 2 5 38 2" xfId="23502"/>
    <cellStyle name="Note 2 5 38 2 2" xfId="23503"/>
    <cellStyle name="Note 2 5 38 2 2 2" xfId="23504"/>
    <cellStyle name="Note 2 5 38 2 3" xfId="23505"/>
    <cellStyle name="Note 2 5 38 3" xfId="23506"/>
    <cellStyle name="Note 2 5 38 4" xfId="23507"/>
    <cellStyle name="Note 2 5 39" xfId="23508"/>
    <cellStyle name="Note 2 5 39 2" xfId="23509"/>
    <cellStyle name="Note 2 5 39 2 2" xfId="23510"/>
    <cellStyle name="Note 2 5 39 2 2 2" xfId="23511"/>
    <cellStyle name="Note 2 5 39 2 3" xfId="23512"/>
    <cellStyle name="Note 2 5 39 3" xfId="23513"/>
    <cellStyle name="Note 2 5 39 4" xfId="23514"/>
    <cellStyle name="Note 2 5 4" xfId="23515"/>
    <cellStyle name="Note 2 5 4 2" xfId="23516"/>
    <cellStyle name="Note 2 5 4 2 2" xfId="23517"/>
    <cellStyle name="Note 2 5 4 2 2 2" xfId="23518"/>
    <cellStyle name="Note 2 5 4 2 3" xfId="23519"/>
    <cellStyle name="Note 2 5 4 3" xfId="23520"/>
    <cellStyle name="Note 2 5 4 3 2" xfId="23521"/>
    <cellStyle name="Note 2 5 4 3 2 2" xfId="23522"/>
    <cellStyle name="Note 2 5 4 3 3" xfId="23523"/>
    <cellStyle name="Note 2 5 4 4" xfId="23524"/>
    <cellStyle name="Note 2 5 4 4 2" xfId="23525"/>
    <cellStyle name="Note 2 5 4 4 2 2" xfId="23526"/>
    <cellStyle name="Note 2 5 4 4 3" xfId="23527"/>
    <cellStyle name="Note 2 5 4 5" xfId="23528"/>
    <cellStyle name="Note 2 5 4 6" xfId="23529"/>
    <cellStyle name="Note 2 5 40" xfId="23530"/>
    <cellStyle name="Note 2 5 40 2" xfId="23531"/>
    <cellStyle name="Note 2 5 40 2 2" xfId="23532"/>
    <cellStyle name="Note 2 5 40 2 2 2" xfId="23533"/>
    <cellStyle name="Note 2 5 40 2 3" xfId="23534"/>
    <cellStyle name="Note 2 5 40 3" xfId="23535"/>
    <cellStyle name="Note 2 5 40 4" xfId="23536"/>
    <cellStyle name="Note 2 5 41" xfId="23537"/>
    <cellStyle name="Note 2 5 41 2" xfId="23538"/>
    <cellStyle name="Note 2 5 41 2 2" xfId="23539"/>
    <cellStyle name="Note 2 5 41 2 2 2" xfId="23540"/>
    <cellStyle name="Note 2 5 41 2 3" xfId="23541"/>
    <cellStyle name="Note 2 5 41 3" xfId="23542"/>
    <cellStyle name="Note 2 5 41 4" xfId="23543"/>
    <cellStyle name="Note 2 5 42" xfId="23544"/>
    <cellStyle name="Note 2 5 42 2" xfId="23545"/>
    <cellStyle name="Note 2 5 42 2 2" xfId="23546"/>
    <cellStyle name="Note 2 5 42 2 2 2" xfId="23547"/>
    <cellStyle name="Note 2 5 42 2 3" xfId="23548"/>
    <cellStyle name="Note 2 5 42 3" xfId="23549"/>
    <cellStyle name="Note 2 5 42 4" xfId="23550"/>
    <cellStyle name="Note 2 5 43" xfId="23551"/>
    <cellStyle name="Note 2 5 43 2" xfId="23552"/>
    <cellStyle name="Note 2 5 43 2 2" xfId="23553"/>
    <cellStyle name="Note 2 5 43 2 2 2" xfId="23554"/>
    <cellStyle name="Note 2 5 43 2 3" xfId="23555"/>
    <cellStyle name="Note 2 5 43 3" xfId="23556"/>
    <cellStyle name="Note 2 5 43 4" xfId="23557"/>
    <cellStyle name="Note 2 5 44" xfId="23558"/>
    <cellStyle name="Note 2 5 44 2" xfId="23559"/>
    <cellStyle name="Note 2 5 44 2 2" xfId="23560"/>
    <cellStyle name="Note 2 5 44 2 2 2" xfId="23561"/>
    <cellStyle name="Note 2 5 44 2 3" xfId="23562"/>
    <cellStyle name="Note 2 5 44 3" xfId="23563"/>
    <cellStyle name="Note 2 5 44 4" xfId="23564"/>
    <cellStyle name="Note 2 5 45" xfId="23565"/>
    <cellStyle name="Note 2 5 45 2" xfId="23566"/>
    <cellStyle name="Note 2 5 45 2 2" xfId="23567"/>
    <cellStyle name="Note 2 5 45 2 2 2" xfId="23568"/>
    <cellStyle name="Note 2 5 45 2 3" xfId="23569"/>
    <cellStyle name="Note 2 5 45 3" xfId="23570"/>
    <cellStyle name="Note 2 5 45 4" xfId="23571"/>
    <cellStyle name="Note 2 5 46" xfId="23572"/>
    <cellStyle name="Note 2 5 46 2" xfId="23573"/>
    <cellStyle name="Note 2 5 46 2 2" xfId="23574"/>
    <cellStyle name="Note 2 5 46 2 2 2" xfId="23575"/>
    <cellStyle name="Note 2 5 46 2 3" xfId="23576"/>
    <cellStyle name="Note 2 5 46 3" xfId="23577"/>
    <cellStyle name="Note 2 5 46 4" xfId="23578"/>
    <cellStyle name="Note 2 5 47" xfId="23579"/>
    <cellStyle name="Note 2 5 47 2" xfId="23580"/>
    <cellStyle name="Note 2 5 47 2 2" xfId="23581"/>
    <cellStyle name="Note 2 5 47 2 2 2" xfId="23582"/>
    <cellStyle name="Note 2 5 47 2 3" xfId="23583"/>
    <cellStyle name="Note 2 5 47 3" xfId="23584"/>
    <cellStyle name="Note 2 5 47 4" xfId="23585"/>
    <cellStyle name="Note 2 5 48" xfId="23586"/>
    <cellStyle name="Note 2 5 48 2" xfId="23587"/>
    <cellStyle name="Note 2 5 48 2 2" xfId="23588"/>
    <cellStyle name="Note 2 5 48 2 2 2" xfId="23589"/>
    <cellStyle name="Note 2 5 48 2 3" xfId="23590"/>
    <cellStyle name="Note 2 5 48 3" xfId="23591"/>
    <cellStyle name="Note 2 5 48 4" xfId="23592"/>
    <cellStyle name="Note 2 5 49" xfId="23593"/>
    <cellStyle name="Note 2 5 49 2" xfId="23594"/>
    <cellStyle name="Note 2 5 49 2 2" xfId="23595"/>
    <cellStyle name="Note 2 5 49 3" xfId="23596"/>
    <cellStyle name="Note 2 5 5" xfId="23597"/>
    <cellStyle name="Note 2 5 5 2" xfId="23598"/>
    <cellStyle name="Note 2 5 5 2 2" xfId="23599"/>
    <cellStyle name="Note 2 5 5 2 2 2" xfId="23600"/>
    <cellStyle name="Note 2 5 5 2 3" xfId="23601"/>
    <cellStyle name="Note 2 5 5 3" xfId="23602"/>
    <cellStyle name="Note 2 5 5 3 2" xfId="23603"/>
    <cellStyle name="Note 2 5 5 3 2 2" xfId="23604"/>
    <cellStyle name="Note 2 5 5 3 3" xfId="23605"/>
    <cellStyle name="Note 2 5 5 4" xfId="23606"/>
    <cellStyle name="Note 2 5 5 4 2" xfId="23607"/>
    <cellStyle name="Note 2 5 5 4 2 2" xfId="23608"/>
    <cellStyle name="Note 2 5 5 4 3" xfId="23609"/>
    <cellStyle name="Note 2 5 5 5" xfId="23610"/>
    <cellStyle name="Note 2 5 5 6" xfId="23611"/>
    <cellStyle name="Note 2 5 50" xfId="23612"/>
    <cellStyle name="Note 2 5 50 2" xfId="23613"/>
    <cellStyle name="Note 2 5 50 2 2" xfId="23614"/>
    <cellStyle name="Note 2 5 50 3" xfId="23615"/>
    <cellStyle name="Note 2 5 51" xfId="23616"/>
    <cellStyle name="Note 2 5 51 2" xfId="23617"/>
    <cellStyle name="Note 2 5 51 2 2" xfId="23618"/>
    <cellStyle name="Note 2 5 51 3" xfId="23619"/>
    <cellStyle name="Note 2 5 52" xfId="23620"/>
    <cellStyle name="Note 2 5 52 2" xfId="23621"/>
    <cellStyle name="Note 2 5 52 2 2" xfId="23622"/>
    <cellStyle name="Note 2 5 52 3" xfId="23623"/>
    <cellStyle name="Note 2 5 53" xfId="23624"/>
    <cellStyle name="Note 2 5 54" xfId="23625"/>
    <cellStyle name="Note 2 5 6" xfId="23626"/>
    <cellStyle name="Note 2 5 6 2" xfId="23627"/>
    <cellStyle name="Note 2 5 6 2 2" xfId="23628"/>
    <cellStyle name="Note 2 5 6 2 2 2" xfId="23629"/>
    <cellStyle name="Note 2 5 6 2 3" xfId="23630"/>
    <cellStyle name="Note 2 5 6 3" xfId="23631"/>
    <cellStyle name="Note 2 5 6 3 2" xfId="23632"/>
    <cellStyle name="Note 2 5 6 3 2 2" xfId="23633"/>
    <cellStyle name="Note 2 5 6 3 3" xfId="23634"/>
    <cellStyle name="Note 2 5 6 4" xfId="23635"/>
    <cellStyle name="Note 2 5 6 4 2" xfId="23636"/>
    <cellStyle name="Note 2 5 6 4 2 2" xfId="23637"/>
    <cellStyle name="Note 2 5 6 4 3" xfId="23638"/>
    <cellStyle name="Note 2 5 6 5" xfId="23639"/>
    <cellStyle name="Note 2 5 6 6" xfId="23640"/>
    <cellStyle name="Note 2 5 7" xfId="23641"/>
    <cellStyle name="Note 2 5 7 2" xfId="23642"/>
    <cellStyle name="Note 2 5 7 2 2" xfId="23643"/>
    <cellStyle name="Note 2 5 7 2 2 2" xfId="23644"/>
    <cellStyle name="Note 2 5 7 2 3" xfId="23645"/>
    <cellStyle name="Note 2 5 7 3" xfId="23646"/>
    <cellStyle name="Note 2 5 7 3 2" xfId="23647"/>
    <cellStyle name="Note 2 5 7 3 2 2" xfId="23648"/>
    <cellStyle name="Note 2 5 7 3 3" xfId="23649"/>
    <cellStyle name="Note 2 5 7 4" xfId="23650"/>
    <cellStyle name="Note 2 5 7 4 2" xfId="23651"/>
    <cellStyle name="Note 2 5 7 4 2 2" xfId="23652"/>
    <cellStyle name="Note 2 5 7 4 3" xfId="23653"/>
    <cellStyle name="Note 2 5 7 5" xfId="23654"/>
    <cellStyle name="Note 2 5 7 6" xfId="23655"/>
    <cellStyle name="Note 2 5 8" xfId="23656"/>
    <cellStyle name="Note 2 5 8 2" xfId="23657"/>
    <cellStyle name="Note 2 5 8 2 2" xfId="23658"/>
    <cellStyle name="Note 2 5 8 2 2 2" xfId="23659"/>
    <cellStyle name="Note 2 5 8 2 3" xfId="23660"/>
    <cellStyle name="Note 2 5 8 3" xfId="23661"/>
    <cellStyle name="Note 2 5 8 3 2" xfId="23662"/>
    <cellStyle name="Note 2 5 8 3 2 2" xfId="23663"/>
    <cellStyle name="Note 2 5 8 3 3" xfId="23664"/>
    <cellStyle name="Note 2 5 8 4" xfId="23665"/>
    <cellStyle name="Note 2 5 8 4 2" xfId="23666"/>
    <cellStyle name="Note 2 5 8 4 2 2" xfId="23667"/>
    <cellStyle name="Note 2 5 8 4 3" xfId="23668"/>
    <cellStyle name="Note 2 5 8 5" xfId="23669"/>
    <cellStyle name="Note 2 5 8 6" xfId="23670"/>
    <cellStyle name="Note 2 5 9" xfId="23671"/>
    <cellStyle name="Note 2 5 9 2" xfId="23672"/>
    <cellStyle name="Note 2 5 9 2 2" xfId="23673"/>
    <cellStyle name="Note 2 5 9 2 2 2" xfId="23674"/>
    <cellStyle name="Note 2 5 9 2 3" xfId="23675"/>
    <cellStyle name="Note 2 5 9 3" xfId="23676"/>
    <cellStyle name="Note 2 5 9 4" xfId="23677"/>
    <cellStyle name="Note 2 50" xfId="23678"/>
    <cellStyle name="Note 2 50 2" xfId="23679"/>
    <cellStyle name="Note 2 50 2 2" xfId="23680"/>
    <cellStyle name="Note 2 50 2 2 2" xfId="23681"/>
    <cellStyle name="Note 2 50 2 2 2 2" xfId="23682"/>
    <cellStyle name="Note 2 50 2 2 2 2 2" xfId="23683"/>
    <cellStyle name="Note 2 50 2 2 2 3" xfId="23684"/>
    <cellStyle name="Note 2 50 2 2 3" xfId="23685"/>
    <cellStyle name="Note 2 50 2 2 3 2" xfId="23686"/>
    <cellStyle name="Note 2 50 2 2 4" xfId="23687"/>
    <cellStyle name="Note 2 50 2 3" xfId="23688"/>
    <cellStyle name="Note 2 50 2 3 2" xfId="23689"/>
    <cellStyle name="Note 2 50 2 3 2 2" xfId="23690"/>
    <cellStyle name="Note 2 50 2 3 3" xfId="23691"/>
    <cellStyle name="Note 2 50 2 4" xfId="23692"/>
    <cellStyle name="Note 2 50 2 4 2" xfId="23693"/>
    <cellStyle name="Note 2 50 2 4 2 2" xfId="23694"/>
    <cellStyle name="Note 2 50 2 4 3" xfId="23695"/>
    <cellStyle name="Note 2 50 2 5" xfId="23696"/>
    <cellStyle name="Note 2 50 2 5 2" xfId="23697"/>
    <cellStyle name="Note 2 50 2 5 2 2" xfId="23698"/>
    <cellStyle name="Note 2 50 2 5 3" xfId="23699"/>
    <cellStyle name="Note 2 50 2 6" xfId="23700"/>
    <cellStyle name="Note 2 50 2 6 2" xfId="23701"/>
    <cellStyle name="Note 2 50 2 6 2 2" xfId="23702"/>
    <cellStyle name="Note 2 50 2 6 3" xfId="23703"/>
    <cellStyle name="Note 2 50 2 7" xfId="23704"/>
    <cellStyle name="Note 2 50 3" xfId="23705"/>
    <cellStyle name="Note 2 50 3 2" xfId="23706"/>
    <cellStyle name="Note 2 50 3 2 2" xfId="23707"/>
    <cellStyle name="Note 2 50 3 2 2 2" xfId="23708"/>
    <cellStyle name="Note 2 50 3 2 3" xfId="23709"/>
    <cellStyle name="Note 2 50 3 3" xfId="23710"/>
    <cellStyle name="Note 2 50 3 3 2" xfId="23711"/>
    <cellStyle name="Note 2 50 3 4" xfId="23712"/>
    <cellStyle name="Note 2 50 4" xfId="23713"/>
    <cellStyle name="Note 2 50 4 2" xfId="23714"/>
    <cellStyle name="Note 2 50 4 2 2" xfId="23715"/>
    <cellStyle name="Note 2 50 4 3" xfId="23716"/>
    <cellStyle name="Note 2 50 5" xfId="23717"/>
    <cellStyle name="Note 2 50 5 2" xfId="23718"/>
    <cellStyle name="Note 2 50 5 2 2" xfId="23719"/>
    <cellStyle name="Note 2 50 5 3" xfId="23720"/>
    <cellStyle name="Note 2 50 6" xfId="23721"/>
    <cellStyle name="Note 2 50 6 2" xfId="23722"/>
    <cellStyle name="Note 2 50 6 2 2" xfId="23723"/>
    <cellStyle name="Note 2 50 6 3" xfId="23724"/>
    <cellStyle name="Note 2 50 7" xfId="23725"/>
    <cellStyle name="Note 2 50 7 2" xfId="23726"/>
    <cellStyle name="Note 2 50 7 2 2" xfId="23727"/>
    <cellStyle name="Note 2 50 7 3" xfId="23728"/>
    <cellStyle name="Note 2 50 8" xfId="23729"/>
    <cellStyle name="Note 2 50 9" xfId="23730"/>
    <cellStyle name="Note 2 51" xfId="23731"/>
    <cellStyle name="Note 2 51 2" xfId="23732"/>
    <cellStyle name="Note 2 51 2 2" xfId="23733"/>
    <cellStyle name="Note 2 51 2 2 2" xfId="23734"/>
    <cellStyle name="Note 2 51 2 2 2 2" xfId="23735"/>
    <cellStyle name="Note 2 51 2 2 2 2 2" xfId="23736"/>
    <cellStyle name="Note 2 51 2 2 2 3" xfId="23737"/>
    <cellStyle name="Note 2 51 2 2 3" xfId="23738"/>
    <cellStyle name="Note 2 51 2 2 3 2" xfId="23739"/>
    <cellStyle name="Note 2 51 2 2 4" xfId="23740"/>
    <cellStyle name="Note 2 51 2 3" xfId="23741"/>
    <cellStyle name="Note 2 51 2 3 2" xfId="23742"/>
    <cellStyle name="Note 2 51 2 3 2 2" xfId="23743"/>
    <cellStyle name="Note 2 51 2 3 3" xfId="23744"/>
    <cellStyle name="Note 2 51 2 4" xfId="23745"/>
    <cellStyle name="Note 2 51 2 4 2" xfId="23746"/>
    <cellStyle name="Note 2 51 2 4 2 2" xfId="23747"/>
    <cellStyle name="Note 2 51 2 4 3" xfId="23748"/>
    <cellStyle name="Note 2 51 2 5" xfId="23749"/>
    <cellStyle name="Note 2 51 2 5 2" xfId="23750"/>
    <cellStyle name="Note 2 51 2 5 2 2" xfId="23751"/>
    <cellStyle name="Note 2 51 2 5 3" xfId="23752"/>
    <cellStyle name="Note 2 51 2 6" xfId="23753"/>
    <cellStyle name="Note 2 51 2 6 2" xfId="23754"/>
    <cellStyle name="Note 2 51 2 6 2 2" xfId="23755"/>
    <cellStyle name="Note 2 51 2 6 3" xfId="23756"/>
    <cellStyle name="Note 2 51 2 7" xfId="23757"/>
    <cellStyle name="Note 2 51 3" xfId="23758"/>
    <cellStyle name="Note 2 51 3 2" xfId="23759"/>
    <cellStyle name="Note 2 51 3 2 2" xfId="23760"/>
    <cellStyle name="Note 2 51 3 2 2 2" xfId="23761"/>
    <cellStyle name="Note 2 51 3 2 3" xfId="23762"/>
    <cellStyle name="Note 2 51 3 3" xfId="23763"/>
    <cellStyle name="Note 2 51 3 3 2" xfId="23764"/>
    <cellStyle name="Note 2 51 3 4" xfId="23765"/>
    <cellStyle name="Note 2 51 4" xfId="23766"/>
    <cellStyle name="Note 2 51 4 2" xfId="23767"/>
    <cellStyle name="Note 2 51 4 2 2" xfId="23768"/>
    <cellStyle name="Note 2 51 4 3" xfId="23769"/>
    <cellStyle name="Note 2 51 5" xfId="23770"/>
    <cellStyle name="Note 2 51 5 2" xfId="23771"/>
    <cellStyle name="Note 2 51 5 2 2" xfId="23772"/>
    <cellStyle name="Note 2 51 5 3" xfId="23773"/>
    <cellStyle name="Note 2 51 6" xfId="23774"/>
    <cellStyle name="Note 2 51 6 2" xfId="23775"/>
    <cellStyle name="Note 2 51 6 2 2" xfId="23776"/>
    <cellStyle name="Note 2 51 6 3" xfId="23777"/>
    <cellStyle name="Note 2 51 7" xfId="23778"/>
    <cellStyle name="Note 2 51 7 2" xfId="23779"/>
    <cellStyle name="Note 2 51 7 2 2" xfId="23780"/>
    <cellStyle name="Note 2 51 7 3" xfId="23781"/>
    <cellStyle name="Note 2 51 8" xfId="23782"/>
    <cellStyle name="Note 2 51 9" xfId="23783"/>
    <cellStyle name="Note 2 52" xfId="23784"/>
    <cellStyle name="Note 2 52 2" xfId="23785"/>
    <cellStyle name="Note 2 52 2 2" xfId="23786"/>
    <cellStyle name="Note 2 52 2 2 2" xfId="23787"/>
    <cellStyle name="Note 2 52 2 2 2 2" xfId="23788"/>
    <cellStyle name="Note 2 52 2 2 2 2 2" xfId="23789"/>
    <cellStyle name="Note 2 52 2 2 2 3" xfId="23790"/>
    <cellStyle name="Note 2 52 2 2 3" xfId="23791"/>
    <cellStyle name="Note 2 52 2 2 3 2" xfId="23792"/>
    <cellStyle name="Note 2 52 2 2 4" xfId="23793"/>
    <cellStyle name="Note 2 52 2 3" xfId="23794"/>
    <cellStyle name="Note 2 52 2 3 2" xfId="23795"/>
    <cellStyle name="Note 2 52 2 3 2 2" xfId="23796"/>
    <cellStyle name="Note 2 52 2 3 3" xfId="23797"/>
    <cellStyle name="Note 2 52 2 4" xfId="23798"/>
    <cellStyle name="Note 2 52 2 4 2" xfId="23799"/>
    <cellStyle name="Note 2 52 2 4 2 2" xfId="23800"/>
    <cellStyle name="Note 2 52 2 4 3" xfId="23801"/>
    <cellStyle name="Note 2 52 2 5" xfId="23802"/>
    <cellStyle name="Note 2 52 2 5 2" xfId="23803"/>
    <cellStyle name="Note 2 52 2 5 2 2" xfId="23804"/>
    <cellStyle name="Note 2 52 2 5 3" xfId="23805"/>
    <cellStyle name="Note 2 52 2 6" xfId="23806"/>
    <cellStyle name="Note 2 52 2 6 2" xfId="23807"/>
    <cellStyle name="Note 2 52 2 6 2 2" xfId="23808"/>
    <cellStyle name="Note 2 52 2 6 3" xfId="23809"/>
    <cellStyle name="Note 2 52 2 7" xfId="23810"/>
    <cellStyle name="Note 2 52 3" xfId="23811"/>
    <cellStyle name="Note 2 52 3 2" xfId="23812"/>
    <cellStyle name="Note 2 52 3 2 2" xfId="23813"/>
    <cellStyle name="Note 2 52 3 2 2 2" xfId="23814"/>
    <cellStyle name="Note 2 52 3 2 3" xfId="23815"/>
    <cellStyle name="Note 2 52 3 3" xfId="23816"/>
    <cellStyle name="Note 2 52 3 3 2" xfId="23817"/>
    <cellStyle name="Note 2 52 3 4" xfId="23818"/>
    <cellStyle name="Note 2 52 4" xfId="23819"/>
    <cellStyle name="Note 2 52 4 2" xfId="23820"/>
    <cellStyle name="Note 2 52 4 2 2" xfId="23821"/>
    <cellStyle name="Note 2 52 4 3" xfId="23822"/>
    <cellStyle name="Note 2 52 5" xfId="23823"/>
    <cellStyle name="Note 2 52 5 2" xfId="23824"/>
    <cellStyle name="Note 2 52 5 2 2" xfId="23825"/>
    <cellStyle name="Note 2 52 5 3" xfId="23826"/>
    <cellStyle name="Note 2 52 6" xfId="23827"/>
    <cellStyle name="Note 2 52 6 2" xfId="23828"/>
    <cellStyle name="Note 2 52 6 2 2" xfId="23829"/>
    <cellStyle name="Note 2 52 6 3" xfId="23830"/>
    <cellStyle name="Note 2 52 7" xfId="23831"/>
    <cellStyle name="Note 2 52 7 2" xfId="23832"/>
    <cellStyle name="Note 2 52 7 2 2" xfId="23833"/>
    <cellStyle name="Note 2 52 7 3" xfId="23834"/>
    <cellStyle name="Note 2 52 8" xfId="23835"/>
    <cellStyle name="Note 2 52 9" xfId="23836"/>
    <cellStyle name="Note 2 53" xfId="23837"/>
    <cellStyle name="Note 2 53 2" xfId="23838"/>
    <cellStyle name="Note 2 53 2 2" xfId="23839"/>
    <cellStyle name="Note 2 53 2 2 2" xfId="23840"/>
    <cellStyle name="Note 2 53 2 2 2 2" xfId="23841"/>
    <cellStyle name="Note 2 53 2 2 2 2 2" xfId="23842"/>
    <cellStyle name="Note 2 53 2 2 2 3" xfId="23843"/>
    <cellStyle name="Note 2 53 2 2 3" xfId="23844"/>
    <cellStyle name="Note 2 53 2 2 3 2" xfId="23845"/>
    <cellStyle name="Note 2 53 2 2 4" xfId="23846"/>
    <cellStyle name="Note 2 53 2 3" xfId="23847"/>
    <cellStyle name="Note 2 53 2 3 2" xfId="23848"/>
    <cellStyle name="Note 2 53 2 3 2 2" xfId="23849"/>
    <cellStyle name="Note 2 53 2 3 3" xfId="23850"/>
    <cellStyle name="Note 2 53 2 4" xfId="23851"/>
    <cellStyle name="Note 2 53 2 4 2" xfId="23852"/>
    <cellStyle name="Note 2 53 2 4 2 2" xfId="23853"/>
    <cellStyle name="Note 2 53 2 4 3" xfId="23854"/>
    <cellStyle name="Note 2 53 2 5" xfId="23855"/>
    <cellStyle name="Note 2 53 2 5 2" xfId="23856"/>
    <cellStyle name="Note 2 53 2 5 2 2" xfId="23857"/>
    <cellStyle name="Note 2 53 2 5 3" xfId="23858"/>
    <cellStyle name="Note 2 53 2 6" xfId="23859"/>
    <cellStyle name="Note 2 53 2 6 2" xfId="23860"/>
    <cellStyle name="Note 2 53 2 6 2 2" xfId="23861"/>
    <cellStyle name="Note 2 53 2 6 3" xfId="23862"/>
    <cellStyle name="Note 2 53 2 7" xfId="23863"/>
    <cellStyle name="Note 2 53 3" xfId="23864"/>
    <cellStyle name="Note 2 53 3 2" xfId="23865"/>
    <cellStyle name="Note 2 53 3 2 2" xfId="23866"/>
    <cellStyle name="Note 2 53 3 2 2 2" xfId="23867"/>
    <cellStyle name="Note 2 53 3 2 3" xfId="23868"/>
    <cellStyle name="Note 2 53 3 3" xfId="23869"/>
    <cellStyle name="Note 2 53 3 3 2" xfId="23870"/>
    <cellStyle name="Note 2 53 3 4" xfId="23871"/>
    <cellStyle name="Note 2 53 4" xfId="23872"/>
    <cellStyle name="Note 2 53 4 2" xfId="23873"/>
    <cellStyle name="Note 2 53 4 2 2" xfId="23874"/>
    <cellStyle name="Note 2 53 4 3" xfId="23875"/>
    <cellStyle name="Note 2 53 5" xfId="23876"/>
    <cellStyle name="Note 2 53 5 2" xfId="23877"/>
    <cellStyle name="Note 2 53 5 2 2" xfId="23878"/>
    <cellStyle name="Note 2 53 5 3" xfId="23879"/>
    <cellStyle name="Note 2 53 6" xfId="23880"/>
    <cellStyle name="Note 2 53 6 2" xfId="23881"/>
    <cellStyle name="Note 2 53 6 2 2" xfId="23882"/>
    <cellStyle name="Note 2 53 6 3" xfId="23883"/>
    <cellStyle name="Note 2 53 7" xfId="23884"/>
    <cellStyle name="Note 2 53 7 2" xfId="23885"/>
    <cellStyle name="Note 2 53 7 2 2" xfId="23886"/>
    <cellStyle name="Note 2 53 7 3" xfId="23887"/>
    <cellStyle name="Note 2 53 8" xfId="23888"/>
    <cellStyle name="Note 2 53 9" xfId="23889"/>
    <cellStyle name="Note 2 54" xfId="23890"/>
    <cellStyle name="Note 2 54 2" xfId="23891"/>
    <cellStyle name="Note 2 54 2 2" xfId="23892"/>
    <cellStyle name="Note 2 54 2 2 2" xfId="23893"/>
    <cellStyle name="Note 2 54 2 2 2 2" xfId="23894"/>
    <cellStyle name="Note 2 54 2 2 2 2 2" xfId="23895"/>
    <cellStyle name="Note 2 54 2 2 2 3" xfId="23896"/>
    <cellStyle name="Note 2 54 2 2 3" xfId="23897"/>
    <cellStyle name="Note 2 54 2 2 3 2" xfId="23898"/>
    <cellStyle name="Note 2 54 2 2 4" xfId="23899"/>
    <cellStyle name="Note 2 54 2 3" xfId="23900"/>
    <cellStyle name="Note 2 54 2 3 2" xfId="23901"/>
    <cellStyle name="Note 2 54 2 3 2 2" xfId="23902"/>
    <cellStyle name="Note 2 54 2 3 3" xfId="23903"/>
    <cellStyle name="Note 2 54 2 4" xfId="23904"/>
    <cellStyle name="Note 2 54 2 4 2" xfId="23905"/>
    <cellStyle name="Note 2 54 2 4 2 2" xfId="23906"/>
    <cellStyle name="Note 2 54 2 4 3" xfId="23907"/>
    <cellStyle name="Note 2 54 2 5" xfId="23908"/>
    <cellStyle name="Note 2 54 2 5 2" xfId="23909"/>
    <cellStyle name="Note 2 54 2 5 2 2" xfId="23910"/>
    <cellStyle name="Note 2 54 2 5 3" xfId="23911"/>
    <cellStyle name="Note 2 54 2 6" xfId="23912"/>
    <cellStyle name="Note 2 54 2 6 2" xfId="23913"/>
    <cellStyle name="Note 2 54 2 6 2 2" xfId="23914"/>
    <cellStyle name="Note 2 54 2 6 3" xfId="23915"/>
    <cellStyle name="Note 2 54 2 7" xfId="23916"/>
    <cellStyle name="Note 2 54 3" xfId="23917"/>
    <cellStyle name="Note 2 54 3 2" xfId="23918"/>
    <cellStyle name="Note 2 54 3 2 2" xfId="23919"/>
    <cellStyle name="Note 2 54 3 2 2 2" xfId="23920"/>
    <cellStyle name="Note 2 54 3 2 3" xfId="23921"/>
    <cellStyle name="Note 2 54 3 3" xfId="23922"/>
    <cellStyle name="Note 2 54 3 3 2" xfId="23923"/>
    <cellStyle name="Note 2 54 3 4" xfId="23924"/>
    <cellStyle name="Note 2 54 4" xfId="23925"/>
    <cellStyle name="Note 2 54 4 2" xfId="23926"/>
    <cellStyle name="Note 2 54 4 2 2" xfId="23927"/>
    <cellStyle name="Note 2 54 4 3" xfId="23928"/>
    <cellStyle name="Note 2 54 5" xfId="23929"/>
    <cellStyle name="Note 2 54 5 2" xfId="23930"/>
    <cellStyle name="Note 2 54 5 2 2" xfId="23931"/>
    <cellStyle name="Note 2 54 5 3" xfId="23932"/>
    <cellStyle name="Note 2 54 6" xfId="23933"/>
    <cellStyle name="Note 2 54 6 2" xfId="23934"/>
    <cellStyle name="Note 2 54 6 2 2" xfId="23935"/>
    <cellStyle name="Note 2 54 6 3" xfId="23936"/>
    <cellStyle name="Note 2 54 7" xfId="23937"/>
    <cellStyle name="Note 2 54 7 2" xfId="23938"/>
    <cellStyle name="Note 2 54 7 2 2" xfId="23939"/>
    <cellStyle name="Note 2 54 7 3" xfId="23940"/>
    <cellStyle name="Note 2 54 8" xfId="23941"/>
    <cellStyle name="Note 2 54 9" xfId="23942"/>
    <cellStyle name="Note 2 55" xfId="23943"/>
    <cellStyle name="Note 2 55 2" xfId="23944"/>
    <cellStyle name="Note 2 55 2 2" xfId="23945"/>
    <cellStyle name="Note 2 55 2 2 2" xfId="23946"/>
    <cellStyle name="Note 2 55 2 2 2 2" xfId="23947"/>
    <cellStyle name="Note 2 55 2 2 2 2 2" xfId="23948"/>
    <cellStyle name="Note 2 55 2 2 2 3" xfId="23949"/>
    <cellStyle name="Note 2 55 2 2 3" xfId="23950"/>
    <cellStyle name="Note 2 55 2 2 3 2" xfId="23951"/>
    <cellStyle name="Note 2 55 2 2 4" xfId="23952"/>
    <cellStyle name="Note 2 55 2 3" xfId="23953"/>
    <cellStyle name="Note 2 55 2 3 2" xfId="23954"/>
    <cellStyle name="Note 2 55 2 3 2 2" xfId="23955"/>
    <cellStyle name="Note 2 55 2 3 3" xfId="23956"/>
    <cellStyle name="Note 2 55 2 4" xfId="23957"/>
    <cellStyle name="Note 2 55 2 4 2" xfId="23958"/>
    <cellStyle name="Note 2 55 2 4 2 2" xfId="23959"/>
    <cellStyle name="Note 2 55 2 4 3" xfId="23960"/>
    <cellStyle name="Note 2 55 2 5" xfId="23961"/>
    <cellStyle name="Note 2 55 2 5 2" xfId="23962"/>
    <cellStyle name="Note 2 55 2 5 2 2" xfId="23963"/>
    <cellStyle name="Note 2 55 2 5 3" xfId="23964"/>
    <cellStyle name="Note 2 55 2 6" xfId="23965"/>
    <cellStyle name="Note 2 55 2 6 2" xfId="23966"/>
    <cellStyle name="Note 2 55 2 6 2 2" xfId="23967"/>
    <cellStyle name="Note 2 55 2 6 3" xfId="23968"/>
    <cellStyle name="Note 2 55 2 7" xfId="23969"/>
    <cellStyle name="Note 2 55 3" xfId="23970"/>
    <cellStyle name="Note 2 55 3 2" xfId="23971"/>
    <cellStyle name="Note 2 55 3 2 2" xfId="23972"/>
    <cellStyle name="Note 2 55 3 2 2 2" xfId="23973"/>
    <cellStyle name="Note 2 55 3 2 3" xfId="23974"/>
    <cellStyle name="Note 2 55 3 3" xfId="23975"/>
    <cellStyle name="Note 2 55 3 3 2" xfId="23976"/>
    <cellStyle name="Note 2 55 3 4" xfId="23977"/>
    <cellStyle name="Note 2 55 4" xfId="23978"/>
    <cellStyle name="Note 2 55 4 2" xfId="23979"/>
    <cellStyle name="Note 2 55 4 2 2" xfId="23980"/>
    <cellStyle name="Note 2 55 4 3" xfId="23981"/>
    <cellStyle name="Note 2 55 5" xfId="23982"/>
    <cellStyle name="Note 2 55 5 2" xfId="23983"/>
    <cellStyle name="Note 2 55 5 2 2" xfId="23984"/>
    <cellStyle name="Note 2 55 5 3" xfId="23985"/>
    <cellStyle name="Note 2 55 6" xfId="23986"/>
    <cellStyle name="Note 2 55 6 2" xfId="23987"/>
    <cellStyle name="Note 2 55 6 2 2" xfId="23988"/>
    <cellStyle name="Note 2 55 6 3" xfId="23989"/>
    <cellStyle name="Note 2 55 7" xfId="23990"/>
    <cellStyle name="Note 2 55 7 2" xfId="23991"/>
    <cellStyle name="Note 2 55 7 2 2" xfId="23992"/>
    <cellStyle name="Note 2 55 7 3" xfId="23993"/>
    <cellStyle name="Note 2 55 8" xfId="23994"/>
    <cellStyle name="Note 2 55 9" xfId="23995"/>
    <cellStyle name="Note 2 56" xfId="23996"/>
    <cellStyle name="Note 2 56 2" xfId="23997"/>
    <cellStyle name="Note 2 56 2 2" xfId="23998"/>
    <cellStyle name="Note 2 56 2 2 2" xfId="23999"/>
    <cellStyle name="Note 2 56 2 2 2 2" xfId="24000"/>
    <cellStyle name="Note 2 56 2 2 2 2 2" xfId="24001"/>
    <cellStyle name="Note 2 56 2 2 2 3" xfId="24002"/>
    <cellStyle name="Note 2 56 2 2 3" xfId="24003"/>
    <cellStyle name="Note 2 56 2 2 3 2" xfId="24004"/>
    <cellStyle name="Note 2 56 2 2 4" xfId="24005"/>
    <cellStyle name="Note 2 56 2 3" xfId="24006"/>
    <cellStyle name="Note 2 56 2 3 2" xfId="24007"/>
    <cellStyle name="Note 2 56 2 3 2 2" xfId="24008"/>
    <cellStyle name="Note 2 56 2 3 3" xfId="24009"/>
    <cellStyle name="Note 2 56 2 4" xfId="24010"/>
    <cellStyle name="Note 2 56 2 4 2" xfId="24011"/>
    <cellStyle name="Note 2 56 2 4 2 2" xfId="24012"/>
    <cellStyle name="Note 2 56 2 4 3" xfId="24013"/>
    <cellStyle name="Note 2 56 2 5" xfId="24014"/>
    <cellStyle name="Note 2 56 2 5 2" xfId="24015"/>
    <cellStyle name="Note 2 56 2 5 2 2" xfId="24016"/>
    <cellStyle name="Note 2 56 2 5 3" xfId="24017"/>
    <cellStyle name="Note 2 56 2 6" xfId="24018"/>
    <cellStyle name="Note 2 56 2 6 2" xfId="24019"/>
    <cellStyle name="Note 2 56 2 6 2 2" xfId="24020"/>
    <cellStyle name="Note 2 56 2 6 3" xfId="24021"/>
    <cellStyle name="Note 2 56 2 7" xfId="24022"/>
    <cellStyle name="Note 2 56 3" xfId="24023"/>
    <cellStyle name="Note 2 56 3 2" xfId="24024"/>
    <cellStyle name="Note 2 56 3 2 2" xfId="24025"/>
    <cellStyle name="Note 2 56 3 2 2 2" xfId="24026"/>
    <cellStyle name="Note 2 56 3 2 3" xfId="24027"/>
    <cellStyle name="Note 2 56 3 3" xfId="24028"/>
    <cellStyle name="Note 2 56 3 3 2" xfId="24029"/>
    <cellStyle name="Note 2 56 3 4" xfId="24030"/>
    <cellStyle name="Note 2 56 4" xfId="24031"/>
    <cellStyle name="Note 2 56 4 2" xfId="24032"/>
    <cellStyle name="Note 2 56 4 2 2" xfId="24033"/>
    <cellStyle name="Note 2 56 4 3" xfId="24034"/>
    <cellStyle name="Note 2 56 5" xfId="24035"/>
    <cellStyle name="Note 2 56 5 2" xfId="24036"/>
    <cellStyle name="Note 2 56 5 2 2" xfId="24037"/>
    <cellStyle name="Note 2 56 5 3" xfId="24038"/>
    <cellStyle name="Note 2 56 6" xfId="24039"/>
    <cellStyle name="Note 2 56 6 2" xfId="24040"/>
    <cellStyle name="Note 2 56 6 2 2" xfId="24041"/>
    <cellStyle name="Note 2 56 6 3" xfId="24042"/>
    <cellStyle name="Note 2 56 7" xfId="24043"/>
    <cellStyle name="Note 2 56 7 2" xfId="24044"/>
    <cellStyle name="Note 2 56 7 2 2" xfId="24045"/>
    <cellStyle name="Note 2 56 7 3" xfId="24046"/>
    <cellStyle name="Note 2 56 8" xfId="24047"/>
    <cellStyle name="Note 2 56 9" xfId="24048"/>
    <cellStyle name="Note 2 57" xfId="24049"/>
    <cellStyle name="Note 2 57 2" xfId="24050"/>
    <cellStyle name="Note 2 57 2 2" xfId="24051"/>
    <cellStyle name="Note 2 57 2 2 2" xfId="24052"/>
    <cellStyle name="Note 2 57 2 2 2 2" xfId="24053"/>
    <cellStyle name="Note 2 57 2 2 2 2 2" xfId="24054"/>
    <cellStyle name="Note 2 57 2 2 2 3" xfId="24055"/>
    <cellStyle name="Note 2 57 2 2 3" xfId="24056"/>
    <cellStyle name="Note 2 57 2 2 3 2" xfId="24057"/>
    <cellStyle name="Note 2 57 2 2 4" xfId="24058"/>
    <cellStyle name="Note 2 57 2 3" xfId="24059"/>
    <cellStyle name="Note 2 57 2 3 2" xfId="24060"/>
    <cellStyle name="Note 2 57 2 3 2 2" xfId="24061"/>
    <cellStyle name="Note 2 57 2 3 3" xfId="24062"/>
    <cellStyle name="Note 2 57 2 4" xfId="24063"/>
    <cellStyle name="Note 2 57 2 4 2" xfId="24064"/>
    <cellStyle name="Note 2 57 2 4 2 2" xfId="24065"/>
    <cellStyle name="Note 2 57 2 4 3" xfId="24066"/>
    <cellStyle name="Note 2 57 2 5" xfId="24067"/>
    <cellStyle name="Note 2 57 2 5 2" xfId="24068"/>
    <cellStyle name="Note 2 57 2 5 2 2" xfId="24069"/>
    <cellStyle name="Note 2 57 2 5 3" xfId="24070"/>
    <cellStyle name="Note 2 57 2 6" xfId="24071"/>
    <cellStyle name="Note 2 57 2 6 2" xfId="24072"/>
    <cellStyle name="Note 2 57 2 6 2 2" xfId="24073"/>
    <cellStyle name="Note 2 57 2 6 3" xfId="24074"/>
    <cellStyle name="Note 2 57 2 7" xfId="24075"/>
    <cellStyle name="Note 2 57 3" xfId="24076"/>
    <cellStyle name="Note 2 57 3 2" xfId="24077"/>
    <cellStyle name="Note 2 57 3 2 2" xfId="24078"/>
    <cellStyle name="Note 2 57 3 2 2 2" xfId="24079"/>
    <cellStyle name="Note 2 57 3 2 3" xfId="24080"/>
    <cellStyle name="Note 2 57 3 3" xfId="24081"/>
    <cellStyle name="Note 2 57 3 3 2" xfId="24082"/>
    <cellStyle name="Note 2 57 3 4" xfId="24083"/>
    <cellStyle name="Note 2 57 4" xfId="24084"/>
    <cellStyle name="Note 2 57 4 2" xfId="24085"/>
    <cellStyle name="Note 2 57 4 2 2" xfId="24086"/>
    <cellStyle name="Note 2 57 4 3" xfId="24087"/>
    <cellStyle name="Note 2 57 5" xfId="24088"/>
    <cellStyle name="Note 2 57 5 2" xfId="24089"/>
    <cellStyle name="Note 2 57 5 2 2" xfId="24090"/>
    <cellStyle name="Note 2 57 5 3" xfId="24091"/>
    <cellStyle name="Note 2 57 6" xfId="24092"/>
    <cellStyle name="Note 2 57 6 2" xfId="24093"/>
    <cellStyle name="Note 2 57 6 2 2" xfId="24094"/>
    <cellStyle name="Note 2 57 6 3" xfId="24095"/>
    <cellStyle name="Note 2 57 7" xfId="24096"/>
    <cellStyle name="Note 2 57 7 2" xfId="24097"/>
    <cellStyle name="Note 2 57 7 2 2" xfId="24098"/>
    <cellStyle name="Note 2 57 7 3" xfId="24099"/>
    <cellStyle name="Note 2 57 8" xfId="24100"/>
    <cellStyle name="Note 2 57 9" xfId="24101"/>
    <cellStyle name="Note 2 58" xfId="24102"/>
    <cellStyle name="Note 2 58 2" xfId="24103"/>
    <cellStyle name="Note 2 58 2 2" xfId="24104"/>
    <cellStyle name="Note 2 58 2 2 2" xfId="24105"/>
    <cellStyle name="Note 2 58 2 2 2 2" xfId="24106"/>
    <cellStyle name="Note 2 58 2 2 2 2 2" xfId="24107"/>
    <cellStyle name="Note 2 58 2 2 2 3" xfId="24108"/>
    <cellStyle name="Note 2 58 2 2 3" xfId="24109"/>
    <cellStyle name="Note 2 58 2 2 3 2" xfId="24110"/>
    <cellStyle name="Note 2 58 2 2 4" xfId="24111"/>
    <cellStyle name="Note 2 58 2 3" xfId="24112"/>
    <cellStyle name="Note 2 58 2 3 2" xfId="24113"/>
    <cellStyle name="Note 2 58 2 3 2 2" xfId="24114"/>
    <cellStyle name="Note 2 58 2 3 3" xfId="24115"/>
    <cellStyle name="Note 2 58 2 4" xfId="24116"/>
    <cellStyle name="Note 2 58 2 4 2" xfId="24117"/>
    <cellStyle name="Note 2 58 2 4 2 2" xfId="24118"/>
    <cellStyle name="Note 2 58 2 4 3" xfId="24119"/>
    <cellStyle name="Note 2 58 2 5" xfId="24120"/>
    <cellStyle name="Note 2 58 2 5 2" xfId="24121"/>
    <cellStyle name="Note 2 58 2 5 2 2" xfId="24122"/>
    <cellStyle name="Note 2 58 2 5 3" xfId="24123"/>
    <cellStyle name="Note 2 58 2 6" xfId="24124"/>
    <cellStyle name="Note 2 58 2 6 2" xfId="24125"/>
    <cellStyle name="Note 2 58 2 6 2 2" xfId="24126"/>
    <cellStyle name="Note 2 58 2 6 3" xfId="24127"/>
    <cellStyle name="Note 2 58 2 7" xfId="24128"/>
    <cellStyle name="Note 2 58 3" xfId="24129"/>
    <cellStyle name="Note 2 58 3 2" xfId="24130"/>
    <cellStyle name="Note 2 58 3 2 2" xfId="24131"/>
    <cellStyle name="Note 2 58 3 2 2 2" xfId="24132"/>
    <cellStyle name="Note 2 58 3 2 3" xfId="24133"/>
    <cellStyle name="Note 2 58 3 3" xfId="24134"/>
    <cellStyle name="Note 2 58 3 3 2" xfId="24135"/>
    <cellStyle name="Note 2 58 3 4" xfId="24136"/>
    <cellStyle name="Note 2 58 4" xfId="24137"/>
    <cellStyle name="Note 2 58 4 2" xfId="24138"/>
    <cellStyle name="Note 2 58 4 2 2" xfId="24139"/>
    <cellStyle name="Note 2 58 4 3" xfId="24140"/>
    <cellStyle name="Note 2 58 5" xfId="24141"/>
    <cellStyle name="Note 2 58 5 2" xfId="24142"/>
    <cellStyle name="Note 2 58 5 2 2" xfId="24143"/>
    <cellStyle name="Note 2 58 5 3" xfId="24144"/>
    <cellStyle name="Note 2 58 6" xfId="24145"/>
    <cellStyle name="Note 2 58 6 2" xfId="24146"/>
    <cellStyle name="Note 2 58 6 2 2" xfId="24147"/>
    <cellStyle name="Note 2 58 6 3" xfId="24148"/>
    <cellStyle name="Note 2 58 7" xfId="24149"/>
    <cellStyle name="Note 2 58 7 2" xfId="24150"/>
    <cellStyle name="Note 2 58 7 2 2" xfId="24151"/>
    <cellStyle name="Note 2 58 7 3" xfId="24152"/>
    <cellStyle name="Note 2 58 8" xfId="24153"/>
    <cellStyle name="Note 2 58 9" xfId="24154"/>
    <cellStyle name="Note 2 59" xfId="24155"/>
    <cellStyle name="Note 2 59 2" xfId="24156"/>
    <cellStyle name="Note 2 59 2 2" xfId="24157"/>
    <cellStyle name="Note 2 59 2 2 2" xfId="24158"/>
    <cellStyle name="Note 2 59 2 2 2 2" xfId="24159"/>
    <cellStyle name="Note 2 59 2 2 3" xfId="24160"/>
    <cellStyle name="Note 2 59 2 3" xfId="24161"/>
    <cellStyle name="Note 2 59 2 3 2" xfId="24162"/>
    <cellStyle name="Note 2 59 2 4" xfId="24163"/>
    <cellStyle name="Note 2 59 3" xfId="24164"/>
    <cellStyle name="Note 2 59 3 2" xfId="24165"/>
    <cellStyle name="Note 2 59 3 2 2" xfId="24166"/>
    <cellStyle name="Note 2 59 3 3" xfId="24167"/>
    <cellStyle name="Note 2 59 4" xfId="24168"/>
    <cellStyle name="Note 2 59 4 2" xfId="24169"/>
    <cellStyle name="Note 2 59 4 2 2" xfId="24170"/>
    <cellStyle name="Note 2 59 4 3" xfId="24171"/>
    <cellStyle name="Note 2 59 5" xfId="24172"/>
    <cellStyle name="Note 2 59 5 2" xfId="24173"/>
    <cellStyle name="Note 2 59 5 2 2" xfId="24174"/>
    <cellStyle name="Note 2 59 5 3" xfId="24175"/>
    <cellStyle name="Note 2 59 6" xfId="24176"/>
    <cellStyle name="Note 2 59 6 2" xfId="24177"/>
    <cellStyle name="Note 2 59 6 2 2" xfId="24178"/>
    <cellStyle name="Note 2 59 6 3" xfId="24179"/>
    <cellStyle name="Note 2 59 7" xfId="24180"/>
    <cellStyle name="Note 2 59 8" xfId="24181"/>
    <cellStyle name="Note 2 6" xfId="24182"/>
    <cellStyle name="Note 2 6 10" xfId="24183"/>
    <cellStyle name="Note 2 6 10 2" xfId="24184"/>
    <cellStyle name="Note 2 6 10 2 2" xfId="24185"/>
    <cellStyle name="Note 2 6 10 2 2 2" xfId="24186"/>
    <cellStyle name="Note 2 6 10 2 3" xfId="24187"/>
    <cellStyle name="Note 2 6 10 3" xfId="24188"/>
    <cellStyle name="Note 2 6 10 4" xfId="24189"/>
    <cellStyle name="Note 2 6 11" xfId="24190"/>
    <cellStyle name="Note 2 6 11 2" xfId="24191"/>
    <cellStyle name="Note 2 6 11 2 2" xfId="24192"/>
    <cellStyle name="Note 2 6 11 2 2 2" xfId="24193"/>
    <cellStyle name="Note 2 6 11 2 3" xfId="24194"/>
    <cellStyle name="Note 2 6 11 3" xfId="24195"/>
    <cellStyle name="Note 2 6 11 4" xfId="24196"/>
    <cellStyle name="Note 2 6 12" xfId="24197"/>
    <cellStyle name="Note 2 6 12 2" xfId="24198"/>
    <cellStyle name="Note 2 6 12 2 2" xfId="24199"/>
    <cellStyle name="Note 2 6 12 2 2 2" xfId="24200"/>
    <cellStyle name="Note 2 6 12 2 3" xfId="24201"/>
    <cellStyle name="Note 2 6 12 3" xfId="24202"/>
    <cellStyle name="Note 2 6 12 4" xfId="24203"/>
    <cellStyle name="Note 2 6 13" xfId="24204"/>
    <cellStyle name="Note 2 6 13 2" xfId="24205"/>
    <cellStyle name="Note 2 6 13 2 2" xfId="24206"/>
    <cellStyle name="Note 2 6 13 2 2 2" xfId="24207"/>
    <cellStyle name="Note 2 6 13 2 3" xfId="24208"/>
    <cellStyle name="Note 2 6 13 3" xfId="24209"/>
    <cellStyle name="Note 2 6 13 4" xfId="24210"/>
    <cellStyle name="Note 2 6 14" xfId="24211"/>
    <cellStyle name="Note 2 6 14 2" xfId="24212"/>
    <cellStyle name="Note 2 6 14 2 2" xfId="24213"/>
    <cellStyle name="Note 2 6 14 2 2 2" xfId="24214"/>
    <cellStyle name="Note 2 6 14 2 3" xfId="24215"/>
    <cellStyle name="Note 2 6 14 3" xfId="24216"/>
    <cellStyle name="Note 2 6 14 4" xfId="24217"/>
    <cellStyle name="Note 2 6 15" xfId="24218"/>
    <cellStyle name="Note 2 6 15 2" xfId="24219"/>
    <cellStyle name="Note 2 6 15 2 2" xfId="24220"/>
    <cellStyle name="Note 2 6 15 2 2 2" xfId="24221"/>
    <cellStyle name="Note 2 6 15 2 3" xfId="24222"/>
    <cellStyle name="Note 2 6 15 3" xfId="24223"/>
    <cellStyle name="Note 2 6 15 4" xfId="24224"/>
    <cellStyle name="Note 2 6 16" xfId="24225"/>
    <cellStyle name="Note 2 6 16 2" xfId="24226"/>
    <cellStyle name="Note 2 6 16 2 2" xfId="24227"/>
    <cellStyle name="Note 2 6 16 2 2 2" xfId="24228"/>
    <cellStyle name="Note 2 6 16 2 3" xfId="24229"/>
    <cellStyle name="Note 2 6 16 3" xfId="24230"/>
    <cellStyle name="Note 2 6 16 4" xfId="24231"/>
    <cellStyle name="Note 2 6 17" xfId="24232"/>
    <cellStyle name="Note 2 6 17 2" xfId="24233"/>
    <cellStyle name="Note 2 6 17 2 2" xfId="24234"/>
    <cellStyle name="Note 2 6 17 2 2 2" xfId="24235"/>
    <cellStyle name="Note 2 6 17 2 3" xfId="24236"/>
    <cellStyle name="Note 2 6 17 3" xfId="24237"/>
    <cellStyle name="Note 2 6 17 4" xfId="24238"/>
    <cellStyle name="Note 2 6 18" xfId="24239"/>
    <cellStyle name="Note 2 6 18 2" xfId="24240"/>
    <cellStyle name="Note 2 6 18 2 2" xfId="24241"/>
    <cellStyle name="Note 2 6 18 2 2 2" xfId="24242"/>
    <cellStyle name="Note 2 6 18 2 3" xfId="24243"/>
    <cellStyle name="Note 2 6 18 3" xfId="24244"/>
    <cellStyle name="Note 2 6 18 4" xfId="24245"/>
    <cellStyle name="Note 2 6 19" xfId="24246"/>
    <cellStyle name="Note 2 6 19 2" xfId="24247"/>
    <cellStyle name="Note 2 6 19 2 2" xfId="24248"/>
    <cellStyle name="Note 2 6 19 2 2 2" xfId="24249"/>
    <cellStyle name="Note 2 6 19 2 3" xfId="24250"/>
    <cellStyle name="Note 2 6 19 3" xfId="24251"/>
    <cellStyle name="Note 2 6 19 4" xfId="24252"/>
    <cellStyle name="Note 2 6 2" xfId="24253"/>
    <cellStyle name="Note 2 6 2 2" xfId="24254"/>
    <cellStyle name="Note 2 6 2 2 2" xfId="24255"/>
    <cellStyle name="Note 2 6 2 2 2 2" xfId="24256"/>
    <cellStyle name="Note 2 6 2 2 2 2 2" xfId="24257"/>
    <cellStyle name="Note 2 6 2 2 2 3" xfId="24258"/>
    <cellStyle name="Note 2 6 2 2 3" xfId="24259"/>
    <cellStyle name="Note 2 6 2 2 3 2" xfId="24260"/>
    <cellStyle name="Note 2 6 2 2 4" xfId="24261"/>
    <cellStyle name="Note 2 6 2 3" xfId="24262"/>
    <cellStyle name="Note 2 6 2 3 2" xfId="24263"/>
    <cellStyle name="Note 2 6 2 3 2 2" xfId="24264"/>
    <cellStyle name="Note 2 6 2 3 3" xfId="24265"/>
    <cellStyle name="Note 2 6 2 4" xfId="24266"/>
    <cellStyle name="Note 2 6 2 4 2" xfId="24267"/>
    <cellStyle name="Note 2 6 2 4 2 2" xfId="24268"/>
    <cellStyle name="Note 2 6 2 4 3" xfId="24269"/>
    <cellStyle name="Note 2 6 2 5" xfId="24270"/>
    <cellStyle name="Note 2 6 2 5 2" xfId="24271"/>
    <cellStyle name="Note 2 6 2 5 2 2" xfId="24272"/>
    <cellStyle name="Note 2 6 2 5 3" xfId="24273"/>
    <cellStyle name="Note 2 6 2 6" xfId="24274"/>
    <cellStyle name="Note 2 6 2 6 2" xfId="24275"/>
    <cellStyle name="Note 2 6 2 6 2 2" xfId="24276"/>
    <cellStyle name="Note 2 6 2 6 3" xfId="24277"/>
    <cellStyle name="Note 2 6 2 7" xfId="24278"/>
    <cellStyle name="Note 2 6 2 8" xfId="24279"/>
    <cellStyle name="Note 2 6 20" xfId="24280"/>
    <cellStyle name="Note 2 6 20 2" xfId="24281"/>
    <cellStyle name="Note 2 6 20 2 2" xfId="24282"/>
    <cellStyle name="Note 2 6 20 2 2 2" xfId="24283"/>
    <cellStyle name="Note 2 6 20 2 3" xfId="24284"/>
    <cellStyle name="Note 2 6 20 3" xfId="24285"/>
    <cellStyle name="Note 2 6 20 4" xfId="24286"/>
    <cellStyle name="Note 2 6 21" xfId="24287"/>
    <cellStyle name="Note 2 6 21 2" xfId="24288"/>
    <cellStyle name="Note 2 6 21 2 2" xfId="24289"/>
    <cellStyle name="Note 2 6 21 2 2 2" xfId="24290"/>
    <cellStyle name="Note 2 6 21 2 3" xfId="24291"/>
    <cellStyle name="Note 2 6 21 3" xfId="24292"/>
    <cellStyle name="Note 2 6 21 4" xfId="24293"/>
    <cellStyle name="Note 2 6 22" xfId="24294"/>
    <cellStyle name="Note 2 6 22 2" xfId="24295"/>
    <cellStyle name="Note 2 6 22 2 2" xfId="24296"/>
    <cellStyle name="Note 2 6 22 2 2 2" xfId="24297"/>
    <cellStyle name="Note 2 6 22 2 3" xfId="24298"/>
    <cellStyle name="Note 2 6 22 3" xfId="24299"/>
    <cellStyle name="Note 2 6 22 4" xfId="24300"/>
    <cellStyle name="Note 2 6 23" xfId="24301"/>
    <cellStyle name="Note 2 6 23 2" xfId="24302"/>
    <cellStyle name="Note 2 6 23 2 2" xfId="24303"/>
    <cellStyle name="Note 2 6 23 2 2 2" xfId="24304"/>
    <cellStyle name="Note 2 6 23 2 3" xfId="24305"/>
    <cellStyle name="Note 2 6 23 3" xfId="24306"/>
    <cellStyle name="Note 2 6 23 4" xfId="24307"/>
    <cellStyle name="Note 2 6 24" xfId="24308"/>
    <cellStyle name="Note 2 6 24 2" xfId="24309"/>
    <cellStyle name="Note 2 6 24 2 2" xfId="24310"/>
    <cellStyle name="Note 2 6 24 2 2 2" xfId="24311"/>
    <cellStyle name="Note 2 6 24 2 3" xfId="24312"/>
    <cellStyle name="Note 2 6 24 3" xfId="24313"/>
    <cellStyle name="Note 2 6 24 4" xfId="24314"/>
    <cellStyle name="Note 2 6 25" xfId="24315"/>
    <cellStyle name="Note 2 6 25 2" xfId="24316"/>
    <cellStyle name="Note 2 6 25 2 2" xfId="24317"/>
    <cellStyle name="Note 2 6 25 2 2 2" xfId="24318"/>
    <cellStyle name="Note 2 6 25 2 3" xfId="24319"/>
    <cellStyle name="Note 2 6 25 3" xfId="24320"/>
    <cellStyle name="Note 2 6 25 4" xfId="24321"/>
    <cellStyle name="Note 2 6 26" xfId="24322"/>
    <cellStyle name="Note 2 6 26 2" xfId="24323"/>
    <cellStyle name="Note 2 6 26 2 2" xfId="24324"/>
    <cellStyle name="Note 2 6 26 2 2 2" xfId="24325"/>
    <cellStyle name="Note 2 6 26 2 3" xfId="24326"/>
    <cellStyle name="Note 2 6 26 3" xfId="24327"/>
    <cellStyle name="Note 2 6 26 4" xfId="24328"/>
    <cellStyle name="Note 2 6 27" xfId="24329"/>
    <cellStyle name="Note 2 6 27 2" xfId="24330"/>
    <cellStyle name="Note 2 6 27 2 2" xfId="24331"/>
    <cellStyle name="Note 2 6 27 2 2 2" xfId="24332"/>
    <cellStyle name="Note 2 6 27 2 3" xfId="24333"/>
    <cellStyle name="Note 2 6 27 3" xfId="24334"/>
    <cellStyle name="Note 2 6 27 4" xfId="24335"/>
    <cellStyle name="Note 2 6 28" xfId="24336"/>
    <cellStyle name="Note 2 6 28 2" xfId="24337"/>
    <cellStyle name="Note 2 6 28 2 2" xfId="24338"/>
    <cellStyle name="Note 2 6 28 2 2 2" xfId="24339"/>
    <cellStyle name="Note 2 6 28 2 3" xfId="24340"/>
    <cellStyle name="Note 2 6 28 3" xfId="24341"/>
    <cellStyle name="Note 2 6 28 4" xfId="24342"/>
    <cellStyle name="Note 2 6 29" xfId="24343"/>
    <cellStyle name="Note 2 6 29 2" xfId="24344"/>
    <cellStyle name="Note 2 6 29 2 2" xfId="24345"/>
    <cellStyle name="Note 2 6 29 2 2 2" xfId="24346"/>
    <cellStyle name="Note 2 6 29 2 3" xfId="24347"/>
    <cellStyle name="Note 2 6 29 3" xfId="24348"/>
    <cellStyle name="Note 2 6 29 4" xfId="24349"/>
    <cellStyle name="Note 2 6 3" xfId="24350"/>
    <cellStyle name="Note 2 6 3 2" xfId="24351"/>
    <cellStyle name="Note 2 6 3 2 2" xfId="24352"/>
    <cellStyle name="Note 2 6 3 2 2 2" xfId="24353"/>
    <cellStyle name="Note 2 6 3 2 3" xfId="24354"/>
    <cellStyle name="Note 2 6 3 3" xfId="24355"/>
    <cellStyle name="Note 2 6 3 3 2" xfId="24356"/>
    <cellStyle name="Note 2 6 3 3 2 2" xfId="24357"/>
    <cellStyle name="Note 2 6 3 3 3" xfId="24358"/>
    <cellStyle name="Note 2 6 3 4" xfId="24359"/>
    <cellStyle name="Note 2 6 3 4 2" xfId="24360"/>
    <cellStyle name="Note 2 6 3 4 2 2" xfId="24361"/>
    <cellStyle name="Note 2 6 3 4 3" xfId="24362"/>
    <cellStyle name="Note 2 6 3 5" xfId="24363"/>
    <cellStyle name="Note 2 6 3 6" xfId="24364"/>
    <cellStyle name="Note 2 6 30" xfId="24365"/>
    <cellStyle name="Note 2 6 30 2" xfId="24366"/>
    <cellStyle name="Note 2 6 30 2 2" xfId="24367"/>
    <cellStyle name="Note 2 6 30 2 2 2" xfId="24368"/>
    <cellStyle name="Note 2 6 30 2 3" xfId="24369"/>
    <cellStyle name="Note 2 6 30 3" xfId="24370"/>
    <cellStyle name="Note 2 6 30 4" xfId="24371"/>
    <cellStyle name="Note 2 6 31" xfId="24372"/>
    <cellStyle name="Note 2 6 31 2" xfId="24373"/>
    <cellStyle name="Note 2 6 31 2 2" xfId="24374"/>
    <cellStyle name="Note 2 6 31 2 2 2" xfId="24375"/>
    <cellStyle name="Note 2 6 31 2 3" xfId="24376"/>
    <cellStyle name="Note 2 6 31 3" xfId="24377"/>
    <cellStyle name="Note 2 6 31 4" xfId="24378"/>
    <cellStyle name="Note 2 6 32" xfId="24379"/>
    <cellStyle name="Note 2 6 32 2" xfId="24380"/>
    <cellStyle name="Note 2 6 32 2 2" xfId="24381"/>
    <cellStyle name="Note 2 6 32 2 2 2" xfId="24382"/>
    <cellStyle name="Note 2 6 32 2 3" xfId="24383"/>
    <cellStyle name="Note 2 6 32 3" xfId="24384"/>
    <cellStyle name="Note 2 6 32 4" xfId="24385"/>
    <cellStyle name="Note 2 6 33" xfId="24386"/>
    <cellStyle name="Note 2 6 33 2" xfId="24387"/>
    <cellStyle name="Note 2 6 33 2 2" xfId="24388"/>
    <cellStyle name="Note 2 6 33 2 2 2" xfId="24389"/>
    <cellStyle name="Note 2 6 33 2 3" xfId="24390"/>
    <cellStyle name="Note 2 6 33 3" xfId="24391"/>
    <cellStyle name="Note 2 6 33 4" xfId="24392"/>
    <cellStyle name="Note 2 6 34" xfId="24393"/>
    <cellStyle name="Note 2 6 34 2" xfId="24394"/>
    <cellStyle name="Note 2 6 34 2 2" xfId="24395"/>
    <cellStyle name="Note 2 6 34 2 2 2" xfId="24396"/>
    <cellStyle name="Note 2 6 34 2 3" xfId="24397"/>
    <cellStyle name="Note 2 6 34 3" xfId="24398"/>
    <cellStyle name="Note 2 6 34 4" xfId="24399"/>
    <cellStyle name="Note 2 6 35" xfId="24400"/>
    <cellStyle name="Note 2 6 35 2" xfId="24401"/>
    <cellStyle name="Note 2 6 35 2 2" xfId="24402"/>
    <cellStyle name="Note 2 6 35 2 2 2" xfId="24403"/>
    <cellStyle name="Note 2 6 35 2 3" xfId="24404"/>
    <cellStyle name="Note 2 6 35 3" xfId="24405"/>
    <cellStyle name="Note 2 6 35 4" xfId="24406"/>
    <cellStyle name="Note 2 6 36" xfId="24407"/>
    <cellStyle name="Note 2 6 36 2" xfId="24408"/>
    <cellStyle name="Note 2 6 36 2 2" xfId="24409"/>
    <cellStyle name="Note 2 6 36 2 2 2" xfId="24410"/>
    <cellStyle name="Note 2 6 36 2 3" xfId="24411"/>
    <cellStyle name="Note 2 6 36 3" xfId="24412"/>
    <cellStyle name="Note 2 6 36 4" xfId="24413"/>
    <cellStyle name="Note 2 6 37" xfId="24414"/>
    <cellStyle name="Note 2 6 37 2" xfId="24415"/>
    <cellStyle name="Note 2 6 37 2 2" xfId="24416"/>
    <cellStyle name="Note 2 6 37 2 2 2" xfId="24417"/>
    <cellStyle name="Note 2 6 37 2 3" xfId="24418"/>
    <cellStyle name="Note 2 6 37 3" xfId="24419"/>
    <cellStyle name="Note 2 6 37 4" xfId="24420"/>
    <cellStyle name="Note 2 6 38" xfId="24421"/>
    <cellStyle name="Note 2 6 38 2" xfId="24422"/>
    <cellStyle name="Note 2 6 38 2 2" xfId="24423"/>
    <cellStyle name="Note 2 6 38 2 2 2" xfId="24424"/>
    <cellStyle name="Note 2 6 38 2 3" xfId="24425"/>
    <cellStyle name="Note 2 6 38 3" xfId="24426"/>
    <cellStyle name="Note 2 6 38 4" xfId="24427"/>
    <cellStyle name="Note 2 6 39" xfId="24428"/>
    <cellStyle name="Note 2 6 39 2" xfId="24429"/>
    <cellStyle name="Note 2 6 39 2 2" xfId="24430"/>
    <cellStyle name="Note 2 6 39 2 2 2" xfId="24431"/>
    <cellStyle name="Note 2 6 39 2 3" xfId="24432"/>
    <cellStyle name="Note 2 6 39 3" xfId="24433"/>
    <cellStyle name="Note 2 6 39 4" xfId="24434"/>
    <cellStyle name="Note 2 6 4" xfId="24435"/>
    <cellStyle name="Note 2 6 4 2" xfId="24436"/>
    <cellStyle name="Note 2 6 4 2 2" xfId="24437"/>
    <cellStyle name="Note 2 6 4 2 2 2" xfId="24438"/>
    <cellStyle name="Note 2 6 4 2 3" xfId="24439"/>
    <cellStyle name="Note 2 6 4 3" xfId="24440"/>
    <cellStyle name="Note 2 6 4 3 2" xfId="24441"/>
    <cellStyle name="Note 2 6 4 3 2 2" xfId="24442"/>
    <cellStyle name="Note 2 6 4 3 3" xfId="24443"/>
    <cellStyle name="Note 2 6 4 4" xfId="24444"/>
    <cellStyle name="Note 2 6 4 4 2" xfId="24445"/>
    <cellStyle name="Note 2 6 4 4 2 2" xfId="24446"/>
    <cellStyle name="Note 2 6 4 4 3" xfId="24447"/>
    <cellStyle name="Note 2 6 4 5" xfId="24448"/>
    <cellStyle name="Note 2 6 4 6" xfId="24449"/>
    <cellStyle name="Note 2 6 40" xfId="24450"/>
    <cellStyle name="Note 2 6 40 2" xfId="24451"/>
    <cellStyle name="Note 2 6 40 2 2" xfId="24452"/>
    <cellStyle name="Note 2 6 40 2 2 2" xfId="24453"/>
    <cellStyle name="Note 2 6 40 2 3" xfId="24454"/>
    <cellStyle name="Note 2 6 40 3" xfId="24455"/>
    <cellStyle name="Note 2 6 40 4" xfId="24456"/>
    <cellStyle name="Note 2 6 41" xfId="24457"/>
    <cellStyle name="Note 2 6 41 2" xfId="24458"/>
    <cellStyle name="Note 2 6 41 2 2" xfId="24459"/>
    <cellStyle name="Note 2 6 41 2 2 2" xfId="24460"/>
    <cellStyle name="Note 2 6 41 2 3" xfId="24461"/>
    <cellStyle name="Note 2 6 41 3" xfId="24462"/>
    <cellStyle name="Note 2 6 41 4" xfId="24463"/>
    <cellStyle name="Note 2 6 42" xfId="24464"/>
    <cellStyle name="Note 2 6 42 2" xfId="24465"/>
    <cellStyle name="Note 2 6 42 2 2" xfId="24466"/>
    <cellStyle name="Note 2 6 42 2 2 2" xfId="24467"/>
    <cellStyle name="Note 2 6 42 2 3" xfId="24468"/>
    <cellStyle name="Note 2 6 42 3" xfId="24469"/>
    <cellStyle name="Note 2 6 42 4" xfId="24470"/>
    <cellStyle name="Note 2 6 43" xfId="24471"/>
    <cellStyle name="Note 2 6 43 2" xfId="24472"/>
    <cellStyle name="Note 2 6 43 2 2" xfId="24473"/>
    <cellStyle name="Note 2 6 43 2 2 2" xfId="24474"/>
    <cellStyle name="Note 2 6 43 2 3" xfId="24475"/>
    <cellStyle name="Note 2 6 43 3" xfId="24476"/>
    <cellStyle name="Note 2 6 43 4" xfId="24477"/>
    <cellStyle name="Note 2 6 44" xfId="24478"/>
    <cellStyle name="Note 2 6 44 2" xfId="24479"/>
    <cellStyle name="Note 2 6 44 2 2" xfId="24480"/>
    <cellStyle name="Note 2 6 44 2 2 2" xfId="24481"/>
    <cellStyle name="Note 2 6 44 2 3" xfId="24482"/>
    <cellStyle name="Note 2 6 44 3" xfId="24483"/>
    <cellStyle name="Note 2 6 44 4" xfId="24484"/>
    <cellStyle name="Note 2 6 45" xfId="24485"/>
    <cellStyle name="Note 2 6 45 2" xfId="24486"/>
    <cellStyle name="Note 2 6 45 2 2" xfId="24487"/>
    <cellStyle name="Note 2 6 45 2 2 2" xfId="24488"/>
    <cellStyle name="Note 2 6 45 2 3" xfId="24489"/>
    <cellStyle name="Note 2 6 45 3" xfId="24490"/>
    <cellStyle name="Note 2 6 45 4" xfId="24491"/>
    <cellStyle name="Note 2 6 46" xfId="24492"/>
    <cellStyle name="Note 2 6 46 2" xfId="24493"/>
    <cellStyle name="Note 2 6 46 2 2" xfId="24494"/>
    <cellStyle name="Note 2 6 46 2 2 2" xfId="24495"/>
    <cellStyle name="Note 2 6 46 2 3" xfId="24496"/>
    <cellStyle name="Note 2 6 46 3" xfId="24497"/>
    <cellStyle name="Note 2 6 46 4" xfId="24498"/>
    <cellStyle name="Note 2 6 47" xfId="24499"/>
    <cellStyle name="Note 2 6 47 2" xfId="24500"/>
    <cellStyle name="Note 2 6 47 2 2" xfId="24501"/>
    <cellStyle name="Note 2 6 47 2 2 2" xfId="24502"/>
    <cellStyle name="Note 2 6 47 2 3" xfId="24503"/>
    <cellStyle name="Note 2 6 47 3" xfId="24504"/>
    <cellStyle name="Note 2 6 47 4" xfId="24505"/>
    <cellStyle name="Note 2 6 48" xfId="24506"/>
    <cellStyle name="Note 2 6 48 2" xfId="24507"/>
    <cellStyle name="Note 2 6 48 2 2" xfId="24508"/>
    <cellStyle name="Note 2 6 48 2 2 2" xfId="24509"/>
    <cellStyle name="Note 2 6 48 2 3" xfId="24510"/>
    <cellStyle name="Note 2 6 48 3" xfId="24511"/>
    <cellStyle name="Note 2 6 48 4" xfId="24512"/>
    <cellStyle name="Note 2 6 49" xfId="24513"/>
    <cellStyle name="Note 2 6 49 2" xfId="24514"/>
    <cellStyle name="Note 2 6 49 2 2" xfId="24515"/>
    <cellStyle name="Note 2 6 49 3" xfId="24516"/>
    <cellStyle name="Note 2 6 5" xfId="24517"/>
    <cellStyle name="Note 2 6 5 2" xfId="24518"/>
    <cellStyle name="Note 2 6 5 2 2" xfId="24519"/>
    <cellStyle name="Note 2 6 5 2 2 2" xfId="24520"/>
    <cellStyle name="Note 2 6 5 2 3" xfId="24521"/>
    <cellStyle name="Note 2 6 5 3" xfId="24522"/>
    <cellStyle name="Note 2 6 5 3 2" xfId="24523"/>
    <cellStyle name="Note 2 6 5 3 2 2" xfId="24524"/>
    <cellStyle name="Note 2 6 5 3 3" xfId="24525"/>
    <cellStyle name="Note 2 6 5 4" xfId="24526"/>
    <cellStyle name="Note 2 6 5 4 2" xfId="24527"/>
    <cellStyle name="Note 2 6 5 4 2 2" xfId="24528"/>
    <cellStyle name="Note 2 6 5 4 3" xfId="24529"/>
    <cellStyle name="Note 2 6 5 5" xfId="24530"/>
    <cellStyle name="Note 2 6 5 6" xfId="24531"/>
    <cellStyle name="Note 2 6 50" xfId="24532"/>
    <cellStyle name="Note 2 6 50 2" xfId="24533"/>
    <cellStyle name="Note 2 6 50 2 2" xfId="24534"/>
    <cellStyle name="Note 2 6 50 3" xfId="24535"/>
    <cellStyle name="Note 2 6 51" xfId="24536"/>
    <cellStyle name="Note 2 6 51 2" xfId="24537"/>
    <cellStyle name="Note 2 6 51 2 2" xfId="24538"/>
    <cellStyle name="Note 2 6 51 3" xfId="24539"/>
    <cellStyle name="Note 2 6 52" xfId="24540"/>
    <cellStyle name="Note 2 6 52 2" xfId="24541"/>
    <cellStyle name="Note 2 6 52 2 2" xfId="24542"/>
    <cellStyle name="Note 2 6 52 3" xfId="24543"/>
    <cellStyle name="Note 2 6 53" xfId="24544"/>
    <cellStyle name="Note 2 6 54" xfId="24545"/>
    <cellStyle name="Note 2 6 6" xfId="24546"/>
    <cellStyle name="Note 2 6 6 2" xfId="24547"/>
    <cellStyle name="Note 2 6 6 2 2" xfId="24548"/>
    <cellStyle name="Note 2 6 6 2 2 2" xfId="24549"/>
    <cellStyle name="Note 2 6 6 2 3" xfId="24550"/>
    <cellStyle name="Note 2 6 6 3" xfId="24551"/>
    <cellStyle name="Note 2 6 6 3 2" xfId="24552"/>
    <cellStyle name="Note 2 6 6 3 2 2" xfId="24553"/>
    <cellStyle name="Note 2 6 6 3 3" xfId="24554"/>
    <cellStyle name="Note 2 6 6 4" xfId="24555"/>
    <cellStyle name="Note 2 6 6 4 2" xfId="24556"/>
    <cellStyle name="Note 2 6 6 4 2 2" xfId="24557"/>
    <cellStyle name="Note 2 6 6 4 3" xfId="24558"/>
    <cellStyle name="Note 2 6 6 5" xfId="24559"/>
    <cellStyle name="Note 2 6 6 6" xfId="24560"/>
    <cellStyle name="Note 2 6 7" xfId="24561"/>
    <cellStyle name="Note 2 6 7 2" xfId="24562"/>
    <cellStyle name="Note 2 6 7 2 2" xfId="24563"/>
    <cellStyle name="Note 2 6 7 2 2 2" xfId="24564"/>
    <cellStyle name="Note 2 6 7 2 3" xfId="24565"/>
    <cellStyle name="Note 2 6 7 3" xfId="24566"/>
    <cellStyle name="Note 2 6 7 3 2" xfId="24567"/>
    <cellStyle name="Note 2 6 7 3 2 2" xfId="24568"/>
    <cellStyle name="Note 2 6 7 3 3" xfId="24569"/>
    <cellStyle name="Note 2 6 7 4" xfId="24570"/>
    <cellStyle name="Note 2 6 7 4 2" xfId="24571"/>
    <cellStyle name="Note 2 6 7 4 2 2" xfId="24572"/>
    <cellStyle name="Note 2 6 7 4 3" xfId="24573"/>
    <cellStyle name="Note 2 6 7 5" xfId="24574"/>
    <cellStyle name="Note 2 6 7 6" xfId="24575"/>
    <cellStyle name="Note 2 6 8" xfId="24576"/>
    <cellStyle name="Note 2 6 8 2" xfId="24577"/>
    <cellStyle name="Note 2 6 8 2 2" xfId="24578"/>
    <cellStyle name="Note 2 6 8 2 2 2" xfId="24579"/>
    <cellStyle name="Note 2 6 8 2 3" xfId="24580"/>
    <cellStyle name="Note 2 6 8 3" xfId="24581"/>
    <cellStyle name="Note 2 6 8 3 2" xfId="24582"/>
    <cellStyle name="Note 2 6 8 3 2 2" xfId="24583"/>
    <cellStyle name="Note 2 6 8 3 3" xfId="24584"/>
    <cellStyle name="Note 2 6 8 4" xfId="24585"/>
    <cellStyle name="Note 2 6 8 4 2" xfId="24586"/>
    <cellStyle name="Note 2 6 8 4 2 2" xfId="24587"/>
    <cellStyle name="Note 2 6 8 4 3" xfId="24588"/>
    <cellStyle name="Note 2 6 8 5" xfId="24589"/>
    <cellStyle name="Note 2 6 8 6" xfId="24590"/>
    <cellStyle name="Note 2 6 9" xfId="24591"/>
    <cellStyle name="Note 2 6 9 2" xfId="24592"/>
    <cellStyle name="Note 2 6 9 2 2" xfId="24593"/>
    <cellStyle name="Note 2 6 9 2 2 2" xfId="24594"/>
    <cellStyle name="Note 2 6 9 2 3" xfId="24595"/>
    <cellStyle name="Note 2 6 9 3" xfId="24596"/>
    <cellStyle name="Note 2 6 9 4" xfId="24597"/>
    <cellStyle name="Note 2 60" xfId="24598"/>
    <cellStyle name="Note 2 60 2" xfId="24599"/>
    <cellStyle name="Note 2 60 2 2" xfId="24600"/>
    <cellStyle name="Note 2 60 2 2 2" xfId="24601"/>
    <cellStyle name="Note 2 60 2 3" xfId="24602"/>
    <cellStyle name="Note 2 60 3" xfId="24603"/>
    <cellStyle name="Note 2 60 3 2" xfId="24604"/>
    <cellStyle name="Note 2 60 3 2 2" xfId="24605"/>
    <cellStyle name="Note 2 60 3 3" xfId="24606"/>
    <cellStyle name="Note 2 60 4" xfId="24607"/>
    <cellStyle name="Note 2 60 4 2" xfId="24608"/>
    <cellStyle name="Note 2 60 4 2 2" xfId="24609"/>
    <cellStyle name="Note 2 60 4 3" xfId="24610"/>
    <cellStyle name="Note 2 60 5" xfId="24611"/>
    <cellStyle name="Note 2 60 6" xfId="24612"/>
    <cellStyle name="Note 2 61" xfId="24613"/>
    <cellStyle name="Note 2 61 2" xfId="24614"/>
    <cellStyle name="Note 2 61 2 2" xfId="24615"/>
    <cellStyle name="Note 2 61 2 2 2" xfId="24616"/>
    <cellStyle name="Note 2 61 2 3" xfId="24617"/>
    <cellStyle name="Note 2 61 3" xfId="24618"/>
    <cellStyle name="Note 2 61 3 2" xfId="24619"/>
    <cellStyle name="Note 2 61 3 2 2" xfId="24620"/>
    <cellStyle name="Note 2 61 3 3" xfId="24621"/>
    <cellStyle name="Note 2 61 4" xfId="24622"/>
    <cellStyle name="Note 2 61 4 2" xfId="24623"/>
    <cellStyle name="Note 2 61 4 2 2" xfId="24624"/>
    <cellStyle name="Note 2 61 4 3" xfId="24625"/>
    <cellStyle name="Note 2 61 5" xfId="24626"/>
    <cellStyle name="Note 2 62" xfId="24627"/>
    <cellStyle name="Note 2 62 2" xfId="24628"/>
    <cellStyle name="Note 2 62 2 2" xfId="24629"/>
    <cellStyle name="Note 2 62 2 2 2" xfId="24630"/>
    <cellStyle name="Note 2 62 2 3" xfId="24631"/>
    <cellStyle name="Note 2 62 3" xfId="24632"/>
    <cellStyle name="Note 2 62 3 2" xfId="24633"/>
    <cellStyle name="Note 2 62 3 2 2" xfId="24634"/>
    <cellStyle name="Note 2 62 3 3" xfId="24635"/>
    <cellStyle name="Note 2 62 4" xfId="24636"/>
    <cellStyle name="Note 2 62 4 2" xfId="24637"/>
    <cellStyle name="Note 2 62 4 2 2" xfId="24638"/>
    <cellStyle name="Note 2 62 4 3" xfId="24639"/>
    <cellStyle name="Note 2 62 5" xfId="24640"/>
    <cellStyle name="Note 2 63" xfId="24641"/>
    <cellStyle name="Note 2 63 2" xfId="24642"/>
    <cellStyle name="Note 2 63 2 2" xfId="24643"/>
    <cellStyle name="Note 2 63 2 2 2" xfId="24644"/>
    <cellStyle name="Note 2 63 2 3" xfId="24645"/>
    <cellStyle name="Note 2 63 3" xfId="24646"/>
    <cellStyle name="Note 2 63 3 2" xfId="24647"/>
    <cellStyle name="Note 2 63 3 2 2" xfId="24648"/>
    <cellStyle name="Note 2 63 3 3" xfId="24649"/>
    <cellStyle name="Note 2 63 4" xfId="24650"/>
    <cellStyle name="Note 2 64" xfId="24651"/>
    <cellStyle name="Note 2 64 2" xfId="24652"/>
    <cellStyle name="Note 2 64 2 2" xfId="24653"/>
    <cellStyle name="Note 2 64 2 2 2" xfId="24654"/>
    <cellStyle name="Note 2 64 2 3" xfId="24655"/>
    <cellStyle name="Note 2 64 3" xfId="24656"/>
    <cellStyle name="Note 2 64 3 2" xfId="24657"/>
    <cellStyle name="Note 2 64 3 2 2" xfId="24658"/>
    <cellStyle name="Note 2 64 3 3" xfId="24659"/>
    <cellStyle name="Note 2 64 4" xfId="24660"/>
    <cellStyle name="Note 2 65" xfId="24661"/>
    <cellStyle name="Note 2 65 2" xfId="24662"/>
    <cellStyle name="Note 2 65 2 2" xfId="24663"/>
    <cellStyle name="Note 2 65 2 2 2" xfId="24664"/>
    <cellStyle name="Note 2 65 2 3" xfId="24665"/>
    <cellStyle name="Note 2 65 3" xfId="24666"/>
    <cellStyle name="Note 2 65 3 2" xfId="24667"/>
    <cellStyle name="Note 2 65 3 2 2" xfId="24668"/>
    <cellStyle name="Note 2 65 3 3" xfId="24669"/>
    <cellStyle name="Note 2 65 4" xfId="24670"/>
    <cellStyle name="Note 2 66" xfId="24671"/>
    <cellStyle name="Note 2 66 2" xfId="24672"/>
    <cellStyle name="Note 2 66 2 2" xfId="24673"/>
    <cellStyle name="Note 2 66 2 2 2" xfId="24674"/>
    <cellStyle name="Note 2 66 2 3" xfId="24675"/>
    <cellStyle name="Note 2 66 3" xfId="24676"/>
    <cellStyle name="Note 2 66 3 2" xfId="24677"/>
    <cellStyle name="Note 2 66 3 2 2" xfId="24678"/>
    <cellStyle name="Note 2 66 3 3" xfId="24679"/>
    <cellStyle name="Note 2 66 4" xfId="24680"/>
    <cellStyle name="Note 2 67" xfId="24681"/>
    <cellStyle name="Note 2 67 2" xfId="24682"/>
    <cellStyle name="Note 2 67 2 2" xfId="24683"/>
    <cellStyle name="Note 2 67 2 2 2" xfId="24684"/>
    <cellStyle name="Note 2 67 2 3" xfId="24685"/>
    <cellStyle name="Note 2 67 3" xfId="24686"/>
    <cellStyle name="Note 2 67 3 2" xfId="24687"/>
    <cellStyle name="Note 2 67 3 2 2" xfId="24688"/>
    <cellStyle name="Note 2 67 3 3" xfId="24689"/>
    <cellStyle name="Note 2 67 4" xfId="24690"/>
    <cellStyle name="Note 2 68" xfId="24691"/>
    <cellStyle name="Note 2 68 2" xfId="24692"/>
    <cellStyle name="Note 2 68 2 2" xfId="24693"/>
    <cellStyle name="Note 2 68 3" xfId="24694"/>
    <cellStyle name="Note 2 69" xfId="24695"/>
    <cellStyle name="Note 2 69 2" xfId="24696"/>
    <cellStyle name="Note 2 69 2 2" xfId="24697"/>
    <cellStyle name="Note 2 69 3" xfId="24698"/>
    <cellStyle name="Note 2 7" xfId="24699"/>
    <cellStyle name="Note 2 7 10" xfId="24700"/>
    <cellStyle name="Note 2 7 10 2" xfId="24701"/>
    <cellStyle name="Note 2 7 10 2 2" xfId="24702"/>
    <cellStyle name="Note 2 7 10 2 2 2" xfId="24703"/>
    <cellStyle name="Note 2 7 10 2 3" xfId="24704"/>
    <cellStyle name="Note 2 7 10 3" xfId="24705"/>
    <cellStyle name="Note 2 7 10 4" xfId="24706"/>
    <cellStyle name="Note 2 7 11" xfId="24707"/>
    <cellStyle name="Note 2 7 11 2" xfId="24708"/>
    <cellStyle name="Note 2 7 11 2 2" xfId="24709"/>
    <cellStyle name="Note 2 7 11 2 2 2" xfId="24710"/>
    <cellStyle name="Note 2 7 11 2 3" xfId="24711"/>
    <cellStyle name="Note 2 7 11 3" xfId="24712"/>
    <cellStyle name="Note 2 7 11 4" xfId="24713"/>
    <cellStyle name="Note 2 7 12" xfId="24714"/>
    <cellStyle name="Note 2 7 12 2" xfId="24715"/>
    <cellStyle name="Note 2 7 12 2 2" xfId="24716"/>
    <cellStyle name="Note 2 7 12 2 2 2" xfId="24717"/>
    <cellStyle name="Note 2 7 12 2 3" xfId="24718"/>
    <cellStyle name="Note 2 7 12 3" xfId="24719"/>
    <cellStyle name="Note 2 7 12 4" xfId="24720"/>
    <cellStyle name="Note 2 7 13" xfId="24721"/>
    <cellStyle name="Note 2 7 13 2" xfId="24722"/>
    <cellStyle name="Note 2 7 13 2 2" xfId="24723"/>
    <cellStyle name="Note 2 7 13 2 2 2" xfId="24724"/>
    <cellStyle name="Note 2 7 13 2 3" xfId="24725"/>
    <cellStyle name="Note 2 7 13 3" xfId="24726"/>
    <cellStyle name="Note 2 7 13 4" xfId="24727"/>
    <cellStyle name="Note 2 7 14" xfId="24728"/>
    <cellStyle name="Note 2 7 14 2" xfId="24729"/>
    <cellStyle name="Note 2 7 14 2 2" xfId="24730"/>
    <cellStyle name="Note 2 7 14 2 2 2" xfId="24731"/>
    <cellStyle name="Note 2 7 14 2 3" xfId="24732"/>
    <cellStyle name="Note 2 7 14 3" xfId="24733"/>
    <cellStyle name="Note 2 7 14 4" xfId="24734"/>
    <cellStyle name="Note 2 7 15" xfId="24735"/>
    <cellStyle name="Note 2 7 15 2" xfId="24736"/>
    <cellStyle name="Note 2 7 15 2 2" xfId="24737"/>
    <cellStyle name="Note 2 7 15 2 2 2" xfId="24738"/>
    <cellStyle name="Note 2 7 15 2 3" xfId="24739"/>
    <cellStyle name="Note 2 7 15 3" xfId="24740"/>
    <cellStyle name="Note 2 7 15 4" xfId="24741"/>
    <cellStyle name="Note 2 7 16" xfId="24742"/>
    <cellStyle name="Note 2 7 16 2" xfId="24743"/>
    <cellStyle name="Note 2 7 16 2 2" xfId="24744"/>
    <cellStyle name="Note 2 7 16 2 2 2" xfId="24745"/>
    <cellStyle name="Note 2 7 16 2 3" xfId="24746"/>
    <cellStyle name="Note 2 7 16 3" xfId="24747"/>
    <cellStyle name="Note 2 7 16 4" xfId="24748"/>
    <cellStyle name="Note 2 7 17" xfId="24749"/>
    <cellStyle name="Note 2 7 17 2" xfId="24750"/>
    <cellStyle name="Note 2 7 17 2 2" xfId="24751"/>
    <cellStyle name="Note 2 7 17 2 2 2" xfId="24752"/>
    <cellStyle name="Note 2 7 17 2 3" xfId="24753"/>
    <cellStyle name="Note 2 7 17 3" xfId="24754"/>
    <cellStyle name="Note 2 7 17 4" xfId="24755"/>
    <cellStyle name="Note 2 7 18" xfId="24756"/>
    <cellStyle name="Note 2 7 18 2" xfId="24757"/>
    <cellStyle name="Note 2 7 18 2 2" xfId="24758"/>
    <cellStyle name="Note 2 7 18 2 2 2" xfId="24759"/>
    <cellStyle name="Note 2 7 18 2 3" xfId="24760"/>
    <cellStyle name="Note 2 7 18 3" xfId="24761"/>
    <cellStyle name="Note 2 7 18 4" xfId="24762"/>
    <cellStyle name="Note 2 7 19" xfId="24763"/>
    <cellStyle name="Note 2 7 19 2" xfId="24764"/>
    <cellStyle name="Note 2 7 19 2 2" xfId="24765"/>
    <cellStyle name="Note 2 7 19 2 2 2" xfId="24766"/>
    <cellStyle name="Note 2 7 19 2 3" xfId="24767"/>
    <cellStyle name="Note 2 7 19 3" xfId="24768"/>
    <cellStyle name="Note 2 7 19 4" xfId="24769"/>
    <cellStyle name="Note 2 7 2" xfId="24770"/>
    <cellStyle name="Note 2 7 2 2" xfId="24771"/>
    <cellStyle name="Note 2 7 2 2 2" xfId="24772"/>
    <cellStyle name="Note 2 7 2 2 2 2" xfId="24773"/>
    <cellStyle name="Note 2 7 2 2 2 2 2" xfId="24774"/>
    <cellStyle name="Note 2 7 2 2 2 3" xfId="24775"/>
    <cellStyle name="Note 2 7 2 2 3" xfId="24776"/>
    <cellStyle name="Note 2 7 2 2 3 2" xfId="24777"/>
    <cellStyle name="Note 2 7 2 2 4" xfId="24778"/>
    <cellStyle name="Note 2 7 2 3" xfId="24779"/>
    <cellStyle name="Note 2 7 2 3 2" xfId="24780"/>
    <cellStyle name="Note 2 7 2 3 2 2" xfId="24781"/>
    <cellStyle name="Note 2 7 2 3 3" xfId="24782"/>
    <cellStyle name="Note 2 7 2 4" xfId="24783"/>
    <cellStyle name="Note 2 7 2 4 2" xfId="24784"/>
    <cellStyle name="Note 2 7 2 4 2 2" xfId="24785"/>
    <cellStyle name="Note 2 7 2 4 3" xfId="24786"/>
    <cellStyle name="Note 2 7 2 5" xfId="24787"/>
    <cellStyle name="Note 2 7 2 5 2" xfId="24788"/>
    <cellStyle name="Note 2 7 2 5 2 2" xfId="24789"/>
    <cellStyle name="Note 2 7 2 5 3" xfId="24790"/>
    <cellStyle name="Note 2 7 2 6" xfId="24791"/>
    <cellStyle name="Note 2 7 2 6 2" xfId="24792"/>
    <cellStyle name="Note 2 7 2 6 2 2" xfId="24793"/>
    <cellStyle name="Note 2 7 2 6 3" xfId="24794"/>
    <cellStyle name="Note 2 7 2 7" xfId="24795"/>
    <cellStyle name="Note 2 7 2 8" xfId="24796"/>
    <cellStyle name="Note 2 7 20" xfId="24797"/>
    <cellStyle name="Note 2 7 20 2" xfId="24798"/>
    <cellStyle name="Note 2 7 20 2 2" xfId="24799"/>
    <cellStyle name="Note 2 7 20 2 2 2" xfId="24800"/>
    <cellStyle name="Note 2 7 20 2 3" xfId="24801"/>
    <cellStyle name="Note 2 7 20 3" xfId="24802"/>
    <cellStyle name="Note 2 7 20 4" xfId="24803"/>
    <cellStyle name="Note 2 7 21" xfId="24804"/>
    <cellStyle name="Note 2 7 21 2" xfId="24805"/>
    <cellStyle name="Note 2 7 21 2 2" xfId="24806"/>
    <cellStyle name="Note 2 7 21 2 2 2" xfId="24807"/>
    <cellStyle name="Note 2 7 21 2 3" xfId="24808"/>
    <cellStyle name="Note 2 7 21 3" xfId="24809"/>
    <cellStyle name="Note 2 7 21 4" xfId="24810"/>
    <cellStyle name="Note 2 7 22" xfId="24811"/>
    <cellStyle name="Note 2 7 22 2" xfId="24812"/>
    <cellStyle name="Note 2 7 22 2 2" xfId="24813"/>
    <cellStyle name="Note 2 7 22 2 2 2" xfId="24814"/>
    <cellStyle name="Note 2 7 22 2 3" xfId="24815"/>
    <cellStyle name="Note 2 7 22 3" xfId="24816"/>
    <cellStyle name="Note 2 7 22 4" xfId="24817"/>
    <cellStyle name="Note 2 7 23" xfId="24818"/>
    <cellStyle name="Note 2 7 23 2" xfId="24819"/>
    <cellStyle name="Note 2 7 23 2 2" xfId="24820"/>
    <cellStyle name="Note 2 7 23 2 2 2" xfId="24821"/>
    <cellStyle name="Note 2 7 23 2 3" xfId="24822"/>
    <cellStyle name="Note 2 7 23 3" xfId="24823"/>
    <cellStyle name="Note 2 7 23 4" xfId="24824"/>
    <cellStyle name="Note 2 7 24" xfId="24825"/>
    <cellStyle name="Note 2 7 24 2" xfId="24826"/>
    <cellStyle name="Note 2 7 24 2 2" xfId="24827"/>
    <cellStyle name="Note 2 7 24 2 2 2" xfId="24828"/>
    <cellStyle name="Note 2 7 24 2 3" xfId="24829"/>
    <cellStyle name="Note 2 7 24 3" xfId="24830"/>
    <cellStyle name="Note 2 7 24 4" xfId="24831"/>
    <cellStyle name="Note 2 7 25" xfId="24832"/>
    <cellStyle name="Note 2 7 25 2" xfId="24833"/>
    <cellStyle name="Note 2 7 25 2 2" xfId="24834"/>
    <cellStyle name="Note 2 7 25 2 2 2" xfId="24835"/>
    <cellStyle name="Note 2 7 25 2 3" xfId="24836"/>
    <cellStyle name="Note 2 7 25 3" xfId="24837"/>
    <cellStyle name="Note 2 7 25 4" xfId="24838"/>
    <cellStyle name="Note 2 7 26" xfId="24839"/>
    <cellStyle name="Note 2 7 26 2" xfId="24840"/>
    <cellStyle name="Note 2 7 26 2 2" xfId="24841"/>
    <cellStyle name="Note 2 7 26 2 2 2" xfId="24842"/>
    <cellStyle name="Note 2 7 26 2 3" xfId="24843"/>
    <cellStyle name="Note 2 7 26 3" xfId="24844"/>
    <cellStyle name="Note 2 7 26 4" xfId="24845"/>
    <cellStyle name="Note 2 7 27" xfId="24846"/>
    <cellStyle name="Note 2 7 27 2" xfId="24847"/>
    <cellStyle name="Note 2 7 27 2 2" xfId="24848"/>
    <cellStyle name="Note 2 7 27 2 2 2" xfId="24849"/>
    <cellStyle name="Note 2 7 27 2 3" xfId="24850"/>
    <cellStyle name="Note 2 7 27 3" xfId="24851"/>
    <cellStyle name="Note 2 7 27 4" xfId="24852"/>
    <cellStyle name="Note 2 7 28" xfId="24853"/>
    <cellStyle name="Note 2 7 28 2" xfId="24854"/>
    <cellStyle name="Note 2 7 28 2 2" xfId="24855"/>
    <cellStyle name="Note 2 7 28 2 2 2" xfId="24856"/>
    <cellStyle name="Note 2 7 28 2 3" xfId="24857"/>
    <cellStyle name="Note 2 7 28 3" xfId="24858"/>
    <cellStyle name="Note 2 7 28 4" xfId="24859"/>
    <cellStyle name="Note 2 7 29" xfId="24860"/>
    <cellStyle name="Note 2 7 29 2" xfId="24861"/>
    <cellStyle name="Note 2 7 29 2 2" xfId="24862"/>
    <cellStyle name="Note 2 7 29 2 2 2" xfId="24863"/>
    <cellStyle name="Note 2 7 29 2 3" xfId="24864"/>
    <cellStyle name="Note 2 7 29 3" xfId="24865"/>
    <cellStyle name="Note 2 7 29 4" xfId="24866"/>
    <cellStyle name="Note 2 7 3" xfId="24867"/>
    <cellStyle name="Note 2 7 3 2" xfId="24868"/>
    <cellStyle name="Note 2 7 3 2 2" xfId="24869"/>
    <cellStyle name="Note 2 7 3 2 2 2" xfId="24870"/>
    <cellStyle name="Note 2 7 3 2 3" xfId="24871"/>
    <cellStyle name="Note 2 7 3 3" xfId="24872"/>
    <cellStyle name="Note 2 7 3 3 2" xfId="24873"/>
    <cellStyle name="Note 2 7 3 3 2 2" xfId="24874"/>
    <cellStyle name="Note 2 7 3 3 3" xfId="24875"/>
    <cellStyle name="Note 2 7 3 4" xfId="24876"/>
    <cellStyle name="Note 2 7 3 4 2" xfId="24877"/>
    <cellStyle name="Note 2 7 3 4 2 2" xfId="24878"/>
    <cellStyle name="Note 2 7 3 4 3" xfId="24879"/>
    <cellStyle name="Note 2 7 3 5" xfId="24880"/>
    <cellStyle name="Note 2 7 3 6" xfId="24881"/>
    <cellStyle name="Note 2 7 30" xfId="24882"/>
    <cellStyle name="Note 2 7 30 2" xfId="24883"/>
    <cellStyle name="Note 2 7 30 2 2" xfId="24884"/>
    <cellStyle name="Note 2 7 30 2 2 2" xfId="24885"/>
    <cellStyle name="Note 2 7 30 2 3" xfId="24886"/>
    <cellStyle name="Note 2 7 30 3" xfId="24887"/>
    <cellStyle name="Note 2 7 30 4" xfId="24888"/>
    <cellStyle name="Note 2 7 31" xfId="24889"/>
    <cellStyle name="Note 2 7 31 2" xfId="24890"/>
    <cellStyle name="Note 2 7 31 2 2" xfId="24891"/>
    <cellStyle name="Note 2 7 31 2 2 2" xfId="24892"/>
    <cellStyle name="Note 2 7 31 2 3" xfId="24893"/>
    <cellStyle name="Note 2 7 31 3" xfId="24894"/>
    <cellStyle name="Note 2 7 31 4" xfId="24895"/>
    <cellStyle name="Note 2 7 32" xfId="24896"/>
    <cellStyle name="Note 2 7 32 2" xfId="24897"/>
    <cellStyle name="Note 2 7 32 2 2" xfId="24898"/>
    <cellStyle name="Note 2 7 32 2 2 2" xfId="24899"/>
    <cellStyle name="Note 2 7 32 2 3" xfId="24900"/>
    <cellStyle name="Note 2 7 32 3" xfId="24901"/>
    <cellStyle name="Note 2 7 32 4" xfId="24902"/>
    <cellStyle name="Note 2 7 33" xfId="24903"/>
    <cellStyle name="Note 2 7 33 2" xfId="24904"/>
    <cellStyle name="Note 2 7 33 2 2" xfId="24905"/>
    <cellStyle name="Note 2 7 33 2 2 2" xfId="24906"/>
    <cellStyle name="Note 2 7 33 2 3" xfId="24907"/>
    <cellStyle name="Note 2 7 33 3" xfId="24908"/>
    <cellStyle name="Note 2 7 33 4" xfId="24909"/>
    <cellStyle name="Note 2 7 34" xfId="24910"/>
    <cellStyle name="Note 2 7 34 2" xfId="24911"/>
    <cellStyle name="Note 2 7 34 2 2" xfId="24912"/>
    <cellStyle name="Note 2 7 34 2 2 2" xfId="24913"/>
    <cellStyle name="Note 2 7 34 2 3" xfId="24914"/>
    <cellStyle name="Note 2 7 34 3" xfId="24915"/>
    <cellStyle name="Note 2 7 34 4" xfId="24916"/>
    <cellStyle name="Note 2 7 35" xfId="24917"/>
    <cellStyle name="Note 2 7 35 2" xfId="24918"/>
    <cellStyle name="Note 2 7 35 2 2" xfId="24919"/>
    <cellStyle name="Note 2 7 35 2 2 2" xfId="24920"/>
    <cellStyle name="Note 2 7 35 2 3" xfId="24921"/>
    <cellStyle name="Note 2 7 35 3" xfId="24922"/>
    <cellStyle name="Note 2 7 35 4" xfId="24923"/>
    <cellStyle name="Note 2 7 36" xfId="24924"/>
    <cellStyle name="Note 2 7 36 2" xfId="24925"/>
    <cellStyle name="Note 2 7 36 2 2" xfId="24926"/>
    <cellStyle name="Note 2 7 36 2 2 2" xfId="24927"/>
    <cellStyle name="Note 2 7 36 2 3" xfId="24928"/>
    <cellStyle name="Note 2 7 36 3" xfId="24929"/>
    <cellStyle name="Note 2 7 36 4" xfId="24930"/>
    <cellStyle name="Note 2 7 37" xfId="24931"/>
    <cellStyle name="Note 2 7 37 2" xfId="24932"/>
    <cellStyle name="Note 2 7 37 2 2" xfId="24933"/>
    <cellStyle name="Note 2 7 37 2 2 2" xfId="24934"/>
    <cellStyle name="Note 2 7 37 2 3" xfId="24935"/>
    <cellStyle name="Note 2 7 37 3" xfId="24936"/>
    <cellStyle name="Note 2 7 37 4" xfId="24937"/>
    <cellStyle name="Note 2 7 38" xfId="24938"/>
    <cellStyle name="Note 2 7 38 2" xfId="24939"/>
    <cellStyle name="Note 2 7 38 2 2" xfId="24940"/>
    <cellStyle name="Note 2 7 38 2 2 2" xfId="24941"/>
    <cellStyle name="Note 2 7 38 2 3" xfId="24942"/>
    <cellStyle name="Note 2 7 38 3" xfId="24943"/>
    <cellStyle name="Note 2 7 38 4" xfId="24944"/>
    <cellStyle name="Note 2 7 39" xfId="24945"/>
    <cellStyle name="Note 2 7 39 2" xfId="24946"/>
    <cellStyle name="Note 2 7 39 2 2" xfId="24947"/>
    <cellStyle name="Note 2 7 39 2 2 2" xfId="24948"/>
    <cellStyle name="Note 2 7 39 2 3" xfId="24949"/>
    <cellStyle name="Note 2 7 39 3" xfId="24950"/>
    <cellStyle name="Note 2 7 39 4" xfId="24951"/>
    <cellStyle name="Note 2 7 4" xfId="24952"/>
    <cellStyle name="Note 2 7 4 2" xfId="24953"/>
    <cellStyle name="Note 2 7 4 2 2" xfId="24954"/>
    <cellStyle name="Note 2 7 4 2 2 2" xfId="24955"/>
    <cellStyle name="Note 2 7 4 2 3" xfId="24956"/>
    <cellStyle name="Note 2 7 4 3" xfId="24957"/>
    <cellStyle name="Note 2 7 4 3 2" xfId="24958"/>
    <cellStyle name="Note 2 7 4 3 2 2" xfId="24959"/>
    <cellStyle name="Note 2 7 4 3 3" xfId="24960"/>
    <cellStyle name="Note 2 7 4 4" xfId="24961"/>
    <cellStyle name="Note 2 7 4 4 2" xfId="24962"/>
    <cellStyle name="Note 2 7 4 4 2 2" xfId="24963"/>
    <cellStyle name="Note 2 7 4 4 3" xfId="24964"/>
    <cellStyle name="Note 2 7 4 5" xfId="24965"/>
    <cellStyle name="Note 2 7 4 6" xfId="24966"/>
    <cellStyle name="Note 2 7 40" xfId="24967"/>
    <cellStyle name="Note 2 7 40 2" xfId="24968"/>
    <cellStyle name="Note 2 7 40 2 2" xfId="24969"/>
    <cellStyle name="Note 2 7 40 2 2 2" xfId="24970"/>
    <cellStyle name="Note 2 7 40 2 3" xfId="24971"/>
    <cellStyle name="Note 2 7 40 3" xfId="24972"/>
    <cellStyle name="Note 2 7 40 4" xfId="24973"/>
    <cellStyle name="Note 2 7 41" xfId="24974"/>
    <cellStyle name="Note 2 7 41 2" xfId="24975"/>
    <cellStyle name="Note 2 7 41 2 2" xfId="24976"/>
    <cellStyle name="Note 2 7 41 2 2 2" xfId="24977"/>
    <cellStyle name="Note 2 7 41 2 3" xfId="24978"/>
    <cellStyle name="Note 2 7 41 3" xfId="24979"/>
    <cellStyle name="Note 2 7 41 4" xfId="24980"/>
    <cellStyle name="Note 2 7 42" xfId="24981"/>
    <cellStyle name="Note 2 7 42 2" xfId="24982"/>
    <cellStyle name="Note 2 7 42 2 2" xfId="24983"/>
    <cellStyle name="Note 2 7 42 2 2 2" xfId="24984"/>
    <cellStyle name="Note 2 7 42 2 3" xfId="24985"/>
    <cellStyle name="Note 2 7 42 3" xfId="24986"/>
    <cellStyle name="Note 2 7 42 4" xfId="24987"/>
    <cellStyle name="Note 2 7 43" xfId="24988"/>
    <cellStyle name="Note 2 7 43 2" xfId="24989"/>
    <cellStyle name="Note 2 7 43 2 2" xfId="24990"/>
    <cellStyle name="Note 2 7 43 2 2 2" xfId="24991"/>
    <cellStyle name="Note 2 7 43 2 3" xfId="24992"/>
    <cellStyle name="Note 2 7 43 3" xfId="24993"/>
    <cellStyle name="Note 2 7 43 4" xfId="24994"/>
    <cellStyle name="Note 2 7 44" xfId="24995"/>
    <cellStyle name="Note 2 7 44 2" xfId="24996"/>
    <cellStyle name="Note 2 7 44 2 2" xfId="24997"/>
    <cellStyle name="Note 2 7 44 2 2 2" xfId="24998"/>
    <cellStyle name="Note 2 7 44 2 3" xfId="24999"/>
    <cellStyle name="Note 2 7 44 3" xfId="25000"/>
    <cellStyle name="Note 2 7 44 4" xfId="25001"/>
    <cellStyle name="Note 2 7 45" xfId="25002"/>
    <cellStyle name="Note 2 7 45 2" xfId="25003"/>
    <cellStyle name="Note 2 7 45 2 2" xfId="25004"/>
    <cellStyle name="Note 2 7 45 2 2 2" xfId="25005"/>
    <cellStyle name="Note 2 7 45 2 3" xfId="25006"/>
    <cellStyle name="Note 2 7 45 3" xfId="25007"/>
    <cellStyle name="Note 2 7 45 4" xfId="25008"/>
    <cellStyle name="Note 2 7 46" xfId="25009"/>
    <cellStyle name="Note 2 7 46 2" xfId="25010"/>
    <cellStyle name="Note 2 7 46 2 2" xfId="25011"/>
    <cellStyle name="Note 2 7 46 2 2 2" xfId="25012"/>
    <cellStyle name="Note 2 7 46 2 3" xfId="25013"/>
    <cellStyle name="Note 2 7 46 3" xfId="25014"/>
    <cellStyle name="Note 2 7 46 4" xfId="25015"/>
    <cellStyle name="Note 2 7 47" xfId="25016"/>
    <cellStyle name="Note 2 7 47 2" xfId="25017"/>
    <cellStyle name="Note 2 7 47 2 2" xfId="25018"/>
    <cellStyle name="Note 2 7 47 2 2 2" xfId="25019"/>
    <cellStyle name="Note 2 7 47 2 3" xfId="25020"/>
    <cellStyle name="Note 2 7 47 3" xfId="25021"/>
    <cellStyle name="Note 2 7 47 4" xfId="25022"/>
    <cellStyle name="Note 2 7 48" xfId="25023"/>
    <cellStyle name="Note 2 7 48 2" xfId="25024"/>
    <cellStyle name="Note 2 7 48 2 2" xfId="25025"/>
    <cellStyle name="Note 2 7 48 2 2 2" xfId="25026"/>
    <cellStyle name="Note 2 7 48 2 3" xfId="25027"/>
    <cellStyle name="Note 2 7 48 3" xfId="25028"/>
    <cellStyle name="Note 2 7 48 4" xfId="25029"/>
    <cellStyle name="Note 2 7 49" xfId="25030"/>
    <cellStyle name="Note 2 7 49 2" xfId="25031"/>
    <cellStyle name="Note 2 7 49 2 2" xfId="25032"/>
    <cellStyle name="Note 2 7 49 3" xfId="25033"/>
    <cellStyle name="Note 2 7 5" xfId="25034"/>
    <cellStyle name="Note 2 7 5 2" xfId="25035"/>
    <cellStyle name="Note 2 7 5 2 2" xfId="25036"/>
    <cellStyle name="Note 2 7 5 2 2 2" xfId="25037"/>
    <cellStyle name="Note 2 7 5 2 3" xfId="25038"/>
    <cellStyle name="Note 2 7 5 3" xfId="25039"/>
    <cellStyle name="Note 2 7 5 3 2" xfId="25040"/>
    <cellStyle name="Note 2 7 5 3 2 2" xfId="25041"/>
    <cellStyle name="Note 2 7 5 3 3" xfId="25042"/>
    <cellStyle name="Note 2 7 5 4" xfId="25043"/>
    <cellStyle name="Note 2 7 5 4 2" xfId="25044"/>
    <cellStyle name="Note 2 7 5 4 2 2" xfId="25045"/>
    <cellStyle name="Note 2 7 5 4 3" xfId="25046"/>
    <cellStyle name="Note 2 7 5 5" xfId="25047"/>
    <cellStyle name="Note 2 7 5 6" xfId="25048"/>
    <cellStyle name="Note 2 7 50" xfId="25049"/>
    <cellStyle name="Note 2 7 50 2" xfId="25050"/>
    <cellStyle name="Note 2 7 50 2 2" xfId="25051"/>
    <cellStyle name="Note 2 7 50 3" xfId="25052"/>
    <cellStyle name="Note 2 7 51" xfId="25053"/>
    <cellStyle name="Note 2 7 51 2" xfId="25054"/>
    <cellStyle name="Note 2 7 51 2 2" xfId="25055"/>
    <cellStyle name="Note 2 7 51 3" xfId="25056"/>
    <cellStyle name="Note 2 7 52" xfId="25057"/>
    <cellStyle name="Note 2 7 52 2" xfId="25058"/>
    <cellStyle name="Note 2 7 52 2 2" xfId="25059"/>
    <cellStyle name="Note 2 7 52 3" xfId="25060"/>
    <cellStyle name="Note 2 7 53" xfId="25061"/>
    <cellStyle name="Note 2 7 54" xfId="25062"/>
    <cellStyle name="Note 2 7 6" xfId="25063"/>
    <cellStyle name="Note 2 7 6 2" xfId="25064"/>
    <cellStyle name="Note 2 7 6 2 2" xfId="25065"/>
    <cellStyle name="Note 2 7 6 2 2 2" xfId="25066"/>
    <cellStyle name="Note 2 7 6 2 3" xfId="25067"/>
    <cellStyle name="Note 2 7 6 3" xfId="25068"/>
    <cellStyle name="Note 2 7 6 3 2" xfId="25069"/>
    <cellStyle name="Note 2 7 6 3 2 2" xfId="25070"/>
    <cellStyle name="Note 2 7 6 3 3" xfId="25071"/>
    <cellStyle name="Note 2 7 6 4" xfId="25072"/>
    <cellStyle name="Note 2 7 6 4 2" xfId="25073"/>
    <cellStyle name="Note 2 7 6 4 2 2" xfId="25074"/>
    <cellStyle name="Note 2 7 6 4 3" xfId="25075"/>
    <cellStyle name="Note 2 7 6 5" xfId="25076"/>
    <cellStyle name="Note 2 7 6 6" xfId="25077"/>
    <cellStyle name="Note 2 7 7" xfId="25078"/>
    <cellStyle name="Note 2 7 7 2" xfId="25079"/>
    <cellStyle name="Note 2 7 7 2 2" xfId="25080"/>
    <cellStyle name="Note 2 7 7 2 2 2" xfId="25081"/>
    <cellStyle name="Note 2 7 7 2 3" xfId="25082"/>
    <cellStyle name="Note 2 7 7 3" xfId="25083"/>
    <cellStyle name="Note 2 7 7 3 2" xfId="25084"/>
    <cellStyle name="Note 2 7 7 3 2 2" xfId="25085"/>
    <cellStyle name="Note 2 7 7 3 3" xfId="25086"/>
    <cellStyle name="Note 2 7 7 4" xfId="25087"/>
    <cellStyle name="Note 2 7 7 4 2" xfId="25088"/>
    <cellStyle name="Note 2 7 7 4 2 2" xfId="25089"/>
    <cellStyle name="Note 2 7 7 4 3" xfId="25090"/>
    <cellStyle name="Note 2 7 7 5" xfId="25091"/>
    <cellStyle name="Note 2 7 7 6" xfId="25092"/>
    <cellStyle name="Note 2 7 8" xfId="25093"/>
    <cellStyle name="Note 2 7 8 2" xfId="25094"/>
    <cellStyle name="Note 2 7 8 2 2" xfId="25095"/>
    <cellStyle name="Note 2 7 8 2 2 2" xfId="25096"/>
    <cellStyle name="Note 2 7 8 2 3" xfId="25097"/>
    <cellStyle name="Note 2 7 8 3" xfId="25098"/>
    <cellStyle name="Note 2 7 8 3 2" xfId="25099"/>
    <cellStyle name="Note 2 7 8 3 2 2" xfId="25100"/>
    <cellStyle name="Note 2 7 8 3 3" xfId="25101"/>
    <cellStyle name="Note 2 7 8 4" xfId="25102"/>
    <cellStyle name="Note 2 7 8 4 2" xfId="25103"/>
    <cellStyle name="Note 2 7 8 4 2 2" xfId="25104"/>
    <cellStyle name="Note 2 7 8 4 3" xfId="25105"/>
    <cellStyle name="Note 2 7 8 5" xfId="25106"/>
    <cellStyle name="Note 2 7 8 6" xfId="25107"/>
    <cellStyle name="Note 2 7 9" xfId="25108"/>
    <cellStyle name="Note 2 7 9 2" xfId="25109"/>
    <cellStyle name="Note 2 7 9 2 2" xfId="25110"/>
    <cellStyle name="Note 2 7 9 2 2 2" xfId="25111"/>
    <cellStyle name="Note 2 7 9 2 3" xfId="25112"/>
    <cellStyle name="Note 2 7 9 3" xfId="25113"/>
    <cellStyle name="Note 2 7 9 4" xfId="25114"/>
    <cellStyle name="Note 2 70" xfId="25115"/>
    <cellStyle name="Note 2 70 2" xfId="25116"/>
    <cellStyle name="Note 2 70 2 2" xfId="25117"/>
    <cellStyle name="Note 2 70 3" xfId="25118"/>
    <cellStyle name="Note 2 71" xfId="25119"/>
    <cellStyle name="Note 2 72" xfId="25120"/>
    <cellStyle name="Note 2 8" xfId="25121"/>
    <cellStyle name="Note 2 8 10" xfId="25122"/>
    <cellStyle name="Note 2 8 10 2" xfId="25123"/>
    <cellStyle name="Note 2 8 10 2 2" xfId="25124"/>
    <cellStyle name="Note 2 8 10 2 2 2" xfId="25125"/>
    <cellStyle name="Note 2 8 10 2 3" xfId="25126"/>
    <cellStyle name="Note 2 8 10 3" xfId="25127"/>
    <cellStyle name="Note 2 8 10 4" xfId="25128"/>
    <cellStyle name="Note 2 8 11" xfId="25129"/>
    <cellStyle name="Note 2 8 11 2" xfId="25130"/>
    <cellStyle name="Note 2 8 11 2 2" xfId="25131"/>
    <cellStyle name="Note 2 8 11 2 2 2" xfId="25132"/>
    <cellStyle name="Note 2 8 11 2 3" xfId="25133"/>
    <cellStyle name="Note 2 8 11 3" xfId="25134"/>
    <cellStyle name="Note 2 8 11 4" xfId="25135"/>
    <cellStyle name="Note 2 8 12" xfId="25136"/>
    <cellStyle name="Note 2 8 12 2" xfId="25137"/>
    <cellStyle name="Note 2 8 12 2 2" xfId="25138"/>
    <cellStyle name="Note 2 8 12 2 2 2" xfId="25139"/>
    <cellStyle name="Note 2 8 12 2 3" xfId="25140"/>
    <cellStyle name="Note 2 8 12 3" xfId="25141"/>
    <cellStyle name="Note 2 8 12 4" xfId="25142"/>
    <cellStyle name="Note 2 8 13" xfId="25143"/>
    <cellStyle name="Note 2 8 13 2" xfId="25144"/>
    <cellStyle name="Note 2 8 13 2 2" xfId="25145"/>
    <cellStyle name="Note 2 8 13 2 2 2" xfId="25146"/>
    <cellStyle name="Note 2 8 13 2 3" xfId="25147"/>
    <cellStyle name="Note 2 8 13 3" xfId="25148"/>
    <cellStyle name="Note 2 8 13 4" xfId="25149"/>
    <cellStyle name="Note 2 8 14" xfId="25150"/>
    <cellStyle name="Note 2 8 14 2" xfId="25151"/>
    <cellStyle name="Note 2 8 14 2 2" xfId="25152"/>
    <cellStyle name="Note 2 8 14 2 2 2" xfId="25153"/>
    <cellStyle name="Note 2 8 14 2 3" xfId="25154"/>
    <cellStyle name="Note 2 8 14 3" xfId="25155"/>
    <cellStyle name="Note 2 8 14 4" xfId="25156"/>
    <cellStyle name="Note 2 8 15" xfId="25157"/>
    <cellStyle name="Note 2 8 15 2" xfId="25158"/>
    <cellStyle name="Note 2 8 15 2 2" xfId="25159"/>
    <cellStyle name="Note 2 8 15 2 2 2" xfId="25160"/>
    <cellStyle name="Note 2 8 15 2 3" xfId="25161"/>
    <cellStyle name="Note 2 8 15 3" xfId="25162"/>
    <cellStyle name="Note 2 8 15 4" xfId="25163"/>
    <cellStyle name="Note 2 8 16" xfId="25164"/>
    <cellStyle name="Note 2 8 16 2" xfId="25165"/>
    <cellStyle name="Note 2 8 16 2 2" xfId="25166"/>
    <cellStyle name="Note 2 8 16 2 2 2" xfId="25167"/>
    <cellStyle name="Note 2 8 16 2 3" xfId="25168"/>
    <cellStyle name="Note 2 8 16 3" xfId="25169"/>
    <cellStyle name="Note 2 8 16 4" xfId="25170"/>
    <cellStyle name="Note 2 8 17" xfId="25171"/>
    <cellStyle name="Note 2 8 17 2" xfId="25172"/>
    <cellStyle name="Note 2 8 17 2 2" xfId="25173"/>
    <cellStyle name="Note 2 8 17 2 2 2" xfId="25174"/>
    <cellStyle name="Note 2 8 17 2 3" xfId="25175"/>
    <cellStyle name="Note 2 8 17 3" xfId="25176"/>
    <cellStyle name="Note 2 8 17 4" xfId="25177"/>
    <cellStyle name="Note 2 8 18" xfId="25178"/>
    <cellStyle name="Note 2 8 18 2" xfId="25179"/>
    <cellStyle name="Note 2 8 18 2 2" xfId="25180"/>
    <cellStyle name="Note 2 8 18 2 2 2" xfId="25181"/>
    <cellStyle name="Note 2 8 18 2 3" xfId="25182"/>
    <cellStyle name="Note 2 8 18 3" xfId="25183"/>
    <cellStyle name="Note 2 8 18 4" xfId="25184"/>
    <cellStyle name="Note 2 8 19" xfId="25185"/>
    <cellStyle name="Note 2 8 19 2" xfId="25186"/>
    <cellStyle name="Note 2 8 19 2 2" xfId="25187"/>
    <cellStyle name="Note 2 8 19 2 2 2" xfId="25188"/>
    <cellStyle name="Note 2 8 19 2 3" xfId="25189"/>
    <cellStyle name="Note 2 8 19 3" xfId="25190"/>
    <cellStyle name="Note 2 8 19 4" xfId="25191"/>
    <cellStyle name="Note 2 8 2" xfId="25192"/>
    <cellStyle name="Note 2 8 2 2" xfId="25193"/>
    <cellStyle name="Note 2 8 2 2 2" xfId="25194"/>
    <cellStyle name="Note 2 8 2 2 2 2" xfId="25195"/>
    <cellStyle name="Note 2 8 2 2 2 2 2" xfId="25196"/>
    <cellStyle name="Note 2 8 2 2 2 3" xfId="25197"/>
    <cellStyle name="Note 2 8 2 2 3" xfId="25198"/>
    <cellStyle name="Note 2 8 2 2 3 2" xfId="25199"/>
    <cellStyle name="Note 2 8 2 2 4" xfId="25200"/>
    <cellStyle name="Note 2 8 2 3" xfId="25201"/>
    <cellStyle name="Note 2 8 2 3 2" xfId="25202"/>
    <cellStyle name="Note 2 8 2 3 2 2" xfId="25203"/>
    <cellStyle name="Note 2 8 2 3 3" xfId="25204"/>
    <cellStyle name="Note 2 8 2 4" xfId="25205"/>
    <cellStyle name="Note 2 8 2 4 2" xfId="25206"/>
    <cellStyle name="Note 2 8 2 4 2 2" xfId="25207"/>
    <cellStyle name="Note 2 8 2 4 3" xfId="25208"/>
    <cellStyle name="Note 2 8 2 5" xfId="25209"/>
    <cellStyle name="Note 2 8 2 5 2" xfId="25210"/>
    <cellStyle name="Note 2 8 2 5 2 2" xfId="25211"/>
    <cellStyle name="Note 2 8 2 5 3" xfId="25212"/>
    <cellStyle name="Note 2 8 2 6" xfId="25213"/>
    <cellStyle name="Note 2 8 2 6 2" xfId="25214"/>
    <cellStyle name="Note 2 8 2 6 2 2" xfId="25215"/>
    <cellStyle name="Note 2 8 2 6 3" xfId="25216"/>
    <cellStyle name="Note 2 8 2 7" xfId="25217"/>
    <cellStyle name="Note 2 8 2 8" xfId="25218"/>
    <cellStyle name="Note 2 8 20" xfId="25219"/>
    <cellStyle name="Note 2 8 20 2" xfId="25220"/>
    <cellStyle name="Note 2 8 20 2 2" xfId="25221"/>
    <cellStyle name="Note 2 8 20 2 2 2" xfId="25222"/>
    <cellStyle name="Note 2 8 20 2 3" xfId="25223"/>
    <cellStyle name="Note 2 8 20 3" xfId="25224"/>
    <cellStyle name="Note 2 8 20 4" xfId="25225"/>
    <cellStyle name="Note 2 8 21" xfId="25226"/>
    <cellStyle name="Note 2 8 21 2" xfId="25227"/>
    <cellStyle name="Note 2 8 21 2 2" xfId="25228"/>
    <cellStyle name="Note 2 8 21 2 2 2" xfId="25229"/>
    <cellStyle name="Note 2 8 21 2 3" xfId="25230"/>
    <cellStyle name="Note 2 8 21 3" xfId="25231"/>
    <cellStyle name="Note 2 8 21 4" xfId="25232"/>
    <cellStyle name="Note 2 8 22" xfId="25233"/>
    <cellStyle name="Note 2 8 22 2" xfId="25234"/>
    <cellStyle name="Note 2 8 22 2 2" xfId="25235"/>
    <cellStyle name="Note 2 8 22 2 2 2" xfId="25236"/>
    <cellStyle name="Note 2 8 22 2 3" xfId="25237"/>
    <cellStyle name="Note 2 8 22 3" xfId="25238"/>
    <cellStyle name="Note 2 8 22 4" xfId="25239"/>
    <cellStyle name="Note 2 8 23" xfId="25240"/>
    <cellStyle name="Note 2 8 23 2" xfId="25241"/>
    <cellStyle name="Note 2 8 23 2 2" xfId="25242"/>
    <cellStyle name="Note 2 8 23 2 2 2" xfId="25243"/>
    <cellStyle name="Note 2 8 23 2 3" xfId="25244"/>
    <cellStyle name="Note 2 8 23 3" xfId="25245"/>
    <cellStyle name="Note 2 8 23 4" xfId="25246"/>
    <cellStyle name="Note 2 8 24" xfId="25247"/>
    <cellStyle name="Note 2 8 24 2" xfId="25248"/>
    <cellStyle name="Note 2 8 24 2 2" xfId="25249"/>
    <cellStyle name="Note 2 8 24 2 2 2" xfId="25250"/>
    <cellStyle name="Note 2 8 24 2 3" xfId="25251"/>
    <cellStyle name="Note 2 8 24 3" xfId="25252"/>
    <cellStyle name="Note 2 8 24 4" xfId="25253"/>
    <cellStyle name="Note 2 8 25" xfId="25254"/>
    <cellStyle name="Note 2 8 25 2" xfId="25255"/>
    <cellStyle name="Note 2 8 25 2 2" xfId="25256"/>
    <cellStyle name="Note 2 8 25 2 2 2" xfId="25257"/>
    <cellStyle name="Note 2 8 25 2 3" xfId="25258"/>
    <cellStyle name="Note 2 8 25 3" xfId="25259"/>
    <cellStyle name="Note 2 8 25 4" xfId="25260"/>
    <cellStyle name="Note 2 8 26" xfId="25261"/>
    <cellStyle name="Note 2 8 26 2" xfId="25262"/>
    <cellStyle name="Note 2 8 26 2 2" xfId="25263"/>
    <cellStyle name="Note 2 8 26 2 2 2" xfId="25264"/>
    <cellStyle name="Note 2 8 26 2 3" xfId="25265"/>
    <cellStyle name="Note 2 8 26 3" xfId="25266"/>
    <cellStyle name="Note 2 8 26 4" xfId="25267"/>
    <cellStyle name="Note 2 8 27" xfId="25268"/>
    <cellStyle name="Note 2 8 27 2" xfId="25269"/>
    <cellStyle name="Note 2 8 27 2 2" xfId="25270"/>
    <cellStyle name="Note 2 8 27 2 2 2" xfId="25271"/>
    <cellStyle name="Note 2 8 27 2 3" xfId="25272"/>
    <cellStyle name="Note 2 8 27 3" xfId="25273"/>
    <cellStyle name="Note 2 8 27 4" xfId="25274"/>
    <cellStyle name="Note 2 8 28" xfId="25275"/>
    <cellStyle name="Note 2 8 28 2" xfId="25276"/>
    <cellStyle name="Note 2 8 28 2 2" xfId="25277"/>
    <cellStyle name="Note 2 8 28 2 2 2" xfId="25278"/>
    <cellStyle name="Note 2 8 28 2 3" xfId="25279"/>
    <cellStyle name="Note 2 8 28 3" xfId="25280"/>
    <cellStyle name="Note 2 8 28 4" xfId="25281"/>
    <cellStyle name="Note 2 8 29" xfId="25282"/>
    <cellStyle name="Note 2 8 29 2" xfId="25283"/>
    <cellStyle name="Note 2 8 29 2 2" xfId="25284"/>
    <cellStyle name="Note 2 8 29 2 2 2" xfId="25285"/>
    <cellStyle name="Note 2 8 29 2 3" xfId="25286"/>
    <cellStyle name="Note 2 8 29 3" xfId="25287"/>
    <cellStyle name="Note 2 8 29 4" xfId="25288"/>
    <cellStyle name="Note 2 8 3" xfId="25289"/>
    <cellStyle name="Note 2 8 3 2" xfId="25290"/>
    <cellStyle name="Note 2 8 3 2 2" xfId="25291"/>
    <cellStyle name="Note 2 8 3 2 2 2" xfId="25292"/>
    <cellStyle name="Note 2 8 3 2 3" xfId="25293"/>
    <cellStyle name="Note 2 8 3 3" xfId="25294"/>
    <cellStyle name="Note 2 8 3 3 2" xfId="25295"/>
    <cellStyle name="Note 2 8 3 3 2 2" xfId="25296"/>
    <cellStyle name="Note 2 8 3 3 3" xfId="25297"/>
    <cellStyle name="Note 2 8 3 4" xfId="25298"/>
    <cellStyle name="Note 2 8 3 4 2" xfId="25299"/>
    <cellStyle name="Note 2 8 3 4 2 2" xfId="25300"/>
    <cellStyle name="Note 2 8 3 4 3" xfId="25301"/>
    <cellStyle name="Note 2 8 3 5" xfId="25302"/>
    <cellStyle name="Note 2 8 3 6" xfId="25303"/>
    <cellStyle name="Note 2 8 30" xfId="25304"/>
    <cellStyle name="Note 2 8 30 2" xfId="25305"/>
    <cellStyle name="Note 2 8 30 2 2" xfId="25306"/>
    <cellStyle name="Note 2 8 30 2 2 2" xfId="25307"/>
    <cellStyle name="Note 2 8 30 2 3" xfId="25308"/>
    <cellStyle name="Note 2 8 30 3" xfId="25309"/>
    <cellStyle name="Note 2 8 30 4" xfId="25310"/>
    <cellStyle name="Note 2 8 31" xfId="25311"/>
    <cellStyle name="Note 2 8 31 2" xfId="25312"/>
    <cellStyle name="Note 2 8 31 2 2" xfId="25313"/>
    <cellStyle name="Note 2 8 31 2 2 2" xfId="25314"/>
    <cellStyle name="Note 2 8 31 2 3" xfId="25315"/>
    <cellStyle name="Note 2 8 31 3" xfId="25316"/>
    <cellStyle name="Note 2 8 31 4" xfId="25317"/>
    <cellStyle name="Note 2 8 32" xfId="25318"/>
    <cellStyle name="Note 2 8 32 2" xfId="25319"/>
    <cellStyle name="Note 2 8 32 2 2" xfId="25320"/>
    <cellStyle name="Note 2 8 32 2 2 2" xfId="25321"/>
    <cellStyle name="Note 2 8 32 2 3" xfId="25322"/>
    <cellStyle name="Note 2 8 32 3" xfId="25323"/>
    <cellStyle name="Note 2 8 32 4" xfId="25324"/>
    <cellStyle name="Note 2 8 33" xfId="25325"/>
    <cellStyle name="Note 2 8 33 2" xfId="25326"/>
    <cellStyle name="Note 2 8 33 2 2" xfId="25327"/>
    <cellStyle name="Note 2 8 33 2 2 2" xfId="25328"/>
    <cellStyle name="Note 2 8 33 2 3" xfId="25329"/>
    <cellStyle name="Note 2 8 33 3" xfId="25330"/>
    <cellStyle name="Note 2 8 33 4" xfId="25331"/>
    <cellStyle name="Note 2 8 34" xfId="25332"/>
    <cellStyle name="Note 2 8 34 2" xfId="25333"/>
    <cellStyle name="Note 2 8 34 2 2" xfId="25334"/>
    <cellStyle name="Note 2 8 34 2 2 2" xfId="25335"/>
    <cellStyle name="Note 2 8 34 2 3" xfId="25336"/>
    <cellStyle name="Note 2 8 34 3" xfId="25337"/>
    <cellStyle name="Note 2 8 34 4" xfId="25338"/>
    <cellStyle name="Note 2 8 35" xfId="25339"/>
    <cellStyle name="Note 2 8 35 2" xfId="25340"/>
    <cellStyle name="Note 2 8 35 2 2" xfId="25341"/>
    <cellStyle name="Note 2 8 35 2 2 2" xfId="25342"/>
    <cellStyle name="Note 2 8 35 2 3" xfId="25343"/>
    <cellStyle name="Note 2 8 35 3" xfId="25344"/>
    <cellStyle name="Note 2 8 35 4" xfId="25345"/>
    <cellStyle name="Note 2 8 36" xfId="25346"/>
    <cellStyle name="Note 2 8 36 2" xfId="25347"/>
    <cellStyle name="Note 2 8 36 2 2" xfId="25348"/>
    <cellStyle name="Note 2 8 36 2 2 2" xfId="25349"/>
    <cellStyle name="Note 2 8 36 2 3" xfId="25350"/>
    <cellStyle name="Note 2 8 36 3" xfId="25351"/>
    <cellStyle name="Note 2 8 36 4" xfId="25352"/>
    <cellStyle name="Note 2 8 37" xfId="25353"/>
    <cellStyle name="Note 2 8 37 2" xfId="25354"/>
    <cellStyle name="Note 2 8 37 2 2" xfId="25355"/>
    <cellStyle name="Note 2 8 37 2 2 2" xfId="25356"/>
    <cellStyle name="Note 2 8 37 2 3" xfId="25357"/>
    <cellStyle name="Note 2 8 37 3" xfId="25358"/>
    <cellStyle name="Note 2 8 37 4" xfId="25359"/>
    <cellStyle name="Note 2 8 38" xfId="25360"/>
    <cellStyle name="Note 2 8 38 2" xfId="25361"/>
    <cellStyle name="Note 2 8 38 2 2" xfId="25362"/>
    <cellStyle name="Note 2 8 38 2 2 2" xfId="25363"/>
    <cellStyle name="Note 2 8 38 2 3" xfId="25364"/>
    <cellStyle name="Note 2 8 38 3" xfId="25365"/>
    <cellStyle name="Note 2 8 38 4" xfId="25366"/>
    <cellStyle name="Note 2 8 39" xfId="25367"/>
    <cellStyle name="Note 2 8 39 2" xfId="25368"/>
    <cellStyle name="Note 2 8 39 2 2" xfId="25369"/>
    <cellStyle name="Note 2 8 39 2 2 2" xfId="25370"/>
    <cellStyle name="Note 2 8 39 2 3" xfId="25371"/>
    <cellStyle name="Note 2 8 39 3" xfId="25372"/>
    <cellStyle name="Note 2 8 39 4" xfId="25373"/>
    <cellStyle name="Note 2 8 4" xfId="25374"/>
    <cellStyle name="Note 2 8 4 2" xfId="25375"/>
    <cellStyle name="Note 2 8 4 2 2" xfId="25376"/>
    <cellStyle name="Note 2 8 4 2 2 2" xfId="25377"/>
    <cellStyle name="Note 2 8 4 2 3" xfId="25378"/>
    <cellStyle name="Note 2 8 4 3" xfId="25379"/>
    <cellStyle name="Note 2 8 4 3 2" xfId="25380"/>
    <cellStyle name="Note 2 8 4 3 2 2" xfId="25381"/>
    <cellStyle name="Note 2 8 4 3 3" xfId="25382"/>
    <cellStyle name="Note 2 8 4 4" xfId="25383"/>
    <cellStyle name="Note 2 8 4 4 2" xfId="25384"/>
    <cellStyle name="Note 2 8 4 4 2 2" xfId="25385"/>
    <cellStyle name="Note 2 8 4 4 3" xfId="25386"/>
    <cellStyle name="Note 2 8 4 5" xfId="25387"/>
    <cellStyle name="Note 2 8 4 6" xfId="25388"/>
    <cellStyle name="Note 2 8 40" xfId="25389"/>
    <cellStyle name="Note 2 8 40 2" xfId="25390"/>
    <cellStyle name="Note 2 8 40 2 2" xfId="25391"/>
    <cellStyle name="Note 2 8 40 2 2 2" xfId="25392"/>
    <cellStyle name="Note 2 8 40 2 3" xfId="25393"/>
    <cellStyle name="Note 2 8 40 3" xfId="25394"/>
    <cellStyle name="Note 2 8 40 4" xfId="25395"/>
    <cellStyle name="Note 2 8 41" xfId="25396"/>
    <cellStyle name="Note 2 8 41 2" xfId="25397"/>
    <cellStyle name="Note 2 8 41 2 2" xfId="25398"/>
    <cellStyle name="Note 2 8 41 2 2 2" xfId="25399"/>
    <cellStyle name="Note 2 8 41 2 3" xfId="25400"/>
    <cellStyle name="Note 2 8 41 3" xfId="25401"/>
    <cellStyle name="Note 2 8 41 4" xfId="25402"/>
    <cellStyle name="Note 2 8 42" xfId="25403"/>
    <cellStyle name="Note 2 8 42 2" xfId="25404"/>
    <cellStyle name="Note 2 8 42 2 2" xfId="25405"/>
    <cellStyle name="Note 2 8 42 2 2 2" xfId="25406"/>
    <cellStyle name="Note 2 8 42 2 3" xfId="25407"/>
    <cellStyle name="Note 2 8 42 3" xfId="25408"/>
    <cellStyle name="Note 2 8 42 4" xfId="25409"/>
    <cellStyle name="Note 2 8 43" xfId="25410"/>
    <cellStyle name="Note 2 8 43 2" xfId="25411"/>
    <cellStyle name="Note 2 8 43 2 2" xfId="25412"/>
    <cellStyle name="Note 2 8 43 2 2 2" xfId="25413"/>
    <cellStyle name="Note 2 8 43 2 3" xfId="25414"/>
    <cellStyle name="Note 2 8 43 3" xfId="25415"/>
    <cellStyle name="Note 2 8 43 4" xfId="25416"/>
    <cellStyle name="Note 2 8 44" xfId="25417"/>
    <cellStyle name="Note 2 8 44 2" xfId="25418"/>
    <cellStyle name="Note 2 8 44 2 2" xfId="25419"/>
    <cellStyle name="Note 2 8 44 2 2 2" xfId="25420"/>
    <cellStyle name="Note 2 8 44 2 3" xfId="25421"/>
    <cellStyle name="Note 2 8 44 3" xfId="25422"/>
    <cellStyle name="Note 2 8 44 4" xfId="25423"/>
    <cellStyle name="Note 2 8 45" xfId="25424"/>
    <cellStyle name="Note 2 8 45 2" xfId="25425"/>
    <cellStyle name="Note 2 8 45 2 2" xfId="25426"/>
    <cellStyle name="Note 2 8 45 2 2 2" xfId="25427"/>
    <cellStyle name="Note 2 8 45 2 3" xfId="25428"/>
    <cellStyle name="Note 2 8 45 3" xfId="25429"/>
    <cellStyle name="Note 2 8 45 4" xfId="25430"/>
    <cellStyle name="Note 2 8 46" xfId="25431"/>
    <cellStyle name="Note 2 8 46 2" xfId="25432"/>
    <cellStyle name="Note 2 8 46 2 2" xfId="25433"/>
    <cellStyle name="Note 2 8 46 2 2 2" xfId="25434"/>
    <cellStyle name="Note 2 8 46 2 3" xfId="25435"/>
    <cellStyle name="Note 2 8 46 3" xfId="25436"/>
    <cellStyle name="Note 2 8 46 4" xfId="25437"/>
    <cellStyle name="Note 2 8 47" xfId="25438"/>
    <cellStyle name="Note 2 8 47 2" xfId="25439"/>
    <cellStyle name="Note 2 8 47 2 2" xfId="25440"/>
    <cellStyle name="Note 2 8 47 2 2 2" xfId="25441"/>
    <cellStyle name="Note 2 8 47 2 3" xfId="25442"/>
    <cellStyle name="Note 2 8 47 3" xfId="25443"/>
    <cellStyle name="Note 2 8 47 4" xfId="25444"/>
    <cellStyle name="Note 2 8 48" xfId="25445"/>
    <cellStyle name="Note 2 8 48 2" xfId="25446"/>
    <cellStyle name="Note 2 8 48 2 2" xfId="25447"/>
    <cellStyle name="Note 2 8 48 2 2 2" xfId="25448"/>
    <cellStyle name="Note 2 8 48 2 3" xfId="25449"/>
    <cellStyle name="Note 2 8 48 3" xfId="25450"/>
    <cellStyle name="Note 2 8 48 4" xfId="25451"/>
    <cellStyle name="Note 2 8 49" xfId="25452"/>
    <cellStyle name="Note 2 8 49 2" xfId="25453"/>
    <cellStyle name="Note 2 8 49 2 2" xfId="25454"/>
    <cellStyle name="Note 2 8 49 3" xfId="25455"/>
    <cellStyle name="Note 2 8 5" xfId="25456"/>
    <cellStyle name="Note 2 8 5 2" xfId="25457"/>
    <cellStyle name="Note 2 8 5 2 2" xfId="25458"/>
    <cellStyle name="Note 2 8 5 2 2 2" xfId="25459"/>
    <cellStyle name="Note 2 8 5 2 3" xfId="25460"/>
    <cellStyle name="Note 2 8 5 3" xfId="25461"/>
    <cellStyle name="Note 2 8 5 3 2" xfId="25462"/>
    <cellStyle name="Note 2 8 5 3 2 2" xfId="25463"/>
    <cellStyle name="Note 2 8 5 3 3" xfId="25464"/>
    <cellStyle name="Note 2 8 5 4" xfId="25465"/>
    <cellStyle name="Note 2 8 5 4 2" xfId="25466"/>
    <cellStyle name="Note 2 8 5 4 2 2" xfId="25467"/>
    <cellStyle name="Note 2 8 5 4 3" xfId="25468"/>
    <cellStyle name="Note 2 8 5 5" xfId="25469"/>
    <cellStyle name="Note 2 8 5 6" xfId="25470"/>
    <cellStyle name="Note 2 8 50" xfId="25471"/>
    <cellStyle name="Note 2 8 50 2" xfId="25472"/>
    <cellStyle name="Note 2 8 50 2 2" xfId="25473"/>
    <cellStyle name="Note 2 8 50 3" xfId="25474"/>
    <cellStyle name="Note 2 8 51" xfId="25475"/>
    <cellStyle name="Note 2 8 51 2" xfId="25476"/>
    <cellStyle name="Note 2 8 51 2 2" xfId="25477"/>
    <cellStyle name="Note 2 8 51 3" xfId="25478"/>
    <cellStyle name="Note 2 8 52" xfId="25479"/>
    <cellStyle name="Note 2 8 52 2" xfId="25480"/>
    <cellStyle name="Note 2 8 52 2 2" xfId="25481"/>
    <cellStyle name="Note 2 8 52 3" xfId="25482"/>
    <cellStyle name="Note 2 8 53" xfId="25483"/>
    <cellStyle name="Note 2 8 54" xfId="25484"/>
    <cellStyle name="Note 2 8 6" xfId="25485"/>
    <cellStyle name="Note 2 8 6 2" xfId="25486"/>
    <cellStyle name="Note 2 8 6 2 2" xfId="25487"/>
    <cellStyle name="Note 2 8 6 2 2 2" xfId="25488"/>
    <cellStyle name="Note 2 8 6 2 3" xfId="25489"/>
    <cellStyle name="Note 2 8 6 3" xfId="25490"/>
    <cellStyle name="Note 2 8 6 3 2" xfId="25491"/>
    <cellStyle name="Note 2 8 6 3 2 2" xfId="25492"/>
    <cellStyle name="Note 2 8 6 3 3" xfId="25493"/>
    <cellStyle name="Note 2 8 6 4" xfId="25494"/>
    <cellStyle name="Note 2 8 6 4 2" xfId="25495"/>
    <cellStyle name="Note 2 8 6 4 2 2" xfId="25496"/>
    <cellStyle name="Note 2 8 6 4 3" xfId="25497"/>
    <cellStyle name="Note 2 8 6 5" xfId="25498"/>
    <cellStyle name="Note 2 8 6 6" xfId="25499"/>
    <cellStyle name="Note 2 8 7" xfId="25500"/>
    <cellStyle name="Note 2 8 7 2" xfId="25501"/>
    <cellStyle name="Note 2 8 7 2 2" xfId="25502"/>
    <cellStyle name="Note 2 8 7 2 2 2" xfId="25503"/>
    <cellStyle name="Note 2 8 7 2 3" xfId="25504"/>
    <cellStyle name="Note 2 8 7 3" xfId="25505"/>
    <cellStyle name="Note 2 8 7 3 2" xfId="25506"/>
    <cellStyle name="Note 2 8 7 3 2 2" xfId="25507"/>
    <cellStyle name="Note 2 8 7 3 3" xfId="25508"/>
    <cellStyle name="Note 2 8 7 4" xfId="25509"/>
    <cellStyle name="Note 2 8 7 4 2" xfId="25510"/>
    <cellStyle name="Note 2 8 7 4 2 2" xfId="25511"/>
    <cellStyle name="Note 2 8 7 4 3" xfId="25512"/>
    <cellStyle name="Note 2 8 7 5" xfId="25513"/>
    <cellStyle name="Note 2 8 7 6" xfId="25514"/>
    <cellStyle name="Note 2 8 8" xfId="25515"/>
    <cellStyle name="Note 2 8 8 2" xfId="25516"/>
    <cellStyle name="Note 2 8 8 2 2" xfId="25517"/>
    <cellStyle name="Note 2 8 8 2 2 2" xfId="25518"/>
    <cellStyle name="Note 2 8 8 2 3" xfId="25519"/>
    <cellStyle name="Note 2 8 8 3" xfId="25520"/>
    <cellStyle name="Note 2 8 8 3 2" xfId="25521"/>
    <cellStyle name="Note 2 8 8 3 2 2" xfId="25522"/>
    <cellStyle name="Note 2 8 8 3 3" xfId="25523"/>
    <cellStyle name="Note 2 8 8 4" xfId="25524"/>
    <cellStyle name="Note 2 8 8 4 2" xfId="25525"/>
    <cellStyle name="Note 2 8 8 4 2 2" xfId="25526"/>
    <cellStyle name="Note 2 8 8 4 3" xfId="25527"/>
    <cellStyle name="Note 2 8 8 5" xfId="25528"/>
    <cellStyle name="Note 2 8 8 6" xfId="25529"/>
    <cellStyle name="Note 2 8 9" xfId="25530"/>
    <cellStyle name="Note 2 8 9 2" xfId="25531"/>
    <cellStyle name="Note 2 8 9 2 2" xfId="25532"/>
    <cellStyle name="Note 2 8 9 2 2 2" xfId="25533"/>
    <cellStyle name="Note 2 8 9 2 3" xfId="25534"/>
    <cellStyle name="Note 2 8 9 3" xfId="25535"/>
    <cellStyle name="Note 2 8 9 4" xfId="25536"/>
    <cellStyle name="Note 2 9" xfId="25537"/>
    <cellStyle name="Note 2 9 10" xfId="25538"/>
    <cellStyle name="Note 2 9 10 2" xfId="25539"/>
    <cellStyle name="Note 2 9 10 2 2" xfId="25540"/>
    <cellStyle name="Note 2 9 10 2 2 2" xfId="25541"/>
    <cellStyle name="Note 2 9 10 2 3" xfId="25542"/>
    <cellStyle name="Note 2 9 10 3" xfId="25543"/>
    <cellStyle name="Note 2 9 10 4" xfId="25544"/>
    <cellStyle name="Note 2 9 11" xfId="25545"/>
    <cellStyle name="Note 2 9 11 2" xfId="25546"/>
    <cellStyle name="Note 2 9 11 2 2" xfId="25547"/>
    <cellStyle name="Note 2 9 11 2 2 2" xfId="25548"/>
    <cellStyle name="Note 2 9 11 2 3" xfId="25549"/>
    <cellStyle name="Note 2 9 11 3" xfId="25550"/>
    <cellStyle name="Note 2 9 11 4" xfId="25551"/>
    <cellStyle name="Note 2 9 12" xfId="25552"/>
    <cellStyle name="Note 2 9 12 2" xfId="25553"/>
    <cellStyle name="Note 2 9 12 2 2" xfId="25554"/>
    <cellStyle name="Note 2 9 12 2 2 2" xfId="25555"/>
    <cellStyle name="Note 2 9 12 2 3" xfId="25556"/>
    <cellStyle name="Note 2 9 12 3" xfId="25557"/>
    <cellStyle name="Note 2 9 12 4" xfId="25558"/>
    <cellStyle name="Note 2 9 13" xfId="25559"/>
    <cellStyle name="Note 2 9 13 2" xfId="25560"/>
    <cellStyle name="Note 2 9 13 2 2" xfId="25561"/>
    <cellStyle name="Note 2 9 13 2 2 2" xfId="25562"/>
    <cellStyle name="Note 2 9 13 2 3" xfId="25563"/>
    <cellStyle name="Note 2 9 13 3" xfId="25564"/>
    <cellStyle name="Note 2 9 13 4" xfId="25565"/>
    <cellStyle name="Note 2 9 14" xfId="25566"/>
    <cellStyle name="Note 2 9 14 2" xfId="25567"/>
    <cellStyle name="Note 2 9 14 2 2" xfId="25568"/>
    <cellStyle name="Note 2 9 14 2 2 2" xfId="25569"/>
    <cellStyle name="Note 2 9 14 2 3" xfId="25570"/>
    <cellStyle name="Note 2 9 14 3" xfId="25571"/>
    <cellStyle name="Note 2 9 14 4" xfId="25572"/>
    <cellStyle name="Note 2 9 15" xfId="25573"/>
    <cellStyle name="Note 2 9 15 2" xfId="25574"/>
    <cellStyle name="Note 2 9 15 2 2" xfId="25575"/>
    <cellStyle name="Note 2 9 15 2 2 2" xfId="25576"/>
    <cellStyle name="Note 2 9 15 2 3" xfId="25577"/>
    <cellStyle name="Note 2 9 15 3" xfId="25578"/>
    <cellStyle name="Note 2 9 15 4" xfId="25579"/>
    <cellStyle name="Note 2 9 16" xfId="25580"/>
    <cellStyle name="Note 2 9 16 2" xfId="25581"/>
    <cellStyle name="Note 2 9 16 2 2" xfId="25582"/>
    <cellStyle name="Note 2 9 16 2 2 2" xfId="25583"/>
    <cellStyle name="Note 2 9 16 2 3" xfId="25584"/>
    <cellStyle name="Note 2 9 16 3" xfId="25585"/>
    <cellStyle name="Note 2 9 16 4" xfId="25586"/>
    <cellStyle name="Note 2 9 17" xfId="25587"/>
    <cellStyle name="Note 2 9 17 2" xfId="25588"/>
    <cellStyle name="Note 2 9 17 2 2" xfId="25589"/>
    <cellStyle name="Note 2 9 17 2 2 2" xfId="25590"/>
    <cellStyle name="Note 2 9 17 2 3" xfId="25591"/>
    <cellStyle name="Note 2 9 17 3" xfId="25592"/>
    <cellStyle name="Note 2 9 17 4" xfId="25593"/>
    <cellStyle name="Note 2 9 18" xfId="25594"/>
    <cellStyle name="Note 2 9 18 2" xfId="25595"/>
    <cellStyle name="Note 2 9 18 2 2" xfId="25596"/>
    <cellStyle name="Note 2 9 18 2 2 2" xfId="25597"/>
    <cellStyle name="Note 2 9 18 2 3" xfId="25598"/>
    <cellStyle name="Note 2 9 18 3" xfId="25599"/>
    <cellStyle name="Note 2 9 18 4" xfId="25600"/>
    <cellStyle name="Note 2 9 19" xfId="25601"/>
    <cellStyle name="Note 2 9 19 2" xfId="25602"/>
    <cellStyle name="Note 2 9 19 2 2" xfId="25603"/>
    <cellStyle name="Note 2 9 19 2 2 2" xfId="25604"/>
    <cellStyle name="Note 2 9 19 2 3" xfId="25605"/>
    <cellStyle name="Note 2 9 19 3" xfId="25606"/>
    <cellStyle name="Note 2 9 19 4" xfId="25607"/>
    <cellStyle name="Note 2 9 2" xfId="25608"/>
    <cellStyle name="Note 2 9 2 2" xfId="25609"/>
    <cellStyle name="Note 2 9 2 2 2" xfId="25610"/>
    <cellStyle name="Note 2 9 2 2 2 2" xfId="25611"/>
    <cellStyle name="Note 2 9 2 2 2 2 2" xfId="25612"/>
    <cellStyle name="Note 2 9 2 2 2 3" xfId="25613"/>
    <cellStyle name="Note 2 9 2 2 3" xfId="25614"/>
    <cellStyle name="Note 2 9 2 2 3 2" xfId="25615"/>
    <cellStyle name="Note 2 9 2 2 4" xfId="25616"/>
    <cellStyle name="Note 2 9 2 3" xfId="25617"/>
    <cellStyle name="Note 2 9 2 3 2" xfId="25618"/>
    <cellStyle name="Note 2 9 2 3 2 2" xfId="25619"/>
    <cellStyle name="Note 2 9 2 3 3" xfId="25620"/>
    <cellStyle name="Note 2 9 2 4" xfId="25621"/>
    <cellStyle name="Note 2 9 2 4 2" xfId="25622"/>
    <cellStyle name="Note 2 9 2 4 2 2" xfId="25623"/>
    <cellStyle name="Note 2 9 2 4 3" xfId="25624"/>
    <cellStyle name="Note 2 9 2 5" xfId="25625"/>
    <cellStyle name="Note 2 9 2 5 2" xfId="25626"/>
    <cellStyle name="Note 2 9 2 5 2 2" xfId="25627"/>
    <cellStyle name="Note 2 9 2 5 3" xfId="25628"/>
    <cellStyle name="Note 2 9 2 6" xfId="25629"/>
    <cellStyle name="Note 2 9 2 6 2" xfId="25630"/>
    <cellStyle name="Note 2 9 2 6 2 2" xfId="25631"/>
    <cellStyle name="Note 2 9 2 6 3" xfId="25632"/>
    <cellStyle name="Note 2 9 2 7" xfId="25633"/>
    <cellStyle name="Note 2 9 2 8" xfId="25634"/>
    <cellStyle name="Note 2 9 20" xfId="25635"/>
    <cellStyle name="Note 2 9 20 2" xfId="25636"/>
    <cellStyle name="Note 2 9 20 2 2" xfId="25637"/>
    <cellStyle name="Note 2 9 20 2 2 2" xfId="25638"/>
    <cellStyle name="Note 2 9 20 2 3" xfId="25639"/>
    <cellStyle name="Note 2 9 20 3" xfId="25640"/>
    <cellStyle name="Note 2 9 20 4" xfId="25641"/>
    <cellStyle name="Note 2 9 21" xfId="25642"/>
    <cellStyle name="Note 2 9 21 2" xfId="25643"/>
    <cellStyle name="Note 2 9 21 2 2" xfId="25644"/>
    <cellStyle name="Note 2 9 21 2 2 2" xfId="25645"/>
    <cellStyle name="Note 2 9 21 2 3" xfId="25646"/>
    <cellStyle name="Note 2 9 21 3" xfId="25647"/>
    <cellStyle name="Note 2 9 21 4" xfId="25648"/>
    <cellStyle name="Note 2 9 22" xfId="25649"/>
    <cellStyle name="Note 2 9 22 2" xfId="25650"/>
    <cellStyle name="Note 2 9 22 2 2" xfId="25651"/>
    <cellStyle name="Note 2 9 22 2 2 2" xfId="25652"/>
    <cellStyle name="Note 2 9 22 2 3" xfId="25653"/>
    <cellStyle name="Note 2 9 22 3" xfId="25654"/>
    <cellStyle name="Note 2 9 22 4" xfId="25655"/>
    <cellStyle name="Note 2 9 23" xfId="25656"/>
    <cellStyle name="Note 2 9 23 2" xfId="25657"/>
    <cellStyle name="Note 2 9 23 2 2" xfId="25658"/>
    <cellStyle name="Note 2 9 23 2 2 2" xfId="25659"/>
    <cellStyle name="Note 2 9 23 2 3" xfId="25660"/>
    <cellStyle name="Note 2 9 23 3" xfId="25661"/>
    <cellStyle name="Note 2 9 23 4" xfId="25662"/>
    <cellStyle name="Note 2 9 24" xfId="25663"/>
    <cellStyle name="Note 2 9 24 2" xfId="25664"/>
    <cellStyle name="Note 2 9 24 2 2" xfId="25665"/>
    <cellStyle name="Note 2 9 24 2 2 2" xfId="25666"/>
    <cellStyle name="Note 2 9 24 2 3" xfId="25667"/>
    <cellStyle name="Note 2 9 24 3" xfId="25668"/>
    <cellStyle name="Note 2 9 24 4" xfId="25669"/>
    <cellStyle name="Note 2 9 25" xfId="25670"/>
    <cellStyle name="Note 2 9 25 2" xfId="25671"/>
    <cellStyle name="Note 2 9 25 2 2" xfId="25672"/>
    <cellStyle name="Note 2 9 25 2 2 2" xfId="25673"/>
    <cellStyle name="Note 2 9 25 2 3" xfId="25674"/>
    <cellStyle name="Note 2 9 25 3" xfId="25675"/>
    <cellStyle name="Note 2 9 25 4" xfId="25676"/>
    <cellStyle name="Note 2 9 26" xfId="25677"/>
    <cellStyle name="Note 2 9 26 2" xfId="25678"/>
    <cellStyle name="Note 2 9 26 2 2" xfId="25679"/>
    <cellStyle name="Note 2 9 26 2 2 2" xfId="25680"/>
    <cellStyle name="Note 2 9 26 2 3" xfId="25681"/>
    <cellStyle name="Note 2 9 26 3" xfId="25682"/>
    <cellStyle name="Note 2 9 26 4" xfId="25683"/>
    <cellStyle name="Note 2 9 27" xfId="25684"/>
    <cellStyle name="Note 2 9 27 2" xfId="25685"/>
    <cellStyle name="Note 2 9 27 2 2" xfId="25686"/>
    <cellStyle name="Note 2 9 27 2 2 2" xfId="25687"/>
    <cellStyle name="Note 2 9 27 2 3" xfId="25688"/>
    <cellStyle name="Note 2 9 27 3" xfId="25689"/>
    <cellStyle name="Note 2 9 27 4" xfId="25690"/>
    <cellStyle name="Note 2 9 28" xfId="25691"/>
    <cellStyle name="Note 2 9 28 2" xfId="25692"/>
    <cellStyle name="Note 2 9 28 2 2" xfId="25693"/>
    <cellStyle name="Note 2 9 28 2 2 2" xfId="25694"/>
    <cellStyle name="Note 2 9 28 2 3" xfId="25695"/>
    <cellStyle name="Note 2 9 28 3" xfId="25696"/>
    <cellStyle name="Note 2 9 28 4" xfId="25697"/>
    <cellStyle name="Note 2 9 29" xfId="25698"/>
    <cellStyle name="Note 2 9 29 2" xfId="25699"/>
    <cellStyle name="Note 2 9 29 2 2" xfId="25700"/>
    <cellStyle name="Note 2 9 29 2 2 2" xfId="25701"/>
    <cellStyle name="Note 2 9 29 2 3" xfId="25702"/>
    <cellStyle name="Note 2 9 29 3" xfId="25703"/>
    <cellStyle name="Note 2 9 29 4" xfId="25704"/>
    <cellStyle name="Note 2 9 3" xfId="25705"/>
    <cellStyle name="Note 2 9 3 2" xfId="25706"/>
    <cellStyle name="Note 2 9 3 2 2" xfId="25707"/>
    <cellStyle name="Note 2 9 3 2 2 2" xfId="25708"/>
    <cellStyle name="Note 2 9 3 2 3" xfId="25709"/>
    <cellStyle name="Note 2 9 3 3" xfId="25710"/>
    <cellStyle name="Note 2 9 3 3 2" xfId="25711"/>
    <cellStyle name="Note 2 9 3 3 2 2" xfId="25712"/>
    <cellStyle name="Note 2 9 3 3 3" xfId="25713"/>
    <cellStyle name="Note 2 9 3 4" xfId="25714"/>
    <cellStyle name="Note 2 9 3 4 2" xfId="25715"/>
    <cellStyle name="Note 2 9 3 4 2 2" xfId="25716"/>
    <cellStyle name="Note 2 9 3 4 3" xfId="25717"/>
    <cellStyle name="Note 2 9 3 5" xfId="25718"/>
    <cellStyle name="Note 2 9 3 6" xfId="25719"/>
    <cellStyle name="Note 2 9 30" xfId="25720"/>
    <cellStyle name="Note 2 9 30 2" xfId="25721"/>
    <cellStyle name="Note 2 9 30 2 2" xfId="25722"/>
    <cellStyle name="Note 2 9 30 2 2 2" xfId="25723"/>
    <cellStyle name="Note 2 9 30 2 3" xfId="25724"/>
    <cellStyle name="Note 2 9 30 3" xfId="25725"/>
    <cellStyle name="Note 2 9 30 4" xfId="25726"/>
    <cellStyle name="Note 2 9 31" xfId="25727"/>
    <cellStyle name="Note 2 9 31 2" xfId="25728"/>
    <cellStyle name="Note 2 9 31 2 2" xfId="25729"/>
    <cellStyle name="Note 2 9 31 2 2 2" xfId="25730"/>
    <cellStyle name="Note 2 9 31 2 3" xfId="25731"/>
    <cellStyle name="Note 2 9 31 3" xfId="25732"/>
    <cellStyle name="Note 2 9 31 4" xfId="25733"/>
    <cellStyle name="Note 2 9 32" xfId="25734"/>
    <cellStyle name="Note 2 9 32 2" xfId="25735"/>
    <cellStyle name="Note 2 9 32 2 2" xfId="25736"/>
    <cellStyle name="Note 2 9 32 2 2 2" xfId="25737"/>
    <cellStyle name="Note 2 9 32 2 3" xfId="25738"/>
    <cellStyle name="Note 2 9 32 3" xfId="25739"/>
    <cellStyle name="Note 2 9 32 4" xfId="25740"/>
    <cellStyle name="Note 2 9 33" xfId="25741"/>
    <cellStyle name="Note 2 9 33 2" xfId="25742"/>
    <cellStyle name="Note 2 9 33 2 2" xfId="25743"/>
    <cellStyle name="Note 2 9 33 2 2 2" xfId="25744"/>
    <cellStyle name="Note 2 9 33 2 3" xfId="25745"/>
    <cellStyle name="Note 2 9 33 3" xfId="25746"/>
    <cellStyle name="Note 2 9 33 4" xfId="25747"/>
    <cellStyle name="Note 2 9 34" xfId="25748"/>
    <cellStyle name="Note 2 9 34 2" xfId="25749"/>
    <cellStyle name="Note 2 9 34 2 2" xfId="25750"/>
    <cellStyle name="Note 2 9 34 2 2 2" xfId="25751"/>
    <cellStyle name="Note 2 9 34 2 3" xfId="25752"/>
    <cellStyle name="Note 2 9 34 3" xfId="25753"/>
    <cellStyle name="Note 2 9 34 4" xfId="25754"/>
    <cellStyle name="Note 2 9 35" xfId="25755"/>
    <cellStyle name="Note 2 9 35 2" xfId="25756"/>
    <cellStyle name="Note 2 9 35 2 2" xfId="25757"/>
    <cellStyle name="Note 2 9 35 2 2 2" xfId="25758"/>
    <cellStyle name="Note 2 9 35 2 3" xfId="25759"/>
    <cellStyle name="Note 2 9 35 3" xfId="25760"/>
    <cellStyle name="Note 2 9 35 4" xfId="25761"/>
    <cellStyle name="Note 2 9 36" xfId="25762"/>
    <cellStyle name="Note 2 9 36 2" xfId="25763"/>
    <cellStyle name="Note 2 9 36 2 2" xfId="25764"/>
    <cellStyle name="Note 2 9 36 2 2 2" xfId="25765"/>
    <cellStyle name="Note 2 9 36 2 3" xfId="25766"/>
    <cellStyle name="Note 2 9 36 3" xfId="25767"/>
    <cellStyle name="Note 2 9 36 4" xfId="25768"/>
    <cellStyle name="Note 2 9 37" xfId="25769"/>
    <cellStyle name="Note 2 9 37 2" xfId="25770"/>
    <cellStyle name="Note 2 9 37 2 2" xfId="25771"/>
    <cellStyle name="Note 2 9 37 2 2 2" xfId="25772"/>
    <cellStyle name="Note 2 9 37 2 3" xfId="25773"/>
    <cellStyle name="Note 2 9 37 3" xfId="25774"/>
    <cellStyle name="Note 2 9 37 4" xfId="25775"/>
    <cellStyle name="Note 2 9 38" xfId="25776"/>
    <cellStyle name="Note 2 9 38 2" xfId="25777"/>
    <cellStyle name="Note 2 9 38 2 2" xfId="25778"/>
    <cellStyle name="Note 2 9 38 2 2 2" xfId="25779"/>
    <cellStyle name="Note 2 9 38 2 3" xfId="25780"/>
    <cellStyle name="Note 2 9 38 3" xfId="25781"/>
    <cellStyle name="Note 2 9 38 4" xfId="25782"/>
    <cellStyle name="Note 2 9 39" xfId="25783"/>
    <cellStyle name="Note 2 9 39 2" xfId="25784"/>
    <cellStyle name="Note 2 9 39 2 2" xfId="25785"/>
    <cellStyle name="Note 2 9 39 2 2 2" xfId="25786"/>
    <cellStyle name="Note 2 9 39 2 3" xfId="25787"/>
    <cellStyle name="Note 2 9 39 3" xfId="25788"/>
    <cellStyle name="Note 2 9 39 4" xfId="25789"/>
    <cellStyle name="Note 2 9 4" xfId="25790"/>
    <cellStyle name="Note 2 9 4 2" xfId="25791"/>
    <cellStyle name="Note 2 9 4 2 2" xfId="25792"/>
    <cellStyle name="Note 2 9 4 2 2 2" xfId="25793"/>
    <cellStyle name="Note 2 9 4 2 3" xfId="25794"/>
    <cellStyle name="Note 2 9 4 3" xfId="25795"/>
    <cellStyle name="Note 2 9 4 3 2" xfId="25796"/>
    <cellStyle name="Note 2 9 4 3 2 2" xfId="25797"/>
    <cellStyle name="Note 2 9 4 3 3" xfId="25798"/>
    <cellStyle name="Note 2 9 4 4" xfId="25799"/>
    <cellStyle name="Note 2 9 4 4 2" xfId="25800"/>
    <cellStyle name="Note 2 9 4 4 2 2" xfId="25801"/>
    <cellStyle name="Note 2 9 4 4 3" xfId="25802"/>
    <cellStyle name="Note 2 9 4 5" xfId="25803"/>
    <cellStyle name="Note 2 9 4 6" xfId="25804"/>
    <cellStyle name="Note 2 9 40" xfId="25805"/>
    <cellStyle name="Note 2 9 40 2" xfId="25806"/>
    <cellStyle name="Note 2 9 40 2 2" xfId="25807"/>
    <cellStyle name="Note 2 9 40 2 2 2" xfId="25808"/>
    <cellStyle name="Note 2 9 40 2 3" xfId="25809"/>
    <cellStyle name="Note 2 9 40 3" xfId="25810"/>
    <cellStyle name="Note 2 9 40 4" xfId="25811"/>
    <cellStyle name="Note 2 9 41" xfId="25812"/>
    <cellStyle name="Note 2 9 41 2" xfId="25813"/>
    <cellStyle name="Note 2 9 41 2 2" xfId="25814"/>
    <cellStyle name="Note 2 9 41 2 2 2" xfId="25815"/>
    <cellStyle name="Note 2 9 41 2 3" xfId="25816"/>
    <cellStyle name="Note 2 9 41 3" xfId="25817"/>
    <cellStyle name="Note 2 9 41 4" xfId="25818"/>
    <cellStyle name="Note 2 9 42" xfId="25819"/>
    <cellStyle name="Note 2 9 42 2" xfId="25820"/>
    <cellStyle name="Note 2 9 42 2 2" xfId="25821"/>
    <cellStyle name="Note 2 9 42 2 2 2" xfId="25822"/>
    <cellStyle name="Note 2 9 42 2 3" xfId="25823"/>
    <cellStyle name="Note 2 9 42 3" xfId="25824"/>
    <cellStyle name="Note 2 9 42 4" xfId="25825"/>
    <cellStyle name="Note 2 9 43" xfId="25826"/>
    <cellStyle name="Note 2 9 43 2" xfId="25827"/>
    <cellStyle name="Note 2 9 43 2 2" xfId="25828"/>
    <cellStyle name="Note 2 9 43 2 2 2" xfId="25829"/>
    <cellStyle name="Note 2 9 43 2 3" xfId="25830"/>
    <cellStyle name="Note 2 9 43 3" xfId="25831"/>
    <cellStyle name="Note 2 9 43 4" xfId="25832"/>
    <cellStyle name="Note 2 9 44" xfId="25833"/>
    <cellStyle name="Note 2 9 44 2" xfId="25834"/>
    <cellStyle name="Note 2 9 44 2 2" xfId="25835"/>
    <cellStyle name="Note 2 9 44 2 2 2" xfId="25836"/>
    <cellStyle name="Note 2 9 44 2 3" xfId="25837"/>
    <cellStyle name="Note 2 9 44 3" xfId="25838"/>
    <cellStyle name="Note 2 9 44 4" xfId="25839"/>
    <cellStyle name="Note 2 9 45" xfId="25840"/>
    <cellStyle name="Note 2 9 45 2" xfId="25841"/>
    <cellStyle name="Note 2 9 45 2 2" xfId="25842"/>
    <cellStyle name="Note 2 9 45 2 2 2" xfId="25843"/>
    <cellStyle name="Note 2 9 45 2 3" xfId="25844"/>
    <cellStyle name="Note 2 9 45 3" xfId="25845"/>
    <cellStyle name="Note 2 9 45 4" xfId="25846"/>
    <cellStyle name="Note 2 9 46" xfId="25847"/>
    <cellStyle name="Note 2 9 46 2" xfId="25848"/>
    <cellStyle name="Note 2 9 46 2 2" xfId="25849"/>
    <cellStyle name="Note 2 9 46 2 2 2" xfId="25850"/>
    <cellStyle name="Note 2 9 46 2 3" xfId="25851"/>
    <cellStyle name="Note 2 9 46 3" xfId="25852"/>
    <cellStyle name="Note 2 9 46 4" xfId="25853"/>
    <cellStyle name="Note 2 9 47" xfId="25854"/>
    <cellStyle name="Note 2 9 47 2" xfId="25855"/>
    <cellStyle name="Note 2 9 47 2 2" xfId="25856"/>
    <cellStyle name="Note 2 9 47 2 2 2" xfId="25857"/>
    <cellStyle name="Note 2 9 47 2 3" xfId="25858"/>
    <cellStyle name="Note 2 9 47 3" xfId="25859"/>
    <cellStyle name="Note 2 9 47 4" xfId="25860"/>
    <cellStyle name="Note 2 9 48" xfId="25861"/>
    <cellStyle name="Note 2 9 48 2" xfId="25862"/>
    <cellStyle name="Note 2 9 48 2 2" xfId="25863"/>
    <cellStyle name="Note 2 9 48 2 2 2" xfId="25864"/>
    <cellStyle name="Note 2 9 48 2 3" xfId="25865"/>
    <cellStyle name="Note 2 9 48 3" xfId="25866"/>
    <cellStyle name="Note 2 9 48 4" xfId="25867"/>
    <cellStyle name="Note 2 9 49" xfId="25868"/>
    <cellStyle name="Note 2 9 49 2" xfId="25869"/>
    <cellStyle name="Note 2 9 49 2 2" xfId="25870"/>
    <cellStyle name="Note 2 9 49 3" xfId="25871"/>
    <cellStyle name="Note 2 9 5" xfId="25872"/>
    <cellStyle name="Note 2 9 5 2" xfId="25873"/>
    <cellStyle name="Note 2 9 5 2 2" xfId="25874"/>
    <cellStyle name="Note 2 9 5 2 2 2" xfId="25875"/>
    <cellStyle name="Note 2 9 5 2 3" xfId="25876"/>
    <cellStyle name="Note 2 9 5 3" xfId="25877"/>
    <cellStyle name="Note 2 9 5 3 2" xfId="25878"/>
    <cellStyle name="Note 2 9 5 3 2 2" xfId="25879"/>
    <cellStyle name="Note 2 9 5 3 3" xfId="25880"/>
    <cellStyle name="Note 2 9 5 4" xfId="25881"/>
    <cellStyle name="Note 2 9 5 4 2" xfId="25882"/>
    <cellStyle name="Note 2 9 5 4 2 2" xfId="25883"/>
    <cellStyle name="Note 2 9 5 4 3" xfId="25884"/>
    <cellStyle name="Note 2 9 5 5" xfId="25885"/>
    <cellStyle name="Note 2 9 5 6" xfId="25886"/>
    <cellStyle name="Note 2 9 50" xfId="25887"/>
    <cellStyle name="Note 2 9 50 2" xfId="25888"/>
    <cellStyle name="Note 2 9 50 2 2" xfId="25889"/>
    <cellStyle name="Note 2 9 50 3" xfId="25890"/>
    <cellStyle name="Note 2 9 51" xfId="25891"/>
    <cellStyle name="Note 2 9 51 2" xfId="25892"/>
    <cellStyle name="Note 2 9 51 2 2" xfId="25893"/>
    <cellStyle name="Note 2 9 51 3" xfId="25894"/>
    <cellStyle name="Note 2 9 52" xfId="25895"/>
    <cellStyle name="Note 2 9 52 2" xfId="25896"/>
    <cellStyle name="Note 2 9 52 2 2" xfId="25897"/>
    <cellStyle name="Note 2 9 52 3" xfId="25898"/>
    <cellStyle name="Note 2 9 53" xfId="25899"/>
    <cellStyle name="Note 2 9 54" xfId="25900"/>
    <cellStyle name="Note 2 9 6" xfId="25901"/>
    <cellStyle name="Note 2 9 6 2" xfId="25902"/>
    <cellStyle name="Note 2 9 6 2 2" xfId="25903"/>
    <cellStyle name="Note 2 9 6 2 2 2" xfId="25904"/>
    <cellStyle name="Note 2 9 6 2 3" xfId="25905"/>
    <cellStyle name="Note 2 9 6 3" xfId="25906"/>
    <cellStyle name="Note 2 9 6 3 2" xfId="25907"/>
    <cellStyle name="Note 2 9 6 3 2 2" xfId="25908"/>
    <cellStyle name="Note 2 9 6 3 3" xfId="25909"/>
    <cellStyle name="Note 2 9 6 4" xfId="25910"/>
    <cellStyle name="Note 2 9 6 4 2" xfId="25911"/>
    <cellStyle name="Note 2 9 6 4 2 2" xfId="25912"/>
    <cellStyle name="Note 2 9 6 4 3" xfId="25913"/>
    <cellStyle name="Note 2 9 6 5" xfId="25914"/>
    <cellStyle name="Note 2 9 6 6" xfId="25915"/>
    <cellStyle name="Note 2 9 7" xfId="25916"/>
    <cellStyle name="Note 2 9 7 2" xfId="25917"/>
    <cellStyle name="Note 2 9 7 2 2" xfId="25918"/>
    <cellStyle name="Note 2 9 7 2 2 2" xfId="25919"/>
    <cellStyle name="Note 2 9 7 2 3" xfId="25920"/>
    <cellStyle name="Note 2 9 7 3" xfId="25921"/>
    <cellStyle name="Note 2 9 7 3 2" xfId="25922"/>
    <cellStyle name="Note 2 9 7 3 2 2" xfId="25923"/>
    <cellStyle name="Note 2 9 7 3 3" xfId="25924"/>
    <cellStyle name="Note 2 9 7 4" xfId="25925"/>
    <cellStyle name="Note 2 9 7 4 2" xfId="25926"/>
    <cellStyle name="Note 2 9 7 4 2 2" xfId="25927"/>
    <cellStyle name="Note 2 9 7 4 3" xfId="25928"/>
    <cellStyle name="Note 2 9 7 5" xfId="25929"/>
    <cellStyle name="Note 2 9 7 6" xfId="25930"/>
    <cellStyle name="Note 2 9 8" xfId="25931"/>
    <cellStyle name="Note 2 9 8 2" xfId="25932"/>
    <cellStyle name="Note 2 9 8 2 2" xfId="25933"/>
    <cellStyle name="Note 2 9 8 2 2 2" xfId="25934"/>
    <cellStyle name="Note 2 9 8 2 3" xfId="25935"/>
    <cellStyle name="Note 2 9 8 3" xfId="25936"/>
    <cellStyle name="Note 2 9 8 3 2" xfId="25937"/>
    <cellStyle name="Note 2 9 8 3 2 2" xfId="25938"/>
    <cellStyle name="Note 2 9 8 3 3" xfId="25939"/>
    <cellStyle name="Note 2 9 8 4" xfId="25940"/>
    <cellStyle name="Note 2 9 8 4 2" xfId="25941"/>
    <cellStyle name="Note 2 9 8 4 2 2" xfId="25942"/>
    <cellStyle name="Note 2 9 8 4 3" xfId="25943"/>
    <cellStyle name="Note 2 9 8 5" xfId="25944"/>
    <cellStyle name="Note 2 9 8 6" xfId="25945"/>
    <cellStyle name="Note 2 9 9" xfId="25946"/>
    <cellStyle name="Note 2 9 9 2" xfId="25947"/>
    <cellStyle name="Note 2 9 9 2 2" xfId="25948"/>
    <cellStyle name="Note 2 9 9 2 2 2" xfId="25949"/>
    <cellStyle name="Note 2 9 9 2 3" xfId="25950"/>
    <cellStyle name="Note 2 9 9 3" xfId="25951"/>
    <cellStyle name="Note 2 9 9 4" xfId="25952"/>
    <cellStyle name="Note 3" xfId="25953"/>
    <cellStyle name="Note 3 10" xfId="25954"/>
    <cellStyle name="Note 3 10 2" xfId="25955"/>
    <cellStyle name="Note 3 10 2 2" xfId="25956"/>
    <cellStyle name="Note 3 10 2 2 2" xfId="25957"/>
    <cellStyle name="Note 3 10 2 3" xfId="25958"/>
    <cellStyle name="Note 3 10 3" xfId="25959"/>
    <cellStyle name="Note 3 10 4" xfId="25960"/>
    <cellStyle name="Note 3 11" xfId="25961"/>
    <cellStyle name="Note 3 11 2" xfId="25962"/>
    <cellStyle name="Note 3 11 2 2" xfId="25963"/>
    <cellStyle name="Note 3 11 2 2 2" xfId="25964"/>
    <cellStyle name="Note 3 11 2 3" xfId="25965"/>
    <cellStyle name="Note 3 11 3" xfId="25966"/>
    <cellStyle name="Note 3 11 4" xfId="25967"/>
    <cellStyle name="Note 3 12" xfId="25968"/>
    <cellStyle name="Note 3 12 2" xfId="25969"/>
    <cellStyle name="Note 3 12 2 2" xfId="25970"/>
    <cellStyle name="Note 3 12 2 2 2" xfId="25971"/>
    <cellStyle name="Note 3 12 2 3" xfId="25972"/>
    <cellStyle name="Note 3 12 3" xfId="25973"/>
    <cellStyle name="Note 3 12 4" xfId="25974"/>
    <cellStyle name="Note 3 13" xfId="25975"/>
    <cellStyle name="Note 3 13 2" xfId="25976"/>
    <cellStyle name="Note 3 13 2 2" xfId="25977"/>
    <cellStyle name="Note 3 13 2 2 2" xfId="25978"/>
    <cellStyle name="Note 3 13 2 3" xfId="25979"/>
    <cellStyle name="Note 3 13 3" xfId="25980"/>
    <cellStyle name="Note 3 13 4" xfId="25981"/>
    <cellStyle name="Note 3 14" xfId="25982"/>
    <cellStyle name="Note 3 14 2" xfId="25983"/>
    <cellStyle name="Note 3 14 2 2" xfId="25984"/>
    <cellStyle name="Note 3 14 2 2 2" xfId="25985"/>
    <cellStyle name="Note 3 14 2 3" xfId="25986"/>
    <cellStyle name="Note 3 14 3" xfId="25987"/>
    <cellStyle name="Note 3 14 4" xfId="25988"/>
    <cellStyle name="Note 3 15" xfId="25989"/>
    <cellStyle name="Note 3 15 2" xfId="25990"/>
    <cellStyle name="Note 3 15 2 2" xfId="25991"/>
    <cellStyle name="Note 3 15 2 2 2" xfId="25992"/>
    <cellStyle name="Note 3 15 2 3" xfId="25993"/>
    <cellStyle name="Note 3 15 3" xfId="25994"/>
    <cellStyle name="Note 3 15 4" xfId="25995"/>
    <cellStyle name="Note 3 16" xfId="25996"/>
    <cellStyle name="Note 3 16 2" xfId="25997"/>
    <cellStyle name="Note 3 16 2 2" xfId="25998"/>
    <cellStyle name="Note 3 16 2 2 2" xfId="25999"/>
    <cellStyle name="Note 3 16 2 3" xfId="26000"/>
    <cellStyle name="Note 3 16 3" xfId="26001"/>
    <cellStyle name="Note 3 16 4" xfId="26002"/>
    <cellStyle name="Note 3 17" xfId="26003"/>
    <cellStyle name="Note 3 17 2" xfId="26004"/>
    <cellStyle name="Note 3 17 2 2" xfId="26005"/>
    <cellStyle name="Note 3 17 2 2 2" xfId="26006"/>
    <cellStyle name="Note 3 17 2 3" xfId="26007"/>
    <cellStyle name="Note 3 17 3" xfId="26008"/>
    <cellStyle name="Note 3 17 4" xfId="26009"/>
    <cellStyle name="Note 3 18" xfId="26010"/>
    <cellStyle name="Note 3 18 2" xfId="26011"/>
    <cellStyle name="Note 3 18 2 2" xfId="26012"/>
    <cellStyle name="Note 3 18 2 2 2" xfId="26013"/>
    <cellStyle name="Note 3 18 2 3" xfId="26014"/>
    <cellStyle name="Note 3 18 3" xfId="26015"/>
    <cellStyle name="Note 3 18 4" xfId="26016"/>
    <cellStyle name="Note 3 19" xfId="26017"/>
    <cellStyle name="Note 3 19 2" xfId="26018"/>
    <cellStyle name="Note 3 19 2 2" xfId="26019"/>
    <cellStyle name="Note 3 19 2 2 2" xfId="26020"/>
    <cellStyle name="Note 3 19 2 3" xfId="26021"/>
    <cellStyle name="Note 3 19 3" xfId="26022"/>
    <cellStyle name="Note 3 19 4" xfId="26023"/>
    <cellStyle name="Note 3 2" xfId="26024"/>
    <cellStyle name="Note 3 2 2" xfId="26025"/>
    <cellStyle name="Note 3 2 2 2" xfId="26026"/>
    <cellStyle name="Note 3 2 2 2 2" xfId="26027"/>
    <cellStyle name="Note 3 2 2 2 2 2" xfId="26028"/>
    <cellStyle name="Note 3 2 2 2 2 2 2" xfId="26029"/>
    <cellStyle name="Note 3 2 2 2 2 3" xfId="26030"/>
    <cellStyle name="Note 3 2 2 2 3" xfId="26031"/>
    <cellStyle name="Note 3 2 2 2 3 2" xfId="26032"/>
    <cellStyle name="Note 3 2 2 2 4" xfId="26033"/>
    <cellStyle name="Note 3 2 2 3" xfId="26034"/>
    <cellStyle name="Note 3 2 2 3 2" xfId="26035"/>
    <cellStyle name="Note 3 2 2 3 2 2" xfId="26036"/>
    <cellStyle name="Note 3 2 2 3 3" xfId="26037"/>
    <cellStyle name="Note 3 2 2 4" xfId="26038"/>
    <cellStyle name="Note 3 2 2 4 2" xfId="26039"/>
    <cellStyle name="Note 3 2 2 4 2 2" xfId="26040"/>
    <cellStyle name="Note 3 2 2 4 3" xfId="26041"/>
    <cellStyle name="Note 3 2 2 5" xfId="26042"/>
    <cellStyle name="Note 3 2 2 5 2" xfId="26043"/>
    <cellStyle name="Note 3 2 2 5 2 2" xfId="26044"/>
    <cellStyle name="Note 3 2 2 5 3" xfId="26045"/>
    <cellStyle name="Note 3 2 2 6" xfId="26046"/>
    <cellStyle name="Note 3 2 2 6 2" xfId="26047"/>
    <cellStyle name="Note 3 2 2 6 2 2" xfId="26048"/>
    <cellStyle name="Note 3 2 2 6 3" xfId="26049"/>
    <cellStyle name="Note 3 2 2 7" xfId="26050"/>
    <cellStyle name="Note 3 2 3" xfId="26051"/>
    <cellStyle name="Note 3 2 3 2" xfId="26052"/>
    <cellStyle name="Note 3 2 3 2 2" xfId="26053"/>
    <cellStyle name="Note 3 2 3 2 2 2" xfId="26054"/>
    <cellStyle name="Note 3 2 3 2 3" xfId="26055"/>
    <cellStyle name="Note 3 2 3 3" xfId="26056"/>
    <cellStyle name="Note 3 2 3 3 2" xfId="26057"/>
    <cellStyle name="Note 3 2 3 4" xfId="26058"/>
    <cellStyle name="Note 3 2 4" xfId="26059"/>
    <cellStyle name="Note 3 2 4 2" xfId="26060"/>
    <cellStyle name="Note 3 2 4 2 2" xfId="26061"/>
    <cellStyle name="Note 3 2 4 3" xfId="26062"/>
    <cellStyle name="Note 3 2 5" xfId="26063"/>
    <cellStyle name="Note 3 2 5 2" xfId="26064"/>
    <cellStyle name="Note 3 2 5 2 2" xfId="26065"/>
    <cellStyle name="Note 3 2 5 3" xfId="26066"/>
    <cellStyle name="Note 3 2 6" xfId="26067"/>
    <cellStyle name="Note 3 2 6 2" xfId="26068"/>
    <cellStyle name="Note 3 2 6 2 2" xfId="26069"/>
    <cellStyle name="Note 3 2 6 3" xfId="26070"/>
    <cellStyle name="Note 3 2 7" xfId="26071"/>
    <cellStyle name="Note 3 2 7 2" xfId="26072"/>
    <cellStyle name="Note 3 2 7 2 2" xfId="26073"/>
    <cellStyle name="Note 3 2 7 3" xfId="26074"/>
    <cellStyle name="Note 3 2 8" xfId="26075"/>
    <cellStyle name="Note 3 2 9" xfId="26076"/>
    <cellStyle name="Note 3 20" xfId="26077"/>
    <cellStyle name="Note 3 20 2" xfId="26078"/>
    <cellStyle name="Note 3 20 2 2" xfId="26079"/>
    <cellStyle name="Note 3 20 2 2 2" xfId="26080"/>
    <cellStyle name="Note 3 20 2 3" xfId="26081"/>
    <cellStyle name="Note 3 20 3" xfId="26082"/>
    <cellStyle name="Note 3 20 4" xfId="26083"/>
    <cellStyle name="Note 3 21" xfId="26084"/>
    <cellStyle name="Note 3 21 2" xfId="26085"/>
    <cellStyle name="Note 3 21 2 2" xfId="26086"/>
    <cellStyle name="Note 3 21 2 2 2" xfId="26087"/>
    <cellStyle name="Note 3 21 2 3" xfId="26088"/>
    <cellStyle name="Note 3 21 3" xfId="26089"/>
    <cellStyle name="Note 3 21 4" xfId="26090"/>
    <cellStyle name="Note 3 22" xfId="26091"/>
    <cellStyle name="Note 3 22 2" xfId="26092"/>
    <cellStyle name="Note 3 22 2 2" xfId="26093"/>
    <cellStyle name="Note 3 22 2 2 2" xfId="26094"/>
    <cellStyle name="Note 3 22 2 3" xfId="26095"/>
    <cellStyle name="Note 3 22 3" xfId="26096"/>
    <cellStyle name="Note 3 22 4" xfId="26097"/>
    <cellStyle name="Note 3 23" xfId="26098"/>
    <cellStyle name="Note 3 23 2" xfId="26099"/>
    <cellStyle name="Note 3 23 2 2" xfId="26100"/>
    <cellStyle name="Note 3 23 2 2 2" xfId="26101"/>
    <cellStyle name="Note 3 23 2 3" xfId="26102"/>
    <cellStyle name="Note 3 23 3" xfId="26103"/>
    <cellStyle name="Note 3 23 4" xfId="26104"/>
    <cellStyle name="Note 3 24" xfId="26105"/>
    <cellStyle name="Note 3 24 2" xfId="26106"/>
    <cellStyle name="Note 3 24 2 2" xfId="26107"/>
    <cellStyle name="Note 3 24 2 2 2" xfId="26108"/>
    <cellStyle name="Note 3 24 2 3" xfId="26109"/>
    <cellStyle name="Note 3 24 3" xfId="26110"/>
    <cellStyle name="Note 3 24 4" xfId="26111"/>
    <cellStyle name="Note 3 25" xfId="26112"/>
    <cellStyle name="Note 3 25 2" xfId="26113"/>
    <cellStyle name="Note 3 25 2 2" xfId="26114"/>
    <cellStyle name="Note 3 25 2 2 2" xfId="26115"/>
    <cellStyle name="Note 3 25 2 3" xfId="26116"/>
    <cellStyle name="Note 3 25 3" xfId="26117"/>
    <cellStyle name="Note 3 25 4" xfId="26118"/>
    <cellStyle name="Note 3 26" xfId="26119"/>
    <cellStyle name="Note 3 26 2" xfId="26120"/>
    <cellStyle name="Note 3 26 2 2" xfId="26121"/>
    <cellStyle name="Note 3 26 2 2 2" xfId="26122"/>
    <cellStyle name="Note 3 26 2 3" xfId="26123"/>
    <cellStyle name="Note 3 26 3" xfId="26124"/>
    <cellStyle name="Note 3 26 4" xfId="26125"/>
    <cellStyle name="Note 3 27" xfId="26126"/>
    <cellStyle name="Note 3 27 2" xfId="26127"/>
    <cellStyle name="Note 3 27 2 2" xfId="26128"/>
    <cellStyle name="Note 3 27 2 2 2" xfId="26129"/>
    <cellStyle name="Note 3 27 2 3" xfId="26130"/>
    <cellStyle name="Note 3 27 3" xfId="26131"/>
    <cellStyle name="Note 3 27 4" xfId="26132"/>
    <cellStyle name="Note 3 28" xfId="26133"/>
    <cellStyle name="Note 3 28 2" xfId="26134"/>
    <cellStyle name="Note 3 28 2 2" xfId="26135"/>
    <cellStyle name="Note 3 28 2 2 2" xfId="26136"/>
    <cellStyle name="Note 3 28 2 3" xfId="26137"/>
    <cellStyle name="Note 3 28 3" xfId="26138"/>
    <cellStyle name="Note 3 28 4" xfId="26139"/>
    <cellStyle name="Note 3 29" xfId="26140"/>
    <cellStyle name="Note 3 29 2" xfId="26141"/>
    <cellStyle name="Note 3 29 2 2" xfId="26142"/>
    <cellStyle name="Note 3 29 2 2 2" xfId="26143"/>
    <cellStyle name="Note 3 29 2 3" xfId="26144"/>
    <cellStyle name="Note 3 29 3" xfId="26145"/>
    <cellStyle name="Note 3 29 4" xfId="26146"/>
    <cellStyle name="Note 3 3" xfId="26147"/>
    <cellStyle name="Note 3 3 2" xfId="26148"/>
    <cellStyle name="Note 3 3 2 2" xfId="26149"/>
    <cellStyle name="Note 3 3 2 2 2" xfId="26150"/>
    <cellStyle name="Note 3 3 2 2 2 2" xfId="26151"/>
    <cellStyle name="Note 3 3 2 2 3" xfId="26152"/>
    <cellStyle name="Note 3 3 2 3" xfId="26153"/>
    <cellStyle name="Note 3 3 2 3 2" xfId="26154"/>
    <cellStyle name="Note 3 3 2 4" xfId="26155"/>
    <cellStyle name="Note 3 3 3" xfId="26156"/>
    <cellStyle name="Note 3 3 3 2" xfId="26157"/>
    <cellStyle name="Note 3 3 3 2 2" xfId="26158"/>
    <cellStyle name="Note 3 3 3 3" xfId="26159"/>
    <cellStyle name="Note 3 3 4" xfId="26160"/>
    <cellStyle name="Note 3 3 4 2" xfId="26161"/>
    <cellStyle name="Note 3 3 4 2 2" xfId="26162"/>
    <cellStyle name="Note 3 3 4 3" xfId="26163"/>
    <cellStyle name="Note 3 3 5" xfId="26164"/>
    <cellStyle name="Note 3 3 5 2" xfId="26165"/>
    <cellStyle name="Note 3 3 5 2 2" xfId="26166"/>
    <cellStyle name="Note 3 3 5 3" xfId="26167"/>
    <cellStyle name="Note 3 3 6" xfId="26168"/>
    <cellStyle name="Note 3 3 6 2" xfId="26169"/>
    <cellStyle name="Note 3 3 6 2 2" xfId="26170"/>
    <cellStyle name="Note 3 3 6 3" xfId="26171"/>
    <cellStyle name="Note 3 3 7" xfId="26172"/>
    <cellStyle name="Note 3 3 8" xfId="26173"/>
    <cellStyle name="Note 3 30" xfId="26174"/>
    <cellStyle name="Note 3 30 2" xfId="26175"/>
    <cellStyle name="Note 3 30 2 2" xfId="26176"/>
    <cellStyle name="Note 3 30 2 2 2" xfId="26177"/>
    <cellStyle name="Note 3 30 2 3" xfId="26178"/>
    <cellStyle name="Note 3 30 3" xfId="26179"/>
    <cellStyle name="Note 3 30 4" xfId="26180"/>
    <cellStyle name="Note 3 31" xfId="26181"/>
    <cellStyle name="Note 3 31 2" xfId="26182"/>
    <cellStyle name="Note 3 31 2 2" xfId="26183"/>
    <cellStyle name="Note 3 31 2 2 2" xfId="26184"/>
    <cellStyle name="Note 3 31 2 3" xfId="26185"/>
    <cellStyle name="Note 3 31 3" xfId="26186"/>
    <cellStyle name="Note 3 31 4" xfId="26187"/>
    <cellStyle name="Note 3 32" xfId="26188"/>
    <cellStyle name="Note 3 32 2" xfId="26189"/>
    <cellStyle name="Note 3 32 2 2" xfId="26190"/>
    <cellStyle name="Note 3 32 2 2 2" xfId="26191"/>
    <cellStyle name="Note 3 32 2 3" xfId="26192"/>
    <cellStyle name="Note 3 32 3" xfId="26193"/>
    <cellStyle name="Note 3 32 4" xfId="26194"/>
    <cellStyle name="Note 3 33" xfId="26195"/>
    <cellStyle name="Note 3 33 2" xfId="26196"/>
    <cellStyle name="Note 3 33 2 2" xfId="26197"/>
    <cellStyle name="Note 3 33 2 2 2" xfId="26198"/>
    <cellStyle name="Note 3 33 2 3" xfId="26199"/>
    <cellStyle name="Note 3 33 3" xfId="26200"/>
    <cellStyle name="Note 3 33 4" xfId="26201"/>
    <cellStyle name="Note 3 34" xfId="26202"/>
    <cellStyle name="Note 3 34 2" xfId="26203"/>
    <cellStyle name="Note 3 34 2 2" xfId="26204"/>
    <cellStyle name="Note 3 34 2 2 2" xfId="26205"/>
    <cellStyle name="Note 3 34 2 3" xfId="26206"/>
    <cellStyle name="Note 3 34 3" xfId="26207"/>
    <cellStyle name="Note 3 34 4" xfId="26208"/>
    <cellStyle name="Note 3 35" xfId="26209"/>
    <cellStyle name="Note 3 35 2" xfId="26210"/>
    <cellStyle name="Note 3 35 2 2" xfId="26211"/>
    <cellStyle name="Note 3 35 2 2 2" xfId="26212"/>
    <cellStyle name="Note 3 35 2 3" xfId="26213"/>
    <cellStyle name="Note 3 35 3" xfId="26214"/>
    <cellStyle name="Note 3 35 4" xfId="26215"/>
    <cellStyle name="Note 3 36" xfId="26216"/>
    <cellStyle name="Note 3 36 2" xfId="26217"/>
    <cellStyle name="Note 3 36 2 2" xfId="26218"/>
    <cellStyle name="Note 3 36 2 2 2" xfId="26219"/>
    <cellStyle name="Note 3 36 2 3" xfId="26220"/>
    <cellStyle name="Note 3 36 3" xfId="26221"/>
    <cellStyle name="Note 3 36 4" xfId="26222"/>
    <cellStyle name="Note 3 37" xfId="26223"/>
    <cellStyle name="Note 3 37 2" xfId="26224"/>
    <cellStyle name="Note 3 37 2 2" xfId="26225"/>
    <cellStyle name="Note 3 37 2 2 2" xfId="26226"/>
    <cellStyle name="Note 3 37 2 3" xfId="26227"/>
    <cellStyle name="Note 3 37 3" xfId="26228"/>
    <cellStyle name="Note 3 37 4" xfId="26229"/>
    <cellStyle name="Note 3 38" xfId="26230"/>
    <cellStyle name="Note 3 38 2" xfId="26231"/>
    <cellStyle name="Note 3 38 2 2" xfId="26232"/>
    <cellStyle name="Note 3 38 2 2 2" xfId="26233"/>
    <cellStyle name="Note 3 38 2 3" xfId="26234"/>
    <cellStyle name="Note 3 38 3" xfId="26235"/>
    <cellStyle name="Note 3 38 4" xfId="26236"/>
    <cellStyle name="Note 3 39" xfId="26237"/>
    <cellStyle name="Note 3 39 2" xfId="26238"/>
    <cellStyle name="Note 3 39 2 2" xfId="26239"/>
    <cellStyle name="Note 3 39 2 2 2" xfId="26240"/>
    <cellStyle name="Note 3 39 2 3" xfId="26241"/>
    <cellStyle name="Note 3 39 3" xfId="26242"/>
    <cellStyle name="Note 3 39 4" xfId="26243"/>
    <cellStyle name="Note 3 4" xfId="26244"/>
    <cellStyle name="Note 3 4 2" xfId="26245"/>
    <cellStyle name="Note 3 4 2 2" xfId="26246"/>
    <cellStyle name="Note 3 4 2 2 2" xfId="26247"/>
    <cellStyle name="Note 3 4 2 3" xfId="26248"/>
    <cellStyle name="Note 3 4 3" xfId="26249"/>
    <cellStyle name="Note 3 4 3 2" xfId="26250"/>
    <cellStyle name="Note 3 4 3 2 2" xfId="26251"/>
    <cellStyle name="Note 3 4 3 3" xfId="26252"/>
    <cellStyle name="Note 3 4 4" xfId="26253"/>
    <cellStyle name="Note 3 4 4 2" xfId="26254"/>
    <cellStyle name="Note 3 4 4 2 2" xfId="26255"/>
    <cellStyle name="Note 3 4 4 3" xfId="26256"/>
    <cellStyle name="Note 3 4 5" xfId="26257"/>
    <cellStyle name="Note 3 4 6" xfId="26258"/>
    <cellStyle name="Note 3 40" xfId="26259"/>
    <cellStyle name="Note 3 40 2" xfId="26260"/>
    <cellStyle name="Note 3 40 2 2" xfId="26261"/>
    <cellStyle name="Note 3 40 2 2 2" xfId="26262"/>
    <cellStyle name="Note 3 40 2 3" xfId="26263"/>
    <cellStyle name="Note 3 40 3" xfId="26264"/>
    <cellStyle name="Note 3 40 4" xfId="26265"/>
    <cellStyle name="Note 3 41" xfId="26266"/>
    <cellStyle name="Note 3 41 2" xfId="26267"/>
    <cellStyle name="Note 3 41 2 2" xfId="26268"/>
    <cellStyle name="Note 3 41 2 2 2" xfId="26269"/>
    <cellStyle name="Note 3 41 2 3" xfId="26270"/>
    <cellStyle name="Note 3 41 3" xfId="26271"/>
    <cellStyle name="Note 3 41 4" xfId="26272"/>
    <cellStyle name="Note 3 42" xfId="26273"/>
    <cellStyle name="Note 3 42 2" xfId="26274"/>
    <cellStyle name="Note 3 42 2 2" xfId="26275"/>
    <cellStyle name="Note 3 42 2 2 2" xfId="26276"/>
    <cellStyle name="Note 3 42 2 3" xfId="26277"/>
    <cellStyle name="Note 3 42 3" xfId="26278"/>
    <cellStyle name="Note 3 42 4" xfId="26279"/>
    <cellStyle name="Note 3 43" xfId="26280"/>
    <cellStyle name="Note 3 43 2" xfId="26281"/>
    <cellStyle name="Note 3 43 2 2" xfId="26282"/>
    <cellStyle name="Note 3 43 2 2 2" xfId="26283"/>
    <cellStyle name="Note 3 43 2 3" xfId="26284"/>
    <cellStyle name="Note 3 43 3" xfId="26285"/>
    <cellStyle name="Note 3 43 4" xfId="26286"/>
    <cellStyle name="Note 3 44" xfId="26287"/>
    <cellStyle name="Note 3 44 2" xfId="26288"/>
    <cellStyle name="Note 3 44 2 2" xfId="26289"/>
    <cellStyle name="Note 3 44 2 2 2" xfId="26290"/>
    <cellStyle name="Note 3 44 2 3" xfId="26291"/>
    <cellStyle name="Note 3 44 3" xfId="26292"/>
    <cellStyle name="Note 3 44 4" xfId="26293"/>
    <cellStyle name="Note 3 45" xfId="26294"/>
    <cellStyle name="Note 3 45 2" xfId="26295"/>
    <cellStyle name="Note 3 45 2 2" xfId="26296"/>
    <cellStyle name="Note 3 45 2 2 2" xfId="26297"/>
    <cellStyle name="Note 3 45 2 3" xfId="26298"/>
    <cellStyle name="Note 3 45 3" xfId="26299"/>
    <cellStyle name="Note 3 45 4" xfId="26300"/>
    <cellStyle name="Note 3 46" xfId="26301"/>
    <cellStyle name="Note 3 46 2" xfId="26302"/>
    <cellStyle name="Note 3 46 2 2" xfId="26303"/>
    <cellStyle name="Note 3 46 2 2 2" xfId="26304"/>
    <cellStyle name="Note 3 46 2 3" xfId="26305"/>
    <cellStyle name="Note 3 46 3" xfId="26306"/>
    <cellStyle name="Note 3 46 4" xfId="26307"/>
    <cellStyle name="Note 3 47" xfId="26308"/>
    <cellStyle name="Note 3 47 2" xfId="26309"/>
    <cellStyle name="Note 3 47 2 2" xfId="26310"/>
    <cellStyle name="Note 3 47 2 2 2" xfId="26311"/>
    <cellStyle name="Note 3 47 2 3" xfId="26312"/>
    <cellStyle name="Note 3 47 3" xfId="26313"/>
    <cellStyle name="Note 3 47 4" xfId="26314"/>
    <cellStyle name="Note 3 48" xfId="26315"/>
    <cellStyle name="Note 3 48 2" xfId="26316"/>
    <cellStyle name="Note 3 48 2 2" xfId="26317"/>
    <cellStyle name="Note 3 48 2 2 2" xfId="26318"/>
    <cellStyle name="Note 3 48 2 3" xfId="26319"/>
    <cellStyle name="Note 3 48 3" xfId="26320"/>
    <cellStyle name="Note 3 48 4" xfId="26321"/>
    <cellStyle name="Note 3 49" xfId="26322"/>
    <cellStyle name="Note 3 49 2" xfId="26323"/>
    <cellStyle name="Note 3 49 2 2" xfId="26324"/>
    <cellStyle name="Note 3 49 3" xfId="26325"/>
    <cellStyle name="Note 3 5" xfId="26326"/>
    <cellStyle name="Note 3 5 2" xfId="26327"/>
    <cellStyle name="Note 3 5 2 2" xfId="26328"/>
    <cellStyle name="Note 3 5 2 2 2" xfId="26329"/>
    <cellStyle name="Note 3 5 2 3" xfId="26330"/>
    <cellStyle name="Note 3 5 3" xfId="26331"/>
    <cellStyle name="Note 3 5 3 2" xfId="26332"/>
    <cellStyle name="Note 3 5 3 2 2" xfId="26333"/>
    <cellStyle name="Note 3 5 3 3" xfId="26334"/>
    <cellStyle name="Note 3 5 4" xfId="26335"/>
    <cellStyle name="Note 3 5 4 2" xfId="26336"/>
    <cellStyle name="Note 3 5 4 2 2" xfId="26337"/>
    <cellStyle name="Note 3 5 4 3" xfId="26338"/>
    <cellStyle name="Note 3 5 5" xfId="26339"/>
    <cellStyle name="Note 3 5 6" xfId="26340"/>
    <cellStyle name="Note 3 50" xfId="26341"/>
    <cellStyle name="Note 3 50 2" xfId="26342"/>
    <cellStyle name="Note 3 50 2 2" xfId="26343"/>
    <cellStyle name="Note 3 50 3" xfId="26344"/>
    <cellStyle name="Note 3 51" xfId="26345"/>
    <cellStyle name="Note 3 51 2" xfId="26346"/>
    <cellStyle name="Note 3 51 2 2" xfId="26347"/>
    <cellStyle name="Note 3 51 3" xfId="26348"/>
    <cellStyle name="Note 3 52" xfId="26349"/>
    <cellStyle name="Note 3 53" xfId="26350"/>
    <cellStyle name="Note 3 6" xfId="26351"/>
    <cellStyle name="Note 3 6 2" xfId="26352"/>
    <cellStyle name="Note 3 6 2 2" xfId="26353"/>
    <cellStyle name="Note 3 6 2 2 2" xfId="26354"/>
    <cellStyle name="Note 3 6 2 3" xfId="26355"/>
    <cellStyle name="Note 3 6 3" xfId="26356"/>
    <cellStyle name="Note 3 6 3 2" xfId="26357"/>
    <cellStyle name="Note 3 6 3 2 2" xfId="26358"/>
    <cellStyle name="Note 3 6 3 3" xfId="26359"/>
    <cellStyle name="Note 3 6 4" xfId="26360"/>
    <cellStyle name="Note 3 6 4 2" xfId="26361"/>
    <cellStyle name="Note 3 6 4 2 2" xfId="26362"/>
    <cellStyle name="Note 3 6 4 3" xfId="26363"/>
    <cellStyle name="Note 3 6 5" xfId="26364"/>
    <cellStyle name="Note 3 6 6" xfId="26365"/>
    <cellStyle name="Note 3 7" xfId="26366"/>
    <cellStyle name="Note 3 7 2" xfId="26367"/>
    <cellStyle name="Note 3 7 2 2" xfId="26368"/>
    <cellStyle name="Note 3 7 2 2 2" xfId="26369"/>
    <cellStyle name="Note 3 7 2 3" xfId="26370"/>
    <cellStyle name="Note 3 7 3" xfId="26371"/>
    <cellStyle name="Note 3 7 3 2" xfId="26372"/>
    <cellStyle name="Note 3 7 3 2 2" xfId="26373"/>
    <cellStyle name="Note 3 7 3 3" xfId="26374"/>
    <cellStyle name="Note 3 7 4" xfId="26375"/>
    <cellStyle name="Note 3 7 4 2" xfId="26376"/>
    <cellStyle name="Note 3 7 4 2 2" xfId="26377"/>
    <cellStyle name="Note 3 7 4 3" xfId="26378"/>
    <cellStyle name="Note 3 7 5" xfId="26379"/>
    <cellStyle name="Note 3 7 6" xfId="26380"/>
    <cellStyle name="Note 3 8" xfId="26381"/>
    <cellStyle name="Note 3 8 2" xfId="26382"/>
    <cellStyle name="Note 3 8 2 2" xfId="26383"/>
    <cellStyle name="Note 3 8 2 2 2" xfId="26384"/>
    <cellStyle name="Note 3 8 2 3" xfId="26385"/>
    <cellStyle name="Note 3 8 3" xfId="26386"/>
    <cellStyle name="Note 3 8 3 2" xfId="26387"/>
    <cellStyle name="Note 3 8 3 2 2" xfId="26388"/>
    <cellStyle name="Note 3 8 3 3" xfId="26389"/>
    <cellStyle name="Note 3 8 4" xfId="26390"/>
    <cellStyle name="Note 3 8 4 2" xfId="26391"/>
    <cellStyle name="Note 3 8 4 2 2" xfId="26392"/>
    <cellStyle name="Note 3 8 4 3" xfId="26393"/>
    <cellStyle name="Note 3 8 5" xfId="26394"/>
    <cellStyle name="Note 3 8 6" xfId="26395"/>
    <cellStyle name="Note 3 9" xfId="26396"/>
    <cellStyle name="Note 3 9 2" xfId="26397"/>
    <cellStyle name="Note 3 9 2 2" xfId="26398"/>
    <cellStyle name="Note 3 9 2 2 2" xfId="26399"/>
    <cellStyle name="Note 3 9 2 3" xfId="26400"/>
    <cellStyle name="Note 3 9 3" xfId="26401"/>
    <cellStyle name="Note 3 9 4" xfId="26402"/>
    <cellStyle name="Note 4" xfId="26403"/>
    <cellStyle name="Note 4 10" xfId="26404"/>
    <cellStyle name="Note 4 10 2" xfId="26405"/>
    <cellStyle name="Note 4 10 2 2" xfId="26406"/>
    <cellStyle name="Note 4 10 2 2 2" xfId="26407"/>
    <cellStyle name="Note 4 10 2 3" xfId="26408"/>
    <cellStyle name="Note 4 10 3" xfId="26409"/>
    <cellStyle name="Note 4 10 4" xfId="26410"/>
    <cellStyle name="Note 4 11" xfId="26411"/>
    <cellStyle name="Note 4 11 2" xfId="26412"/>
    <cellStyle name="Note 4 11 2 2" xfId="26413"/>
    <cellStyle name="Note 4 11 2 2 2" xfId="26414"/>
    <cellStyle name="Note 4 11 2 3" xfId="26415"/>
    <cellStyle name="Note 4 11 3" xfId="26416"/>
    <cellStyle name="Note 4 11 4" xfId="26417"/>
    <cellStyle name="Note 4 12" xfId="26418"/>
    <cellStyle name="Note 4 12 2" xfId="26419"/>
    <cellStyle name="Note 4 12 2 2" xfId="26420"/>
    <cellStyle name="Note 4 12 2 2 2" xfId="26421"/>
    <cellStyle name="Note 4 12 2 3" xfId="26422"/>
    <cellStyle name="Note 4 12 3" xfId="26423"/>
    <cellStyle name="Note 4 12 4" xfId="26424"/>
    <cellStyle name="Note 4 13" xfId="26425"/>
    <cellStyle name="Note 4 13 2" xfId="26426"/>
    <cellStyle name="Note 4 13 2 2" xfId="26427"/>
    <cellStyle name="Note 4 13 2 2 2" xfId="26428"/>
    <cellStyle name="Note 4 13 2 3" xfId="26429"/>
    <cellStyle name="Note 4 13 3" xfId="26430"/>
    <cellStyle name="Note 4 13 4" xfId="26431"/>
    <cellStyle name="Note 4 14" xfId="26432"/>
    <cellStyle name="Note 4 14 2" xfId="26433"/>
    <cellStyle name="Note 4 14 2 2" xfId="26434"/>
    <cellStyle name="Note 4 14 2 2 2" xfId="26435"/>
    <cellStyle name="Note 4 14 2 3" xfId="26436"/>
    <cellStyle name="Note 4 14 3" xfId="26437"/>
    <cellStyle name="Note 4 14 4" xfId="26438"/>
    <cellStyle name="Note 4 15" xfId="26439"/>
    <cellStyle name="Note 4 15 2" xfId="26440"/>
    <cellStyle name="Note 4 15 2 2" xfId="26441"/>
    <cellStyle name="Note 4 15 2 2 2" xfId="26442"/>
    <cellStyle name="Note 4 15 2 3" xfId="26443"/>
    <cellStyle name="Note 4 15 3" xfId="26444"/>
    <cellStyle name="Note 4 15 4" xfId="26445"/>
    <cellStyle name="Note 4 16" xfId="26446"/>
    <cellStyle name="Note 4 16 2" xfId="26447"/>
    <cellStyle name="Note 4 16 2 2" xfId="26448"/>
    <cellStyle name="Note 4 16 2 2 2" xfId="26449"/>
    <cellStyle name="Note 4 16 2 3" xfId="26450"/>
    <cellStyle name="Note 4 16 3" xfId="26451"/>
    <cellStyle name="Note 4 16 4" xfId="26452"/>
    <cellStyle name="Note 4 17" xfId="26453"/>
    <cellStyle name="Note 4 17 2" xfId="26454"/>
    <cellStyle name="Note 4 17 2 2" xfId="26455"/>
    <cellStyle name="Note 4 17 2 2 2" xfId="26456"/>
    <cellStyle name="Note 4 17 2 3" xfId="26457"/>
    <cellStyle name="Note 4 17 3" xfId="26458"/>
    <cellStyle name="Note 4 17 4" xfId="26459"/>
    <cellStyle name="Note 4 18" xfId="26460"/>
    <cellStyle name="Note 4 18 2" xfId="26461"/>
    <cellStyle name="Note 4 18 2 2" xfId="26462"/>
    <cellStyle name="Note 4 18 2 2 2" xfId="26463"/>
    <cellStyle name="Note 4 18 2 3" xfId="26464"/>
    <cellStyle name="Note 4 18 3" xfId="26465"/>
    <cellStyle name="Note 4 18 4" xfId="26466"/>
    <cellStyle name="Note 4 19" xfId="26467"/>
    <cellStyle name="Note 4 19 2" xfId="26468"/>
    <cellStyle name="Note 4 19 2 2" xfId="26469"/>
    <cellStyle name="Note 4 19 2 2 2" xfId="26470"/>
    <cellStyle name="Note 4 19 2 3" xfId="26471"/>
    <cellStyle name="Note 4 19 3" xfId="26472"/>
    <cellStyle name="Note 4 19 4" xfId="26473"/>
    <cellStyle name="Note 4 2" xfId="26474"/>
    <cellStyle name="Note 4 2 2" xfId="26475"/>
    <cellStyle name="Note 4 2 2 2" xfId="26476"/>
    <cellStyle name="Note 4 2 2 2 2" xfId="26477"/>
    <cellStyle name="Note 4 2 2 2 2 2" xfId="26478"/>
    <cellStyle name="Note 4 2 2 2 2 2 2" xfId="26479"/>
    <cellStyle name="Note 4 2 2 2 2 3" xfId="26480"/>
    <cellStyle name="Note 4 2 2 2 3" xfId="26481"/>
    <cellStyle name="Note 4 2 2 2 3 2" xfId="26482"/>
    <cellStyle name="Note 4 2 2 2 4" xfId="26483"/>
    <cellStyle name="Note 4 2 2 3" xfId="26484"/>
    <cellStyle name="Note 4 2 2 3 2" xfId="26485"/>
    <cellStyle name="Note 4 2 2 3 2 2" xfId="26486"/>
    <cellStyle name="Note 4 2 2 3 3" xfId="26487"/>
    <cellStyle name="Note 4 2 2 4" xfId="26488"/>
    <cellStyle name="Note 4 2 2 4 2" xfId="26489"/>
    <cellStyle name="Note 4 2 2 4 2 2" xfId="26490"/>
    <cellStyle name="Note 4 2 2 4 3" xfId="26491"/>
    <cellStyle name="Note 4 2 2 5" xfId="26492"/>
    <cellStyle name="Note 4 2 2 5 2" xfId="26493"/>
    <cellStyle name="Note 4 2 2 5 2 2" xfId="26494"/>
    <cellStyle name="Note 4 2 2 5 3" xfId="26495"/>
    <cellStyle name="Note 4 2 2 6" xfId="26496"/>
    <cellStyle name="Note 4 2 2 6 2" xfId="26497"/>
    <cellStyle name="Note 4 2 2 6 2 2" xfId="26498"/>
    <cellStyle name="Note 4 2 2 6 3" xfId="26499"/>
    <cellStyle name="Note 4 2 2 7" xfId="26500"/>
    <cellStyle name="Note 4 2 3" xfId="26501"/>
    <cellStyle name="Note 4 2 3 2" xfId="26502"/>
    <cellStyle name="Note 4 2 3 2 2" xfId="26503"/>
    <cellStyle name="Note 4 2 3 2 2 2" xfId="26504"/>
    <cellStyle name="Note 4 2 3 2 3" xfId="26505"/>
    <cellStyle name="Note 4 2 3 3" xfId="26506"/>
    <cellStyle name="Note 4 2 3 3 2" xfId="26507"/>
    <cellStyle name="Note 4 2 3 4" xfId="26508"/>
    <cellStyle name="Note 4 2 4" xfId="26509"/>
    <cellStyle name="Note 4 2 4 2" xfId="26510"/>
    <cellStyle name="Note 4 2 4 2 2" xfId="26511"/>
    <cellStyle name="Note 4 2 4 3" xfId="26512"/>
    <cellStyle name="Note 4 2 5" xfId="26513"/>
    <cellStyle name="Note 4 2 5 2" xfId="26514"/>
    <cellStyle name="Note 4 2 5 2 2" xfId="26515"/>
    <cellStyle name="Note 4 2 5 3" xfId="26516"/>
    <cellStyle name="Note 4 2 6" xfId="26517"/>
    <cellStyle name="Note 4 2 6 2" xfId="26518"/>
    <cellStyle name="Note 4 2 6 2 2" xfId="26519"/>
    <cellStyle name="Note 4 2 6 3" xfId="26520"/>
    <cellStyle name="Note 4 2 7" xfId="26521"/>
    <cellStyle name="Note 4 2 7 2" xfId="26522"/>
    <cellStyle name="Note 4 2 7 2 2" xfId="26523"/>
    <cellStyle name="Note 4 2 7 3" xfId="26524"/>
    <cellStyle name="Note 4 2 8" xfId="26525"/>
    <cellStyle name="Note 4 2 9" xfId="26526"/>
    <cellStyle name="Note 4 20" xfId="26527"/>
    <cellStyle name="Note 4 20 2" xfId="26528"/>
    <cellStyle name="Note 4 20 2 2" xfId="26529"/>
    <cellStyle name="Note 4 20 2 2 2" xfId="26530"/>
    <cellStyle name="Note 4 20 2 3" xfId="26531"/>
    <cellStyle name="Note 4 20 3" xfId="26532"/>
    <cellStyle name="Note 4 20 4" xfId="26533"/>
    <cellStyle name="Note 4 21" xfId="26534"/>
    <cellStyle name="Note 4 21 2" xfId="26535"/>
    <cellStyle name="Note 4 21 2 2" xfId="26536"/>
    <cellStyle name="Note 4 21 2 2 2" xfId="26537"/>
    <cellStyle name="Note 4 21 2 3" xfId="26538"/>
    <cellStyle name="Note 4 21 3" xfId="26539"/>
    <cellStyle name="Note 4 21 4" xfId="26540"/>
    <cellStyle name="Note 4 22" xfId="26541"/>
    <cellStyle name="Note 4 22 2" xfId="26542"/>
    <cellStyle name="Note 4 22 2 2" xfId="26543"/>
    <cellStyle name="Note 4 22 2 2 2" xfId="26544"/>
    <cellStyle name="Note 4 22 2 3" xfId="26545"/>
    <cellStyle name="Note 4 22 3" xfId="26546"/>
    <cellStyle name="Note 4 22 4" xfId="26547"/>
    <cellStyle name="Note 4 23" xfId="26548"/>
    <cellStyle name="Note 4 23 2" xfId="26549"/>
    <cellStyle name="Note 4 23 2 2" xfId="26550"/>
    <cellStyle name="Note 4 23 2 2 2" xfId="26551"/>
    <cellStyle name="Note 4 23 2 3" xfId="26552"/>
    <cellStyle name="Note 4 23 3" xfId="26553"/>
    <cellStyle name="Note 4 23 4" xfId="26554"/>
    <cellStyle name="Note 4 24" xfId="26555"/>
    <cellStyle name="Note 4 24 2" xfId="26556"/>
    <cellStyle name="Note 4 24 2 2" xfId="26557"/>
    <cellStyle name="Note 4 24 2 2 2" xfId="26558"/>
    <cellStyle name="Note 4 24 2 3" xfId="26559"/>
    <cellStyle name="Note 4 24 3" xfId="26560"/>
    <cellStyle name="Note 4 24 4" xfId="26561"/>
    <cellStyle name="Note 4 25" xfId="26562"/>
    <cellStyle name="Note 4 25 2" xfId="26563"/>
    <cellStyle name="Note 4 25 2 2" xfId="26564"/>
    <cellStyle name="Note 4 25 2 2 2" xfId="26565"/>
    <cellStyle name="Note 4 25 2 3" xfId="26566"/>
    <cellStyle name="Note 4 25 3" xfId="26567"/>
    <cellStyle name="Note 4 25 4" xfId="26568"/>
    <cellStyle name="Note 4 26" xfId="26569"/>
    <cellStyle name="Note 4 26 2" xfId="26570"/>
    <cellStyle name="Note 4 26 2 2" xfId="26571"/>
    <cellStyle name="Note 4 26 2 2 2" xfId="26572"/>
    <cellStyle name="Note 4 26 2 3" xfId="26573"/>
    <cellStyle name="Note 4 26 3" xfId="26574"/>
    <cellStyle name="Note 4 26 4" xfId="26575"/>
    <cellStyle name="Note 4 27" xfId="26576"/>
    <cellStyle name="Note 4 27 2" xfId="26577"/>
    <cellStyle name="Note 4 27 2 2" xfId="26578"/>
    <cellStyle name="Note 4 27 2 2 2" xfId="26579"/>
    <cellStyle name="Note 4 27 2 3" xfId="26580"/>
    <cellStyle name="Note 4 27 3" xfId="26581"/>
    <cellStyle name="Note 4 27 4" xfId="26582"/>
    <cellStyle name="Note 4 28" xfId="26583"/>
    <cellStyle name="Note 4 28 2" xfId="26584"/>
    <cellStyle name="Note 4 28 2 2" xfId="26585"/>
    <cellStyle name="Note 4 28 2 2 2" xfId="26586"/>
    <cellStyle name="Note 4 28 2 3" xfId="26587"/>
    <cellStyle name="Note 4 28 3" xfId="26588"/>
    <cellStyle name="Note 4 28 4" xfId="26589"/>
    <cellStyle name="Note 4 29" xfId="26590"/>
    <cellStyle name="Note 4 29 2" xfId="26591"/>
    <cellStyle name="Note 4 29 2 2" xfId="26592"/>
    <cellStyle name="Note 4 29 2 2 2" xfId="26593"/>
    <cellStyle name="Note 4 29 2 3" xfId="26594"/>
    <cellStyle name="Note 4 29 3" xfId="26595"/>
    <cellStyle name="Note 4 29 4" xfId="26596"/>
    <cellStyle name="Note 4 3" xfId="26597"/>
    <cellStyle name="Note 4 3 2" xfId="26598"/>
    <cellStyle name="Note 4 3 2 2" xfId="26599"/>
    <cellStyle name="Note 4 3 2 2 2" xfId="26600"/>
    <cellStyle name="Note 4 3 2 2 2 2" xfId="26601"/>
    <cellStyle name="Note 4 3 2 2 3" xfId="26602"/>
    <cellStyle name="Note 4 3 2 3" xfId="26603"/>
    <cellStyle name="Note 4 3 2 3 2" xfId="26604"/>
    <cellStyle name="Note 4 3 2 4" xfId="26605"/>
    <cellStyle name="Note 4 3 3" xfId="26606"/>
    <cellStyle name="Note 4 3 3 2" xfId="26607"/>
    <cellStyle name="Note 4 3 3 2 2" xfId="26608"/>
    <cellStyle name="Note 4 3 3 3" xfId="26609"/>
    <cellStyle name="Note 4 3 4" xfId="26610"/>
    <cellStyle name="Note 4 3 4 2" xfId="26611"/>
    <cellStyle name="Note 4 3 4 2 2" xfId="26612"/>
    <cellStyle name="Note 4 3 4 3" xfId="26613"/>
    <cellStyle name="Note 4 3 5" xfId="26614"/>
    <cellStyle name="Note 4 3 5 2" xfId="26615"/>
    <cellStyle name="Note 4 3 5 2 2" xfId="26616"/>
    <cellStyle name="Note 4 3 5 3" xfId="26617"/>
    <cellStyle name="Note 4 3 6" xfId="26618"/>
    <cellStyle name="Note 4 3 6 2" xfId="26619"/>
    <cellStyle name="Note 4 3 6 2 2" xfId="26620"/>
    <cellStyle name="Note 4 3 6 3" xfId="26621"/>
    <cellStyle name="Note 4 3 7" xfId="26622"/>
    <cellStyle name="Note 4 3 8" xfId="26623"/>
    <cellStyle name="Note 4 30" xfId="26624"/>
    <cellStyle name="Note 4 30 2" xfId="26625"/>
    <cellStyle name="Note 4 30 2 2" xfId="26626"/>
    <cellStyle name="Note 4 30 2 2 2" xfId="26627"/>
    <cellStyle name="Note 4 30 2 3" xfId="26628"/>
    <cellStyle name="Note 4 30 3" xfId="26629"/>
    <cellStyle name="Note 4 30 4" xfId="26630"/>
    <cellStyle name="Note 4 31" xfId="26631"/>
    <cellStyle name="Note 4 31 2" xfId="26632"/>
    <cellStyle name="Note 4 31 2 2" xfId="26633"/>
    <cellStyle name="Note 4 31 2 2 2" xfId="26634"/>
    <cellStyle name="Note 4 31 2 3" xfId="26635"/>
    <cellStyle name="Note 4 31 3" xfId="26636"/>
    <cellStyle name="Note 4 31 4" xfId="26637"/>
    <cellStyle name="Note 4 32" xfId="26638"/>
    <cellStyle name="Note 4 32 2" xfId="26639"/>
    <cellStyle name="Note 4 32 2 2" xfId="26640"/>
    <cellStyle name="Note 4 32 2 2 2" xfId="26641"/>
    <cellStyle name="Note 4 32 2 3" xfId="26642"/>
    <cellStyle name="Note 4 32 3" xfId="26643"/>
    <cellStyle name="Note 4 32 4" xfId="26644"/>
    <cellStyle name="Note 4 33" xfId="26645"/>
    <cellStyle name="Note 4 33 2" xfId="26646"/>
    <cellStyle name="Note 4 33 2 2" xfId="26647"/>
    <cellStyle name="Note 4 33 2 2 2" xfId="26648"/>
    <cellStyle name="Note 4 33 2 3" xfId="26649"/>
    <cellStyle name="Note 4 33 3" xfId="26650"/>
    <cellStyle name="Note 4 33 4" xfId="26651"/>
    <cellStyle name="Note 4 34" xfId="26652"/>
    <cellStyle name="Note 4 34 2" xfId="26653"/>
    <cellStyle name="Note 4 34 2 2" xfId="26654"/>
    <cellStyle name="Note 4 34 2 2 2" xfId="26655"/>
    <cellStyle name="Note 4 34 2 3" xfId="26656"/>
    <cellStyle name="Note 4 34 3" xfId="26657"/>
    <cellStyle name="Note 4 34 4" xfId="26658"/>
    <cellStyle name="Note 4 35" xfId="26659"/>
    <cellStyle name="Note 4 35 2" xfId="26660"/>
    <cellStyle name="Note 4 35 2 2" xfId="26661"/>
    <cellStyle name="Note 4 35 2 2 2" xfId="26662"/>
    <cellStyle name="Note 4 35 2 3" xfId="26663"/>
    <cellStyle name="Note 4 35 3" xfId="26664"/>
    <cellStyle name="Note 4 35 4" xfId="26665"/>
    <cellStyle name="Note 4 36" xfId="26666"/>
    <cellStyle name="Note 4 36 2" xfId="26667"/>
    <cellStyle name="Note 4 36 2 2" xfId="26668"/>
    <cellStyle name="Note 4 36 2 2 2" xfId="26669"/>
    <cellStyle name="Note 4 36 2 3" xfId="26670"/>
    <cellStyle name="Note 4 36 3" xfId="26671"/>
    <cellStyle name="Note 4 36 4" xfId="26672"/>
    <cellStyle name="Note 4 37" xfId="26673"/>
    <cellStyle name="Note 4 37 2" xfId="26674"/>
    <cellStyle name="Note 4 37 2 2" xfId="26675"/>
    <cellStyle name="Note 4 37 2 2 2" xfId="26676"/>
    <cellStyle name="Note 4 37 2 3" xfId="26677"/>
    <cellStyle name="Note 4 37 3" xfId="26678"/>
    <cellStyle name="Note 4 37 4" xfId="26679"/>
    <cellStyle name="Note 4 38" xfId="26680"/>
    <cellStyle name="Note 4 38 2" xfId="26681"/>
    <cellStyle name="Note 4 38 2 2" xfId="26682"/>
    <cellStyle name="Note 4 38 2 2 2" xfId="26683"/>
    <cellStyle name="Note 4 38 2 3" xfId="26684"/>
    <cellStyle name="Note 4 38 3" xfId="26685"/>
    <cellStyle name="Note 4 38 4" xfId="26686"/>
    <cellStyle name="Note 4 39" xfId="26687"/>
    <cellStyle name="Note 4 39 2" xfId="26688"/>
    <cellStyle name="Note 4 39 2 2" xfId="26689"/>
    <cellStyle name="Note 4 39 2 2 2" xfId="26690"/>
    <cellStyle name="Note 4 39 2 3" xfId="26691"/>
    <cellStyle name="Note 4 39 3" xfId="26692"/>
    <cellStyle name="Note 4 39 4" xfId="26693"/>
    <cellStyle name="Note 4 4" xfId="26694"/>
    <cellStyle name="Note 4 4 2" xfId="26695"/>
    <cellStyle name="Note 4 4 2 2" xfId="26696"/>
    <cellStyle name="Note 4 4 2 2 2" xfId="26697"/>
    <cellStyle name="Note 4 4 2 3" xfId="26698"/>
    <cellStyle name="Note 4 4 3" xfId="26699"/>
    <cellStyle name="Note 4 4 3 2" xfId="26700"/>
    <cellStyle name="Note 4 4 3 2 2" xfId="26701"/>
    <cellStyle name="Note 4 4 3 3" xfId="26702"/>
    <cellStyle name="Note 4 4 4" xfId="26703"/>
    <cellStyle name="Note 4 4 4 2" xfId="26704"/>
    <cellStyle name="Note 4 4 4 2 2" xfId="26705"/>
    <cellStyle name="Note 4 4 4 3" xfId="26706"/>
    <cellStyle name="Note 4 4 5" xfId="26707"/>
    <cellStyle name="Note 4 4 6" xfId="26708"/>
    <cellStyle name="Note 4 40" xfId="26709"/>
    <cellStyle name="Note 4 40 2" xfId="26710"/>
    <cellStyle name="Note 4 40 2 2" xfId="26711"/>
    <cellStyle name="Note 4 40 2 2 2" xfId="26712"/>
    <cellStyle name="Note 4 40 2 3" xfId="26713"/>
    <cellStyle name="Note 4 40 3" xfId="26714"/>
    <cellStyle name="Note 4 40 4" xfId="26715"/>
    <cellStyle name="Note 4 41" xfId="26716"/>
    <cellStyle name="Note 4 41 2" xfId="26717"/>
    <cellStyle name="Note 4 41 2 2" xfId="26718"/>
    <cellStyle name="Note 4 41 2 2 2" xfId="26719"/>
    <cellStyle name="Note 4 41 2 3" xfId="26720"/>
    <cellStyle name="Note 4 41 3" xfId="26721"/>
    <cellStyle name="Note 4 41 4" xfId="26722"/>
    <cellStyle name="Note 4 42" xfId="26723"/>
    <cellStyle name="Note 4 42 2" xfId="26724"/>
    <cellStyle name="Note 4 42 2 2" xfId="26725"/>
    <cellStyle name="Note 4 42 2 2 2" xfId="26726"/>
    <cellStyle name="Note 4 42 2 3" xfId="26727"/>
    <cellStyle name="Note 4 42 3" xfId="26728"/>
    <cellStyle name="Note 4 42 4" xfId="26729"/>
    <cellStyle name="Note 4 43" xfId="26730"/>
    <cellStyle name="Note 4 43 2" xfId="26731"/>
    <cellStyle name="Note 4 43 2 2" xfId="26732"/>
    <cellStyle name="Note 4 43 2 2 2" xfId="26733"/>
    <cellStyle name="Note 4 43 2 3" xfId="26734"/>
    <cellStyle name="Note 4 43 3" xfId="26735"/>
    <cellStyle name="Note 4 43 4" xfId="26736"/>
    <cellStyle name="Note 4 44" xfId="26737"/>
    <cellStyle name="Note 4 44 2" xfId="26738"/>
    <cellStyle name="Note 4 44 2 2" xfId="26739"/>
    <cellStyle name="Note 4 44 2 2 2" xfId="26740"/>
    <cellStyle name="Note 4 44 2 3" xfId="26741"/>
    <cellStyle name="Note 4 44 3" xfId="26742"/>
    <cellStyle name="Note 4 44 4" xfId="26743"/>
    <cellStyle name="Note 4 45" xfId="26744"/>
    <cellStyle name="Note 4 45 2" xfId="26745"/>
    <cellStyle name="Note 4 45 2 2" xfId="26746"/>
    <cellStyle name="Note 4 45 2 2 2" xfId="26747"/>
    <cellStyle name="Note 4 45 2 3" xfId="26748"/>
    <cellStyle name="Note 4 45 3" xfId="26749"/>
    <cellStyle name="Note 4 45 4" xfId="26750"/>
    <cellStyle name="Note 4 46" xfId="26751"/>
    <cellStyle name="Note 4 46 2" xfId="26752"/>
    <cellStyle name="Note 4 46 2 2" xfId="26753"/>
    <cellStyle name="Note 4 46 2 2 2" xfId="26754"/>
    <cellStyle name="Note 4 46 2 3" xfId="26755"/>
    <cellStyle name="Note 4 46 3" xfId="26756"/>
    <cellStyle name="Note 4 46 4" xfId="26757"/>
    <cellStyle name="Note 4 47" xfId="26758"/>
    <cellStyle name="Note 4 47 2" xfId="26759"/>
    <cellStyle name="Note 4 47 2 2" xfId="26760"/>
    <cellStyle name="Note 4 47 2 2 2" xfId="26761"/>
    <cellStyle name="Note 4 47 2 3" xfId="26762"/>
    <cellStyle name="Note 4 47 3" xfId="26763"/>
    <cellStyle name="Note 4 47 4" xfId="26764"/>
    <cellStyle name="Note 4 48" xfId="26765"/>
    <cellStyle name="Note 4 48 2" xfId="26766"/>
    <cellStyle name="Note 4 48 2 2" xfId="26767"/>
    <cellStyle name="Note 4 48 2 2 2" xfId="26768"/>
    <cellStyle name="Note 4 48 2 3" xfId="26769"/>
    <cellStyle name="Note 4 48 3" xfId="26770"/>
    <cellStyle name="Note 4 48 4" xfId="26771"/>
    <cellStyle name="Note 4 49" xfId="26772"/>
    <cellStyle name="Note 4 49 2" xfId="26773"/>
    <cellStyle name="Note 4 49 2 2" xfId="26774"/>
    <cellStyle name="Note 4 49 3" xfId="26775"/>
    <cellStyle name="Note 4 5" xfId="26776"/>
    <cellStyle name="Note 4 5 2" xfId="26777"/>
    <cellStyle name="Note 4 5 2 2" xfId="26778"/>
    <cellStyle name="Note 4 5 2 2 2" xfId="26779"/>
    <cellStyle name="Note 4 5 2 3" xfId="26780"/>
    <cellStyle name="Note 4 5 3" xfId="26781"/>
    <cellStyle name="Note 4 5 3 2" xfId="26782"/>
    <cellStyle name="Note 4 5 3 2 2" xfId="26783"/>
    <cellStyle name="Note 4 5 3 3" xfId="26784"/>
    <cellStyle name="Note 4 5 4" xfId="26785"/>
    <cellStyle name="Note 4 5 4 2" xfId="26786"/>
    <cellStyle name="Note 4 5 4 2 2" xfId="26787"/>
    <cellStyle name="Note 4 5 4 3" xfId="26788"/>
    <cellStyle name="Note 4 5 5" xfId="26789"/>
    <cellStyle name="Note 4 5 6" xfId="26790"/>
    <cellStyle name="Note 4 50" xfId="26791"/>
    <cellStyle name="Note 4 50 2" xfId="26792"/>
    <cellStyle name="Note 4 50 2 2" xfId="26793"/>
    <cellStyle name="Note 4 50 3" xfId="26794"/>
    <cellStyle name="Note 4 51" xfId="26795"/>
    <cellStyle name="Note 4 51 2" xfId="26796"/>
    <cellStyle name="Note 4 51 2 2" xfId="26797"/>
    <cellStyle name="Note 4 51 3" xfId="26798"/>
    <cellStyle name="Note 4 52" xfId="26799"/>
    <cellStyle name="Note 4 53" xfId="26800"/>
    <cellStyle name="Note 4 6" xfId="26801"/>
    <cellStyle name="Note 4 6 2" xfId="26802"/>
    <cellStyle name="Note 4 6 2 2" xfId="26803"/>
    <cellStyle name="Note 4 6 2 2 2" xfId="26804"/>
    <cellStyle name="Note 4 6 2 3" xfId="26805"/>
    <cellStyle name="Note 4 6 3" xfId="26806"/>
    <cellStyle name="Note 4 6 3 2" xfId="26807"/>
    <cellStyle name="Note 4 6 3 2 2" xfId="26808"/>
    <cellStyle name="Note 4 6 3 3" xfId="26809"/>
    <cellStyle name="Note 4 6 4" xfId="26810"/>
    <cellStyle name="Note 4 6 4 2" xfId="26811"/>
    <cellStyle name="Note 4 6 4 2 2" xfId="26812"/>
    <cellStyle name="Note 4 6 4 3" xfId="26813"/>
    <cellStyle name="Note 4 6 5" xfId="26814"/>
    <cellStyle name="Note 4 6 6" xfId="26815"/>
    <cellStyle name="Note 4 7" xfId="26816"/>
    <cellStyle name="Note 4 7 2" xfId="26817"/>
    <cellStyle name="Note 4 7 2 2" xfId="26818"/>
    <cellStyle name="Note 4 7 2 2 2" xfId="26819"/>
    <cellStyle name="Note 4 7 2 3" xfId="26820"/>
    <cellStyle name="Note 4 7 3" xfId="26821"/>
    <cellStyle name="Note 4 7 3 2" xfId="26822"/>
    <cellStyle name="Note 4 7 3 2 2" xfId="26823"/>
    <cellStyle name="Note 4 7 3 3" xfId="26824"/>
    <cellStyle name="Note 4 7 4" xfId="26825"/>
    <cellStyle name="Note 4 7 4 2" xfId="26826"/>
    <cellStyle name="Note 4 7 4 2 2" xfId="26827"/>
    <cellStyle name="Note 4 7 4 3" xfId="26828"/>
    <cellStyle name="Note 4 7 5" xfId="26829"/>
    <cellStyle name="Note 4 7 6" xfId="26830"/>
    <cellStyle name="Note 4 8" xfId="26831"/>
    <cellStyle name="Note 4 8 2" xfId="26832"/>
    <cellStyle name="Note 4 8 2 2" xfId="26833"/>
    <cellStyle name="Note 4 8 2 2 2" xfId="26834"/>
    <cellStyle name="Note 4 8 2 3" xfId="26835"/>
    <cellStyle name="Note 4 8 3" xfId="26836"/>
    <cellStyle name="Note 4 8 3 2" xfId="26837"/>
    <cellStyle name="Note 4 8 3 2 2" xfId="26838"/>
    <cellStyle name="Note 4 8 3 3" xfId="26839"/>
    <cellStyle name="Note 4 8 4" xfId="26840"/>
    <cellStyle name="Note 4 8 4 2" xfId="26841"/>
    <cellStyle name="Note 4 8 4 2 2" xfId="26842"/>
    <cellStyle name="Note 4 8 4 3" xfId="26843"/>
    <cellStyle name="Note 4 8 5" xfId="26844"/>
    <cellStyle name="Note 4 8 6" xfId="26845"/>
    <cellStyle name="Note 4 9" xfId="26846"/>
    <cellStyle name="Note 4 9 2" xfId="26847"/>
    <cellStyle name="Note 4 9 2 2" xfId="26848"/>
    <cellStyle name="Note 4 9 2 2 2" xfId="26849"/>
    <cellStyle name="Note 4 9 2 3" xfId="26850"/>
    <cellStyle name="Note 4 9 3" xfId="26851"/>
    <cellStyle name="Note 4 9 4" xfId="26852"/>
    <cellStyle name="Note 5" xfId="26853"/>
    <cellStyle name="Note 5 10" xfId="26854"/>
    <cellStyle name="Note 5 10 2" xfId="26855"/>
    <cellStyle name="Note 5 10 2 2" xfId="26856"/>
    <cellStyle name="Note 5 10 2 2 2" xfId="26857"/>
    <cellStyle name="Note 5 10 2 3" xfId="26858"/>
    <cellStyle name="Note 5 10 3" xfId="26859"/>
    <cellStyle name="Note 5 10 4" xfId="26860"/>
    <cellStyle name="Note 5 11" xfId="26861"/>
    <cellStyle name="Note 5 11 2" xfId="26862"/>
    <cellStyle name="Note 5 11 2 2" xfId="26863"/>
    <cellStyle name="Note 5 11 2 2 2" xfId="26864"/>
    <cellStyle name="Note 5 11 2 3" xfId="26865"/>
    <cellStyle name="Note 5 11 3" xfId="26866"/>
    <cellStyle name="Note 5 11 4" xfId="26867"/>
    <cellStyle name="Note 5 12" xfId="26868"/>
    <cellStyle name="Note 5 12 2" xfId="26869"/>
    <cellStyle name="Note 5 12 2 2" xfId="26870"/>
    <cellStyle name="Note 5 12 2 2 2" xfId="26871"/>
    <cellStyle name="Note 5 12 2 3" xfId="26872"/>
    <cellStyle name="Note 5 12 3" xfId="26873"/>
    <cellStyle name="Note 5 12 4" xfId="26874"/>
    <cellStyle name="Note 5 13" xfId="26875"/>
    <cellStyle name="Note 5 13 2" xfId="26876"/>
    <cellStyle name="Note 5 13 2 2" xfId="26877"/>
    <cellStyle name="Note 5 13 2 2 2" xfId="26878"/>
    <cellStyle name="Note 5 13 2 3" xfId="26879"/>
    <cellStyle name="Note 5 13 3" xfId="26880"/>
    <cellStyle name="Note 5 13 4" xfId="26881"/>
    <cellStyle name="Note 5 14" xfId="26882"/>
    <cellStyle name="Note 5 14 2" xfId="26883"/>
    <cellStyle name="Note 5 14 2 2" xfId="26884"/>
    <cellStyle name="Note 5 14 2 2 2" xfId="26885"/>
    <cellStyle name="Note 5 14 2 3" xfId="26886"/>
    <cellStyle name="Note 5 14 3" xfId="26887"/>
    <cellStyle name="Note 5 14 4" xfId="26888"/>
    <cellStyle name="Note 5 15" xfId="26889"/>
    <cellStyle name="Note 5 15 2" xfId="26890"/>
    <cellStyle name="Note 5 15 2 2" xfId="26891"/>
    <cellStyle name="Note 5 15 2 2 2" xfId="26892"/>
    <cellStyle name="Note 5 15 2 3" xfId="26893"/>
    <cellStyle name="Note 5 15 3" xfId="26894"/>
    <cellStyle name="Note 5 15 4" xfId="26895"/>
    <cellStyle name="Note 5 16" xfId="26896"/>
    <cellStyle name="Note 5 16 2" xfId="26897"/>
    <cellStyle name="Note 5 16 2 2" xfId="26898"/>
    <cellStyle name="Note 5 16 2 2 2" xfId="26899"/>
    <cellStyle name="Note 5 16 2 3" xfId="26900"/>
    <cellStyle name="Note 5 16 3" xfId="26901"/>
    <cellStyle name="Note 5 16 4" xfId="26902"/>
    <cellStyle name="Note 5 17" xfId="26903"/>
    <cellStyle name="Note 5 17 2" xfId="26904"/>
    <cellStyle name="Note 5 17 2 2" xfId="26905"/>
    <cellStyle name="Note 5 17 2 2 2" xfId="26906"/>
    <cellStyle name="Note 5 17 2 3" xfId="26907"/>
    <cellStyle name="Note 5 17 3" xfId="26908"/>
    <cellStyle name="Note 5 17 4" xfId="26909"/>
    <cellStyle name="Note 5 18" xfId="26910"/>
    <cellStyle name="Note 5 18 2" xfId="26911"/>
    <cellStyle name="Note 5 18 2 2" xfId="26912"/>
    <cellStyle name="Note 5 18 2 2 2" xfId="26913"/>
    <cellStyle name="Note 5 18 2 3" xfId="26914"/>
    <cellStyle name="Note 5 18 3" xfId="26915"/>
    <cellStyle name="Note 5 18 4" xfId="26916"/>
    <cellStyle name="Note 5 19" xfId="26917"/>
    <cellStyle name="Note 5 19 2" xfId="26918"/>
    <cellStyle name="Note 5 19 2 2" xfId="26919"/>
    <cellStyle name="Note 5 19 2 2 2" xfId="26920"/>
    <cellStyle name="Note 5 19 2 3" xfId="26921"/>
    <cellStyle name="Note 5 19 3" xfId="26922"/>
    <cellStyle name="Note 5 19 4" xfId="26923"/>
    <cellStyle name="Note 5 2" xfId="26924"/>
    <cellStyle name="Note 5 2 2" xfId="26925"/>
    <cellStyle name="Note 5 2 2 2" xfId="26926"/>
    <cellStyle name="Note 5 2 2 2 2" xfId="26927"/>
    <cellStyle name="Note 5 2 2 2 2 2" xfId="26928"/>
    <cellStyle name="Note 5 2 2 2 3" xfId="26929"/>
    <cellStyle name="Note 5 2 2 3" xfId="26930"/>
    <cellStyle name="Note 5 2 2 3 2" xfId="26931"/>
    <cellStyle name="Note 5 2 2 4" xfId="26932"/>
    <cellStyle name="Note 5 2 3" xfId="26933"/>
    <cellStyle name="Note 5 2 3 2" xfId="26934"/>
    <cellStyle name="Note 5 2 3 2 2" xfId="26935"/>
    <cellStyle name="Note 5 2 3 3" xfId="26936"/>
    <cellStyle name="Note 5 2 4" xfId="26937"/>
    <cellStyle name="Note 5 2 4 2" xfId="26938"/>
    <cellStyle name="Note 5 2 4 2 2" xfId="26939"/>
    <cellStyle name="Note 5 2 4 3" xfId="26940"/>
    <cellStyle name="Note 5 2 5" xfId="26941"/>
    <cellStyle name="Note 5 2 5 2" xfId="26942"/>
    <cellStyle name="Note 5 2 5 2 2" xfId="26943"/>
    <cellStyle name="Note 5 2 5 3" xfId="26944"/>
    <cellStyle name="Note 5 2 6" xfId="26945"/>
    <cellStyle name="Note 5 2 6 2" xfId="26946"/>
    <cellStyle name="Note 5 2 6 2 2" xfId="26947"/>
    <cellStyle name="Note 5 2 6 3" xfId="26948"/>
    <cellStyle name="Note 5 2 7" xfId="26949"/>
    <cellStyle name="Note 5 2 8" xfId="26950"/>
    <cellStyle name="Note 5 20" xfId="26951"/>
    <cellStyle name="Note 5 20 2" xfId="26952"/>
    <cellStyle name="Note 5 20 2 2" xfId="26953"/>
    <cellStyle name="Note 5 20 2 2 2" xfId="26954"/>
    <cellStyle name="Note 5 20 2 3" xfId="26955"/>
    <cellStyle name="Note 5 20 3" xfId="26956"/>
    <cellStyle name="Note 5 20 4" xfId="26957"/>
    <cellStyle name="Note 5 21" xfId="26958"/>
    <cellStyle name="Note 5 21 2" xfId="26959"/>
    <cellStyle name="Note 5 21 2 2" xfId="26960"/>
    <cellStyle name="Note 5 21 2 2 2" xfId="26961"/>
    <cellStyle name="Note 5 21 2 3" xfId="26962"/>
    <cellStyle name="Note 5 21 3" xfId="26963"/>
    <cellStyle name="Note 5 21 4" xfId="26964"/>
    <cellStyle name="Note 5 22" xfId="26965"/>
    <cellStyle name="Note 5 22 2" xfId="26966"/>
    <cellStyle name="Note 5 22 2 2" xfId="26967"/>
    <cellStyle name="Note 5 22 2 2 2" xfId="26968"/>
    <cellStyle name="Note 5 22 2 3" xfId="26969"/>
    <cellStyle name="Note 5 22 3" xfId="26970"/>
    <cellStyle name="Note 5 22 4" xfId="26971"/>
    <cellStyle name="Note 5 23" xfId="26972"/>
    <cellStyle name="Note 5 23 2" xfId="26973"/>
    <cellStyle name="Note 5 23 2 2" xfId="26974"/>
    <cellStyle name="Note 5 23 2 2 2" xfId="26975"/>
    <cellStyle name="Note 5 23 2 3" xfId="26976"/>
    <cellStyle name="Note 5 23 3" xfId="26977"/>
    <cellStyle name="Note 5 23 4" xfId="26978"/>
    <cellStyle name="Note 5 24" xfId="26979"/>
    <cellStyle name="Note 5 24 2" xfId="26980"/>
    <cellStyle name="Note 5 24 2 2" xfId="26981"/>
    <cellStyle name="Note 5 24 2 2 2" xfId="26982"/>
    <cellStyle name="Note 5 24 2 3" xfId="26983"/>
    <cellStyle name="Note 5 24 3" xfId="26984"/>
    <cellStyle name="Note 5 24 4" xfId="26985"/>
    <cellStyle name="Note 5 25" xfId="26986"/>
    <cellStyle name="Note 5 25 2" xfId="26987"/>
    <cellStyle name="Note 5 25 2 2" xfId="26988"/>
    <cellStyle name="Note 5 25 2 2 2" xfId="26989"/>
    <cellStyle name="Note 5 25 2 3" xfId="26990"/>
    <cellStyle name="Note 5 25 3" xfId="26991"/>
    <cellStyle name="Note 5 25 4" xfId="26992"/>
    <cellStyle name="Note 5 26" xfId="26993"/>
    <cellStyle name="Note 5 26 2" xfId="26994"/>
    <cellStyle name="Note 5 26 2 2" xfId="26995"/>
    <cellStyle name="Note 5 26 2 2 2" xfId="26996"/>
    <cellStyle name="Note 5 26 2 3" xfId="26997"/>
    <cellStyle name="Note 5 26 3" xfId="26998"/>
    <cellStyle name="Note 5 26 4" xfId="26999"/>
    <cellStyle name="Note 5 27" xfId="27000"/>
    <cellStyle name="Note 5 27 2" xfId="27001"/>
    <cellStyle name="Note 5 27 2 2" xfId="27002"/>
    <cellStyle name="Note 5 27 2 2 2" xfId="27003"/>
    <cellStyle name="Note 5 27 2 3" xfId="27004"/>
    <cellStyle name="Note 5 27 3" xfId="27005"/>
    <cellStyle name="Note 5 27 4" xfId="27006"/>
    <cellStyle name="Note 5 28" xfId="27007"/>
    <cellStyle name="Note 5 28 2" xfId="27008"/>
    <cellStyle name="Note 5 28 2 2" xfId="27009"/>
    <cellStyle name="Note 5 28 2 2 2" xfId="27010"/>
    <cellStyle name="Note 5 28 2 3" xfId="27011"/>
    <cellStyle name="Note 5 28 3" xfId="27012"/>
    <cellStyle name="Note 5 28 4" xfId="27013"/>
    <cellStyle name="Note 5 29" xfId="27014"/>
    <cellStyle name="Note 5 29 2" xfId="27015"/>
    <cellStyle name="Note 5 29 2 2" xfId="27016"/>
    <cellStyle name="Note 5 29 2 2 2" xfId="27017"/>
    <cellStyle name="Note 5 29 2 3" xfId="27018"/>
    <cellStyle name="Note 5 29 3" xfId="27019"/>
    <cellStyle name="Note 5 29 4" xfId="27020"/>
    <cellStyle name="Note 5 3" xfId="27021"/>
    <cellStyle name="Note 5 3 2" xfId="27022"/>
    <cellStyle name="Note 5 3 2 2" xfId="27023"/>
    <cellStyle name="Note 5 3 2 2 2" xfId="27024"/>
    <cellStyle name="Note 5 3 2 3" xfId="27025"/>
    <cellStyle name="Note 5 3 3" xfId="27026"/>
    <cellStyle name="Note 5 3 3 2" xfId="27027"/>
    <cellStyle name="Note 5 3 3 2 2" xfId="27028"/>
    <cellStyle name="Note 5 3 3 3" xfId="27029"/>
    <cellStyle name="Note 5 3 4" xfId="27030"/>
    <cellStyle name="Note 5 3 4 2" xfId="27031"/>
    <cellStyle name="Note 5 3 4 2 2" xfId="27032"/>
    <cellStyle name="Note 5 3 4 3" xfId="27033"/>
    <cellStyle name="Note 5 3 5" xfId="27034"/>
    <cellStyle name="Note 5 3 6" xfId="27035"/>
    <cellStyle name="Note 5 30" xfId="27036"/>
    <cellStyle name="Note 5 30 2" xfId="27037"/>
    <cellStyle name="Note 5 30 2 2" xfId="27038"/>
    <cellStyle name="Note 5 30 2 2 2" xfId="27039"/>
    <cellStyle name="Note 5 30 2 3" xfId="27040"/>
    <cellStyle name="Note 5 30 3" xfId="27041"/>
    <cellStyle name="Note 5 30 4" xfId="27042"/>
    <cellStyle name="Note 5 31" xfId="27043"/>
    <cellStyle name="Note 5 31 2" xfId="27044"/>
    <cellStyle name="Note 5 31 2 2" xfId="27045"/>
    <cellStyle name="Note 5 31 2 2 2" xfId="27046"/>
    <cellStyle name="Note 5 31 2 3" xfId="27047"/>
    <cellStyle name="Note 5 31 3" xfId="27048"/>
    <cellStyle name="Note 5 31 4" xfId="27049"/>
    <cellStyle name="Note 5 32" xfId="27050"/>
    <cellStyle name="Note 5 32 2" xfId="27051"/>
    <cellStyle name="Note 5 32 2 2" xfId="27052"/>
    <cellStyle name="Note 5 32 2 2 2" xfId="27053"/>
    <cellStyle name="Note 5 32 2 3" xfId="27054"/>
    <cellStyle name="Note 5 32 3" xfId="27055"/>
    <cellStyle name="Note 5 32 4" xfId="27056"/>
    <cellStyle name="Note 5 33" xfId="27057"/>
    <cellStyle name="Note 5 33 2" xfId="27058"/>
    <cellStyle name="Note 5 33 2 2" xfId="27059"/>
    <cellStyle name="Note 5 33 2 2 2" xfId="27060"/>
    <cellStyle name="Note 5 33 2 3" xfId="27061"/>
    <cellStyle name="Note 5 33 3" xfId="27062"/>
    <cellStyle name="Note 5 33 4" xfId="27063"/>
    <cellStyle name="Note 5 34" xfId="27064"/>
    <cellStyle name="Note 5 34 2" xfId="27065"/>
    <cellStyle name="Note 5 34 2 2" xfId="27066"/>
    <cellStyle name="Note 5 34 2 2 2" xfId="27067"/>
    <cellStyle name="Note 5 34 2 3" xfId="27068"/>
    <cellStyle name="Note 5 34 3" xfId="27069"/>
    <cellStyle name="Note 5 34 4" xfId="27070"/>
    <cellStyle name="Note 5 35" xfId="27071"/>
    <cellStyle name="Note 5 35 2" xfId="27072"/>
    <cellStyle name="Note 5 35 2 2" xfId="27073"/>
    <cellStyle name="Note 5 35 2 2 2" xfId="27074"/>
    <cellStyle name="Note 5 35 2 3" xfId="27075"/>
    <cellStyle name="Note 5 35 3" xfId="27076"/>
    <cellStyle name="Note 5 35 4" xfId="27077"/>
    <cellStyle name="Note 5 36" xfId="27078"/>
    <cellStyle name="Note 5 36 2" xfId="27079"/>
    <cellStyle name="Note 5 36 2 2" xfId="27080"/>
    <cellStyle name="Note 5 36 2 2 2" xfId="27081"/>
    <cellStyle name="Note 5 36 2 3" xfId="27082"/>
    <cellStyle name="Note 5 36 3" xfId="27083"/>
    <cellStyle name="Note 5 36 4" xfId="27084"/>
    <cellStyle name="Note 5 37" xfId="27085"/>
    <cellStyle name="Note 5 37 2" xfId="27086"/>
    <cellStyle name="Note 5 37 2 2" xfId="27087"/>
    <cellStyle name="Note 5 37 2 2 2" xfId="27088"/>
    <cellStyle name="Note 5 37 2 3" xfId="27089"/>
    <cellStyle name="Note 5 37 3" xfId="27090"/>
    <cellStyle name="Note 5 37 4" xfId="27091"/>
    <cellStyle name="Note 5 38" xfId="27092"/>
    <cellStyle name="Note 5 38 2" xfId="27093"/>
    <cellStyle name="Note 5 38 2 2" xfId="27094"/>
    <cellStyle name="Note 5 38 2 2 2" xfId="27095"/>
    <cellStyle name="Note 5 38 2 3" xfId="27096"/>
    <cellStyle name="Note 5 38 3" xfId="27097"/>
    <cellStyle name="Note 5 38 4" xfId="27098"/>
    <cellStyle name="Note 5 39" xfId="27099"/>
    <cellStyle name="Note 5 39 2" xfId="27100"/>
    <cellStyle name="Note 5 39 2 2" xfId="27101"/>
    <cellStyle name="Note 5 39 2 2 2" xfId="27102"/>
    <cellStyle name="Note 5 39 2 3" xfId="27103"/>
    <cellStyle name="Note 5 39 3" xfId="27104"/>
    <cellStyle name="Note 5 39 4" xfId="27105"/>
    <cellStyle name="Note 5 4" xfId="27106"/>
    <cellStyle name="Note 5 4 2" xfId="27107"/>
    <cellStyle name="Note 5 4 2 2" xfId="27108"/>
    <cellStyle name="Note 5 4 2 2 2" xfId="27109"/>
    <cellStyle name="Note 5 4 2 3" xfId="27110"/>
    <cellStyle name="Note 5 4 3" xfId="27111"/>
    <cellStyle name="Note 5 4 3 2" xfId="27112"/>
    <cellStyle name="Note 5 4 3 2 2" xfId="27113"/>
    <cellStyle name="Note 5 4 3 3" xfId="27114"/>
    <cellStyle name="Note 5 4 4" xfId="27115"/>
    <cellStyle name="Note 5 4 4 2" xfId="27116"/>
    <cellStyle name="Note 5 4 4 2 2" xfId="27117"/>
    <cellStyle name="Note 5 4 4 3" xfId="27118"/>
    <cellStyle name="Note 5 4 5" xfId="27119"/>
    <cellStyle name="Note 5 4 6" xfId="27120"/>
    <cellStyle name="Note 5 40" xfId="27121"/>
    <cellStyle name="Note 5 40 2" xfId="27122"/>
    <cellStyle name="Note 5 40 2 2" xfId="27123"/>
    <cellStyle name="Note 5 40 2 2 2" xfId="27124"/>
    <cellStyle name="Note 5 40 2 3" xfId="27125"/>
    <cellStyle name="Note 5 40 3" xfId="27126"/>
    <cellStyle name="Note 5 40 4" xfId="27127"/>
    <cellStyle name="Note 5 41" xfId="27128"/>
    <cellStyle name="Note 5 41 2" xfId="27129"/>
    <cellStyle name="Note 5 41 2 2" xfId="27130"/>
    <cellStyle name="Note 5 41 2 2 2" xfId="27131"/>
    <cellStyle name="Note 5 41 2 3" xfId="27132"/>
    <cellStyle name="Note 5 41 3" xfId="27133"/>
    <cellStyle name="Note 5 41 4" xfId="27134"/>
    <cellStyle name="Note 5 42" xfId="27135"/>
    <cellStyle name="Note 5 42 2" xfId="27136"/>
    <cellStyle name="Note 5 42 2 2" xfId="27137"/>
    <cellStyle name="Note 5 42 2 2 2" xfId="27138"/>
    <cellStyle name="Note 5 42 2 3" xfId="27139"/>
    <cellStyle name="Note 5 42 3" xfId="27140"/>
    <cellStyle name="Note 5 42 4" xfId="27141"/>
    <cellStyle name="Note 5 43" xfId="27142"/>
    <cellStyle name="Note 5 43 2" xfId="27143"/>
    <cellStyle name="Note 5 43 2 2" xfId="27144"/>
    <cellStyle name="Note 5 43 2 2 2" xfId="27145"/>
    <cellStyle name="Note 5 43 2 3" xfId="27146"/>
    <cellStyle name="Note 5 43 3" xfId="27147"/>
    <cellStyle name="Note 5 43 4" xfId="27148"/>
    <cellStyle name="Note 5 44" xfId="27149"/>
    <cellStyle name="Note 5 44 2" xfId="27150"/>
    <cellStyle name="Note 5 44 2 2" xfId="27151"/>
    <cellStyle name="Note 5 44 2 2 2" xfId="27152"/>
    <cellStyle name="Note 5 44 2 3" xfId="27153"/>
    <cellStyle name="Note 5 44 3" xfId="27154"/>
    <cellStyle name="Note 5 44 4" xfId="27155"/>
    <cellStyle name="Note 5 45" xfId="27156"/>
    <cellStyle name="Note 5 45 2" xfId="27157"/>
    <cellStyle name="Note 5 45 2 2" xfId="27158"/>
    <cellStyle name="Note 5 45 2 2 2" xfId="27159"/>
    <cellStyle name="Note 5 45 2 3" xfId="27160"/>
    <cellStyle name="Note 5 45 3" xfId="27161"/>
    <cellStyle name="Note 5 45 4" xfId="27162"/>
    <cellStyle name="Note 5 46" xfId="27163"/>
    <cellStyle name="Note 5 46 2" xfId="27164"/>
    <cellStyle name="Note 5 46 2 2" xfId="27165"/>
    <cellStyle name="Note 5 46 2 2 2" xfId="27166"/>
    <cellStyle name="Note 5 46 2 3" xfId="27167"/>
    <cellStyle name="Note 5 46 3" xfId="27168"/>
    <cellStyle name="Note 5 46 4" xfId="27169"/>
    <cellStyle name="Note 5 47" xfId="27170"/>
    <cellStyle name="Note 5 47 2" xfId="27171"/>
    <cellStyle name="Note 5 47 2 2" xfId="27172"/>
    <cellStyle name="Note 5 47 2 2 2" xfId="27173"/>
    <cellStyle name="Note 5 47 2 3" xfId="27174"/>
    <cellStyle name="Note 5 47 3" xfId="27175"/>
    <cellStyle name="Note 5 47 4" xfId="27176"/>
    <cellStyle name="Note 5 48" xfId="27177"/>
    <cellStyle name="Note 5 48 2" xfId="27178"/>
    <cellStyle name="Note 5 48 2 2" xfId="27179"/>
    <cellStyle name="Note 5 48 2 2 2" xfId="27180"/>
    <cellStyle name="Note 5 48 2 3" xfId="27181"/>
    <cellStyle name="Note 5 48 3" xfId="27182"/>
    <cellStyle name="Note 5 48 4" xfId="27183"/>
    <cellStyle name="Note 5 49" xfId="27184"/>
    <cellStyle name="Note 5 49 2" xfId="27185"/>
    <cellStyle name="Note 5 49 2 2" xfId="27186"/>
    <cellStyle name="Note 5 49 3" xfId="27187"/>
    <cellStyle name="Note 5 5" xfId="27188"/>
    <cellStyle name="Note 5 5 2" xfId="27189"/>
    <cellStyle name="Note 5 5 2 2" xfId="27190"/>
    <cellStyle name="Note 5 5 2 2 2" xfId="27191"/>
    <cellStyle name="Note 5 5 2 3" xfId="27192"/>
    <cellStyle name="Note 5 5 3" xfId="27193"/>
    <cellStyle name="Note 5 5 3 2" xfId="27194"/>
    <cellStyle name="Note 5 5 3 2 2" xfId="27195"/>
    <cellStyle name="Note 5 5 3 3" xfId="27196"/>
    <cellStyle name="Note 5 5 4" xfId="27197"/>
    <cellStyle name="Note 5 5 4 2" xfId="27198"/>
    <cellStyle name="Note 5 5 4 2 2" xfId="27199"/>
    <cellStyle name="Note 5 5 4 3" xfId="27200"/>
    <cellStyle name="Note 5 5 5" xfId="27201"/>
    <cellStyle name="Note 5 5 6" xfId="27202"/>
    <cellStyle name="Note 5 50" xfId="27203"/>
    <cellStyle name="Note 5 50 2" xfId="27204"/>
    <cellStyle name="Note 5 50 2 2" xfId="27205"/>
    <cellStyle name="Note 5 50 3" xfId="27206"/>
    <cellStyle name="Note 5 51" xfId="27207"/>
    <cellStyle name="Note 5 51 2" xfId="27208"/>
    <cellStyle name="Note 5 51 2 2" xfId="27209"/>
    <cellStyle name="Note 5 51 3" xfId="27210"/>
    <cellStyle name="Note 5 52" xfId="27211"/>
    <cellStyle name="Note 5 52 2" xfId="27212"/>
    <cellStyle name="Note 5 52 2 2" xfId="27213"/>
    <cellStyle name="Note 5 52 3" xfId="27214"/>
    <cellStyle name="Note 5 53" xfId="27215"/>
    <cellStyle name="Note 5 54" xfId="27216"/>
    <cellStyle name="Note 5 6" xfId="27217"/>
    <cellStyle name="Note 5 6 2" xfId="27218"/>
    <cellStyle name="Note 5 6 2 2" xfId="27219"/>
    <cellStyle name="Note 5 6 2 2 2" xfId="27220"/>
    <cellStyle name="Note 5 6 2 3" xfId="27221"/>
    <cellStyle name="Note 5 6 3" xfId="27222"/>
    <cellStyle name="Note 5 6 3 2" xfId="27223"/>
    <cellStyle name="Note 5 6 3 2 2" xfId="27224"/>
    <cellStyle name="Note 5 6 3 3" xfId="27225"/>
    <cellStyle name="Note 5 6 4" xfId="27226"/>
    <cellStyle name="Note 5 6 4 2" xfId="27227"/>
    <cellStyle name="Note 5 6 4 2 2" xfId="27228"/>
    <cellStyle name="Note 5 6 4 3" xfId="27229"/>
    <cellStyle name="Note 5 6 5" xfId="27230"/>
    <cellStyle name="Note 5 6 6" xfId="27231"/>
    <cellStyle name="Note 5 7" xfId="27232"/>
    <cellStyle name="Note 5 7 2" xfId="27233"/>
    <cellStyle name="Note 5 7 2 2" xfId="27234"/>
    <cellStyle name="Note 5 7 2 2 2" xfId="27235"/>
    <cellStyle name="Note 5 7 2 3" xfId="27236"/>
    <cellStyle name="Note 5 7 3" xfId="27237"/>
    <cellStyle name="Note 5 7 3 2" xfId="27238"/>
    <cellStyle name="Note 5 7 3 2 2" xfId="27239"/>
    <cellStyle name="Note 5 7 3 3" xfId="27240"/>
    <cellStyle name="Note 5 7 4" xfId="27241"/>
    <cellStyle name="Note 5 7 4 2" xfId="27242"/>
    <cellStyle name="Note 5 7 4 2 2" xfId="27243"/>
    <cellStyle name="Note 5 7 4 3" xfId="27244"/>
    <cellStyle name="Note 5 7 5" xfId="27245"/>
    <cellStyle name="Note 5 7 6" xfId="27246"/>
    <cellStyle name="Note 5 8" xfId="27247"/>
    <cellStyle name="Note 5 8 2" xfId="27248"/>
    <cellStyle name="Note 5 8 2 2" xfId="27249"/>
    <cellStyle name="Note 5 8 2 2 2" xfId="27250"/>
    <cellStyle name="Note 5 8 2 3" xfId="27251"/>
    <cellStyle name="Note 5 8 3" xfId="27252"/>
    <cellStyle name="Note 5 8 3 2" xfId="27253"/>
    <cellStyle name="Note 5 8 3 2 2" xfId="27254"/>
    <cellStyle name="Note 5 8 3 3" xfId="27255"/>
    <cellStyle name="Note 5 8 4" xfId="27256"/>
    <cellStyle name="Note 5 8 4 2" xfId="27257"/>
    <cellStyle name="Note 5 8 4 2 2" xfId="27258"/>
    <cellStyle name="Note 5 8 4 3" xfId="27259"/>
    <cellStyle name="Note 5 8 5" xfId="27260"/>
    <cellStyle name="Note 5 8 6" xfId="27261"/>
    <cellStyle name="Note 5 9" xfId="27262"/>
    <cellStyle name="Note 5 9 2" xfId="27263"/>
    <cellStyle name="Note 5 9 2 2" xfId="27264"/>
    <cellStyle name="Note 5 9 2 2 2" xfId="27265"/>
    <cellStyle name="Note 5 9 2 3" xfId="27266"/>
    <cellStyle name="Note 5 9 3" xfId="27267"/>
    <cellStyle name="Note 5 9 4" xfId="27268"/>
    <cellStyle name="Note 6" xfId="27269"/>
    <cellStyle name="Note 6 2" xfId="27270"/>
    <cellStyle name="Note 6 2 2" xfId="27271"/>
    <cellStyle name="Note 6 2 2 2" xfId="27272"/>
    <cellStyle name="Note 6 2 2 2 2" xfId="27273"/>
    <cellStyle name="Note 6 2 2 2 2 2" xfId="27274"/>
    <cellStyle name="Note 6 2 2 2 3" xfId="27275"/>
    <cellStyle name="Note 6 2 2 3" xfId="27276"/>
    <cellStyle name="Note 6 2 2 3 2" xfId="27277"/>
    <cellStyle name="Note 6 2 2 4" xfId="27278"/>
    <cellStyle name="Note 6 2 3" xfId="27279"/>
    <cellStyle name="Note 6 2 3 2" xfId="27280"/>
    <cellStyle name="Note 6 2 3 2 2" xfId="27281"/>
    <cellStyle name="Note 6 2 3 3" xfId="27282"/>
    <cellStyle name="Note 6 2 4" xfId="27283"/>
    <cellStyle name="Note 6 2 4 2" xfId="27284"/>
    <cellStyle name="Note 6 2 4 2 2" xfId="27285"/>
    <cellStyle name="Note 6 2 4 3" xfId="27286"/>
    <cellStyle name="Note 6 2 5" xfId="27287"/>
    <cellStyle name="Note 6 2 5 2" xfId="27288"/>
    <cellStyle name="Note 6 2 5 2 2" xfId="27289"/>
    <cellStyle name="Note 6 2 5 3" xfId="27290"/>
    <cellStyle name="Note 6 2 6" xfId="27291"/>
    <cellStyle name="Note 6 2 6 2" xfId="27292"/>
    <cellStyle name="Note 6 2 6 2 2" xfId="27293"/>
    <cellStyle name="Note 6 2 6 3" xfId="27294"/>
    <cellStyle name="Note 6 2 7" xfId="27295"/>
    <cellStyle name="Note 6 3" xfId="27296"/>
    <cellStyle name="Note 6 3 2" xfId="27297"/>
    <cellStyle name="Note 6 3 2 2" xfId="27298"/>
    <cellStyle name="Note 6 3 2 2 2" xfId="27299"/>
    <cellStyle name="Note 6 3 2 3" xfId="27300"/>
    <cellStyle name="Note 6 3 3" xfId="27301"/>
    <cellStyle name="Note 6 3 3 2" xfId="27302"/>
    <cellStyle name="Note 6 3 4" xfId="27303"/>
    <cellStyle name="Note 6 4" xfId="27304"/>
    <cellStyle name="Note 6 4 2" xfId="27305"/>
    <cellStyle name="Note 6 4 2 2" xfId="27306"/>
    <cellStyle name="Note 6 4 3" xfId="27307"/>
    <cellStyle name="Note 6 5" xfId="27308"/>
    <cellStyle name="Note 6 5 2" xfId="27309"/>
    <cellStyle name="Note 6 5 2 2" xfId="27310"/>
    <cellStyle name="Note 6 5 3" xfId="27311"/>
    <cellStyle name="Note 6 6" xfId="27312"/>
    <cellStyle name="Note 6 6 2" xfId="27313"/>
    <cellStyle name="Note 6 6 2 2" xfId="27314"/>
    <cellStyle name="Note 6 6 3" xfId="27315"/>
    <cellStyle name="Note 6 7" xfId="27316"/>
    <cellStyle name="Note 6 7 2" xfId="27317"/>
    <cellStyle name="Note 6 7 2 2" xfId="27318"/>
    <cellStyle name="Note 6 7 3" xfId="27319"/>
    <cellStyle name="Note 6 8" xfId="27320"/>
    <cellStyle name="Note 6 9" xfId="27321"/>
    <cellStyle name="Note 7" xfId="27322"/>
    <cellStyle name="Note 7 10" xfId="27323"/>
    <cellStyle name="Note 7 10 2" xfId="27324"/>
    <cellStyle name="Note 7 10 2 2" xfId="27325"/>
    <cellStyle name="Note 7 10 2 2 2" xfId="27326"/>
    <cellStyle name="Note 7 10 2 2 2 2" xfId="27327"/>
    <cellStyle name="Note 7 10 2 2 2 2 2" xfId="27328"/>
    <cellStyle name="Note 7 10 2 2 2 3" xfId="27329"/>
    <cellStyle name="Note 7 10 2 2 3" xfId="27330"/>
    <cellStyle name="Note 7 10 2 2 3 2" xfId="27331"/>
    <cellStyle name="Note 7 10 2 2 4" xfId="27332"/>
    <cellStyle name="Note 7 10 2 3" xfId="27333"/>
    <cellStyle name="Note 7 10 2 3 2" xfId="27334"/>
    <cellStyle name="Note 7 10 2 3 2 2" xfId="27335"/>
    <cellStyle name="Note 7 10 2 3 3" xfId="27336"/>
    <cellStyle name="Note 7 10 2 4" xfId="27337"/>
    <cellStyle name="Note 7 10 2 4 2" xfId="27338"/>
    <cellStyle name="Note 7 10 2 4 2 2" xfId="27339"/>
    <cellStyle name="Note 7 10 2 4 3" xfId="27340"/>
    <cellStyle name="Note 7 10 2 5" xfId="27341"/>
    <cellStyle name="Note 7 10 2 5 2" xfId="27342"/>
    <cellStyle name="Note 7 10 2 5 2 2" xfId="27343"/>
    <cellStyle name="Note 7 10 2 5 3" xfId="27344"/>
    <cellStyle name="Note 7 10 2 6" xfId="27345"/>
    <cellStyle name="Note 7 10 2 6 2" xfId="27346"/>
    <cellStyle name="Note 7 10 2 6 2 2" xfId="27347"/>
    <cellStyle name="Note 7 10 2 6 3" xfId="27348"/>
    <cellStyle name="Note 7 10 2 7" xfId="27349"/>
    <cellStyle name="Note 7 10 3" xfId="27350"/>
    <cellStyle name="Note 7 10 3 2" xfId="27351"/>
    <cellStyle name="Note 7 10 3 2 2" xfId="27352"/>
    <cellStyle name="Note 7 10 3 2 2 2" xfId="27353"/>
    <cellStyle name="Note 7 10 3 2 3" xfId="27354"/>
    <cellStyle name="Note 7 10 3 3" xfId="27355"/>
    <cellStyle name="Note 7 10 3 3 2" xfId="27356"/>
    <cellStyle name="Note 7 10 3 4" xfId="27357"/>
    <cellStyle name="Note 7 10 4" xfId="27358"/>
    <cellStyle name="Note 7 10 4 2" xfId="27359"/>
    <cellStyle name="Note 7 10 4 2 2" xfId="27360"/>
    <cellStyle name="Note 7 10 4 3" xfId="27361"/>
    <cellStyle name="Note 7 10 5" xfId="27362"/>
    <cellStyle name="Note 7 10 5 2" xfId="27363"/>
    <cellStyle name="Note 7 10 5 2 2" xfId="27364"/>
    <cellStyle name="Note 7 10 5 3" xfId="27365"/>
    <cellStyle name="Note 7 10 6" xfId="27366"/>
    <cellStyle name="Note 7 10 6 2" xfId="27367"/>
    <cellStyle name="Note 7 10 6 2 2" xfId="27368"/>
    <cellStyle name="Note 7 10 6 3" xfId="27369"/>
    <cellStyle name="Note 7 10 7" xfId="27370"/>
    <cellStyle name="Note 7 10 7 2" xfId="27371"/>
    <cellStyle name="Note 7 10 7 2 2" xfId="27372"/>
    <cellStyle name="Note 7 10 7 3" xfId="27373"/>
    <cellStyle name="Note 7 10 8" xfId="27374"/>
    <cellStyle name="Note 7 11" xfId="27375"/>
    <cellStyle name="Note 7 11 2" xfId="27376"/>
    <cellStyle name="Note 7 11 2 2" xfId="27377"/>
    <cellStyle name="Note 7 11 2 2 2" xfId="27378"/>
    <cellStyle name="Note 7 11 2 2 2 2" xfId="27379"/>
    <cellStyle name="Note 7 11 2 2 2 2 2" xfId="27380"/>
    <cellStyle name="Note 7 11 2 2 2 3" xfId="27381"/>
    <cellStyle name="Note 7 11 2 2 3" xfId="27382"/>
    <cellStyle name="Note 7 11 2 2 3 2" xfId="27383"/>
    <cellStyle name="Note 7 11 2 2 4" xfId="27384"/>
    <cellStyle name="Note 7 11 2 3" xfId="27385"/>
    <cellStyle name="Note 7 11 2 3 2" xfId="27386"/>
    <cellStyle name="Note 7 11 2 3 2 2" xfId="27387"/>
    <cellStyle name="Note 7 11 2 3 3" xfId="27388"/>
    <cellStyle name="Note 7 11 2 4" xfId="27389"/>
    <cellStyle name="Note 7 11 2 4 2" xfId="27390"/>
    <cellStyle name="Note 7 11 2 4 2 2" xfId="27391"/>
    <cellStyle name="Note 7 11 2 4 3" xfId="27392"/>
    <cellStyle name="Note 7 11 2 5" xfId="27393"/>
    <cellStyle name="Note 7 11 2 5 2" xfId="27394"/>
    <cellStyle name="Note 7 11 2 5 2 2" xfId="27395"/>
    <cellStyle name="Note 7 11 2 5 3" xfId="27396"/>
    <cellStyle name="Note 7 11 2 6" xfId="27397"/>
    <cellStyle name="Note 7 11 2 6 2" xfId="27398"/>
    <cellStyle name="Note 7 11 2 6 2 2" xfId="27399"/>
    <cellStyle name="Note 7 11 2 6 3" xfId="27400"/>
    <cellStyle name="Note 7 11 2 7" xfId="27401"/>
    <cellStyle name="Note 7 11 3" xfId="27402"/>
    <cellStyle name="Note 7 11 3 2" xfId="27403"/>
    <cellStyle name="Note 7 11 3 2 2" xfId="27404"/>
    <cellStyle name="Note 7 11 3 2 2 2" xfId="27405"/>
    <cellStyle name="Note 7 11 3 2 3" xfId="27406"/>
    <cellStyle name="Note 7 11 3 3" xfId="27407"/>
    <cellStyle name="Note 7 11 3 3 2" xfId="27408"/>
    <cellStyle name="Note 7 11 3 4" xfId="27409"/>
    <cellStyle name="Note 7 11 4" xfId="27410"/>
    <cellStyle name="Note 7 11 4 2" xfId="27411"/>
    <cellStyle name="Note 7 11 4 2 2" xfId="27412"/>
    <cellStyle name="Note 7 11 4 3" xfId="27413"/>
    <cellStyle name="Note 7 11 5" xfId="27414"/>
    <cellStyle name="Note 7 11 5 2" xfId="27415"/>
    <cellStyle name="Note 7 11 5 2 2" xfId="27416"/>
    <cellStyle name="Note 7 11 5 3" xfId="27417"/>
    <cellStyle name="Note 7 11 6" xfId="27418"/>
    <cellStyle name="Note 7 11 6 2" xfId="27419"/>
    <cellStyle name="Note 7 11 6 2 2" xfId="27420"/>
    <cellStyle name="Note 7 11 6 3" xfId="27421"/>
    <cellStyle name="Note 7 11 7" xfId="27422"/>
    <cellStyle name="Note 7 11 7 2" xfId="27423"/>
    <cellStyle name="Note 7 11 7 2 2" xfId="27424"/>
    <cellStyle name="Note 7 11 7 3" xfId="27425"/>
    <cellStyle name="Note 7 11 8" xfId="27426"/>
    <cellStyle name="Note 7 12" xfId="27427"/>
    <cellStyle name="Note 7 12 2" xfId="27428"/>
    <cellStyle name="Note 7 12 2 2" xfId="27429"/>
    <cellStyle name="Note 7 12 2 2 2" xfId="27430"/>
    <cellStyle name="Note 7 12 2 2 2 2" xfId="27431"/>
    <cellStyle name="Note 7 12 2 2 2 2 2" xfId="27432"/>
    <cellStyle name="Note 7 12 2 2 2 3" xfId="27433"/>
    <cellStyle name="Note 7 12 2 2 3" xfId="27434"/>
    <cellStyle name="Note 7 12 2 2 3 2" xfId="27435"/>
    <cellStyle name="Note 7 12 2 2 4" xfId="27436"/>
    <cellStyle name="Note 7 12 2 3" xfId="27437"/>
    <cellStyle name="Note 7 12 2 3 2" xfId="27438"/>
    <cellStyle name="Note 7 12 2 3 2 2" xfId="27439"/>
    <cellStyle name="Note 7 12 2 3 3" xfId="27440"/>
    <cellStyle name="Note 7 12 2 4" xfId="27441"/>
    <cellStyle name="Note 7 12 2 4 2" xfId="27442"/>
    <cellStyle name="Note 7 12 2 4 2 2" xfId="27443"/>
    <cellStyle name="Note 7 12 2 4 3" xfId="27444"/>
    <cellStyle name="Note 7 12 2 5" xfId="27445"/>
    <cellStyle name="Note 7 12 2 5 2" xfId="27446"/>
    <cellStyle name="Note 7 12 2 5 2 2" xfId="27447"/>
    <cellStyle name="Note 7 12 2 5 3" xfId="27448"/>
    <cellStyle name="Note 7 12 2 6" xfId="27449"/>
    <cellStyle name="Note 7 12 2 6 2" xfId="27450"/>
    <cellStyle name="Note 7 12 2 6 2 2" xfId="27451"/>
    <cellStyle name="Note 7 12 2 6 3" xfId="27452"/>
    <cellStyle name="Note 7 12 2 7" xfId="27453"/>
    <cellStyle name="Note 7 12 3" xfId="27454"/>
    <cellStyle name="Note 7 12 3 2" xfId="27455"/>
    <cellStyle name="Note 7 12 3 2 2" xfId="27456"/>
    <cellStyle name="Note 7 12 3 2 2 2" xfId="27457"/>
    <cellStyle name="Note 7 12 3 2 3" xfId="27458"/>
    <cellStyle name="Note 7 12 3 3" xfId="27459"/>
    <cellStyle name="Note 7 12 3 3 2" xfId="27460"/>
    <cellStyle name="Note 7 12 3 4" xfId="27461"/>
    <cellStyle name="Note 7 12 4" xfId="27462"/>
    <cellStyle name="Note 7 12 4 2" xfId="27463"/>
    <cellStyle name="Note 7 12 4 2 2" xfId="27464"/>
    <cellStyle name="Note 7 12 4 3" xfId="27465"/>
    <cellStyle name="Note 7 12 5" xfId="27466"/>
    <cellStyle name="Note 7 12 5 2" xfId="27467"/>
    <cellStyle name="Note 7 12 5 2 2" xfId="27468"/>
    <cellStyle name="Note 7 12 5 3" xfId="27469"/>
    <cellStyle name="Note 7 12 6" xfId="27470"/>
    <cellStyle name="Note 7 12 6 2" xfId="27471"/>
    <cellStyle name="Note 7 12 6 2 2" xfId="27472"/>
    <cellStyle name="Note 7 12 6 3" xfId="27473"/>
    <cellStyle name="Note 7 12 7" xfId="27474"/>
    <cellStyle name="Note 7 12 7 2" xfId="27475"/>
    <cellStyle name="Note 7 12 7 2 2" xfId="27476"/>
    <cellStyle name="Note 7 12 7 3" xfId="27477"/>
    <cellStyle name="Note 7 12 8" xfId="27478"/>
    <cellStyle name="Note 7 13" xfId="27479"/>
    <cellStyle name="Note 7 13 2" xfId="27480"/>
    <cellStyle name="Note 7 13 2 2" xfId="27481"/>
    <cellStyle name="Note 7 13 2 2 2" xfId="27482"/>
    <cellStyle name="Note 7 13 2 2 2 2" xfId="27483"/>
    <cellStyle name="Note 7 13 2 2 2 2 2" xfId="27484"/>
    <cellStyle name="Note 7 13 2 2 2 3" xfId="27485"/>
    <cellStyle name="Note 7 13 2 2 3" xfId="27486"/>
    <cellStyle name="Note 7 13 2 2 3 2" xfId="27487"/>
    <cellStyle name="Note 7 13 2 2 4" xfId="27488"/>
    <cellStyle name="Note 7 13 2 3" xfId="27489"/>
    <cellStyle name="Note 7 13 2 3 2" xfId="27490"/>
    <cellStyle name="Note 7 13 2 3 2 2" xfId="27491"/>
    <cellStyle name="Note 7 13 2 3 3" xfId="27492"/>
    <cellStyle name="Note 7 13 2 4" xfId="27493"/>
    <cellStyle name="Note 7 13 2 4 2" xfId="27494"/>
    <cellStyle name="Note 7 13 2 4 2 2" xfId="27495"/>
    <cellStyle name="Note 7 13 2 4 3" xfId="27496"/>
    <cellStyle name="Note 7 13 2 5" xfId="27497"/>
    <cellStyle name="Note 7 13 2 5 2" xfId="27498"/>
    <cellStyle name="Note 7 13 2 5 2 2" xfId="27499"/>
    <cellStyle name="Note 7 13 2 5 3" xfId="27500"/>
    <cellStyle name="Note 7 13 2 6" xfId="27501"/>
    <cellStyle name="Note 7 13 2 6 2" xfId="27502"/>
    <cellStyle name="Note 7 13 2 6 2 2" xfId="27503"/>
    <cellStyle name="Note 7 13 2 6 3" xfId="27504"/>
    <cellStyle name="Note 7 13 2 7" xfId="27505"/>
    <cellStyle name="Note 7 13 3" xfId="27506"/>
    <cellStyle name="Note 7 13 3 2" xfId="27507"/>
    <cellStyle name="Note 7 13 3 2 2" xfId="27508"/>
    <cellStyle name="Note 7 13 3 2 2 2" xfId="27509"/>
    <cellStyle name="Note 7 13 3 2 3" xfId="27510"/>
    <cellStyle name="Note 7 13 3 3" xfId="27511"/>
    <cellStyle name="Note 7 13 3 3 2" xfId="27512"/>
    <cellStyle name="Note 7 13 3 4" xfId="27513"/>
    <cellStyle name="Note 7 13 4" xfId="27514"/>
    <cellStyle name="Note 7 13 4 2" xfId="27515"/>
    <cellStyle name="Note 7 13 4 2 2" xfId="27516"/>
    <cellStyle name="Note 7 13 4 3" xfId="27517"/>
    <cellStyle name="Note 7 13 5" xfId="27518"/>
    <cellStyle name="Note 7 13 5 2" xfId="27519"/>
    <cellStyle name="Note 7 13 5 2 2" xfId="27520"/>
    <cellStyle name="Note 7 13 5 3" xfId="27521"/>
    <cellStyle name="Note 7 13 6" xfId="27522"/>
    <cellStyle name="Note 7 13 6 2" xfId="27523"/>
    <cellStyle name="Note 7 13 6 2 2" xfId="27524"/>
    <cellStyle name="Note 7 13 6 3" xfId="27525"/>
    <cellStyle name="Note 7 13 7" xfId="27526"/>
    <cellStyle name="Note 7 13 7 2" xfId="27527"/>
    <cellStyle name="Note 7 13 7 2 2" xfId="27528"/>
    <cellStyle name="Note 7 13 7 3" xfId="27529"/>
    <cellStyle name="Note 7 13 8" xfId="27530"/>
    <cellStyle name="Note 7 14" xfId="27531"/>
    <cellStyle name="Note 7 14 2" xfId="27532"/>
    <cellStyle name="Note 7 14 2 2" xfId="27533"/>
    <cellStyle name="Note 7 14 2 2 2" xfId="27534"/>
    <cellStyle name="Note 7 14 2 2 2 2" xfId="27535"/>
    <cellStyle name="Note 7 14 2 2 2 2 2" xfId="27536"/>
    <cellStyle name="Note 7 14 2 2 2 3" xfId="27537"/>
    <cellStyle name="Note 7 14 2 2 3" xfId="27538"/>
    <cellStyle name="Note 7 14 2 2 3 2" xfId="27539"/>
    <cellStyle name="Note 7 14 2 2 4" xfId="27540"/>
    <cellStyle name="Note 7 14 2 3" xfId="27541"/>
    <cellStyle name="Note 7 14 2 3 2" xfId="27542"/>
    <cellStyle name="Note 7 14 2 3 2 2" xfId="27543"/>
    <cellStyle name="Note 7 14 2 3 3" xfId="27544"/>
    <cellStyle name="Note 7 14 2 4" xfId="27545"/>
    <cellStyle name="Note 7 14 2 4 2" xfId="27546"/>
    <cellStyle name="Note 7 14 2 4 2 2" xfId="27547"/>
    <cellStyle name="Note 7 14 2 4 3" xfId="27548"/>
    <cellStyle name="Note 7 14 2 5" xfId="27549"/>
    <cellStyle name="Note 7 14 2 5 2" xfId="27550"/>
    <cellStyle name="Note 7 14 2 5 2 2" xfId="27551"/>
    <cellStyle name="Note 7 14 2 5 3" xfId="27552"/>
    <cellStyle name="Note 7 14 2 6" xfId="27553"/>
    <cellStyle name="Note 7 14 2 6 2" xfId="27554"/>
    <cellStyle name="Note 7 14 2 6 2 2" xfId="27555"/>
    <cellStyle name="Note 7 14 2 6 3" xfId="27556"/>
    <cellStyle name="Note 7 14 2 7" xfId="27557"/>
    <cellStyle name="Note 7 14 3" xfId="27558"/>
    <cellStyle name="Note 7 14 3 2" xfId="27559"/>
    <cellStyle name="Note 7 14 3 2 2" xfId="27560"/>
    <cellStyle name="Note 7 14 3 2 2 2" xfId="27561"/>
    <cellStyle name="Note 7 14 3 2 3" xfId="27562"/>
    <cellStyle name="Note 7 14 3 3" xfId="27563"/>
    <cellStyle name="Note 7 14 3 3 2" xfId="27564"/>
    <cellStyle name="Note 7 14 3 4" xfId="27565"/>
    <cellStyle name="Note 7 14 4" xfId="27566"/>
    <cellStyle name="Note 7 14 4 2" xfId="27567"/>
    <cellStyle name="Note 7 14 4 2 2" xfId="27568"/>
    <cellStyle name="Note 7 14 4 3" xfId="27569"/>
    <cellStyle name="Note 7 14 5" xfId="27570"/>
    <cellStyle name="Note 7 14 5 2" xfId="27571"/>
    <cellStyle name="Note 7 14 5 2 2" xfId="27572"/>
    <cellStyle name="Note 7 14 5 3" xfId="27573"/>
    <cellStyle name="Note 7 14 6" xfId="27574"/>
    <cellStyle name="Note 7 14 6 2" xfId="27575"/>
    <cellStyle name="Note 7 14 6 2 2" xfId="27576"/>
    <cellStyle name="Note 7 14 6 3" xfId="27577"/>
    <cellStyle name="Note 7 14 7" xfId="27578"/>
    <cellStyle name="Note 7 14 7 2" xfId="27579"/>
    <cellStyle name="Note 7 14 7 2 2" xfId="27580"/>
    <cellStyle name="Note 7 14 7 3" xfId="27581"/>
    <cellStyle name="Note 7 14 8" xfId="27582"/>
    <cellStyle name="Note 7 15" xfId="27583"/>
    <cellStyle name="Note 7 15 2" xfId="27584"/>
    <cellStyle name="Note 7 15 2 2" xfId="27585"/>
    <cellStyle name="Note 7 15 2 2 2" xfId="27586"/>
    <cellStyle name="Note 7 15 2 2 2 2" xfId="27587"/>
    <cellStyle name="Note 7 15 2 2 2 2 2" xfId="27588"/>
    <cellStyle name="Note 7 15 2 2 2 3" xfId="27589"/>
    <cellStyle name="Note 7 15 2 2 3" xfId="27590"/>
    <cellStyle name="Note 7 15 2 2 3 2" xfId="27591"/>
    <cellStyle name="Note 7 15 2 2 4" xfId="27592"/>
    <cellStyle name="Note 7 15 2 3" xfId="27593"/>
    <cellStyle name="Note 7 15 2 3 2" xfId="27594"/>
    <cellStyle name="Note 7 15 2 3 2 2" xfId="27595"/>
    <cellStyle name="Note 7 15 2 3 3" xfId="27596"/>
    <cellStyle name="Note 7 15 2 4" xfId="27597"/>
    <cellStyle name="Note 7 15 2 4 2" xfId="27598"/>
    <cellStyle name="Note 7 15 2 4 2 2" xfId="27599"/>
    <cellStyle name="Note 7 15 2 4 3" xfId="27600"/>
    <cellStyle name="Note 7 15 2 5" xfId="27601"/>
    <cellStyle name="Note 7 15 2 5 2" xfId="27602"/>
    <cellStyle name="Note 7 15 2 5 2 2" xfId="27603"/>
    <cellStyle name="Note 7 15 2 5 3" xfId="27604"/>
    <cellStyle name="Note 7 15 2 6" xfId="27605"/>
    <cellStyle name="Note 7 15 2 6 2" xfId="27606"/>
    <cellStyle name="Note 7 15 2 6 2 2" xfId="27607"/>
    <cellStyle name="Note 7 15 2 6 3" xfId="27608"/>
    <cellStyle name="Note 7 15 2 7" xfId="27609"/>
    <cellStyle name="Note 7 15 3" xfId="27610"/>
    <cellStyle name="Note 7 15 3 2" xfId="27611"/>
    <cellStyle name="Note 7 15 3 2 2" xfId="27612"/>
    <cellStyle name="Note 7 15 3 2 2 2" xfId="27613"/>
    <cellStyle name="Note 7 15 3 2 3" xfId="27614"/>
    <cellStyle name="Note 7 15 3 3" xfId="27615"/>
    <cellStyle name="Note 7 15 3 3 2" xfId="27616"/>
    <cellStyle name="Note 7 15 3 4" xfId="27617"/>
    <cellStyle name="Note 7 15 4" xfId="27618"/>
    <cellStyle name="Note 7 15 4 2" xfId="27619"/>
    <cellStyle name="Note 7 15 4 2 2" xfId="27620"/>
    <cellStyle name="Note 7 15 4 3" xfId="27621"/>
    <cellStyle name="Note 7 15 5" xfId="27622"/>
    <cellStyle name="Note 7 15 5 2" xfId="27623"/>
    <cellStyle name="Note 7 15 5 2 2" xfId="27624"/>
    <cellStyle name="Note 7 15 5 3" xfId="27625"/>
    <cellStyle name="Note 7 15 6" xfId="27626"/>
    <cellStyle name="Note 7 15 6 2" xfId="27627"/>
    <cellStyle name="Note 7 15 6 2 2" xfId="27628"/>
    <cellStyle name="Note 7 15 6 3" xfId="27629"/>
    <cellStyle name="Note 7 15 7" xfId="27630"/>
    <cellStyle name="Note 7 15 7 2" xfId="27631"/>
    <cellStyle name="Note 7 15 7 2 2" xfId="27632"/>
    <cellStyle name="Note 7 15 7 3" xfId="27633"/>
    <cellStyle name="Note 7 15 8" xfId="27634"/>
    <cellStyle name="Note 7 16" xfId="27635"/>
    <cellStyle name="Note 7 16 2" xfId="27636"/>
    <cellStyle name="Note 7 16 2 2" xfId="27637"/>
    <cellStyle name="Note 7 16 2 2 2" xfId="27638"/>
    <cellStyle name="Note 7 16 2 2 2 2" xfId="27639"/>
    <cellStyle name="Note 7 16 2 2 2 2 2" xfId="27640"/>
    <cellStyle name="Note 7 16 2 2 2 3" xfId="27641"/>
    <cellStyle name="Note 7 16 2 2 3" xfId="27642"/>
    <cellStyle name="Note 7 16 2 2 3 2" xfId="27643"/>
    <cellStyle name="Note 7 16 2 2 4" xfId="27644"/>
    <cellStyle name="Note 7 16 2 3" xfId="27645"/>
    <cellStyle name="Note 7 16 2 3 2" xfId="27646"/>
    <cellStyle name="Note 7 16 2 3 2 2" xfId="27647"/>
    <cellStyle name="Note 7 16 2 3 3" xfId="27648"/>
    <cellStyle name="Note 7 16 2 4" xfId="27649"/>
    <cellStyle name="Note 7 16 2 4 2" xfId="27650"/>
    <cellStyle name="Note 7 16 2 4 2 2" xfId="27651"/>
    <cellStyle name="Note 7 16 2 4 3" xfId="27652"/>
    <cellStyle name="Note 7 16 2 5" xfId="27653"/>
    <cellStyle name="Note 7 16 2 5 2" xfId="27654"/>
    <cellStyle name="Note 7 16 2 5 2 2" xfId="27655"/>
    <cellStyle name="Note 7 16 2 5 3" xfId="27656"/>
    <cellStyle name="Note 7 16 2 6" xfId="27657"/>
    <cellStyle name="Note 7 16 2 6 2" xfId="27658"/>
    <cellStyle name="Note 7 16 2 6 2 2" xfId="27659"/>
    <cellStyle name="Note 7 16 2 6 3" xfId="27660"/>
    <cellStyle name="Note 7 16 2 7" xfId="27661"/>
    <cellStyle name="Note 7 16 3" xfId="27662"/>
    <cellStyle name="Note 7 16 3 2" xfId="27663"/>
    <cellStyle name="Note 7 16 3 2 2" xfId="27664"/>
    <cellStyle name="Note 7 16 3 2 2 2" xfId="27665"/>
    <cellStyle name="Note 7 16 3 2 3" xfId="27666"/>
    <cellStyle name="Note 7 16 3 3" xfId="27667"/>
    <cellStyle name="Note 7 16 3 3 2" xfId="27668"/>
    <cellStyle name="Note 7 16 3 4" xfId="27669"/>
    <cellStyle name="Note 7 16 4" xfId="27670"/>
    <cellStyle name="Note 7 16 4 2" xfId="27671"/>
    <cellStyle name="Note 7 16 4 2 2" xfId="27672"/>
    <cellStyle name="Note 7 16 4 3" xfId="27673"/>
    <cellStyle name="Note 7 16 5" xfId="27674"/>
    <cellStyle name="Note 7 16 5 2" xfId="27675"/>
    <cellStyle name="Note 7 16 5 2 2" xfId="27676"/>
    <cellStyle name="Note 7 16 5 3" xfId="27677"/>
    <cellStyle name="Note 7 16 6" xfId="27678"/>
    <cellStyle name="Note 7 16 6 2" xfId="27679"/>
    <cellStyle name="Note 7 16 6 2 2" xfId="27680"/>
    <cellStyle name="Note 7 16 6 3" xfId="27681"/>
    <cellStyle name="Note 7 16 7" xfId="27682"/>
    <cellStyle name="Note 7 16 7 2" xfId="27683"/>
    <cellStyle name="Note 7 16 7 2 2" xfId="27684"/>
    <cellStyle name="Note 7 16 7 3" xfId="27685"/>
    <cellStyle name="Note 7 16 8" xfId="27686"/>
    <cellStyle name="Note 7 17" xfId="27687"/>
    <cellStyle name="Note 7 17 2" xfId="27688"/>
    <cellStyle name="Note 7 17 2 2" xfId="27689"/>
    <cellStyle name="Note 7 17 2 2 2" xfId="27690"/>
    <cellStyle name="Note 7 17 2 2 2 2" xfId="27691"/>
    <cellStyle name="Note 7 17 2 2 2 2 2" xfId="27692"/>
    <cellStyle name="Note 7 17 2 2 2 3" xfId="27693"/>
    <cellStyle name="Note 7 17 2 2 3" xfId="27694"/>
    <cellStyle name="Note 7 17 2 2 3 2" xfId="27695"/>
    <cellStyle name="Note 7 17 2 2 4" xfId="27696"/>
    <cellStyle name="Note 7 17 2 3" xfId="27697"/>
    <cellStyle name="Note 7 17 2 3 2" xfId="27698"/>
    <cellStyle name="Note 7 17 2 3 2 2" xfId="27699"/>
    <cellStyle name="Note 7 17 2 3 3" xfId="27700"/>
    <cellStyle name="Note 7 17 2 4" xfId="27701"/>
    <cellStyle name="Note 7 17 2 4 2" xfId="27702"/>
    <cellStyle name="Note 7 17 2 4 2 2" xfId="27703"/>
    <cellStyle name="Note 7 17 2 4 3" xfId="27704"/>
    <cellStyle name="Note 7 17 2 5" xfId="27705"/>
    <cellStyle name="Note 7 17 2 5 2" xfId="27706"/>
    <cellStyle name="Note 7 17 2 5 2 2" xfId="27707"/>
    <cellStyle name="Note 7 17 2 5 3" xfId="27708"/>
    <cellStyle name="Note 7 17 2 6" xfId="27709"/>
    <cellStyle name="Note 7 17 2 6 2" xfId="27710"/>
    <cellStyle name="Note 7 17 2 6 2 2" xfId="27711"/>
    <cellStyle name="Note 7 17 2 6 3" xfId="27712"/>
    <cellStyle name="Note 7 17 2 7" xfId="27713"/>
    <cellStyle name="Note 7 17 3" xfId="27714"/>
    <cellStyle name="Note 7 17 3 2" xfId="27715"/>
    <cellStyle name="Note 7 17 3 2 2" xfId="27716"/>
    <cellStyle name="Note 7 17 3 2 2 2" xfId="27717"/>
    <cellStyle name="Note 7 17 3 2 3" xfId="27718"/>
    <cellStyle name="Note 7 17 3 3" xfId="27719"/>
    <cellStyle name="Note 7 17 3 3 2" xfId="27720"/>
    <cellStyle name="Note 7 17 3 4" xfId="27721"/>
    <cellStyle name="Note 7 17 4" xfId="27722"/>
    <cellStyle name="Note 7 17 4 2" xfId="27723"/>
    <cellStyle name="Note 7 17 4 2 2" xfId="27724"/>
    <cellStyle name="Note 7 17 4 3" xfId="27725"/>
    <cellStyle name="Note 7 17 5" xfId="27726"/>
    <cellStyle name="Note 7 17 5 2" xfId="27727"/>
    <cellStyle name="Note 7 17 5 2 2" xfId="27728"/>
    <cellStyle name="Note 7 17 5 3" xfId="27729"/>
    <cellStyle name="Note 7 17 6" xfId="27730"/>
    <cellStyle name="Note 7 17 6 2" xfId="27731"/>
    <cellStyle name="Note 7 17 6 2 2" xfId="27732"/>
    <cellStyle name="Note 7 17 6 3" xfId="27733"/>
    <cellStyle name="Note 7 17 7" xfId="27734"/>
    <cellStyle name="Note 7 17 7 2" xfId="27735"/>
    <cellStyle name="Note 7 17 7 2 2" xfId="27736"/>
    <cellStyle name="Note 7 17 7 3" xfId="27737"/>
    <cellStyle name="Note 7 17 8" xfId="27738"/>
    <cellStyle name="Note 7 18" xfId="27739"/>
    <cellStyle name="Note 7 18 2" xfId="27740"/>
    <cellStyle name="Note 7 18 2 2" xfId="27741"/>
    <cellStyle name="Note 7 18 2 2 2" xfId="27742"/>
    <cellStyle name="Note 7 18 2 2 2 2" xfId="27743"/>
    <cellStyle name="Note 7 18 2 2 2 2 2" xfId="27744"/>
    <cellStyle name="Note 7 18 2 2 2 3" xfId="27745"/>
    <cellStyle name="Note 7 18 2 2 3" xfId="27746"/>
    <cellStyle name="Note 7 18 2 2 3 2" xfId="27747"/>
    <cellStyle name="Note 7 18 2 2 4" xfId="27748"/>
    <cellStyle name="Note 7 18 2 3" xfId="27749"/>
    <cellStyle name="Note 7 18 2 3 2" xfId="27750"/>
    <cellStyle name="Note 7 18 2 3 2 2" xfId="27751"/>
    <cellStyle name="Note 7 18 2 3 3" xfId="27752"/>
    <cellStyle name="Note 7 18 2 4" xfId="27753"/>
    <cellStyle name="Note 7 18 2 4 2" xfId="27754"/>
    <cellStyle name="Note 7 18 2 4 2 2" xfId="27755"/>
    <cellStyle name="Note 7 18 2 4 3" xfId="27756"/>
    <cellStyle name="Note 7 18 2 5" xfId="27757"/>
    <cellStyle name="Note 7 18 2 5 2" xfId="27758"/>
    <cellStyle name="Note 7 18 2 5 2 2" xfId="27759"/>
    <cellStyle name="Note 7 18 2 5 3" xfId="27760"/>
    <cellStyle name="Note 7 18 2 6" xfId="27761"/>
    <cellStyle name="Note 7 18 2 6 2" xfId="27762"/>
    <cellStyle name="Note 7 18 2 6 2 2" xfId="27763"/>
    <cellStyle name="Note 7 18 2 6 3" xfId="27764"/>
    <cellStyle name="Note 7 18 2 7" xfId="27765"/>
    <cellStyle name="Note 7 18 3" xfId="27766"/>
    <cellStyle name="Note 7 18 3 2" xfId="27767"/>
    <cellStyle name="Note 7 18 3 2 2" xfId="27768"/>
    <cellStyle name="Note 7 18 3 2 2 2" xfId="27769"/>
    <cellStyle name="Note 7 18 3 2 3" xfId="27770"/>
    <cellStyle name="Note 7 18 3 3" xfId="27771"/>
    <cellStyle name="Note 7 18 3 3 2" xfId="27772"/>
    <cellStyle name="Note 7 18 3 4" xfId="27773"/>
    <cellStyle name="Note 7 18 4" xfId="27774"/>
    <cellStyle name="Note 7 18 4 2" xfId="27775"/>
    <cellStyle name="Note 7 18 4 2 2" xfId="27776"/>
    <cellStyle name="Note 7 18 4 3" xfId="27777"/>
    <cellStyle name="Note 7 18 5" xfId="27778"/>
    <cellStyle name="Note 7 18 5 2" xfId="27779"/>
    <cellStyle name="Note 7 18 5 2 2" xfId="27780"/>
    <cellStyle name="Note 7 18 5 3" xfId="27781"/>
    <cellStyle name="Note 7 18 6" xfId="27782"/>
    <cellStyle name="Note 7 18 6 2" xfId="27783"/>
    <cellStyle name="Note 7 18 6 2 2" xfId="27784"/>
    <cellStyle name="Note 7 18 6 3" xfId="27785"/>
    <cellStyle name="Note 7 18 7" xfId="27786"/>
    <cellStyle name="Note 7 18 7 2" xfId="27787"/>
    <cellStyle name="Note 7 18 7 2 2" xfId="27788"/>
    <cellStyle name="Note 7 18 7 3" xfId="27789"/>
    <cellStyle name="Note 7 18 8" xfId="27790"/>
    <cellStyle name="Note 7 19" xfId="27791"/>
    <cellStyle name="Note 7 19 2" xfId="27792"/>
    <cellStyle name="Note 7 19 2 2" xfId="27793"/>
    <cellStyle name="Note 7 19 2 2 2" xfId="27794"/>
    <cellStyle name="Note 7 19 2 2 2 2" xfId="27795"/>
    <cellStyle name="Note 7 19 2 2 2 2 2" xfId="27796"/>
    <cellStyle name="Note 7 19 2 2 2 3" xfId="27797"/>
    <cellStyle name="Note 7 19 2 2 3" xfId="27798"/>
    <cellStyle name="Note 7 19 2 2 3 2" xfId="27799"/>
    <cellStyle name="Note 7 19 2 2 4" xfId="27800"/>
    <cellStyle name="Note 7 19 2 3" xfId="27801"/>
    <cellStyle name="Note 7 19 2 3 2" xfId="27802"/>
    <cellStyle name="Note 7 19 2 3 2 2" xfId="27803"/>
    <cellStyle name="Note 7 19 2 3 3" xfId="27804"/>
    <cellStyle name="Note 7 19 2 4" xfId="27805"/>
    <cellStyle name="Note 7 19 2 4 2" xfId="27806"/>
    <cellStyle name="Note 7 19 2 4 2 2" xfId="27807"/>
    <cellStyle name="Note 7 19 2 4 3" xfId="27808"/>
    <cellStyle name="Note 7 19 2 5" xfId="27809"/>
    <cellStyle name="Note 7 19 2 5 2" xfId="27810"/>
    <cellStyle name="Note 7 19 2 5 2 2" xfId="27811"/>
    <cellStyle name="Note 7 19 2 5 3" xfId="27812"/>
    <cellStyle name="Note 7 19 2 6" xfId="27813"/>
    <cellStyle name="Note 7 19 2 6 2" xfId="27814"/>
    <cellStyle name="Note 7 19 2 6 2 2" xfId="27815"/>
    <cellStyle name="Note 7 19 2 6 3" xfId="27816"/>
    <cellStyle name="Note 7 19 2 7" xfId="27817"/>
    <cellStyle name="Note 7 19 3" xfId="27818"/>
    <cellStyle name="Note 7 19 3 2" xfId="27819"/>
    <cellStyle name="Note 7 19 3 2 2" xfId="27820"/>
    <cellStyle name="Note 7 19 3 2 2 2" xfId="27821"/>
    <cellStyle name="Note 7 19 3 2 3" xfId="27822"/>
    <cellStyle name="Note 7 19 3 3" xfId="27823"/>
    <cellStyle name="Note 7 19 3 3 2" xfId="27824"/>
    <cellStyle name="Note 7 19 3 4" xfId="27825"/>
    <cellStyle name="Note 7 19 4" xfId="27826"/>
    <cellStyle name="Note 7 19 4 2" xfId="27827"/>
    <cellStyle name="Note 7 19 4 2 2" xfId="27828"/>
    <cellStyle name="Note 7 19 4 3" xfId="27829"/>
    <cellStyle name="Note 7 19 5" xfId="27830"/>
    <cellStyle name="Note 7 19 5 2" xfId="27831"/>
    <cellStyle name="Note 7 19 5 2 2" xfId="27832"/>
    <cellStyle name="Note 7 19 5 3" xfId="27833"/>
    <cellStyle name="Note 7 19 6" xfId="27834"/>
    <cellStyle name="Note 7 19 6 2" xfId="27835"/>
    <cellStyle name="Note 7 19 6 2 2" xfId="27836"/>
    <cellStyle name="Note 7 19 6 3" xfId="27837"/>
    <cellStyle name="Note 7 19 7" xfId="27838"/>
    <cellStyle name="Note 7 19 7 2" xfId="27839"/>
    <cellStyle name="Note 7 19 7 2 2" xfId="27840"/>
    <cellStyle name="Note 7 19 7 3" xfId="27841"/>
    <cellStyle name="Note 7 19 8" xfId="27842"/>
    <cellStyle name="Note 7 2" xfId="27843"/>
    <cellStyle name="Note 7 2 2" xfId="27844"/>
    <cellStyle name="Note 7 2 2 2" xfId="27845"/>
    <cellStyle name="Note 7 2 2 2 2" xfId="27846"/>
    <cellStyle name="Note 7 2 2 2 2 2" xfId="27847"/>
    <cellStyle name="Note 7 2 2 2 2 2 2" xfId="27848"/>
    <cellStyle name="Note 7 2 2 2 2 3" xfId="27849"/>
    <cellStyle name="Note 7 2 2 2 3" xfId="27850"/>
    <cellStyle name="Note 7 2 2 2 3 2" xfId="27851"/>
    <cellStyle name="Note 7 2 2 2 4" xfId="27852"/>
    <cellStyle name="Note 7 2 2 3" xfId="27853"/>
    <cellStyle name="Note 7 2 2 3 2" xfId="27854"/>
    <cellStyle name="Note 7 2 2 3 2 2" xfId="27855"/>
    <cellStyle name="Note 7 2 2 3 3" xfId="27856"/>
    <cellStyle name="Note 7 2 2 4" xfId="27857"/>
    <cellStyle name="Note 7 2 2 4 2" xfId="27858"/>
    <cellStyle name="Note 7 2 2 4 2 2" xfId="27859"/>
    <cellStyle name="Note 7 2 2 4 3" xfId="27860"/>
    <cellStyle name="Note 7 2 2 5" xfId="27861"/>
    <cellStyle name="Note 7 2 2 5 2" xfId="27862"/>
    <cellStyle name="Note 7 2 2 5 2 2" xfId="27863"/>
    <cellStyle name="Note 7 2 2 5 3" xfId="27864"/>
    <cellStyle name="Note 7 2 2 6" xfId="27865"/>
    <cellStyle name="Note 7 2 2 6 2" xfId="27866"/>
    <cellStyle name="Note 7 2 2 6 2 2" xfId="27867"/>
    <cellStyle name="Note 7 2 2 6 3" xfId="27868"/>
    <cellStyle name="Note 7 2 2 7" xfId="27869"/>
    <cellStyle name="Note 7 2 3" xfId="27870"/>
    <cellStyle name="Note 7 2 3 2" xfId="27871"/>
    <cellStyle name="Note 7 2 3 2 2" xfId="27872"/>
    <cellStyle name="Note 7 2 3 2 2 2" xfId="27873"/>
    <cellStyle name="Note 7 2 3 2 3" xfId="27874"/>
    <cellStyle name="Note 7 2 3 3" xfId="27875"/>
    <cellStyle name="Note 7 2 3 3 2" xfId="27876"/>
    <cellStyle name="Note 7 2 3 4" xfId="27877"/>
    <cellStyle name="Note 7 2 4" xfId="27878"/>
    <cellStyle name="Note 7 2 4 2" xfId="27879"/>
    <cellStyle name="Note 7 2 4 2 2" xfId="27880"/>
    <cellStyle name="Note 7 2 4 3" xfId="27881"/>
    <cellStyle name="Note 7 2 5" xfId="27882"/>
    <cellStyle name="Note 7 2 5 2" xfId="27883"/>
    <cellStyle name="Note 7 2 5 2 2" xfId="27884"/>
    <cellStyle name="Note 7 2 5 3" xfId="27885"/>
    <cellStyle name="Note 7 2 6" xfId="27886"/>
    <cellStyle name="Note 7 2 6 2" xfId="27887"/>
    <cellStyle name="Note 7 2 6 2 2" xfId="27888"/>
    <cellStyle name="Note 7 2 6 3" xfId="27889"/>
    <cellStyle name="Note 7 2 7" xfId="27890"/>
    <cellStyle name="Note 7 2 7 2" xfId="27891"/>
    <cellStyle name="Note 7 2 7 2 2" xfId="27892"/>
    <cellStyle name="Note 7 2 7 3" xfId="27893"/>
    <cellStyle name="Note 7 2 8" xfId="27894"/>
    <cellStyle name="Note 7 20" xfId="27895"/>
    <cellStyle name="Note 7 20 2" xfId="27896"/>
    <cellStyle name="Note 7 20 2 2" xfId="27897"/>
    <cellStyle name="Note 7 20 2 2 2" xfId="27898"/>
    <cellStyle name="Note 7 20 2 2 2 2" xfId="27899"/>
    <cellStyle name="Note 7 20 2 2 2 2 2" xfId="27900"/>
    <cellStyle name="Note 7 20 2 2 2 3" xfId="27901"/>
    <cellStyle name="Note 7 20 2 2 3" xfId="27902"/>
    <cellStyle name="Note 7 20 2 2 3 2" xfId="27903"/>
    <cellStyle name="Note 7 20 2 2 4" xfId="27904"/>
    <cellStyle name="Note 7 20 2 3" xfId="27905"/>
    <cellStyle name="Note 7 20 2 3 2" xfId="27906"/>
    <cellStyle name="Note 7 20 2 3 2 2" xfId="27907"/>
    <cellStyle name="Note 7 20 2 3 3" xfId="27908"/>
    <cellStyle name="Note 7 20 2 4" xfId="27909"/>
    <cellStyle name="Note 7 20 2 4 2" xfId="27910"/>
    <cellStyle name="Note 7 20 2 4 2 2" xfId="27911"/>
    <cellStyle name="Note 7 20 2 4 3" xfId="27912"/>
    <cellStyle name="Note 7 20 2 5" xfId="27913"/>
    <cellStyle name="Note 7 20 2 5 2" xfId="27914"/>
    <cellStyle name="Note 7 20 2 5 2 2" xfId="27915"/>
    <cellStyle name="Note 7 20 2 5 3" xfId="27916"/>
    <cellStyle name="Note 7 20 2 6" xfId="27917"/>
    <cellStyle name="Note 7 20 2 6 2" xfId="27918"/>
    <cellStyle name="Note 7 20 2 6 2 2" xfId="27919"/>
    <cellStyle name="Note 7 20 2 6 3" xfId="27920"/>
    <cellStyle name="Note 7 20 2 7" xfId="27921"/>
    <cellStyle name="Note 7 20 3" xfId="27922"/>
    <cellStyle name="Note 7 20 3 2" xfId="27923"/>
    <cellStyle name="Note 7 20 3 2 2" xfId="27924"/>
    <cellStyle name="Note 7 20 3 2 2 2" xfId="27925"/>
    <cellStyle name="Note 7 20 3 2 3" xfId="27926"/>
    <cellStyle name="Note 7 20 3 3" xfId="27927"/>
    <cellStyle name="Note 7 20 3 3 2" xfId="27928"/>
    <cellStyle name="Note 7 20 3 4" xfId="27929"/>
    <cellStyle name="Note 7 20 4" xfId="27930"/>
    <cellStyle name="Note 7 20 4 2" xfId="27931"/>
    <cellStyle name="Note 7 20 4 2 2" xfId="27932"/>
    <cellStyle name="Note 7 20 4 3" xfId="27933"/>
    <cellStyle name="Note 7 20 5" xfId="27934"/>
    <cellStyle name="Note 7 20 5 2" xfId="27935"/>
    <cellStyle name="Note 7 20 5 2 2" xfId="27936"/>
    <cellStyle name="Note 7 20 5 3" xfId="27937"/>
    <cellStyle name="Note 7 20 6" xfId="27938"/>
    <cellStyle name="Note 7 20 6 2" xfId="27939"/>
    <cellStyle name="Note 7 20 6 2 2" xfId="27940"/>
    <cellStyle name="Note 7 20 6 3" xfId="27941"/>
    <cellStyle name="Note 7 20 7" xfId="27942"/>
    <cellStyle name="Note 7 20 7 2" xfId="27943"/>
    <cellStyle name="Note 7 20 7 2 2" xfId="27944"/>
    <cellStyle name="Note 7 20 7 3" xfId="27945"/>
    <cellStyle name="Note 7 20 8" xfId="27946"/>
    <cellStyle name="Note 7 21" xfId="27947"/>
    <cellStyle name="Note 7 21 2" xfId="27948"/>
    <cellStyle name="Note 7 21 2 2" xfId="27949"/>
    <cellStyle name="Note 7 21 2 2 2" xfId="27950"/>
    <cellStyle name="Note 7 21 2 2 2 2" xfId="27951"/>
    <cellStyle name="Note 7 21 2 2 2 2 2" xfId="27952"/>
    <cellStyle name="Note 7 21 2 2 2 3" xfId="27953"/>
    <cellStyle name="Note 7 21 2 2 3" xfId="27954"/>
    <cellStyle name="Note 7 21 2 2 3 2" xfId="27955"/>
    <cellStyle name="Note 7 21 2 2 4" xfId="27956"/>
    <cellStyle name="Note 7 21 2 3" xfId="27957"/>
    <cellStyle name="Note 7 21 2 3 2" xfId="27958"/>
    <cellStyle name="Note 7 21 2 3 2 2" xfId="27959"/>
    <cellStyle name="Note 7 21 2 3 3" xfId="27960"/>
    <cellStyle name="Note 7 21 2 4" xfId="27961"/>
    <cellStyle name="Note 7 21 2 4 2" xfId="27962"/>
    <cellStyle name="Note 7 21 2 4 2 2" xfId="27963"/>
    <cellStyle name="Note 7 21 2 4 3" xfId="27964"/>
    <cellStyle name="Note 7 21 2 5" xfId="27965"/>
    <cellStyle name="Note 7 21 2 5 2" xfId="27966"/>
    <cellStyle name="Note 7 21 2 5 2 2" xfId="27967"/>
    <cellStyle name="Note 7 21 2 5 3" xfId="27968"/>
    <cellStyle name="Note 7 21 2 6" xfId="27969"/>
    <cellStyle name="Note 7 21 2 6 2" xfId="27970"/>
    <cellStyle name="Note 7 21 2 6 2 2" xfId="27971"/>
    <cellStyle name="Note 7 21 2 6 3" xfId="27972"/>
    <cellStyle name="Note 7 21 2 7" xfId="27973"/>
    <cellStyle name="Note 7 21 3" xfId="27974"/>
    <cellStyle name="Note 7 21 3 2" xfId="27975"/>
    <cellStyle name="Note 7 21 3 2 2" xfId="27976"/>
    <cellStyle name="Note 7 21 3 2 2 2" xfId="27977"/>
    <cellStyle name="Note 7 21 3 2 3" xfId="27978"/>
    <cellStyle name="Note 7 21 3 3" xfId="27979"/>
    <cellStyle name="Note 7 21 3 3 2" xfId="27980"/>
    <cellStyle name="Note 7 21 3 4" xfId="27981"/>
    <cellStyle name="Note 7 21 4" xfId="27982"/>
    <cellStyle name="Note 7 21 4 2" xfId="27983"/>
    <cellStyle name="Note 7 21 4 2 2" xfId="27984"/>
    <cellStyle name="Note 7 21 4 3" xfId="27985"/>
    <cellStyle name="Note 7 21 5" xfId="27986"/>
    <cellStyle name="Note 7 21 5 2" xfId="27987"/>
    <cellStyle name="Note 7 21 5 2 2" xfId="27988"/>
    <cellStyle name="Note 7 21 5 3" xfId="27989"/>
    <cellStyle name="Note 7 21 6" xfId="27990"/>
    <cellStyle name="Note 7 21 6 2" xfId="27991"/>
    <cellStyle name="Note 7 21 6 2 2" xfId="27992"/>
    <cellStyle name="Note 7 21 6 3" xfId="27993"/>
    <cellStyle name="Note 7 21 7" xfId="27994"/>
    <cellStyle name="Note 7 21 7 2" xfId="27995"/>
    <cellStyle name="Note 7 21 7 2 2" xfId="27996"/>
    <cellStyle name="Note 7 21 7 3" xfId="27997"/>
    <cellStyle name="Note 7 21 8" xfId="27998"/>
    <cellStyle name="Note 7 22" xfId="27999"/>
    <cellStyle name="Note 7 22 2" xfId="28000"/>
    <cellStyle name="Note 7 22 2 2" xfId="28001"/>
    <cellStyle name="Note 7 22 2 2 2" xfId="28002"/>
    <cellStyle name="Note 7 22 2 2 2 2" xfId="28003"/>
    <cellStyle name="Note 7 22 2 2 2 2 2" xfId="28004"/>
    <cellStyle name="Note 7 22 2 2 2 3" xfId="28005"/>
    <cellStyle name="Note 7 22 2 2 3" xfId="28006"/>
    <cellStyle name="Note 7 22 2 2 3 2" xfId="28007"/>
    <cellStyle name="Note 7 22 2 2 4" xfId="28008"/>
    <cellStyle name="Note 7 22 2 3" xfId="28009"/>
    <cellStyle name="Note 7 22 2 3 2" xfId="28010"/>
    <cellStyle name="Note 7 22 2 3 2 2" xfId="28011"/>
    <cellStyle name="Note 7 22 2 3 3" xfId="28012"/>
    <cellStyle name="Note 7 22 2 4" xfId="28013"/>
    <cellStyle name="Note 7 22 2 4 2" xfId="28014"/>
    <cellStyle name="Note 7 22 2 4 2 2" xfId="28015"/>
    <cellStyle name="Note 7 22 2 4 3" xfId="28016"/>
    <cellStyle name="Note 7 22 2 5" xfId="28017"/>
    <cellStyle name="Note 7 22 2 5 2" xfId="28018"/>
    <cellStyle name="Note 7 22 2 5 2 2" xfId="28019"/>
    <cellStyle name="Note 7 22 2 5 3" xfId="28020"/>
    <cellStyle name="Note 7 22 2 6" xfId="28021"/>
    <cellStyle name="Note 7 22 2 6 2" xfId="28022"/>
    <cellStyle name="Note 7 22 2 6 2 2" xfId="28023"/>
    <cellStyle name="Note 7 22 2 6 3" xfId="28024"/>
    <cellStyle name="Note 7 22 2 7" xfId="28025"/>
    <cellStyle name="Note 7 22 3" xfId="28026"/>
    <cellStyle name="Note 7 22 3 2" xfId="28027"/>
    <cellStyle name="Note 7 22 3 2 2" xfId="28028"/>
    <cellStyle name="Note 7 22 3 2 2 2" xfId="28029"/>
    <cellStyle name="Note 7 22 3 2 3" xfId="28030"/>
    <cellStyle name="Note 7 22 3 3" xfId="28031"/>
    <cellStyle name="Note 7 22 3 3 2" xfId="28032"/>
    <cellStyle name="Note 7 22 3 4" xfId="28033"/>
    <cellStyle name="Note 7 22 4" xfId="28034"/>
    <cellStyle name="Note 7 22 4 2" xfId="28035"/>
    <cellStyle name="Note 7 22 4 2 2" xfId="28036"/>
    <cellStyle name="Note 7 22 4 3" xfId="28037"/>
    <cellStyle name="Note 7 22 5" xfId="28038"/>
    <cellStyle name="Note 7 22 5 2" xfId="28039"/>
    <cellStyle name="Note 7 22 5 2 2" xfId="28040"/>
    <cellStyle name="Note 7 22 5 3" xfId="28041"/>
    <cellStyle name="Note 7 22 6" xfId="28042"/>
    <cellStyle name="Note 7 22 6 2" xfId="28043"/>
    <cellStyle name="Note 7 22 6 2 2" xfId="28044"/>
    <cellStyle name="Note 7 22 6 3" xfId="28045"/>
    <cellStyle name="Note 7 22 7" xfId="28046"/>
    <cellStyle name="Note 7 22 7 2" xfId="28047"/>
    <cellStyle name="Note 7 22 7 2 2" xfId="28048"/>
    <cellStyle name="Note 7 22 7 3" xfId="28049"/>
    <cellStyle name="Note 7 22 8" xfId="28050"/>
    <cellStyle name="Note 7 23" xfId="28051"/>
    <cellStyle name="Note 7 23 2" xfId="28052"/>
    <cellStyle name="Note 7 23 2 2" xfId="28053"/>
    <cellStyle name="Note 7 23 2 2 2" xfId="28054"/>
    <cellStyle name="Note 7 23 2 2 2 2" xfId="28055"/>
    <cellStyle name="Note 7 23 2 2 2 2 2" xfId="28056"/>
    <cellStyle name="Note 7 23 2 2 2 3" xfId="28057"/>
    <cellStyle name="Note 7 23 2 2 3" xfId="28058"/>
    <cellStyle name="Note 7 23 2 2 3 2" xfId="28059"/>
    <cellStyle name="Note 7 23 2 2 4" xfId="28060"/>
    <cellStyle name="Note 7 23 2 3" xfId="28061"/>
    <cellStyle name="Note 7 23 2 3 2" xfId="28062"/>
    <cellStyle name="Note 7 23 2 3 2 2" xfId="28063"/>
    <cellStyle name="Note 7 23 2 3 3" xfId="28064"/>
    <cellStyle name="Note 7 23 2 4" xfId="28065"/>
    <cellStyle name="Note 7 23 2 4 2" xfId="28066"/>
    <cellStyle name="Note 7 23 2 4 2 2" xfId="28067"/>
    <cellStyle name="Note 7 23 2 4 3" xfId="28068"/>
    <cellStyle name="Note 7 23 2 5" xfId="28069"/>
    <cellStyle name="Note 7 23 2 5 2" xfId="28070"/>
    <cellStyle name="Note 7 23 2 5 2 2" xfId="28071"/>
    <cellStyle name="Note 7 23 2 5 3" xfId="28072"/>
    <cellStyle name="Note 7 23 2 6" xfId="28073"/>
    <cellStyle name="Note 7 23 2 6 2" xfId="28074"/>
    <cellStyle name="Note 7 23 2 6 2 2" xfId="28075"/>
    <cellStyle name="Note 7 23 2 6 3" xfId="28076"/>
    <cellStyle name="Note 7 23 2 7" xfId="28077"/>
    <cellStyle name="Note 7 23 3" xfId="28078"/>
    <cellStyle name="Note 7 23 3 2" xfId="28079"/>
    <cellStyle name="Note 7 23 3 2 2" xfId="28080"/>
    <cellStyle name="Note 7 23 3 2 2 2" xfId="28081"/>
    <cellStyle name="Note 7 23 3 2 3" xfId="28082"/>
    <cellStyle name="Note 7 23 3 3" xfId="28083"/>
    <cellStyle name="Note 7 23 3 3 2" xfId="28084"/>
    <cellStyle name="Note 7 23 3 4" xfId="28085"/>
    <cellStyle name="Note 7 23 4" xfId="28086"/>
    <cellStyle name="Note 7 23 4 2" xfId="28087"/>
    <cellStyle name="Note 7 23 4 2 2" xfId="28088"/>
    <cellStyle name="Note 7 23 4 3" xfId="28089"/>
    <cellStyle name="Note 7 23 5" xfId="28090"/>
    <cellStyle name="Note 7 23 5 2" xfId="28091"/>
    <cellStyle name="Note 7 23 5 2 2" xfId="28092"/>
    <cellStyle name="Note 7 23 5 3" xfId="28093"/>
    <cellStyle name="Note 7 23 6" xfId="28094"/>
    <cellStyle name="Note 7 23 6 2" xfId="28095"/>
    <cellStyle name="Note 7 23 6 2 2" xfId="28096"/>
    <cellStyle name="Note 7 23 6 3" xfId="28097"/>
    <cellStyle name="Note 7 23 7" xfId="28098"/>
    <cellStyle name="Note 7 23 7 2" xfId="28099"/>
    <cellStyle name="Note 7 23 7 2 2" xfId="28100"/>
    <cellStyle name="Note 7 23 7 3" xfId="28101"/>
    <cellStyle name="Note 7 23 8" xfId="28102"/>
    <cellStyle name="Note 7 24" xfId="28103"/>
    <cellStyle name="Note 7 24 2" xfId="28104"/>
    <cellStyle name="Note 7 24 2 2" xfId="28105"/>
    <cellStyle name="Note 7 24 2 2 2" xfId="28106"/>
    <cellStyle name="Note 7 24 2 2 2 2" xfId="28107"/>
    <cellStyle name="Note 7 24 2 2 2 2 2" xfId="28108"/>
    <cellStyle name="Note 7 24 2 2 2 3" xfId="28109"/>
    <cellStyle name="Note 7 24 2 2 3" xfId="28110"/>
    <cellStyle name="Note 7 24 2 2 3 2" xfId="28111"/>
    <cellStyle name="Note 7 24 2 2 4" xfId="28112"/>
    <cellStyle name="Note 7 24 2 3" xfId="28113"/>
    <cellStyle name="Note 7 24 2 3 2" xfId="28114"/>
    <cellStyle name="Note 7 24 2 3 2 2" xfId="28115"/>
    <cellStyle name="Note 7 24 2 3 3" xfId="28116"/>
    <cellStyle name="Note 7 24 2 4" xfId="28117"/>
    <cellStyle name="Note 7 24 2 4 2" xfId="28118"/>
    <cellStyle name="Note 7 24 2 4 2 2" xfId="28119"/>
    <cellStyle name="Note 7 24 2 4 3" xfId="28120"/>
    <cellStyle name="Note 7 24 2 5" xfId="28121"/>
    <cellStyle name="Note 7 24 2 5 2" xfId="28122"/>
    <cellStyle name="Note 7 24 2 5 2 2" xfId="28123"/>
    <cellStyle name="Note 7 24 2 5 3" xfId="28124"/>
    <cellStyle name="Note 7 24 2 6" xfId="28125"/>
    <cellStyle name="Note 7 24 2 6 2" xfId="28126"/>
    <cellStyle name="Note 7 24 2 6 2 2" xfId="28127"/>
    <cellStyle name="Note 7 24 2 6 3" xfId="28128"/>
    <cellStyle name="Note 7 24 2 7" xfId="28129"/>
    <cellStyle name="Note 7 24 3" xfId="28130"/>
    <cellStyle name="Note 7 24 3 2" xfId="28131"/>
    <cellStyle name="Note 7 24 3 2 2" xfId="28132"/>
    <cellStyle name="Note 7 24 3 2 2 2" xfId="28133"/>
    <cellStyle name="Note 7 24 3 2 3" xfId="28134"/>
    <cellStyle name="Note 7 24 3 3" xfId="28135"/>
    <cellStyle name="Note 7 24 3 3 2" xfId="28136"/>
    <cellStyle name="Note 7 24 3 4" xfId="28137"/>
    <cellStyle name="Note 7 24 4" xfId="28138"/>
    <cellStyle name="Note 7 24 4 2" xfId="28139"/>
    <cellStyle name="Note 7 24 4 2 2" xfId="28140"/>
    <cellStyle name="Note 7 24 4 3" xfId="28141"/>
    <cellStyle name="Note 7 24 5" xfId="28142"/>
    <cellStyle name="Note 7 24 5 2" xfId="28143"/>
    <cellStyle name="Note 7 24 5 2 2" xfId="28144"/>
    <cellStyle name="Note 7 24 5 3" xfId="28145"/>
    <cellStyle name="Note 7 24 6" xfId="28146"/>
    <cellStyle name="Note 7 24 6 2" xfId="28147"/>
    <cellStyle name="Note 7 24 6 2 2" xfId="28148"/>
    <cellStyle name="Note 7 24 6 3" xfId="28149"/>
    <cellStyle name="Note 7 24 7" xfId="28150"/>
    <cellStyle name="Note 7 24 7 2" xfId="28151"/>
    <cellStyle name="Note 7 24 7 2 2" xfId="28152"/>
    <cellStyle name="Note 7 24 7 3" xfId="28153"/>
    <cellStyle name="Note 7 24 8" xfId="28154"/>
    <cellStyle name="Note 7 25" xfId="28155"/>
    <cellStyle name="Note 7 25 2" xfId="28156"/>
    <cellStyle name="Note 7 25 2 2" xfId="28157"/>
    <cellStyle name="Note 7 25 2 2 2" xfId="28158"/>
    <cellStyle name="Note 7 25 2 2 2 2" xfId="28159"/>
    <cellStyle name="Note 7 25 2 2 2 2 2" xfId="28160"/>
    <cellStyle name="Note 7 25 2 2 2 3" xfId="28161"/>
    <cellStyle name="Note 7 25 2 2 3" xfId="28162"/>
    <cellStyle name="Note 7 25 2 2 3 2" xfId="28163"/>
    <cellStyle name="Note 7 25 2 2 4" xfId="28164"/>
    <cellStyle name="Note 7 25 2 3" xfId="28165"/>
    <cellStyle name="Note 7 25 2 3 2" xfId="28166"/>
    <cellStyle name="Note 7 25 2 3 2 2" xfId="28167"/>
    <cellStyle name="Note 7 25 2 3 3" xfId="28168"/>
    <cellStyle name="Note 7 25 2 4" xfId="28169"/>
    <cellStyle name="Note 7 25 2 4 2" xfId="28170"/>
    <cellStyle name="Note 7 25 2 4 2 2" xfId="28171"/>
    <cellStyle name="Note 7 25 2 4 3" xfId="28172"/>
    <cellStyle name="Note 7 25 2 5" xfId="28173"/>
    <cellStyle name="Note 7 25 2 5 2" xfId="28174"/>
    <cellStyle name="Note 7 25 2 5 2 2" xfId="28175"/>
    <cellStyle name="Note 7 25 2 5 3" xfId="28176"/>
    <cellStyle name="Note 7 25 2 6" xfId="28177"/>
    <cellStyle name="Note 7 25 2 6 2" xfId="28178"/>
    <cellStyle name="Note 7 25 2 6 2 2" xfId="28179"/>
    <cellStyle name="Note 7 25 2 6 3" xfId="28180"/>
    <cellStyle name="Note 7 25 2 7" xfId="28181"/>
    <cellStyle name="Note 7 25 3" xfId="28182"/>
    <cellStyle name="Note 7 25 3 2" xfId="28183"/>
    <cellStyle name="Note 7 25 3 2 2" xfId="28184"/>
    <cellStyle name="Note 7 25 3 2 2 2" xfId="28185"/>
    <cellStyle name="Note 7 25 3 2 3" xfId="28186"/>
    <cellStyle name="Note 7 25 3 3" xfId="28187"/>
    <cellStyle name="Note 7 25 3 3 2" xfId="28188"/>
    <cellStyle name="Note 7 25 3 4" xfId="28189"/>
    <cellStyle name="Note 7 25 4" xfId="28190"/>
    <cellStyle name="Note 7 25 4 2" xfId="28191"/>
    <cellStyle name="Note 7 25 4 2 2" xfId="28192"/>
    <cellStyle name="Note 7 25 4 3" xfId="28193"/>
    <cellStyle name="Note 7 25 5" xfId="28194"/>
    <cellStyle name="Note 7 25 5 2" xfId="28195"/>
    <cellStyle name="Note 7 25 5 2 2" xfId="28196"/>
    <cellStyle name="Note 7 25 5 3" xfId="28197"/>
    <cellStyle name="Note 7 25 6" xfId="28198"/>
    <cellStyle name="Note 7 25 6 2" xfId="28199"/>
    <cellStyle name="Note 7 25 6 2 2" xfId="28200"/>
    <cellStyle name="Note 7 25 6 3" xfId="28201"/>
    <cellStyle name="Note 7 25 7" xfId="28202"/>
    <cellStyle name="Note 7 25 7 2" xfId="28203"/>
    <cellStyle name="Note 7 25 7 2 2" xfId="28204"/>
    <cellStyle name="Note 7 25 7 3" xfId="28205"/>
    <cellStyle name="Note 7 25 8" xfId="28206"/>
    <cellStyle name="Note 7 26" xfId="28207"/>
    <cellStyle name="Note 7 26 2" xfId="28208"/>
    <cellStyle name="Note 7 26 2 2" xfId="28209"/>
    <cellStyle name="Note 7 26 2 2 2" xfId="28210"/>
    <cellStyle name="Note 7 26 2 2 2 2" xfId="28211"/>
    <cellStyle name="Note 7 26 2 2 2 2 2" xfId="28212"/>
    <cellStyle name="Note 7 26 2 2 2 3" xfId="28213"/>
    <cellStyle name="Note 7 26 2 2 3" xfId="28214"/>
    <cellStyle name="Note 7 26 2 2 3 2" xfId="28215"/>
    <cellStyle name="Note 7 26 2 2 4" xfId="28216"/>
    <cellStyle name="Note 7 26 2 3" xfId="28217"/>
    <cellStyle name="Note 7 26 2 3 2" xfId="28218"/>
    <cellStyle name="Note 7 26 2 3 2 2" xfId="28219"/>
    <cellStyle name="Note 7 26 2 3 3" xfId="28220"/>
    <cellStyle name="Note 7 26 2 4" xfId="28221"/>
    <cellStyle name="Note 7 26 2 4 2" xfId="28222"/>
    <cellStyle name="Note 7 26 2 4 2 2" xfId="28223"/>
    <cellStyle name="Note 7 26 2 4 3" xfId="28224"/>
    <cellStyle name="Note 7 26 2 5" xfId="28225"/>
    <cellStyle name="Note 7 26 2 5 2" xfId="28226"/>
    <cellStyle name="Note 7 26 2 5 2 2" xfId="28227"/>
    <cellStyle name="Note 7 26 2 5 3" xfId="28228"/>
    <cellStyle name="Note 7 26 2 6" xfId="28229"/>
    <cellStyle name="Note 7 26 2 6 2" xfId="28230"/>
    <cellStyle name="Note 7 26 2 6 2 2" xfId="28231"/>
    <cellStyle name="Note 7 26 2 6 3" xfId="28232"/>
    <cellStyle name="Note 7 26 2 7" xfId="28233"/>
    <cellStyle name="Note 7 26 3" xfId="28234"/>
    <cellStyle name="Note 7 26 3 2" xfId="28235"/>
    <cellStyle name="Note 7 26 3 2 2" xfId="28236"/>
    <cellStyle name="Note 7 26 3 2 2 2" xfId="28237"/>
    <cellStyle name="Note 7 26 3 2 3" xfId="28238"/>
    <cellStyle name="Note 7 26 3 3" xfId="28239"/>
    <cellStyle name="Note 7 26 3 3 2" xfId="28240"/>
    <cellStyle name="Note 7 26 3 4" xfId="28241"/>
    <cellStyle name="Note 7 26 4" xfId="28242"/>
    <cellStyle name="Note 7 26 4 2" xfId="28243"/>
    <cellStyle name="Note 7 26 4 2 2" xfId="28244"/>
    <cellStyle name="Note 7 26 4 3" xfId="28245"/>
    <cellStyle name="Note 7 26 5" xfId="28246"/>
    <cellStyle name="Note 7 26 5 2" xfId="28247"/>
    <cellStyle name="Note 7 26 5 2 2" xfId="28248"/>
    <cellStyle name="Note 7 26 5 3" xfId="28249"/>
    <cellStyle name="Note 7 26 6" xfId="28250"/>
    <cellStyle name="Note 7 26 6 2" xfId="28251"/>
    <cellStyle name="Note 7 26 6 2 2" xfId="28252"/>
    <cellStyle name="Note 7 26 6 3" xfId="28253"/>
    <cellStyle name="Note 7 26 7" xfId="28254"/>
    <cellStyle name="Note 7 26 7 2" xfId="28255"/>
    <cellStyle name="Note 7 26 7 2 2" xfId="28256"/>
    <cellStyle name="Note 7 26 7 3" xfId="28257"/>
    <cellStyle name="Note 7 26 8" xfId="28258"/>
    <cellStyle name="Note 7 27" xfId="28259"/>
    <cellStyle name="Note 7 27 2" xfId="28260"/>
    <cellStyle name="Note 7 27 2 2" xfId="28261"/>
    <cellStyle name="Note 7 27 2 2 2" xfId="28262"/>
    <cellStyle name="Note 7 27 2 2 2 2" xfId="28263"/>
    <cellStyle name="Note 7 27 2 2 2 2 2" xfId="28264"/>
    <cellStyle name="Note 7 27 2 2 2 3" xfId="28265"/>
    <cellStyle name="Note 7 27 2 2 3" xfId="28266"/>
    <cellStyle name="Note 7 27 2 2 3 2" xfId="28267"/>
    <cellStyle name="Note 7 27 2 2 4" xfId="28268"/>
    <cellStyle name="Note 7 27 2 3" xfId="28269"/>
    <cellStyle name="Note 7 27 2 3 2" xfId="28270"/>
    <cellStyle name="Note 7 27 2 3 2 2" xfId="28271"/>
    <cellStyle name="Note 7 27 2 3 3" xfId="28272"/>
    <cellStyle name="Note 7 27 2 4" xfId="28273"/>
    <cellStyle name="Note 7 27 2 4 2" xfId="28274"/>
    <cellStyle name="Note 7 27 2 4 2 2" xfId="28275"/>
    <cellStyle name="Note 7 27 2 4 3" xfId="28276"/>
    <cellStyle name="Note 7 27 2 5" xfId="28277"/>
    <cellStyle name="Note 7 27 2 5 2" xfId="28278"/>
    <cellStyle name="Note 7 27 2 5 2 2" xfId="28279"/>
    <cellStyle name="Note 7 27 2 5 3" xfId="28280"/>
    <cellStyle name="Note 7 27 2 6" xfId="28281"/>
    <cellStyle name="Note 7 27 2 6 2" xfId="28282"/>
    <cellStyle name="Note 7 27 2 6 2 2" xfId="28283"/>
    <cellStyle name="Note 7 27 2 6 3" xfId="28284"/>
    <cellStyle name="Note 7 27 2 7" xfId="28285"/>
    <cellStyle name="Note 7 27 3" xfId="28286"/>
    <cellStyle name="Note 7 27 3 2" xfId="28287"/>
    <cellStyle name="Note 7 27 3 2 2" xfId="28288"/>
    <cellStyle name="Note 7 27 3 2 2 2" xfId="28289"/>
    <cellStyle name="Note 7 27 3 2 3" xfId="28290"/>
    <cellStyle name="Note 7 27 3 3" xfId="28291"/>
    <cellStyle name="Note 7 27 3 3 2" xfId="28292"/>
    <cellStyle name="Note 7 27 3 4" xfId="28293"/>
    <cellStyle name="Note 7 27 4" xfId="28294"/>
    <cellStyle name="Note 7 27 4 2" xfId="28295"/>
    <cellStyle name="Note 7 27 4 2 2" xfId="28296"/>
    <cellStyle name="Note 7 27 4 3" xfId="28297"/>
    <cellStyle name="Note 7 27 5" xfId="28298"/>
    <cellStyle name="Note 7 27 5 2" xfId="28299"/>
    <cellStyle name="Note 7 27 5 2 2" xfId="28300"/>
    <cellStyle name="Note 7 27 5 3" xfId="28301"/>
    <cellStyle name="Note 7 27 6" xfId="28302"/>
    <cellStyle name="Note 7 27 6 2" xfId="28303"/>
    <cellStyle name="Note 7 27 6 2 2" xfId="28304"/>
    <cellStyle name="Note 7 27 6 3" xfId="28305"/>
    <cellStyle name="Note 7 27 7" xfId="28306"/>
    <cellStyle name="Note 7 27 7 2" xfId="28307"/>
    <cellStyle name="Note 7 27 7 2 2" xfId="28308"/>
    <cellStyle name="Note 7 27 7 3" xfId="28309"/>
    <cellStyle name="Note 7 27 8" xfId="28310"/>
    <cellStyle name="Note 7 28" xfId="28311"/>
    <cellStyle name="Note 7 28 2" xfId="28312"/>
    <cellStyle name="Note 7 28 2 2" xfId="28313"/>
    <cellStyle name="Note 7 28 2 2 2" xfId="28314"/>
    <cellStyle name="Note 7 28 2 2 2 2" xfId="28315"/>
    <cellStyle name="Note 7 28 2 2 2 2 2" xfId="28316"/>
    <cellStyle name="Note 7 28 2 2 2 3" xfId="28317"/>
    <cellStyle name="Note 7 28 2 2 3" xfId="28318"/>
    <cellStyle name="Note 7 28 2 2 3 2" xfId="28319"/>
    <cellStyle name="Note 7 28 2 2 4" xfId="28320"/>
    <cellStyle name="Note 7 28 2 3" xfId="28321"/>
    <cellStyle name="Note 7 28 2 3 2" xfId="28322"/>
    <cellStyle name="Note 7 28 2 3 2 2" xfId="28323"/>
    <cellStyle name="Note 7 28 2 3 3" xfId="28324"/>
    <cellStyle name="Note 7 28 2 4" xfId="28325"/>
    <cellStyle name="Note 7 28 2 4 2" xfId="28326"/>
    <cellStyle name="Note 7 28 2 4 2 2" xfId="28327"/>
    <cellStyle name="Note 7 28 2 4 3" xfId="28328"/>
    <cellStyle name="Note 7 28 2 5" xfId="28329"/>
    <cellStyle name="Note 7 28 2 5 2" xfId="28330"/>
    <cellStyle name="Note 7 28 2 5 2 2" xfId="28331"/>
    <cellStyle name="Note 7 28 2 5 3" xfId="28332"/>
    <cellStyle name="Note 7 28 2 6" xfId="28333"/>
    <cellStyle name="Note 7 28 2 6 2" xfId="28334"/>
    <cellStyle name="Note 7 28 2 6 2 2" xfId="28335"/>
    <cellStyle name="Note 7 28 2 6 3" xfId="28336"/>
    <cellStyle name="Note 7 28 2 7" xfId="28337"/>
    <cellStyle name="Note 7 28 3" xfId="28338"/>
    <cellStyle name="Note 7 28 3 2" xfId="28339"/>
    <cellStyle name="Note 7 28 3 2 2" xfId="28340"/>
    <cellStyle name="Note 7 28 3 2 2 2" xfId="28341"/>
    <cellStyle name="Note 7 28 3 2 3" xfId="28342"/>
    <cellStyle name="Note 7 28 3 3" xfId="28343"/>
    <cellStyle name="Note 7 28 3 3 2" xfId="28344"/>
    <cellStyle name="Note 7 28 3 4" xfId="28345"/>
    <cellStyle name="Note 7 28 4" xfId="28346"/>
    <cellStyle name="Note 7 28 4 2" xfId="28347"/>
    <cellStyle name="Note 7 28 4 2 2" xfId="28348"/>
    <cellStyle name="Note 7 28 4 3" xfId="28349"/>
    <cellStyle name="Note 7 28 5" xfId="28350"/>
    <cellStyle name="Note 7 28 5 2" xfId="28351"/>
    <cellStyle name="Note 7 28 5 2 2" xfId="28352"/>
    <cellStyle name="Note 7 28 5 3" xfId="28353"/>
    <cellStyle name="Note 7 28 6" xfId="28354"/>
    <cellStyle name="Note 7 28 6 2" xfId="28355"/>
    <cellStyle name="Note 7 28 6 2 2" xfId="28356"/>
    <cellStyle name="Note 7 28 6 3" xfId="28357"/>
    <cellStyle name="Note 7 28 7" xfId="28358"/>
    <cellStyle name="Note 7 28 7 2" xfId="28359"/>
    <cellStyle name="Note 7 28 7 2 2" xfId="28360"/>
    <cellStyle name="Note 7 28 7 3" xfId="28361"/>
    <cellStyle name="Note 7 28 8" xfId="28362"/>
    <cellStyle name="Note 7 29" xfId="28363"/>
    <cellStyle name="Note 7 29 2" xfId="28364"/>
    <cellStyle name="Note 7 29 2 2" xfId="28365"/>
    <cellStyle name="Note 7 29 2 2 2" xfId="28366"/>
    <cellStyle name="Note 7 29 2 2 2 2" xfId="28367"/>
    <cellStyle name="Note 7 29 2 2 2 2 2" xfId="28368"/>
    <cellStyle name="Note 7 29 2 2 2 3" xfId="28369"/>
    <cellStyle name="Note 7 29 2 2 3" xfId="28370"/>
    <cellStyle name="Note 7 29 2 2 3 2" xfId="28371"/>
    <cellStyle name="Note 7 29 2 2 4" xfId="28372"/>
    <cellStyle name="Note 7 29 2 3" xfId="28373"/>
    <cellStyle name="Note 7 29 2 3 2" xfId="28374"/>
    <cellStyle name="Note 7 29 2 3 2 2" xfId="28375"/>
    <cellStyle name="Note 7 29 2 3 3" xfId="28376"/>
    <cellStyle name="Note 7 29 2 4" xfId="28377"/>
    <cellStyle name="Note 7 29 2 4 2" xfId="28378"/>
    <cellStyle name="Note 7 29 2 4 2 2" xfId="28379"/>
    <cellStyle name="Note 7 29 2 4 3" xfId="28380"/>
    <cellStyle name="Note 7 29 2 5" xfId="28381"/>
    <cellStyle name="Note 7 29 2 5 2" xfId="28382"/>
    <cellStyle name="Note 7 29 2 5 2 2" xfId="28383"/>
    <cellStyle name="Note 7 29 2 5 3" xfId="28384"/>
    <cellStyle name="Note 7 29 2 6" xfId="28385"/>
    <cellStyle name="Note 7 29 2 6 2" xfId="28386"/>
    <cellStyle name="Note 7 29 2 6 2 2" xfId="28387"/>
    <cellStyle name="Note 7 29 2 6 3" xfId="28388"/>
    <cellStyle name="Note 7 29 2 7" xfId="28389"/>
    <cellStyle name="Note 7 29 3" xfId="28390"/>
    <cellStyle name="Note 7 29 3 2" xfId="28391"/>
    <cellStyle name="Note 7 29 3 2 2" xfId="28392"/>
    <cellStyle name="Note 7 29 3 2 2 2" xfId="28393"/>
    <cellStyle name="Note 7 29 3 2 3" xfId="28394"/>
    <cellStyle name="Note 7 29 3 3" xfId="28395"/>
    <cellStyle name="Note 7 29 3 3 2" xfId="28396"/>
    <cellStyle name="Note 7 29 3 4" xfId="28397"/>
    <cellStyle name="Note 7 29 4" xfId="28398"/>
    <cellStyle name="Note 7 29 4 2" xfId="28399"/>
    <cellStyle name="Note 7 29 4 2 2" xfId="28400"/>
    <cellStyle name="Note 7 29 4 3" xfId="28401"/>
    <cellStyle name="Note 7 29 5" xfId="28402"/>
    <cellStyle name="Note 7 29 5 2" xfId="28403"/>
    <cellStyle name="Note 7 29 5 2 2" xfId="28404"/>
    <cellStyle name="Note 7 29 5 3" xfId="28405"/>
    <cellStyle name="Note 7 29 6" xfId="28406"/>
    <cellStyle name="Note 7 29 6 2" xfId="28407"/>
    <cellStyle name="Note 7 29 6 2 2" xfId="28408"/>
    <cellStyle name="Note 7 29 6 3" xfId="28409"/>
    <cellStyle name="Note 7 29 7" xfId="28410"/>
    <cellStyle name="Note 7 29 7 2" xfId="28411"/>
    <cellStyle name="Note 7 29 7 2 2" xfId="28412"/>
    <cellStyle name="Note 7 29 7 3" xfId="28413"/>
    <cellStyle name="Note 7 29 8" xfId="28414"/>
    <cellStyle name="Note 7 3" xfId="28415"/>
    <cellStyle name="Note 7 3 2" xfId="28416"/>
    <cellStyle name="Note 7 3 2 2" xfId="28417"/>
    <cellStyle name="Note 7 3 2 2 2" xfId="28418"/>
    <cellStyle name="Note 7 3 2 2 2 2" xfId="28419"/>
    <cellStyle name="Note 7 3 2 2 2 2 2" xfId="28420"/>
    <cellStyle name="Note 7 3 2 2 2 3" xfId="28421"/>
    <cellStyle name="Note 7 3 2 2 3" xfId="28422"/>
    <cellStyle name="Note 7 3 2 2 3 2" xfId="28423"/>
    <cellStyle name="Note 7 3 2 2 4" xfId="28424"/>
    <cellStyle name="Note 7 3 2 3" xfId="28425"/>
    <cellStyle name="Note 7 3 2 3 2" xfId="28426"/>
    <cellStyle name="Note 7 3 2 3 2 2" xfId="28427"/>
    <cellStyle name="Note 7 3 2 3 3" xfId="28428"/>
    <cellStyle name="Note 7 3 2 4" xfId="28429"/>
    <cellStyle name="Note 7 3 2 4 2" xfId="28430"/>
    <cellStyle name="Note 7 3 2 4 2 2" xfId="28431"/>
    <cellStyle name="Note 7 3 2 4 3" xfId="28432"/>
    <cellStyle name="Note 7 3 2 5" xfId="28433"/>
    <cellStyle name="Note 7 3 2 5 2" xfId="28434"/>
    <cellStyle name="Note 7 3 2 5 2 2" xfId="28435"/>
    <cellStyle name="Note 7 3 2 5 3" xfId="28436"/>
    <cellStyle name="Note 7 3 2 6" xfId="28437"/>
    <cellStyle name="Note 7 3 2 6 2" xfId="28438"/>
    <cellStyle name="Note 7 3 2 6 2 2" xfId="28439"/>
    <cellStyle name="Note 7 3 2 6 3" xfId="28440"/>
    <cellStyle name="Note 7 3 2 7" xfId="28441"/>
    <cellStyle name="Note 7 3 3" xfId="28442"/>
    <cellStyle name="Note 7 3 3 2" xfId="28443"/>
    <cellStyle name="Note 7 3 3 2 2" xfId="28444"/>
    <cellStyle name="Note 7 3 3 2 2 2" xfId="28445"/>
    <cellStyle name="Note 7 3 3 2 3" xfId="28446"/>
    <cellStyle name="Note 7 3 3 3" xfId="28447"/>
    <cellStyle name="Note 7 3 3 3 2" xfId="28448"/>
    <cellStyle name="Note 7 3 3 4" xfId="28449"/>
    <cellStyle name="Note 7 3 4" xfId="28450"/>
    <cellStyle name="Note 7 3 4 2" xfId="28451"/>
    <cellStyle name="Note 7 3 4 2 2" xfId="28452"/>
    <cellStyle name="Note 7 3 4 3" xfId="28453"/>
    <cellStyle name="Note 7 3 5" xfId="28454"/>
    <cellStyle name="Note 7 3 5 2" xfId="28455"/>
    <cellStyle name="Note 7 3 5 2 2" xfId="28456"/>
    <cellStyle name="Note 7 3 5 3" xfId="28457"/>
    <cellStyle name="Note 7 3 6" xfId="28458"/>
    <cellStyle name="Note 7 3 6 2" xfId="28459"/>
    <cellStyle name="Note 7 3 6 2 2" xfId="28460"/>
    <cellStyle name="Note 7 3 6 3" xfId="28461"/>
    <cellStyle name="Note 7 3 7" xfId="28462"/>
    <cellStyle name="Note 7 3 7 2" xfId="28463"/>
    <cellStyle name="Note 7 3 7 2 2" xfId="28464"/>
    <cellStyle name="Note 7 3 7 3" xfId="28465"/>
    <cellStyle name="Note 7 3 8" xfId="28466"/>
    <cellStyle name="Note 7 30" xfId="28467"/>
    <cellStyle name="Note 7 30 2" xfId="28468"/>
    <cellStyle name="Note 7 30 2 2" xfId="28469"/>
    <cellStyle name="Note 7 30 2 2 2" xfId="28470"/>
    <cellStyle name="Note 7 30 2 2 2 2" xfId="28471"/>
    <cellStyle name="Note 7 30 2 2 2 2 2" xfId="28472"/>
    <cellStyle name="Note 7 30 2 2 2 3" xfId="28473"/>
    <cellStyle name="Note 7 30 2 2 3" xfId="28474"/>
    <cellStyle name="Note 7 30 2 2 3 2" xfId="28475"/>
    <cellStyle name="Note 7 30 2 2 4" xfId="28476"/>
    <cellStyle name="Note 7 30 2 3" xfId="28477"/>
    <cellStyle name="Note 7 30 2 3 2" xfId="28478"/>
    <cellStyle name="Note 7 30 2 3 2 2" xfId="28479"/>
    <cellStyle name="Note 7 30 2 3 3" xfId="28480"/>
    <cellStyle name="Note 7 30 2 4" xfId="28481"/>
    <cellStyle name="Note 7 30 2 4 2" xfId="28482"/>
    <cellStyle name="Note 7 30 2 4 2 2" xfId="28483"/>
    <cellStyle name="Note 7 30 2 4 3" xfId="28484"/>
    <cellStyle name="Note 7 30 2 5" xfId="28485"/>
    <cellStyle name="Note 7 30 2 5 2" xfId="28486"/>
    <cellStyle name="Note 7 30 2 5 2 2" xfId="28487"/>
    <cellStyle name="Note 7 30 2 5 3" xfId="28488"/>
    <cellStyle name="Note 7 30 2 6" xfId="28489"/>
    <cellStyle name="Note 7 30 2 6 2" xfId="28490"/>
    <cellStyle name="Note 7 30 2 6 2 2" xfId="28491"/>
    <cellStyle name="Note 7 30 2 6 3" xfId="28492"/>
    <cellStyle name="Note 7 30 2 7" xfId="28493"/>
    <cellStyle name="Note 7 30 3" xfId="28494"/>
    <cellStyle name="Note 7 30 3 2" xfId="28495"/>
    <cellStyle name="Note 7 30 3 2 2" xfId="28496"/>
    <cellStyle name="Note 7 30 3 2 2 2" xfId="28497"/>
    <cellStyle name="Note 7 30 3 2 3" xfId="28498"/>
    <cellStyle name="Note 7 30 3 3" xfId="28499"/>
    <cellStyle name="Note 7 30 3 3 2" xfId="28500"/>
    <cellStyle name="Note 7 30 3 4" xfId="28501"/>
    <cellStyle name="Note 7 30 4" xfId="28502"/>
    <cellStyle name="Note 7 30 4 2" xfId="28503"/>
    <cellStyle name="Note 7 30 4 2 2" xfId="28504"/>
    <cellStyle name="Note 7 30 4 3" xfId="28505"/>
    <cellStyle name="Note 7 30 5" xfId="28506"/>
    <cellStyle name="Note 7 30 5 2" xfId="28507"/>
    <cellStyle name="Note 7 30 5 2 2" xfId="28508"/>
    <cellStyle name="Note 7 30 5 3" xfId="28509"/>
    <cellStyle name="Note 7 30 6" xfId="28510"/>
    <cellStyle name="Note 7 30 6 2" xfId="28511"/>
    <cellStyle name="Note 7 30 6 2 2" xfId="28512"/>
    <cellStyle name="Note 7 30 6 3" xfId="28513"/>
    <cellStyle name="Note 7 30 7" xfId="28514"/>
    <cellStyle name="Note 7 30 7 2" xfId="28515"/>
    <cellStyle name="Note 7 30 7 2 2" xfId="28516"/>
    <cellStyle name="Note 7 30 7 3" xfId="28517"/>
    <cellStyle name="Note 7 30 8" xfId="28518"/>
    <cellStyle name="Note 7 31" xfId="28519"/>
    <cellStyle name="Note 7 31 2" xfId="28520"/>
    <cellStyle name="Note 7 31 2 2" xfId="28521"/>
    <cellStyle name="Note 7 31 2 2 2" xfId="28522"/>
    <cellStyle name="Note 7 31 2 2 2 2" xfId="28523"/>
    <cellStyle name="Note 7 31 2 2 2 2 2" xfId="28524"/>
    <cellStyle name="Note 7 31 2 2 2 3" xfId="28525"/>
    <cellStyle name="Note 7 31 2 2 3" xfId="28526"/>
    <cellStyle name="Note 7 31 2 2 3 2" xfId="28527"/>
    <cellStyle name="Note 7 31 2 2 4" xfId="28528"/>
    <cellStyle name="Note 7 31 2 3" xfId="28529"/>
    <cellStyle name="Note 7 31 2 3 2" xfId="28530"/>
    <cellStyle name="Note 7 31 2 3 2 2" xfId="28531"/>
    <cellStyle name="Note 7 31 2 3 3" xfId="28532"/>
    <cellStyle name="Note 7 31 2 4" xfId="28533"/>
    <cellStyle name="Note 7 31 2 4 2" xfId="28534"/>
    <cellStyle name="Note 7 31 2 4 2 2" xfId="28535"/>
    <cellStyle name="Note 7 31 2 4 3" xfId="28536"/>
    <cellStyle name="Note 7 31 2 5" xfId="28537"/>
    <cellStyle name="Note 7 31 2 5 2" xfId="28538"/>
    <cellStyle name="Note 7 31 2 5 2 2" xfId="28539"/>
    <cellStyle name="Note 7 31 2 5 3" xfId="28540"/>
    <cellStyle name="Note 7 31 2 6" xfId="28541"/>
    <cellStyle name="Note 7 31 2 6 2" xfId="28542"/>
    <cellStyle name="Note 7 31 2 6 2 2" xfId="28543"/>
    <cellStyle name="Note 7 31 2 6 3" xfId="28544"/>
    <cellStyle name="Note 7 31 2 7" xfId="28545"/>
    <cellStyle name="Note 7 31 3" xfId="28546"/>
    <cellStyle name="Note 7 31 3 2" xfId="28547"/>
    <cellStyle name="Note 7 31 3 2 2" xfId="28548"/>
    <cellStyle name="Note 7 31 3 2 2 2" xfId="28549"/>
    <cellStyle name="Note 7 31 3 2 3" xfId="28550"/>
    <cellStyle name="Note 7 31 3 3" xfId="28551"/>
    <cellStyle name="Note 7 31 3 3 2" xfId="28552"/>
    <cellStyle name="Note 7 31 3 4" xfId="28553"/>
    <cellStyle name="Note 7 31 4" xfId="28554"/>
    <cellStyle name="Note 7 31 4 2" xfId="28555"/>
    <cellStyle name="Note 7 31 4 2 2" xfId="28556"/>
    <cellStyle name="Note 7 31 4 3" xfId="28557"/>
    <cellStyle name="Note 7 31 5" xfId="28558"/>
    <cellStyle name="Note 7 31 5 2" xfId="28559"/>
    <cellStyle name="Note 7 31 5 2 2" xfId="28560"/>
    <cellStyle name="Note 7 31 5 3" xfId="28561"/>
    <cellStyle name="Note 7 31 6" xfId="28562"/>
    <cellStyle name="Note 7 31 6 2" xfId="28563"/>
    <cellStyle name="Note 7 31 6 2 2" xfId="28564"/>
    <cellStyle name="Note 7 31 6 3" xfId="28565"/>
    <cellStyle name="Note 7 31 7" xfId="28566"/>
    <cellStyle name="Note 7 31 7 2" xfId="28567"/>
    <cellStyle name="Note 7 31 7 2 2" xfId="28568"/>
    <cellStyle name="Note 7 31 7 3" xfId="28569"/>
    <cellStyle name="Note 7 31 8" xfId="28570"/>
    <cellStyle name="Note 7 32" xfId="28571"/>
    <cellStyle name="Note 7 32 2" xfId="28572"/>
    <cellStyle name="Note 7 32 2 2" xfId="28573"/>
    <cellStyle name="Note 7 32 2 2 2" xfId="28574"/>
    <cellStyle name="Note 7 32 2 2 2 2" xfId="28575"/>
    <cellStyle name="Note 7 32 2 2 2 2 2" xfId="28576"/>
    <cellStyle name="Note 7 32 2 2 2 3" xfId="28577"/>
    <cellStyle name="Note 7 32 2 2 3" xfId="28578"/>
    <cellStyle name="Note 7 32 2 2 3 2" xfId="28579"/>
    <cellStyle name="Note 7 32 2 2 4" xfId="28580"/>
    <cellStyle name="Note 7 32 2 3" xfId="28581"/>
    <cellStyle name="Note 7 32 2 3 2" xfId="28582"/>
    <cellStyle name="Note 7 32 2 3 2 2" xfId="28583"/>
    <cellStyle name="Note 7 32 2 3 3" xfId="28584"/>
    <cellStyle name="Note 7 32 2 4" xfId="28585"/>
    <cellStyle name="Note 7 32 2 4 2" xfId="28586"/>
    <cellStyle name="Note 7 32 2 4 2 2" xfId="28587"/>
    <cellStyle name="Note 7 32 2 4 3" xfId="28588"/>
    <cellStyle name="Note 7 32 2 5" xfId="28589"/>
    <cellStyle name="Note 7 32 2 5 2" xfId="28590"/>
    <cellStyle name="Note 7 32 2 5 2 2" xfId="28591"/>
    <cellStyle name="Note 7 32 2 5 3" xfId="28592"/>
    <cellStyle name="Note 7 32 2 6" xfId="28593"/>
    <cellStyle name="Note 7 32 2 6 2" xfId="28594"/>
    <cellStyle name="Note 7 32 2 6 2 2" xfId="28595"/>
    <cellStyle name="Note 7 32 2 6 3" xfId="28596"/>
    <cellStyle name="Note 7 32 2 7" xfId="28597"/>
    <cellStyle name="Note 7 32 3" xfId="28598"/>
    <cellStyle name="Note 7 32 3 2" xfId="28599"/>
    <cellStyle name="Note 7 32 3 2 2" xfId="28600"/>
    <cellStyle name="Note 7 32 3 2 2 2" xfId="28601"/>
    <cellStyle name="Note 7 32 3 2 3" xfId="28602"/>
    <cellStyle name="Note 7 32 3 3" xfId="28603"/>
    <cellStyle name="Note 7 32 3 3 2" xfId="28604"/>
    <cellStyle name="Note 7 32 3 4" xfId="28605"/>
    <cellStyle name="Note 7 32 4" xfId="28606"/>
    <cellStyle name="Note 7 32 4 2" xfId="28607"/>
    <cellStyle name="Note 7 32 4 2 2" xfId="28608"/>
    <cellStyle name="Note 7 32 4 3" xfId="28609"/>
    <cellStyle name="Note 7 32 5" xfId="28610"/>
    <cellStyle name="Note 7 32 5 2" xfId="28611"/>
    <cellStyle name="Note 7 32 5 2 2" xfId="28612"/>
    <cellStyle name="Note 7 32 5 3" xfId="28613"/>
    <cellStyle name="Note 7 32 6" xfId="28614"/>
    <cellStyle name="Note 7 32 6 2" xfId="28615"/>
    <cellStyle name="Note 7 32 6 2 2" xfId="28616"/>
    <cellStyle name="Note 7 32 6 3" xfId="28617"/>
    <cellStyle name="Note 7 32 7" xfId="28618"/>
    <cellStyle name="Note 7 32 7 2" xfId="28619"/>
    <cellStyle name="Note 7 32 7 2 2" xfId="28620"/>
    <cellStyle name="Note 7 32 7 3" xfId="28621"/>
    <cellStyle name="Note 7 32 8" xfId="28622"/>
    <cellStyle name="Note 7 33" xfId="28623"/>
    <cellStyle name="Note 7 33 2" xfId="28624"/>
    <cellStyle name="Note 7 33 2 2" xfId="28625"/>
    <cellStyle name="Note 7 33 2 2 2" xfId="28626"/>
    <cellStyle name="Note 7 33 2 2 2 2" xfId="28627"/>
    <cellStyle name="Note 7 33 2 2 2 2 2" xfId="28628"/>
    <cellStyle name="Note 7 33 2 2 2 3" xfId="28629"/>
    <cellStyle name="Note 7 33 2 2 3" xfId="28630"/>
    <cellStyle name="Note 7 33 2 2 3 2" xfId="28631"/>
    <cellStyle name="Note 7 33 2 2 4" xfId="28632"/>
    <cellStyle name="Note 7 33 2 3" xfId="28633"/>
    <cellStyle name="Note 7 33 2 3 2" xfId="28634"/>
    <cellStyle name="Note 7 33 2 3 2 2" xfId="28635"/>
    <cellStyle name="Note 7 33 2 3 3" xfId="28636"/>
    <cellStyle name="Note 7 33 2 4" xfId="28637"/>
    <cellStyle name="Note 7 33 2 4 2" xfId="28638"/>
    <cellStyle name="Note 7 33 2 4 2 2" xfId="28639"/>
    <cellStyle name="Note 7 33 2 4 3" xfId="28640"/>
    <cellStyle name="Note 7 33 2 5" xfId="28641"/>
    <cellStyle name="Note 7 33 2 5 2" xfId="28642"/>
    <cellStyle name="Note 7 33 2 5 2 2" xfId="28643"/>
    <cellStyle name="Note 7 33 2 5 3" xfId="28644"/>
    <cellStyle name="Note 7 33 2 6" xfId="28645"/>
    <cellStyle name="Note 7 33 2 6 2" xfId="28646"/>
    <cellStyle name="Note 7 33 2 6 2 2" xfId="28647"/>
    <cellStyle name="Note 7 33 2 6 3" xfId="28648"/>
    <cellStyle name="Note 7 33 2 7" xfId="28649"/>
    <cellStyle name="Note 7 33 3" xfId="28650"/>
    <cellStyle name="Note 7 33 3 2" xfId="28651"/>
    <cellStyle name="Note 7 33 3 2 2" xfId="28652"/>
    <cellStyle name="Note 7 33 3 2 2 2" xfId="28653"/>
    <cellStyle name="Note 7 33 3 2 3" xfId="28654"/>
    <cellStyle name="Note 7 33 3 3" xfId="28655"/>
    <cellStyle name="Note 7 33 3 3 2" xfId="28656"/>
    <cellStyle name="Note 7 33 3 4" xfId="28657"/>
    <cellStyle name="Note 7 33 4" xfId="28658"/>
    <cellStyle name="Note 7 33 4 2" xfId="28659"/>
    <cellStyle name="Note 7 33 4 2 2" xfId="28660"/>
    <cellStyle name="Note 7 33 4 3" xfId="28661"/>
    <cellStyle name="Note 7 33 5" xfId="28662"/>
    <cellStyle name="Note 7 33 5 2" xfId="28663"/>
    <cellStyle name="Note 7 33 5 2 2" xfId="28664"/>
    <cellStyle name="Note 7 33 5 3" xfId="28665"/>
    <cellStyle name="Note 7 33 6" xfId="28666"/>
    <cellStyle name="Note 7 33 6 2" xfId="28667"/>
    <cellStyle name="Note 7 33 6 2 2" xfId="28668"/>
    <cellStyle name="Note 7 33 6 3" xfId="28669"/>
    <cellStyle name="Note 7 33 7" xfId="28670"/>
    <cellStyle name="Note 7 33 7 2" xfId="28671"/>
    <cellStyle name="Note 7 33 7 2 2" xfId="28672"/>
    <cellStyle name="Note 7 33 7 3" xfId="28673"/>
    <cellStyle name="Note 7 33 8" xfId="28674"/>
    <cellStyle name="Note 7 34" xfId="28675"/>
    <cellStyle name="Note 7 34 2" xfId="28676"/>
    <cellStyle name="Note 7 34 2 2" xfId="28677"/>
    <cellStyle name="Note 7 34 2 2 2" xfId="28678"/>
    <cellStyle name="Note 7 34 2 2 2 2" xfId="28679"/>
    <cellStyle name="Note 7 34 2 2 2 2 2" xfId="28680"/>
    <cellStyle name="Note 7 34 2 2 2 3" xfId="28681"/>
    <cellStyle name="Note 7 34 2 2 3" xfId="28682"/>
    <cellStyle name="Note 7 34 2 2 3 2" xfId="28683"/>
    <cellStyle name="Note 7 34 2 2 4" xfId="28684"/>
    <cellStyle name="Note 7 34 2 3" xfId="28685"/>
    <cellStyle name="Note 7 34 2 3 2" xfId="28686"/>
    <cellStyle name="Note 7 34 2 3 2 2" xfId="28687"/>
    <cellStyle name="Note 7 34 2 3 3" xfId="28688"/>
    <cellStyle name="Note 7 34 2 4" xfId="28689"/>
    <cellStyle name="Note 7 34 2 4 2" xfId="28690"/>
    <cellStyle name="Note 7 34 2 4 2 2" xfId="28691"/>
    <cellStyle name="Note 7 34 2 4 3" xfId="28692"/>
    <cellStyle name="Note 7 34 2 5" xfId="28693"/>
    <cellStyle name="Note 7 34 2 5 2" xfId="28694"/>
    <cellStyle name="Note 7 34 2 5 2 2" xfId="28695"/>
    <cellStyle name="Note 7 34 2 5 3" xfId="28696"/>
    <cellStyle name="Note 7 34 2 6" xfId="28697"/>
    <cellStyle name="Note 7 34 2 6 2" xfId="28698"/>
    <cellStyle name="Note 7 34 2 6 2 2" xfId="28699"/>
    <cellStyle name="Note 7 34 2 6 3" xfId="28700"/>
    <cellStyle name="Note 7 34 2 7" xfId="28701"/>
    <cellStyle name="Note 7 34 3" xfId="28702"/>
    <cellStyle name="Note 7 34 3 2" xfId="28703"/>
    <cellStyle name="Note 7 34 3 2 2" xfId="28704"/>
    <cellStyle name="Note 7 34 3 2 2 2" xfId="28705"/>
    <cellStyle name="Note 7 34 3 2 3" xfId="28706"/>
    <cellStyle name="Note 7 34 3 3" xfId="28707"/>
    <cellStyle name="Note 7 34 3 3 2" xfId="28708"/>
    <cellStyle name="Note 7 34 3 4" xfId="28709"/>
    <cellStyle name="Note 7 34 4" xfId="28710"/>
    <cellStyle name="Note 7 34 4 2" xfId="28711"/>
    <cellStyle name="Note 7 34 4 2 2" xfId="28712"/>
    <cellStyle name="Note 7 34 4 3" xfId="28713"/>
    <cellStyle name="Note 7 34 5" xfId="28714"/>
    <cellStyle name="Note 7 34 5 2" xfId="28715"/>
    <cellStyle name="Note 7 34 5 2 2" xfId="28716"/>
    <cellStyle name="Note 7 34 5 3" xfId="28717"/>
    <cellStyle name="Note 7 34 6" xfId="28718"/>
    <cellStyle name="Note 7 34 6 2" xfId="28719"/>
    <cellStyle name="Note 7 34 6 2 2" xfId="28720"/>
    <cellStyle name="Note 7 34 6 3" xfId="28721"/>
    <cellStyle name="Note 7 34 7" xfId="28722"/>
    <cellStyle name="Note 7 34 7 2" xfId="28723"/>
    <cellStyle name="Note 7 34 7 2 2" xfId="28724"/>
    <cellStyle name="Note 7 34 7 3" xfId="28725"/>
    <cellStyle name="Note 7 34 8" xfId="28726"/>
    <cellStyle name="Note 7 35" xfId="28727"/>
    <cellStyle name="Note 7 35 2" xfId="28728"/>
    <cellStyle name="Note 7 35 2 2" xfId="28729"/>
    <cellStyle name="Note 7 35 2 2 2" xfId="28730"/>
    <cellStyle name="Note 7 35 2 2 2 2" xfId="28731"/>
    <cellStyle name="Note 7 35 2 2 2 2 2" xfId="28732"/>
    <cellStyle name="Note 7 35 2 2 2 3" xfId="28733"/>
    <cellStyle name="Note 7 35 2 2 3" xfId="28734"/>
    <cellStyle name="Note 7 35 2 2 3 2" xfId="28735"/>
    <cellStyle name="Note 7 35 2 2 4" xfId="28736"/>
    <cellStyle name="Note 7 35 2 3" xfId="28737"/>
    <cellStyle name="Note 7 35 2 3 2" xfId="28738"/>
    <cellStyle name="Note 7 35 2 3 2 2" xfId="28739"/>
    <cellStyle name="Note 7 35 2 3 3" xfId="28740"/>
    <cellStyle name="Note 7 35 2 4" xfId="28741"/>
    <cellStyle name="Note 7 35 2 4 2" xfId="28742"/>
    <cellStyle name="Note 7 35 2 4 2 2" xfId="28743"/>
    <cellStyle name="Note 7 35 2 4 3" xfId="28744"/>
    <cellStyle name="Note 7 35 2 5" xfId="28745"/>
    <cellStyle name="Note 7 35 2 5 2" xfId="28746"/>
    <cellStyle name="Note 7 35 2 5 2 2" xfId="28747"/>
    <cellStyle name="Note 7 35 2 5 3" xfId="28748"/>
    <cellStyle name="Note 7 35 2 6" xfId="28749"/>
    <cellStyle name="Note 7 35 2 6 2" xfId="28750"/>
    <cellStyle name="Note 7 35 2 6 2 2" xfId="28751"/>
    <cellStyle name="Note 7 35 2 6 3" xfId="28752"/>
    <cellStyle name="Note 7 35 2 7" xfId="28753"/>
    <cellStyle name="Note 7 35 3" xfId="28754"/>
    <cellStyle name="Note 7 35 3 2" xfId="28755"/>
    <cellStyle name="Note 7 35 3 2 2" xfId="28756"/>
    <cellStyle name="Note 7 35 3 2 2 2" xfId="28757"/>
    <cellStyle name="Note 7 35 3 2 3" xfId="28758"/>
    <cellStyle name="Note 7 35 3 3" xfId="28759"/>
    <cellStyle name="Note 7 35 3 3 2" xfId="28760"/>
    <cellStyle name="Note 7 35 3 4" xfId="28761"/>
    <cellStyle name="Note 7 35 4" xfId="28762"/>
    <cellStyle name="Note 7 35 4 2" xfId="28763"/>
    <cellStyle name="Note 7 35 4 2 2" xfId="28764"/>
    <cellStyle name="Note 7 35 4 3" xfId="28765"/>
    <cellStyle name="Note 7 35 5" xfId="28766"/>
    <cellStyle name="Note 7 35 5 2" xfId="28767"/>
    <cellStyle name="Note 7 35 5 2 2" xfId="28768"/>
    <cellStyle name="Note 7 35 5 3" xfId="28769"/>
    <cellStyle name="Note 7 35 6" xfId="28770"/>
    <cellStyle name="Note 7 35 6 2" xfId="28771"/>
    <cellStyle name="Note 7 35 6 2 2" xfId="28772"/>
    <cellStyle name="Note 7 35 6 3" xfId="28773"/>
    <cellStyle name="Note 7 35 7" xfId="28774"/>
    <cellStyle name="Note 7 35 7 2" xfId="28775"/>
    <cellStyle name="Note 7 35 7 2 2" xfId="28776"/>
    <cellStyle name="Note 7 35 7 3" xfId="28777"/>
    <cellStyle name="Note 7 35 8" xfId="28778"/>
    <cellStyle name="Note 7 36" xfId="28779"/>
    <cellStyle name="Note 7 36 2" xfId="28780"/>
    <cellStyle name="Note 7 36 2 2" xfId="28781"/>
    <cellStyle name="Note 7 36 2 2 2" xfId="28782"/>
    <cellStyle name="Note 7 36 2 2 2 2" xfId="28783"/>
    <cellStyle name="Note 7 36 2 2 2 2 2" xfId="28784"/>
    <cellStyle name="Note 7 36 2 2 2 3" xfId="28785"/>
    <cellStyle name="Note 7 36 2 2 3" xfId="28786"/>
    <cellStyle name="Note 7 36 2 2 3 2" xfId="28787"/>
    <cellStyle name="Note 7 36 2 2 4" xfId="28788"/>
    <cellStyle name="Note 7 36 2 3" xfId="28789"/>
    <cellStyle name="Note 7 36 2 3 2" xfId="28790"/>
    <cellStyle name="Note 7 36 2 3 2 2" xfId="28791"/>
    <cellStyle name="Note 7 36 2 3 3" xfId="28792"/>
    <cellStyle name="Note 7 36 2 4" xfId="28793"/>
    <cellStyle name="Note 7 36 2 4 2" xfId="28794"/>
    <cellStyle name="Note 7 36 2 4 2 2" xfId="28795"/>
    <cellStyle name="Note 7 36 2 4 3" xfId="28796"/>
    <cellStyle name="Note 7 36 2 5" xfId="28797"/>
    <cellStyle name="Note 7 36 2 5 2" xfId="28798"/>
    <cellStyle name="Note 7 36 2 5 2 2" xfId="28799"/>
    <cellStyle name="Note 7 36 2 5 3" xfId="28800"/>
    <cellStyle name="Note 7 36 2 6" xfId="28801"/>
    <cellStyle name="Note 7 36 2 6 2" xfId="28802"/>
    <cellStyle name="Note 7 36 2 6 2 2" xfId="28803"/>
    <cellStyle name="Note 7 36 2 6 3" xfId="28804"/>
    <cellStyle name="Note 7 36 2 7" xfId="28805"/>
    <cellStyle name="Note 7 36 3" xfId="28806"/>
    <cellStyle name="Note 7 36 3 2" xfId="28807"/>
    <cellStyle name="Note 7 36 3 2 2" xfId="28808"/>
    <cellStyle name="Note 7 36 3 2 2 2" xfId="28809"/>
    <cellStyle name="Note 7 36 3 2 3" xfId="28810"/>
    <cellStyle name="Note 7 36 3 3" xfId="28811"/>
    <cellStyle name="Note 7 36 3 3 2" xfId="28812"/>
    <cellStyle name="Note 7 36 3 4" xfId="28813"/>
    <cellStyle name="Note 7 36 4" xfId="28814"/>
    <cellStyle name="Note 7 36 4 2" xfId="28815"/>
    <cellStyle name="Note 7 36 4 2 2" xfId="28816"/>
    <cellStyle name="Note 7 36 4 3" xfId="28817"/>
    <cellStyle name="Note 7 36 5" xfId="28818"/>
    <cellStyle name="Note 7 36 5 2" xfId="28819"/>
    <cellStyle name="Note 7 36 5 2 2" xfId="28820"/>
    <cellStyle name="Note 7 36 5 3" xfId="28821"/>
    <cellStyle name="Note 7 36 6" xfId="28822"/>
    <cellStyle name="Note 7 36 6 2" xfId="28823"/>
    <cellStyle name="Note 7 36 6 2 2" xfId="28824"/>
    <cellStyle name="Note 7 36 6 3" xfId="28825"/>
    <cellStyle name="Note 7 36 7" xfId="28826"/>
    <cellStyle name="Note 7 36 7 2" xfId="28827"/>
    <cellStyle name="Note 7 36 7 2 2" xfId="28828"/>
    <cellStyle name="Note 7 36 7 3" xfId="28829"/>
    <cellStyle name="Note 7 36 8" xfId="28830"/>
    <cellStyle name="Note 7 37" xfId="28831"/>
    <cellStyle name="Note 7 37 2" xfId="28832"/>
    <cellStyle name="Note 7 37 2 2" xfId="28833"/>
    <cellStyle name="Note 7 37 2 2 2" xfId="28834"/>
    <cellStyle name="Note 7 37 2 2 2 2" xfId="28835"/>
    <cellStyle name="Note 7 37 2 2 2 2 2" xfId="28836"/>
    <cellStyle name="Note 7 37 2 2 2 3" xfId="28837"/>
    <cellStyle name="Note 7 37 2 2 3" xfId="28838"/>
    <cellStyle name="Note 7 37 2 2 3 2" xfId="28839"/>
    <cellStyle name="Note 7 37 2 2 4" xfId="28840"/>
    <cellStyle name="Note 7 37 2 3" xfId="28841"/>
    <cellStyle name="Note 7 37 2 3 2" xfId="28842"/>
    <cellStyle name="Note 7 37 2 3 2 2" xfId="28843"/>
    <cellStyle name="Note 7 37 2 3 3" xfId="28844"/>
    <cellStyle name="Note 7 37 2 4" xfId="28845"/>
    <cellStyle name="Note 7 37 2 4 2" xfId="28846"/>
    <cellStyle name="Note 7 37 2 4 2 2" xfId="28847"/>
    <cellStyle name="Note 7 37 2 4 3" xfId="28848"/>
    <cellStyle name="Note 7 37 2 5" xfId="28849"/>
    <cellStyle name="Note 7 37 2 5 2" xfId="28850"/>
    <cellStyle name="Note 7 37 2 5 2 2" xfId="28851"/>
    <cellStyle name="Note 7 37 2 5 3" xfId="28852"/>
    <cellStyle name="Note 7 37 2 6" xfId="28853"/>
    <cellStyle name="Note 7 37 2 6 2" xfId="28854"/>
    <cellStyle name="Note 7 37 2 6 2 2" xfId="28855"/>
    <cellStyle name="Note 7 37 2 6 3" xfId="28856"/>
    <cellStyle name="Note 7 37 2 7" xfId="28857"/>
    <cellStyle name="Note 7 37 3" xfId="28858"/>
    <cellStyle name="Note 7 37 3 2" xfId="28859"/>
    <cellStyle name="Note 7 37 3 2 2" xfId="28860"/>
    <cellStyle name="Note 7 37 3 2 2 2" xfId="28861"/>
    <cellStyle name="Note 7 37 3 2 3" xfId="28862"/>
    <cellStyle name="Note 7 37 3 3" xfId="28863"/>
    <cellStyle name="Note 7 37 3 3 2" xfId="28864"/>
    <cellStyle name="Note 7 37 3 4" xfId="28865"/>
    <cellStyle name="Note 7 37 4" xfId="28866"/>
    <cellStyle name="Note 7 37 4 2" xfId="28867"/>
    <cellStyle name="Note 7 37 4 2 2" xfId="28868"/>
    <cellStyle name="Note 7 37 4 3" xfId="28869"/>
    <cellStyle name="Note 7 37 5" xfId="28870"/>
    <cellStyle name="Note 7 37 5 2" xfId="28871"/>
    <cellStyle name="Note 7 37 5 2 2" xfId="28872"/>
    <cellStyle name="Note 7 37 5 3" xfId="28873"/>
    <cellStyle name="Note 7 37 6" xfId="28874"/>
    <cellStyle name="Note 7 37 6 2" xfId="28875"/>
    <cellStyle name="Note 7 37 6 2 2" xfId="28876"/>
    <cellStyle name="Note 7 37 6 3" xfId="28877"/>
    <cellStyle name="Note 7 37 7" xfId="28878"/>
    <cellStyle name="Note 7 37 7 2" xfId="28879"/>
    <cellStyle name="Note 7 37 7 2 2" xfId="28880"/>
    <cellStyle name="Note 7 37 7 3" xfId="28881"/>
    <cellStyle name="Note 7 37 8" xfId="28882"/>
    <cellStyle name="Note 7 38" xfId="28883"/>
    <cellStyle name="Note 7 38 2" xfId="28884"/>
    <cellStyle name="Note 7 38 2 2" xfId="28885"/>
    <cellStyle name="Note 7 38 2 2 2" xfId="28886"/>
    <cellStyle name="Note 7 38 2 2 2 2" xfId="28887"/>
    <cellStyle name="Note 7 38 2 2 2 2 2" xfId="28888"/>
    <cellStyle name="Note 7 38 2 2 2 3" xfId="28889"/>
    <cellStyle name="Note 7 38 2 2 3" xfId="28890"/>
    <cellStyle name="Note 7 38 2 2 3 2" xfId="28891"/>
    <cellStyle name="Note 7 38 2 2 4" xfId="28892"/>
    <cellStyle name="Note 7 38 2 3" xfId="28893"/>
    <cellStyle name="Note 7 38 2 3 2" xfId="28894"/>
    <cellStyle name="Note 7 38 2 3 2 2" xfId="28895"/>
    <cellStyle name="Note 7 38 2 3 3" xfId="28896"/>
    <cellStyle name="Note 7 38 2 4" xfId="28897"/>
    <cellStyle name="Note 7 38 2 4 2" xfId="28898"/>
    <cellStyle name="Note 7 38 2 4 2 2" xfId="28899"/>
    <cellStyle name="Note 7 38 2 4 3" xfId="28900"/>
    <cellStyle name="Note 7 38 2 5" xfId="28901"/>
    <cellStyle name="Note 7 38 2 5 2" xfId="28902"/>
    <cellStyle name="Note 7 38 2 5 2 2" xfId="28903"/>
    <cellStyle name="Note 7 38 2 5 3" xfId="28904"/>
    <cellStyle name="Note 7 38 2 6" xfId="28905"/>
    <cellStyle name="Note 7 38 2 6 2" xfId="28906"/>
    <cellStyle name="Note 7 38 2 6 2 2" xfId="28907"/>
    <cellStyle name="Note 7 38 2 6 3" xfId="28908"/>
    <cellStyle name="Note 7 38 2 7" xfId="28909"/>
    <cellStyle name="Note 7 38 3" xfId="28910"/>
    <cellStyle name="Note 7 38 3 2" xfId="28911"/>
    <cellStyle name="Note 7 38 3 2 2" xfId="28912"/>
    <cellStyle name="Note 7 38 3 2 2 2" xfId="28913"/>
    <cellStyle name="Note 7 38 3 2 3" xfId="28914"/>
    <cellStyle name="Note 7 38 3 3" xfId="28915"/>
    <cellStyle name="Note 7 38 3 3 2" xfId="28916"/>
    <cellStyle name="Note 7 38 3 4" xfId="28917"/>
    <cellStyle name="Note 7 38 4" xfId="28918"/>
    <cellStyle name="Note 7 38 4 2" xfId="28919"/>
    <cellStyle name="Note 7 38 4 2 2" xfId="28920"/>
    <cellStyle name="Note 7 38 4 3" xfId="28921"/>
    <cellStyle name="Note 7 38 5" xfId="28922"/>
    <cellStyle name="Note 7 38 5 2" xfId="28923"/>
    <cellStyle name="Note 7 38 5 2 2" xfId="28924"/>
    <cellStyle name="Note 7 38 5 3" xfId="28925"/>
    <cellStyle name="Note 7 38 6" xfId="28926"/>
    <cellStyle name="Note 7 38 6 2" xfId="28927"/>
    <cellStyle name="Note 7 38 6 2 2" xfId="28928"/>
    <cellStyle name="Note 7 38 6 3" xfId="28929"/>
    <cellStyle name="Note 7 38 7" xfId="28930"/>
    <cellStyle name="Note 7 38 7 2" xfId="28931"/>
    <cellStyle name="Note 7 38 7 2 2" xfId="28932"/>
    <cellStyle name="Note 7 38 7 3" xfId="28933"/>
    <cellStyle name="Note 7 38 8" xfId="28934"/>
    <cellStyle name="Note 7 39" xfId="28935"/>
    <cellStyle name="Note 7 39 2" xfId="28936"/>
    <cellStyle name="Note 7 39 2 2" xfId="28937"/>
    <cellStyle name="Note 7 39 2 2 2" xfId="28938"/>
    <cellStyle name="Note 7 39 2 2 2 2" xfId="28939"/>
    <cellStyle name="Note 7 39 2 2 2 2 2" xfId="28940"/>
    <cellStyle name="Note 7 39 2 2 2 3" xfId="28941"/>
    <cellStyle name="Note 7 39 2 2 3" xfId="28942"/>
    <cellStyle name="Note 7 39 2 2 3 2" xfId="28943"/>
    <cellStyle name="Note 7 39 2 2 4" xfId="28944"/>
    <cellStyle name="Note 7 39 2 3" xfId="28945"/>
    <cellStyle name="Note 7 39 2 3 2" xfId="28946"/>
    <cellStyle name="Note 7 39 2 3 2 2" xfId="28947"/>
    <cellStyle name="Note 7 39 2 3 3" xfId="28948"/>
    <cellStyle name="Note 7 39 2 4" xfId="28949"/>
    <cellStyle name="Note 7 39 2 4 2" xfId="28950"/>
    <cellStyle name="Note 7 39 2 4 2 2" xfId="28951"/>
    <cellStyle name="Note 7 39 2 4 3" xfId="28952"/>
    <cellStyle name="Note 7 39 2 5" xfId="28953"/>
    <cellStyle name="Note 7 39 2 5 2" xfId="28954"/>
    <cellStyle name="Note 7 39 2 5 2 2" xfId="28955"/>
    <cellStyle name="Note 7 39 2 5 3" xfId="28956"/>
    <cellStyle name="Note 7 39 2 6" xfId="28957"/>
    <cellStyle name="Note 7 39 2 6 2" xfId="28958"/>
    <cellStyle name="Note 7 39 2 6 2 2" xfId="28959"/>
    <cellStyle name="Note 7 39 2 6 3" xfId="28960"/>
    <cellStyle name="Note 7 39 2 7" xfId="28961"/>
    <cellStyle name="Note 7 39 3" xfId="28962"/>
    <cellStyle name="Note 7 39 3 2" xfId="28963"/>
    <cellStyle name="Note 7 39 3 2 2" xfId="28964"/>
    <cellStyle name="Note 7 39 3 2 2 2" xfId="28965"/>
    <cellStyle name="Note 7 39 3 2 3" xfId="28966"/>
    <cellStyle name="Note 7 39 3 3" xfId="28967"/>
    <cellStyle name="Note 7 39 3 3 2" xfId="28968"/>
    <cellStyle name="Note 7 39 3 4" xfId="28969"/>
    <cellStyle name="Note 7 39 4" xfId="28970"/>
    <cellStyle name="Note 7 39 4 2" xfId="28971"/>
    <cellStyle name="Note 7 39 4 2 2" xfId="28972"/>
    <cellStyle name="Note 7 39 4 3" xfId="28973"/>
    <cellStyle name="Note 7 39 5" xfId="28974"/>
    <cellStyle name="Note 7 39 5 2" xfId="28975"/>
    <cellStyle name="Note 7 39 5 2 2" xfId="28976"/>
    <cellStyle name="Note 7 39 5 3" xfId="28977"/>
    <cellStyle name="Note 7 39 6" xfId="28978"/>
    <cellStyle name="Note 7 39 6 2" xfId="28979"/>
    <cellStyle name="Note 7 39 6 2 2" xfId="28980"/>
    <cellStyle name="Note 7 39 6 3" xfId="28981"/>
    <cellStyle name="Note 7 39 7" xfId="28982"/>
    <cellStyle name="Note 7 39 7 2" xfId="28983"/>
    <cellStyle name="Note 7 39 7 2 2" xfId="28984"/>
    <cellStyle name="Note 7 39 7 3" xfId="28985"/>
    <cellStyle name="Note 7 39 8" xfId="28986"/>
    <cellStyle name="Note 7 4" xfId="28987"/>
    <cellStyle name="Note 7 4 2" xfId="28988"/>
    <cellStyle name="Note 7 4 2 2" xfId="28989"/>
    <cellStyle name="Note 7 4 2 2 2" xfId="28990"/>
    <cellStyle name="Note 7 4 2 2 2 2" xfId="28991"/>
    <cellStyle name="Note 7 4 2 2 2 2 2" xfId="28992"/>
    <cellStyle name="Note 7 4 2 2 2 3" xfId="28993"/>
    <cellStyle name="Note 7 4 2 2 3" xfId="28994"/>
    <cellStyle name="Note 7 4 2 2 3 2" xfId="28995"/>
    <cellStyle name="Note 7 4 2 2 4" xfId="28996"/>
    <cellStyle name="Note 7 4 2 3" xfId="28997"/>
    <cellStyle name="Note 7 4 2 3 2" xfId="28998"/>
    <cellStyle name="Note 7 4 2 3 2 2" xfId="28999"/>
    <cellStyle name="Note 7 4 2 3 3" xfId="29000"/>
    <cellStyle name="Note 7 4 2 4" xfId="29001"/>
    <cellStyle name="Note 7 4 2 4 2" xfId="29002"/>
    <cellStyle name="Note 7 4 2 4 2 2" xfId="29003"/>
    <cellStyle name="Note 7 4 2 4 3" xfId="29004"/>
    <cellStyle name="Note 7 4 2 5" xfId="29005"/>
    <cellStyle name="Note 7 4 2 5 2" xfId="29006"/>
    <cellStyle name="Note 7 4 2 5 2 2" xfId="29007"/>
    <cellStyle name="Note 7 4 2 5 3" xfId="29008"/>
    <cellStyle name="Note 7 4 2 6" xfId="29009"/>
    <cellStyle name="Note 7 4 2 6 2" xfId="29010"/>
    <cellStyle name="Note 7 4 2 6 2 2" xfId="29011"/>
    <cellStyle name="Note 7 4 2 6 3" xfId="29012"/>
    <cellStyle name="Note 7 4 2 7" xfId="29013"/>
    <cellStyle name="Note 7 4 3" xfId="29014"/>
    <cellStyle name="Note 7 4 3 2" xfId="29015"/>
    <cellStyle name="Note 7 4 3 2 2" xfId="29016"/>
    <cellStyle name="Note 7 4 3 2 2 2" xfId="29017"/>
    <cellStyle name="Note 7 4 3 2 3" xfId="29018"/>
    <cellStyle name="Note 7 4 3 3" xfId="29019"/>
    <cellStyle name="Note 7 4 3 3 2" xfId="29020"/>
    <cellStyle name="Note 7 4 3 4" xfId="29021"/>
    <cellStyle name="Note 7 4 4" xfId="29022"/>
    <cellStyle name="Note 7 4 4 2" xfId="29023"/>
    <cellStyle name="Note 7 4 4 2 2" xfId="29024"/>
    <cellStyle name="Note 7 4 4 3" xfId="29025"/>
    <cellStyle name="Note 7 4 5" xfId="29026"/>
    <cellStyle name="Note 7 4 5 2" xfId="29027"/>
    <cellStyle name="Note 7 4 5 2 2" xfId="29028"/>
    <cellStyle name="Note 7 4 5 3" xfId="29029"/>
    <cellStyle name="Note 7 4 6" xfId="29030"/>
    <cellStyle name="Note 7 4 6 2" xfId="29031"/>
    <cellStyle name="Note 7 4 6 2 2" xfId="29032"/>
    <cellStyle name="Note 7 4 6 3" xfId="29033"/>
    <cellStyle name="Note 7 4 7" xfId="29034"/>
    <cellStyle name="Note 7 4 7 2" xfId="29035"/>
    <cellStyle name="Note 7 4 7 2 2" xfId="29036"/>
    <cellStyle name="Note 7 4 7 3" xfId="29037"/>
    <cellStyle name="Note 7 4 8" xfId="29038"/>
    <cellStyle name="Note 7 40" xfId="29039"/>
    <cellStyle name="Note 7 40 2" xfId="29040"/>
    <cellStyle name="Note 7 40 2 2" xfId="29041"/>
    <cellStyle name="Note 7 40 2 2 2" xfId="29042"/>
    <cellStyle name="Note 7 40 2 2 2 2" xfId="29043"/>
    <cellStyle name="Note 7 40 2 2 2 2 2" xfId="29044"/>
    <cellStyle name="Note 7 40 2 2 2 3" xfId="29045"/>
    <cellStyle name="Note 7 40 2 2 3" xfId="29046"/>
    <cellStyle name="Note 7 40 2 2 3 2" xfId="29047"/>
    <cellStyle name="Note 7 40 2 2 4" xfId="29048"/>
    <cellStyle name="Note 7 40 2 3" xfId="29049"/>
    <cellStyle name="Note 7 40 2 3 2" xfId="29050"/>
    <cellStyle name="Note 7 40 2 3 2 2" xfId="29051"/>
    <cellStyle name="Note 7 40 2 3 3" xfId="29052"/>
    <cellStyle name="Note 7 40 2 4" xfId="29053"/>
    <cellStyle name="Note 7 40 2 4 2" xfId="29054"/>
    <cellStyle name="Note 7 40 2 4 2 2" xfId="29055"/>
    <cellStyle name="Note 7 40 2 4 3" xfId="29056"/>
    <cellStyle name="Note 7 40 2 5" xfId="29057"/>
    <cellStyle name="Note 7 40 2 5 2" xfId="29058"/>
    <cellStyle name="Note 7 40 2 5 2 2" xfId="29059"/>
    <cellStyle name="Note 7 40 2 5 3" xfId="29060"/>
    <cellStyle name="Note 7 40 2 6" xfId="29061"/>
    <cellStyle name="Note 7 40 2 6 2" xfId="29062"/>
    <cellStyle name="Note 7 40 2 6 2 2" xfId="29063"/>
    <cellStyle name="Note 7 40 2 6 3" xfId="29064"/>
    <cellStyle name="Note 7 40 2 7" xfId="29065"/>
    <cellStyle name="Note 7 40 3" xfId="29066"/>
    <cellStyle name="Note 7 40 3 2" xfId="29067"/>
    <cellStyle name="Note 7 40 3 2 2" xfId="29068"/>
    <cellStyle name="Note 7 40 3 2 2 2" xfId="29069"/>
    <cellStyle name="Note 7 40 3 2 3" xfId="29070"/>
    <cellStyle name="Note 7 40 3 3" xfId="29071"/>
    <cellStyle name="Note 7 40 3 3 2" xfId="29072"/>
    <cellStyle name="Note 7 40 3 4" xfId="29073"/>
    <cellStyle name="Note 7 40 4" xfId="29074"/>
    <cellStyle name="Note 7 40 4 2" xfId="29075"/>
    <cellStyle name="Note 7 40 4 2 2" xfId="29076"/>
    <cellStyle name="Note 7 40 4 3" xfId="29077"/>
    <cellStyle name="Note 7 40 5" xfId="29078"/>
    <cellStyle name="Note 7 40 5 2" xfId="29079"/>
    <cellStyle name="Note 7 40 5 2 2" xfId="29080"/>
    <cellStyle name="Note 7 40 5 3" xfId="29081"/>
    <cellStyle name="Note 7 40 6" xfId="29082"/>
    <cellStyle name="Note 7 40 6 2" xfId="29083"/>
    <cellStyle name="Note 7 40 6 2 2" xfId="29084"/>
    <cellStyle name="Note 7 40 6 3" xfId="29085"/>
    <cellStyle name="Note 7 40 7" xfId="29086"/>
    <cellStyle name="Note 7 40 7 2" xfId="29087"/>
    <cellStyle name="Note 7 40 7 2 2" xfId="29088"/>
    <cellStyle name="Note 7 40 7 3" xfId="29089"/>
    <cellStyle name="Note 7 40 8" xfId="29090"/>
    <cellStyle name="Note 7 41" xfId="29091"/>
    <cellStyle name="Note 7 41 2" xfId="29092"/>
    <cellStyle name="Note 7 41 2 2" xfId="29093"/>
    <cellStyle name="Note 7 41 2 2 2" xfId="29094"/>
    <cellStyle name="Note 7 41 2 2 2 2" xfId="29095"/>
    <cellStyle name="Note 7 41 2 2 2 2 2" xfId="29096"/>
    <cellStyle name="Note 7 41 2 2 2 3" xfId="29097"/>
    <cellStyle name="Note 7 41 2 2 3" xfId="29098"/>
    <cellStyle name="Note 7 41 2 2 3 2" xfId="29099"/>
    <cellStyle name="Note 7 41 2 2 4" xfId="29100"/>
    <cellStyle name="Note 7 41 2 3" xfId="29101"/>
    <cellStyle name="Note 7 41 2 3 2" xfId="29102"/>
    <cellStyle name="Note 7 41 2 3 2 2" xfId="29103"/>
    <cellStyle name="Note 7 41 2 3 3" xfId="29104"/>
    <cellStyle name="Note 7 41 2 4" xfId="29105"/>
    <cellStyle name="Note 7 41 2 4 2" xfId="29106"/>
    <cellStyle name="Note 7 41 2 4 2 2" xfId="29107"/>
    <cellStyle name="Note 7 41 2 4 3" xfId="29108"/>
    <cellStyle name="Note 7 41 2 5" xfId="29109"/>
    <cellStyle name="Note 7 41 2 5 2" xfId="29110"/>
    <cellStyle name="Note 7 41 2 5 2 2" xfId="29111"/>
    <cellStyle name="Note 7 41 2 5 3" xfId="29112"/>
    <cellStyle name="Note 7 41 2 6" xfId="29113"/>
    <cellStyle name="Note 7 41 2 6 2" xfId="29114"/>
    <cellStyle name="Note 7 41 2 6 2 2" xfId="29115"/>
    <cellStyle name="Note 7 41 2 6 3" xfId="29116"/>
    <cellStyle name="Note 7 41 2 7" xfId="29117"/>
    <cellStyle name="Note 7 41 3" xfId="29118"/>
    <cellStyle name="Note 7 41 3 2" xfId="29119"/>
    <cellStyle name="Note 7 41 3 2 2" xfId="29120"/>
    <cellStyle name="Note 7 41 3 2 2 2" xfId="29121"/>
    <cellStyle name="Note 7 41 3 2 3" xfId="29122"/>
    <cellStyle name="Note 7 41 3 3" xfId="29123"/>
    <cellStyle name="Note 7 41 3 3 2" xfId="29124"/>
    <cellStyle name="Note 7 41 3 4" xfId="29125"/>
    <cellStyle name="Note 7 41 4" xfId="29126"/>
    <cellStyle name="Note 7 41 4 2" xfId="29127"/>
    <cellStyle name="Note 7 41 4 2 2" xfId="29128"/>
    <cellStyle name="Note 7 41 4 3" xfId="29129"/>
    <cellStyle name="Note 7 41 5" xfId="29130"/>
    <cellStyle name="Note 7 41 5 2" xfId="29131"/>
    <cellStyle name="Note 7 41 5 2 2" xfId="29132"/>
    <cellStyle name="Note 7 41 5 3" xfId="29133"/>
    <cellStyle name="Note 7 41 6" xfId="29134"/>
    <cellStyle name="Note 7 41 6 2" xfId="29135"/>
    <cellStyle name="Note 7 41 6 2 2" xfId="29136"/>
    <cellStyle name="Note 7 41 6 3" xfId="29137"/>
    <cellStyle name="Note 7 41 7" xfId="29138"/>
    <cellStyle name="Note 7 41 7 2" xfId="29139"/>
    <cellStyle name="Note 7 41 7 2 2" xfId="29140"/>
    <cellStyle name="Note 7 41 7 3" xfId="29141"/>
    <cellStyle name="Note 7 41 8" xfId="29142"/>
    <cellStyle name="Note 7 42" xfId="29143"/>
    <cellStyle name="Note 7 42 2" xfId="29144"/>
    <cellStyle name="Note 7 42 2 2" xfId="29145"/>
    <cellStyle name="Note 7 42 2 2 2" xfId="29146"/>
    <cellStyle name="Note 7 42 2 2 2 2" xfId="29147"/>
    <cellStyle name="Note 7 42 2 2 2 2 2" xfId="29148"/>
    <cellStyle name="Note 7 42 2 2 2 3" xfId="29149"/>
    <cellStyle name="Note 7 42 2 2 3" xfId="29150"/>
    <cellStyle name="Note 7 42 2 2 3 2" xfId="29151"/>
    <cellStyle name="Note 7 42 2 2 4" xfId="29152"/>
    <cellStyle name="Note 7 42 2 3" xfId="29153"/>
    <cellStyle name="Note 7 42 2 3 2" xfId="29154"/>
    <cellStyle name="Note 7 42 2 3 2 2" xfId="29155"/>
    <cellStyle name="Note 7 42 2 3 3" xfId="29156"/>
    <cellStyle name="Note 7 42 2 4" xfId="29157"/>
    <cellStyle name="Note 7 42 2 4 2" xfId="29158"/>
    <cellStyle name="Note 7 42 2 4 2 2" xfId="29159"/>
    <cellStyle name="Note 7 42 2 4 3" xfId="29160"/>
    <cellStyle name="Note 7 42 2 5" xfId="29161"/>
    <cellStyle name="Note 7 42 2 5 2" xfId="29162"/>
    <cellStyle name="Note 7 42 2 5 2 2" xfId="29163"/>
    <cellStyle name="Note 7 42 2 5 3" xfId="29164"/>
    <cellStyle name="Note 7 42 2 6" xfId="29165"/>
    <cellStyle name="Note 7 42 2 6 2" xfId="29166"/>
    <cellStyle name="Note 7 42 2 6 2 2" xfId="29167"/>
    <cellStyle name="Note 7 42 2 6 3" xfId="29168"/>
    <cellStyle name="Note 7 42 2 7" xfId="29169"/>
    <cellStyle name="Note 7 42 3" xfId="29170"/>
    <cellStyle name="Note 7 42 3 2" xfId="29171"/>
    <cellStyle name="Note 7 42 3 2 2" xfId="29172"/>
    <cellStyle name="Note 7 42 3 2 2 2" xfId="29173"/>
    <cellStyle name="Note 7 42 3 2 3" xfId="29174"/>
    <cellStyle name="Note 7 42 3 3" xfId="29175"/>
    <cellStyle name="Note 7 42 3 3 2" xfId="29176"/>
    <cellStyle name="Note 7 42 3 4" xfId="29177"/>
    <cellStyle name="Note 7 42 4" xfId="29178"/>
    <cellStyle name="Note 7 42 4 2" xfId="29179"/>
    <cellStyle name="Note 7 42 4 2 2" xfId="29180"/>
    <cellStyle name="Note 7 42 4 3" xfId="29181"/>
    <cellStyle name="Note 7 42 5" xfId="29182"/>
    <cellStyle name="Note 7 42 5 2" xfId="29183"/>
    <cellStyle name="Note 7 42 5 2 2" xfId="29184"/>
    <cellStyle name="Note 7 42 5 3" xfId="29185"/>
    <cellStyle name="Note 7 42 6" xfId="29186"/>
    <cellStyle name="Note 7 42 6 2" xfId="29187"/>
    <cellStyle name="Note 7 42 6 2 2" xfId="29188"/>
    <cellStyle name="Note 7 42 6 3" xfId="29189"/>
    <cellStyle name="Note 7 42 7" xfId="29190"/>
    <cellStyle name="Note 7 42 7 2" xfId="29191"/>
    <cellStyle name="Note 7 42 7 2 2" xfId="29192"/>
    <cellStyle name="Note 7 42 7 3" xfId="29193"/>
    <cellStyle name="Note 7 42 8" xfId="29194"/>
    <cellStyle name="Note 7 43" xfId="29195"/>
    <cellStyle name="Note 7 43 2" xfId="29196"/>
    <cellStyle name="Note 7 43 2 2" xfId="29197"/>
    <cellStyle name="Note 7 43 2 2 2" xfId="29198"/>
    <cellStyle name="Note 7 43 2 2 2 2" xfId="29199"/>
    <cellStyle name="Note 7 43 2 2 2 2 2" xfId="29200"/>
    <cellStyle name="Note 7 43 2 2 2 3" xfId="29201"/>
    <cellStyle name="Note 7 43 2 2 3" xfId="29202"/>
    <cellStyle name="Note 7 43 2 2 3 2" xfId="29203"/>
    <cellStyle name="Note 7 43 2 2 4" xfId="29204"/>
    <cellStyle name="Note 7 43 2 3" xfId="29205"/>
    <cellStyle name="Note 7 43 2 3 2" xfId="29206"/>
    <cellStyle name="Note 7 43 2 3 2 2" xfId="29207"/>
    <cellStyle name="Note 7 43 2 3 3" xfId="29208"/>
    <cellStyle name="Note 7 43 2 4" xfId="29209"/>
    <cellStyle name="Note 7 43 2 4 2" xfId="29210"/>
    <cellStyle name="Note 7 43 2 4 2 2" xfId="29211"/>
    <cellStyle name="Note 7 43 2 4 3" xfId="29212"/>
    <cellStyle name="Note 7 43 2 5" xfId="29213"/>
    <cellStyle name="Note 7 43 2 5 2" xfId="29214"/>
    <cellStyle name="Note 7 43 2 5 2 2" xfId="29215"/>
    <cellStyle name="Note 7 43 2 5 3" xfId="29216"/>
    <cellStyle name="Note 7 43 2 6" xfId="29217"/>
    <cellStyle name="Note 7 43 2 6 2" xfId="29218"/>
    <cellStyle name="Note 7 43 2 6 2 2" xfId="29219"/>
    <cellStyle name="Note 7 43 2 6 3" xfId="29220"/>
    <cellStyle name="Note 7 43 2 7" xfId="29221"/>
    <cellStyle name="Note 7 43 3" xfId="29222"/>
    <cellStyle name="Note 7 43 3 2" xfId="29223"/>
    <cellStyle name="Note 7 43 3 2 2" xfId="29224"/>
    <cellStyle name="Note 7 43 3 2 2 2" xfId="29225"/>
    <cellStyle name="Note 7 43 3 2 3" xfId="29226"/>
    <cellStyle name="Note 7 43 3 3" xfId="29227"/>
    <cellStyle name="Note 7 43 3 3 2" xfId="29228"/>
    <cellStyle name="Note 7 43 3 4" xfId="29229"/>
    <cellStyle name="Note 7 43 4" xfId="29230"/>
    <cellStyle name="Note 7 43 4 2" xfId="29231"/>
    <cellStyle name="Note 7 43 4 2 2" xfId="29232"/>
    <cellStyle name="Note 7 43 4 3" xfId="29233"/>
    <cellStyle name="Note 7 43 5" xfId="29234"/>
    <cellStyle name="Note 7 43 5 2" xfId="29235"/>
    <cellStyle name="Note 7 43 5 2 2" xfId="29236"/>
    <cellStyle name="Note 7 43 5 3" xfId="29237"/>
    <cellStyle name="Note 7 43 6" xfId="29238"/>
    <cellStyle name="Note 7 43 6 2" xfId="29239"/>
    <cellStyle name="Note 7 43 6 2 2" xfId="29240"/>
    <cellStyle name="Note 7 43 6 3" xfId="29241"/>
    <cellStyle name="Note 7 43 7" xfId="29242"/>
    <cellStyle name="Note 7 43 7 2" xfId="29243"/>
    <cellStyle name="Note 7 43 7 2 2" xfId="29244"/>
    <cellStyle name="Note 7 43 7 3" xfId="29245"/>
    <cellStyle name="Note 7 43 8" xfId="29246"/>
    <cellStyle name="Note 7 44" xfId="29247"/>
    <cellStyle name="Note 7 44 2" xfId="29248"/>
    <cellStyle name="Note 7 44 2 2" xfId="29249"/>
    <cellStyle name="Note 7 44 2 2 2" xfId="29250"/>
    <cellStyle name="Note 7 44 2 2 2 2" xfId="29251"/>
    <cellStyle name="Note 7 44 2 2 2 2 2" xfId="29252"/>
    <cellStyle name="Note 7 44 2 2 2 3" xfId="29253"/>
    <cellStyle name="Note 7 44 2 2 3" xfId="29254"/>
    <cellStyle name="Note 7 44 2 2 3 2" xfId="29255"/>
    <cellStyle name="Note 7 44 2 2 4" xfId="29256"/>
    <cellStyle name="Note 7 44 2 3" xfId="29257"/>
    <cellStyle name="Note 7 44 2 3 2" xfId="29258"/>
    <cellStyle name="Note 7 44 2 3 2 2" xfId="29259"/>
    <cellStyle name="Note 7 44 2 3 3" xfId="29260"/>
    <cellStyle name="Note 7 44 2 4" xfId="29261"/>
    <cellStyle name="Note 7 44 2 4 2" xfId="29262"/>
    <cellStyle name="Note 7 44 2 4 2 2" xfId="29263"/>
    <cellStyle name="Note 7 44 2 4 3" xfId="29264"/>
    <cellStyle name="Note 7 44 2 5" xfId="29265"/>
    <cellStyle name="Note 7 44 2 5 2" xfId="29266"/>
    <cellStyle name="Note 7 44 2 5 2 2" xfId="29267"/>
    <cellStyle name="Note 7 44 2 5 3" xfId="29268"/>
    <cellStyle name="Note 7 44 2 6" xfId="29269"/>
    <cellStyle name="Note 7 44 2 6 2" xfId="29270"/>
    <cellStyle name="Note 7 44 2 6 2 2" xfId="29271"/>
    <cellStyle name="Note 7 44 2 6 3" xfId="29272"/>
    <cellStyle name="Note 7 44 2 7" xfId="29273"/>
    <cellStyle name="Note 7 44 3" xfId="29274"/>
    <cellStyle name="Note 7 44 3 2" xfId="29275"/>
    <cellStyle name="Note 7 44 3 2 2" xfId="29276"/>
    <cellStyle name="Note 7 44 3 2 2 2" xfId="29277"/>
    <cellStyle name="Note 7 44 3 2 3" xfId="29278"/>
    <cellStyle name="Note 7 44 3 3" xfId="29279"/>
    <cellStyle name="Note 7 44 3 3 2" xfId="29280"/>
    <cellStyle name="Note 7 44 3 4" xfId="29281"/>
    <cellStyle name="Note 7 44 4" xfId="29282"/>
    <cellStyle name="Note 7 44 4 2" xfId="29283"/>
    <cellStyle name="Note 7 44 4 2 2" xfId="29284"/>
    <cellStyle name="Note 7 44 4 3" xfId="29285"/>
    <cellStyle name="Note 7 44 5" xfId="29286"/>
    <cellStyle name="Note 7 44 5 2" xfId="29287"/>
    <cellStyle name="Note 7 44 5 2 2" xfId="29288"/>
    <cellStyle name="Note 7 44 5 3" xfId="29289"/>
    <cellStyle name="Note 7 44 6" xfId="29290"/>
    <cellStyle name="Note 7 44 6 2" xfId="29291"/>
    <cellStyle name="Note 7 44 6 2 2" xfId="29292"/>
    <cellStyle name="Note 7 44 6 3" xfId="29293"/>
    <cellStyle name="Note 7 44 7" xfId="29294"/>
    <cellStyle name="Note 7 44 7 2" xfId="29295"/>
    <cellStyle name="Note 7 44 7 2 2" xfId="29296"/>
    <cellStyle name="Note 7 44 7 3" xfId="29297"/>
    <cellStyle name="Note 7 44 8" xfId="29298"/>
    <cellStyle name="Note 7 45" xfId="29299"/>
    <cellStyle name="Note 7 45 2" xfId="29300"/>
    <cellStyle name="Note 7 45 2 2" xfId="29301"/>
    <cellStyle name="Note 7 45 2 2 2" xfId="29302"/>
    <cellStyle name="Note 7 45 2 2 2 2" xfId="29303"/>
    <cellStyle name="Note 7 45 2 2 2 2 2" xfId="29304"/>
    <cellStyle name="Note 7 45 2 2 2 3" xfId="29305"/>
    <cellStyle name="Note 7 45 2 2 3" xfId="29306"/>
    <cellStyle name="Note 7 45 2 2 3 2" xfId="29307"/>
    <cellStyle name="Note 7 45 2 2 4" xfId="29308"/>
    <cellStyle name="Note 7 45 2 3" xfId="29309"/>
    <cellStyle name="Note 7 45 2 3 2" xfId="29310"/>
    <cellStyle name="Note 7 45 2 3 2 2" xfId="29311"/>
    <cellStyle name="Note 7 45 2 3 3" xfId="29312"/>
    <cellStyle name="Note 7 45 2 4" xfId="29313"/>
    <cellStyle name="Note 7 45 2 4 2" xfId="29314"/>
    <cellStyle name="Note 7 45 2 4 2 2" xfId="29315"/>
    <cellStyle name="Note 7 45 2 4 3" xfId="29316"/>
    <cellStyle name="Note 7 45 2 5" xfId="29317"/>
    <cellStyle name="Note 7 45 2 5 2" xfId="29318"/>
    <cellStyle name="Note 7 45 2 5 2 2" xfId="29319"/>
    <cellStyle name="Note 7 45 2 5 3" xfId="29320"/>
    <cellStyle name="Note 7 45 2 6" xfId="29321"/>
    <cellStyle name="Note 7 45 2 6 2" xfId="29322"/>
    <cellStyle name="Note 7 45 2 6 2 2" xfId="29323"/>
    <cellStyle name="Note 7 45 2 6 3" xfId="29324"/>
    <cellStyle name="Note 7 45 2 7" xfId="29325"/>
    <cellStyle name="Note 7 45 3" xfId="29326"/>
    <cellStyle name="Note 7 45 3 2" xfId="29327"/>
    <cellStyle name="Note 7 45 3 2 2" xfId="29328"/>
    <cellStyle name="Note 7 45 3 2 2 2" xfId="29329"/>
    <cellStyle name="Note 7 45 3 2 3" xfId="29330"/>
    <cellStyle name="Note 7 45 3 3" xfId="29331"/>
    <cellStyle name="Note 7 45 3 3 2" xfId="29332"/>
    <cellStyle name="Note 7 45 3 4" xfId="29333"/>
    <cellStyle name="Note 7 45 4" xfId="29334"/>
    <cellStyle name="Note 7 45 4 2" xfId="29335"/>
    <cellStyle name="Note 7 45 4 2 2" xfId="29336"/>
    <cellStyle name="Note 7 45 4 3" xfId="29337"/>
    <cellStyle name="Note 7 45 5" xfId="29338"/>
    <cellStyle name="Note 7 45 5 2" xfId="29339"/>
    <cellStyle name="Note 7 45 5 2 2" xfId="29340"/>
    <cellStyle name="Note 7 45 5 3" xfId="29341"/>
    <cellStyle name="Note 7 45 6" xfId="29342"/>
    <cellStyle name="Note 7 45 6 2" xfId="29343"/>
    <cellStyle name="Note 7 45 6 2 2" xfId="29344"/>
    <cellStyle name="Note 7 45 6 3" xfId="29345"/>
    <cellStyle name="Note 7 45 7" xfId="29346"/>
    <cellStyle name="Note 7 45 7 2" xfId="29347"/>
    <cellStyle name="Note 7 45 7 2 2" xfId="29348"/>
    <cellStyle name="Note 7 45 7 3" xfId="29349"/>
    <cellStyle name="Note 7 45 8" xfId="29350"/>
    <cellStyle name="Note 7 46" xfId="29351"/>
    <cellStyle name="Note 7 46 2" xfId="29352"/>
    <cellStyle name="Note 7 46 2 2" xfId="29353"/>
    <cellStyle name="Note 7 46 2 2 2" xfId="29354"/>
    <cellStyle name="Note 7 46 2 2 2 2" xfId="29355"/>
    <cellStyle name="Note 7 46 2 2 2 2 2" xfId="29356"/>
    <cellStyle name="Note 7 46 2 2 2 3" xfId="29357"/>
    <cellStyle name="Note 7 46 2 2 3" xfId="29358"/>
    <cellStyle name="Note 7 46 2 2 3 2" xfId="29359"/>
    <cellStyle name="Note 7 46 2 2 4" xfId="29360"/>
    <cellStyle name="Note 7 46 2 3" xfId="29361"/>
    <cellStyle name="Note 7 46 2 3 2" xfId="29362"/>
    <cellStyle name="Note 7 46 2 3 2 2" xfId="29363"/>
    <cellStyle name="Note 7 46 2 3 3" xfId="29364"/>
    <cellStyle name="Note 7 46 2 4" xfId="29365"/>
    <cellStyle name="Note 7 46 2 4 2" xfId="29366"/>
    <cellStyle name="Note 7 46 2 4 2 2" xfId="29367"/>
    <cellStyle name="Note 7 46 2 4 3" xfId="29368"/>
    <cellStyle name="Note 7 46 2 5" xfId="29369"/>
    <cellStyle name="Note 7 46 2 5 2" xfId="29370"/>
    <cellStyle name="Note 7 46 2 5 2 2" xfId="29371"/>
    <cellStyle name="Note 7 46 2 5 3" xfId="29372"/>
    <cellStyle name="Note 7 46 2 6" xfId="29373"/>
    <cellStyle name="Note 7 46 2 6 2" xfId="29374"/>
    <cellStyle name="Note 7 46 2 6 2 2" xfId="29375"/>
    <cellStyle name="Note 7 46 2 6 3" xfId="29376"/>
    <cellStyle name="Note 7 46 2 7" xfId="29377"/>
    <cellStyle name="Note 7 46 3" xfId="29378"/>
    <cellStyle name="Note 7 46 3 2" xfId="29379"/>
    <cellStyle name="Note 7 46 3 2 2" xfId="29380"/>
    <cellStyle name="Note 7 46 3 2 2 2" xfId="29381"/>
    <cellStyle name="Note 7 46 3 2 3" xfId="29382"/>
    <cellStyle name="Note 7 46 3 3" xfId="29383"/>
    <cellStyle name="Note 7 46 3 3 2" xfId="29384"/>
    <cellStyle name="Note 7 46 3 4" xfId="29385"/>
    <cellStyle name="Note 7 46 4" xfId="29386"/>
    <cellStyle name="Note 7 46 4 2" xfId="29387"/>
    <cellStyle name="Note 7 46 4 2 2" xfId="29388"/>
    <cellStyle name="Note 7 46 4 3" xfId="29389"/>
    <cellStyle name="Note 7 46 5" xfId="29390"/>
    <cellStyle name="Note 7 46 5 2" xfId="29391"/>
    <cellStyle name="Note 7 46 5 2 2" xfId="29392"/>
    <cellStyle name="Note 7 46 5 3" xfId="29393"/>
    <cellStyle name="Note 7 46 6" xfId="29394"/>
    <cellStyle name="Note 7 46 6 2" xfId="29395"/>
    <cellStyle name="Note 7 46 6 2 2" xfId="29396"/>
    <cellStyle name="Note 7 46 6 3" xfId="29397"/>
    <cellStyle name="Note 7 46 7" xfId="29398"/>
    <cellStyle name="Note 7 46 7 2" xfId="29399"/>
    <cellStyle name="Note 7 46 7 2 2" xfId="29400"/>
    <cellStyle name="Note 7 46 7 3" xfId="29401"/>
    <cellStyle name="Note 7 46 8" xfId="29402"/>
    <cellStyle name="Note 7 47" xfId="29403"/>
    <cellStyle name="Note 7 47 2" xfId="29404"/>
    <cellStyle name="Note 7 47 2 2" xfId="29405"/>
    <cellStyle name="Note 7 47 2 2 2" xfId="29406"/>
    <cellStyle name="Note 7 47 2 2 2 2" xfId="29407"/>
    <cellStyle name="Note 7 47 2 2 2 2 2" xfId="29408"/>
    <cellStyle name="Note 7 47 2 2 2 3" xfId="29409"/>
    <cellStyle name="Note 7 47 2 2 3" xfId="29410"/>
    <cellStyle name="Note 7 47 2 2 3 2" xfId="29411"/>
    <cellStyle name="Note 7 47 2 2 4" xfId="29412"/>
    <cellStyle name="Note 7 47 2 3" xfId="29413"/>
    <cellStyle name="Note 7 47 2 3 2" xfId="29414"/>
    <cellStyle name="Note 7 47 2 3 2 2" xfId="29415"/>
    <cellStyle name="Note 7 47 2 3 3" xfId="29416"/>
    <cellStyle name="Note 7 47 2 4" xfId="29417"/>
    <cellStyle name="Note 7 47 2 4 2" xfId="29418"/>
    <cellStyle name="Note 7 47 2 4 2 2" xfId="29419"/>
    <cellStyle name="Note 7 47 2 4 3" xfId="29420"/>
    <cellStyle name="Note 7 47 2 5" xfId="29421"/>
    <cellStyle name="Note 7 47 2 5 2" xfId="29422"/>
    <cellStyle name="Note 7 47 2 5 2 2" xfId="29423"/>
    <cellStyle name="Note 7 47 2 5 3" xfId="29424"/>
    <cellStyle name="Note 7 47 2 6" xfId="29425"/>
    <cellStyle name="Note 7 47 2 6 2" xfId="29426"/>
    <cellStyle name="Note 7 47 2 6 2 2" xfId="29427"/>
    <cellStyle name="Note 7 47 2 6 3" xfId="29428"/>
    <cellStyle name="Note 7 47 2 7" xfId="29429"/>
    <cellStyle name="Note 7 47 3" xfId="29430"/>
    <cellStyle name="Note 7 47 3 2" xfId="29431"/>
    <cellStyle name="Note 7 47 3 2 2" xfId="29432"/>
    <cellStyle name="Note 7 47 3 2 2 2" xfId="29433"/>
    <cellStyle name="Note 7 47 3 2 3" xfId="29434"/>
    <cellStyle name="Note 7 47 3 3" xfId="29435"/>
    <cellStyle name="Note 7 47 3 3 2" xfId="29436"/>
    <cellStyle name="Note 7 47 3 4" xfId="29437"/>
    <cellStyle name="Note 7 47 4" xfId="29438"/>
    <cellStyle name="Note 7 47 4 2" xfId="29439"/>
    <cellStyle name="Note 7 47 4 2 2" xfId="29440"/>
    <cellStyle name="Note 7 47 4 3" xfId="29441"/>
    <cellStyle name="Note 7 47 5" xfId="29442"/>
    <cellStyle name="Note 7 47 5 2" xfId="29443"/>
    <cellStyle name="Note 7 47 5 2 2" xfId="29444"/>
    <cellStyle name="Note 7 47 5 3" xfId="29445"/>
    <cellStyle name="Note 7 47 6" xfId="29446"/>
    <cellStyle name="Note 7 47 6 2" xfId="29447"/>
    <cellStyle name="Note 7 47 6 2 2" xfId="29448"/>
    <cellStyle name="Note 7 47 6 3" xfId="29449"/>
    <cellStyle name="Note 7 47 7" xfId="29450"/>
    <cellStyle name="Note 7 47 7 2" xfId="29451"/>
    <cellStyle name="Note 7 47 7 2 2" xfId="29452"/>
    <cellStyle name="Note 7 47 7 3" xfId="29453"/>
    <cellStyle name="Note 7 47 8" xfId="29454"/>
    <cellStyle name="Note 7 48" xfId="29455"/>
    <cellStyle name="Note 7 48 2" xfId="29456"/>
    <cellStyle name="Note 7 48 2 2" xfId="29457"/>
    <cellStyle name="Note 7 48 2 2 2" xfId="29458"/>
    <cellStyle name="Note 7 48 2 2 2 2" xfId="29459"/>
    <cellStyle name="Note 7 48 2 2 2 2 2" xfId="29460"/>
    <cellStyle name="Note 7 48 2 2 2 3" xfId="29461"/>
    <cellStyle name="Note 7 48 2 2 3" xfId="29462"/>
    <cellStyle name="Note 7 48 2 2 3 2" xfId="29463"/>
    <cellStyle name="Note 7 48 2 2 4" xfId="29464"/>
    <cellStyle name="Note 7 48 2 3" xfId="29465"/>
    <cellStyle name="Note 7 48 2 3 2" xfId="29466"/>
    <cellStyle name="Note 7 48 2 3 2 2" xfId="29467"/>
    <cellStyle name="Note 7 48 2 3 3" xfId="29468"/>
    <cellStyle name="Note 7 48 2 4" xfId="29469"/>
    <cellStyle name="Note 7 48 2 4 2" xfId="29470"/>
    <cellStyle name="Note 7 48 2 4 2 2" xfId="29471"/>
    <cellStyle name="Note 7 48 2 4 3" xfId="29472"/>
    <cellStyle name="Note 7 48 2 5" xfId="29473"/>
    <cellStyle name="Note 7 48 2 5 2" xfId="29474"/>
    <cellStyle name="Note 7 48 2 5 2 2" xfId="29475"/>
    <cellStyle name="Note 7 48 2 5 3" xfId="29476"/>
    <cellStyle name="Note 7 48 2 6" xfId="29477"/>
    <cellStyle name="Note 7 48 2 6 2" xfId="29478"/>
    <cellStyle name="Note 7 48 2 6 2 2" xfId="29479"/>
    <cellStyle name="Note 7 48 2 6 3" xfId="29480"/>
    <cellStyle name="Note 7 48 2 7" xfId="29481"/>
    <cellStyle name="Note 7 48 3" xfId="29482"/>
    <cellStyle name="Note 7 48 3 2" xfId="29483"/>
    <cellStyle name="Note 7 48 3 2 2" xfId="29484"/>
    <cellStyle name="Note 7 48 3 2 2 2" xfId="29485"/>
    <cellStyle name="Note 7 48 3 2 3" xfId="29486"/>
    <cellStyle name="Note 7 48 3 3" xfId="29487"/>
    <cellStyle name="Note 7 48 3 3 2" xfId="29488"/>
    <cellStyle name="Note 7 48 3 4" xfId="29489"/>
    <cellStyle name="Note 7 48 4" xfId="29490"/>
    <cellStyle name="Note 7 48 4 2" xfId="29491"/>
    <cellStyle name="Note 7 48 4 2 2" xfId="29492"/>
    <cellStyle name="Note 7 48 4 3" xfId="29493"/>
    <cellStyle name="Note 7 48 5" xfId="29494"/>
    <cellStyle name="Note 7 48 5 2" xfId="29495"/>
    <cellStyle name="Note 7 48 5 2 2" xfId="29496"/>
    <cellStyle name="Note 7 48 5 3" xfId="29497"/>
    <cellStyle name="Note 7 48 6" xfId="29498"/>
    <cellStyle name="Note 7 48 6 2" xfId="29499"/>
    <cellStyle name="Note 7 48 6 2 2" xfId="29500"/>
    <cellStyle name="Note 7 48 6 3" xfId="29501"/>
    <cellStyle name="Note 7 48 7" xfId="29502"/>
    <cellStyle name="Note 7 48 7 2" xfId="29503"/>
    <cellStyle name="Note 7 48 7 2 2" xfId="29504"/>
    <cellStyle name="Note 7 48 7 3" xfId="29505"/>
    <cellStyle name="Note 7 48 8" xfId="29506"/>
    <cellStyle name="Note 7 49" xfId="29507"/>
    <cellStyle name="Note 7 49 2" xfId="29508"/>
    <cellStyle name="Note 7 49 2 2" xfId="29509"/>
    <cellStyle name="Note 7 49 2 2 2" xfId="29510"/>
    <cellStyle name="Note 7 49 2 2 2 2" xfId="29511"/>
    <cellStyle name="Note 7 49 2 2 2 2 2" xfId="29512"/>
    <cellStyle name="Note 7 49 2 2 2 3" xfId="29513"/>
    <cellStyle name="Note 7 49 2 2 3" xfId="29514"/>
    <cellStyle name="Note 7 49 2 2 3 2" xfId="29515"/>
    <cellStyle name="Note 7 49 2 2 4" xfId="29516"/>
    <cellStyle name="Note 7 49 2 3" xfId="29517"/>
    <cellStyle name="Note 7 49 2 3 2" xfId="29518"/>
    <cellStyle name="Note 7 49 2 3 2 2" xfId="29519"/>
    <cellStyle name="Note 7 49 2 3 3" xfId="29520"/>
    <cellStyle name="Note 7 49 2 4" xfId="29521"/>
    <cellStyle name="Note 7 49 2 4 2" xfId="29522"/>
    <cellStyle name="Note 7 49 2 4 2 2" xfId="29523"/>
    <cellStyle name="Note 7 49 2 4 3" xfId="29524"/>
    <cellStyle name="Note 7 49 2 5" xfId="29525"/>
    <cellStyle name="Note 7 49 2 5 2" xfId="29526"/>
    <cellStyle name="Note 7 49 2 5 2 2" xfId="29527"/>
    <cellStyle name="Note 7 49 2 5 3" xfId="29528"/>
    <cellStyle name="Note 7 49 2 6" xfId="29529"/>
    <cellStyle name="Note 7 49 2 6 2" xfId="29530"/>
    <cellStyle name="Note 7 49 2 6 2 2" xfId="29531"/>
    <cellStyle name="Note 7 49 2 6 3" xfId="29532"/>
    <cellStyle name="Note 7 49 2 7" xfId="29533"/>
    <cellStyle name="Note 7 49 3" xfId="29534"/>
    <cellStyle name="Note 7 49 3 2" xfId="29535"/>
    <cellStyle name="Note 7 49 3 2 2" xfId="29536"/>
    <cellStyle name="Note 7 49 3 2 2 2" xfId="29537"/>
    <cellStyle name="Note 7 49 3 2 3" xfId="29538"/>
    <cellStyle name="Note 7 49 3 3" xfId="29539"/>
    <cellStyle name="Note 7 49 3 3 2" xfId="29540"/>
    <cellStyle name="Note 7 49 3 4" xfId="29541"/>
    <cellStyle name="Note 7 49 4" xfId="29542"/>
    <cellStyle name="Note 7 49 4 2" xfId="29543"/>
    <cellStyle name="Note 7 49 4 2 2" xfId="29544"/>
    <cellStyle name="Note 7 49 4 3" xfId="29545"/>
    <cellStyle name="Note 7 49 5" xfId="29546"/>
    <cellStyle name="Note 7 49 5 2" xfId="29547"/>
    <cellStyle name="Note 7 49 5 2 2" xfId="29548"/>
    <cellStyle name="Note 7 49 5 3" xfId="29549"/>
    <cellStyle name="Note 7 49 6" xfId="29550"/>
    <cellStyle name="Note 7 49 6 2" xfId="29551"/>
    <cellStyle name="Note 7 49 6 2 2" xfId="29552"/>
    <cellStyle name="Note 7 49 6 3" xfId="29553"/>
    <cellStyle name="Note 7 49 7" xfId="29554"/>
    <cellStyle name="Note 7 49 7 2" xfId="29555"/>
    <cellStyle name="Note 7 49 7 2 2" xfId="29556"/>
    <cellStyle name="Note 7 49 7 3" xfId="29557"/>
    <cellStyle name="Note 7 49 8" xfId="29558"/>
    <cellStyle name="Note 7 5" xfId="29559"/>
    <cellStyle name="Note 7 5 2" xfId="29560"/>
    <cellStyle name="Note 7 5 2 2" xfId="29561"/>
    <cellStyle name="Note 7 5 2 2 2" xfId="29562"/>
    <cellStyle name="Note 7 5 2 2 2 2" xfId="29563"/>
    <cellStyle name="Note 7 5 2 2 2 2 2" xfId="29564"/>
    <cellStyle name="Note 7 5 2 2 2 3" xfId="29565"/>
    <cellStyle name="Note 7 5 2 2 3" xfId="29566"/>
    <cellStyle name="Note 7 5 2 2 3 2" xfId="29567"/>
    <cellStyle name="Note 7 5 2 2 4" xfId="29568"/>
    <cellStyle name="Note 7 5 2 3" xfId="29569"/>
    <cellStyle name="Note 7 5 2 3 2" xfId="29570"/>
    <cellStyle name="Note 7 5 2 3 2 2" xfId="29571"/>
    <cellStyle name="Note 7 5 2 3 3" xfId="29572"/>
    <cellStyle name="Note 7 5 2 4" xfId="29573"/>
    <cellStyle name="Note 7 5 2 4 2" xfId="29574"/>
    <cellStyle name="Note 7 5 2 4 2 2" xfId="29575"/>
    <cellStyle name="Note 7 5 2 4 3" xfId="29576"/>
    <cellStyle name="Note 7 5 2 5" xfId="29577"/>
    <cellStyle name="Note 7 5 2 5 2" xfId="29578"/>
    <cellStyle name="Note 7 5 2 5 2 2" xfId="29579"/>
    <cellStyle name="Note 7 5 2 5 3" xfId="29580"/>
    <cellStyle name="Note 7 5 2 6" xfId="29581"/>
    <cellStyle name="Note 7 5 2 6 2" xfId="29582"/>
    <cellStyle name="Note 7 5 2 6 2 2" xfId="29583"/>
    <cellStyle name="Note 7 5 2 6 3" xfId="29584"/>
    <cellStyle name="Note 7 5 2 7" xfId="29585"/>
    <cellStyle name="Note 7 5 3" xfId="29586"/>
    <cellStyle name="Note 7 5 3 2" xfId="29587"/>
    <cellStyle name="Note 7 5 3 2 2" xfId="29588"/>
    <cellStyle name="Note 7 5 3 2 2 2" xfId="29589"/>
    <cellStyle name="Note 7 5 3 2 3" xfId="29590"/>
    <cellStyle name="Note 7 5 3 3" xfId="29591"/>
    <cellStyle name="Note 7 5 3 3 2" xfId="29592"/>
    <cellStyle name="Note 7 5 3 4" xfId="29593"/>
    <cellStyle name="Note 7 5 4" xfId="29594"/>
    <cellStyle name="Note 7 5 4 2" xfId="29595"/>
    <cellStyle name="Note 7 5 4 2 2" xfId="29596"/>
    <cellStyle name="Note 7 5 4 3" xfId="29597"/>
    <cellStyle name="Note 7 5 5" xfId="29598"/>
    <cellStyle name="Note 7 5 5 2" xfId="29599"/>
    <cellStyle name="Note 7 5 5 2 2" xfId="29600"/>
    <cellStyle name="Note 7 5 5 3" xfId="29601"/>
    <cellStyle name="Note 7 5 6" xfId="29602"/>
    <cellStyle name="Note 7 5 6 2" xfId="29603"/>
    <cellStyle name="Note 7 5 6 2 2" xfId="29604"/>
    <cellStyle name="Note 7 5 6 3" xfId="29605"/>
    <cellStyle name="Note 7 5 7" xfId="29606"/>
    <cellStyle name="Note 7 5 7 2" xfId="29607"/>
    <cellStyle name="Note 7 5 7 2 2" xfId="29608"/>
    <cellStyle name="Note 7 5 7 3" xfId="29609"/>
    <cellStyle name="Note 7 5 8" xfId="29610"/>
    <cellStyle name="Note 7 50" xfId="29611"/>
    <cellStyle name="Note 7 50 2" xfId="29612"/>
    <cellStyle name="Note 7 50 2 2" xfId="29613"/>
    <cellStyle name="Note 7 50 2 2 2" xfId="29614"/>
    <cellStyle name="Note 7 50 2 2 2 2" xfId="29615"/>
    <cellStyle name="Note 7 50 2 2 2 2 2" xfId="29616"/>
    <cellStyle name="Note 7 50 2 2 2 3" xfId="29617"/>
    <cellStyle name="Note 7 50 2 2 3" xfId="29618"/>
    <cellStyle name="Note 7 50 2 2 3 2" xfId="29619"/>
    <cellStyle name="Note 7 50 2 2 4" xfId="29620"/>
    <cellStyle name="Note 7 50 2 3" xfId="29621"/>
    <cellStyle name="Note 7 50 2 3 2" xfId="29622"/>
    <cellStyle name="Note 7 50 2 3 2 2" xfId="29623"/>
    <cellStyle name="Note 7 50 2 3 3" xfId="29624"/>
    <cellStyle name="Note 7 50 2 4" xfId="29625"/>
    <cellStyle name="Note 7 50 2 4 2" xfId="29626"/>
    <cellStyle name="Note 7 50 2 4 2 2" xfId="29627"/>
    <cellStyle name="Note 7 50 2 4 3" xfId="29628"/>
    <cellStyle name="Note 7 50 2 5" xfId="29629"/>
    <cellStyle name="Note 7 50 2 5 2" xfId="29630"/>
    <cellStyle name="Note 7 50 2 5 2 2" xfId="29631"/>
    <cellStyle name="Note 7 50 2 5 3" xfId="29632"/>
    <cellStyle name="Note 7 50 2 6" xfId="29633"/>
    <cellStyle name="Note 7 50 2 6 2" xfId="29634"/>
    <cellStyle name="Note 7 50 2 6 2 2" xfId="29635"/>
    <cellStyle name="Note 7 50 2 6 3" xfId="29636"/>
    <cellStyle name="Note 7 50 2 7" xfId="29637"/>
    <cellStyle name="Note 7 50 3" xfId="29638"/>
    <cellStyle name="Note 7 50 3 2" xfId="29639"/>
    <cellStyle name="Note 7 50 3 2 2" xfId="29640"/>
    <cellStyle name="Note 7 50 3 2 2 2" xfId="29641"/>
    <cellStyle name="Note 7 50 3 2 3" xfId="29642"/>
    <cellStyle name="Note 7 50 3 3" xfId="29643"/>
    <cellStyle name="Note 7 50 3 3 2" xfId="29644"/>
    <cellStyle name="Note 7 50 3 4" xfId="29645"/>
    <cellStyle name="Note 7 50 4" xfId="29646"/>
    <cellStyle name="Note 7 50 4 2" xfId="29647"/>
    <cellStyle name="Note 7 50 4 2 2" xfId="29648"/>
    <cellStyle name="Note 7 50 4 3" xfId="29649"/>
    <cellStyle name="Note 7 50 5" xfId="29650"/>
    <cellStyle name="Note 7 50 5 2" xfId="29651"/>
    <cellStyle name="Note 7 50 5 2 2" xfId="29652"/>
    <cellStyle name="Note 7 50 5 3" xfId="29653"/>
    <cellStyle name="Note 7 50 6" xfId="29654"/>
    <cellStyle name="Note 7 50 6 2" xfId="29655"/>
    <cellStyle name="Note 7 50 6 2 2" xfId="29656"/>
    <cellStyle name="Note 7 50 6 3" xfId="29657"/>
    <cellStyle name="Note 7 50 7" xfId="29658"/>
    <cellStyle name="Note 7 50 7 2" xfId="29659"/>
    <cellStyle name="Note 7 50 7 2 2" xfId="29660"/>
    <cellStyle name="Note 7 50 7 3" xfId="29661"/>
    <cellStyle name="Note 7 50 8" xfId="29662"/>
    <cellStyle name="Note 7 51" xfId="29663"/>
    <cellStyle name="Note 7 51 2" xfId="29664"/>
    <cellStyle name="Note 7 51 2 2" xfId="29665"/>
    <cellStyle name="Note 7 51 2 2 2" xfId="29666"/>
    <cellStyle name="Note 7 51 2 2 2 2" xfId="29667"/>
    <cellStyle name="Note 7 51 2 2 2 2 2" xfId="29668"/>
    <cellStyle name="Note 7 51 2 2 2 3" xfId="29669"/>
    <cellStyle name="Note 7 51 2 2 3" xfId="29670"/>
    <cellStyle name="Note 7 51 2 2 3 2" xfId="29671"/>
    <cellStyle name="Note 7 51 2 2 4" xfId="29672"/>
    <cellStyle name="Note 7 51 2 3" xfId="29673"/>
    <cellStyle name="Note 7 51 2 3 2" xfId="29674"/>
    <cellStyle name="Note 7 51 2 3 2 2" xfId="29675"/>
    <cellStyle name="Note 7 51 2 3 3" xfId="29676"/>
    <cellStyle name="Note 7 51 2 4" xfId="29677"/>
    <cellStyle name="Note 7 51 2 4 2" xfId="29678"/>
    <cellStyle name="Note 7 51 2 4 2 2" xfId="29679"/>
    <cellStyle name="Note 7 51 2 4 3" xfId="29680"/>
    <cellStyle name="Note 7 51 2 5" xfId="29681"/>
    <cellStyle name="Note 7 51 2 5 2" xfId="29682"/>
    <cellStyle name="Note 7 51 2 5 2 2" xfId="29683"/>
    <cellStyle name="Note 7 51 2 5 3" xfId="29684"/>
    <cellStyle name="Note 7 51 2 6" xfId="29685"/>
    <cellStyle name="Note 7 51 2 6 2" xfId="29686"/>
    <cellStyle name="Note 7 51 2 6 2 2" xfId="29687"/>
    <cellStyle name="Note 7 51 2 6 3" xfId="29688"/>
    <cellStyle name="Note 7 51 2 7" xfId="29689"/>
    <cellStyle name="Note 7 51 3" xfId="29690"/>
    <cellStyle name="Note 7 51 3 2" xfId="29691"/>
    <cellStyle name="Note 7 51 3 2 2" xfId="29692"/>
    <cellStyle name="Note 7 51 3 2 2 2" xfId="29693"/>
    <cellStyle name="Note 7 51 3 2 3" xfId="29694"/>
    <cellStyle name="Note 7 51 3 3" xfId="29695"/>
    <cellStyle name="Note 7 51 3 3 2" xfId="29696"/>
    <cellStyle name="Note 7 51 3 4" xfId="29697"/>
    <cellStyle name="Note 7 51 4" xfId="29698"/>
    <cellStyle name="Note 7 51 4 2" xfId="29699"/>
    <cellStyle name="Note 7 51 4 2 2" xfId="29700"/>
    <cellStyle name="Note 7 51 4 3" xfId="29701"/>
    <cellStyle name="Note 7 51 5" xfId="29702"/>
    <cellStyle name="Note 7 51 5 2" xfId="29703"/>
    <cellStyle name="Note 7 51 5 2 2" xfId="29704"/>
    <cellStyle name="Note 7 51 5 3" xfId="29705"/>
    <cellStyle name="Note 7 51 6" xfId="29706"/>
    <cellStyle name="Note 7 51 6 2" xfId="29707"/>
    <cellStyle name="Note 7 51 6 2 2" xfId="29708"/>
    <cellStyle name="Note 7 51 6 3" xfId="29709"/>
    <cellStyle name="Note 7 51 7" xfId="29710"/>
    <cellStyle name="Note 7 51 7 2" xfId="29711"/>
    <cellStyle name="Note 7 51 7 2 2" xfId="29712"/>
    <cellStyle name="Note 7 51 7 3" xfId="29713"/>
    <cellStyle name="Note 7 51 8" xfId="29714"/>
    <cellStyle name="Note 7 52" xfId="29715"/>
    <cellStyle name="Note 7 52 2" xfId="29716"/>
    <cellStyle name="Note 7 52 2 2" xfId="29717"/>
    <cellStyle name="Note 7 52 2 2 2" xfId="29718"/>
    <cellStyle name="Note 7 52 2 2 2 2" xfId="29719"/>
    <cellStyle name="Note 7 52 2 2 2 2 2" xfId="29720"/>
    <cellStyle name="Note 7 52 2 2 2 3" xfId="29721"/>
    <cellStyle name="Note 7 52 2 2 3" xfId="29722"/>
    <cellStyle name="Note 7 52 2 2 3 2" xfId="29723"/>
    <cellStyle name="Note 7 52 2 2 4" xfId="29724"/>
    <cellStyle name="Note 7 52 2 3" xfId="29725"/>
    <cellStyle name="Note 7 52 2 3 2" xfId="29726"/>
    <cellStyle name="Note 7 52 2 3 2 2" xfId="29727"/>
    <cellStyle name="Note 7 52 2 3 3" xfId="29728"/>
    <cellStyle name="Note 7 52 2 4" xfId="29729"/>
    <cellStyle name="Note 7 52 2 4 2" xfId="29730"/>
    <cellStyle name="Note 7 52 2 4 2 2" xfId="29731"/>
    <cellStyle name="Note 7 52 2 4 3" xfId="29732"/>
    <cellStyle name="Note 7 52 2 5" xfId="29733"/>
    <cellStyle name="Note 7 52 2 5 2" xfId="29734"/>
    <cellStyle name="Note 7 52 2 5 2 2" xfId="29735"/>
    <cellStyle name="Note 7 52 2 5 3" xfId="29736"/>
    <cellStyle name="Note 7 52 2 6" xfId="29737"/>
    <cellStyle name="Note 7 52 2 6 2" xfId="29738"/>
    <cellStyle name="Note 7 52 2 6 2 2" xfId="29739"/>
    <cellStyle name="Note 7 52 2 6 3" xfId="29740"/>
    <cellStyle name="Note 7 52 2 7" xfId="29741"/>
    <cellStyle name="Note 7 52 3" xfId="29742"/>
    <cellStyle name="Note 7 52 3 2" xfId="29743"/>
    <cellStyle name="Note 7 52 3 2 2" xfId="29744"/>
    <cellStyle name="Note 7 52 3 2 2 2" xfId="29745"/>
    <cellStyle name="Note 7 52 3 2 3" xfId="29746"/>
    <cellStyle name="Note 7 52 3 3" xfId="29747"/>
    <cellStyle name="Note 7 52 3 3 2" xfId="29748"/>
    <cellStyle name="Note 7 52 3 4" xfId="29749"/>
    <cellStyle name="Note 7 52 4" xfId="29750"/>
    <cellStyle name="Note 7 52 4 2" xfId="29751"/>
    <cellStyle name="Note 7 52 4 2 2" xfId="29752"/>
    <cellStyle name="Note 7 52 4 3" xfId="29753"/>
    <cellStyle name="Note 7 52 5" xfId="29754"/>
    <cellStyle name="Note 7 52 5 2" xfId="29755"/>
    <cellStyle name="Note 7 52 5 2 2" xfId="29756"/>
    <cellStyle name="Note 7 52 5 3" xfId="29757"/>
    <cellStyle name="Note 7 52 6" xfId="29758"/>
    <cellStyle name="Note 7 52 6 2" xfId="29759"/>
    <cellStyle name="Note 7 52 6 2 2" xfId="29760"/>
    <cellStyle name="Note 7 52 6 3" xfId="29761"/>
    <cellStyle name="Note 7 52 7" xfId="29762"/>
    <cellStyle name="Note 7 52 7 2" xfId="29763"/>
    <cellStyle name="Note 7 52 7 2 2" xfId="29764"/>
    <cellStyle name="Note 7 52 7 3" xfId="29765"/>
    <cellStyle name="Note 7 52 8" xfId="29766"/>
    <cellStyle name="Note 7 53" xfId="29767"/>
    <cellStyle name="Note 7 53 2" xfId="29768"/>
    <cellStyle name="Note 7 53 2 2" xfId="29769"/>
    <cellStyle name="Note 7 53 2 2 2" xfId="29770"/>
    <cellStyle name="Note 7 53 2 2 2 2" xfId="29771"/>
    <cellStyle name="Note 7 53 2 2 2 2 2" xfId="29772"/>
    <cellStyle name="Note 7 53 2 2 2 3" xfId="29773"/>
    <cellStyle name="Note 7 53 2 2 3" xfId="29774"/>
    <cellStyle name="Note 7 53 2 2 3 2" xfId="29775"/>
    <cellStyle name="Note 7 53 2 2 4" xfId="29776"/>
    <cellStyle name="Note 7 53 2 3" xfId="29777"/>
    <cellStyle name="Note 7 53 2 3 2" xfId="29778"/>
    <cellStyle name="Note 7 53 2 3 2 2" xfId="29779"/>
    <cellStyle name="Note 7 53 2 3 3" xfId="29780"/>
    <cellStyle name="Note 7 53 2 4" xfId="29781"/>
    <cellStyle name="Note 7 53 2 4 2" xfId="29782"/>
    <cellStyle name="Note 7 53 2 4 2 2" xfId="29783"/>
    <cellStyle name="Note 7 53 2 4 3" xfId="29784"/>
    <cellStyle name="Note 7 53 2 5" xfId="29785"/>
    <cellStyle name="Note 7 53 2 5 2" xfId="29786"/>
    <cellStyle name="Note 7 53 2 5 2 2" xfId="29787"/>
    <cellStyle name="Note 7 53 2 5 3" xfId="29788"/>
    <cellStyle name="Note 7 53 2 6" xfId="29789"/>
    <cellStyle name="Note 7 53 2 6 2" xfId="29790"/>
    <cellStyle name="Note 7 53 2 6 2 2" xfId="29791"/>
    <cellStyle name="Note 7 53 2 6 3" xfId="29792"/>
    <cellStyle name="Note 7 53 2 7" xfId="29793"/>
    <cellStyle name="Note 7 53 3" xfId="29794"/>
    <cellStyle name="Note 7 53 3 2" xfId="29795"/>
    <cellStyle name="Note 7 53 3 2 2" xfId="29796"/>
    <cellStyle name="Note 7 53 3 2 2 2" xfId="29797"/>
    <cellStyle name="Note 7 53 3 2 3" xfId="29798"/>
    <cellStyle name="Note 7 53 3 3" xfId="29799"/>
    <cellStyle name="Note 7 53 3 3 2" xfId="29800"/>
    <cellStyle name="Note 7 53 3 4" xfId="29801"/>
    <cellStyle name="Note 7 53 4" xfId="29802"/>
    <cellStyle name="Note 7 53 4 2" xfId="29803"/>
    <cellStyle name="Note 7 53 4 2 2" xfId="29804"/>
    <cellStyle name="Note 7 53 4 3" xfId="29805"/>
    <cellStyle name="Note 7 53 5" xfId="29806"/>
    <cellStyle name="Note 7 53 5 2" xfId="29807"/>
    <cellStyle name="Note 7 53 5 2 2" xfId="29808"/>
    <cellStyle name="Note 7 53 5 3" xfId="29809"/>
    <cellStyle name="Note 7 53 6" xfId="29810"/>
    <cellStyle name="Note 7 53 6 2" xfId="29811"/>
    <cellStyle name="Note 7 53 6 2 2" xfId="29812"/>
    <cellStyle name="Note 7 53 6 3" xfId="29813"/>
    <cellStyle name="Note 7 53 7" xfId="29814"/>
    <cellStyle name="Note 7 53 7 2" xfId="29815"/>
    <cellStyle name="Note 7 53 7 2 2" xfId="29816"/>
    <cellStyle name="Note 7 53 7 3" xfId="29817"/>
    <cellStyle name="Note 7 53 8" xfId="29818"/>
    <cellStyle name="Note 7 54" xfId="29819"/>
    <cellStyle name="Note 7 54 2" xfId="29820"/>
    <cellStyle name="Note 7 54 2 2" xfId="29821"/>
    <cellStyle name="Note 7 54 2 2 2" xfId="29822"/>
    <cellStyle name="Note 7 54 2 2 2 2" xfId="29823"/>
    <cellStyle name="Note 7 54 2 2 2 2 2" xfId="29824"/>
    <cellStyle name="Note 7 54 2 2 2 3" xfId="29825"/>
    <cellStyle name="Note 7 54 2 2 3" xfId="29826"/>
    <cellStyle name="Note 7 54 2 2 3 2" xfId="29827"/>
    <cellStyle name="Note 7 54 2 2 4" xfId="29828"/>
    <cellStyle name="Note 7 54 2 3" xfId="29829"/>
    <cellStyle name="Note 7 54 2 3 2" xfId="29830"/>
    <cellStyle name="Note 7 54 2 3 2 2" xfId="29831"/>
    <cellStyle name="Note 7 54 2 3 3" xfId="29832"/>
    <cellStyle name="Note 7 54 2 4" xfId="29833"/>
    <cellStyle name="Note 7 54 2 4 2" xfId="29834"/>
    <cellStyle name="Note 7 54 2 4 2 2" xfId="29835"/>
    <cellStyle name="Note 7 54 2 4 3" xfId="29836"/>
    <cellStyle name="Note 7 54 2 5" xfId="29837"/>
    <cellStyle name="Note 7 54 2 5 2" xfId="29838"/>
    <cellStyle name="Note 7 54 2 5 2 2" xfId="29839"/>
    <cellStyle name="Note 7 54 2 5 3" xfId="29840"/>
    <cellStyle name="Note 7 54 2 6" xfId="29841"/>
    <cellStyle name="Note 7 54 2 6 2" xfId="29842"/>
    <cellStyle name="Note 7 54 2 6 2 2" xfId="29843"/>
    <cellStyle name="Note 7 54 2 6 3" xfId="29844"/>
    <cellStyle name="Note 7 54 2 7" xfId="29845"/>
    <cellStyle name="Note 7 54 3" xfId="29846"/>
    <cellStyle name="Note 7 54 3 2" xfId="29847"/>
    <cellStyle name="Note 7 54 3 2 2" xfId="29848"/>
    <cellStyle name="Note 7 54 3 2 2 2" xfId="29849"/>
    <cellStyle name="Note 7 54 3 2 3" xfId="29850"/>
    <cellStyle name="Note 7 54 3 3" xfId="29851"/>
    <cellStyle name="Note 7 54 3 3 2" xfId="29852"/>
    <cellStyle name="Note 7 54 3 4" xfId="29853"/>
    <cellStyle name="Note 7 54 4" xfId="29854"/>
    <cellStyle name="Note 7 54 4 2" xfId="29855"/>
    <cellStyle name="Note 7 54 4 2 2" xfId="29856"/>
    <cellStyle name="Note 7 54 4 3" xfId="29857"/>
    <cellStyle name="Note 7 54 5" xfId="29858"/>
    <cellStyle name="Note 7 54 5 2" xfId="29859"/>
    <cellStyle name="Note 7 54 5 2 2" xfId="29860"/>
    <cellStyle name="Note 7 54 5 3" xfId="29861"/>
    <cellStyle name="Note 7 54 6" xfId="29862"/>
    <cellStyle name="Note 7 54 6 2" xfId="29863"/>
    <cellStyle name="Note 7 54 6 2 2" xfId="29864"/>
    <cellStyle name="Note 7 54 6 3" xfId="29865"/>
    <cellStyle name="Note 7 54 7" xfId="29866"/>
    <cellStyle name="Note 7 54 7 2" xfId="29867"/>
    <cellStyle name="Note 7 54 7 2 2" xfId="29868"/>
    <cellStyle name="Note 7 54 7 3" xfId="29869"/>
    <cellStyle name="Note 7 54 8" xfId="29870"/>
    <cellStyle name="Note 7 55" xfId="29871"/>
    <cellStyle name="Note 7 55 2" xfId="29872"/>
    <cellStyle name="Note 7 55 2 2" xfId="29873"/>
    <cellStyle name="Note 7 55 2 2 2" xfId="29874"/>
    <cellStyle name="Note 7 55 2 2 2 2" xfId="29875"/>
    <cellStyle name="Note 7 55 2 2 2 2 2" xfId="29876"/>
    <cellStyle name="Note 7 55 2 2 2 3" xfId="29877"/>
    <cellStyle name="Note 7 55 2 2 3" xfId="29878"/>
    <cellStyle name="Note 7 55 2 2 3 2" xfId="29879"/>
    <cellStyle name="Note 7 55 2 2 4" xfId="29880"/>
    <cellStyle name="Note 7 55 2 3" xfId="29881"/>
    <cellStyle name="Note 7 55 2 3 2" xfId="29882"/>
    <cellStyle name="Note 7 55 2 3 2 2" xfId="29883"/>
    <cellStyle name="Note 7 55 2 3 3" xfId="29884"/>
    <cellStyle name="Note 7 55 2 4" xfId="29885"/>
    <cellStyle name="Note 7 55 2 4 2" xfId="29886"/>
    <cellStyle name="Note 7 55 2 4 2 2" xfId="29887"/>
    <cellStyle name="Note 7 55 2 4 3" xfId="29888"/>
    <cellStyle name="Note 7 55 2 5" xfId="29889"/>
    <cellStyle name="Note 7 55 2 5 2" xfId="29890"/>
    <cellStyle name="Note 7 55 2 5 2 2" xfId="29891"/>
    <cellStyle name="Note 7 55 2 5 3" xfId="29892"/>
    <cellStyle name="Note 7 55 2 6" xfId="29893"/>
    <cellStyle name="Note 7 55 2 6 2" xfId="29894"/>
    <cellStyle name="Note 7 55 2 6 2 2" xfId="29895"/>
    <cellStyle name="Note 7 55 2 6 3" xfId="29896"/>
    <cellStyle name="Note 7 55 2 7" xfId="29897"/>
    <cellStyle name="Note 7 55 3" xfId="29898"/>
    <cellStyle name="Note 7 55 3 2" xfId="29899"/>
    <cellStyle name="Note 7 55 3 2 2" xfId="29900"/>
    <cellStyle name="Note 7 55 3 2 2 2" xfId="29901"/>
    <cellStyle name="Note 7 55 3 2 3" xfId="29902"/>
    <cellStyle name="Note 7 55 3 3" xfId="29903"/>
    <cellStyle name="Note 7 55 3 3 2" xfId="29904"/>
    <cellStyle name="Note 7 55 3 4" xfId="29905"/>
    <cellStyle name="Note 7 55 4" xfId="29906"/>
    <cellStyle name="Note 7 55 4 2" xfId="29907"/>
    <cellStyle name="Note 7 55 4 2 2" xfId="29908"/>
    <cellStyle name="Note 7 55 4 3" xfId="29909"/>
    <cellStyle name="Note 7 55 5" xfId="29910"/>
    <cellStyle name="Note 7 55 5 2" xfId="29911"/>
    <cellStyle name="Note 7 55 5 2 2" xfId="29912"/>
    <cellStyle name="Note 7 55 5 3" xfId="29913"/>
    <cellStyle name="Note 7 55 6" xfId="29914"/>
    <cellStyle name="Note 7 55 6 2" xfId="29915"/>
    <cellStyle name="Note 7 55 6 2 2" xfId="29916"/>
    <cellStyle name="Note 7 55 6 3" xfId="29917"/>
    <cellStyle name="Note 7 55 7" xfId="29918"/>
    <cellStyle name="Note 7 55 7 2" xfId="29919"/>
    <cellStyle name="Note 7 55 7 2 2" xfId="29920"/>
    <cellStyle name="Note 7 55 7 3" xfId="29921"/>
    <cellStyle name="Note 7 55 8" xfId="29922"/>
    <cellStyle name="Note 7 56" xfId="29923"/>
    <cellStyle name="Note 7 56 2" xfId="29924"/>
    <cellStyle name="Note 7 56 2 2" xfId="29925"/>
    <cellStyle name="Note 7 56 2 2 2" xfId="29926"/>
    <cellStyle name="Note 7 56 2 2 2 2" xfId="29927"/>
    <cellStyle name="Note 7 56 2 2 2 2 2" xfId="29928"/>
    <cellStyle name="Note 7 56 2 2 2 3" xfId="29929"/>
    <cellStyle name="Note 7 56 2 2 3" xfId="29930"/>
    <cellStyle name="Note 7 56 2 2 3 2" xfId="29931"/>
    <cellStyle name="Note 7 56 2 2 4" xfId="29932"/>
    <cellStyle name="Note 7 56 2 3" xfId="29933"/>
    <cellStyle name="Note 7 56 2 3 2" xfId="29934"/>
    <cellStyle name="Note 7 56 2 3 2 2" xfId="29935"/>
    <cellStyle name="Note 7 56 2 3 3" xfId="29936"/>
    <cellStyle name="Note 7 56 2 4" xfId="29937"/>
    <cellStyle name="Note 7 56 2 4 2" xfId="29938"/>
    <cellStyle name="Note 7 56 2 4 2 2" xfId="29939"/>
    <cellStyle name="Note 7 56 2 4 3" xfId="29940"/>
    <cellStyle name="Note 7 56 2 5" xfId="29941"/>
    <cellStyle name="Note 7 56 2 5 2" xfId="29942"/>
    <cellStyle name="Note 7 56 2 5 2 2" xfId="29943"/>
    <cellStyle name="Note 7 56 2 5 3" xfId="29944"/>
    <cellStyle name="Note 7 56 2 6" xfId="29945"/>
    <cellStyle name="Note 7 56 2 6 2" xfId="29946"/>
    <cellStyle name="Note 7 56 2 6 2 2" xfId="29947"/>
    <cellStyle name="Note 7 56 2 6 3" xfId="29948"/>
    <cellStyle name="Note 7 56 2 7" xfId="29949"/>
    <cellStyle name="Note 7 56 3" xfId="29950"/>
    <cellStyle name="Note 7 56 3 2" xfId="29951"/>
    <cellStyle name="Note 7 56 3 2 2" xfId="29952"/>
    <cellStyle name="Note 7 56 3 2 2 2" xfId="29953"/>
    <cellStyle name="Note 7 56 3 2 3" xfId="29954"/>
    <cellStyle name="Note 7 56 3 3" xfId="29955"/>
    <cellStyle name="Note 7 56 3 3 2" xfId="29956"/>
    <cellStyle name="Note 7 56 3 4" xfId="29957"/>
    <cellStyle name="Note 7 56 4" xfId="29958"/>
    <cellStyle name="Note 7 56 4 2" xfId="29959"/>
    <cellStyle name="Note 7 56 4 2 2" xfId="29960"/>
    <cellStyle name="Note 7 56 4 3" xfId="29961"/>
    <cellStyle name="Note 7 56 5" xfId="29962"/>
    <cellStyle name="Note 7 56 5 2" xfId="29963"/>
    <cellStyle name="Note 7 56 5 2 2" xfId="29964"/>
    <cellStyle name="Note 7 56 5 3" xfId="29965"/>
    <cellStyle name="Note 7 56 6" xfId="29966"/>
    <cellStyle name="Note 7 56 6 2" xfId="29967"/>
    <cellStyle name="Note 7 56 6 2 2" xfId="29968"/>
    <cellStyle name="Note 7 56 6 3" xfId="29969"/>
    <cellStyle name="Note 7 56 7" xfId="29970"/>
    <cellStyle name="Note 7 56 7 2" xfId="29971"/>
    <cellStyle name="Note 7 56 7 2 2" xfId="29972"/>
    <cellStyle name="Note 7 56 7 3" xfId="29973"/>
    <cellStyle name="Note 7 56 8" xfId="29974"/>
    <cellStyle name="Note 7 57" xfId="29975"/>
    <cellStyle name="Note 7 57 2" xfId="29976"/>
    <cellStyle name="Note 7 57 2 2" xfId="29977"/>
    <cellStyle name="Note 7 57 2 2 2" xfId="29978"/>
    <cellStyle name="Note 7 57 2 2 2 2" xfId="29979"/>
    <cellStyle name="Note 7 57 2 2 2 2 2" xfId="29980"/>
    <cellStyle name="Note 7 57 2 2 2 3" xfId="29981"/>
    <cellStyle name="Note 7 57 2 2 3" xfId="29982"/>
    <cellStyle name="Note 7 57 2 2 3 2" xfId="29983"/>
    <cellStyle name="Note 7 57 2 2 4" xfId="29984"/>
    <cellStyle name="Note 7 57 2 3" xfId="29985"/>
    <cellStyle name="Note 7 57 2 3 2" xfId="29986"/>
    <cellStyle name="Note 7 57 2 3 2 2" xfId="29987"/>
    <cellStyle name="Note 7 57 2 3 3" xfId="29988"/>
    <cellStyle name="Note 7 57 2 4" xfId="29989"/>
    <cellStyle name="Note 7 57 2 4 2" xfId="29990"/>
    <cellStyle name="Note 7 57 2 4 2 2" xfId="29991"/>
    <cellStyle name="Note 7 57 2 4 3" xfId="29992"/>
    <cellStyle name="Note 7 57 2 5" xfId="29993"/>
    <cellStyle name="Note 7 57 2 5 2" xfId="29994"/>
    <cellStyle name="Note 7 57 2 5 2 2" xfId="29995"/>
    <cellStyle name="Note 7 57 2 5 3" xfId="29996"/>
    <cellStyle name="Note 7 57 2 6" xfId="29997"/>
    <cellStyle name="Note 7 57 2 6 2" xfId="29998"/>
    <cellStyle name="Note 7 57 2 6 2 2" xfId="29999"/>
    <cellStyle name="Note 7 57 2 6 3" xfId="30000"/>
    <cellStyle name="Note 7 57 2 7" xfId="30001"/>
    <cellStyle name="Note 7 57 3" xfId="30002"/>
    <cellStyle name="Note 7 57 3 2" xfId="30003"/>
    <cellStyle name="Note 7 57 3 2 2" xfId="30004"/>
    <cellStyle name="Note 7 57 3 2 2 2" xfId="30005"/>
    <cellStyle name="Note 7 57 3 2 3" xfId="30006"/>
    <cellStyle name="Note 7 57 3 3" xfId="30007"/>
    <cellStyle name="Note 7 57 3 3 2" xfId="30008"/>
    <cellStyle name="Note 7 57 3 4" xfId="30009"/>
    <cellStyle name="Note 7 57 4" xfId="30010"/>
    <cellStyle name="Note 7 57 4 2" xfId="30011"/>
    <cellStyle name="Note 7 57 4 2 2" xfId="30012"/>
    <cellStyle name="Note 7 57 4 3" xfId="30013"/>
    <cellStyle name="Note 7 57 5" xfId="30014"/>
    <cellStyle name="Note 7 57 5 2" xfId="30015"/>
    <cellStyle name="Note 7 57 5 2 2" xfId="30016"/>
    <cellStyle name="Note 7 57 5 3" xfId="30017"/>
    <cellStyle name="Note 7 57 6" xfId="30018"/>
    <cellStyle name="Note 7 57 6 2" xfId="30019"/>
    <cellStyle name="Note 7 57 6 2 2" xfId="30020"/>
    <cellStyle name="Note 7 57 6 3" xfId="30021"/>
    <cellStyle name="Note 7 57 7" xfId="30022"/>
    <cellStyle name="Note 7 57 7 2" xfId="30023"/>
    <cellStyle name="Note 7 57 7 2 2" xfId="30024"/>
    <cellStyle name="Note 7 57 7 3" xfId="30025"/>
    <cellStyle name="Note 7 57 8" xfId="30026"/>
    <cellStyle name="Note 7 58" xfId="30027"/>
    <cellStyle name="Note 7 58 2" xfId="30028"/>
    <cellStyle name="Note 7 58 2 2" xfId="30029"/>
    <cellStyle name="Note 7 58 2 2 2" xfId="30030"/>
    <cellStyle name="Note 7 58 2 2 2 2" xfId="30031"/>
    <cellStyle name="Note 7 58 2 2 2 2 2" xfId="30032"/>
    <cellStyle name="Note 7 58 2 2 2 3" xfId="30033"/>
    <cellStyle name="Note 7 58 2 2 3" xfId="30034"/>
    <cellStyle name="Note 7 58 2 2 3 2" xfId="30035"/>
    <cellStyle name="Note 7 58 2 2 4" xfId="30036"/>
    <cellStyle name="Note 7 58 2 3" xfId="30037"/>
    <cellStyle name="Note 7 58 2 3 2" xfId="30038"/>
    <cellStyle name="Note 7 58 2 3 2 2" xfId="30039"/>
    <cellStyle name="Note 7 58 2 3 3" xfId="30040"/>
    <cellStyle name="Note 7 58 2 4" xfId="30041"/>
    <cellStyle name="Note 7 58 2 4 2" xfId="30042"/>
    <cellStyle name="Note 7 58 2 4 2 2" xfId="30043"/>
    <cellStyle name="Note 7 58 2 4 3" xfId="30044"/>
    <cellStyle name="Note 7 58 2 5" xfId="30045"/>
    <cellStyle name="Note 7 58 2 5 2" xfId="30046"/>
    <cellStyle name="Note 7 58 2 5 2 2" xfId="30047"/>
    <cellStyle name="Note 7 58 2 5 3" xfId="30048"/>
    <cellStyle name="Note 7 58 2 6" xfId="30049"/>
    <cellStyle name="Note 7 58 2 6 2" xfId="30050"/>
    <cellStyle name="Note 7 58 2 6 2 2" xfId="30051"/>
    <cellStyle name="Note 7 58 2 6 3" xfId="30052"/>
    <cellStyle name="Note 7 58 2 7" xfId="30053"/>
    <cellStyle name="Note 7 58 3" xfId="30054"/>
    <cellStyle name="Note 7 58 3 2" xfId="30055"/>
    <cellStyle name="Note 7 58 3 2 2" xfId="30056"/>
    <cellStyle name="Note 7 58 3 2 2 2" xfId="30057"/>
    <cellStyle name="Note 7 58 3 2 3" xfId="30058"/>
    <cellStyle name="Note 7 58 3 3" xfId="30059"/>
    <cellStyle name="Note 7 58 3 3 2" xfId="30060"/>
    <cellStyle name="Note 7 58 3 4" xfId="30061"/>
    <cellStyle name="Note 7 58 4" xfId="30062"/>
    <cellStyle name="Note 7 58 4 2" xfId="30063"/>
    <cellStyle name="Note 7 58 4 2 2" xfId="30064"/>
    <cellStyle name="Note 7 58 4 3" xfId="30065"/>
    <cellStyle name="Note 7 58 5" xfId="30066"/>
    <cellStyle name="Note 7 58 5 2" xfId="30067"/>
    <cellStyle name="Note 7 58 5 2 2" xfId="30068"/>
    <cellStyle name="Note 7 58 5 3" xfId="30069"/>
    <cellStyle name="Note 7 58 6" xfId="30070"/>
    <cellStyle name="Note 7 58 6 2" xfId="30071"/>
    <cellStyle name="Note 7 58 6 2 2" xfId="30072"/>
    <cellStyle name="Note 7 58 6 3" xfId="30073"/>
    <cellStyle name="Note 7 58 7" xfId="30074"/>
    <cellStyle name="Note 7 58 7 2" xfId="30075"/>
    <cellStyle name="Note 7 58 7 2 2" xfId="30076"/>
    <cellStyle name="Note 7 58 7 3" xfId="30077"/>
    <cellStyle name="Note 7 58 8" xfId="30078"/>
    <cellStyle name="Note 7 59" xfId="30079"/>
    <cellStyle name="Note 7 59 2" xfId="30080"/>
    <cellStyle name="Note 7 59 2 2" xfId="30081"/>
    <cellStyle name="Note 7 59 2 2 2" xfId="30082"/>
    <cellStyle name="Note 7 59 2 2 2 2" xfId="30083"/>
    <cellStyle name="Note 7 59 2 2 2 2 2" xfId="30084"/>
    <cellStyle name="Note 7 59 2 2 2 3" xfId="30085"/>
    <cellStyle name="Note 7 59 2 2 3" xfId="30086"/>
    <cellStyle name="Note 7 59 2 2 3 2" xfId="30087"/>
    <cellStyle name="Note 7 59 2 2 4" xfId="30088"/>
    <cellStyle name="Note 7 59 2 3" xfId="30089"/>
    <cellStyle name="Note 7 59 2 3 2" xfId="30090"/>
    <cellStyle name="Note 7 59 2 3 2 2" xfId="30091"/>
    <cellStyle name="Note 7 59 2 3 3" xfId="30092"/>
    <cellStyle name="Note 7 59 2 4" xfId="30093"/>
    <cellStyle name="Note 7 59 2 4 2" xfId="30094"/>
    <cellStyle name="Note 7 59 2 4 2 2" xfId="30095"/>
    <cellStyle name="Note 7 59 2 4 3" xfId="30096"/>
    <cellStyle name="Note 7 59 2 5" xfId="30097"/>
    <cellStyle name="Note 7 59 2 5 2" xfId="30098"/>
    <cellStyle name="Note 7 59 2 5 2 2" xfId="30099"/>
    <cellStyle name="Note 7 59 2 5 3" xfId="30100"/>
    <cellStyle name="Note 7 59 2 6" xfId="30101"/>
    <cellStyle name="Note 7 59 2 6 2" xfId="30102"/>
    <cellStyle name="Note 7 59 2 6 2 2" xfId="30103"/>
    <cellStyle name="Note 7 59 2 6 3" xfId="30104"/>
    <cellStyle name="Note 7 59 2 7" xfId="30105"/>
    <cellStyle name="Note 7 59 3" xfId="30106"/>
    <cellStyle name="Note 7 59 3 2" xfId="30107"/>
    <cellStyle name="Note 7 59 3 2 2" xfId="30108"/>
    <cellStyle name="Note 7 59 3 2 2 2" xfId="30109"/>
    <cellStyle name="Note 7 59 3 2 3" xfId="30110"/>
    <cellStyle name="Note 7 59 3 3" xfId="30111"/>
    <cellStyle name="Note 7 59 3 3 2" xfId="30112"/>
    <cellStyle name="Note 7 59 3 4" xfId="30113"/>
    <cellStyle name="Note 7 59 4" xfId="30114"/>
    <cellStyle name="Note 7 59 4 2" xfId="30115"/>
    <cellStyle name="Note 7 59 4 2 2" xfId="30116"/>
    <cellStyle name="Note 7 59 4 3" xfId="30117"/>
    <cellStyle name="Note 7 59 5" xfId="30118"/>
    <cellStyle name="Note 7 59 5 2" xfId="30119"/>
    <cellStyle name="Note 7 59 5 2 2" xfId="30120"/>
    <cellStyle name="Note 7 59 5 3" xfId="30121"/>
    <cellStyle name="Note 7 59 6" xfId="30122"/>
    <cellStyle name="Note 7 59 6 2" xfId="30123"/>
    <cellStyle name="Note 7 59 6 2 2" xfId="30124"/>
    <cellStyle name="Note 7 59 6 3" xfId="30125"/>
    <cellStyle name="Note 7 59 7" xfId="30126"/>
    <cellStyle name="Note 7 59 7 2" xfId="30127"/>
    <cellStyle name="Note 7 59 7 2 2" xfId="30128"/>
    <cellStyle name="Note 7 59 7 3" xfId="30129"/>
    <cellStyle name="Note 7 59 8" xfId="30130"/>
    <cellStyle name="Note 7 6" xfId="30131"/>
    <cellStyle name="Note 7 6 2" xfId="30132"/>
    <cellStyle name="Note 7 6 2 2" xfId="30133"/>
    <cellStyle name="Note 7 6 2 2 2" xfId="30134"/>
    <cellStyle name="Note 7 6 2 2 2 2" xfId="30135"/>
    <cellStyle name="Note 7 6 2 2 2 2 2" xfId="30136"/>
    <cellStyle name="Note 7 6 2 2 2 3" xfId="30137"/>
    <cellStyle name="Note 7 6 2 2 3" xfId="30138"/>
    <cellStyle name="Note 7 6 2 2 3 2" xfId="30139"/>
    <cellStyle name="Note 7 6 2 2 4" xfId="30140"/>
    <cellStyle name="Note 7 6 2 3" xfId="30141"/>
    <cellStyle name="Note 7 6 2 3 2" xfId="30142"/>
    <cellStyle name="Note 7 6 2 3 2 2" xfId="30143"/>
    <cellStyle name="Note 7 6 2 3 3" xfId="30144"/>
    <cellStyle name="Note 7 6 2 4" xfId="30145"/>
    <cellStyle name="Note 7 6 2 4 2" xfId="30146"/>
    <cellStyle name="Note 7 6 2 4 2 2" xfId="30147"/>
    <cellStyle name="Note 7 6 2 4 3" xfId="30148"/>
    <cellStyle name="Note 7 6 2 5" xfId="30149"/>
    <cellStyle name="Note 7 6 2 5 2" xfId="30150"/>
    <cellStyle name="Note 7 6 2 5 2 2" xfId="30151"/>
    <cellStyle name="Note 7 6 2 5 3" xfId="30152"/>
    <cellStyle name="Note 7 6 2 6" xfId="30153"/>
    <cellStyle name="Note 7 6 2 6 2" xfId="30154"/>
    <cellStyle name="Note 7 6 2 6 2 2" xfId="30155"/>
    <cellStyle name="Note 7 6 2 6 3" xfId="30156"/>
    <cellStyle name="Note 7 6 2 7" xfId="30157"/>
    <cellStyle name="Note 7 6 3" xfId="30158"/>
    <cellStyle name="Note 7 6 3 2" xfId="30159"/>
    <cellStyle name="Note 7 6 3 2 2" xfId="30160"/>
    <cellStyle name="Note 7 6 3 2 2 2" xfId="30161"/>
    <cellStyle name="Note 7 6 3 2 3" xfId="30162"/>
    <cellStyle name="Note 7 6 3 3" xfId="30163"/>
    <cellStyle name="Note 7 6 3 3 2" xfId="30164"/>
    <cellStyle name="Note 7 6 3 4" xfId="30165"/>
    <cellStyle name="Note 7 6 4" xfId="30166"/>
    <cellStyle name="Note 7 6 4 2" xfId="30167"/>
    <cellStyle name="Note 7 6 4 2 2" xfId="30168"/>
    <cellStyle name="Note 7 6 4 3" xfId="30169"/>
    <cellStyle name="Note 7 6 5" xfId="30170"/>
    <cellStyle name="Note 7 6 5 2" xfId="30171"/>
    <cellStyle name="Note 7 6 5 2 2" xfId="30172"/>
    <cellStyle name="Note 7 6 5 3" xfId="30173"/>
    <cellStyle name="Note 7 6 6" xfId="30174"/>
    <cellStyle name="Note 7 6 6 2" xfId="30175"/>
    <cellStyle name="Note 7 6 6 2 2" xfId="30176"/>
    <cellStyle name="Note 7 6 6 3" xfId="30177"/>
    <cellStyle name="Note 7 6 7" xfId="30178"/>
    <cellStyle name="Note 7 6 7 2" xfId="30179"/>
    <cellStyle name="Note 7 6 7 2 2" xfId="30180"/>
    <cellStyle name="Note 7 6 7 3" xfId="30181"/>
    <cellStyle name="Note 7 6 8" xfId="30182"/>
    <cellStyle name="Note 7 60" xfId="30183"/>
    <cellStyle name="Note 7 60 2" xfId="30184"/>
    <cellStyle name="Note 7 60 2 2" xfId="30185"/>
    <cellStyle name="Note 7 60 2 2 2" xfId="30186"/>
    <cellStyle name="Note 7 60 2 2 2 2" xfId="30187"/>
    <cellStyle name="Note 7 60 2 2 2 2 2" xfId="30188"/>
    <cellStyle name="Note 7 60 2 2 2 3" xfId="30189"/>
    <cellStyle name="Note 7 60 2 2 3" xfId="30190"/>
    <cellStyle name="Note 7 60 2 2 3 2" xfId="30191"/>
    <cellStyle name="Note 7 60 2 2 4" xfId="30192"/>
    <cellStyle name="Note 7 60 2 3" xfId="30193"/>
    <cellStyle name="Note 7 60 2 3 2" xfId="30194"/>
    <cellStyle name="Note 7 60 2 3 2 2" xfId="30195"/>
    <cellStyle name="Note 7 60 2 3 3" xfId="30196"/>
    <cellStyle name="Note 7 60 2 4" xfId="30197"/>
    <cellStyle name="Note 7 60 2 4 2" xfId="30198"/>
    <cellStyle name="Note 7 60 2 4 2 2" xfId="30199"/>
    <cellStyle name="Note 7 60 2 4 3" xfId="30200"/>
    <cellStyle name="Note 7 60 2 5" xfId="30201"/>
    <cellStyle name="Note 7 60 2 5 2" xfId="30202"/>
    <cellStyle name="Note 7 60 2 5 2 2" xfId="30203"/>
    <cellStyle name="Note 7 60 2 5 3" xfId="30204"/>
    <cellStyle name="Note 7 60 2 6" xfId="30205"/>
    <cellStyle name="Note 7 60 2 6 2" xfId="30206"/>
    <cellStyle name="Note 7 60 2 6 2 2" xfId="30207"/>
    <cellStyle name="Note 7 60 2 6 3" xfId="30208"/>
    <cellStyle name="Note 7 60 2 7" xfId="30209"/>
    <cellStyle name="Note 7 60 3" xfId="30210"/>
    <cellStyle name="Note 7 60 3 2" xfId="30211"/>
    <cellStyle name="Note 7 60 3 2 2" xfId="30212"/>
    <cellStyle name="Note 7 60 3 2 2 2" xfId="30213"/>
    <cellStyle name="Note 7 60 3 2 3" xfId="30214"/>
    <cellStyle name="Note 7 60 3 3" xfId="30215"/>
    <cellStyle name="Note 7 60 3 3 2" xfId="30216"/>
    <cellStyle name="Note 7 60 3 4" xfId="30217"/>
    <cellStyle name="Note 7 60 4" xfId="30218"/>
    <cellStyle name="Note 7 60 4 2" xfId="30219"/>
    <cellStyle name="Note 7 60 4 2 2" xfId="30220"/>
    <cellStyle name="Note 7 60 4 3" xfId="30221"/>
    <cellStyle name="Note 7 60 5" xfId="30222"/>
    <cellStyle name="Note 7 60 5 2" xfId="30223"/>
    <cellStyle name="Note 7 60 5 2 2" xfId="30224"/>
    <cellStyle name="Note 7 60 5 3" xfId="30225"/>
    <cellStyle name="Note 7 60 6" xfId="30226"/>
    <cellStyle name="Note 7 60 6 2" xfId="30227"/>
    <cellStyle name="Note 7 60 6 2 2" xfId="30228"/>
    <cellStyle name="Note 7 60 6 3" xfId="30229"/>
    <cellStyle name="Note 7 60 7" xfId="30230"/>
    <cellStyle name="Note 7 60 7 2" xfId="30231"/>
    <cellStyle name="Note 7 60 7 2 2" xfId="30232"/>
    <cellStyle name="Note 7 60 7 3" xfId="30233"/>
    <cellStyle name="Note 7 60 8" xfId="30234"/>
    <cellStyle name="Note 7 61" xfId="30235"/>
    <cellStyle name="Note 7 61 2" xfId="30236"/>
    <cellStyle name="Note 7 61 2 2" xfId="30237"/>
    <cellStyle name="Note 7 61 2 2 2" xfId="30238"/>
    <cellStyle name="Note 7 61 2 2 2 2" xfId="30239"/>
    <cellStyle name="Note 7 61 2 2 2 2 2" xfId="30240"/>
    <cellStyle name="Note 7 61 2 2 2 3" xfId="30241"/>
    <cellStyle name="Note 7 61 2 2 3" xfId="30242"/>
    <cellStyle name="Note 7 61 2 2 3 2" xfId="30243"/>
    <cellStyle name="Note 7 61 2 2 4" xfId="30244"/>
    <cellStyle name="Note 7 61 2 3" xfId="30245"/>
    <cellStyle name="Note 7 61 2 3 2" xfId="30246"/>
    <cellStyle name="Note 7 61 2 3 2 2" xfId="30247"/>
    <cellStyle name="Note 7 61 2 3 3" xfId="30248"/>
    <cellStyle name="Note 7 61 2 4" xfId="30249"/>
    <cellStyle name="Note 7 61 2 4 2" xfId="30250"/>
    <cellStyle name="Note 7 61 2 4 2 2" xfId="30251"/>
    <cellStyle name="Note 7 61 2 4 3" xfId="30252"/>
    <cellStyle name="Note 7 61 2 5" xfId="30253"/>
    <cellStyle name="Note 7 61 2 5 2" xfId="30254"/>
    <cellStyle name="Note 7 61 2 5 2 2" xfId="30255"/>
    <cellStyle name="Note 7 61 2 5 3" xfId="30256"/>
    <cellStyle name="Note 7 61 2 6" xfId="30257"/>
    <cellStyle name="Note 7 61 2 6 2" xfId="30258"/>
    <cellStyle name="Note 7 61 2 6 2 2" xfId="30259"/>
    <cellStyle name="Note 7 61 2 6 3" xfId="30260"/>
    <cellStyle name="Note 7 61 2 7" xfId="30261"/>
    <cellStyle name="Note 7 61 3" xfId="30262"/>
    <cellStyle name="Note 7 61 3 2" xfId="30263"/>
    <cellStyle name="Note 7 61 3 2 2" xfId="30264"/>
    <cellStyle name="Note 7 61 3 2 2 2" xfId="30265"/>
    <cellStyle name="Note 7 61 3 2 3" xfId="30266"/>
    <cellStyle name="Note 7 61 3 3" xfId="30267"/>
    <cellStyle name="Note 7 61 3 3 2" xfId="30268"/>
    <cellStyle name="Note 7 61 3 4" xfId="30269"/>
    <cellStyle name="Note 7 61 4" xfId="30270"/>
    <cellStyle name="Note 7 61 4 2" xfId="30271"/>
    <cellStyle name="Note 7 61 4 2 2" xfId="30272"/>
    <cellStyle name="Note 7 61 4 3" xfId="30273"/>
    <cellStyle name="Note 7 61 5" xfId="30274"/>
    <cellStyle name="Note 7 61 5 2" xfId="30275"/>
    <cellStyle name="Note 7 61 5 2 2" xfId="30276"/>
    <cellStyle name="Note 7 61 5 3" xfId="30277"/>
    <cellStyle name="Note 7 61 6" xfId="30278"/>
    <cellStyle name="Note 7 61 6 2" xfId="30279"/>
    <cellStyle name="Note 7 61 6 2 2" xfId="30280"/>
    <cellStyle name="Note 7 61 6 3" xfId="30281"/>
    <cellStyle name="Note 7 61 7" xfId="30282"/>
    <cellStyle name="Note 7 61 7 2" xfId="30283"/>
    <cellStyle name="Note 7 61 7 2 2" xfId="30284"/>
    <cellStyle name="Note 7 61 7 3" xfId="30285"/>
    <cellStyle name="Note 7 61 8" xfId="30286"/>
    <cellStyle name="Note 7 62" xfId="30287"/>
    <cellStyle name="Note 7 62 2" xfId="30288"/>
    <cellStyle name="Note 7 62 2 2" xfId="30289"/>
    <cellStyle name="Note 7 62 2 2 2" xfId="30290"/>
    <cellStyle name="Note 7 62 2 2 2 2" xfId="30291"/>
    <cellStyle name="Note 7 62 2 2 2 2 2" xfId="30292"/>
    <cellStyle name="Note 7 62 2 2 2 3" xfId="30293"/>
    <cellStyle name="Note 7 62 2 2 3" xfId="30294"/>
    <cellStyle name="Note 7 62 2 2 3 2" xfId="30295"/>
    <cellStyle name="Note 7 62 2 2 4" xfId="30296"/>
    <cellStyle name="Note 7 62 2 3" xfId="30297"/>
    <cellStyle name="Note 7 62 2 3 2" xfId="30298"/>
    <cellStyle name="Note 7 62 2 3 2 2" xfId="30299"/>
    <cellStyle name="Note 7 62 2 3 3" xfId="30300"/>
    <cellStyle name="Note 7 62 2 4" xfId="30301"/>
    <cellStyle name="Note 7 62 2 4 2" xfId="30302"/>
    <cellStyle name="Note 7 62 2 4 2 2" xfId="30303"/>
    <cellStyle name="Note 7 62 2 4 3" xfId="30304"/>
    <cellStyle name="Note 7 62 2 5" xfId="30305"/>
    <cellStyle name="Note 7 62 2 5 2" xfId="30306"/>
    <cellStyle name="Note 7 62 2 5 2 2" xfId="30307"/>
    <cellStyle name="Note 7 62 2 5 3" xfId="30308"/>
    <cellStyle name="Note 7 62 2 6" xfId="30309"/>
    <cellStyle name="Note 7 62 2 6 2" xfId="30310"/>
    <cellStyle name="Note 7 62 2 6 2 2" xfId="30311"/>
    <cellStyle name="Note 7 62 2 6 3" xfId="30312"/>
    <cellStyle name="Note 7 62 2 7" xfId="30313"/>
    <cellStyle name="Note 7 62 3" xfId="30314"/>
    <cellStyle name="Note 7 62 3 2" xfId="30315"/>
    <cellStyle name="Note 7 62 3 2 2" xfId="30316"/>
    <cellStyle name="Note 7 62 3 2 2 2" xfId="30317"/>
    <cellStyle name="Note 7 62 3 2 3" xfId="30318"/>
    <cellStyle name="Note 7 62 3 3" xfId="30319"/>
    <cellStyle name="Note 7 62 3 3 2" xfId="30320"/>
    <cellStyle name="Note 7 62 3 4" xfId="30321"/>
    <cellStyle name="Note 7 62 4" xfId="30322"/>
    <cellStyle name="Note 7 62 4 2" xfId="30323"/>
    <cellStyle name="Note 7 62 4 2 2" xfId="30324"/>
    <cellStyle name="Note 7 62 4 3" xfId="30325"/>
    <cellStyle name="Note 7 62 5" xfId="30326"/>
    <cellStyle name="Note 7 62 5 2" xfId="30327"/>
    <cellStyle name="Note 7 62 5 2 2" xfId="30328"/>
    <cellStyle name="Note 7 62 5 3" xfId="30329"/>
    <cellStyle name="Note 7 62 6" xfId="30330"/>
    <cellStyle name="Note 7 62 6 2" xfId="30331"/>
    <cellStyle name="Note 7 62 6 2 2" xfId="30332"/>
    <cellStyle name="Note 7 62 6 3" xfId="30333"/>
    <cellStyle name="Note 7 62 7" xfId="30334"/>
    <cellStyle name="Note 7 62 7 2" xfId="30335"/>
    <cellStyle name="Note 7 62 7 2 2" xfId="30336"/>
    <cellStyle name="Note 7 62 7 3" xfId="30337"/>
    <cellStyle name="Note 7 62 8" xfId="30338"/>
    <cellStyle name="Note 7 63" xfId="30339"/>
    <cellStyle name="Note 7 63 2" xfId="30340"/>
    <cellStyle name="Note 7 63 2 2" xfId="30341"/>
    <cellStyle name="Note 7 63 2 2 2" xfId="30342"/>
    <cellStyle name="Note 7 63 2 2 2 2" xfId="30343"/>
    <cellStyle name="Note 7 63 2 2 2 2 2" xfId="30344"/>
    <cellStyle name="Note 7 63 2 2 2 3" xfId="30345"/>
    <cellStyle name="Note 7 63 2 2 3" xfId="30346"/>
    <cellStyle name="Note 7 63 2 2 3 2" xfId="30347"/>
    <cellStyle name="Note 7 63 2 2 4" xfId="30348"/>
    <cellStyle name="Note 7 63 2 3" xfId="30349"/>
    <cellStyle name="Note 7 63 2 3 2" xfId="30350"/>
    <cellStyle name="Note 7 63 2 3 2 2" xfId="30351"/>
    <cellStyle name="Note 7 63 2 3 3" xfId="30352"/>
    <cellStyle name="Note 7 63 2 4" xfId="30353"/>
    <cellStyle name="Note 7 63 2 4 2" xfId="30354"/>
    <cellStyle name="Note 7 63 2 4 2 2" xfId="30355"/>
    <cellStyle name="Note 7 63 2 4 3" xfId="30356"/>
    <cellStyle name="Note 7 63 2 5" xfId="30357"/>
    <cellStyle name="Note 7 63 2 5 2" xfId="30358"/>
    <cellStyle name="Note 7 63 2 5 2 2" xfId="30359"/>
    <cellStyle name="Note 7 63 2 5 3" xfId="30360"/>
    <cellStyle name="Note 7 63 2 6" xfId="30361"/>
    <cellStyle name="Note 7 63 2 6 2" xfId="30362"/>
    <cellStyle name="Note 7 63 2 6 2 2" xfId="30363"/>
    <cellStyle name="Note 7 63 2 6 3" xfId="30364"/>
    <cellStyle name="Note 7 63 2 7" xfId="30365"/>
    <cellStyle name="Note 7 63 3" xfId="30366"/>
    <cellStyle name="Note 7 63 3 2" xfId="30367"/>
    <cellStyle name="Note 7 63 3 2 2" xfId="30368"/>
    <cellStyle name="Note 7 63 3 2 2 2" xfId="30369"/>
    <cellStyle name="Note 7 63 3 2 3" xfId="30370"/>
    <cellStyle name="Note 7 63 3 3" xfId="30371"/>
    <cellStyle name="Note 7 63 3 3 2" xfId="30372"/>
    <cellStyle name="Note 7 63 3 4" xfId="30373"/>
    <cellStyle name="Note 7 63 4" xfId="30374"/>
    <cellStyle name="Note 7 63 4 2" xfId="30375"/>
    <cellStyle name="Note 7 63 4 2 2" xfId="30376"/>
    <cellStyle name="Note 7 63 4 3" xfId="30377"/>
    <cellStyle name="Note 7 63 5" xfId="30378"/>
    <cellStyle name="Note 7 63 5 2" xfId="30379"/>
    <cellStyle name="Note 7 63 5 2 2" xfId="30380"/>
    <cellStyle name="Note 7 63 5 3" xfId="30381"/>
    <cellStyle name="Note 7 63 6" xfId="30382"/>
    <cellStyle name="Note 7 63 6 2" xfId="30383"/>
    <cellStyle name="Note 7 63 6 2 2" xfId="30384"/>
    <cellStyle name="Note 7 63 6 3" xfId="30385"/>
    <cellStyle name="Note 7 63 7" xfId="30386"/>
    <cellStyle name="Note 7 63 7 2" xfId="30387"/>
    <cellStyle name="Note 7 63 7 2 2" xfId="30388"/>
    <cellStyle name="Note 7 63 7 3" xfId="30389"/>
    <cellStyle name="Note 7 63 8" xfId="30390"/>
    <cellStyle name="Note 7 64" xfId="30391"/>
    <cellStyle name="Note 7 64 2" xfId="30392"/>
    <cellStyle name="Note 7 64 2 2" xfId="30393"/>
    <cellStyle name="Note 7 64 2 2 2" xfId="30394"/>
    <cellStyle name="Note 7 64 2 2 2 2" xfId="30395"/>
    <cellStyle name="Note 7 64 2 2 2 2 2" xfId="30396"/>
    <cellStyle name="Note 7 64 2 2 2 3" xfId="30397"/>
    <cellStyle name="Note 7 64 2 2 3" xfId="30398"/>
    <cellStyle name="Note 7 64 2 2 3 2" xfId="30399"/>
    <cellStyle name="Note 7 64 2 2 4" xfId="30400"/>
    <cellStyle name="Note 7 64 2 3" xfId="30401"/>
    <cellStyle name="Note 7 64 2 3 2" xfId="30402"/>
    <cellStyle name="Note 7 64 2 3 2 2" xfId="30403"/>
    <cellStyle name="Note 7 64 2 3 3" xfId="30404"/>
    <cellStyle name="Note 7 64 2 4" xfId="30405"/>
    <cellStyle name="Note 7 64 2 4 2" xfId="30406"/>
    <cellStyle name="Note 7 64 2 4 2 2" xfId="30407"/>
    <cellStyle name="Note 7 64 2 4 3" xfId="30408"/>
    <cellStyle name="Note 7 64 2 5" xfId="30409"/>
    <cellStyle name="Note 7 64 2 5 2" xfId="30410"/>
    <cellStyle name="Note 7 64 2 5 2 2" xfId="30411"/>
    <cellStyle name="Note 7 64 2 5 3" xfId="30412"/>
    <cellStyle name="Note 7 64 2 6" xfId="30413"/>
    <cellStyle name="Note 7 64 2 6 2" xfId="30414"/>
    <cellStyle name="Note 7 64 2 6 2 2" xfId="30415"/>
    <cellStyle name="Note 7 64 2 6 3" xfId="30416"/>
    <cellStyle name="Note 7 64 2 7" xfId="30417"/>
    <cellStyle name="Note 7 64 3" xfId="30418"/>
    <cellStyle name="Note 7 64 3 2" xfId="30419"/>
    <cellStyle name="Note 7 64 3 2 2" xfId="30420"/>
    <cellStyle name="Note 7 64 3 2 2 2" xfId="30421"/>
    <cellStyle name="Note 7 64 3 2 3" xfId="30422"/>
    <cellStyle name="Note 7 64 3 3" xfId="30423"/>
    <cellStyle name="Note 7 64 3 3 2" xfId="30424"/>
    <cellStyle name="Note 7 64 3 4" xfId="30425"/>
    <cellStyle name="Note 7 64 4" xfId="30426"/>
    <cellStyle name="Note 7 64 4 2" xfId="30427"/>
    <cellStyle name="Note 7 64 4 2 2" xfId="30428"/>
    <cellStyle name="Note 7 64 4 3" xfId="30429"/>
    <cellStyle name="Note 7 64 5" xfId="30430"/>
    <cellStyle name="Note 7 64 5 2" xfId="30431"/>
    <cellStyle name="Note 7 64 5 2 2" xfId="30432"/>
    <cellStyle name="Note 7 64 5 3" xfId="30433"/>
    <cellStyle name="Note 7 64 6" xfId="30434"/>
    <cellStyle name="Note 7 64 6 2" xfId="30435"/>
    <cellStyle name="Note 7 64 6 2 2" xfId="30436"/>
    <cellStyle name="Note 7 64 6 3" xfId="30437"/>
    <cellStyle name="Note 7 64 7" xfId="30438"/>
    <cellStyle name="Note 7 64 7 2" xfId="30439"/>
    <cellStyle name="Note 7 64 7 2 2" xfId="30440"/>
    <cellStyle name="Note 7 64 7 3" xfId="30441"/>
    <cellStyle name="Note 7 64 8" xfId="30442"/>
    <cellStyle name="Note 7 65" xfId="30443"/>
    <cellStyle name="Note 7 65 2" xfId="30444"/>
    <cellStyle name="Note 7 65 2 2" xfId="30445"/>
    <cellStyle name="Note 7 65 2 2 2" xfId="30446"/>
    <cellStyle name="Note 7 65 2 2 2 2" xfId="30447"/>
    <cellStyle name="Note 7 65 2 2 2 2 2" xfId="30448"/>
    <cellStyle name="Note 7 65 2 2 2 3" xfId="30449"/>
    <cellStyle name="Note 7 65 2 2 3" xfId="30450"/>
    <cellStyle name="Note 7 65 2 2 3 2" xfId="30451"/>
    <cellStyle name="Note 7 65 2 2 4" xfId="30452"/>
    <cellStyle name="Note 7 65 2 3" xfId="30453"/>
    <cellStyle name="Note 7 65 2 3 2" xfId="30454"/>
    <cellStyle name="Note 7 65 2 3 2 2" xfId="30455"/>
    <cellStyle name="Note 7 65 2 3 3" xfId="30456"/>
    <cellStyle name="Note 7 65 2 4" xfId="30457"/>
    <cellStyle name="Note 7 65 2 4 2" xfId="30458"/>
    <cellStyle name="Note 7 65 2 4 2 2" xfId="30459"/>
    <cellStyle name="Note 7 65 2 4 3" xfId="30460"/>
    <cellStyle name="Note 7 65 2 5" xfId="30461"/>
    <cellStyle name="Note 7 65 2 5 2" xfId="30462"/>
    <cellStyle name="Note 7 65 2 5 2 2" xfId="30463"/>
    <cellStyle name="Note 7 65 2 5 3" xfId="30464"/>
    <cellStyle name="Note 7 65 2 6" xfId="30465"/>
    <cellStyle name="Note 7 65 2 6 2" xfId="30466"/>
    <cellStyle name="Note 7 65 2 6 2 2" xfId="30467"/>
    <cellStyle name="Note 7 65 2 6 3" xfId="30468"/>
    <cellStyle name="Note 7 65 2 7" xfId="30469"/>
    <cellStyle name="Note 7 65 3" xfId="30470"/>
    <cellStyle name="Note 7 65 3 2" xfId="30471"/>
    <cellStyle name="Note 7 65 3 2 2" xfId="30472"/>
    <cellStyle name="Note 7 65 3 2 2 2" xfId="30473"/>
    <cellStyle name="Note 7 65 3 2 3" xfId="30474"/>
    <cellStyle name="Note 7 65 3 3" xfId="30475"/>
    <cellStyle name="Note 7 65 3 3 2" xfId="30476"/>
    <cellStyle name="Note 7 65 3 4" xfId="30477"/>
    <cellStyle name="Note 7 65 4" xfId="30478"/>
    <cellStyle name="Note 7 65 4 2" xfId="30479"/>
    <cellStyle name="Note 7 65 4 2 2" xfId="30480"/>
    <cellStyle name="Note 7 65 4 3" xfId="30481"/>
    <cellStyle name="Note 7 65 5" xfId="30482"/>
    <cellStyle name="Note 7 65 5 2" xfId="30483"/>
    <cellStyle name="Note 7 65 5 2 2" xfId="30484"/>
    <cellStyle name="Note 7 65 5 3" xfId="30485"/>
    <cellStyle name="Note 7 65 6" xfId="30486"/>
    <cellStyle name="Note 7 65 6 2" xfId="30487"/>
    <cellStyle name="Note 7 65 6 2 2" xfId="30488"/>
    <cellStyle name="Note 7 65 6 3" xfId="30489"/>
    <cellStyle name="Note 7 65 7" xfId="30490"/>
    <cellStyle name="Note 7 65 7 2" xfId="30491"/>
    <cellStyle name="Note 7 65 7 2 2" xfId="30492"/>
    <cellStyle name="Note 7 65 7 3" xfId="30493"/>
    <cellStyle name="Note 7 65 8" xfId="30494"/>
    <cellStyle name="Note 7 66" xfId="30495"/>
    <cellStyle name="Note 7 66 2" xfId="30496"/>
    <cellStyle name="Note 7 66 2 2" xfId="30497"/>
    <cellStyle name="Note 7 66 2 2 2" xfId="30498"/>
    <cellStyle name="Note 7 66 2 2 2 2" xfId="30499"/>
    <cellStyle name="Note 7 66 2 2 2 2 2" xfId="30500"/>
    <cellStyle name="Note 7 66 2 2 2 3" xfId="30501"/>
    <cellStyle name="Note 7 66 2 2 3" xfId="30502"/>
    <cellStyle name="Note 7 66 2 2 3 2" xfId="30503"/>
    <cellStyle name="Note 7 66 2 2 4" xfId="30504"/>
    <cellStyle name="Note 7 66 2 3" xfId="30505"/>
    <cellStyle name="Note 7 66 2 3 2" xfId="30506"/>
    <cellStyle name="Note 7 66 2 3 2 2" xfId="30507"/>
    <cellStyle name="Note 7 66 2 3 3" xfId="30508"/>
    <cellStyle name="Note 7 66 2 4" xfId="30509"/>
    <cellStyle name="Note 7 66 2 4 2" xfId="30510"/>
    <cellStyle name="Note 7 66 2 4 2 2" xfId="30511"/>
    <cellStyle name="Note 7 66 2 4 3" xfId="30512"/>
    <cellStyle name="Note 7 66 2 5" xfId="30513"/>
    <cellStyle name="Note 7 66 2 5 2" xfId="30514"/>
    <cellStyle name="Note 7 66 2 5 2 2" xfId="30515"/>
    <cellStyle name="Note 7 66 2 5 3" xfId="30516"/>
    <cellStyle name="Note 7 66 2 6" xfId="30517"/>
    <cellStyle name="Note 7 66 2 6 2" xfId="30518"/>
    <cellStyle name="Note 7 66 2 6 2 2" xfId="30519"/>
    <cellStyle name="Note 7 66 2 6 3" xfId="30520"/>
    <cellStyle name="Note 7 66 2 7" xfId="30521"/>
    <cellStyle name="Note 7 66 3" xfId="30522"/>
    <cellStyle name="Note 7 66 3 2" xfId="30523"/>
    <cellStyle name="Note 7 66 3 2 2" xfId="30524"/>
    <cellStyle name="Note 7 66 3 2 2 2" xfId="30525"/>
    <cellStyle name="Note 7 66 3 2 3" xfId="30526"/>
    <cellStyle name="Note 7 66 3 3" xfId="30527"/>
    <cellStyle name="Note 7 66 3 3 2" xfId="30528"/>
    <cellStyle name="Note 7 66 3 4" xfId="30529"/>
    <cellStyle name="Note 7 66 4" xfId="30530"/>
    <cellStyle name="Note 7 66 4 2" xfId="30531"/>
    <cellStyle name="Note 7 66 4 2 2" xfId="30532"/>
    <cellStyle name="Note 7 66 4 3" xfId="30533"/>
    <cellStyle name="Note 7 66 5" xfId="30534"/>
    <cellStyle name="Note 7 66 5 2" xfId="30535"/>
    <cellStyle name="Note 7 66 5 2 2" xfId="30536"/>
    <cellStyle name="Note 7 66 5 3" xfId="30537"/>
    <cellStyle name="Note 7 66 6" xfId="30538"/>
    <cellStyle name="Note 7 66 6 2" xfId="30539"/>
    <cellStyle name="Note 7 66 6 2 2" xfId="30540"/>
    <cellStyle name="Note 7 66 6 3" xfId="30541"/>
    <cellStyle name="Note 7 66 7" xfId="30542"/>
    <cellStyle name="Note 7 66 7 2" xfId="30543"/>
    <cellStyle name="Note 7 66 7 2 2" xfId="30544"/>
    <cellStyle name="Note 7 66 7 3" xfId="30545"/>
    <cellStyle name="Note 7 66 8" xfId="30546"/>
    <cellStyle name="Note 7 67" xfId="30547"/>
    <cellStyle name="Note 7 67 2" xfId="30548"/>
    <cellStyle name="Note 7 67 2 2" xfId="30549"/>
    <cellStyle name="Note 7 67 2 2 2" xfId="30550"/>
    <cellStyle name="Note 7 67 2 2 2 2" xfId="30551"/>
    <cellStyle name="Note 7 67 2 2 2 2 2" xfId="30552"/>
    <cellStyle name="Note 7 67 2 2 2 3" xfId="30553"/>
    <cellStyle name="Note 7 67 2 2 3" xfId="30554"/>
    <cellStyle name="Note 7 67 2 2 3 2" xfId="30555"/>
    <cellStyle name="Note 7 67 2 2 4" xfId="30556"/>
    <cellStyle name="Note 7 67 2 3" xfId="30557"/>
    <cellStyle name="Note 7 67 2 3 2" xfId="30558"/>
    <cellStyle name="Note 7 67 2 3 2 2" xfId="30559"/>
    <cellStyle name="Note 7 67 2 3 3" xfId="30560"/>
    <cellStyle name="Note 7 67 2 4" xfId="30561"/>
    <cellStyle name="Note 7 67 2 4 2" xfId="30562"/>
    <cellStyle name="Note 7 67 2 4 2 2" xfId="30563"/>
    <cellStyle name="Note 7 67 2 4 3" xfId="30564"/>
    <cellStyle name="Note 7 67 2 5" xfId="30565"/>
    <cellStyle name="Note 7 67 2 5 2" xfId="30566"/>
    <cellStyle name="Note 7 67 2 5 2 2" xfId="30567"/>
    <cellStyle name="Note 7 67 2 5 3" xfId="30568"/>
    <cellStyle name="Note 7 67 2 6" xfId="30569"/>
    <cellStyle name="Note 7 67 2 6 2" xfId="30570"/>
    <cellStyle name="Note 7 67 2 6 2 2" xfId="30571"/>
    <cellStyle name="Note 7 67 2 6 3" xfId="30572"/>
    <cellStyle name="Note 7 67 2 7" xfId="30573"/>
    <cellStyle name="Note 7 67 3" xfId="30574"/>
    <cellStyle name="Note 7 67 3 2" xfId="30575"/>
    <cellStyle name="Note 7 67 3 2 2" xfId="30576"/>
    <cellStyle name="Note 7 67 3 2 2 2" xfId="30577"/>
    <cellStyle name="Note 7 67 3 2 3" xfId="30578"/>
    <cellStyle name="Note 7 67 3 3" xfId="30579"/>
    <cellStyle name="Note 7 67 3 3 2" xfId="30580"/>
    <cellStyle name="Note 7 67 3 4" xfId="30581"/>
    <cellStyle name="Note 7 67 4" xfId="30582"/>
    <cellStyle name="Note 7 67 4 2" xfId="30583"/>
    <cellStyle name="Note 7 67 4 2 2" xfId="30584"/>
    <cellStyle name="Note 7 67 4 3" xfId="30585"/>
    <cellStyle name="Note 7 67 5" xfId="30586"/>
    <cellStyle name="Note 7 67 5 2" xfId="30587"/>
    <cellStyle name="Note 7 67 5 2 2" xfId="30588"/>
    <cellStyle name="Note 7 67 5 3" xfId="30589"/>
    <cellStyle name="Note 7 67 6" xfId="30590"/>
    <cellStyle name="Note 7 67 6 2" xfId="30591"/>
    <cellStyle name="Note 7 67 6 2 2" xfId="30592"/>
    <cellStyle name="Note 7 67 6 3" xfId="30593"/>
    <cellStyle name="Note 7 67 7" xfId="30594"/>
    <cellStyle name="Note 7 67 7 2" xfId="30595"/>
    <cellStyle name="Note 7 67 7 2 2" xfId="30596"/>
    <cellStyle name="Note 7 67 7 3" xfId="30597"/>
    <cellStyle name="Note 7 67 8" xfId="30598"/>
    <cellStyle name="Note 7 68" xfId="30599"/>
    <cellStyle name="Note 7 68 2" xfId="30600"/>
    <cellStyle name="Note 7 68 2 2" xfId="30601"/>
    <cellStyle name="Note 7 68 2 2 2" xfId="30602"/>
    <cellStyle name="Note 7 68 2 2 2 2" xfId="30603"/>
    <cellStyle name="Note 7 68 2 2 2 2 2" xfId="30604"/>
    <cellStyle name="Note 7 68 2 2 2 3" xfId="30605"/>
    <cellStyle name="Note 7 68 2 2 3" xfId="30606"/>
    <cellStyle name="Note 7 68 2 2 3 2" xfId="30607"/>
    <cellStyle name="Note 7 68 2 2 4" xfId="30608"/>
    <cellStyle name="Note 7 68 2 3" xfId="30609"/>
    <cellStyle name="Note 7 68 2 3 2" xfId="30610"/>
    <cellStyle name="Note 7 68 2 3 2 2" xfId="30611"/>
    <cellStyle name="Note 7 68 2 3 3" xfId="30612"/>
    <cellStyle name="Note 7 68 2 4" xfId="30613"/>
    <cellStyle name="Note 7 68 2 4 2" xfId="30614"/>
    <cellStyle name="Note 7 68 2 4 2 2" xfId="30615"/>
    <cellStyle name="Note 7 68 2 4 3" xfId="30616"/>
    <cellStyle name="Note 7 68 2 5" xfId="30617"/>
    <cellStyle name="Note 7 68 2 5 2" xfId="30618"/>
    <cellStyle name="Note 7 68 2 5 2 2" xfId="30619"/>
    <cellStyle name="Note 7 68 2 5 3" xfId="30620"/>
    <cellStyle name="Note 7 68 2 6" xfId="30621"/>
    <cellStyle name="Note 7 68 2 6 2" xfId="30622"/>
    <cellStyle name="Note 7 68 2 6 2 2" xfId="30623"/>
    <cellStyle name="Note 7 68 2 6 3" xfId="30624"/>
    <cellStyle name="Note 7 68 2 7" xfId="30625"/>
    <cellStyle name="Note 7 68 3" xfId="30626"/>
    <cellStyle name="Note 7 68 3 2" xfId="30627"/>
    <cellStyle name="Note 7 68 3 2 2" xfId="30628"/>
    <cellStyle name="Note 7 68 3 2 2 2" xfId="30629"/>
    <cellStyle name="Note 7 68 3 2 3" xfId="30630"/>
    <cellStyle name="Note 7 68 3 3" xfId="30631"/>
    <cellStyle name="Note 7 68 3 3 2" xfId="30632"/>
    <cellStyle name="Note 7 68 3 4" xfId="30633"/>
    <cellStyle name="Note 7 68 4" xfId="30634"/>
    <cellStyle name="Note 7 68 4 2" xfId="30635"/>
    <cellStyle name="Note 7 68 4 2 2" xfId="30636"/>
    <cellStyle name="Note 7 68 4 3" xfId="30637"/>
    <cellStyle name="Note 7 68 5" xfId="30638"/>
    <cellStyle name="Note 7 68 5 2" xfId="30639"/>
    <cellStyle name="Note 7 68 5 2 2" xfId="30640"/>
    <cellStyle name="Note 7 68 5 3" xfId="30641"/>
    <cellStyle name="Note 7 68 6" xfId="30642"/>
    <cellStyle name="Note 7 68 6 2" xfId="30643"/>
    <cellStyle name="Note 7 68 6 2 2" xfId="30644"/>
    <cellStyle name="Note 7 68 6 3" xfId="30645"/>
    <cellStyle name="Note 7 68 7" xfId="30646"/>
    <cellStyle name="Note 7 68 7 2" xfId="30647"/>
    <cellStyle name="Note 7 68 7 2 2" xfId="30648"/>
    <cellStyle name="Note 7 68 7 3" xfId="30649"/>
    <cellStyle name="Note 7 68 8" xfId="30650"/>
    <cellStyle name="Note 7 69" xfId="30651"/>
    <cellStyle name="Note 7 69 2" xfId="30652"/>
    <cellStyle name="Note 7 69 2 2" xfId="30653"/>
    <cellStyle name="Note 7 69 2 2 2" xfId="30654"/>
    <cellStyle name="Note 7 69 2 2 2 2" xfId="30655"/>
    <cellStyle name="Note 7 69 2 2 2 2 2" xfId="30656"/>
    <cellStyle name="Note 7 69 2 2 2 3" xfId="30657"/>
    <cellStyle name="Note 7 69 2 2 3" xfId="30658"/>
    <cellStyle name="Note 7 69 2 2 3 2" xfId="30659"/>
    <cellStyle name="Note 7 69 2 2 4" xfId="30660"/>
    <cellStyle name="Note 7 69 2 3" xfId="30661"/>
    <cellStyle name="Note 7 69 2 3 2" xfId="30662"/>
    <cellStyle name="Note 7 69 2 3 2 2" xfId="30663"/>
    <cellStyle name="Note 7 69 2 3 3" xfId="30664"/>
    <cellStyle name="Note 7 69 2 4" xfId="30665"/>
    <cellStyle name="Note 7 69 2 4 2" xfId="30666"/>
    <cellStyle name="Note 7 69 2 4 2 2" xfId="30667"/>
    <cellStyle name="Note 7 69 2 4 3" xfId="30668"/>
    <cellStyle name="Note 7 69 2 5" xfId="30669"/>
    <cellStyle name="Note 7 69 2 5 2" xfId="30670"/>
    <cellStyle name="Note 7 69 2 5 2 2" xfId="30671"/>
    <cellStyle name="Note 7 69 2 5 3" xfId="30672"/>
    <cellStyle name="Note 7 69 2 6" xfId="30673"/>
    <cellStyle name="Note 7 69 2 6 2" xfId="30674"/>
    <cellStyle name="Note 7 69 2 6 2 2" xfId="30675"/>
    <cellStyle name="Note 7 69 2 6 3" xfId="30676"/>
    <cellStyle name="Note 7 69 2 7" xfId="30677"/>
    <cellStyle name="Note 7 69 3" xfId="30678"/>
    <cellStyle name="Note 7 69 3 2" xfId="30679"/>
    <cellStyle name="Note 7 69 3 2 2" xfId="30680"/>
    <cellStyle name="Note 7 69 3 2 2 2" xfId="30681"/>
    <cellStyle name="Note 7 69 3 2 3" xfId="30682"/>
    <cellStyle name="Note 7 69 3 3" xfId="30683"/>
    <cellStyle name="Note 7 69 3 3 2" xfId="30684"/>
    <cellStyle name="Note 7 69 3 4" xfId="30685"/>
    <cellStyle name="Note 7 69 4" xfId="30686"/>
    <cellStyle name="Note 7 69 4 2" xfId="30687"/>
    <cellStyle name="Note 7 69 4 2 2" xfId="30688"/>
    <cellStyle name="Note 7 69 4 3" xfId="30689"/>
    <cellStyle name="Note 7 69 5" xfId="30690"/>
    <cellStyle name="Note 7 69 5 2" xfId="30691"/>
    <cellStyle name="Note 7 69 5 2 2" xfId="30692"/>
    <cellStyle name="Note 7 69 5 3" xfId="30693"/>
    <cellStyle name="Note 7 69 6" xfId="30694"/>
    <cellStyle name="Note 7 69 6 2" xfId="30695"/>
    <cellStyle name="Note 7 69 6 2 2" xfId="30696"/>
    <cellStyle name="Note 7 69 6 3" xfId="30697"/>
    <cellStyle name="Note 7 69 7" xfId="30698"/>
    <cellStyle name="Note 7 69 7 2" xfId="30699"/>
    <cellStyle name="Note 7 69 7 2 2" xfId="30700"/>
    <cellStyle name="Note 7 69 7 3" xfId="30701"/>
    <cellStyle name="Note 7 69 8" xfId="30702"/>
    <cellStyle name="Note 7 7" xfId="30703"/>
    <cellStyle name="Note 7 7 2" xfId="30704"/>
    <cellStyle name="Note 7 7 2 2" xfId="30705"/>
    <cellStyle name="Note 7 7 2 2 2" xfId="30706"/>
    <cellStyle name="Note 7 7 2 2 2 2" xfId="30707"/>
    <cellStyle name="Note 7 7 2 2 2 2 2" xfId="30708"/>
    <cellStyle name="Note 7 7 2 2 2 3" xfId="30709"/>
    <cellStyle name="Note 7 7 2 2 3" xfId="30710"/>
    <cellStyle name="Note 7 7 2 2 3 2" xfId="30711"/>
    <cellStyle name="Note 7 7 2 2 4" xfId="30712"/>
    <cellStyle name="Note 7 7 2 3" xfId="30713"/>
    <cellStyle name="Note 7 7 2 3 2" xfId="30714"/>
    <cellStyle name="Note 7 7 2 3 2 2" xfId="30715"/>
    <cellStyle name="Note 7 7 2 3 3" xfId="30716"/>
    <cellStyle name="Note 7 7 2 4" xfId="30717"/>
    <cellStyle name="Note 7 7 2 4 2" xfId="30718"/>
    <cellStyle name="Note 7 7 2 4 2 2" xfId="30719"/>
    <cellStyle name="Note 7 7 2 4 3" xfId="30720"/>
    <cellStyle name="Note 7 7 2 5" xfId="30721"/>
    <cellStyle name="Note 7 7 2 5 2" xfId="30722"/>
    <cellStyle name="Note 7 7 2 5 2 2" xfId="30723"/>
    <cellStyle name="Note 7 7 2 5 3" xfId="30724"/>
    <cellStyle name="Note 7 7 2 6" xfId="30725"/>
    <cellStyle name="Note 7 7 2 6 2" xfId="30726"/>
    <cellStyle name="Note 7 7 2 6 2 2" xfId="30727"/>
    <cellStyle name="Note 7 7 2 6 3" xfId="30728"/>
    <cellStyle name="Note 7 7 2 7" xfId="30729"/>
    <cellStyle name="Note 7 7 3" xfId="30730"/>
    <cellStyle name="Note 7 7 3 2" xfId="30731"/>
    <cellStyle name="Note 7 7 3 2 2" xfId="30732"/>
    <cellStyle name="Note 7 7 3 2 2 2" xfId="30733"/>
    <cellStyle name="Note 7 7 3 2 3" xfId="30734"/>
    <cellStyle name="Note 7 7 3 3" xfId="30735"/>
    <cellStyle name="Note 7 7 3 3 2" xfId="30736"/>
    <cellStyle name="Note 7 7 3 4" xfId="30737"/>
    <cellStyle name="Note 7 7 4" xfId="30738"/>
    <cellStyle name="Note 7 7 4 2" xfId="30739"/>
    <cellStyle name="Note 7 7 4 2 2" xfId="30740"/>
    <cellStyle name="Note 7 7 4 3" xfId="30741"/>
    <cellStyle name="Note 7 7 5" xfId="30742"/>
    <cellStyle name="Note 7 7 5 2" xfId="30743"/>
    <cellStyle name="Note 7 7 5 2 2" xfId="30744"/>
    <cellStyle name="Note 7 7 5 3" xfId="30745"/>
    <cellStyle name="Note 7 7 6" xfId="30746"/>
    <cellStyle name="Note 7 7 6 2" xfId="30747"/>
    <cellStyle name="Note 7 7 6 2 2" xfId="30748"/>
    <cellStyle name="Note 7 7 6 3" xfId="30749"/>
    <cellStyle name="Note 7 7 7" xfId="30750"/>
    <cellStyle name="Note 7 7 7 2" xfId="30751"/>
    <cellStyle name="Note 7 7 7 2 2" xfId="30752"/>
    <cellStyle name="Note 7 7 7 3" xfId="30753"/>
    <cellStyle name="Note 7 7 8" xfId="30754"/>
    <cellStyle name="Note 7 70" xfId="30755"/>
    <cellStyle name="Note 7 70 2" xfId="30756"/>
    <cellStyle name="Note 7 70 2 2" xfId="30757"/>
    <cellStyle name="Note 7 70 2 2 2" xfId="30758"/>
    <cellStyle name="Note 7 70 2 2 2 2" xfId="30759"/>
    <cellStyle name="Note 7 70 2 2 2 2 2" xfId="30760"/>
    <cellStyle name="Note 7 70 2 2 2 3" xfId="30761"/>
    <cellStyle name="Note 7 70 2 2 3" xfId="30762"/>
    <cellStyle name="Note 7 70 2 2 3 2" xfId="30763"/>
    <cellStyle name="Note 7 70 2 2 4" xfId="30764"/>
    <cellStyle name="Note 7 70 2 3" xfId="30765"/>
    <cellStyle name="Note 7 70 2 3 2" xfId="30766"/>
    <cellStyle name="Note 7 70 2 3 2 2" xfId="30767"/>
    <cellStyle name="Note 7 70 2 3 3" xfId="30768"/>
    <cellStyle name="Note 7 70 2 4" xfId="30769"/>
    <cellStyle name="Note 7 70 2 4 2" xfId="30770"/>
    <cellStyle name="Note 7 70 2 4 2 2" xfId="30771"/>
    <cellStyle name="Note 7 70 2 4 3" xfId="30772"/>
    <cellStyle name="Note 7 70 2 5" xfId="30773"/>
    <cellStyle name="Note 7 70 2 5 2" xfId="30774"/>
    <cellStyle name="Note 7 70 2 5 2 2" xfId="30775"/>
    <cellStyle name="Note 7 70 2 5 3" xfId="30776"/>
    <cellStyle name="Note 7 70 2 6" xfId="30777"/>
    <cellStyle name="Note 7 70 2 6 2" xfId="30778"/>
    <cellStyle name="Note 7 70 2 6 2 2" xfId="30779"/>
    <cellStyle name="Note 7 70 2 6 3" xfId="30780"/>
    <cellStyle name="Note 7 70 2 7" xfId="30781"/>
    <cellStyle name="Note 7 70 3" xfId="30782"/>
    <cellStyle name="Note 7 70 3 2" xfId="30783"/>
    <cellStyle name="Note 7 70 3 2 2" xfId="30784"/>
    <cellStyle name="Note 7 70 3 2 2 2" xfId="30785"/>
    <cellStyle name="Note 7 70 3 2 3" xfId="30786"/>
    <cellStyle name="Note 7 70 3 3" xfId="30787"/>
    <cellStyle name="Note 7 70 3 3 2" xfId="30788"/>
    <cellStyle name="Note 7 70 3 4" xfId="30789"/>
    <cellStyle name="Note 7 70 4" xfId="30790"/>
    <cellStyle name="Note 7 70 4 2" xfId="30791"/>
    <cellStyle name="Note 7 70 4 2 2" xfId="30792"/>
    <cellStyle name="Note 7 70 4 3" xfId="30793"/>
    <cellStyle name="Note 7 70 5" xfId="30794"/>
    <cellStyle name="Note 7 70 5 2" xfId="30795"/>
    <cellStyle name="Note 7 70 5 2 2" xfId="30796"/>
    <cellStyle name="Note 7 70 5 3" xfId="30797"/>
    <cellStyle name="Note 7 70 6" xfId="30798"/>
    <cellStyle name="Note 7 70 6 2" xfId="30799"/>
    <cellStyle name="Note 7 70 6 2 2" xfId="30800"/>
    <cellStyle name="Note 7 70 6 3" xfId="30801"/>
    <cellStyle name="Note 7 70 7" xfId="30802"/>
    <cellStyle name="Note 7 70 7 2" xfId="30803"/>
    <cellStyle name="Note 7 70 7 2 2" xfId="30804"/>
    <cellStyle name="Note 7 70 7 3" xfId="30805"/>
    <cellStyle name="Note 7 70 8" xfId="30806"/>
    <cellStyle name="Note 7 71" xfId="30807"/>
    <cellStyle name="Note 7 71 2" xfId="30808"/>
    <cellStyle name="Note 7 71 2 2" xfId="30809"/>
    <cellStyle name="Note 7 71 2 2 2" xfId="30810"/>
    <cellStyle name="Note 7 71 2 2 2 2" xfId="30811"/>
    <cellStyle name="Note 7 71 2 2 2 2 2" xfId="30812"/>
    <cellStyle name="Note 7 71 2 2 2 3" xfId="30813"/>
    <cellStyle name="Note 7 71 2 2 3" xfId="30814"/>
    <cellStyle name="Note 7 71 2 2 3 2" xfId="30815"/>
    <cellStyle name="Note 7 71 2 2 4" xfId="30816"/>
    <cellStyle name="Note 7 71 2 3" xfId="30817"/>
    <cellStyle name="Note 7 71 2 3 2" xfId="30818"/>
    <cellStyle name="Note 7 71 2 3 2 2" xfId="30819"/>
    <cellStyle name="Note 7 71 2 3 3" xfId="30820"/>
    <cellStyle name="Note 7 71 2 4" xfId="30821"/>
    <cellStyle name="Note 7 71 2 4 2" xfId="30822"/>
    <cellStyle name="Note 7 71 2 4 2 2" xfId="30823"/>
    <cellStyle name="Note 7 71 2 4 3" xfId="30824"/>
    <cellStyle name="Note 7 71 2 5" xfId="30825"/>
    <cellStyle name="Note 7 71 2 5 2" xfId="30826"/>
    <cellStyle name="Note 7 71 2 5 2 2" xfId="30827"/>
    <cellStyle name="Note 7 71 2 5 3" xfId="30828"/>
    <cellStyle name="Note 7 71 2 6" xfId="30829"/>
    <cellStyle name="Note 7 71 2 6 2" xfId="30830"/>
    <cellStyle name="Note 7 71 2 6 2 2" xfId="30831"/>
    <cellStyle name="Note 7 71 2 6 3" xfId="30832"/>
    <cellStyle name="Note 7 71 2 7" xfId="30833"/>
    <cellStyle name="Note 7 71 3" xfId="30834"/>
    <cellStyle name="Note 7 71 3 2" xfId="30835"/>
    <cellStyle name="Note 7 71 3 2 2" xfId="30836"/>
    <cellStyle name="Note 7 71 3 2 2 2" xfId="30837"/>
    <cellStyle name="Note 7 71 3 2 3" xfId="30838"/>
    <cellStyle name="Note 7 71 3 3" xfId="30839"/>
    <cellStyle name="Note 7 71 3 3 2" xfId="30840"/>
    <cellStyle name="Note 7 71 3 4" xfId="30841"/>
    <cellStyle name="Note 7 71 4" xfId="30842"/>
    <cellStyle name="Note 7 71 4 2" xfId="30843"/>
    <cellStyle name="Note 7 71 4 2 2" xfId="30844"/>
    <cellStyle name="Note 7 71 4 3" xfId="30845"/>
    <cellStyle name="Note 7 71 5" xfId="30846"/>
    <cellStyle name="Note 7 71 5 2" xfId="30847"/>
    <cellStyle name="Note 7 71 5 2 2" xfId="30848"/>
    <cellStyle name="Note 7 71 5 3" xfId="30849"/>
    <cellStyle name="Note 7 71 6" xfId="30850"/>
    <cellStyle name="Note 7 71 6 2" xfId="30851"/>
    <cellStyle name="Note 7 71 6 2 2" xfId="30852"/>
    <cellStyle name="Note 7 71 6 3" xfId="30853"/>
    <cellStyle name="Note 7 71 7" xfId="30854"/>
    <cellStyle name="Note 7 71 7 2" xfId="30855"/>
    <cellStyle name="Note 7 71 7 2 2" xfId="30856"/>
    <cellStyle name="Note 7 71 7 3" xfId="30857"/>
    <cellStyle name="Note 7 71 8" xfId="30858"/>
    <cellStyle name="Note 7 72" xfId="30859"/>
    <cellStyle name="Note 7 72 2" xfId="30860"/>
    <cellStyle name="Note 7 72 2 2" xfId="30861"/>
    <cellStyle name="Note 7 72 2 2 2" xfId="30862"/>
    <cellStyle name="Note 7 72 2 2 2 2" xfId="30863"/>
    <cellStyle name="Note 7 72 2 2 2 2 2" xfId="30864"/>
    <cellStyle name="Note 7 72 2 2 2 3" xfId="30865"/>
    <cellStyle name="Note 7 72 2 2 3" xfId="30866"/>
    <cellStyle name="Note 7 72 2 2 3 2" xfId="30867"/>
    <cellStyle name="Note 7 72 2 2 4" xfId="30868"/>
    <cellStyle name="Note 7 72 2 3" xfId="30869"/>
    <cellStyle name="Note 7 72 2 3 2" xfId="30870"/>
    <cellStyle name="Note 7 72 2 3 2 2" xfId="30871"/>
    <cellStyle name="Note 7 72 2 3 3" xfId="30872"/>
    <cellStyle name="Note 7 72 2 4" xfId="30873"/>
    <cellStyle name="Note 7 72 2 4 2" xfId="30874"/>
    <cellStyle name="Note 7 72 2 4 2 2" xfId="30875"/>
    <cellStyle name="Note 7 72 2 4 3" xfId="30876"/>
    <cellStyle name="Note 7 72 2 5" xfId="30877"/>
    <cellStyle name="Note 7 72 2 5 2" xfId="30878"/>
    <cellStyle name="Note 7 72 2 5 2 2" xfId="30879"/>
    <cellStyle name="Note 7 72 2 5 3" xfId="30880"/>
    <cellStyle name="Note 7 72 2 6" xfId="30881"/>
    <cellStyle name="Note 7 72 2 6 2" xfId="30882"/>
    <cellStyle name="Note 7 72 2 6 2 2" xfId="30883"/>
    <cellStyle name="Note 7 72 2 6 3" xfId="30884"/>
    <cellStyle name="Note 7 72 2 7" xfId="30885"/>
    <cellStyle name="Note 7 72 3" xfId="30886"/>
    <cellStyle name="Note 7 72 3 2" xfId="30887"/>
    <cellStyle name="Note 7 72 3 2 2" xfId="30888"/>
    <cellStyle name="Note 7 72 3 2 2 2" xfId="30889"/>
    <cellStyle name="Note 7 72 3 2 3" xfId="30890"/>
    <cellStyle name="Note 7 72 3 3" xfId="30891"/>
    <cellStyle name="Note 7 72 3 3 2" xfId="30892"/>
    <cellStyle name="Note 7 72 3 4" xfId="30893"/>
    <cellStyle name="Note 7 72 4" xfId="30894"/>
    <cellStyle name="Note 7 72 4 2" xfId="30895"/>
    <cellStyle name="Note 7 72 4 2 2" xfId="30896"/>
    <cellStyle name="Note 7 72 4 3" xfId="30897"/>
    <cellStyle name="Note 7 72 5" xfId="30898"/>
    <cellStyle name="Note 7 72 5 2" xfId="30899"/>
    <cellStyle name="Note 7 72 5 2 2" xfId="30900"/>
    <cellStyle name="Note 7 72 5 3" xfId="30901"/>
    <cellStyle name="Note 7 72 6" xfId="30902"/>
    <cellStyle name="Note 7 72 6 2" xfId="30903"/>
    <cellStyle name="Note 7 72 6 2 2" xfId="30904"/>
    <cellStyle name="Note 7 72 6 3" xfId="30905"/>
    <cellStyle name="Note 7 72 7" xfId="30906"/>
    <cellStyle name="Note 7 72 7 2" xfId="30907"/>
    <cellStyle name="Note 7 72 7 2 2" xfId="30908"/>
    <cellStyle name="Note 7 72 7 3" xfId="30909"/>
    <cellStyle name="Note 7 72 8" xfId="30910"/>
    <cellStyle name="Note 7 73" xfId="30911"/>
    <cellStyle name="Note 7 73 2" xfId="30912"/>
    <cellStyle name="Note 7 73 2 2" xfId="30913"/>
    <cellStyle name="Note 7 73 2 2 2" xfId="30914"/>
    <cellStyle name="Note 7 73 2 2 2 2" xfId="30915"/>
    <cellStyle name="Note 7 73 2 2 2 2 2" xfId="30916"/>
    <cellStyle name="Note 7 73 2 2 2 3" xfId="30917"/>
    <cellStyle name="Note 7 73 2 2 3" xfId="30918"/>
    <cellStyle name="Note 7 73 2 2 3 2" xfId="30919"/>
    <cellStyle name="Note 7 73 2 2 4" xfId="30920"/>
    <cellStyle name="Note 7 73 2 3" xfId="30921"/>
    <cellStyle name="Note 7 73 2 3 2" xfId="30922"/>
    <cellStyle name="Note 7 73 2 3 2 2" xfId="30923"/>
    <cellStyle name="Note 7 73 2 3 3" xfId="30924"/>
    <cellStyle name="Note 7 73 2 4" xfId="30925"/>
    <cellStyle name="Note 7 73 2 4 2" xfId="30926"/>
    <cellStyle name="Note 7 73 2 4 2 2" xfId="30927"/>
    <cellStyle name="Note 7 73 2 4 3" xfId="30928"/>
    <cellStyle name="Note 7 73 2 5" xfId="30929"/>
    <cellStyle name="Note 7 73 2 5 2" xfId="30930"/>
    <cellStyle name="Note 7 73 2 5 2 2" xfId="30931"/>
    <cellStyle name="Note 7 73 2 5 3" xfId="30932"/>
    <cellStyle name="Note 7 73 2 6" xfId="30933"/>
    <cellStyle name="Note 7 73 2 6 2" xfId="30934"/>
    <cellStyle name="Note 7 73 2 6 2 2" xfId="30935"/>
    <cellStyle name="Note 7 73 2 6 3" xfId="30936"/>
    <cellStyle name="Note 7 73 2 7" xfId="30937"/>
    <cellStyle name="Note 7 73 3" xfId="30938"/>
    <cellStyle name="Note 7 73 3 2" xfId="30939"/>
    <cellStyle name="Note 7 73 3 2 2" xfId="30940"/>
    <cellStyle name="Note 7 73 3 2 2 2" xfId="30941"/>
    <cellStyle name="Note 7 73 3 2 3" xfId="30942"/>
    <cellStyle name="Note 7 73 3 3" xfId="30943"/>
    <cellStyle name="Note 7 73 3 3 2" xfId="30944"/>
    <cellStyle name="Note 7 73 3 4" xfId="30945"/>
    <cellStyle name="Note 7 73 4" xfId="30946"/>
    <cellStyle name="Note 7 73 4 2" xfId="30947"/>
    <cellStyle name="Note 7 73 4 2 2" xfId="30948"/>
    <cellStyle name="Note 7 73 4 3" xfId="30949"/>
    <cellStyle name="Note 7 73 5" xfId="30950"/>
    <cellStyle name="Note 7 73 5 2" xfId="30951"/>
    <cellStyle name="Note 7 73 5 2 2" xfId="30952"/>
    <cellStyle name="Note 7 73 5 3" xfId="30953"/>
    <cellStyle name="Note 7 73 6" xfId="30954"/>
    <cellStyle name="Note 7 73 6 2" xfId="30955"/>
    <cellStyle name="Note 7 73 6 2 2" xfId="30956"/>
    <cellStyle name="Note 7 73 6 3" xfId="30957"/>
    <cellStyle name="Note 7 73 7" xfId="30958"/>
    <cellStyle name="Note 7 73 7 2" xfId="30959"/>
    <cellStyle name="Note 7 73 7 2 2" xfId="30960"/>
    <cellStyle name="Note 7 73 7 3" xfId="30961"/>
    <cellStyle name="Note 7 73 8" xfId="30962"/>
    <cellStyle name="Note 7 74" xfId="30963"/>
    <cellStyle name="Note 7 74 2" xfId="30964"/>
    <cellStyle name="Note 7 74 2 2" xfId="30965"/>
    <cellStyle name="Note 7 74 2 2 2" xfId="30966"/>
    <cellStyle name="Note 7 74 2 2 2 2" xfId="30967"/>
    <cellStyle name="Note 7 74 2 2 2 2 2" xfId="30968"/>
    <cellStyle name="Note 7 74 2 2 2 3" xfId="30969"/>
    <cellStyle name="Note 7 74 2 2 3" xfId="30970"/>
    <cellStyle name="Note 7 74 2 2 3 2" xfId="30971"/>
    <cellStyle name="Note 7 74 2 2 4" xfId="30972"/>
    <cellStyle name="Note 7 74 2 3" xfId="30973"/>
    <cellStyle name="Note 7 74 2 3 2" xfId="30974"/>
    <cellStyle name="Note 7 74 2 3 2 2" xfId="30975"/>
    <cellStyle name="Note 7 74 2 3 3" xfId="30976"/>
    <cellStyle name="Note 7 74 2 4" xfId="30977"/>
    <cellStyle name="Note 7 74 2 4 2" xfId="30978"/>
    <cellStyle name="Note 7 74 2 4 2 2" xfId="30979"/>
    <cellStyle name="Note 7 74 2 4 3" xfId="30980"/>
    <cellStyle name="Note 7 74 2 5" xfId="30981"/>
    <cellStyle name="Note 7 74 2 5 2" xfId="30982"/>
    <cellStyle name="Note 7 74 2 5 2 2" xfId="30983"/>
    <cellStyle name="Note 7 74 2 5 3" xfId="30984"/>
    <cellStyle name="Note 7 74 2 6" xfId="30985"/>
    <cellStyle name="Note 7 74 2 6 2" xfId="30986"/>
    <cellStyle name="Note 7 74 2 6 2 2" xfId="30987"/>
    <cellStyle name="Note 7 74 2 6 3" xfId="30988"/>
    <cellStyle name="Note 7 74 2 7" xfId="30989"/>
    <cellStyle name="Note 7 74 3" xfId="30990"/>
    <cellStyle name="Note 7 74 3 2" xfId="30991"/>
    <cellStyle name="Note 7 74 3 2 2" xfId="30992"/>
    <cellStyle name="Note 7 74 3 2 2 2" xfId="30993"/>
    <cellStyle name="Note 7 74 3 2 3" xfId="30994"/>
    <cellStyle name="Note 7 74 3 3" xfId="30995"/>
    <cellStyle name="Note 7 74 3 3 2" xfId="30996"/>
    <cellStyle name="Note 7 74 3 4" xfId="30997"/>
    <cellStyle name="Note 7 74 4" xfId="30998"/>
    <cellStyle name="Note 7 74 4 2" xfId="30999"/>
    <cellStyle name="Note 7 74 4 2 2" xfId="31000"/>
    <cellStyle name="Note 7 74 4 3" xfId="31001"/>
    <cellStyle name="Note 7 74 5" xfId="31002"/>
    <cellStyle name="Note 7 74 5 2" xfId="31003"/>
    <cellStyle name="Note 7 74 5 2 2" xfId="31004"/>
    <cellStyle name="Note 7 74 5 3" xfId="31005"/>
    <cellStyle name="Note 7 74 6" xfId="31006"/>
    <cellStyle name="Note 7 74 6 2" xfId="31007"/>
    <cellStyle name="Note 7 74 6 2 2" xfId="31008"/>
    <cellStyle name="Note 7 74 6 3" xfId="31009"/>
    <cellStyle name="Note 7 74 7" xfId="31010"/>
    <cellStyle name="Note 7 74 7 2" xfId="31011"/>
    <cellStyle name="Note 7 74 7 2 2" xfId="31012"/>
    <cellStyle name="Note 7 74 7 3" xfId="31013"/>
    <cellStyle name="Note 7 74 8" xfId="31014"/>
    <cellStyle name="Note 7 75" xfId="31015"/>
    <cellStyle name="Note 7 75 2" xfId="31016"/>
    <cellStyle name="Note 7 75 2 2" xfId="31017"/>
    <cellStyle name="Note 7 75 2 2 2" xfId="31018"/>
    <cellStyle name="Note 7 75 2 2 2 2" xfId="31019"/>
    <cellStyle name="Note 7 75 2 2 2 2 2" xfId="31020"/>
    <cellStyle name="Note 7 75 2 2 2 3" xfId="31021"/>
    <cellStyle name="Note 7 75 2 2 3" xfId="31022"/>
    <cellStyle name="Note 7 75 2 2 3 2" xfId="31023"/>
    <cellStyle name="Note 7 75 2 2 4" xfId="31024"/>
    <cellStyle name="Note 7 75 2 3" xfId="31025"/>
    <cellStyle name="Note 7 75 2 3 2" xfId="31026"/>
    <cellStyle name="Note 7 75 2 3 2 2" xfId="31027"/>
    <cellStyle name="Note 7 75 2 3 3" xfId="31028"/>
    <cellStyle name="Note 7 75 2 4" xfId="31029"/>
    <cellStyle name="Note 7 75 2 4 2" xfId="31030"/>
    <cellStyle name="Note 7 75 2 4 2 2" xfId="31031"/>
    <cellStyle name="Note 7 75 2 4 3" xfId="31032"/>
    <cellStyle name="Note 7 75 2 5" xfId="31033"/>
    <cellStyle name="Note 7 75 2 5 2" xfId="31034"/>
    <cellStyle name="Note 7 75 2 5 2 2" xfId="31035"/>
    <cellStyle name="Note 7 75 2 5 3" xfId="31036"/>
    <cellStyle name="Note 7 75 2 6" xfId="31037"/>
    <cellStyle name="Note 7 75 2 6 2" xfId="31038"/>
    <cellStyle name="Note 7 75 2 6 2 2" xfId="31039"/>
    <cellStyle name="Note 7 75 2 6 3" xfId="31040"/>
    <cellStyle name="Note 7 75 2 7" xfId="31041"/>
    <cellStyle name="Note 7 75 3" xfId="31042"/>
    <cellStyle name="Note 7 75 3 2" xfId="31043"/>
    <cellStyle name="Note 7 75 3 2 2" xfId="31044"/>
    <cellStyle name="Note 7 75 3 2 2 2" xfId="31045"/>
    <cellStyle name="Note 7 75 3 2 3" xfId="31046"/>
    <cellStyle name="Note 7 75 3 3" xfId="31047"/>
    <cellStyle name="Note 7 75 3 3 2" xfId="31048"/>
    <cellStyle name="Note 7 75 3 4" xfId="31049"/>
    <cellStyle name="Note 7 75 4" xfId="31050"/>
    <cellStyle name="Note 7 75 4 2" xfId="31051"/>
    <cellStyle name="Note 7 75 4 2 2" xfId="31052"/>
    <cellStyle name="Note 7 75 4 3" xfId="31053"/>
    <cellStyle name="Note 7 75 5" xfId="31054"/>
    <cellStyle name="Note 7 75 5 2" xfId="31055"/>
    <cellStyle name="Note 7 75 5 2 2" xfId="31056"/>
    <cellStyle name="Note 7 75 5 3" xfId="31057"/>
    <cellStyle name="Note 7 75 6" xfId="31058"/>
    <cellStyle name="Note 7 75 6 2" xfId="31059"/>
    <cellStyle name="Note 7 75 6 2 2" xfId="31060"/>
    <cellStyle name="Note 7 75 6 3" xfId="31061"/>
    <cellStyle name="Note 7 75 7" xfId="31062"/>
    <cellStyle name="Note 7 75 7 2" xfId="31063"/>
    <cellStyle name="Note 7 75 7 2 2" xfId="31064"/>
    <cellStyle name="Note 7 75 7 3" xfId="31065"/>
    <cellStyle name="Note 7 75 8" xfId="31066"/>
    <cellStyle name="Note 7 76" xfId="31067"/>
    <cellStyle name="Note 7 76 2" xfId="31068"/>
    <cellStyle name="Note 7 76 2 2" xfId="31069"/>
    <cellStyle name="Note 7 76 2 2 2" xfId="31070"/>
    <cellStyle name="Note 7 76 2 2 2 2" xfId="31071"/>
    <cellStyle name="Note 7 76 2 2 2 2 2" xfId="31072"/>
    <cellStyle name="Note 7 76 2 2 2 3" xfId="31073"/>
    <cellStyle name="Note 7 76 2 2 3" xfId="31074"/>
    <cellStyle name="Note 7 76 2 2 3 2" xfId="31075"/>
    <cellStyle name="Note 7 76 2 2 4" xfId="31076"/>
    <cellStyle name="Note 7 76 2 3" xfId="31077"/>
    <cellStyle name="Note 7 76 2 3 2" xfId="31078"/>
    <cellStyle name="Note 7 76 2 3 2 2" xfId="31079"/>
    <cellStyle name="Note 7 76 2 3 3" xfId="31080"/>
    <cellStyle name="Note 7 76 2 4" xfId="31081"/>
    <cellStyle name="Note 7 76 2 4 2" xfId="31082"/>
    <cellStyle name="Note 7 76 2 4 2 2" xfId="31083"/>
    <cellStyle name="Note 7 76 2 4 3" xfId="31084"/>
    <cellStyle name="Note 7 76 2 5" xfId="31085"/>
    <cellStyle name="Note 7 76 2 5 2" xfId="31086"/>
    <cellStyle name="Note 7 76 2 5 2 2" xfId="31087"/>
    <cellStyle name="Note 7 76 2 5 3" xfId="31088"/>
    <cellStyle name="Note 7 76 2 6" xfId="31089"/>
    <cellStyle name="Note 7 76 2 6 2" xfId="31090"/>
    <cellStyle name="Note 7 76 2 6 2 2" xfId="31091"/>
    <cellStyle name="Note 7 76 2 6 3" xfId="31092"/>
    <cellStyle name="Note 7 76 2 7" xfId="31093"/>
    <cellStyle name="Note 7 76 3" xfId="31094"/>
    <cellStyle name="Note 7 76 3 2" xfId="31095"/>
    <cellStyle name="Note 7 76 3 2 2" xfId="31096"/>
    <cellStyle name="Note 7 76 3 2 2 2" xfId="31097"/>
    <cellStyle name="Note 7 76 3 2 3" xfId="31098"/>
    <cellStyle name="Note 7 76 3 3" xfId="31099"/>
    <cellStyle name="Note 7 76 3 3 2" xfId="31100"/>
    <cellStyle name="Note 7 76 3 4" xfId="31101"/>
    <cellStyle name="Note 7 76 4" xfId="31102"/>
    <cellStyle name="Note 7 76 4 2" xfId="31103"/>
    <cellStyle name="Note 7 76 4 2 2" xfId="31104"/>
    <cellStyle name="Note 7 76 4 3" xfId="31105"/>
    <cellStyle name="Note 7 76 5" xfId="31106"/>
    <cellStyle name="Note 7 76 5 2" xfId="31107"/>
    <cellStyle name="Note 7 76 5 2 2" xfId="31108"/>
    <cellStyle name="Note 7 76 5 3" xfId="31109"/>
    <cellStyle name="Note 7 76 6" xfId="31110"/>
    <cellStyle name="Note 7 76 6 2" xfId="31111"/>
    <cellStyle name="Note 7 76 6 2 2" xfId="31112"/>
    <cellStyle name="Note 7 76 6 3" xfId="31113"/>
    <cellStyle name="Note 7 76 7" xfId="31114"/>
    <cellStyle name="Note 7 76 7 2" xfId="31115"/>
    <cellStyle name="Note 7 76 7 2 2" xfId="31116"/>
    <cellStyle name="Note 7 76 7 3" xfId="31117"/>
    <cellStyle name="Note 7 76 8" xfId="31118"/>
    <cellStyle name="Note 7 77" xfId="31119"/>
    <cellStyle name="Note 7 77 2" xfId="31120"/>
    <cellStyle name="Note 7 77 2 2" xfId="31121"/>
    <cellStyle name="Note 7 77 2 2 2" xfId="31122"/>
    <cellStyle name="Note 7 77 2 2 2 2" xfId="31123"/>
    <cellStyle name="Note 7 77 2 2 2 2 2" xfId="31124"/>
    <cellStyle name="Note 7 77 2 2 2 3" xfId="31125"/>
    <cellStyle name="Note 7 77 2 2 3" xfId="31126"/>
    <cellStyle name="Note 7 77 2 2 3 2" xfId="31127"/>
    <cellStyle name="Note 7 77 2 2 4" xfId="31128"/>
    <cellStyle name="Note 7 77 2 3" xfId="31129"/>
    <cellStyle name="Note 7 77 2 3 2" xfId="31130"/>
    <cellStyle name="Note 7 77 2 3 2 2" xfId="31131"/>
    <cellStyle name="Note 7 77 2 3 3" xfId="31132"/>
    <cellStyle name="Note 7 77 2 4" xfId="31133"/>
    <cellStyle name="Note 7 77 2 4 2" xfId="31134"/>
    <cellStyle name="Note 7 77 2 4 2 2" xfId="31135"/>
    <cellStyle name="Note 7 77 2 4 3" xfId="31136"/>
    <cellStyle name="Note 7 77 2 5" xfId="31137"/>
    <cellStyle name="Note 7 77 2 5 2" xfId="31138"/>
    <cellStyle name="Note 7 77 2 5 2 2" xfId="31139"/>
    <cellStyle name="Note 7 77 2 5 3" xfId="31140"/>
    <cellStyle name="Note 7 77 2 6" xfId="31141"/>
    <cellStyle name="Note 7 77 2 6 2" xfId="31142"/>
    <cellStyle name="Note 7 77 2 6 2 2" xfId="31143"/>
    <cellStyle name="Note 7 77 2 6 3" xfId="31144"/>
    <cellStyle name="Note 7 77 2 7" xfId="31145"/>
    <cellStyle name="Note 7 77 3" xfId="31146"/>
    <cellStyle name="Note 7 77 3 2" xfId="31147"/>
    <cellStyle name="Note 7 77 3 2 2" xfId="31148"/>
    <cellStyle name="Note 7 77 3 2 2 2" xfId="31149"/>
    <cellStyle name="Note 7 77 3 2 3" xfId="31150"/>
    <cellStyle name="Note 7 77 3 3" xfId="31151"/>
    <cellStyle name="Note 7 77 3 3 2" xfId="31152"/>
    <cellStyle name="Note 7 77 3 4" xfId="31153"/>
    <cellStyle name="Note 7 77 4" xfId="31154"/>
    <cellStyle name="Note 7 77 4 2" xfId="31155"/>
    <cellStyle name="Note 7 77 4 2 2" xfId="31156"/>
    <cellStyle name="Note 7 77 4 3" xfId="31157"/>
    <cellStyle name="Note 7 77 5" xfId="31158"/>
    <cellStyle name="Note 7 77 5 2" xfId="31159"/>
    <cellStyle name="Note 7 77 5 2 2" xfId="31160"/>
    <cellStyle name="Note 7 77 5 3" xfId="31161"/>
    <cellStyle name="Note 7 77 6" xfId="31162"/>
    <cellStyle name="Note 7 77 6 2" xfId="31163"/>
    <cellStyle name="Note 7 77 6 2 2" xfId="31164"/>
    <cellStyle name="Note 7 77 6 3" xfId="31165"/>
    <cellStyle name="Note 7 77 7" xfId="31166"/>
    <cellStyle name="Note 7 77 7 2" xfId="31167"/>
    <cellStyle name="Note 7 77 7 2 2" xfId="31168"/>
    <cellStyle name="Note 7 77 7 3" xfId="31169"/>
    <cellStyle name="Note 7 77 8" xfId="31170"/>
    <cellStyle name="Note 7 78" xfId="31171"/>
    <cellStyle name="Note 7 78 2" xfId="31172"/>
    <cellStyle name="Note 7 78 2 2" xfId="31173"/>
    <cellStyle name="Note 7 78 2 2 2" xfId="31174"/>
    <cellStyle name="Note 7 78 2 2 2 2" xfId="31175"/>
    <cellStyle name="Note 7 78 2 2 2 2 2" xfId="31176"/>
    <cellStyle name="Note 7 78 2 2 2 3" xfId="31177"/>
    <cellStyle name="Note 7 78 2 2 3" xfId="31178"/>
    <cellStyle name="Note 7 78 2 2 3 2" xfId="31179"/>
    <cellStyle name="Note 7 78 2 2 4" xfId="31180"/>
    <cellStyle name="Note 7 78 2 3" xfId="31181"/>
    <cellStyle name="Note 7 78 2 3 2" xfId="31182"/>
    <cellStyle name="Note 7 78 2 3 2 2" xfId="31183"/>
    <cellStyle name="Note 7 78 2 3 3" xfId="31184"/>
    <cellStyle name="Note 7 78 2 4" xfId="31185"/>
    <cellStyle name="Note 7 78 2 4 2" xfId="31186"/>
    <cellStyle name="Note 7 78 2 4 2 2" xfId="31187"/>
    <cellStyle name="Note 7 78 2 4 3" xfId="31188"/>
    <cellStyle name="Note 7 78 2 5" xfId="31189"/>
    <cellStyle name="Note 7 78 2 5 2" xfId="31190"/>
    <cellStyle name="Note 7 78 2 5 2 2" xfId="31191"/>
    <cellStyle name="Note 7 78 2 5 3" xfId="31192"/>
    <cellStyle name="Note 7 78 2 6" xfId="31193"/>
    <cellStyle name="Note 7 78 2 6 2" xfId="31194"/>
    <cellStyle name="Note 7 78 2 6 2 2" xfId="31195"/>
    <cellStyle name="Note 7 78 2 6 3" xfId="31196"/>
    <cellStyle name="Note 7 78 2 7" xfId="31197"/>
    <cellStyle name="Note 7 78 3" xfId="31198"/>
    <cellStyle name="Note 7 78 3 2" xfId="31199"/>
    <cellStyle name="Note 7 78 3 2 2" xfId="31200"/>
    <cellStyle name="Note 7 78 3 2 2 2" xfId="31201"/>
    <cellStyle name="Note 7 78 3 2 3" xfId="31202"/>
    <cellStyle name="Note 7 78 3 3" xfId="31203"/>
    <cellStyle name="Note 7 78 3 3 2" xfId="31204"/>
    <cellStyle name="Note 7 78 3 4" xfId="31205"/>
    <cellStyle name="Note 7 78 4" xfId="31206"/>
    <cellStyle name="Note 7 78 4 2" xfId="31207"/>
    <cellStyle name="Note 7 78 4 2 2" xfId="31208"/>
    <cellStyle name="Note 7 78 4 3" xfId="31209"/>
    <cellStyle name="Note 7 78 5" xfId="31210"/>
    <cellStyle name="Note 7 78 5 2" xfId="31211"/>
    <cellStyle name="Note 7 78 5 2 2" xfId="31212"/>
    <cellStyle name="Note 7 78 5 3" xfId="31213"/>
    <cellStyle name="Note 7 78 6" xfId="31214"/>
    <cellStyle name="Note 7 78 6 2" xfId="31215"/>
    <cellStyle name="Note 7 78 6 2 2" xfId="31216"/>
    <cellStyle name="Note 7 78 6 3" xfId="31217"/>
    <cellStyle name="Note 7 78 7" xfId="31218"/>
    <cellStyle name="Note 7 78 7 2" xfId="31219"/>
    <cellStyle name="Note 7 78 7 2 2" xfId="31220"/>
    <cellStyle name="Note 7 78 7 3" xfId="31221"/>
    <cellStyle name="Note 7 78 8" xfId="31222"/>
    <cellStyle name="Note 7 79" xfId="31223"/>
    <cellStyle name="Note 7 79 2" xfId="31224"/>
    <cellStyle name="Note 7 79 2 2" xfId="31225"/>
    <cellStyle name="Note 7 79 2 2 2" xfId="31226"/>
    <cellStyle name="Note 7 79 2 2 2 2" xfId="31227"/>
    <cellStyle name="Note 7 79 2 2 2 2 2" xfId="31228"/>
    <cellStyle name="Note 7 79 2 2 2 3" xfId="31229"/>
    <cellStyle name="Note 7 79 2 2 3" xfId="31230"/>
    <cellStyle name="Note 7 79 2 2 3 2" xfId="31231"/>
    <cellStyle name="Note 7 79 2 2 4" xfId="31232"/>
    <cellStyle name="Note 7 79 2 3" xfId="31233"/>
    <cellStyle name="Note 7 79 2 3 2" xfId="31234"/>
    <cellStyle name="Note 7 79 2 3 2 2" xfId="31235"/>
    <cellStyle name="Note 7 79 2 3 3" xfId="31236"/>
    <cellStyle name="Note 7 79 2 4" xfId="31237"/>
    <cellStyle name="Note 7 79 2 4 2" xfId="31238"/>
    <cellStyle name="Note 7 79 2 4 2 2" xfId="31239"/>
    <cellStyle name="Note 7 79 2 4 3" xfId="31240"/>
    <cellStyle name="Note 7 79 2 5" xfId="31241"/>
    <cellStyle name="Note 7 79 2 5 2" xfId="31242"/>
    <cellStyle name="Note 7 79 2 5 2 2" xfId="31243"/>
    <cellStyle name="Note 7 79 2 5 3" xfId="31244"/>
    <cellStyle name="Note 7 79 2 6" xfId="31245"/>
    <cellStyle name="Note 7 79 2 6 2" xfId="31246"/>
    <cellStyle name="Note 7 79 2 6 2 2" xfId="31247"/>
    <cellStyle name="Note 7 79 2 6 3" xfId="31248"/>
    <cellStyle name="Note 7 79 2 7" xfId="31249"/>
    <cellStyle name="Note 7 79 3" xfId="31250"/>
    <cellStyle name="Note 7 79 3 2" xfId="31251"/>
    <cellStyle name="Note 7 79 3 2 2" xfId="31252"/>
    <cellStyle name="Note 7 79 3 2 2 2" xfId="31253"/>
    <cellStyle name="Note 7 79 3 2 3" xfId="31254"/>
    <cellStyle name="Note 7 79 3 3" xfId="31255"/>
    <cellStyle name="Note 7 79 3 3 2" xfId="31256"/>
    <cellStyle name="Note 7 79 3 4" xfId="31257"/>
    <cellStyle name="Note 7 79 4" xfId="31258"/>
    <cellStyle name="Note 7 79 4 2" xfId="31259"/>
    <cellStyle name="Note 7 79 4 2 2" xfId="31260"/>
    <cellStyle name="Note 7 79 4 3" xfId="31261"/>
    <cellStyle name="Note 7 79 5" xfId="31262"/>
    <cellStyle name="Note 7 79 5 2" xfId="31263"/>
    <cellStyle name="Note 7 79 5 2 2" xfId="31264"/>
    <cellStyle name="Note 7 79 5 3" xfId="31265"/>
    <cellStyle name="Note 7 79 6" xfId="31266"/>
    <cellStyle name="Note 7 79 6 2" xfId="31267"/>
    <cellStyle name="Note 7 79 6 2 2" xfId="31268"/>
    <cellStyle name="Note 7 79 6 3" xfId="31269"/>
    <cellStyle name="Note 7 79 7" xfId="31270"/>
    <cellStyle name="Note 7 79 7 2" xfId="31271"/>
    <cellStyle name="Note 7 79 7 2 2" xfId="31272"/>
    <cellStyle name="Note 7 79 7 3" xfId="31273"/>
    <cellStyle name="Note 7 79 8" xfId="31274"/>
    <cellStyle name="Note 7 8" xfId="31275"/>
    <cellStyle name="Note 7 8 2" xfId="31276"/>
    <cellStyle name="Note 7 8 2 2" xfId="31277"/>
    <cellStyle name="Note 7 8 2 2 2" xfId="31278"/>
    <cellStyle name="Note 7 8 2 2 2 2" xfId="31279"/>
    <cellStyle name="Note 7 8 2 2 2 2 2" xfId="31280"/>
    <cellStyle name="Note 7 8 2 2 2 3" xfId="31281"/>
    <cellStyle name="Note 7 8 2 2 3" xfId="31282"/>
    <cellStyle name="Note 7 8 2 2 3 2" xfId="31283"/>
    <cellStyle name="Note 7 8 2 2 4" xfId="31284"/>
    <cellStyle name="Note 7 8 2 3" xfId="31285"/>
    <cellStyle name="Note 7 8 2 3 2" xfId="31286"/>
    <cellStyle name="Note 7 8 2 3 2 2" xfId="31287"/>
    <cellStyle name="Note 7 8 2 3 3" xfId="31288"/>
    <cellStyle name="Note 7 8 2 4" xfId="31289"/>
    <cellStyle name="Note 7 8 2 4 2" xfId="31290"/>
    <cellStyle name="Note 7 8 2 4 2 2" xfId="31291"/>
    <cellStyle name="Note 7 8 2 4 3" xfId="31292"/>
    <cellStyle name="Note 7 8 2 5" xfId="31293"/>
    <cellStyle name="Note 7 8 2 5 2" xfId="31294"/>
    <cellStyle name="Note 7 8 2 5 2 2" xfId="31295"/>
    <cellStyle name="Note 7 8 2 5 3" xfId="31296"/>
    <cellStyle name="Note 7 8 2 6" xfId="31297"/>
    <cellStyle name="Note 7 8 2 6 2" xfId="31298"/>
    <cellStyle name="Note 7 8 2 6 2 2" xfId="31299"/>
    <cellStyle name="Note 7 8 2 6 3" xfId="31300"/>
    <cellStyle name="Note 7 8 2 7" xfId="31301"/>
    <cellStyle name="Note 7 8 3" xfId="31302"/>
    <cellStyle name="Note 7 8 3 2" xfId="31303"/>
    <cellStyle name="Note 7 8 3 2 2" xfId="31304"/>
    <cellStyle name="Note 7 8 3 2 2 2" xfId="31305"/>
    <cellStyle name="Note 7 8 3 2 3" xfId="31306"/>
    <cellStyle name="Note 7 8 3 3" xfId="31307"/>
    <cellStyle name="Note 7 8 3 3 2" xfId="31308"/>
    <cellStyle name="Note 7 8 3 4" xfId="31309"/>
    <cellStyle name="Note 7 8 4" xfId="31310"/>
    <cellStyle name="Note 7 8 4 2" xfId="31311"/>
    <cellStyle name="Note 7 8 4 2 2" xfId="31312"/>
    <cellStyle name="Note 7 8 4 3" xfId="31313"/>
    <cellStyle name="Note 7 8 5" xfId="31314"/>
    <cellStyle name="Note 7 8 5 2" xfId="31315"/>
    <cellStyle name="Note 7 8 5 2 2" xfId="31316"/>
    <cellStyle name="Note 7 8 5 3" xfId="31317"/>
    <cellStyle name="Note 7 8 6" xfId="31318"/>
    <cellStyle name="Note 7 8 6 2" xfId="31319"/>
    <cellStyle name="Note 7 8 6 2 2" xfId="31320"/>
    <cellStyle name="Note 7 8 6 3" xfId="31321"/>
    <cellStyle name="Note 7 8 7" xfId="31322"/>
    <cellStyle name="Note 7 8 7 2" xfId="31323"/>
    <cellStyle name="Note 7 8 7 2 2" xfId="31324"/>
    <cellStyle name="Note 7 8 7 3" xfId="31325"/>
    <cellStyle name="Note 7 8 8" xfId="31326"/>
    <cellStyle name="Note 7 80" xfId="31327"/>
    <cellStyle name="Note 7 80 2" xfId="31328"/>
    <cellStyle name="Note 7 80 2 2" xfId="31329"/>
    <cellStyle name="Note 7 80 2 2 2" xfId="31330"/>
    <cellStyle name="Note 7 80 2 2 2 2" xfId="31331"/>
    <cellStyle name="Note 7 80 2 2 2 2 2" xfId="31332"/>
    <cellStyle name="Note 7 80 2 2 2 3" xfId="31333"/>
    <cellStyle name="Note 7 80 2 2 3" xfId="31334"/>
    <cellStyle name="Note 7 80 2 2 3 2" xfId="31335"/>
    <cellStyle name="Note 7 80 2 2 4" xfId="31336"/>
    <cellStyle name="Note 7 80 2 3" xfId="31337"/>
    <cellStyle name="Note 7 80 2 3 2" xfId="31338"/>
    <cellStyle name="Note 7 80 2 3 2 2" xfId="31339"/>
    <cellStyle name="Note 7 80 2 3 3" xfId="31340"/>
    <cellStyle name="Note 7 80 2 4" xfId="31341"/>
    <cellStyle name="Note 7 80 2 4 2" xfId="31342"/>
    <cellStyle name="Note 7 80 2 4 2 2" xfId="31343"/>
    <cellStyle name="Note 7 80 2 4 3" xfId="31344"/>
    <cellStyle name="Note 7 80 2 5" xfId="31345"/>
    <cellStyle name="Note 7 80 2 5 2" xfId="31346"/>
    <cellStyle name="Note 7 80 2 5 2 2" xfId="31347"/>
    <cellStyle name="Note 7 80 2 5 3" xfId="31348"/>
    <cellStyle name="Note 7 80 2 6" xfId="31349"/>
    <cellStyle name="Note 7 80 2 6 2" xfId="31350"/>
    <cellStyle name="Note 7 80 2 6 2 2" xfId="31351"/>
    <cellStyle name="Note 7 80 2 6 3" xfId="31352"/>
    <cellStyle name="Note 7 80 2 7" xfId="31353"/>
    <cellStyle name="Note 7 80 3" xfId="31354"/>
    <cellStyle name="Note 7 80 3 2" xfId="31355"/>
    <cellStyle name="Note 7 80 3 2 2" xfId="31356"/>
    <cellStyle name="Note 7 80 3 2 2 2" xfId="31357"/>
    <cellStyle name="Note 7 80 3 2 3" xfId="31358"/>
    <cellStyle name="Note 7 80 3 3" xfId="31359"/>
    <cellStyle name="Note 7 80 3 3 2" xfId="31360"/>
    <cellStyle name="Note 7 80 3 4" xfId="31361"/>
    <cellStyle name="Note 7 80 4" xfId="31362"/>
    <cellStyle name="Note 7 80 4 2" xfId="31363"/>
    <cellStyle name="Note 7 80 4 2 2" xfId="31364"/>
    <cellStyle name="Note 7 80 4 3" xfId="31365"/>
    <cellStyle name="Note 7 80 5" xfId="31366"/>
    <cellStyle name="Note 7 80 5 2" xfId="31367"/>
    <cellStyle name="Note 7 80 5 2 2" xfId="31368"/>
    <cellStyle name="Note 7 80 5 3" xfId="31369"/>
    <cellStyle name="Note 7 80 6" xfId="31370"/>
    <cellStyle name="Note 7 80 6 2" xfId="31371"/>
    <cellStyle name="Note 7 80 6 2 2" xfId="31372"/>
    <cellStyle name="Note 7 80 6 3" xfId="31373"/>
    <cellStyle name="Note 7 80 7" xfId="31374"/>
    <cellStyle name="Note 7 80 7 2" xfId="31375"/>
    <cellStyle name="Note 7 80 7 2 2" xfId="31376"/>
    <cellStyle name="Note 7 80 7 3" xfId="31377"/>
    <cellStyle name="Note 7 80 8" xfId="31378"/>
    <cellStyle name="Note 7 81" xfId="31379"/>
    <cellStyle name="Note 7 81 2" xfId="31380"/>
    <cellStyle name="Note 7 81 2 2" xfId="31381"/>
    <cellStyle name="Note 7 81 2 2 2" xfId="31382"/>
    <cellStyle name="Note 7 81 2 2 2 2" xfId="31383"/>
    <cellStyle name="Note 7 81 2 2 2 2 2" xfId="31384"/>
    <cellStyle name="Note 7 81 2 2 2 3" xfId="31385"/>
    <cellStyle name="Note 7 81 2 2 3" xfId="31386"/>
    <cellStyle name="Note 7 81 2 2 3 2" xfId="31387"/>
    <cellStyle name="Note 7 81 2 2 4" xfId="31388"/>
    <cellStyle name="Note 7 81 2 3" xfId="31389"/>
    <cellStyle name="Note 7 81 2 3 2" xfId="31390"/>
    <cellStyle name="Note 7 81 2 3 2 2" xfId="31391"/>
    <cellStyle name="Note 7 81 2 3 3" xfId="31392"/>
    <cellStyle name="Note 7 81 2 4" xfId="31393"/>
    <cellStyle name="Note 7 81 2 4 2" xfId="31394"/>
    <cellStyle name="Note 7 81 2 4 2 2" xfId="31395"/>
    <cellStyle name="Note 7 81 2 4 3" xfId="31396"/>
    <cellStyle name="Note 7 81 2 5" xfId="31397"/>
    <cellStyle name="Note 7 81 2 5 2" xfId="31398"/>
    <cellStyle name="Note 7 81 2 5 2 2" xfId="31399"/>
    <cellStyle name="Note 7 81 2 5 3" xfId="31400"/>
    <cellStyle name="Note 7 81 2 6" xfId="31401"/>
    <cellStyle name="Note 7 81 2 6 2" xfId="31402"/>
    <cellStyle name="Note 7 81 2 6 2 2" xfId="31403"/>
    <cellStyle name="Note 7 81 2 6 3" xfId="31404"/>
    <cellStyle name="Note 7 81 2 7" xfId="31405"/>
    <cellStyle name="Note 7 81 3" xfId="31406"/>
    <cellStyle name="Note 7 81 3 2" xfId="31407"/>
    <cellStyle name="Note 7 81 3 2 2" xfId="31408"/>
    <cellStyle name="Note 7 81 3 2 2 2" xfId="31409"/>
    <cellStyle name="Note 7 81 3 2 3" xfId="31410"/>
    <cellStyle name="Note 7 81 3 3" xfId="31411"/>
    <cellStyle name="Note 7 81 3 3 2" xfId="31412"/>
    <cellStyle name="Note 7 81 3 4" xfId="31413"/>
    <cellStyle name="Note 7 81 4" xfId="31414"/>
    <cellStyle name="Note 7 81 4 2" xfId="31415"/>
    <cellStyle name="Note 7 81 4 2 2" xfId="31416"/>
    <cellStyle name="Note 7 81 4 3" xfId="31417"/>
    <cellStyle name="Note 7 81 5" xfId="31418"/>
    <cellStyle name="Note 7 81 5 2" xfId="31419"/>
    <cellStyle name="Note 7 81 5 2 2" xfId="31420"/>
    <cellStyle name="Note 7 81 5 3" xfId="31421"/>
    <cellStyle name="Note 7 81 6" xfId="31422"/>
    <cellStyle name="Note 7 81 6 2" xfId="31423"/>
    <cellStyle name="Note 7 81 6 2 2" xfId="31424"/>
    <cellStyle name="Note 7 81 6 3" xfId="31425"/>
    <cellStyle name="Note 7 81 7" xfId="31426"/>
    <cellStyle name="Note 7 81 7 2" xfId="31427"/>
    <cellStyle name="Note 7 81 7 2 2" xfId="31428"/>
    <cellStyle name="Note 7 81 7 3" xfId="31429"/>
    <cellStyle name="Note 7 81 8" xfId="31430"/>
    <cellStyle name="Note 7 82" xfId="31431"/>
    <cellStyle name="Note 7 82 2" xfId="31432"/>
    <cellStyle name="Note 7 82 2 2" xfId="31433"/>
    <cellStyle name="Note 7 82 2 2 2" xfId="31434"/>
    <cellStyle name="Note 7 82 2 2 2 2" xfId="31435"/>
    <cellStyle name="Note 7 82 2 2 2 2 2" xfId="31436"/>
    <cellStyle name="Note 7 82 2 2 2 3" xfId="31437"/>
    <cellStyle name="Note 7 82 2 2 3" xfId="31438"/>
    <cellStyle name="Note 7 82 2 2 3 2" xfId="31439"/>
    <cellStyle name="Note 7 82 2 2 4" xfId="31440"/>
    <cellStyle name="Note 7 82 2 3" xfId="31441"/>
    <cellStyle name="Note 7 82 2 3 2" xfId="31442"/>
    <cellStyle name="Note 7 82 2 3 2 2" xfId="31443"/>
    <cellStyle name="Note 7 82 2 3 3" xfId="31444"/>
    <cellStyle name="Note 7 82 2 4" xfId="31445"/>
    <cellStyle name="Note 7 82 2 4 2" xfId="31446"/>
    <cellStyle name="Note 7 82 2 4 2 2" xfId="31447"/>
    <cellStyle name="Note 7 82 2 4 3" xfId="31448"/>
    <cellStyle name="Note 7 82 2 5" xfId="31449"/>
    <cellStyle name="Note 7 82 2 5 2" xfId="31450"/>
    <cellStyle name="Note 7 82 2 5 2 2" xfId="31451"/>
    <cellStyle name="Note 7 82 2 5 3" xfId="31452"/>
    <cellStyle name="Note 7 82 2 6" xfId="31453"/>
    <cellStyle name="Note 7 82 2 6 2" xfId="31454"/>
    <cellStyle name="Note 7 82 2 6 2 2" xfId="31455"/>
    <cellStyle name="Note 7 82 2 6 3" xfId="31456"/>
    <cellStyle name="Note 7 82 2 7" xfId="31457"/>
    <cellStyle name="Note 7 82 3" xfId="31458"/>
    <cellStyle name="Note 7 82 3 2" xfId="31459"/>
    <cellStyle name="Note 7 82 3 2 2" xfId="31460"/>
    <cellStyle name="Note 7 82 3 2 2 2" xfId="31461"/>
    <cellStyle name="Note 7 82 3 2 3" xfId="31462"/>
    <cellStyle name="Note 7 82 3 3" xfId="31463"/>
    <cellStyle name="Note 7 82 3 3 2" xfId="31464"/>
    <cellStyle name="Note 7 82 3 4" xfId="31465"/>
    <cellStyle name="Note 7 82 4" xfId="31466"/>
    <cellStyle name="Note 7 82 4 2" xfId="31467"/>
    <cellStyle name="Note 7 82 4 2 2" xfId="31468"/>
    <cellStyle name="Note 7 82 4 3" xfId="31469"/>
    <cellStyle name="Note 7 82 5" xfId="31470"/>
    <cellStyle name="Note 7 82 5 2" xfId="31471"/>
    <cellStyle name="Note 7 82 5 2 2" xfId="31472"/>
    <cellStyle name="Note 7 82 5 3" xfId="31473"/>
    <cellStyle name="Note 7 82 6" xfId="31474"/>
    <cellStyle name="Note 7 82 6 2" xfId="31475"/>
    <cellStyle name="Note 7 82 6 2 2" xfId="31476"/>
    <cellStyle name="Note 7 82 6 3" xfId="31477"/>
    <cellStyle name="Note 7 82 7" xfId="31478"/>
    <cellStyle name="Note 7 82 7 2" xfId="31479"/>
    <cellStyle name="Note 7 82 7 2 2" xfId="31480"/>
    <cellStyle name="Note 7 82 7 3" xfId="31481"/>
    <cellStyle name="Note 7 82 8" xfId="31482"/>
    <cellStyle name="Note 7 83" xfId="31483"/>
    <cellStyle name="Note 7 83 2" xfId="31484"/>
    <cellStyle name="Note 7 83 2 2" xfId="31485"/>
    <cellStyle name="Note 7 83 2 2 2" xfId="31486"/>
    <cellStyle name="Note 7 83 2 2 2 2" xfId="31487"/>
    <cellStyle name="Note 7 83 2 2 3" xfId="31488"/>
    <cellStyle name="Note 7 83 2 3" xfId="31489"/>
    <cellStyle name="Note 7 83 2 3 2" xfId="31490"/>
    <cellStyle name="Note 7 83 2 3 2 2" xfId="31491"/>
    <cellStyle name="Note 7 83 2 3 3" xfId="31492"/>
    <cellStyle name="Note 7 83 2 4" xfId="31493"/>
    <cellStyle name="Note 7 83 2 4 2" xfId="31494"/>
    <cellStyle name="Note 7 83 2 4 2 2" xfId="31495"/>
    <cellStyle name="Note 7 83 2 4 3" xfId="31496"/>
    <cellStyle name="Note 7 83 2 5" xfId="31497"/>
    <cellStyle name="Note 7 83 3" xfId="31498"/>
    <cellStyle name="Note 7 83 3 2" xfId="31499"/>
    <cellStyle name="Note 7 83 3 2 2" xfId="31500"/>
    <cellStyle name="Note 7 83 3 2 2 2" xfId="31501"/>
    <cellStyle name="Note 7 83 3 2 3" xfId="31502"/>
    <cellStyle name="Note 7 83 3 3" xfId="31503"/>
    <cellStyle name="Note 7 83 3 3 2" xfId="31504"/>
    <cellStyle name="Note 7 83 3 4" xfId="31505"/>
    <cellStyle name="Note 7 83 4" xfId="31506"/>
    <cellStyle name="Note 7 83 4 2" xfId="31507"/>
    <cellStyle name="Note 7 83 4 2 2" xfId="31508"/>
    <cellStyle name="Note 7 83 4 3" xfId="31509"/>
    <cellStyle name="Note 7 83 5" xfId="31510"/>
    <cellStyle name="Note 7 83 5 2" xfId="31511"/>
    <cellStyle name="Note 7 83 5 2 2" xfId="31512"/>
    <cellStyle name="Note 7 83 5 3" xfId="31513"/>
    <cellStyle name="Note 7 83 6" xfId="31514"/>
    <cellStyle name="Note 7 83 6 2" xfId="31515"/>
    <cellStyle name="Note 7 83 6 2 2" xfId="31516"/>
    <cellStyle name="Note 7 83 6 3" xfId="31517"/>
    <cellStyle name="Note 7 83 7" xfId="31518"/>
    <cellStyle name="Note 7 84" xfId="31519"/>
    <cellStyle name="Note 7 84 2" xfId="31520"/>
    <cellStyle name="Note 7 84 2 2" xfId="31521"/>
    <cellStyle name="Note 7 84 2 2 2" xfId="31522"/>
    <cellStyle name="Note 7 84 2 3" xfId="31523"/>
    <cellStyle name="Note 7 84 3" xfId="31524"/>
    <cellStyle name="Note 7 84 3 2" xfId="31525"/>
    <cellStyle name="Note 7 84 4" xfId="31526"/>
    <cellStyle name="Note 7 85" xfId="31527"/>
    <cellStyle name="Note 7 85 2" xfId="31528"/>
    <cellStyle name="Note 7 85 2 2" xfId="31529"/>
    <cellStyle name="Note 7 85 3" xfId="31530"/>
    <cellStyle name="Note 7 86" xfId="31531"/>
    <cellStyle name="Note 7 86 2" xfId="31532"/>
    <cellStyle name="Note 7 86 2 2" xfId="31533"/>
    <cellStyle name="Note 7 86 3" xfId="31534"/>
    <cellStyle name="Note 7 87" xfId="31535"/>
    <cellStyle name="Note 7 87 2" xfId="31536"/>
    <cellStyle name="Note 7 87 2 2" xfId="31537"/>
    <cellStyle name="Note 7 87 3" xfId="31538"/>
    <cellStyle name="Note 7 88" xfId="31539"/>
    <cellStyle name="Note 7 88 2" xfId="31540"/>
    <cellStyle name="Note 7 88 2 2" xfId="31541"/>
    <cellStyle name="Note 7 88 3" xfId="31542"/>
    <cellStyle name="Note 7 89" xfId="31543"/>
    <cellStyle name="Note 7 9" xfId="31544"/>
    <cellStyle name="Note 7 9 2" xfId="31545"/>
    <cellStyle name="Note 7 9 2 2" xfId="31546"/>
    <cellStyle name="Note 7 9 2 2 2" xfId="31547"/>
    <cellStyle name="Note 7 9 2 2 2 2" xfId="31548"/>
    <cellStyle name="Note 7 9 2 2 2 2 2" xfId="31549"/>
    <cellStyle name="Note 7 9 2 2 2 3" xfId="31550"/>
    <cellStyle name="Note 7 9 2 2 3" xfId="31551"/>
    <cellStyle name="Note 7 9 2 2 3 2" xfId="31552"/>
    <cellStyle name="Note 7 9 2 2 4" xfId="31553"/>
    <cellStyle name="Note 7 9 2 3" xfId="31554"/>
    <cellStyle name="Note 7 9 2 3 2" xfId="31555"/>
    <cellStyle name="Note 7 9 2 3 2 2" xfId="31556"/>
    <cellStyle name="Note 7 9 2 3 3" xfId="31557"/>
    <cellStyle name="Note 7 9 2 4" xfId="31558"/>
    <cellStyle name="Note 7 9 2 4 2" xfId="31559"/>
    <cellStyle name="Note 7 9 2 4 2 2" xfId="31560"/>
    <cellStyle name="Note 7 9 2 4 3" xfId="31561"/>
    <cellStyle name="Note 7 9 2 5" xfId="31562"/>
    <cellStyle name="Note 7 9 2 5 2" xfId="31563"/>
    <cellStyle name="Note 7 9 2 5 2 2" xfId="31564"/>
    <cellStyle name="Note 7 9 2 5 3" xfId="31565"/>
    <cellStyle name="Note 7 9 2 6" xfId="31566"/>
    <cellStyle name="Note 7 9 2 6 2" xfId="31567"/>
    <cellStyle name="Note 7 9 2 6 2 2" xfId="31568"/>
    <cellStyle name="Note 7 9 2 6 3" xfId="31569"/>
    <cellStyle name="Note 7 9 2 7" xfId="31570"/>
    <cellStyle name="Note 7 9 3" xfId="31571"/>
    <cellStyle name="Note 7 9 3 2" xfId="31572"/>
    <cellStyle name="Note 7 9 3 2 2" xfId="31573"/>
    <cellStyle name="Note 7 9 3 2 2 2" xfId="31574"/>
    <cellStyle name="Note 7 9 3 2 3" xfId="31575"/>
    <cellStyle name="Note 7 9 3 3" xfId="31576"/>
    <cellStyle name="Note 7 9 3 3 2" xfId="31577"/>
    <cellStyle name="Note 7 9 3 4" xfId="31578"/>
    <cellStyle name="Note 7 9 4" xfId="31579"/>
    <cellStyle name="Note 7 9 4 2" xfId="31580"/>
    <cellStyle name="Note 7 9 4 2 2" xfId="31581"/>
    <cellStyle name="Note 7 9 4 3" xfId="31582"/>
    <cellStyle name="Note 7 9 5" xfId="31583"/>
    <cellStyle name="Note 7 9 5 2" xfId="31584"/>
    <cellStyle name="Note 7 9 5 2 2" xfId="31585"/>
    <cellStyle name="Note 7 9 5 3" xfId="31586"/>
    <cellStyle name="Note 7 9 6" xfId="31587"/>
    <cellStyle name="Note 7 9 6 2" xfId="31588"/>
    <cellStyle name="Note 7 9 6 2 2" xfId="31589"/>
    <cellStyle name="Note 7 9 6 3" xfId="31590"/>
    <cellStyle name="Note 7 9 7" xfId="31591"/>
    <cellStyle name="Note 7 9 7 2" xfId="31592"/>
    <cellStyle name="Note 7 9 7 2 2" xfId="31593"/>
    <cellStyle name="Note 7 9 7 3" xfId="31594"/>
    <cellStyle name="Note 7 9 8" xfId="31595"/>
    <cellStyle name="Note 7 90" xfId="31596"/>
    <cellStyle name="Note 8" xfId="31597"/>
    <cellStyle name="Note 8 10" xfId="31598"/>
    <cellStyle name="Note 8 10 2" xfId="31599"/>
    <cellStyle name="Note 8 10 2 2" xfId="31600"/>
    <cellStyle name="Note 8 10 2 2 2" xfId="31601"/>
    <cellStyle name="Note 8 10 2 2 2 2" xfId="31602"/>
    <cellStyle name="Note 8 10 2 2 2 2 2" xfId="31603"/>
    <cellStyle name="Note 8 10 2 2 2 3" xfId="31604"/>
    <cellStyle name="Note 8 10 2 2 3" xfId="31605"/>
    <cellStyle name="Note 8 10 2 2 3 2" xfId="31606"/>
    <cellStyle name="Note 8 10 2 2 4" xfId="31607"/>
    <cellStyle name="Note 8 10 2 3" xfId="31608"/>
    <cellStyle name="Note 8 10 2 3 2" xfId="31609"/>
    <cellStyle name="Note 8 10 2 3 2 2" xfId="31610"/>
    <cellStyle name="Note 8 10 2 3 3" xfId="31611"/>
    <cellStyle name="Note 8 10 2 4" xfId="31612"/>
    <cellStyle name="Note 8 10 2 4 2" xfId="31613"/>
    <cellStyle name="Note 8 10 2 4 2 2" xfId="31614"/>
    <cellStyle name="Note 8 10 2 4 3" xfId="31615"/>
    <cellStyle name="Note 8 10 2 5" xfId="31616"/>
    <cellStyle name="Note 8 10 2 5 2" xfId="31617"/>
    <cellStyle name="Note 8 10 2 5 2 2" xfId="31618"/>
    <cellStyle name="Note 8 10 2 5 3" xfId="31619"/>
    <cellStyle name="Note 8 10 2 6" xfId="31620"/>
    <cellStyle name="Note 8 10 2 6 2" xfId="31621"/>
    <cellStyle name="Note 8 10 2 6 2 2" xfId="31622"/>
    <cellStyle name="Note 8 10 2 6 3" xfId="31623"/>
    <cellStyle name="Note 8 10 2 7" xfId="31624"/>
    <cellStyle name="Note 8 10 3" xfId="31625"/>
    <cellStyle name="Note 8 10 3 2" xfId="31626"/>
    <cellStyle name="Note 8 10 3 2 2" xfId="31627"/>
    <cellStyle name="Note 8 10 3 2 2 2" xfId="31628"/>
    <cellStyle name="Note 8 10 3 2 3" xfId="31629"/>
    <cellStyle name="Note 8 10 3 3" xfId="31630"/>
    <cellStyle name="Note 8 10 3 3 2" xfId="31631"/>
    <cellStyle name="Note 8 10 3 4" xfId="31632"/>
    <cellStyle name="Note 8 10 4" xfId="31633"/>
    <cellStyle name="Note 8 10 4 2" xfId="31634"/>
    <cellStyle name="Note 8 10 4 2 2" xfId="31635"/>
    <cellStyle name="Note 8 10 4 3" xfId="31636"/>
    <cellStyle name="Note 8 10 5" xfId="31637"/>
    <cellStyle name="Note 8 10 5 2" xfId="31638"/>
    <cellStyle name="Note 8 10 5 2 2" xfId="31639"/>
    <cellStyle name="Note 8 10 5 3" xfId="31640"/>
    <cellStyle name="Note 8 10 6" xfId="31641"/>
    <cellStyle name="Note 8 10 6 2" xfId="31642"/>
    <cellStyle name="Note 8 10 6 2 2" xfId="31643"/>
    <cellStyle name="Note 8 10 6 3" xfId="31644"/>
    <cellStyle name="Note 8 10 7" xfId="31645"/>
    <cellStyle name="Note 8 10 7 2" xfId="31646"/>
    <cellStyle name="Note 8 10 7 2 2" xfId="31647"/>
    <cellStyle name="Note 8 10 7 3" xfId="31648"/>
    <cellStyle name="Note 8 10 8" xfId="31649"/>
    <cellStyle name="Note 8 11" xfId="31650"/>
    <cellStyle name="Note 8 11 2" xfId="31651"/>
    <cellStyle name="Note 8 11 2 2" xfId="31652"/>
    <cellStyle name="Note 8 11 2 2 2" xfId="31653"/>
    <cellStyle name="Note 8 11 2 2 2 2" xfId="31654"/>
    <cellStyle name="Note 8 11 2 2 2 2 2" xfId="31655"/>
    <cellStyle name="Note 8 11 2 2 2 3" xfId="31656"/>
    <cellStyle name="Note 8 11 2 2 3" xfId="31657"/>
    <cellStyle name="Note 8 11 2 2 3 2" xfId="31658"/>
    <cellStyle name="Note 8 11 2 2 4" xfId="31659"/>
    <cellStyle name="Note 8 11 2 3" xfId="31660"/>
    <cellStyle name="Note 8 11 2 3 2" xfId="31661"/>
    <cellStyle name="Note 8 11 2 3 2 2" xfId="31662"/>
    <cellStyle name="Note 8 11 2 3 3" xfId="31663"/>
    <cellStyle name="Note 8 11 2 4" xfId="31664"/>
    <cellStyle name="Note 8 11 2 4 2" xfId="31665"/>
    <cellStyle name="Note 8 11 2 4 2 2" xfId="31666"/>
    <cellStyle name="Note 8 11 2 4 3" xfId="31667"/>
    <cellStyle name="Note 8 11 2 5" xfId="31668"/>
    <cellStyle name="Note 8 11 2 5 2" xfId="31669"/>
    <cellStyle name="Note 8 11 2 5 2 2" xfId="31670"/>
    <cellStyle name="Note 8 11 2 5 3" xfId="31671"/>
    <cellStyle name="Note 8 11 2 6" xfId="31672"/>
    <cellStyle name="Note 8 11 2 6 2" xfId="31673"/>
    <cellStyle name="Note 8 11 2 6 2 2" xfId="31674"/>
    <cellStyle name="Note 8 11 2 6 3" xfId="31675"/>
    <cellStyle name="Note 8 11 2 7" xfId="31676"/>
    <cellStyle name="Note 8 11 3" xfId="31677"/>
    <cellStyle name="Note 8 11 3 2" xfId="31678"/>
    <cellStyle name="Note 8 11 3 2 2" xfId="31679"/>
    <cellStyle name="Note 8 11 3 2 2 2" xfId="31680"/>
    <cellStyle name="Note 8 11 3 2 3" xfId="31681"/>
    <cellStyle name="Note 8 11 3 3" xfId="31682"/>
    <cellStyle name="Note 8 11 3 3 2" xfId="31683"/>
    <cellStyle name="Note 8 11 3 4" xfId="31684"/>
    <cellStyle name="Note 8 11 4" xfId="31685"/>
    <cellStyle name="Note 8 11 4 2" xfId="31686"/>
    <cellStyle name="Note 8 11 4 2 2" xfId="31687"/>
    <cellStyle name="Note 8 11 4 3" xfId="31688"/>
    <cellStyle name="Note 8 11 5" xfId="31689"/>
    <cellStyle name="Note 8 11 5 2" xfId="31690"/>
    <cellStyle name="Note 8 11 5 2 2" xfId="31691"/>
    <cellStyle name="Note 8 11 5 3" xfId="31692"/>
    <cellStyle name="Note 8 11 6" xfId="31693"/>
    <cellStyle name="Note 8 11 6 2" xfId="31694"/>
    <cellStyle name="Note 8 11 6 2 2" xfId="31695"/>
    <cellStyle name="Note 8 11 6 3" xfId="31696"/>
    <cellStyle name="Note 8 11 7" xfId="31697"/>
    <cellStyle name="Note 8 11 7 2" xfId="31698"/>
    <cellStyle name="Note 8 11 7 2 2" xfId="31699"/>
    <cellStyle name="Note 8 11 7 3" xfId="31700"/>
    <cellStyle name="Note 8 11 8" xfId="31701"/>
    <cellStyle name="Note 8 12" xfId="31702"/>
    <cellStyle name="Note 8 12 2" xfId="31703"/>
    <cellStyle name="Note 8 12 2 2" xfId="31704"/>
    <cellStyle name="Note 8 12 2 2 2" xfId="31705"/>
    <cellStyle name="Note 8 12 2 2 2 2" xfId="31706"/>
    <cellStyle name="Note 8 12 2 2 2 2 2" xfId="31707"/>
    <cellStyle name="Note 8 12 2 2 2 3" xfId="31708"/>
    <cellStyle name="Note 8 12 2 2 3" xfId="31709"/>
    <cellStyle name="Note 8 12 2 2 3 2" xfId="31710"/>
    <cellStyle name="Note 8 12 2 2 4" xfId="31711"/>
    <cellStyle name="Note 8 12 2 3" xfId="31712"/>
    <cellStyle name="Note 8 12 2 3 2" xfId="31713"/>
    <cellStyle name="Note 8 12 2 3 2 2" xfId="31714"/>
    <cellStyle name="Note 8 12 2 3 3" xfId="31715"/>
    <cellStyle name="Note 8 12 2 4" xfId="31716"/>
    <cellStyle name="Note 8 12 2 4 2" xfId="31717"/>
    <cellStyle name="Note 8 12 2 4 2 2" xfId="31718"/>
    <cellStyle name="Note 8 12 2 4 3" xfId="31719"/>
    <cellStyle name="Note 8 12 2 5" xfId="31720"/>
    <cellStyle name="Note 8 12 2 5 2" xfId="31721"/>
    <cellStyle name="Note 8 12 2 5 2 2" xfId="31722"/>
    <cellStyle name="Note 8 12 2 5 3" xfId="31723"/>
    <cellStyle name="Note 8 12 2 6" xfId="31724"/>
    <cellStyle name="Note 8 12 2 6 2" xfId="31725"/>
    <cellStyle name="Note 8 12 2 6 2 2" xfId="31726"/>
    <cellStyle name="Note 8 12 2 6 3" xfId="31727"/>
    <cellStyle name="Note 8 12 2 7" xfId="31728"/>
    <cellStyle name="Note 8 12 3" xfId="31729"/>
    <cellStyle name="Note 8 12 3 2" xfId="31730"/>
    <cellStyle name="Note 8 12 3 2 2" xfId="31731"/>
    <cellStyle name="Note 8 12 3 2 2 2" xfId="31732"/>
    <cellStyle name="Note 8 12 3 2 3" xfId="31733"/>
    <cellStyle name="Note 8 12 3 3" xfId="31734"/>
    <cellStyle name="Note 8 12 3 3 2" xfId="31735"/>
    <cellStyle name="Note 8 12 3 4" xfId="31736"/>
    <cellStyle name="Note 8 12 4" xfId="31737"/>
    <cellStyle name="Note 8 12 4 2" xfId="31738"/>
    <cellStyle name="Note 8 12 4 2 2" xfId="31739"/>
    <cellStyle name="Note 8 12 4 3" xfId="31740"/>
    <cellStyle name="Note 8 12 5" xfId="31741"/>
    <cellStyle name="Note 8 12 5 2" xfId="31742"/>
    <cellStyle name="Note 8 12 5 2 2" xfId="31743"/>
    <cellStyle name="Note 8 12 5 3" xfId="31744"/>
    <cellStyle name="Note 8 12 6" xfId="31745"/>
    <cellStyle name="Note 8 12 6 2" xfId="31746"/>
    <cellStyle name="Note 8 12 6 2 2" xfId="31747"/>
    <cellStyle name="Note 8 12 6 3" xfId="31748"/>
    <cellStyle name="Note 8 12 7" xfId="31749"/>
    <cellStyle name="Note 8 12 7 2" xfId="31750"/>
    <cellStyle name="Note 8 12 7 2 2" xfId="31751"/>
    <cellStyle name="Note 8 12 7 3" xfId="31752"/>
    <cellStyle name="Note 8 12 8" xfId="31753"/>
    <cellStyle name="Note 8 13" xfId="31754"/>
    <cellStyle name="Note 8 13 2" xfId="31755"/>
    <cellStyle name="Note 8 13 2 2" xfId="31756"/>
    <cellStyle name="Note 8 13 2 2 2" xfId="31757"/>
    <cellStyle name="Note 8 13 2 2 2 2" xfId="31758"/>
    <cellStyle name="Note 8 13 2 2 2 2 2" xfId="31759"/>
    <cellStyle name="Note 8 13 2 2 2 3" xfId="31760"/>
    <cellStyle name="Note 8 13 2 2 3" xfId="31761"/>
    <cellStyle name="Note 8 13 2 2 3 2" xfId="31762"/>
    <cellStyle name="Note 8 13 2 2 4" xfId="31763"/>
    <cellStyle name="Note 8 13 2 3" xfId="31764"/>
    <cellStyle name="Note 8 13 2 3 2" xfId="31765"/>
    <cellStyle name="Note 8 13 2 3 2 2" xfId="31766"/>
    <cellStyle name="Note 8 13 2 3 3" xfId="31767"/>
    <cellStyle name="Note 8 13 2 4" xfId="31768"/>
    <cellStyle name="Note 8 13 2 4 2" xfId="31769"/>
    <cellStyle name="Note 8 13 2 4 2 2" xfId="31770"/>
    <cellStyle name="Note 8 13 2 4 3" xfId="31771"/>
    <cellStyle name="Note 8 13 2 5" xfId="31772"/>
    <cellStyle name="Note 8 13 2 5 2" xfId="31773"/>
    <cellStyle name="Note 8 13 2 5 2 2" xfId="31774"/>
    <cellStyle name="Note 8 13 2 5 3" xfId="31775"/>
    <cellStyle name="Note 8 13 2 6" xfId="31776"/>
    <cellStyle name="Note 8 13 2 6 2" xfId="31777"/>
    <cellStyle name="Note 8 13 2 6 2 2" xfId="31778"/>
    <cellStyle name="Note 8 13 2 6 3" xfId="31779"/>
    <cellStyle name="Note 8 13 2 7" xfId="31780"/>
    <cellStyle name="Note 8 13 3" xfId="31781"/>
    <cellStyle name="Note 8 13 3 2" xfId="31782"/>
    <cellStyle name="Note 8 13 3 2 2" xfId="31783"/>
    <cellStyle name="Note 8 13 3 2 2 2" xfId="31784"/>
    <cellStyle name="Note 8 13 3 2 3" xfId="31785"/>
    <cellStyle name="Note 8 13 3 3" xfId="31786"/>
    <cellStyle name="Note 8 13 3 3 2" xfId="31787"/>
    <cellStyle name="Note 8 13 3 4" xfId="31788"/>
    <cellStyle name="Note 8 13 4" xfId="31789"/>
    <cellStyle name="Note 8 13 4 2" xfId="31790"/>
    <cellStyle name="Note 8 13 4 2 2" xfId="31791"/>
    <cellStyle name="Note 8 13 4 3" xfId="31792"/>
    <cellStyle name="Note 8 13 5" xfId="31793"/>
    <cellStyle name="Note 8 13 5 2" xfId="31794"/>
    <cellStyle name="Note 8 13 5 2 2" xfId="31795"/>
    <cellStyle name="Note 8 13 5 3" xfId="31796"/>
    <cellStyle name="Note 8 13 6" xfId="31797"/>
    <cellStyle name="Note 8 13 6 2" xfId="31798"/>
    <cellStyle name="Note 8 13 6 2 2" xfId="31799"/>
    <cellStyle name="Note 8 13 6 3" xfId="31800"/>
    <cellStyle name="Note 8 13 7" xfId="31801"/>
    <cellStyle name="Note 8 13 7 2" xfId="31802"/>
    <cellStyle name="Note 8 13 7 2 2" xfId="31803"/>
    <cellStyle name="Note 8 13 7 3" xfId="31804"/>
    <cellStyle name="Note 8 13 8" xfId="31805"/>
    <cellStyle name="Note 8 14" xfId="31806"/>
    <cellStyle name="Note 8 14 2" xfId="31807"/>
    <cellStyle name="Note 8 14 2 2" xfId="31808"/>
    <cellStyle name="Note 8 14 2 2 2" xfId="31809"/>
    <cellStyle name="Note 8 14 2 2 2 2" xfId="31810"/>
    <cellStyle name="Note 8 14 2 2 2 2 2" xfId="31811"/>
    <cellStyle name="Note 8 14 2 2 2 3" xfId="31812"/>
    <cellStyle name="Note 8 14 2 2 3" xfId="31813"/>
    <cellStyle name="Note 8 14 2 2 3 2" xfId="31814"/>
    <cellStyle name="Note 8 14 2 2 4" xfId="31815"/>
    <cellStyle name="Note 8 14 2 3" xfId="31816"/>
    <cellStyle name="Note 8 14 2 3 2" xfId="31817"/>
    <cellStyle name="Note 8 14 2 3 2 2" xfId="31818"/>
    <cellStyle name="Note 8 14 2 3 3" xfId="31819"/>
    <cellStyle name="Note 8 14 2 4" xfId="31820"/>
    <cellStyle name="Note 8 14 2 4 2" xfId="31821"/>
    <cellStyle name="Note 8 14 2 4 2 2" xfId="31822"/>
    <cellStyle name="Note 8 14 2 4 3" xfId="31823"/>
    <cellStyle name="Note 8 14 2 5" xfId="31824"/>
    <cellStyle name="Note 8 14 2 5 2" xfId="31825"/>
    <cellStyle name="Note 8 14 2 5 2 2" xfId="31826"/>
    <cellStyle name="Note 8 14 2 5 3" xfId="31827"/>
    <cellStyle name="Note 8 14 2 6" xfId="31828"/>
    <cellStyle name="Note 8 14 2 6 2" xfId="31829"/>
    <cellStyle name="Note 8 14 2 6 2 2" xfId="31830"/>
    <cellStyle name="Note 8 14 2 6 3" xfId="31831"/>
    <cellStyle name="Note 8 14 2 7" xfId="31832"/>
    <cellStyle name="Note 8 14 3" xfId="31833"/>
    <cellStyle name="Note 8 14 3 2" xfId="31834"/>
    <cellStyle name="Note 8 14 3 2 2" xfId="31835"/>
    <cellStyle name="Note 8 14 3 2 2 2" xfId="31836"/>
    <cellStyle name="Note 8 14 3 2 3" xfId="31837"/>
    <cellStyle name="Note 8 14 3 3" xfId="31838"/>
    <cellStyle name="Note 8 14 3 3 2" xfId="31839"/>
    <cellStyle name="Note 8 14 3 4" xfId="31840"/>
    <cellStyle name="Note 8 14 4" xfId="31841"/>
    <cellStyle name="Note 8 14 4 2" xfId="31842"/>
    <cellStyle name="Note 8 14 4 2 2" xfId="31843"/>
    <cellStyle name="Note 8 14 4 3" xfId="31844"/>
    <cellStyle name="Note 8 14 5" xfId="31845"/>
    <cellStyle name="Note 8 14 5 2" xfId="31846"/>
    <cellStyle name="Note 8 14 5 2 2" xfId="31847"/>
    <cellStyle name="Note 8 14 5 3" xfId="31848"/>
    <cellStyle name="Note 8 14 6" xfId="31849"/>
    <cellStyle name="Note 8 14 6 2" xfId="31850"/>
    <cellStyle name="Note 8 14 6 2 2" xfId="31851"/>
    <cellStyle name="Note 8 14 6 3" xfId="31852"/>
    <cellStyle name="Note 8 14 7" xfId="31853"/>
    <cellStyle name="Note 8 14 7 2" xfId="31854"/>
    <cellStyle name="Note 8 14 7 2 2" xfId="31855"/>
    <cellStyle name="Note 8 14 7 3" xfId="31856"/>
    <cellStyle name="Note 8 14 8" xfId="31857"/>
    <cellStyle name="Note 8 15" xfId="31858"/>
    <cellStyle name="Note 8 15 2" xfId="31859"/>
    <cellStyle name="Note 8 15 2 2" xfId="31860"/>
    <cellStyle name="Note 8 15 2 2 2" xfId="31861"/>
    <cellStyle name="Note 8 15 2 2 2 2" xfId="31862"/>
    <cellStyle name="Note 8 15 2 2 2 2 2" xfId="31863"/>
    <cellStyle name="Note 8 15 2 2 2 3" xfId="31864"/>
    <cellStyle name="Note 8 15 2 2 3" xfId="31865"/>
    <cellStyle name="Note 8 15 2 2 3 2" xfId="31866"/>
    <cellStyle name="Note 8 15 2 2 4" xfId="31867"/>
    <cellStyle name="Note 8 15 2 3" xfId="31868"/>
    <cellStyle name="Note 8 15 2 3 2" xfId="31869"/>
    <cellStyle name="Note 8 15 2 3 2 2" xfId="31870"/>
    <cellStyle name="Note 8 15 2 3 3" xfId="31871"/>
    <cellStyle name="Note 8 15 2 4" xfId="31872"/>
    <cellStyle name="Note 8 15 2 4 2" xfId="31873"/>
    <cellStyle name="Note 8 15 2 4 2 2" xfId="31874"/>
    <cellStyle name="Note 8 15 2 4 3" xfId="31875"/>
    <cellStyle name="Note 8 15 2 5" xfId="31876"/>
    <cellStyle name="Note 8 15 2 5 2" xfId="31877"/>
    <cellStyle name="Note 8 15 2 5 2 2" xfId="31878"/>
    <cellStyle name="Note 8 15 2 5 3" xfId="31879"/>
    <cellStyle name="Note 8 15 2 6" xfId="31880"/>
    <cellStyle name="Note 8 15 2 6 2" xfId="31881"/>
    <cellStyle name="Note 8 15 2 6 2 2" xfId="31882"/>
    <cellStyle name="Note 8 15 2 6 3" xfId="31883"/>
    <cellStyle name="Note 8 15 2 7" xfId="31884"/>
    <cellStyle name="Note 8 15 3" xfId="31885"/>
    <cellStyle name="Note 8 15 3 2" xfId="31886"/>
    <cellStyle name="Note 8 15 3 2 2" xfId="31887"/>
    <cellStyle name="Note 8 15 3 2 2 2" xfId="31888"/>
    <cellStyle name="Note 8 15 3 2 3" xfId="31889"/>
    <cellStyle name="Note 8 15 3 3" xfId="31890"/>
    <cellStyle name="Note 8 15 3 3 2" xfId="31891"/>
    <cellStyle name="Note 8 15 3 4" xfId="31892"/>
    <cellStyle name="Note 8 15 4" xfId="31893"/>
    <cellStyle name="Note 8 15 4 2" xfId="31894"/>
    <cellStyle name="Note 8 15 4 2 2" xfId="31895"/>
    <cellStyle name="Note 8 15 4 3" xfId="31896"/>
    <cellStyle name="Note 8 15 5" xfId="31897"/>
    <cellStyle name="Note 8 15 5 2" xfId="31898"/>
    <cellStyle name="Note 8 15 5 2 2" xfId="31899"/>
    <cellStyle name="Note 8 15 5 3" xfId="31900"/>
    <cellStyle name="Note 8 15 6" xfId="31901"/>
    <cellStyle name="Note 8 15 6 2" xfId="31902"/>
    <cellStyle name="Note 8 15 6 2 2" xfId="31903"/>
    <cellStyle name="Note 8 15 6 3" xfId="31904"/>
    <cellStyle name="Note 8 15 7" xfId="31905"/>
    <cellStyle name="Note 8 15 7 2" xfId="31906"/>
    <cellStyle name="Note 8 15 7 2 2" xfId="31907"/>
    <cellStyle name="Note 8 15 7 3" xfId="31908"/>
    <cellStyle name="Note 8 15 8" xfId="31909"/>
    <cellStyle name="Note 8 16" xfId="31910"/>
    <cellStyle name="Note 8 16 2" xfId="31911"/>
    <cellStyle name="Note 8 16 2 2" xfId="31912"/>
    <cellStyle name="Note 8 16 2 2 2" xfId="31913"/>
    <cellStyle name="Note 8 16 2 2 2 2" xfId="31914"/>
    <cellStyle name="Note 8 16 2 2 2 2 2" xfId="31915"/>
    <cellStyle name="Note 8 16 2 2 2 3" xfId="31916"/>
    <cellStyle name="Note 8 16 2 2 3" xfId="31917"/>
    <cellStyle name="Note 8 16 2 2 3 2" xfId="31918"/>
    <cellStyle name="Note 8 16 2 2 4" xfId="31919"/>
    <cellStyle name="Note 8 16 2 3" xfId="31920"/>
    <cellStyle name="Note 8 16 2 3 2" xfId="31921"/>
    <cellStyle name="Note 8 16 2 3 2 2" xfId="31922"/>
    <cellStyle name="Note 8 16 2 3 3" xfId="31923"/>
    <cellStyle name="Note 8 16 2 4" xfId="31924"/>
    <cellStyle name="Note 8 16 2 4 2" xfId="31925"/>
    <cellStyle name="Note 8 16 2 4 2 2" xfId="31926"/>
    <cellStyle name="Note 8 16 2 4 3" xfId="31927"/>
    <cellStyle name="Note 8 16 2 5" xfId="31928"/>
    <cellStyle name="Note 8 16 2 5 2" xfId="31929"/>
    <cellStyle name="Note 8 16 2 5 2 2" xfId="31930"/>
    <cellStyle name="Note 8 16 2 5 3" xfId="31931"/>
    <cellStyle name="Note 8 16 2 6" xfId="31932"/>
    <cellStyle name="Note 8 16 2 6 2" xfId="31933"/>
    <cellStyle name="Note 8 16 2 6 2 2" xfId="31934"/>
    <cellStyle name="Note 8 16 2 6 3" xfId="31935"/>
    <cellStyle name="Note 8 16 2 7" xfId="31936"/>
    <cellStyle name="Note 8 16 3" xfId="31937"/>
    <cellStyle name="Note 8 16 3 2" xfId="31938"/>
    <cellStyle name="Note 8 16 3 2 2" xfId="31939"/>
    <cellStyle name="Note 8 16 3 2 2 2" xfId="31940"/>
    <cellStyle name="Note 8 16 3 2 3" xfId="31941"/>
    <cellStyle name="Note 8 16 3 3" xfId="31942"/>
    <cellStyle name="Note 8 16 3 3 2" xfId="31943"/>
    <cellStyle name="Note 8 16 3 4" xfId="31944"/>
    <cellStyle name="Note 8 16 4" xfId="31945"/>
    <cellStyle name="Note 8 16 4 2" xfId="31946"/>
    <cellStyle name="Note 8 16 4 2 2" xfId="31947"/>
    <cellStyle name="Note 8 16 4 3" xfId="31948"/>
    <cellStyle name="Note 8 16 5" xfId="31949"/>
    <cellStyle name="Note 8 16 5 2" xfId="31950"/>
    <cellStyle name="Note 8 16 5 2 2" xfId="31951"/>
    <cellStyle name="Note 8 16 5 3" xfId="31952"/>
    <cellStyle name="Note 8 16 6" xfId="31953"/>
    <cellStyle name="Note 8 16 6 2" xfId="31954"/>
    <cellStyle name="Note 8 16 6 2 2" xfId="31955"/>
    <cellStyle name="Note 8 16 6 3" xfId="31956"/>
    <cellStyle name="Note 8 16 7" xfId="31957"/>
    <cellStyle name="Note 8 16 7 2" xfId="31958"/>
    <cellStyle name="Note 8 16 7 2 2" xfId="31959"/>
    <cellStyle name="Note 8 16 7 3" xfId="31960"/>
    <cellStyle name="Note 8 16 8" xfId="31961"/>
    <cellStyle name="Note 8 17" xfId="31962"/>
    <cellStyle name="Note 8 17 2" xfId="31963"/>
    <cellStyle name="Note 8 17 2 2" xfId="31964"/>
    <cellStyle name="Note 8 17 2 2 2" xfId="31965"/>
    <cellStyle name="Note 8 17 2 2 2 2" xfId="31966"/>
    <cellStyle name="Note 8 17 2 2 2 2 2" xfId="31967"/>
    <cellStyle name="Note 8 17 2 2 2 3" xfId="31968"/>
    <cellStyle name="Note 8 17 2 2 3" xfId="31969"/>
    <cellStyle name="Note 8 17 2 2 3 2" xfId="31970"/>
    <cellStyle name="Note 8 17 2 2 4" xfId="31971"/>
    <cellStyle name="Note 8 17 2 3" xfId="31972"/>
    <cellStyle name="Note 8 17 2 3 2" xfId="31973"/>
    <cellStyle name="Note 8 17 2 3 2 2" xfId="31974"/>
    <cellStyle name="Note 8 17 2 3 3" xfId="31975"/>
    <cellStyle name="Note 8 17 2 4" xfId="31976"/>
    <cellStyle name="Note 8 17 2 4 2" xfId="31977"/>
    <cellStyle name="Note 8 17 2 4 2 2" xfId="31978"/>
    <cellStyle name="Note 8 17 2 4 3" xfId="31979"/>
    <cellStyle name="Note 8 17 2 5" xfId="31980"/>
    <cellStyle name="Note 8 17 2 5 2" xfId="31981"/>
    <cellStyle name="Note 8 17 2 5 2 2" xfId="31982"/>
    <cellStyle name="Note 8 17 2 5 3" xfId="31983"/>
    <cellStyle name="Note 8 17 2 6" xfId="31984"/>
    <cellStyle name="Note 8 17 2 6 2" xfId="31985"/>
    <cellStyle name="Note 8 17 2 6 2 2" xfId="31986"/>
    <cellStyle name="Note 8 17 2 6 3" xfId="31987"/>
    <cellStyle name="Note 8 17 2 7" xfId="31988"/>
    <cellStyle name="Note 8 17 3" xfId="31989"/>
    <cellStyle name="Note 8 17 3 2" xfId="31990"/>
    <cellStyle name="Note 8 17 3 2 2" xfId="31991"/>
    <cellStyle name="Note 8 17 3 2 2 2" xfId="31992"/>
    <cellStyle name="Note 8 17 3 2 3" xfId="31993"/>
    <cellStyle name="Note 8 17 3 3" xfId="31994"/>
    <cellStyle name="Note 8 17 3 3 2" xfId="31995"/>
    <cellStyle name="Note 8 17 3 4" xfId="31996"/>
    <cellStyle name="Note 8 17 4" xfId="31997"/>
    <cellStyle name="Note 8 17 4 2" xfId="31998"/>
    <cellStyle name="Note 8 17 4 2 2" xfId="31999"/>
    <cellStyle name="Note 8 17 4 3" xfId="32000"/>
    <cellStyle name="Note 8 17 5" xfId="32001"/>
    <cellStyle name="Note 8 17 5 2" xfId="32002"/>
    <cellStyle name="Note 8 17 5 2 2" xfId="32003"/>
    <cellStyle name="Note 8 17 5 3" xfId="32004"/>
    <cellStyle name="Note 8 17 6" xfId="32005"/>
    <cellStyle name="Note 8 17 6 2" xfId="32006"/>
    <cellStyle name="Note 8 17 6 2 2" xfId="32007"/>
    <cellStyle name="Note 8 17 6 3" xfId="32008"/>
    <cellStyle name="Note 8 17 7" xfId="32009"/>
    <cellStyle name="Note 8 17 7 2" xfId="32010"/>
    <cellStyle name="Note 8 17 7 2 2" xfId="32011"/>
    <cellStyle name="Note 8 17 7 3" xfId="32012"/>
    <cellStyle name="Note 8 17 8" xfId="32013"/>
    <cellStyle name="Note 8 18" xfId="32014"/>
    <cellStyle name="Note 8 18 2" xfId="32015"/>
    <cellStyle name="Note 8 18 2 2" xfId="32016"/>
    <cellStyle name="Note 8 18 2 2 2" xfId="32017"/>
    <cellStyle name="Note 8 18 2 2 2 2" xfId="32018"/>
    <cellStyle name="Note 8 18 2 2 2 2 2" xfId="32019"/>
    <cellStyle name="Note 8 18 2 2 2 3" xfId="32020"/>
    <cellStyle name="Note 8 18 2 2 3" xfId="32021"/>
    <cellStyle name="Note 8 18 2 2 3 2" xfId="32022"/>
    <cellStyle name="Note 8 18 2 2 4" xfId="32023"/>
    <cellStyle name="Note 8 18 2 3" xfId="32024"/>
    <cellStyle name="Note 8 18 2 3 2" xfId="32025"/>
    <cellStyle name="Note 8 18 2 3 2 2" xfId="32026"/>
    <cellStyle name="Note 8 18 2 3 3" xfId="32027"/>
    <cellStyle name="Note 8 18 2 4" xfId="32028"/>
    <cellStyle name="Note 8 18 2 4 2" xfId="32029"/>
    <cellStyle name="Note 8 18 2 4 2 2" xfId="32030"/>
    <cellStyle name="Note 8 18 2 4 3" xfId="32031"/>
    <cellStyle name="Note 8 18 2 5" xfId="32032"/>
    <cellStyle name="Note 8 18 2 5 2" xfId="32033"/>
    <cellStyle name="Note 8 18 2 5 2 2" xfId="32034"/>
    <cellStyle name="Note 8 18 2 5 3" xfId="32035"/>
    <cellStyle name="Note 8 18 2 6" xfId="32036"/>
    <cellStyle name="Note 8 18 2 6 2" xfId="32037"/>
    <cellStyle name="Note 8 18 2 6 2 2" xfId="32038"/>
    <cellStyle name="Note 8 18 2 6 3" xfId="32039"/>
    <cellStyle name="Note 8 18 2 7" xfId="32040"/>
    <cellStyle name="Note 8 18 3" xfId="32041"/>
    <cellStyle name="Note 8 18 3 2" xfId="32042"/>
    <cellStyle name="Note 8 18 3 2 2" xfId="32043"/>
    <cellStyle name="Note 8 18 3 2 2 2" xfId="32044"/>
    <cellStyle name="Note 8 18 3 2 3" xfId="32045"/>
    <cellStyle name="Note 8 18 3 3" xfId="32046"/>
    <cellStyle name="Note 8 18 3 3 2" xfId="32047"/>
    <cellStyle name="Note 8 18 3 4" xfId="32048"/>
    <cellStyle name="Note 8 18 4" xfId="32049"/>
    <cellStyle name="Note 8 18 4 2" xfId="32050"/>
    <cellStyle name="Note 8 18 4 2 2" xfId="32051"/>
    <cellStyle name="Note 8 18 4 3" xfId="32052"/>
    <cellStyle name="Note 8 18 5" xfId="32053"/>
    <cellStyle name="Note 8 18 5 2" xfId="32054"/>
    <cellStyle name="Note 8 18 5 2 2" xfId="32055"/>
    <cellStyle name="Note 8 18 5 3" xfId="32056"/>
    <cellStyle name="Note 8 18 6" xfId="32057"/>
    <cellStyle name="Note 8 18 6 2" xfId="32058"/>
    <cellStyle name="Note 8 18 6 2 2" xfId="32059"/>
    <cellStyle name="Note 8 18 6 3" xfId="32060"/>
    <cellStyle name="Note 8 18 7" xfId="32061"/>
    <cellStyle name="Note 8 18 7 2" xfId="32062"/>
    <cellStyle name="Note 8 18 7 2 2" xfId="32063"/>
    <cellStyle name="Note 8 18 7 3" xfId="32064"/>
    <cellStyle name="Note 8 18 8" xfId="32065"/>
    <cellStyle name="Note 8 19" xfId="32066"/>
    <cellStyle name="Note 8 19 2" xfId="32067"/>
    <cellStyle name="Note 8 19 2 2" xfId="32068"/>
    <cellStyle name="Note 8 19 2 2 2" xfId="32069"/>
    <cellStyle name="Note 8 19 2 2 2 2" xfId="32070"/>
    <cellStyle name="Note 8 19 2 2 2 2 2" xfId="32071"/>
    <cellStyle name="Note 8 19 2 2 2 3" xfId="32072"/>
    <cellStyle name="Note 8 19 2 2 3" xfId="32073"/>
    <cellStyle name="Note 8 19 2 2 3 2" xfId="32074"/>
    <cellStyle name="Note 8 19 2 2 4" xfId="32075"/>
    <cellStyle name="Note 8 19 2 3" xfId="32076"/>
    <cellStyle name="Note 8 19 2 3 2" xfId="32077"/>
    <cellStyle name="Note 8 19 2 3 2 2" xfId="32078"/>
    <cellStyle name="Note 8 19 2 3 3" xfId="32079"/>
    <cellStyle name="Note 8 19 2 4" xfId="32080"/>
    <cellStyle name="Note 8 19 2 4 2" xfId="32081"/>
    <cellStyle name="Note 8 19 2 4 2 2" xfId="32082"/>
    <cellStyle name="Note 8 19 2 4 3" xfId="32083"/>
    <cellStyle name="Note 8 19 2 5" xfId="32084"/>
    <cellStyle name="Note 8 19 2 5 2" xfId="32085"/>
    <cellStyle name="Note 8 19 2 5 2 2" xfId="32086"/>
    <cellStyle name="Note 8 19 2 5 3" xfId="32087"/>
    <cellStyle name="Note 8 19 2 6" xfId="32088"/>
    <cellStyle name="Note 8 19 2 6 2" xfId="32089"/>
    <cellStyle name="Note 8 19 2 6 2 2" xfId="32090"/>
    <cellStyle name="Note 8 19 2 6 3" xfId="32091"/>
    <cellStyle name="Note 8 19 2 7" xfId="32092"/>
    <cellStyle name="Note 8 19 3" xfId="32093"/>
    <cellStyle name="Note 8 19 3 2" xfId="32094"/>
    <cellStyle name="Note 8 19 3 2 2" xfId="32095"/>
    <cellStyle name="Note 8 19 3 2 2 2" xfId="32096"/>
    <cellStyle name="Note 8 19 3 2 3" xfId="32097"/>
    <cellStyle name="Note 8 19 3 3" xfId="32098"/>
    <cellStyle name="Note 8 19 3 3 2" xfId="32099"/>
    <cellStyle name="Note 8 19 3 4" xfId="32100"/>
    <cellStyle name="Note 8 19 4" xfId="32101"/>
    <cellStyle name="Note 8 19 4 2" xfId="32102"/>
    <cellStyle name="Note 8 19 4 2 2" xfId="32103"/>
    <cellStyle name="Note 8 19 4 3" xfId="32104"/>
    <cellStyle name="Note 8 19 5" xfId="32105"/>
    <cellStyle name="Note 8 19 5 2" xfId="32106"/>
    <cellStyle name="Note 8 19 5 2 2" xfId="32107"/>
    <cellStyle name="Note 8 19 5 3" xfId="32108"/>
    <cellStyle name="Note 8 19 6" xfId="32109"/>
    <cellStyle name="Note 8 19 6 2" xfId="32110"/>
    <cellStyle name="Note 8 19 6 2 2" xfId="32111"/>
    <cellStyle name="Note 8 19 6 3" xfId="32112"/>
    <cellStyle name="Note 8 19 7" xfId="32113"/>
    <cellStyle name="Note 8 19 7 2" xfId="32114"/>
    <cellStyle name="Note 8 19 7 2 2" xfId="32115"/>
    <cellStyle name="Note 8 19 7 3" xfId="32116"/>
    <cellStyle name="Note 8 19 8" xfId="32117"/>
    <cellStyle name="Note 8 2" xfId="32118"/>
    <cellStyle name="Note 8 2 2" xfId="32119"/>
    <cellStyle name="Note 8 2 2 2" xfId="32120"/>
    <cellStyle name="Note 8 2 2 2 2" xfId="32121"/>
    <cellStyle name="Note 8 2 2 2 2 2" xfId="32122"/>
    <cellStyle name="Note 8 2 2 2 2 2 2" xfId="32123"/>
    <cellStyle name="Note 8 2 2 2 2 3" xfId="32124"/>
    <cellStyle name="Note 8 2 2 2 3" xfId="32125"/>
    <cellStyle name="Note 8 2 2 2 3 2" xfId="32126"/>
    <cellStyle name="Note 8 2 2 2 4" xfId="32127"/>
    <cellStyle name="Note 8 2 2 3" xfId="32128"/>
    <cellStyle name="Note 8 2 2 3 2" xfId="32129"/>
    <cellStyle name="Note 8 2 2 3 2 2" xfId="32130"/>
    <cellStyle name="Note 8 2 2 3 3" xfId="32131"/>
    <cellStyle name="Note 8 2 2 4" xfId="32132"/>
    <cellStyle name="Note 8 2 2 4 2" xfId="32133"/>
    <cellStyle name="Note 8 2 2 4 2 2" xfId="32134"/>
    <cellStyle name="Note 8 2 2 4 3" xfId="32135"/>
    <cellStyle name="Note 8 2 2 5" xfId="32136"/>
    <cellStyle name="Note 8 2 2 5 2" xfId="32137"/>
    <cellStyle name="Note 8 2 2 5 2 2" xfId="32138"/>
    <cellStyle name="Note 8 2 2 5 3" xfId="32139"/>
    <cellStyle name="Note 8 2 2 6" xfId="32140"/>
    <cellStyle name="Note 8 2 2 6 2" xfId="32141"/>
    <cellStyle name="Note 8 2 2 6 2 2" xfId="32142"/>
    <cellStyle name="Note 8 2 2 6 3" xfId="32143"/>
    <cellStyle name="Note 8 2 2 7" xfId="32144"/>
    <cellStyle name="Note 8 2 3" xfId="32145"/>
    <cellStyle name="Note 8 2 3 2" xfId="32146"/>
    <cellStyle name="Note 8 2 3 2 2" xfId="32147"/>
    <cellStyle name="Note 8 2 3 2 2 2" xfId="32148"/>
    <cellStyle name="Note 8 2 3 2 3" xfId="32149"/>
    <cellStyle name="Note 8 2 3 3" xfId="32150"/>
    <cellStyle name="Note 8 2 3 3 2" xfId="32151"/>
    <cellStyle name="Note 8 2 3 4" xfId="32152"/>
    <cellStyle name="Note 8 2 4" xfId="32153"/>
    <cellStyle name="Note 8 2 4 2" xfId="32154"/>
    <cellStyle name="Note 8 2 4 2 2" xfId="32155"/>
    <cellStyle name="Note 8 2 4 3" xfId="32156"/>
    <cellStyle name="Note 8 2 5" xfId="32157"/>
    <cellStyle name="Note 8 2 5 2" xfId="32158"/>
    <cellStyle name="Note 8 2 5 2 2" xfId="32159"/>
    <cellStyle name="Note 8 2 5 3" xfId="32160"/>
    <cellStyle name="Note 8 2 6" xfId="32161"/>
    <cellStyle name="Note 8 2 6 2" xfId="32162"/>
    <cellStyle name="Note 8 2 6 2 2" xfId="32163"/>
    <cellStyle name="Note 8 2 6 3" xfId="32164"/>
    <cellStyle name="Note 8 2 7" xfId="32165"/>
    <cellStyle name="Note 8 2 7 2" xfId="32166"/>
    <cellStyle name="Note 8 2 7 2 2" xfId="32167"/>
    <cellStyle name="Note 8 2 7 3" xfId="32168"/>
    <cellStyle name="Note 8 2 8" xfId="32169"/>
    <cellStyle name="Note 8 20" xfId="32170"/>
    <cellStyle name="Note 8 20 2" xfId="32171"/>
    <cellStyle name="Note 8 20 2 2" xfId="32172"/>
    <cellStyle name="Note 8 20 2 2 2" xfId="32173"/>
    <cellStyle name="Note 8 20 2 2 2 2" xfId="32174"/>
    <cellStyle name="Note 8 20 2 2 2 2 2" xfId="32175"/>
    <cellStyle name="Note 8 20 2 2 2 3" xfId="32176"/>
    <cellStyle name="Note 8 20 2 2 3" xfId="32177"/>
    <cellStyle name="Note 8 20 2 2 3 2" xfId="32178"/>
    <cellStyle name="Note 8 20 2 2 4" xfId="32179"/>
    <cellStyle name="Note 8 20 2 3" xfId="32180"/>
    <cellStyle name="Note 8 20 2 3 2" xfId="32181"/>
    <cellStyle name="Note 8 20 2 3 2 2" xfId="32182"/>
    <cellStyle name="Note 8 20 2 3 3" xfId="32183"/>
    <cellStyle name="Note 8 20 2 4" xfId="32184"/>
    <cellStyle name="Note 8 20 2 4 2" xfId="32185"/>
    <cellStyle name="Note 8 20 2 4 2 2" xfId="32186"/>
    <cellStyle name="Note 8 20 2 4 3" xfId="32187"/>
    <cellStyle name="Note 8 20 2 5" xfId="32188"/>
    <cellStyle name="Note 8 20 2 5 2" xfId="32189"/>
    <cellStyle name="Note 8 20 2 5 2 2" xfId="32190"/>
    <cellStyle name="Note 8 20 2 5 3" xfId="32191"/>
    <cellStyle name="Note 8 20 2 6" xfId="32192"/>
    <cellStyle name="Note 8 20 2 6 2" xfId="32193"/>
    <cellStyle name="Note 8 20 2 6 2 2" xfId="32194"/>
    <cellStyle name="Note 8 20 2 6 3" xfId="32195"/>
    <cellStyle name="Note 8 20 2 7" xfId="32196"/>
    <cellStyle name="Note 8 20 3" xfId="32197"/>
    <cellStyle name="Note 8 20 3 2" xfId="32198"/>
    <cellStyle name="Note 8 20 3 2 2" xfId="32199"/>
    <cellStyle name="Note 8 20 3 2 2 2" xfId="32200"/>
    <cellStyle name="Note 8 20 3 2 3" xfId="32201"/>
    <cellStyle name="Note 8 20 3 3" xfId="32202"/>
    <cellStyle name="Note 8 20 3 3 2" xfId="32203"/>
    <cellStyle name="Note 8 20 3 4" xfId="32204"/>
    <cellStyle name="Note 8 20 4" xfId="32205"/>
    <cellStyle name="Note 8 20 4 2" xfId="32206"/>
    <cellStyle name="Note 8 20 4 2 2" xfId="32207"/>
    <cellStyle name="Note 8 20 4 3" xfId="32208"/>
    <cellStyle name="Note 8 20 5" xfId="32209"/>
    <cellStyle name="Note 8 20 5 2" xfId="32210"/>
    <cellStyle name="Note 8 20 5 2 2" xfId="32211"/>
    <cellStyle name="Note 8 20 5 3" xfId="32212"/>
    <cellStyle name="Note 8 20 6" xfId="32213"/>
    <cellStyle name="Note 8 20 6 2" xfId="32214"/>
    <cellStyle name="Note 8 20 6 2 2" xfId="32215"/>
    <cellStyle name="Note 8 20 6 3" xfId="32216"/>
    <cellStyle name="Note 8 20 7" xfId="32217"/>
    <cellStyle name="Note 8 20 7 2" xfId="32218"/>
    <cellStyle name="Note 8 20 7 2 2" xfId="32219"/>
    <cellStyle name="Note 8 20 7 3" xfId="32220"/>
    <cellStyle name="Note 8 20 8" xfId="32221"/>
    <cellStyle name="Note 8 21" xfId="32222"/>
    <cellStyle name="Note 8 21 2" xfId="32223"/>
    <cellStyle name="Note 8 21 2 2" xfId="32224"/>
    <cellStyle name="Note 8 21 2 2 2" xfId="32225"/>
    <cellStyle name="Note 8 21 2 2 2 2" xfId="32226"/>
    <cellStyle name="Note 8 21 2 2 2 2 2" xfId="32227"/>
    <cellStyle name="Note 8 21 2 2 2 3" xfId="32228"/>
    <cellStyle name="Note 8 21 2 2 3" xfId="32229"/>
    <cellStyle name="Note 8 21 2 2 3 2" xfId="32230"/>
    <cellStyle name="Note 8 21 2 2 4" xfId="32231"/>
    <cellStyle name="Note 8 21 2 3" xfId="32232"/>
    <cellStyle name="Note 8 21 2 3 2" xfId="32233"/>
    <cellStyle name="Note 8 21 2 3 2 2" xfId="32234"/>
    <cellStyle name="Note 8 21 2 3 3" xfId="32235"/>
    <cellStyle name="Note 8 21 2 4" xfId="32236"/>
    <cellStyle name="Note 8 21 2 4 2" xfId="32237"/>
    <cellStyle name="Note 8 21 2 4 2 2" xfId="32238"/>
    <cellStyle name="Note 8 21 2 4 3" xfId="32239"/>
    <cellStyle name="Note 8 21 2 5" xfId="32240"/>
    <cellStyle name="Note 8 21 2 5 2" xfId="32241"/>
    <cellStyle name="Note 8 21 2 5 2 2" xfId="32242"/>
    <cellStyle name="Note 8 21 2 5 3" xfId="32243"/>
    <cellStyle name="Note 8 21 2 6" xfId="32244"/>
    <cellStyle name="Note 8 21 2 6 2" xfId="32245"/>
    <cellStyle name="Note 8 21 2 6 2 2" xfId="32246"/>
    <cellStyle name="Note 8 21 2 6 3" xfId="32247"/>
    <cellStyle name="Note 8 21 2 7" xfId="32248"/>
    <cellStyle name="Note 8 21 3" xfId="32249"/>
    <cellStyle name="Note 8 21 3 2" xfId="32250"/>
    <cellStyle name="Note 8 21 3 2 2" xfId="32251"/>
    <cellStyle name="Note 8 21 3 2 2 2" xfId="32252"/>
    <cellStyle name="Note 8 21 3 2 3" xfId="32253"/>
    <cellStyle name="Note 8 21 3 3" xfId="32254"/>
    <cellStyle name="Note 8 21 3 3 2" xfId="32255"/>
    <cellStyle name="Note 8 21 3 4" xfId="32256"/>
    <cellStyle name="Note 8 21 4" xfId="32257"/>
    <cellStyle name="Note 8 21 4 2" xfId="32258"/>
    <cellStyle name="Note 8 21 4 2 2" xfId="32259"/>
    <cellStyle name="Note 8 21 4 3" xfId="32260"/>
    <cellStyle name="Note 8 21 5" xfId="32261"/>
    <cellStyle name="Note 8 21 5 2" xfId="32262"/>
    <cellStyle name="Note 8 21 5 2 2" xfId="32263"/>
    <cellStyle name="Note 8 21 5 3" xfId="32264"/>
    <cellStyle name="Note 8 21 6" xfId="32265"/>
    <cellStyle name="Note 8 21 6 2" xfId="32266"/>
    <cellStyle name="Note 8 21 6 2 2" xfId="32267"/>
    <cellStyle name="Note 8 21 6 3" xfId="32268"/>
    <cellStyle name="Note 8 21 7" xfId="32269"/>
    <cellStyle name="Note 8 21 7 2" xfId="32270"/>
    <cellStyle name="Note 8 21 7 2 2" xfId="32271"/>
    <cellStyle name="Note 8 21 7 3" xfId="32272"/>
    <cellStyle name="Note 8 21 8" xfId="32273"/>
    <cellStyle name="Note 8 22" xfId="32274"/>
    <cellStyle name="Note 8 22 2" xfId="32275"/>
    <cellStyle name="Note 8 22 2 2" xfId="32276"/>
    <cellStyle name="Note 8 22 2 2 2" xfId="32277"/>
    <cellStyle name="Note 8 22 2 2 2 2" xfId="32278"/>
    <cellStyle name="Note 8 22 2 2 2 2 2" xfId="32279"/>
    <cellStyle name="Note 8 22 2 2 2 3" xfId="32280"/>
    <cellStyle name="Note 8 22 2 2 3" xfId="32281"/>
    <cellStyle name="Note 8 22 2 2 3 2" xfId="32282"/>
    <cellStyle name="Note 8 22 2 2 4" xfId="32283"/>
    <cellStyle name="Note 8 22 2 3" xfId="32284"/>
    <cellStyle name="Note 8 22 2 3 2" xfId="32285"/>
    <cellStyle name="Note 8 22 2 3 2 2" xfId="32286"/>
    <cellStyle name="Note 8 22 2 3 3" xfId="32287"/>
    <cellStyle name="Note 8 22 2 4" xfId="32288"/>
    <cellStyle name="Note 8 22 2 4 2" xfId="32289"/>
    <cellStyle name="Note 8 22 2 4 2 2" xfId="32290"/>
    <cellStyle name="Note 8 22 2 4 3" xfId="32291"/>
    <cellStyle name="Note 8 22 2 5" xfId="32292"/>
    <cellStyle name="Note 8 22 2 5 2" xfId="32293"/>
    <cellStyle name="Note 8 22 2 5 2 2" xfId="32294"/>
    <cellStyle name="Note 8 22 2 5 3" xfId="32295"/>
    <cellStyle name="Note 8 22 2 6" xfId="32296"/>
    <cellStyle name="Note 8 22 2 6 2" xfId="32297"/>
    <cellStyle name="Note 8 22 2 6 2 2" xfId="32298"/>
    <cellStyle name="Note 8 22 2 6 3" xfId="32299"/>
    <cellStyle name="Note 8 22 2 7" xfId="32300"/>
    <cellStyle name="Note 8 22 3" xfId="32301"/>
    <cellStyle name="Note 8 22 3 2" xfId="32302"/>
    <cellStyle name="Note 8 22 3 2 2" xfId="32303"/>
    <cellStyle name="Note 8 22 3 2 2 2" xfId="32304"/>
    <cellStyle name="Note 8 22 3 2 3" xfId="32305"/>
    <cellStyle name="Note 8 22 3 3" xfId="32306"/>
    <cellStyle name="Note 8 22 3 3 2" xfId="32307"/>
    <cellStyle name="Note 8 22 3 4" xfId="32308"/>
    <cellStyle name="Note 8 22 4" xfId="32309"/>
    <cellStyle name="Note 8 22 4 2" xfId="32310"/>
    <cellStyle name="Note 8 22 4 2 2" xfId="32311"/>
    <cellStyle name="Note 8 22 4 3" xfId="32312"/>
    <cellStyle name="Note 8 22 5" xfId="32313"/>
    <cellStyle name="Note 8 22 5 2" xfId="32314"/>
    <cellStyle name="Note 8 22 5 2 2" xfId="32315"/>
    <cellStyle name="Note 8 22 5 3" xfId="32316"/>
    <cellStyle name="Note 8 22 6" xfId="32317"/>
    <cellStyle name="Note 8 22 6 2" xfId="32318"/>
    <cellStyle name="Note 8 22 6 2 2" xfId="32319"/>
    <cellStyle name="Note 8 22 6 3" xfId="32320"/>
    <cellStyle name="Note 8 22 7" xfId="32321"/>
    <cellStyle name="Note 8 22 7 2" xfId="32322"/>
    <cellStyle name="Note 8 22 7 2 2" xfId="32323"/>
    <cellStyle name="Note 8 22 7 3" xfId="32324"/>
    <cellStyle name="Note 8 22 8" xfId="32325"/>
    <cellStyle name="Note 8 23" xfId="32326"/>
    <cellStyle name="Note 8 23 2" xfId="32327"/>
    <cellStyle name="Note 8 23 2 2" xfId="32328"/>
    <cellStyle name="Note 8 23 2 2 2" xfId="32329"/>
    <cellStyle name="Note 8 23 2 2 2 2" xfId="32330"/>
    <cellStyle name="Note 8 23 2 2 2 2 2" xfId="32331"/>
    <cellStyle name="Note 8 23 2 2 2 3" xfId="32332"/>
    <cellStyle name="Note 8 23 2 2 3" xfId="32333"/>
    <cellStyle name="Note 8 23 2 2 3 2" xfId="32334"/>
    <cellStyle name="Note 8 23 2 2 4" xfId="32335"/>
    <cellStyle name="Note 8 23 2 3" xfId="32336"/>
    <cellStyle name="Note 8 23 2 3 2" xfId="32337"/>
    <cellStyle name="Note 8 23 2 3 2 2" xfId="32338"/>
    <cellStyle name="Note 8 23 2 3 3" xfId="32339"/>
    <cellStyle name="Note 8 23 2 4" xfId="32340"/>
    <cellStyle name="Note 8 23 2 4 2" xfId="32341"/>
    <cellStyle name="Note 8 23 2 4 2 2" xfId="32342"/>
    <cellStyle name="Note 8 23 2 4 3" xfId="32343"/>
    <cellStyle name="Note 8 23 2 5" xfId="32344"/>
    <cellStyle name="Note 8 23 2 5 2" xfId="32345"/>
    <cellStyle name="Note 8 23 2 5 2 2" xfId="32346"/>
    <cellStyle name="Note 8 23 2 5 3" xfId="32347"/>
    <cellStyle name="Note 8 23 2 6" xfId="32348"/>
    <cellStyle name="Note 8 23 2 6 2" xfId="32349"/>
    <cellStyle name="Note 8 23 2 6 2 2" xfId="32350"/>
    <cellStyle name="Note 8 23 2 6 3" xfId="32351"/>
    <cellStyle name="Note 8 23 2 7" xfId="32352"/>
    <cellStyle name="Note 8 23 3" xfId="32353"/>
    <cellStyle name="Note 8 23 3 2" xfId="32354"/>
    <cellStyle name="Note 8 23 3 2 2" xfId="32355"/>
    <cellStyle name="Note 8 23 3 2 2 2" xfId="32356"/>
    <cellStyle name="Note 8 23 3 2 3" xfId="32357"/>
    <cellStyle name="Note 8 23 3 3" xfId="32358"/>
    <cellStyle name="Note 8 23 3 3 2" xfId="32359"/>
    <cellStyle name="Note 8 23 3 4" xfId="32360"/>
    <cellStyle name="Note 8 23 4" xfId="32361"/>
    <cellStyle name="Note 8 23 4 2" xfId="32362"/>
    <cellStyle name="Note 8 23 4 2 2" xfId="32363"/>
    <cellStyle name="Note 8 23 4 3" xfId="32364"/>
    <cellStyle name="Note 8 23 5" xfId="32365"/>
    <cellStyle name="Note 8 23 5 2" xfId="32366"/>
    <cellStyle name="Note 8 23 5 2 2" xfId="32367"/>
    <cellStyle name="Note 8 23 5 3" xfId="32368"/>
    <cellStyle name="Note 8 23 6" xfId="32369"/>
    <cellStyle name="Note 8 23 6 2" xfId="32370"/>
    <cellStyle name="Note 8 23 6 2 2" xfId="32371"/>
    <cellStyle name="Note 8 23 6 3" xfId="32372"/>
    <cellStyle name="Note 8 23 7" xfId="32373"/>
    <cellStyle name="Note 8 23 7 2" xfId="32374"/>
    <cellStyle name="Note 8 23 7 2 2" xfId="32375"/>
    <cellStyle name="Note 8 23 7 3" xfId="32376"/>
    <cellStyle name="Note 8 23 8" xfId="32377"/>
    <cellStyle name="Note 8 24" xfId="32378"/>
    <cellStyle name="Note 8 24 2" xfId="32379"/>
    <cellStyle name="Note 8 24 2 2" xfId="32380"/>
    <cellStyle name="Note 8 24 2 2 2" xfId="32381"/>
    <cellStyle name="Note 8 24 2 2 2 2" xfId="32382"/>
    <cellStyle name="Note 8 24 2 2 2 2 2" xfId="32383"/>
    <cellStyle name="Note 8 24 2 2 2 3" xfId="32384"/>
    <cellStyle name="Note 8 24 2 2 3" xfId="32385"/>
    <cellStyle name="Note 8 24 2 2 3 2" xfId="32386"/>
    <cellStyle name="Note 8 24 2 2 4" xfId="32387"/>
    <cellStyle name="Note 8 24 2 3" xfId="32388"/>
    <cellStyle name="Note 8 24 2 3 2" xfId="32389"/>
    <cellStyle name="Note 8 24 2 3 2 2" xfId="32390"/>
    <cellStyle name="Note 8 24 2 3 3" xfId="32391"/>
    <cellStyle name="Note 8 24 2 4" xfId="32392"/>
    <cellStyle name="Note 8 24 2 4 2" xfId="32393"/>
    <cellStyle name="Note 8 24 2 4 2 2" xfId="32394"/>
    <cellStyle name="Note 8 24 2 4 3" xfId="32395"/>
    <cellStyle name="Note 8 24 2 5" xfId="32396"/>
    <cellStyle name="Note 8 24 2 5 2" xfId="32397"/>
    <cellStyle name="Note 8 24 2 5 2 2" xfId="32398"/>
    <cellStyle name="Note 8 24 2 5 3" xfId="32399"/>
    <cellStyle name="Note 8 24 2 6" xfId="32400"/>
    <cellStyle name="Note 8 24 2 6 2" xfId="32401"/>
    <cellStyle name="Note 8 24 2 6 2 2" xfId="32402"/>
    <cellStyle name="Note 8 24 2 6 3" xfId="32403"/>
    <cellStyle name="Note 8 24 2 7" xfId="32404"/>
    <cellStyle name="Note 8 24 3" xfId="32405"/>
    <cellStyle name="Note 8 24 3 2" xfId="32406"/>
    <cellStyle name="Note 8 24 3 2 2" xfId="32407"/>
    <cellStyle name="Note 8 24 3 2 2 2" xfId="32408"/>
    <cellStyle name="Note 8 24 3 2 3" xfId="32409"/>
    <cellStyle name="Note 8 24 3 3" xfId="32410"/>
    <cellStyle name="Note 8 24 3 3 2" xfId="32411"/>
    <cellStyle name="Note 8 24 3 4" xfId="32412"/>
    <cellStyle name="Note 8 24 4" xfId="32413"/>
    <cellStyle name="Note 8 24 4 2" xfId="32414"/>
    <cellStyle name="Note 8 24 4 2 2" xfId="32415"/>
    <cellStyle name="Note 8 24 4 3" xfId="32416"/>
    <cellStyle name="Note 8 24 5" xfId="32417"/>
    <cellStyle name="Note 8 24 5 2" xfId="32418"/>
    <cellStyle name="Note 8 24 5 2 2" xfId="32419"/>
    <cellStyle name="Note 8 24 5 3" xfId="32420"/>
    <cellStyle name="Note 8 24 6" xfId="32421"/>
    <cellStyle name="Note 8 24 6 2" xfId="32422"/>
    <cellStyle name="Note 8 24 6 2 2" xfId="32423"/>
    <cellStyle name="Note 8 24 6 3" xfId="32424"/>
    <cellStyle name="Note 8 24 7" xfId="32425"/>
    <cellStyle name="Note 8 24 7 2" xfId="32426"/>
    <cellStyle name="Note 8 24 7 2 2" xfId="32427"/>
    <cellStyle name="Note 8 24 7 3" xfId="32428"/>
    <cellStyle name="Note 8 24 8" xfId="32429"/>
    <cellStyle name="Note 8 25" xfId="32430"/>
    <cellStyle name="Note 8 25 2" xfId="32431"/>
    <cellStyle name="Note 8 25 2 2" xfId="32432"/>
    <cellStyle name="Note 8 25 2 2 2" xfId="32433"/>
    <cellStyle name="Note 8 25 2 2 2 2" xfId="32434"/>
    <cellStyle name="Note 8 25 2 2 2 2 2" xfId="32435"/>
    <cellStyle name="Note 8 25 2 2 2 3" xfId="32436"/>
    <cellStyle name="Note 8 25 2 2 3" xfId="32437"/>
    <cellStyle name="Note 8 25 2 2 3 2" xfId="32438"/>
    <cellStyle name="Note 8 25 2 2 4" xfId="32439"/>
    <cellStyle name="Note 8 25 2 3" xfId="32440"/>
    <cellStyle name="Note 8 25 2 3 2" xfId="32441"/>
    <cellStyle name="Note 8 25 2 3 2 2" xfId="32442"/>
    <cellStyle name="Note 8 25 2 3 3" xfId="32443"/>
    <cellStyle name="Note 8 25 2 4" xfId="32444"/>
    <cellStyle name="Note 8 25 2 4 2" xfId="32445"/>
    <cellStyle name="Note 8 25 2 4 2 2" xfId="32446"/>
    <cellStyle name="Note 8 25 2 4 3" xfId="32447"/>
    <cellStyle name="Note 8 25 2 5" xfId="32448"/>
    <cellStyle name="Note 8 25 2 5 2" xfId="32449"/>
    <cellStyle name="Note 8 25 2 5 2 2" xfId="32450"/>
    <cellStyle name="Note 8 25 2 5 3" xfId="32451"/>
    <cellStyle name="Note 8 25 2 6" xfId="32452"/>
    <cellStyle name="Note 8 25 2 6 2" xfId="32453"/>
    <cellStyle name="Note 8 25 2 6 2 2" xfId="32454"/>
    <cellStyle name="Note 8 25 2 6 3" xfId="32455"/>
    <cellStyle name="Note 8 25 2 7" xfId="32456"/>
    <cellStyle name="Note 8 25 3" xfId="32457"/>
    <cellStyle name="Note 8 25 3 2" xfId="32458"/>
    <cellStyle name="Note 8 25 3 2 2" xfId="32459"/>
    <cellStyle name="Note 8 25 3 2 2 2" xfId="32460"/>
    <cellStyle name="Note 8 25 3 2 3" xfId="32461"/>
    <cellStyle name="Note 8 25 3 3" xfId="32462"/>
    <cellStyle name="Note 8 25 3 3 2" xfId="32463"/>
    <cellStyle name="Note 8 25 3 4" xfId="32464"/>
    <cellStyle name="Note 8 25 4" xfId="32465"/>
    <cellStyle name="Note 8 25 4 2" xfId="32466"/>
    <cellStyle name="Note 8 25 4 2 2" xfId="32467"/>
    <cellStyle name="Note 8 25 4 3" xfId="32468"/>
    <cellStyle name="Note 8 25 5" xfId="32469"/>
    <cellStyle name="Note 8 25 5 2" xfId="32470"/>
    <cellStyle name="Note 8 25 5 2 2" xfId="32471"/>
    <cellStyle name="Note 8 25 5 3" xfId="32472"/>
    <cellStyle name="Note 8 25 6" xfId="32473"/>
    <cellStyle name="Note 8 25 6 2" xfId="32474"/>
    <cellStyle name="Note 8 25 6 2 2" xfId="32475"/>
    <cellStyle name="Note 8 25 6 3" xfId="32476"/>
    <cellStyle name="Note 8 25 7" xfId="32477"/>
    <cellStyle name="Note 8 25 7 2" xfId="32478"/>
    <cellStyle name="Note 8 25 7 2 2" xfId="32479"/>
    <cellStyle name="Note 8 25 7 3" xfId="32480"/>
    <cellStyle name="Note 8 25 8" xfId="32481"/>
    <cellStyle name="Note 8 26" xfId="32482"/>
    <cellStyle name="Note 8 26 2" xfId="32483"/>
    <cellStyle name="Note 8 26 2 2" xfId="32484"/>
    <cellStyle name="Note 8 26 2 2 2" xfId="32485"/>
    <cellStyle name="Note 8 26 2 2 2 2" xfId="32486"/>
    <cellStyle name="Note 8 26 2 2 2 2 2" xfId="32487"/>
    <cellStyle name="Note 8 26 2 2 2 3" xfId="32488"/>
    <cellStyle name="Note 8 26 2 2 3" xfId="32489"/>
    <cellStyle name="Note 8 26 2 2 3 2" xfId="32490"/>
    <cellStyle name="Note 8 26 2 2 4" xfId="32491"/>
    <cellStyle name="Note 8 26 2 3" xfId="32492"/>
    <cellStyle name="Note 8 26 2 3 2" xfId="32493"/>
    <cellStyle name="Note 8 26 2 3 2 2" xfId="32494"/>
    <cellStyle name="Note 8 26 2 3 3" xfId="32495"/>
    <cellStyle name="Note 8 26 2 4" xfId="32496"/>
    <cellStyle name="Note 8 26 2 4 2" xfId="32497"/>
    <cellStyle name="Note 8 26 2 4 2 2" xfId="32498"/>
    <cellStyle name="Note 8 26 2 4 3" xfId="32499"/>
    <cellStyle name="Note 8 26 2 5" xfId="32500"/>
    <cellStyle name="Note 8 26 2 5 2" xfId="32501"/>
    <cellStyle name="Note 8 26 2 5 2 2" xfId="32502"/>
    <cellStyle name="Note 8 26 2 5 3" xfId="32503"/>
    <cellStyle name="Note 8 26 2 6" xfId="32504"/>
    <cellStyle name="Note 8 26 2 6 2" xfId="32505"/>
    <cellStyle name="Note 8 26 2 6 2 2" xfId="32506"/>
    <cellStyle name="Note 8 26 2 6 3" xfId="32507"/>
    <cellStyle name="Note 8 26 2 7" xfId="32508"/>
    <cellStyle name="Note 8 26 3" xfId="32509"/>
    <cellStyle name="Note 8 26 3 2" xfId="32510"/>
    <cellStyle name="Note 8 26 3 2 2" xfId="32511"/>
    <cellStyle name="Note 8 26 3 2 2 2" xfId="32512"/>
    <cellStyle name="Note 8 26 3 2 3" xfId="32513"/>
    <cellStyle name="Note 8 26 3 3" xfId="32514"/>
    <cellStyle name="Note 8 26 3 3 2" xfId="32515"/>
    <cellStyle name="Note 8 26 3 4" xfId="32516"/>
    <cellStyle name="Note 8 26 4" xfId="32517"/>
    <cellStyle name="Note 8 26 4 2" xfId="32518"/>
    <cellStyle name="Note 8 26 4 2 2" xfId="32519"/>
    <cellStyle name="Note 8 26 4 3" xfId="32520"/>
    <cellStyle name="Note 8 26 5" xfId="32521"/>
    <cellStyle name="Note 8 26 5 2" xfId="32522"/>
    <cellStyle name="Note 8 26 5 2 2" xfId="32523"/>
    <cellStyle name="Note 8 26 5 3" xfId="32524"/>
    <cellStyle name="Note 8 26 6" xfId="32525"/>
    <cellStyle name="Note 8 26 6 2" xfId="32526"/>
    <cellStyle name="Note 8 26 6 2 2" xfId="32527"/>
    <cellStyle name="Note 8 26 6 3" xfId="32528"/>
    <cellStyle name="Note 8 26 7" xfId="32529"/>
    <cellStyle name="Note 8 26 7 2" xfId="32530"/>
    <cellStyle name="Note 8 26 7 2 2" xfId="32531"/>
    <cellStyle name="Note 8 26 7 3" xfId="32532"/>
    <cellStyle name="Note 8 26 8" xfId="32533"/>
    <cellStyle name="Note 8 27" xfId="32534"/>
    <cellStyle name="Note 8 27 2" xfId="32535"/>
    <cellStyle name="Note 8 27 2 2" xfId="32536"/>
    <cellStyle name="Note 8 27 2 2 2" xfId="32537"/>
    <cellStyle name="Note 8 27 2 2 2 2" xfId="32538"/>
    <cellStyle name="Note 8 27 2 2 2 2 2" xfId="32539"/>
    <cellStyle name="Note 8 27 2 2 2 3" xfId="32540"/>
    <cellStyle name="Note 8 27 2 2 3" xfId="32541"/>
    <cellStyle name="Note 8 27 2 2 3 2" xfId="32542"/>
    <cellStyle name="Note 8 27 2 2 4" xfId="32543"/>
    <cellStyle name="Note 8 27 2 3" xfId="32544"/>
    <cellStyle name="Note 8 27 2 3 2" xfId="32545"/>
    <cellStyle name="Note 8 27 2 3 2 2" xfId="32546"/>
    <cellStyle name="Note 8 27 2 3 3" xfId="32547"/>
    <cellStyle name="Note 8 27 2 4" xfId="32548"/>
    <cellStyle name="Note 8 27 2 4 2" xfId="32549"/>
    <cellStyle name="Note 8 27 2 4 2 2" xfId="32550"/>
    <cellStyle name="Note 8 27 2 4 3" xfId="32551"/>
    <cellStyle name="Note 8 27 2 5" xfId="32552"/>
    <cellStyle name="Note 8 27 2 5 2" xfId="32553"/>
    <cellStyle name="Note 8 27 2 5 2 2" xfId="32554"/>
    <cellStyle name="Note 8 27 2 5 3" xfId="32555"/>
    <cellStyle name="Note 8 27 2 6" xfId="32556"/>
    <cellStyle name="Note 8 27 2 6 2" xfId="32557"/>
    <cellStyle name="Note 8 27 2 6 2 2" xfId="32558"/>
    <cellStyle name="Note 8 27 2 6 3" xfId="32559"/>
    <cellStyle name="Note 8 27 2 7" xfId="32560"/>
    <cellStyle name="Note 8 27 3" xfId="32561"/>
    <cellStyle name="Note 8 27 3 2" xfId="32562"/>
    <cellStyle name="Note 8 27 3 2 2" xfId="32563"/>
    <cellStyle name="Note 8 27 3 2 2 2" xfId="32564"/>
    <cellStyle name="Note 8 27 3 2 3" xfId="32565"/>
    <cellStyle name="Note 8 27 3 3" xfId="32566"/>
    <cellStyle name="Note 8 27 3 3 2" xfId="32567"/>
    <cellStyle name="Note 8 27 3 4" xfId="32568"/>
    <cellStyle name="Note 8 27 4" xfId="32569"/>
    <cellStyle name="Note 8 27 4 2" xfId="32570"/>
    <cellStyle name="Note 8 27 4 2 2" xfId="32571"/>
    <cellStyle name="Note 8 27 4 3" xfId="32572"/>
    <cellStyle name="Note 8 27 5" xfId="32573"/>
    <cellStyle name="Note 8 27 5 2" xfId="32574"/>
    <cellStyle name="Note 8 27 5 2 2" xfId="32575"/>
    <cellStyle name="Note 8 27 5 3" xfId="32576"/>
    <cellStyle name="Note 8 27 6" xfId="32577"/>
    <cellStyle name="Note 8 27 6 2" xfId="32578"/>
    <cellStyle name="Note 8 27 6 2 2" xfId="32579"/>
    <cellStyle name="Note 8 27 6 3" xfId="32580"/>
    <cellStyle name="Note 8 27 7" xfId="32581"/>
    <cellStyle name="Note 8 27 7 2" xfId="32582"/>
    <cellStyle name="Note 8 27 7 2 2" xfId="32583"/>
    <cellStyle name="Note 8 27 7 3" xfId="32584"/>
    <cellStyle name="Note 8 27 8" xfId="32585"/>
    <cellStyle name="Note 8 28" xfId="32586"/>
    <cellStyle name="Note 8 28 2" xfId="32587"/>
    <cellStyle name="Note 8 28 2 2" xfId="32588"/>
    <cellStyle name="Note 8 28 2 2 2" xfId="32589"/>
    <cellStyle name="Note 8 28 2 2 2 2" xfId="32590"/>
    <cellStyle name="Note 8 28 2 2 2 2 2" xfId="32591"/>
    <cellStyle name="Note 8 28 2 2 2 3" xfId="32592"/>
    <cellStyle name="Note 8 28 2 2 3" xfId="32593"/>
    <cellStyle name="Note 8 28 2 2 3 2" xfId="32594"/>
    <cellStyle name="Note 8 28 2 2 4" xfId="32595"/>
    <cellStyle name="Note 8 28 2 3" xfId="32596"/>
    <cellStyle name="Note 8 28 2 3 2" xfId="32597"/>
    <cellStyle name="Note 8 28 2 3 2 2" xfId="32598"/>
    <cellStyle name="Note 8 28 2 3 3" xfId="32599"/>
    <cellStyle name="Note 8 28 2 4" xfId="32600"/>
    <cellStyle name="Note 8 28 2 4 2" xfId="32601"/>
    <cellStyle name="Note 8 28 2 4 2 2" xfId="32602"/>
    <cellStyle name="Note 8 28 2 4 3" xfId="32603"/>
    <cellStyle name="Note 8 28 2 5" xfId="32604"/>
    <cellStyle name="Note 8 28 2 5 2" xfId="32605"/>
    <cellStyle name="Note 8 28 2 5 2 2" xfId="32606"/>
    <cellStyle name="Note 8 28 2 5 3" xfId="32607"/>
    <cellStyle name="Note 8 28 2 6" xfId="32608"/>
    <cellStyle name="Note 8 28 2 6 2" xfId="32609"/>
    <cellStyle name="Note 8 28 2 6 2 2" xfId="32610"/>
    <cellStyle name="Note 8 28 2 6 3" xfId="32611"/>
    <cellStyle name="Note 8 28 2 7" xfId="32612"/>
    <cellStyle name="Note 8 28 3" xfId="32613"/>
    <cellStyle name="Note 8 28 3 2" xfId="32614"/>
    <cellStyle name="Note 8 28 3 2 2" xfId="32615"/>
    <cellStyle name="Note 8 28 3 2 2 2" xfId="32616"/>
    <cellStyle name="Note 8 28 3 2 3" xfId="32617"/>
    <cellStyle name="Note 8 28 3 3" xfId="32618"/>
    <cellStyle name="Note 8 28 3 3 2" xfId="32619"/>
    <cellStyle name="Note 8 28 3 4" xfId="32620"/>
    <cellStyle name="Note 8 28 4" xfId="32621"/>
    <cellStyle name="Note 8 28 4 2" xfId="32622"/>
    <cellStyle name="Note 8 28 4 2 2" xfId="32623"/>
    <cellStyle name="Note 8 28 4 3" xfId="32624"/>
    <cellStyle name="Note 8 28 5" xfId="32625"/>
    <cellStyle name="Note 8 28 5 2" xfId="32626"/>
    <cellStyle name="Note 8 28 5 2 2" xfId="32627"/>
    <cellStyle name="Note 8 28 5 3" xfId="32628"/>
    <cellStyle name="Note 8 28 6" xfId="32629"/>
    <cellStyle name="Note 8 28 6 2" xfId="32630"/>
    <cellStyle name="Note 8 28 6 2 2" xfId="32631"/>
    <cellStyle name="Note 8 28 6 3" xfId="32632"/>
    <cellStyle name="Note 8 28 7" xfId="32633"/>
    <cellStyle name="Note 8 28 7 2" xfId="32634"/>
    <cellStyle name="Note 8 28 7 2 2" xfId="32635"/>
    <cellStyle name="Note 8 28 7 3" xfId="32636"/>
    <cellStyle name="Note 8 28 8" xfId="32637"/>
    <cellStyle name="Note 8 29" xfId="32638"/>
    <cellStyle name="Note 8 29 2" xfId="32639"/>
    <cellStyle name="Note 8 29 2 2" xfId="32640"/>
    <cellStyle name="Note 8 29 2 2 2" xfId="32641"/>
    <cellStyle name="Note 8 29 2 2 2 2" xfId="32642"/>
    <cellStyle name="Note 8 29 2 2 2 2 2" xfId="32643"/>
    <cellStyle name="Note 8 29 2 2 2 3" xfId="32644"/>
    <cellStyle name="Note 8 29 2 2 3" xfId="32645"/>
    <cellStyle name="Note 8 29 2 2 3 2" xfId="32646"/>
    <cellStyle name="Note 8 29 2 2 4" xfId="32647"/>
    <cellStyle name="Note 8 29 2 3" xfId="32648"/>
    <cellStyle name="Note 8 29 2 3 2" xfId="32649"/>
    <cellStyle name="Note 8 29 2 3 2 2" xfId="32650"/>
    <cellStyle name="Note 8 29 2 3 3" xfId="32651"/>
    <cellStyle name="Note 8 29 2 4" xfId="32652"/>
    <cellStyle name="Note 8 29 2 4 2" xfId="32653"/>
    <cellStyle name="Note 8 29 2 4 2 2" xfId="32654"/>
    <cellStyle name="Note 8 29 2 4 3" xfId="32655"/>
    <cellStyle name="Note 8 29 2 5" xfId="32656"/>
    <cellStyle name="Note 8 29 2 5 2" xfId="32657"/>
    <cellStyle name="Note 8 29 2 5 2 2" xfId="32658"/>
    <cellStyle name="Note 8 29 2 5 3" xfId="32659"/>
    <cellStyle name="Note 8 29 2 6" xfId="32660"/>
    <cellStyle name="Note 8 29 2 6 2" xfId="32661"/>
    <cellStyle name="Note 8 29 2 6 2 2" xfId="32662"/>
    <cellStyle name="Note 8 29 2 6 3" xfId="32663"/>
    <cellStyle name="Note 8 29 2 7" xfId="32664"/>
    <cellStyle name="Note 8 29 3" xfId="32665"/>
    <cellStyle name="Note 8 29 3 2" xfId="32666"/>
    <cellStyle name="Note 8 29 3 2 2" xfId="32667"/>
    <cellStyle name="Note 8 29 3 2 2 2" xfId="32668"/>
    <cellStyle name="Note 8 29 3 2 3" xfId="32669"/>
    <cellStyle name="Note 8 29 3 3" xfId="32670"/>
    <cellStyle name="Note 8 29 3 3 2" xfId="32671"/>
    <cellStyle name="Note 8 29 3 4" xfId="32672"/>
    <cellStyle name="Note 8 29 4" xfId="32673"/>
    <cellStyle name="Note 8 29 4 2" xfId="32674"/>
    <cellStyle name="Note 8 29 4 2 2" xfId="32675"/>
    <cellStyle name="Note 8 29 4 3" xfId="32676"/>
    <cellStyle name="Note 8 29 5" xfId="32677"/>
    <cellStyle name="Note 8 29 5 2" xfId="32678"/>
    <cellStyle name="Note 8 29 5 2 2" xfId="32679"/>
    <cellStyle name="Note 8 29 5 3" xfId="32680"/>
    <cellStyle name="Note 8 29 6" xfId="32681"/>
    <cellStyle name="Note 8 29 6 2" xfId="32682"/>
    <cellStyle name="Note 8 29 6 2 2" xfId="32683"/>
    <cellStyle name="Note 8 29 6 3" xfId="32684"/>
    <cellStyle name="Note 8 29 7" xfId="32685"/>
    <cellStyle name="Note 8 29 7 2" xfId="32686"/>
    <cellStyle name="Note 8 29 7 2 2" xfId="32687"/>
    <cellStyle name="Note 8 29 7 3" xfId="32688"/>
    <cellStyle name="Note 8 29 8" xfId="32689"/>
    <cellStyle name="Note 8 3" xfId="32690"/>
    <cellStyle name="Note 8 3 2" xfId="32691"/>
    <cellStyle name="Note 8 3 2 2" xfId="32692"/>
    <cellStyle name="Note 8 3 2 2 2" xfId="32693"/>
    <cellStyle name="Note 8 3 2 2 2 2" xfId="32694"/>
    <cellStyle name="Note 8 3 2 2 2 2 2" xfId="32695"/>
    <cellStyle name="Note 8 3 2 2 2 3" xfId="32696"/>
    <cellStyle name="Note 8 3 2 2 3" xfId="32697"/>
    <cellStyle name="Note 8 3 2 2 3 2" xfId="32698"/>
    <cellStyle name="Note 8 3 2 2 4" xfId="32699"/>
    <cellStyle name="Note 8 3 2 3" xfId="32700"/>
    <cellStyle name="Note 8 3 2 3 2" xfId="32701"/>
    <cellStyle name="Note 8 3 2 3 2 2" xfId="32702"/>
    <cellStyle name="Note 8 3 2 3 3" xfId="32703"/>
    <cellStyle name="Note 8 3 2 4" xfId="32704"/>
    <cellStyle name="Note 8 3 2 4 2" xfId="32705"/>
    <cellStyle name="Note 8 3 2 4 2 2" xfId="32706"/>
    <cellStyle name="Note 8 3 2 4 3" xfId="32707"/>
    <cellStyle name="Note 8 3 2 5" xfId="32708"/>
    <cellStyle name="Note 8 3 2 5 2" xfId="32709"/>
    <cellStyle name="Note 8 3 2 5 2 2" xfId="32710"/>
    <cellStyle name="Note 8 3 2 5 3" xfId="32711"/>
    <cellStyle name="Note 8 3 2 6" xfId="32712"/>
    <cellStyle name="Note 8 3 2 6 2" xfId="32713"/>
    <cellStyle name="Note 8 3 2 6 2 2" xfId="32714"/>
    <cellStyle name="Note 8 3 2 6 3" xfId="32715"/>
    <cellStyle name="Note 8 3 2 7" xfId="32716"/>
    <cellStyle name="Note 8 3 3" xfId="32717"/>
    <cellStyle name="Note 8 3 3 2" xfId="32718"/>
    <cellStyle name="Note 8 3 3 2 2" xfId="32719"/>
    <cellStyle name="Note 8 3 3 2 2 2" xfId="32720"/>
    <cellStyle name="Note 8 3 3 2 3" xfId="32721"/>
    <cellStyle name="Note 8 3 3 3" xfId="32722"/>
    <cellStyle name="Note 8 3 3 3 2" xfId="32723"/>
    <cellStyle name="Note 8 3 3 4" xfId="32724"/>
    <cellStyle name="Note 8 3 4" xfId="32725"/>
    <cellStyle name="Note 8 3 4 2" xfId="32726"/>
    <cellStyle name="Note 8 3 4 2 2" xfId="32727"/>
    <cellStyle name="Note 8 3 4 3" xfId="32728"/>
    <cellStyle name="Note 8 3 5" xfId="32729"/>
    <cellStyle name="Note 8 3 5 2" xfId="32730"/>
    <cellStyle name="Note 8 3 5 2 2" xfId="32731"/>
    <cellStyle name="Note 8 3 5 3" xfId="32732"/>
    <cellStyle name="Note 8 3 6" xfId="32733"/>
    <cellStyle name="Note 8 3 6 2" xfId="32734"/>
    <cellStyle name="Note 8 3 6 2 2" xfId="32735"/>
    <cellStyle name="Note 8 3 6 3" xfId="32736"/>
    <cellStyle name="Note 8 3 7" xfId="32737"/>
    <cellStyle name="Note 8 3 7 2" xfId="32738"/>
    <cellStyle name="Note 8 3 7 2 2" xfId="32739"/>
    <cellStyle name="Note 8 3 7 3" xfId="32740"/>
    <cellStyle name="Note 8 3 8" xfId="32741"/>
    <cellStyle name="Note 8 30" xfId="32742"/>
    <cellStyle name="Note 8 30 2" xfId="32743"/>
    <cellStyle name="Note 8 30 2 2" xfId="32744"/>
    <cellStyle name="Note 8 30 2 2 2" xfId="32745"/>
    <cellStyle name="Note 8 30 2 2 2 2" xfId="32746"/>
    <cellStyle name="Note 8 30 2 2 2 2 2" xfId="32747"/>
    <cellStyle name="Note 8 30 2 2 2 3" xfId="32748"/>
    <cellStyle name="Note 8 30 2 2 3" xfId="32749"/>
    <cellStyle name="Note 8 30 2 2 3 2" xfId="32750"/>
    <cellStyle name="Note 8 30 2 2 4" xfId="32751"/>
    <cellStyle name="Note 8 30 2 3" xfId="32752"/>
    <cellStyle name="Note 8 30 2 3 2" xfId="32753"/>
    <cellStyle name="Note 8 30 2 3 2 2" xfId="32754"/>
    <cellStyle name="Note 8 30 2 3 3" xfId="32755"/>
    <cellStyle name="Note 8 30 2 4" xfId="32756"/>
    <cellStyle name="Note 8 30 2 4 2" xfId="32757"/>
    <cellStyle name="Note 8 30 2 4 2 2" xfId="32758"/>
    <cellStyle name="Note 8 30 2 4 3" xfId="32759"/>
    <cellStyle name="Note 8 30 2 5" xfId="32760"/>
    <cellStyle name="Note 8 30 2 5 2" xfId="32761"/>
    <cellStyle name="Note 8 30 2 5 2 2" xfId="32762"/>
    <cellStyle name="Note 8 30 2 5 3" xfId="32763"/>
    <cellStyle name="Note 8 30 2 6" xfId="32764"/>
    <cellStyle name="Note 8 30 2 6 2" xfId="32765"/>
    <cellStyle name="Note 8 30 2 6 2 2" xfId="32766"/>
    <cellStyle name="Note 8 30 2 6 3" xfId="32767"/>
    <cellStyle name="Note 8 30 2 7" xfId="32768"/>
    <cellStyle name="Note 8 30 3" xfId="32769"/>
    <cellStyle name="Note 8 30 3 2" xfId="32770"/>
    <cellStyle name="Note 8 30 3 2 2" xfId="32771"/>
    <cellStyle name="Note 8 30 3 2 2 2" xfId="32772"/>
    <cellStyle name="Note 8 30 3 2 3" xfId="32773"/>
    <cellStyle name="Note 8 30 3 3" xfId="32774"/>
    <cellStyle name="Note 8 30 3 3 2" xfId="32775"/>
    <cellStyle name="Note 8 30 3 4" xfId="32776"/>
    <cellStyle name="Note 8 30 4" xfId="32777"/>
    <cellStyle name="Note 8 30 4 2" xfId="32778"/>
    <cellStyle name="Note 8 30 4 2 2" xfId="32779"/>
    <cellStyle name="Note 8 30 4 3" xfId="32780"/>
    <cellStyle name="Note 8 30 5" xfId="32781"/>
    <cellStyle name="Note 8 30 5 2" xfId="32782"/>
    <cellStyle name="Note 8 30 5 2 2" xfId="32783"/>
    <cellStyle name="Note 8 30 5 3" xfId="32784"/>
    <cellStyle name="Note 8 30 6" xfId="32785"/>
    <cellStyle name="Note 8 30 6 2" xfId="32786"/>
    <cellStyle name="Note 8 30 6 2 2" xfId="32787"/>
    <cellStyle name="Note 8 30 6 3" xfId="32788"/>
    <cellStyle name="Note 8 30 7" xfId="32789"/>
    <cellStyle name="Note 8 30 7 2" xfId="32790"/>
    <cellStyle name="Note 8 30 7 2 2" xfId="32791"/>
    <cellStyle name="Note 8 30 7 3" xfId="32792"/>
    <cellStyle name="Note 8 30 8" xfId="32793"/>
    <cellStyle name="Note 8 31" xfId="32794"/>
    <cellStyle name="Note 8 31 2" xfId="32795"/>
    <cellStyle name="Note 8 31 2 2" xfId="32796"/>
    <cellStyle name="Note 8 31 2 2 2" xfId="32797"/>
    <cellStyle name="Note 8 31 2 2 2 2" xfId="32798"/>
    <cellStyle name="Note 8 31 2 2 2 2 2" xfId="32799"/>
    <cellStyle name="Note 8 31 2 2 2 3" xfId="32800"/>
    <cellStyle name="Note 8 31 2 2 3" xfId="32801"/>
    <cellStyle name="Note 8 31 2 2 3 2" xfId="32802"/>
    <cellStyle name="Note 8 31 2 2 4" xfId="32803"/>
    <cellStyle name="Note 8 31 2 3" xfId="32804"/>
    <cellStyle name="Note 8 31 2 3 2" xfId="32805"/>
    <cellStyle name="Note 8 31 2 3 2 2" xfId="32806"/>
    <cellStyle name="Note 8 31 2 3 3" xfId="32807"/>
    <cellStyle name="Note 8 31 2 4" xfId="32808"/>
    <cellStyle name="Note 8 31 2 4 2" xfId="32809"/>
    <cellStyle name="Note 8 31 2 4 2 2" xfId="32810"/>
    <cellStyle name="Note 8 31 2 4 3" xfId="32811"/>
    <cellStyle name="Note 8 31 2 5" xfId="32812"/>
    <cellStyle name="Note 8 31 2 5 2" xfId="32813"/>
    <cellStyle name="Note 8 31 2 5 2 2" xfId="32814"/>
    <cellStyle name="Note 8 31 2 5 3" xfId="32815"/>
    <cellStyle name="Note 8 31 2 6" xfId="32816"/>
    <cellStyle name="Note 8 31 2 6 2" xfId="32817"/>
    <cellStyle name="Note 8 31 2 6 2 2" xfId="32818"/>
    <cellStyle name="Note 8 31 2 6 3" xfId="32819"/>
    <cellStyle name="Note 8 31 2 7" xfId="32820"/>
    <cellStyle name="Note 8 31 3" xfId="32821"/>
    <cellStyle name="Note 8 31 3 2" xfId="32822"/>
    <cellStyle name="Note 8 31 3 2 2" xfId="32823"/>
    <cellStyle name="Note 8 31 3 2 2 2" xfId="32824"/>
    <cellStyle name="Note 8 31 3 2 3" xfId="32825"/>
    <cellStyle name="Note 8 31 3 3" xfId="32826"/>
    <cellStyle name="Note 8 31 3 3 2" xfId="32827"/>
    <cellStyle name="Note 8 31 3 4" xfId="32828"/>
    <cellStyle name="Note 8 31 4" xfId="32829"/>
    <cellStyle name="Note 8 31 4 2" xfId="32830"/>
    <cellStyle name="Note 8 31 4 2 2" xfId="32831"/>
    <cellStyle name="Note 8 31 4 3" xfId="32832"/>
    <cellStyle name="Note 8 31 5" xfId="32833"/>
    <cellStyle name="Note 8 31 5 2" xfId="32834"/>
    <cellStyle name="Note 8 31 5 2 2" xfId="32835"/>
    <cellStyle name="Note 8 31 5 3" xfId="32836"/>
    <cellStyle name="Note 8 31 6" xfId="32837"/>
    <cellStyle name="Note 8 31 6 2" xfId="32838"/>
    <cellStyle name="Note 8 31 6 2 2" xfId="32839"/>
    <cellStyle name="Note 8 31 6 3" xfId="32840"/>
    <cellStyle name="Note 8 31 7" xfId="32841"/>
    <cellStyle name="Note 8 31 7 2" xfId="32842"/>
    <cellStyle name="Note 8 31 7 2 2" xfId="32843"/>
    <cellStyle name="Note 8 31 7 3" xfId="32844"/>
    <cellStyle name="Note 8 31 8" xfId="32845"/>
    <cellStyle name="Note 8 32" xfId="32846"/>
    <cellStyle name="Note 8 32 2" xfId="32847"/>
    <cellStyle name="Note 8 32 2 2" xfId="32848"/>
    <cellStyle name="Note 8 32 2 2 2" xfId="32849"/>
    <cellStyle name="Note 8 32 2 2 2 2" xfId="32850"/>
    <cellStyle name="Note 8 32 2 2 2 2 2" xfId="32851"/>
    <cellStyle name="Note 8 32 2 2 2 3" xfId="32852"/>
    <cellStyle name="Note 8 32 2 2 3" xfId="32853"/>
    <cellStyle name="Note 8 32 2 2 3 2" xfId="32854"/>
    <cellStyle name="Note 8 32 2 2 4" xfId="32855"/>
    <cellStyle name="Note 8 32 2 3" xfId="32856"/>
    <cellStyle name="Note 8 32 2 3 2" xfId="32857"/>
    <cellStyle name="Note 8 32 2 3 2 2" xfId="32858"/>
    <cellStyle name="Note 8 32 2 3 3" xfId="32859"/>
    <cellStyle name="Note 8 32 2 4" xfId="32860"/>
    <cellStyle name="Note 8 32 2 4 2" xfId="32861"/>
    <cellStyle name="Note 8 32 2 4 2 2" xfId="32862"/>
    <cellStyle name="Note 8 32 2 4 3" xfId="32863"/>
    <cellStyle name="Note 8 32 2 5" xfId="32864"/>
    <cellStyle name="Note 8 32 2 5 2" xfId="32865"/>
    <cellStyle name="Note 8 32 2 5 2 2" xfId="32866"/>
    <cellStyle name="Note 8 32 2 5 3" xfId="32867"/>
    <cellStyle name="Note 8 32 2 6" xfId="32868"/>
    <cellStyle name="Note 8 32 2 6 2" xfId="32869"/>
    <cellStyle name="Note 8 32 2 6 2 2" xfId="32870"/>
    <cellStyle name="Note 8 32 2 6 3" xfId="32871"/>
    <cellStyle name="Note 8 32 2 7" xfId="32872"/>
    <cellStyle name="Note 8 32 3" xfId="32873"/>
    <cellStyle name="Note 8 32 3 2" xfId="32874"/>
    <cellStyle name="Note 8 32 3 2 2" xfId="32875"/>
    <cellStyle name="Note 8 32 3 2 2 2" xfId="32876"/>
    <cellStyle name="Note 8 32 3 2 3" xfId="32877"/>
    <cellStyle name="Note 8 32 3 3" xfId="32878"/>
    <cellStyle name="Note 8 32 3 3 2" xfId="32879"/>
    <cellStyle name="Note 8 32 3 4" xfId="32880"/>
    <cellStyle name="Note 8 32 4" xfId="32881"/>
    <cellStyle name="Note 8 32 4 2" xfId="32882"/>
    <cellStyle name="Note 8 32 4 2 2" xfId="32883"/>
    <cellStyle name="Note 8 32 4 3" xfId="32884"/>
    <cellStyle name="Note 8 32 5" xfId="32885"/>
    <cellStyle name="Note 8 32 5 2" xfId="32886"/>
    <cellStyle name="Note 8 32 5 2 2" xfId="32887"/>
    <cellStyle name="Note 8 32 5 3" xfId="32888"/>
    <cellStyle name="Note 8 32 6" xfId="32889"/>
    <cellStyle name="Note 8 32 6 2" xfId="32890"/>
    <cellStyle name="Note 8 32 6 2 2" xfId="32891"/>
    <cellStyle name="Note 8 32 6 3" xfId="32892"/>
    <cellStyle name="Note 8 32 7" xfId="32893"/>
    <cellStyle name="Note 8 32 7 2" xfId="32894"/>
    <cellStyle name="Note 8 32 7 2 2" xfId="32895"/>
    <cellStyle name="Note 8 32 7 3" xfId="32896"/>
    <cellStyle name="Note 8 32 8" xfId="32897"/>
    <cellStyle name="Note 8 33" xfId="32898"/>
    <cellStyle name="Note 8 33 2" xfId="32899"/>
    <cellStyle name="Note 8 33 2 2" xfId="32900"/>
    <cellStyle name="Note 8 33 2 2 2" xfId="32901"/>
    <cellStyle name="Note 8 33 2 2 2 2" xfId="32902"/>
    <cellStyle name="Note 8 33 2 2 2 2 2" xfId="32903"/>
    <cellStyle name="Note 8 33 2 2 2 3" xfId="32904"/>
    <cellStyle name="Note 8 33 2 2 3" xfId="32905"/>
    <cellStyle name="Note 8 33 2 2 3 2" xfId="32906"/>
    <cellStyle name="Note 8 33 2 2 4" xfId="32907"/>
    <cellStyle name="Note 8 33 2 3" xfId="32908"/>
    <cellStyle name="Note 8 33 2 3 2" xfId="32909"/>
    <cellStyle name="Note 8 33 2 3 2 2" xfId="32910"/>
    <cellStyle name="Note 8 33 2 3 3" xfId="32911"/>
    <cellStyle name="Note 8 33 2 4" xfId="32912"/>
    <cellStyle name="Note 8 33 2 4 2" xfId="32913"/>
    <cellStyle name="Note 8 33 2 4 2 2" xfId="32914"/>
    <cellStyle name="Note 8 33 2 4 3" xfId="32915"/>
    <cellStyle name="Note 8 33 2 5" xfId="32916"/>
    <cellStyle name="Note 8 33 2 5 2" xfId="32917"/>
    <cellStyle name="Note 8 33 2 5 2 2" xfId="32918"/>
    <cellStyle name="Note 8 33 2 5 3" xfId="32919"/>
    <cellStyle name="Note 8 33 2 6" xfId="32920"/>
    <cellStyle name="Note 8 33 2 6 2" xfId="32921"/>
    <cellStyle name="Note 8 33 2 6 2 2" xfId="32922"/>
    <cellStyle name="Note 8 33 2 6 3" xfId="32923"/>
    <cellStyle name="Note 8 33 2 7" xfId="32924"/>
    <cellStyle name="Note 8 33 3" xfId="32925"/>
    <cellStyle name="Note 8 33 3 2" xfId="32926"/>
    <cellStyle name="Note 8 33 3 2 2" xfId="32927"/>
    <cellStyle name="Note 8 33 3 2 2 2" xfId="32928"/>
    <cellStyle name="Note 8 33 3 2 3" xfId="32929"/>
    <cellStyle name="Note 8 33 3 3" xfId="32930"/>
    <cellStyle name="Note 8 33 3 3 2" xfId="32931"/>
    <cellStyle name="Note 8 33 3 4" xfId="32932"/>
    <cellStyle name="Note 8 33 4" xfId="32933"/>
    <cellStyle name="Note 8 33 4 2" xfId="32934"/>
    <cellStyle name="Note 8 33 4 2 2" xfId="32935"/>
    <cellStyle name="Note 8 33 4 3" xfId="32936"/>
    <cellStyle name="Note 8 33 5" xfId="32937"/>
    <cellStyle name="Note 8 33 5 2" xfId="32938"/>
    <cellStyle name="Note 8 33 5 2 2" xfId="32939"/>
    <cellStyle name="Note 8 33 5 3" xfId="32940"/>
    <cellStyle name="Note 8 33 6" xfId="32941"/>
    <cellStyle name="Note 8 33 6 2" xfId="32942"/>
    <cellStyle name="Note 8 33 6 2 2" xfId="32943"/>
    <cellStyle name="Note 8 33 6 3" xfId="32944"/>
    <cellStyle name="Note 8 33 7" xfId="32945"/>
    <cellStyle name="Note 8 33 7 2" xfId="32946"/>
    <cellStyle name="Note 8 33 7 2 2" xfId="32947"/>
    <cellStyle name="Note 8 33 7 3" xfId="32948"/>
    <cellStyle name="Note 8 33 8" xfId="32949"/>
    <cellStyle name="Note 8 34" xfId="32950"/>
    <cellStyle name="Note 8 34 2" xfId="32951"/>
    <cellStyle name="Note 8 34 2 2" xfId="32952"/>
    <cellStyle name="Note 8 34 2 2 2" xfId="32953"/>
    <cellStyle name="Note 8 34 2 2 2 2" xfId="32954"/>
    <cellStyle name="Note 8 34 2 2 2 2 2" xfId="32955"/>
    <cellStyle name="Note 8 34 2 2 2 3" xfId="32956"/>
    <cellStyle name="Note 8 34 2 2 3" xfId="32957"/>
    <cellStyle name="Note 8 34 2 2 3 2" xfId="32958"/>
    <cellStyle name="Note 8 34 2 2 4" xfId="32959"/>
    <cellStyle name="Note 8 34 2 3" xfId="32960"/>
    <cellStyle name="Note 8 34 2 3 2" xfId="32961"/>
    <cellStyle name="Note 8 34 2 3 2 2" xfId="32962"/>
    <cellStyle name="Note 8 34 2 3 3" xfId="32963"/>
    <cellStyle name="Note 8 34 2 4" xfId="32964"/>
    <cellStyle name="Note 8 34 2 4 2" xfId="32965"/>
    <cellStyle name="Note 8 34 2 4 2 2" xfId="32966"/>
    <cellStyle name="Note 8 34 2 4 3" xfId="32967"/>
    <cellStyle name="Note 8 34 2 5" xfId="32968"/>
    <cellStyle name="Note 8 34 2 5 2" xfId="32969"/>
    <cellStyle name="Note 8 34 2 5 2 2" xfId="32970"/>
    <cellStyle name="Note 8 34 2 5 3" xfId="32971"/>
    <cellStyle name="Note 8 34 2 6" xfId="32972"/>
    <cellStyle name="Note 8 34 2 6 2" xfId="32973"/>
    <cellStyle name="Note 8 34 2 6 2 2" xfId="32974"/>
    <cellStyle name="Note 8 34 2 6 3" xfId="32975"/>
    <cellStyle name="Note 8 34 2 7" xfId="32976"/>
    <cellStyle name="Note 8 34 3" xfId="32977"/>
    <cellStyle name="Note 8 34 3 2" xfId="32978"/>
    <cellStyle name="Note 8 34 3 2 2" xfId="32979"/>
    <cellStyle name="Note 8 34 3 2 2 2" xfId="32980"/>
    <cellStyle name="Note 8 34 3 2 3" xfId="32981"/>
    <cellStyle name="Note 8 34 3 3" xfId="32982"/>
    <cellStyle name="Note 8 34 3 3 2" xfId="32983"/>
    <cellStyle name="Note 8 34 3 4" xfId="32984"/>
    <cellStyle name="Note 8 34 4" xfId="32985"/>
    <cellStyle name="Note 8 34 4 2" xfId="32986"/>
    <cellStyle name="Note 8 34 4 2 2" xfId="32987"/>
    <cellStyle name="Note 8 34 4 3" xfId="32988"/>
    <cellStyle name="Note 8 34 5" xfId="32989"/>
    <cellStyle name="Note 8 34 5 2" xfId="32990"/>
    <cellStyle name="Note 8 34 5 2 2" xfId="32991"/>
    <cellStyle name="Note 8 34 5 3" xfId="32992"/>
    <cellStyle name="Note 8 34 6" xfId="32993"/>
    <cellStyle name="Note 8 34 6 2" xfId="32994"/>
    <cellStyle name="Note 8 34 6 2 2" xfId="32995"/>
    <cellStyle name="Note 8 34 6 3" xfId="32996"/>
    <cellStyle name="Note 8 34 7" xfId="32997"/>
    <cellStyle name="Note 8 34 7 2" xfId="32998"/>
    <cellStyle name="Note 8 34 7 2 2" xfId="32999"/>
    <cellStyle name="Note 8 34 7 3" xfId="33000"/>
    <cellStyle name="Note 8 34 8" xfId="33001"/>
    <cellStyle name="Note 8 35" xfId="33002"/>
    <cellStyle name="Note 8 35 2" xfId="33003"/>
    <cellStyle name="Note 8 35 2 2" xfId="33004"/>
    <cellStyle name="Note 8 35 2 2 2" xfId="33005"/>
    <cellStyle name="Note 8 35 2 2 2 2" xfId="33006"/>
    <cellStyle name="Note 8 35 2 2 2 2 2" xfId="33007"/>
    <cellStyle name="Note 8 35 2 2 2 3" xfId="33008"/>
    <cellStyle name="Note 8 35 2 2 3" xfId="33009"/>
    <cellStyle name="Note 8 35 2 2 3 2" xfId="33010"/>
    <cellStyle name="Note 8 35 2 2 4" xfId="33011"/>
    <cellStyle name="Note 8 35 2 3" xfId="33012"/>
    <cellStyle name="Note 8 35 2 3 2" xfId="33013"/>
    <cellStyle name="Note 8 35 2 3 2 2" xfId="33014"/>
    <cellStyle name="Note 8 35 2 3 3" xfId="33015"/>
    <cellStyle name="Note 8 35 2 4" xfId="33016"/>
    <cellStyle name="Note 8 35 2 4 2" xfId="33017"/>
    <cellStyle name="Note 8 35 2 4 2 2" xfId="33018"/>
    <cellStyle name="Note 8 35 2 4 3" xfId="33019"/>
    <cellStyle name="Note 8 35 2 5" xfId="33020"/>
    <cellStyle name="Note 8 35 2 5 2" xfId="33021"/>
    <cellStyle name="Note 8 35 2 5 2 2" xfId="33022"/>
    <cellStyle name="Note 8 35 2 5 3" xfId="33023"/>
    <cellStyle name="Note 8 35 2 6" xfId="33024"/>
    <cellStyle name="Note 8 35 2 6 2" xfId="33025"/>
    <cellStyle name="Note 8 35 2 6 2 2" xfId="33026"/>
    <cellStyle name="Note 8 35 2 6 3" xfId="33027"/>
    <cellStyle name="Note 8 35 2 7" xfId="33028"/>
    <cellStyle name="Note 8 35 3" xfId="33029"/>
    <cellStyle name="Note 8 35 3 2" xfId="33030"/>
    <cellStyle name="Note 8 35 3 2 2" xfId="33031"/>
    <cellStyle name="Note 8 35 3 2 2 2" xfId="33032"/>
    <cellStyle name="Note 8 35 3 2 3" xfId="33033"/>
    <cellStyle name="Note 8 35 3 3" xfId="33034"/>
    <cellStyle name="Note 8 35 3 3 2" xfId="33035"/>
    <cellStyle name="Note 8 35 3 4" xfId="33036"/>
    <cellStyle name="Note 8 35 4" xfId="33037"/>
    <cellStyle name="Note 8 35 4 2" xfId="33038"/>
    <cellStyle name="Note 8 35 4 2 2" xfId="33039"/>
    <cellStyle name="Note 8 35 4 3" xfId="33040"/>
    <cellStyle name="Note 8 35 5" xfId="33041"/>
    <cellStyle name="Note 8 35 5 2" xfId="33042"/>
    <cellStyle name="Note 8 35 5 2 2" xfId="33043"/>
    <cellStyle name="Note 8 35 5 3" xfId="33044"/>
    <cellStyle name="Note 8 35 6" xfId="33045"/>
    <cellStyle name="Note 8 35 6 2" xfId="33046"/>
    <cellStyle name="Note 8 35 6 2 2" xfId="33047"/>
    <cellStyle name="Note 8 35 6 3" xfId="33048"/>
    <cellStyle name="Note 8 35 7" xfId="33049"/>
    <cellStyle name="Note 8 35 7 2" xfId="33050"/>
    <cellStyle name="Note 8 35 7 2 2" xfId="33051"/>
    <cellStyle name="Note 8 35 7 3" xfId="33052"/>
    <cellStyle name="Note 8 35 8" xfId="33053"/>
    <cellStyle name="Note 8 36" xfId="33054"/>
    <cellStyle name="Note 8 36 2" xfId="33055"/>
    <cellStyle name="Note 8 36 2 2" xfId="33056"/>
    <cellStyle name="Note 8 36 2 2 2" xfId="33057"/>
    <cellStyle name="Note 8 36 2 2 2 2" xfId="33058"/>
    <cellStyle name="Note 8 36 2 2 2 2 2" xfId="33059"/>
    <cellStyle name="Note 8 36 2 2 2 3" xfId="33060"/>
    <cellStyle name="Note 8 36 2 2 3" xfId="33061"/>
    <cellStyle name="Note 8 36 2 2 3 2" xfId="33062"/>
    <cellStyle name="Note 8 36 2 2 4" xfId="33063"/>
    <cellStyle name="Note 8 36 2 3" xfId="33064"/>
    <cellStyle name="Note 8 36 2 3 2" xfId="33065"/>
    <cellStyle name="Note 8 36 2 3 2 2" xfId="33066"/>
    <cellStyle name="Note 8 36 2 3 3" xfId="33067"/>
    <cellStyle name="Note 8 36 2 4" xfId="33068"/>
    <cellStyle name="Note 8 36 2 4 2" xfId="33069"/>
    <cellStyle name="Note 8 36 2 4 2 2" xfId="33070"/>
    <cellStyle name="Note 8 36 2 4 3" xfId="33071"/>
    <cellStyle name="Note 8 36 2 5" xfId="33072"/>
    <cellStyle name="Note 8 36 2 5 2" xfId="33073"/>
    <cellStyle name="Note 8 36 2 5 2 2" xfId="33074"/>
    <cellStyle name="Note 8 36 2 5 3" xfId="33075"/>
    <cellStyle name="Note 8 36 2 6" xfId="33076"/>
    <cellStyle name="Note 8 36 2 6 2" xfId="33077"/>
    <cellStyle name="Note 8 36 2 6 2 2" xfId="33078"/>
    <cellStyle name="Note 8 36 2 6 3" xfId="33079"/>
    <cellStyle name="Note 8 36 2 7" xfId="33080"/>
    <cellStyle name="Note 8 36 3" xfId="33081"/>
    <cellStyle name="Note 8 36 3 2" xfId="33082"/>
    <cellStyle name="Note 8 36 3 2 2" xfId="33083"/>
    <cellStyle name="Note 8 36 3 2 2 2" xfId="33084"/>
    <cellStyle name="Note 8 36 3 2 3" xfId="33085"/>
    <cellStyle name="Note 8 36 3 3" xfId="33086"/>
    <cellStyle name="Note 8 36 3 3 2" xfId="33087"/>
    <cellStyle name="Note 8 36 3 4" xfId="33088"/>
    <cellStyle name="Note 8 36 4" xfId="33089"/>
    <cellStyle name="Note 8 36 4 2" xfId="33090"/>
    <cellStyle name="Note 8 36 4 2 2" xfId="33091"/>
    <cellStyle name="Note 8 36 4 3" xfId="33092"/>
    <cellStyle name="Note 8 36 5" xfId="33093"/>
    <cellStyle name="Note 8 36 5 2" xfId="33094"/>
    <cellStyle name="Note 8 36 5 2 2" xfId="33095"/>
    <cellStyle name="Note 8 36 5 3" xfId="33096"/>
    <cellStyle name="Note 8 36 6" xfId="33097"/>
    <cellStyle name="Note 8 36 6 2" xfId="33098"/>
    <cellStyle name="Note 8 36 6 2 2" xfId="33099"/>
    <cellStyle name="Note 8 36 6 3" xfId="33100"/>
    <cellStyle name="Note 8 36 7" xfId="33101"/>
    <cellStyle name="Note 8 36 7 2" xfId="33102"/>
    <cellStyle name="Note 8 36 7 2 2" xfId="33103"/>
    <cellStyle name="Note 8 36 7 3" xfId="33104"/>
    <cellStyle name="Note 8 36 8" xfId="33105"/>
    <cellStyle name="Note 8 37" xfId="33106"/>
    <cellStyle name="Note 8 37 2" xfId="33107"/>
    <cellStyle name="Note 8 37 2 2" xfId="33108"/>
    <cellStyle name="Note 8 37 2 2 2" xfId="33109"/>
    <cellStyle name="Note 8 37 2 2 2 2" xfId="33110"/>
    <cellStyle name="Note 8 37 2 2 2 2 2" xfId="33111"/>
    <cellStyle name="Note 8 37 2 2 2 3" xfId="33112"/>
    <cellStyle name="Note 8 37 2 2 3" xfId="33113"/>
    <cellStyle name="Note 8 37 2 2 3 2" xfId="33114"/>
    <cellStyle name="Note 8 37 2 2 4" xfId="33115"/>
    <cellStyle name="Note 8 37 2 3" xfId="33116"/>
    <cellStyle name="Note 8 37 2 3 2" xfId="33117"/>
    <cellStyle name="Note 8 37 2 3 2 2" xfId="33118"/>
    <cellStyle name="Note 8 37 2 3 3" xfId="33119"/>
    <cellStyle name="Note 8 37 2 4" xfId="33120"/>
    <cellStyle name="Note 8 37 2 4 2" xfId="33121"/>
    <cellStyle name="Note 8 37 2 4 2 2" xfId="33122"/>
    <cellStyle name="Note 8 37 2 4 3" xfId="33123"/>
    <cellStyle name="Note 8 37 2 5" xfId="33124"/>
    <cellStyle name="Note 8 37 2 5 2" xfId="33125"/>
    <cellStyle name="Note 8 37 2 5 2 2" xfId="33126"/>
    <cellStyle name="Note 8 37 2 5 3" xfId="33127"/>
    <cellStyle name="Note 8 37 2 6" xfId="33128"/>
    <cellStyle name="Note 8 37 2 6 2" xfId="33129"/>
    <cellStyle name="Note 8 37 2 6 2 2" xfId="33130"/>
    <cellStyle name="Note 8 37 2 6 3" xfId="33131"/>
    <cellStyle name="Note 8 37 2 7" xfId="33132"/>
    <cellStyle name="Note 8 37 3" xfId="33133"/>
    <cellStyle name="Note 8 37 3 2" xfId="33134"/>
    <cellStyle name="Note 8 37 3 2 2" xfId="33135"/>
    <cellStyle name="Note 8 37 3 2 2 2" xfId="33136"/>
    <cellStyle name="Note 8 37 3 2 3" xfId="33137"/>
    <cellStyle name="Note 8 37 3 3" xfId="33138"/>
    <cellStyle name="Note 8 37 3 3 2" xfId="33139"/>
    <cellStyle name="Note 8 37 3 4" xfId="33140"/>
    <cellStyle name="Note 8 37 4" xfId="33141"/>
    <cellStyle name="Note 8 37 4 2" xfId="33142"/>
    <cellStyle name="Note 8 37 4 2 2" xfId="33143"/>
    <cellStyle name="Note 8 37 4 3" xfId="33144"/>
    <cellStyle name="Note 8 37 5" xfId="33145"/>
    <cellStyle name="Note 8 37 5 2" xfId="33146"/>
    <cellStyle name="Note 8 37 5 2 2" xfId="33147"/>
    <cellStyle name="Note 8 37 5 3" xfId="33148"/>
    <cellStyle name="Note 8 37 6" xfId="33149"/>
    <cellStyle name="Note 8 37 6 2" xfId="33150"/>
    <cellStyle name="Note 8 37 6 2 2" xfId="33151"/>
    <cellStyle name="Note 8 37 6 3" xfId="33152"/>
    <cellStyle name="Note 8 37 7" xfId="33153"/>
    <cellStyle name="Note 8 37 7 2" xfId="33154"/>
    <cellStyle name="Note 8 37 7 2 2" xfId="33155"/>
    <cellStyle name="Note 8 37 7 3" xfId="33156"/>
    <cellStyle name="Note 8 37 8" xfId="33157"/>
    <cellStyle name="Note 8 38" xfId="33158"/>
    <cellStyle name="Note 8 38 2" xfId="33159"/>
    <cellStyle name="Note 8 38 2 2" xfId="33160"/>
    <cellStyle name="Note 8 38 2 2 2" xfId="33161"/>
    <cellStyle name="Note 8 38 2 2 2 2" xfId="33162"/>
    <cellStyle name="Note 8 38 2 2 2 2 2" xfId="33163"/>
    <cellStyle name="Note 8 38 2 2 2 3" xfId="33164"/>
    <cellStyle name="Note 8 38 2 2 3" xfId="33165"/>
    <cellStyle name="Note 8 38 2 2 3 2" xfId="33166"/>
    <cellStyle name="Note 8 38 2 2 4" xfId="33167"/>
    <cellStyle name="Note 8 38 2 3" xfId="33168"/>
    <cellStyle name="Note 8 38 2 3 2" xfId="33169"/>
    <cellStyle name="Note 8 38 2 3 2 2" xfId="33170"/>
    <cellStyle name="Note 8 38 2 3 3" xfId="33171"/>
    <cellStyle name="Note 8 38 2 4" xfId="33172"/>
    <cellStyle name="Note 8 38 2 4 2" xfId="33173"/>
    <cellStyle name="Note 8 38 2 4 2 2" xfId="33174"/>
    <cellStyle name="Note 8 38 2 4 3" xfId="33175"/>
    <cellStyle name="Note 8 38 2 5" xfId="33176"/>
    <cellStyle name="Note 8 38 2 5 2" xfId="33177"/>
    <cellStyle name="Note 8 38 2 5 2 2" xfId="33178"/>
    <cellStyle name="Note 8 38 2 5 3" xfId="33179"/>
    <cellStyle name="Note 8 38 2 6" xfId="33180"/>
    <cellStyle name="Note 8 38 2 6 2" xfId="33181"/>
    <cellStyle name="Note 8 38 2 6 2 2" xfId="33182"/>
    <cellStyle name="Note 8 38 2 6 3" xfId="33183"/>
    <cellStyle name="Note 8 38 2 7" xfId="33184"/>
    <cellStyle name="Note 8 38 3" xfId="33185"/>
    <cellStyle name="Note 8 38 3 2" xfId="33186"/>
    <cellStyle name="Note 8 38 3 2 2" xfId="33187"/>
    <cellStyle name="Note 8 38 3 2 2 2" xfId="33188"/>
    <cellStyle name="Note 8 38 3 2 3" xfId="33189"/>
    <cellStyle name="Note 8 38 3 3" xfId="33190"/>
    <cellStyle name="Note 8 38 3 3 2" xfId="33191"/>
    <cellStyle name="Note 8 38 3 4" xfId="33192"/>
    <cellStyle name="Note 8 38 4" xfId="33193"/>
    <cellStyle name="Note 8 38 4 2" xfId="33194"/>
    <cellStyle name="Note 8 38 4 2 2" xfId="33195"/>
    <cellStyle name="Note 8 38 4 3" xfId="33196"/>
    <cellStyle name="Note 8 38 5" xfId="33197"/>
    <cellStyle name="Note 8 38 5 2" xfId="33198"/>
    <cellStyle name="Note 8 38 5 2 2" xfId="33199"/>
    <cellStyle name="Note 8 38 5 3" xfId="33200"/>
    <cellStyle name="Note 8 38 6" xfId="33201"/>
    <cellStyle name="Note 8 38 6 2" xfId="33202"/>
    <cellStyle name="Note 8 38 6 2 2" xfId="33203"/>
    <cellStyle name="Note 8 38 6 3" xfId="33204"/>
    <cellStyle name="Note 8 38 7" xfId="33205"/>
    <cellStyle name="Note 8 38 7 2" xfId="33206"/>
    <cellStyle name="Note 8 38 7 2 2" xfId="33207"/>
    <cellStyle name="Note 8 38 7 3" xfId="33208"/>
    <cellStyle name="Note 8 38 8" xfId="33209"/>
    <cellStyle name="Note 8 39" xfId="33210"/>
    <cellStyle name="Note 8 39 2" xfId="33211"/>
    <cellStyle name="Note 8 39 2 2" xfId="33212"/>
    <cellStyle name="Note 8 39 2 2 2" xfId="33213"/>
    <cellStyle name="Note 8 39 2 2 2 2" xfId="33214"/>
    <cellStyle name="Note 8 39 2 2 2 2 2" xfId="33215"/>
    <cellStyle name="Note 8 39 2 2 2 3" xfId="33216"/>
    <cellStyle name="Note 8 39 2 2 3" xfId="33217"/>
    <cellStyle name="Note 8 39 2 2 3 2" xfId="33218"/>
    <cellStyle name="Note 8 39 2 2 4" xfId="33219"/>
    <cellStyle name="Note 8 39 2 3" xfId="33220"/>
    <cellStyle name="Note 8 39 2 3 2" xfId="33221"/>
    <cellStyle name="Note 8 39 2 3 2 2" xfId="33222"/>
    <cellStyle name="Note 8 39 2 3 3" xfId="33223"/>
    <cellStyle name="Note 8 39 2 4" xfId="33224"/>
    <cellStyle name="Note 8 39 2 4 2" xfId="33225"/>
    <cellStyle name="Note 8 39 2 4 2 2" xfId="33226"/>
    <cellStyle name="Note 8 39 2 4 3" xfId="33227"/>
    <cellStyle name="Note 8 39 2 5" xfId="33228"/>
    <cellStyle name="Note 8 39 2 5 2" xfId="33229"/>
    <cellStyle name="Note 8 39 2 5 2 2" xfId="33230"/>
    <cellStyle name="Note 8 39 2 5 3" xfId="33231"/>
    <cellStyle name="Note 8 39 2 6" xfId="33232"/>
    <cellStyle name="Note 8 39 2 6 2" xfId="33233"/>
    <cellStyle name="Note 8 39 2 6 2 2" xfId="33234"/>
    <cellStyle name="Note 8 39 2 6 3" xfId="33235"/>
    <cellStyle name="Note 8 39 2 7" xfId="33236"/>
    <cellStyle name="Note 8 39 3" xfId="33237"/>
    <cellStyle name="Note 8 39 3 2" xfId="33238"/>
    <cellStyle name="Note 8 39 3 2 2" xfId="33239"/>
    <cellStyle name="Note 8 39 3 2 2 2" xfId="33240"/>
    <cellStyle name="Note 8 39 3 2 3" xfId="33241"/>
    <cellStyle name="Note 8 39 3 3" xfId="33242"/>
    <cellStyle name="Note 8 39 3 3 2" xfId="33243"/>
    <cellStyle name="Note 8 39 3 4" xfId="33244"/>
    <cellStyle name="Note 8 39 4" xfId="33245"/>
    <cellStyle name="Note 8 39 4 2" xfId="33246"/>
    <cellStyle name="Note 8 39 4 2 2" xfId="33247"/>
    <cellStyle name="Note 8 39 4 3" xfId="33248"/>
    <cellStyle name="Note 8 39 5" xfId="33249"/>
    <cellStyle name="Note 8 39 5 2" xfId="33250"/>
    <cellStyle name="Note 8 39 5 2 2" xfId="33251"/>
    <cellStyle name="Note 8 39 5 3" xfId="33252"/>
    <cellStyle name="Note 8 39 6" xfId="33253"/>
    <cellStyle name="Note 8 39 6 2" xfId="33254"/>
    <cellStyle name="Note 8 39 6 2 2" xfId="33255"/>
    <cellStyle name="Note 8 39 6 3" xfId="33256"/>
    <cellStyle name="Note 8 39 7" xfId="33257"/>
    <cellStyle name="Note 8 39 7 2" xfId="33258"/>
    <cellStyle name="Note 8 39 7 2 2" xfId="33259"/>
    <cellStyle name="Note 8 39 7 3" xfId="33260"/>
    <cellStyle name="Note 8 39 8" xfId="33261"/>
    <cellStyle name="Note 8 4" xfId="33262"/>
    <cellStyle name="Note 8 4 2" xfId="33263"/>
    <cellStyle name="Note 8 4 2 2" xfId="33264"/>
    <cellStyle name="Note 8 4 2 2 2" xfId="33265"/>
    <cellStyle name="Note 8 4 2 2 2 2" xfId="33266"/>
    <cellStyle name="Note 8 4 2 2 2 2 2" xfId="33267"/>
    <cellStyle name="Note 8 4 2 2 2 3" xfId="33268"/>
    <cellStyle name="Note 8 4 2 2 3" xfId="33269"/>
    <cellStyle name="Note 8 4 2 2 3 2" xfId="33270"/>
    <cellStyle name="Note 8 4 2 2 4" xfId="33271"/>
    <cellStyle name="Note 8 4 2 3" xfId="33272"/>
    <cellStyle name="Note 8 4 2 3 2" xfId="33273"/>
    <cellStyle name="Note 8 4 2 3 2 2" xfId="33274"/>
    <cellStyle name="Note 8 4 2 3 3" xfId="33275"/>
    <cellStyle name="Note 8 4 2 4" xfId="33276"/>
    <cellStyle name="Note 8 4 2 4 2" xfId="33277"/>
    <cellStyle name="Note 8 4 2 4 2 2" xfId="33278"/>
    <cellStyle name="Note 8 4 2 4 3" xfId="33279"/>
    <cellStyle name="Note 8 4 2 5" xfId="33280"/>
    <cellStyle name="Note 8 4 2 5 2" xfId="33281"/>
    <cellStyle name="Note 8 4 2 5 2 2" xfId="33282"/>
    <cellStyle name="Note 8 4 2 5 3" xfId="33283"/>
    <cellStyle name="Note 8 4 2 6" xfId="33284"/>
    <cellStyle name="Note 8 4 2 6 2" xfId="33285"/>
    <cellStyle name="Note 8 4 2 6 2 2" xfId="33286"/>
    <cellStyle name="Note 8 4 2 6 3" xfId="33287"/>
    <cellStyle name="Note 8 4 2 7" xfId="33288"/>
    <cellStyle name="Note 8 4 3" xfId="33289"/>
    <cellStyle name="Note 8 4 3 2" xfId="33290"/>
    <cellStyle name="Note 8 4 3 2 2" xfId="33291"/>
    <cellStyle name="Note 8 4 3 2 2 2" xfId="33292"/>
    <cellStyle name="Note 8 4 3 2 3" xfId="33293"/>
    <cellStyle name="Note 8 4 3 3" xfId="33294"/>
    <cellStyle name="Note 8 4 3 3 2" xfId="33295"/>
    <cellStyle name="Note 8 4 3 4" xfId="33296"/>
    <cellStyle name="Note 8 4 4" xfId="33297"/>
    <cellStyle name="Note 8 4 4 2" xfId="33298"/>
    <cellStyle name="Note 8 4 4 2 2" xfId="33299"/>
    <cellStyle name="Note 8 4 4 3" xfId="33300"/>
    <cellStyle name="Note 8 4 5" xfId="33301"/>
    <cellStyle name="Note 8 4 5 2" xfId="33302"/>
    <cellStyle name="Note 8 4 5 2 2" xfId="33303"/>
    <cellStyle name="Note 8 4 5 3" xfId="33304"/>
    <cellStyle name="Note 8 4 6" xfId="33305"/>
    <cellStyle name="Note 8 4 6 2" xfId="33306"/>
    <cellStyle name="Note 8 4 6 2 2" xfId="33307"/>
    <cellStyle name="Note 8 4 6 3" xfId="33308"/>
    <cellStyle name="Note 8 4 7" xfId="33309"/>
    <cellStyle name="Note 8 4 7 2" xfId="33310"/>
    <cellStyle name="Note 8 4 7 2 2" xfId="33311"/>
    <cellStyle name="Note 8 4 7 3" xfId="33312"/>
    <cellStyle name="Note 8 4 8" xfId="33313"/>
    <cellStyle name="Note 8 40" xfId="33314"/>
    <cellStyle name="Note 8 40 2" xfId="33315"/>
    <cellStyle name="Note 8 40 2 2" xfId="33316"/>
    <cellStyle name="Note 8 40 2 2 2" xfId="33317"/>
    <cellStyle name="Note 8 40 2 2 2 2" xfId="33318"/>
    <cellStyle name="Note 8 40 2 2 2 2 2" xfId="33319"/>
    <cellStyle name="Note 8 40 2 2 2 3" xfId="33320"/>
    <cellStyle name="Note 8 40 2 2 3" xfId="33321"/>
    <cellStyle name="Note 8 40 2 2 3 2" xfId="33322"/>
    <cellStyle name="Note 8 40 2 2 4" xfId="33323"/>
    <cellStyle name="Note 8 40 2 3" xfId="33324"/>
    <cellStyle name="Note 8 40 2 3 2" xfId="33325"/>
    <cellStyle name="Note 8 40 2 3 2 2" xfId="33326"/>
    <cellStyle name="Note 8 40 2 3 3" xfId="33327"/>
    <cellStyle name="Note 8 40 2 4" xfId="33328"/>
    <cellStyle name="Note 8 40 2 4 2" xfId="33329"/>
    <cellStyle name="Note 8 40 2 4 2 2" xfId="33330"/>
    <cellStyle name="Note 8 40 2 4 3" xfId="33331"/>
    <cellStyle name="Note 8 40 2 5" xfId="33332"/>
    <cellStyle name="Note 8 40 2 5 2" xfId="33333"/>
    <cellStyle name="Note 8 40 2 5 2 2" xfId="33334"/>
    <cellStyle name="Note 8 40 2 5 3" xfId="33335"/>
    <cellStyle name="Note 8 40 2 6" xfId="33336"/>
    <cellStyle name="Note 8 40 2 6 2" xfId="33337"/>
    <cellStyle name="Note 8 40 2 6 2 2" xfId="33338"/>
    <cellStyle name="Note 8 40 2 6 3" xfId="33339"/>
    <cellStyle name="Note 8 40 2 7" xfId="33340"/>
    <cellStyle name="Note 8 40 3" xfId="33341"/>
    <cellStyle name="Note 8 40 3 2" xfId="33342"/>
    <cellStyle name="Note 8 40 3 2 2" xfId="33343"/>
    <cellStyle name="Note 8 40 3 2 2 2" xfId="33344"/>
    <cellStyle name="Note 8 40 3 2 3" xfId="33345"/>
    <cellStyle name="Note 8 40 3 3" xfId="33346"/>
    <cellStyle name="Note 8 40 3 3 2" xfId="33347"/>
    <cellStyle name="Note 8 40 3 4" xfId="33348"/>
    <cellStyle name="Note 8 40 4" xfId="33349"/>
    <cellStyle name="Note 8 40 4 2" xfId="33350"/>
    <cellStyle name="Note 8 40 4 2 2" xfId="33351"/>
    <cellStyle name="Note 8 40 4 3" xfId="33352"/>
    <cellStyle name="Note 8 40 5" xfId="33353"/>
    <cellStyle name="Note 8 40 5 2" xfId="33354"/>
    <cellStyle name="Note 8 40 5 2 2" xfId="33355"/>
    <cellStyle name="Note 8 40 5 3" xfId="33356"/>
    <cellStyle name="Note 8 40 6" xfId="33357"/>
    <cellStyle name="Note 8 40 6 2" xfId="33358"/>
    <cellStyle name="Note 8 40 6 2 2" xfId="33359"/>
    <cellStyle name="Note 8 40 6 3" xfId="33360"/>
    <cellStyle name="Note 8 40 7" xfId="33361"/>
    <cellStyle name="Note 8 40 7 2" xfId="33362"/>
    <cellStyle name="Note 8 40 7 2 2" xfId="33363"/>
    <cellStyle name="Note 8 40 7 3" xfId="33364"/>
    <cellStyle name="Note 8 40 8" xfId="33365"/>
    <cellStyle name="Note 8 41" xfId="33366"/>
    <cellStyle name="Note 8 41 2" xfId="33367"/>
    <cellStyle name="Note 8 41 2 2" xfId="33368"/>
    <cellStyle name="Note 8 41 2 2 2" xfId="33369"/>
    <cellStyle name="Note 8 41 2 2 2 2" xfId="33370"/>
    <cellStyle name="Note 8 41 2 2 2 2 2" xfId="33371"/>
    <cellStyle name="Note 8 41 2 2 2 3" xfId="33372"/>
    <cellStyle name="Note 8 41 2 2 3" xfId="33373"/>
    <cellStyle name="Note 8 41 2 2 3 2" xfId="33374"/>
    <cellStyle name="Note 8 41 2 2 4" xfId="33375"/>
    <cellStyle name="Note 8 41 2 3" xfId="33376"/>
    <cellStyle name="Note 8 41 2 3 2" xfId="33377"/>
    <cellStyle name="Note 8 41 2 3 2 2" xfId="33378"/>
    <cellStyle name="Note 8 41 2 3 3" xfId="33379"/>
    <cellStyle name="Note 8 41 2 4" xfId="33380"/>
    <cellStyle name="Note 8 41 2 4 2" xfId="33381"/>
    <cellStyle name="Note 8 41 2 4 2 2" xfId="33382"/>
    <cellStyle name="Note 8 41 2 4 3" xfId="33383"/>
    <cellStyle name="Note 8 41 2 5" xfId="33384"/>
    <cellStyle name="Note 8 41 2 5 2" xfId="33385"/>
    <cellStyle name="Note 8 41 2 5 2 2" xfId="33386"/>
    <cellStyle name="Note 8 41 2 5 3" xfId="33387"/>
    <cellStyle name="Note 8 41 2 6" xfId="33388"/>
    <cellStyle name="Note 8 41 2 6 2" xfId="33389"/>
    <cellStyle name="Note 8 41 2 6 2 2" xfId="33390"/>
    <cellStyle name="Note 8 41 2 6 3" xfId="33391"/>
    <cellStyle name="Note 8 41 2 7" xfId="33392"/>
    <cellStyle name="Note 8 41 3" xfId="33393"/>
    <cellStyle name="Note 8 41 3 2" xfId="33394"/>
    <cellStyle name="Note 8 41 3 2 2" xfId="33395"/>
    <cellStyle name="Note 8 41 3 2 2 2" xfId="33396"/>
    <cellStyle name="Note 8 41 3 2 3" xfId="33397"/>
    <cellStyle name="Note 8 41 3 3" xfId="33398"/>
    <cellStyle name="Note 8 41 3 3 2" xfId="33399"/>
    <cellStyle name="Note 8 41 3 4" xfId="33400"/>
    <cellStyle name="Note 8 41 4" xfId="33401"/>
    <cellStyle name="Note 8 41 4 2" xfId="33402"/>
    <cellStyle name="Note 8 41 4 2 2" xfId="33403"/>
    <cellStyle name="Note 8 41 4 3" xfId="33404"/>
    <cellStyle name="Note 8 41 5" xfId="33405"/>
    <cellStyle name="Note 8 41 5 2" xfId="33406"/>
    <cellStyle name="Note 8 41 5 2 2" xfId="33407"/>
    <cellStyle name="Note 8 41 5 3" xfId="33408"/>
    <cellStyle name="Note 8 41 6" xfId="33409"/>
    <cellStyle name="Note 8 41 6 2" xfId="33410"/>
    <cellStyle name="Note 8 41 6 2 2" xfId="33411"/>
    <cellStyle name="Note 8 41 6 3" xfId="33412"/>
    <cellStyle name="Note 8 41 7" xfId="33413"/>
    <cellStyle name="Note 8 41 7 2" xfId="33414"/>
    <cellStyle name="Note 8 41 7 2 2" xfId="33415"/>
    <cellStyle name="Note 8 41 7 3" xfId="33416"/>
    <cellStyle name="Note 8 41 8" xfId="33417"/>
    <cellStyle name="Note 8 42" xfId="33418"/>
    <cellStyle name="Note 8 42 2" xfId="33419"/>
    <cellStyle name="Note 8 42 2 2" xfId="33420"/>
    <cellStyle name="Note 8 42 2 2 2" xfId="33421"/>
    <cellStyle name="Note 8 42 2 2 2 2" xfId="33422"/>
    <cellStyle name="Note 8 42 2 2 2 2 2" xfId="33423"/>
    <cellStyle name="Note 8 42 2 2 2 3" xfId="33424"/>
    <cellStyle name="Note 8 42 2 2 3" xfId="33425"/>
    <cellStyle name="Note 8 42 2 2 3 2" xfId="33426"/>
    <cellStyle name="Note 8 42 2 2 4" xfId="33427"/>
    <cellStyle name="Note 8 42 2 3" xfId="33428"/>
    <cellStyle name="Note 8 42 2 3 2" xfId="33429"/>
    <cellStyle name="Note 8 42 2 3 2 2" xfId="33430"/>
    <cellStyle name="Note 8 42 2 3 3" xfId="33431"/>
    <cellStyle name="Note 8 42 2 4" xfId="33432"/>
    <cellStyle name="Note 8 42 2 4 2" xfId="33433"/>
    <cellStyle name="Note 8 42 2 4 2 2" xfId="33434"/>
    <cellStyle name="Note 8 42 2 4 3" xfId="33435"/>
    <cellStyle name="Note 8 42 2 5" xfId="33436"/>
    <cellStyle name="Note 8 42 2 5 2" xfId="33437"/>
    <cellStyle name="Note 8 42 2 5 2 2" xfId="33438"/>
    <cellStyle name="Note 8 42 2 5 3" xfId="33439"/>
    <cellStyle name="Note 8 42 2 6" xfId="33440"/>
    <cellStyle name="Note 8 42 2 6 2" xfId="33441"/>
    <cellStyle name="Note 8 42 2 6 2 2" xfId="33442"/>
    <cellStyle name="Note 8 42 2 6 3" xfId="33443"/>
    <cellStyle name="Note 8 42 2 7" xfId="33444"/>
    <cellStyle name="Note 8 42 3" xfId="33445"/>
    <cellStyle name="Note 8 42 3 2" xfId="33446"/>
    <cellStyle name="Note 8 42 3 2 2" xfId="33447"/>
    <cellStyle name="Note 8 42 3 2 2 2" xfId="33448"/>
    <cellStyle name="Note 8 42 3 2 3" xfId="33449"/>
    <cellStyle name="Note 8 42 3 3" xfId="33450"/>
    <cellStyle name="Note 8 42 3 3 2" xfId="33451"/>
    <cellStyle name="Note 8 42 3 4" xfId="33452"/>
    <cellStyle name="Note 8 42 4" xfId="33453"/>
    <cellStyle name="Note 8 42 4 2" xfId="33454"/>
    <cellStyle name="Note 8 42 4 2 2" xfId="33455"/>
    <cellStyle name="Note 8 42 4 3" xfId="33456"/>
    <cellStyle name="Note 8 42 5" xfId="33457"/>
    <cellStyle name="Note 8 42 5 2" xfId="33458"/>
    <cellStyle name="Note 8 42 5 2 2" xfId="33459"/>
    <cellStyle name="Note 8 42 5 3" xfId="33460"/>
    <cellStyle name="Note 8 42 6" xfId="33461"/>
    <cellStyle name="Note 8 42 6 2" xfId="33462"/>
    <cellStyle name="Note 8 42 6 2 2" xfId="33463"/>
    <cellStyle name="Note 8 42 6 3" xfId="33464"/>
    <cellStyle name="Note 8 42 7" xfId="33465"/>
    <cellStyle name="Note 8 42 7 2" xfId="33466"/>
    <cellStyle name="Note 8 42 7 2 2" xfId="33467"/>
    <cellStyle name="Note 8 42 7 3" xfId="33468"/>
    <cellStyle name="Note 8 42 8" xfId="33469"/>
    <cellStyle name="Note 8 43" xfId="33470"/>
    <cellStyle name="Note 8 43 2" xfId="33471"/>
    <cellStyle name="Note 8 43 2 2" xfId="33472"/>
    <cellStyle name="Note 8 43 2 2 2" xfId="33473"/>
    <cellStyle name="Note 8 43 2 2 2 2" xfId="33474"/>
    <cellStyle name="Note 8 43 2 2 2 2 2" xfId="33475"/>
    <cellStyle name="Note 8 43 2 2 2 3" xfId="33476"/>
    <cellStyle name="Note 8 43 2 2 3" xfId="33477"/>
    <cellStyle name="Note 8 43 2 2 3 2" xfId="33478"/>
    <cellStyle name="Note 8 43 2 2 4" xfId="33479"/>
    <cellStyle name="Note 8 43 2 3" xfId="33480"/>
    <cellStyle name="Note 8 43 2 3 2" xfId="33481"/>
    <cellStyle name="Note 8 43 2 3 2 2" xfId="33482"/>
    <cellStyle name="Note 8 43 2 3 3" xfId="33483"/>
    <cellStyle name="Note 8 43 2 4" xfId="33484"/>
    <cellStyle name="Note 8 43 2 4 2" xfId="33485"/>
    <cellStyle name="Note 8 43 2 4 2 2" xfId="33486"/>
    <cellStyle name="Note 8 43 2 4 3" xfId="33487"/>
    <cellStyle name="Note 8 43 2 5" xfId="33488"/>
    <cellStyle name="Note 8 43 2 5 2" xfId="33489"/>
    <cellStyle name="Note 8 43 2 5 2 2" xfId="33490"/>
    <cellStyle name="Note 8 43 2 5 3" xfId="33491"/>
    <cellStyle name="Note 8 43 2 6" xfId="33492"/>
    <cellStyle name="Note 8 43 2 6 2" xfId="33493"/>
    <cellStyle name="Note 8 43 2 6 2 2" xfId="33494"/>
    <cellStyle name="Note 8 43 2 6 3" xfId="33495"/>
    <cellStyle name="Note 8 43 2 7" xfId="33496"/>
    <cellStyle name="Note 8 43 3" xfId="33497"/>
    <cellStyle name="Note 8 43 3 2" xfId="33498"/>
    <cellStyle name="Note 8 43 3 2 2" xfId="33499"/>
    <cellStyle name="Note 8 43 3 2 2 2" xfId="33500"/>
    <cellStyle name="Note 8 43 3 2 3" xfId="33501"/>
    <cellStyle name="Note 8 43 3 3" xfId="33502"/>
    <cellStyle name="Note 8 43 3 3 2" xfId="33503"/>
    <cellStyle name="Note 8 43 3 4" xfId="33504"/>
    <cellStyle name="Note 8 43 4" xfId="33505"/>
    <cellStyle name="Note 8 43 4 2" xfId="33506"/>
    <cellStyle name="Note 8 43 4 2 2" xfId="33507"/>
    <cellStyle name="Note 8 43 4 3" xfId="33508"/>
    <cellStyle name="Note 8 43 5" xfId="33509"/>
    <cellStyle name="Note 8 43 5 2" xfId="33510"/>
    <cellStyle name="Note 8 43 5 2 2" xfId="33511"/>
    <cellStyle name="Note 8 43 5 3" xfId="33512"/>
    <cellStyle name="Note 8 43 6" xfId="33513"/>
    <cellStyle name="Note 8 43 6 2" xfId="33514"/>
    <cellStyle name="Note 8 43 6 2 2" xfId="33515"/>
    <cellStyle name="Note 8 43 6 3" xfId="33516"/>
    <cellStyle name="Note 8 43 7" xfId="33517"/>
    <cellStyle name="Note 8 43 7 2" xfId="33518"/>
    <cellStyle name="Note 8 43 7 2 2" xfId="33519"/>
    <cellStyle name="Note 8 43 7 3" xfId="33520"/>
    <cellStyle name="Note 8 43 8" xfId="33521"/>
    <cellStyle name="Note 8 44" xfId="33522"/>
    <cellStyle name="Note 8 44 2" xfId="33523"/>
    <cellStyle name="Note 8 44 2 2" xfId="33524"/>
    <cellStyle name="Note 8 44 2 2 2" xfId="33525"/>
    <cellStyle name="Note 8 44 2 2 2 2" xfId="33526"/>
    <cellStyle name="Note 8 44 2 2 2 2 2" xfId="33527"/>
    <cellStyle name="Note 8 44 2 2 2 3" xfId="33528"/>
    <cellStyle name="Note 8 44 2 2 3" xfId="33529"/>
    <cellStyle name="Note 8 44 2 2 3 2" xfId="33530"/>
    <cellStyle name="Note 8 44 2 2 4" xfId="33531"/>
    <cellStyle name="Note 8 44 2 3" xfId="33532"/>
    <cellStyle name="Note 8 44 2 3 2" xfId="33533"/>
    <cellStyle name="Note 8 44 2 3 2 2" xfId="33534"/>
    <cellStyle name="Note 8 44 2 3 3" xfId="33535"/>
    <cellStyle name="Note 8 44 2 4" xfId="33536"/>
    <cellStyle name="Note 8 44 2 4 2" xfId="33537"/>
    <cellStyle name="Note 8 44 2 4 2 2" xfId="33538"/>
    <cellStyle name="Note 8 44 2 4 3" xfId="33539"/>
    <cellStyle name="Note 8 44 2 5" xfId="33540"/>
    <cellStyle name="Note 8 44 2 5 2" xfId="33541"/>
    <cellStyle name="Note 8 44 2 5 2 2" xfId="33542"/>
    <cellStyle name="Note 8 44 2 5 3" xfId="33543"/>
    <cellStyle name="Note 8 44 2 6" xfId="33544"/>
    <cellStyle name="Note 8 44 2 6 2" xfId="33545"/>
    <cellStyle name="Note 8 44 2 6 2 2" xfId="33546"/>
    <cellStyle name="Note 8 44 2 6 3" xfId="33547"/>
    <cellStyle name="Note 8 44 2 7" xfId="33548"/>
    <cellStyle name="Note 8 44 3" xfId="33549"/>
    <cellStyle name="Note 8 44 3 2" xfId="33550"/>
    <cellStyle name="Note 8 44 3 2 2" xfId="33551"/>
    <cellStyle name="Note 8 44 3 2 2 2" xfId="33552"/>
    <cellStyle name="Note 8 44 3 2 3" xfId="33553"/>
    <cellStyle name="Note 8 44 3 3" xfId="33554"/>
    <cellStyle name="Note 8 44 3 3 2" xfId="33555"/>
    <cellStyle name="Note 8 44 3 4" xfId="33556"/>
    <cellStyle name="Note 8 44 4" xfId="33557"/>
    <cellStyle name="Note 8 44 4 2" xfId="33558"/>
    <cellStyle name="Note 8 44 4 2 2" xfId="33559"/>
    <cellStyle name="Note 8 44 4 3" xfId="33560"/>
    <cellStyle name="Note 8 44 5" xfId="33561"/>
    <cellStyle name="Note 8 44 5 2" xfId="33562"/>
    <cellStyle name="Note 8 44 5 2 2" xfId="33563"/>
    <cellStyle name="Note 8 44 5 3" xfId="33564"/>
    <cellStyle name="Note 8 44 6" xfId="33565"/>
    <cellStyle name="Note 8 44 6 2" xfId="33566"/>
    <cellStyle name="Note 8 44 6 2 2" xfId="33567"/>
    <cellStyle name="Note 8 44 6 3" xfId="33568"/>
    <cellStyle name="Note 8 44 7" xfId="33569"/>
    <cellStyle name="Note 8 44 7 2" xfId="33570"/>
    <cellStyle name="Note 8 44 7 2 2" xfId="33571"/>
    <cellStyle name="Note 8 44 7 3" xfId="33572"/>
    <cellStyle name="Note 8 44 8" xfId="33573"/>
    <cellStyle name="Note 8 45" xfId="33574"/>
    <cellStyle name="Note 8 45 2" xfId="33575"/>
    <cellStyle name="Note 8 45 2 2" xfId="33576"/>
    <cellStyle name="Note 8 45 2 2 2" xfId="33577"/>
    <cellStyle name="Note 8 45 2 2 2 2" xfId="33578"/>
    <cellStyle name="Note 8 45 2 2 2 2 2" xfId="33579"/>
    <cellStyle name="Note 8 45 2 2 2 3" xfId="33580"/>
    <cellStyle name="Note 8 45 2 2 3" xfId="33581"/>
    <cellStyle name="Note 8 45 2 2 3 2" xfId="33582"/>
    <cellStyle name="Note 8 45 2 2 4" xfId="33583"/>
    <cellStyle name="Note 8 45 2 3" xfId="33584"/>
    <cellStyle name="Note 8 45 2 3 2" xfId="33585"/>
    <cellStyle name="Note 8 45 2 3 2 2" xfId="33586"/>
    <cellStyle name="Note 8 45 2 3 3" xfId="33587"/>
    <cellStyle name="Note 8 45 2 4" xfId="33588"/>
    <cellStyle name="Note 8 45 2 4 2" xfId="33589"/>
    <cellStyle name="Note 8 45 2 4 2 2" xfId="33590"/>
    <cellStyle name="Note 8 45 2 4 3" xfId="33591"/>
    <cellStyle name="Note 8 45 2 5" xfId="33592"/>
    <cellStyle name="Note 8 45 2 5 2" xfId="33593"/>
    <cellStyle name="Note 8 45 2 5 2 2" xfId="33594"/>
    <cellStyle name="Note 8 45 2 5 3" xfId="33595"/>
    <cellStyle name="Note 8 45 2 6" xfId="33596"/>
    <cellStyle name="Note 8 45 2 6 2" xfId="33597"/>
    <cellStyle name="Note 8 45 2 6 2 2" xfId="33598"/>
    <cellStyle name="Note 8 45 2 6 3" xfId="33599"/>
    <cellStyle name="Note 8 45 2 7" xfId="33600"/>
    <cellStyle name="Note 8 45 3" xfId="33601"/>
    <cellStyle name="Note 8 45 3 2" xfId="33602"/>
    <cellStyle name="Note 8 45 3 2 2" xfId="33603"/>
    <cellStyle name="Note 8 45 3 2 2 2" xfId="33604"/>
    <cellStyle name="Note 8 45 3 2 3" xfId="33605"/>
    <cellStyle name="Note 8 45 3 3" xfId="33606"/>
    <cellStyle name="Note 8 45 3 3 2" xfId="33607"/>
    <cellStyle name="Note 8 45 3 4" xfId="33608"/>
    <cellStyle name="Note 8 45 4" xfId="33609"/>
    <cellStyle name="Note 8 45 4 2" xfId="33610"/>
    <cellStyle name="Note 8 45 4 2 2" xfId="33611"/>
    <cellStyle name="Note 8 45 4 3" xfId="33612"/>
    <cellStyle name="Note 8 45 5" xfId="33613"/>
    <cellStyle name="Note 8 45 5 2" xfId="33614"/>
    <cellStyle name="Note 8 45 5 2 2" xfId="33615"/>
    <cellStyle name="Note 8 45 5 3" xfId="33616"/>
    <cellStyle name="Note 8 45 6" xfId="33617"/>
    <cellStyle name="Note 8 45 6 2" xfId="33618"/>
    <cellStyle name="Note 8 45 6 2 2" xfId="33619"/>
    <cellStyle name="Note 8 45 6 3" xfId="33620"/>
    <cellStyle name="Note 8 45 7" xfId="33621"/>
    <cellStyle name="Note 8 45 7 2" xfId="33622"/>
    <cellStyle name="Note 8 45 7 2 2" xfId="33623"/>
    <cellStyle name="Note 8 45 7 3" xfId="33624"/>
    <cellStyle name="Note 8 45 8" xfId="33625"/>
    <cellStyle name="Note 8 46" xfId="33626"/>
    <cellStyle name="Note 8 46 2" xfId="33627"/>
    <cellStyle name="Note 8 46 2 2" xfId="33628"/>
    <cellStyle name="Note 8 46 2 2 2" xfId="33629"/>
    <cellStyle name="Note 8 46 2 2 2 2" xfId="33630"/>
    <cellStyle name="Note 8 46 2 2 2 2 2" xfId="33631"/>
    <cellStyle name="Note 8 46 2 2 2 3" xfId="33632"/>
    <cellStyle name="Note 8 46 2 2 3" xfId="33633"/>
    <cellStyle name="Note 8 46 2 2 3 2" xfId="33634"/>
    <cellStyle name="Note 8 46 2 2 4" xfId="33635"/>
    <cellStyle name="Note 8 46 2 3" xfId="33636"/>
    <cellStyle name="Note 8 46 2 3 2" xfId="33637"/>
    <cellStyle name="Note 8 46 2 3 2 2" xfId="33638"/>
    <cellStyle name="Note 8 46 2 3 3" xfId="33639"/>
    <cellStyle name="Note 8 46 2 4" xfId="33640"/>
    <cellStyle name="Note 8 46 2 4 2" xfId="33641"/>
    <cellStyle name="Note 8 46 2 4 2 2" xfId="33642"/>
    <cellStyle name="Note 8 46 2 4 3" xfId="33643"/>
    <cellStyle name="Note 8 46 2 5" xfId="33644"/>
    <cellStyle name="Note 8 46 2 5 2" xfId="33645"/>
    <cellStyle name="Note 8 46 2 5 2 2" xfId="33646"/>
    <cellStyle name="Note 8 46 2 5 3" xfId="33647"/>
    <cellStyle name="Note 8 46 2 6" xfId="33648"/>
    <cellStyle name="Note 8 46 2 6 2" xfId="33649"/>
    <cellStyle name="Note 8 46 2 6 2 2" xfId="33650"/>
    <cellStyle name="Note 8 46 2 6 3" xfId="33651"/>
    <cellStyle name="Note 8 46 2 7" xfId="33652"/>
    <cellStyle name="Note 8 46 3" xfId="33653"/>
    <cellStyle name="Note 8 46 3 2" xfId="33654"/>
    <cellStyle name="Note 8 46 3 2 2" xfId="33655"/>
    <cellStyle name="Note 8 46 3 2 2 2" xfId="33656"/>
    <cellStyle name="Note 8 46 3 2 3" xfId="33657"/>
    <cellStyle name="Note 8 46 3 3" xfId="33658"/>
    <cellStyle name="Note 8 46 3 3 2" xfId="33659"/>
    <cellStyle name="Note 8 46 3 4" xfId="33660"/>
    <cellStyle name="Note 8 46 4" xfId="33661"/>
    <cellStyle name="Note 8 46 4 2" xfId="33662"/>
    <cellStyle name="Note 8 46 4 2 2" xfId="33663"/>
    <cellStyle name="Note 8 46 4 3" xfId="33664"/>
    <cellStyle name="Note 8 46 5" xfId="33665"/>
    <cellStyle name="Note 8 46 5 2" xfId="33666"/>
    <cellStyle name="Note 8 46 5 2 2" xfId="33667"/>
    <cellStyle name="Note 8 46 5 3" xfId="33668"/>
    <cellStyle name="Note 8 46 6" xfId="33669"/>
    <cellStyle name="Note 8 46 6 2" xfId="33670"/>
    <cellStyle name="Note 8 46 6 2 2" xfId="33671"/>
    <cellStyle name="Note 8 46 6 3" xfId="33672"/>
    <cellStyle name="Note 8 46 7" xfId="33673"/>
    <cellStyle name="Note 8 46 7 2" xfId="33674"/>
    <cellStyle name="Note 8 46 7 2 2" xfId="33675"/>
    <cellStyle name="Note 8 46 7 3" xfId="33676"/>
    <cellStyle name="Note 8 46 8" xfId="33677"/>
    <cellStyle name="Note 8 47" xfId="33678"/>
    <cellStyle name="Note 8 47 2" xfId="33679"/>
    <cellStyle name="Note 8 47 2 2" xfId="33680"/>
    <cellStyle name="Note 8 47 2 2 2" xfId="33681"/>
    <cellStyle name="Note 8 47 2 2 2 2" xfId="33682"/>
    <cellStyle name="Note 8 47 2 2 2 2 2" xfId="33683"/>
    <cellStyle name="Note 8 47 2 2 2 3" xfId="33684"/>
    <cellStyle name="Note 8 47 2 2 3" xfId="33685"/>
    <cellStyle name="Note 8 47 2 2 3 2" xfId="33686"/>
    <cellStyle name="Note 8 47 2 2 4" xfId="33687"/>
    <cellStyle name="Note 8 47 2 3" xfId="33688"/>
    <cellStyle name="Note 8 47 2 3 2" xfId="33689"/>
    <cellStyle name="Note 8 47 2 3 2 2" xfId="33690"/>
    <cellStyle name="Note 8 47 2 3 3" xfId="33691"/>
    <cellStyle name="Note 8 47 2 4" xfId="33692"/>
    <cellStyle name="Note 8 47 2 4 2" xfId="33693"/>
    <cellStyle name="Note 8 47 2 4 2 2" xfId="33694"/>
    <cellStyle name="Note 8 47 2 4 3" xfId="33695"/>
    <cellStyle name="Note 8 47 2 5" xfId="33696"/>
    <cellStyle name="Note 8 47 2 5 2" xfId="33697"/>
    <cellStyle name="Note 8 47 2 5 2 2" xfId="33698"/>
    <cellStyle name="Note 8 47 2 5 3" xfId="33699"/>
    <cellStyle name="Note 8 47 2 6" xfId="33700"/>
    <cellStyle name="Note 8 47 2 6 2" xfId="33701"/>
    <cellStyle name="Note 8 47 2 6 2 2" xfId="33702"/>
    <cellStyle name="Note 8 47 2 6 3" xfId="33703"/>
    <cellStyle name="Note 8 47 2 7" xfId="33704"/>
    <cellStyle name="Note 8 47 3" xfId="33705"/>
    <cellStyle name="Note 8 47 3 2" xfId="33706"/>
    <cellStyle name="Note 8 47 3 2 2" xfId="33707"/>
    <cellStyle name="Note 8 47 3 2 2 2" xfId="33708"/>
    <cellStyle name="Note 8 47 3 2 3" xfId="33709"/>
    <cellStyle name="Note 8 47 3 3" xfId="33710"/>
    <cellStyle name="Note 8 47 3 3 2" xfId="33711"/>
    <cellStyle name="Note 8 47 3 4" xfId="33712"/>
    <cellStyle name="Note 8 47 4" xfId="33713"/>
    <cellStyle name="Note 8 47 4 2" xfId="33714"/>
    <cellStyle name="Note 8 47 4 2 2" xfId="33715"/>
    <cellStyle name="Note 8 47 4 3" xfId="33716"/>
    <cellStyle name="Note 8 47 5" xfId="33717"/>
    <cellStyle name="Note 8 47 5 2" xfId="33718"/>
    <cellStyle name="Note 8 47 5 2 2" xfId="33719"/>
    <cellStyle name="Note 8 47 5 3" xfId="33720"/>
    <cellStyle name="Note 8 47 6" xfId="33721"/>
    <cellStyle name="Note 8 47 6 2" xfId="33722"/>
    <cellStyle name="Note 8 47 6 2 2" xfId="33723"/>
    <cellStyle name="Note 8 47 6 3" xfId="33724"/>
    <cellStyle name="Note 8 47 7" xfId="33725"/>
    <cellStyle name="Note 8 47 7 2" xfId="33726"/>
    <cellStyle name="Note 8 47 7 2 2" xfId="33727"/>
    <cellStyle name="Note 8 47 7 3" xfId="33728"/>
    <cellStyle name="Note 8 47 8" xfId="33729"/>
    <cellStyle name="Note 8 48" xfId="33730"/>
    <cellStyle name="Note 8 48 2" xfId="33731"/>
    <cellStyle name="Note 8 48 2 2" xfId="33732"/>
    <cellStyle name="Note 8 48 2 2 2" xfId="33733"/>
    <cellStyle name="Note 8 48 2 2 2 2" xfId="33734"/>
    <cellStyle name="Note 8 48 2 2 2 2 2" xfId="33735"/>
    <cellStyle name="Note 8 48 2 2 2 3" xfId="33736"/>
    <cellStyle name="Note 8 48 2 2 3" xfId="33737"/>
    <cellStyle name="Note 8 48 2 2 3 2" xfId="33738"/>
    <cellStyle name="Note 8 48 2 2 4" xfId="33739"/>
    <cellStyle name="Note 8 48 2 3" xfId="33740"/>
    <cellStyle name="Note 8 48 2 3 2" xfId="33741"/>
    <cellStyle name="Note 8 48 2 3 2 2" xfId="33742"/>
    <cellStyle name="Note 8 48 2 3 3" xfId="33743"/>
    <cellStyle name="Note 8 48 2 4" xfId="33744"/>
    <cellStyle name="Note 8 48 2 4 2" xfId="33745"/>
    <cellStyle name="Note 8 48 2 4 2 2" xfId="33746"/>
    <cellStyle name="Note 8 48 2 4 3" xfId="33747"/>
    <cellStyle name="Note 8 48 2 5" xfId="33748"/>
    <cellStyle name="Note 8 48 2 5 2" xfId="33749"/>
    <cellStyle name="Note 8 48 2 5 2 2" xfId="33750"/>
    <cellStyle name="Note 8 48 2 5 3" xfId="33751"/>
    <cellStyle name="Note 8 48 2 6" xfId="33752"/>
    <cellStyle name="Note 8 48 2 6 2" xfId="33753"/>
    <cellStyle name="Note 8 48 2 6 2 2" xfId="33754"/>
    <cellStyle name="Note 8 48 2 6 3" xfId="33755"/>
    <cellStyle name="Note 8 48 2 7" xfId="33756"/>
    <cellStyle name="Note 8 48 3" xfId="33757"/>
    <cellStyle name="Note 8 48 3 2" xfId="33758"/>
    <cellStyle name="Note 8 48 3 2 2" xfId="33759"/>
    <cellStyle name="Note 8 48 3 2 2 2" xfId="33760"/>
    <cellStyle name="Note 8 48 3 2 3" xfId="33761"/>
    <cellStyle name="Note 8 48 3 3" xfId="33762"/>
    <cellStyle name="Note 8 48 3 3 2" xfId="33763"/>
    <cellStyle name="Note 8 48 3 4" xfId="33764"/>
    <cellStyle name="Note 8 48 4" xfId="33765"/>
    <cellStyle name="Note 8 48 4 2" xfId="33766"/>
    <cellStyle name="Note 8 48 4 2 2" xfId="33767"/>
    <cellStyle name="Note 8 48 4 3" xfId="33768"/>
    <cellStyle name="Note 8 48 5" xfId="33769"/>
    <cellStyle name="Note 8 48 5 2" xfId="33770"/>
    <cellStyle name="Note 8 48 5 2 2" xfId="33771"/>
    <cellStyle name="Note 8 48 5 3" xfId="33772"/>
    <cellStyle name="Note 8 48 6" xfId="33773"/>
    <cellStyle name="Note 8 48 6 2" xfId="33774"/>
    <cellStyle name="Note 8 48 6 2 2" xfId="33775"/>
    <cellStyle name="Note 8 48 6 3" xfId="33776"/>
    <cellStyle name="Note 8 48 7" xfId="33777"/>
    <cellStyle name="Note 8 48 7 2" xfId="33778"/>
    <cellStyle name="Note 8 48 7 2 2" xfId="33779"/>
    <cellStyle name="Note 8 48 7 3" xfId="33780"/>
    <cellStyle name="Note 8 48 8" xfId="33781"/>
    <cellStyle name="Note 8 49" xfId="33782"/>
    <cellStyle name="Note 8 49 2" xfId="33783"/>
    <cellStyle name="Note 8 49 2 2" xfId="33784"/>
    <cellStyle name="Note 8 49 2 2 2" xfId="33785"/>
    <cellStyle name="Note 8 49 2 2 2 2" xfId="33786"/>
    <cellStyle name="Note 8 49 2 2 2 2 2" xfId="33787"/>
    <cellStyle name="Note 8 49 2 2 2 3" xfId="33788"/>
    <cellStyle name="Note 8 49 2 2 3" xfId="33789"/>
    <cellStyle name="Note 8 49 2 2 3 2" xfId="33790"/>
    <cellStyle name="Note 8 49 2 2 4" xfId="33791"/>
    <cellStyle name="Note 8 49 2 3" xfId="33792"/>
    <cellStyle name="Note 8 49 2 3 2" xfId="33793"/>
    <cellStyle name="Note 8 49 2 3 2 2" xfId="33794"/>
    <cellStyle name="Note 8 49 2 3 3" xfId="33795"/>
    <cellStyle name="Note 8 49 2 4" xfId="33796"/>
    <cellStyle name="Note 8 49 2 4 2" xfId="33797"/>
    <cellStyle name="Note 8 49 2 4 2 2" xfId="33798"/>
    <cellStyle name="Note 8 49 2 4 3" xfId="33799"/>
    <cellStyle name="Note 8 49 2 5" xfId="33800"/>
    <cellStyle name="Note 8 49 2 5 2" xfId="33801"/>
    <cellStyle name="Note 8 49 2 5 2 2" xfId="33802"/>
    <cellStyle name="Note 8 49 2 5 3" xfId="33803"/>
    <cellStyle name="Note 8 49 2 6" xfId="33804"/>
    <cellStyle name="Note 8 49 2 6 2" xfId="33805"/>
    <cellStyle name="Note 8 49 2 6 2 2" xfId="33806"/>
    <cellStyle name="Note 8 49 2 6 3" xfId="33807"/>
    <cellStyle name="Note 8 49 2 7" xfId="33808"/>
    <cellStyle name="Note 8 49 3" xfId="33809"/>
    <cellStyle name="Note 8 49 3 2" xfId="33810"/>
    <cellStyle name="Note 8 49 3 2 2" xfId="33811"/>
    <cellStyle name="Note 8 49 3 2 2 2" xfId="33812"/>
    <cellStyle name="Note 8 49 3 2 3" xfId="33813"/>
    <cellStyle name="Note 8 49 3 3" xfId="33814"/>
    <cellStyle name="Note 8 49 3 3 2" xfId="33815"/>
    <cellStyle name="Note 8 49 3 4" xfId="33816"/>
    <cellStyle name="Note 8 49 4" xfId="33817"/>
    <cellStyle name="Note 8 49 4 2" xfId="33818"/>
    <cellStyle name="Note 8 49 4 2 2" xfId="33819"/>
    <cellStyle name="Note 8 49 4 3" xfId="33820"/>
    <cellStyle name="Note 8 49 5" xfId="33821"/>
    <cellStyle name="Note 8 49 5 2" xfId="33822"/>
    <cellStyle name="Note 8 49 5 2 2" xfId="33823"/>
    <cellStyle name="Note 8 49 5 3" xfId="33824"/>
    <cellStyle name="Note 8 49 6" xfId="33825"/>
    <cellStyle name="Note 8 49 6 2" xfId="33826"/>
    <cellStyle name="Note 8 49 6 2 2" xfId="33827"/>
    <cellStyle name="Note 8 49 6 3" xfId="33828"/>
    <cellStyle name="Note 8 49 7" xfId="33829"/>
    <cellStyle name="Note 8 49 7 2" xfId="33830"/>
    <cellStyle name="Note 8 49 7 2 2" xfId="33831"/>
    <cellStyle name="Note 8 49 7 3" xfId="33832"/>
    <cellStyle name="Note 8 49 8" xfId="33833"/>
    <cellStyle name="Note 8 5" xfId="33834"/>
    <cellStyle name="Note 8 5 2" xfId="33835"/>
    <cellStyle name="Note 8 5 2 2" xfId="33836"/>
    <cellStyle name="Note 8 5 2 2 2" xfId="33837"/>
    <cellStyle name="Note 8 5 2 2 2 2" xfId="33838"/>
    <cellStyle name="Note 8 5 2 2 2 2 2" xfId="33839"/>
    <cellStyle name="Note 8 5 2 2 2 3" xfId="33840"/>
    <cellStyle name="Note 8 5 2 2 3" xfId="33841"/>
    <cellStyle name="Note 8 5 2 2 3 2" xfId="33842"/>
    <cellStyle name="Note 8 5 2 2 4" xfId="33843"/>
    <cellStyle name="Note 8 5 2 3" xfId="33844"/>
    <cellStyle name="Note 8 5 2 3 2" xfId="33845"/>
    <cellStyle name="Note 8 5 2 3 2 2" xfId="33846"/>
    <cellStyle name="Note 8 5 2 3 3" xfId="33847"/>
    <cellStyle name="Note 8 5 2 4" xfId="33848"/>
    <cellStyle name="Note 8 5 2 4 2" xfId="33849"/>
    <cellStyle name="Note 8 5 2 4 2 2" xfId="33850"/>
    <cellStyle name="Note 8 5 2 4 3" xfId="33851"/>
    <cellStyle name="Note 8 5 2 5" xfId="33852"/>
    <cellStyle name="Note 8 5 2 5 2" xfId="33853"/>
    <cellStyle name="Note 8 5 2 5 2 2" xfId="33854"/>
    <cellStyle name="Note 8 5 2 5 3" xfId="33855"/>
    <cellStyle name="Note 8 5 2 6" xfId="33856"/>
    <cellStyle name="Note 8 5 2 6 2" xfId="33857"/>
    <cellStyle name="Note 8 5 2 6 2 2" xfId="33858"/>
    <cellStyle name="Note 8 5 2 6 3" xfId="33859"/>
    <cellStyle name="Note 8 5 2 7" xfId="33860"/>
    <cellStyle name="Note 8 5 3" xfId="33861"/>
    <cellStyle name="Note 8 5 3 2" xfId="33862"/>
    <cellStyle name="Note 8 5 3 2 2" xfId="33863"/>
    <cellStyle name="Note 8 5 3 2 2 2" xfId="33864"/>
    <cellStyle name="Note 8 5 3 2 3" xfId="33865"/>
    <cellStyle name="Note 8 5 3 3" xfId="33866"/>
    <cellStyle name="Note 8 5 3 3 2" xfId="33867"/>
    <cellStyle name="Note 8 5 3 4" xfId="33868"/>
    <cellStyle name="Note 8 5 4" xfId="33869"/>
    <cellStyle name="Note 8 5 4 2" xfId="33870"/>
    <cellStyle name="Note 8 5 4 2 2" xfId="33871"/>
    <cellStyle name="Note 8 5 4 3" xfId="33872"/>
    <cellStyle name="Note 8 5 5" xfId="33873"/>
    <cellStyle name="Note 8 5 5 2" xfId="33874"/>
    <cellStyle name="Note 8 5 5 2 2" xfId="33875"/>
    <cellStyle name="Note 8 5 5 3" xfId="33876"/>
    <cellStyle name="Note 8 5 6" xfId="33877"/>
    <cellStyle name="Note 8 5 6 2" xfId="33878"/>
    <cellStyle name="Note 8 5 6 2 2" xfId="33879"/>
    <cellStyle name="Note 8 5 6 3" xfId="33880"/>
    <cellStyle name="Note 8 5 7" xfId="33881"/>
    <cellStyle name="Note 8 5 7 2" xfId="33882"/>
    <cellStyle name="Note 8 5 7 2 2" xfId="33883"/>
    <cellStyle name="Note 8 5 7 3" xfId="33884"/>
    <cellStyle name="Note 8 5 8" xfId="33885"/>
    <cellStyle name="Note 8 50" xfId="33886"/>
    <cellStyle name="Note 8 50 2" xfId="33887"/>
    <cellStyle name="Note 8 50 2 2" xfId="33888"/>
    <cellStyle name="Note 8 50 2 2 2" xfId="33889"/>
    <cellStyle name="Note 8 50 2 2 2 2" xfId="33890"/>
    <cellStyle name="Note 8 50 2 2 2 2 2" xfId="33891"/>
    <cellStyle name="Note 8 50 2 2 2 3" xfId="33892"/>
    <cellStyle name="Note 8 50 2 2 3" xfId="33893"/>
    <cellStyle name="Note 8 50 2 2 3 2" xfId="33894"/>
    <cellStyle name="Note 8 50 2 2 4" xfId="33895"/>
    <cellStyle name="Note 8 50 2 3" xfId="33896"/>
    <cellStyle name="Note 8 50 2 3 2" xfId="33897"/>
    <cellStyle name="Note 8 50 2 3 2 2" xfId="33898"/>
    <cellStyle name="Note 8 50 2 3 3" xfId="33899"/>
    <cellStyle name="Note 8 50 2 4" xfId="33900"/>
    <cellStyle name="Note 8 50 2 4 2" xfId="33901"/>
    <cellStyle name="Note 8 50 2 4 2 2" xfId="33902"/>
    <cellStyle name="Note 8 50 2 4 3" xfId="33903"/>
    <cellStyle name="Note 8 50 2 5" xfId="33904"/>
    <cellStyle name="Note 8 50 2 5 2" xfId="33905"/>
    <cellStyle name="Note 8 50 2 5 2 2" xfId="33906"/>
    <cellStyle name="Note 8 50 2 5 3" xfId="33907"/>
    <cellStyle name="Note 8 50 2 6" xfId="33908"/>
    <cellStyle name="Note 8 50 2 6 2" xfId="33909"/>
    <cellStyle name="Note 8 50 2 6 2 2" xfId="33910"/>
    <cellStyle name="Note 8 50 2 6 3" xfId="33911"/>
    <cellStyle name="Note 8 50 2 7" xfId="33912"/>
    <cellStyle name="Note 8 50 3" xfId="33913"/>
    <cellStyle name="Note 8 50 3 2" xfId="33914"/>
    <cellStyle name="Note 8 50 3 2 2" xfId="33915"/>
    <cellStyle name="Note 8 50 3 2 2 2" xfId="33916"/>
    <cellStyle name="Note 8 50 3 2 3" xfId="33917"/>
    <cellStyle name="Note 8 50 3 3" xfId="33918"/>
    <cellStyle name="Note 8 50 3 3 2" xfId="33919"/>
    <cellStyle name="Note 8 50 3 4" xfId="33920"/>
    <cellStyle name="Note 8 50 4" xfId="33921"/>
    <cellStyle name="Note 8 50 4 2" xfId="33922"/>
    <cellStyle name="Note 8 50 4 2 2" xfId="33923"/>
    <cellStyle name="Note 8 50 4 3" xfId="33924"/>
    <cellStyle name="Note 8 50 5" xfId="33925"/>
    <cellStyle name="Note 8 50 5 2" xfId="33926"/>
    <cellStyle name="Note 8 50 5 2 2" xfId="33927"/>
    <cellStyle name="Note 8 50 5 3" xfId="33928"/>
    <cellStyle name="Note 8 50 6" xfId="33929"/>
    <cellStyle name="Note 8 50 6 2" xfId="33930"/>
    <cellStyle name="Note 8 50 6 2 2" xfId="33931"/>
    <cellStyle name="Note 8 50 6 3" xfId="33932"/>
    <cellStyle name="Note 8 50 7" xfId="33933"/>
    <cellStyle name="Note 8 50 7 2" xfId="33934"/>
    <cellStyle name="Note 8 50 7 2 2" xfId="33935"/>
    <cellStyle name="Note 8 50 7 3" xfId="33936"/>
    <cellStyle name="Note 8 50 8" xfId="33937"/>
    <cellStyle name="Note 8 51" xfId="33938"/>
    <cellStyle name="Note 8 51 2" xfId="33939"/>
    <cellStyle name="Note 8 51 2 2" xfId="33940"/>
    <cellStyle name="Note 8 51 2 2 2" xfId="33941"/>
    <cellStyle name="Note 8 51 2 2 2 2" xfId="33942"/>
    <cellStyle name="Note 8 51 2 2 2 2 2" xfId="33943"/>
    <cellStyle name="Note 8 51 2 2 2 3" xfId="33944"/>
    <cellStyle name="Note 8 51 2 2 3" xfId="33945"/>
    <cellStyle name="Note 8 51 2 2 3 2" xfId="33946"/>
    <cellStyle name="Note 8 51 2 2 4" xfId="33947"/>
    <cellStyle name="Note 8 51 2 3" xfId="33948"/>
    <cellStyle name="Note 8 51 2 3 2" xfId="33949"/>
    <cellStyle name="Note 8 51 2 3 2 2" xfId="33950"/>
    <cellStyle name="Note 8 51 2 3 3" xfId="33951"/>
    <cellStyle name="Note 8 51 2 4" xfId="33952"/>
    <cellStyle name="Note 8 51 2 4 2" xfId="33953"/>
    <cellStyle name="Note 8 51 2 4 2 2" xfId="33954"/>
    <cellStyle name="Note 8 51 2 4 3" xfId="33955"/>
    <cellStyle name="Note 8 51 2 5" xfId="33956"/>
    <cellStyle name="Note 8 51 2 5 2" xfId="33957"/>
    <cellStyle name="Note 8 51 2 5 2 2" xfId="33958"/>
    <cellStyle name="Note 8 51 2 5 3" xfId="33959"/>
    <cellStyle name="Note 8 51 2 6" xfId="33960"/>
    <cellStyle name="Note 8 51 2 6 2" xfId="33961"/>
    <cellStyle name="Note 8 51 2 6 2 2" xfId="33962"/>
    <cellStyle name="Note 8 51 2 6 3" xfId="33963"/>
    <cellStyle name="Note 8 51 2 7" xfId="33964"/>
    <cellStyle name="Note 8 51 3" xfId="33965"/>
    <cellStyle name="Note 8 51 3 2" xfId="33966"/>
    <cellStyle name="Note 8 51 3 2 2" xfId="33967"/>
    <cellStyle name="Note 8 51 3 2 2 2" xfId="33968"/>
    <cellStyle name="Note 8 51 3 2 3" xfId="33969"/>
    <cellStyle name="Note 8 51 3 3" xfId="33970"/>
    <cellStyle name="Note 8 51 3 3 2" xfId="33971"/>
    <cellStyle name="Note 8 51 3 4" xfId="33972"/>
    <cellStyle name="Note 8 51 4" xfId="33973"/>
    <cellStyle name="Note 8 51 4 2" xfId="33974"/>
    <cellStyle name="Note 8 51 4 2 2" xfId="33975"/>
    <cellStyle name="Note 8 51 4 3" xfId="33976"/>
    <cellStyle name="Note 8 51 5" xfId="33977"/>
    <cellStyle name="Note 8 51 5 2" xfId="33978"/>
    <cellStyle name="Note 8 51 5 2 2" xfId="33979"/>
    <cellStyle name="Note 8 51 5 3" xfId="33980"/>
    <cellStyle name="Note 8 51 6" xfId="33981"/>
    <cellStyle name="Note 8 51 6 2" xfId="33982"/>
    <cellStyle name="Note 8 51 6 2 2" xfId="33983"/>
    <cellStyle name="Note 8 51 6 3" xfId="33984"/>
    <cellStyle name="Note 8 51 7" xfId="33985"/>
    <cellStyle name="Note 8 51 7 2" xfId="33986"/>
    <cellStyle name="Note 8 51 7 2 2" xfId="33987"/>
    <cellStyle name="Note 8 51 7 3" xfId="33988"/>
    <cellStyle name="Note 8 51 8" xfId="33989"/>
    <cellStyle name="Note 8 52" xfId="33990"/>
    <cellStyle name="Note 8 52 2" xfId="33991"/>
    <cellStyle name="Note 8 52 2 2" xfId="33992"/>
    <cellStyle name="Note 8 52 2 2 2" xfId="33993"/>
    <cellStyle name="Note 8 52 2 2 2 2" xfId="33994"/>
    <cellStyle name="Note 8 52 2 2 2 2 2" xfId="33995"/>
    <cellStyle name="Note 8 52 2 2 2 3" xfId="33996"/>
    <cellStyle name="Note 8 52 2 2 3" xfId="33997"/>
    <cellStyle name="Note 8 52 2 2 3 2" xfId="33998"/>
    <cellStyle name="Note 8 52 2 2 4" xfId="33999"/>
    <cellStyle name="Note 8 52 2 3" xfId="34000"/>
    <cellStyle name="Note 8 52 2 3 2" xfId="34001"/>
    <cellStyle name="Note 8 52 2 3 2 2" xfId="34002"/>
    <cellStyle name="Note 8 52 2 3 3" xfId="34003"/>
    <cellStyle name="Note 8 52 2 4" xfId="34004"/>
    <cellStyle name="Note 8 52 2 4 2" xfId="34005"/>
    <cellStyle name="Note 8 52 2 4 2 2" xfId="34006"/>
    <cellStyle name="Note 8 52 2 4 3" xfId="34007"/>
    <cellStyle name="Note 8 52 2 5" xfId="34008"/>
    <cellStyle name="Note 8 52 2 5 2" xfId="34009"/>
    <cellStyle name="Note 8 52 2 5 2 2" xfId="34010"/>
    <cellStyle name="Note 8 52 2 5 3" xfId="34011"/>
    <cellStyle name="Note 8 52 2 6" xfId="34012"/>
    <cellStyle name="Note 8 52 2 6 2" xfId="34013"/>
    <cellStyle name="Note 8 52 2 6 2 2" xfId="34014"/>
    <cellStyle name="Note 8 52 2 6 3" xfId="34015"/>
    <cellStyle name="Note 8 52 2 7" xfId="34016"/>
    <cellStyle name="Note 8 52 3" xfId="34017"/>
    <cellStyle name="Note 8 52 3 2" xfId="34018"/>
    <cellStyle name="Note 8 52 3 2 2" xfId="34019"/>
    <cellStyle name="Note 8 52 3 2 2 2" xfId="34020"/>
    <cellStyle name="Note 8 52 3 2 3" xfId="34021"/>
    <cellStyle name="Note 8 52 3 3" xfId="34022"/>
    <cellStyle name="Note 8 52 3 3 2" xfId="34023"/>
    <cellStyle name="Note 8 52 3 4" xfId="34024"/>
    <cellStyle name="Note 8 52 4" xfId="34025"/>
    <cellStyle name="Note 8 52 4 2" xfId="34026"/>
    <cellStyle name="Note 8 52 4 2 2" xfId="34027"/>
    <cellStyle name="Note 8 52 4 3" xfId="34028"/>
    <cellStyle name="Note 8 52 5" xfId="34029"/>
    <cellStyle name="Note 8 52 5 2" xfId="34030"/>
    <cellStyle name="Note 8 52 5 2 2" xfId="34031"/>
    <cellStyle name="Note 8 52 5 3" xfId="34032"/>
    <cellStyle name="Note 8 52 6" xfId="34033"/>
    <cellStyle name="Note 8 52 6 2" xfId="34034"/>
    <cellStyle name="Note 8 52 6 2 2" xfId="34035"/>
    <cellStyle name="Note 8 52 6 3" xfId="34036"/>
    <cellStyle name="Note 8 52 7" xfId="34037"/>
    <cellStyle name="Note 8 52 7 2" xfId="34038"/>
    <cellStyle name="Note 8 52 7 2 2" xfId="34039"/>
    <cellStyle name="Note 8 52 7 3" xfId="34040"/>
    <cellStyle name="Note 8 52 8" xfId="34041"/>
    <cellStyle name="Note 8 53" xfId="34042"/>
    <cellStyle name="Note 8 53 2" xfId="34043"/>
    <cellStyle name="Note 8 53 2 2" xfId="34044"/>
    <cellStyle name="Note 8 53 2 2 2" xfId="34045"/>
    <cellStyle name="Note 8 53 2 2 2 2" xfId="34046"/>
    <cellStyle name="Note 8 53 2 2 2 2 2" xfId="34047"/>
    <cellStyle name="Note 8 53 2 2 2 3" xfId="34048"/>
    <cellStyle name="Note 8 53 2 2 3" xfId="34049"/>
    <cellStyle name="Note 8 53 2 2 3 2" xfId="34050"/>
    <cellStyle name="Note 8 53 2 2 4" xfId="34051"/>
    <cellStyle name="Note 8 53 2 3" xfId="34052"/>
    <cellStyle name="Note 8 53 2 3 2" xfId="34053"/>
    <cellStyle name="Note 8 53 2 3 2 2" xfId="34054"/>
    <cellStyle name="Note 8 53 2 3 3" xfId="34055"/>
    <cellStyle name="Note 8 53 2 4" xfId="34056"/>
    <cellStyle name="Note 8 53 2 4 2" xfId="34057"/>
    <cellStyle name="Note 8 53 2 4 2 2" xfId="34058"/>
    <cellStyle name="Note 8 53 2 4 3" xfId="34059"/>
    <cellStyle name="Note 8 53 2 5" xfId="34060"/>
    <cellStyle name="Note 8 53 2 5 2" xfId="34061"/>
    <cellStyle name="Note 8 53 2 5 2 2" xfId="34062"/>
    <cellStyle name="Note 8 53 2 5 3" xfId="34063"/>
    <cellStyle name="Note 8 53 2 6" xfId="34064"/>
    <cellStyle name="Note 8 53 2 6 2" xfId="34065"/>
    <cellStyle name="Note 8 53 2 6 2 2" xfId="34066"/>
    <cellStyle name="Note 8 53 2 6 3" xfId="34067"/>
    <cellStyle name="Note 8 53 2 7" xfId="34068"/>
    <cellStyle name="Note 8 53 3" xfId="34069"/>
    <cellStyle name="Note 8 53 3 2" xfId="34070"/>
    <cellStyle name="Note 8 53 3 2 2" xfId="34071"/>
    <cellStyle name="Note 8 53 3 2 2 2" xfId="34072"/>
    <cellStyle name="Note 8 53 3 2 3" xfId="34073"/>
    <cellStyle name="Note 8 53 3 3" xfId="34074"/>
    <cellStyle name="Note 8 53 3 3 2" xfId="34075"/>
    <cellStyle name="Note 8 53 3 4" xfId="34076"/>
    <cellStyle name="Note 8 53 4" xfId="34077"/>
    <cellStyle name="Note 8 53 4 2" xfId="34078"/>
    <cellStyle name="Note 8 53 4 2 2" xfId="34079"/>
    <cellStyle name="Note 8 53 4 3" xfId="34080"/>
    <cellStyle name="Note 8 53 5" xfId="34081"/>
    <cellStyle name="Note 8 53 5 2" xfId="34082"/>
    <cellStyle name="Note 8 53 5 2 2" xfId="34083"/>
    <cellStyle name="Note 8 53 5 3" xfId="34084"/>
    <cellStyle name="Note 8 53 6" xfId="34085"/>
    <cellStyle name="Note 8 53 6 2" xfId="34086"/>
    <cellStyle name="Note 8 53 6 2 2" xfId="34087"/>
    <cellStyle name="Note 8 53 6 3" xfId="34088"/>
    <cellStyle name="Note 8 53 7" xfId="34089"/>
    <cellStyle name="Note 8 53 7 2" xfId="34090"/>
    <cellStyle name="Note 8 53 7 2 2" xfId="34091"/>
    <cellStyle name="Note 8 53 7 3" xfId="34092"/>
    <cellStyle name="Note 8 53 8" xfId="34093"/>
    <cellStyle name="Note 8 54" xfId="34094"/>
    <cellStyle name="Note 8 54 2" xfId="34095"/>
    <cellStyle name="Note 8 54 2 2" xfId="34096"/>
    <cellStyle name="Note 8 54 2 2 2" xfId="34097"/>
    <cellStyle name="Note 8 54 2 2 2 2" xfId="34098"/>
    <cellStyle name="Note 8 54 2 2 2 2 2" xfId="34099"/>
    <cellStyle name="Note 8 54 2 2 2 3" xfId="34100"/>
    <cellStyle name="Note 8 54 2 2 3" xfId="34101"/>
    <cellStyle name="Note 8 54 2 2 3 2" xfId="34102"/>
    <cellStyle name="Note 8 54 2 2 4" xfId="34103"/>
    <cellStyle name="Note 8 54 2 3" xfId="34104"/>
    <cellStyle name="Note 8 54 2 3 2" xfId="34105"/>
    <cellStyle name="Note 8 54 2 3 2 2" xfId="34106"/>
    <cellStyle name="Note 8 54 2 3 3" xfId="34107"/>
    <cellStyle name="Note 8 54 2 4" xfId="34108"/>
    <cellStyle name="Note 8 54 2 4 2" xfId="34109"/>
    <cellStyle name="Note 8 54 2 4 2 2" xfId="34110"/>
    <cellStyle name="Note 8 54 2 4 3" xfId="34111"/>
    <cellStyle name="Note 8 54 2 5" xfId="34112"/>
    <cellStyle name="Note 8 54 2 5 2" xfId="34113"/>
    <cellStyle name="Note 8 54 2 5 2 2" xfId="34114"/>
    <cellStyle name="Note 8 54 2 5 3" xfId="34115"/>
    <cellStyle name="Note 8 54 2 6" xfId="34116"/>
    <cellStyle name="Note 8 54 2 6 2" xfId="34117"/>
    <cellStyle name="Note 8 54 2 6 2 2" xfId="34118"/>
    <cellStyle name="Note 8 54 2 6 3" xfId="34119"/>
    <cellStyle name="Note 8 54 2 7" xfId="34120"/>
    <cellStyle name="Note 8 54 3" xfId="34121"/>
    <cellStyle name="Note 8 54 3 2" xfId="34122"/>
    <cellStyle name="Note 8 54 3 2 2" xfId="34123"/>
    <cellStyle name="Note 8 54 3 2 2 2" xfId="34124"/>
    <cellStyle name="Note 8 54 3 2 3" xfId="34125"/>
    <cellStyle name="Note 8 54 3 3" xfId="34126"/>
    <cellStyle name="Note 8 54 3 3 2" xfId="34127"/>
    <cellStyle name="Note 8 54 3 4" xfId="34128"/>
    <cellStyle name="Note 8 54 4" xfId="34129"/>
    <cellStyle name="Note 8 54 4 2" xfId="34130"/>
    <cellStyle name="Note 8 54 4 2 2" xfId="34131"/>
    <cellStyle name="Note 8 54 4 3" xfId="34132"/>
    <cellStyle name="Note 8 54 5" xfId="34133"/>
    <cellStyle name="Note 8 54 5 2" xfId="34134"/>
    <cellStyle name="Note 8 54 5 2 2" xfId="34135"/>
    <cellStyle name="Note 8 54 5 3" xfId="34136"/>
    <cellStyle name="Note 8 54 6" xfId="34137"/>
    <cellStyle name="Note 8 54 6 2" xfId="34138"/>
    <cellStyle name="Note 8 54 6 2 2" xfId="34139"/>
    <cellStyle name="Note 8 54 6 3" xfId="34140"/>
    <cellStyle name="Note 8 54 7" xfId="34141"/>
    <cellStyle name="Note 8 54 7 2" xfId="34142"/>
    <cellStyle name="Note 8 54 7 2 2" xfId="34143"/>
    <cellStyle name="Note 8 54 7 3" xfId="34144"/>
    <cellStyle name="Note 8 54 8" xfId="34145"/>
    <cellStyle name="Note 8 55" xfId="34146"/>
    <cellStyle name="Note 8 55 2" xfId="34147"/>
    <cellStyle name="Note 8 55 2 2" xfId="34148"/>
    <cellStyle name="Note 8 55 2 2 2" xfId="34149"/>
    <cellStyle name="Note 8 55 2 2 2 2" xfId="34150"/>
    <cellStyle name="Note 8 55 2 2 2 2 2" xfId="34151"/>
    <cellStyle name="Note 8 55 2 2 2 3" xfId="34152"/>
    <cellStyle name="Note 8 55 2 2 3" xfId="34153"/>
    <cellStyle name="Note 8 55 2 2 3 2" xfId="34154"/>
    <cellStyle name="Note 8 55 2 2 4" xfId="34155"/>
    <cellStyle name="Note 8 55 2 3" xfId="34156"/>
    <cellStyle name="Note 8 55 2 3 2" xfId="34157"/>
    <cellStyle name="Note 8 55 2 3 2 2" xfId="34158"/>
    <cellStyle name="Note 8 55 2 3 3" xfId="34159"/>
    <cellStyle name="Note 8 55 2 4" xfId="34160"/>
    <cellStyle name="Note 8 55 2 4 2" xfId="34161"/>
    <cellStyle name="Note 8 55 2 4 2 2" xfId="34162"/>
    <cellStyle name="Note 8 55 2 4 3" xfId="34163"/>
    <cellStyle name="Note 8 55 2 5" xfId="34164"/>
    <cellStyle name="Note 8 55 2 5 2" xfId="34165"/>
    <cellStyle name="Note 8 55 2 5 2 2" xfId="34166"/>
    <cellStyle name="Note 8 55 2 5 3" xfId="34167"/>
    <cellStyle name="Note 8 55 2 6" xfId="34168"/>
    <cellStyle name="Note 8 55 2 6 2" xfId="34169"/>
    <cellStyle name="Note 8 55 2 6 2 2" xfId="34170"/>
    <cellStyle name="Note 8 55 2 6 3" xfId="34171"/>
    <cellStyle name="Note 8 55 2 7" xfId="34172"/>
    <cellStyle name="Note 8 55 3" xfId="34173"/>
    <cellStyle name="Note 8 55 3 2" xfId="34174"/>
    <cellStyle name="Note 8 55 3 2 2" xfId="34175"/>
    <cellStyle name="Note 8 55 3 2 2 2" xfId="34176"/>
    <cellStyle name="Note 8 55 3 2 3" xfId="34177"/>
    <cellStyle name="Note 8 55 3 3" xfId="34178"/>
    <cellStyle name="Note 8 55 3 3 2" xfId="34179"/>
    <cellStyle name="Note 8 55 3 4" xfId="34180"/>
    <cellStyle name="Note 8 55 4" xfId="34181"/>
    <cellStyle name="Note 8 55 4 2" xfId="34182"/>
    <cellStyle name="Note 8 55 4 2 2" xfId="34183"/>
    <cellStyle name="Note 8 55 4 3" xfId="34184"/>
    <cellStyle name="Note 8 55 5" xfId="34185"/>
    <cellStyle name="Note 8 55 5 2" xfId="34186"/>
    <cellStyle name="Note 8 55 5 2 2" xfId="34187"/>
    <cellStyle name="Note 8 55 5 3" xfId="34188"/>
    <cellStyle name="Note 8 55 6" xfId="34189"/>
    <cellStyle name="Note 8 55 6 2" xfId="34190"/>
    <cellStyle name="Note 8 55 6 2 2" xfId="34191"/>
    <cellStyle name="Note 8 55 6 3" xfId="34192"/>
    <cellStyle name="Note 8 55 7" xfId="34193"/>
    <cellStyle name="Note 8 55 7 2" xfId="34194"/>
    <cellStyle name="Note 8 55 7 2 2" xfId="34195"/>
    <cellStyle name="Note 8 55 7 3" xfId="34196"/>
    <cellStyle name="Note 8 55 8" xfId="34197"/>
    <cellStyle name="Note 8 56" xfId="34198"/>
    <cellStyle name="Note 8 56 2" xfId="34199"/>
    <cellStyle name="Note 8 56 2 2" xfId="34200"/>
    <cellStyle name="Note 8 56 2 2 2" xfId="34201"/>
    <cellStyle name="Note 8 56 2 2 2 2" xfId="34202"/>
    <cellStyle name="Note 8 56 2 2 2 2 2" xfId="34203"/>
    <cellStyle name="Note 8 56 2 2 2 3" xfId="34204"/>
    <cellStyle name="Note 8 56 2 2 3" xfId="34205"/>
    <cellStyle name="Note 8 56 2 2 3 2" xfId="34206"/>
    <cellStyle name="Note 8 56 2 2 4" xfId="34207"/>
    <cellStyle name="Note 8 56 2 3" xfId="34208"/>
    <cellStyle name="Note 8 56 2 3 2" xfId="34209"/>
    <cellStyle name="Note 8 56 2 3 2 2" xfId="34210"/>
    <cellStyle name="Note 8 56 2 3 3" xfId="34211"/>
    <cellStyle name="Note 8 56 2 4" xfId="34212"/>
    <cellStyle name="Note 8 56 2 4 2" xfId="34213"/>
    <cellStyle name="Note 8 56 2 4 2 2" xfId="34214"/>
    <cellStyle name="Note 8 56 2 4 3" xfId="34215"/>
    <cellStyle name="Note 8 56 2 5" xfId="34216"/>
    <cellStyle name="Note 8 56 2 5 2" xfId="34217"/>
    <cellStyle name="Note 8 56 2 5 2 2" xfId="34218"/>
    <cellStyle name="Note 8 56 2 5 3" xfId="34219"/>
    <cellStyle name="Note 8 56 2 6" xfId="34220"/>
    <cellStyle name="Note 8 56 2 6 2" xfId="34221"/>
    <cellStyle name="Note 8 56 2 6 2 2" xfId="34222"/>
    <cellStyle name="Note 8 56 2 6 3" xfId="34223"/>
    <cellStyle name="Note 8 56 2 7" xfId="34224"/>
    <cellStyle name="Note 8 56 3" xfId="34225"/>
    <cellStyle name="Note 8 56 3 2" xfId="34226"/>
    <cellStyle name="Note 8 56 3 2 2" xfId="34227"/>
    <cellStyle name="Note 8 56 3 2 2 2" xfId="34228"/>
    <cellStyle name="Note 8 56 3 2 3" xfId="34229"/>
    <cellStyle name="Note 8 56 3 3" xfId="34230"/>
    <cellStyle name="Note 8 56 3 3 2" xfId="34231"/>
    <cellStyle name="Note 8 56 3 4" xfId="34232"/>
    <cellStyle name="Note 8 56 4" xfId="34233"/>
    <cellStyle name="Note 8 56 4 2" xfId="34234"/>
    <cellStyle name="Note 8 56 4 2 2" xfId="34235"/>
    <cellStyle name="Note 8 56 4 3" xfId="34236"/>
    <cellStyle name="Note 8 56 5" xfId="34237"/>
    <cellStyle name="Note 8 56 5 2" xfId="34238"/>
    <cellStyle name="Note 8 56 5 2 2" xfId="34239"/>
    <cellStyle name="Note 8 56 5 3" xfId="34240"/>
    <cellStyle name="Note 8 56 6" xfId="34241"/>
    <cellStyle name="Note 8 56 6 2" xfId="34242"/>
    <cellStyle name="Note 8 56 6 2 2" xfId="34243"/>
    <cellStyle name="Note 8 56 6 3" xfId="34244"/>
    <cellStyle name="Note 8 56 7" xfId="34245"/>
    <cellStyle name="Note 8 56 7 2" xfId="34246"/>
    <cellStyle name="Note 8 56 7 2 2" xfId="34247"/>
    <cellStyle name="Note 8 56 7 3" xfId="34248"/>
    <cellStyle name="Note 8 56 8" xfId="34249"/>
    <cellStyle name="Note 8 57" xfId="34250"/>
    <cellStyle name="Note 8 57 2" xfId="34251"/>
    <cellStyle name="Note 8 57 2 2" xfId="34252"/>
    <cellStyle name="Note 8 57 2 2 2" xfId="34253"/>
    <cellStyle name="Note 8 57 2 2 2 2" xfId="34254"/>
    <cellStyle name="Note 8 57 2 2 2 2 2" xfId="34255"/>
    <cellStyle name="Note 8 57 2 2 2 3" xfId="34256"/>
    <cellStyle name="Note 8 57 2 2 3" xfId="34257"/>
    <cellStyle name="Note 8 57 2 2 3 2" xfId="34258"/>
    <cellStyle name="Note 8 57 2 2 4" xfId="34259"/>
    <cellStyle name="Note 8 57 2 3" xfId="34260"/>
    <cellStyle name="Note 8 57 2 3 2" xfId="34261"/>
    <cellStyle name="Note 8 57 2 3 2 2" xfId="34262"/>
    <cellStyle name="Note 8 57 2 3 3" xfId="34263"/>
    <cellStyle name="Note 8 57 2 4" xfId="34264"/>
    <cellStyle name="Note 8 57 2 4 2" xfId="34265"/>
    <cellStyle name="Note 8 57 2 4 2 2" xfId="34266"/>
    <cellStyle name="Note 8 57 2 4 3" xfId="34267"/>
    <cellStyle name="Note 8 57 2 5" xfId="34268"/>
    <cellStyle name="Note 8 57 2 5 2" xfId="34269"/>
    <cellStyle name="Note 8 57 2 5 2 2" xfId="34270"/>
    <cellStyle name="Note 8 57 2 5 3" xfId="34271"/>
    <cellStyle name="Note 8 57 2 6" xfId="34272"/>
    <cellStyle name="Note 8 57 2 6 2" xfId="34273"/>
    <cellStyle name="Note 8 57 2 6 2 2" xfId="34274"/>
    <cellStyle name="Note 8 57 2 6 3" xfId="34275"/>
    <cellStyle name="Note 8 57 2 7" xfId="34276"/>
    <cellStyle name="Note 8 57 3" xfId="34277"/>
    <cellStyle name="Note 8 57 3 2" xfId="34278"/>
    <cellStyle name="Note 8 57 3 2 2" xfId="34279"/>
    <cellStyle name="Note 8 57 3 2 2 2" xfId="34280"/>
    <cellStyle name="Note 8 57 3 2 3" xfId="34281"/>
    <cellStyle name="Note 8 57 3 3" xfId="34282"/>
    <cellStyle name="Note 8 57 3 3 2" xfId="34283"/>
    <cellStyle name="Note 8 57 3 4" xfId="34284"/>
    <cellStyle name="Note 8 57 4" xfId="34285"/>
    <cellStyle name="Note 8 57 4 2" xfId="34286"/>
    <cellStyle name="Note 8 57 4 2 2" xfId="34287"/>
    <cellStyle name="Note 8 57 4 3" xfId="34288"/>
    <cellStyle name="Note 8 57 5" xfId="34289"/>
    <cellStyle name="Note 8 57 5 2" xfId="34290"/>
    <cellStyle name="Note 8 57 5 2 2" xfId="34291"/>
    <cellStyle name="Note 8 57 5 3" xfId="34292"/>
    <cellStyle name="Note 8 57 6" xfId="34293"/>
    <cellStyle name="Note 8 57 6 2" xfId="34294"/>
    <cellStyle name="Note 8 57 6 2 2" xfId="34295"/>
    <cellStyle name="Note 8 57 6 3" xfId="34296"/>
    <cellStyle name="Note 8 57 7" xfId="34297"/>
    <cellStyle name="Note 8 57 7 2" xfId="34298"/>
    <cellStyle name="Note 8 57 7 2 2" xfId="34299"/>
    <cellStyle name="Note 8 57 7 3" xfId="34300"/>
    <cellStyle name="Note 8 57 8" xfId="34301"/>
    <cellStyle name="Note 8 58" xfId="34302"/>
    <cellStyle name="Note 8 58 2" xfId="34303"/>
    <cellStyle name="Note 8 58 2 2" xfId="34304"/>
    <cellStyle name="Note 8 58 2 2 2" xfId="34305"/>
    <cellStyle name="Note 8 58 2 2 2 2" xfId="34306"/>
    <cellStyle name="Note 8 58 2 2 2 2 2" xfId="34307"/>
    <cellStyle name="Note 8 58 2 2 2 3" xfId="34308"/>
    <cellStyle name="Note 8 58 2 2 3" xfId="34309"/>
    <cellStyle name="Note 8 58 2 2 3 2" xfId="34310"/>
    <cellStyle name="Note 8 58 2 2 4" xfId="34311"/>
    <cellStyle name="Note 8 58 2 3" xfId="34312"/>
    <cellStyle name="Note 8 58 2 3 2" xfId="34313"/>
    <cellStyle name="Note 8 58 2 3 2 2" xfId="34314"/>
    <cellStyle name="Note 8 58 2 3 3" xfId="34315"/>
    <cellStyle name="Note 8 58 2 4" xfId="34316"/>
    <cellStyle name="Note 8 58 2 4 2" xfId="34317"/>
    <cellStyle name="Note 8 58 2 4 2 2" xfId="34318"/>
    <cellStyle name="Note 8 58 2 4 3" xfId="34319"/>
    <cellStyle name="Note 8 58 2 5" xfId="34320"/>
    <cellStyle name="Note 8 58 2 5 2" xfId="34321"/>
    <cellStyle name="Note 8 58 2 5 2 2" xfId="34322"/>
    <cellStyle name="Note 8 58 2 5 3" xfId="34323"/>
    <cellStyle name="Note 8 58 2 6" xfId="34324"/>
    <cellStyle name="Note 8 58 2 6 2" xfId="34325"/>
    <cellStyle name="Note 8 58 2 6 2 2" xfId="34326"/>
    <cellStyle name="Note 8 58 2 6 3" xfId="34327"/>
    <cellStyle name="Note 8 58 2 7" xfId="34328"/>
    <cellStyle name="Note 8 58 3" xfId="34329"/>
    <cellStyle name="Note 8 58 3 2" xfId="34330"/>
    <cellStyle name="Note 8 58 3 2 2" xfId="34331"/>
    <cellStyle name="Note 8 58 3 2 2 2" xfId="34332"/>
    <cellStyle name="Note 8 58 3 2 3" xfId="34333"/>
    <cellStyle name="Note 8 58 3 3" xfId="34334"/>
    <cellStyle name="Note 8 58 3 3 2" xfId="34335"/>
    <cellStyle name="Note 8 58 3 4" xfId="34336"/>
    <cellStyle name="Note 8 58 4" xfId="34337"/>
    <cellStyle name="Note 8 58 4 2" xfId="34338"/>
    <cellStyle name="Note 8 58 4 2 2" xfId="34339"/>
    <cellStyle name="Note 8 58 4 3" xfId="34340"/>
    <cellStyle name="Note 8 58 5" xfId="34341"/>
    <cellStyle name="Note 8 58 5 2" xfId="34342"/>
    <cellStyle name="Note 8 58 5 2 2" xfId="34343"/>
    <cellStyle name="Note 8 58 5 3" xfId="34344"/>
    <cellStyle name="Note 8 58 6" xfId="34345"/>
    <cellStyle name="Note 8 58 6 2" xfId="34346"/>
    <cellStyle name="Note 8 58 6 2 2" xfId="34347"/>
    <cellStyle name="Note 8 58 6 3" xfId="34348"/>
    <cellStyle name="Note 8 58 7" xfId="34349"/>
    <cellStyle name="Note 8 58 7 2" xfId="34350"/>
    <cellStyle name="Note 8 58 7 2 2" xfId="34351"/>
    <cellStyle name="Note 8 58 7 3" xfId="34352"/>
    <cellStyle name="Note 8 58 8" xfId="34353"/>
    <cellStyle name="Note 8 59" xfId="34354"/>
    <cellStyle name="Note 8 59 2" xfId="34355"/>
    <cellStyle name="Note 8 59 2 2" xfId="34356"/>
    <cellStyle name="Note 8 59 2 2 2" xfId="34357"/>
    <cellStyle name="Note 8 59 2 2 2 2" xfId="34358"/>
    <cellStyle name="Note 8 59 2 2 2 2 2" xfId="34359"/>
    <cellStyle name="Note 8 59 2 2 2 3" xfId="34360"/>
    <cellStyle name="Note 8 59 2 2 3" xfId="34361"/>
    <cellStyle name="Note 8 59 2 2 3 2" xfId="34362"/>
    <cellStyle name="Note 8 59 2 2 4" xfId="34363"/>
    <cellStyle name="Note 8 59 2 3" xfId="34364"/>
    <cellStyle name="Note 8 59 2 3 2" xfId="34365"/>
    <cellStyle name="Note 8 59 2 3 2 2" xfId="34366"/>
    <cellStyle name="Note 8 59 2 3 3" xfId="34367"/>
    <cellStyle name="Note 8 59 2 4" xfId="34368"/>
    <cellStyle name="Note 8 59 2 4 2" xfId="34369"/>
    <cellStyle name="Note 8 59 2 4 2 2" xfId="34370"/>
    <cellStyle name="Note 8 59 2 4 3" xfId="34371"/>
    <cellStyle name="Note 8 59 2 5" xfId="34372"/>
    <cellStyle name="Note 8 59 2 5 2" xfId="34373"/>
    <cellStyle name="Note 8 59 2 5 2 2" xfId="34374"/>
    <cellStyle name="Note 8 59 2 5 3" xfId="34375"/>
    <cellStyle name="Note 8 59 2 6" xfId="34376"/>
    <cellStyle name="Note 8 59 2 6 2" xfId="34377"/>
    <cellStyle name="Note 8 59 2 6 2 2" xfId="34378"/>
    <cellStyle name="Note 8 59 2 6 3" xfId="34379"/>
    <cellStyle name="Note 8 59 2 7" xfId="34380"/>
    <cellStyle name="Note 8 59 3" xfId="34381"/>
    <cellStyle name="Note 8 59 3 2" xfId="34382"/>
    <cellStyle name="Note 8 59 3 2 2" xfId="34383"/>
    <cellStyle name="Note 8 59 3 2 2 2" xfId="34384"/>
    <cellStyle name="Note 8 59 3 2 3" xfId="34385"/>
    <cellStyle name="Note 8 59 3 3" xfId="34386"/>
    <cellStyle name="Note 8 59 3 3 2" xfId="34387"/>
    <cellStyle name="Note 8 59 3 4" xfId="34388"/>
    <cellStyle name="Note 8 59 4" xfId="34389"/>
    <cellStyle name="Note 8 59 4 2" xfId="34390"/>
    <cellStyle name="Note 8 59 4 2 2" xfId="34391"/>
    <cellStyle name="Note 8 59 4 3" xfId="34392"/>
    <cellStyle name="Note 8 59 5" xfId="34393"/>
    <cellStyle name="Note 8 59 5 2" xfId="34394"/>
    <cellStyle name="Note 8 59 5 2 2" xfId="34395"/>
    <cellStyle name="Note 8 59 5 3" xfId="34396"/>
    <cellStyle name="Note 8 59 6" xfId="34397"/>
    <cellStyle name="Note 8 59 6 2" xfId="34398"/>
    <cellStyle name="Note 8 59 6 2 2" xfId="34399"/>
    <cellStyle name="Note 8 59 6 3" xfId="34400"/>
    <cellStyle name="Note 8 59 7" xfId="34401"/>
    <cellStyle name="Note 8 59 7 2" xfId="34402"/>
    <cellStyle name="Note 8 59 7 2 2" xfId="34403"/>
    <cellStyle name="Note 8 59 7 3" xfId="34404"/>
    <cellStyle name="Note 8 59 8" xfId="34405"/>
    <cellStyle name="Note 8 6" xfId="34406"/>
    <cellStyle name="Note 8 6 2" xfId="34407"/>
    <cellStyle name="Note 8 6 2 2" xfId="34408"/>
    <cellStyle name="Note 8 6 2 2 2" xfId="34409"/>
    <cellStyle name="Note 8 6 2 2 2 2" xfId="34410"/>
    <cellStyle name="Note 8 6 2 2 2 2 2" xfId="34411"/>
    <cellStyle name="Note 8 6 2 2 2 3" xfId="34412"/>
    <cellStyle name="Note 8 6 2 2 3" xfId="34413"/>
    <cellStyle name="Note 8 6 2 2 3 2" xfId="34414"/>
    <cellStyle name="Note 8 6 2 2 4" xfId="34415"/>
    <cellStyle name="Note 8 6 2 3" xfId="34416"/>
    <cellStyle name="Note 8 6 2 3 2" xfId="34417"/>
    <cellStyle name="Note 8 6 2 3 2 2" xfId="34418"/>
    <cellStyle name="Note 8 6 2 3 3" xfId="34419"/>
    <cellStyle name="Note 8 6 2 4" xfId="34420"/>
    <cellStyle name="Note 8 6 2 4 2" xfId="34421"/>
    <cellStyle name="Note 8 6 2 4 2 2" xfId="34422"/>
    <cellStyle name="Note 8 6 2 4 3" xfId="34423"/>
    <cellStyle name="Note 8 6 2 5" xfId="34424"/>
    <cellStyle name="Note 8 6 2 5 2" xfId="34425"/>
    <cellStyle name="Note 8 6 2 5 2 2" xfId="34426"/>
    <cellStyle name="Note 8 6 2 5 3" xfId="34427"/>
    <cellStyle name="Note 8 6 2 6" xfId="34428"/>
    <cellStyle name="Note 8 6 2 6 2" xfId="34429"/>
    <cellStyle name="Note 8 6 2 6 2 2" xfId="34430"/>
    <cellStyle name="Note 8 6 2 6 3" xfId="34431"/>
    <cellStyle name="Note 8 6 2 7" xfId="34432"/>
    <cellStyle name="Note 8 6 3" xfId="34433"/>
    <cellStyle name="Note 8 6 3 2" xfId="34434"/>
    <cellStyle name="Note 8 6 3 2 2" xfId="34435"/>
    <cellStyle name="Note 8 6 3 2 2 2" xfId="34436"/>
    <cellStyle name="Note 8 6 3 2 3" xfId="34437"/>
    <cellStyle name="Note 8 6 3 3" xfId="34438"/>
    <cellStyle name="Note 8 6 3 3 2" xfId="34439"/>
    <cellStyle name="Note 8 6 3 4" xfId="34440"/>
    <cellStyle name="Note 8 6 4" xfId="34441"/>
    <cellStyle name="Note 8 6 4 2" xfId="34442"/>
    <cellStyle name="Note 8 6 4 2 2" xfId="34443"/>
    <cellStyle name="Note 8 6 4 3" xfId="34444"/>
    <cellStyle name="Note 8 6 5" xfId="34445"/>
    <cellStyle name="Note 8 6 5 2" xfId="34446"/>
    <cellStyle name="Note 8 6 5 2 2" xfId="34447"/>
    <cellStyle name="Note 8 6 5 3" xfId="34448"/>
    <cellStyle name="Note 8 6 6" xfId="34449"/>
    <cellStyle name="Note 8 6 6 2" xfId="34450"/>
    <cellStyle name="Note 8 6 6 2 2" xfId="34451"/>
    <cellStyle name="Note 8 6 6 3" xfId="34452"/>
    <cellStyle name="Note 8 6 7" xfId="34453"/>
    <cellStyle name="Note 8 6 7 2" xfId="34454"/>
    <cellStyle name="Note 8 6 7 2 2" xfId="34455"/>
    <cellStyle name="Note 8 6 7 3" xfId="34456"/>
    <cellStyle name="Note 8 6 8" xfId="34457"/>
    <cellStyle name="Note 8 60" xfId="34458"/>
    <cellStyle name="Note 8 60 2" xfId="34459"/>
    <cellStyle name="Note 8 60 2 2" xfId="34460"/>
    <cellStyle name="Note 8 60 2 2 2" xfId="34461"/>
    <cellStyle name="Note 8 60 2 2 2 2" xfId="34462"/>
    <cellStyle name="Note 8 60 2 2 2 2 2" xfId="34463"/>
    <cellStyle name="Note 8 60 2 2 2 3" xfId="34464"/>
    <cellStyle name="Note 8 60 2 2 3" xfId="34465"/>
    <cellStyle name="Note 8 60 2 2 3 2" xfId="34466"/>
    <cellStyle name="Note 8 60 2 2 4" xfId="34467"/>
    <cellStyle name="Note 8 60 2 3" xfId="34468"/>
    <cellStyle name="Note 8 60 2 3 2" xfId="34469"/>
    <cellStyle name="Note 8 60 2 3 2 2" xfId="34470"/>
    <cellStyle name="Note 8 60 2 3 3" xfId="34471"/>
    <cellStyle name="Note 8 60 2 4" xfId="34472"/>
    <cellStyle name="Note 8 60 2 4 2" xfId="34473"/>
    <cellStyle name="Note 8 60 2 4 2 2" xfId="34474"/>
    <cellStyle name="Note 8 60 2 4 3" xfId="34475"/>
    <cellStyle name="Note 8 60 2 5" xfId="34476"/>
    <cellStyle name="Note 8 60 2 5 2" xfId="34477"/>
    <cellStyle name="Note 8 60 2 5 2 2" xfId="34478"/>
    <cellStyle name="Note 8 60 2 5 3" xfId="34479"/>
    <cellStyle name="Note 8 60 2 6" xfId="34480"/>
    <cellStyle name="Note 8 60 2 6 2" xfId="34481"/>
    <cellStyle name="Note 8 60 2 6 2 2" xfId="34482"/>
    <cellStyle name="Note 8 60 2 6 3" xfId="34483"/>
    <cellStyle name="Note 8 60 2 7" xfId="34484"/>
    <cellStyle name="Note 8 60 3" xfId="34485"/>
    <cellStyle name="Note 8 60 3 2" xfId="34486"/>
    <cellStyle name="Note 8 60 3 2 2" xfId="34487"/>
    <cellStyle name="Note 8 60 3 2 2 2" xfId="34488"/>
    <cellStyle name="Note 8 60 3 2 3" xfId="34489"/>
    <cellStyle name="Note 8 60 3 3" xfId="34490"/>
    <cellStyle name="Note 8 60 3 3 2" xfId="34491"/>
    <cellStyle name="Note 8 60 3 4" xfId="34492"/>
    <cellStyle name="Note 8 60 4" xfId="34493"/>
    <cellStyle name="Note 8 60 4 2" xfId="34494"/>
    <cellStyle name="Note 8 60 4 2 2" xfId="34495"/>
    <cellStyle name="Note 8 60 4 3" xfId="34496"/>
    <cellStyle name="Note 8 60 5" xfId="34497"/>
    <cellStyle name="Note 8 60 5 2" xfId="34498"/>
    <cellStyle name="Note 8 60 5 2 2" xfId="34499"/>
    <cellStyle name="Note 8 60 5 3" xfId="34500"/>
    <cellStyle name="Note 8 60 6" xfId="34501"/>
    <cellStyle name="Note 8 60 6 2" xfId="34502"/>
    <cellStyle name="Note 8 60 6 2 2" xfId="34503"/>
    <cellStyle name="Note 8 60 6 3" xfId="34504"/>
    <cellStyle name="Note 8 60 7" xfId="34505"/>
    <cellStyle name="Note 8 60 7 2" xfId="34506"/>
    <cellStyle name="Note 8 60 7 2 2" xfId="34507"/>
    <cellStyle name="Note 8 60 7 3" xfId="34508"/>
    <cellStyle name="Note 8 60 8" xfId="34509"/>
    <cellStyle name="Note 8 61" xfId="34510"/>
    <cellStyle name="Note 8 61 2" xfId="34511"/>
    <cellStyle name="Note 8 61 2 2" xfId="34512"/>
    <cellStyle name="Note 8 61 2 2 2" xfId="34513"/>
    <cellStyle name="Note 8 61 2 2 2 2" xfId="34514"/>
    <cellStyle name="Note 8 61 2 2 2 2 2" xfId="34515"/>
    <cellStyle name="Note 8 61 2 2 2 3" xfId="34516"/>
    <cellStyle name="Note 8 61 2 2 3" xfId="34517"/>
    <cellStyle name="Note 8 61 2 2 3 2" xfId="34518"/>
    <cellStyle name="Note 8 61 2 2 4" xfId="34519"/>
    <cellStyle name="Note 8 61 2 3" xfId="34520"/>
    <cellStyle name="Note 8 61 2 3 2" xfId="34521"/>
    <cellStyle name="Note 8 61 2 3 2 2" xfId="34522"/>
    <cellStyle name="Note 8 61 2 3 3" xfId="34523"/>
    <cellStyle name="Note 8 61 2 4" xfId="34524"/>
    <cellStyle name="Note 8 61 2 4 2" xfId="34525"/>
    <cellStyle name="Note 8 61 2 4 2 2" xfId="34526"/>
    <cellStyle name="Note 8 61 2 4 3" xfId="34527"/>
    <cellStyle name="Note 8 61 2 5" xfId="34528"/>
    <cellStyle name="Note 8 61 2 5 2" xfId="34529"/>
    <cellStyle name="Note 8 61 2 5 2 2" xfId="34530"/>
    <cellStyle name="Note 8 61 2 5 3" xfId="34531"/>
    <cellStyle name="Note 8 61 2 6" xfId="34532"/>
    <cellStyle name="Note 8 61 2 6 2" xfId="34533"/>
    <cellStyle name="Note 8 61 2 6 2 2" xfId="34534"/>
    <cellStyle name="Note 8 61 2 6 3" xfId="34535"/>
    <cellStyle name="Note 8 61 2 7" xfId="34536"/>
    <cellStyle name="Note 8 61 3" xfId="34537"/>
    <cellStyle name="Note 8 61 3 2" xfId="34538"/>
    <cellStyle name="Note 8 61 3 2 2" xfId="34539"/>
    <cellStyle name="Note 8 61 3 2 2 2" xfId="34540"/>
    <cellStyle name="Note 8 61 3 2 3" xfId="34541"/>
    <cellStyle name="Note 8 61 3 3" xfId="34542"/>
    <cellStyle name="Note 8 61 3 3 2" xfId="34543"/>
    <cellStyle name="Note 8 61 3 4" xfId="34544"/>
    <cellStyle name="Note 8 61 4" xfId="34545"/>
    <cellStyle name="Note 8 61 4 2" xfId="34546"/>
    <cellStyle name="Note 8 61 4 2 2" xfId="34547"/>
    <cellStyle name="Note 8 61 4 3" xfId="34548"/>
    <cellStyle name="Note 8 61 5" xfId="34549"/>
    <cellStyle name="Note 8 61 5 2" xfId="34550"/>
    <cellStyle name="Note 8 61 5 2 2" xfId="34551"/>
    <cellStyle name="Note 8 61 5 3" xfId="34552"/>
    <cellStyle name="Note 8 61 6" xfId="34553"/>
    <cellStyle name="Note 8 61 6 2" xfId="34554"/>
    <cellStyle name="Note 8 61 6 2 2" xfId="34555"/>
    <cellStyle name="Note 8 61 6 3" xfId="34556"/>
    <cellStyle name="Note 8 61 7" xfId="34557"/>
    <cellStyle name="Note 8 61 7 2" xfId="34558"/>
    <cellStyle name="Note 8 61 7 2 2" xfId="34559"/>
    <cellStyle name="Note 8 61 7 3" xfId="34560"/>
    <cellStyle name="Note 8 61 8" xfId="34561"/>
    <cellStyle name="Note 8 62" xfId="34562"/>
    <cellStyle name="Note 8 62 2" xfId="34563"/>
    <cellStyle name="Note 8 62 2 2" xfId="34564"/>
    <cellStyle name="Note 8 62 2 2 2" xfId="34565"/>
    <cellStyle name="Note 8 62 2 2 2 2" xfId="34566"/>
    <cellStyle name="Note 8 62 2 2 2 2 2" xfId="34567"/>
    <cellStyle name="Note 8 62 2 2 2 3" xfId="34568"/>
    <cellStyle name="Note 8 62 2 2 3" xfId="34569"/>
    <cellStyle name="Note 8 62 2 2 3 2" xfId="34570"/>
    <cellStyle name="Note 8 62 2 2 4" xfId="34571"/>
    <cellStyle name="Note 8 62 2 3" xfId="34572"/>
    <cellStyle name="Note 8 62 2 3 2" xfId="34573"/>
    <cellStyle name="Note 8 62 2 3 2 2" xfId="34574"/>
    <cellStyle name="Note 8 62 2 3 3" xfId="34575"/>
    <cellStyle name="Note 8 62 2 4" xfId="34576"/>
    <cellStyle name="Note 8 62 2 4 2" xfId="34577"/>
    <cellStyle name="Note 8 62 2 4 2 2" xfId="34578"/>
    <cellStyle name="Note 8 62 2 4 3" xfId="34579"/>
    <cellStyle name="Note 8 62 2 5" xfId="34580"/>
    <cellStyle name="Note 8 62 2 5 2" xfId="34581"/>
    <cellStyle name="Note 8 62 2 5 2 2" xfId="34582"/>
    <cellStyle name="Note 8 62 2 5 3" xfId="34583"/>
    <cellStyle name="Note 8 62 2 6" xfId="34584"/>
    <cellStyle name="Note 8 62 2 6 2" xfId="34585"/>
    <cellStyle name="Note 8 62 2 6 2 2" xfId="34586"/>
    <cellStyle name="Note 8 62 2 6 3" xfId="34587"/>
    <cellStyle name="Note 8 62 2 7" xfId="34588"/>
    <cellStyle name="Note 8 62 3" xfId="34589"/>
    <cellStyle name="Note 8 62 3 2" xfId="34590"/>
    <cellStyle name="Note 8 62 3 2 2" xfId="34591"/>
    <cellStyle name="Note 8 62 3 2 2 2" xfId="34592"/>
    <cellStyle name="Note 8 62 3 2 3" xfId="34593"/>
    <cellStyle name="Note 8 62 3 3" xfId="34594"/>
    <cellStyle name="Note 8 62 3 3 2" xfId="34595"/>
    <cellStyle name="Note 8 62 3 4" xfId="34596"/>
    <cellStyle name="Note 8 62 4" xfId="34597"/>
    <cellStyle name="Note 8 62 4 2" xfId="34598"/>
    <cellStyle name="Note 8 62 4 2 2" xfId="34599"/>
    <cellStyle name="Note 8 62 4 3" xfId="34600"/>
    <cellStyle name="Note 8 62 5" xfId="34601"/>
    <cellStyle name="Note 8 62 5 2" xfId="34602"/>
    <cellStyle name="Note 8 62 5 2 2" xfId="34603"/>
    <cellStyle name="Note 8 62 5 3" xfId="34604"/>
    <cellStyle name="Note 8 62 6" xfId="34605"/>
    <cellStyle name="Note 8 62 6 2" xfId="34606"/>
    <cellStyle name="Note 8 62 6 2 2" xfId="34607"/>
    <cellStyle name="Note 8 62 6 3" xfId="34608"/>
    <cellStyle name="Note 8 62 7" xfId="34609"/>
    <cellStyle name="Note 8 62 7 2" xfId="34610"/>
    <cellStyle name="Note 8 62 7 2 2" xfId="34611"/>
    <cellStyle name="Note 8 62 7 3" xfId="34612"/>
    <cellStyle name="Note 8 62 8" xfId="34613"/>
    <cellStyle name="Note 8 63" xfId="34614"/>
    <cellStyle name="Note 8 63 2" xfId="34615"/>
    <cellStyle name="Note 8 63 2 2" xfId="34616"/>
    <cellStyle name="Note 8 63 2 2 2" xfId="34617"/>
    <cellStyle name="Note 8 63 2 2 2 2" xfId="34618"/>
    <cellStyle name="Note 8 63 2 2 2 2 2" xfId="34619"/>
    <cellStyle name="Note 8 63 2 2 2 3" xfId="34620"/>
    <cellStyle name="Note 8 63 2 2 3" xfId="34621"/>
    <cellStyle name="Note 8 63 2 2 3 2" xfId="34622"/>
    <cellStyle name="Note 8 63 2 2 4" xfId="34623"/>
    <cellStyle name="Note 8 63 2 3" xfId="34624"/>
    <cellStyle name="Note 8 63 2 3 2" xfId="34625"/>
    <cellStyle name="Note 8 63 2 3 2 2" xfId="34626"/>
    <cellStyle name="Note 8 63 2 3 3" xfId="34627"/>
    <cellStyle name="Note 8 63 2 4" xfId="34628"/>
    <cellStyle name="Note 8 63 2 4 2" xfId="34629"/>
    <cellStyle name="Note 8 63 2 4 2 2" xfId="34630"/>
    <cellStyle name="Note 8 63 2 4 3" xfId="34631"/>
    <cellStyle name="Note 8 63 2 5" xfId="34632"/>
    <cellStyle name="Note 8 63 2 5 2" xfId="34633"/>
    <cellStyle name="Note 8 63 2 5 2 2" xfId="34634"/>
    <cellStyle name="Note 8 63 2 5 3" xfId="34635"/>
    <cellStyle name="Note 8 63 2 6" xfId="34636"/>
    <cellStyle name="Note 8 63 2 6 2" xfId="34637"/>
    <cellStyle name="Note 8 63 2 6 2 2" xfId="34638"/>
    <cellStyle name="Note 8 63 2 6 3" xfId="34639"/>
    <cellStyle name="Note 8 63 2 7" xfId="34640"/>
    <cellStyle name="Note 8 63 3" xfId="34641"/>
    <cellStyle name="Note 8 63 3 2" xfId="34642"/>
    <cellStyle name="Note 8 63 3 2 2" xfId="34643"/>
    <cellStyle name="Note 8 63 3 2 2 2" xfId="34644"/>
    <cellStyle name="Note 8 63 3 2 3" xfId="34645"/>
    <cellStyle name="Note 8 63 3 3" xfId="34646"/>
    <cellStyle name="Note 8 63 3 3 2" xfId="34647"/>
    <cellStyle name="Note 8 63 3 4" xfId="34648"/>
    <cellStyle name="Note 8 63 4" xfId="34649"/>
    <cellStyle name="Note 8 63 4 2" xfId="34650"/>
    <cellStyle name="Note 8 63 4 2 2" xfId="34651"/>
    <cellStyle name="Note 8 63 4 3" xfId="34652"/>
    <cellStyle name="Note 8 63 5" xfId="34653"/>
    <cellStyle name="Note 8 63 5 2" xfId="34654"/>
    <cellStyle name="Note 8 63 5 2 2" xfId="34655"/>
    <cellStyle name="Note 8 63 5 3" xfId="34656"/>
    <cellStyle name="Note 8 63 6" xfId="34657"/>
    <cellStyle name="Note 8 63 6 2" xfId="34658"/>
    <cellStyle name="Note 8 63 6 2 2" xfId="34659"/>
    <cellStyle name="Note 8 63 6 3" xfId="34660"/>
    <cellStyle name="Note 8 63 7" xfId="34661"/>
    <cellStyle name="Note 8 63 7 2" xfId="34662"/>
    <cellStyle name="Note 8 63 7 2 2" xfId="34663"/>
    <cellStyle name="Note 8 63 7 3" xfId="34664"/>
    <cellStyle name="Note 8 63 8" xfId="34665"/>
    <cellStyle name="Note 8 64" xfId="34666"/>
    <cellStyle name="Note 8 64 2" xfId="34667"/>
    <cellStyle name="Note 8 64 2 2" xfId="34668"/>
    <cellStyle name="Note 8 64 2 2 2" xfId="34669"/>
    <cellStyle name="Note 8 64 2 2 2 2" xfId="34670"/>
    <cellStyle name="Note 8 64 2 2 2 2 2" xfId="34671"/>
    <cellStyle name="Note 8 64 2 2 2 3" xfId="34672"/>
    <cellStyle name="Note 8 64 2 2 3" xfId="34673"/>
    <cellStyle name="Note 8 64 2 2 3 2" xfId="34674"/>
    <cellStyle name="Note 8 64 2 2 4" xfId="34675"/>
    <cellStyle name="Note 8 64 2 3" xfId="34676"/>
    <cellStyle name="Note 8 64 2 3 2" xfId="34677"/>
    <cellStyle name="Note 8 64 2 3 2 2" xfId="34678"/>
    <cellStyle name="Note 8 64 2 3 3" xfId="34679"/>
    <cellStyle name="Note 8 64 2 4" xfId="34680"/>
    <cellStyle name="Note 8 64 2 4 2" xfId="34681"/>
    <cellStyle name="Note 8 64 2 4 2 2" xfId="34682"/>
    <cellStyle name="Note 8 64 2 4 3" xfId="34683"/>
    <cellStyle name="Note 8 64 2 5" xfId="34684"/>
    <cellStyle name="Note 8 64 2 5 2" xfId="34685"/>
    <cellStyle name="Note 8 64 2 5 2 2" xfId="34686"/>
    <cellStyle name="Note 8 64 2 5 3" xfId="34687"/>
    <cellStyle name="Note 8 64 2 6" xfId="34688"/>
    <cellStyle name="Note 8 64 2 6 2" xfId="34689"/>
    <cellStyle name="Note 8 64 2 6 2 2" xfId="34690"/>
    <cellStyle name="Note 8 64 2 6 3" xfId="34691"/>
    <cellStyle name="Note 8 64 2 7" xfId="34692"/>
    <cellStyle name="Note 8 64 3" xfId="34693"/>
    <cellStyle name="Note 8 64 3 2" xfId="34694"/>
    <cellStyle name="Note 8 64 3 2 2" xfId="34695"/>
    <cellStyle name="Note 8 64 3 2 2 2" xfId="34696"/>
    <cellStyle name="Note 8 64 3 2 3" xfId="34697"/>
    <cellStyle name="Note 8 64 3 3" xfId="34698"/>
    <cellStyle name="Note 8 64 3 3 2" xfId="34699"/>
    <cellStyle name="Note 8 64 3 4" xfId="34700"/>
    <cellStyle name="Note 8 64 4" xfId="34701"/>
    <cellStyle name="Note 8 64 4 2" xfId="34702"/>
    <cellStyle name="Note 8 64 4 2 2" xfId="34703"/>
    <cellStyle name="Note 8 64 4 3" xfId="34704"/>
    <cellStyle name="Note 8 64 5" xfId="34705"/>
    <cellStyle name="Note 8 64 5 2" xfId="34706"/>
    <cellStyle name="Note 8 64 5 2 2" xfId="34707"/>
    <cellStyle name="Note 8 64 5 3" xfId="34708"/>
    <cellStyle name="Note 8 64 6" xfId="34709"/>
    <cellStyle name="Note 8 64 6 2" xfId="34710"/>
    <cellStyle name="Note 8 64 6 2 2" xfId="34711"/>
    <cellStyle name="Note 8 64 6 3" xfId="34712"/>
    <cellStyle name="Note 8 64 7" xfId="34713"/>
    <cellStyle name="Note 8 64 7 2" xfId="34714"/>
    <cellStyle name="Note 8 64 7 2 2" xfId="34715"/>
    <cellStyle name="Note 8 64 7 3" xfId="34716"/>
    <cellStyle name="Note 8 64 8" xfId="34717"/>
    <cellStyle name="Note 8 65" xfId="34718"/>
    <cellStyle name="Note 8 65 2" xfId="34719"/>
    <cellStyle name="Note 8 65 2 2" xfId="34720"/>
    <cellStyle name="Note 8 65 2 2 2" xfId="34721"/>
    <cellStyle name="Note 8 65 2 2 2 2" xfId="34722"/>
    <cellStyle name="Note 8 65 2 2 2 2 2" xfId="34723"/>
    <cellStyle name="Note 8 65 2 2 2 3" xfId="34724"/>
    <cellStyle name="Note 8 65 2 2 3" xfId="34725"/>
    <cellStyle name="Note 8 65 2 2 3 2" xfId="34726"/>
    <cellStyle name="Note 8 65 2 2 4" xfId="34727"/>
    <cellStyle name="Note 8 65 2 3" xfId="34728"/>
    <cellStyle name="Note 8 65 2 3 2" xfId="34729"/>
    <cellStyle name="Note 8 65 2 3 2 2" xfId="34730"/>
    <cellStyle name="Note 8 65 2 3 3" xfId="34731"/>
    <cellStyle name="Note 8 65 2 4" xfId="34732"/>
    <cellStyle name="Note 8 65 2 4 2" xfId="34733"/>
    <cellStyle name="Note 8 65 2 4 2 2" xfId="34734"/>
    <cellStyle name="Note 8 65 2 4 3" xfId="34735"/>
    <cellStyle name="Note 8 65 2 5" xfId="34736"/>
    <cellStyle name="Note 8 65 2 5 2" xfId="34737"/>
    <cellStyle name="Note 8 65 2 5 2 2" xfId="34738"/>
    <cellStyle name="Note 8 65 2 5 3" xfId="34739"/>
    <cellStyle name="Note 8 65 2 6" xfId="34740"/>
    <cellStyle name="Note 8 65 2 6 2" xfId="34741"/>
    <cellStyle name="Note 8 65 2 6 2 2" xfId="34742"/>
    <cellStyle name="Note 8 65 2 6 3" xfId="34743"/>
    <cellStyle name="Note 8 65 2 7" xfId="34744"/>
    <cellStyle name="Note 8 65 3" xfId="34745"/>
    <cellStyle name="Note 8 65 3 2" xfId="34746"/>
    <cellStyle name="Note 8 65 3 2 2" xfId="34747"/>
    <cellStyle name="Note 8 65 3 2 2 2" xfId="34748"/>
    <cellStyle name="Note 8 65 3 2 3" xfId="34749"/>
    <cellStyle name="Note 8 65 3 3" xfId="34750"/>
    <cellStyle name="Note 8 65 3 3 2" xfId="34751"/>
    <cellStyle name="Note 8 65 3 4" xfId="34752"/>
    <cellStyle name="Note 8 65 4" xfId="34753"/>
    <cellStyle name="Note 8 65 4 2" xfId="34754"/>
    <cellStyle name="Note 8 65 4 2 2" xfId="34755"/>
    <cellStyle name="Note 8 65 4 3" xfId="34756"/>
    <cellStyle name="Note 8 65 5" xfId="34757"/>
    <cellStyle name="Note 8 65 5 2" xfId="34758"/>
    <cellStyle name="Note 8 65 5 2 2" xfId="34759"/>
    <cellStyle name="Note 8 65 5 3" xfId="34760"/>
    <cellStyle name="Note 8 65 6" xfId="34761"/>
    <cellStyle name="Note 8 65 6 2" xfId="34762"/>
    <cellStyle name="Note 8 65 6 2 2" xfId="34763"/>
    <cellStyle name="Note 8 65 6 3" xfId="34764"/>
    <cellStyle name="Note 8 65 7" xfId="34765"/>
    <cellStyle name="Note 8 65 7 2" xfId="34766"/>
    <cellStyle name="Note 8 65 7 2 2" xfId="34767"/>
    <cellStyle name="Note 8 65 7 3" xfId="34768"/>
    <cellStyle name="Note 8 65 8" xfId="34769"/>
    <cellStyle name="Note 8 66" xfId="34770"/>
    <cellStyle name="Note 8 66 2" xfId="34771"/>
    <cellStyle name="Note 8 66 2 2" xfId="34772"/>
    <cellStyle name="Note 8 66 2 2 2" xfId="34773"/>
    <cellStyle name="Note 8 66 2 2 2 2" xfId="34774"/>
    <cellStyle name="Note 8 66 2 2 2 2 2" xfId="34775"/>
    <cellStyle name="Note 8 66 2 2 2 3" xfId="34776"/>
    <cellStyle name="Note 8 66 2 2 3" xfId="34777"/>
    <cellStyle name="Note 8 66 2 2 3 2" xfId="34778"/>
    <cellStyle name="Note 8 66 2 2 4" xfId="34779"/>
    <cellStyle name="Note 8 66 2 3" xfId="34780"/>
    <cellStyle name="Note 8 66 2 3 2" xfId="34781"/>
    <cellStyle name="Note 8 66 2 3 2 2" xfId="34782"/>
    <cellStyle name="Note 8 66 2 3 3" xfId="34783"/>
    <cellStyle name="Note 8 66 2 4" xfId="34784"/>
    <cellStyle name="Note 8 66 2 4 2" xfId="34785"/>
    <cellStyle name="Note 8 66 2 4 2 2" xfId="34786"/>
    <cellStyle name="Note 8 66 2 4 3" xfId="34787"/>
    <cellStyle name="Note 8 66 2 5" xfId="34788"/>
    <cellStyle name="Note 8 66 2 5 2" xfId="34789"/>
    <cellStyle name="Note 8 66 2 5 2 2" xfId="34790"/>
    <cellStyle name="Note 8 66 2 5 3" xfId="34791"/>
    <cellStyle name="Note 8 66 2 6" xfId="34792"/>
    <cellStyle name="Note 8 66 2 6 2" xfId="34793"/>
    <cellStyle name="Note 8 66 2 6 2 2" xfId="34794"/>
    <cellStyle name="Note 8 66 2 6 3" xfId="34795"/>
    <cellStyle name="Note 8 66 2 7" xfId="34796"/>
    <cellStyle name="Note 8 66 3" xfId="34797"/>
    <cellStyle name="Note 8 66 3 2" xfId="34798"/>
    <cellStyle name="Note 8 66 3 2 2" xfId="34799"/>
    <cellStyle name="Note 8 66 3 2 2 2" xfId="34800"/>
    <cellStyle name="Note 8 66 3 2 3" xfId="34801"/>
    <cellStyle name="Note 8 66 3 3" xfId="34802"/>
    <cellStyle name="Note 8 66 3 3 2" xfId="34803"/>
    <cellStyle name="Note 8 66 3 4" xfId="34804"/>
    <cellStyle name="Note 8 66 4" xfId="34805"/>
    <cellStyle name="Note 8 66 4 2" xfId="34806"/>
    <cellStyle name="Note 8 66 4 2 2" xfId="34807"/>
    <cellStyle name="Note 8 66 4 3" xfId="34808"/>
    <cellStyle name="Note 8 66 5" xfId="34809"/>
    <cellStyle name="Note 8 66 5 2" xfId="34810"/>
    <cellStyle name="Note 8 66 5 2 2" xfId="34811"/>
    <cellStyle name="Note 8 66 5 3" xfId="34812"/>
    <cellStyle name="Note 8 66 6" xfId="34813"/>
    <cellStyle name="Note 8 66 6 2" xfId="34814"/>
    <cellStyle name="Note 8 66 6 2 2" xfId="34815"/>
    <cellStyle name="Note 8 66 6 3" xfId="34816"/>
    <cellStyle name="Note 8 66 7" xfId="34817"/>
    <cellStyle name="Note 8 66 7 2" xfId="34818"/>
    <cellStyle name="Note 8 66 7 2 2" xfId="34819"/>
    <cellStyle name="Note 8 66 7 3" xfId="34820"/>
    <cellStyle name="Note 8 66 8" xfId="34821"/>
    <cellStyle name="Note 8 67" xfId="34822"/>
    <cellStyle name="Note 8 67 2" xfId="34823"/>
    <cellStyle name="Note 8 67 2 2" xfId="34824"/>
    <cellStyle name="Note 8 67 2 2 2" xfId="34825"/>
    <cellStyle name="Note 8 67 2 2 2 2" xfId="34826"/>
    <cellStyle name="Note 8 67 2 2 2 2 2" xfId="34827"/>
    <cellStyle name="Note 8 67 2 2 2 3" xfId="34828"/>
    <cellStyle name="Note 8 67 2 2 3" xfId="34829"/>
    <cellStyle name="Note 8 67 2 2 3 2" xfId="34830"/>
    <cellStyle name="Note 8 67 2 2 4" xfId="34831"/>
    <cellStyle name="Note 8 67 2 3" xfId="34832"/>
    <cellStyle name="Note 8 67 2 3 2" xfId="34833"/>
    <cellStyle name="Note 8 67 2 3 2 2" xfId="34834"/>
    <cellStyle name="Note 8 67 2 3 3" xfId="34835"/>
    <cellStyle name="Note 8 67 2 4" xfId="34836"/>
    <cellStyle name="Note 8 67 2 4 2" xfId="34837"/>
    <cellStyle name="Note 8 67 2 4 2 2" xfId="34838"/>
    <cellStyle name="Note 8 67 2 4 3" xfId="34839"/>
    <cellStyle name="Note 8 67 2 5" xfId="34840"/>
    <cellStyle name="Note 8 67 2 5 2" xfId="34841"/>
    <cellStyle name="Note 8 67 2 5 2 2" xfId="34842"/>
    <cellStyle name="Note 8 67 2 5 3" xfId="34843"/>
    <cellStyle name="Note 8 67 2 6" xfId="34844"/>
    <cellStyle name="Note 8 67 2 6 2" xfId="34845"/>
    <cellStyle name="Note 8 67 2 6 2 2" xfId="34846"/>
    <cellStyle name="Note 8 67 2 6 3" xfId="34847"/>
    <cellStyle name="Note 8 67 2 7" xfId="34848"/>
    <cellStyle name="Note 8 67 3" xfId="34849"/>
    <cellStyle name="Note 8 67 3 2" xfId="34850"/>
    <cellStyle name="Note 8 67 3 2 2" xfId="34851"/>
    <cellStyle name="Note 8 67 3 2 2 2" xfId="34852"/>
    <cellStyle name="Note 8 67 3 2 3" xfId="34853"/>
    <cellStyle name="Note 8 67 3 3" xfId="34854"/>
    <cellStyle name="Note 8 67 3 3 2" xfId="34855"/>
    <cellStyle name="Note 8 67 3 4" xfId="34856"/>
    <cellStyle name="Note 8 67 4" xfId="34857"/>
    <cellStyle name="Note 8 67 4 2" xfId="34858"/>
    <cellStyle name="Note 8 67 4 2 2" xfId="34859"/>
    <cellStyle name="Note 8 67 4 3" xfId="34860"/>
    <cellStyle name="Note 8 67 5" xfId="34861"/>
    <cellStyle name="Note 8 67 5 2" xfId="34862"/>
    <cellStyle name="Note 8 67 5 2 2" xfId="34863"/>
    <cellStyle name="Note 8 67 5 3" xfId="34864"/>
    <cellStyle name="Note 8 67 6" xfId="34865"/>
    <cellStyle name="Note 8 67 6 2" xfId="34866"/>
    <cellStyle name="Note 8 67 6 2 2" xfId="34867"/>
    <cellStyle name="Note 8 67 6 3" xfId="34868"/>
    <cellStyle name="Note 8 67 7" xfId="34869"/>
    <cellStyle name="Note 8 67 7 2" xfId="34870"/>
    <cellStyle name="Note 8 67 7 2 2" xfId="34871"/>
    <cellStyle name="Note 8 67 7 3" xfId="34872"/>
    <cellStyle name="Note 8 67 8" xfId="34873"/>
    <cellStyle name="Note 8 68" xfId="34874"/>
    <cellStyle name="Note 8 68 2" xfId="34875"/>
    <cellStyle name="Note 8 68 2 2" xfId="34876"/>
    <cellStyle name="Note 8 68 2 2 2" xfId="34877"/>
    <cellStyle name="Note 8 68 2 2 2 2" xfId="34878"/>
    <cellStyle name="Note 8 68 2 2 2 2 2" xfId="34879"/>
    <cellStyle name="Note 8 68 2 2 2 3" xfId="34880"/>
    <cellStyle name="Note 8 68 2 2 3" xfId="34881"/>
    <cellStyle name="Note 8 68 2 2 3 2" xfId="34882"/>
    <cellStyle name="Note 8 68 2 2 4" xfId="34883"/>
    <cellStyle name="Note 8 68 2 3" xfId="34884"/>
    <cellStyle name="Note 8 68 2 3 2" xfId="34885"/>
    <cellStyle name="Note 8 68 2 3 2 2" xfId="34886"/>
    <cellStyle name="Note 8 68 2 3 3" xfId="34887"/>
    <cellStyle name="Note 8 68 2 4" xfId="34888"/>
    <cellStyle name="Note 8 68 2 4 2" xfId="34889"/>
    <cellStyle name="Note 8 68 2 4 2 2" xfId="34890"/>
    <cellStyle name="Note 8 68 2 4 3" xfId="34891"/>
    <cellStyle name="Note 8 68 2 5" xfId="34892"/>
    <cellStyle name="Note 8 68 2 5 2" xfId="34893"/>
    <cellStyle name="Note 8 68 2 5 2 2" xfId="34894"/>
    <cellStyle name="Note 8 68 2 5 3" xfId="34895"/>
    <cellStyle name="Note 8 68 2 6" xfId="34896"/>
    <cellStyle name="Note 8 68 2 6 2" xfId="34897"/>
    <cellStyle name="Note 8 68 2 6 2 2" xfId="34898"/>
    <cellStyle name="Note 8 68 2 6 3" xfId="34899"/>
    <cellStyle name="Note 8 68 2 7" xfId="34900"/>
    <cellStyle name="Note 8 68 3" xfId="34901"/>
    <cellStyle name="Note 8 68 3 2" xfId="34902"/>
    <cellStyle name="Note 8 68 3 2 2" xfId="34903"/>
    <cellStyle name="Note 8 68 3 2 2 2" xfId="34904"/>
    <cellStyle name="Note 8 68 3 2 3" xfId="34905"/>
    <cellStyle name="Note 8 68 3 3" xfId="34906"/>
    <cellStyle name="Note 8 68 3 3 2" xfId="34907"/>
    <cellStyle name="Note 8 68 3 4" xfId="34908"/>
    <cellStyle name="Note 8 68 4" xfId="34909"/>
    <cellStyle name="Note 8 68 4 2" xfId="34910"/>
    <cellStyle name="Note 8 68 4 2 2" xfId="34911"/>
    <cellStyle name="Note 8 68 4 3" xfId="34912"/>
    <cellStyle name="Note 8 68 5" xfId="34913"/>
    <cellStyle name="Note 8 68 5 2" xfId="34914"/>
    <cellStyle name="Note 8 68 5 2 2" xfId="34915"/>
    <cellStyle name="Note 8 68 5 3" xfId="34916"/>
    <cellStyle name="Note 8 68 6" xfId="34917"/>
    <cellStyle name="Note 8 68 6 2" xfId="34918"/>
    <cellStyle name="Note 8 68 6 2 2" xfId="34919"/>
    <cellStyle name="Note 8 68 6 3" xfId="34920"/>
    <cellStyle name="Note 8 68 7" xfId="34921"/>
    <cellStyle name="Note 8 68 7 2" xfId="34922"/>
    <cellStyle name="Note 8 68 7 2 2" xfId="34923"/>
    <cellStyle name="Note 8 68 7 3" xfId="34924"/>
    <cellStyle name="Note 8 68 8" xfId="34925"/>
    <cellStyle name="Note 8 69" xfId="34926"/>
    <cellStyle name="Note 8 69 2" xfId="34927"/>
    <cellStyle name="Note 8 69 2 2" xfId="34928"/>
    <cellStyle name="Note 8 69 2 2 2" xfId="34929"/>
    <cellStyle name="Note 8 69 2 2 2 2" xfId="34930"/>
    <cellStyle name="Note 8 69 2 2 2 2 2" xfId="34931"/>
    <cellStyle name="Note 8 69 2 2 2 3" xfId="34932"/>
    <cellStyle name="Note 8 69 2 2 3" xfId="34933"/>
    <cellStyle name="Note 8 69 2 2 3 2" xfId="34934"/>
    <cellStyle name="Note 8 69 2 2 4" xfId="34935"/>
    <cellStyle name="Note 8 69 2 3" xfId="34936"/>
    <cellStyle name="Note 8 69 2 3 2" xfId="34937"/>
    <cellStyle name="Note 8 69 2 3 2 2" xfId="34938"/>
    <cellStyle name="Note 8 69 2 3 3" xfId="34939"/>
    <cellStyle name="Note 8 69 2 4" xfId="34940"/>
    <cellStyle name="Note 8 69 2 4 2" xfId="34941"/>
    <cellStyle name="Note 8 69 2 4 2 2" xfId="34942"/>
    <cellStyle name="Note 8 69 2 4 3" xfId="34943"/>
    <cellStyle name="Note 8 69 2 5" xfId="34944"/>
    <cellStyle name="Note 8 69 2 5 2" xfId="34945"/>
    <cellStyle name="Note 8 69 2 5 2 2" xfId="34946"/>
    <cellStyle name="Note 8 69 2 5 3" xfId="34947"/>
    <cellStyle name="Note 8 69 2 6" xfId="34948"/>
    <cellStyle name="Note 8 69 2 6 2" xfId="34949"/>
    <cellStyle name="Note 8 69 2 6 2 2" xfId="34950"/>
    <cellStyle name="Note 8 69 2 6 3" xfId="34951"/>
    <cellStyle name="Note 8 69 2 7" xfId="34952"/>
    <cellStyle name="Note 8 69 3" xfId="34953"/>
    <cellStyle name="Note 8 69 3 2" xfId="34954"/>
    <cellStyle name="Note 8 69 3 2 2" xfId="34955"/>
    <cellStyle name="Note 8 69 3 2 2 2" xfId="34956"/>
    <cellStyle name="Note 8 69 3 2 3" xfId="34957"/>
    <cellStyle name="Note 8 69 3 3" xfId="34958"/>
    <cellStyle name="Note 8 69 3 3 2" xfId="34959"/>
    <cellStyle name="Note 8 69 3 4" xfId="34960"/>
    <cellStyle name="Note 8 69 4" xfId="34961"/>
    <cellStyle name="Note 8 69 4 2" xfId="34962"/>
    <cellStyle name="Note 8 69 4 2 2" xfId="34963"/>
    <cellStyle name="Note 8 69 4 3" xfId="34964"/>
    <cellStyle name="Note 8 69 5" xfId="34965"/>
    <cellStyle name="Note 8 69 5 2" xfId="34966"/>
    <cellStyle name="Note 8 69 5 2 2" xfId="34967"/>
    <cellStyle name="Note 8 69 5 3" xfId="34968"/>
    <cellStyle name="Note 8 69 6" xfId="34969"/>
    <cellStyle name="Note 8 69 6 2" xfId="34970"/>
    <cellStyle name="Note 8 69 6 2 2" xfId="34971"/>
    <cellStyle name="Note 8 69 6 3" xfId="34972"/>
    <cellStyle name="Note 8 69 7" xfId="34973"/>
    <cellStyle name="Note 8 69 7 2" xfId="34974"/>
    <cellStyle name="Note 8 69 7 2 2" xfId="34975"/>
    <cellStyle name="Note 8 69 7 3" xfId="34976"/>
    <cellStyle name="Note 8 69 8" xfId="34977"/>
    <cellStyle name="Note 8 7" xfId="34978"/>
    <cellStyle name="Note 8 7 2" xfId="34979"/>
    <cellStyle name="Note 8 7 2 2" xfId="34980"/>
    <cellStyle name="Note 8 7 2 2 2" xfId="34981"/>
    <cellStyle name="Note 8 7 2 2 2 2" xfId="34982"/>
    <cellStyle name="Note 8 7 2 2 2 2 2" xfId="34983"/>
    <cellStyle name="Note 8 7 2 2 2 3" xfId="34984"/>
    <cellStyle name="Note 8 7 2 2 3" xfId="34985"/>
    <cellStyle name="Note 8 7 2 2 3 2" xfId="34986"/>
    <cellStyle name="Note 8 7 2 2 4" xfId="34987"/>
    <cellStyle name="Note 8 7 2 3" xfId="34988"/>
    <cellStyle name="Note 8 7 2 3 2" xfId="34989"/>
    <cellStyle name="Note 8 7 2 3 2 2" xfId="34990"/>
    <cellStyle name="Note 8 7 2 3 3" xfId="34991"/>
    <cellStyle name="Note 8 7 2 4" xfId="34992"/>
    <cellStyle name="Note 8 7 2 4 2" xfId="34993"/>
    <cellStyle name="Note 8 7 2 4 2 2" xfId="34994"/>
    <cellStyle name="Note 8 7 2 4 3" xfId="34995"/>
    <cellStyle name="Note 8 7 2 5" xfId="34996"/>
    <cellStyle name="Note 8 7 2 5 2" xfId="34997"/>
    <cellStyle name="Note 8 7 2 5 2 2" xfId="34998"/>
    <cellStyle name="Note 8 7 2 5 3" xfId="34999"/>
    <cellStyle name="Note 8 7 2 6" xfId="35000"/>
    <cellStyle name="Note 8 7 2 6 2" xfId="35001"/>
    <cellStyle name="Note 8 7 2 6 2 2" xfId="35002"/>
    <cellStyle name="Note 8 7 2 6 3" xfId="35003"/>
    <cellStyle name="Note 8 7 2 7" xfId="35004"/>
    <cellStyle name="Note 8 7 3" xfId="35005"/>
    <cellStyle name="Note 8 7 3 2" xfId="35006"/>
    <cellStyle name="Note 8 7 3 2 2" xfId="35007"/>
    <cellStyle name="Note 8 7 3 2 2 2" xfId="35008"/>
    <cellStyle name="Note 8 7 3 2 3" xfId="35009"/>
    <cellStyle name="Note 8 7 3 3" xfId="35010"/>
    <cellStyle name="Note 8 7 3 3 2" xfId="35011"/>
    <cellStyle name="Note 8 7 3 4" xfId="35012"/>
    <cellStyle name="Note 8 7 4" xfId="35013"/>
    <cellStyle name="Note 8 7 4 2" xfId="35014"/>
    <cellStyle name="Note 8 7 4 2 2" xfId="35015"/>
    <cellStyle name="Note 8 7 4 3" xfId="35016"/>
    <cellStyle name="Note 8 7 5" xfId="35017"/>
    <cellStyle name="Note 8 7 5 2" xfId="35018"/>
    <cellStyle name="Note 8 7 5 2 2" xfId="35019"/>
    <cellStyle name="Note 8 7 5 3" xfId="35020"/>
    <cellStyle name="Note 8 7 6" xfId="35021"/>
    <cellStyle name="Note 8 7 6 2" xfId="35022"/>
    <cellStyle name="Note 8 7 6 2 2" xfId="35023"/>
    <cellStyle name="Note 8 7 6 3" xfId="35024"/>
    <cellStyle name="Note 8 7 7" xfId="35025"/>
    <cellStyle name="Note 8 7 7 2" xfId="35026"/>
    <cellStyle name="Note 8 7 7 2 2" xfId="35027"/>
    <cellStyle name="Note 8 7 7 3" xfId="35028"/>
    <cellStyle name="Note 8 7 8" xfId="35029"/>
    <cellStyle name="Note 8 70" xfId="35030"/>
    <cellStyle name="Note 8 70 2" xfId="35031"/>
    <cellStyle name="Note 8 70 2 2" xfId="35032"/>
    <cellStyle name="Note 8 70 2 2 2" xfId="35033"/>
    <cellStyle name="Note 8 70 2 2 2 2" xfId="35034"/>
    <cellStyle name="Note 8 70 2 2 2 2 2" xfId="35035"/>
    <cellStyle name="Note 8 70 2 2 2 3" xfId="35036"/>
    <cellStyle name="Note 8 70 2 2 3" xfId="35037"/>
    <cellStyle name="Note 8 70 2 2 3 2" xfId="35038"/>
    <cellStyle name="Note 8 70 2 2 4" xfId="35039"/>
    <cellStyle name="Note 8 70 2 3" xfId="35040"/>
    <cellStyle name="Note 8 70 2 3 2" xfId="35041"/>
    <cellStyle name="Note 8 70 2 3 2 2" xfId="35042"/>
    <cellStyle name="Note 8 70 2 3 3" xfId="35043"/>
    <cellStyle name="Note 8 70 2 4" xfId="35044"/>
    <cellStyle name="Note 8 70 2 4 2" xfId="35045"/>
    <cellStyle name="Note 8 70 2 4 2 2" xfId="35046"/>
    <cellStyle name="Note 8 70 2 4 3" xfId="35047"/>
    <cellStyle name="Note 8 70 2 5" xfId="35048"/>
    <cellStyle name="Note 8 70 2 5 2" xfId="35049"/>
    <cellStyle name="Note 8 70 2 5 2 2" xfId="35050"/>
    <cellStyle name="Note 8 70 2 5 3" xfId="35051"/>
    <cellStyle name="Note 8 70 2 6" xfId="35052"/>
    <cellStyle name="Note 8 70 2 6 2" xfId="35053"/>
    <cellStyle name="Note 8 70 2 6 2 2" xfId="35054"/>
    <cellStyle name="Note 8 70 2 6 3" xfId="35055"/>
    <cellStyle name="Note 8 70 2 7" xfId="35056"/>
    <cellStyle name="Note 8 70 3" xfId="35057"/>
    <cellStyle name="Note 8 70 3 2" xfId="35058"/>
    <cellStyle name="Note 8 70 3 2 2" xfId="35059"/>
    <cellStyle name="Note 8 70 3 2 2 2" xfId="35060"/>
    <cellStyle name="Note 8 70 3 2 3" xfId="35061"/>
    <cellStyle name="Note 8 70 3 3" xfId="35062"/>
    <cellStyle name="Note 8 70 3 3 2" xfId="35063"/>
    <cellStyle name="Note 8 70 3 4" xfId="35064"/>
    <cellStyle name="Note 8 70 4" xfId="35065"/>
    <cellStyle name="Note 8 70 4 2" xfId="35066"/>
    <cellStyle name="Note 8 70 4 2 2" xfId="35067"/>
    <cellStyle name="Note 8 70 4 3" xfId="35068"/>
    <cellStyle name="Note 8 70 5" xfId="35069"/>
    <cellStyle name="Note 8 70 5 2" xfId="35070"/>
    <cellStyle name="Note 8 70 5 2 2" xfId="35071"/>
    <cellStyle name="Note 8 70 5 3" xfId="35072"/>
    <cellStyle name="Note 8 70 6" xfId="35073"/>
    <cellStyle name="Note 8 70 6 2" xfId="35074"/>
    <cellStyle name="Note 8 70 6 2 2" xfId="35075"/>
    <cellStyle name="Note 8 70 6 3" xfId="35076"/>
    <cellStyle name="Note 8 70 7" xfId="35077"/>
    <cellStyle name="Note 8 70 7 2" xfId="35078"/>
    <cellStyle name="Note 8 70 7 2 2" xfId="35079"/>
    <cellStyle name="Note 8 70 7 3" xfId="35080"/>
    <cellStyle name="Note 8 70 8" xfId="35081"/>
    <cellStyle name="Note 8 71" xfId="35082"/>
    <cellStyle name="Note 8 71 2" xfId="35083"/>
    <cellStyle name="Note 8 71 2 2" xfId="35084"/>
    <cellStyle name="Note 8 71 2 2 2" xfId="35085"/>
    <cellStyle name="Note 8 71 2 2 2 2" xfId="35086"/>
    <cellStyle name="Note 8 71 2 2 2 2 2" xfId="35087"/>
    <cellStyle name="Note 8 71 2 2 2 3" xfId="35088"/>
    <cellStyle name="Note 8 71 2 2 3" xfId="35089"/>
    <cellStyle name="Note 8 71 2 2 3 2" xfId="35090"/>
    <cellStyle name="Note 8 71 2 2 4" xfId="35091"/>
    <cellStyle name="Note 8 71 2 3" xfId="35092"/>
    <cellStyle name="Note 8 71 2 3 2" xfId="35093"/>
    <cellStyle name="Note 8 71 2 3 2 2" xfId="35094"/>
    <cellStyle name="Note 8 71 2 3 3" xfId="35095"/>
    <cellStyle name="Note 8 71 2 4" xfId="35096"/>
    <cellStyle name="Note 8 71 2 4 2" xfId="35097"/>
    <cellStyle name="Note 8 71 2 4 2 2" xfId="35098"/>
    <cellStyle name="Note 8 71 2 4 3" xfId="35099"/>
    <cellStyle name="Note 8 71 2 5" xfId="35100"/>
    <cellStyle name="Note 8 71 2 5 2" xfId="35101"/>
    <cellStyle name="Note 8 71 2 5 2 2" xfId="35102"/>
    <cellStyle name="Note 8 71 2 5 3" xfId="35103"/>
    <cellStyle name="Note 8 71 2 6" xfId="35104"/>
    <cellStyle name="Note 8 71 2 6 2" xfId="35105"/>
    <cellStyle name="Note 8 71 2 6 2 2" xfId="35106"/>
    <cellStyle name="Note 8 71 2 6 3" xfId="35107"/>
    <cellStyle name="Note 8 71 2 7" xfId="35108"/>
    <cellStyle name="Note 8 71 3" xfId="35109"/>
    <cellStyle name="Note 8 71 3 2" xfId="35110"/>
    <cellStyle name="Note 8 71 3 2 2" xfId="35111"/>
    <cellStyle name="Note 8 71 3 2 2 2" xfId="35112"/>
    <cellStyle name="Note 8 71 3 2 3" xfId="35113"/>
    <cellStyle name="Note 8 71 3 3" xfId="35114"/>
    <cellStyle name="Note 8 71 3 3 2" xfId="35115"/>
    <cellStyle name="Note 8 71 3 4" xfId="35116"/>
    <cellStyle name="Note 8 71 4" xfId="35117"/>
    <cellStyle name="Note 8 71 4 2" xfId="35118"/>
    <cellStyle name="Note 8 71 4 2 2" xfId="35119"/>
    <cellStyle name="Note 8 71 4 3" xfId="35120"/>
    <cellStyle name="Note 8 71 5" xfId="35121"/>
    <cellStyle name="Note 8 71 5 2" xfId="35122"/>
    <cellStyle name="Note 8 71 5 2 2" xfId="35123"/>
    <cellStyle name="Note 8 71 5 3" xfId="35124"/>
    <cellStyle name="Note 8 71 6" xfId="35125"/>
    <cellStyle name="Note 8 71 6 2" xfId="35126"/>
    <cellStyle name="Note 8 71 6 2 2" xfId="35127"/>
    <cellStyle name="Note 8 71 6 3" xfId="35128"/>
    <cellStyle name="Note 8 71 7" xfId="35129"/>
    <cellStyle name="Note 8 71 7 2" xfId="35130"/>
    <cellStyle name="Note 8 71 7 2 2" xfId="35131"/>
    <cellStyle name="Note 8 71 7 3" xfId="35132"/>
    <cellStyle name="Note 8 71 8" xfId="35133"/>
    <cellStyle name="Note 8 72" xfId="35134"/>
    <cellStyle name="Note 8 72 2" xfId="35135"/>
    <cellStyle name="Note 8 72 2 2" xfId="35136"/>
    <cellStyle name="Note 8 72 2 2 2" xfId="35137"/>
    <cellStyle name="Note 8 72 2 2 2 2" xfId="35138"/>
    <cellStyle name="Note 8 72 2 2 2 2 2" xfId="35139"/>
    <cellStyle name="Note 8 72 2 2 2 3" xfId="35140"/>
    <cellStyle name="Note 8 72 2 2 3" xfId="35141"/>
    <cellStyle name="Note 8 72 2 2 3 2" xfId="35142"/>
    <cellStyle name="Note 8 72 2 2 4" xfId="35143"/>
    <cellStyle name="Note 8 72 2 3" xfId="35144"/>
    <cellStyle name="Note 8 72 2 3 2" xfId="35145"/>
    <cellStyle name="Note 8 72 2 3 2 2" xfId="35146"/>
    <cellStyle name="Note 8 72 2 3 3" xfId="35147"/>
    <cellStyle name="Note 8 72 2 4" xfId="35148"/>
    <cellStyle name="Note 8 72 2 4 2" xfId="35149"/>
    <cellStyle name="Note 8 72 2 4 2 2" xfId="35150"/>
    <cellStyle name="Note 8 72 2 4 3" xfId="35151"/>
    <cellStyle name="Note 8 72 2 5" xfId="35152"/>
    <cellStyle name="Note 8 72 2 5 2" xfId="35153"/>
    <cellStyle name="Note 8 72 2 5 2 2" xfId="35154"/>
    <cellStyle name="Note 8 72 2 5 3" xfId="35155"/>
    <cellStyle name="Note 8 72 2 6" xfId="35156"/>
    <cellStyle name="Note 8 72 2 6 2" xfId="35157"/>
    <cellStyle name="Note 8 72 2 6 2 2" xfId="35158"/>
    <cellStyle name="Note 8 72 2 6 3" xfId="35159"/>
    <cellStyle name="Note 8 72 2 7" xfId="35160"/>
    <cellStyle name="Note 8 72 3" xfId="35161"/>
    <cellStyle name="Note 8 72 3 2" xfId="35162"/>
    <cellStyle name="Note 8 72 3 2 2" xfId="35163"/>
    <cellStyle name="Note 8 72 3 2 2 2" xfId="35164"/>
    <cellStyle name="Note 8 72 3 2 3" xfId="35165"/>
    <cellStyle name="Note 8 72 3 3" xfId="35166"/>
    <cellStyle name="Note 8 72 3 3 2" xfId="35167"/>
    <cellStyle name="Note 8 72 3 4" xfId="35168"/>
    <cellStyle name="Note 8 72 4" xfId="35169"/>
    <cellStyle name="Note 8 72 4 2" xfId="35170"/>
    <cellStyle name="Note 8 72 4 2 2" xfId="35171"/>
    <cellStyle name="Note 8 72 4 3" xfId="35172"/>
    <cellStyle name="Note 8 72 5" xfId="35173"/>
    <cellStyle name="Note 8 72 5 2" xfId="35174"/>
    <cellStyle name="Note 8 72 5 2 2" xfId="35175"/>
    <cellStyle name="Note 8 72 5 3" xfId="35176"/>
    <cellStyle name="Note 8 72 6" xfId="35177"/>
    <cellStyle name="Note 8 72 6 2" xfId="35178"/>
    <cellStyle name="Note 8 72 6 2 2" xfId="35179"/>
    <cellStyle name="Note 8 72 6 3" xfId="35180"/>
    <cellStyle name="Note 8 72 7" xfId="35181"/>
    <cellStyle name="Note 8 72 7 2" xfId="35182"/>
    <cellStyle name="Note 8 72 7 2 2" xfId="35183"/>
    <cellStyle name="Note 8 72 7 3" xfId="35184"/>
    <cellStyle name="Note 8 72 8" xfId="35185"/>
    <cellStyle name="Note 8 73" xfId="35186"/>
    <cellStyle name="Note 8 73 2" xfId="35187"/>
    <cellStyle name="Note 8 73 2 2" xfId="35188"/>
    <cellStyle name="Note 8 73 2 2 2" xfId="35189"/>
    <cellStyle name="Note 8 73 2 2 2 2" xfId="35190"/>
    <cellStyle name="Note 8 73 2 2 2 2 2" xfId="35191"/>
    <cellStyle name="Note 8 73 2 2 2 3" xfId="35192"/>
    <cellStyle name="Note 8 73 2 2 3" xfId="35193"/>
    <cellStyle name="Note 8 73 2 2 3 2" xfId="35194"/>
    <cellStyle name="Note 8 73 2 2 4" xfId="35195"/>
    <cellStyle name="Note 8 73 2 3" xfId="35196"/>
    <cellStyle name="Note 8 73 2 3 2" xfId="35197"/>
    <cellStyle name="Note 8 73 2 3 2 2" xfId="35198"/>
    <cellStyle name="Note 8 73 2 3 3" xfId="35199"/>
    <cellStyle name="Note 8 73 2 4" xfId="35200"/>
    <cellStyle name="Note 8 73 2 4 2" xfId="35201"/>
    <cellStyle name="Note 8 73 2 4 2 2" xfId="35202"/>
    <cellStyle name="Note 8 73 2 4 3" xfId="35203"/>
    <cellStyle name="Note 8 73 2 5" xfId="35204"/>
    <cellStyle name="Note 8 73 2 5 2" xfId="35205"/>
    <cellStyle name="Note 8 73 2 5 2 2" xfId="35206"/>
    <cellStyle name="Note 8 73 2 5 3" xfId="35207"/>
    <cellStyle name="Note 8 73 2 6" xfId="35208"/>
    <cellStyle name="Note 8 73 2 6 2" xfId="35209"/>
    <cellStyle name="Note 8 73 2 6 2 2" xfId="35210"/>
    <cellStyle name="Note 8 73 2 6 3" xfId="35211"/>
    <cellStyle name="Note 8 73 2 7" xfId="35212"/>
    <cellStyle name="Note 8 73 3" xfId="35213"/>
    <cellStyle name="Note 8 73 3 2" xfId="35214"/>
    <cellStyle name="Note 8 73 3 2 2" xfId="35215"/>
    <cellStyle name="Note 8 73 3 2 2 2" xfId="35216"/>
    <cellStyle name="Note 8 73 3 2 3" xfId="35217"/>
    <cellStyle name="Note 8 73 3 3" xfId="35218"/>
    <cellStyle name="Note 8 73 3 3 2" xfId="35219"/>
    <cellStyle name="Note 8 73 3 4" xfId="35220"/>
    <cellStyle name="Note 8 73 4" xfId="35221"/>
    <cellStyle name="Note 8 73 4 2" xfId="35222"/>
    <cellStyle name="Note 8 73 4 2 2" xfId="35223"/>
    <cellStyle name="Note 8 73 4 3" xfId="35224"/>
    <cellStyle name="Note 8 73 5" xfId="35225"/>
    <cellStyle name="Note 8 73 5 2" xfId="35226"/>
    <cellStyle name="Note 8 73 5 2 2" xfId="35227"/>
    <cellStyle name="Note 8 73 5 3" xfId="35228"/>
    <cellStyle name="Note 8 73 6" xfId="35229"/>
    <cellStyle name="Note 8 73 6 2" xfId="35230"/>
    <cellStyle name="Note 8 73 6 2 2" xfId="35231"/>
    <cellStyle name="Note 8 73 6 3" xfId="35232"/>
    <cellStyle name="Note 8 73 7" xfId="35233"/>
    <cellStyle name="Note 8 73 7 2" xfId="35234"/>
    <cellStyle name="Note 8 73 7 2 2" xfId="35235"/>
    <cellStyle name="Note 8 73 7 3" xfId="35236"/>
    <cellStyle name="Note 8 73 8" xfId="35237"/>
    <cellStyle name="Note 8 74" xfId="35238"/>
    <cellStyle name="Note 8 74 2" xfId="35239"/>
    <cellStyle name="Note 8 74 2 2" xfId="35240"/>
    <cellStyle name="Note 8 74 2 2 2" xfId="35241"/>
    <cellStyle name="Note 8 74 2 2 2 2" xfId="35242"/>
    <cellStyle name="Note 8 74 2 2 2 2 2" xfId="35243"/>
    <cellStyle name="Note 8 74 2 2 2 3" xfId="35244"/>
    <cellStyle name="Note 8 74 2 2 3" xfId="35245"/>
    <cellStyle name="Note 8 74 2 2 3 2" xfId="35246"/>
    <cellStyle name="Note 8 74 2 2 4" xfId="35247"/>
    <cellStyle name="Note 8 74 2 3" xfId="35248"/>
    <cellStyle name="Note 8 74 2 3 2" xfId="35249"/>
    <cellStyle name="Note 8 74 2 3 2 2" xfId="35250"/>
    <cellStyle name="Note 8 74 2 3 3" xfId="35251"/>
    <cellStyle name="Note 8 74 2 4" xfId="35252"/>
    <cellStyle name="Note 8 74 2 4 2" xfId="35253"/>
    <cellStyle name="Note 8 74 2 4 2 2" xfId="35254"/>
    <cellStyle name="Note 8 74 2 4 3" xfId="35255"/>
    <cellStyle name="Note 8 74 2 5" xfId="35256"/>
    <cellStyle name="Note 8 74 2 5 2" xfId="35257"/>
    <cellStyle name="Note 8 74 2 5 2 2" xfId="35258"/>
    <cellStyle name="Note 8 74 2 5 3" xfId="35259"/>
    <cellStyle name="Note 8 74 2 6" xfId="35260"/>
    <cellStyle name="Note 8 74 2 6 2" xfId="35261"/>
    <cellStyle name="Note 8 74 2 6 2 2" xfId="35262"/>
    <cellStyle name="Note 8 74 2 6 3" xfId="35263"/>
    <cellStyle name="Note 8 74 2 7" xfId="35264"/>
    <cellStyle name="Note 8 74 3" xfId="35265"/>
    <cellStyle name="Note 8 74 3 2" xfId="35266"/>
    <cellStyle name="Note 8 74 3 2 2" xfId="35267"/>
    <cellStyle name="Note 8 74 3 2 2 2" xfId="35268"/>
    <cellStyle name="Note 8 74 3 2 3" xfId="35269"/>
    <cellStyle name="Note 8 74 3 3" xfId="35270"/>
    <cellStyle name="Note 8 74 3 3 2" xfId="35271"/>
    <cellStyle name="Note 8 74 3 4" xfId="35272"/>
    <cellStyle name="Note 8 74 4" xfId="35273"/>
    <cellStyle name="Note 8 74 4 2" xfId="35274"/>
    <cellStyle name="Note 8 74 4 2 2" xfId="35275"/>
    <cellStyle name="Note 8 74 4 3" xfId="35276"/>
    <cellStyle name="Note 8 74 5" xfId="35277"/>
    <cellStyle name="Note 8 74 5 2" xfId="35278"/>
    <cellStyle name="Note 8 74 5 2 2" xfId="35279"/>
    <cellStyle name="Note 8 74 5 3" xfId="35280"/>
    <cellStyle name="Note 8 74 6" xfId="35281"/>
    <cellStyle name="Note 8 74 6 2" xfId="35282"/>
    <cellStyle name="Note 8 74 6 2 2" xfId="35283"/>
    <cellStyle name="Note 8 74 6 3" xfId="35284"/>
    <cellStyle name="Note 8 74 7" xfId="35285"/>
    <cellStyle name="Note 8 74 7 2" xfId="35286"/>
    <cellStyle name="Note 8 74 7 2 2" xfId="35287"/>
    <cellStyle name="Note 8 74 7 3" xfId="35288"/>
    <cellStyle name="Note 8 74 8" xfId="35289"/>
    <cellStyle name="Note 8 75" xfId="35290"/>
    <cellStyle name="Note 8 75 2" xfId="35291"/>
    <cellStyle name="Note 8 75 2 2" xfId="35292"/>
    <cellStyle name="Note 8 75 2 2 2" xfId="35293"/>
    <cellStyle name="Note 8 75 2 2 2 2" xfId="35294"/>
    <cellStyle name="Note 8 75 2 2 2 2 2" xfId="35295"/>
    <cellStyle name="Note 8 75 2 2 2 3" xfId="35296"/>
    <cellStyle name="Note 8 75 2 2 3" xfId="35297"/>
    <cellStyle name="Note 8 75 2 2 3 2" xfId="35298"/>
    <cellStyle name="Note 8 75 2 2 4" xfId="35299"/>
    <cellStyle name="Note 8 75 2 3" xfId="35300"/>
    <cellStyle name="Note 8 75 2 3 2" xfId="35301"/>
    <cellStyle name="Note 8 75 2 3 2 2" xfId="35302"/>
    <cellStyle name="Note 8 75 2 3 3" xfId="35303"/>
    <cellStyle name="Note 8 75 2 4" xfId="35304"/>
    <cellStyle name="Note 8 75 2 4 2" xfId="35305"/>
    <cellStyle name="Note 8 75 2 4 2 2" xfId="35306"/>
    <cellStyle name="Note 8 75 2 4 3" xfId="35307"/>
    <cellStyle name="Note 8 75 2 5" xfId="35308"/>
    <cellStyle name="Note 8 75 2 5 2" xfId="35309"/>
    <cellStyle name="Note 8 75 2 5 2 2" xfId="35310"/>
    <cellStyle name="Note 8 75 2 5 3" xfId="35311"/>
    <cellStyle name="Note 8 75 2 6" xfId="35312"/>
    <cellStyle name="Note 8 75 2 6 2" xfId="35313"/>
    <cellStyle name="Note 8 75 2 6 2 2" xfId="35314"/>
    <cellStyle name="Note 8 75 2 6 3" xfId="35315"/>
    <cellStyle name="Note 8 75 2 7" xfId="35316"/>
    <cellStyle name="Note 8 75 3" xfId="35317"/>
    <cellStyle name="Note 8 75 3 2" xfId="35318"/>
    <cellStyle name="Note 8 75 3 2 2" xfId="35319"/>
    <cellStyle name="Note 8 75 3 2 2 2" xfId="35320"/>
    <cellStyle name="Note 8 75 3 2 3" xfId="35321"/>
    <cellStyle name="Note 8 75 3 3" xfId="35322"/>
    <cellStyle name="Note 8 75 3 3 2" xfId="35323"/>
    <cellStyle name="Note 8 75 3 4" xfId="35324"/>
    <cellStyle name="Note 8 75 4" xfId="35325"/>
    <cellStyle name="Note 8 75 4 2" xfId="35326"/>
    <cellStyle name="Note 8 75 4 2 2" xfId="35327"/>
    <cellStyle name="Note 8 75 4 3" xfId="35328"/>
    <cellStyle name="Note 8 75 5" xfId="35329"/>
    <cellStyle name="Note 8 75 5 2" xfId="35330"/>
    <cellStyle name="Note 8 75 5 2 2" xfId="35331"/>
    <cellStyle name="Note 8 75 5 3" xfId="35332"/>
    <cellStyle name="Note 8 75 6" xfId="35333"/>
    <cellStyle name="Note 8 75 6 2" xfId="35334"/>
    <cellStyle name="Note 8 75 6 2 2" xfId="35335"/>
    <cellStyle name="Note 8 75 6 3" xfId="35336"/>
    <cellStyle name="Note 8 75 7" xfId="35337"/>
    <cellStyle name="Note 8 75 7 2" xfId="35338"/>
    <cellStyle name="Note 8 75 7 2 2" xfId="35339"/>
    <cellStyle name="Note 8 75 7 3" xfId="35340"/>
    <cellStyle name="Note 8 75 8" xfId="35341"/>
    <cellStyle name="Note 8 76" xfId="35342"/>
    <cellStyle name="Note 8 76 2" xfId="35343"/>
    <cellStyle name="Note 8 76 2 2" xfId="35344"/>
    <cellStyle name="Note 8 76 2 2 2" xfId="35345"/>
    <cellStyle name="Note 8 76 2 2 2 2" xfId="35346"/>
    <cellStyle name="Note 8 76 2 2 2 2 2" xfId="35347"/>
    <cellStyle name="Note 8 76 2 2 2 3" xfId="35348"/>
    <cellStyle name="Note 8 76 2 2 3" xfId="35349"/>
    <cellStyle name="Note 8 76 2 2 3 2" xfId="35350"/>
    <cellStyle name="Note 8 76 2 2 4" xfId="35351"/>
    <cellStyle name="Note 8 76 2 3" xfId="35352"/>
    <cellStyle name="Note 8 76 2 3 2" xfId="35353"/>
    <cellStyle name="Note 8 76 2 3 2 2" xfId="35354"/>
    <cellStyle name="Note 8 76 2 3 3" xfId="35355"/>
    <cellStyle name="Note 8 76 2 4" xfId="35356"/>
    <cellStyle name="Note 8 76 2 4 2" xfId="35357"/>
    <cellStyle name="Note 8 76 2 4 2 2" xfId="35358"/>
    <cellStyle name="Note 8 76 2 4 3" xfId="35359"/>
    <cellStyle name="Note 8 76 2 5" xfId="35360"/>
    <cellStyle name="Note 8 76 2 5 2" xfId="35361"/>
    <cellStyle name="Note 8 76 2 5 2 2" xfId="35362"/>
    <cellStyle name="Note 8 76 2 5 3" xfId="35363"/>
    <cellStyle name="Note 8 76 2 6" xfId="35364"/>
    <cellStyle name="Note 8 76 2 6 2" xfId="35365"/>
    <cellStyle name="Note 8 76 2 6 2 2" xfId="35366"/>
    <cellStyle name="Note 8 76 2 6 3" xfId="35367"/>
    <cellStyle name="Note 8 76 2 7" xfId="35368"/>
    <cellStyle name="Note 8 76 3" xfId="35369"/>
    <cellStyle name="Note 8 76 3 2" xfId="35370"/>
    <cellStyle name="Note 8 76 3 2 2" xfId="35371"/>
    <cellStyle name="Note 8 76 3 2 2 2" xfId="35372"/>
    <cellStyle name="Note 8 76 3 2 3" xfId="35373"/>
    <cellStyle name="Note 8 76 3 3" xfId="35374"/>
    <cellStyle name="Note 8 76 3 3 2" xfId="35375"/>
    <cellStyle name="Note 8 76 3 4" xfId="35376"/>
    <cellStyle name="Note 8 76 4" xfId="35377"/>
    <cellStyle name="Note 8 76 4 2" xfId="35378"/>
    <cellStyle name="Note 8 76 4 2 2" xfId="35379"/>
    <cellStyle name="Note 8 76 4 3" xfId="35380"/>
    <cellStyle name="Note 8 76 5" xfId="35381"/>
    <cellStyle name="Note 8 76 5 2" xfId="35382"/>
    <cellStyle name="Note 8 76 5 2 2" xfId="35383"/>
    <cellStyle name="Note 8 76 5 3" xfId="35384"/>
    <cellStyle name="Note 8 76 6" xfId="35385"/>
    <cellStyle name="Note 8 76 6 2" xfId="35386"/>
    <cellStyle name="Note 8 76 6 2 2" xfId="35387"/>
    <cellStyle name="Note 8 76 6 3" xfId="35388"/>
    <cellStyle name="Note 8 76 7" xfId="35389"/>
    <cellStyle name="Note 8 76 7 2" xfId="35390"/>
    <cellStyle name="Note 8 76 7 2 2" xfId="35391"/>
    <cellStyle name="Note 8 76 7 3" xfId="35392"/>
    <cellStyle name="Note 8 76 8" xfId="35393"/>
    <cellStyle name="Note 8 77" xfId="35394"/>
    <cellStyle name="Note 8 77 2" xfId="35395"/>
    <cellStyle name="Note 8 77 2 2" xfId="35396"/>
    <cellStyle name="Note 8 77 2 2 2" xfId="35397"/>
    <cellStyle name="Note 8 77 2 2 2 2" xfId="35398"/>
    <cellStyle name="Note 8 77 2 2 2 2 2" xfId="35399"/>
    <cellStyle name="Note 8 77 2 2 2 3" xfId="35400"/>
    <cellStyle name="Note 8 77 2 2 3" xfId="35401"/>
    <cellStyle name="Note 8 77 2 2 3 2" xfId="35402"/>
    <cellStyle name="Note 8 77 2 2 4" xfId="35403"/>
    <cellStyle name="Note 8 77 2 3" xfId="35404"/>
    <cellStyle name="Note 8 77 2 3 2" xfId="35405"/>
    <cellStyle name="Note 8 77 2 3 2 2" xfId="35406"/>
    <cellStyle name="Note 8 77 2 3 3" xfId="35407"/>
    <cellStyle name="Note 8 77 2 4" xfId="35408"/>
    <cellStyle name="Note 8 77 2 4 2" xfId="35409"/>
    <cellStyle name="Note 8 77 2 4 2 2" xfId="35410"/>
    <cellStyle name="Note 8 77 2 4 3" xfId="35411"/>
    <cellStyle name="Note 8 77 2 5" xfId="35412"/>
    <cellStyle name="Note 8 77 2 5 2" xfId="35413"/>
    <cellStyle name="Note 8 77 2 5 2 2" xfId="35414"/>
    <cellStyle name="Note 8 77 2 5 3" xfId="35415"/>
    <cellStyle name="Note 8 77 2 6" xfId="35416"/>
    <cellStyle name="Note 8 77 2 6 2" xfId="35417"/>
    <cellStyle name="Note 8 77 2 6 2 2" xfId="35418"/>
    <cellStyle name="Note 8 77 2 6 3" xfId="35419"/>
    <cellStyle name="Note 8 77 2 7" xfId="35420"/>
    <cellStyle name="Note 8 77 3" xfId="35421"/>
    <cellStyle name="Note 8 77 3 2" xfId="35422"/>
    <cellStyle name="Note 8 77 3 2 2" xfId="35423"/>
    <cellStyle name="Note 8 77 3 2 2 2" xfId="35424"/>
    <cellStyle name="Note 8 77 3 2 3" xfId="35425"/>
    <cellStyle name="Note 8 77 3 3" xfId="35426"/>
    <cellStyle name="Note 8 77 3 3 2" xfId="35427"/>
    <cellStyle name="Note 8 77 3 4" xfId="35428"/>
    <cellStyle name="Note 8 77 4" xfId="35429"/>
    <cellStyle name="Note 8 77 4 2" xfId="35430"/>
    <cellStyle name="Note 8 77 4 2 2" xfId="35431"/>
    <cellStyle name="Note 8 77 4 3" xfId="35432"/>
    <cellStyle name="Note 8 77 5" xfId="35433"/>
    <cellStyle name="Note 8 77 5 2" xfId="35434"/>
    <cellStyle name="Note 8 77 5 2 2" xfId="35435"/>
    <cellStyle name="Note 8 77 5 3" xfId="35436"/>
    <cellStyle name="Note 8 77 6" xfId="35437"/>
    <cellStyle name="Note 8 77 6 2" xfId="35438"/>
    <cellStyle name="Note 8 77 6 2 2" xfId="35439"/>
    <cellStyle name="Note 8 77 6 3" xfId="35440"/>
    <cellStyle name="Note 8 77 7" xfId="35441"/>
    <cellStyle name="Note 8 77 7 2" xfId="35442"/>
    <cellStyle name="Note 8 77 7 2 2" xfId="35443"/>
    <cellStyle name="Note 8 77 7 3" xfId="35444"/>
    <cellStyle name="Note 8 77 8" xfId="35445"/>
    <cellStyle name="Note 8 78" xfId="35446"/>
    <cellStyle name="Note 8 78 2" xfId="35447"/>
    <cellStyle name="Note 8 78 2 2" xfId="35448"/>
    <cellStyle name="Note 8 78 2 2 2" xfId="35449"/>
    <cellStyle name="Note 8 78 2 2 2 2" xfId="35450"/>
    <cellStyle name="Note 8 78 2 2 2 2 2" xfId="35451"/>
    <cellStyle name="Note 8 78 2 2 2 3" xfId="35452"/>
    <cellStyle name="Note 8 78 2 2 3" xfId="35453"/>
    <cellStyle name="Note 8 78 2 2 3 2" xfId="35454"/>
    <cellStyle name="Note 8 78 2 2 4" xfId="35455"/>
    <cellStyle name="Note 8 78 2 3" xfId="35456"/>
    <cellStyle name="Note 8 78 2 3 2" xfId="35457"/>
    <cellStyle name="Note 8 78 2 3 2 2" xfId="35458"/>
    <cellStyle name="Note 8 78 2 3 3" xfId="35459"/>
    <cellStyle name="Note 8 78 2 4" xfId="35460"/>
    <cellStyle name="Note 8 78 2 4 2" xfId="35461"/>
    <cellStyle name="Note 8 78 2 4 2 2" xfId="35462"/>
    <cellStyle name="Note 8 78 2 4 3" xfId="35463"/>
    <cellStyle name="Note 8 78 2 5" xfId="35464"/>
    <cellStyle name="Note 8 78 2 5 2" xfId="35465"/>
    <cellStyle name="Note 8 78 2 5 2 2" xfId="35466"/>
    <cellStyle name="Note 8 78 2 5 3" xfId="35467"/>
    <cellStyle name="Note 8 78 2 6" xfId="35468"/>
    <cellStyle name="Note 8 78 2 6 2" xfId="35469"/>
    <cellStyle name="Note 8 78 2 6 2 2" xfId="35470"/>
    <cellStyle name="Note 8 78 2 6 3" xfId="35471"/>
    <cellStyle name="Note 8 78 2 7" xfId="35472"/>
    <cellStyle name="Note 8 78 3" xfId="35473"/>
    <cellStyle name="Note 8 78 3 2" xfId="35474"/>
    <cellStyle name="Note 8 78 3 2 2" xfId="35475"/>
    <cellStyle name="Note 8 78 3 2 2 2" xfId="35476"/>
    <cellStyle name="Note 8 78 3 2 3" xfId="35477"/>
    <cellStyle name="Note 8 78 3 3" xfId="35478"/>
    <cellStyle name="Note 8 78 3 3 2" xfId="35479"/>
    <cellStyle name="Note 8 78 3 4" xfId="35480"/>
    <cellStyle name="Note 8 78 4" xfId="35481"/>
    <cellStyle name="Note 8 78 4 2" xfId="35482"/>
    <cellStyle name="Note 8 78 4 2 2" xfId="35483"/>
    <cellStyle name="Note 8 78 4 3" xfId="35484"/>
    <cellStyle name="Note 8 78 5" xfId="35485"/>
    <cellStyle name="Note 8 78 5 2" xfId="35486"/>
    <cellStyle name="Note 8 78 5 2 2" xfId="35487"/>
    <cellStyle name="Note 8 78 5 3" xfId="35488"/>
    <cellStyle name="Note 8 78 6" xfId="35489"/>
    <cellStyle name="Note 8 78 6 2" xfId="35490"/>
    <cellStyle name="Note 8 78 6 2 2" xfId="35491"/>
    <cellStyle name="Note 8 78 6 3" xfId="35492"/>
    <cellStyle name="Note 8 78 7" xfId="35493"/>
    <cellStyle name="Note 8 78 7 2" xfId="35494"/>
    <cellStyle name="Note 8 78 7 2 2" xfId="35495"/>
    <cellStyle name="Note 8 78 7 3" xfId="35496"/>
    <cellStyle name="Note 8 78 8" xfId="35497"/>
    <cellStyle name="Note 8 79" xfId="35498"/>
    <cellStyle name="Note 8 79 2" xfId="35499"/>
    <cellStyle name="Note 8 79 2 2" xfId="35500"/>
    <cellStyle name="Note 8 79 2 2 2" xfId="35501"/>
    <cellStyle name="Note 8 79 2 2 2 2" xfId="35502"/>
    <cellStyle name="Note 8 79 2 2 2 2 2" xfId="35503"/>
    <cellStyle name="Note 8 79 2 2 2 3" xfId="35504"/>
    <cellStyle name="Note 8 79 2 2 3" xfId="35505"/>
    <cellStyle name="Note 8 79 2 2 3 2" xfId="35506"/>
    <cellStyle name="Note 8 79 2 2 4" xfId="35507"/>
    <cellStyle name="Note 8 79 2 3" xfId="35508"/>
    <cellStyle name="Note 8 79 2 3 2" xfId="35509"/>
    <cellStyle name="Note 8 79 2 3 2 2" xfId="35510"/>
    <cellStyle name="Note 8 79 2 3 3" xfId="35511"/>
    <cellStyle name="Note 8 79 2 4" xfId="35512"/>
    <cellStyle name="Note 8 79 2 4 2" xfId="35513"/>
    <cellStyle name="Note 8 79 2 4 2 2" xfId="35514"/>
    <cellStyle name="Note 8 79 2 4 3" xfId="35515"/>
    <cellStyle name="Note 8 79 2 5" xfId="35516"/>
    <cellStyle name="Note 8 79 2 5 2" xfId="35517"/>
    <cellStyle name="Note 8 79 2 5 2 2" xfId="35518"/>
    <cellStyle name="Note 8 79 2 5 3" xfId="35519"/>
    <cellStyle name="Note 8 79 2 6" xfId="35520"/>
    <cellStyle name="Note 8 79 2 6 2" xfId="35521"/>
    <cellStyle name="Note 8 79 2 6 2 2" xfId="35522"/>
    <cellStyle name="Note 8 79 2 6 3" xfId="35523"/>
    <cellStyle name="Note 8 79 2 7" xfId="35524"/>
    <cellStyle name="Note 8 79 3" xfId="35525"/>
    <cellStyle name="Note 8 79 3 2" xfId="35526"/>
    <cellStyle name="Note 8 79 3 2 2" xfId="35527"/>
    <cellStyle name="Note 8 79 3 2 2 2" xfId="35528"/>
    <cellStyle name="Note 8 79 3 2 3" xfId="35529"/>
    <cellStyle name="Note 8 79 3 3" xfId="35530"/>
    <cellStyle name="Note 8 79 3 3 2" xfId="35531"/>
    <cellStyle name="Note 8 79 3 4" xfId="35532"/>
    <cellStyle name="Note 8 79 4" xfId="35533"/>
    <cellStyle name="Note 8 79 4 2" xfId="35534"/>
    <cellStyle name="Note 8 79 4 2 2" xfId="35535"/>
    <cellStyle name="Note 8 79 4 3" xfId="35536"/>
    <cellStyle name="Note 8 79 5" xfId="35537"/>
    <cellStyle name="Note 8 79 5 2" xfId="35538"/>
    <cellStyle name="Note 8 79 5 2 2" xfId="35539"/>
    <cellStyle name="Note 8 79 5 3" xfId="35540"/>
    <cellStyle name="Note 8 79 6" xfId="35541"/>
    <cellStyle name="Note 8 79 6 2" xfId="35542"/>
    <cellStyle name="Note 8 79 6 2 2" xfId="35543"/>
    <cellStyle name="Note 8 79 6 3" xfId="35544"/>
    <cellStyle name="Note 8 79 7" xfId="35545"/>
    <cellStyle name="Note 8 79 7 2" xfId="35546"/>
    <cellStyle name="Note 8 79 7 2 2" xfId="35547"/>
    <cellStyle name="Note 8 79 7 3" xfId="35548"/>
    <cellStyle name="Note 8 79 8" xfId="35549"/>
    <cellStyle name="Note 8 8" xfId="35550"/>
    <cellStyle name="Note 8 8 2" xfId="35551"/>
    <cellStyle name="Note 8 8 2 2" xfId="35552"/>
    <cellStyle name="Note 8 8 2 2 2" xfId="35553"/>
    <cellStyle name="Note 8 8 2 2 2 2" xfId="35554"/>
    <cellStyle name="Note 8 8 2 2 2 2 2" xfId="35555"/>
    <cellStyle name="Note 8 8 2 2 2 3" xfId="35556"/>
    <cellStyle name="Note 8 8 2 2 3" xfId="35557"/>
    <cellStyle name="Note 8 8 2 2 3 2" xfId="35558"/>
    <cellStyle name="Note 8 8 2 2 4" xfId="35559"/>
    <cellStyle name="Note 8 8 2 3" xfId="35560"/>
    <cellStyle name="Note 8 8 2 3 2" xfId="35561"/>
    <cellStyle name="Note 8 8 2 3 2 2" xfId="35562"/>
    <cellStyle name="Note 8 8 2 3 3" xfId="35563"/>
    <cellStyle name="Note 8 8 2 4" xfId="35564"/>
    <cellStyle name="Note 8 8 2 4 2" xfId="35565"/>
    <cellStyle name="Note 8 8 2 4 2 2" xfId="35566"/>
    <cellStyle name="Note 8 8 2 4 3" xfId="35567"/>
    <cellStyle name="Note 8 8 2 5" xfId="35568"/>
    <cellStyle name="Note 8 8 2 5 2" xfId="35569"/>
    <cellStyle name="Note 8 8 2 5 2 2" xfId="35570"/>
    <cellStyle name="Note 8 8 2 5 3" xfId="35571"/>
    <cellStyle name="Note 8 8 2 6" xfId="35572"/>
    <cellStyle name="Note 8 8 2 6 2" xfId="35573"/>
    <cellStyle name="Note 8 8 2 6 2 2" xfId="35574"/>
    <cellStyle name="Note 8 8 2 6 3" xfId="35575"/>
    <cellStyle name="Note 8 8 2 7" xfId="35576"/>
    <cellStyle name="Note 8 8 3" xfId="35577"/>
    <cellStyle name="Note 8 8 3 2" xfId="35578"/>
    <cellStyle name="Note 8 8 3 2 2" xfId="35579"/>
    <cellStyle name="Note 8 8 3 2 2 2" xfId="35580"/>
    <cellStyle name="Note 8 8 3 2 3" xfId="35581"/>
    <cellStyle name="Note 8 8 3 3" xfId="35582"/>
    <cellStyle name="Note 8 8 3 3 2" xfId="35583"/>
    <cellStyle name="Note 8 8 3 4" xfId="35584"/>
    <cellStyle name="Note 8 8 4" xfId="35585"/>
    <cellStyle name="Note 8 8 4 2" xfId="35586"/>
    <cellStyle name="Note 8 8 4 2 2" xfId="35587"/>
    <cellStyle name="Note 8 8 4 3" xfId="35588"/>
    <cellStyle name="Note 8 8 5" xfId="35589"/>
    <cellStyle name="Note 8 8 5 2" xfId="35590"/>
    <cellStyle name="Note 8 8 5 2 2" xfId="35591"/>
    <cellStyle name="Note 8 8 5 3" xfId="35592"/>
    <cellStyle name="Note 8 8 6" xfId="35593"/>
    <cellStyle name="Note 8 8 6 2" xfId="35594"/>
    <cellStyle name="Note 8 8 6 2 2" xfId="35595"/>
    <cellStyle name="Note 8 8 6 3" xfId="35596"/>
    <cellStyle name="Note 8 8 7" xfId="35597"/>
    <cellStyle name="Note 8 8 7 2" xfId="35598"/>
    <cellStyle name="Note 8 8 7 2 2" xfId="35599"/>
    <cellStyle name="Note 8 8 7 3" xfId="35600"/>
    <cellStyle name="Note 8 8 8" xfId="35601"/>
    <cellStyle name="Note 8 80" xfId="35602"/>
    <cellStyle name="Note 8 80 2" xfId="35603"/>
    <cellStyle name="Note 8 80 2 2" xfId="35604"/>
    <cellStyle name="Note 8 80 2 2 2" xfId="35605"/>
    <cellStyle name="Note 8 80 2 2 2 2" xfId="35606"/>
    <cellStyle name="Note 8 80 2 2 2 2 2" xfId="35607"/>
    <cellStyle name="Note 8 80 2 2 2 3" xfId="35608"/>
    <cellStyle name="Note 8 80 2 2 3" xfId="35609"/>
    <cellStyle name="Note 8 80 2 2 3 2" xfId="35610"/>
    <cellStyle name="Note 8 80 2 2 4" xfId="35611"/>
    <cellStyle name="Note 8 80 2 3" xfId="35612"/>
    <cellStyle name="Note 8 80 2 3 2" xfId="35613"/>
    <cellStyle name="Note 8 80 2 3 2 2" xfId="35614"/>
    <cellStyle name="Note 8 80 2 3 3" xfId="35615"/>
    <cellStyle name="Note 8 80 2 4" xfId="35616"/>
    <cellStyle name="Note 8 80 2 4 2" xfId="35617"/>
    <cellStyle name="Note 8 80 2 4 2 2" xfId="35618"/>
    <cellStyle name="Note 8 80 2 4 3" xfId="35619"/>
    <cellStyle name="Note 8 80 2 5" xfId="35620"/>
    <cellStyle name="Note 8 80 2 5 2" xfId="35621"/>
    <cellStyle name="Note 8 80 2 5 2 2" xfId="35622"/>
    <cellStyle name="Note 8 80 2 5 3" xfId="35623"/>
    <cellStyle name="Note 8 80 2 6" xfId="35624"/>
    <cellStyle name="Note 8 80 2 6 2" xfId="35625"/>
    <cellStyle name="Note 8 80 2 6 2 2" xfId="35626"/>
    <cellStyle name="Note 8 80 2 6 3" xfId="35627"/>
    <cellStyle name="Note 8 80 2 7" xfId="35628"/>
    <cellStyle name="Note 8 80 3" xfId="35629"/>
    <cellStyle name="Note 8 80 3 2" xfId="35630"/>
    <cellStyle name="Note 8 80 3 2 2" xfId="35631"/>
    <cellStyle name="Note 8 80 3 2 2 2" xfId="35632"/>
    <cellStyle name="Note 8 80 3 2 3" xfId="35633"/>
    <cellStyle name="Note 8 80 3 3" xfId="35634"/>
    <cellStyle name="Note 8 80 3 3 2" xfId="35635"/>
    <cellStyle name="Note 8 80 3 4" xfId="35636"/>
    <cellStyle name="Note 8 80 4" xfId="35637"/>
    <cellStyle name="Note 8 80 4 2" xfId="35638"/>
    <cellStyle name="Note 8 80 4 2 2" xfId="35639"/>
    <cellStyle name="Note 8 80 4 3" xfId="35640"/>
    <cellStyle name="Note 8 80 5" xfId="35641"/>
    <cellStyle name="Note 8 80 5 2" xfId="35642"/>
    <cellStyle name="Note 8 80 5 2 2" xfId="35643"/>
    <cellStyle name="Note 8 80 5 3" xfId="35644"/>
    <cellStyle name="Note 8 80 6" xfId="35645"/>
    <cellStyle name="Note 8 80 6 2" xfId="35646"/>
    <cellStyle name="Note 8 80 6 2 2" xfId="35647"/>
    <cellStyle name="Note 8 80 6 3" xfId="35648"/>
    <cellStyle name="Note 8 80 7" xfId="35649"/>
    <cellStyle name="Note 8 80 7 2" xfId="35650"/>
    <cellStyle name="Note 8 80 7 2 2" xfId="35651"/>
    <cellStyle name="Note 8 80 7 3" xfId="35652"/>
    <cellStyle name="Note 8 80 8" xfId="35653"/>
    <cellStyle name="Note 8 81" xfId="35654"/>
    <cellStyle name="Note 8 81 2" xfId="35655"/>
    <cellStyle name="Note 8 81 2 2" xfId="35656"/>
    <cellStyle name="Note 8 81 2 2 2" xfId="35657"/>
    <cellStyle name="Note 8 81 2 2 2 2" xfId="35658"/>
    <cellStyle name="Note 8 81 2 2 2 2 2" xfId="35659"/>
    <cellStyle name="Note 8 81 2 2 2 3" xfId="35660"/>
    <cellStyle name="Note 8 81 2 2 3" xfId="35661"/>
    <cellStyle name="Note 8 81 2 2 3 2" xfId="35662"/>
    <cellStyle name="Note 8 81 2 2 4" xfId="35663"/>
    <cellStyle name="Note 8 81 2 3" xfId="35664"/>
    <cellStyle name="Note 8 81 2 3 2" xfId="35665"/>
    <cellStyle name="Note 8 81 2 3 2 2" xfId="35666"/>
    <cellStyle name="Note 8 81 2 3 3" xfId="35667"/>
    <cellStyle name="Note 8 81 2 4" xfId="35668"/>
    <cellStyle name="Note 8 81 2 4 2" xfId="35669"/>
    <cellStyle name="Note 8 81 2 4 2 2" xfId="35670"/>
    <cellStyle name="Note 8 81 2 4 3" xfId="35671"/>
    <cellStyle name="Note 8 81 2 5" xfId="35672"/>
    <cellStyle name="Note 8 81 2 5 2" xfId="35673"/>
    <cellStyle name="Note 8 81 2 5 2 2" xfId="35674"/>
    <cellStyle name="Note 8 81 2 5 3" xfId="35675"/>
    <cellStyle name="Note 8 81 2 6" xfId="35676"/>
    <cellStyle name="Note 8 81 2 6 2" xfId="35677"/>
    <cellStyle name="Note 8 81 2 6 2 2" xfId="35678"/>
    <cellStyle name="Note 8 81 2 6 3" xfId="35679"/>
    <cellStyle name="Note 8 81 2 7" xfId="35680"/>
    <cellStyle name="Note 8 81 3" xfId="35681"/>
    <cellStyle name="Note 8 81 3 2" xfId="35682"/>
    <cellStyle name="Note 8 81 3 2 2" xfId="35683"/>
    <cellStyle name="Note 8 81 3 2 2 2" xfId="35684"/>
    <cellStyle name="Note 8 81 3 2 3" xfId="35685"/>
    <cellStyle name="Note 8 81 3 3" xfId="35686"/>
    <cellStyle name="Note 8 81 3 3 2" xfId="35687"/>
    <cellStyle name="Note 8 81 3 4" xfId="35688"/>
    <cellStyle name="Note 8 81 4" xfId="35689"/>
    <cellStyle name="Note 8 81 4 2" xfId="35690"/>
    <cellStyle name="Note 8 81 4 2 2" xfId="35691"/>
    <cellStyle name="Note 8 81 4 3" xfId="35692"/>
    <cellStyle name="Note 8 81 5" xfId="35693"/>
    <cellStyle name="Note 8 81 5 2" xfId="35694"/>
    <cellStyle name="Note 8 81 5 2 2" xfId="35695"/>
    <cellStyle name="Note 8 81 5 3" xfId="35696"/>
    <cellStyle name="Note 8 81 6" xfId="35697"/>
    <cellStyle name="Note 8 81 6 2" xfId="35698"/>
    <cellStyle name="Note 8 81 6 2 2" xfId="35699"/>
    <cellStyle name="Note 8 81 6 3" xfId="35700"/>
    <cellStyle name="Note 8 81 7" xfId="35701"/>
    <cellStyle name="Note 8 81 7 2" xfId="35702"/>
    <cellStyle name="Note 8 81 7 2 2" xfId="35703"/>
    <cellStyle name="Note 8 81 7 3" xfId="35704"/>
    <cellStyle name="Note 8 81 8" xfId="35705"/>
    <cellStyle name="Note 8 82" xfId="35706"/>
    <cellStyle name="Note 8 82 2" xfId="35707"/>
    <cellStyle name="Note 8 82 2 2" xfId="35708"/>
    <cellStyle name="Note 8 82 2 2 2" xfId="35709"/>
    <cellStyle name="Note 8 82 2 2 2 2" xfId="35710"/>
    <cellStyle name="Note 8 82 2 2 2 2 2" xfId="35711"/>
    <cellStyle name="Note 8 82 2 2 2 3" xfId="35712"/>
    <cellStyle name="Note 8 82 2 2 3" xfId="35713"/>
    <cellStyle name="Note 8 82 2 2 3 2" xfId="35714"/>
    <cellStyle name="Note 8 82 2 2 4" xfId="35715"/>
    <cellStyle name="Note 8 82 2 3" xfId="35716"/>
    <cellStyle name="Note 8 82 2 3 2" xfId="35717"/>
    <cellStyle name="Note 8 82 2 3 2 2" xfId="35718"/>
    <cellStyle name="Note 8 82 2 3 3" xfId="35719"/>
    <cellStyle name="Note 8 82 2 4" xfId="35720"/>
    <cellStyle name="Note 8 82 2 4 2" xfId="35721"/>
    <cellStyle name="Note 8 82 2 4 2 2" xfId="35722"/>
    <cellStyle name="Note 8 82 2 4 3" xfId="35723"/>
    <cellStyle name="Note 8 82 2 5" xfId="35724"/>
    <cellStyle name="Note 8 82 2 5 2" xfId="35725"/>
    <cellStyle name="Note 8 82 2 5 2 2" xfId="35726"/>
    <cellStyle name="Note 8 82 2 5 3" xfId="35727"/>
    <cellStyle name="Note 8 82 2 6" xfId="35728"/>
    <cellStyle name="Note 8 82 2 6 2" xfId="35729"/>
    <cellStyle name="Note 8 82 2 6 2 2" xfId="35730"/>
    <cellStyle name="Note 8 82 2 6 3" xfId="35731"/>
    <cellStyle name="Note 8 82 2 7" xfId="35732"/>
    <cellStyle name="Note 8 82 3" xfId="35733"/>
    <cellStyle name="Note 8 82 3 2" xfId="35734"/>
    <cellStyle name="Note 8 82 3 2 2" xfId="35735"/>
    <cellStyle name="Note 8 82 3 2 2 2" xfId="35736"/>
    <cellStyle name="Note 8 82 3 2 3" xfId="35737"/>
    <cellStyle name="Note 8 82 3 3" xfId="35738"/>
    <cellStyle name="Note 8 82 3 3 2" xfId="35739"/>
    <cellStyle name="Note 8 82 3 4" xfId="35740"/>
    <cellStyle name="Note 8 82 4" xfId="35741"/>
    <cellStyle name="Note 8 82 4 2" xfId="35742"/>
    <cellStyle name="Note 8 82 4 2 2" xfId="35743"/>
    <cellStyle name="Note 8 82 4 3" xfId="35744"/>
    <cellStyle name="Note 8 82 5" xfId="35745"/>
    <cellStyle name="Note 8 82 5 2" xfId="35746"/>
    <cellStyle name="Note 8 82 5 2 2" xfId="35747"/>
    <cellStyle name="Note 8 82 5 3" xfId="35748"/>
    <cellStyle name="Note 8 82 6" xfId="35749"/>
    <cellStyle name="Note 8 82 6 2" xfId="35750"/>
    <cellStyle name="Note 8 82 6 2 2" xfId="35751"/>
    <cellStyle name="Note 8 82 6 3" xfId="35752"/>
    <cellStyle name="Note 8 82 7" xfId="35753"/>
    <cellStyle name="Note 8 82 7 2" xfId="35754"/>
    <cellStyle name="Note 8 82 7 2 2" xfId="35755"/>
    <cellStyle name="Note 8 82 7 3" xfId="35756"/>
    <cellStyle name="Note 8 82 8" xfId="35757"/>
    <cellStyle name="Note 8 83" xfId="35758"/>
    <cellStyle name="Note 8 83 2" xfId="35759"/>
    <cellStyle name="Note 8 83 2 2" xfId="35760"/>
    <cellStyle name="Note 8 83 2 2 2" xfId="35761"/>
    <cellStyle name="Note 8 83 2 2 2 2" xfId="35762"/>
    <cellStyle name="Note 8 83 2 2 3" xfId="35763"/>
    <cellStyle name="Note 8 83 2 3" xfId="35764"/>
    <cellStyle name="Note 8 83 2 3 2" xfId="35765"/>
    <cellStyle name="Note 8 83 2 3 2 2" xfId="35766"/>
    <cellStyle name="Note 8 83 2 3 3" xfId="35767"/>
    <cellStyle name="Note 8 83 2 4" xfId="35768"/>
    <cellStyle name="Note 8 83 2 4 2" xfId="35769"/>
    <cellStyle name="Note 8 83 2 4 2 2" xfId="35770"/>
    <cellStyle name="Note 8 83 2 4 3" xfId="35771"/>
    <cellStyle name="Note 8 83 2 5" xfId="35772"/>
    <cellStyle name="Note 8 83 3" xfId="35773"/>
    <cellStyle name="Note 8 83 3 2" xfId="35774"/>
    <cellStyle name="Note 8 83 3 2 2" xfId="35775"/>
    <cellStyle name="Note 8 83 3 2 2 2" xfId="35776"/>
    <cellStyle name="Note 8 83 3 2 3" xfId="35777"/>
    <cellStyle name="Note 8 83 3 3" xfId="35778"/>
    <cellStyle name="Note 8 83 3 3 2" xfId="35779"/>
    <cellStyle name="Note 8 83 3 4" xfId="35780"/>
    <cellStyle name="Note 8 83 4" xfId="35781"/>
    <cellStyle name="Note 8 83 4 2" xfId="35782"/>
    <cellStyle name="Note 8 83 4 2 2" xfId="35783"/>
    <cellStyle name="Note 8 83 4 3" xfId="35784"/>
    <cellStyle name="Note 8 83 5" xfId="35785"/>
    <cellStyle name="Note 8 83 5 2" xfId="35786"/>
    <cellStyle name="Note 8 83 5 2 2" xfId="35787"/>
    <cellStyle name="Note 8 83 5 3" xfId="35788"/>
    <cellStyle name="Note 8 83 6" xfId="35789"/>
    <cellStyle name="Note 8 83 6 2" xfId="35790"/>
    <cellStyle name="Note 8 83 6 2 2" xfId="35791"/>
    <cellStyle name="Note 8 83 6 3" xfId="35792"/>
    <cellStyle name="Note 8 83 7" xfId="35793"/>
    <cellStyle name="Note 8 84" xfId="35794"/>
    <cellStyle name="Note 8 84 2" xfId="35795"/>
    <cellStyle name="Note 8 84 2 2" xfId="35796"/>
    <cellStyle name="Note 8 84 2 2 2" xfId="35797"/>
    <cellStyle name="Note 8 84 2 3" xfId="35798"/>
    <cellStyle name="Note 8 84 3" xfId="35799"/>
    <cellStyle name="Note 8 84 3 2" xfId="35800"/>
    <cellStyle name="Note 8 84 4" xfId="35801"/>
    <cellStyle name="Note 8 85" xfId="35802"/>
    <cellStyle name="Note 8 85 2" xfId="35803"/>
    <cellStyle name="Note 8 85 2 2" xfId="35804"/>
    <cellStyle name="Note 8 85 3" xfId="35805"/>
    <cellStyle name="Note 8 86" xfId="35806"/>
    <cellStyle name="Note 8 86 2" xfId="35807"/>
    <cellStyle name="Note 8 86 2 2" xfId="35808"/>
    <cellStyle name="Note 8 86 3" xfId="35809"/>
    <cellStyle name="Note 8 87" xfId="35810"/>
    <cellStyle name="Note 8 87 2" xfId="35811"/>
    <cellStyle name="Note 8 87 2 2" xfId="35812"/>
    <cellStyle name="Note 8 87 3" xfId="35813"/>
    <cellStyle name="Note 8 88" xfId="35814"/>
    <cellStyle name="Note 8 88 2" xfId="35815"/>
    <cellStyle name="Note 8 88 2 2" xfId="35816"/>
    <cellStyle name="Note 8 88 3" xfId="35817"/>
    <cellStyle name="Note 8 89" xfId="35818"/>
    <cellStyle name="Note 8 9" xfId="35819"/>
    <cellStyle name="Note 8 9 2" xfId="35820"/>
    <cellStyle name="Note 8 9 2 2" xfId="35821"/>
    <cellStyle name="Note 8 9 2 2 2" xfId="35822"/>
    <cellStyle name="Note 8 9 2 2 2 2" xfId="35823"/>
    <cellStyle name="Note 8 9 2 2 2 2 2" xfId="35824"/>
    <cellStyle name="Note 8 9 2 2 2 3" xfId="35825"/>
    <cellStyle name="Note 8 9 2 2 3" xfId="35826"/>
    <cellStyle name="Note 8 9 2 2 3 2" xfId="35827"/>
    <cellStyle name="Note 8 9 2 2 4" xfId="35828"/>
    <cellStyle name="Note 8 9 2 3" xfId="35829"/>
    <cellStyle name="Note 8 9 2 3 2" xfId="35830"/>
    <cellStyle name="Note 8 9 2 3 2 2" xfId="35831"/>
    <cellStyle name="Note 8 9 2 3 3" xfId="35832"/>
    <cellStyle name="Note 8 9 2 4" xfId="35833"/>
    <cellStyle name="Note 8 9 2 4 2" xfId="35834"/>
    <cellStyle name="Note 8 9 2 4 2 2" xfId="35835"/>
    <cellStyle name="Note 8 9 2 4 3" xfId="35836"/>
    <cellStyle name="Note 8 9 2 5" xfId="35837"/>
    <cellStyle name="Note 8 9 2 5 2" xfId="35838"/>
    <cellStyle name="Note 8 9 2 5 2 2" xfId="35839"/>
    <cellStyle name="Note 8 9 2 5 3" xfId="35840"/>
    <cellStyle name="Note 8 9 2 6" xfId="35841"/>
    <cellStyle name="Note 8 9 2 6 2" xfId="35842"/>
    <cellStyle name="Note 8 9 2 6 2 2" xfId="35843"/>
    <cellStyle name="Note 8 9 2 6 3" xfId="35844"/>
    <cellStyle name="Note 8 9 2 7" xfId="35845"/>
    <cellStyle name="Note 8 9 3" xfId="35846"/>
    <cellStyle name="Note 8 9 3 2" xfId="35847"/>
    <cellStyle name="Note 8 9 3 2 2" xfId="35848"/>
    <cellStyle name="Note 8 9 3 2 2 2" xfId="35849"/>
    <cellStyle name="Note 8 9 3 2 3" xfId="35850"/>
    <cellStyle name="Note 8 9 3 3" xfId="35851"/>
    <cellStyle name="Note 8 9 3 3 2" xfId="35852"/>
    <cellStyle name="Note 8 9 3 4" xfId="35853"/>
    <cellStyle name="Note 8 9 4" xfId="35854"/>
    <cellStyle name="Note 8 9 4 2" xfId="35855"/>
    <cellStyle name="Note 8 9 4 2 2" xfId="35856"/>
    <cellStyle name="Note 8 9 4 3" xfId="35857"/>
    <cellStyle name="Note 8 9 5" xfId="35858"/>
    <cellStyle name="Note 8 9 5 2" xfId="35859"/>
    <cellStyle name="Note 8 9 5 2 2" xfId="35860"/>
    <cellStyle name="Note 8 9 5 3" xfId="35861"/>
    <cellStyle name="Note 8 9 6" xfId="35862"/>
    <cellStyle name="Note 8 9 6 2" xfId="35863"/>
    <cellStyle name="Note 8 9 6 2 2" xfId="35864"/>
    <cellStyle name="Note 8 9 6 3" xfId="35865"/>
    <cellStyle name="Note 8 9 7" xfId="35866"/>
    <cellStyle name="Note 8 9 7 2" xfId="35867"/>
    <cellStyle name="Note 8 9 7 2 2" xfId="35868"/>
    <cellStyle name="Note 8 9 7 3" xfId="35869"/>
    <cellStyle name="Note 8 9 8" xfId="35870"/>
    <cellStyle name="Note 8 90" xfId="35871"/>
    <cellStyle name="Output 2" xfId="35872"/>
    <cellStyle name="Output 2 10" xfId="35873"/>
    <cellStyle name="Output 2 10 10" xfId="35874"/>
    <cellStyle name="Output 2 10 10 2" xfId="35875"/>
    <cellStyle name="Output 2 10 10 2 2" xfId="35876"/>
    <cellStyle name="Output 2 10 10 2 2 2" xfId="35877"/>
    <cellStyle name="Output 2 10 10 2 3" xfId="35878"/>
    <cellStyle name="Output 2 10 10 3" xfId="35879"/>
    <cellStyle name="Output 2 10 10 3 2" xfId="35880"/>
    <cellStyle name="Output 2 10 10 3 2 2" xfId="35881"/>
    <cellStyle name="Output 2 10 10 3 3" xfId="35882"/>
    <cellStyle name="Output 2 10 10 4" xfId="35883"/>
    <cellStyle name="Output 2 10 10 5" xfId="35884"/>
    <cellStyle name="Output 2 10 11" xfId="35885"/>
    <cellStyle name="Output 2 10 11 2" xfId="35886"/>
    <cellStyle name="Output 2 10 11 2 2" xfId="35887"/>
    <cellStyle name="Output 2 10 11 2 2 2" xfId="35888"/>
    <cellStyle name="Output 2 10 11 2 3" xfId="35889"/>
    <cellStyle name="Output 2 10 11 3" xfId="35890"/>
    <cellStyle name="Output 2 10 11 3 2" xfId="35891"/>
    <cellStyle name="Output 2 10 11 3 2 2" xfId="35892"/>
    <cellStyle name="Output 2 10 11 3 3" xfId="35893"/>
    <cellStyle name="Output 2 10 11 4" xfId="35894"/>
    <cellStyle name="Output 2 10 11 5" xfId="35895"/>
    <cellStyle name="Output 2 10 12" xfId="35896"/>
    <cellStyle name="Output 2 10 12 2" xfId="35897"/>
    <cellStyle name="Output 2 10 12 2 2" xfId="35898"/>
    <cellStyle name="Output 2 10 12 2 2 2" xfId="35899"/>
    <cellStyle name="Output 2 10 12 2 3" xfId="35900"/>
    <cellStyle name="Output 2 10 12 3" xfId="35901"/>
    <cellStyle name="Output 2 10 12 3 2" xfId="35902"/>
    <cellStyle name="Output 2 10 12 3 2 2" xfId="35903"/>
    <cellStyle name="Output 2 10 12 3 3" xfId="35904"/>
    <cellStyle name="Output 2 10 12 4" xfId="35905"/>
    <cellStyle name="Output 2 10 12 5" xfId="35906"/>
    <cellStyle name="Output 2 10 13" xfId="35907"/>
    <cellStyle name="Output 2 10 13 2" xfId="35908"/>
    <cellStyle name="Output 2 10 13 2 2" xfId="35909"/>
    <cellStyle name="Output 2 10 13 2 2 2" xfId="35910"/>
    <cellStyle name="Output 2 10 13 2 3" xfId="35911"/>
    <cellStyle name="Output 2 10 13 3" xfId="35912"/>
    <cellStyle name="Output 2 10 13 3 2" xfId="35913"/>
    <cellStyle name="Output 2 10 13 3 2 2" xfId="35914"/>
    <cellStyle name="Output 2 10 13 3 3" xfId="35915"/>
    <cellStyle name="Output 2 10 13 4" xfId="35916"/>
    <cellStyle name="Output 2 10 13 5" xfId="35917"/>
    <cellStyle name="Output 2 10 14" xfId="35918"/>
    <cellStyle name="Output 2 10 14 2" xfId="35919"/>
    <cellStyle name="Output 2 10 14 2 2" xfId="35920"/>
    <cellStyle name="Output 2 10 14 2 2 2" xfId="35921"/>
    <cellStyle name="Output 2 10 14 2 3" xfId="35922"/>
    <cellStyle name="Output 2 10 14 3" xfId="35923"/>
    <cellStyle name="Output 2 10 14 3 2" xfId="35924"/>
    <cellStyle name="Output 2 10 14 3 2 2" xfId="35925"/>
    <cellStyle name="Output 2 10 14 3 3" xfId="35926"/>
    <cellStyle name="Output 2 10 14 4" xfId="35927"/>
    <cellStyle name="Output 2 10 14 5" xfId="35928"/>
    <cellStyle name="Output 2 10 15" xfId="35929"/>
    <cellStyle name="Output 2 10 15 2" xfId="35930"/>
    <cellStyle name="Output 2 10 15 2 2" xfId="35931"/>
    <cellStyle name="Output 2 10 15 2 2 2" xfId="35932"/>
    <cellStyle name="Output 2 10 15 2 3" xfId="35933"/>
    <cellStyle name="Output 2 10 15 3" xfId="35934"/>
    <cellStyle name="Output 2 10 15 3 2" xfId="35935"/>
    <cellStyle name="Output 2 10 15 3 2 2" xfId="35936"/>
    <cellStyle name="Output 2 10 15 3 3" xfId="35937"/>
    <cellStyle name="Output 2 10 15 4" xfId="35938"/>
    <cellStyle name="Output 2 10 15 5" xfId="35939"/>
    <cellStyle name="Output 2 10 16" xfId="35940"/>
    <cellStyle name="Output 2 10 16 2" xfId="35941"/>
    <cellStyle name="Output 2 10 16 2 2" xfId="35942"/>
    <cellStyle name="Output 2 10 16 2 2 2" xfId="35943"/>
    <cellStyle name="Output 2 10 16 2 3" xfId="35944"/>
    <cellStyle name="Output 2 10 16 3" xfId="35945"/>
    <cellStyle name="Output 2 10 16 3 2" xfId="35946"/>
    <cellStyle name="Output 2 10 16 3 2 2" xfId="35947"/>
    <cellStyle name="Output 2 10 16 3 3" xfId="35948"/>
    <cellStyle name="Output 2 10 16 4" xfId="35949"/>
    <cellStyle name="Output 2 10 16 5" xfId="35950"/>
    <cellStyle name="Output 2 10 17" xfId="35951"/>
    <cellStyle name="Output 2 10 17 2" xfId="35952"/>
    <cellStyle name="Output 2 10 17 2 2" xfId="35953"/>
    <cellStyle name="Output 2 10 17 2 2 2" xfId="35954"/>
    <cellStyle name="Output 2 10 17 2 3" xfId="35955"/>
    <cellStyle name="Output 2 10 17 3" xfId="35956"/>
    <cellStyle name="Output 2 10 17 3 2" xfId="35957"/>
    <cellStyle name="Output 2 10 17 3 2 2" xfId="35958"/>
    <cellStyle name="Output 2 10 17 3 3" xfId="35959"/>
    <cellStyle name="Output 2 10 17 4" xfId="35960"/>
    <cellStyle name="Output 2 10 17 5" xfId="35961"/>
    <cellStyle name="Output 2 10 18" xfId="35962"/>
    <cellStyle name="Output 2 10 18 2" xfId="35963"/>
    <cellStyle name="Output 2 10 18 2 2" xfId="35964"/>
    <cellStyle name="Output 2 10 18 2 2 2" xfId="35965"/>
    <cellStyle name="Output 2 10 18 2 3" xfId="35966"/>
    <cellStyle name="Output 2 10 18 3" xfId="35967"/>
    <cellStyle name="Output 2 10 18 3 2" xfId="35968"/>
    <cellStyle name="Output 2 10 18 3 2 2" xfId="35969"/>
    <cellStyle name="Output 2 10 18 3 3" xfId="35970"/>
    <cellStyle name="Output 2 10 18 4" xfId="35971"/>
    <cellStyle name="Output 2 10 18 5" xfId="35972"/>
    <cellStyle name="Output 2 10 19" xfId="35973"/>
    <cellStyle name="Output 2 10 19 2" xfId="35974"/>
    <cellStyle name="Output 2 10 19 2 2" xfId="35975"/>
    <cellStyle name="Output 2 10 19 2 2 2" xfId="35976"/>
    <cellStyle name="Output 2 10 19 2 3" xfId="35977"/>
    <cellStyle name="Output 2 10 19 3" xfId="35978"/>
    <cellStyle name="Output 2 10 19 3 2" xfId="35979"/>
    <cellStyle name="Output 2 10 19 3 2 2" xfId="35980"/>
    <cellStyle name="Output 2 10 19 3 3" xfId="35981"/>
    <cellStyle name="Output 2 10 19 4" xfId="35982"/>
    <cellStyle name="Output 2 10 19 5" xfId="35983"/>
    <cellStyle name="Output 2 10 2" xfId="35984"/>
    <cellStyle name="Output 2 10 2 2" xfId="35985"/>
    <cellStyle name="Output 2 10 2 2 2" xfId="35986"/>
    <cellStyle name="Output 2 10 2 2 2 2" xfId="35987"/>
    <cellStyle name="Output 2 10 2 2 3" xfId="35988"/>
    <cellStyle name="Output 2 10 2 3" xfId="35989"/>
    <cellStyle name="Output 2 10 2 3 2" xfId="35990"/>
    <cellStyle name="Output 2 10 2 3 2 2" xfId="35991"/>
    <cellStyle name="Output 2 10 2 3 3" xfId="35992"/>
    <cellStyle name="Output 2 10 2 4" xfId="35993"/>
    <cellStyle name="Output 2 10 2 4 2" xfId="35994"/>
    <cellStyle name="Output 2 10 2 4 2 2" xfId="35995"/>
    <cellStyle name="Output 2 10 2 4 3" xfId="35996"/>
    <cellStyle name="Output 2 10 2 5" xfId="35997"/>
    <cellStyle name="Output 2 10 2 5 2" xfId="35998"/>
    <cellStyle name="Output 2 10 2 5 2 2" xfId="35999"/>
    <cellStyle name="Output 2 10 2 5 3" xfId="36000"/>
    <cellStyle name="Output 2 10 2 6" xfId="36001"/>
    <cellStyle name="Output 2 10 2 7" xfId="36002"/>
    <cellStyle name="Output 2 10 20" xfId="36003"/>
    <cellStyle name="Output 2 10 20 2" xfId="36004"/>
    <cellStyle name="Output 2 10 20 2 2" xfId="36005"/>
    <cellStyle name="Output 2 10 20 2 2 2" xfId="36006"/>
    <cellStyle name="Output 2 10 20 2 3" xfId="36007"/>
    <cellStyle name="Output 2 10 20 3" xfId="36008"/>
    <cellStyle name="Output 2 10 20 3 2" xfId="36009"/>
    <cellStyle name="Output 2 10 20 3 2 2" xfId="36010"/>
    <cellStyle name="Output 2 10 20 3 3" xfId="36011"/>
    <cellStyle name="Output 2 10 20 4" xfId="36012"/>
    <cellStyle name="Output 2 10 20 5" xfId="36013"/>
    <cellStyle name="Output 2 10 21" xfId="36014"/>
    <cellStyle name="Output 2 10 21 2" xfId="36015"/>
    <cellStyle name="Output 2 10 21 2 2" xfId="36016"/>
    <cellStyle name="Output 2 10 21 2 2 2" xfId="36017"/>
    <cellStyle name="Output 2 10 21 2 3" xfId="36018"/>
    <cellStyle name="Output 2 10 21 3" xfId="36019"/>
    <cellStyle name="Output 2 10 21 3 2" xfId="36020"/>
    <cellStyle name="Output 2 10 21 3 2 2" xfId="36021"/>
    <cellStyle name="Output 2 10 21 3 3" xfId="36022"/>
    <cellStyle name="Output 2 10 21 4" xfId="36023"/>
    <cellStyle name="Output 2 10 21 5" xfId="36024"/>
    <cellStyle name="Output 2 10 22" xfId="36025"/>
    <cellStyle name="Output 2 10 22 2" xfId="36026"/>
    <cellStyle name="Output 2 10 22 2 2" xfId="36027"/>
    <cellStyle name="Output 2 10 22 2 2 2" xfId="36028"/>
    <cellStyle name="Output 2 10 22 2 3" xfId="36029"/>
    <cellStyle name="Output 2 10 22 3" xfId="36030"/>
    <cellStyle name="Output 2 10 22 3 2" xfId="36031"/>
    <cellStyle name="Output 2 10 22 3 2 2" xfId="36032"/>
    <cellStyle name="Output 2 10 22 3 3" xfId="36033"/>
    <cellStyle name="Output 2 10 22 4" xfId="36034"/>
    <cellStyle name="Output 2 10 22 5" xfId="36035"/>
    <cellStyle name="Output 2 10 23" xfId="36036"/>
    <cellStyle name="Output 2 10 23 2" xfId="36037"/>
    <cellStyle name="Output 2 10 23 2 2" xfId="36038"/>
    <cellStyle name="Output 2 10 23 2 2 2" xfId="36039"/>
    <cellStyle name="Output 2 10 23 2 3" xfId="36040"/>
    <cellStyle name="Output 2 10 23 3" xfId="36041"/>
    <cellStyle name="Output 2 10 23 3 2" xfId="36042"/>
    <cellStyle name="Output 2 10 23 3 2 2" xfId="36043"/>
    <cellStyle name="Output 2 10 23 3 3" xfId="36044"/>
    <cellStyle name="Output 2 10 23 4" xfId="36045"/>
    <cellStyle name="Output 2 10 23 5" xfId="36046"/>
    <cellStyle name="Output 2 10 24" xfId="36047"/>
    <cellStyle name="Output 2 10 24 2" xfId="36048"/>
    <cellStyle name="Output 2 10 24 2 2" xfId="36049"/>
    <cellStyle name="Output 2 10 24 2 2 2" xfId="36050"/>
    <cellStyle name="Output 2 10 24 2 3" xfId="36051"/>
    <cellStyle name="Output 2 10 24 3" xfId="36052"/>
    <cellStyle name="Output 2 10 24 3 2" xfId="36053"/>
    <cellStyle name="Output 2 10 24 3 2 2" xfId="36054"/>
    <cellStyle name="Output 2 10 24 3 3" xfId="36055"/>
    <cellStyle name="Output 2 10 24 4" xfId="36056"/>
    <cellStyle name="Output 2 10 24 5" xfId="36057"/>
    <cellStyle name="Output 2 10 25" xfId="36058"/>
    <cellStyle name="Output 2 10 25 2" xfId="36059"/>
    <cellStyle name="Output 2 10 25 2 2" xfId="36060"/>
    <cellStyle name="Output 2 10 25 2 2 2" xfId="36061"/>
    <cellStyle name="Output 2 10 25 2 3" xfId="36062"/>
    <cellStyle name="Output 2 10 25 3" xfId="36063"/>
    <cellStyle name="Output 2 10 25 3 2" xfId="36064"/>
    <cellStyle name="Output 2 10 25 3 2 2" xfId="36065"/>
    <cellStyle name="Output 2 10 25 3 3" xfId="36066"/>
    <cellStyle name="Output 2 10 25 4" xfId="36067"/>
    <cellStyle name="Output 2 10 25 5" xfId="36068"/>
    <cellStyle name="Output 2 10 26" xfId="36069"/>
    <cellStyle name="Output 2 10 26 2" xfId="36070"/>
    <cellStyle name="Output 2 10 26 2 2" xfId="36071"/>
    <cellStyle name="Output 2 10 26 2 2 2" xfId="36072"/>
    <cellStyle name="Output 2 10 26 2 3" xfId="36073"/>
    <cellStyle name="Output 2 10 26 3" xfId="36074"/>
    <cellStyle name="Output 2 10 26 3 2" xfId="36075"/>
    <cellStyle name="Output 2 10 26 3 2 2" xfId="36076"/>
    <cellStyle name="Output 2 10 26 3 3" xfId="36077"/>
    <cellStyle name="Output 2 10 26 4" xfId="36078"/>
    <cellStyle name="Output 2 10 26 5" xfId="36079"/>
    <cellStyle name="Output 2 10 27" xfId="36080"/>
    <cellStyle name="Output 2 10 27 2" xfId="36081"/>
    <cellStyle name="Output 2 10 27 2 2" xfId="36082"/>
    <cellStyle name="Output 2 10 27 2 2 2" xfId="36083"/>
    <cellStyle name="Output 2 10 27 2 3" xfId="36084"/>
    <cellStyle name="Output 2 10 27 3" xfId="36085"/>
    <cellStyle name="Output 2 10 27 3 2" xfId="36086"/>
    <cellStyle name="Output 2 10 27 3 2 2" xfId="36087"/>
    <cellStyle name="Output 2 10 27 3 3" xfId="36088"/>
    <cellStyle name="Output 2 10 27 4" xfId="36089"/>
    <cellStyle name="Output 2 10 27 5" xfId="36090"/>
    <cellStyle name="Output 2 10 28" xfId="36091"/>
    <cellStyle name="Output 2 10 28 2" xfId="36092"/>
    <cellStyle name="Output 2 10 28 2 2" xfId="36093"/>
    <cellStyle name="Output 2 10 28 2 2 2" xfId="36094"/>
    <cellStyle name="Output 2 10 28 2 3" xfId="36095"/>
    <cellStyle name="Output 2 10 28 3" xfId="36096"/>
    <cellStyle name="Output 2 10 28 3 2" xfId="36097"/>
    <cellStyle name="Output 2 10 28 3 2 2" xfId="36098"/>
    <cellStyle name="Output 2 10 28 3 3" xfId="36099"/>
    <cellStyle name="Output 2 10 28 4" xfId="36100"/>
    <cellStyle name="Output 2 10 28 5" xfId="36101"/>
    <cellStyle name="Output 2 10 29" xfId="36102"/>
    <cellStyle name="Output 2 10 29 2" xfId="36103"/>
    <cellStyle name="Output 2 10 29 2 2" xfId="36104"/>
    <cellStyle name="Output 2 10 29 2 2 2" xfId="36105"/>
    <cellStyle name="Output 2 10 29 2 3" xfId="36106"/>
    <cellStyle name="Output 2 10 29 3" xfId="36107"/>
    <cellStyle name="Output 2 10 29 3 2" xfId="36108"/>
    <cellStyle name="Output 2 10 29 3 2 2" xfId="36109"/>
    <cellStyle name="Output 2 10 29 3 3" xfId="36110"/>
    <cellStyle name="Output 2 10 29 4" xfId="36111"/>
    <cellStyle name="Output 2 10 29 5" xfId="36112"/>
    <cellStyle name="Output 2 10 3" xfId="36113"/>
    <cellStyle name="Output 2 10 3 2" xfId="36114"/>
    <cellStyle name="Output 2 10 3 2 2" xfId="36115"/>
    <cellStyle name="Output 2 10 3 2 2 2" xfId="36116"/>
    <cellStyle name="Output 2 10 3 2 3" xfId="36117"/>
    <cellStyle name="Output 2 10 3 3" xfId="36118"/>
    <cellStyle name="Output 2 10 3 3 2" xfId="36119"/>
    <cellStyle name="Output 2 10 3 3 2 2" xfId="36120"/>
    <cellStyle name="Output 2 10 3 3 3" xfId="36121"/>
    <cellStyle name="Output 2 10 3 4" xfId="36122"/>
    <cellStyle name="Output 2 10 3 4 2" xfId="36123"/>
    <cellStyle name="Output 2 10 3 4 2 2" xfId="36124"/>
    <cellStyle name="Output 2 10 3 4 3" xfId="36125"/>
    <cellStyle name="Output 2 10 3 5" xfId="36126"/>
    <cellStyle name="Output 2 10 3 5 2" xfId="36127"/>
    <cellStyle name="Output 2 10 3 5 2 2" xfId="36128"/>
    <cellStyle name="Output 2 10 3 5 3" xfId="36129"/>
    <cellStyle name="Output 2 10 3 6" xfId="36130"/>
    <cellStyle name="Output 2 10 3 7" xfId="36131"/>
    <cellStyle name="Output 2 10 30" xfId="36132"/>
    <cellStyle name="Output 2 10 30 2" xfId="36133"/>
    <cellStyle name="Output 2 10 30 2 2" xfId="36134"/>
    <cellStyle name="Output 2 10 30 2 2 2" xfId="36135"/>
    <cellStyle name="Output 2 10 30 2 3" xfId="36136"/>
    <cellStyle name="Output 2 10 30 3" xfId="36137"/>
    <cellStyle name="Output 2 10 30 3 2" xfId="36138"/>
    <cellStyle name="Output 2 10 30 3 2 2" xfId="36139"/>
    <cellStyle name="Output 2 10 30 3 3" xfId="36140"/>
    <cellStyle name="Output 2 10 30 4" xfId="36141"/>
    <cellStyle name="Output 2 10 30 5" xfId="36142"/>
    <cellStyle name="Output 2 10 31" xfId="36143"/>
    <cellStyle name="Output 2 10 31 2" xfId="36144"/>
    <cellStyle name="Output 2 10 31 2 2" xfId="36145"/>
    <cellStyle name="Output 2 10 31 2 2 2" xfId="36146"/>
    <cellStyle name="Output 2 10 31 2 3" xfId="36147"/>
    <cellStyle name="Output 2 10 31 3" xfId="36148"/>
    <cellStyle name="Output 2 10 31 3 2" xfId="36149"/>
    <cellStyle name="Output 2 10 31 3 2 2" xfId="36150"/>
    <cellStyle name="Output 2 10 31 3 3" xfId="36151"/>
    <cellStyle name="Output 2 10 31 4" xfId="36152"/>
    <cellStyle name="Output 2 10 31 5" xfId="36153"/>
    <cellStyle name="Output 2 10 32" xfId="36154"/>
    <cellStyle name="Output 2 10 32 2" xfId="36155"/>
    <cellStyle name="Output 2 10 32 2 2" xfId="36156"/>
    <cellStyle name="Output 2 10 32 2 2 2" xfId="36157"/>
    <cellStyle name="Output 2 10 32 2 3" xfId="36158"/>
    <cellStyle name="Output 2 10 32 3" xfId="36159"/>
    <cellStyle name="Output 2 10 32 3 2" xfId="36160"/>
    <cellStyle name="Output 2 10 32 3 2 2" xfId="36161"/>
    <cellStyle name="Output 2 10 32 3 3" xfId="36162"/>
    <cellStyle name="Output 2 10 32 4" xfId="36163"/>
    <cellStyle name="Output 2 10 32 5" xfId="36164"/>
    <cellStyle name="Output 2 10 33" xfId="36165"/>
    <cellStyle name="Output 2 10 33 2" xfId="36166"/>
    <cellStyle name="Output 2 10 33 2 2" xfId="36167"/>
    <cellStyle name="Output 2 10 33 2 2 2" xfId="36168"/>
    <cellStyle name="Output 2 10 33 2 3" xfId="36169"/>
    <cellStyle name="Output 2 10 33 3" xfId="36170"/>
    <cellStyle name="Output 2 10 33 3 2" xfId="36171"/>
    <cellStyle name="Output 2 10 33 3 2 2" xfId="36172"/>
    <cellStyle name="Output 2 10 33 3 3" xfId="36173"/>
    <cellStyle name="Output 2 10 33 4" xfId="36174"/>
    <cellStyle name="Output 2 10 33 5" xfId="36175"/>
    <cellStyle name="Output 2 10 34" xfId="36176"/>
    <cellStyle name="Output 2 10 34 2" xfId="36177"/>
    <cellStyle name="Output 2 10 34 2 2" xfId="36178"/>
    <cellStyle name="Output 2 10 34 2 2 2" xfId="36179"/>
    <cellStyle name="Output 2 10 34 2 3" xfId="36180"/>
    <cellStyle name="Output 2 10 34 3" xfId="36181"/>
    <cellStyle name="Output 2 10 34 3 2" xfId="36182"/>
    <cellStyle name="Output 2 10 34 3 2 2" xfId="36183"/>
    <cellStyle name="Output 2 10 34 3 3" xfId="36184"/>
    <cellStyle name="Output 2 10 34 4" xfId="36185"/>
    <cellStyle name="Output 2 10 34 5" xfId="36186"/>
    <cellStyle name="Output 2 10 35" xfId="36187"/>
    <cellStyle name="Output 2 10 35 2" xfId="36188"/>
    <cellStyle name="Output 2 10 35 2 2" xfId="36189"/>
    <cellStyle name="Output 2 10 35 2 2 2" xfId="36190"/>
    <cellStyle name="Output 2 10 35 2 3" xfId="36191"/>
    <cellStyle name="Output 2 10 35 3" xfId="36192"/>
    <cellStyle name="Output 2 10 35 3 2" xfId="36193"/>
    <cellStyle name="Output 2 10 35 3 2 2" xfId="36194"/>
    <cellStyle name="Output 2 10 35 3 3" xfId="36195"/>
    <cellStyle name="Output 2 10 35 4" xfId="36196"/>
    <cellStyle name="Output 2 10 35 5" xfId="36197"/>
    <cellStyle name="Output 2 10 36" xfId="36198"/>
    <cellStyle name="Output 2 10 36 2" xfId="36199"/>
    <cellStyle name="Output 2 10 36 2 2" xfId="36200"/>
    <cellStyle name="Output 2 10 36 2 2 2" xfId="36201"/>
    <cellStyle name="Output 2 10 36 2 3" xfId="36202"/>
    <cellStyle name="Output 2 10 36 3" xfId="36203"/>
    <cellStyle name="Output 2 10 36 3 2" xfId="36204"/>
    <cellStyle name="Output 2 10 36 3 2 2" xfId="36205"/>
    <cellStyle name="Output 2 10 36 3 3" xfId="36206"/>
    <cellStyle name="Output 2 10 36 4" xfId="36207"/>
    <cellStyle name="Output 2 10 36 5" xfId="36208"/>
    <cellStyle name="Output 2 10 37" xfId="36209"/>
    <cellStyle name="Output 2 10 37 2" xfId="36210"/>
    <cellStyle name="Output 2 10 37 2 2" xfId="36211"/>
    <cellStyle name="Output 2 10 37 2 2 2" xfId="36212"/>
    <cellStyle name="Output 2 10 37 2 3" xfId="36213"/>
    <cellStyle name="Output 2 10 37 3" xfId="36214"/>
    <cellStyle name="Output 2 10 37 3 2" xfId="36215"/>
    <cellStyle name="Output 2 10 37 3 2 2" xfId="36216"/>
    <cellStyle name="Output 2 10 37 3 3" xfId="36217"/>
    <cellStyle name="Output 2 10 37 4" xfId="36218"/>
    <cellStyle name="Output 2 10 37 5" xfId="36219"/>
    <cellStyle name="Output 2 10 38" xfId="36220"/>
    <cellStyle name="Output 2 10 38 2" xfId="36221"/>
    <cellStyle name="Output 2 10 38 2 2" xfId="36222"/>
    <cellStyle name="Output 2 10 38 2 2 2" xfId="36223"/>
    <cellStyle name="Output 2 10 38 2 3" xfId="36224"/>
    <cellStyle name="Output 2 10 38 3" xfId="36225"/>
    <cellStyle name="Output 2 10 38 3 2" xfId="36226"/>
    <cellStyle name="Output 2 10 38 3 2 2" xfId="36227"/>
    <cellStyle name="Output 2 10 38 3 3" xfId="36228"/>
    <cellStyle name="Output 2 10 38 4" xfId="36229"/>
    <cellStyle name="Output 2 10 38 5" xfId="36230"/>
    <cellStyle name="Output 2 10 39" xfId="36231"/>
    <cellStyle name="Output 2 10 39 2" xfId="36232"/>
    <cellStyle name="Output 2 10 39 2 2" xfId="36233"/>
    <cellStyle name="Output 2 10 39 2 2 2" xfId="36234"/>
    <cellStyle name="Output 2 10 39 2 3" xfId="36235"/>
    <cellStyle name="Output 2 10 39 3" xfId="36236"/>
    <cellStyle name="Output 2 10 39 3 2" xfId="36237"/>
    <cellStyle name="Output 2 10 39 3 2 2" xfId="36238"/>
    <cellStyle name="Output 2 10 39 3 3" xfId="36239"/>
    <cellStyle name="Output 2 10 39 4" xfId="36240"/>
    <cellStyle name="Output 2 10 39 5" xfId="36241"/>
    <cellStyle name="Output 2 10 4" xfId="36242"/>
    <cellStyle name="Output 2 10 4 2" xfId="36243"/>
    <cellStyle name="Output 2 10 4 2 2" xfId="36244"/>
    <cellStyle name="Output 2 10 4 2 2 2" xfId="36245"/>
    <cellStyle name="Output 2 10 4 2 3" xfId="36246"/>
    <cellStyle name="Output 2 10 4 3" xfId="36247"/>
    <cellStyle name="Output 2 10 4 3 2" xfId="36248"/>
    <cellStyle name="Output 2 10 4 3 2 2" xfId="36249"/>
    <cellStyle name="Output 2 10 4 3 3" xfId="36250"/>
    <cellStyle name="Output 2 10 4 4" xfId="36251"/>
    <cellStyle name="Output 2 10 4 4 2" xfId="36252"/>
    <cellStyle name="Output 2 10 4 4 2 2" xfId="36253"/>
    <cellStyle name="Output 2 10 4 4 3" xfId="36254"/>
    <cellStyle name="Output 2 10 4 5" xfId="36255"/>
    <cellStyle name="Output 2 10 4 5 2" xfId="36256"/>
    <cellStyle name="Output 2 10 4 5 2 2" xfId="36257"/>
    <cellStyle name="Output 2 10 4 5 3" xfId="36258"/>
    <cellStyle name="Output 2 10 4 6" xfId="36259"/>
    <cellStyle name="Output 2 10 4 7" xfId="36260"/>
    <cellStyle name="Output 2 10 40" xfId="36261"/>
    <cellStyle name="Output 2 10 40 2" xfId="36262"/>
    <cellStyle name="Output 2 10 40 2 2" xfId="36263"/>
    <cellStyle name="Output 2 10 40 2 2 2" xfId="36264"/>
    <cellStyle name="Output 2 10 40 2 3" xfId="36265"/>
    <cellStyle name="Output 2 10 40 3" xfId="36266"/>
    <cellStyle name="Output 2 10 40 3 2" xfId="36267"/>
    <cellStyle name="Output 2 10 40 3 2 2" xfId="36268"/>
    <cellStyle name="Output 2 10 40 3 3" xfId="36269"/>
    <cellStyle name="Output 2 10 40 4" xfId="36270"/>
    <cellStyle name="Output 2 10 40 5" xfId="36271"/>
    <cellStyle name="Output 2 10 41" xfId="36272"/>
    <cellStyle name="Output 2 10 41 2" xfId="36273"/>
    <cellStyle name="Output 2 10 41 2 2" xfId="36274"/>
    <cellStyle name="Output 2 10 41 2 2 2" xfId="36275"/>
    <cellStyle name="Output 2 10 41 2 3" xfId="36276"/>
    <cellStyle name="Output 2 10 41 3" xfId="36277"/>
    <cellStyle name="Output 2 10 41 3 2" xfId="36278"/>
    <cellStyle name="Output 2 10 41 3 2 2" xfId="36279"/>
    <cellStyle name="Output 2 10 41 3 3" xfId="36280"/>
    <cellStyle name="Output 2 10 41 4" xfId="36281"/>
    <cellStyle name="Output 2 10 41 5" xfId="36282"/>
    <cellStyle name="Output 2 10 42" xfId="36283"/>
    <cellStyle name="Output 2 10 42 2" xfId="36284"/>
    <cellStyle name="Output 2 10 42 2 2" xfId="36285"/>
    <cellStyle name="Output 2 10 42 2 2 2" xfId="36286"/>
    <cellStyle name="Output 2 10 42 2 3" xfId="36287"/>
    <cellStyle name="Output 2 10 42 3" xfId="36288"/>
    <cellStyle name="Output 2 10 42 3 2" xfId="36289"/>
    <cellStyle name="Output 2 10 42 3 2 2" xfId="36290"/>
    <cellStyle name="Output 2 10 42 3 3" xfId="36291"/>
    <cellStyle name="Output 2 10 42 4" xfId="36292"/>
    <cellStyle name="Output 2 10 42 5" xfId="36293"/>
    <cellStyle name="Output 2 10 43" xfId="36294"/>
    <cellStyle name="Output 2 10 43 2" xfId="36295"/>
    <cellStyle name="Output 2 10 43 2 2" xfId="36296"/>
    <cellStyle name="Output 2 10 43 2 2 2" xfId="36297"/>
    <cellStyle name="Output 2 10 43 2 3" xfId="36298"/>
    <cellStyle name="Output 2 10 43 3" xfId="36299"/>
    <cellStyle name="Output 2 10 43 3 2" xfId="36300"/>
    <cellStyle name="Output 2 10 43 3 2 2" xfId="36301"/>
    <cellStyle name="Output 2 10 43 3 3" xfId="36302"/>
    <cellStyle name="Output 2 10 43 4" xfId="36303"/>
    <cellStyle name="Output 2 10 43 5" xfId="36304"/>
    <cellStyle name="Output 2 10 44" xfId="36305"/>
    <cellStyle name="Output 2 10 44 2" xfId="36306"/>
    <cellStyle name="Output 2 10 44 2 2" xfId="36307"/>
    <cellStyle name="Output 2 10 44 2 2 2" xfId="36308"/>
    <cellStyle name="Output 2 10 44 2 3" xfId="36309"/>
    <cellStyle name="Output 2 10 44 3" xfId="36310"/>
    <cellStyle name="Output 2 10 44 3 2" xfId="36311"/>
    <cellStyle name="Output 2 10 44 3 2 2" xfId="36312"/>
    <cellStyle name="Output 2 10 44 3 3" xfId="36313"/>
    <cellStyle name="Output 2 10 44 4" xfId="36314"/>
    <cellStyle name="Output 2 10 44 5" xfId="36315"/>
    <cellStyle name="Output 2 10 45" xfId="36316"/>
    <cellStyle name="Output 2 10 45 2" xfId="36317"/>
    <cellStyle name="Output 2 10 45 2 2" xfId="36318"/>
    <cellStyle name="Output 2 10 45 2 2 2" xfId="36319"/>
    <cellStyle name="Output 2 10 45 2 3" xfId="36320"/>
    <cellStyle name="Output 2 10 45 3" xfId="36321"/>
    <cellStyle name="Output 2 10 45 3 2" xfId="36322"/>
    <cellStyle name="Output 2 10 45 3 2 2" xfId="36323"/>
    <cellStyle name="Output 2 10 45 3 3" xfId="36324"/>
    <cellStyle name="Output 2 10 45 4" xfId="36325"/>
    <cellStyle name="Output 2 10 45 5" xfId="36326"/>
    <cellStyle name="Output 2 10 46" xfId="36327"/>
    <cellStyle name="Output 2 10 46 2" xfId="36328"/>
    <cellStyle name="Output 2 10 46 2 2" xfId="36329"/>
    <cellStyle name="Output 2 10 46 2 2 2" xfId="36330"/>
    <cellStyle name="Output 2 10 46 2 3" xfId="36331"/>
    <cellStyle name="Output 2 10 46 3" xfId="36332"/>
    <cellStyle name="Output 2 10 46 3 2" xfId="36333"/>
    <cellStyle name="Output 2 10 46 3 2 2" xfId="36334"/>
    <cellStyle name="Output 2 10 46 3 3" xfId="36335"/>
    <cellStyle name="Output 2 10 46 4" xfId="36336"/>
    <cellStyle name="Output 2 10 46 5" xfId="36337"/>
    <cellStyle name="Output 2 10 47" xfId="36338"/>
    <cellStyle name="Output 2 10 47 2" xfId="36339"/>
    <cellStyle name="Output 2 10 47 2 2" xfId="36340"/>
    <cellStyle name="Output 2 10 47 2 2 2" xfId="36341"/>
    <cellStyle name="Output 2 10 47 2 3" xfId="36342"/>
    <cellStyle name="Output 2 10 47 3" xfId="36343"/>
    <cellStyle name="Output 2 10 47 3 2" xfId="36344"/>
    <cellStyle name="Output 2 10 47 3 2 2" xfId="36345"/>
    <cellStyle name="Output 2 10 47 3 3" xfId="36346"/>
    <cellStyle name="Output 2 10 47 4" xfId="36347"/>
    <cellStyle name="Output 2 10 47 5" xfId="36348"/>
    <cellStyle name="Output 2 10 48" xfId="36349"/>
    <cellStyle name="Output 2 10 48 2" xfId="36350"/>
    <cellStyle name="Output 2 10 48 2 2" xfId="36351"/>
    <cellStyle name="Output 2 10 48 2 2 2" xfId="36352"/>
    <cellStyle name="Output 2 10 48 2 3" xfId="36353"/>
    <cellStyle name="Output 2 10 48 3" xfId="36354"/>
    <cellStyle name="Output 2 10 48 3 2" xfId="36355"/>
    <cellStyle name="Output 2 10 48 3 2 2" xfId="36356"/>
    <cellStyle name="Output 2 10 48 3 3" xfId="36357"/>
    <cellStyle name="Output 2 10 48 4" xfId="36358"/>
    <cellStyle name="Output 2 10 48 5" xfId="36359"/>
    <cellStyle name="Output 2 10 49" xfId="36360"/>
    <cellStyle name="Output 2 10 49 2" xfId="36361"/>
    <cellStyle name="Output 2 10 49 2 2" xfId="36362"/>
    <cellStyle name="Output 2 10 49 3" xfId="36363"/>
    <cellStyle name="Output 2 10 5" xfId="36364"/>
    <cellStyle name="Output 2 10 5 2" xfId="36365"/>
    <cellStyle name="Output 2 10 5 2 2" xfId="36366"/>
    <cellStyle name="Output 2 10 5 2 2 2" xfId="36367"/>
    <cellStyle name="Output 2 10 5 2 3" xfId="36368"/>
    <cellStyle name="Output 2 10 5 3" xfId="36369"/>
    <cellStyle name="Output 2 10 5 3 2" xfId="36370"/>
    <cellStyle name="Output 2 10 5 3 2 2" xfId="36371"/>
    <cellStyle name="Output 2 10 5 3 3" xfId="36372"/>
    <cellStyle name="Output 2 10 5 4" xfId="36373"/>
    <cellStyle name="Output 2 10 5 4 2" xfId="36374"/>
    <cellStyle name="Output 2 10 5 4 2 2" xfId="36375"/>
    <cellStyle name="Output 2 10 5 4 3" xfId="36376"/>
    <cellStyle name="Output 2 10 5 5" xfId="36377"/>
    <cellStyle name="Output 2 10 5 5 2" xfId="36378"/>
    <cellStyle name="Output 2 10 5 5 2 2" xfId="36379"/>
    <cellStyle name="Output 2 10 5 5 3" xfId="36380"/>
    <cellStyle name="Output 2 10 5 6" xfId="36381"/>
    <cellStyle name="Output 2 10 5 7" xfId="36382"/>
    <cellStyle name="Output 2 10 50" xfId="36383"/>
    <cellStyle name="Output 2 10 50 2" xfId="36384"/>
    <cellStyle name="Output 2 10 50 2 2" xfId="36385"/>
    <cellStyle name="Output 2 10 50 3" xfId="36386"/>
    <cellStyle name="Output 2 10 51" xfId="36387"/>
    <cellStyle name="Output 2 10 51 2" xfId="36388"/>
    <cellStyle name="Output 2 10 51 2 2" xfId="36389"/>
    <cellStyle name="Output 2 10 51 3" xfId="36390"/>
    <cellStyle name="Output 2 10 52" xfId="36391"/>
    <cellStyle name="Output 2 10 52 2" xfId="36392"/>
    <cellStyle name="Output 2 10 52 2 2" xfId="36393"/>
    <cellStyle name="Output 2 10 52 3" xfId="36394"/>
    <cellStyle name="Output 2 10 53" xfId="36395"/>
    <cellStyle name="Output 2 10 54" xfId="36396"/>
    <cellStyle name="Output 2 10 6" xfId="36397"/>
    <cellStyle name="Output 2 10 6 2" xfId="36398"/>
    <cellStyle name="Output 2 10 6 2 2" xfId="36399"/>
    <cellStyle name="Output 2 10 6 2 2 2" xfId="36400"/>
    <cellStyle name="Output 2 10 6 2 3" xfId="36401"/>
    <cellStyle name="Output 2 10 6 3" xfId="36402"/>
    <cellStyle name="Output 2 10 6 3 2" xfId="36403"/>
    <cellStyle name="Output 2 10 6 3 2 2" xfId="36404"/>
    <cellStyle name="Output 2 10 6 3 3" xfId="36405"/>
    <cellStyle name="Output 2 10 6 4" xfId="36406"/>
    <cellStyle name="Output 2 10 6 4 2" xfId="36407"/>
    <cellStyle name="Output 2 10 6 4 2 2" xfId="36408"/>
    <cellStyle name="Output 2 10 6 4 3" xfId="36409"/>
    <cellStyle name="Output 2 10 6 5" xfId="36410"/>
    <cellStyle name="Output 2 10 6 5 2" xfId="36411"/>
    <cellStyle name="Output 2 10 6 5 2 2" xfId="36412"/>
    <cellStyle name="Output 2 10 6 5 3" xfId="36413"/>
    <cellStyle name="Output 2 10 6 6" xfId="36414"/>
    <cellStyle name="Output 2 10 6 7" xfId="36415"/>
    <cellStyle name="Output 2 10 7" xfId="36416"/>
    <cellStyle name="Output 2 10 7 2" xfId="36417"/>
    <cellStyle name="Output 2 10 7 2 2" xfId="36418"/>
    <cellStyle name="Output 2 10 7 2 2 2" xfId="36419"/>
    <cellStyle name="Output 2 10 7 2 3" xfId="36420"/>
    <cellStyle name="Output 2 10 7 3" xfId="36421"/>
    <cellStyle name="Output 2 10 7 3 2" xfId="36422"/>
    <cellStyle name="Output 2 10 7 3 2 2" xfId="36423"/>
    <cellStyle name="Output 2 10 7 3 3" xfId="36424"/>
    <cellStyle name="Output 2 10 7 4" xfId="36425"/>
    <cellStyle name="Output 2 10 7 4 2" xfId="36426"/>
    <cellStyle name="Output 2 10 7 4 2 2" xfId="36427"/>
    <cellStyle name="Output 2 10 7 4 3" xfId="36428"/>
    <cellStyle name="Output 2 10 7 5" xfId="36429"/>
    <cellStyle name="Output 2 10 7 5 2" xfId="36430"/>
    <cellStyle name="Output 2 10 7 5 2 2" xfId="36431"/>
    <cellStyle name="Output 2 10 7 5 3" xfId="36432"/>
    <cellStyle name="Output 2 10 7 6" xfId="36433"/>
    <cellStyle name="Output 2 10 7 7" xfId="36434"/>
    <cellStyle name="Output 2 10 8" xfId="36435"/>
    <cellStyle name="Output 2 10 8 2" xfId="36436"/>
    <cellStyle name="Output 2 10 8 2 2" xfId="36437"/>
    <cellStyle name="Output 2 10 8 2 2 2" xfId="36438"/>
    <cellStyle name="Output 2 10 8 2 3" xfId="36439"/>
    <cellStyle name="Output 2 10 8 3" xfId="36440"/>
    <cellStyle name="Output 2 10 8 3 2" xfId="36441"/>
    <cellStyle name="Output 2 10 8 3 2 2" xfId="36442"/>
    <cellStyle name="Output 2 10 8 3 3" xfId="36443"/>
    <cellStyle name="Output 2 10 8 4" xfId="36444"/>
    <cellStyle name="Output 2 10 8 4 2" xfId="36445"/>
    <cellStyle name="Output 2 10 8 4 2 2" xfId="36446"/>
    <cellStyle name="Output 2 10 8 4 3" xfId="36447"/>
    <cellStyle name="Output 2 10 8 5" xfId="36448"/>
    <cellStyle name="Output 2 10 8 5 2" xfId="36449"/>
    <cellStyle name="Output 2 10 8 5 2 2" xfId="36450"/>
    <cellStyle name="Output 2 10 8 5 3" xfId="36451"/>
    <cellStyle name="Output 2 10 8 6" xfId="36452"/>
    <cellStyle name="Output 2 10 8 7" xfId="36453"/>
    <cellStyle name="Output 2 10 9" xfId="36454"/>
    <cellStyle name="Output 2 10 9 2" xfId="36455"/>
    <cellStyle name="Output 2 10 9 2 2" xfId="36456"/>
    <cellStyle name="Output 2 10 9 2 2 2" xfId="36457"/>
    <cellStyle name="Output 2 10 9 2 3" xfId="36458"/>
    <cellStyle name="Output 2 10 9 3" xfId="36459"/>
    <cellStyle name="Output 2 10 9 3 2" xfId="36460"/>
    <cellStyle name="Output 2 10 9 3 2 2" xfId="36461"/>
    <cellStyle name="Output 2 10 9 3 3" xfId="36462"/>
    <cellStyle name="Output 2 10 9 4" xfId="36463"/>
    <cellStyle name="Output 2 10 9 5" xfId="36464"/>
    <cellStyle name="Output 2 11" xfId="36465"/>
    <cellStyle name="Output 2 11 10" xfId="36466"/>
    <cellStyle name="Output 2 11 10 2" xfId="36467"/>
    <cellStyle name="Output 2 11 10 2 2" xfId="36468"/>
    <cellStyle name="Output 2 11 10 3" xfId="36469"/>
    <cellStyle name="Output 2 11 11" xfId="36470"/>
    <cellStyle name="Output 2 11 12" xfId="36471"/>
    <cellStyle name="Output 2 11 2" xfId="36472"/>
    <cellStyle name="Output 2 11 2 2" xfId="36473"/>
    <cellStyle name="Output 2 11 2 2 2" xfId="36474"/>
    <cellStyle name="Output 2 11 2 2 2 2" xfId="36475"/>
    <cellStyle name="Output 2 11 2 2 3" xfId="36476"/>
    <cellStyle name="Output 2 11 2 3" xfId="36477"/>
    <cellStyle name="Output 2 11 2 3 2" xfId="36478"/>
    <cellStyle name="Output 2 11 2 3 2 2" xfId="36479"/>
    <cellStyle name="Output 2 11 2 3 3" xfId="36480"/>
    <cellStyle name="Output 2 11 2 4" xfId="36481"/>
    <cellStyle name="Output 2 11 2 4 2" xfId="36482"/>
    <cellStyle name="Output 2 11 2 4 2 2" xfId="36483"/>
    <cellStyle name="Output 2 11 2 4 3" xfId="36484"/>
    <cellStyle name="Output 2 11 2 5" xfId="36485"/>
    <cellStyle name="Output 2 11 3" xfId="36486"/>
    <cellStyle name="Output 2 11 3 2" xfId="36487"/>
    <cellStyle name="Output 2 11 3 2 2" xfId="36488"/>
    <cellStyle name="Output 2 11 3 2 2 2" xfId="36489"/>
    <cellStyle name="Output 2 11 3 2 3" xfId="36490"/>
    <cellStyle name="Output 2 11 3 3" xfId="36491"/>
    <cellStyle name="Output 2 11 3 3 2" xfId="36492"/>
    <cellStyle name="Output 2 11 3 3 2 2" xfId="36493"/>
    <cellStyle name="Output 2 11 3 3 3" xfId="36494"/>
    <cellStyle name="Output 2 11 3 4" xfId="36495"/>
    <cellStyle name="Output 2 11 3 4 2" xfId="36496"/>
    <cellStyle name="Output 2 11 3 4 2 2" xfId="36497"/>
    <cellStyle name="Output 2 11 3 4 3" xfId="36498"/>
    <cellStyle name="Output 2 11 3 5" xfId="36499"/>
    <cellStyle name="Output 2 11 4" xfId="36500"/>
    <cellStyle name="Output 2 11 4 2" xfId="36501"/>
    <cellStyle name="Output 2 11 4 2 2" xfId="36502"/>
    <cellStyle name="Output 2 11 4 2 2 2" xfId="36503"/>
    <cellStyle name="Output 2 11 4 2 3" xfId="36504"/>
    <cellStyle name="Output 2 11 4 3" xfId="36505"/>
    <cellStyle name="Output 2 11 4 3 2" xfId="36506"/>
    <cellStyle name="Output 2 11 4 3 2 2" xfId="36507"/>
    <cellStyle name="Output 2 11 4 3 3" xfId="36508"/>
    <cellStyle name="Output 2 11 4 4" xfId="36509"/>
    <cellStyle name="Output 2 11 4 4 2" xfId="36510"/>
    <cellStyle name="Output 2 11 4 4 2 2" xfId="36511"/>
    <cellStyle name="Output 2 11 4 4 3" xfId="36512"/>
    <cellStyle name="Output 2 11 4 5" xfId="36513"/>
    <cellStyle name="Output 2 11 5" xfId="36514"/>
    <cellStyle name="Output 2 11 5 2" xfId="36515"/>
    <cellStyle name="Output 2 11 5 2 2" xfId="36516"/>
    <cellStyle name="Output 2 11 5 2 2 2" xfId="36517"/>
    <cellStyle name="Output 2 11 5 2 3" xfId="36518"/>
    <cellStyle name="Output 2 11 5 3" xfId="36519"/>
    <cellStyle name="Output 2 11 5 3 2" xfId="36520"/>
    <cellStyle name="Output 2 11 5 3 2 2" xfId="36521"/>
    <cellStyle name="Output 2 11 5 3 3" xfId="36522"/>
    <cellStyle name="Output 2 11 5 4" xfId="36523"/>
    <cellStyle name="Output 2 11 6" xfId="36524"/>
    <cellStyle name="Output 2 11 6 2" xfId="36525"/>
    <cellStyle name="Output 2 11 6 2 2" xfId="36526"/>
    <cellStyle name="Output 2 11 6 2 2 2" xfId="36527"/>
    <cellStyle name="Output 2 11 6 2 3" xfId="36528"/>
    <cellStyle name="Output 2 11 6 3" xfId="36529"/>
    <cellStyle name="Output 2 11 6 3 2" xfId="36530"/>
    <cellStyle name="Output 2 11 6 3 2 2" xfId="36531"/>
    <cellStyle name="Output 2 11 6 3 3" xfId="36532"/>
    <cellStyle name="Output 2 11 6 4" xfId="36533"/>
    <cellStyle name="Output 2 11 7" xfId="36534"/>
    <cellStyle name="Output 2 11 7 2" xfId="36535"/>
    <cellStyle name="Output 2 11 7 2 2" xfId="36536"/>
    <cellStyle name="Output 2 11 7 3" xfId="36537"/>
    <cellStyle name="Output 2 11 8" xfId="36538"/>
    <cellStyle name="Output 2 11 8 2" xfId="36539"/>
    <cellStyle name="Output 2 11 8 2 2" xfId="36540"/>
    <cellStyle name="Output 2 11 8 3" xfId="36541"/>
    <cellStyle name="Output 2 11 9" xfId="36542"/>
    <cellStyle name="Output 2 11 9 2" xfId="36543"/>
    <cellStyle name="Output 2 11 9 2 2" xfId="36544"/>
    <cellStyle name="Output 2 11 9 3" xfId="36545"/>
    <cellStyle name="Output 2 12" xfId="36546"/>
    <cellStyle name="Output 2 12 2" xfId="36547"/>
    <cellStyle name="Output 2 12 2 2" xfId="36548"/>
    <cellStyle name="Output 2 12 2 2 2" xfId="36549"/>
    <cellStyle name="Output 2 12 2 3" xfId="36550"/>
    <cellStyle name="Output 2 12 3" xfId="36551"/>
    <cellStyle name="Output 2 12 3 2" xfId="36552"/>
    <cellStyle name="Output 2 12 3 2 2" xfId="36553"/>
    <cellStyle name="Output 2 12 3 3" xfId="36554"/>
    <cellStyle name="Output 2 12 4" xfId="36555"/>
    <cellStyle name="Output 2 12 4 2" xfId="36556"/>
    <cellStyle name="Output 2 12 4 2 2" xfId="36557"/>
    <cellStyle name="Output 2 12 4 3" xfId="36558"/>
    <cellStyle name="Output 2 12 5" xfId="36559"/>
    <cellStyle name="Output 2 12 5 2" xfId="36560"/>
    <cellStyle name="Output 2 12 5 2 2" xfId="36561"/>
    <cellStyle name="Output 2 12 5 3" xfId="36562"/>
    <cellStyle name="Output 2 12 6" xfId="36563"/>
    <cellStyle name="Output 2 12 7" xfId="36564"/>
    <cellStyle name="Output 2 13" xfId="36565"/>
    <cellStyle name="Output 2 13 2" xfId="36566"/>
    <cellStyle name="Output 2 13 2 2" xfId="36567"/>
    <cellStyle name="Output 2 13 2 2 2" xfId="36568"/>
    <cellStyle name="Output 2 13 2 3" xfId="36569"/>
    <cellStyle name="Output 2 13 3" xfId="36570"/>
    <cellStyle name="Output 2 13 3 2" xfId="36571"/>
    <cellStyle name="Output 2 13 3 2 2" xfId="36572"/>
    <cellStyle name="Output 2 13 3 3" xfId="36573"/>
    <cellStyle name="Output 2 13 4" xfId="36574"/>
    <cellStyle name="Output 2 13 5" xfId="36575"/>
    <cellStyle name="Output 2 14" xfId="36576"/>
    <cellStyle name="Output 2 14 2" xfId="36577"/>
    <cellStyle name="Output 2 14 2 2" xfId="36578"/>
    <cellStyle name="Output 2 14 2 2 2" xfId="36579"/>
    <cellStyle name="Output 2 14 2 3" xfId="36580"/>
    <cellStyle name="Output 2 14 3" xfId="36581"/>
    <cellStyle name="Output 2 14 3 2" xfId="36582"/>
    <cellStyle name="Output 2 14 4" xfId="36583"/>
    <cellStyle name="Output 2 15" xfId="36584"/>
    <cellStyle name="Output 2 15 2" xfId="36585"/>
    <cellStyle name="Output 2 15 2 2" xfId="36586"/>
    <cellStyle name="Output 2 15 3" xfId="36587"/>
    <cellStyle name="Output 2 16" xfId="36588"/>
    <cellStyle name="Output 2 16 2" xfId="36589"/>
    <cellStyle name="Output 2 16 2 2" xfId="36590"/>
    <cellStyle name="Output 2 16 3" xfId="36591"/>
    <cellStyle name="Output 2 17" xfId="36592"/>
    <cellStyle name="Output 2 17 2" xfId="36593"/>
    <cellStyle name="Output 2 17 2 2" xfId="36594"/>
    <cellStyle name="Output 2 17 3" xfId="36595"/>
    <cellStyle name="Output 2 18" xfId="36596"/>
    <cellStyle name="Output 2 19" xfId="36597"/>
    <cellStyle name="Output 2 2" xfId="36598"/>
    <cellStyle name="Output 2 2 10" xfId="36599"/>
    <cellStyle name="Output 2 2 10 2" xfId="36600"/>
    <cellStyle name="Output 2 2 10 2 2" xfId="36601"/>
    <cellStyle name="Output 2 2 10 2 2 2" xfId="36602"/>
    <cellStyle name="Output 2 2 10 2 3" xfId="36603"/>
    <cellStyle name="Output 2 2 10 3" xfId="36604"/>
    <cellStyle name="Output 2 2 10 3 2" xfId="36605"/>
    <cellStyle name="Output 2 2 10 3 2 2" xfId="36606"/>
    <cellStyle name="Output 2 2 10 3 3" xfId="36607"/>
    <cellStyle name="Output 2 2 10 4" xfId="36608"/>
    <cellStyle name="Output 2 2 10 5" xfId="36609"/>
    <cellStyle name="Output 2 2 11" xfId="36610"/>
    <cellStyle name="Output 2 2 11 2" xfId="36611"/>
    <cellStyle name="Output 2 2 11 2 2" xfId="36612"/>
    <cellStyle name="Output 2 2 11 2 2 2" xfId="36613"/>
    <cellStyle name="Output 2 2 11 2 3" xfId="36614"/>
    <cellStyle name="Output 2 2 11 3" xfId="36615"/>
    <cellStyle name="Output 2 2 11 3 2" xfId="36616"/>
    <cellStyle name="Output 2 2 11 3 2 2" xfId="36617"/>
    <cellStyle name="Output 2 2 11 3 3" xfId="36618"/>
    <cellStyle name="Output 2 2 11 4" xfId="36619"/>
    <cellStyle name="Output 2 2 11 5" xfId="36620"/>
    <cellStyle name="Output 2 2 12" xfId="36621"/>
    <cellStyle name="Output 2 2 12 2" xfId="36622"/>
    <cellStyle name="Output 2 2 12 2 2" xfId="36623"/>
    <cellStyle name="Output 2 2 12 2 2 2" xfId="36624"/>
    <cellStyle name="Output 2 2 12 2 3" xfId="36625"/>
    <cellStyle name="Output 2 2 12 3" xfId="36626"/>
    <cellStyle name="Output 2 2 12 3 2" xfId="36627"/>
    <cellStyle name="Output 2 2 12 3 2 2" xfId="36628"/>
    <cellStyle name="Output 2 2 12 3 3" xfId="36629"/>
    <cellStyle name="Output 2 2 12 4" xfId="36630"/>
    <cellStyle name="Output 2 2 12 5" xfId="36631"/>
    <cellStyle name="Output 2 2 13" xfId="36632"/>
    <cellStyle name="Output 2 2 13 2" xfId="36633"/>
    <cellStyle name="Output 2 2 13 2 2" xfId="36634"/>
    <cellStyle name="Output 2 2 13 2 2 2" xfId="36635"/>
    <cellStyle name="Output 2 2 13 2 3" xfId="36636"/>
    <cellStyle name="Output 2 2 13 3" xfId="36637"/>
    <cellStyle name="Output 2 2 13 3 2" xfId="36638"/>
    <cellStyle name="Output 2 2 13 3 2 2" xfId="36639"/>
    <cellStyle name="Output 2 2 13 3 3" xfId="36640"/>
    <cellStyle name="Output 2 2 13 4" xfId="36641"/>
    <cellStyle name="Output 2 2 13 5" xfId="36642"/>
    <cellStyle name="Output 2 2 14" xfId="36643"/>
    <cellStyle name="Output 2 2 14 2" xfId="36644"/>
    <cellStyle name="Output 2 2 14 2 2" xfId="36645"/>
    <cellStyle name="Output 2 2 14 2 2 2" xfId="36646"/>
    <cellStyle name="Output 2 2 14 2 3" xfId="36647"/>
    <cellStyle name="Output 2 2 14 3" xfId="36648"/>
    <cellStyle name="Output 2 2 14 3 2" xfId="36649"/>
    <cellStyle name="Output 2 2 14 3 2 2" xfId="36650"/>
    <cellStyle name="Output 2 2 14 3 3" xfId="36651"/>
    <cellStyle name="Output 2 2 14 4" xfId="36652"/>
    <cellStyle name="Output 2 2 14 5" xfId="36653"/>
    <cellStyle name="Output 2 2 15" xfId="36654"/>
    <cellStyle name="Output 2 2 15 2" xfId="36655"/>
    <cellStyle name="Output 2 2 15 2 2" xfId="36656"/>
    <cellStyle name="Output 2 2 15 2 2 2" xfId="36657"/>
    <cellStyle name="Output 2 2 15 2 3" xfId="36658"/>
    <cellStyle name="Output 2 2 15 3" xfId="36659"/>
    <cellStyle name="Output 2 2 15 3 2" xfId="36660"/>
    <cellStyle name="Output 2 2 15 3 2 2" xfId="36661"/>
    <cellStyle name="Output 2 2 15 3 3" xfId="36662"/>
    <cellStyle name="Output 2 2 15 4" xfId="36663"/>
    <cellStyle name="Output 2 2 15 5" xfId="36664"/>
    <cellStyle name="Output 2 2 16" xfId="36665"/>
    <cellStyle name="Output 2 2 16 2" xfId="36666"/>
    <cellStyle name="Output 2 2 16 2 2" xfId="36667"/>
    <cellStyle name="Output 2 2 16 2 2 2" xfId="36668"/>
    <cellStyle name="Output 2 2 16 2 3" xfId="36669"/>
    <cellStyle name="Output 2 2 16 3" xfId="36670"/>
    <cellStyle name="Output 2 2 16 3 2" xfId="36671"/>
    <cellStyle name="Output 2 2 16 3 2 2" xfId="36672"/>
    <cellStyle name="Output 2 2 16 3 3" xfId="36673"/>
    <cellStyle name="Output 2 2 16 4" xfId="36674"/>
    <cellStyle name="Output 2 2 16 5" xfId="36675"/>
    <cellStyle name="Output 2 2 17" xfId="36676"/>
    <cellStyle name="Output 2 2 17 2" xfId="36677"/>
    <cellStyle name="Output 2 2 17 2 2" xfId="36678"/>
    <cellStyle name="Output 2 2 17 2 2 2" xfId="36679"/>
    <cellStyle name="Output 2 2 17 2 3" xfId="36680"/>
    <cellStyle name="Output 2 2 17 3" xfId="36681"/>
    <cellStyle name="Output 2 2 17 3 2" xfId="36682"/>
    <cellStyle name="Output 2 2 17 3 2 2" xfId="36683"/>
    <cellStyle name="Output 2 2 17 3 3" xfId="36684"/>
    <cellStyle name="Output 2 2 17 4" xfId="36685"/>
    <cellStyle name="Output 2 2 17 5" xfId="36686"/>
    <cellStyle name="Output 2 2 18" xfId="36687"/>
    <cellStyle name="Output 2 2 18 2" xfId="36688"/>
    <cellStyle name="Output 2 2 18 2 2" xfId="36689"/>
    <cellStyle name="Output 2 2 18 2 2 2" xfId="36690"/>
    <cellStyle name="Output 2 2 18 2 3" xfId="36691"/>
    <cellStyle name="Output 2 2 18 3" xfId="36692"/>
    <cellStyle name="Output 2 2 18 3 2" xfId="36693"/>
    <cellStyle name="Output 2 2 18 3 2 2" xfId="36694"/>
    <cellStyle name="Output 2 2 18 3 3" xfId="36695"/>
    <cellStyle name="Output 2 2 18 4" xfId="36696"/>
    <cellStyle name="Output 2 2 18 5" xfId="36697"/>
    <cellStyle name="Output 2 2 19" xfId="36698"/>
    <cellStyle name="Output 2 2 19 2" xfId="36699"/>
    <cellStyle name="Output 2 2 19 2 2" xfId="36700"/>
    <cellStyle name="Output 2 2 19 2 2 2" xfId="36701"/>
    <cellStyle name="Output 2 2 19 2 3" xfId="36702"/>
    <cellStyle name="Output 2 2 19 3" xfId="36703"/>
    <cellStyle name="Output 2 2 19 3 2" xfId="36704"/>
    <cellStyle name="Output 2 2 19 3 2 2" xfId="36705"/>
    <cellStyle name="Output 2 2 19 3 3" xfId="36706"/>
    <cellStyle name="Output 2 2 19 4" xfId="36707"/>
    <cellStyle name="Output 2 2 19 5" xfId="36708"/>
    <cellStyle name="Output 2 2 2" xfId="36709"/>
    <cellStyle name="Output 2 2 2 2" xfId="36710"/>
    <cellStyle name="Output 2 2 2 2 2" xfId="36711"/>
    <cellStyle name="Output 2 2 2 2 2 2" xfId="36712"/>
    <cellStyle name="Output 2 2 2 2 3" xfId="36713"/>
    <cellStyle name="Output 2 2 2 3" xfId="36714"/>
    <cellStyle name="Output 2 2 2 3 2" xfId="36715"/>
    <cellStyle name="Output 2 2 2 3 2 2" xfId="36716"/>
    <cellStyle name="Output 2 2 2 3 3" xfId="36717"/>
    <cellStyle name="Output 2 2 2 4" xfId="36718"/>
    <cellStyle name="Output 2 2 2 4 2" xfId="36719"/>
    <cellStyle name="Output 2 2 2 4 2 2" xfId="36720"/>
    <cellStyle name="Output 2 2 2 4 3" xfId="36721"/>
    <cellStyle name="Output 2 2 2 5" xfId="36722"/>
    <cellStyle name="Output 2 2 2 5 2" xfId="36723"/>
    <cellStyle name="Output 2 2 2 5 2 2" xfId="36724"/>
    <cellStyle name="Output 2 2 2 5 3" xfId="36725"/>
    <cellStyle name="Output 2 2 2 6" xfId="36726"/>
    <cellStyle name="Output 2 2 2 7" xfId="36727"/>
    <cellStyle name="Output 2 2 20" xfId="36728"/>
    <cellStyle name="Output 2 2 20 2" xfId="36729"/>
    <cellStyle name="Output 2 2 20 2 2" xfId="36730"/>
    <cellStyle name="Output 2 2 20 2 2 2" xfId="36731"/>
    <cellStyle name="Output 2 2 20 2 3" xfId="36732"/>
    <cellStyle name="Output 2 2 20 3" xfId="36733"/>
    <cellStyle name="Output 2 2 20 3 2" xfId="36734"/>
    <cellStyle name="Output 2 2 20 3 2 2" xfId="36735"/>
    <cellStyle name="Output 2 2 20 3 3" xfId="36736"/>
    <cellStyle name="Output 2 2 20 4" xfId="36737"/>
    <cellStyle name="Output 2 2 20 5" xfId="36738"/>
    <cellStyle name="Output 2 2 21" xfId="36739"/>
    <cellStyle name="Output 2 2 21 2" xfId="36740"/>
    <cellStyle name="Output 2 2 21 2 2" xfId="36741"/>
    <cellStyle name="Output 2 2 21 2 2 2" xfId="36742"/>
    <cellStyle name="Output 2 2 21 2 3" xfId="36743"/>
    <cellStyle name="Output 2 2 21 3" xfId="36744"/>
    <cellStyle name="Output 2 2 21 3 2" xfId="36745"/>
    <cellStyle name="Output 2 2 21 3 2 2" xfId="36746"/>
    <cellStyle name="Output 2 2 21 3 3" xfId="36747"/>
    <cellStyle name="Output 2 2 21 4" xfId="36748"/>
    <cellStyle name="Output 2 2 21 5" xfId="36749"/>
    <cellStyle name="Output 2 2 22" xfId="36750"/>
    <cellStyle name="Output 2 2 22 2" xfId="36751"/>
    <cellStyle name="Output 2 2 22 2 2" xfId="36752"/>
    <cellStyle name="Output 2 2 22 2 2 2" xfId="36753"/>
    <cellStyle name="Output 2 2 22 2 3" xfId="36754"/>
    <cellStyle name="Output 2 2 22 3" xfId="36755"/>
    <cellStyle name="Output 2 2 22 3 2" xfId="36756"/>
    <cellStyle name="Output 2 2 22 3 2 2" xfId="36757"/>
    <cellStyle name="Output 2 2 22 3 3" xfId="36758"/>
    <cellStyle name="Output 2 2 22 4" xfId="36759"/>
    <cellStyle name="Output 2 2 22 5" xfId="36760"/>
    <cellStyle name="Output 2 2 23" xfId="36761"/>
    <cellStyle name="Output 2 2 23 2" xfId="36762"/>
    <cellStyle name="Output 2 2 23 2 2" xfId="36763"/>
    <cellStyle name="Output 2 2 23 2 2 2" xfId="36764"/>
    <cellStyle name="Output 2 2 23 2 3" xfId="36765"/>
    <cellStyle name="Output 2 2 23 3" xfId="36766"/>
    <cellStyle name="Output 2 2 23 3 2" xfId="36767"/>
    <cellStyle name="Output 2 2 23 3 2 2" xfId="36768"/>
    <cellStyle name="Output 2 2 23 3 3" xfId="36769"/>
    <cellStyle name="Output 2 2 23 4" xfId="36770"/>
    <cellStyle name="Output 2 2 23 5" xfId="36771"/>
    <cellStyle name="Output 2 2 24" xfId="36772"/>
    <cellStyle name="Output 2 2 24 2" xfId="36773"/>
    <cellStyle name="Output 2 2 24 2 2" xfId="36774"/>
    <cellStyle name="Output 2 2 24 2 2 2" xfId="36775"/>
    <cellStyle name="Output 2 2 24 2 3" xfId="36776"/>
    <cellStyle name="Output 2 2 24 3" xfId="36777"/>
    <cellStyle name="Output 2 2 24 3 2" xfId="36778"/>
    <cellStyle name="Output 2 2 24 3 2 2" xfId="36779"/>
    <cellStyle name="Output 2 2 24 3 3" xfId="36780"/>
    <cellStyle name="Output 2 2 24 4" xfId="36781"/>
    <cellStyle name="Output 2 2 24 5" xfId="36782"/>
    <cellStyle name="Output 2 2 25" xfId="36783"/>
    <cellStyle name="Output 2 2 25 2" xfId="36784"/>
    <cellStyle name="Output 2 2 25 2 2" xfId="36785"/>
    <cellStyle name="Output 2 2 25 2 2 2" xfId="36786"/>
    <cellStyle name="Output 2 2 25 2 3" xfId="36787"/>
    <cellStyle name="Output 2 2 25 3" xfId="36788"/>
    <cellStyle name="Output 2 2 25 3 2" xfId="36789"/>
    <cellStyle name="Output 2 2 25 3 2 2" xfId="36790"/>
    <cellStyle name="Output 2 2 25 3 3" xfId="36791"/>
    <cellStyle name="Output 2 2 25 4" xfId="36792"/>
    <cellStyle name="Output 2 2 25 5" xfId="36793"/>
    <cellStyle name="Output 2 2 26" xfId="36794"/>
    <cellStyle name="Output 2 2 26 2" xfId="36795"/>
    <cellStyle name="Output 2 2 26 2 2" xfId="36796"/>
    <cellStyle name="Output 2 2 26 2 2 2" xfId="36797"/>
    <cellStyle name="Output 2 2 26 2 3" xfId="36798"/>
    <cellStyle name="Output 2 2 26 3" xfId="36799"/>
    <cellStyle name="Output 2 2 26 3 2" xfId="36800"/>
    <cellStyle name="Output 2 2 26 3 2 2" xfId="36801"/>
    <cellStyle name="Output 2 2 26 3 3" xfId="36802"/>
    <cellStyle name="Output 2 2 26 4" xfId="36803"/>
    <cellStyle name="Output 2 2 26 5" xfId="36804"/>
    <cellStyle name="Output 2 2 27" xfId="36805"/>
    <cellStyle name="Output 2 2 27 2" xfId="36806"/>
    <cellStyle name="Output 2 2 27 2 2" xfId="36807"/>
    <cellStyle name="Output 2 2 27 2 2 2" xfId="36808"/>
    <cellStyle name="Output 2 2 27 2 3" xfId="36809"/>
    <cellStyle name="Output 2 2 27 3" xfId="36810"/>
    <cellStyle name="Output 2 2 27 3 2" xfId="36811"/>
    <cellStyle name="Output 2 2 27 3 2 2" xfId="36812"/>
    <cellStyle name="Output 2 2 27 3 3" xfId="36813"/>
    <cellStyle name="Output 2 2 27 4" xfId="36814"/>
    <cellStyle name="Output 2 2 27 5" xfId="36815"/>
    <cellStyle name="Output 2 2 28" xfId="36816"/>
    <cellStyle name="Output 2 2 28 2" xfId="36817"/>
    <cellStyle name="Output 2 2 28 2 2" xfId="36818"/>
    <cellStyle name="Output 2 2 28 2 2 2" xfId="36819"/>
    <cellStyle name="Output 2 2 28 2 3" xfId="36820"/>
    <cellStyle name="Output 2 2 28 3" xfId="36821"/>
    <cellStyle name="Output 2 2 28 3 2" xfId="36822"/>
    <cellStyle name="Output 2 2 28 3 2 2" xfId="36823"/>
    <cellStyle name="Output 2 2 28 3 3" xfId="36824"/>
    <cellStyle name="Output 2 2 28 4" xfId="36825"/>
    <cellStyle name="Output 2 2 28 5" xfId="36826"/>
    <cellStyle name="Output 2 2 29" xfId="36827"/>
    <cellStyle name="Output 2 2 29 2" xfId="36828"/>
    <cellStyle name="Output 2 2 29 2 2" xfId="36829"/>
    <cellStyle name="Output 2 2 29 2 2 2" xfId="36830"/>
    <cellStyle name="Output 2 2 29 2 3" xfId="36831"/>
    <cellStyle name="Output 2 2 29 3" xfId="36832"/>
    <cellStyle name="Output 2 2 29 3 2" xfId="36833"/>
    <cellStyle name="Output 2 2 29 3 2 2" xfId="36834"/>
    <cellStyle name="Output 2 2 29 3 3" xfId="36835"/>
    <cellStyle name="Output 2 2 29 4" xfId="36836"/>
    <cellStyle name="Output 2 2 29 5" xfId="36837"/>
    <cellStyle name="Output 2 2 3" xfId="36838"/>
    <cellStyle name="Output 2 2 3 2" xfId="36839"/>
    <cellStyle name="Output 2 2 3 2 2" xfId="36840"/>
    <cellStyle name="Output 2 2 3 2 2 2" xfId="36841"/>
    <cellStyle name="Output 2 2 3 2 3" xfId="36842"/>
    <cellStyle name="Output 2 2 3 3" xfId="36843"/>
    <cellStyle name="Output 2 2 3 3 2" xfId="36844"/>
    <cellStyle name="Output 2 2 3 3 2 2" xfId="36845"/>
    <cellStyle name="Output 2 2 3 3 3" xfId="36846"/>
    <cellStyle name="Output 2 2 3 4" xfId="36847"/>
    <cellStyle name="Output 2 2 3 4 2" xfId="36848"/>
    <cellStyle name="Output 2 2 3 4 2 2" xfId="36849"/>
    <cellStyle name="Output 2 2 3 4 3" xfId="36850"/>
    <cellStyle name="Output 2 2 3 5" xfId="36851"/>
    <cellStyle name="Output 2 2 3 5 2" xfId="36852"/>
    <cellStyle name="Output 2 2 3 5 2 2" xfId="36853"/>
    <cellStyle name="Output 2 2 3 5 3" xfId="36854"/>
    <cellStyle name="Output 2 2 3 6" xfId="36855"/>
    <cellStyle name="Output 2 2 3 7" xfId="36856"/>
    <cellStyle name="Output 2 2 30" xfId="36857"/>
    <cellStyle name="Output 2 2 30 2" xfId="36858"/>
    <cellStyle name="Output 2 2 30 2 2" xfId="36859"/>
    <cellStyle name="Output 2 2 30 2 2 2" xfId="36860"/>
    <cellStyle name="Output 2 2 30 2 3" xfId="36861"/>
    <cellStyle name="Output 2 2 30 3" xfId="36862"/>
    <cellStyle name="Output 2 2 30 3 2" xfId="36863"/>
    <cellStyle name="Output 2 2 30 3 2 2" xfId="36864"/>
    <cellStyle name="Output 2 2 30 3 3" xfId="36865"/>
    <cellStyle name="Output 2 2 30 4" xfId="36866"/>
    <cellStyle name="Output 2 2 30 5" xfId="36867"/>
    <cellStyle name="Output 2 2 31" xfId="36868"/>
    <cellStyle name="Output 2 2 31 2" xfId="36869"/>
    <cellStyle name="Output 2 2 31 2 2" xfId="36870"/>
    <cellStyle name="Output 2 2 31 2 2 2" xfId="36871"/>
    <cellStyle name="Output 2 2 31 2 3" xfId="36872"/>
    <cellStyle name="Output 2 2 31 3" xfId="36873"/>
    <cellStyle name="Output 2 2 31 3 2" xfId="36874"/>
    <cellStyle name="Output 2 2 31 3 2 2" xfId="36875"/>
    <cellStyle name="Output 2 2 31 3 3" xfId="36876"/>
    <cellStyle name="Output 2 2 31 4" xfId="36877"/>
    <cellStyle name="Output 2 2 31 5" xfId="36878"/>
    <cellStyle name="Output 2 2 32" xfId="36879"/>
    <cellStyle name="Output 2 2 32 2" xfId="36880"/>
    <cellStyle name="Output 2 2 32 2 2" xfId="36881"/>
    <cellStyle name="Output 2 2 32 2 2 2" xfId="36882"/>
    <cellStyle name="Output 2 2 32 2 3" xfId="36883"/>
    <cellStyle name="Output 2 2 32 3" xfId="36884"/>
    <cellStyle name="Output 2 2 32 3 2" xfId="36885"/>
    <cellStyle name="Output 2 2 32 3 2 2" xfId="36886"/>
    <cellStyle name="Output 2 2 32 3 3" xfId="36887"/>
    <cellStyle name="Output 2 2 32 4" xfId="36888"/>
    <cellStyle name="Output 2 2 32 5" xfId="36889"/>
    <cellStyle name="Output 2 2 33" xfId="36890"/>
    <cellStyle name="Output 2 2 33 2" xfId="36891"/>
    <cellStyle name="Output 2 2 33 2 2" xfId="36892"/>
    <cellStyle name="Output 2 2 33 2 2 2" xfId="36893"/>
    <cellStyle name="Output 2 2 33 2 3" xfId="36894"/>
    <cellStyle name="Output 2 2 33 3" xfId="36895"/>
    <cellStyle name="Output 2 2 33 3 2" xfId="36896"/>
    <cellStyle name="Output 2 2 33 3 2 2" xfId="36897"/>
    <cellStyle name="Output 2 2 33 3 3" xfId="36898"/>
    <cellStyle name="Output 2 2 33 4" xfId="36899"/>
    <cellStyle name="Output 2 2 33 5" xfId="36900"/>
    <cellStyle name="Output 2 2 34" xfId="36901"/>
    <cellStyle name="Output 2 2 34 2" xfId="36902"/>
    <cellStyle name="Output 2 2 34 2 2" xfId="36903"/>
    <cellStyle name="Output 2 2 34 2 2 2" xfId="36904"/>
    <cellStyle name="Output 2 2 34 2 3" xfId="36905"/>
    <cellStyle name="Output 2 2 34 3" xfId="36906"/>
    <cellStyle name="Output 2 2 34 3 2" xfId="36907"/>
    <cellStyle name="Output 2 2 34 3 2 2" xfId="36908"/>
    <cellStyle name="Output 2 2 34 3 3" xfId="36909"/>
    <cellStyle name="Output 2 2 34 4" xfId="36910"/>
    <cellStyle name="Output 2 2 34 5" xfId="36911"/>
    <cellStyle name="Output 2 2 35" xfId="36912"/>
    <cellStyle name="Output 2 2 35 2" xfId="36913"/>
    <cellStyle name="Output 2 2 35 2 2" xfId="36914"/>
    <cellStyle name="Output 2 2 35 2 2 2" xfId="36915"/>
    <cellStyle name="Output 2 2 35 2 3" xfId="36916"/>
    <cellStyle name="Output 2 2 35 3" xfId="36917"/>
    <cellStyle name="Output 2 2 35 3 2" xfId="36918"/>
    <cellStyle name="Output 2 2 35 3 2 2" xfId="36919"/>
    <cellStyle name="Output 2 2 35 3 3" xfId="36920"/>
    <cellStyle name="Output 2 2 35 4" xfId="36921"/>
    <cellStyle name="Output 2 2 35 5" xfId="36922"/>
    <cellStyle name="Output 2 2 36" xfId="36923"/>
    <cellStyle name="Output 2 2 36 2" xfId="36924"/>
    <cellStyle name="Output 2 2 36 2 2" xfId="36925"/>
    <cellStyle name="Output 2 2 36 2 2 2" xfId="36926"/>
    <cellStyle name="Output 2 2 36 2 3" xfId="36927"/>
    <cellStyle name="Output 2 2 36 3" xfId="36928"/>
    <cellStyle name="Output 2 2 36 3 2" xfId="36929"/>
    <cellStyle name="Output 2 2 36 3 2 2" xfId="36930"/>
    <cellStyle name="Output 2 2 36 3 3" xfId="36931"/>
    <cellStyle name="Output 2 2 36 4" xfId="36932"/>
    <cellStyle name="Output 2 2 36 5" xfId="36933"/>
    <cellStyle name="Output 2 2 37" xfId="36934"/>
    <cellStyle name="Output 2 2 37 2" xfId="36935"/>
    <cellStyle name="Output 2 2 37 2 2" xfId="36936"/>
    <cellStyle name="Output 2 2 37 2 2 2" xfId="36937"/>
    <cellStyle name="Output 2 2 37 2 3" xfId="36938"/>
    <cellStyle name="Output 2 2 37 3" xfId="36939"/>
    <cellStyle name="Output 2 2 37 3 2" xfId="36940"/>
    <cellStyle name="Output 2 2 37 3 2 2" xfId="36941"/>
    <cellStyle name="Output 2 2 37 3 3" xfId="36942"/>
    <cellStyle name="Output 2 2 37 4" xfId="36943"/>
    <cellStyle name="Output 2 2 37 5" xfId="36944"/>
    <cellStyle name="Output 2 2 38" xfId="36945"/>
    <cellStyle name="Output 2 2 38 2" xfId="36946"/>
    <cellStyle name="Output 2 2 38 2 2" xfId="36947"/>
    <cellStyle name="Output 2 2 38 2 2 2" xfId="36948"/>
    <cellStyle name="Output 2 2 38 2 3" xfId="36949"/>
    <cellStyle name="Output 2 2 38 3" xfId="36950"/>
    <cellStyle name="Output 2 2 38 3 2" xfId="36951"/>
    <cellStyle name="Output 2 2 38 3 2 2" xfId="36952"/>
    <cellStyle name="Output 2 2 38 3 3" xfId="36953"/>
    <cellStyle name="Output 2 2 38 4" xfId="36954"/>
    <cellStyle name="Output 2 2 38 5" xfId="36955"/>
    <cellStyle name="Output 2 2 39" xfId="36956"/>
    <cellStyle name="Output 2 2 39 2" xfId="36957"/>
    <cellStyle name="Output 2 2 39 2 2" xfId="36958"/>
    <cellStyle name="Output 2 2 39 2 2 2" xfId="36959"/>
    <cellStyle name="Output 2 2 39 2 3" xfId="36960"/>
    <cellStyle name="Output 2 2 39 3" xfId="36961"/>
    <cellStyle name="Output 2 2 39 3 2" xfId="36962"/>
    <cellStyle name="Output 2 2 39 3 2 2" xfId="36963"/>
    <cellStyle name="Output 2 2 39 3 3" xfId="36964"/>
    <cellStyle name="Output 2 2 39 4" xfId="36965"/>
    <cellStyle name="Output 2 2 39 5" xfId="36966"/>
    <cellStyle name="Output 2 2 4" xfId="36967"/>
    <cellStyle name="Output 2 2 4 2" xfId="36968"/>
    <cellStyle name="Output 2 2 4 2 2" xfId="36969"/>
    <cellStyle name="Output 2 2 4 2 2 2" xfId="36970"/>
    <cellStyle name="Output 2 2 4 2 3" xfId="36971"/>
    <cellStyle name="Output 2 2 4 3" xfId="36972"/>
    <cellStyle name="Output 2 2 4 3 2" xfId="36973"/>
    <cellStyle name="Output 2 2 4 3 2 2" xfId="36974"/>
    <cellStyle name="Output 2 2 4 3 3" xfId="36975"/>
    <cellStyle name="Output 2 2 4 4" xfId="36976"/>
    <cellStyle name="Output 2 2 4 4 2" xfId="36977"/>
    <cellStyle name="Output 2 2 4 4 2 2" xfId="36978"/>
    <cellStyle name="Output 2 2 4 4 3" xfId="36979"/>
    <cellStyle name="Output 2 2 4 5" xfId="36980"/>
    <cellStyle name="Output 2 2 4 5 2" xfId="36981"/>
    <cellStyle name="Output 2 2 4 5 2 2" xfId="36982"/>
    <cellStyle name="Output 2 2 4 5 3" xfId="36983"/>
    <cellStyle name="Output 2 2 4 6" xfId="36984"/>
    <cellStyle name="Output 2 2 4 7" xfId="36985"/>
    <cellStyle name="Output 2 2 40" xfId="36986"/>
    <cellStyle name="Output 2 2 40 2" xfId="36987"/>
    <cellStyle name="Output 2 2 40 2 2" xfId="36988"/>
    <cellStyle name="Output 2 2 40 2 2 2" xfId="36989"/>
    <cellStyle name="Output 2 2 40 2 3" xfId="36990"/>
    <cellStyle name="Output 2 2 40 3" xfId="36991"/>
    <cellStyle name="Output 2 2 40 3 2" xfId="36992"/>
    <cellStyle name="Output 2 2 40 3 2 2" xfId="36993"/>
    <cellStyle name="Output 2 2 40 3 3" xfId="36994"/>
    <cellStyle name="Output 2 2 40 4" xfId="36995"/>
    <cellStyle name="Output 2 2 40 5" xfId="36996"/>
    <cellStyle name="Output 2 2 41" xfId="36997"/>
    <cellStyle name="Output 2 2 41 2" xfId="36998"/>
    <cellStyle name="Output 2 2 41 2 2" xfId="36999"/>
    <cellStyle name="Output 2 2 41 2 2 2" xfId="37000"/>
    <cellStyle name="Output 2 2 41 2 3" xfId="37001"/>
    <cellStyle name="Output 2 2 41 3" xfId="37002"/>
    <cellStyle name="Output 2 2 41 3 2" xfId="37003"/>
    <cellStyle name="Output 2 2 41 3 2 2" xfId="37004"/>
    <cellStyle name="Output 2 2 41 3 3" xfId="37005"/>
    <cellStyle name="Output 2 2 41 4" xfId="37006"/>
    <cellStyle name="Output 2 2 41 5" xfId="37007"/>
    <cellStyle name="Output 2 2 42" xfId="37008"/>
    <cellStyle name="Output 2 2 42 2" xfId="37009"/>
    <cellStyle name="Output 2 2 42 2 2" xfId="37010"/>
    <cellStyle name="Output 2 2 42 2 2 2" xfId="37011"/>
    <cellStyle name="Output 2 2 42 2 3" xfId="37012"/>
    <cellStyle name="Output 2 2 42 3" xfId="37013"/>
    <cellStyle name="Output 2 2 42 3 2" xfId="37014"/>
    <cellStyle name="Output 2 2 42 3 2 2" xfId="37015"/>
    <cellStyle name="Output 2 2 42 3 3" xfId="37016"/>
    <cellStyle name="Output 2 2 42 4" xfId="37017"/>
    <cellStyle name="Output 2 2 42 5" xfId="37018"/>
    <cellStyle name="Output 2 2 43" xfId="37019"/>
    <cellStyle name="Output 2 2 43 2" xfId="37020"/>
    <cellStyle name="Output 2 2 43 2 2" xfId="37021"/>
    <cellStyle name="Output 2 2 43 2 2 2" xfId="37022"/>
    <cellStyle name="Output 2 2 43 2 3" xfId="37023"/>
    <cellStyle name="Output 2 2 43 3" xfId="37024"/>
    <cellStyle name="Output 2 2 43 3 2" xfId="37025"/>
    <cellStyle name="Output 2 2 43 3 2 2" xfId="37026"/>
    <cellStyle name="Output 2 2 43 3 3" xfId="37027"/>
    <cellStyle name="Output 2 2 43 4" xfId="37028"/>
    <cellStyle name="Output 2 2 43 5" xfId="37029"/>
    <cellStyle name="Output 2 2 44" xfId="37030"/>
    <cellStyle name="Output 2 2 44 2" xfId="37031"/>
    <cellStyle name="Output 2 2 44 2 2" xfId="37032"/>
    <cellStyle name="Output 2 2 44 2 2 2" xfId="37033"/>
    <cellStyle name="Output 2 2 44 2 3" xfId="37034"/>
    <cellStyle name="Output 2 2 44 3" xfId="37035"/>
    <cellStyle name="Output 2 2 44 3 2" xfId="37036"/>
    <cellStyle name="Output 2 2 44 3 2 2" xfId="37037"/>
    <cellStyle name="Output 2 2 44 3 3" xfId="37038"/>
    <cellStyle name="Output 2 2 44 4" xfId="37039"/>
    <cellStyle name="Output 2 2 44 5" xfId="37040"/>
    <cellStyle name="Output 2 2 45" xfId="37041"/>
    <cellStyle name="Output 2 2 45 2" xfId="37042"/>
    <cellStyle name="Output 2 2 45 2 2" xfId="37043"/>
    <cellStyle name="Output 2 2 45 2 2 2" xfId="37044"/>
    <cellStyle name="Output 2 2 45 2 3" xfId="37045"/>
    <cellStyle name="Output 2 2 45 3" xfId="37046"/>
    <cellStyle name="Output 2 2 45 3 2" xfId="37047"/>
    <cellStyle name="Output 2 2 45 3 2 2" xfId="37048"/>
    <cellStyle name="Output 2 2 45 3 3" xfId="37049"/>
    <cellStyle name="Output 2 2 45 4" xfId="37050"/>
    <cellStyle name="Output 2 2 45 5" xfId="37051"/>
    <cellStyle name="Output 2 2 46" xfId="37052"/>
    <cellStyle name="Output 2 2 46 2" xfId="37053"/>
    <cellStyle name="Output 2 2 46 2 2" xfId="37054"/>
    <cellStyle name="Output 2 2 46 2 2 2" xfId="37055"/>
    <cellStyle name="Output 2 2 46 2 3" xfId="37056"/>
    <cellStyle name="Output 2 2 46 3" xfId="37057"/>
    <cellStyle name="Output 2 2 46 3 2" xfId="37058"/>
    <cellStyle name="Output 2 2 46 3 2 2" xfId="37059"/>
    <cellStyle name="Output 2 2 46 3 3" xfId="37060"/>
    <cellStyle name="Output 2 2 46 4" xfId="37061"/>
    <cellStyle name="Output 2 2 46 5" xfId="37062"/>
    <cellStyle name="Output 2 2 47" xfId="37063"/>
    <cellStyle name="Output 2 2 47 2" xfId="37064"/>
    <cellStyle name="Output 2 2 47 2 2" xfId="37065"/>
    <cellStyle name="Output 2 2 47 2 2 2" xfId="37066"/>
    <cellStyle name="Output 2 2 47 2 3" xfId="37067"/>
    <cellStyle name="Output 2 2 47 3" xfId="37068"/>
    <cellStyle name="Output 2 2 47 3 2" xfId="37069"/>
    <cellStyle name="Output 2 2 47 3 2 2" xfId="37070"/>
    <cellStyle name="Output 2 2 47 3 3" xfId="37071"/>
    <cellStyle name="Output 2 2 47 4" xfId="37072"/>
    <cellStyle name="Output 2 2 47 5" xfId="37073"/>
    <cellStyle name="Output 2 2 48" xfId="37074"/>
    <cellStyle name="Output 2 2 48 2" xfId="37075"/>
    <cellStyle name="Output 2 2 48 2 2" xfId="37076"/>
    <cellStyle name="Output 2 2 48 2 2 2" xfId="37077"/>
    <cellStyle name="Output 2 2 48 2 3" xfId="37078"/>
    <cellStyle name="Output 2 2 48 3" xfId="37079"/>
    <cellStyle name="Output 2 2 48 3 2" xfId="37080"/>
    <cellStyle name="Output 2 2 48 3 2 2" xfId="37081"/>
    <cellStyle name="Output 2 2 48 3 3" xfId="37082"/>
    <cellStyle name="Output 2 2 48 4" xfId="37083"/>
    <cellStyle name="Output 2 2 48 5" xfId="37084"/>
    <cellStyle name="Output 2 2 49" xfId="37085"/>
    <cellStyle name="Output 2 2 49 2" xfId="37086"/>
    <cellStyle name="Output 2 2 49 2 2" xfId="37087"/>
    <cellStyle name="Output 2 2 49 3" xfId="37088"/>
    <cellStyle name="Output 2 2 5" xfId="37089"/>
    <cellStyle name="Output 2 2 5 2" xfId="37090"/>
    <cellStyle name="Output 2 2 5 2 2" xfId="37091"/>
    <cellStyle name="Output 2 2 5 2 2 2" xfId="37092"/>
    <cellStyle name="Output 2 2 5 2 3" xfId="37093"/>
    <cellStyle name="Output 2 2 5 3" xfId="37094"/>
    <cellStyle name="Output 2 2 5 3 2" xfId="37095"/>
    <cellStyle name="Output 2 2 5 3 2 2" xfId="37096"/>
    <cellStyle name="Output 2 2 5 3 3" xfId="37097"/>
    <cellStyle name="Output 2 2 5 4" xfId="37098"/>
    <cellStyle name="Output 2 2 5 4 2" xfId="37099"/>
    <cellStyle name="Output 2 2 5 4 2 2" xfId="37100"/>
    <cellStyle name="Output 2 2 5 4 3" xfId="37101"/>
    <cellStyle name="Output 2 2 5 5" xfId="37102"/>
    <cellStyle name="Output 2 2 5 5 2" xfId="37103"/>
    <cellStyle name="Output 2 2 5 5 2 2" xfId="37104"/>
    <cellStyle name="Output 2 2 5 5 3" xfId="37105"/>
    <cellStyle name="Output 2 2 5 6" xfId="37106"/>
    <cellStyle name="Output 2 2 5 7" xfId="37107"/>
    <cellStyle name="Output 2 2 50" xfId="37108"/>
    <cellStyle name="Output 2 2 50 2" xfId="37109"/>
    <cellStyle name="Output 2 2 50 2 2" xfId="37110"/>
    <cellStyle name="Output 2 2 50 3" xfId="37111"/>
    <cellStyle name="Output 2 2 51" xfId="37112"/>
    <cellStyle name="Output 2 2 51 2" xfId="37113"/>
    <cellStyle name="Output 2 2 51 2 2" xfId="37114"/>
    <cellStyle name="Output 2 2 51 3" xfId="37115"/>
    <cellStyle name="Output 2 2 52" xfId="37116"/>
    <cellStyle name="Output 2 2 52 2" xfId="37117"/>
    <cellStyle name="Output 2 2 52 2 2" xfId="37118"/>
    <cellStyle name="Output 2 2 52 3" xfId="37119"/>
    <cellStyle name="Output 2 2 53" xfId="37120"/>
    <cellStyle name="Output 2 2 54" xfId="37121"/>
    <cellStyle name="Output 2 2 6" xfId="37122"/>
    <cellStyle name="Output 2 2 6 2" xfId="37123"/>
    <cellStyle name="Output 2 2 6 2 2" xfId="37124"/>
    <cellStyle name="Output 2 2 6 2 2 2" xfId="37125"/>
    <cellStyle name="Output 2 2 6 2 3" xfId="37126"/>
    <cellStyle name="Output 2 2 6 3" xfId="37127"/>
    <cellStyle name="Output 2 2 6 3 2" xfId="37128"/>
    <cellStyle name="Output 2 2 6 3 2 2" xfId="37129"/>
    <cellStyle name="Output 2 2 6 3 3" xfId="37130"/>
    <cellStyle name="Output 2 2 6 4" xfId="37131"/>
    <cellStyle name="Output 2 2 6 4 2" xfId="37132"/>
    <cellStyle name="Output 2 2 6 4 2 2" xfId="37133"/>
    <cellStyle name="Output 2 2 6 4 3" xfId="37134"/>
    <cellStyle name="Output 2 2 6 5" xfId="37135"/>
    <cellStyle name="Output 2 2 6 5 2" xfId="37136"/>
    <cellStyle name="Output 2 2 6 5 2 2" xfId="37137"/>
    <cellStyle name="Output 2 2 6 5 3" xfId="37138"/>
    <cellStyle name="Output 2 2 6 6" xfId="37139"/>
    <cellStyle name="Output 2 2 6 7" xfId="37140"/>
    <cellStyle name="Output 2 2 7" xfId="37141"/>
    <cellStyle name="Output 2 2 7 2" xfId="37142"/>
    <cellStyle name="Output 2 2 7 2 2" xfId="37143"/>
    <cellStyle name="Output 2 2 7 2 2 2" xfId="37144"/>
    <cellStyle name="Output 2 2 7 2 3" xfId="37145"/>
    <cellStyle name="Output 2 2 7 3" xfId="37146"/>
    <cellStyle name="Output 2 2 7 3 2" xfId="37147"/>
    <cellStyle name="Output 2 2 7 3 2 2" xfId="37148"/>
    <cellStyle name="Output 2 2 7 3 3" xfId="37149"/>
    <cellStyle name="Output 2 2 7 4" xfId="37150"/>
    <cellStyle name="Output 2 2 7 4 2" xfId="37151"/>
    <cellStyle name="Output 2 2 7 4 2 2" xfId="37152"/>
    <cellStyle name="Output 2 2 7 4 3" xfId="37153"/>
    <cellStyle name="Output 2 2 7 5" xfId="37154"/>
    <cellStyle name="Output 2 2 7 5 2" xfId="37155"/>
    <cellStyle name="Output 2 2 7 5 2 2" xfId="37156"/>
    <cellStyle name="Output 2 2 7 5 3" xfId="37157"/>
    <cellStyle name="Output 2 2 7 6" xfId="37158"/>
    <cellStyle name="Output 2 2 7 7" xfId="37159"/>
    <cellStyle name="Output 2 2 8" xfId="37160"/>
    <cellStyle name="Output 2 2 8 2" xfId="37161"/>
    <cellStyle name="Output 2 2 8 2 2" xfId="37162"/>
    <cellStyle name="Output 2 2 8 2 2 2" xfId="37163"/>
    <cellStyle name="Output 2 2 8 2 3" xfId="37164"/>
    <cellStyle name="Output 2 2 8 3" xfId="37165"/>
    <cellStyle name="Output 2 2 8 3 2" xfId="37166"/>
    <cellStyle name="Output 2 2 8 3 2 2" xfId="37167"/>
    <cellStyle name="Output 2 2 8 3 3" xfId="37168"/>
    <cellStyle name="Output 2 2 8 4" xfId="37169"/>
    <cellStyle name="Output 2 2 8 4 2" xfId="37170"/>
    <cellStyle name="Output 2 2 8 4 2 2" xfId="37171"/>
    <cellStyle name="Output 2 2 8 4 3" xfId="37172"/>
    <cellStyle name="Output 2 2 8 5" xfId="37173"/>
    <cellStyle name="Output 2 2 8 5 2" xfId="37174"/>
    <cellStyle name="Output 2 2 8 5 2 2" xfId="37175"/>
    <cellStyle name="Output 2 2 8 5 3" xfId="37176"/>
    <cellStyle name="Output 2 2 8 6" xfId="37177"/>
    <cellStyle name="Output 2 2 8 7" xfId="37178"/>
    <cellStyle name="Output 2 2 9" xfId="37179"/>
    <cellStyle name="Output 2 2 9 2" xfId="37180"/>
    <cellStyle name="Output 2 2 9 2 2" xfId="37181"/>
    <cellStyle name="Output 2 2 9 2 2 2" xfId="37182"/>
    <cellStyle name="Output 2 2 9 2 3" xfId="37183"/>
    <cellStyle name="Output 2 2 9 3" xfId="37184"/>
    <cellStyle name="Output 2 2 9 3 2" xfId="37185"/>
    <cellStyle name="Output 2 2 9 3 2 2" xfId="37186"/>
    <cellStyle name="Output 2 2 9 3 3" xfId="37187"/>
    <cellStyle name="Output 2 2 9 4" xfId="37188"/>
    <cellStyle name="Output 2 2 9 5" xfId="37189"/>
    <cellStyle name="Output 2 3" xfId="37190"/>
    <cellStyle name="Output 2 3 10" xfId="37191"/>
    <cellStyle name="Output 2 3 10 2" xfId="37192"/>
    <cellStyle name="Output 2 3 10 2 2" xfId="37193"/>
    <cellStyle name="Output 2 3 10 2 2 2" xfId="37194"/>
    <cellStyle name="Output 2 3 10 2 3" xfId="37195"/>
    <cellStyle name="Output 2 3 10 3" xfId="37196"/>
    <cellStyle name="Output 2 3 10 3 2" xfId="37197"/>
    <cellStyle name="Output 2 3 10 3 2 2" xfId="37198"/>
    <cellStyle name="Output 2 3 10 3 3" xfId="37199"/>
    <cellStyle name="Output 2 3 10 4" xfId="37200"/>
    <cellStyle name="Output 2 3 10 5" xfId="37201"/>
    <cellStyle name="Output 2 3 11" xfId="37202"/>
    <cellStyle name="Output 2 3 11 2" xfId="37203"/>
    <cellStyle name="Output 2 3 11 2 2" xfId="37204"/>
    <cellStyle name="Output 2 3 11 2 2 2" xfId="37205"/>
    <cellStyle name="Output 2 3 11 2 3" xfId="37206"/>
    <cellStyle name="Output 2 3 11 3" xfId="37207"/>
    <cellStyle name="Output 2 3 11 3 2" xfId="37208"/>
    <cellStyle name="Output 2 3 11 3 2 2" xfId="37209"/>
    <cellStyle name="Output 2 3 11 3 3" xfId="37210"/>
    <cellStyle name="Output 2 3 11 4" xfId="37211"/>
    <cellStyle name="Output 2 3 11 5" xfId="37212"/>
    <cellStyle name="Output 2 3 12" xfId="37213"/>
    <cellStyle name="Output 2 3 12 2" xfId="37214"/>
    <cellStyle name="Output 2 3 12 2 2" xfId="37215"/>
    <cellStyle name="Output 2 3 12 2 2 2" xfId="37216"/>
    <cellStyle name="Output 2 3 12 2 3" xfId="37217"/>
    <cellStyle name="Output 2 3 12 3" xfId="37218"/>
    <cellStyle name="Output 2 3 12 3 2" xfId="37219"/>
    <cellStyle name="Output 2 3 12 3 2 2" xfId="37220"/>
    <cellStyle name="Output 2 3 12 3 3" xfId="37221"/>
    <cellStyle name="Output 2 3 12 4" xfId="37222"/>
    <cellStyle name="Output 2 3 12 5" xfId="37223"/>
    <cellStyle name="Output 2 3 13" xfId="37224"/>
    <cellStyle name="Output 2 3 13 2" xfId="37225"/>
    <cellStyle name="Output 2 3 13 2 2" xfId="37226"/>
    <cellStyle name="Output 2 3 13 2 2 2" xfId="37227"/>
    <cellStyle name="Output 2 3 13 2 3" xfId="37228"/>
    <cellStyle name="Output 2 3 13 3" xfId="37229"/>
    <cellStyle name="Output 2 3 13 3 2" xfId="37230"/>
    <cellStyle name="Output 2 3 13 3 2 2" xfId="37231"/>
    <cellStyle name="Output 2 3 13 3 3" xfId="37232"/>
    <cellStyle name="Output 2 3 13 4" xfId="37233"/>
    <cellStyle name="Output 2 3 13 5" xfId="37234"/>
    <cellStyle name="Output 2 3 14" xfId="37235"/>
    <cellStyle name="Output 2 3 14 2" xfId="37236"/>
    <cellStyle name="Output 2 3 14 2 2" xfId="37237"/>
    <cellStyle name="Output 2 3 14 2 2 2" xfId="37238"/>
    <cellStyle name="Output 2 3 14 2 3" xfId="37239"/>
    <cellStyle name="Output 2 3 14 3" xfId="37240"/>
    <cellStyle name="Output 2 3 14 3 2" xfId="37241"/>
    <cellStyle name="Output 2 3 14 3 2 2" xfId="37242"/>
    <cellStyle name="Output 2 3 14 3 3" xfId="37243"/>
    <cellStyle name="Output 2 3 14 4" xfId="37244"/>
    <cellStyle name="Output 2 3 14 5" xfId="37245"/>
    <cellStyle name="Output 2 3 15" xfId="37246"/>
    <cellStyle name="Output 2 3 15 2" xfId="37247"/>
    <cellStyle name="Output 2 3 15 2 2" xfId="37248"/>
    <cellStyle name="Output 2 3 15 2 2 2" xfId="37249"/>
    <cellStyle name="Output 2 3 15 2 3" xfId="37250"/>
    <cellStyle name="Output 2 3 15 3" xfId="37251"/>
    <cellStyle name="Output 2 3 15 3 2" xfId="37252"/>
    <cellStyle name="Output 2 3 15 3 2 2" xfId="37253"/>
    <cellStyle name="Output 2 3 15 3 3" xfId="37254"/>
    <cellStyle name="Output 2 3 15 4" xfId="37255"/>
    <cellStyle name="Output 2 3 15 5" xfId="37256"/>
    <cellStyle name="Output 2 3 16" xfId="37257"/>
    <cellStyle name="Output 2 3 16 2" xfId="37258"/>
    <cellStyle name="Output 2 3 16 2 2" xfId="37259"/>
    <cellStyle name="Output 2 3 16 2 2 2" xfId="37260"/>
    <cellStyle name="Output 2 3 16 2 3" xfId="37261"/>
    <cellStyle name="Output 2 3 16 3" xfId="37262"/>
    <cellStyle name="Output 2 3 16 3 2" xfId="37263"/>
    <cellStyle name="Output 2 3 16 3 2 2" xfId="37264"/>
    <cellStyle name="Output 2 3 16 3 3" xfId="37265"/>
    <cellStyle name="Output 2 3 16 4" xfId="37266"/>
    <cellStyle name="Output 2 3 16 5" xfId="37267"/>
    <cellStyle name="Output 2 3 17" xfId="37268"/>
    <cellStyle name="Output 2 3 17 2" xfId="37269"/>
    <cellStyle name="Output 2 3 17 2 2" xfId="37270"/>
    <cellStyle name="Output 2 3 17 2 2 2" xfId="37271"/>
    <cellStyle name="Output 2 3 17 2 3" xfId="37272"/>
    <cellStyle name="Output 2 3 17 3" xfId="37273"/>
    <cellStyle name="Output 2 3 17 3 2" xfId="37274"/>
    <cellStyle name="Output 2 3 17 3 2 2" xfId="37275"/>
    <cellStyle name="Output 2 3 17 3 3" xfId="37276"/>
    <cellStyle name="Output 2 3 17 4" xfId="37277"/>
    <cellStyle name="Output 2 3 17 5" xfId="37278"/>
    <cellStyle name="Output 2 3 18" xfId="37279"/>
    <cellStyle name="Output 2 3 18 2" xfId="37280"/>
    <cellStyle name="Output 2 3 18 2 2" xfId="37281"/>
    <cellStyle name="Output 2 3 18 2 2 2" xfId="37282"/>
    <cellStyle name="Output 2 3 18 2 3" xfId="37283"/>
    <cellStyle name="Output 2 3 18 3" xfId="37284"/>
    <cellStyle name="Output 2 3 18 3 2" xfId="37285"/>
    <cellStyle name="Output 2 3 18 3 2 2" xfId="37286"/>
    <cellStyle name="Output 2 3 18 3 3" xfId="37287"/>
    <cellStyle name="Output 2 3 18 4" xfId="37288"/>
    <cellStyle name="Output 2 3 18 5" xfId="37289"/>
    <cellStyle name="Output 2 3 19" xfId="37290"/>
    <cellStyle name="Output 2 3 19 2" xfId="37291"/>
    <cellStyle name="Output 2 3 19 2 2" xfId="37292"/>
    <cellStyle name="Output 2 3 19 2 2 2" xfId="37293"/>
    <cellStyle name="Output 2 3 19 2 3" xfId="37294"/>
    <cellStyle name="Output 2 3 19 3" xfId="37295"/>
    <cellStyle name="Output 2 3 19 3 2" xfId="37296"/>
    <cellStyle name="Output 2 3 19 3 2 2" xfId="37297"/>
    <cellStyle name="Output 2 3 19 3 3" xfId="37298"/>
    <cellStyle name="Output 2 3 19 4" xfId="37299"/>
    <cellStyle name="Output 2 3 19 5" xfId="37300"/>
    <cellStyle name="Output 2 3 2" xfId="37301"/>
    <cellStyle name="Output 2 3 2 2" xfId="37302"/>
    <cellStyle name="Output 2 3 2 2 2" xfId="37303"/>
    <cellStyle name="Output 2 3 2 2 2 2" xfId="37304"/>
    <cellStyle name="Output 2 3 2 2 3" xfId="37305"/>
    <cellStyle name="Output 2 3 2 3" xfId="37306"/>
    <cellStyle name="Output 2 3 2 3 2" xfId="37307"/>
    <cellStyle name="Output 2 3 2 3 2 2" xfId="37308"/>
    <cellStyle name="Output 2 3 2 3 3" xfId="37309"/>
    <cellStyle name="Output 2 3 2 4" xfId="37310"/>
    <cellStyle name="Output 2 3 2 4 2" xfId="37311"/>
    <cellStyle name="Output 2 3 2 4 2 2" xfId="37312"/>
    <cellStyle name="Output 2 3 2 4 3" xfId="37313"/>
    <cellStyle name="Output 2 3 2 5" xfId="37314"/>
    <cellStyle name="Output 2 3 2 5 2" xfId="37315"/>
    <cellStyle name="Output 2 3 2 5 2 2" xfId="37316"/>
    <cellStyle name="Output 2 3 2 5 3" xfId="37317"/>
    <cellStyle name="Output 2 3 2 6" xfId="37318"/>
    <cellStyle name="Output 2 3 2 7" xfId="37319"/>
    <cellStyle name="Output 2 3 20" xfId="37320"/>
    <cellStyle name="Output 2 3 20 2" xfId="37321"/>
    <cellStyle name="Output 2 3 20 2 2" xfId="37322"/>
    <cellStyle name="Output 2 3 20 2 2 2" xfId="37323"/>
    <cellStyle name="Output 2 3 20 2 3" xfId="37324"/>
    <cellStyle name="Output 2 3 20 3" xfId="37325"/>
    <cellStyle name="Output 2 3 20 3 2" xfId="37326"/>
    <cellStyle name="Output 2 3 20 3 2 2" xfId="37327"/>
    <cellStyle name="Output 2 3 20 3 3" xfId="37328"/>
    <cellStyle name="Output 2 3 20 4" xfId="37329"/>
    <cellStyle name="Output 2 3 20 5" xfId="37330"/>
    <cellStyle name="Output 2 3 21" xfId="37331"/>
    <cellStyle name="Output 2 3 21 2" xfId="37332"/>
    <cellStyle name="Output 2 3 21 2 2" xfId="37333"/>
    <cellStyle name="Output 2 3 21 2 2 2" xfId="37334"/>
    <cellStyle name="Output 2 3 21 2 3" xfId="37335"/>
    <cellStyle name="Output 2 3 21 3" xfId="37336"/>
    <cellStyle name="Output 2 3 21 3 2" xfId="37337"/>
    <cellStyle name="Output 2 3 21 3 2 2" xfId="37338"/>
    <cellStyle name="Output 2 3 21 3 3" xfId="37339"/>
    <cellStyle name="Output 2 3 21 4" xfId="37340"/>
    <cellStyle name="Output 2 3 21 5" xfId="37341"/>
    <cellStyle name="Output 2 3 22" xfId="37342"/>
    <cellStyle name="Output 2 3 22 2" xfId="37343"/>
    <cellStyle name="Output 2 3 22 2 2" xfId="37344"/>
    <cellStyle name="Output 2 3 22 2 2 2" xfId="37345"/>
    <cellStyle name="Output 2 3 22 2 3" xfId="37346"/>
    <cellStyle name="Output 2 3 22 3" xfId="37347"/>
    <cellStyle name="Output 2 3 22 3 2" xfId="37348"/>
    <cellStyle name="Output 2 3 22 3 2 2" xfId="37349"/>
    <cellStyle name="Output 2 3 22 3 3" xfId="37350"/>
    <cellStyle name="Output 2 3 22 4" xfId="37351"/>
    <cellStyle name="Output 2 3 22 5" xfId="37352"/>
    <cellStyle name="Output 2 3 23" xfId="37353"/>
    <cellStyle name="Output 2 3 23 2" xfId="37354"/>
    <cellStyle name="Output 2 3 23 2 2" xfId="37355"/>
    <cellStyle name="Output 2 3 23 2 2 2" xfId="37356"/>
    <cellStyle name="Output 2 3 23 2 3" xfId="37357"/>
    <cellStyle name="Output 2 3 23 3" xfId="37358"/>
    <cellStyle name="Output 2 3 23 3 2" xfId="37359"/>
    <cellStyle name="Output 2 3 23 3 2 2" xfId="37360"/>
    <cellStyle name="Output 2 3 23 3 3" xfId="37361"/>
    <cellStyle name="Output 2 3 23 4" xfId="37362"/>
    <cellStyle name="Output 2 3 23 5" xfId="37363"/>
    <cellStyle name="Output 2 3 24" xfId="37364"/>
    <cellStyle name="Output 2 3 24 2" xfId="37365"/>
    <cellStyle name="Output 2 3 24 2 2" xfId="37366"/>
    <cellStyle name="Output 2 3 24 2 2 2" xfId="37367"/>
    <cellStyle name="Output 2 3 24 2 3" xfId="37368"/>
    <cellStyle name="Output 2 3 24 3" xfId="37369"/>
    <cellStyle name="Output 2 3 24 3 2" xfId="37370"/>
    <cellStyle name="Output 2 3 24 3 2 2" xfId="37371"/>
    <cellStyle name="Output 2 3 24 3 3" xfId="37372"/>
    <cellStyle name="Output 2 3 24 4" xfId="37373"/>
    <cellStyle name="Output 2 3 24 5" xfId="37374"/>
    <cellStyle name="Output 2 3 25" xfId="37375"/>
    <cellStyle name="Output 2 3 25 2" xfId="37376"/>
    <cellStyle name="Output 2 3 25 2 2" xfId="37377"/>
    <cellStyle name="Output 2 3 25 2 2 2" xfId="37378"/>
    <cellStyle name="Output 2 3 25 2 3" xfId="37379"/>
    <cellStyle name="Output 2 3 25 3" xfId="37380"/>
    <cellStyle name="Output 2 3 25 3 2" xfId="37381"/>
    <cellStyle name="Output 2 3 25 3 2 2" xfId="37382"/>
    <cellStyle name="Output 2 3 25 3 3" xfId="37383"/>
    <cellStyle name="Output 2 3 25 4" xfId="37384"/>
    <cellStyle name="Output 2 3 25 5" xfId="37385"/>
    <cellStyle name="Output 2 3 26" xfId="37386"/>
    <cellStyle name="Output 2 3 26 2" xfId="37387"/>
    <cellStyle name="Output 2 3 26 2 2" xfId="37388"/>
    <cellStyle name="Output 2 3 26 2 2 2" xfId="37389"/>
    <cellStyle name="Output 2 3 26 2 3" xfId="37390"/>
    <cellStyle name="Output 2 3 26 3" xfId="37391"/>
    <cellStyle name="Output 2 3 26 3 2" xfId="37392"/>
    <cellStyle name="Output 2 3 26 3 2 2" xfId="37393"/>
    <cellStyle name="Output 2 3 26 3 3" xfId="37394"/>
    <cellStyle name="Output 2 3 26 4" xfId="37395"/>
    <cellStyle name="Output 2 3 26 5" xfId="37396"/>
    <cellStyle name="Output 2 3 27" xfId="37397"/>
    <cellStyle name="Output 2 3 27 2" xfId="37398"/>
    <cellStyle name="Output 2 3 27 2 2" xfId="37399"/>
    <cellStyle name="Output 2 3 27 2 2 2" xfId="37400"/>
    <cellStyle name="Output 2 3 27 2 3" xfId="37401"/>
    <cellStyle name="Output 2 3 27 3" xfId="37402"/>
    <cellStyle name="Output 2 3 27 3 2" xfId="37403"/>
    <cellStyle name="Output 2 3 27 3 2 2" xfId="37404"/>
    <cellStyle name="Output 2 3 27 3 3" xfId="37405"/>
    <cellStyle name="Output 2 3 27 4" xfId="37406"/>
    <cellStyle name="Output 2 3 27 5" xfId="37407"/>
    <cellStyle name="Output 2 3 28" xfId="37408"/>
    <cellStyle name="Output 2 3 28 2" xfId="37409"/>
    <cellStyle name="Output 2 3 28 2 2" xfId="37410"/>
    <cellStyle name="Output 2 3 28 2 2 2" xfId="37411"/>
    <cellStyle name="Output 2 3 28 2 3" xfId="37412"/>
    <cellStyle name="Output 2 3 28 3" xfId="37413"/>
    <cellStyle name="Output 2 3 28 3 2" xfId="37414"/>
    <cellStyle name="Output 2 3 28 3 2 2" xfId="37415"/>
    <cellStyle name="Output 2 3 28 3 3" xfId="37416"/>
    <cellStyle name="Output 2 3 28 4" xfId="37417"/>
    <cellStyle name="Output 2 3 28 5" xfId="37418"/>
    <cellStyle name="Output 2 3 29" xfId="37419"/>
    <cellStyle name="Output 2 3 29 2" xfId="37420"/>
    <cellStyle name="Output 2 3 29 2 2" xfId="37421"/>
    <cellStyle name="Output 2 3 29 2 2 2" xfId="37422"/>
    <cellStyle name="Output 2 3 29 2 3" xfId="37423"/>
    <cellStyle name="Output 2 3 29 3" xfId="37424"/>
    <cellStyle name="Output 2 3 29 3 2" xfId="37425"/>
    <cellStyle name="Output 2 3 29 3 2 2" xfId="37426"/>
    <cellStyle name="Output 2 3 29 3 3" xfId="37427"/>
    <cellStyle name="Output 2 3 29 4" xfId="37428"/>
    <cellStyle name="Output 2 3 29 5" xfId="37429"/>
    <cellStyle name="Output 2 3 3" xfId="37430"/>
    <cellStyle name="Output 2 3 3 2" xfId="37431"/>
    <cellStyle name="Output 2 3 3 2 2" xfId="37432"/>
    <cellStyle name="Output 2 3 3 2 2 2" xfId="37433"/>
    <cellStyle name="Output 2 3 3 2 3" xfId="37434"/>
    <cellStyle name="Output 2 3 3 3" xfId="37435"/>
    <cellStyle name="Output 2 3 3 3 2" xfId="37436"/>
    <cellStyle name="Output 2 3 3 3 2 2" xfId="37437"/>
    <cellStyle name="Output 2 3 3 3 3" xfId="37438"/>
    <cellStyle name="Output 2 3 3 4" xfId="37439"/>
    <cellStyle name="Output 2 3 3 4 2" xfId="37440"/>
    <cellStyle name="Output 2 3 3 4 2 2" xfId="37441"/>
    <cellStyle name="Output 2 3 3 4 3" xfId="37442"/>
    <cellStyle name="Output 2 3 3 5" xfId="37443"/>
    <cellStyle name="Output 2 3 3 5 2" xfId="37444"/>
    <cellStyle name="Output 2 3 3 5 2 2" xfId="37445"/>
    <cellStyle name="Output 2 3 3 5 3" xfId="37446"/>
    <cellStyle name="Output 2 3 3 6" xfId="37447"/>
    <cellStyle name="Output 2 3 3 7" xfId="37448"/>
    <cellStyle name="Output 2 3 30" xfId="37449"/>
    <cellStyle name="Output 2 3 30 2" xfId="37450"/>
    <cellStyle name="Output 2 3 30 2 2" xfId="37451"/>
    <cellStyle name="Output 2 3 30 2 2 2" xfId="37452"/>
    <cellStyle name="Output 2 3 30 2 3" xfId="37453"/>
    <cellStyle name="Output 2 3 30 3" xfId="37454"/>
    <cellStyle name="Output 2 3 30 3 2" xfId="37455"/>
    <cellStyle name="Output 2 3 30 3 2 2" xfId="37456"/>
    <cellStyle name="Output 2 3 30 3 3" xfId="37457"/>
    <cellStyle name="Output 2 3 30 4" xfId="37458"/>
    <cellStyle name="Output 2 3 30 5" xfId="37459"/>
    <cellStyle name="Output 2 3 31" xfId="37460"/>
    <cellStyle name="Output 2 3 31 2" xfId="37461"/>
    <cellStyle name="Output 2 3 31 2 2" xfId="37462"/>
    <cellStyle name="Output 2 3 31 2 2 2" xfId="37463"/>
    <cellStyle name="Output 2 3 31 2 3" xfId="37464"/>
    <cellStyle name="Output 2 3 31 3" xfId="37465"/>
    <cellStyle name="Output 2 3 31 3 2" xfId="37466"/>
    <cellStyle name="Output 2 3 31 3 2 2" xfId="37467"/>
    <cellStyle name="Output 2 3 31 3 3" xfId="37468"/>
    <cellStyle name="Output 2 3 31 4" xfId="37469"/>
    <cellStyle name="Output 2 3 31 5" xfId="37470"/>
    <cellStyle name="Output 2 3 32" xfId="37471"/>
    <cellStyle name="Output 2 3 32 2" xfId="37472"/>
    <cellStyle name="Output 2 3 32 2 2" xfId="37473"/>
    <cellStyle name="Output 2 3 32 2 2 2" xfId="37474"/>
    <cellStyle name="Output 2 3 32 2 3" xfId="37475"/>
    <cellStyle name="Output 2 3 32 3" xfId="37476"/>
    <cellStyle name="Output 2 3 32 3 2" xfId="37477"/>
    <cellStyle name="Output 2 3 32 3 2 2" xfId="37478"/>
    <cellStyle name="Output 2 3 32 3 3" xfId="37479"/>
    <cellStyle name="Output 2 3 32 4" xfId="37480"/>
    <cellStyle name="Output 2 3 32 5" xfId="37481"/>
    <cellStyle name="Output 2 3 33" xfId="37482"/>
    <cellStyle name="Output 2 3 33 2" xfId="37483"/>
    <cellStyle name="Output 2 3 33 2 2" xfId="37484"/>
    <cellStyle name="Output 2 3 33 2 2 2" xfId="37485"/>
    <cellStyle name="Output 2 3 33 2 3" xfId="37486"/>
    <cellStyle name="Output 2 3 33 3" xfId="37487"/>
    <cellStyle name="Output 2 3 33 3 2" xfId="37488"/>
    <cellStyle name="Output 2 3 33 3 2 2" xfId="37489"/>
    <cellStyle name="Output 2 3 33 3 3" xfId="37490"/>
    <cellStyle name="Output 2 3 33 4" xfId="37491"/>
    <cellStyle name="Output 2 3 33 5" xfId="37492"/>
    <cellStyle name="Output 2 3 34" xfId="37493"/>
    <cellStyle name="Output 2 3 34 2" xfId="37494"/>
    <cellStyle name="Output 2 3 34 2 2" xfId="37495"/>
    <cellStyle name="Output 2 3 34 2 2 2" xfId="37496"/>
    <cellStyle name="Output 2 3 34 2 3" xfId="37497"/>
    <cellStyle name="Output 2 3 34 3" xfId="37498"/>
    <cellStyle name="Output 2 3 34 3 2" xfId="37499"/>
    <cellStyle name="Output 2 3 34 3 2 2" xfId="37500"/>
    <cellStyle name="Output 2 3 34 3 3" xfId="37501"/>
    <cellStyle name="Output 2 3 34 4" xfId="37502"/>
    <cellStyle name="Output 2 3 34 5" xfId="37503"/>
    <cellStyle name="Output 2 3 35" xfId="37504"/>
    <cellStyle name="Output 2 3 35 2" xfId="37505"/>
    <cellStyle name="Output 2 3 35 2 2" xfId="37506"/>
    <cellStyle name="Output 2 3 35 2 2 2" xfId="37507"/>
    <cellStyle name="Output 2 3 35 2 3" xfId="37508"/>
    <cellStyle name="Output 2 3 35 3" xfId="37509"/>
    <cellStyle name="Output 2 3 35 3 2" xfId="37510"/>
    <cellStyle name="Output 2 3 35 3 2 2" xfId="37511"/>
    <cellStyle name="Output 2 3 35 3 3" xfId="37512"/>
    <cellStyle name="Output 2 3 35 4" xfId="37513"/>
    <cellStyle name="Output 2 3 35 5" xfId="37514"/>
    <cellStyle name="Output 2 3 36" xfId="37515"/>
    <cellStyle name="Output 2 3 36 2" xfId="37516"/>
    <cellStyle name="Output 2 3 36 2 2" xfId="37517"/>
    <cellStyle name="Output 2 3 36 2 2 2" xfId="37518"/>
    <cellStyle name="Output 2 3 36 2 3" xfId="37519"/>
    <cellStyle name="Output 2 3 36 3" xfId="37520"/>
    <cellStyle name="Output 2 3 36 3 2" xfId="37521"/>
    <cellStyle name="Output 2 3 36 3 2 2" xfId="37522"/>
    <cellStyle name="Output 2 3 36 3 3" xfId="37523"/>
    <cellStyle name="Output 2 3 36 4" xfId="37524"/>
    <cellStyle name="Output 2 3 36 5" xfId="37525"/>
    <cellStyle name="Output 2 3 37" xfId="37526"/>
    <cellStyle name="Output 2 3 37 2" xfId="37527"/>
    <cellStyle name="Output 2 3 37 2 2" xfId="37528"/>
    <cellStyle name="Output 2 3 37 2 2 2" xfId="37529"/>
    <cellStyle name="Output 2 3 37 2 3" xfId="37530"/>
    <cellStyle name="Output 2 3 37 3" xfId="37531"/>
    <cellStyle name="Output 2 3 37 3 2" xfId="37532"/>
    <cellStyle name="Output 2 3 37 3 2 2" xfId="37533"/>
    <cellStyle name="Output 2 3 37 3 3" xfId="37534"/>
    <cellStyle name="Output 2 3 37 4" xfId="37535"/>
    <cellStyle name="Output 2 3 37 5" xfId="37536"/>
    <cellStyle name="Output 2 3 38" xfId="37537"/>
    <cellStyle name="Output 2 3 38 2" xfId="37538"/>
    <cellStyle name="Output 2 3 38 2 2" xfId="37539"/>
    <cellStyle name="Output 2 3 38 2 2 2" xfId="37540"/>
    <cellStyle name="Output 2 3 38 2 3" xfId="37541"/>
    <cellStyle name="Output 2 3 38 3" xfId="37542"/>
    <cellStyle name="Output 2 3 38 3 2" xfId="37543"/>
    <cellStyle name="Output 2 3 38 3 2 2" xfId="37544"/>
    <cellStyle name="Output 2 3 38 3 3" xfId="37545"/>
    <cellStyle name="Output 2 3 38 4" xfId="37546"/>
    <cellStyle name="Output 2 3 38 5" xfId="37547"/>
    <cellStyle name="Output 2 3 39" xfId="37548"/>
    <cellStyle name="Output 2 3 39 2" xfId="37549"/>
    <cellStyle name="Output 2 3 39 2 2" xfId="37550"/>
    <cellStyle name="Output 2 3 39 2 2 2" xfId="37551"/>
    <cellStyle name="Output 2 3 39 2 3" xfId="37552"/>
    <cellStyle name="Output 2 3 39 3" xfId="37553"/>
    <cellStyle name="Output 2 3 39 3 2" xfId="37554"/>
    <cellStyle name="Output 2 3 39 3 2 2" xfId="37555"/>
    <cellStyle name="Output 2 3 39 3 3" xfId="37556"/>
    <cellStyle name="Output 2 3 39 4" xfId="37557"/>
    <cellStyle name="Output 2 3 39 5" xfId="37558"/>
    <cellStyle name="Output 2 3 4" xfId="37559"/>
    <cellStyle name="Output 2 3 4 2" xfId="37560"/>
    <cellStyle name="Output 2 3 4 2 2" xfId="37561"/>
    <cellStyle name="Output 2 3 4 2 2 2" xfId="37562"/>
    <cellStyle name="Output 2 3 4 2 3" xfId="37563"/>
    <cellStyle name="Output 2 3 4 3" xfId="37564"/>
    <cellStyle name="Output 2 3 4 3 2" xfId="37565"/>
    <cellStyle name="Output 2 3 4 3 2 2" xfId="37566"/>
    <cellStyle name="Output 2 3 4 3 3" xfId="37567"/>
    <cellStyle name="Output 2 3 4 4" xfId="37568"/>
    <cellStyle name="Output 2 3 4 4 2" xfId="37569"/>
    <cellStyle name="Output 2 3 4 4 2 2" xfId="37570"/>
    <cellStyle name="Output 2 3 4 4 3" xfId="37571"/>
    <cellStyle name="Output 2 3 4 5" xfId="37572"/>
    <cellStyle name="Output 2 3 4 5 2" xfId="37573"/>
    <cellStyle name="Output 2 3 4 5 2 2" xfId="37574"/>
    <cellStyle name="Output 2 3 4 5 3" xfId="37575"/>
    <cellStyle name="Output 2 3 4 6" xfId="37576"/>
    <cellStyle name="Output 2 3 4 7" xfId="37577"/>
    <cellStyle name="Output 2 3 40" xfId="37578"/>
    <cellStyle name="Output 2 3 40 2" xfId="37579"/>
    <cellStyle name="Output 2 3 40 2 2" xfId="37580"/>
    <cellStyle name="Output 2 3 40 2 2 2" xfId="37581"/>
    <cellStyle name="Output 2 3 40 2 3" xfId="37582"/>
    <cellStyle name="Output 2 3 40 3" xfId="37583"/>
    <cellStyle name="Output 2 3 40 3 2" xfId="37584"/>
    <cellStyle name="Output 2 3 40 3 2 2" xfId="37585"/>
    <cellStyle name="Output 2 3 40 3 3" xfId="37586"/>
    <cellStyle name="Output 2 3 40 4" xfId="37587"/>
    <cellStyle name="Output 2 3 40 5" xfId="37588"/>
    <cellStyle name="Output 2 3 41" xfId="37589"/>
    <cellStyle name="Output 2 3 41 2" xfId="37590"/>
    <cellStyle name="Output 2 3 41 2 2" xfId="37591"/>
    <cellStyle name="Output 2 3 41 2 2 2" xfId="37592"/>
    <cellStyle name="Output 2 3 41 2 3" xfId="37593"/>
    <cellStyle name="Output 2 3 41 3" xfId="37594"/>
    <cellStyle name="Output 2 3 41 3 2" xfId="37595"/>
    <cellStyle name="Output 2 3 41 3 2 2" xfId="37596"/>
    <cellStyle name="Output 2 3 41 3 3" xfId="37597"/>
    <cellStyle name="Output 2 3 41 4" xfId="37598"/>
    <cellStyle name="Output 2 3 41 5" xfId="37599"/>
    <cellStyle name="Output 2 3 42" xfId="37600"/>
    <cellStyle name="Output 2 3 42 2" xfId="37601"/>
    <cellStyle name="Output 2 3 42 2 2" xfId="37602"/>
    <cellStyle name="Output 2 3 42 2 2 2" xfId="37603"/>
    <cellStyle name="Output 2 3 42 2 3" xfId="37604"/>
    <cellStyle name="Output 2 3 42 3" xfId="37605"/>
    <cellStyle name="Output 2 3 42 3 2" xfId="37606"/>
    <cellStyle name="Output 2 3 42 3 2 2" xfId="37607"/>
    <cellStyle name="Output 2 3 42 3 3" xfId="37608"/>
    <cellStyle name="Output 2 3 42 4" xfId="37609"/>
    <cellStyle name="Output 2 3 42 5" xfId="37610"/>
    <cellStyle name="Output 2 3 43" xfId="37611"/>
    <cellStyle name="Output 2 3 43 2" xfId="37612"/>
    <cellStyle name="Output 2 3 43 2 2" xfId="37613"/>
    <cellStyle name="Output 2 3 43 2 2 2" xfId="37614"/>
    <cellStyle name="Output 2 3 43 2 3" xfId="37615"/>
    <cellStyle name="Output 2 3 43 3" xfId="37616"/>
    <cellStyle name="Output 2 3 43 3 2" xfId="37617"/>
    <cellStyle name="Output 2 3 43 3 2 2" xfId="37618"/>
    <cellStyle name="Output 2 3 43 3 3" xfId="37619"/>
    <cellStyle name="Output 2 3 43 4" xfId="37620"/>
    <cellStyle name="Output 2 3 43 5" xfId="37621"/>
    <cellStyle name="Output 2 3 44" xfId="37622"/>
    <cellStyle name="Output 2 3 44 2" xfId="37623"/>
    <cellStyle name="Output 2 3 44 2 2" xfId="37624"/>
    <cellStyle name="Output 2 3 44 2 2 2" xfId="37625"/>
    <cellStyle name="Output 2 3 44 2 3" xfId="37626"/>
    <cellStyle name="Output 2 3 44 3" xfId="37627"/>
    <cellStyle name="Output 2 3 44 3 2" xfId="37628"/>
    <cellStyle name="Output 2 3 44 3 2 2" xfId="37629"/>
    <cellStyle name="Output 2 3 44 3 3" xfId="37630"/>
    <cellStyle name="Output 2 3 44 4" xfId="37631"/>
    <cellStyle name="Output 2 3 44 5" xfId="37632"/>
    <cellStyle name="Output 2 3 45" xfId="37633"/>
    <cellStyle name="Output 2 3 45 2" xfId="37634"/>
    <cellStyle name="Output 2 3 45 2 2" xfId="37635"/>
    <cellStyle name="Output 2 3 45 2 2 2" xfId="37636"/>
    <cellStyle name="Output 2 3 45 2 3" xfId="37637"/>
    <cellStyle name="Output 2 3 45 3" xfId="37638"/>
    <cellStyle name="Output 2 3 45 3 2" xfId="37639"/>
    <cellStyle name="Output 2 3 45 3 2 2" xfId="37640"/>
    <cellStyle name="Output 2 3 45 3 3" xfId="37641"/>
    <cellStyle name="Output 2 3 45 4" xfId="37642"/>
    <cellStyle name="Output 2 3 45 5" xfId="37643"/>
    <cellStyle name="Output 2 3 46" xfId="37644"/>
    <cellStyle name="Output 2 3 46 2" xfId="37645"/>
    <cellStyle name="Output 2 3 46 2 2" xfId="37646"/>
    <cellStyle name="Output 2 3 46 2 2 2" xfId="37647"/>
    <cellStyle name="Output 2 3 46 2 3" xfId="37648"/>
    <cellStyle name="Output 2 3 46 3" xfId="37649"/>
    <cellStyle name="Output 2 3 46 3 2" xfId="37650"/>
    <cellStyle name="Output 2 3 46 3 2 2" xfId="37651"/>
    <cellStyle name="Output 2 3 46 3 3" xfId="37652"/>
    <cellStyle name="Output 2 3 46 4" xfId="37653"/>
    <cellStyle name="Output 2 3 46 5" xfId="37654"/>
    <cellStyle name="Output 2 3 47" xfId="37655"/>
    <cellStyle name="Output 2 3 47 2" xfId="37656"/>
    <cellStyle name="Output 2 3 47 2 2" xfId="37657"/>
    <cellStyle name="Output 2 3 47 2 2 2" xfId="37658"/>
    <cellStyle name="Output 2 3 47 2 3" xfId="37659"/>
    <cellStyle name="Output 2 3 47 3" xfId="37660"/>
    <cellStyle name="Output 2 3 47 3 2" xfId="37661"/>
    <cellStyle name="Output 2 3 47 3 2 2" xfId="37662"/>
    <cellStyle name="Output 2 3 47 3 3" xfId="37663"/>
    <cellStyle name="Output 2 3 47 4" xfId="37664"/>
    <cellStyle name="Output 2 3 47 5" xfId="37665"/>
    <cellStyle name="Output 2 3 48" xfId="37666"/>
    <cellStyle name="Output 2 3 48 2" xfId="37667"/>
    <cellStyle name="Output 2 3 48 2 2" xfId="37668"/>
    <cellStyle name="Output 2 3 48 2 2 2" xfId="37669"/>
    <cellStyle name="Output 2 3 48 2 3" xfId="37670"/>
    <cellStyle name="Output 2 3 48 3" xfId="37671"/>
    <cellStyle name="Output 2 3 48 3 2" xfId="37672"/>
    <cellStyle name="Output 2 3 48 3 2 2" xfId="37673"/>
    <cellStyle name="Output 2 3 48 3 3" xfId="37674"/>
    <cellStyle name="Output 2 3 48 4" xfId="37675"/>
    <cellStyle name="Output 2 3 48 5" xfId="37676"/>
    <cellStyle name="Output 2 3 49" xfId="37677"/>
    <cellStyle name="Output 2 3 49 2" xfId="37678"/>
    <cellStyle name="Output 2 3 49 2 2" xfId="37679"/>
    <cellStyle name="Output 2 3 49 3" xfId="37680"/>
    <cellStyle name="Output 2 3 5" xfId="37681"/>
    <cellStyle name="Output 2 3 5 2" xfId="37682"/>
    <cellStyle name="Output 2 3 5 2 2" xfId="37683"/>
    <cellStyle name="Output 2 3 5 2 2 2" xfId="37684"/>
    <cellStyle name="Output 2 3 5 2 3" xfId="37685"/>
    <cellStyle name="Output 2 3 5 3" xfId="37686"/>
    <cellStyle name="Output 2 3 5 3 2" xfId="37687"/>
    <cellStyle name="Output 2 3 5 3 2 2" xfId="37688"/>
    <cellStyle name="Output 2 3 5 3 3" xfId="37689"/>
    <cellStyle name="Output 2 3 5 4" xfId="37690"/>
    <cellStyle name="Output 2 3 5 4 2" xfId="37691"/>
    <cellStyle name="Output 2 3 5 4 2 2" xfId="37692"/>
    <cellStyle name="Output 2 3 5 4 3" xfId="37693"/>
    <cellStyle name="Output 2 3 5 5" xfId="37694"/>
    <cellStyle name="Output 2 3 5 5 2" xfId="37695"/>
    <cellStyle name="Output 2 3 5 5 2 2" xfId="37696"/>
    <cellStyle name="Output 2 3 5 5 3" xfId="37697"/>
    <cellStyle name="Output 2 3 5 6" xfId="37698"/>
    <cellStyle name="Output 2 3 5 7" xfId="37699"/>
    <cellStyle name="Output 2 3 50" xfId="37700"/>
    <cellStyle name="Output 2 3 50 2" xfId="37701"/>
    <cellStyle name="Output 2 3 50 2 2" xfId="37702"/>
    <cellStyle name="Output 2 3 50 3" xfId="37703"/>
    <cellStyle name="Output 2 3 51" xfId="37704"/>
    <cellStyle name="Output 2 3 51 2" xfId="37705"/>
    <cellStyle name="Output 2 3 51 2 2" xfId="37706"/>
    <cellStyle name="Output 2 3 51 3" xfId="37707"/>
    <cellStyle name="Output 2 3 52" xfId="37708"/>
    <cellStyle name="Output 2 3 52 2" xfId="37709"/>
    <cellStyle name="Output 2 3 52 2 2" xfId="37710"/>
    <cellStyle name="Output 2 3 52 3" xfId="37711"/>
    <cellStyle name="Output 2 3 53" xfId="37712"/>
    <cellStyle name="Output 2 3 54" xfId="37713"/>
    <cellStyle name="Output 2 3 6" xfId="37714"/>
    <cellStyle name="Output 2 3 6 2" xfId="37715"/>
    <cellStyle name="Output 2 3 6 2 2" xfId="37716"/>
    <cellStyle name="Output 2 3 6 2 2 2" xfId="37717"/>
    <cellStyle name="Output 2 3 6 2 3" xfId="37718"/>
    <cellStyle name="Output 2 3 6 3" xfId="37719"/>
    <cellStyle name="Output 2 3 6 3 2" xfId="37720"/>
    <cellStyle name="Output 2 3 6 3 2 2" xfId="37721"/>
    <cellStyle name="Output 2 3 6 3 3" xfId="37722"/>
    <cellStyle name="Output 2 3 6 4" xfId="37723"/>
    <cellStyle name="Output 2 3 6 4 2" xfId="37724"/>
    <cellStyle name="Output 2 3 6 4 2 2" xfId="37725"/>
    <cellStyle name="Output 2 3 6 4 3" xfId="37726"/>
    <cellStyle name="Output 2 3 6 5" xfId="37727"/>
    <cellStyle name="Output 2 3 6 5 2" xfId="37728"/>
    <cellStyle name="Output 2 3 6 5 2 2" xfId="37729"/>
    <cellStyle name="Output 2 3 6 5 3" xfId="37730"/>
    <cellStyle name="Output 2 3 6 6" xfId="37731"/>
    <cellStyle name="Output 2 3 6 7" xfId="37732"/>
    <cellStyle name="Output 2 3 7" xfId="37733"/>
    <cellStyle name="Output 2 3 7 2" xfId="37734"/>
    <cellStyle name="Output 2 3 7 2 2" xfId="37735"/>
    <cellStyle name="Output 2 3 7 2 2 2" xfId="37736"/>
    <cellStyle name="Output 2 3 7 2 3" xfId="37737"/>
    <cellStyle name="Output 2 3 7 3" xfId="37738"/>
    <cellStyle name="Output 2 3 7 3 2" xfId="37739"/>
    <cellStyle name="Output 2 3 7 3 2 2" xfId="37740"/>
    <cellStyle name="Output 2 3 7 3 3" xfId="37741"/>
    <cellStyle name="Output 2 3 7 4" xfId="37742"/>
    <cellStyle name="Output 2 3 7 4 2" xfId="37743"/>
    <cellStyle name="Output 2 3 7 4 2 2" xfId="37744"/>
    <cellStyle name="Output 2 3 7 4 3" xfId="37745"/>
    <cellStyle name="Output 2 3 7 5" xfId="37746"/>
    <cellStyle name="Output 2 3 7 5 2" xfId="37747"/>
    <cellStyle name="Output 2 3 7 5 2 2" xfId="37748"/>
    <cellStyle name="Output 2 3 7 5 3" xfId="37749"/>
    <cellStyle name="Output 2 3 7 6" xfId="37750"/>
    <cellStyle name="Output 2 3 7 7" xfId="37751"/>
    <cellStyle name="Output 2 3 8" xfId="37752"/>
    <cellStyle name="Output 2 3 8 2" xfId="37753"/>
    <cellStyle name="Output 2 3 8 2 2" xfId="37754"/>
    <cellStyle name="Output 2 3 8 2 2 2" xfId="37755"/>
    <cellStyle name="Output 2 3 8 2 3" xfId="37756"/>
    <cellStyle name="Output 2 3 8 3" xfId="37757"/>
    <cellStyle name="Output 2 3 8 3 2" xfId="37758"/>
    <cellStyle name="Output 2 3 8 3 2 2" xfId="37759"/>
    <cellStyle name="Output 2 3 8 3 3" xfId="37760"/>
    <cellStyle name="Output 2 3 8 4" xfId="37761"/>
    <cellStyle name="Output 2 3 8 4 2" xfId="37762"/>
    <cellStyle name="Output 2 3 8 4 2 2" xfId="37763"/>
    <cellStyle name="Output 2 3 8 4 3" xfId="37764"/>
    <cellStyle name="Output 2 3 8 5" xfId="37765"/>
    <cellStyle name="Output 2 3 8 5 2" xfId="37766"/>
    <cellStyle name="Output 2 3 8 5 2 2" xfId="37767"/>
    <cellStyle name="Output 2 3 8 5 3" xfId="37768"/>
    <cellStyle name="Output 2 3 8 6" xfId="37769"/>
    <cellStyle name="Output 2 3 8 7" xfId="37770"/>
    <cellStyle name="Output 2 3 9" xfId="37771"/>
    <cellStyle name="Output 2 3 9 2" xfId="37772"/>
    <cellStyle name="Output 2 3 9 2 2" xfId="37773"/>
    <cellStyle name="Output 2 3 9 2 2 2" xfId="37774"/>
    <cellStyle name="Output 2 3 9 2 3" xfId="37775"/>
    <cellStyle name="Output 2 3 9 3" xfId="37776"/>
    <cellStyle name="Output 2 3 9 3 2" xfId="37777"/>
    <cellStyle name="Output 2 3 9 3 2 2" xfId="37778"/>
    <cellStyle name="Output 2 3 9 3 3" xfId="37779"/>
    <cellStyle name="Output 2 3 9 4" xfId="37780"/>
    <cellStyle name="Output 2 3 9 5" xfId="37781"/>
    <cellStyle name="Output 2 4" xfId="37782"/>
    <cellStyle name="Output 2 4 10" xfId="37783"/>
    <cellStyle name="Output 2 4 10 2" xfId="37784"/>
    <cellStyle name="Output 2 4 10 2 2" xfId="37785"/>
    <cellStyle name="Output 2 4 10 2 2 2" xfId="37786"/>
    <cellStyle name="Output 2 4 10 2 3" xfId="37787"/>
    <cellStyle name="Output 2 4 10 3" xfId="37788"/>
    <cellStyle name="Output 2 4 10 3 2" xfId="37789"/>
    <cellStyle name="Output 2 4 10 3 2 2" xfId="37790"/>
    <cellStyle name="Output 2 4 10 3 3" xfId="37791"/>
    <cellStyle name="Output 2 4 10 4" xfId="37792"/>
    <cellStyle name="Output 2 4 10 5" xfId="37793"/>
    <cellStyle name="Output 2 4 11" xfId="37794"/>
    <cellStyle name="Output 2 4 11 2" xfId="37795"/>
    <cellStyle name="Output 2 4 11 2 2" xfId="37796"/>
    <cellStyle name="Output 2 4 11 2 2 2" xfId="37797"/>
    <cellStyle name="Output 2 4 11 2 3" xfId="37798"/>
    <cellStyle name="Output 2 4 11 3" xfId="37799"/>
    <cellStyle name="Output 2 4 11 3 2" xfId="37800"/>
    <cellStyle name="Output 2 4 11 3 2 2" xfId="37801"/>
    <cellStyle name="Output 2 4 11 3 3" xfId="37802"/>
    <cellStyle name="Output 2 4 11 4" xfId="37803"/>
    <cellStyle name="Output 2 4 11 5" xfId="37804"/>
    <cellStyle name="Output 2 4 12" xfId="37805"/>
    <cellStyle name="Output 2 4 12 2" xfId="37806"/>
    <cellStyle name="Output 2 4 12 2 2" xfId="37807"/>
    <cellStyle name="Output 2 4 12 2 2 2" xfId="37808"/>
    <cellStyle name="Output 2 4 12 2 3" xfId="37809"/>
    <cellStyle name="Output 2 4 12 3" xfId="37810"/>
    <cellStyle name="Output 2 4 12 3 2" xfId="37811"/>
    <cellStyle name="Output 2 4 12 3 2 2" xfId="37812"/>
    <cellStyle name="Output 2 4 12 3 3" xfId="37813"/>
    <cellStyle name="Output 2 4 12 4" xfId="37814"/>
    <cellStyle name="Output 2 4 12 5" xfId="37815"/>
    <cellStyle name="Output 2 4 13" xfId="37816"/>
    <cellStyle name="Output 2 4 13 2" xfId="37817"/>
    <cellStyle name="Output 2 4 13 2 2" xfId="37818"/>
    <cellStyle name="Output 2 4 13 2 2 2" xfId="37819"/>
    <cellStyle name="Output 2 4 13 2 3" xfId="37820"/>
    <cellStyle name="Output 2 4 13 3" xfId="37821"/>
    <cellStyle name="Output 2 4 13 3 2" xfId="37822"/>
    <cellStyle name="Output 2 4 13 3 2 2" xfId="37823"/>
    <cellStyle name="Output 2 4 13 3 3" xfId="37824"/>
    <cellStyle name="Output 2 4 13 4" xfId="37825"/>
    <cellStyle name="Output 2 4 13 5" xfId="37826"/>
    <cellStyle name="Output 2 4 14" xfId="37827"/>
    <cellStyle name="Output 2 4 14 2" xfId="37828"/>
    <cellStyle name="Output 2 4 14 2 2" xfId="37829"/>
    <cellStyle name="Output 2 4 14 2 2 2" xfId="37830"/>
    <cellStyle name="Output 2 4 14 2 3" xfId="37831"/>
    <cellStyle name="Output 2 4 14 3" xfId="37832"/>
    <cellStyle name="Output 2 4 14 3 2" xfId="37833"/>
    <cellStyle name="Output 2 4 14 3 2 2" xfId="37834"/>
    <cellStyle name="Output 2 4 14 3 3" xfId="37835"/>
    <cellStyle name="Output 2 4 14 4" xfId="37836"/>
    <cellStyle name="Output 2 4 14 5" xfId="37837"/>
    <cellStyle name="Output 2 4 15" xfId="37838"/>
    <cellStyle name="Output 2 4 15 2" xfId="37839"/>
    <cellStyle name="Output 2 4 15 2 2" xfId="37840"/>
    <cellStyle name="Output 2 4 15 2 2 2" xfId="37841"/>
    <cellStyle name="Output 2 4 15 2 3" xfId="37842"/>
    <cellStyle name="Output 2 4 15 3" xfId="37843"/>
    <cellStyle name="Output 2 4 15 3 2" xfId="37844"/>
    <cellStyle name="Output 2 4 15 3 2 2" xfId="37845"/>
    <cellStyle name="Output 2 4 15 3 3" xfId="37846"/>
    <cellStyle name="Output 2 4 15 4" xfId="37847"/>
    <cellStyle name="Output 2 4 15 5" xfId="37848"/>
    <cellStyle name="Output 2 4 16" xfId="37849"/>
    <cellStyle name="Output 2 4 16 2" xfId="37850"/>
    <cellStyle name="Output 2 4 16 2 2" xfId="37851"/>
    <cellStyle name="Output 2 4 16 2 2 2" xfId="37852"/>
    <cellStyle name="Output 2 4 16 2 3" xfId="37853"/>
    <cellStyle name="Output 2 4 16 3" xfId="37854"/>
    <cellStyle name="Output 2 4 16 3 2" xfId="37855"/>
    <cellStyle name="Output 2 4 16 3 2 2" xfId="37856"/>
    <cellStyle name="Output 2 4 16 3 3" xfId="37857"/>
    <cellStyle name="Output 2 4 16 4" xfId="37858"/>
    <cellStyle name="Output 2 4 16 5" xfId="37859"/>
    <cellStyle name="Output 2 4 17" xfId="37860"/>
    <cellStyle name="Output 2 4 17 2" xfId="37861"/>
    <cellStyle name="Output 2 4 17 2 2" xfId="37862"/>
    <cellStyle name="Output 2 4 17 2 2 2" xfId="37863"/>
    <cellStyle name="Output 2 4 17 2 3" xfId="37864"/>
    <cellStyle name="Output 2 4 17 3" xfId="37865"/>
    <cellStyle name="Output 2 4 17 3 2" xfId="37866"/>
    <cellStyle name="Output 2 4 17 3 2 2" xfId="37867"/>
    <cellStyle name="Output 2 4 17 3 3" xfId="37868"/>
    <cellStyle name="Output 2 4 17 4" xfId="37869"/>
    <cellStyle name="Output 2 4 17 5" xfId="37870"/>
    <cellStyle name="Output 2 4 18" xfId="37871"/>
    <cellStyle name="Output 2 4 18 2" xfId="37872"/>
    <cellStyle name="Output 2 4 18 2 2" xfId="37873"/>
    <cellStyle name="Output 2 4 18 2 2 2" xfId="37874"/>
    <cellStyle name="Output 2 4 18 2 3" xfId="37875"/>
    <cellStyle name="Output 2 4 18 3" xfId="37876"/>
    <cellStyle name="Output 2 4 18 3 2" xfId="37877"/>
    <cellStyle name="Output 2 4 18 3 2 2" xfId="37878"/>
    <cellStyle name="Output 2 4 18 3 3" xfId="37879"/>
    <cellStyle name="Output 2 4 18 4" xfId="37880"/>
    <cellStyle name="Output 2 4 18 5" xfId="37881"/>
    <cellStyle name="Output 2 4 19" xfId="37882"/>
    <cellStyle name="Output 2 4 19 2" xfId="37883"/>
    <cellStyle name="Output 2 4 19 2 2" xfId="37884"/>
    <cellStyle name="Output 2 4 19 2 2 2" xfId="37885"/>
    <cellStyle name="Output 2 4 19 2 3" xfId="37886"/>
    <cellStyle name="Output 2 4 19 3" xfId="37887"/>
    <cellStyle name="Output 2 4 19 3 2" xfId="37888"/>
    <cellStyle name="Output 2 4 19 3 2 2" xfId="37889"/>
    <cellStyle name="Output 2 4 19 3 3" xfId="37890"/>
    <cellStyle name="Output 2 4 19 4" xfId="37891"/>
    <cellStyle name="Output 2 4 19 5" xfId="37892"/>
    <cellStyle name="Output 2 4 2" xfId="37893"/>
    <cellStyle name="Output 2 4 2 2" xfId="37894"/>
    <cellStyle name="Output 2 4 2 2 2" xfId="37895"/>
    <cellStyle name="Output 2 4 2 2 2 2" xfId="37896"/>
    <cellStyle name="Output 2 4 2 2 3" xfId="37897"/>
    <cellStyle name="Output 2 4 2 3" xfId="37898"/>
    <cellStyle name="Output 2 4 2 3 2" xfId="37899"/>
    <cellStyle name="Output 2 4 2 3 2 2" xfId="37900"/>
    <cellStyle name="Output 2 4 2 3 3" xfId="37901"/>
    <cellStyle name="Output 2 4 2 4" xfId="37902"/>
    <cellStyle name="Output 2 4 2 4 2" xfId="37903"/>
    <cellStyle name="Output 2 4 2 4 2 2" xfId="37904"/>
    <cellStyle name="Output 2 4 2 4 3" xfId="37905"/>
    <cellStyle name="Output 2 4 2 5" xfId="37906"/>
    <cellStyle name="Output 2 4 2 5 2" xfId="37907"/>
    <cellStyle name="Output 2 4 2 5 2 2" xfId="37908"/>
    <cellStyle name="Output 2 4 2 5 3" xfId="37909"/>
    <cellStyle name="Output 2 4 2 6" xfId="37910"/>
    <cellStyle name="Output 2 4 2 7" xfId="37911"/>
    <cellStyle name="Output 2 4 20" xfId="37912"/>
    <cellStyle name="Output 2 4 20 2" xfId="37913"/>
    <cellStyle name="Output 2 4 20 2 2" xfId="37914"/>
    <cellStyle name="Output 2 4 20 2 2 2" xfId="37915"/>
    <cellStyle name="Output 2 4 20 2 3" xfId="37916"/>
    <cellStyle name="Output 2 4 20 3" xfId="37917"/>
    <cellStyle name="Output 2 4 20 3 2" xfId="37918"/>
    <cellStyle name="Output 2 4 20 3 2 2" xfId="37919"/>
    <cellStyle name="Output 2 4 20 3 3" xfId="37920"/>
    <cellStyle name="Output 2 4 20 4" xfId="37921"/>
    <cellStyle name="Output 2 4 20 5" xfId="37922"/>
    <cellStyle name="Output 2 4 21" xfId="37923"/>
    <cellStyle name="Output 2 4 21 2" xfId="37924"/>
    <cellStyle name="Output 2 4 21 2 2" xfId="37925"/>
    <cellStyle name="Output 2 4 21 2 2 2" xfId="37926"/>
    <cellStyle name="Output 2 4 21 2 3" xfId="37927"/>
    <cellStyle name="Output 2 4 21 3" xfId="37928"/>
    <cellStyle name="Output 2 4 21 3 2" xfId="37929"/>
    <cellStyle name="Output 2 4 21 3 2 2" xfId="37930"/>
    <cellStyle name="Output 2 4 21 3 3" xfId="37931"/>
    <cellStyle name="Output 2 4 21 4" xfId="37932"/>
    <cellStyle name="Output 2 4 21 5" xfId="37933"/>
    <cellStyle name="Output 2 4 22" xfId="37934"/>
    <cellStyle name="Output 2 4 22 2" xfId="37935"/>
    <cellStyle name="Output 2 4 22 2 2" xfId="37936"/>
    <cellStyle name="Output 2 4 22 2 2 2" xfId="37937"/>
    <cellStyle name="Output 2 4 22 2 3" xfId="37938"/>
    <cellStyle name="Output 2 4 22 3" xfId="37939"/>
    <cellStyle name="Output 2 4 22 3 2" xfId="37940"/>
    <cellStyle name="Output 2 4 22 3 2 2" xfId="37941"/>
    <cellStyle name="Output 2 4 22 3 3" xfId="37942"/>
    <cellStyle name="Output 2 4 22 4" xfId="37943"/>
    <cellStyle name="Output 2 4 22 5" xfId="37944"/>
    <cellStyle name="Output 2 4 23" xfId="37945"/>
    <cellStyle name="Output 2 4 23 2" xfId="37946"/>
    <cellStyle name="Output 2 4 23 2 2" xfId="37947"/>
    <cellStyle name="Output 2 4 23 2 2 2" xfId="37948"/>
    <cellStyle name="Output 2 4 23 2 3" xfId="37949"/>
    <cellStyle name="Output 2 4 23 3" xfId="37950"/>
    <cellStyle name="Output 2 4 23 3 2" xfId="37951"/>
    <cellStyle name="Output 2 4 23 3 2 2" xfId="37952"/>
    <cellStyle name="Output 2 4 23 3 3" xfId="37953"/>
    <cellStyle name="Output 2 4 23 4" xfId="37954"/>
    <cellStyle name="Output 2 4 23 5" xfId="37955"/>
    <cellStyle name="Output 2 4 24" xfId="37956"/>
    <cellStyle name="Output 2 4 24 2" xfId="37957"/>
    <cellStyle name="Output 2 4 24 2 2" xfId="37958"/>
    <cellStyle name="Output 2 4 24 2 2 2" xfId="37959"/>
    <cellStyle name="Output 2 4 24 2 3" xfId="37960"/>
    <cellStyle name="Output 2 4 24 3" xfId="37961"/>
    <cellStyle name="Output 2 4 24 3 2" xfId="37962"/>
    <cellStyle name="Output 2 4 24 3 2 2" xfId="37963"/>
    <cellStyle name="Output 2 4 24 3 3" xfId="37964"/>
    <cellStyle name="Output 2 4 24 4" xfId="37965"/>
    <cellStyle name="Output 2 4 24 5" xfId="37966"/>
    <cellStyle name="Output 2 4 25" xfId="37967"/>
    <cellStyle name="Output 2 4 25 2" xfId="37968"/>
    <cellStyle name="Output 2 4 25 2 2" xfId="37969"/>
    <cellStyle name="Output 2 4 25 2 2 2" xfId="37970"/>
    <cellStyle name="Output 2 4 25 2 3" xfId="37971"/>
    <cellStyle name="Output 2 4 25 3" xfId="37972"/>
    <cellStyle name="Output 2 4 25 3 2" xfId="37973"/>
    <cellStyle name="Output 2 4 25 3 2 2" xfId="37974"/>
    <cellStyle name="Output 2 4 25 3 3" xfId="37975"/>
    <cellStyle name="Output 2 4 25 4" xfId="37976"/>
    <cellStyle name="Output 2 4 25 5" xfId="37977"/>
    <cellStyle name="Output 2 4 26" xfId="37978"/>
    <cellStyle name="Output 2 4 26 2" xfId="37979"/>
    <cellStyle name="Output 2 4 26 2 2" xfId="37980"/>
    <cellStyle name="Output 2 4 26 2 2 2" xfId="37981"/>
    <cellStyle name="Output 2 4 26 2 3" xfId="37982"/>
    <cellStyle name="Output 2 4 26 3" xfId="37983"/>
    <cellStyle name="Output 2 4 26 3 2" xfId="37984"/>
    <cellStyle name="Output 2 4 26 3 2 2" xfId="37985"/>
    <cellStyle name="Output 2 4 26 3 3" xfId="37986"/>
    <cellStyle name="Output 2 4 26 4" xfId="37987"/>
    <cellStyle name="Output 2 4 26 5" xfId="37988"/>
    <cellStyle name="Output 2 4 27" xfId="37989"/>
    <cellStyle name="Output 2 4 27 2" xfId="37990"/>
    <cellStyle name="Output 2 4 27 2 2" xfId="37991"/>
    <cellStyle name="Output 2 4 27 2 2 2" xfId="37992"/>
    <cellStyle name="Output 2 4 27 2 3" xfId="37993"/>
    <cellStyle name="Output 2 4 27 3" xfId="37994"/>
    <cellStyle name="Output 2 4 27 3 2" xfId="37995"/>
    <cellStyle name="Output 2 4 27 3 2 2" xfId="37996"/>
    <cellStyle name="Output 2 4 27 3 3" xfId="37997"/>
    <cellStyle name="Output 2 4 27 4" xfId="37998"/>
    <cellStyle name="Output 2 4 27 5" xfId="37999"/>
    <cellStyle name="Output 2 4 28" xfId="38000"/>
    <cellStyle name="Output 2 4 28 2" xfId="38001"/>
    <cellStyle name="Output 2 4 28 2 2" xfId="38002"/>
    <cellStyle name="Output 2 4 28 2 2 2" xfId="38003"/>
    <cellStyle name="Output 2 4 28 2 3" xfId="38004"/>
    <cellStyle name="Output 2 4 28 3" xfId="38005"/>
    <cellStyle name="Output 2 4 28 3 2" xfId="38006"/>
    <cellStyle name="Output 2 4 28 3 2 2" xfId="38007"/>
    <cellStyle name="Output 2 4 28 3 3" xfId="38008"/>
    <cellStyle name="Output 2 4 28 4" xfId="38009"/>
    <cellStyle name="Output 2 4 28 5" xfId="38010"/>
    <cellStyle name="Output 2 4 29" xfId="38011"/>
    <cellStyle name="Output 2 4 29 2" xfId="38012"/>
    <cellStyle name="Output 2 4 29 2 2" xfId="38013"/>
    <cellStyle name="Output 2 4 29 2 2 2" xfId="38014"/>
    <cellStyle name="Output 2 4 29 2 3" xfId="38015"/>
    <cellStyle name="Output 2 4 29 3" xfId="38016"/>
    <cellStyle name="Output 2 4 29 3 2" xfId="38017"/>
    <cellStyle name="Output 2 4 29 3 2 2" xfId="38018"/>
    <cellStyle name="Output 2 4 29 3 3" xfId="38019"/>
    <cellStyle name="Output 2 4 29 4" xfId="38020"/>
    <cellStyle name="Output 2 4 29 5" xfId="38021"/>
    <cellStyle name="Output 2 4 3" xfId="38022"/>
    <cellStyle name="Output 2 4 3 2" xfId="38023"/>
    <cellStyle name="Output 2 4 3 2 2" xfId="38024"/>
    <cellStyle name="Output 2 4 3 2 2 2" xfId="38025"/>
    <cellStyle name="Output 2 4 3 2 3" xfId="38026"/>
    <cellStyle name="Output 2 4 3 3" xfId="38027"/>
    <cellStyle name="Output 2 4 3 3 2" xfId="38028"/>
    <cellStyle name="Output 2 4 3 3 2 2" xfId="38029"/>
    <cellStyle name="Output 2 4 3 3 3" xfId="38030"/>
    <cellStyle name="Output 2 4 3 4" xfId="38031"/>
    <cellStyle name="Output 2 4 3 4 2" xfId="38032"/>
    <cellStyle name="Output 2 4 3 4 2 2" xfId="38033"/>
    <cellStyle name="Output 2 4 3 4 3" xfId="38034"/>
    <cellStyle name="Output 2 4 3 5" xfId="38035"/>
    <cellStyle name="Output 2 4 3 5 2" xfId="38036"/>
    <cellStyle name="Output 2 4 3 5 2 2" xfId="38037"/>
    <cellStyle name="Output 2 4 3 5 3" xfId="38038"/>
    <cellStyle name="Output 2 4 3 6" xfId="38039"/>
    <cellStyle name="Output 2 4 3 7" xfId="38040"/>
    <cellStyle name="Output 2 4 30" xfId="38041"/>
    <cellStyle name="Output 2 4 30 2" xfId="38042"/>
    <cellStyle name="Output 2 4 30 2 2" xfId="38043"/>
    <cellStyle name="Output 2 4 30 2 2 2" xfId="38044"/>
    <cellStyle name="Output 2 4 30 2 3" xfId="38045"/>
    <cellStyle name="Output 2 4 30 3" xfId="38046"/>
    <cellStyle name="Output 2 4 30 3 2" xfId="38047"/>
    <cellStyle name="Output 2 4 30 3 2 2" xfId="38048"/>
    <cellStyle name="Output 2 4 30 3 3" xfId="38049"/>
    <cellStyle name="Output 2 4 30 4" xfId="38050"/>
    <cellStyle name="Output 2 4 30 5" xfId="38051"/>
    <cellStyle name="Output 2 4 31" xfId="38052"/>
    <cellStyle name="Output 2 4 31 2" xfId="38053"/>
    <cellStyle name="Output 2 4 31 2 2" xfId="38054"/>
    <cellStyle name="Output 2 4 31 2 2 2" xfId="38055"/>
    <cellStyle name="Output 2 4 31 2 3" xfId="38056"/>
    <cellStyle name="Output 2 4 31 3" xfId="38057"/>
    <cellStyle name="Output 2 4 31 3 2" xfId="38058"/>
    <cellStyle name="Output 2 4 31 3 2 2" xfId="38059"/>
    <cellStyle name="Output 2 4 31 3 3" xfId="38060"/>
    <cellStyle name="Output 2 4 31 4" xfId="38061"/>
    <cellStyle name="Output 2 4 31 5" xfId="38062"/>
    <cellStyle name="Output 2 4 32" xfId="38063"/>
    <cellStyle name="Output 2 4 32 2" xfId="38064"/>
    <cellStyle name="Output 2 4 32 2 2" xfId="38065"/>
    <cellStyle name="Output 2 4 32 2 2 2" xfId="38066"/>
    <cellStyle name="Output 2 4 32 2 3" xfId="38067"/>
    <cellStyle name="Output 2 4 32 3" xfId="38068"/>
    <cellStyle name="Output 2 4 32 3 2" xfId="38069"/>
    <cellStyle name="Output 2 4 32 3 2 2" xfId="38070"/>
    <cellStyle name="Output 2 4 32 3 3" xfId="38071"/>
    <cellStyle name="Output 2 4 32 4" xfId="38072"/>
    <cellStyle name="Output 2 4 32 5" xfId="38073"/>
    <cellStyle name="Output 2 4 33" xfId="38074"/>
    <cellStyle name="Output 2 4 33 2" xfId="38075"/>
    <cellStyle name="Output 2 4 33 2 2" xfId="38076"/>
    <cellStyle name="Output 2 4 33 2 2 2" xfId="38077"/>
    <cellStyle name="Output 2 4 33 2 3" xfId="38078"/>
    <cellStyle name="Output 2 4 33 3" xfId="38079"/>
    <cellStyle name="Output 2 4 33 3 2" xfId="38080"/>
    <cellStyle name="Output 2 4 33 3 2 2" xfId="38081"/>
    <cellStyle name="Output 2 4 33 3 3" xfId="38082"/>
    <cellStyle name="Output 2 4 33 4" xfId="38083"/>
    <cellStyle name="Output 2 4 33 5" xfId="38084"/>
    <cellStyle name="Output 2 4 34" xfId="38085"/>
    <cellStyle name="Output 2 4 34 2" xfId="38086"/>
    <cellStyle name="Output 2 4 34 2 2" xfId="38087"/>
    <cellStyle name="Output 2 4 34 2 2 2" xfId="38088"/>
    <cellStyle name="Output 2 4 34 2 3" xfId="38089"/>
    <cellStyle name="Output 2 4 34 3" xfId="38090"/>
    <cellStyle name="Output 2 4 34 3 2" xfId="38091"/>
    <cellStyle name="Output 2 4 34 3 2 2" xfId="38092"/>
    <cellStyle name="Output 2 4 34 3 3" xfId="38093"/>
    <cellStyle name="Output 2 4 34 4" xfId="38094"/>
    <cellStyle name="Output 2 4 34 5" xfId="38095"/>
    <cellStyle name="Output 2 4 35" xfId="38096"/>
    <cellStyle name="Output 2 4 35 2" xfId="38097"/>
    <cellStyle name="Output 2 4 35 2 2" xfId="38098"/>
    <cellStyle name="Output 2 4 35 2 2 2" xfId="38099"/>
    <cellStyle name="Output 2 4 35 2 3" xfId="38100"/>
    <cellStyle name="Output 2 4 35 3" xfId="38101"/>
    <cellStyle name="Output 2 4 35 3 2" xfId="38102"/>
    <cellStyle name="Output 2 4 35 3 2 2" xfId="38103"/>
    <cellStyle name="Output 2 4 35 3 3" xfId="38104"/>
    <cellStyle name="Output 2 4 35 4" xfId="38105"/>
    <cellStyle name="Output 2 4 35 5" xfId="38106"/>
    <cellStyle name="Output 2 4 36" xfId="38107"/>
    <cellStyle name="Output 2 4 36 2" xfId="38108"/>
    <cellStyle name="Output 2 4 36 2 2" xfId="38109"/>
    <cellStyle name="Output 2 4 36 2 2 2" xfId="38110"/>
    <cellStyle name="Output 2 4 36 2 3" xfId="38111"/>
    <cellStyle name="Output 2 4 36 3" xfId="38112"/>
    <cellStyle name="Output 2 4 36 3 2" xfId="38113"/>
    <cellStyle name="Output 2 4 36 3 2 2" xfId="38114"/>
    <cellStyle name="Output 2 4 36 3 3" xfId="38115"/>
    <cellStyle name="Output 2 4 36 4" xfId="38116"/>
    <cellStyle name="Output 2 4 36 5" xfId="38117"/>
    <cellStyle name="Output 2 4 37" xfId="38118"/>
    <cellStyle name="Output 2 4 37 2" xfId="38119"/>
    <cellStyle name="Output 2 4 37 2 2" xfId="38120"/>
    <cellStyle name="Output 2 4 37 2 2 2" xfId="38121"/>
    <cellStyle name="Output 2 4 37 2 3" xfId="38122"/>
    <cellStyle name="Output 2 4 37 3" xfId="38123"/>
    <cellStyle name="Output 2 4 37 3 2" xfId="38124"/>
    <cellStyle name="Output 2 4 37 3 2 2" xfId="38125"/>
    <cellStyle name="Output 2 4 37 3 3" xfId="38126"/>
    <cellStyle name="Output 2 4 37 4" xfId="38127"/>
    <cellStyle name="Output 2 4 37 5" xfId="38128"/>
    <cellStyle name="Output 2 4 38" xfId="38129"/>
    <cellStyle name="Output 2 4 38 2" xfId="38130"/>
    <cellStyle name="Output 2 4 38 2 2" xfId="38131"/>
    <cellStyle name="Output 2 4 38 2 2 2" xfId="38132"/>
    <cellStyle name="Output 2 4 38 2 3" xfId="38133"/>
    <cellStyle name="Output 2 4 38 3" xfId="38134"/>
    <cellStyle name="Output 2 4 38 3 2" xfId="38135"/>
    <cellStyle name="Output 2 4 38 3 2 2" xfId="38136"/>
    <cellStyle name="Output 2 4 38 3 3" xfId="38137"/>
    <cellStyle name="Output 2 4 38 4" xfId="38138"/>
    <cellStyle name="Output 2 4 38 5" xfId="38139"/>
    <cellStyle name="Output 2 4 39" xfId="38140"/>
    <cellStyle name="Output 2 4 39 2" xfId="38141"/>
    <cellStyle name="Output 2 4 39 2 2" xfId="38142"/>
    <cellStyle name="Output 2 4 39 2 2 2" xfId="38143"/>
    <cellStyle name="Output 2 4 39 2 3" xfId="38144"/>
    <cellStyle name="Output 2 4 39 3" xfId="38145"/>
    <cellStyle name="Output 2 4 39 3 2" xfId="38146"/>
    <cellStyle name="Output 2 4 39 3 2 2" xfId="38147"/>
    <cellStyle name="Output 2 4 39 3 3" xfId="38148"/>
    <cellStyle name="Output 2 4 39 4" xfId="38149"/>
    <cellStyle name="Output 2 4 39 5" xfId="38150"/>
    <cellStyle name="Output 2 4 4" xfId="38151"/>
    <cellStyle name="Output 2 4 4 2" xfId="38152"/>
    <cellStyle name="Output 2 4 4 2 2" xfId="38153"/>
    <cellStyle name="Output 2 4 4 2 2 2" xfId="38154"/>
    <cellStyle name="Output 2 4 4 2 3" xfId="38155"/>
    <cellStyle name="Output 2 4 4 3" xfId="38156"/>
    <cellStyle name="Output 2 4 4 3 2" xfId="38157"/>
    <cellStyle name="Output 2 4 4 3 2 2" xfId="38158"/>
    <cellStyle name="Output 2 4 4 3 3" xfId="38159"/>
    <cellStyle name="Output 2 4 4 4" xfId="38160"/>
    <cellStyle name="Output 2 4 4 4 2" xfId="38161"/>
    <cellStyle name="Output 2 4 4 4 2 2" xfId="38162"/>
    <cellStyle name="Output 2 4 4 4 3" xfId="38163"/>
    <cellStyle name="Output 2 4 4 5" xfId="38164"/>
    <cellStyle name="Output 2 4 4 5 2" xfId="38165"/>
    <cellStyle name="Output 2 4 4 5 2 2" xfId="38166"/>
    <cellStyle name="Output 2 4 4 5 3" xfId="38167"/>
    <cellStyle name="Output 2 4 4 6" xfId="38168"/>
    <cellStyle name="Output 2 4 4 7" xfId="38169"/>
    <cellStyle name="Output 2 4 40" xfId="38170"/>
    <cellStyle name="Output 2 4 40 2" xfId="38171"/>
    <cellStyle name="Output 2 4 40 2 2" xfId="38172"/>
    <cellStyle name="Output 2 4 40 2 2 2" xfId="38173"/>
    <cellStyle name="Output 2 4 40 2 3" xfId="38174"/>
    <cellStyle name="Output 2 4 40 3" xfId="38175"/>
    <cellStyle name="Output 2 4 40 3 2" xfId="38176"/>
    <cellStyle name="Output 2 4 40 3 2 2" xfId="38177"/>
    <cellStyle name="Output 2 4 40 3 3" xfId="38178"/>
    <cellStyle name="Output 2 4 40 4" xfId="38179"/>
    <cellStyle name="Output 2 4 40 5" xfId="38180"/>
    <cellStyle name="Output 2 4 41" xfId="38181"/>
    <cellStyle name="Output 2 4 41 2" xfId="38182"/>
    <cellStyle name="Output 2 4 41 2 2" xfId="38183"/>
    <cellStyle name="Output 2 4 41 2 2 2" xfId="38184"/>
    <cellStyle name="Output 2 4 41 2 3" xfId="38185"/>
    <cellStyle name="Output 2 4 41 3" xfId="38186"/>
    <cellStyle name="Output 2 4 41 3 2" xfId="38187"/>
    <cellStyle name="Output 2 4 41 3 2 2" xfId="38188"/>
    <cellStyle name="Output 2 4 41 3 3" xfId="38189"/>
    <cellStyle name="Output 2 4 41 4" xfId="38190"/>
    <cellStyle name="Output 2 4 41 5" xfId="38191"/>
    <cellStyle name="Output 2 4 42" xfId="38192"/>
    <cellStyle name="Output 2 4 42 2" xfId="38193"/>
    <cellStyle name="Output 2 4 42 2 2" xfId="38194"/>
    <cellStyle name="Output 2 4 42 2 2 2" xfId="38195"/>
    <cellStyle name="Output 2 4 42 2 3" xfId="38196"/>
    <cellStyle name="Output 2 4 42 3" xfId="38197"/>
    <cellStyle name="Output 2 4 42 3 2" xfId="38198"/>
    <cellStyle name="Output 2 4 42 3 2 2" xfId="38199"/>
    <cellStyle name="Output 2 4 42 3 3" xfId="38200"/>
    <cellStyle name="Output 2 4 42 4" xfId="38201"/>
    <cellStyle name="Output 2 4 42 5" xfId="38202"/>
    <cellStyle name="Output 2 4 43" xfId="38203"/>
    <cellStyle name="Output 2 4 43 2" xfId="38204"/>
    <cellStyle name="Output 2 4 43 2 2" xfId="38205"/>
    <cellStyle name="Output 2 4 43 2 2 2" xfId="38206"/>
    <cellStyle name="Output 2 4 43 2 3" xfId="38207"/>
    <cellStyle name="Output 2 4 43 3" xfId="38208"/>
    <cellStyle name="Output 2 4 43 3 2" xfId="38209"/>
    <cellStyle name="Output 2 4 43 3 2 2" xfId="38210"/>
    <cellStyle name="Output 2 4 43 3 3" xfId="38211"/>
    <cellStyle name="Output 2 4 43 4" xfId="38212"/>
    <cellStyle name="Output 2 4 43 5" xfId="38213"/>
    <cellStyle name="Output 2 4 44" xfId="38214"/>
    <cellStyle name="Output 2 4 44 2" xfId="38215"/>
    <cellStyle name="Output 2 4 44 2 2" xfId="38216"/>
    <cellStyle name="Output 2 4 44 2 2 2" xfId="38217"/>
    <cellStyle name="Output 2 4 44 2 3" xfId="38218"/>
    <cellStyle name="Output 2 4 44 3" xfId="38219"/>
    <cellStyle name="Output 2 4 44 3 2" xfId="38220"/>
    <cellStyle name="Output 2 4 44 3 2 2" xfId="38221"/>
    <cellStyle name="Output 2 4 44 3 3" xfId="38222"/>
    <cellStyle name="Output 2 4 44 4" xfId="38223"/>
    <cellStyle name="Output 2 4 44 5" xfId="38224"/>
    <cellStyle name="Output 2 4 45" xfId="38225"/>
    <cellStyle name="Output 2 4 45 2" xfId="38226"/>
    <cellStyle name="Output 2 4 45 2 2" xfId="38227"/>
    <cellStyle name="Output 2 4 45 2 2 2" xfId="38228"/>
    <cellStyle name="Output 2 4 45 2 3" xfId="38229"/>
    <cellStyle name="Output 2 4 45 3" xfId="38230"/>
    <cellStyle name="Output 2 4 45 3 2" xfId="38231"/>
    <cellStyle name="Output 2 4 45 3 2 2" xfId="38232"/>
    <cellStyle name="Output 2 4 45 3 3" xfId="38233"/>
    <cellStyle name="Output 2 4 45 4" xfId="38234"/>
    <cellStyle name="Output 2 4 45 5" xfId="38235"/>
    <cellStyle name="Output 2 4 46" xfId="38236"/>
    <cellStyle name="Output 2 4 46 2" xfId="38237"/>
    <cellStyle name="Output 2 4 46 2 2" xfId="38238"/>
    <cellStyle name="Output 2 4 46 2 2 2" xfId="38239"/>
    <cellStyle name="Output 2 4 46 2 3" xfId="38240"/>
    <cellStyle name="Output 2 4 46 3" xfId="38241"/>
    <cellStyle name="Output 2 4 46 3 2" xfId="38242"/>
    <cellStyle name="Output 2 4 46 3 2 2" xfId="38243"/>
    <cellStyle name="Output 2 4 46 3 3" xfId="38244"/>
    <cellStyle name="Output 2 4 46 4" xfId="38245"/>
    <cellStyle name="Output 2 4 46 5" xfId="38246"/>
    <cellStyle name="Output 2 4 47" xfId="38247"/>
    <cellStyle name="Output 2 4 47 2" xfId="38248"/>
    <cellStyle name="Output 2 4 47 2 2" xfId="38249"/>
    <cellStyle name="Output 2 4 47 2 2 2" xfId="38250"/>
    <cellStyle name="Output 2 4 47 2 3" xfId="38251"/>
    <cellStyle name="Output 2 4 47 3" xfId="38252"/>
    <cellStyle name="Output 2 4 47 3 2" xfId="38253"/>
    <cellStyle name="Output 2 4 47 3 2 2" xfId="38254"/>
    <cellStyle name="Output 2 4 47 3 3" xfId="38255"/>
    <cellStyle name="Output 2 4 47 4" xfId="38256"/>
    <cellStyle name="Output 2 4 47 5" xfId="38257"/>
    <cellStyle name="Output 2 4 48" xfId="38258"/>
    <cellStyle name="Output 2 4 48 2" xfId="38259"/>
    <cellStyle name="Output 2 4 48 2 2" xfId="38260"/>
    <cellStyle name="Output 2 4 48 2 2 2" xfId="38261"/>
    <cellStyle name="Output 2 4 48 2 3" xfId="38262"/>
    <cellStyle name="Output 2 4 48 3" xfId="38263"/>
    <cellStyle name="Output 2 4 48 3 2" xfId="38264"/>
    <cellStyle name="Output 2 4 48 3 2 2" xfId="38265"/>
    <cellStyle name="Output 2 4 48 3 3" xfId="38266"/>
    <cellStyle name="Output 2 4 48 4" xfId="38267"/>
    <cellStyle name="Output 2 4 48 5" xfId="38268"/>
    <cellStyle name="Output 2 4 49" xfId="38269"/>
    <cellStyle name="Output 2 4 49 2" xfId="38270"/>
    <cellStyle name="Output 2 4 49 2 2" xfId="38271"/>
    <cellStyle name="Output 2 4 49 3" xfId="38272"/>
    <cellStyle name="Output 2 4 5" xfId="38273"/>
    <cellStyle name="Output 2 4 5 2" xfId="38274"/>
    <cellStyle name="Output 2 4 5 2 2" xfId="38275"/>
    <cellStyle name="Output 2 4 5 2 2 2" xfId="38276"/>
    <cellStyle name="Output 2 4 5 2 3" xfId="38277"/>
    <cellStyle name="Output 2 4 5 3" xfId="38278"/>
    <cellStyle name="Output 2 4 5 3 2" xfId="38279"/>
    <cellStyle name="Output 2 4 5 3 2 2" xfId="38280"/>
    <cellStyle name="Output 2 4 5 3 3" xfId="38281"/>
    <cellStyle name="Output 2 4 5 4" xfId="38282"/>
    <cellStyle name="Output 2 4 5 4 2" xfId="38283"/>
    <cellStyle name="Output 2 4 5 4 2 2" xfId="38284"/>
    <cellStyle name="Output 2 4 5 4 3" xfId="38285"/>
    <cellStyle name="Output 2 4 5 5" xfId="38286"/>
    <cellStyle name="Output 2 4 5 5 2" xfId="38287"/>
    <cellStyle name="Output 2 4 5 5 2 2" xfId="38288"/>
    <cellStyle name="Output 2 4 5 5 3" xfId="38289"/>
    <cellStyle name="Output 2 4 5 6" xfId="38290"/>
    <cellStyle name="Output 2 4 5 7" xfId="38291"/>
    <cellStyle name="Output 2 4 50" xfId="38292"/>
    <cellStyle name="Output 2 4 50 2" xfId="38293"/>
    <cellStyle name="Output 2 4 50 2 2" xfId="38294"/>
    <cellStyle name="Output 2 4 50 3" xfId="38295"/>
    <cellStyle name="Output 2 4 51" xfId="38296"/>
    <cellStyle name="Output 2 4 51 2" xfId="38297"/>
    <cellStyle name="Output 2 4 51 2 2" xfId="38298"/>
    <cellStyle name="Output 2 4 51 3" xfId="38299"/>
    <cellStyle name="Output 2 4 52" xfId="38300"/>
    <cellStyle name="Output 2 4 52 2" xfId="38301"/>
    <cellStyle name="Output 2 4 52 2 2" xfId="38302"/>
    <cellStyle name="Output 2 4 52 3" xfId="38303"/>
    <cellStyle name="Output 2 4 53" xfId="38304"/>
    <cellStyle name="Output 2 4 54" xfId="38305"/>
    <cellStyle name="Output 2 4 6" xfId="38306"/>
    <cellStyle name="Output 2 4 6 2" xfId="38307"/>
    <cellStyle name="Output 2 4 6 2 2" xfId="38308"/>
    <cellStyle name="Output 2 4 6 2 2 2" xfId="38309"/>
    <cellStyle name="Output 2 4 6 2 3" xfId="38310"/>
    <cellStyle name="Output 2 4 6 3" xfId="38311"/>
    <cellStyle name="Output 2 4 6 3 2" xfId="38312"/>
    <cellStyle name="Output 2 4 6 3 2 2" xfId="38313"/>
    <cellStyle name="Output 2 4 6 3 3" xfId="38314"/>
    <cellStyle name="Output 2 4 6 4" xfId="38315"/>
    <cellStyle name="Output 2 4 6 4 2" xfId="38316"/>
    <cellStyle name="Output 2 4 6 4 2 2" xfId="38317"/>
    <cellStyle name="Output 2 4 6 4 3" xfId="38318"/>
    <cellStyle name="Output 2 4 6 5" xfId="38319"/>
    <cellStyle name="Output 2 4 6 5 2" xfId="38320"/>
    <cellStyle name="Output 2 4 6 5 2 2" xfId="38321"/>
    <cellStyle name="Output 2 4 6 5 3" xfId="38322"/>
    <cellStyle name="Output 2 4 6 6" xfId="38323"/>
    <cellStyle name="Output 2 4 6 7" xfId="38324"/>
    <cellStyle name="Output 2 4 7" xfId="38325"/>
    <cellStyle name="Output 2 4 7 2" xfId="38326"/>
    <cellStyle name="Output 2 4 7 2 2" xfId="38327"/>
    <cellStyle name="Output 2 4 7 2 2 2" xfId="38328"/>
    <cellStyle name="Output 2 4 7 2 3" xfId="38329"/>
    <cellStyle name="Output 2 4 7 3" xfId="38330"/>
    <cellStyle name="Output 2 4 7 3 2" xfId="38331"/>
    <cellStyle name="Output 2 4 7 3 2 2" xfId="38332"/>
    <cellStyle name="Output 2 4 7 3 3" xfId="38333"/>
    <cellStyle name="Output 2 4 7 4" xfId="38334"/>
    <cellStyle name="Output 2 4 7 4 2" xfId="38335"/>
    <cellStyle name="Output 2 4 7 4 2 2" xfId="38336"/>
    <cellStyle name="Output 2 4 7 4 3" xfId="38337"/>
    <cellStyle name="Output 2 4 7 5" xfId="38338"/>
    <cellStyle name="Output 2 4 7 5 2" xfId="38339"/>
    <cellStyle name="Output 2 4 7 5 2 2" xfId="38340"/>
    <cellStyle name="Output 2 4 7 5 3" xfId="38341"/>
    <cellStyle name="Output 2 4 7 6" xfId="38342"/>
    <cellStyle name="Output 2 4 7 7" xfId="38343"/>
    <cellStyle name="Output 2 4 8" xfId="38344"/>
    <cellStyle name="Output 2 4 8 2" xfId="38345"/>
    <cellStyle name="Output 2 4 8 2 2" xfId="38346"/>
    <cellStyle name="Output 2 4 8 2 2 2" xfId="38347"/>
    <cellStyle name="Output 2 4 8 2 3" xfId="38348"/>
    <cellStyle name="Output 2 4 8 3" xfId="38349"/>
    <cellStyle name="Output 2 4 8 3 2" xfId="38350"/>
    <cellStyle name="Output 2 4 8 3 2 2" xfId="38351"/>
    <cellStyle name="Output 2 4 8 3 3" xfId="38352"/>
    <cellStyle name="Output 2 4 8 4" xfId="38353"/>
    <cellStyle name="Output 2 4 8 4 2" xfId="38354"/>
    <cellStyle name="Output 2 4 8 4 2 2" xfId="38355"/>
    <cellStyle name="Output 2 4 8 4 3" xfId="38356"/>
    <cellStyle name="Output 2 4 8 5" xfId="38357"/>
    <cellStyle name="Output 2 4 8 5 2" xfId="38358"/>
    <cellStyle name="Output 2 4 8 5 2 2" xfId="38359"/>
    <cellStyle name="Output 2 4 8 5 3" xfId="38360"/>
    <cellStyle name="Output 2 4 8 6" xfId="38361"/>
    <cellStyle name="Output 2 4 8 7" xfId="38362"/>
    <cellStyle name="Output 2 4 9" xfId="38363"/>
    <cellStyle name="Output 2 4 9 2" xfId="38364"/>
    <cellStyle name="Output 2 4 9 2 2" xfId="38365"/>
    <cellStyle name="Output 2 4 9 2 2 2" xfId="38366"/>
    <cellStyle name="Output 2 4 9 2 3" xfId="38367"/>
    <cellStyle name="Output 2 4 9 3" xfId="38368"/>
    <cellStyle name="Output 2 4 9 3 2" xfId="38369"/>
    <cellStyle name="Output 2 4 9 3 2 2" xfId="38370"/>
    <cellStyle name="Output 2 4 9 3 3" xfId="38371"/>
    <cellStyle name="Output 2 4 9 4" xfId="38372"/>
    <cellStyle name="Output 2 4 9 5" xfId="38373"/>
    <cellStyle name="Output 2 5" xfId="38374"/>
    <cellStyle name="Output 2 5 10" xfId="38375"/>
    <cellStyle name="Output 2 5 10 2" xfId="38376"/>
    <cellStyle name="Output 2 5 10 2 2" xfId="38377"/>
    <cellStyle name="Output 2 5 10 2 2 2" xfId="38378"/>
    <cellStyle name="Output 2 5 10 2 3" xfId="38379"/>
    <cellStyle name="Output 2 5 10 3" xfId="38380"/>
    <cellStyle name="Output 2 5 10 3 2" xfId="38381"/>
    <cellStyle name="Output 2 5 10 3 2 2" xfId="38382"/>
    <cellStyle name="Output 2 5 10 3 3" xfId="38383"/>
    <cellStyle name="Output 2 5 10 4" xfId="38384"/>
    <cellStyle name="Output 2 5 10 5" xfId="38385"/>
    <cellStyle name="Output 2 5 11" xfId="38386"/>
    <cellStyle name="Output 2 5 11 2" xfId="38387"/>
    <cellStyle name="Output 2 5 11 2 2" xfId="38388"/>
    <cellStyle name="Output 2 5 11 2 2 2" xfId="38389"/>
    <cellStyle name="Output 2 5 11 2 3" xfId="38390"/>
    <cellStyle name="Output 2 5 11 3" xfId="38391"/>
    <cellStyle name="Output 2 5 11 3 2" xfId="38392"/>
    <cellStyle name="Output 2 5 11 3 2 2" xfId="38393"/>
    <cellStyle name="Output 2 5 11 3 3" xfId="38394"/>
    <cellStyle name="Output 2 5 11 4" xfId="38395"/>
    <cellStyle name="Output 2 5 11 5" xfId="38396"/>
    <cellStyle name="Output 2 5 12" xfId="38397"/>
    <cellStyle name="Output 2 5 12 2" xfId="38398"/>
    <cellStyle name="Output 2 5 12 2 2" xfId="38399"/>
    <cellStyle name="Output 2 5 12 2 2 2" xfId="38400"/>
    <cellStyle name="Output 2 5 12 2 3" xfId="38401"/>
    <cellStyle name="Output 2 5 12 3" xfId="38402"/>
    <cellStyle name="Output 2 5 12 3 2" xfId="38403"/>
    <cellStyle name="Output 2 5 12 3 2 2" xfId="38404"/>
    <cellStyle name="Output 2 5 12 3 3" xfId="38405"/>
    <cellStyle name="Output 2 5 12 4" xfId="38406"/>
    <cellStyle name="Output 2 5 12 5" xfId="38407"/>
    <cellStyle name="Output 2 5 13" xfId="38408"/>
    <cellStyle name="Output 2 5 13 2" xfId="38409"/>
    <cellStyle name="Output 2 5 13 2 2" xfId="38410"/>
    <cellStyle name="Output 2 5 13 2 2 2" xfId="38411"/>
    <cellStyle name="Output 2 5 13 2 3" xfId="38412"/>
    <cellStyle name="Output 2 5 13 3" xfId="38413"/>
    <cellStyle name="Output 2 5 13 3 2" xfId="38414"/>
    <cellStyle name="Output 2 5 13 3 2 2" xfId="38415"/>
    <cellStyle name="Output 2 5 13 3 3" xfId="38416"/>
    <cellStyle name="Output 2 5 13 4" xfId="38417"/>
    <cellStyle name="Output 2 5 13 5" xfId="38418"/>
    <cellStyle name="Output 2 5 14" xfId="38419"/>
    <cellStyle name="Output 2 5 14 2" xfId="38420"/>
    <cellStyle name="Output 2 5 14 2 2" xfId="38421"/>
    <cellStyle name="Output 2 5 14 2 2 2" xfId="38422"/>
    <cellStyle name="Output 2 5 14 2 3" xfId="38423"/>
    <cellStyle name="Output 2 5 14 3" xfId="38424"/>
    <cellStyle name="Output 2 5 14 3 2" xfId="38425"/>
    <cellStyle name="Output 2 5 14 3 2 2" xfId="38426"/>
    <cellStyle name="Output 2 5 14 3 3" xfId="38427"/>
    <cellStyle name="Output 2 5 14 4" xfId="38428"/>
    <cellStyle name="Output 2 5 14 5" xfId="38429"/>
    <cellStyle name="Output 2 5 15" xfId="38430"/>
    <cellStyle name="Output 2 5 15 2" xfId="38431"/>
    <cellStyle name="Output 2 5 15 2 2" xfId="38432"/>
    <cellStyle name="Output 2 5 15 2 2 2" xfId="38433"/>
    <cellStyle name="Output 2 5 15 2 3" xfId="38434"/>
    <cellStyle name="Output 2 5 15 3" xfId="38435"/>
    <cellStyle name="Output 2 5 15 3 2" xfId="38436"/>
    <cellStyle name="Output 2 5 15 3 2 2" xfId="38437"/>
    <cellStyle name="Output 2 5 15 3 3" xfId="38438"/>
    <cellStyle name="Output 2 5 15 4" xfId="38439"/>
    <cellStyle name="Output 2 5 15 5" xfId="38440"/>
    <cellStyle name="Output 2 5 16" xfId="38441"/>
    <cellStyle name="Output 2 5 16 2" xfId="38442"/>
    <cellStyle name="Output 2 5 16 2 2" xfId="38443"/>
    <cellStyle name="Output 2 5 16 2 2 2" xfId="38444"/>
    <cellStyle name="Output 2 5 16 2 3" xfId="38445"/>
    <cellStyle name="Output 2 5 16 3" xfId="38446"/>
    <cellStyle name="Output 2 5 16 3 2" xfId="38447"/>
    <cellStyle name="Output 2 5 16 3 2 2" xfId="38448"/>
    <cellStyle name="Output 2 5 16 3 3" xfId="38449"/>
    <cellStyle name="Output 2 5 16 4" xfId="38450"/>
    <cellStyle name="Output 2 5 16 5" xfId="38451"/>
    <cellStyle name="Output 2 5 17" xfId="38452"/>
    <cellStyle name="Output 2 5 17 2" xfId="38453"/>
    <cellStyle name="Output 2 5 17 2 2" xfId="38454"/>
    <cellStyle name="Output 2 5 17 2 2 2" xfId="38455"/>
    <cellStyle name="Output 2 5 17 2 3" xfId="38456"/>
    <cellStyle name="Output 2 5 17 3" xfId="38457"/>
    <cellStyle name="Output 2 5 17 3 2" xfId="38458"/>
    <cellStyle name="Output 2 5 17 3 2 2" xfId="38459"/>
    <cellStyle name="Output 2 5 17 3 3" xfId="38460"/>
    <cellStyle name="Output 2 5 17 4" xfId="38461"/>
    <cellStyle name="Output 2 5 17 5" xfId="38462"/>
    <cellStyle name="Output 2 5 18" xfId="38463"/>
    <cellStyle name="Output 2 5 18 2" xfId="38464"/>
    <cellStyle name="Output 2 5 18 2 2" xfId="38465"/>
    <cellStyle name="Output 2 5 18 2 2 2" xfId="38466"/>
    <cellStyle name="Output 2 5 18 2 3" xfId="38467"/>
    <cellStyle name="Output 2 5 18 3" xfId="38468"/>
    <cellStyle name="Output 2 5 18 3 2" xfId="38469"/>
    <cellStyle name="Output 2 5 18 3 2 2" xfId="38470"/>
    <cellStyle name="Output 2 5 18 3 3" xfId="38471"/>
    <cellStyle name="Output 2 5 18 4" xfId="38472"/>
    <cellStyle name="Output 2 5 18 5" xfId="38473"/>
    <cellStyle name="Output 2 5 19" xfId="38474"/>
    <cellStyle name="Output 2 5 19 2" xfId="38475"/>
    <cellStyle name="Output 2 5 19 2 2" xfId="38476"/>
    <cellStyle name="Output 2 5 19 2 2 2" xfId="38477"/>
    <cellStyle name="Output 2 5 19 2 3" xfId="38478"/>
    <cellStyle name="Output 2 5 19 3" xfId="38479"/>
    <cellStyle name="Output 2 5 19 3 2" xfId="38480"/>
    <cellStyle name="Output 2 5 19 3 2 2" xfId="38481"/>
    <cellStyle name="Output 2 5 19 3 3" xfId="38482"/>
    <cellStyle name="Output 2 5 19 4" xfId="38483"/>
    <cellStyle name="Output 2 5 19 5" xfId="38484"/>
    <cellStyle name="Output 2 5 2" xfId="38485"/>
    <cellStyle name="Output 2 5 2 2" xfId="38486"/>
    <cellStyle name="Output 2 5 2 2 2" xfId="38487"/>
    <cellStyle name="Output 2 5 2 2 2 2" xfId="38488"/>
    <cellStyle name="Output 2 5 2 2 3" xfId="38489"/>
    <cellStyle name="Output 2 5 2 3" xfId="38490"/>
    <cellStyle name="Output 2 5 2 3 2" xfId="38491"/>
    <cellStyle name="Output 2 5 2 3 2 2" xfId="38492"/>
    <cellStyle name="Output 2 5 2 3 3" xfId="38493"/>
    <cellStyle name="Output 2 5 2 4" xfId="38494"/>
    <cellStyle name="Output 2 5 2 4 2" xfId="38495"/>
    <cellStyle name="Output 2 5 2 4 2 2" xfId="38496"/>
    <cellStyle name="Output 2 5 2 4 3" xfId="38497"/>
    <cellStyle name="Output 2 5 2 5" xfId="38498"/>
    <cellStyle name="Output 2 5 2 5 2" xfId="38499"/>
    <cellStyle name="Output 2 5 2 5 2 2" xfId="38500"/>
    <cellStyle name="Output 2 5 2 5 3" xfId="38501"/>
    <cellStyle name="Output 2 5 2 6" xfId="38502"/>
    <cellStyle name="Output 2 5 2 7" xfId="38503"/>
    <cellStyle name="Output 2 5 20" xfId="38504"/>
    <cellStyle name="Output 2 5 20 2" xfId="38505"/>
    <cellStyle name="Output 2 5 20 2 2" xfId="38506"/>
    <cellStyle name="Output 2 5 20 2 2 2" xfId="38507"/>
    <cellStyle name="Output 2 5 20 2 3" xfId="38508"/>
    <cellStyle name="Output 2 5 20 3" xfId="38509"/>
    <cellStyle name="Output 2 5 20 3 2" xfId="38510"/>
    <cellStyle name="Output 2 5 20 3 2 2" xfId="38511"/>
    <cellStyle name="Output 2 5 20 3 3" xfId="38512"/>
    <cellStyle name="Output 2 5 20 4" xfId="38513"/>
    <cellStyle name="Output 2 5 20 5" xfId="38514"/>
    <cellStyle name="Output 2 5 21" xfId="38515"/>
    <cellStyle name="Output 2 5 21 2" xfId="38516"/>
    <cellStyle name="Output 2 5 21 2 2" xfId="38517"/>
    <cellStyle name="Output 2 5 21 2 2 2" xfId="38518"/>
    <cellStyle name="Output 2 5 21 2 3" xfId="38519"/>
    <cellStyle name="Output 2 5 21 3" xfId="38520"/>
    <cellStyle name="Output 2 5 21 3 2" xfId="38521"/>
    <cellStyle name="Output 2 5 21 3 2 2" xfId="38522"/>
    <cellStyle name="Output 2 5 21 3 3" xfId="38523"/>
    <cellStyle name="Output 2 5 21 4" xfId="38524"/>
    <cellStyle name="Output 2 5 21 5" xfId="38525"/>
    <cellStyle name="Output 2 5 22" xfId="38526"/>
    <cellStyle name="Output 2 5 22 2" xfId="38527"/>
    <cellStyle name="Output 2 5 22 2 2" xfId="38528"/>
    <cellStyle name="Output 2 5 22 2 2 2" xfId="38529"/>
    <cellStyle name="Output 2 5 22 2 3" xfId="38530"/>
    <cellStyle name="Output 2 5 22 3" xfId="38531"/>
    <cellStyle name="Output 2 5 22 3 2" xfId="38532"/>
    <cellStyle name="Output 2 5 22 3 2 2" xfId="38533"/>
    <cellStyle name="Output 2 5 22 3 3" xfId="38534"/>
    <cellStyle name="Output 2 5 22 4" xfId="38535"/>
    <cellStyle name="Output 2 5 22 5" xfId="38536"/>
    <cellStyle name="Output 2 5 23" xfId="38537"/>
    <cellStyle name="Output 2 5 23 2" xfId="38538"/>
    <cellStyle name="Output 2 5 23 2 2" xfId="38539"/>
    <cellStyle name="Output 2 5 23 2 2 2" xfId="38540"/>
    <cellStyle name="Output 2 5 23 2 3" xfId="38541"/>
    <cellStyle name="Output 2 5 23 3" xfId="38542"/>
    <cellStyle name="Output 2 5 23 3 2" xfId="38543"/>
    <cellStyle name="Output 2 5 23 3 2 2" xfId="38544"/>
    <cellStyle name="Output 2 5 23 3 3" xfId="38545"/>
    <cellStyle name="Output 2 5 23 4" xfId="38546"/>
    <cellStyle name="Output 2 5 23 5" xfId="38547"/>
    <cellStyle name="Output 2 5 24" xfId="38548"/>
    <cellStyle name="Output 2 5 24 2" xfId="38549"/>
    <cellStyle name="Output 2 5 24 2 2" xfId="38550"/>
    <cellStyle name="Output 2 5 24 2 2 2" xfId="38551"/>
    <cellStyle name="Output 2 5 24 2 3" xfId="38552"/>
    <cellStyle name="Output 2 5 24 3" xfId="38553"/>
    <cellStyle name="Output 2 5 24 3 2" xfId="38554"/>
    <cellStyle name="Output 2 5 24 3 2 2" xfId="38555"/>
    <cellStyle name="Output 2 5 24 3 3" xfId="38556"/>
    <cellStyle name="Output 2 5 24 4" xfId="38557"/>
    <cellStyle name="Output 2 5 24 5" xfId="38558"/>
    <cellStyle name="Output 2 5 25" xfId="38559"/>
    <cellStyle name="Output 2 5 25 2" xfId="38560"/>
    <cellStyle name="Output 2 5 25 2 2" xfId="38561"/>
    <cellStyle name="Output 2 5 25 2 2 2" xfId="38562"/>
    <cellStyle name="Output 2 5 25 2 3" xfId="38563"/>
    <cellStyle name="Output 2 5 25 3" xfId="38564"/>
    <cellStyle name="Output 2 5 25 3 2" xfId="38565"/>
    <cellStyle name="Output 2 5 25 3 2 2" xfId="38566"/>
    <cellStyle name="Output 2 5 25 3 3" xfId="38567"/>
    <cellStyle name="Output 2 5 25 4" xfId="38568"/>
    <cellStyle name="Output 2 5 25 5" xfId="38569"/>
    <cellStyle name="Output 2 5 26" xfId="38570"/>
    <cellStyle name="Output 2 5 26 2" xfId="38571"/>
    <cellStyle name="Output 2 5 26 2 2" xfId="38572"/>
    <cellStyle name="Output 2 5 26 2 2 2" xfId="38573"/>
    <cellStyle name="Output 2 5 26 2 3" xfId="38574"/>
    <cellStyle name="Output 2 5 26 3" xfId="38575"/>
    <cellStyle name="Output 2 5 26 3 2" xfId="38576"/>
    <cellStyle name="Output 2 5 26 3 2 2" xfId="38577"/>
    <cellStyle name="Output 2 5 26 3 3" xfId="38578"/>
    <cellStyle name="Output 2 5 26 4" xfId="38579"/>
    <cellStyle name="Output 2 5 26 5" xfId="38580"/>
    <cellStyle name="Output 2 5 27" xfId="38581"/>
    <cellStyle name="Output 2 5 27 2" xfId="38582"/>
    <cellStyle name="Output 2 5 27 2 2" xfId="38583"/>
    <cellStyle name="Output 2 5 27 2 2 2" xfId="38584"/>
    <cellStyle name="Output 2 5 27 2 3" xfId="38585"/>
    <cellStyle name="Output 2 5 27 3" xfId="38586"/>
    <cellStyle name="Output 2 5 27 3 2" xfId="38587"/>
    <cellStyle name="Output 2 5 27 3 2 2" xfId="38588"/>
    <cellStyle name="Output 2 5 27 3 3" xfId="38589"/>
    <cellStyle name="Output 2 5 27 4" xfId="38590"/>
    <cellStyle name="Output 2 5 27 5" xfId="38591"/>
    <cellStyle name="Output 2 5 28" xfId="38592"/>
    <cellStyle name="Output 2 5 28 2" xfId="38593"/>
    <cellStyle name="Output 2 5 28 2 2" xfId="38594"/>
    <cellStyle name="Output 2 5 28 2 2 2" xfId="38595"/>
    <cellStyle name="Output 2 5 28 2 3" xfId="38596"/>
    <cellStyle name="Output 2 5 28 3" xfId="38597"/>
    <cellStyle name="Output 2 5 28 3 2" xfId="38598"/>
    <cellStyle name="Output 2 5 28 3 2 2" xfId="38599"/>
    <cellStyle name="Output 2 5 28 3 3" xfId="38600"/>
    <cellStyle name="Output 2 5 28 4" xfId="38601"/>
    <cellStyle name="Output 2 5 28 5" xfId="38602"/>
    <cellStyle name="Output 2 5 29" xfId="38603"/>
    <cellStyle name="Output 2 5 29 2" xfId="38604"/>
    <cellStyle name="Output 2 5 29 2 2" xfId="38605"/>
    <cellStyle name="Output 2 5 29 2 2 2" xfId="38606"/>
    <cellStyle name="Output 2 5 29 2 3" xfId="38607"/>
    <cellStyle name="Output 2 5 29 3" xfId="38608"/>
    <cellStyle name="Output 2 5 29 3 2" xfId="38609"/>
    <cellStyle name="Output 2 5 29 3 2 2" xfId="38610"/>
    <cellStyle name="Output 2 5 29 3 3" xfId="38611"/>
    <cellStyle name="Output 2 5 29 4" xfId="38612"/>
    <cellStyle name="Output 2 5 29 5" xfId="38613"/>
    <cellStyle name="Output 2 5 3" xfId="38614"/>
    <cellStyle name="Output 2 5 3 2" xfId="38615"/>
    <cellStyle name="Output 2 5 3 2 2" xfId="38616"/>
    <cellStyle name="Output 2 5 3 2 2 2" xfId="38617"/>
    <cellStyle name="Output 2 5 3 2 3" xfId="38618"/>
    <cellStyle name="Output 2 5 3 3" xfId="38619"/>
    <cellStyle name="Output 2 5 3 3 2" xfId="38620"/>
    <cellStyle name="Output 2 5 3 3 2 2" xfId="38621"/>
    <cellStyle name="Output 2 5 3 3 3" xfId="38622"/>
    <cellStyle name="Output 2 5 3 4" xfId="38623"/>
    <cellStyle name="Output 2 5 3 4 2" xfId="38624"/>
    <cellStyle name="Output 2 5 3 4 2 2" xfId="38625"/>
    <cellStyle name="Output 2 5 3 4 3" xfId="38626"/>
    <cellStyle name="Output 2 5 3 5" xfId="38627"/>
    <cellStyle name="Output 2 5 3 5 2" xfId="38628"/>
    <cellStyle name="Output 2 5 3 5 2 2" xfId="38629"/>
    <cellStyle name="Output 2 5 3 5 3" xfId="38630"/>
    <cellStyle name="Output 2 5 3 6" xfId="38631"/>
    <cellStyle name="Output 2 5 3 7" xfId="38632"/>
    <cellStyle name="Output 2 5 30" xfId="38633"/>
    <cellStyle name="Output 2 5 30 2" xfId="38634"/>
    <cellStyle name="Output 2 5 30 2 2" xfId="38635"/>
    <cellStyle name="Output 2 5 30 2 2 2" xfId="38636"/>
    <cellStyle name="Output 2 5 30 2 3" xfId="38637"/>
    <cellStyle name="Output 2 5 30 3" xfId="38638"/>
    <cellStyle name="Output 2 5 30 3 2" xfId="38639"/>
    <cellStyle name="Output 2 5 30 3 2 2" xfId="38640"/>
    <cellStyle name="Output 2 5 30 3 3" xfId="38641"/>
    <cellStyle name="Output 2 5 30 4" xfId="38642"/>
    <cellStyle name="Output 2 5 30 5" xfId="38643"/>
    <cellStyle name="Output 2 5 31" xfId="38644"/>
    <cellStyle name="Output 2 5 31 2" xfId="38645"/>
    <cellStyle name="Output 2 5 31 2 2" xfId="38646"/>
    <cellStyle name="Output 2 5 31 2 2 2" xfId="38647"/>
    <cellStyle name="Output 2 5 31 2 3" xfId="38648"/>
    <cellStyle name="Output 2 5 31 3" xfId="38649"/>
    <cellStyle name="Output 2 5 31 3 2" xfId="38650"/>
    <cellStyle name="Output 2 5 31 3 2 2" xfId="38651"/>
    <cellStyle name="Output 2 5 31 3 3" xfId="38652"/>
    <cellStyle name="Output 2 5 31 4" xfId="38653"/>
    <cellStyle name="Output 2 5 31 5" xfId="38654"/>
    <cellStyle name="Output 2 5 32" xfId="38655"/>
    <cellStyle name="Output 2 5 32 2" xfId="38656"/>
    <cellStyle name="Output 2 5 32 2 2" xfId="38657"/>
    <cellStyle name="Output 2 5 32 2 2 2" xfId="38658"/>
    <cellStyle name="Output 2 5 32 2 3" xfId="38659"/>
    <cellStyle name="Output 2 5 32 3" xfId="38660"/>
    <cellStyle name="Output 2 5 32 3 2" xfId="38661"/>
    <cellStyle name="Output 2 5 32 3 2 2" xfId="38662"/>
    <cellStyle name="Output 2 5 32 3 3" xfId="38663"/>
    <cellStyle name="Output 2 5 32 4" xfId="38664"/>
    <cellStyle name="Output 2 5 32 5" xfId="38665"/>
    <cellStyle name="Output 2 5 33" xfId="38666"/>
    <cellStyle name="Output 2 5 33 2" xfId="38667"/>
    <cellStyle name="Output 2 5 33 2 2" xfId="38668"/>
    <cellStyle name="Output 2 5 33 2 2 2" xfId="38669"/>
    <cellStyle name="Output 2 5 33 2 3" xfId="38670"/>
    <cellStyle name="Output 2 5 33 3" xfId="38671"/>
    <cellStyle name="Output 2 5 33 3 2" xfId="38672"/>
    <cellStyle name="Output 2 5 33 3 2 2" xfId="38673"/>
    <cellStyle name="Output 2 5 33 3 3" xfId="38674"/>
    <cellStyle name="Output 2 5 33 4" xfId="38675"/>
    <cellStyle name="Output 2 5 33 5" xfId="38676"/>
    <cellStyle name="Output 2 5 34" xfId="38677"/>
    <cellStyle name="Output 2 5 34 2" xfId="38678"/>
    <cellStyle name="Output 2 5 34 2 2" xfId="38679"/>
    <cellStyle name="Output 2 5 34 2 2 2" xfId="38680"/>
    <cellStyle name="Output 2 5 34 2 3" xfId="38681"/>
    <cellStyle name="Output 2 5 34 3" xfId="38682"/>
    <cellStyle name="Output 2 5 34 3 2" xfId="38683"/>
    <cellStyle name="Output 2 5 34 3 2 2" xfId="38684"/>
    <cellStyle name="Output 2 5 34 3 3" xfId="38685"/>
    <cellStyle name="Output 2 5 34 4" xfId="38686"/>
    <cellStyle name="Output 2 5 34 5" xfId="38687"/>
    <cellStyle name="Output 2 5 35" xfId="38688"/>
    <cellStyle name="Output 2 5 35 2" xfId="38689"/>
    <cellStyle name="Output 2 5 35 2 2" xfId="38690"/>
    <cellStyle name="Output 2 5 35 2 2 2" xfId="38691"/>
    <cellStyle name="Output 2 5 35 2 3" xfId="38692"/>
    <cellStyle name="Output 2 5 35 3" xfId="38693"/>
    <cellStyle name="Output 2 5 35 3 2" xfId="38694"/>
    <cellStyle name="Output 2 5 35 3 2 2" xfId="38695"/>
    <cellStyle name="Output 2 5 35 3 3" xfId="38696"/>
    <cellStyle name="Output 2 5 35 4" xfId="38697"/>
    <cellStyle name="Output 2 5 35 5" xfId="38698"/>
    <cellStyle name="Output 2 5 36" xfId="38699"/>
    <cellStyle name="Output 2 5 36 2" xfId="38700"/>
    <cellStyle name="Output 2 5 36 2 2" xfId="38701"/>
    <cellStyle name="Output 2 5 36 2 2 2" xfId="38702"/>
    <cellStyle name="Output 2 5 36 2 3" xfId="38703"/>
    <cellStyle name="Output 2 5 36 3" xfId="38704"/>
    <cellStyle name="Output 2 5 36 3 2" xfId="38705"/>
    <cellStyle name="Output 2 5 36 3 2 2" xfId="38706"/>
    <cellStyle name="Output 2 5 36 3 3" xfId="38707"/>
    <cellStyle name="Output 2 5 36 4" xfId="38708"/>
    <cellStyle name="Output 2 5 36 5" xfId="38709"/>
    <cellStyle name="Output 2 5 37" xfId="38710"/>
    <cellStyle name="Output 2 5 37 2" xfId="38711"/>
    <cellStyle name="Output 2 5 37 2 2" xfId="38712"/>
    <cellStyle name="Output 2 5 37 2 2 2" xfId="38713"/>
    <cellStyle name="Output 2 5 37 2 3" xfId="38714"/>
    <cellStyle name="Output 2 5 37 3" xfId="38715"/>
    <cellStyle name="Output 2 5 37 3 2" xfId="38716"/>
    <cellStyle name="Output 2 5 37 3 2 2" xfId="38717"/>
    <cellStyle name="Output 2 5 37 3 3" xfId="38718"/>
    <cellStyle name="Output 2 5 37 4" xfId="38719"/>
    <cellStyle name="Output 2 5 37 5" xfId="38720"/>
    <cellStyle name="Output 2 5 38" xfId="38721"/>
    <cellStyle name="Output 2 5 38 2" xfId="38722"/>
    <cellStyle name="Output 2 5 38 2 2" xfId="38723"/>
    <cellStyle name="Output 2 5 38 2 2 2" xfId="38724"/>
    <cellStyle name="Output 2 5 38 2 3" xfId="38725"/>
    <cellStyle name="Output 2 5 38 3" xfId="38726"/>
    <cellStyle name="Output 2 5 38 3 2" xfId="38727"/>
    <cellStyle name="Output 2 5 38 3 2 2" xfId="38728"/>
    <cellStyle name="Output 2 5 38 3 3" xfId="38729"/>
    <cellStyle name="Output 2 5 38 4" xfId="38730"/>
    <cellStyle name="Output 2 5 38 5" xfId="38731"/>
    <cellStyle name="Output 2 5 39" xfId="38732"/>
    <cellStyle name="Output 2 5 39 2" xfId="38733"/>
    <cellStyle name="Output 2 5 39 2 2" xfId="38734"/>
    <cellStyle name="Output 2 5 39 2 2 2" xfId="38735"/>
    <cellStyle name="Output 2 5 39 2 3" xfId="38736"/>
    <cellStyle name="Output 2 5 39 3" xfId="38737"/>
    <cellStyle name="Output 2 5 39 3 2" xfId="38738"/>
    <cellStyle name="Output 2 5 39 3 2 2" xfId="38739"/>
    <cellStyle name="Output 2 5 39 3 3" xfId="38740"/>
    <cellStyle name="Output 2 5 39 4" xfId="38741"/>
    <cellStyle name="Output 2 5 39 5" xfId="38742"/>
    <cellStyle name="Output 2 5 4" xfId="38743"/>
    <cellStyle name="Output 2 5 4 2" xfId="38744"/>
    <cellStyle name="Output 2 5 4 2 2" xfId="38745"/>
    <cellStyle name="Output 2 5 4 2 2 2" xfId="38746"/>
    <cellStyle name="Output 2 5 4 2 3" xfId="38747"/>
    <cellStyle name="Output 2 5 4 3" xfId="38748"/>
    <cellStyle name="Output 2 5 4 3 2" xfId="38749"/>
    <cellStyle name="Output 2 5 4 3 2 2" xfId="38750"/>
    <cellStyle name="Output 2 5 4 3 3" xfId="38751"/>
    <cellStyle name="Output 2 5 4 4" xfId="38752"/>
    <cellStyle name="Output 2 5 4 4 2" xfId="38753"/>
    <cellStyle name="Output 2 5 4 4 2 2" xfId="38754"/>
    <cellStyle name="Output 2 5 4 4 3" xfId="38755"/>
    <cellStyle name="Output 2 5 4 5" xfId="38756"/>
    <cellStyle name="Output 2 5 4 5 2" xfId="38757"/>
    <cellStyle name="Output 2 5 4 5 2 2" xfId="38758"/>
    <cellStyle name="Output 2 5 4 5 3" xfId="38759"/>
    <cellStyle name="Output 2 5 4 6" xfId="38760"/>
    <cellStyle name="Output 2 5 4 7" xfId="38761"/>
    <cellStyle name="Output 2 5 40" xfId="38762"/>
    <cellStyle name="Output 2 5 40 2" xfId="38763"/>
    <cellStyle name="Output 2 5 40 2 2" xfId="38764"/>
    <cellStyle name="Output 2 5 40 2 2 2" xfId="38765"/>
    <cellStyle name="Output 2 5 40 2 3" xfId="38766"/>
    <cellStyle name="Output 2 5 40 3" xfId="38767"/>
    <cellStyle name="Output 2 5 40 3 2" xfId="38768"/>
    <cellStyle name="Output 2 5 40 3 2 2" xfId="38769"/>
    <cellStyle name="Output 2 5 40 3 3" xfId="38770"/>
    <cellStyle name="Output 2 5 40 4" xfId="38771"/>
    <cellStyle name="Output 2 5 40 5" xfId="38772"/>
    <cellStyle name="Output 2 5 41" xfId="38773"/>
    <cellStyle name="Output 2 5 41 2" xfId="38774"/>
    <cellStyle name="Output 2 5 41 2 2" xfId="38775"/>
    <cellStyle name="Output 2 5 41 2 2 2" xfId="38776"/>
    <cellStyle name="Output 2 5 41 2 3" xfId="38777"/>
    <cellStyle name="Output 2 5 41 3" xfId="38778"/>
    <cellStyle name="Output 2 5 41 3 2" xfId="38779"/>
    <cellStyle name="Output 2 5 41 3 2 2" xfId="38780"/>
    <cellStyle name="Output 2 5 41 3 3" xfId="38781"/>
    <cellStyle name="Output 2 5 41 4" xfId="38782"/>
    <cellStyle name="Output 2 5 41 5" xfId="38783"/>
    <cellStyle name="Output 2 5 42" xfId="38784"/>
    <cellStyle name="Output 2 5 42 2" xfId="38785"/>
    <cellStyle name="Output 2 5 42 2 2" xfId="38786"/>
    <cellStyle name="Output 2 5 42 2 2 2" xfId="38787"/>
    <cellStyle name="Output 2 5 42 2 3" xfId="38788"/>
    <cellStyle name="Output 2 5 42 3" xfId="38789"/>
    <cellStyle name="Output 2 5 42 3 2" xfId="38790"/>
    <cellStyle name="Output 2 5 42 3 2 2" xfId="38791"/>
    <cellStyle name="Output 2 5 42 3 3" xfId="38792"/>
    <cellStyle name="Output 2 5 42 4" xfId="38793"/>
    <cellStyle name="Output 2 5 42 5" xfId="38794"/>
    <cellStyle name="Output 2 5 43" xfId="38795"/>
    <cellStyle name="Output 2 5 43 2" xfId="38796"/>
    <cellStyle name="Output 2 5 43 2 2" xfId="38797"/>
    <cellStyle name="Output 2 5 43 2 2 2" xfId="38798"/>
    <cellStyle name="Output 2 5 43 2 3" xfId="38799"/>
    <cellStyle name="Output 2 5 43 3" xfId="38800"/>
    <cellStyle name="Output 2 5 43 3 2" xfId="38801"/>
    <cellStyle name="Output 2 5 43 3 2 2" xfId="38802"/>
    <cellStyle name="Output 2 5 43 3 3" xfId="38803"/>
    <cellStyle name="Output 2 5 43 4" xfId="38804"/>
    <cellStyle name="Output 2 5 43 5" xfId="38805"/>
    <cellStyle name="Output 2 5 44" xfId="38806"/>
    <cellStyle name="Output 2 5 44 2" xfId="38807"/>
    <cellStyle name="Output 2 5 44 2 2" xfId="38808"/>
    <cellStyle name="Output 2 5 44 2 2 2" xfId="38809"/>
    <cellStyle name="Output 2 5 44 2 3" xfId="38810"/>
    <cellStyle name="Output 2 5 44 3" xfId="38811"/>
    <cellStyle name="Output 2 5 44 3 2" xfId="38812"/>
    <cellStyle name="Output 2 5 44 3 2 2" xfId="38813"/>
    <cellStyle name="Output 2 5 44 3 3" xfId="38814"/>
    <cellStyle name="Output 2 5 44 4" xfId="38815"/>
    <cellStyle name="Output 2 5 44 5" xfId="38816"/>
    <cellStyle name="Output 2 5 45" xfId="38817"/>
    <cellStyle name="Output 2 5 45 2" xfId="38818"/>
    <cellStyle name="Output 2 5 45 2 2" xfId="38819"/>
    <cellStyle name="Output 2 5 45 2 2 2" xfId="38820"/>
    <cellStyle name="Output 2 5 45 2 3" xfId="38821"/>
    <cellStyle name="Output 2 5 45 3" xfId="38822"/>
    <cellStyle name="Output 2 5 45 3 2" xfId="38823"/>
    <cellStyle name="Output 2 5 45 3 2 2" xfId="38824"/>
    <cellStyle name="Output 2 5 45 3 3" xfId="38825"/>
    <cellStyle name="Output 2 5 45 4" xfId="38826"/>
    <cellStyle name="Output 2 5 45 5" xfId="38827"/>
    <cellStyle name="Output 2 5 46" xfId="38828"/>
    <cellStyle name="Output 2 5 46 2" xfId="38829"/>
    <cellStyle name="Output 2 5 46 2 2" xfId="38830"/>
    <cellStyle name="Output 2 5 46 2 2 2" xfId="38831"/>
    <cellStyle name="Output 2 5 46 2 3" xfId="38832"/>
    <cellStyle name="Output 2 5 46 3" xfId="38833"/>
    <cellStyle name="Output 2 5 46 3 2" xfId="38834"/>
    <cellStyle name="Output 2 5 46 3 2 2" xfId="38835"/>
    <cellStyle name="Output 2 5 46 3 3" xfId="38836"/>
    <cellStyle name="Output 2 5 46 4" xfId="38837"/>
    <cellStyle name="Output 2 5 46 5" xfId="38838"/>
    <cellStyle name="Output 2 5 47" xfId="38839"/>
    <cellStyle name="Output 2 5 47 2" xfId="38840"/>
    <cellStyle name="Output 2 5 47 2 2" xfId="38841"/>
    <cellStyle name="Output 2 5 47 2 2 2" xfId="38842"/>
    <cellStyle name="Output 2 5 47 2 3" xfId="38843"/>
    <cellStyle name="Output 2 5 47 3" xfId="38844"/>
    <cellStyle name="Output 2 5 47 3 2" xfId="38845"/>
    <cellStyle name="Output 2 5 47 3 2 2" xfId="38846"/>
    <cellStyle name="Output 2 5 47 3 3" xfId="38847"/>
    <cellStyle name="Output 2 5 47 4" xfId="38848"/>
    <cellStyle name="Output 2 5 47 5" xfId="38849"/>
    <cellStyle name="Output 2 5 48" xfId="38850"/>
    <cellStyle name="Output 2 5 48 2" xfId="38851"/>
    <cellStyle name="Output 2 5 48 2 2" xfId="38852"/>
    <cellStyle name="Output 2 5 48 2 2 2" xfId="38853"/>
    <cellStyle name="Output 2 5 48 2 3" xfId="38854"/>
    <cellStyle name="Output 2 5 48 3" xfId="38855"/>
    <cellStyle name="Output 2 5 48 3 2" xfId="38856"/>
    <cellStyle name="Output 2 5 48 3 2 2" xfId="38857"/>
    <cellStyle name="Output 2 5 48 3 3" xfId="38858"/>
    <cellStyle name="Output 2 5 48 4" xfId="38859"/>
    <cellStyle name="Output 2 5 48 5" xfId="38860"/>
    <cellStyle name="Output 2 5 49" xfId="38861"/>
    <cellStyle name="Output 2 5 49 2" xfId="38862"/>
    <cellStyle name="Output 2 5 49 2 2" xfId="38863"/>
    <cellStyle name="Output 2 5 49 3" xfId="38864"/>
    <cellStyle name="Output 2 5 5" xfId="38865"/>
    <cellStyle name="Output 2 5 5 2" xfId="38866"/>
    <cellStyle name="Output 2 5 5 2 2" xfId="38867"/>
    <cellStyle name="Output 2 5 5 2 2 2" xfId="38868"/>
    <cellStyle name="Output 2 5 5 2 3" xfId="38869"/>
    <cellStyle name="Output 2 5 5 3" xfId="38870"/>
    <cellStyle name="Output 2 5 5 3 2" xfId="38871"/>
    <cellStyle name="Output 2 5 5 3 2 2" xfId="38872"/>
    <cellStyle name="Output 2 5 5 3 3" xfId="38873"/>
    <cellStyle name="Output 2 5 5 4" xfId="38874"/>
    <cellStyle name="Output 2 5 5 4 2" xfId="38875"/>
    <cellStyle name="Output 2 5 5 4 2 2" xfId="38876"/>
    <cellStyle name="Output 2 5 5 4 3" xfId="38877"/>
    <cellStyle name="Output 2 5 5 5" xfId="38878"/>
    <cellStyle name="Output 2 5 5 5 2" xfId="38879"/>
    <cellStyle name="Output 2 5 5 5 2 2" xfId="38880"/>
    <cellStyle name="Output 2 5 5 5 3" xfId="38881"/>
    <cellStyle name="Output 2 5 5 6" xfId="38882"/>
    <cellStyle name="Output 2 5 5 7" xfId="38883"/>
    <cellStyle name="Output 2 5 50" xfId="38884"/>
    <cellStyle name="Output 2 5 50 2" xfId="38885"/>
    <cellStyle name="Output 2 5 50 2 2" xfId="38886"/>
    <cellStyle name="Output 2 5 50 3" xfId="38887"/>
    <cellStyle name="Output 2 5 51" xfId="38888"/>
    <cellStyle name="Output 2 5 51 2" xfId="38889"/>
    <cellStyle name="Output 2 5 51 2 2" xfId="38890"/>
    <cellStyle name="Output 2 5 51 3" xfId="38891"/>
    <cellStyle name="Output 2 5 52" xfId="38892"/>
    <cellStyle name="Output 2 5 52 2" xfId="38893"/>
    <cellStyle name="Output 2 5 52 2 2" xfId="38894"/>
    <cellStyle name="Output 2 5 52 3" xfId="38895"/>
    <cellStyle name="Output 2 5 53" xfId="38896"/>
    <cellStyle name="Output 2 5 54" xfId="38897"/>
    <cellStyle name="Output 2 5 6" xfId="38898"/>
    <cellStyle name="Output 2 5 6 2" xfId="38899"/>
    <cellStyle name="Output 2 5 6 2 2" xfId="38900"/>
    <cellStyle name="Output 2 5 6 2 2 2" xfId="38901"/>
    <cellStyle name="Output 2 5 6 2 3" xfId="38902"/>
    <cellStyle name="Output 2 5 6 3" xfId="38903"/>
    <cellStyle name="Output 2 5 6 3 2" xfId="38904"/>
    <cellStyle name="Output 2 5 6 3 2 2" xfId="38905"/>
    <cellStyle name="Output 2 5 6 3 3" xfId="38906"/>
    <cellStyle name="Output 2 5 6 4" xfId="38907"/>
    <cellStyle name="Output 2 5 6 4 2" xfId="38908"/>
    <cellStyle name="Output 2 5 6 4 2 2" xfId="38909"/>
    <cellStyle name="Output 2 5 6 4 3" xfId="38910"/>
    <cellStyle name="Output 2 5 6 5" xfId="38911"/>
    <cellStyle name="Output 2 5 6 5 2" xfId="38912"/>
    <cellStyle name="Output 2 5 6 5 2 2" xfId="38913"/>
    <cellStyle name="Output 2 5 6 5 3" xfId="38914"/>
    <cellStyle name="Output 2 5 6 6" xfId="38915"/>
    <cellStyle name="Output 2 5 6 7" xfId="38916"/>
    <cellStyle name="Output 2 5 7" xfId="38917"/>
    <cellStyle name="Output 2 5 7 2" xfId="38918"/>
    <cellStyle name="Output 2 5 7 2 2" xfId="38919"/>
    <cellStyle name="Output 2 5 7 2 2 2" xfId="38920"/>
    <cellStyle name="Output 2 5 7 2 3" xfId="38921"/>
    <cellStyle name="Output 2 5 7 3" xfId="38922"/>
    <cellStyle name="Output 2 5 7 3 2" xfId="38923"/>
    <cellStyle name="Output 2 5 7 3 2 2" xfId="38924"/>
    <cellStyle name="Output 2 5 7 3 3" xfId="38925"/>
    <cellStyle name="Output 2 5 7 4" xfId="38926"/>
    <cellStyle name="Output 2 5 7 4 2" xfId="38927"/>
    <cellStyle name="Output 2 5 7 4 2 2" xfId="38928"/>
    <cellStyle name="Output 2 5 7 4 3" xfId="38929"/>
    <cellStyle name="Output 2 5 7 5" xfId="38930"/>
    <cellStyle name="Output 2 5 7 5 2" xfId="38931"/>
    <cellStyle name="Output 2 5 7 5 2 2" xfId="38932"/>
    <cellStyle name="Output 2 5 7 5 3" xfId="38933"/>
    <cellStyle name="Output 2 5 7 6" xfId="38934"/>
    <cellStyle name="Output 2 5 7 7" xfId="38935"/>
    <cellStyle name="Output 2 5 8" xfId="38936"/>
    <cellStyle name="Output 2 5 8 2" xfId="38937"/>
    <cellStyle name="Output 2 5 8 2 2" xfId="38938"/>
    <cellStyle name="Output 2 5 8 2 2 2" xfId="38939"/>
    <cellStyle name="Output 2 5 8 2 3" xfId="38940"/>
    <cellStyle name="Output 2 5 8 3" xfId="38941"/>
    <cellStyle name="Output 2 5 8 3 2" xfId="38942"/>
    <cellStyle name="Output 2 5 8 3 2 2" xfId="38943"/>
    <cellStyle name="Output 2 5 8 3 3" xfId="38944"/>
    <cellStyle name="Output 2 5 8 4" xfId="38945"/>
    <cellStyle name="Output 2 5 8 4 2" xfId="38946"/>
    <cellStyle name="Output 2 5 8 4 2 2" xfId="38947"/>
    <cellStyle name="Output 2 5 8 4 3" xfId="38948"/>
    <cellStyle name="Output 2 5 8 5" xfId="38949"/>
    <cellStyle name="Output 2 5 8 5 2" xfId="38950"/>
    <cellStyle name="Output 2 5 8 5 2 2" xfId="38951"/>
    <cellStyle name="Output 2 5 8 5 3" xfId="38952"/>
    <cellStyle name="Output 2 5 8 6" xfId="38953"/>
    <cellStyle name="Output 2 5 8 7" xfId="38954"/>
    <cellStyle name="Output 2 5 9" xfId="38955"/>
    <cellStyle name="Output 2 5 9 2" xfId="38956"/>
    <cellStyle name="Output 2 5 9 2 2" xfId="38957"/>
    <cellStyle name="Output 2 5 9 2 2 2" xfId="38958"/>
    <cellStyle name="Output 2 5 9 2 3" xfId="38959"/>
    <cellStyle name="Output 2 5 9 3" xfId="38960"/>
    <cellStyle name="Output 2 5 9 3 2" xfId="38961"/>
    <cellStyle name="Output 2 5 9 3 2 2" xfId="38962"/>
    <cellStyle name="Output 2 5 9 3 3" xfId="38963"/>
    <cellStyle name="Output 2 5 9 4" xfId="38964"/>
    <cellStyle name="Output 2 5 9 5" xfId="38965"/>
    <cellStyle name="Output 2 6" xfId="38966"/>
    <cellStyle name="Output 2 6 10" xfId="38967"/>
    <cellStyle name="Output 2 6 10 2" xfId="38968"/>
    <cellStyle name="Output 2 6 10 2 2" xfId="38969"/>
    <cellStyle name="Output 2 6 10 2 2 2" xfId="38970"/>
    <cellStyle name="Output 2 6 10 2 3" xfId="38971"/>
    <cellStyle name="Output 2 6 10 3" xfId="38972"/>
    <cellStyle name="Output 2 6 10 3 2" xfId="38973"/>
    <cellStyle name="Output 2 6 10 3 2 2" xfId="38974"/>
    <cellStyle name="Output 2 6 10 3 3" xfId="38975"/>
    <cellStyle name="Output 2 6 10 4" xfId="38976"/>
    <cellStyle name="Output 2 6 10 5" xfId="38977"/>
    <cellStyle name="Output 2 6 11" xfId="38978"/>
    <cellStyle name="Output 2 6 11 2" xfId="38979"/>
    <cellStyle name="Output 2 6 11 2 2" xfId="38980"/>
    <cellStyle name="Output 2 6 11 2 2 2" xfId="38981"/>
    <cellStyle name="Output 2 6 11 2 3" xfId="38982"/>
    <cellStyle name="Output 2 6 11 3" xfId="38983"/>
    <cellStyle name="Output 2 6 11 3 2" xfId="38984"/>
    <cellStyle name="Output 2 6 11 3 2 2" xfId="38985"/>
    <cellStyle name="Output 2 6 11 3 3" xfId="38986"/>
    <cellStyle name="Output 2 6 11 4" xfId="38987"/>
    <cellStyle name="Output 2 6 11 5" xfId="38988"/>
    <cellStyle name="Output 2 6 12" xfId="38989"/>
    <cellStyle name="Output 2 6 12 2" xfId="38990"/>
    <cellStyle name="Output 2 6 12 2 2" xfId="38991"/>
    <cellStyle name="Output 2 6 12 2 2 2" xfId="38992"/>
    <cellStyle name="Output 2 6 12 2 3" xfId="38993"/>
    <cellStyle name="Output 2 6 12 3" xfId="38994"/>
    <cellStyle name="Output 2 6 12 3 2" xfId="38995"/>
    <cellStyle name="Output 2 6 12 3 2 2" xfId="38996"/>
    <cellStyle name="Output 2 6 12 3 3" xfId="38997"/>
    <cellStyle name="Output 2 6 12 4" xfId="38998"/>
    <cellStyle name="Output 2 6 12 5" xfId="38999"/>
    <cellStyle name="Output 2 6 13" xfId="39000"/>
    <cellStyle name="Output 2 6 13 2" xfId="39001"/>
    <cellStyle name="Output 2 6 13 2 2" xfId="39002"/>
    <cellStyle name="Output 2 6 13 2 2 2" xfId="39003"/>
    <cellStyle name="Output 2 6 13 2 3" xfId="39004"/>
    <cellStyle name="Output 2 6 13 3" xfId="39005"/>
    <cellStyle name="Output 2 6 13 3 2" xfId="39006"/>
    <cellStyle name="Output 2 6 13 3 2 2" xfId="39007"/>
    <cellStyle name="Output 2 6 13 3 3" xfId="39008"/>
    <cellStyle name="Output 2 6 13 4" xfId="39009"/>
    <cellStyle name="Output 2 6 13 5" xfId="39010"/>
    <cellStyle name="Output 2 6 14" xfId="39011"/>
    <cellStyle name="Output 2 6 14 2" xfId="39012"/>
    <cellStyle name="Output 2 6 14 2 2" xfId="39013"/>
    <cellStyle name="Output 2 6 14 2 2 2" xfId="39014"/>
    <cellStyle name="Output 2 6 14 2 3" xfId="39015"/>
    <cellStyle name="Output 2 6 14 3" xfId="39016"/>
    <cellStyle name="Output 2 6 14 3 2" xfId="39017"/>
    <cellStyle name="Output 2 6 14 3 2 2" xfId="39018"/>
    <cellStyle name="Output 2 6 14 3 3" xfId="39019"/>
    <cellStyle name="Output 2 6 14 4" xfId="39020"/>
    <cellStyle name="Output 2 6 14 5" xfId="39021"/>
    <cellStyle name="Output 2 6 15" xfId="39022"/>
    <cellStyle name="Output 2 6 15 2" xfId="39023"/>
    <cellStyle name="Output 2 6 15 2 2" xfId="39024"/>
    <cellStyle name="Output 2 6 15 2 2 2" xfId="39025"/>
    <cellStyle name="Output 2 6 15 2 3" xfId="39026"/>
    <cellStyle name="Output 2 6 15 3" xfId="39027"/>
    <cellStyle name="Output 2 6 15 3 2" xfId="39028"/>
    <cellStyle name="Output 2 6 15 3 2 2" xfId="39029"/>
    <cellStyle name="Output 2 6 15 3 3" xfId="39030"/>
    <cellStyle name="Output 2 6 15 4" xfId="39031"/>
    <cellStyle name="Output 2 6 15 5" xfId="39032"/>
    <cellStyle name="Output 2 6 16" xfId="39033"/>
    <cellStyle name="Output 2 6 16 2" xfId="39034"/>
    <cellStyle name="Output 2 6 16 2 2" xfId="39035"/>
    <cellStyle name="Output 2 6 16 2 2 2" xfId="39036"/>
    <cellStyle name="Output 2 6 16 2 3" xfId="39037"/>
    <cellStyle name="Output 2 6 16 3" xfId="39038"/>
    <cellStyle name="Output 2 6 16 3 2" xfId="39039"/>
    <cellStyle name="Output 2 6 16 3 2 2" xfId="39040"/>
    <cellStyle name="Output 2 6 16 3 3" xfId="39041"/>
    <cellStyle name="Output 2 6 16 4" xfId="39042"/>
    <cellStyle name="Output 2 6 16 5" xfId="39043"/>
    <cellStyle name="Output 2 6 17" xfId="39044"/>
    <cellStyle name="Output 2 6 17 2" xfId="39045"/>
    <cellStyle name="Output 2 6 17 2 2" xfId="39046"/>
    <cellStyle name="Output 2 6 17 2 2 2" xfId="39047"/>
    <cellStyle name="Output 2 6 17 2 3" xfId="39048"/>
    <cellStyle name="Output 2 6 17 3" xfId="39049"/>
    <cellStyle name="Output 2 6 17 3 2" xfId="39050"/>
    <cellStyle name="Output 2 6 17 3 2 2" xfId="39051"/>
    <cellStyle name="Output 2 6 17 3 3" xfId="39052"/>
    <cellStyle name="Output 2 6 17 4" xfId="39053"/>
    <cellStyle name="Output 2 6 17 5" xfId="39054"/>
    <cellStyle name="Output 2 6 18" xfId="39055"/>
    <cellStyle name="Output 2 6 18 2" xfId="39056"/>
    <cellStyle name="Output 2 6 18 2 2" xfId="39057"/>
    <cellStyle name="Output 2 6 18 2 2 2" xfId="39058"/>
    <cellStyle name="Output 2 6 18 2 3" xfId="39059"/>
    <cellStyle name="Output 2 6 18 3" xfId="39060"/>
    <cellStyle name="Output 2 6 18 3 2" xfId="39061"/>
    <cellStyle name="Output 2 6 18 3 2 2" xfId="39062"/>
    <cellStyle name="Output 2 6 18 3 3" xfId="39063"/>
    <cellStyle name="Output 2 6 18 4" xfId="39064"/>
    <cellStyle name="Output 2 6 18 5" xfId="39065"/>
    <cellStyle name="Output 2 6 19" xfId="39066"/>
    <cellStyle name="Output 2 6 19 2" xfId="39067"/>
    <cellStyle name="Output 2 6 19 2 2" xfId="39068"/>
    <cellStyle name="Output 2 6 19 2 2 2" xfId="39069"/>
    <cellStyle name="Output 2 6 19 2 3" xfId="39070"/>
    <cellStyle name="Output 2 6 19 3" xfId="39071"/>
    <cellStyle name="Output 2 6 19 3 2" xfId="39072"/>
    <cellStyle name="Output 2 6 19 3 2 2" xfId="39073"/>
    <cellStyle name="Output 2 6 19 3 3" xfId="39074"/>
    <cellStyle name="Output 2 6 19 4" xfId="39075"/>
    <cellStyle name="Output 2 6 19 5" xfId="39076"/>
    <cellStyle name="Output 2 6 2" xfId="39077"/>
    <cellStyle name="Output 2 6 2 2" xfId="39078"/>
    <cellStyle name="Output 2 6 2 2 2" xfId="39079"/>
    <cellStyle name="Output 2 6 2 2 2 2" xfId="39080"/>
    <cellStyle name="Output 2 6 2 2 3" xfId="39081"/>
    <cellStyle name="Output 2 6 2 3" xfId="39082"/>
    <cellStyle name="Output 2 6 2 3 2" xfId="39083"/>
    <cellStyle name="Output 2 6 2 3 2 2" xfId="39084"/>
    <cellStyle name="Output 2 6 2 3 3" xfId="39085"/>
    <cellStyle name="Output 2 6 2 4" xfId="39086"/>
    <cellStyle name="Output 2 6 2 4 2" xfId="39087"/>
    <cellStyle name="Output 2 6 2 4 2 2" xfId="39088"/>
    <cellStyle name="Output 2 6 2 4 3" xfId="39089"/>
    <cellStyle name="Output 2 6 2 5" xfId="39090"/>
    <cellStyle name="Output 2 6 2 5 2" xfId="39091"/>
    <cellStyle name="Output 2 6 2 5 2 2" xfId="39092"/>
    <cellStyle name="Output 2 6 2 5 3" xfId="39093"/>
    <cellStyle name="Output 2 6 2 6" xfId="39094"/>
    <cellStyle name="Output 2 6 2 7" xfId="39095"/>
    <cellStyle name="Output 2 6 20" xfId="39096"/>
    <cellStyle name="Output 2 6 20 2" xfId="39097"/>
    <cellStyle name="Output 2 6 20 2 2" xfId="39098"/>
    <cellStyle name="Output 2 6 20 2 2 2" xfId="39099"/>
    <cellStyle name="Output 2 6 20 2 3" xfId="39100"/>
    <cellStyle name="Output 2 6 20 3" xfId="39101"/>
    <cellStyle name="Output 2 6 20 3 2" xfId="39102"/>
    <cellStyle name="Output 2 6 20 3 2 2" xfId="39103"/>
    <cellStyle name="Output 2 6 20 3 3" xfId="39104"/>
    <cellStyle name="Output 2 6 20 4" xfId="39105"/>
    <cellStyle name="Output 2 6 20 5" xfId="39106"/>
    <cellStyle name="Output 2 6 21" xfId="39107"/>
    <cellStyle name="Output 2 6 21 2" xfId="39108"/>
    <cellStyle name="Output 2 6 21 2 2" xfId="39109"/>
    <cellStyle name="Output 2 6 21 2 2 2" xfId="39110"/>
    <cellStyle name="Output 2 6 21 2 3" xfId="39111"/>
    <cellStyle name="Output 2 6 21 3" xfId="39112"/>
    <cellStyle name="Output 2 6 21 3 2" xfId="39113"/>
    <cellStyle name="Output 2 6 21 3 2 2" xfId="39114"/>
    <cellStyle name="Output 2 6 21 3 3" xfId="39115"/>
    <cellStyle name="Output 2 6 21 4" xfId="39116"/>
    <cellStyle name="Output 2 6 21 5" xfId="39117"/>
    <cellStyle name="Output 2 6 22" xfId="39118"/>
    <cellStyle name="Output 2 6 22 2" xfId="39119"/>
    <cellStyle name="Output 2 6 22 2 2" xfId="39120"/>
    <cellStyle name="Output 2 6 22 2 2 2" xfId="39121"/>
    <cellStyle name="Output 2 6 22 2 3" xfId="39122"/>
    <cellStyle name="Output 2 6 22 3" xfId="39123"/>
    <cellStyle name="Output 2 6 22 3 2" xfId="39124"/>
    <cellStyle name="Output 2 6 22 3 2 2" xfId="39125"/>
    <cellStyle name="Output 2 6 22 3 3" xfId="39126"/>
    <cellStyle name="Output 2 6 22 4" xfId="39127"/>
    <cellStyle name="Output 2 6 22 5" xfId="39128"/>
    <cellStyle name="Output 2 6 23" xfId="39129"/>
    <cellStyle name="Output 2 6 23 2" xfId="39130"/>
    <cellStyle name="Output 2 6 23 2 2" xfId="39131"/>
    <cellStyle name="Output 2 6 23 2 2 2" xfId="39132"/>
    <cellStyle name="Output 2 6 23 2 3" xfId="39133"/>
    <cellStyle name="Output 2 6 23 3" xfId="39134"/>
    <cellStyle name="Output 2 6 23 3 2" xfId="39135"/>
    <cellStyle name="Output 2 6 23 3 2 2" xfId="39136"/>
    <cellStyle name="Output 2 6 23 3 3" xfId="39137"/>
    <cellStyle name="Output 2 6 23 4" xfId="39138"/>
    <cellStyle name="Output 2 6 23 5" xfId="39139"/>
    <cellStyle name="Output 2 6 24" xfId="39140"/>
    <cellStyle name="Output 2 6 24 2" xfId="39141"/>
    <cellStyle name="Output 2 6 24 2 2" xfId="39142"/>
    <cellStyle name="Output 2 6 24 2 2 2" xfId="39143"/>
    <cellStyle name="Output 2 6 24 2 3" xfId="39144"/>
    <cellStyle name="Output 2 6 24 3" xfId="39145"/>
    <cellStyle name="Output 2 6 24 3 2" xfId="39146"/>
    <cellStyle name="Output 2 6 24 3 2 2" xfId="39147"/>
    <cellStyle name="Output 2 6 24 3 3" xfId="39148"/>
    <cellStyle name="Output 2 6 24 4" xfId="39149"/>
    <cellStyle name="Output 2 6 24 5" xfId="39150"/>
    <cellStyle name="Output 2 6 25" xfId="39151"/>
    <cellStyle name="Output 2 6 25 2" xfId="39152"/>
    <cellStyle name="Output 2 6 25 2 2" xfId="39153"/>
    <cellStyle name="Output 2 6 25 2 2 2" xfId="39154"/>
    <cellStyle name="Output 2 6 25 2 3" xfId="39155"/>
    <cellStyle name="Output 2 6 25 3" xfId="39156"/>
    <cellStyle name="Output 2 6 25 3 2" xfId="39157"/>
    <cellStyle name="Output 2 6 25 3 2 2" xfId="39158"/>
    <cellStyle name="Output 2 6 25 3 3" xfId="39159"/>
    <cellStyle name="Output 2 6 25 4" xfId="39160"/>
    <cellStyle name="Output 2 6 25 5" xfId="39161"/>
    <cellStyle name="Output 2 6 26" xfId="39162"/>
    <cellStyle name="Output 2 6 26 2" xfId="39163"/>
    <cellStyle name="Output 2 6 26 2 2" xfId="39164"/>
    <cellStyle name="Output 2 6 26 2 2 2" xfId="39165"/>
    <cellStyle name="Output 2 6 26 2 3" xfId="39166"/>
    <cellStyle name="Output 2 6 26 3" xfId="39167"/>
    <cellStyle name="Output 2 6 26 3 2" xfId="39168"/>
    <cellStyle name="Output 2 6 26 3 2 2" xfId="39169"/>
    <cellStyle name="Output 2 6 26 3 3" xfId="39170"/>
    <cellStyle name="Output 2 6 26 4" xfId="39171"/>
    <cellStyle name="Output 2 6 26 5" xfId="39172"/>
    <cellStyle name="Output 2 6 27" xfId="39173"/>
    <cellStyle name="Output 2 6 27 2" xfId="39174"/>
    <cellStyle name="Output 2 6 27 2 2" xfId="39175"/>
    <cellStyle name="Output 2 6 27 2 2 2" xfId="39176"/>
    <cellStyle name="Output 2 6 27 2 3" xfId="39177"/>
    <cellStyle name="Output 2 6 27 3" xfId="39178"/>
    <cellStyle name="Output 2 6 27 3 2" xfId="39179"/>
    <cellStyle name="Output 2 6 27 3 2 2" xfId="39180"/>
    <cellStyle name="Output 2 6 27 3 3" xfId="39181"/>
    <cellStyle name="Output 2 6 27 4" xfId="39182"/>
    <cellStyle name="Output 2 6 27 5" xfId="39183"/>
    <cellStyle name="Output 2 6 28" xfId="39184"/>
    <cellStyle name="Output 2 6 28 2" xfId="39185"/>
    <cellStyle name="Output 2 6 28 2 2" xfId="39186"/>
    <cellStyle name="Output 2 6 28 2 2 2" xfId="39187"/>
    <cellStyle name="Output 2 6 28 2 3" xfId="39188"/>
    <cellStyle name="Output 2 6 28 3" xfId="39189"/>
    <cellStyle name="Output 2 6 28 3 2" xfId="39190"/>
    <cellStyle name="Output 2 6 28 3 2 2" xfId="39191"/>
    <cellStyle name="Output 2 6 28 3 3" xfId="39192"/>
    <cellStyle name="Output 2 6 28 4" xfId="39193"/>
    <cellStyle name="Output 2 6 28 5" xfId="39194"/>
    <cellStyle name="Output 2 6 29" xfId="39195"/>
    <cellStyle name="Output 2 6 29 2" xfId="39196"/>
    <cellStyle name="Output 2 6 29 2 2" xfId="39197"/>
    <cellStyle name="Output 2 6 29 2 2 2" xfId="39198"/>
    <cellStyle name="Output 2 6 29 2 3" xfId="39199"/>
    <cellStyle name="Output 2 6 29 3" xfId="39200"/>
    <cellStyle name="Output 2 6 29 3 2" xfId="39201"/>
    <cellStyle name="Output 2 6 29 3 2 2" xfId="39202"/>
    <cellStyle name="Output 2 6 29 3 3" xfId="39203"/>
    <cellStyle name="Output 2 6 29 4" xfId="39204"/>
    <cellStyle name="Output 2 6 29 5" xfId="39205"/>
    <cellStyle name="Output 2 6 3" xfId="39206"/>
    <cellStyle name="Output 2 6 3 2" xfId="39207"/>
    <cellStyle name="Output 2 6 3 2 2" xfId="39208"/>
    <cellStyle name="Output 2 6 3 2 2 2" xfId="39209"/>
    <cellStyle name="Output 2 6 3 2 3" xfId="39210"/>
    <cellStyle name="Output 2 6 3 3" xfId="39211"/>
    <cellStyle name="Output 2 6 3 3 2" xfId="39212"/>
    <cellStyle name="Output 2 6 3 3 2 2" xfId="39213"/>
    <cellStyle name="Output 2 6 3 3 3" xfId="39214"/>
    <cellStyle name="Output 2 6 3 4" xfId="39215"/>
    <cellStyle name="Output 2 6 3 4 2" xfId="39216"/>
    <cellStyle name="Output 2 6 3 4 2 2" xfId="39217"/>
    <cellStyle name="Output 2 6 3 4 3" xfId="39218"/>
    <cellStyle name="Output 2 6 3 5" xfId="39219"/>
    <cellStyle name="Output 2 6 3 5 2" xfId="39220"/>
    <cellStyle name="Output 2 6 3 5 2 2" xfId="39221"/>
    <cellStyle name="Output 2 6 3 5 3" xfId="39222"/>
    <cellStyle name="Output 2 6 3 6" xfId="39223"/>
    <cellStyle name="Output 2 6 3 7" xfId="39224"/>
    <cellStyle name="Output 2 6 30" xfId="39225"/>
    <cellStyle name="Output 2 6 30 2" xfId="39226"/>
    <cellStyle name="Output 2 6 30 2 2" xfId="39227"/>
    <cellStyle name="Output 2 6 30 2 2 2" xfId="39228"/>
    <cellStyle name="Output 2 6 30 2 3" xfId="39229"/>
    <cellStyle name="Output 2 6 30 3" xfId="39230"/>
    <cellStyle name="Output 2 6 30 3 2" xfId="39231"/>
    <cellStyle name="Output 2 6 30 3 2 2" xfId="39232"/>
    <cellStyle name="Output 2 6 30 3 3" xfId="39233"/>
    <cellStyle name="Output 2 6 30 4" xfId="39234"/>
    <cellStyle name="Output 2 6 30 5" xfId="39235"/>
    <cellStyle name="Output 2 6 31" xfId="39236"/>
    <cellStyle name="Output 2 6 31 2" xfId="39237"/>
    <cellStyle name="Output 2 6 31 2 2" xfId="39238"/>
    <cellStyle name="Output 2 6 31 2 2 2" xfId="39239"/>
    <cellStyle name="Output 2 6 31 2 3" xfId="39240"/>
    <cellStyle name="Output 2 6 31 3" xfId="39241"/>
    <cellStyle name="Output 2 6 31 3 2" xfId="39242"/>
    <cellStyle name="Output 2 6 31 3 2 2" xfId="39243"/>
    <cellStyle name="Output 2 6 31 3 3" xfId="39244"/>
    <cellStyle name="Output 2 6 31 4" xfId="39245"/>
    <cellStyle name="Output 2 6 31 5" xfId="39246"/>
    <cellStyle name="Output 2 6 32" xfId="39247"/>
    <cellStyle name="Output 2 6 32 2" xfId="39248"/>
    <cellStyle name="Output 2 6 32 2 2" xfId="39249"/>
    <cellStyle name="Output 2 6 32 2 2 2" xfId="39250"/>
    <cellStyle name="Output 2 6 32 2 3" xfId="39251"/>
    <cellStyle name="Output 2 6 32 3" xfId="39252"/>
    <cellStyle name="Output 2 6 32 3 2" xfId="39253"/>
    <cellStyle name="Output 2 6 32 3 2 2" xfId="39254"/>
    <cellStyle name="Output 2 6 32 3 3" xfId="39255"/>
    <cellStyle name="Output 2 6 32 4" xfId="39256"/>
    <cellStyle name="Output 2 6 32 5" xfId="39257"/>
    <cellStyle name="Output 2 6 33" xfId="39258"/>
    <cellStyle name="Output 2 6 33 2" xfId="39259"/>
    <cellStyle name="Output 2 6 33 2 2" xfId="39260"/>
    <cellStyle name="Output 2 6 33 2 2 2" xfId="39261"/>
    <cellStyle name="Output 2 6 33 2 3" xfId="39262"/>
    <cellStyle name="Output 2 6 33 3" xfId="39263"/>
    <cellStyle name="Output 2 6 33 3 2" xfId="39264"/>
    <cellStyle name="Output 2 6 33 3 2 2" xfId="39265"/>
    <cellStyle name="Output 2 6 33 3 3" xfId="39266"/>
    <cellStyle name="Output 2 6 33 4" xfId="39267"/>
    <cellStyle name="Output 2 6 33 5" xfId="39268"/>
    <cellStyle name="Output 2 6 34" xfId="39269"/>
    <cellStyle name="Output 2 6 34 2" xfId="39270"/>
    <cellStyle name="Output 2 6 34 2 2" xfId="39271"/>
    <cellStyle name="Output 2 6 34 2 2 2" xfId="39272"/>
    <cellStyle name="Output 2 6 34 2 3" xfId="39273"/>
    <cellStyle name="Output 2 6 34 3" xfId="39274"/>
    <cellStyle name="Output 2 6 34 3 2" xfId="39275"/>
    <cellStyle name="Output 2 6 34 3 2 2" xfId="39276"/>
    <cellStyle name="Output 2 6 34 3 3" xfId="39277"/>
    <cellStyle name="Output 2 6 34 4" xfId="39278"/>
    <cellStyle name="Output 2 6 34 5" xfId="39279"/>
    <cellStyle name="Output 2 6 35" xfId="39280"/>
    <cellStyle name="Output 2 6 35 2" xfId="39281"/>
    <cellStyle name="Output 2 6 35 2 2" xfId="39282"/>
    <cellStyle name="Output 2 6 35 2 2 2" xfId="39283"/>
    <cellStyle name="Output 2 6 35 2 3" xfId="39284"/>
    <cellStyle name="Output 2 6 35 3" xfId="39285"/>
    <cellStyle name="Output 2 6 35 3 2" xfId="39286"/>
    <cellStyle name="Output 2 6 35 3 2 2" xfId="39287"/>
    <cellStyle name="Output 2 6 35 3 3" xfId="39288"/>
    <cellStyle name="Output 2 6 35 4" xfId="39289"/>
    <cellStyle name="Output 2 6 35 5" xfId="39290"/>
    <cellStyle name="Output 2 6 36" xfId="39291"/>
    <cellStyle name="Output 2 6 36 2" xfId="39292"/>
    <cellStyle name="Output 2 6 36 2 2" xfId="39293"/>
    <cellStyle name="Output 2 6 36 2 2 2" xfId="39294"/>
    <cellStyle name="Output 2 6 36 2 3" xfId="39295"/>
    <cellStyle name="Output 2 6 36 3" xfId="39296"/>
    <cellStyle name="Output 2 6 36 3 2" xfId="39297"/>
    <cellStyle name="Output 2 6 36 3 2 2" xfId="39298"/>
    <cellStyle name="Output 2 6 36 3 3" xfId="39299"/>
    <cellStyle name="Output 2 6 36 4" xfId="39300"/>
    <cellStyle name="Output 2 6 36 5" xfId="39301"/>
    <cellStyle name="Output 2 6 37" xfId="39302"/>
    <cellStyle name="Output 2 6 37 2" xfId="39303"/>
    <cellStyle name="Output 2 6 37 2 2" xfId="39304"/>
    <cellStyle name="Output 2 6 37 2 2 2" xfId="39305"/>
    <cellStyle name="Output 2 6 37 2 3" xfId="39306"/>
    <cellStyle name="Output 2 6 37 3" xfId="39307"/>
    <cellStyle name="Output 2 6 37 3 2" xfId="39308"/>
    <cellStyle name="Output 2 6 37 3 2 2" xfId="39309"/>
    <cellStyle name="Output 2 6 37 3 3" xfId="39310"/>
    <cellStyle name="Output 2 6 37 4" xfId="39311"/>
    <cellStyle name="Output 2 6 37 5" xfId="39312"/>
    <cellStyle name="Output 2 6 38" xfId="39313"/>
    <cellStyle name="Output 2 6 38 2" xfId="39314"/>
    <cellStyle name="Output 2 6 38 2 2" xfId="39315"/>
    <cellStyle name="Output 2 6 38 2 2 2" xfId="39316"/>
    <cellStyle name="Output 2 6 38 2 3" xfId="39317"/>
    <cellStyle name="Output 2 6 38 3" xfId="39318"/>
    <cellStyle name="Output 2 6 38 3 2" xfId="39319"/>
    <cellStyle name="Output 2 6 38 3 2 2" xfId="39320"/>
    <cellStyle name="Output 2 6 38 3 3" xfId="39321"/>
    <cellStyle name="Output 2 6 38 4" xfId="39322"/>
    <cellStyle name="Output 2 6 38 5" xfId="39323"/>
    <cellStyle name="Output 2 6 39" xfId="39324"/>
    <cellStyle name="Output 2 6 39 2" xfId="39325"/>
    <cellStyle name="Output 2 6 39 2 2" xfId="39326"/>
    <cellStyle name="Output 2 6 39 2 2 2" xfId="39327"/>
    <cellStyle name="Output 2 6 39 2 3" xfId="39328"/>
    <cellStyle name="Output 2 6 39 3" xfId="39329"/>
    <cellStyle name="Output 2 6 39 3 2" xfId="39330"/>
    <cellStyle name="Output 2 6 39 3 2 2" xfId="39331"/>
    <cellStyle name="Output 2 6 39 3 3" xfId="39332"/>
    <cellStyle name="Output 2 6 39 4" xfId="39333"/>
    <cellStyle name="Output 2 6 39 5" xfId="39334"/>
    <cellStyle name="Output 2 6 4" xfId="39335"/>
    <cellStyle name="Output 2 6 4 2" xfId="39336"/>
    <cellStyle name="Output 2 6 4 2 2" xfId="39337"/>
    <cellStyle name="Output 2 6 4 2 2 2" xfId="39338"/>
    <cellStyle name="Output 2 6 4 2 3" xfId="39339"/>
    <cellStyle name="Output 2 6 4 3" xfId="39340"/>
    <cellStyle name="Output 2 6 4 3 2" xfId="39341"/>
    <cellStyle name="Output 2 6 4 3 2 2" xfId="39342"/>
    <cellStyle name="Output 2 6 4 3 3" xfId="39343"/>
    <cellStyle name="Output 2 6 4 4" xfId="39344"/>
    <cellStyle name="Output 2 6 4 4 2" xfId="39345"/>
    <cellStyle name="Output 2 6 4 4 2 2" xfId="39346"/>
    <cellStyle name="Output 2 6 4 4 3" xfId="39347"/>
    <cellStyle name="Output 2 6 4 5" xfId="39348"/>
    <cellStyle name="Output 2 6 4 5 2" xfId="39349"/>
    <cellStyle name="Output 2 6 4 5 2 2" xfId="39350"/>
    <cellStyle name="Output 2 6 4 5 3" xfId="39351"/>
    <cellStyle name="Output 2 6 4 6" xfId="39352"/>
    <cellStyle name="Output 2 6 4 7" xfId="39353"/>
    <cellStyle name="Output 2 6 40" xfId="39354"/>
    <cellStyle name="Output 2 6 40 2" xfId="39355"/>
    <cellStyle name="Output 2 6 40 2 2" xfId="39356"/>
    <cellStyle name="Output 2 6 40 2 2 2" xfId="39357"/>
    <cellStyle name="Output 2 6 40 2 3" xfId="39358"/>
    <cellStyle name="Output 2 6 40 3" xfId="39359"/>
    <cellStyle name="Output 2 6 40 3 2" xfId="39360"/>
    <cellStyle name="Output 2 6 40 3 2 2" xfId="39361"/>
    <cellStyle name="Output 2 6 40 3 3" xfId="39362"/>
    <cellStyle name="Output 2 6 40 4" xfId="39363"/>
    <cellStyle name="Output 2 6 40 5" xfId="39364"/>
    <cellStyle name="Output 2 6 41" xfId="39365"/>
    <cellStyle name="Output 2 6 41 2" xfId="39366"/>
    <cellStyle name="Output 2 6 41 2 2" xfId="39367"/>
    <cellStyle name="Output 2 6 41 2 2 2" xfId="39368"/>
    <cellStyle name="Output 2 6 41 2 3" xfId="39369"/>
    <cellStyle name="Output 2 6 41 3" xfId="39370"/>
    <cellStyle name="Output 2 6 41 3 2" xfId="39371"/>
    <cellStyle name="Output 2 6 41 3 2 2" xfId="39372"/>
    <cellStyle name="Output 2 6 41 3 3" xfId="39373"/>
    <cellStyle name="Output 2 6 41 4" xfId="39374"/>
    <cellStyle name="Output 2 6 41 5" xfId="39375"/>
    <cellStyle name="Output 2 6 42" xfId="39376"/>
    <cellStyle name="Output 2 6 42 2" xfId="39377"/>
    <cellStyle name="Output 2 6 42 2 2" xfId="39378"/>
    <cellStyle name="Output 2 6 42 2 2 2" xfId="39379"/>
    <cellStyle name="Output 2 6 42 2 3" xfId="39380"/>
    <cellStyle name="Output 2 6 42 3" xfId="39381"/>
    <cellStyle name="Output 2 6 42 3 2" xfId="39382"/>
    <cellStyle name="Output 2 6 42 3 2 2" xfId="39383"/>
    <cellStyle name="Output 2 6 42 3 3" xfId="39384"/>
    <cellStyle name="Output 2 6 42 4" xfId="39385"/>
    <cellStyle name="Output 2 6 42 5" xfId="39386"/>
    <cellStyle name="Output 2 6 43" xfId="39387"/>
    <cellStyle name="Output 2 6 43 2" xfId="39388"/>
    <cellStyle name="Output 2 6 43 2 2" xfId="39389"/>
    <cellStyle name="Output 2 6 43 2 2 2" xfId="39390"/>
    <cellStyle name="Output 2 6 43 2 3" xfId="39391"/>
    <cellStyle name="Output 2 6 43 3" xfId="39392"/>
    <cellStyle name="Output 2 6 43 3 2" xfId="39393"/>
    <cellStyle name="Output 2 6 43 3 2 2" xfId="39394"/>
    <cellStyle name="Output 2 6 43 3 3" xfId="39395"/>
    <cellStyle name="Output 2 6 43 4" xfId="39396"/>
    <cellStyle name="Output 2 6 43 5" xfId="39397"/>
    <cellStyle name="Output 2 6 44" xfId="39398"/>
    <cellStyle name="Output 2 6 44 2" xfId="39399"/>
    <cellStyle name="Output 2 6 44 2 2" xfId="39400"/>
    <cellStyle name="Output 2 6 44 2 2 2" xfId="39401"/>
    <cellStyle name="Output 2 6 44 2 3" xfId="39402"/>
    <cellStyle name="Output 2 6 44 3" xfId="39403"/>
    <cellStyle name="Output 2 6 44 3 2" xfId="39404"/>
    <cellStyle name="Output 2 6 44 3 2 2" xfId="39405"/>
    <cellStyle name="Output 2 6 44 3 3" xfId="39406"/>
    <cellStyle name="Output 2 6 44 4" xfId="39407"/>
    <cellStyle name="Output 2 6 44 5" xfId="39408"/>
    <cellStyle name="Output 2 6 45" xfId="39409"/>
    <cellStyle name="Output 2 6 45 2" xfId="39410"/>
    <cellStyle name="Output 2 6 45 2 2" xfId="39411"/>
    <cellStyle name="Output 2 6 45 2 2 2" xfId="39412"/>
    <cellStyle name="Output 2 6 45 2 3" xfId="39413"/>
    <cellStyle name="Output 2 6 45 3" xfId="39414"/>
    <cellStyle name="Output 2 6 45 3 2" xfId="39415"/>
    <cellStyle name="Output 2 6 45 3 2 2" xfId="39416"/>
    <cellStyle name="Output 2 6 45 3 3" xfId="39417"/>
    <cellStyle name="Output 2 6 45 4" xfId="39418"/>
    <cellStyle name="Output 2 6 45 5" xfId="39419"/>
    <cellStyle name="Output 2 6 46" xfId="39420"/>
    <cellStyle name="Output 2 6 46 2" xfId="39421"/>
    <cellStyle name="Output 2 6 46 2 2" xfId="39422"/>
    <cellStyle name="Output 2 6 46 2 2 2" xfId="39423"/>
    <cellStyle name="Output 2 6 46 2 3" xfId="39424"/>
    <cellStyle name="Output 2 6 46 3" xfId="39425"/>
    <cellStyle name="Output 2 6 46 3 2" xfId="39426"/>
    <cellStyle name="Output 2 6 46 3 2 2" xfId="39427"/>
    <cellStyle name="Output 2 6 46 3 3" xfId="39428"/>
    <cellStyle name="Output 2 6 46 4" xfId="39429"/>
    <cellStyle name="Output 2 6 46 5" xfId="39430"/>
    <cellStyle name="Output 2 6 47" xfId="39431"/>
    <cellStyle name="Output 2 6 47 2" xfId="39432"/>
    <cellStyle name="Output 2 6 47 2 2" xfId="39433"/>
    <cellStyle name="Output 2 6 47 2 2 2" xfId="39434"/>
    <cellStyle name="Output 2 6 47 2 3" xfId="39435"/>
    <cellStyle name="Output 2 6 47 3" xfId="39436"/>
    <cellStyle name="Output 2 6 47 3 2" xfId="39437"/>
    <cellStyle name="Output 2 6 47 3 2 2" xfId="39438"/>
    <cellStyle name="Output 2 6 47 3 3" xfId="39439"/>
    <cellStyle name="Output 2 6 47 4" xfId="39440"/>
    <cellStyle name="Output 2 6 47 5" xfId="39441"/>
    <cellStyle name="Output 2 6 48" xfId="39442"/>
    <cellStyle name="Output 2 6 48 2" xfId="39443"/>
    <cellStyle name="Output 2 6 48 2 2" xfId="39444"/>
    <cellStyle name="Output 2 6 48 2 2 2" xfId="39445"/>
    <cellStyle name="Output 2 6 48 2 3" xfId="39446"/>
    <cellStyle name="Output 2 6 48 3" xfId="39447"/>
    <cellStyle name="Output 2 6 48 3 2" xfId="39448"/>
    <cellStyle name="Output 2 6 48 3 2 2" xfId="39449"/>
    <cellStyle name="Output 2 6 48 3 3" xfId="39450"/>
    <cellStyle name="Output 2 6 48 4" xfId="39451"/>
    <cellStyle name="Output 2 6 48 5" xfId="39452"/>
    <cellStyle name="Output 2 6 49" xfId="39453"/>
    <cellStyle name="Output 2 6 49 2" xfId="39454"/>
    <cellStyle name="Output 2 6 49 2 2" xfId="39455"/>
    <cellStyle name="Output 2 6 49 3" xfId="39456"/>
    <cellStyle name="Output 2 6 5" xfId="39457"/>
    <cellStyle name="Output 2 6 5 2" xfId="39458"/>
    <cellStyle name="Output 2 6 5 2 2" xfId="39459"/>
    <cellStyle name="Output 2 6 5 2 2 2" xfId="39460"/>
    <cellStyle name="Output 2 6 5 2 3" xfId="39461"/>
    <cellStyle name="Output 2 6 5 3" xfId="39462"/>
    <cellStyle name="Output 2 6 5 3 2" xfId="39463"/>
    <cellStyle name="Output 2 6 5 3 2 2" xfId="39464"/>
    <cellStyle name="Output 2 6 5 3 3" xfId="39465"/>
    <cellStyle name="Output 2 6 5 4" xfId="39466"/>
    <cellStyle name="Output 2 6 5 4 2" xfId="39467"/>
    <cellStyle name="Output 2 6 5 4 2 2" xfId="39468"/>
    <cellStyle name="Output 2 6 5 4 3" xfId="39469"/>
    <cellStyle name="Output 2 6 5 5" xfId="39470"/>
    <cellStyle name="Output 2 6 5 5 2" xfId="39471"/>
    <cellStyle name="Output 2 6 5 5 2 2" xfId="39472"/>
    <cellStyle name="Output 2 6 5 5 3" xfId="39473"/>
    <cellStyle name="Output 2 6 5 6" xfId="39474"/>
    <cellStyle name="Output 2 6 5 7" xfId="39475"/>
    <cellStyle name="Output 2 6 50" xfId="39476"/>
    <cellStyle name="Output 2 6 50 2" xfId="39477"/>
    <cellStyle name="Output 2 6 50 2 2" xfId="39478"/>
    <cellStyle name="Output 2 6 50 3" xfId="39479"/>
    <cellStyle name="Output 2 6 51" xfId="39480"/>
    <cellStyle name="Output 2 6 51 2" xfId="39481"/>
    <cellStyle name="Output 2 6 51 2 2" xfId="39482"/>
    <cellStyle name="Output 2 6 51 3" xfId="39483"/>
    <cellStyle name="Output 2 6 52" xfId="39484"/>
    <cellStyle name="Output 2 6 52 2" xfId="39485"/>
    <cellStyle name="Output 2 6 52 2 2" xfId="39486"/>
    <cellStyle name="Output 2 6 52 3" xfId="39487"/>
    <cellStyle name="Output 2 6 53" xfId="39488"/>
    <cellStyle name="Output 2 6 54" xfId="39489"/>
    <cellStyle name="Output 2 6 6" xfId="39490"/>
    <cellStyle name="Output 2 6 6 2" xfId="39491"/>
    <cellStyle name="Output 2 6 6 2 2" xfId="39492"/>
    <cellStyle name="Output 2 6 6 2 2 2" xfId="39493"/>
    <cellStyle name="Output 2 6 6 2 3" xfId="39494"/>
    <cellStyle name="Output 2 6 6 3" xfId="39495"/>
    <cellStyle name="Output 2 6 6 3 2" xfId="39496"/>
    <cellStyle name="Output 2 6 6 3 2 2" xfId="39497"/>
    <cellStyle name="Output 2 6 6 3 3" xfId="39498"/>
    <cellStyle name="Output 2 6 6 4" xfId="39499"/>
    <cellStyle name="Output 2 6 6 4 2" xfId="39500"/>
    <cellStyle name="Output 2 6 6 4 2 2" xfId="39501"/>
    <cellStyle name="Output 2 6 6 4 3" xfId="39502"/>
    <cellStyle name="Output 2 6 6 5" xfId="39503"/>
    <cellStyle name="Output 2 6 6 5 2" xfId="39504"/>
    <cellStyle name="Output 2 6 6 5 2 2" xfId="39505"/>
    <cellStyle name="Output 2 6 6 5 3" xfId="39506"/>
    <cellStyle name="Output 2 6 6 6" xfId="39507"/>
    <cellStyle name="Output 2 6 6 7" xfId="39508"/>
    <cellStyle name="Output 2 6 7" xfId="39509"/>
    <cellStyle name="Output 2 6 7 2" xfId="39510"/>
    <cellStyle name="Output 2 6 7 2 2" xfId="39511"/>
    <cellStyle name="Output 2 6 7 2 2 2" xfId="39512"/>
    <cellStyle name="Output 2 6 7 2 3" xfId="39513"/>
    <cellStyle name="Output 2 6 7 3" xfId="39514"/>
    <cellStyle name="Output 2 6 7 3 2" xfId="39515"/>
    <cellStyle name="Output 2 6 7 3 2 2" xfId="39516"/>
    <cellStyle name="Output 2 6 7 3 3" xfId="39517"/>
    <cellStyle name="Output 2 6 7 4" xfId="39518"/>
    <cellStyle name="Output 2 6 7 4 2" xfId="39519"/>
    <cellStyle name="Output 2 6 7 4 2 2" xfId="39520"/>
    <cellStyle name="Output 2 6 7 4 3" xfId="39521"/>
    <cellStyle name="Output 2 6 7 5" xfId="39522"/>
    <cellStyle name="Output 2 6 7 5 2" xfId="39523"/>
    <cellStyle name="Output 2 6 7 5 2 2" xfId="39524"/>
    <cellStyle name="Output 2 6 7 5 3" xfId="39525"/>
    <cellStyle name="Output 2 6 7 6" xfId="39526"/>
    <cellStyle name="Output 2 6 7 7" xfId="39527"/>
    <cellStyle name="Output 2 6 8" xfId="39528"/>
    <cellStyle name="Output 2 6 8 2" xfId="39529"/>
    <cellStyle name="Output 2 6 8 2 2" xfId="39530"/>
    <cellStyle name="Output 2 6 8 2 2 2" xfId="39531"/>
    <cellStyle name="Output 2 6 8 2 3" xfId="39532"/>
    <cellStyle name="Output 2 6 8 3" xfId="39533"/>
    <cellStyle name="Output 2 6 8 3 2" xfId="39534"/>
    <cellStyle name="Output 2 6 8 3 2 2" xfId="39535"/>
    <cellStyle name="Output 2 6 8 3 3" xfId="39536"/>
    <cellStyle name="Output 2 6 8 4" xfId="39537"/>
    <cellStyle name="Output 2 6 8 4 2" xfId="39538"/>
    <cellStyle name="Output 2 6 8 4 2 2" xfId="39539"/>
    <cellStyle name="Output 2 6 8 4 3" xfId="39540"/>
    <cellStyle name="Output 2 6 8 5" xfId="39541"/>
    <cellStyle name="Output 2 6 8 5 2" xfId="39542"/>
    <cellStyle name="Output 2 6 8 5 2 2" xfId="39543"/>
    <cellStyle name="Output 2 6 8 5 3" xfId="39544"/>
    <cellStyle name="Output 2 6 8 6" xfId="39545"/>
    <cellStyle name="Output 2 6 8 7" xfId="39546"/>
    <cellStyle name="Output 2 6 9" xfId="39547"/>
    <cellStyle name="Output 2 6 9 2" xfId="39548"/>
    <cellStyle name="Output 2 6 9 2 2" xfId="39549"/>
    <cellStyle name="Output 2 6 9 2 2 2" xfId="39550"/>
    <cellStyle name="Output 2 6 9 2 3" xfId="39551"/>
    <cellStyle name="Output 2 6 9 3" xfId="39552"/>
    <cellStyle name="Output 2 6 9 3 2" xfId="39553"/>
    <cellStyle name="Output 2 6 9 3 2 2" xfId="39554"/>
    <cellStyle name="Output 2 6 9 3 3" xfId="39555"/>
    <cellStyle name="Output 2 6 9 4" xfId="39556"/>
    <cellStyle name="Output 2 6 9 5" xfId="39557"/>
    <cellStyle name="Output 2 7" xfId="39558"/>
    <cellStyle name="Output 2 7 10" xfId="39559"/>
    <cellStyle name="Output 2 7 10 2" xfId="39560"/>
    <cellStyle name="Output 2 7 10 2 2" xfId="39561"/>
    <cellStyle name="Output 2 7 10 2 2 2" xfId="39562"/>
    <cellStyle name="Output 2 7 10 2 3" xfId="39563"/>
    <cellStyle name="Output 2 7 10 3" xfId="39564"/>
    <cellStyle name="Output 2 7 10 3 2" xfId="39565"/>
    <cellStyle name="Output 2 7 10 3 2 2" xfId="39566"/>
    <cellStyle name="Output 2 7 10 3 3" xfId="39567"/>
    <cellStyle name="Output 2 7 10 4" xfId="39568"/>
    <cellStyle name="Output 2 7 10 5" xfId="39569"/>
    <cellStyle name="Output 2 7 11" xfId="39570"/>
    <cellStyle name="Output 2 7 11 2" xfId="39571"/>
    <cellStyle name="Output 2 7 11 2 2" xfId="39572"/>
    <cellStyle name="Output 2 7 11 2 2 2" xfId="39573"/>
    <cellStyle name="Output 2 7 11 2 3" xfId="39574"/>
    <cellStyle name="Output 2 7 11 3" xfId="39575"/>
    <cellStyle name="Output 2 7 11 3 2" xfId="39576"/>
    <cellStyle name="Output 2 7 11 3 2 2" xfId="39577"/>
    <cellStyle name="Output 2 7 11 3 3" xfId="39578"/>
    <cellStyle name="Output 2 7 11 4" xfId="39579"/>
    <cellStyle name="Output 2 7 11 5" xfId="39580"/>
    <cellStyle name="Output 2 7 12" xfId="39581"/>
    <cellStyle name="Output 2 7 12 2" xfId="39582"/>
    <cellStyle name="Output 2 7 12 2 2" xfId="39583"/>
    <cellStyle name="Output 2 7 12 2 2 2" xfId="39584"/>
    <cellStyle name="Output 2 7 12 2 3" xfId="39585"/>
    <cellStyle name="Output 2 7 12 3" xfId="39586"/>
    <cellStyle name="Output 2 7 12 3 2" xfId="39587"/>
    <cellStyle name="Output 2 7 12 3 2 2" xfId="39588"/>
    <cellStyle name="Output 2 7 12 3 3" xfId="39589"/>
    <cellStyle name="Output 2 7 12 4" xfId="39590"/>
    <cellStyle name="Output 2 7 12 5" xfId="39591"/>
    <cellStyle name="Output 2 7 13" xfId="39592"/>
    <cellStyle name="Output 2 7 13 2" xfId="39593"/>
    <cellStyle name="Output 2 7 13 2 2" xfId="39594"/>
    <cellStyle name="Output 2 7 13 2 2 2" xfId="39595"/>
    <cellStyle name="Output 2 7 13 2 3" xfId="39596"/>
    <cellStyle name="Output 2 7 13 3" xfId="39597"/>
    <cellStyle name="Output 2 7 13 3 2" xfId="39598"/>
    <cellStyle name="Output 2 7 13 3 2 2" xfId="39599"/>
    <cellStyle name="Output 2 7 13 3 3" xfId="39600"/>
    <cellStyle name="Output 2 7 13 4" xfId="39601"/>
    <cellStyle name="Output 2 7 13 5" xfId="39602"/>
    <cellStyle name="Output 2 7 14" xfId="39603"/>
    <cellStyle name="Output 2 7 14 2" xfId="39604"/>
    <cellStyle name="Output 2 7 14 2 2" xfId="39605"/>
    <cellStyle name="Output 2 7 14 2 2 2" xfId="39606"/>
    <cellStyle name="Output 2 7 14 2 3" xfId="39607"/>
    <cellStyle name="Output 2 7 14 3" xfId="39608"/>
    <cellStyle name="Output 2 7 14 3 2" xfId="39609"/>
    <cellStyle name="Output 2 7 14 3 2 2" xfId="39610"/>
    <cellStyle name="Output 2 7 14 3 3" xfId="39611"/>
    <cellStyle name="Output 2 7 14 4" xfId="39612"/>
    <cellStyle name="Output 2 7 14 5" xfId="39613"/>
    <cellStyle name="Output 2 7 15" xfId="39614"/>
    <cellStyle name="Output 2 7 15 2" xfId="39615"/>
    <cellStyle name="Output 2 7 15 2 2" xfId="39616"/>
    <cellStyle name="Output 2 7 15 2 2 2" xfId="39617"/>
    <cellStyle name="Output 2 7 15 2 3" xfId="39618"/>
    <cellStyle name="Output 2 7 15 3" xfId="39619"/>
    <cellStyle name="Output 2 7 15 3 2" xfId="39620"/>
    <cellStyle name="Output 2 7 15 3 2 2" xfId="39621"/>
    <cellStyle name="Output 2 7 15 3 3" xfId="39622"/>
    <cellStyle name="Output 2 7 15 4" xfId="39623"/>
    <cellStyle name="Output 2 7 15 5" xfId="39624"/>
    <cellStyle name="Output 2 7 16" xfId="39625"/>
    <cellStyle name="Output 2 7 16 2" xfId="39626"/>
    <cellStyle name="Output 2 7 16 2 2" xfId="39627"/>
    <cellStyle name="Output 2 7 16 2 2 2" xfId="39628"/>
    <cellStyle name="Output 2 7 16 2 3" xfId="39629"/>
    <cellStyle name="Output 2 7 16 3" xfId="39630"/>
    <cellStyle name="Output 2 7 16 3 2" xfId="39631"/>
    <cellStyle name="Output 2 7 16 3 2 2" xfId="39632"/>
    <cellStyle name="Output 2 7 16 3 3" xfId="39633"/>
    <cellStyle name="Output 2 7 16 4" xfId="39634"/>
    <cellStyle name="Output 2 7 16 5" xfId="39635"/>
    <cellStyle name="Output 2 7 17" xfId="39636"/>
    <cellStyle name="Output 2 7 17 2" xfId="39637"/>
    <cellStyle name="Output 2 7 17 2 2" xfId="39638"/>
    <cellStyle name="Output 2 7 17 2 2 2" xfId="39639"/>
    <cellStyle name="Output 2 7 17 2 3" xfId="39640"/>
    <cellStyle name="Output 2 7 17 3" xfId="39641"/>
    <cellStyle name="Output 2 7 17 3 2" xfId="39642"/>
    <cellStyle name="Output 2 7 17 3 2 2" xfId="39643"/>
    <cellStyle name="Output 2 7 17 3 3" xfId="39644"/>
    <cellStyle name="Output 2 7 17 4" xfId="39645"/>
    <cellStyle name="Output 2 7 17 5" xfId="39646"/>
    <cellStyle name="Output 2 7 18" xfId="39647"/>
    <cellStyle name="Output 2 7 18 2" xfId="39648"/>
    <cellStyle name="Output 2 7 18 2 2" xfId="39649"/>
    <cellStyle name="Output 2 7 18 2 2 2" xfId="39650"/>
    <cellStyle name="Output 2 7 18 2 3" xfId="39651"/>
    <cellStyle name="Output 2 7 18 3" xfId="39652"/>
    <cellStyle name="Output 2 7 18 3 2" xfId="39653"/>
    <cellStyle name="Output 2 7 18 3 2 2" xfId="39654"/>
    <cellStyle name="Output 2 7 18 3 3" xfId="39655"/>
    <cellStyle name="Output 2 7 18 4" xfId="39656"/>
    <cellStyle name="Output 2 7 18 5" xfId="39657"/>
    <cellStyle name="Output 2 7 19" xfId="39658"/>
    <cellStyle name="Output 2 7 19 2" xfId="39659"/>
    <cellStyle name="Output 2 7 19 2 2" xfId="39660"/>
    <cellStyle name="Output 2 7 19 2 2 2" xfId="39661"/>
    <cellStyle name="Output 2 7 19 2 3" xfId="39662"/>
    <cellStyle name="Output 2 7 19 3" xfId="39663"/>
    <cellStyle name="Output 2 7 19 3 2" xfId="39664"/>
    <cellStyle name="Output 2 7 19 3 2 2" xfId="39665"/>
    <cellStyle name="Output 2 7 19 3 3" xfId="39666"/>
    <cellStyle name="Output 2 7 19 4" xfId="39667"/>
    <cellStyle name="Output 2 7 19 5" xfId="39668"/>
    <cellStyle name="Output 2 7 2" xfId="39669"/>
    <cellStyle name="Output 2 7 2 2" xfId="39670"/>
    <cellStyle name="Output 2 7 2 2 2" xfId="39671"/>
    <cellStyle name="Output 2 7 2 2 2 2" xfId="39672"/>
    <cellStyle name="Output 2 7 2 2 3" xfId="39673"/>
    <cellStyle name="Output 2 7 2 3" xfId="39674"/>
    <cellStyle name="Output 2 7 2 3 2" xfId="39675"/>
    <cellStyle name="Output 2 7 2 3 2 2" xfId="39676"/>
    <cellStyle name="Output 2 7 2 3 3" xfId="39677"/>
    <cellStyle name="Output 2 7 2 4" xfId="39678"/>
    <cellStyle name="Output 2 7 2 4 2" xfId="39679"/>
    <cellStyle name="Output 2 7 2 4 2 2" xfId="39680"/>
    <cellStyle name="Output 2 7 2 4 3" xfId="39681"/>
    <cellStyle name="Output 2 7 2 5" xfId="39682"/>
    <cellStyle name="Output 2 7 2 5 2" xfId="39683"/>
    <cellStyle name="Output 2 7 2 5 2 2" xfId="39684"/>
    <cellStyle name="Output 2 7 2 5 3" xfId="39685"/>
    <cellStyle name="Output 2 7 2 6" xfId="39686"/>
    <cellStyle name="Output 2 7 2 7" xfId="39687"/>
    <cellStyle name="Output 2 7 20" xfId="39688"/>
    <cellStyle name="Output 2 7 20 2" xfId="39689"/>
    <cellStyle name="Output 2 7 20 2 2" xfId="39690"/>
    <cellStyle name="Output 2 7 20 2 2 2" xfId="39691"/>
    <cellStyle name="Output 2 7 20 2 3" xfId="39692"/>
    <cellStyle name="Output 2 7 20 3" xfId="39693"/>
    <cellStyle name="Output 2 7 20 3 2" xfId="39694"/>
    <cellStyle name="Output 2 7 20 3 2 2" xfId="39695"/>
    <cellStyle name="Output 2 7 20 3 3" xfId="39696"/>
    <cellStyle name="Output 2 7 20 4" xfId="39697"/>
    <cellStyle name="Output 2 7 20 5" xfId="39698"/>
    <cellStyle name="Output 2 7 21" xfId="39699"/>
    <cellStyle name="Output 2 7 21 2" xfId="39700"/>
    <cellStyle name="Output 2 7 21 2 2" xfId="39701"/>
    <cellStyle name="Output 2 7 21 2 2 2" xfId="39702"/>
    <cellStyle name="Output 2 7 21 2 3" xfId="39703"/>
    <cellStyle name="Output 2 7 21 3" xfId="39704"/>
    <cellStyle name="Output 2 7 21 3 2" xfId="39705"/>
    <cellStyle name="Output 2 7 21 3 2 2" xfId="39706"/>
    <cellStyle name="Output 2 7 21 3 3" xfId="39707"/>
    <cellStyle name="Output 2 7 21 4" xfId="39708"/>
    <cellStyle name="Output 2 7 21 5" xfId="39709"/>
    <cellStyle name="Output 2 7 22" xfId="39710"/>
    <cellStyle name="Output 2 7 22 2" xfId="39711"/>
    <cellStyle name="Output 2 7 22 2 2" xfId="39712"/>
    <cellStyle name="Output 2 7 22 2 2 2" xfId="39713"/>
    <cellStyle name="Output 2 7 22 2 3" xfId="39714"/>
    <cellStyle name="Output 2 7 22 3" xfId="39715"/>
    <cellStyle name="Output 2 7 22 3 2" xfId="39716"/>
    <cellStyle name="Output 2 7 22 3 2 2" xfId="39717"/>
    <cellStyle name="Output 2 7 22 3 3" xfId="39718"/>
    <cellStyle name="Output 2 7 22 4" xfId="39719"/>
    <cellStyle name="Output 2 7 22 5" xfId="39720"/>
    <cellStyle name="Output 2 7 23" xfId="39721"/>
    <cellStyle name="Output 2 7 23 2" xfId="39722"/>
    <cellStyle name="Output 2 7 23 2 2" xfId="39723"/>
    <cellStyle name="Output 2 7 23 2 2 2" xfId="39724"/>
    <cellStyle name="Output 2 7 23 2 3" xfId="39725"/>
    <cellStyle name="Output 2 7 23 3" xfId="39726"/>
    <cellStyle name="Output 2 7 23 3 2" xfId="39727"/>
    <cellStyle name="Output 2 7 23 3 2 2" xfId="39728"/>
    <cellStyle name="Output 2 7 23 3 3" xfId="39729"/>
    <cellStyle name="Output 2 7 23 4" xfId="39730"/>
    <cellStyle name="Output 2 7 23 5" xfId="39731"/>
    <cellStyle name="Output 2 7 24" xfId="39732"/>
    <cellStyle name="Output 2 7 24 2" xfId="39733"/>
    <cellStyle name="Output 2 7 24 2 2" xfId="39734"/>
    <cellStyle name="Output 2 7 24 2 2 2" xfId="39735"/>
    <cellStyle name="Output 2 7 24 2 3" xfId="39736"/>
    <cellStyle name="Output 2 7 24 3" xfId="39737"/>
    <cellStyle name="Output 2 7 24 3 2" xfId="39738"/>
    <cellStyle name="Output 2 7 24 3 2 2" xfId="39739"/>
    <cellStyle name="Output 2 7 24 3 3" xfId="39740"/>
    <cellStyle name="Output 2 7 24 4" xfId="39741"/>
    <cellStyle name="Output 2 7 24 5" xfId="39742"/>
    <cellStyle name="Output 2 7 25" xfId="39743"/>
    <cellStyle name="Output 2 7 25 2" xfId="39744"/>
    <cellStyle name="Output 2 7 25 2 2" xfId="39745"/>
    <cellStyle name="Output 2 7 25 2 2 2" xfId="39746"/>
    <cellStyle name="Output 2 7 25 2 3" xfId="39747"/>
    <cellStyle name="Output 2 7 25 3" xfId="39748"/>
    <cellStyle name="Output 2 7 25 3 2" xfId="39749"/>
    <cellStyle name="Output 2 7 25 3 2 2" xfId="39750"/>
    <cellStyle name="Output 2 7 25 3 3" xfId="39751"/>
    <cellStyle name="Output 2 7 25 4" xfId="39752"/>
    <cellStyle name="Output 2 7 25 5" xfId="39753"/>
    <cellStyle name="Output 2 7 26" xfId="39754"/>
    <cellStyle name="Output 2 7 26 2" xfId="39755"/>
    <cellStyle name="Output 2 7 26 2 2" xfId="39756"/>
    <cellStyle name="Output 2 7 26 2 2 2" xfId="39757"/>
    <cellStyle name="Output 2 7 26 2 3" xfId="39758"/>
    <cellStyle name="Output 2 7 26 3" xfId="39759"/>
    <cellStyle name="Output 2 7 26 3 2" xfId="39760"/>
    <cellStyle name="Output 2 7 26 3 2 2" xfId="39761"/>
    <cellStyle name="Output 2 7 26 3 3" xfId="39762"/>
    <cellStyle name="Output 2 7 26 4" xfId="39763"/>
    <cellStyle name="Output 2 7 26 5" xfId="39764"/>
    <cellStyle name="Output 2 7 27" xfId="39765"/>
    <cellStyle name="Output 2 7 27 2" xfId="39766"/>
    <cellStyle name="Output 2 7 27 2 2" xfId="39767"/>
    <cellStyle name="Output 2 7 27 2 2 2" xfId="39768"/>
    <cellStyle name="Output 2 7 27 2 3" xfId="39769"/>
    <cellStyle name="Output 2 7 27 3" xfId="39770"/>
    <cellStyle name="Output 2 7 27 3 2" xfId="39771"/>
    <cellStyle name="Output 2 7 27 3 2 2" xfId="39772"/>
    <cellStyle name="Output 2 7 27 3 3" xfId="39773"/>
    <cellStyle name="Output 2 7 27 4" xfId="39774"/>
    <cellStyle name="Output 2 7 27 5" xfId="39775"/>
    <cellStyle name="Output 2 7 28" xfId="39776"/>
    <cellStyle name="Output 2 7 28 2" xfId="39777"/>
    <cellStyle name="Output 2 7 28 2 2" xfId="39778"/>
    <cellStyle name="Output 2 7 28 2 2 2" xfId="39779"/>
    <cellStyle name="Output 2 7 28 2 3" xfId="39780"/>
    <cellStyle name="Output 2 7 28 3" xfId="39781"/>
    <cellStyle name="Output 2 7 28 3 2" xfId="39782"/>
    <cellStyle name="Output 2 7 28 3 2 2" xfId="39783"/>
    <cellStyle name="Output 2 7 28 3 3" xfId="39784"/>
    <cellStyle name="Output 2 7 28 4" xfId="39785"/>
    <cellStyle name="Output 2 7 28 5" xfId="39786"/>
    <cellStyle name="Output 2 7 29" xfId="39787"/>
    <cellStyle name="Output 2 7 29 2" xfId="39788"/>
    <cellStyle name="Output 2 7 29 2 2" xfId="39789"/>
    <cellStyle name="Output 2 7 29 2 2 2" xfId="39790"/>
    <cellStyle name="Output 2 7 29 2 3" xfId="39791"/>
    <cellStyle name="Output 2 7 29 3" xfId="39792"/>
    <cellStyle name="Output 2 7 29 3 2" xfId="39793"/>
    <cellStyle name="Output 2 7 29 3 2 2" xfId="39794"/>
    <cellStyle name="Output 2 7 29 3 3" xfId="39795"/>
    <cellStyle name="Output 2 7 29 4" xfId="39796"/>
    <cellStyle name="Output 2 7 29 5" xfId="39797"/>
    <cellStyle name="Output 2 7 3" xfId="39798"/>
    <cellStyle name="Output 2 7 3 2" xfId="39799"/>
    <cellStyle name="Output 2 7 3 2 2" xfId="39800"/>
    <cellStyle name="Output 2 7 3 2 2 2" xfId="39801"/>
    <cellStyle name="Output 2 7 3 2 3" xfId="39802"/>
    <cellStyle name="Output 2 7 3 3" xfId="39803"/>
    <cellStyle name="Output 2 7 3 3 2" xfId="39804"/>
    <cellStyle name="Output 2 7 3 3 2 2" xfId="39805"/>
    <cellStyle name="Output 2 7 3 3 3" xfId="39806"/>
    <cellStyle name="Output 2 7 3 4" xfId="39807"/>
    <cellStyle name="Output 2 7 3 4 2" xfId="39808"/>
    <cellStyle name="Output 2 7 3 4 2 2" xfId="39809"/>
    <cellStyle name="Output 2 7 3 4 3" xfId="39810"/>
    <cellStyle name="Output 2 7 3 5" xfId="39811"/>
    <cellStyle name="Output 2 7 3 5 2" xfId="39812"/>
    <cellStyle name="Output 2 7 3 5 2 2" xfId="39813"/>
    <cellStyle name="Output 2 7 3 5 3" xfId="39814"/>
    <cellStyle name="Output 2 7 3 6" xfId="39815"/>
    <cellStyle name="Output 2 7 3 7" xfId="39816"/>
    <cellStyle name="Output 2 7 30" xfId="39817"/>
    <cellStyle name="Output 2 7 30 2" xfId="39818"/>
    <cellStyle name="Output 2 7 30 2 2" xfId="39819"/>
    <cellStyle name="Output 2 7 30 2 2 2" xfId="39820"/>
    <cellStyle name="Output 2 7 30 2 3" xfId="39821"/>
    <cellStyle name="Output 2 7 30 3" xfId="39822"/>
    <cellStyle name="Output 2 7 30 3 2" xfId="39823"/>
    <cellStyle name="Output 2 7 30 3 2 2" xfId="39824"/>
    <cellStyle name="Output 2 7 30 3 3" xfId="39825"/>
    <cellStyle name="Output 2 7 30 4" xfId="39826"/>
    <cellStyle name="Output 2 7 30 5" xfId="39827"/>
    <cellStyle name="Output 2 7 31" xfId="39828"/>
    <cellStyle name="Output 2 7 31 2" xfId="39829"/>
    <cellStyle name="Output 2 7 31 2 2" xfId="39830"/>
    <cellStyle name="Output 2 7 31 2 2 2" xfId="39831"/>
    <cellStyle name="Output 2 7 31 2 3" xfId="39832"/>
    <cellStyle name="Output 2 7 31 3" xfId="39833"/>
    <cellStyle name="Output 2 7 31 3 2" xfId="39834"/>
    <cellStyle name="Output 2 7 31 3 2 2" xfId="39835"/>
    <cellStyle name="Output 2 7 31 3 3" xfId="39836"/>
    <cellStyle name="Output 2 7 31 4" xfId="39837"/>
    <cellStyle name="Output 2 7 31 5" xfId="39838"/>
    <cellStyle name="Output 2 7 32" xfId="39839"/>
    <cellStyle name="Output 2 7 32 2" xfId="39840"/>
    <cellStyle name="Output 2 7 32 2 2" xfId="39841"/>
    <cellStyle name="Output 2 7 32 2 2 2" xfId="39842"/>
    <cellStyle name="Output 2 7 32 2 3" xfId="39843"/>
    <cellStyle name="Output 2 7 32 3" xfId="39844"/>
    <cellStyle name="Output 2 7 32 3 2" xfId="39845"/>
    <cellStyle name="Output 2 7 32 3 2 2" xfId="39846"/>
    <cellStyle name="Output 2 7 32 3 3" xfId="39847"/>
    <cellStyle name="Output 2 7 32 4" xfId="39848"/>
    <cellStyle name="Output 2 7 32 5" xfId="39849"/>
    <cellStyle name="Output 2 7 33" xfId="39850"/>
    <cellStyle name="Output 2 7 33 2" xfId="39851"/>
    <cellStyle name="Output 2 7 33 2 2" xfId="39852"/>
    <cellStyle name="Output 2 7 33 2 2 2" xfId="39853"/>
    <cellStyle name="Output 2 7 33 2 3" xfId="39854"/>
    <cellStyle name="Output 2 7 33 3" xfId="39855"/>
    <cellStyle name="Output 2 7 33 3 2" xfId="39856"/>
    <cellStyle name="Output 2 7 33 3 2 2" xfId="39857"/>
    <cellStyle name="Output 2 7 33 3 3" xfId="39858"/>
    <cellStyle name="Output 2 7 33 4" xfId="39859"/>
    <cellStyle name="Output 2 7 33 5" xfId="39860"/>
    <cellStyle name="Output 2 7 34" xfId="39861"/>
    <cellStyle name="Output 2 7 34 2" xfId="39862"/>
    <cellStyle name="Output 2 7 34 2 2" xfId="39863"/>
    <cellStyle name="Output 2 7 34 2 2 2" xfId="39864"/>
    <cellStyle name="Output 2 7 34 2 3" xfId="39865"/>
    <cellStyle name="Output 2 7 34 3" xfId="39866"/>
    <cellStyle name="Output 2 7 34 3 2" xfId="39867"/>
    <cellStyle name="Output 2 7 34 3 2 2" xfId="39868"/>
    <cellStyle name="Output 2 7 34 3 3" xfId="39869"/>
    <cellStyle name="Output 2 7 34 4" xfId="39870"/>
    <cellStyle name="Output 2 7 34 5" xfId="39871"/>
    <cellStyle name="Output 2 7 35" xfId="39872"/>
    <cellStyle name="Output 2 7 35 2" xfId="39873"/>
    <cellStyle name="Output 2 7 35 2 2" xfId="39874"/>
    <cellStyle name="Output 2 7 35 2 2 2" xfId="39875"/>
    <cellStyle name="Output 2 7 35 2 3" xfId="39876"/>
    <cellStyle name="Output 2 7 35 3" xfId="39877"/>
    <cellStyle name="Output 2 7 35 3 2" xfId="39878"/>
    <cellStyle name="Output 2 7 35 3 2 2" xfId="39879"/>
    <cellStyle name="Output 2 7 35 3 3" xfId="39880"/>
    <cellStyle name="Output 2 7 35 4" xfId="39881"/>
    <cellStyle name="Output 2 7 35 5" xfId="39882"/>
    <cellStyle name="Output 2 7 36" xfId="39883"/>
    <cellStyle name="Output 2 7 36 2" xfId="39884"/>
    <cellStyle name="Output 2 7 36 2 2" xfId="39885"/>
    <cellStyle name="Output 2 7 36 2 2 2" xfId="39886"/>
    <cellStyle name="Output 2 7 36 2 3" xfId="39887"/>
    <cellStyle name="Output 2 7 36 3" xfId="39888"/>
    <cellStyle name="Output 2 7 36 3 2" xfId="39889"/>
    <cellStyle name="Output 2 7 36 3 2 2" xfId="39890"/>
    <cellStyle name="Output 2 7 36 3 3" xfId="39891"/>
    <cellStyle name="Output 2 7 36 4" xfId="39892"/>
    <cellStyle name="Output 2 7 36 5" xfId="39893"/>
    <cellStyle name="Output 2 7 37" xfId="39894"/>
    <cellStyle name="Output 2 7 37 2" xfId="39895"/>
    <cellStyle name="Output 2 7 37 2 2" xfId="39896"/>
    <cellStyle name="Output 2 7 37 2 2 2" xfId="39897"/>
    <cellStyle name="Output 2 7 37 2 3" xfId="39898"/>
    <cellStyle name="Output 2 7 37 3" xfId="39899"/>
    <cellStyle name="Output 2 7 37 3 2" xfId="39900"/>
    <cellStyle name="Output 2 7 37 3 2 2" xfId="39901"/>
    <cellStyle name="Output 2 7 37 3 3" xfId="39902"/>
    <cellStyle name="Output 2 7 37 4" xfId="39903"/>
    <cellStyle name="Output 2 7 37 5" xfId="39904"/>
    <cellStyle name="Output 2 7 38" xfId="39905"/>
    <cellStyle name="Output 2 7 38 2" xfId="39906"/>
    <cellStyle name="Output 2 7 38 2 2" xfId="39907"/>
    <cellStyle name="Output 2 7 38 2 2 2" xfId="39908"/>
    <cellStyle name="Output 2 7 38 2 3" xfId="39909"/>
    <cellStyle name="Output 2 7 38 3" xfId="39910"/>
    <cellStyle name="Output 2 7 38 3 2" xfId="39911"/>
    <cellStyle name="Output 2 7 38 3 2 2" xfId="39912"/>
    <cellStyle name="Output 2 7 38 3 3" xfId="39913"/>
    <cellStyle name="Output 2 7 38 4" xfId="39914"/>
    <cellStyle name="Output 2 7 38 5" xfId="39915"/>
    <cellStyle name="Output 2 7 39" xfId="39916"/>
    <cellStyle name="Output 2 7 39 2" xfId="39917"/>
    <cellStyle name="Output 2 7 39 2 2" xfId="39918"/>
    <cellStyle name="Output 2 7 39 2 2 2" xfId="39919"/>
    <cellStyle name="Output 2 7 39 2 3" xfId="39920"/>
    <cellStyle name="Output 2 7 39 3" xfId="39921"/>
    <cellStyle name="Output 2 7 39 3 2" xfId="39922"/>
    <cellStyle name="Output 2 7 39 3 2 2" xfId="39923"/>
    <cellStyle name="Output 2 7 39 3 3" xfId="39924"/>
    <cellStyle name="Output 2 7 39 4" xfId="39925"/>
    <cellStyle name="Output 2 7 39 5" xfId="39926"/>
    <cellStyle name="Output 2 7 4" xfId="39927"/>
    <cellStyle name="Output 2 7 4 2" xfId="39928"/>
    <cellStyle name="Output 2 7 4 2 2" xfId="39929"/>
    <cellStyle name="Output 2 7 4 2 2 2" xfId="39930"/>
    <cellStyle name="Output 2 7 4 2 3" xfId="39931"/>
    <cellStyle name="Output 2 7 4 3" xfId="39932"/>
    <cellStyle name="Output 2 7 4 3 2" xfId="39933"/>
    <cellStyle name="Output 2 7 4 3 2 2" xfId="39934"/>
    <cellStyle name="Output 2 7 4 3 3" xfId="39935"/>
    <cellStyle name="Output 2 7 4 4" xfId="39936"/>
    <cellStyle name="Output 2 7 4 4 2" xfId="39937"/>
    <cellStyle name="Output 2 7 4 4 2 2" xfId="39938"/>
    <cellStyle name="Output 2 7 4 4 3" xfId="39939"/>
    <cellStyle name="Output 2 7 4 5" xfId="39940"/>
    <cellStyle name="Output 2 7 4 5 2" xfId="39941"/>
    <cellStyle name="Output 2 7 4 5 2 2" xfId="39942"/>
    <cellStyle name="Output 2 7 4 5 3" xfId="39943"/>
    <cellStyle name="Output 2 7 4 6" xfId="39944"/>
    <cellStyle name="Output 2 7 4 7" xfId="39945"/>
    <cellStyle name="Output 2 7 40" xfId="39946"/>
    <cellStyle name="Output 2 7 40 2" xfId="39947"/>
    <cellStyle name="Output 2 7 40 2 2" xfId="39948"/>
    <cellStyle name="Output 2 7 40 2 2 2" xfId="39949"/>
    <cellStyle name="Output 2 7 40 2 3" xfId="39950"/>
    <cellStyle name="Output 2 7 40 3" xfId="39951"/>
    <cellStyle name="Output 2 7 40 3 2" xfId="39952"/>
    <cellStyle name="Output 2 7 40 3 2 2" xfId="39953"/>
    <cellStyle name="Output 2 7 40 3 3" xfId="39954"/>
    <cellStyle name="Output 2 7 40 4" xfId="39955"/>
    <cellStyle name="Output 2 7 40 5" xfId="39956"/>
    <cellStyle name="Output 2 7 41" xfId="39957"/>
    <cellStyle name="Output 2 7 41 2" xfId="39958"/>
    <cellStyle name="Output 2 7 41 2 2" xfId="39959"/>
    <cellStyle name="Output 2 7 41 2 2 2" xfId="39960"/>
    <cellStyle name="Output 2 7 41 2 3" xfId="39961"/>
    <cellStyle name="Output 2 7 41 3" xfId="39962"/>
    <cellStyle name="Output 2 7 41 3 2" xfId="39963"/>
    <cellStyle name="Output 2 7 41 3 2 2" xfId="39964"/>
    <cellStyle name="Output 2 7 41 3 3" xfId="39965"/>
    <cellStyle name="Output 2 7 41 4" xfId="39966"/>
    <cellStyle name="Output 2 7 41 5" xfId="39967"/>
    <cellStyle name="Output 2 7 42" xfId="39968"/>
    <cellStyle name="Output 2 7 42 2" xfId="39969"/>
    <cellStyle name="Output 2 7 42 2 2" xfId="39970"/>
    <cellStyle name="Output 2 7 42 2 2 2" xfId="39971"/>
    <cellStyle name="Output 2 7 42 2 3" xfId="39972"/>
    <cellStyle name="Output 2 7 42 3" xfId="39973"/>
    <cellStyle name="Output 2 7 42 3 2" xfId="39974"/>
    <cellStyle name="Output 2 7 42 3 2 2" xfId="39975"/>
    <cellStyle name="Output 2 7 42 3 3" xfId="39976"/>
    <cellStyle name="Output 2 7 42 4" xfId="39977"/>
    <cellStyle name="Output 2 7 42 5" xfId="39978"/>
    <cellStyle name="Output 2 7 43" xfId="39979"/>
    <cellStyle name="Output 2 7 43 2" xfId="39980"/>
    <cellStyle name="Output 2 7 43 2 2" xfId="39981"/>
    <cellStyle name="Output 2 7 43 2 2 2" xfId="39982"/>
    <cellStyle name="Output 2 7 43 2 3" xfId="39983"/>
    <cellStyle name="Output 2 7 43 3" xfId="39984"/>
    <cellStyle name="Output 2 7 43 3 2" xfId="39985"/>
    <cellStyle name="Output 2 7 43 3 2 2" xfId="39986"/>
    <cellStyle name="Output 2 7 43 3 3" xfId="39987"/>
    <cellStyle name="Output 2 7 43 4" xfId="39988"/>
    <cellStyle name="Output 2 7 43 5" xfId="39989"/>
    <cellStyle name="Output 2 7 44" xfId="39990"/>
    <cellStyle name="Output 2 7 44 2" xfId="39991"/>
    <cellStyle name="Output 2 7 44 2 2" xfId="39992"/>
    <cellStyle name="Output 2 7 44 2 2 2" xfId="39993"/>
    <cellStyle name="Output 2 7 44 2 3" xfId="39994"/>
    <cellStyle name="Output 2 7 44 3" xfId="39995"/>
    <cellStyle name="Output 2 7 44 3 2" xfId="39996"/>
    <cellStyle name="Output 2 7 44 3 2 2" xfId="39997"/>
    <cellStyle name="Output 2 7 44 3 3" xfId="39998"/>
    <cellStyle name="Output 2 7 44 4" xfId="39999"/>
    <cellStyle name="Output 2 7 44 5" xfId="40000"/>
    <cellStyle name="Output 2 7 45" xfId="40001"/>
    <cellStyle name="Output 2 7 45 2" xfId="40002"/>
    <cellStyle name="Output 2 7 45 2 2" xfId="40003"/>
    <cellStyle name="Output 2 7 45 2 2 2" xfId="40004"/>
    <cellStyle name="Output 2 7 45 2 3" xfId="40005"/>
    <cellStyle name="Output 2 7 45 3" xfId="40006"/>
    <cellStyle name="Output 2 7 45 3 2" xfId="40007"/>
    <cellStyle name="Output 2 7 45 3 2 2" xfId="40008"/>
    <cellStyle name="Output 2 7 45 3 3" xfId="40009"/>
    <cellStyle name="Output 2 7 45 4" xfId="40010"/>
    <cellStyle name="Output 2 7 45 5" xfId="40011"/>
    <cellStyle name="Output 2 7 46" xfId="40012"/>
    <cellStyle name="Output 2 7 46 2" xfId="40013"/>
    <cellStyle name="Output 2 7 46 2 2" xfId="40014"/>
    <cellStyle name="Output 2 7 46 2 2 2" xfId="40015"/>
    <cellStyle name="Output 2 7 46 2 3" xfId="40016"/>
    <cellStyle name="Output 2 7 46 3" xfId="40017"/>
    <cellStyle name="Output 2 7 46 3 2" xfId="40018"/>
    <cellStyle name="Output 2 7 46 3 2 2" xfId="40019"/>
    <cellStyle name="Output 2 7 46 3 3" xfId="40020"/>
    <cellStyle name="Output 2 7 46 4" xfId="40021"/>
    <cellStyle name="Output 2 7 46 5" xfId="40022"/>
    <cellStyle name="Output 2 7 47" xfId="40023"/>
    <cellStyle name="Output 2 7 47 2" xfId="40024"/>
    <cellStyle name="Output 2 7 47 2 2" xfId="40025"/>
    <cellStyle name="Output 2 7 47 2 2 2" xfId="40026"/>
    <cellStyle name="Output 2 7 47 2 3" xfId="40027"/>
    <cellStyle name="Output 2 7 47 3" xfId="40028"/>
    <cellStyle name="Output 2 7 47 3 2" xfId="40029"/>
    <cellStyle name="Output 2 7 47 3 2 2" xfId="40030"/>
    <cellStyle name="Output 2 7 47 3 3" xfId="40031"/>
    <cellStyle name="Output 2 7 47 4" xfId="40032"/>
    <cellStyle name="Output 2 7 47 5" xfId="40033"/>
    <cellStyle name="Output 2 7 48" xfId="40034"/>
    <cellStyle name="Output 2 7 48 2" xfId="40035"/>
    <cellStyle name="Output 2 7 48 2 2" xfId="40036"/>
    <cellStyle name="Output 2 7 48 2 2 2" xfId="40037"/>
    <cellStyle name="Output 2 7 48 2 3" xfId="40038"/>
    <cellStyle name="Output 2 7 48 3" xfId="40039"/>
    <cellStyle name="Output 2 7 48 3 2" xfId="40040"/>
    <cellStyle name="Output 2 7 48 3 2 2" xfId="40041"/>
    <cellStyle name="Output 2 7 48 3 3" xfId="40042"/>
    <cellStyle name="Output 2 7 48 4" xfId="40043"/>
    <cellStyle name="Output 2 7 48 5" xfId="40044"/>
    <cellStyle name="Output 2 7 49" xfId="40045"/>
    <cellStyle name="Output 2 7 49 2" xfId="40046"/>
    <cellStyle name="Output 2 7 49 2 2" xfId="40047"/>
    <cellStyle name="Output 2 7 49 3" xfId="40048"/>
    <cellStyle name="Output 2 7 5" xfId="40049"/>
    <cellStyle name="Output 2 7 5 2" xfId="40050"/>
    <cellStyle name="Output 2 7 5 2 2" xfId="40051"/>
    <cellStyle name="Output 2 7 5 2 2 2" xfId="40052"/>
    <cellStyle name="Output 2 7 5 2 3" xfId="40053"/>
    <cellStyle name="Output 2 7 5 3" xfId="40054"/>
    <cellStyle name="Output 2 7 5 3 2" xfId="40055"/>
    <cellStyle name="Output 2 7 5 3 2 2" xfId="40056"/>
    <cellStyle name="Output 2 7 5 3 3" xfId="40057"/>
    <cellStyle name="Output 2 7 5 4" xfId="40058"/>
    <cellStyle name="Output 2 7 5 4 2" xfId="40059"/>
    <cellStyle name="Output 2 7 5 4 2 2" xfId="40060"/>
    <cellStyle name="Output 2 7 5 4 3" xfId="40061"/>
    <cellStyle name="Output 2 7 5 5" xfId="40062"/>
    <cellStyle name="Output 2 7 5 5 2" xfId="40063"/>
    <cellStyle name="Output 2 7 5 5 2 2" xfId="40064"/>
    <cellStyle name="Output 2 7 5 5 3" xfId="40065"/>
    <cellStyle name="Output 2 7 5 6" xfId="40066"/>
    <cellStyle name="Output 2 7 5 7" xfId="40067"/>
    <cellStyle name="Output 2 7 50" xfId="40068"/>
    <cellStyle name="Output 2 7 50 2" xfId="40069"/>
    <cellStyle name="Output 2 7 50 2 2" xfId="40070"/>
    <cellStyle name="Output 2 7 50 3" xfId="40071"/>
    <cellStyle name="Output 2 7 51" xfId="40072"/>
    <cellStyle name="Output 2 7 51 2" xfId="40073"/>
    <cellStyle name="Output 2 7 51 2 2" xfId="40074"/>
    <cellStyle name="Output 2 7 51 3" xfId="40075"/>
    <cellStyle name="Output 2 7 52" xfId="40076"/>
    <cellStyle name="Output 2 7 52 2" xfId="40077"/>
    <cellStyle name="Output 2 7 52 2 2" xfId="40078"/>
    <cellStyle name="Output 2 7 52 3" xfId="40079"/>
    <cellStyle name="Output 2 7 53" xfId="40080"/>
    <cellStyle name="Output 2 7 54" xfId="40081"/>
    <cellStyle name="Output 2 7 6" xfId="40082"/>
    <cellStyle name="Output 2 7 6 2" xfId="40083"/>
    <cellStyle name="Output 2 7 6 2 2" xfId="40084"/>
    <cellStyle name="Output 2 7 6 2 2 2" xfId="40085"/>
    <cellStyle name="Output 2 7 6 2 3" xfId="40086"/>
    <cellStyle name="Output 2 7 6 3" xfId="40087"/>
    <cellStyle name="Output 2 7 6 3 2" xfId="40088"/>
    <cellStyle name="Output 2 7 6 3 2 2" xfId="40089"/>
    <cellStyle name="Output 2 7 6 3 3" xfId="40090"/>
    <cellStyle name="Output 2 7 6 4" xfId="40091"/>
    <cellStyle name="Output 2 7 6 4 2" xfId="40092"/>
    <cellStyle name="Output 2 7 6 4 2 2" xfId="40093"/>
    <cellStyle name="Output 2 7 6 4 3" xfId="40094"/>
    <cellStyle name="Output 2 7 6 5" xfId="40095"/>
    <cellStyle name="Output 2 7 6 5 2" xfId="40096"/>
    <cellStyle name="Output 2 7 6 5 2 2" xfId="40097"/>
    <cellStyle name="Output 2 7 6 5 3" xfId="40098"/>
    <cellStyle name="Output 2 7 6 6" xfId="40099"/>
    <cellStyle name="Output 2 7 6 7" xfId="40100"/>
    <cellStyle name="Output 2 7 7" xfId="40101"/>
    <cellStyle name="Output 2 7 7 2" xfId="40102"/>
    <cellStyle name="Output 2 7 7 2 2" xfId="40103"/>
    <cellStyle name="Output 2 7 7 2 2 2" xfId="40104"/>
    <cellStyle name="Output 2 7 7 2 3" xfId="40105"/>
    <cellStyle name="Output 2 7 7 3" xfId="40106"/>
    <cellStyle name="Output 2 7 7 3 2" xfId="40107"/>
    <cellStyle name="Output 2 7 7 3 2 2" xfId="40108"/>
    <cellStyle name="Output 2 7 7 3 3" xfId="40109"/>
    <cellStyle name="Output 2 7 7 4" xfId="40110"/>
    <cellStyle name="Output 2 7 7 4 2" xfId="40111"/>
    <cellStyle name="Output 2 7 7 4 2 2" xfId="40112"/>
    <cellStyle name="Output 2 7 7 4 3" xfId="40113"/>
    <cellStyle name="Output 2 7 7 5" xfId="40114"/>
    <cellStyle name="Output 2 7 7 5 2" xfId="40115"/>
    <cellStyle name="Output 2 7 7 5 2 2" xfId="40116"/>
    <cellStyle name="Output 2 7 7 5 3" xfId="40117"/>
    <cellStyle name="Output 2 7 7 6" xfId="40118"/>
    <cellStyle name="Output 2 7 7 7" xfId="40119"/>
    <cellStyle name="Output 2 7 8" xfId="40120"/>
    <cellStyle name="Output 2 7 8 2" xfId="40121"/>
    <cellStyle name="Output 2 7 8 2 2" xfId="40122"/>
    <cellStyle name="Output 2 7 8 2 2 2" xfId="40123"/>
    <cellStyle name="Output 2 7 8 2 3" xfId="40124"/>
    <cellStyle name="Output 2 7 8 3" xfId="40125"/>
    <cellStyle name="Output 2 7 8 3 2" xfId="40126"/>
    <cellStyle name="Output 2 7 8 3 2 2" xfId="40127"/>
    <cellStyle name="Output 2 7 8 3 3" xfId="40128"/>
    <cellStyle name="Output 2 7 8 4" xfId="40129"/>
    <cellStyle name="Output 2 7 8 4 2" xfId="40130"/>
    <cellStyle name="Output 2 7 8 4 2 2" xfId="40131"/>
    <cellStyle name="Output 2 7 8 4 3" xfId="40132"/>
    <cellStyle name="Output 2 7 8 5" xfId="40133"/>
    <cellStyle name="Output 2 7 8 5 2" xfId="40134"/>
    <cellStyle name="Output 2 7 8 5 2 2" xfId="40135"/>
    <cellStyle name="Output 2 7 8 5 3" xfId="40136"/>
    <cellStyle name="Output 2 7 8 6" xfId="40137"/>
    <cellStyle name="Output 2 7 8 7" xfId="40138"/>
    <cellStyle name="Output 2 7 9" xfId="40139"/>
    <cellStyle name="Output 2 7 9 2" xfId="40140"/>
    <cellStyle name="Output 2 7 9 2 2" xfId="40141"/>
    <cellStyle name="Output 2 7 9 2 2 2" xfId="40142"/>
    <cellStyle name="Output 2 7 9 2 3" xfId="40143"/>
    <cellStyle name="Output 2 7 9 3" xfId="40144"/>
    <cellStyle name="Output 2 7 9 3 2" xfId="40145"/>
    <cellStyle name="Output 2 7 9 3 2 2" xfId="40146"/>
    <cellStyle name="Output 2 7 9 3 3" xfId="40147"/>
    <cellStyle name="Output 2 7 9 4" xfId="40148"/>
    <cellStyle name="Output 2 7 9 5" xfId="40149"/>
    <cellStyle name="Output 2 8" xfId="40150"/>
    <cellStyle name="Output 2 8 10" xfId="40151"/>
    <cellStyle name="Output 2 8 10 2" xfId="40152"/>
    <cellStyle name="Output 2 8 10 2 2" xfId="40153"/>
    <cellStyle name="Output 2 8 10 2 2 2" xfId="40154"/>
    <cellStyle name="Output 2 8 10 2 3" xfId="40155"/>
    <cellStyle name="Output 2 8 10 3" xfId="40156"/>
    <cellStyle name="Output 2 8 10 3 2" xfId="40157"/>
    <cellStyle name="Output 2 8 10 3 2 2" xfId="40158"/>
    <cellStyle name="Output 2 8 10 3 3" xfId="40159"/>
    <cellStyle name="Output 2 8 10 4" xfId="40160"/>
    <cellStyle name="Output 2 8 10 5" xfId="40161"/>
    <cellStyle name="Output 2 8 11" xfId="40162"/>
    <cellStyle name="Output 2 8 11 2" xfId="40163"/>
    <cellStyle name="Output 2 8 11 2 2" xfId="40164"/>
    <cellStyle name="Output 2 8 11 2 2 2" xfId="40165"/>
    <cellStyle name="Output 2 8 11 2 3" xfId="40166"/>
    <cellStyle name="Output 2 8 11 3" xfId="40167"/>
    <cellStyle name="Output 2 8 11 3 2" xfId="40168"/>
    <cellStyle name="Output 2 8 11 3 2 2" xfId="40169"/>
    <cellStyle name="Output 2 8 11 3 3" xfId="40170"/>
    <cellStyle name="Output 2 8 11 4" xfId="40171"/>
    <cellStyle name="Output 2 8 11 5" xfId="40172"/>
    <cellStyle name="Output 2 8 12" xfId="40173"/>
    <cellStyle name="Output 2 8 12 2" xfId="40174"/>
    <cellStyle name="Output 2 8 12 2 2" xfId="40175"/>
    <cellStyle name="Output 2 8 12 2 2 2" xfId="40176"/>
    <cellStyle name="Output 2 8 12 2 3" xfId="40177"/>
    <cellStyle name="Output 2 8 12 3" xfId="40178"/>
    <cellStyle name="Output 2 8 12 3 2" xfId="40179"/>
    <cellStyle name="Output 2 8 12 3 2 2" xfId="40180"/>
    <cellStyle name="Output 2 8 12 3 3" xfId="40181"/>
    <cellStyle name="Output 2 8 12 4" xfId="40182"/>
    <cellStyle name="Output 2 8 12 5" xfId="40183"/>
    <cellStyle name="Output 2 8 13" xfId="40184"/>
    <cellStyle name="Output 2 8 13 2" xfId="40185"/>
    <cellStyle name="Output 2 8 13 2 2" xfId="40186"/>
    <cellStyle name="Output 2 8 13 2 2 2" xfId="40187"/>
    <cellStyle name="Output 2 8 13 2 3" xfId="40188"/>
    <cellStyle name="Output 2 8 13 3" xfId="40189"/>
    <cellStyle name="Output 2 8 13 3 2" xfId="40190"/>
    <cellStyle name="Output 2 8 13 3 2 2" xfId="40191"/>
    <cellStyle name="Output 2 8 13 3 3" xfId="40192"/>
    <cellStyle name="Output 2 8 13 4" xfId="40193"/>
    <cellStyle name="Output 2 8 13 5" xfId="40194"/>
    <cellStyle name="Output 2 8 14" xfId="40195"/>
    <cellStyle name="Output 2 8 14 2" xfId="40196"/>
    <cellStyle name="Output 2 8 14 2 2" xfId="40197"/>
    <cellStyle name="Output 2 8 14 2 2 2" xfId="40198"/>
    <cellStyle name="Output 2 8 14 2 3" xfId="40199"/>
    <cellStyle name="Output 2 8 14 3" xfId="40200"/>
    <cellStyle name="Output 2 8 14 3 2" xfId="40201"/>
    <cellStyle name="Output 2 8 14 3 2 2" xfId="40202"/>
    <cellStyle name="Output 2 8 14 3 3" xfId="40203"/>
    <cellStyle name="Output 2 8 14 4" xfId="40204"/>
    <cellStyle name="Output 2 8 14 5" xfId="40205"/>
    <cellStyle name="Output 2 8 15" xfId="40206"/>
    <cellStyle name="Output 2 8 15 2" xfId="40207"/>
    <cellStyle name="Output 2 8 15 2 2" xfId="40208"/>
    <cellStyle name="Output 2 8 15 2 2 2" xfId="40209"/>
    <cellStyle name="Output 2 8 15 2 3" xfId="40210"/>
    <cellStyle name="Output 2 8 15 3" xfId="40211"/>
    <cellStyle name="Output 2 8 15 3 2" xfId="40212"/>
    <cellStyle name="Output 2 8 15 3 2 2" xfId="40213"/>
    <cellStyle name="Output 2 8 15 3 3" xfId="40214"/>
    <cellStyle name="Output 2 8 15 4" xfId="40215"/>
    <cellStyle name="Output 2 8 15 5" xfId="40216"/>
    <cellStyle name="Output 2 8 16" xfId="40217"/>
    <cellStyle name="Output 2 8 16 2" xfId="40218"/>
    <cellStyle name="Output 2 8 16 2 2" xfId="40219"/>
    <cellStyle name="Output 2 8 16 2 2 2" xfId="40220"/>
    <cellStyle name="Output 2 8 16 2 3" xfId="40221"/>
    <cellStyle name="Output 2 8 16 3" xfId="40222"/>
    <cellStyle name="Output 2 8 16 3 2" xfId="40223"/>
    <cellStyle name="Output 2 8 16 3 2 2" xfId="40224"/>
    <cellStyle name="Output 2 8 16 3 3" xfId="40225"/>
    <cellStyle name="Output 2 8 16 4" xfId="40226"/>
    <cellStyle name="Output 2 8 16 5" xfId="40227"/>
    <cellStyle name="Output 2 8 17" xfId="40228"/>
    <cellStyle name="Output 2 8 17 2" xfId="40229"/>
    <cellStyle name="Output 2 8 17 2 2" xfId="40230"/>
    <cellStyle name="Output 2 8 17 2 2 2" xfId="40231"/>
    <cellStyle name="Output 2 8 17 2 3" xfId="40232"/>
    <cellStyle name="Output 2 8 17 3" xfId="40233"/>
    <cellStyle name="Output 2 8 17 3 2" xfId="40234"/>
    <cellStyle name="Output 2 8 17 3 2 2" xfId="40235"/>
    <cellStyle name="Output 2 8 17 3 3" xfId="40236"/>
    <cellStyle name="Output 2 8 17 4" xfId="40237"/>
    <cellStyle name="Output 2 8 17 5" xfId="40238"/>
    <cellStyle name="Output 2 8 18" xfId="40239"/>
    <cellStyle name="Output 2 8 18 2" xfId="40240"/>
    <cellStyle name="Output 2 8 18 2 2" xfId="40241"/>
    <cellStyle name="Output 2 8 18 2 2 2" xfId="40242"/>
    <cellStyle name="Output 2 8 18 2 3" xfId="40243"/>
    <cellStyle name="Output 2 8 18 3" xfId="40244"/>
    <cellStyle name="Output 2 8 18 3 2" xfId="40245"/>
    <cellStyle name="Output 2 8 18 3 2 2" xfId="40246"/>
    <cellStyle name="Output 2 8 18 3 3" xfId="40247"/>
    <cellStyle name="Output 2 8 18 4" xfId="40248"/>
    <cellStyle name="Output 2 8 18 5" xfId="40249"/>
    <cellStyle name="Output 2 8 19" xfId="40250"/>
    <cellStyle name="Output 2 8 19 2" xfId="40251"/>
    <cellStyle name="Output 2 8 19 2 2" xfId="40252"/>
    <cellStyle name="Output 2 8 19 2 2 2" xfId="40253"/>
    <cellStyle name="Output 2 8 19 2 3" xfId="40254"/>
    <cellStyle name="Output 2 8 19 3" xfId="40255"/>
    <cellStyle name="Output 2 8 19 3 2" xfId="40256"/>
    <cellStyle name="Output 2 8 19 3 2 2" xfId="40257"/>
    <cellStyle name="Output 2 8 19 3 3" xfId="40258"/>
    <cellStyle name="Output 2 8 19 4" xfId="40259"/>
    <cellStyle name="Output 2 8 19 5" xfId="40260"/>
    <cellStyle name="Output 2 8 2" xfId="40261"/>
    <cellStyle name="Output 2 8 2 2" xfId="40262"/>
    <cellStyle name="Output 2 8 2 2 2" xfId="40263"/>
    <cellStyle name="Output 2 8 2 2 2 2" xfId="40264"/>
    <cellStyle name="Output 2 8 2 2 3" xfId="40265"/>
    <cellStyle name="Output 2 8 2 3" xfId="40266"/>
    <cellStyle name="Output 2 8 2 3 2" xfId="40267"/>
    <cellStyle name="Output 2 8 2 3 2 2" xfId="40268"/>
    <cellStyle name="Output 2 8 2 3 3" xfId="40269"/>
    <cellStyle name="Output 2 8 2 4" xfId="40270"/>
    <cellStyle name="Output 2 8 2 4 2" xfId="40271"/>
    <cellStyle name="Output 2 8 2 4 2 2" xfId="40272"/>
    <cellStyle name="Output 2 8 2 4 3" xfId="40273"/>
    <cellStyle name="Output 2 8 2 5" xfId="40274"/>
    <cellStyle name="Output 2 8 2 5 2" xfId="40275"/>
    <cellStyle name="Output 2 8 2 5 2 2" xfId="40276"/>
    <cellStyle name="Output 2 8 2 5 3" xfId="40277"/>
    <cellStyle name="Output 2 8 2 6" xfId="40278"/>
    <cellStyle name="Output 2 8 2 7" xfId="40279"/>
    <cellStyle name="Output 2 8 20" xfId="40280"/>
    <cellStyle name="Output 2 8 20 2" xfId="40281"/>
    <cellStyle name="Output 2 8 20 2 2" xfId="40282"/>
    <cellStyle name="Output 2 8 20 2 2 2" xfId="40283"/>
    <cellStyle name="Output 2 8 20 2 3" xfId="40284"/>
    <cellStyle name="Output 2 8 20 3" xfId="40285"/>
    <cellStyle name="Output 2 8 20 3 2" xfId="40286"/>
    <cellStyle name="Output 2 8 20 3 2 2" xfId="40287"/>
    <cellStyle name="Output 2 8 20 3 3" xfId="40288"/>
    <cellStyle name="Output 2 8 20 4" xfId="40289"/>
    <cellStyle name="Output 2 8 20 5" xfId="40290"/>
    <cellStyle name="Output 2 8 21" xfId="40291"/>
    <cellStyle name="Output 2 8 21 2" xfId="40292"/>
    <cellStyle name="Output 2 8 21 2 2" xfId="40293"/>
    <cellStyle name="Output 2 8 21 2 2 2" xfId="40294"/>
    <cellStyle name="Output 2 8 21 2 3" xfId="40295"/>
    <cellStyle name="Output 2 8 21 3" xfId="40296"/>
    <cellStyle name="Output 2 8 21 3 2" xfId="40297"/>
    <cellStyle name="Output 2 8 21 3 2 2" xfId="40298"/>
    <cellStyle name="Output 2 8 21 3 3" xfId="40299"/>
    <cellStyle name="Output 2 8 21 4" xfId="40300"/>
    <cellStyle name="Output 2 8 21 5" xfId="40301"/>
    <cellStyle name="Output 2 8 22" xfId="40302"/>
    <cellStyle name="Output 2 8 22 2" xfId="40303"/>
    <cellStyle name="Output 2 8 22 2 2" xfId="40304"/>
    <cellStyle name="Output 2 8 22 2 2 2" xfId="40305"/>
    <cellStyle name="Output 2 8 22 2 3" xfId="40306"/>
    <cellStyle name="Output 2 8 22 3" xfId="40307"/>
    <cellStyle name="Output 2 8 22 3 2" xfId="40308"/>
    <cellStyle name="Output 2 8 22 3 2 2" xfId="40309"/>
    <cellStyle name="Output 2 8 22 3 3" xfId="40310"/>
    <cellStyle name="Output 2 8 22 4" xfId="40311"/>
    <cellStyle name="Output 2 8 22 5" xfId="40312"/>
    <cellStyle name="Output 2 8 23" xfId="40313"/>
    <cellStyle name="Output 2 8 23 2" xfId="40314"/>
    <cellStyle name="Output 2 8 23 2 2" xfId="40315"/>
    <cellStyle name="Output 2 8 23 2 2 2" xfId="40316"/>
    <cellStyle name="Output 2 8 23 2 3" xfId="40317"/>
    <cellStyle name="Output 2 8 23 3" xfId="40318"/>
    <cellStyle name="Output 2 8 23 3 2" xfId="40319"/>
    <cellStyle name="Output 2 8 23 3 2 2" xfId="40320"/>
    <cellStyle name="Output 2 8 23 3 3" xfId="40321"/>
    <cellStyle name="Output 2 8 23 4" xfId="40322"/>
    <cellStyle name="Output 2 8 23 5" xfId="40323"/>
    <cellStyle name="Output 2 8 24" xfId="40324"/>
    <cellStyle name="Output 2 8 24 2" xfId="40325"/>
    <cellStyle name="Output 2 8 24 2 2" xfId="40326"/>
    <cellStyle name="Output 2 8 24 2 2 2" xfId="40327"/>
    <cellStyle name="Output 2 8 24 2 3" xfId="40328"/>
    <cellStyle name="Output 2 8 24 3" xfId="40329"/>
    <cellStyle name="Output 2 8 24 3 2" xfId="40330"/>
    <cellStyle name="Output 2 8 24 3 2 2" xfId="40331"/>
    <cellStyle name="Output 2 8 24 3 3" xfId="40332"/>
    <cellStyle name="Output 2 8 24 4" xfId="40333"/>
    <cellStyle name="Output 2 8 24 5" xfId="40334"/>
    <cellStyle name="Output 2 8 25" xfId="40335"/>
    <cellStyle name="Output 2 8 25 2" xfId="40336"/>
    <cellStyle name="Output 2 8 25 2 2" xfId="40337"/>
    <cellStyle name="Output 2 8 25 2 2 2" xfId="40338"/>
    <cellStyle name="Output 2 8 25 2 3" xfId="40339"/>
    <cellStyle name="Output 2 8 25 3" xfId="40340"/>
    <cellStyle name="Output 2 8 25 3 2" xfId="40341"/>
    <cellStyle name="Output 2 8 25 3 2 2" xfId="40342"/>
    <cellStyle name="Output 2 8 25 3 3" xfId="40343"/>
    <cellStyle name="Output 2 8 25 4" xfId="40344"/>
    <cellStyle name="Output 2 8 25 5" xfId="40345"/>
    <cellStyle name="Output 2 8 26" xfId="40346"/>
    <cellStyle name="Output 2 8 26 2" xfId="40347"/>
    <cellStyle name="Output 2 8 26 2 2" xfId="40348"/>
    <cellStyle name="Output 2 8 26 2 2 2" xfId="40349"/>
    <cellStyle name="Output 2 8 26 2 3" xfId="40350"/>
    <cellStyle name="Output 2 8 26 3" xfId="40351"/>
    <cellStyle name="Output 2 8 26 3 2" xfId="40352"/>
    <cellStyle name="Output 2 8 26 3 2 2" xfId="40353"/>
    <cellStyle name="Output 2 8 26 3 3" xfId="40354"/>
    <cellStyle name="Output 2 8 26 4" xfId="40355"/>
    <cellStyle name="Output 2 8 26 5" xfId="40356"/>
    <cellStyle name="Output 2 8 27" xfId="40357"/>
    <cellStyle name="Output 2 8 27 2" xfId="40358"/>
    <cellStyle name="Output 2 8 27 2 2" xfId="40359"/>
    <cellStyle name="Output 2 8 27 2 2 2" xfId="40360"/>
    <cellStyle name="Output 2 8 27 2 3" xfId="40361"/>
    <cellStyle name="Output 2 8 27 3" xfId="40362"/>
    <cellStyle name="Output 2 8 27 3 2" xfId="40363"/>
    <cellStyle name="Output 2 8 27 3 2 2" xfId="40364"/>
    <cellStyle name="Output 2 8 27 3 3" xfId="40365"/>
    <cellStyle name="Output 2 8 27 4" xfId="40366"/>
    <cellStyle name="Output 2 8 27 5" xfId="40367"/>
    <cellStyle name="Output 2 8 28" xfId="40368"/>
    <cellStyle name="Output 2 8 28 2" xfId="40369"/>
    <cellStyle name="Output 2 8 28 2 2" xfId="40370"/>
    <cellStyle name="Output 2 8 28 2 2 2" xfId="40371"/>
    <cellStyle name="Output 2 8 28 2 3" xfId="40372"/>
    <cellStyle name="Output 2 8 28 3" xfId="40373"/>
    <cellStyle name="Output 2 8 28 3 2" xfId="40374"/>
    <cellStyle name="Output 2 8 28 3 2 2" xfId="40375"/>
    <cellStyle name="Output 2 8 28 3 3" xfId="40376"/>
    <cellStyle name="Output 2 8 28 4" xfId="40377"/>
    <cellStyle name="Output 2 8 28 5" xfId="40378"/>
    <cellStyle name="Output 2 8 29" xfId="40379"/>
    <cellStyle name="Output 2 8 29 2" xfId="40380"/>
    <cellStyle name="Output 2 8 29 2 2" xfId="40381"/>
    <cellStyle name="Output 2 8 29 2 2 2" xfId="40382"/>
    <cellStyle name="Output 2 8 29 2 3" xfId="40383"/>
    <cellStyle name="Output 2 8 29 3" xfId="40384"/>
    <cellStyle name="Output 2 8 29 3 2" xfId="40385"/>
    <cellStyle name="Output 2 8 29 3 2 2" xfId="40386"/>
    <cellStyle name="Output 2 8 29 3 3" xfId="40387"/>
    <cellStyle name="Output 2 8 29 4" xfId="40388"/>
    <cellStyle name="Output 2 8 29 5" xfId="40389"/>
    <cellStyle name="Output 2 8 3" xfId="40390"/>
    <cellStyle name="Output 2 8 3 2" xfId="40391"/>
    <cellStyle name="Output 2 8 3 2 2" xfId="40392"/>
    <cellStyle name="Output 2 8 3 2 2 2" xfId="40393"/>
    <cellStyle name="Output 2 8 3 2 3" xfId="40394"/>
    <cellStyle name="Output 2 8 3 3" xfId="40395"/>
    <cellStyle name="Output 2 8 3 3 2" xfId="40396"/>
    <cellStyle name="Output 2 8 3 3 2 2" xfId="40397"/>
    <cellStyle name="Output 2 8 3 3 3" xfId="40398"/>
    <cellStyle name="Output 2 8 3 4" xfId="40399"/>
    <cellStyle name="Output 2 8 3 4 2" xfId="40400"/>
    <cellStyle name="Output 2 8 3 4 2 2" xfId="40401"/>
    <cellStyle name="Output 2 8 3 4 3" xfId="40402"/>
    <cellStyle name="Output 2 8 3 5" xfId="40403"/>
    <cellStyle name="Output 2 8 3 5 2" xfId="40404"/>
    <cellStyle name="Output 2 8 3 5 2 2" xfId="40405"/>
    <cellStyle name="Output 2 8 3 5 3" xfId="40406"/>
    <cellStyle name="Output 2 8 3 6" xfId="40407"/>
    <cellStyle name="Output 2 8 3 7" xfId="40408"/>
    <cellStyle name="Output 2 8 30" xfId="40409"/>
    <cellStyle name="Output 2 8 30 2" xfId="40410"/>
    <cellStyle name="Output 2 8 30 2 2" xfId="40411"/>
    <cellStyle name="Output 2 8 30 2 2 2" xfId="40412"/>
    <cellStyle name="Output 2 8 30 2 3" xfId="40413"/>
    <cellStyle name="Output 2 8 30 3" xfId="40414"/>
    <cellStyle name="Output 2 8 30 3 2" xfId="40415"/>
    <cellStyle name="Output 2 8 30 3 2 2" xfId="40416"/>
    <cellStyle name="Output 2 8 30 3 3" xfId="40417"/>
    <cellStyle name="Output 2 8 30 4" xfId="40418"/>
    <cellStyle name="Output 2 8 30 5" xfId="40419"/>
    <cellStyle name="Output 2 8 31" xfId="40420"/>
    <cellStyle name="Output 2 8 31 2" xfId="40421"/>
    <cellStyle name="Output 2 8 31 2 2" xfId="40422"/>
    <cellStyle name="Output 2 8 31 2 2 2" xfId="40423"/>
    <cellStyle name="Output 2 8 31 2 3" xfId="40424"/>
    <cellStyle name="Output 2 8 31 3" xfId="40425"/>
    <cellStyle name="Output 2 8 31 3 2" xfId="40426"/>
    <cellStyle name="Output 2 8 31 3 2 2" xfId="40427"/>
    <cellStyle name="Output 2 8 31 3 3" xfId="40428"/>
    <cellStyle name="Output 2 8 31 4" xfId="40429"/>
    <cellStyle name="Output 2 8 31 5" xfId="40430"/>
    <cellStyle name="Output 2 8 32" xfId="40431"/>
    <cellStyle name="Output 2 8 32 2" xfId="40432"/>
    <cellStyle name="Output 2 8 32 2 2" xfId="40433"/>
    <cellStyle name="Output 2 8 32 2 2 2" xfId="40434"/>
    <cellStyle name="Output 2 8 32 2 3" xfId="40435"/>
    <cellStyle name="Output 2 8 32 3" xfId="40436"/>
    <cellStyle name="Output 2 8 32 3 2" xfId="40437"/>
    <cellStyle name="Output 2 8 32 3 2 2" xfId="40438"/>
    <cellStyle name="Output 2 8 32 3 3" xfId="40439"/>
    <cellStyle name="Output 2 8 32 4" xfId="40440"/>
    <cellStyle name="Output 2 8 32 5" xfId="40441"/>
    <cellStyle name="Output 2 8 33" xfId="40442"/>
    <cellStyle name="Output 2 8 33 2" xfId="40443"/>
    <cellStyle name="Output 2 8 33 2 2" xfId="40444"/>
    <cellStyle name="Output 2 8 33 2 2 2" xfId="40445"/>
    <cellStyle name="Output 2 8 33 2 3" xfId="40446"/>
    <cellStyle name="Output 2 8 33 3" xfId="40447"/>
    <cellStyle name="Output 2 8 33 3 2" xfId="40448"/>
    <cellStyle name="Output 2 8 33 3 2 2" xfId="40449"/>
    <cellStyle name="Output 2 8 33 3 3" xfId="40450"/>
    <cellStyle name="Output 2 8 33 4" xfId="40451"/>
    <cellStyle name="Output 2 8 33 5" xfId="40452"/>
    <cellStyle name="Output 2 8 34" xfId="40453"/>
    <cellStyle name="Output 2 8 34 2" xfId="40454"/>
    <cellStyle name="Output 2 8 34 2 2" xfId="40455"/>
    <cellStyle name="Output 2 8 34 2 2 2" xfId="40456"/>
    <cellStyle name="Output 2 8 34 2 3" xfId="40457"/>
    <cellStyle name="Output 2 8 34 3" xfId="40458"/>
    <cellStyle name="Output 2 8 34 3 2" xfId="40459"/>
    <cellStyle name="Output 2 8 34 3 2 2" xfId="40460"/>
    <cellStyle name="Output 2 8 34 3 3" xfId="40461"/>
    <cellStyle name="Output 2 8 34 4" xfId="40462"/>
    <cellStyle name="Output 2 8 34 5" xfId="40463"/>
    <cellStyle name="Output 2 8 35" xfId="40464"/>
    <cellStyle name="Output 2 8 35 2" xfId="40465"/>
    <cellStyle name="Output 2 8 35 2 2" xfId="40466"/>
    <cellStyle name="Output 2 8 35 2 2 2" xfId="40467"/>
    <cellStyle name="Output 2 8 35 2 3" xfId="40468"/>
    <cellStyle name="Output 2 8 35 3" xfId="40469"/>
    <cellStyle name="Output 2 8 35 3 2" xfId="40470"/>
    <cellStyle name="Output 2 8 35 3 2 2" xfId="40471"/>
    <cellStyle name="Output 2 8 35 3 3" xfId="40472"/>
    <cellStyle name="Output 2 8 35 4" xfId="40473"/>
    <cellStyle name="Output 2 8 35 5" xfId="40474"/>
    <cellStyle name="Output 2 8 36" xfId="40475"/>
    <cellStyle name="Output 2 8 36 2" xfId="40476"/>
    <cellStyle name="Output 2 8 36 2 2" xfId="40477"/>
    <cellStyle name="Output 2 8 36 2 2 2" xfId="40478"/>
    <cellStyle name="Output 2 8 36 2 3" xfId="40479"/>
    <cellStyle name="Output 2 8 36 3" xfId="40480"/>
    <cellStyle name="Output 2 8 36 3 2" xfId="40481"/>
    <cellStyle name="Output 2 8 36 3 2 2" xfId="40482"/>
    <cellStyle name="Output 2 8 36 3 3" xfId="40483"/>
    <cellStyle name="Output 2 8 36 4" xfId="40484"/>
    <cellStyle name="Output 2 8 36 5" xfId="40485"/>
    <cellStyle name="Output 2 8 37" xfId="40486"/>
    <cellStyle name="Output 2 8 37 2" xfId="40487"/>
    <cellStyle name="Output 2 8 37 2 2" xfId="40488"/>
    <cellStyle name="Output 2 8 37 2 2 2" xfId="40489"/>
    <cellStyle name="Output 2 8 37 2 3" xfId="40490"/>
    <cellStyle name="Output 2 8 37 3" xfId="40491"/>
    <cellStyle name="Output 2 8 37 3 2" xfId="40492"/>
    <cellStyle name="Output 2 8 37 3 2 2" xfId="40493"/>
    <cellStyle name="Output 2 8 37 3 3" xfId="40494"/>
    <cellStyle name="Output 2 8 37 4" xfId="40495"/>
    <cellStyle name="Output 2 8 37 5" xfId="40496"/>
    <cellStyle name="Output 2 8 38" xfId="40497"/>
    <cellStyle name="Output 2 8 38 2" xfId="40498"/>
    <cellStyle name="Output 2 8 38 2 2" xfId="40499"/>
    <cellStyle name="Output 2 8 38 2 2 2" xfId="40500"/>
    <cellStyle name="Output 2 8 38 2 3" xfId="40501"/>
    <cellStyle name="Output 2 8 38 3" xfId="40502"/>
    <cellStyle name="Output 2 8 38 3 2" xfId="40503"/>
    <cellStyle name="Output 2 8 38 3 2 2" xfId="40504"/>
    <cellStyle name="Output 2 8 38 3 3" xfId="40505"/>
    <cellStyle name="Output 2 8 38 4" xfId="40506"/>
    <cellStyle name="Output 2 8 38 5" xfId="40507"/>
    <cellStyle name="Output 2 8 39" xfId="40508"/>
    <cellStyle name="Output 2 8 39 2" xfId="40509"/>
    <cellStyle name="Output 2 8 39 2 2" xfId="40510"/>
    <cellStyle name="Output 2 8 39 2 2 2" xfId="40511"/>
    <cellStyle name="Output 2 8 39 2 3" xfId="40512"/>
    <cellStyle name="Output 2 8 39 3" xfId="40513"/>
    <cellStyle name="Output 2 8 39 3 2" xfId="40514"/>
    <cellStyle name="Output 2 8 39 3 2 2" xfId="40515"/>
    <cellStyle name="Output 2 8 39 3 3" xfId="40516"/>
    <cellStyle name="Output 2 8 39 4" xfId="40517"/>
    <cellStyle name="Output 2 8 39 5" xfId="40518"/>
    <cellStyle name="Output 2 8 4" xfId="40519"/>
    <cellStyle name="Output 2 8 4 2" xfId="40520"/>
    <cellStyle name="Output 2 8 4 2 2" xfId="40521"/>
    <cellStyle name="Output 2 8 4 2 2 2" xfId="40522"/>
    <cellStyle name="Output 2 8 4 2 3" xfId="40523"/>
    <cellStyle name="Output 2 8 4 3" xfId="40524"/>
    <cellStyle name="Output 2 8 4 3 2" xfId="40525"/>
    <cellStyle name="Output 2 8 4 3 2 2" xfId="40526"/>
    <cellStyle name="Output 2 8 4 3 3" xfId="40527"/>
    <cellStyle name="Output 2 8 4 4" xfId="40528"/>
    <cellStyle name="Output 2 8 4 4 2" xfId="40529"/>
    <cellStyle name="Output 2 8 4 4 2 2" xfId="40530"/>
    <cellStyle name="Output 2 8 4 4 3" xfId="40531"/>
    <cellStyle name="Output 2 8 4 5" xfId="40532"/>
    <cellStyle name="Output 2 8 4 5 2" xfId="40533"/>
    <cellStyle name="Output 2 8 4 5 2 2" xfId="40534"/>
    <cellStyle name="Output 2 8 4 5 3" xfId="40535"/>
    <cellStyle name="Output 2 8 4 6" xfId="40536"/>
    <cellStyle name="Output 2 8 4 7" xfId="40537"/>
    <cellStyle name="Output 2 8 40" xfId="40538"/>
    <cellStyle name="Output 2 8 40 2" xfId="40539"/>
    <cellStyle name="Output 2 8 40 2 2" xfId="40540"/>
    <cellStyle name="Output 2 8 40 2 2 2" xfId="40541"/>
    <cellStyle name="Output 2 8 40 2 3" xfId="40542"/>
    <cellStyle name="Output 2 8 40 3" xfId="40543"/>
    <cellStyle name="Output 2 8 40 3 2" xfId="40544"/>
    <cellStyle name="Output 2 8 40 3 2 2" xfId="40545"/>
    <cellStyle name="Output 2 8 40 3 3" xfId="40546"/>
    <cellStyle name="Output 2 8 40 4" xfId="40547"/>
    <cellStyle name="Output 2 8 40 5" xfId="40548"/>
    <cellStyle name="Output 2 8 41" xfId="40549"/>
    <cellStyle name="Output 2 8 41 2" xfId="40550"/>
    <cellStyle name="Output 2 8 41 2 2" xfId="40551"/>
    <cellStyle name="Output 2 8 41 2 2 2" xfId="40552"/>
    <cellStyle name="Output 2 8 41 2 3" xfId="40553"/>
    <cellStyle name="Output 2 8 41 3" xfId="40554"/>
    <cellStyle name="Output 2 8 41 3 2" xfId="40555"/>
    <cellStyle name="Output 2 8 41 3 2 2" xfId="40556"/>
    <cellStyle name="Output 2 8 41 3 3" xfId="40557"/>
    <cellStyle name="Output 2 8 41 4" xfId="40558"/>
    <cellStyle name="Output 2 8 41 5" xfId="40559"/>
    <cellStyle name="Output 2 8 42" xfId="40560"/>
    <cellStyle name="Output 2 8 42 2" xfId="40561"/>
    <cellStyle name="Output 2 8 42 2 2" xfId="40562"/>
    <cellStyle name="Output 2 8 42 2 2 2" xfId="40563"/>
    <cellStyle name="Output 2 8 42 2 3" xfId="40564"/>
    <cellStyle name="Output 2 8 42 3" xfId="40565"/>
    <cellStyle name="Output 2 8 42 3 2" xfId="40566"/>
    <cellStyle name="Output 2 8 42 3 2 2" xfId="40567"/>
    <cellStyle name="Output 2 8 42 3 3" xfId="40568"/>
    <cellStyle name="Output 2 8 42 4" xfId="40569"/>
    <cellStyle name="Output 2 8 42 5" xfId="40570"/>
    <cellStyle name="Output 2 8 43" xfId="40571"/>
    <cellStyle name="Output 2 8 43 2" xfId="40572"/>
    <cellStyle name="Output 2 8 43 2 2" xfId="40573"/>
    <cellStyle name="Output 2 8 43 2 2 2" xfId="40574"/>
    <cellStyle name="Output 2 8 43 2 3" xfId="40575"/>
    <cellStyle name="Output 2 8 43 3" xfId="40576"/>
    <cellStyle name="Output 2 8 43 3 2" xfId="40577"/>
    <cellStyle name="Output 2 8 43 3 2 2" xfId="40578"/>
    <cellStyle name="Output 2 8 43 3 3" xfId="40579"/>
    <cellStyle name="Output 2 8 43 4" xfId="40580"/>
    <cellStyle name="Output 2 8 43 5" xfId="40581"/>
    <cellStyle name="Output 2 8 44" xfId="40582"/>
    <cellStyle name="Output 2 8 44 2" xfId="40583"/>
    <cellStyle name="Output 2 8 44 2 2" xfId="40584"/>
    <cellStyle name="Output 2 8 44 2 2 2" xfId="40585"/>
    <cellStyle name="Output 2 8 44 2 3" xfId="40586"/>
    <cellStyle name="Output 2 8 44 3" xfId="40587"/>
    <cellStyle name="Output 2 8 44 3 2" xfId="40588"/>
    <cellStyle name="Output 2 8 44 3 2 2" xfId="40589"/>
    <cellStyle name="Output 2 8 44 3 3" xfId="40590"/>
    <cellStyle name="Output 2 8 44 4" xfId="40591"/>
    <cellStyle name="Output 2 8 44 5" xfId="40592"/>
    <cellStyle name="Output 2 8 45" xfId="40593"/>
    <cellStyle name="Output 2 8 45 2" xfId="40594"/>
    <cellStyle name="Output 2 8 45 2 2" xfId="40595"/>
    <cellStyle name="Output 2 8 45 2 2 2" xfId="40596"/>
    <cellStyle name="Output 2 8 45 2 3" xfId="40597"/>
    <cellStyle name="Output 2 8 45 3" xfId="40598"/>
    <cellStyle name="Output 2 8 45 3 2" xfId="40599"/>
    <cellStyle name="Output 2 8 45 3 2 2" xfId="40600"/>
    <cellStyle name="Output 2 8 45 3 3" xfId="40601"/>
    <cellStyle name="Output 2 8 45 4" xfId="40602"/>
    <cellStyle name="Output 2 8 45 5" xfId="40603"/>
    <cellStyle name="Output 2 8 46" xfId="40604"/>
    <cellStyle name="Output 2 8 46 2" xfId="40605"/>
    <cellStyle name="Output 2 8 46 2 2" xfId="40606"/>
    <cellStyle name="Output 2 8 46 2 2 2" xfId="40607"/>
    <cellStyle name="Output 2 8 46 2 3" xfId="40608"/>
    <cellStyle name="Output 2 8 46 3" xfId="40609"/>
    <cellStyle name="Output 2 8 46 3 2" xfId="40610"/>
    <cellStyle name="Output 2 8 46 3 2 2" xfId="40611"/>
    <cellStyle name="Output 2 8 46 3 3" xfId="40612"/>
    <cellStyle name="Output 2 8 46 4" xfId="40613"/>
    <cellStyle name="Output 2 8 46 5" xfId="40614"/>
    <cellStyle name="Output 2 8 47" xfId="40615"/>
    <cellStyle name="Output 2 8 47 2" xfId="40616"/>
    <cellStyle name="Output 2 8 47 2 2" xfId="40617"/>
    <cellStyle name="Output 2 8 47 2 2 2" xfId="40618"/>
    <cellStyle name="Output 2 8 47 2 3" xfId="40619"/>
    <cellStyle name="Output 2 8 47 3" xfId="40620"/>
    <cellStyle name="Output 2 8 47 3 2" xfId="40621"/>
    <cellStyle name="Output 2 8 47 3 2 2" xfId="40622"/>
    <cellStyle name="Output 2 8 47 3 3" xfId="40623"/>
    <cellStyle name="Output 2 8 47 4" xfId="40624"/>
    <cellStyle name="Output 2 8 47 5" xfId="40625"/>
    <cellStyle name="Output 2 8 48" xfId="40626"/>
    <cellStyle name="Output 2 8 48 2" xfId="40627"/>
    <cellStyle name="Output 2 8 48 2 2" xfId="40628"/>
    <cellStyle name="Output 2 8 48 2 2 2" xfId="40629"/>
    <cellStyle name="Output 2 8 48 2 3" xfId="40630"/>
    <cellStyle name="Output 2 8 48 3" xfId="40631"/>
    <cellStyle name="Output 2 8 48 3 2" xfId="40632"/>
    <cellStyle name="Output 2 8 48 3 2 2" xfId="40633"/>
    <cellStyle name="Output 2 8 48 3 3" xfId="40634"/>
    <cellStyle name="Output 2 8 48 4" xfId="40635"/>
    <cellStyle name="Output 2 8 48 5" xfId="40636"/>
    <cellStyle name="Output 2 8 49" xfId="40637"/>
    <cellStyle name="Output 2 8 49 2" xfId="40638"/>
    <cellStyle name="Output 2 8 49 2 2" xfId="40639"/>
    <cellStyle name="Output 2 8 49 3" xfId="40640"/>
    <cellStyle name="Output 2 8 5" xfId="40641"/>
    <cellStyle name="Output 2 8 5 2" xfId="40642"/>
    <cellStyle name="Output 2 8 5 2 2" xfId="40643"/>
    <cellStyle name="Output 2 8 5 2 2 2" xfId="40644"/>
    <cellStyle name="Output 2 8 5 2 3" xfId="40645"/>
    <cellStyle name="Output 2 8 5 3" xfId="40646"/>
    <cellStyle name="Output 2 8 5 3 2" xfId="40647"/>
    <cellStyle name="Output 2 8 5 3 2 2" xfId="40648"/>
    <cellStyle name="Output 2 8 5 3 3" xfId="40649"/>
    <cellStyle name="Output 2 8 5 4" xfId="40650"/>
    <cellStyle name="Output 2 8 5 4 2" xfId="40651"/>
    <cellStyle name="Output 2 8 5 4 2 2" xfId="40652"/>
    <cellStyle name="Output 2 8 5 4 3" xfId="40653"/>
    <cellStyle name="Output 2 8 5 5" xfId="40654"/>
    <cellStyle name="Output 2 8 5 5 2" xfId="40655"/>
    <cellStyle name="Output 2 8 5 5 2 2" xfId="40656"/>
    <cellStyle name="Output 2 8 5 5 3" xfId="40657"/>
    <cellStyle name="Output 2 8 5 6" xfId="40658"/>
    <cellStyle name="Output 2 8 5 7" xfId="40659"/>
    <cellStyle name="Output 2 8 50" xfId="40660"/>
    <cellStyle name="Output 2 8 50 2" xfId="40661"/>
    <cellStyle name="Output 2 8 50 2 2" xfId="40662"/>
    <cellStyle name="Output 2 8 50 3" xfId="40663"/>
    <cellStyle name="Output 2 8 51" xfId="40664"/>
    <cellStyle name="Output 2 8 51 2" xfId="40665"/>
    <cellStyle name="Output 2 8 51 2 2" xfId="40666"/>
    <cellStyle name="Output 2 8 51 3" xfId="40667"/>
    <cellStyle name="Output 2 8 52" xfId="40668"/>
    <cellStyle name="Output 2 8 52 2" xfId="40669"/>
    <cellStyle name="Output 2 8 52 2 2" xfId="40670"/>
    <cellStyle name="Output 2 8 52 3" xfId="40671"/>
    <cellStyle name="Output 2 8 53" xfId="40672"/>
    <cellStyle name="Output 2 8 54" xfId="40673"/>
    <cellStyle name="Output 2 8 6" xfId="40674"/>
    <cellStyle name="Output 2 8 6 2" xfId="40675"/>
    <cellStyle name="Output 2 8 6 2 2" xfId="40676"/>
    <cellStyle name="Output 2 8 6 2 2 2" xfId="40677"/>
    <cellStyle name="Output 2 8 6 2 3" xfId="40678"/>
    <cellStyle name="Output 2 8 6 3" xfId="40679"/>
    <cellStyle name="Output 2 8 6 3 2" xfId="40680"/>
    <cellStyle name="Output 2 8 6 3 2 2" xfId="40681"/>
    <cellStyle name="Output 2 8 6 3 3" xfId="40682"/>
    <cellStyle name="Output 2 8 6 4" xfId="40683"/>
    <cellStyle name="Output 2 8 6 4 2" xfId="40684"/>
    <cellStyle name="Output 2 8 6 4 2 2" xfId="40685"/>
    <cellStyle name="Output 2 8 6 4 3" xfId="40686"/>
    <cellStyle name="Output 2 8 6 5" xfId="40687"/>
    <cellStyle name="Output 2 8 6 5 2" xfId="40688"/>
    <cellStyle name="Output 2 8 6 5 2 2" xfId="40689"/>
    <cellStyle name="Output 2 8 6 5 3" xfId="40690"/>
    <cellStyle name="Output 2 8 6 6" xfId="40691"/>
    <cellStyle name="Output 2 8 6 7" xfId="40692"/>
    <cellStyle name="Output 2 8 7" xfId="40693"/>
    <cellStyle name="Output 2 8 7 2" xfId="40694"/>
    <cellStyle name="Output 2 8 7 2 2" xfId="40695"/>
    <cellStyle name="Output 2 8 7 2 2 2" xfId="40696"/>
    <cellStyle name="Output 2 8 7 2 3" xfId="40697"/>
    <cellStyle name="Output 2 8 7 3" xfId="40698"/>
    <cellStyle name="Output 2 8 7 3 2" xfId="40699"/>
    <cellStyle name="Output 2 8 7 3 2 2" xfId="40700"/>
    <cellStyle name="Output 2 8 7 3 3" xfId="40701"/>
    <cellStyle name="Output 2 8 7 4" xfId="40702"/>
    <cellStyle name="Output 2 8 7 4 2" xfId="40703"/>
    <cellStyle name="Output 2 8 7 4 2 2" xfId="40704"/>
    <cellStyle name="Output 2 8 7 4 3" xfId="40705"/>
    <cellStyle name="Output 2 8 7 5" xfId="40706"/>
    <cellStyle name="Output 2 8 7 5 2" xfId="40707"/>
    <cellStyle name="Output 2 8 7 5 2 2" xfId="40708"/>
    <cellStyle name="Output 2 8 7 5 3" xfId="40709"/>
    <cellStyle name="Output 2 8 7 6" xfId="40710"/>
    <cellStyle name="Output 2 8 7 7" xfId="40711"/>
    <cellStyle name="Output 2 8 8" xfId="40712"/>
    <cellStyle name="Output 2 8 8 2" xfId="40713"/>
    <cellStyle name="Output 2 8 8 2 2" xfId="40714"/>
    <cellStyle name="Output 2 8 8 2 2 2" xfId="40715"/>
    <cellStyle name="Output 2 8 8 2 3" xfId="40716"/>
    <cellStyle name="Output 2 8 8 3" xfId="40717"/>
    <cellStyle name="Output 2 8 8 3 2" xfId="40718"/>
    <cellStyle name="Output 2 8 8 3 2 2" xfId="40719"/>
    <cellStyle name="Output 2 8 8 3 3" xfId="40720"/>
    <cellStyle name="Output 2 8 8 4" xfId="40721"/>
    <cellStyle name="Output 2 8 8 4 2" xfId="40722"/>
    <cellStyle name="Output 2 8 8 4 2 2" xfId="40723"/>
    <cellStyle name="Output 2 8 8 4 3" xfId="40724"/>
    <cellStyle name="Output 2 8 8 5" xfId="40725"/>
    <cellStyle name="Output 2 8 8 5 2" xfId="40726"/>
    <cellStyle name="Output 2 8 8 5 2 2" xfId="40727"/>
    <cellStyle name="Output 2 8 8 5 3" xfId="40728"/>
    <cellStyle name="Output 2 8 8 6" xfId="40729"/>
    <cellStyle name="Output 2 8 8 7" xfId="40730"/>
    <cellStyle name="Output 2 8 9" xfId="40731"/>
    <cellStyle name="Output 2 8 9 2" xfId="40732"/>
    <cellStyle name="Output 2 8 9 2 2" xfId="40733"/>
    <cellStyle name="Output 2 8 9 2 2 2" xfId="40734"/>
    <cellStyle name="Output 2 8 9 2 3" xfId="40735"/>
    <cellStyle name="Output 2 8 9 3" xfId="40736"/>
    <cellStyle name="Output 2 8 9 3 2" xfId="40737"/>
    <cellStyle name="Output 2 8 9 3 2 2" xfId="40738"/>
    <cellStyle name="Output 2 8 9 3 3" xfId="40739"/>
    <cellStyle name="Output 2 8 9 4" xfId="40740"/>
    <cellStyle name="Output 2 8 9 5" xfId="40741"/>
    <cellStyle name="Output 2 9" xfId="40742"/>
    <cellStyle name="Output 2 9 10" xfId="40743"/>
    <cellStyle name="Output 2 9 10 2" xfId="40744"/>
    <cellStyle name="Output 2 9 10 2 2" xfId="40745"/>
    <cellStyle name="Output 2 9 10 2 2 2" xfId="40746"/>
    <cellStyle name="Output 2 9 10 2 3" xfId="40747"/>
    <cellStyle name="Output 2 9 10 3" xfId="40748"/>
    <cellStyle name="Output 2 9 10 3 2" xfId="40749"/>
    <cellStyle name="Output 2 9 10 3 2 2" xfId="40750"/>
    <cellStyle name="Output 2 9 10 3 3" xfId="40751"/>
    <cellStyle name="Output 2 9 10 4" xfId="40752"/>
    <cellStyle name="Output 2 9 10 5" xfId="40753"/>
    <cellStyle name="Output 2 9 11" xfId="40754"/>
    <cellStyle name="Output 2 9 11 2" xfId="40755"/>
    <cellStyle name="Output 2 9 11 2 2" xfId="40756"/>
    <cellStyle name="Output 2 9 11 2 2 2" xfId="40757"/>
    <cellStyle name="Output 2 9 11 2 3" xfId="40758"/>
    <cellStyle name="Output 2 9 11 3" xfId="40759"/>
    <cellStyle name="Output 2 9 11 3 2" xfId="40760"/>
    <cellStyle name="Output 2 9 11 3 2 2" xfId="40761"/>
    <cellStyle name="Output 2 9 11 3 3" xfId="40762"/>
    <cellStyle name="Output 2 9 11 4" xfId="40763"/>
    <cellStyle name="Output 2 9 11 5" xfId="40764"/>
    <cellStyle name="Output 2 9 12" xfId="40765"/>
    <cellStyle name="Output 2 9 12 2" xfId="40766"/>
    <cellStyle name="Output 2 9 12 2 2" xfId="40767"/>
    <cellStyle name="Output 2 9 12 2 2 2" xfId="40768"/>
    <cellStyle name="Output 2 9 12 2 3" xfId="40769"/>
    <cellStyle name="Output 2 9 12 3" xfId="40770"/>
    <cellStyle name="Output 2 9 12 3 2" xfId="40771"/>
    <cellStyle name="Output 2 9 12 3 2 2" xfId="40772"/>
    <cellStyle name="Output 2 9 12 3 3" xfId="40773"/>
    <cellStyle name="Output 2 9 12 4" xfId="40774"/>
    <cellStyle name="Output 2 9 12 5" xfId="40775"/>
    <cellStyle name="Output 2 9 13" xfId="40776"/>
    <cellStyle name="Output 2 9 13 2" xfId="40777"/>
    <cellStyle name="Output 2 9 13 2 2" xfId="40778"/>
    <cellStyle name="Output 2 9 13 2 2 2" xfId="40779"/>
    <cellStyle name="Output 2 9 13 2 3" xfId="40780"/>
    <cellStyle name="Output 2 9 13 3" xfId="40781"/>
    <cellStyle name="Output 2 9 13 3 2" xfId="40782"/>
    <cellStyle name="Output 2 9 13 3 2 2" xfId="40783"/>
    <cellStyle name="Output 2 9 13 3 3" xfId="40784"/>
    <cellStyle name="Output 2 9 13 4" xfId="40785"/>
    <cellStyle name="Output 2 9 13 5" xfId="40786"/>
    <cellStyle name="Output 2 9 14" xfId="40787"/>
    <cellStyle name="Output 2 9 14 2" xfId="40788"/>
    <cellStyle name="Output 2 9 14 2 2" xfId="40789"/>
    <cellStyle name="Output 2 9 14 2 2 2" xfId="40790"/>
    <cellStyle name="Output 2 9 14 2 3" xfId="40791"/>
    <cellStyle name="Output 2 9 14 3" xfId="40792"/>
    <cellStyle name="Output 2 9 14 3 2" xfId="40793"/>
    <cellStyle name="Output 2 9 14 3 2 2" xfId="40794"/>
    <cellStyle name="Output 2 9 14 3 3" xfId="40795"/>
    <cellStyle name="Output 2 9 14 4" xfId="40796"/>
    <cellStyle name="Output 2 9 14 5" xfId="40797"/>
    <cellStyle name="Output 2 9 15" xfId="40798"/>
    <cellStyle name="Output 2 9 15 2" xfId="40799"/>
    <cellStyle name="Output 2 9 15 2 2" xfId="40800"/>
    <cellStyle name="Output 2 9 15 2 2 2" xfId="40801"/>
    <cellStyle name="Output 2 9 15 2 3" xfId="40802"/>
    <cellStyle name="Output 2 9 15 3" xfId="40803"/>
    <cellStyle name="Output 2 9 15 3 2" xfId="40804"/>
    <cellStyle name="Output 2 9 15 3 2 2" xfId="40805"/>
    <cellStyle name="Output 2 9 15 3 3" xfId="40806"/>
    <cellStyle name="Output 2 9 15 4" xfId="40807"/>
    <cellStyle name="Output 2 9 15 5" xfId="40808"/>
    <cellStyle name="Output 2 9 16" xfId="40809"/>
    <cellStyle name="Output 2 9 16 2" xfId="40810"/>
    <cellStyle name="Output 2 9 16 2 2" xfId="40811"/>
    <cellStyle name="Output 2 9 16 2 2 2" xfId="40812"/>
    <cellStyle name="Output 2 9 16 2 3" xfId="40813"/>
    <cellStyle name="Output 2 9 16 3" xfId="40814"/>
    <cellStyle name="Output 2 9 16 3 2" xfId="40815"/>
    <cellStyle name="Output 2 9 16 3 2 2" xfId="40816"/>
    <cellStyle name="Output 2 9 16 3 3" xfId="40817"/>
    <cellStyle name="Output 2 9 16 4" xfId="40818"/>
    <cellStyle name="Output 2 9 16 5" xfId="40819"/>
    <cellStyle name="Output 2 9 17" xfId="40820"/>
    <cellStyle name="Output 2 9 17 2" xfId="40821"/>
    <cellStyle name="Output 2 9 17 2 2" xfId="40822"/>
    <cellStyle name="Output 2 9 17 2 2 2" xfId="40823"/>
    <cellStyle name="Output 2 9 17 2 3" xfId="40824"/>
    <cellStyle name="Output 2 9 17 3" xfId="40825"/>
    <cellStyle name="Output 2 9 17 3 2" xfId="40826"/>
    <cellStyle name="Output 2 9 17 3 2 2" xfId="40827"/>
    <cellStyle name="Output 2 9 17 3 3" xfId="40828"/>
    <cellStyle name="Output 2 9 17 4" xfId="40829"/>
    <cellStyle name="Output 2 9 17 5" xfId="40830"/>
    <cellStyle name="Output 2 9 18" xfId="40831"/>
    <cellStyle name="Output 2 9 18 2" xfId="40832"/>
    <cellStyle name="Output 2 9 18 2 2" xfId="40833"/>
    <cellStyle name="Output 2 9 18 2 2 2" xfId="40834"/>
    <cellStyle name="Output 2 9 18 2 3" xfId="40835"/>
    <cellStyle name="Output 2 9 18 3" xfId="40836"/>
    <cellStyle name="Output 2 9 18 3 2" xfId="40837"/>
    <cellStyle name="Output 2 9 18 3 2 2" xfId="40838"/>
    <cellStyle name="Output 2 9 18 3 3" xfId="40839"/>
    <cellStyle name="Output 2 9 18 4" xfId="40840"/>
    <cellStyle name="Output 2 9 18 5" xfId="40841"/>
    <cellStyle name="Output 2 9 19" xfId="40842"/>
    <cellStyle name="Output 2 9 19 2" xfId="40843"/>
    <cellStyle name="Output 2 9 19 2 2" xfId="40844"/>
    <cellStyle name="Output 2 9 19 2 2 2" xfId="40845"/>
    <cellStyle name="Output 2 9 19 2 3" xfId="40846"/>
    <cellStyle name="Output 2 9 19 3" xfId="40847"/>
    <cellStyle name="Output 2 9 19 3 2" xfId="40848"/>
    <cellStyle name="Output 2 9 19 3 2 2" xfId="40849"/>
    <cellStyle name="Output 2 9 19 3 3" xfId="40850"/>
    <cellStyle name="Output 2 9 19 4" xfId="40851"/>
    <cellStyle name="Output 2 9 19 5" xfId="40852"/>
    <cellStyle name="Output 2 9 2" xfId="40853"/>
    <cellStyle name="Output 2 9 2 2" xfId="40854"/>
    <cellStyle name="Output 2 9 2 2 2" xfId="40855"/>
    <cellStyle name="Output 2 9 2 2 2 2" xfId="40856"/>
    <cellStyle name="Output 2 9 2 2 3" xfId="40857"/>
    <cellStyle name="Output 2 9 2 3" xfId="40858"/>
    <cellStyle name="Output 2 9 2 3 2" xfId="40859"/>
    <cellStyle name="Output 2 9 2 3 2 2" xfId="40860"/>
    <cellStyle name="Output 2 9 2 3 3" xfId="40861"/>
    <cellStyle name="Output 2 9 2 4" xfId="40862"/>
    <cellStyle name="Output 2 9 2 4 2" xfId="40863"/>
    <cellStyle name="Output 2 9 2 4 2 2" xfId="40864"/>
    <cellStyle name="Output 2 9 2 4 3" xfId="40865"/>
    <cellStyle name="Output 2 9 2 5" xfId="40866"/>
    <cellStyle name="Output 2 9 2 5 2" xfId="40867"/>
    <cellStyle name="Output 2 9 2 5 2 2" xfId="40868"/>
    <cellStyle name="Output 2 9 2 5 3" xfId="40869"/>
    <cellStyle name="Output 2 9 2 6" xfId="40870"/>
    <cellStyle name="Output 2 9 2 7" xfId="40871"/>
    <cellStyle name="Output 2 9 20" xfId="40872"/>
    <cellStyle name="Output 2 9 20 2" xfId="40873"/>
    <cellStyle name="Output 2 9 20 2 2" xfId="40874"/>
    <cellStyle name="Output 2 9 20 2 2 2" xfId="40875"/>
    <cellStyle name="Output 2 9 20 2 3" xfId="40876"/>
    <cellStyle name="Output 2 9 20 3" xfId="40877"/>
    <cellStyle name="Output 2 9 20 3 2" xfId="40878"/>
    <cellStyle name="Output 2 9 20 3 2 2" xfId="40879"/>
    <cellStyle name="Output 2 9 20 3 3" xfId="40880"/>
    <cellStyle name="Output 2 9 20 4" xfId="40881"/>
    <cellStyle name="Output 2 9 20 5" xfId="40882"/>
    <cellStyle name="Output 2 9 21" xfId="40883"/>
    <cellStyle name="Output 2 9 21 2" xfId="40884"/>
    <cellStyle name="Output 2 9 21 2 2" xfId="40885"/>
    <cellStyle name="Output 2 9 21 2 2 2" xfId="40886"/>
    <cellStyle name="Output 2 9 21 2 3" xfId="40887"/>
    <cellStyle name="Output 2 9 21 3" xfId="40888"/>
    <cellStyle name="Output 2 9 21 3 2" xfId="40889"/>
    <cellStyle name="Output 2 9 21 3 2 2" xfId="40890"/>
    <cellStyle name="Output 2 9 21 3 3" xfId="40891"/>
    <cellStyle name="Output 2 9 21 4" xfId="40892"/>
    <cellStyle name="Output 2 9 21 5" xfId="40893"/>
    <cellStyle name="Output 2 9 22" xfId="40894"/>
    <cellStyle name="Output 2 9 22 2" xfId="40895"/>
    <cellStyle name="Output 2 9 22 2 2" xfId="40896"/>
    <cellStyle name="Output 2 9 22 2 2 2" xfId="40897"/>
    <cellStyle name="Output 2 9 22 2 3" xfId="40898"/>
    <cellStyle name="Output 2 9 22 3" xfId="40899"/>
    <cellStyle name="Output 2 9 22 3 2" xfId="40900"/>
    <cellStyle name="Output 2 9 22 3 2 2" xfId="40901"/>
    <cellStyle name="Output 2 9 22 3 3" xfId="40902"/>
    <cellStyle name="Output 2 9 22 4" xfId="40903"/>
    <cellStyle name="Output 2 9 22 5" xfId="40904"/>
    <cellStyle name="Output 2 9 23" xfId="40905"/>
    <cellStyle name="Output 2 9 23 2" xfId="40906"/>
    <cellStyle name="Output 2 9 23 2 2" xfId="40907"/>
    <cellStyle name="Output 2 9 23 2 2 2" xfId="40908"/>
    <cellStyle name="Output 2 9 23 2 3" xfId="40909"/>
    <cellStyle name="Output 2 9 23 3" xfId="40910"/>
    <cellStyle name="Output 2 9 23 3 2" xfId="40911"/>
    <cellStyle name="Output 2 9 23 3 2 2" xfId="40912"/>
    <cellStyle name="Output 2 9 23 3 3" xfId="40913"/>
    <cellStyle name="Output 2 9 23 4" xfId="40914"/>
    <cellStyle name="Output 2 9 23 5" xfId="40915"/>
    <cellStyle name="Output 2 9 24" xfId="40916"/>
    <cellStyle name="Output 2 9 24 2" xfId="40917"/>
    <cellStyle name="Output 2 9 24 2 2" xfId="40918"/>
    <cellStyle name="Output 2 9 24 2 2 2" xfId="40919"/>
    <cellStyle name="Output 2 9 24 2 3" xfId="40920"/>
    <cellStyle name="Output 2 9 24 3" xfId="40921"/>
    <cellStyle name="Output 2 9 24 3 2" xfId="40922"/>
    <cellStyle name="Output 2 9 24 3 2 2" xfId="40923"/>
    <cellStyle name="Output 2 9 24 3 3" xfId="40924"/>
    <cellStyle name="Output 2 9 24 4" xfId="40925"/>
    <cellStyle name="Output 2 9 24 5" xfId="40926"/>
    <cellStyle name="Output 2 9 25" xfId="40927"/>
    <cellStyle name="Output 2 9 25 2" xfId="40928"/>
    <cellStyle name="Output 2 9 25 2 2" xfId="40929"/>
    <cellStyle name="Output 2 9 25 2 2 2" xfId="40930"/>
    <cellStyle name="Output 2 9 25 2 3" xfId="40931"/>
    <cellStyle name="Output 2 9 25 3" xfId="40932"/>
    <cellStyle name="Output 2 9 25 3 2" xfId="40933"/>
    <cellStyle name="Output 2 9 25 3 2 2" xfId="40934"/>
    <cellStyle name="Output 2 9 25 3 3" xfId="40935"/>
    <cellStyle name="Output 2 9 25 4" xfId="40936"/>
    <cellStyle name="Output 2 9 25 5" xfId="40937"/>
    <cellStyle name="Output 2 9 26" xfId="40938"/>
    <cellStyle name="Output 2 9 26 2" xfId="40939"/>
    <cellStyle name="Output 2 9 26 2 2" xfId="40940"/>
    <cellStyle name="Output 2 9 26 2 2 2" xfId="40941"/>
    <cellStyle name="Output 2 9 26 2 3" xfId="40942"/>
    <cellStyle name="Output 2 9 26 3" xfId="40943"/>
    <cellStyle name="Output 2 9 26 3 2" xfId="40944"/>
    <cellStyle name="Output 2 9 26 3 2 2" xfId="40945"/>
    <cellStyle name="Output 2 9 26 3 3" xfId="40946"/>
    <cellStyle name="Output 2 9 26 4" xfId="40947"/>
    <cellStyle name="Output 2 9 26 5" xfId="40948"/>
    <cellStyle name="Output 2 9 27" xfId="40949"/>
    <cellStyle name="Output 2 9 27 2" xfId="40950"/>
    <cellStyle name="Output 2 9 27 2 2" xfId="40951"/>
    <cellStyle name="Output 2 9 27 2 2 2" xfId="40952"/>
    <cellStyle name="Output 2 9 27 2 3" xfId="40953"/>
    <cellStyle name="Output 2 9 27 3" xfId="40954"/>
    <cellStyle name="Output 2 9 27 3 2" xfId="40955"/>
    <cellStyle name="Output 2 9 27 3 2 2" xfId="40956"/>
    <cellStyle name="Output 2 9 27 3 3" xfId="40957"/>
    <cellStyle name="Output 2 9 27 4" xfId="40958"/>
    <cellStyle name="Output 2 9 27 5" xfId="40959"/>
    <cellStyle name="Output 2 9 28" xfId="40960"/>
    <cellStyle name="Output 2 9 28 2" xfId="40961"/>
    <cellStyle name="Output 2 9 28 2 2" xfId="40962"/>
    <cellStyle name="Output 2 9 28 2 2 2" xfId="40963"/>
    <cellStyle name="Output 2 9 28 2 3" xfId="40964"/>
    <cellStyle name="Output 2 9 28 3" xfId="40965"/>
    <cellStyle name="Output 2 9 28 3 2" xfId="40966"/>
    <cellStyle name="Output 2 9 28 3 2 2" xfId="40967"/>
    <cellStyle name="Output 2 9 28 3 3" xfId="40968"/>
    <cellStyle name="Output 2 9 28 4" xfId="40969"/>
    <cellStyle name="Output 2 9 28 5" xfId="40970"/>
    <cellStyle name="Output 2 9 29" xfId="40971"/>
    <cellStyle name="Output 2 9 29 2" xfId="40972"/>
    <cellStyle name="Output 2 9 29 2 2" xfId="40973"/>
    <cellStyle name="Output 2 9 29 2 2 2" xfId="40974"/>
    <cellStyle name="Output 2 9 29 2 3" xfId="40975"/>
    <cellStyle name="Output 2 9 29 3" xfId="40976"/>
    <cellStyle name="Output 2 9 29 3 2" xfId="40977"/>
    <cellStyle name="Output 2 9 29 3 2 2" xfId="40978"/>
    <cellStyle name="Output 2 9 29 3 3" xfId="40979"/>
    <cellStyle name="Output 2 9 29 4" xfId="40980"/>
    <cellStyle name="Output 2 9 29 5" xfId="40981"/>
    <cellStyle name="Output 2 9 3" xfId="40982"/>
    <cellStyle name="Output 2 9 3 2" xfId="40983"/>
    <cellStyle name="Output 2 9 3 2 2" xfId="40984"/>
    <cellStyle name="Output 2 9 3 2 2 2" xfId="40985"/>
    <cellStyle name="Output 2 9 3 2 3" xfId="40986"/>
    <cellStyle name="Output 2 9 3 3" xfId="40987"/>
    <cellStyle name="Output 2 9 3 3 2" xfId="40988"/>
    <cellStyle name="Output 2 9 3 3 2 2" xfId="40989"/>
    <cellStyle name="Output 2 9 3 3 3" xfId="40990"/>
    <cellStyle name="Output 2 9 3 4" xfId="40991"/>
    <cellStyle name="Output 2 9 3 4 2" xfId="40992"/>
    <cellStyle name="Output 2 9 3 4 2 2" xfId="40993"/>
    <cellStyle name="Output 2 9 3 4 3" xfId="40994"/>
    <cellStyle name="Output 2 9 3 5" xfId="40995"/>
    <cellStyle name="Output 2 9 3 5 2" xfId="40996"/>
    <cellStyle name="Output 2 9 3 5 2 2" xfId="40997"/>
    <cellStyle name="Output 2 9 3 5 3" xfId="40998"/>
    <cellStyle name="Output 2 9 3 6" xfId="40999"/>
    <cellStyle name="Output 2 9 3 7" xfId="41000"/>
    <cellStyle name="Output 2 9 30" xfId="41001"/>
    <cellStyle name="Output 2 9 30 2" xfId="41002"/>
    <cellStyle name="Output 2 9 30 2 2" xfId="41003"/>
    <cellStyle name="Output 2 9 30 2 2 2" xfId="41004"/>
    <cellStyle name="Output 2 9 30 2 3" xfId="41005"/>
    <cellStyle name="Output 2 9 30 3" xfId="41006"/>
    <cellStyle name="Output 2 9 30 3 2" xfId="41007"/>
    <cellStyle name="Output 2 9 30 3 2 2" xfId="41008"/>
    <cellStyle name="Output 2 9 30 3 3" xfId="41009"/>
    <cellStyle name="Output 2 9 30 4" xfId="41010"/>
    <cellStyle name="Output 2 9 30 5" xfId="41011"/>
    <cellStyle name="Output 2 9 31" xfId="41012"/>
    <cellStyle name="Output 2 9 31 2" xfId="41013"/>
    <cellStyle name="Output 2 9 31 2 2" xfId="41014"/>
    <cellStyle name="Output 2 9 31 2 2 2" xfId="41015"/>
    <cellStyle name="Output 2 9 31 2 3" xfId="41016"/>
    <cellStyle name="Output 2 9 31 3" xfId="41017"/>
    <cellStyle name="Output 2 9 31 3 2" xfId="41018"/>
    <cellStyle name="Output 2 9 31 3 2 2" xfId="41019"/>
    <cellStyle name="Output 2 9 31 3 3" xfId="41020"/>
    <cellStyle name="Output 2 9 31 4" xfId="41021"/>
    <cellStyle name="Output 2 9 31 5" xfId="41022"/>
    <cellStyle name="Output 2 9 32" xfId="41023"/>
    <cellStyle name="Output 2 9 32 2" xfId="41024"/>
    <cellStyle name="Output 2 9 32 2 2" xfId="41025"/>
    <cellStyle name="Output 2 9 32 2 2 2" xfId="41026"/>
    <cellStyle name="Output 2 9 32 2 3" xfId="41027"/>
    <cellStyle name="Output 2 9 32 3" xfId="41028"/>
    <cellStyle name="Output 2 9 32 3 2" xfId="41029"/>
    <cellStyle name="Output 2 9 32 3 2 2" xfId="41030"/>
    <cellStyle name="Output 2 9 32 3 3" xfId="41031"/>
    <cellStyle name="Output 2 9 32 4" xfId="41032"/>
    <cellStyle name="Output 2 9 32 5" xfId="41033"/>
    <cellStyle name="Output 2 9 33" xfId="41034"/>
    <cellStyle name="Output 2 9 33 2" xfId="41035"/>
    <cellStyle name="Output 2 9 33 2 2" xfId="41036"/>
    <cellStyle name="Output 2 9 33 2 2 2" xfId="41037"/>
    <cellStyle name="Output 2 9 33 2 3" xfId="41038"/>
    <cellStyle name="Output 2 9 33 3" xfId="41039"/>
    <cellStyle name="Output 2 9 33 3 2" xfId="41040"/>
    <cellStyle name="Output 2 9 33 3 2 2" xfId="41041"/>
    <cellStyle name="Output 2 9 33 3 3" xfId="41042"/>
    <cellStyle name="Output 2 9 33 4" xfId="41043"/>
    <cellStyle name="Output 2 9 33 5" xfId="41044"/>
    <cellStyle name="Output 2 9 34" xfId="41045"/>
    <cellStyle name="Output 2 9 34 2" xfId="41046"/>
    <cellStyle name="Output 2 9 34 2 2" xfId="41047"/>
    <cellStyle name="Output 2 9 34 2 2 2" xfId="41048"/>
    <cellStyle name="Output 2 9 34 2 3" xfId="41049"/>
    <cellStyle name="Output 2 9 34 3" xfId="41050"/>
    <cellStyle name="Output 2 9 34 3 2" xfId="41051"/>
    <cellStyle name="Output 2 9 34 3 2 2" xfId="41052"/>
    <cellStyle name="Output 2 9 34 3 3" xfId="41053"/>
    <cellStyle name="Output 2 9 34 4" xfId="41054"/>
    <cellStyle name="Output 2 9 34 5" xfId="41055"/>
    <cellStyle name="Output 2 9 35" xfId="41056"/>
    <cellStyle name="Output 2 9 35 2" xfId="41057"/>
    <cellStyle name="Output 2 9 35 2 2" xfId="41058"/>
    <cellStyle name="Output 2 9 35 2 2 2" xfId="41059"/>
    <cellStyle name="Output 2 9 35 2 3" xfId="41060"/>
    <cellStyle name="Output 2 9 35 3" xfId="41061"/>
    <cellStyle name="Output 2 9 35 3 2" xfId="41062"/>
    <cellStyle name="Output 2 9 35 3 2 2" xfId="41063"/>
    <cellStyle name="Output 2 9 35 3 3" xfId="41064"/>
    <cellStyle name="Output 2 9 35 4" xfId="41065"/>
    <cellStyle name="Output 2 9 35 5" xfId="41066"/>
    <cellStyle name="Output 2 9 36" xfId="41067"/>
    <cellStyle name="Output 2 9 36 2" xfId="41068"/>
    <cellStyle name="Output 2 9 36 2 2" xfId="41069"/>
    <cellStyle name="Output 2 9 36 2 2 2" xfId="41070"/>
    <cellStyle name="Output 2 9 36 2 3" xfId="41071"/>
    <cellStyle name="Output 2 9 36 3" xfId="41072"/>
    <cellStyle name="Output 2 9 36 3 2" xfId="41073"/>
    <cellStyle name="Output 2 9 36 3 2 2" xfId="41074"/>
    <cellStyle name="Output 2 9 36 3 3" xfId="41075"/>
    <cellStyle name="Output 2 9 36 4" xfId="41076"/>
    <cellStyle name="Output 2 9 36 5" xfId="41077"/>
    <cellStyle name="Output 2 9 37" xfId="41078"/>
    <cellStyle name="Output 2 9 37 2" xfId="41079"/>
    <cellStyle name="Output 2 9 37 2 2" xfId="41080"/>
    <cellStyle name="Output 2 9 37 2 2 2" xfId="41081"/>
    <cellStyle name="Output 2 9 37 2 3" xfId="41082"/>
    <cellStyle name="Output 2 9 37 3" xfId="41083"/>
    <cellStyle name="Output 2 9 37 3 2" xfId="41084"/>
    <cellStyle name="Output 2 9 37 3 2 2" xfId="41085"/>
    <cellStyle name="Output 2 9 37 3 3" xfId="41086"/>
    <cellStyle name="Output 2 9 37 4" xfId="41087"/>
    <cellStyle name="Output 2 9 37 5" xfId="41088"/>
    <cellStyle name="Output 2 9 38" xfId="41089"/>
    <cellStyle name="Output 2 9 38 2" xfId="41090"/>
    <cellStyle name="Output 2 9 38 2 2" xfId="41091"/>
    <cellStyle name="Output 2 9 38 2 2 2" xfId="41092"/>
    <cellStyle name="Output 2 9 38 2 3" xfId="41093"/>
    <cellStyle name="Output 2 9 38 3" xfId="41094"/>
    <cellStyle name="Output 2 9 38 3 2" xfId="41095"/>
    <cellStyle name="Output 2 9 38 3 2 2" xfId="41096"/>
    <cellStyle name="Output 2 9 38 3 3" xfId="41097"/>
    <cellStyle name="Output 2 9 38 4" xfId="41098"/>
    <cellStyle name="Output 2 9 38 5" xfId="41099"/>
    <cellStyle name="Output 2 9 39" xfId="41100"/>
    <cellStyle name="Output 2 9 39 2" xfId="41101"/>
    <cellStyle name="Output 2 9 39 2 2" xfId="41102"/>
    <cellStyle name="Output 2 9 39 2 2 2" xfId="41103"/>
    <cellStyle name="Output 2 9 39 2 3" xfId="41104"/>
    <cellStyle name="Output 2 9 39 3" xfId="41105"/>
    <cellStyle name="Output 2 9 39 3 2" xfId="41106"/>
    <cellStyle name="Output 2 9 39 3 2 2" xfId="41107"/>
    <cellStyle name="Output 2 9 39 3 3" xfId="41108"/>
    <cellStyle name="Output 2 9 39 4" xfId="41109"/>
    <cellStyle name="Output 2 9 39 5" xfId="41110"/>
    <cellStyle name="Output 2 9 4" xfId="41111"/>
    <cellStyle name="Output 2 9 4 2" xfId="41112"/>
    <cellStyle name="Output 2 9 4 2 2" xfId="41113"/>
    <cellStyle name="Output 2 9 4 2 2 2" xfId="41114"/>
    <cellStyle name="Output 2 9 4 2 3" xfId="41115"/>
    <cellStyle name="Output 2 9 4 3" xfId="41116"/>
    <cellStyle name="Output 2 9 4 3 2" xfId="41117"/>
    <cellStyle name="Output 2 9 4 3 2 2" xfId="41118"/>
    <cellStyle name="Output 2 9 4 3 3" xfId="41119"/>
    <cellStyle name="Output 2 9 4 4" xfId="41120"/>
    <cellStyle name="Output 2 9 4 4 2" xfId="41121"/>
    <cellStyle name="Output 2 9 4 4 2 2" xfId="41122"/>
    <cellStyle name="Output 2 9 4 4 3" xfId="41123"/>
    <cellStyle name="Output 2 9 4 5" xfId="41124"/>
    <cellStyle name="Output 2 9 4 5 2" xfId="41125"/>
    <cellStyle name="Output 2 9 4 5 2 2" xfId="41126"/>
    <cellStyle name="Output 2 9 4 5 3" xfId="41127"/>
    <cellStyle name="Output 2 9 4 6" xfId="41128"/>
    <cellStyle name="Output 2 9 4 7" xfId="41129"/>
    <cellStyle name="Output 2 9 40" xfId="41130"/>
    <cellStyle name="Output 2 9 40 2" xfId="41131"/>
    <cellStyle name="Output 2 9 40 2 2" xfId="41132"/>
    <cellStyle name="Output 2 9 40 2 2 2" xfId="41133"/>
    <cellStyle name="Output 2 9 40 2 3" xfId="41134"/>
    <cellStyle name="Output 2 9 40 3" xfId="41135"/>
    <cellStyle name="Output 2 9 40 3 2" xfId="41136"/>
    <cellStyle name="Output 2 9 40 3 2 2" xfId="41137"/>
    <cellStyle name="Output 2 9 40 3 3" xfId="41138"/>
    <cellStyle name="Output 2 9 40 4" xfId="41139"/>
    <cellStyle name="Output 2 9 40 5" xfId="41140"/>
    <cellStyle name="Output 2 9 41" xfId="41141"/>
    <cellStyle name="Output 2 9 41 2" xfId="41142"/>
    <cellStyle name="Output 2 9 41 2 2" xfId="41143"/>
    <cellStyle name="Output 2 9 41 2 2 2" xfId="41144"/>
    <cellStyle name="Output 2 9 41 2 3" xfId="41145"/>
    <cellStyle name="Output 2 9 41 3" xfId="41146"/>
    <cellStyle name="Output 2 9 41 3 2" xfId="41147"/>
    <cellStyle name="Output 2 9 41 3 2 2" xfId="41148"/>
    <cellStyle name="Output 2 9 41 3 3" xfId="41149"/>
    <cellStyle name="Output 2 9 41 4" xfId="41150"/>
    <cellStyle name="Output 2 9 41 5" xfId="41151"/>
    <cellStyle name="Output 2 9 42" xfId="41152"/>
    <cellStyle name="Output 2 9 42 2" xfId="41153"/>
    <cellStyle name="Output 2 9 42 2 2" xfId="41154"/>
    <cellStyle name="Output 2 9 42 2 2 2" xfId="41155"/>
    <cellStyle name="Output 2 9 42 2 3" xfId="41156"/>
    <cellStyle name="Output 2 9 42 3" xfId="41157"/>
    <cellStyle name="Output 2 9 42 3 2" xfId="41158"/>
    <cellStyle name="Output 2 9 42 3 2 2" xfId="41159"/>
    <cellStyle name="Output 2 9 42 3 3" xfId="41160"/>
    <cellStyle name="Output 2 9 42 4" xfId="41161"/>
    <cellStyle name="Output 2 9 42 5" xfId="41162"/>
    <cellStyle name="Output 2 9 43" xfId="41163"/>
    <cellStyle name="Output 2 9 43 2" xfId="41164"/>
    <cellStyle name="Output 2 9 43 2 2" xfId="41165"/>
    <cellStyle name="Output 2 9 43 2 2 2" xfId="41166"/>
    <cellStyle name="Output 2 9 43 2 3" xfId="41167"/>
    <cellStyle name="Output 2 9 43 3" xfId="41168"/>
    <cellStyle name="Output 2 9 43 3 2" xfId="41169"/>
    <cellStyle name="Output 2 9 43 3 2 2" xfId="41170"/>
    <cellStyle name="Output 2 9 43 3 3" xfId="41171"/>
    <cellStyle name="Output 2 9 43 4" xfId="41172"/>
    <cellStyle name="Output 2 9 43 5" xfId="41173"/>
    <cellStyle name="Output 2 9 44" xfId="41174"/>
    <cellStyle name="Output 2 9 44 2" xfId="41175"/>
    <cellStyle name="Output 2 9 44 2 2" xfId="41176"/>
    <cellStyle name="Output 2 9 44 2 2 2" xfId="41177"/>
    <cellStyle name="Output 2 9 44 2 3" xfId="41178"/>
    <cellStyle name="Output 2 9 44 3" xfId="41179"/>
    <cellStyle name="Output 2 9 44 3 2" xfId="41180"/>
    <cellStyle name="Output 2 9 44 3 2 2" xfId="41181"/>
    <cellStyle name="Output 2 9 44 3 3" xfId="41182"/>
    <cellStyle name="Output 2 9 44 4" xfId="41183"/>
    <cellStyle name="Output 2 9 44 5" xfId="41184"/>
    <cellStyle name="Output 2 9 45" xfId="41185"/>
    <cellStyle name="Output 2 9 45 2" xfId="41186"/>
    <cellStyle name="Output 2 9 45 2 2" xfId="41187"/>
    <cellStyle name="Output 2 9 45 2 2 2" xfId="41188"/>
    <cellStyle name="Output 2 9 45 2 3" xfId="41189"/>
    <cellStyle name="Output 2 9 45 3" xfId="41190"/>
    <cellStyle name="Output 2 9 45 3 2" xfId="41191"/>
    <cellStyle name="Output 2 9 45 3 2 2" xfId="41192"/>
    <cellStyle name="Output 2 9 45 3 3" xfId="41193"/>
    <cellStyle name="Output 2 9 45 4" xfId="41194"/>
    <cellStyle name="Output 2 9 45 5" xfId="41195"/>
    <cellStyle name="Output 2 9 46" xfId="41196"/>
    <cellStyle name="Output 2 9 46 2" xfId="41197"/>
    <cellStyle name="Output 2 9 46 2 2" xfId="41198"/>
    <cellStyle name="Output 2 9 46 2 2 2" xfId="41199"/>
    <cellStyle name="Output 2 9 46 2 3" xfId="41200"/>
    <cellStyle name="Output 2 9 46 3" xfId="41201"/>
    <cellStyle name="Output 2 9 46 3 2" xfId="41202"/>
    <cellStyle name="Output 2 9 46 3 2 2" xfId="41203"/>
    <cellStyle name="Output 2 9 46 3 3" xfId="41204"/>
    <cellStyle name="Output 2 9 46 4" xfId="41205"/>
    <cellStyle name="Output 2 9 46 5" xfId="41206"/>
    <cellStyle name="Output 2 9 47" xfId="41207"/>
    <cellStyle name="Output 2 9 47 2" xfId="41208"/>
    <cellStyle name="Output 2 9 47 2 2" xfId="41209"/>
    <cellStyle name="Output 2 9 47 2 2 2" xfId="41210"/>
    <cellStyle name="Output 2 9 47 2 3" xfId="41211"/>
    <cellStyle name="Output 2 9 47 3" xfId="41212"/>
    <cellStyle name="Output 2 9 47 3 2" xfId="41213"/>
    <cellStyle name="Output 2 9 47 3 2 2" xfId="41214"/>
    <cellStyle name="Output 2 9 47 3 3" xfId="41215"/>
    <cellStyle name="Output 2 9 47 4" xfId="41216"/>
    <cellStyle name="Output 2 9 47 5" xfId="41217"/>
    <cellStyle name="Output 2 9 48" xfId="41218"/>
    <cellStyle name="Output 2 9 48 2" xfId="41219"/>
    <cellStyle name="Output 2 9 48 2 2" xfId="41220"/>
    <cellStyle name="Output 2 9 48 2 2 2" xfId="41221"/>
    <cellStyle name="Output 2 9 48 2 3" xfId="41222"/>
    <cellStyle name="Output 2 9 48 3" xfId="41223"/>
    <cellStyle name="Output 2 9 48 3 2" xfId="41224"/>
    <cellStyle name="Output 2 9 48 3 2 2" xfId="41225"/>
    <cellStyle name="Output 2 9 48 3 3" xfId="41226"/>
    <cellStyle name="Output 2 9 48 4" xfId="41227"/>
    <cellStyle name="Output 2 9 48 5" xfId="41228"/>
    <cellStyle name="Output 2 9 49" xfId="41229"/>
    <cellStyle name="Output 2 9 49 2" xfId="41230"/>
    <cellStyle name="Output 2 9 49 2 2" xfId="41231"/>
    <cellStyle name="Output 2 9 49 3" xfId="41232"/>
    <cellStyle name="Output 2 9 5" xfId="41233"/>
    <cellStyle name="Output 2 9 5 2" xfId="41234"/>
    <cellStyle name="Output 2 9 5 2 2" xfId="41235"/>
    <cellStyle name="Output 2 9 5 2 2 2" xfId="41236"/>
    <cellStyle name="Output 2 9 5 2 3" xfId="41237"/>
    <cellStyle name="Output 2 9 5 3" xfId="41238"/>
    <cellStyle name="Output 2 9 5 3 2" xfId="41239"/>
    <cellStyle name="Output 2 9 5 3 2 2" xfId="41240"/>
    <cellStyle name="Output 2 9 5 3 3" xfId="41241"/>
    <cellStyle name="Output 2 9 5 4" xfId="41242"/>
    <cellStyle name="Output 2 9 5 4 2" xfId="41243"/>
    <cellStyle name="Output 2 9 5 4 2 2" xfId="41244"/>
    <cellStyle name="Output 2 9 5 4 3" xfId="41245"/>
    <cellStyle name="Output 2 9 5 5" xfId="41246"/>
    <cellStyle name="Output 2 9 5 5 2" xfId="41247"/>
    <cellStyle name="Output 2 9 5 5 2 2" xfId="41248"/>
    <cellStyle name="Output 2 9 5 5 3" xfId="41249"/>
    <cellStyle name="Output 2 9 5 6" xfId="41250"/>
    <cellStyle name="Output 2 9 5 7" xfId="41251"/>
    <cellStyle name="Output 2 9 50" xfId="41252"/>
    <cellStyle name="Output 2 9 50 2" xfId="41253"/>
    <cellStyle name="Output 2 9 50 2 2" xfId="41254"/>
    <cellStyle name="Output 2 9 50 3" xfId="41255"/>
    <cellStyle name="Output 2 9 51" xfId="41256"/>
    <cellStyle name="Output 2 9 51 2" xfId="41257"/>
    <cellStyle name="Output 2 9 51 2 2" xfId="41258"/>
    <cellStyle name="Output 2 9 51 3" xfId="41259"/>
    <cellStyle name="Output 2 9 52" xfId="41260"/>
    <cellStyle name="Output 2 9 52 2" xfId="41261"/>
    <cellStyle name="Output 2 9 52 2 2" xfId="41262"/>
    <cellStyle name="Output 2 9 52 3" xfId="41263"/>
    <cellStyle name="Output 2 9 53" xfId="41264"/>
    <cellStyle name="Output 2 9 54" xfId="41265"/>
    <cellStyle name="Output 2 9 6" xfId="41266"/>
    <cellStyle name="Output 2 9 6 2" xfId="41267"/>
    <cellStyle name="Output 2 9 6 2 2" xfId="41268"/>
    <cellStyle name="Output 2 9 6 2 2 2" xfId="41269"/>
    <cellStyle name="Output 2 9 6 2 3" xfId="41270"/>
    <cellStyle name="Output 2 9 6 3" xfId="41271"/>
    <cellStyle name="Output 2 9 6 3 2" xfId="41272"/>
    <cellStyle name="Output 2 9 6 3 2 2" xfId="41273"/>
    <cellStyle name="Output 2 9 6 3 3" xfId="41274"/>
    <cellStyle name="Output 2 9 6 4" xfId="41275"/>
    <cellStyle name="Output 2 9 6 4 2" xfId="41276"/>
    <cellStyle name="Output 2 9 6 4 2 2" xfId="41277"/>
    <cellStyle name="Output 2 9 6 4 3" xfId="41278"/>
    <cellStyle name="Output 2 9 6 5" xfId="41279"/>
    <cellStyle name="Output 2 9 6 5 2" xfId="41280"/>
    <cellStyle name="Output 2 9 6 5 2 2" xfId="41281"/>
    <cellStyle name="Output 2 9 6 5 3" xfId="41282"/>
    <cellStyle name="Output 2 9 6 6" xfId="41283"/>
    <cellStyle name="Output 2 9 6 7" xfId="41284"/>
    <cellStyle name="Output 2 9 7" xfId="41285"/>
    <cellStyle name="Output 2 9 7 2" xfId="41286"/>
    <cellStyle name="Output 2 9 7 2 2" xfId="41287"/>
    <cellStyle name="Output 2 9 7 2 2 2" xfId="41288"/>
    <cellStyle name="Output 2 9 7 2 3" xfId="41289"/>
    <cellStyle name="Output 2 9 7 3" xfId="41290"/>
    <cellStyle name="Output 2 9 7 3 2" xfId="41291"/>
    <cellStyle name="Output 2 9 7 3 2 2" xfId="41292"/>
    <cellStyle name="Output 2 9 7 3 3" xfId="41293"/>
    <cellStyle name="Output 2 9 7 4" xfId="41294"/>
    <cellStyle name="Output 2 9 7 4 2" xfId="41295"/>
    <cellStyle name="Output 2 9 7 4 2 2" xfId="41296"/>
    <cellStyle name="Output 2 9 7 4 3" xfId="41297"/>
    <cellStyle name="Output 2 9 7 5" xfId="41298"/>
    <cellStyle name="Output 2 9 7 5 2" xfId="41299"/>
    <cellStyle name="Output 2 9 7 5 2 2" xfId="41300"/>
    <cellStyle name="Output 2 9 7 5 3" xfId="41301"/>
    <cellStyle name="Output 2 9 7 6" xfId="41302"/>
    <cellStyle name="Output 2 9 7 7" xfId="41303"/>
    <cellStyle name="Output 2 9 8" xfId="41304"/>
    <cellStyle name="Output 2 9 8 2" xfId="41305"/>
    <cellStyle name="Output 2 9 8 2 2" xfId="41306"/>
    <cellStyle name="Output 2 9 8 2 2 2" xfId="41307"/>
    <cellStyle name="Output 2 9 8 2 3" xfId="41308"/>
    <cellStyle name="Output 2 9 8 3" xfId="41309"/>
    <cellStyle name="Output 2 9 8 3 2" xfId="41310"/>
    <cellStyle name="Output 2 9 8 3 2 2" xfId="41311"/>
    <cellStyle name="Output 2 9 8 3 3" xfId="41312"/>
    <cellStyle name="Output 2 9 8 4" xfId="41313"/>
    <cellStyle name="Output 2 9 8 4 2" xfId="41314"/>
    <cellStyle name="Output 2 9 8 4 2 2" xfId="41315"/>
    <cellStyle name="Output 2 9 8 4 3" xfId="41316"/>
    <cellStyle name="Output 2 9 8 5" xfId="41317"/>
    <cellStyle name="Output 2 9 8 5 2" xfId="41318"/>
    <cellStyle name="Output 2 9 8 5 2 2" xfId="41319"/>
    <cellStyle name="Output 2 9 8 5 3" xfId="41320"/>
    <cellStyle name="Output 2 9 8 6" xfId="41321"/>
    <cellStyle name="Output 2 9 8 7" xfId="41322"/>
    <cellStyle name="Output 2 9 9" xfId="41323"/>
    <cellStyle name="Output 2 9 9 2" xfId="41324"/>
    <cellStyle name="Output 2 9 9 2 2" xfId="41325"/>
    <cellStyle name="Output 2 9 9 2 2 2" xfId="41326"/>
    <cellStyle name="Output 2 9 9 2 3" xfId="41327"/>
    <cellStyle name="Output 2 9 9 3" xfId="41328"/>
    <cellStyle name="Output 2 9 9 3 2" xfId="41329"/>
    <cellStyle name="Output 2 9 9 3 2 2" xfId="41330"/>
    <cellStyle name="Output 2 9 9 3 3" xfId="41331"/>
    <cellStyle name="Output 2 9 9 4" xfId="41332"/>
    <cellStyle name="Output 2 9 9 5" xfId="41333"/>
    <cellStyle name="Output 3" xfId="41334"/>
    <cellStyle name="Output 3 10" xfId="41335"/>
    <cellStyle name="Output 3 2" xfId="41336"/>
    <cellStyle name="Output 3 2 10" xfId="41337"/>
    <cellStyle name="Output 3 2 10 2" xfId="41338"/>
    <cellStyle name="Output 3 2 10 2 2" xfId="41339"/>
    <cellStyle name="Output 3 2 10 3" xfId="41340"/>
    <cellStyle name="Output 3 2 11" xfId="41341"/>
    <cellStyle name="Output 3 2 12" xfId="41342"/>
    <cellStyle name="Output 3 2 2" xfId="41343"/>
    <cellStyle name="Output 3 2 2 2" xfId="41344"/>
    <cellStyle name="Output 3 2 2 2 2" xfId="41345"/>
    <cellStyle name="Output 3 2 2 2 2 2" xfId="41346"/>
    <cellStyle name="Output 3 2 2 2 3" xfId="41347"/>
    <cellStyle name="Output 3 2 2 3" xfId="41348"/>
    <cellStyle name="Output 3 2 2 3 2" xfId="41349"/>
    <cellStyle name="Output 3 2 2 3 2 2" xfId="41350"/>
    <cellStyle name="Output 3 2 2 3 3" xfId="41351"/>
    <cellStyle name="Output 3 2 2 4" xfId="41352"/>
    <cellStyle name="Output 3 2 2 4 2" xfId="41353"/>
    <cellStyle name="Output 3 2 2 4 2 2" xfId="41354"/>
    <cellStyle name="Output 3 2 2 4 3" xfId="41355"/>
    <cellStyle name="Output 3 2 2 5" xfId="41356"/>
    <cellStyle name="Output 3 2 3" xfId="41357"/>
    <cellStyle name="Output 3 2 3 2" xfId="41358"/>
    <cellStyle name="Output 3 2 3 2 2" xfId="41359"/>
    <cellStyle name="Output 3 2 3 2 2 2" xfId="41360"/>
    <cellStyle name="Output 3 2 3 2 3" xfId="41361"/>
    <cellStyle name="Output 3 2 3 3" xfId="41362"/>
    <cellStyle name="Output 3 2 3 3 2" xfId="41363"/>
    <cellStyle name="Output 3 2 3 3 2 2" xfId="41364"/>
    <cellStyle name="Output 3 2 3 3 3" xfId="41365"/>
    <cellStyle name="Output 3 2 3 4" xfId="41366"/>
    <cellStyle name="Output 3 2 3 4 2" xfId="41367"/>
    <cellStyle name="Output 3 2 3 4 2 2" xfId="41368"/>
    <cellStyle name="Output 3 2 3 4 3" xfId="41369"/>
    <cellStyle name="Output 3 2 3 5" xfId="41370"/>
    <cellStyle name="Output 3 2 4" xfId="41371"/>
    <cellStyle name="Output 3 2 4 2" xfId="41372"/>
    <cellStyle name="Output 3 2 4 2 2" xfId="41373"/>
    <cellStyle name="Output 3 2 4 2 2 2" xfId="41374"/>
    <cellStyle name="Output 3 2 4 2 3" xfId="41375"/>
    <cellStyle name="Output 3 2 4 3" xfId="41376"/>
    <cellStyle name="Output 3 2 4 3 2" xfId="41377"/>
    <cellStyle name="Output 3 2 4 3 2 2" xfId="41378"/>
    <cellStyle name="Output 3 2 4 3 3" xfId="41379"/>
    <cellStyle name="Output 3 2 4 4" xfId="41380"/>
    <cellStyle name="Output 3 2 4 4 2" xfId="41381"/>
    <cellStyle name="Output 3 2 4 4 2 2" xfId="41382"/>
    <cellStyle name="Output 3 2 4 4 3" xfId="41383"/>
    <cellStyle name="Output 3 2 4 5" xfId="41384"/>
    <cellStyle name="Output 3 2 5" xfId="41385"/>
    <cellStyle name="Output 3 2 5 2" xfId="41386"/>
    <cellStyle name="Output 3 2 5 2 2" xfId="41387"/>
    <cellStyle name="Output 3 2 5 2 2 2" xfId="41388"/>
    <cellStyle name="Output 3 2 5 2 3" xfId="41389"/>
    <cellStyle name="Output 3 2 5 3" xfId="41390"/>
    <cellStyle name="Output 3 2 5 3 2" xfId="41391"/>
    <cellStyle name="Output 3 2 5 3 2 2" xfId="41392"/>
    <cellStyle name="Output 3 2 5 3 3" xfId="41393"/>
    <cellStyle name="Output 3 2 5 4" xfId="41394"/>
    <cellStyle name="Output 3 2 6" xfId="41395"/>
    <cellStyle name="Output 3 2 6 2" xfId="41396"/>
    <cellStyle name="Output 3 2 6 2 2" xfId="41397"/>
    <cellStyle name="Output 3 2 6 2 2 2" xfId="41398"/>
    <cellStyle name="Output 3 2 6 2 3" xfId="41399"/>
    <cellStyle name="Output 3 2 6 3" xfId="41400"/>
    <cellStyle name="Output 3 2 6 3 2" xfId="41401"/>
    <cellStyle name="Output 3 2 6 3 2 2" xfId="41402"/>
    <cellStyle name="Output 3 2 6 3 3" xfId="41403"/>
    <cellStyle name="Output 3 2 6 4" xfId="41404"/>
    <cellStyle name="Output 3 2 7" xfId="41405"/>
    <cellStyle name="Output 3 2 7 2" xfId="41406"/>
    <cellStyle name="Output 3 2 7 2 2" xfId="41407"/>
    <cellStyle name="Output 3 2 7 3" xfId="41408"/>
    <cellStyle name="Output 3 2 8" xfId="41409"/>
    <cellStyle name="Output 3 2 8 2" xfId="41410"/>
    <cellStyle name="Output 3 2 8 2 2" xfId="41411"/>
    <cellStyle name="Output 3 2 8 3" xfId="41412"/>
    <cellStyle name="Output 3 2 9" xfId="41413"/>
    <cellStyle name="Output 3 2 9 2" xfId="41414"/>
    <cellStyle name="Output 3 2 9 2 2" xfId="41415"/>
    <cellStyle name="Output 3 2 9 3" xfId="41416"/>
    <cellStyle name="Output 3 3" xfId="41417"/>
    <cellStyle name="Output 3 3 2" xfId="41418"/>
    <cellStyle name="Output 3 3 2 2" xfId="41419"/>
    <cellStyle name="Output 3 3 2 2 2" xfId="41420"/>
    <cellStyle name="Output 3 3 2 3" xfId="41421"/>
    <cellStyle name="Output 3 3 3" xfId="41422"/>
    <cellStyle name="Output 3 3 3 2" xfId="41423"/>
    <cellStyle name="Output 3 3 3 2 2" xfId="41424"/>
    <cellStyle name="Output 3 3 3 3" xfId="41425"/>
    <cellStyle name="Output 3 3 4" xfId="41426"/>
    <cellStyle name="Output 3 3 4 2" xfId="41427"/>
    <cellStyle name="Output 3 3 4 2 2" xfId="41428"/>
    <cellStyle name="Output 3 3 4 3" xfId="41429"/>
    <cellStyle name="Output 3 3 5" xfId="41430"/>
    <cellStyle name="Output 3 4" xfId="41431"/>
    <cellStyle name="Output 3 4 2" xfId="41432"/>
    <cellStyle name="Output 3 4 2 2" xfId="41433"/>
    <cellStyle name="Output 3 4 2 2 2" xfId="41434"/>
    <cellStyle name="Output 3 4 2 3" xfId="41435"/>
    <cellStyle name="Output 3 4 3" xfId="41436"/>
    <cellStyle name="Output 3 4 3 2" xfId="41437"/>
    <cellStyle name="Output 3 4 4" xfId="41438"/>
    <cellStyle name="Output 3 5" xfId="41439"/>
    <cellStyle name="Output 3 5 2" xfId="41440"/>
    <cellStyle name="Output 3 5 2 2" xfId="41441"/>
    <cellStyle name="Output 3 5 3" xfId="41442"/>
    <cellStyle name="Output 3 6" xfId="41443"/>
    <cellStyle name="Output 3 6 2" xfId="41444"/>
    <cellStyle name="Output 3 6 2 2" xfId="41445"/>
    <cellStyle name="Output 3 6 3" xfId="41446"/>
    <cellStyle name="Output 3 7" xfId="41447"/>
    <cellStyle name="Output 3 7 2" xfId="41448"/>
    <cellStyle name="Output 3 7 2 2" xfId="41449"/>
    <cellStyle name="Output 3 7 3" xfId="41450"/>
    <cellStyle name="Output 3 8" xfId="41451"/>
    <cellStyle name="Output 3 8 2" xfId="41452"/>
    <cellStyle name="Output 3 8 2 2" xfId="41453"/>
    <cellStyle name="Output 3 8 3" xfId="41454"/>
    <cellStyle name="Output 3 9" xfId="41455"/>
    <cellStyle name="Output 4" xfId="41456"/>
    <cellStyle name="Output 4 10" xfId="41457"/>
    <cellStyle name="Output 4 2" xfId="41458"/>
    <cellStyle name="Output 4 2 10" xfId="41459"/>
    <cellStyle name="Output 4 2 10 2" xfId="41460"/>
    <cellStyle name="Output 4 2 10 2 2" xfId="41461"/>
    <cellStyle name="Output 4 2 10 3" xfId="41462"/>
    <cellStyle name="Output 4 2 11" xfId="41463"/>
    <cellStyle name="Output 4 2 12" xfId="41464"/>
    <cellStyle name="Output 4 2 2" xfId="41465"/>
    <cellStyle name="Output 4 2 2 2" xfId="41466"/>
    <cellStyle name="Output 4 2 2 2 2" xfId="41467"/>
    <cellStyle name="Output 4 2 2 2 2 2" xfId="41468"/>
    <cellStyle name="Output 4 2 2 2 3" xfId="41469"/>
    <cellStyle name="Output 4 2 2 3" xfId="41470"/>
    <cellStyle name="Output 4 2 2 3 2" xfId="41471"/>
    <cellStyle name="Output 4 2 2 3 2 2" xfId="41472"/>
    <cellStyle name="Output 4 2 2 3 3" xfId="41473"/>
    <cellStyle name="Output 4 2 2 4" xfId="41474"/>
    <cellStyle name="Output 4 2 2 4 2" xfId="41475"/>
    <cellStyle name="Output 4 2 2 4 2 2" xfId="41476"/>
    <cellStyle name="Output 4 2 2 4 3" xfId="41477"/>
    <cellStyle name="Output 4 2 2 5" xfId="41478"/>
    <cellStyle name="Output 4 2 3" xfId="41479"/>
    <cellStyle name="Output 4 2 3 2" xfId="41480"/>
    <cellStyle name="Output 4 2 3 2 2" xfId="41481"/>
    <cellStyle name="Output 4 2 3 2 2 2" xfId="41482"/>
    <cellStyle name="Output 4 2 3 2 3" xfId="41483"/>
    <cellStyle name="Output 4 2 3 3" xfId="41484"/>
    <cellStyle name="Output 4 2 3 3 2" xfId="41485"/>
    <cellStyle name="Output 4 2 3 3 2 2" xfId="41486"/>
    <cellStyle name="Output 4 2 3 3 3" xfId="41487"/>
    <cellStyle name="Output 4 2 3 4" xfId="41488"/>
    <cellStyle name="Output 4 2 3 4 2" xfId="41489"/>
    <cellStyle name="Output 4 2 3 4 2 2" xfId="41490"/>
    <cellStyle name="Output 4 2 3 4 3" xfId="41491"/>
    <cellStyle name="Output 4 2 3 5" xfId="41492"/>
    <cellStyle name="Output 4 2 4" xfId="41493"/>
    <cellStyle name="Output 4 2 4 2" xfId="41494"/>
    <cellStyle name="Output 4 2 4 2 2" xfId="41495"/>
    <cellStyle name="Output 4 2 4 2 2 2" xfId="41496"/>
    <cellStyle name="Output 4 2 4 2 3" xfId="41497"/>
    <cellStyle name="Output 4 2 4 3" xfId="41498"/>
    <cellStyle name="Output 4 2 4 3 2" xfId="41499"/>
    <cellStyle name="Output 4 2 4 3 2 2" xfId="41500"/>
    <cellStyle name="Output 4 2 4 3 3" xfId="41501"/>
    <cellStyle name="Output 4 2 4 4" xfId="41502"/>
    <cellStyle name="Output 4 2 4 4 2" xfId="41503"/>
    <cellStyle name="Output 4 2 4 4 2 2" xfId="41504"/>
    <cellStyle name="Output 4 2 4 4 3" xfId="41505"/>
    <cellStyle name="Output 4 2 4 5" xfId="41506"/>
    <cellStyle name="Output 4 2 5" xfId="41507"/>
    <cellStyle name="Output 4 2 5 2" xfId="41508"/>
    <cellStyle name="Output 4 2 5 2 2" xfId="41509"/>
    <cellStyle name="Output 4 2 5 2 2 2" xfId="41510"/>
    <cellStyle name="Output 4 2 5 2 3" xfId="41511"/>
    <cellStyle name="Output 4 2 5 3" xfId="41512"/>
    <cellStyle name="Output 4 2 5 3 2" xfId="41513"/>
    <cellStyle name="Output 4 2 5 3 2 2" xfId="41514"/>
    <cellStyle name="Output 4 2 5 3 3" xfId="41515"/>
    <cellStyle name="Output 4 2 5 4" xfId="41516"/>
    <cellStyle name="Output 4 2 6" xfId="41517"/>
    <cellStyle name="Output 4 2 6 2" xfId="41518"/>
    <cellStyle name="Output 4 2 6 2 2" xfId="41519"/>
    <cellStyle name="Output 4 2 6 2 2 2" xfId="41520"/>
    <cellStyle name="Output 4 2 6 2 3" xfId="41521"/>
    <cellStyle name="Output 4 2 6 3" xfId="41522"/>
    <cellStyle name="Output 4 2 6 3 2" xfId="41523"/>
    <cellStyle name="Output 4 2 6 3 2 2" xfId="41524"/>
    <cellStyle name="Output 4 2 6 3 3" xfId="41525"/>
    <cellStyle name="Output 4 2 6 4" xfId="41526"/>
    <cellStyle name="Output 4 2 7" xfId="41527"/>
    <cellStyle name="Output 4 2 7 2" xfId="41528"/>
    <cellStyle name="Output 4 2 7 2 2" xfId="41529"/>
    <cellStyle name="Output 4 2 7 3" xfId="41530"/>
    <cellStyle name="Output 4 2 8" xfId="41531"/>
    <cellStyle name="Output 4 2 8 2" xfId="41532"/>
    <cellStyle name="Output 4 2 8 2 2" xfId="41533"/>
    <cellStyle name="Output 4 2 8 3" xfId="41534"/>
    <cellStyle name="Output 4 2 9" xfId="41535"/>
    <cellStyle name="Output 4 2 9 2" xfId="41536"/>
    <cellStyle name="Output 4 2 9 2 2" xfId="41537"/>
    <cellStyle name="Output 4 2 9 3" xfId="41538"/>
    <cellStyle name="Output 4 3" xfId="41539"/>
    <cellStyle name="Output 4 3 2" xfId="41540"/>
    <cellStyle name="Output 4 3 2 2" xfId="41541"/>
    <cellStyle name="Output 4 3 2 2 2" xfId="41542"/>
    <cellStyle name="Output 4 3 2 3" xfId="41543"/>
    <cellStyle name="Output 4 3 3" xfId="41544"/>
    <cellStyle name="Output 4 3 3 2" xfId="41545"/>
    <cellStyle name="Output 4 3 3 2 2" xfId="41546"/>
    <cellStyle name="Output 4 3 3 3" xfId="41547"/>
    <cellStyle name="Output 4 3 4" xfId="41548"/>
    <cellStyle name="Output 4 3 4 2" xfId="41549"/>
    <cellStyle name="Output 4 3 4 2 2" xfId="41550"/>
    <cellStyle name="Output 4 3 4 3" xfId="41551"/>
    <cellStyle name="Output 4 3 5" xfId="41552"/>
    <cellStyle name="Output 4 4" xfId="41553"/>
    <cellStyle name="Output 4 4 2" xfId="41554"/>
    <cellStyle name="Output 4 4 2 2" xfId="41555"/>
    <cellStyle name="Output 4 4 2 2 2" xfId="41556"/>
    <cellStyle name="Output 4 4 2 3" xfId="41557"/>
    <cellStyle name="Output 4 4 3" xfId="41558"/>
    <cellStyle name="Output 4 4 3 2" xfId="41559"/>
    <cellStyle name="Output 4 4 4" xfId="41560"/>
    <cellStyle name="Output 4 5" xfId="41561"/>
    <cellStyle name="Output 4 5 2" xfId="41562"/>
    <cellStyle name="Output 4 5 2 2" xfId="41563"/>
    <cellStyle name="Output 4 5 3" xfId="41564"/>
    <cellStyle name="Output 4 6" xfId="41565"/>
    <cellStyle name="Output 4 6 2" xfId="41566"/>
    <cellStyle name="Output 4 6 2 2" xfId="41567"/>
    <cellStyle name="Output 4 6 3" xfId="41568"/>
    <cellStyle name="Output 4 7" xfId="41569"/>
    <cellStyle name="Output 4 7 2" xfId="41570"/>
    <cellStyle name="Output 4 7 2 2" xfId="41571"/>
    <cellStyle name="Output 4 7 3" xfId="41572"/>
    <cellStyle name="Output 4 8" xfId="41573"/>
    <cellStyle name="Output 4 8 2" xfId="41574"/>
    <cellStyle name="Output 4 8 2 2" xfId="41575"/>
    <cellStyle name="Output 4 8 3" xfId="41576"/>
    <cellStyle name="Output 4 9" xfId="41577"/>
    <cellStyle name="Output 5" xfId="41578"/>
    <cellStyle name="Output 5 10" xfId="41579"/>
    <cellStyle name="Output 5 10 2" xfId="41580"/>
    <cellStyle name="Output 5 10 2 2" xfId="41581"/>
    <cellStyle name="Output 5 10 2 2 2" xfId="41582"/>
    <cellStyle name="Output 5 10 2 3" xfId="41583"/>
    <cellStyle name="Output 5 10 3" xfId="41584"/>
    <cellStyle name="Output 5 10 3 2" xfId="41585"/>
    <cellStyle name="Output 5 10 3 2 2" xfId="41586"/>
    <cellStyle name="Output 5 10 3 3" xfId="41587"/>
    <cellStyle name="Output 5 10 4" xfId="41588"/>
    <cellStyle name="Output 5 10 5" xfId="41589"/>
    <cellStyle name="Output 5 11" xfId="41590"/>
    <cellStyle name="Output 5 11 2" xfId="41591"/>
    <cellStyle name="Output 5 11 2 2" xfId="41592"/>
    <cellStyle name="Output 5 11 2 2 2" xfId="41593"/>
    <cellStyle name="Output 5 11 2 3" xfId="41594"/>
    <cellStyle name="Output 5 11 3" xfId="41595"/>
    <cellStyle name="Output 5 11 3 2" xfId="41596"/>
    <cellStyle name="Output 5 11 3 2 2" xfId="41597"/>
    <cellStyle name="Output 5 11 3 3" xfId="41598"/>
    <cellStyle name="Output 5 11 4" xfId="41599"/>
    <cellStyle name="Output 5 11 5" xfId="41600"/>
    <cellStyle name="Output 5 12" xfId="41601"/>
    <cellStyle name="Output 5 12 2" xfId="41602"/>
    <cellStyle name="Output 5 12 2 2" xfId="41603"/>
    <cellStyle name="Output 5 12 2 2 2" xfId="41604"/>
    <cellStyle name="Output 5 12 2 3" xfId="41605"/>
    <cellStyle name="Output 5 12 3" xfId="41606"/>
    <cellStyle name="Output 5 12 3 2" xfId="41607"/>
    <cellStyle name="Output 5 12 3 2 2" xfId="41608"/>
    <cellStyle name="Output 5 12 3 3" xfId="41609"/>
    <cellStyle name="Output 5 12 4" xfId="41610"/>
    <cellStyle name="Output 5 12 5" xfId="41611"/>
    <cellStyle name="Output 5 13" xfId="41612"/>
    <cellStyle name="Output 5 13 2" xfId="41613"/>
    <cellStyle name="Output 5 13 2 2" xfId="41614"/>
    <cellStyle name="Output 5 13 2 2 2" xfId="41615"/>
    <cellStyle name="Output 5 13 2 3" xfId="41616"/>
    <cellStyle name="Output 5 13 3" xfId="41617"/>
    <cellStyle name="Output 5 13 3 2" xfId="41618"/>
    <cellStyle name="Output 5 13 3 2 2" xfId="41619"/>
    <cellStyle name="Output 5 13 3 3" xfId="41620"/>
    <cellStyle name="Output 5 13 4" xfId="41621"/>
    <cellStyle name="Output 5 13 5" xfId="41622"/>
    <cellStyle name="Output 5 14" xfId="41623"/>
    <cellStyle name="Output 5 14 2" xfId="41624"/>
    <cellStyle name="Output 5 14 2 2" xfId="41625"/>
    <cellStyle name="Output 5 14 2 2 2" xfId="41626"/>
    <cellStyle name="Output 5 14 2 3" xfId="41627"/>
    <cellStyle name="Output 5 14 3" xfId="41628"/>
    <cellStyle name="Output 5 14 3 2" xfId="41629"/>
    <cellStyle name="Output 5 14 3 2 2" xfId="41630"/>
    <cellStyle name="Output 5 14 3 3" xfId="41631"/>
    <cellStyle name="Output 5 14 4" xfId="41632"/>
    <cellStyle name="Output 5 14 5" xfId="41633"/>
    <cellStyle name="Output 5 15" xfId="41634"/>
    <cellStyle name="Output 5 15 2" xfId="41635"/>
    <cellStyle name="Output 5 15 2 2" xfId="41636"/>
    <cellStyle name="Output 5 15 2 2 2" xfId="41637"/>
    <cellStyle name="Output 5 15 2 3" xfId="41638"/>
    <cellStyle name="Output 5 15 3" xfId="41639"/>
    <cellStyle name="Output 5 15 3 2" xfId="41640"/>
    <cellStyle name="Output 5 15 3 2 2" xfId="41641"/>
    <cellStyle name="Output 5 15 3 3" xfId="41642"/>
    <cellStyle name="Output 5 15 4" xfId="41643"/>
    <cellStyle name="Output 5 15 5" xfId="41644"/>
    <cellStyle name="Output 5 16" xfId="41645"/>
    <cellStyle name="Output 5 16 2" xfId="41646"/>
    <cellStyle name="Output 5 16 2 2" xfId="41647"/>
    <cellStyle name="Output 5 16 2 2 2" xfId="41648"/>
    <cellStyle name="Output 5 16 2 3" xfId="41649"/>
    <cellStyle name="Output 5 16 3" xfId="41650"/>
    <cellStyle name="Output 5 16 3 2" xfId="41651"/>
    <cellStyle name="Output 5 16 3 2 2" xfId="41652"/>
    <cellStyle name="Output 5 16 3 3" xfId="41653"/>
    <cellStyle name="Output 5 16 4" xfId="41654"/>
    <cellStyle name="Output 5 16 5" xfId="41655"/>
    <cellStyle name="Output 5 17" xfId="41656"/>
    <cellStyle name="Output 5 17 2" xfId="41657"/>
    <cellStyle name="Output 5 17 2 2" xfId="41658"/>
    <cellStyle name="Output 5 17 2 2 2" xfId="41659"/>
    <cellStyle name="Output 5 17 2 3" xfId="41660"/>
    <cellStyle name="Output 5 17 3" xfId="41661"/>
    <cellStyle name="Output 5 17 3 2" xfId="41662"/>
    <cellStyle name="Output 5 17 3 2 2" xfId="41663"/>
    <cellStyle name="Output 5 17 3 3" xfId="41664"/>
    <cellStyle name="Output 5 17 4" xfId="41665"/>
    <cellStyle name="Output 5 17 5" xfId="41666"/>
    <cellStyle name="Output 5 18" xfId="41667"/>
    <cellStyle name="Output 5 18 2" xfId="41668"/>
    <cellStyle name="Output 5 18 2 2" xfId="41669"/>
    <cellStyle name="Output 5 18 2 2 2" xfId="41670"/>
    <cellStyle name="Output 5 18 2 3" xfId="41671"/>
    <cellStyle name="Output 5 18 3" xfId="41672"/>
    <cellStyle name="Output 5 18 3 2" xfId="41673"/>
    <cellStyle name="Output 5 18 3 2 2" xfId="41674"/>
    <cellStyle name="Output 5 18 3 3" xfId="41675"/>
    <cellStyle name="Output 5 18 4" xfId="41676"/>
    <cellStyle name="Output 5 18 5" xfId="41677"/>
    <cellStyle name="Output 5 19" xfId="41678"/>
    <cellStyle name="Output 5 19 2" xfId="41679"/>
    <cellStyle name="Output 5 19 2 2" xfId="41680"/>
    <cellStyle name="Output 5 19 2 2 2" xfId="41681"/>
    <cellStyle name="Output 5 19 2 3" xfId="41682"/>
    <cellStyle name="Output 5 19 3" xfId="41683"/>
    <cellStyle name="Output 5 19 3 2" xfId="41684"/>
    <cellStyle name="Output 5 19 3 2 2" xfId="41685"/>
    <cellStyle name="Output 5 19 3 3" xfId="41686"/>
    <cellStyle name="Output 5 19 4" xfId="41687"/>
    <cellStyle name="Output 5 19 5" xfId="41688"/>
    <cellStyle name="Output 5 2" xfId="41689"/>
    <cellStyle name="Output 5 2 2" xfId="41690"/>
    <cellStyle name="Output 5 2 2 2" xfId="41691"/>
    <cellStyle name="Output 5 2 2 2 2" xfId="41692"/>
    <cellStyle name="Output 5 2 2 3" xfId="41693"/>
    <cellStyle name="Output 5 2 3" xfId="41694"/>
    <cellStyle name="Output 5 2 3 2" xfId="41695"/>
    <cellStyle name="Output 5 2 3 2 2" xfId="41696"/>
    <cellStyle name="Output 5 2 3 3" xfId="41697"/>
    <cellStyle name="Output 5 2 4" xfId="41698"/>
    <cellStyle name="Output 5 2 4 2" xfId="41699"/>
    <cellStyle name="Output 5 2 4 2 2" xfId="41700"/>
    <cellStyle name="Output 5 2 4 3" xfId="41701"/>
    <cellStyle name="Output 5 2 5" xfId="41702"/>
    <cellStyle name="Output 5 2 5 2" xfId="41703"/>
    <cellStyle name="Output 5 2 5 2 2" xfId="41704"/>
    <cellStyle name="Output 5 2 5 3" xfId="41705"/>
    <cellStyle name="Output 5 2 6" xfId="41706"/>
    <cellStyle name="Output 5 2 7" xfId="41707"/>
    <cellStyle name="Output 5 20" xfId="41708"/>
    <cellStyle name="Output 5 20 2" xfId="41709"/>
    <cellStyle name="Output 5 20 2 2" xfId="41710"/>
    <cellStyle name="Output 5 20 2 2 2" xfId="41711"/>
    <cellStyle name="Output 5 20 2 3" xfId="41712"/>
    <cellStyle name="Output 5 20 3" xfId="41713"/>
    <cellStyle name="Output 5 20 3 2" xfId="41714"/>
    <cellStyle name="Output 5 20 3 2 2" xfId="41715"/>
    <cellStyle name="Output 5 20 3 3" xfId="41716"/>
    <cellStyle name="Output 5 20 4" xfId="41717"/>
    <cellStyle name="Output 5 20 5" xfId="41718"/>
    <cellStyle name="Output 5 21" xfId="41719"/>
    <cellStyle name="Output 5 21 2" xfId="41720"/>
    <cellStyle name="Output 5 21 2 2" xfId="41721"/>
    <cellStyle name="Output 5 21 2 2 2" xfId="41722"/>
    <cellStyle name="Output 5 21 2 3" xfId="41723"/>
    <cellStyle name="Output 5 21 3" xfId="41724"/>
    <cellStyle name="Output 5 21 3 2" xfId="41725"/>
    <cellStyle name="Output 5 21 3 2 2" xfId="41726"/>
    <cellStyle name="Output 5 21 3 3" xfId="41727"/>
    <cellStyle name="Output 5 21 4" xfId="41728"/>
    <cellStyle name="Output 5 21 5" xfId="41729"/>
    <cellStyle name="Output 5 22" xfId="41730"/>
    <cellStyle name="Output 5 22 2" xfId="41731"/>
    <cellStyle name="Output 5 22 2 2" xfId="41732"/>
    <cellStyle name="Output 5 22 2 2 2" xfId="41733"/>
    <cellStyle name="Output 5 22 2 3" xfId="41734"/>
    <cellStyle name="Output 5 22 3" xfId="41735"/>
    <cellStyle name="Output 5 22 3 2" xfId="41736"/>
    <cellStyle name="Output 5 22 3 2 2" xfId="41737"/>
    <cellStyle name="Output 5 22 3 3" xfId="41738"/>
    <cellStyle name="Output 5 22 4" xfId="41739"/>
    <cellStyle name="Output 5 22 5" xfId="41740"/>
    <cellStyle name="Output 5 23" xfId="41741"/>
    <cellStyle name="Output 5 23 2" xfId="41742"/>
    <cellStyle name="Output 5 23 2 2" xfId="41743"/>
    <cellStyle name="Output 5 23 2 2 2" xfId="41744"/>
    <cellStyle name="Output 5 23 2 3" xfId="41745"/>
    <cellStyle name="Output 5 23 3" xfId="41746"/>
    <cellStyle name="Output 5 23 3 2" xfId="41747"/>
    <cellStyle name="Output 5 23 3 2 2" xfId="41748"/>
    <cellStyle name="Output 5 23 3 3" xfId="41749"/>
    <cellStyle name="Output 5 23 4" xfId="41750"/>
    <cellStyle name="Output 5 23 5" xfId="41751"/>
    <cellStyle name="Output 5 24" xfId="41752"/>
    <cellStyle name="Output 5 24 2" xfId="41753"/>
    <cellStyle name="Output 5 24 2 2" xfId="41754"/>
    <cellStyle name="Output 5 24 2 2 2" xfId="41755"/>
    <cellStyle name="Output 5 24 2 3" xfId="41756"/>
    <cellStyle name="Output 5 24 3" xfId="41757"/>
    <cellStyle name="Output 5 24 3 2" xfId="41758"/>
    <cellStyle name="Output 5 24 3 2 2" xfId="41759"/>
    <cellStyle name="Output 5 24 3 3" xfId="41760"/>
    <cellStyle name="Output 5 24 4" xfId="41761"/>
    <cellStyle name="Output 5 24 5" xfId="41762"/>
    <cellStyle name="Output 5 25" xfId="41763"/>
    <cellStyle name="Output 5 25 2" xfId="41764"/>
    <cellStyle name="Output 5 25 2 2" xfId="41765"/>
    <cellStyle name="Output 5 25 2 2 2" xfId="41766"/>
    <cellStyle name="Output 5 25 2 3" xfId="41767"/>
    <cellStyle name="Output 5 25 3" xfId="41768"/>
    <cellStyle name="Output 5 25 3 2" xfId="41769"/>
    <cellStyle name="Output 5 25 3 2 2" xfId="41770"/>
    <cellStyle name="Output 5 25 3 3" xfId="41771"/>
    <cellStyle name="Output 5 25 4" xfId="41772"/>
    <cellStyle name="Output 5 25 5" xfId="41773"/>
    <cellStyle name="Output 5 26" xfId="41774"/>
    <cellStyle name="Output 5 26 2" xfId="41775"/>
    <cellStyle name="Output 5 26 2 2" xfId="41776"/>
    <cellStyle name="Output 5 26 2 2 2" xfId="41777"/>
    <cellStyle name="Output 5 26 2 3" xfId="41778"/>
    <cellStyle name="Output 5 26 3" xfId="41779"/>
    <cellStyle name="Output 5 26 3 2" xfId="41780"/>
    <cellStyle name="Output 5 26 3 2 2" xfId="41781"/>
    <cellStyle name="Output 5 26 3 3" xfId="41782"/>
    <cellStyle name="Output 5 26 4" xfId="41783"/>
    <cellStyle name="Output 5 26 5" xfId="41784"/>
    <cellStyle name="Output 5 27" xfId="41785"/>
    <cellStyle name="Output 5 27 2" xfId="41786"/>
    <cellStyle name="Output 5 27 2 2" xfId="41787"/>
    <cellStyle name="Output 5 27 2 2 2" xfId="41788"/>
    <cellStyle name="Output 5 27 2 3" xfId="41789"/>
    <cellStyle name="Output 5 27 3" xfId="41790"/>
    <cellStyle name="Output 5 27 3 2" xfId="41791"/>
    <cellStyle name="Output 5 27 3 2 2" xfId="41792"/>
    <cellStyle name="Output 5 27 3 3" xfId="41793"/>
    <cellStyle name="Output 5 27 4" xfId="41794"/>
    <cellStyle name="Output 5 27 5" xfId="41795"/>
    <cellStyle name="Output 5 28" xfId="41796"/>
    <cellStyle name="Output 5 28 2" xfId="41797"/>
    <cellStyle name="Output 5 28 2 2" xfId="41798"/>
    <cellStyle name="Output 5 28 2 2 2" xfId="41799"/>
    <cellStyle name="Output 5 28 2 3" xfId="41800"/>
    <cellStyle name="Output 5 28 3" xfId="41801"/>
    <cellStyle name="Output 5 28 3 2" xfId="41802"/>
    <cellStyle name="Output 5 28 3 2 2" xfId="41803"/>
    <cellStyle name="Output 5 28 3 3" xfId="41804"/>
    <cellStyle name="Output 5 28 4" xfId="41805"/>
    <cellStyle name="Output 5 28 5" xfId="41806"/>
    <cellStyle name="Output 5 29" xfId="41807"/>
    <cellStyle name="Output 5 29 2" xfId="41808"/>
    <cellStyle name="Output 5 29 2 2" xfId="41809"/>
    <cellStyle name="Output 5 29 2 2 2" xfId="41810"/>
    <cellStyle name="Output 5 29 2 3" xfId="41811"/>
    <cellStyle name="Output 5 29 3" xfId="41812"/>
    <cellStyle name="Output 5 29 3 2" xfId="41813"/>
    <cellStyle name="Output 5 29 3 2 2" xfId="41814"/>
    <cellStyle name="Output 5 29 3 3" xfId="41815"/>
    <cellStyle name="Output 5 29 4" xfId="41816"/>
    <cellStyle name="Output 5 29 5" xfId="41817"/>
    <cellStyle name="Output 5 3" xfId="41818"/>
    <cellStyle name="Output 5 3 2" xfId="41819"/>
    <cellStyle name="Output 5 3 2 2" xfId="41820"/>
    <cellStyle name="Output 5 3 2 2 2" xfId="41821"/>
    <cellStyle name="Output 5 3 2 3" xfId="41822"/>
    <cellStyle name="Output 5 3 3" xfId="41823"/>
    <cellStyle name="Output 5 3 3 2" xfId="41824"/>
    <cellStyle name="Output 5 3 3 2 2" xfId="41825"/>
    <cellStyle name="Output 5 3 3 3" xfId="41826"/>
    <cellStyle name="Output 5 3 4" xfId="41827"/>
    <cellStyle name="Output 5 3 4 2" xfId="41828"/>
    <cellStyle name="Output 5 3 4 2 2" xfId="41829"/>
    <cellStyle name="Output 5 3 4 3" xfId="41830"/>
    <cellStyle name="Output 5 3 5" xfId="41831"/>
    <cellStyle name="Output 5 3 5 2" xfId="41832"/>
    <cellStyle name="Output 5 3 5 2 2" xfId="41833"/>
    <cellStyle name="Output 5 3 5 3" xfId="41834"/>
    <cellStyle name="Output 5 3 6" xfId="41835"/>
    <cellStyle name="Output 5 3 7" xfId="41836"/>
    <cellStyle name="Output 5 30" xfId="41837"/>
    <cellStyle name="Output 5 30 2" xfId="41838"/>
    <cellStyle name="Output 5 30 2 2" xfId="41839"/>
    <cellStyle name="Output 5 30 2 2 2" xfId="41840"/>
    <cellStyle name="Output 5 30 2 3" xfId="41841"/>
    <cellStyle name="Output 5 30 3" xfId="41842"/>
    <cellStyle name="Output 5 30 3 2" xfId="41843"/>
    <cellStyle name="Output 5 30 3 2 2" xfId="41844"/>
    <cellStyle name="Output 5 30 3 3" xfId="41845"/>
    <cellStyle name="Output 5 30 4" xfId="41846"/>
    <cellStyle name="Output 5 30 5" xfId="41847"/>
    <cellStyle name="Output 5 31" xfId="41848"/>
    <cellStyle name="Output 5 31 2" xfId="41849"/>
    <cellStyle name="Output 5 31 2 2" xfId="41850"/>
    <cellStyle name="Output 5 31 2 2 2" xfId="41851"/>
    <cellStyle name="Output 5 31 2 3" xfId="41852"/>
    <cellStyle name="Output 5 31 3" xfId="41853"/>
    <cellStyle name="Output 5 31 3 2" xfId="41854"/>
    <cellStyle name="Output 5 31 3 2 2" xfId="41855"/>
    <cellStyle name="Output 5 31 3 3" xfId="41856"/>
    <cellStyle name="Output 5 31 4" xfId="41857"/>
    <cellStyle name="Output 5 31 5" xfId="41858"/>
    <cellStyle name="Output 5 32" xfId="41859"/>
    <cellStyle name="Output 5 32 2" xfId="41860"/>
    <cellStyle name="Output 5 32 2 2" xfId="41861"/>
    <cellStyle name="Output 5 32 2 2 2" xfId="41862"/>
    <cellStyle name="Output 5 32 2 3" xfId="41863"/>
    <cellStyle name="Output 5 32 3" xfId="41864"/>
    <cellStyle name="Output 5 32 3 2" xfId="41865"/>
    <cellStyle name="Output 5 32 3 2 2" xfId="41866"/>
    <cellStyle name="Output 5 32 3 3" xfId="41867"/>
    <cellStyle name="Output 5 32 4" xfId="41868"/>
    <cellStyle name="Output 5 32 5" xfId="41869"/>
    <cellStyle name="Output 5 33" xfId="41870"/>
    <cellStyle name="Output 5 33 2" xfId="41871"/>
    <cellStyle name="Output 5 33 2 2" xfId="41872"/>
    <cellStyle name="Output 5 33 2 2 2" xfId="41873"/>
    <cellStyle name="Output 5 33 2 3" xfId="41874"/>
    <cellStyle name="Output 5 33 3" xfId="41875"/>
    <cellStyle name="Output 5 33 3 2" xfId="41876"/>
    <cellStyle name="Output 5 33 3 2 2" xfId="41877"/>
    <cellStyle name="Output 5 33 3 3" xfId="41878"/>
    <cellStyle name="Output 5 33 4" xfId="41879"/>
    <cellStyle name="Output 5 33 5" xfId="41880"/>
    <cellStyle name="Output 5 34" xfId="41881"/>
    <cellStyle name="Output 5 34 2" xfId="41882"/>
    <cellStyle name="Output 5 34 2 2" xfId="41883"/>
    <cellStyle name="Output 5 34 2 2 2" xfId="41884"/>
    <cellStyle name="Output 5 34 2 3" xfId="41885"/>
    <cellStyle name="Output 5 34 3" xfId="41886"/>
    <cellStyle name="Output 5 34 3 2" xfId="41887"/>
    <cellStyle name="Output 5 34 3 2 2" xfId="41888"/>
    <cellStyle name="Output 5 34 3 3" xfId="41889"/>
    <cellStyle name="Output 5 34 4" xfId="41890"/>
    <cellStyle name="Output 5 34 5" xfId="41891"/>
    <cellStyle name="Output 5 35" xfId="41892"/>
    <cellStyle name="Output 5 35 2" xfId="41893"/>
    <cellStyle name="Output 5 35 2 2" xfId="41894"/>
    <cellStyle name="Output 5 35 2 2 2" xfId="41895"/>
    <cellStyle name="Output 5 35 2 3" xfId="41896"/>
    <cellStyle name="Output 5 35 3" xfId="41897"/>
    <cellStyle name="Output 5 35 3 2" xfId="41898"/>
    <cellStyle name="Output 5 35 3 2 2" xfId="41899"/>
    <cellStyle name="Output 5 35 3 3" xfId="41900"/>
    <cellStyle name="Output 5 35 4" xfId="41901"/>
    <cellStyle name="Output 5 35 5" xfId="41902"/>
    <cellStyle name="Output 5 36" xfId="41903"/>
    <cellStyle name="Output 5 36 2" xfId="41904"/>
    <cellStyle name="Output 5 36 2 2" xfId="41905"/>
    <cellStyle name="Output 5 36 2 2 2" xfId="41906"/>
    <cellStyle name="Output 5 36 2 3" xfId="41907"/>
    <cellStyle name="Output 5 36 3" xfId="41908"/>
    <cellStyle name="Output 5 36 3 2" xfId="41909"/>
    <cellStyle name="Output 5 36 3 2 2" xfId="41910"/>
    <cellStyle name="Output 5 36 3 3" xfId="41911"/>
    <cellStyle name="Output 5 36 4" xfId="41912"/>
    <cellStyle name="Output 5 36 5" xfId="41913"/>
    <cellStyle name="Output 5 37" xfId="41914"/>
    <cellStyle name="Output 5 37 2" xfId="41915"/>
    <cellStyle name="Output 5 37 2 2" xfId="41916"/>
    <cellStyle name="Output 5 37 2 2 2" xfId="41917"/>
    <cellStyle name="Output 5 37 2 3" xfId="41918"/>
    <cellStyle name="Output 5 37 3" xfId="41919"/>
    <cellStyle name="Output 5 37 3 2" xfId="41920"/>
    <cellStyle name="Output 5 37 3 2 2" xfId="41921"/>
    <cellStyle name="Output 5 37 3 3" xfId="41922"/>
    <cellStyle name="Output 5 37 4" xfId="41923"/>
    <cellStyle name="Output 5 37 5" xfId="41924"/>
    <cellStyle name="Output 5 38" xfId="41925"/>
    <cellStyle name="Output 5 38 2" xfId="41926"/>
    <cellStyle name="Output 5 38 2 2" xfId="41927"/>
    <cellStyle name="Output 5 38 2 2 2" xfId="41928"/>
    <cellStyle name="Output 5 38 2 3" xfId="41929"/>
    <cellStyle name="Output 5 38 3" xfId="41930"/>
    <cellStyle name="Output 5 38 3 2" xfId="41931"/>
    <cellStyle name="Output 5 38 3 2 2" xfId="41932"/>
    <cellStyle name="Output 5 38 3 3" xfId="41933"/>
    <cellStyle name="Output 5 38 4" xfId="41934"/>
    <cellStyle name="Output 5 38 5" xfId="41935"/>
    <cellStyle name="Output 5 39" xfId="41936"/>
    <cellStyle name="Output 5 39 2" xfId="41937"/>
    <cellStyle name="Output 5 39 2 2" xfId="41938"/>
    <cellStyle name="Output 5 39 2 2 2" xfId="41939"/>
    <cellStyle name="Output 5 39 2 3" xfId="41940"/>
    <cellStyle name="Output 5 39 3" xfId="41941"/>
    <cellStyle name="Output 5 39 3 2" xfId="41942"/>
    <cellStyle name="Output 5 39 3 2 2" xfId="41943"/>
    <cellStyle name="Output 5 39 3 3" xfId="41944"/>
    <cellStyle name="Output 5 39 4" xfId="41945"/>
    <cellStyle name="Output 5 39 5" xfId="41946"/>
    <cellStyle name="Output 5 4" xfId="41947"/>
    <cellStyle name="Output 5 4 2" xfId="41948"/>
    <cellStyle name="Output 5 4 2 2" xfId="41949"/>
    <cellStyle name="Output 5 4 2 2 2" xfId="41950"/>
    <cellStyle name="Output 5 4 2 3" xfId="41951"/>
    <cellStyle name="Output 5 4 3" xfId="41952"/>
    <cellStyle name="Output 5 4 3 2" xfId="41953"/>
    <cellStyle name="Output 5 4 3 2 2" xfId="41954"/>
    <cellStyle name="Output 5 4 3 3" xfId="41955"/>
    <cellStyle name="Output 5 4 4" xfId="41956"/>
    <cellStyle name="Output 5 4 4 2" xfId="41957"/>
    <cellStyle name="Output 5 4 4 2 2" xfId="41958"/>
    <cellStyle name="Output 5 4 4 3" xfId="41959"/>
    <cellStyle name="Output 5 4 5" xfId="41960"/>
    <cellStyle name="Output 5 4 5 2" xfId="41961"/>
    <cellStyle name="Output 5 4 5 2 2" xfId="41962"/>
    <cellStyle name="Output 5 4 5 3" xfId="41963"/>
    <cellStyle name="Output 5 4 6" xfId="41964"/>
    <cellStyle name="Output 5 4 7" xfId="41965"/>
    <cellStyle name="Output 5 40" xfId="41966"/>
    <cellStyle name="Output 5 40 2" xfId="41967"/>
    <cellStyle name="Output 5 40 2 2" xfId="41968"/>
    <cellStyle name="Output 5 40 2 2 2" xfId="41969"/>
    <cellStyle name="Output 5 40 2 3" xfId="41970"/>
    <cellStyle name="Output 5 40 3" xfId="41971"/>
    <cellStyle name="Output 5 40 3 2" xfId="41972"/>
    <cellStyle name="Output 5 40 3 2 2" xfId="41973"/>
    <cellStyle name="Output 5 40 3 3" xfId="41974"/>
    <cellStyle name="Output 5 40 4" xfId="41975"/>
    <cellStyle name="Output 5 40 5" xfId="41976"/>
    <cellStyle name="Output 5 41" xfId="41977"/>
    <cellStyle name="Output 5 41 2" xfId="41978"/>
    <cellStyle name="Output 5 41 2 2" xfId="41979"/>
    <cellStyle name="Output 5 41 2 2 2" xfId="41980"/>
    <cellStyle name="Output 5 41 2 3" xfId="41981"/>
    <cellStyle name="Output 5 41 3" xfId="41982"/>
    <cellStyle name="Output 5 41 3 2" xfId="41983"/>
    <cellStyle name="Output 5 41 3 2 2" xfId="41984"/>
    <cellStyle name="Output 5 41 3 3" xfId="41985"/>
    <cellStyle name="Output 5 41 4" xfId="41986"/>
    <cellStyle name="Output 5 41 5" xfId="41987"/>
    <cellStyle name="Output 5 42" xfId="41988"/>
    <cellStyle name="Output 5 42 2" xfId="41989"/>
    <cellStyle name="Output 5 42 2 2" xfId="41990"/>
    <cellStyle name="Output 5 42 2 2 2" xfId="41991"/>
    <cellStyle name="Output 5 42 2 3" xfId="41992"/>
    <cellStyle name="Output 5 42 3" xfId="41993"/>
    <cellStyle name="Output 5 42 3 2" xfId="41994"/>
    <cellStyle name="Output 5 42 3 2 2" xfId="41995"/>
    <cellStyle name="Output 5 42 3 3" xfId="41996"/>
    <cellStyle name="Output 5 42 4" xfId="41997"/>
    <cellStyle name="Output 5 42 5" xfId="41998"/>
    <cellStyle name="Output 5 43" xfId="41999"/>
    <cellStyle name="Output 5 43 2" xfId="42000"/>
    <cellStyle name="Output 5 43 2 2" xfId="42001"/>
    <cellStyle name="Output 5 43 2 2 2" xfId="42002"/>
    <cellStyle name="Output 5 43 2 3" xfId="42003"/>
    <cellStyle name="Output 5 43 3" xfId="42004"/>
    <cellStyle name="Output 5 43 3 2" xfId="42005"/>
    <cellStyle name="Output 5 43 3 2 2" xfId="42006"/>
    <cellStyle name="Output 5 43 3 3" xfId="42007"/>
    <cellStyle name="Output 5 43 4" xfId="42008"/>
    <cellStyle name="Output 5 43 5" xfId="42009"/>
    <cellStyle name="Output 5 44" xfId="42010"/>
    <cellStyle name="Output 5 44 2" xfId="42011"/>
    <cellStyle name="Output 5 44 2 2" xfId="42012"/>
    <cellStyle name="Output 5 44 2 2 2" xfId="42013"/>
    <cellStyle name="Output 5 44 2 3" xfId="42014"/>
    <cellStyle name="Output 5 44 3" xfId="42015"/>
    <cellStyle name="Output 5 44 3 2" xfId="42016"/>
    <cellStyle name="Output 5 44 3 2 2" xfId="42017"/>
    <cellStyle name="Output 5 44 3 3" xfId="42018"/>
    <cellStyle name="Output 5 44 4" xfId="42019"/>
    <cellStyle name="Output 5 44 5" xfId="42020"/>
    <cellStyle name="Output 5 45" xfId="42021"/>
    <cellStyle name="Output 5 45 2" xfId="42022"/>
    <cellStyle name="Output 5 45 2 2" xfId="42023"/>
    <cellStyle name="Output 5 45 2 2 2" xfId="42024"/>
    <cellStyle name="Output 5 45 2 3" xfId="42025"/>
    <cellStyle name="Output 5 45 3" xfId="42026"/>
    <cellStyle name="Output 5 45 3 2" xfId="42027"/>
    <cellStyle name="Output 5 45 3 2 2" xfId="42028"/>
    <cellStyle name="Output 5 45 3 3" xfId="42029"/>
    <cellStyle name="Output 5 45 4" xfId="42030"/>
    <cellStyle name="Output 5 45 5" xfId="42031"/>
    <cellStyle name="Output 5 46" xfId="42032"/>
    <cellStyle name="Output 5 46 2" xfId="42033"/>
    <cellStyle name="Output 5 46 2 2" xfId="42034"/>
    <cellStyle name="Output 5 46 2 2 2" xfId="42035"/>
    <cellStyle name="Output 5 46 2 3" xfId="42036"/>
    <cellStyle name="Output 5 46 3" xfId="42037"/>
    <cellStyle name="Output 5 46 3 2" xfId="42038"/>
    <cellStyle name="Output 5 46 3 2 2" xfId="42039"/>
    <cellStyle name="Output 5 46 3 3" xfId="42040"/>
    <cellStyle name="Output 5 46 4" xfId="42041"/>
    <cellStyle name="Output 5 46 5" xfId="42042"/>
    <cellStyle name="Output 5 47" xfId="42043"/>
    <cellStyle name="Output 5 47 2" xfId="42044"/>
    <cellStyle name="Output 5 47 2 2" xfId="42045"/>
    <cellStyle name="Output 5 47 2 2 2" xfId="42046"/>
    <cellStyle name="Output 5 47 2 3" xfId="42047"/>
    <cellStyle name="Output 5 47 3" xfId="42048"/>
    <cellStyle name="Output 5 47 3 2" xfId="42049"/>
    <cellStyle name="Output 5 47 3 2 2" xfId="42050"/>
    <cellStyle name="Output 5 47 3 3" xfId="42051"/>
    <cellStyle name="Output 5 47 4" xfId="42052"/>
    <cellStyle name="Output 5 47 5" xfId="42053"/>
    <cellStyle name="Output 5 48" xfId="42054"/>
    <cellStyle name="Output 5 48 2" xfId="42055"/>
    <cellStyle name="Output 5 48 2 2" xfId="42056"/>
    <cellStyle name="Output 5 48 2 2 2" xfId="42057"/>
    <cellStyle name="Output 5 48 2 3" xfId="42058"/>
    <cellStyle name="Output 5 48 3" xfId="42059"/>
    <cellStyle name="Output 5 48 3 2" xfId="42060"/>
    <cellStyle name="Output 5 48 3 2 2" xfId="42061"/>
    <cellStyle name="Output 5 48 3 3" xfId="42062"/>
    <cellStyle name="Output 5 48 4" xfId="42063"/>
    <cellStyle name="Output 5 48 5" xfId="42064"/>
    <cellStyle name="Output 5 49" xfId="42065"/>
    <cellStyle name="Output 5 49 2" xfId="42066"/>
    <cellStyle name="Output 5 49 2 2" xfId="42067"/>
    <cellStyle name="Output 5 49 3" xfId="42068"/>
    <cellStyle name="Output 5 5" xfId="42069"/>
    <cellStyle name="Output 5 5 2" xfId="42070"/>
    <cellStyle name="Output 5 5 2 2" xfId="42071"/>
    <cellStyle name="Output 5 5 2 2 2" xfId="42072"/>
    <cellStyle name="Output 5 5 2 3" xfId="42073"/>
    <cellStyle name="Output 5 5 3" xfId="42074"/>
    <cellStyle name="Output 5 5 3 2" xfId="42075"/>
    <cellStyle name="Output 5 5 3 2 2" xfId="42076"/>
    <cellStyle name="Output 5 5 3 3" xfId="42077"/>
    <cellStyle name="Output 5 5 4" xfId="42078"/>
    <cellStyle name="Output 5 5 4 2" xfId="42079"/>
    <cellStyle name="Output 5 5 4 2 2" xfId="42080"/>
    <cellStyle name="Output 5 5 4 3" xfId="42081"/>
    <cellStyle name="Output 5 5 5" xfId="42082"/>
    <cellStyle name="Output 5 5 5 2" xfId="42083"/>
    <cellStyle name="Output 5 5 5 2 2" xfId="42084"/>
    <cellStyle name="Output 5 5 5 3" xfId="42085"/>
    <cellStyle name="Output 5 5 6" xfId="42086"/>
    <cellStyle name="Output 5 5 7" xfId="42087"/>
    <cellStyle name="Output 5 50" xfId="42088"/>
    <cellStyle name="Output 5 50 2" xfId="42089"/>
    <cellStyle name="Output 5 50 2 2" xfId="42090"/>
    <cellStyle name="Output 5 50 3" xfId="42091"/>
    <cellStyle name="Output 5 51" xfId="42092"/>
    <cellStyle name="Output 5 51 2" xfId="42093"/>
    <cellStyle name="Output 5 51 2 2" xfId="42094"/>
    <cellStyle name="Output 5 51 3" xfId="42095"/>
    <cellStyle name="Output 5 52" xfId="42096"/>
    <cellStyle name="Output 5 52 2" xfId="42097"/>
    <cellStyle name="Output 5 52 2 2" xfId="42098"/>
    <cellStyle name="Output 5 52 3" xfId="42099"/>
    <cellStyle name="Output 5 53" xfId="42100"/>
    <cellStyle name="Output 5 54" xfId="42101"/>
    <cellStyle name="Output 5 6" xfId="42102"/>
    <cellStyle name="Output 5 6 2" xfId="42103"/>
    <cellStyle name="Output 5 6 2 2" xfId="42104"/>
    <cellStyle name="Output 5 6 2 2 2" xfId="42105"/>
    <cellStyle name="Output 5 6 2 3" xfId="42106"/>
    <cellStyle name="Output 5 6 3" xfId="42107"/>
    <cellStyle name="Output 5 6 3 2" xfId="42108"/>
    <cellStyle name="Output 5 6 3 2 2" xfId="42109"/>
    <cellStyle name="Output 5 6 3 3" xfId="42110"/>
    <cellStyle name="Output 5 6 4" xfId="42111"/>
    <cellStyle name="Output 5 6 4 2" xfId="42112"/>
    <cellStyle name="Output 5 6 4 2 2" xfId="42113"/>
    <cellStyle name="Output 5 6 4 3" xfId="42114"/>
    <cellStyle name="Output 5 6 5" xfId="42115"/>
    <cellStyle name="Output 5 6 5 2" xfId="42116"/>
    <cellStyle name="Output 5 6 5 2 2" xfId="42117"/>
    <cellStyle name="Output 5 6 5 3" xfId="42118"/>
    <cellStyle name="Output 5 6 6" xfId="42119"/>
    <cellStyle name="Output 5 6 7" xfId="42120"/>
    <cellStyle name="Output 5 7" xfId="42121"/>
    <cellStyle name="Output 5 7 2" xfId="42122"/>
    <cellStyle name="Output 5 7 2 2" xfId="42123"/>
    <cellStyle name="Output 5 7 2 2 2" xfId="42124"/>
    <cellStyle name="Output 5 7 2 3" xfId="42125"/>
    <cellStyle name="Output 5 7 3" xfId="42126"/>
    <cellStyle name="Output 5 7 3 2" xfId="42127"/>
    <cellStyle name="Output 5 7 3 2 2" xfId="42128"/>
    <cellStyle name="Output 5 7 3 3" xfId="42129"/>
    <cellStyle name="Output 5 7 4" xfId="42130"/>
    <cellStyle name="Output 5 7 4 2" xfId="42131"/>
    <cellStyle name="Output 5 7 4 2 2" xfId="42132"/>
    <cellStyle name="Output 5 7 4 3" xfId="42133"/>
    <cellStyle name="Output 5 7 5" xfId="42134"/>
    <cellStyle name="Output 5 7 5 2" xfId="42135"/>
    <cellStyle name="Output 5 7 5 2 2" xfId="42136"/>
    <cellStyle name="Output 5 7 5 3" xfId="42137"/>
    <cellStyle name="Output 5 7 6" xfId="42138"/>
    <cellStyle name="Output 5 7 7" xfId="42139"/>
    <cellStyle name="Output 5 8" xfId="42140"/>
    <cellStyle name="Output 5 8 2" xfId="42141"/>
    <cellStyle name="Output 5 8 2 2" xfId="42142"/>
    <cellStyle name="Output 5 8 2 2 2" xfId="42143"/>
    <cellStyle name="Output 5 8 2 3" xfId="42144"/>
    <cellStyle name="Output 5 8 3" xfId="42145"/>
    <cellStyle name="Output 5 8 3 2" xfId="42146"/>
    <cellStyle name="Output 5 8 3 2 2" xfId="42147"/>
    <cellStyle name="Output 5 8 3 3" xfId="42148"/>
    <cellStyle name="Output 5 8 4" xfId="42149"/>
    <cellStyle name="Output 5 8 4 2" xfId="42150"/>
    <cellStyle name="Output 5 8 4 2 2" xfId="42151"/>
    <cellStyle name="Output 5 8 4 3" xfId="42152"/>
    <cellStyle name="Output 5 8 5" xfId="42153"/>
    <cellStyle name="Output 5 8 5 2" xfId="42154"/>
    <cellStyle name="Output 5 8 5 2 2" xfId="42155"/>
    <cellStyle name="Output 5 8 5 3" xfId="42156"/>
    <cellStyle name="Output 5 8 6" xfId="42157"/>
    <cellStyle name="Output 5 8 7" xfId="42158"/>
    <cellStyle name="Output 5 9" xfId="42159"/>
    <cellStyle name="Output 5 9 2" xfId="42160"/>
    <cellStyle name="Output 5 9 2 2" xfId="42161"/>
    <cellStyle name="Output 5 9 2 2 2" xfId="42162"/>
    <cellStyle name="Output 5 9 2 3" xfId="42163"/>
    <cellStyle name="Output 5 9 3" xfId="42164"/>
    <cellStyle name="Output 5 9 3 2" xfId="42165"/>
    <cellStyle name="Output 5 9 3 2 2" xfId="42166"/>
    <cellStyle name="Output 5 9 3 3" xfId="42167"/>
    <cellStyle name="Output 5 9 4" xfId="42168"/>
    <cellStyle name="Output 5 9 5" xfId="42169"/>
    <cellStyle name="Output 6" xfId="42170"/>
    <cellStyle name="Output 6 10" xfId="42171"/>
    <cellStyle name="Output 6 10 2" xfId="42172"/>
    <cellStyle name="Output 6 10 2 2" xfId="42173"/>
    <cellStyle name="Output 6 10 3" xfId="42174"/>
    <cellStyle name="Output 6 11" xfId="42175"/>
    <cellStyle name="Output 6 12" xfId="42176"/>
    <cellStyle name="Output 6 2" xfId="42177"/>
    <cellStyle name="Output 6 2 2" xfId="42178"/>
    <cellStyle name="Output 6 2 2 2" xfId="42179"/>
    <cellStyle name="Output 6 2 2 2 2" xfId="42180"/>
    <cellStyle name="Output 6 2 2 3" xfId="42181"/>
    <cellStyle name="Output 6 2 3" xfId="42182"/>
    <cellStyle name="Output 6 2 3 2" xfId="42183"/>
    <cellStyle name="Output 6 2 3 2 2" xfId="42184"/>
    <cellStyle name="Output 6 2 3 3" xfId="42185"/>
    <cellStyle name="Output 6 2 4" xfId="42186"/>
    <cellStyle name="Output 6 2 4 2" xfId="42187"/>
    <cellStyle name="Output 6 2 4 2 2" xfId="42188"/>
    <cellStyle name="Output 6 2 4 3" xfId="42189"/>
    <cellStyle name="Output 6 2 5" xfId="42190"/>
    <cellStyle name="Output 6 3" xfId="42191"/>
    <cellStyle name="Output 6 3 2" xfId="42192"/>
    <cellStyle name="Output 6 3 2 2" xfId="42193"/>
    <cellStyle name="Output 6 3 2 2 2" xfId="42194"/>
    <cellStyle name="Output 6 3 2 3" xfId="42195"/>
    <cellStyle name="Output 6 3 3" xfId="42196"/>
    <cellStyle name="Output 6 3 3 2" xfId="42197"/>
    <cellStyle name="Output 6 3 3 2 2" xfId="42198"/>
    <cellStyle name="Output 6 3 3 3" xfId="42199"/>
    <cellStyle name="Output 6 3 4" xfId="42200"/>
    <cellStyle name="Output 6 3 4 2" xfId="42201"/>
    <cellStyle name="Output 6 3 4 2 2" xfId="42202"/>
    <cellStyle name="Output 6 3 4 3" xfId="42203"/>
    <cellStyle name="Output 6 3 5" xfId="42204"/>
    <cellStyle name="Output 6 4" xfId="42205"/>
    <cellStyle name="Output 6 4 2" xfId="42206"/>
    <cellStyle name="Output 6 4 2 2" xfId="42207"/>
    <cellStyle name="Output 6 4 2 2 2" xfId="42208"/>
    <cellStyle name="Output 6 4 2 3" xfId="42209"/>
    <cellStyle name="Output 6 4 3" xfId="42210"/>
    <cellStyle name="Output 6 4 3 2" xfId="42211"/>
    <cellStyle name="Output 6 4 3 2 2" xfId="42212"/>
    <cellStyle name="Output 6 4 3 3" xfId="42213"/>
    <cellStyle name="Output 6 4 4" xfId="42214"/>
    <cellStyle name="Output 6 4 4 2" xfId="42215"/>
    <cellStyle name="Output 6 4 4 2 2" xfId="42216"/>
    <cellStyle name="Output 6 4 4 3" xfId="42217"/>
    <cellStyle name="Output 6 4 5" xfId="42218"/>
    <cellStyle name="Output 6 5" xfId="42219"/>
    <cellStyle name="Output 6 5 2" xfId="42220"/>
    <cellStyle name="Output 6 5 2 2" xfId="42221"/>
    <cellStyle name="Output 6 5 2 2 2" xfId="42222"/>
    <cellStyle name="Output 6 5 2 3" xfId="42223"/>
    <cellStyle name="Output 6 5 3" xfId="42224"/>
    <cellStyle name="Output 6 5 3 2" xfId="42225"/>
    <cellStyle name="Output 6 5 3 2 2" xfId="42226"/>
    <cellStyle name="Output 6 5 3 3" xfId="42227"/>
    <cellStyle name="Output 6 5 4" xfId="42228"/>
    <cellStyle name="Output 6 6" xfId="42229"/>
    <cellStyle name="Output 6 6 2" xfId="42230"/>
    <cellStyle name="Output 6 6 2 2" xfId="42231"/>
    <cellStyle name="Output 6 6 2 2 2" xfId="42232"/>
    <cellStyle name="Output 6 6 2 3" xfId="42233"/>
    <cellStyle name="Output 6 6 3" xfId="42234"/>
    <cellStyle name="Output 6 6 3 2" xfId="42235"/>
    <cellStyle name="Output 6 6 3 2 2" xfId="42236"/>
    <cellStyle name="Output 6 6 3 3" xfId="42237"/>
    <cellStyle name="Output 6 6 4" xfId="42238"/>
    <cellStyle name="Output 6 7" xfId="42239"/>
    <cellStyle name="Output 6 7 2" xfId="42240"/>
    <cellStyle name="Output 6 7 2 2" xfId="42241"/>
    <cellStyle name="Output 6 7 3" xfId="42242"/>
    <cellStyle name="Output 6 8" xfId="42243"/>
    <cellStyle name="Output 6 8 2" xfId="42244"/>
    <cellStyle name="Output 6 8 2 2" xfId="42245"/>
    <cellStyle name="Output 6 8 3" xfId="42246"/>
    <cellStyle name="Output 6 9" xfId="42247"/>
    <cellStyle name="Output 6 9 2" xfId="42248"/>
    <cellStyle name="Output 6 9 2 2" xfId="42249"/>
    <cellStyle name="Output 6 9 3" xfId="42250"/>
    <cellStyle name="Output 7" xfId="42251"/>
    <cellStyle name="Output 7 10" xfId="42252"/>
    <cellStyle name="Output 7 10 2" xfId="42253"/>
    <cellStyle name="Output 7 10 2 2" xfId="42254"/>
    <cellStyle name="Output 7 10 3" xfId="42255"/>
    <cellStyle name="Output 7 11" xfId="42256"/>
    <cellStyle name="Output 7 12" xfId="42257"/>
    <cellStyle name="Output 7 2" xfId="42258"/>
    <cellStyle name="Output 7 2 2" xfId="42259"/>
    <cellStyle name="Output 7 2 2 2" xfId="42260"/>
    <cellStyle name="Output 7 2 2 2 2" xfId="42261"/>
    <cellStyle name="Output 7 2 2 3" xfId="42262"/>
    <cellStyle name="Output 7 2 3" xfId="42263"/>
    <cellStyle name="Output 7 2 3 2" xfId="42264"/>
    <cellStyle name="Output 7 2 3 2 2" xfId="42265"/>
    <cellStyle name="Output 7 2 3 3" xfId="42266"/>
    <cellStyle name="Output 7 2 4" xfId="42267"/>
    <cellStyle name="Output 7 2 4 2" xfId="42268"/>
    <cellStyle name="Output 7 2 4 2 2" xfId="42269"/>
    <cellStyle name="Output 7 2 4 3" xfId="42270"/>
    <cellStyle name="Output 7 2 5" xfId="42271"/>
    <cellStyle name="Output 7 3" xfId="42272"/>
    <cellStyle name="Output 7 3 2" xfId="42273"/>
    <cellStyle name="Output 7 3 2 2" xfId="42274"/>
    <cellStyle name="Output 7 3 2 2 2" xfId="42275"/>
    <cellStyle name="Output 7 3 2 3" xfId="42276"/>
    <cellStyle name="Output 7 3 3" xfId="42277"/>
    <cellStyle name="Output 7 3 3 2" xfId="42278"/>
    <cellStyle name="Output 7 3 3 2 2" xfId="42279"/>
    <cellStyle name="Output 7 3 3 3" xfId="42280"/>
    <cellStyle name="Output 7 3 4" xfId="42281"/>
    <cellStyle name="Output 7 3 4 2" xfId="42282"/>
    <cellStyle name="Output 7 3 4 2 2" xfId="42283"/>
    <cellStyle name="Output 7 3 4 3" xfId="42284"/>
    <cellStyle name="Output 7 3 5" xfId="42285"/>
    <cellStyle name="Output 7 4" xfId="42286"/>
    <cellStyle name="Output 7 4 2" xfId="42287"/>
    <cellStyle name="Output 7 4 2 2" xfId="42288"/>
    <cellStyle name="Output 7 4 2 2 2" xfId="42289"/>
    <cellStyle name="Output 7 4 2 3" xfId="42290"/>
    <cellStyle name="Output 7 4 3" xfId="42291"/>
    <cellStyle name="Output 7 4 3 2" xfId="42292"/>
    <cellStyle name="Output 7 4 3 2 2" xfId="42293"/>
    <cellStyle name="Output 7 4 3 3" xfId="42294"/>
    <cellStyle name="Output 7 4 4" xfId="42295"/>
    <cellStyle name="Output 7 4 4 2" xfId="42296"/>
    <cellStyle name="Output 7 4 4 2 2" xfId="42297"/>
    <cellStyle name="Output 7 4 4 3" xfId="42298"/>
    <cellStyle name="Output 7 4 5" xfId="42299"/>
    <cellStyle name="Output 7 5" xfId="42300"/>
    <cellStyle name="Output 7 5 2" xfId="42301"/>
    <cellStyle name="Output 7 5 2 2" xfId="42302"/>
    <cellStyle name="Output 7 5 2 2 2" xfId="42303"/>
    <cellStyle name="Output 7 5 2 3" xfId="42304"/>
    <cellStyle name="Output 7 5 3" xfId="42305"/>
    <cellStyle name="Output 7 5 3 2" xfId="42306"/>
    <cellStyle name="Output 7 5 3 2 2" xfId="42307"/>
    <cellStyle name="Output 7 5 3 3" xfId="42308"/>
    <cellStyle name="Output 7 5 4" xfId="42309"/>
    <cellStyle name="Output 7 6" xfId="42310"/>
    <cellStyle name="Output 7 6 2" xfId="42311"/>
    <cellStyle name="Output 7 6 2 2" xfId="42312"/>
    <cellStyle name="Output 7 6 2 2 2" xfId="42313"/>
    <cellStyle name="Output 7 6 2 3" xfId="42314"/>
    <cellStyle name="Output 7 6 3" xfId="42315"/>
    <cellStyle name="Output 7 6 3 2" xfId="42316"/>
    <cellStyle name="Output 7 6 3 2 2" xfId="42317"/>
    <cellStyle name="Output 7 6 3 3" xfId="42318"/>
    <cellStyle name="Output 7 6 4" xfId="42319"/>
    <cellStyle name="Output 7 7" xfId="42320"/>
    <cellStyle name="Output 7 7 2" xfId="42321"/>
    <cellStyle name="Output 7 7 2 2" xfId="42322"/>
    <cellStyle name="Output 7 7 3" xfId="42323"/>
    <cellStyle name="Output 7 8" xfId="42324"/>
    <cellStyle name="Output 7 8 2" xfId="42325"/>
    <cellStyle name="Output 7 8 2 2" xfId="42326"/>
    <cellStyle name="Output 7 8 3" xfId="42327"/>
    <cellStyle name="Output 7 9" xfId="42328"/>
    <cellStyle name="Output 7 9 2" xfId="42329"/>
    <cellStyle name="Output 7 9 2 2" xfId="42330"/>
    <cellStyle name="Output 7 9 3" xfId="42331"/>
    <cellStyle name="Output 8" xfId="42332"/>
    <cellStyle name="Output 8 10" xfId="42333"/>
    <cellStyle name="Output 8 10 2" xfId="42334"/>
    <cellStyle name="Output 8 10 2 2" xfId="42335"/>
    <cellStyle name="Output 8 10 3" xfId="42336"/>
    <cellStyle name="Output 8 11" xfId="42337"/>
    <cellStyle name="Output 8 12" xfId="42338"/>
    <cellStyle name="Output 8 2" xfId="42339"/>
    <cellStyle name="Output 8 2 2" xfId="42340"/>
    <cellStyle name="Output 8 2 2 2" xfId="42341"/>
    <cellStyle name="Output 8 2 2 2 2" xfId="42342"/>
    <cellStyle name="Output 8 2 2 3" xfId="42343"/>
    <cellStyle name="Output 8 2 3" xfId="42344"/>
    <cellStyle name="Output 8 2 3 2" xfId="42345"/>
    <cellStyle name="Output 8 2 3 2 2" xfId="42346"/>
    <cellStyle name="Output 8 2 3 3" xfId="42347"/>
    <cellStyle name="Output 8 2 4" xfId="42348"/>
    <cellStyle name="Output 8 2 4 2" xfId="42349"/>
    <cellStyle name="Output 8 2 4 2 2" xfId="42350"/>
    <cellStyle name="Output 8 2 4 3" xfId="42351"/>
    <cellStyle name="Output 8 2 5" xfId="42352"/>
    <cellStyle name="Output 8 3" xfId="42353"/>
    <cellStyle name="Output 8 3 2" xfId="42354"/>
    <cellStyle name="Output 8 3 2 2" xfId="42355"/>
    <cellStyle name="Output 8 3 2 2 2" xfId="42356"/>
    <cellStyle name="Output 8 3 2 3" xfId="42357"/>
    <cellStyle name="Output 8 3 3" xfId="42358"/>
    <cellStyle name="Output 8 3 3 2" xfId="42359"/>
    <cellStyle name="Output 8 3 3 2 2" xfId="42360"/>
    <cellStyle name="Output 8 3 3 3" xfId="42361"/>
    <cellStyle name="Output 8 3 4" xfId="42362"/>
    <cellStyle name="Output 8 3 4 2" xfId="42363"/>
    <cellStyle name="Output 8 3 4 2 2" xfId="42364"/>
    <cellStyle name="Output 8 3 4 3" xfId="42365"/>
    <cellStyle name="Output 8 3 5" xfId="42366"/>
    <cellStyle name="Output 8 4" xfId="42367"/>
    <cellStyle name="Output 8 4 2" xfId="42368"/>
    <cellStyle name="Output 8 4 2 2" xfId="42369"/>
    <cellStyle name="Output 8 4 2 2 2" xfId="42370"/>
    <cellStyle name="Output 8 4 2 3" xfId="42371"/>
    <cellStyle name="Output 8 4 3" xfId="42372"/>
    <cellStyle name="Output 8 4 3 2" xfId="42373"/>
    <cellStyle name="Output 8 4 3 2 2" xfId="42374"/>
    <cellStyle name="Output 8 4 3 3" xfId="42375"/>
    <cellStyle name="Output 8 4 4" xfId="42376"/>
    <cellStyle name="Output 8 4 4 2" xfId="42377"/>
    <cellStyle name="Output 8 4 4 2 2" xfId="42378"/>
    <cellStyle name="Output 8 4 4 3" xfId="42379"/>
    <cellStyle name="Output 8 4 5" xfId="42380"/>
    <cellStyle name="Output 8 5" xfId="42381"/>
    <cellStyle name="Output 8 5 2" xfId="42382"/>
    <cellStyle name="Output 8 5 2 2" xfId="42383"/>
    <cellStyle name="Output 8 5 2 2 2" xfId="42384"/>
    <cellStyle name="Output 8 5 2 3" xfId="42385"/>
    <cellStyle name="Output 8 5 3" xfId="42386"/>
    <cellStyle name="Output 8 5 3 2" xfId="42387"/>
    <cellStyle name="Output 8 5 3 2 2" xfId="42388"/>
    <cellStyle name="Output 8 5 3 3" xfId="42389"/>
    <cellStyle name="Output 8 5 4" xfId="42390"/>
    <cellStyle name="Output 8 6" xfId="42391"/>
    <cellStyle name="Output 8 6 2" xfId="42392"/>
    <cellStyle name="Output 8 6 2 2" xfId="42393"/>
    <cellStyle name="Output 8 6 2 2 2" xfId="42394"/>
    <cellStyle name="Output 8 6 2 3" xfId="42395"/>
    <cellStyle name="Output 8 6 3" xfId="42396"/>
    <cellStyle name="Output 8 6 3 2" xfId="42397"/>
    <cellStyle name="Output 8 6 3 2 2" xfId="42398"/>
    <cellStyle name="Output 8 6 3 3" xfId="42399"/>
    <cellStyle name="Output 8 6 4" xfId="42400"/>
    <cellStyle name="Output 8 7" xfId="42401"/>
    <cellStyle name="Output 8 7 2" xfId="42402"/>
    <cellStyle name="Output 8 7 2 2" xfId="42403"/>
    <cellStyle name="Output 8 7 3" xfId="42404"/>
    <cellStyle name="Output 8 8" xfId="42405"/>
    <cellStyle name="Output 8 8 2" xfId="42406"/>
    <cellStyle name="Output 8 8 2 2" xfId="42407"/>
    <cellStyle name="Output 8 8 3" xfId="42408"/>
    <cellStyle name="Output 8 9" xfId="42409"/>
    <cellStyle name="Output 8 9 2" xfId="42410"/>
    <cellStyle name="Output 8 9 2 2" xfId="42411"/>
    <cellStyle name="Output 8 9 3" xfId="42412"/>
    <cellStyle name="Percent 2" xfId="42413"/>
    <cellStyle name="Percent 2 2" xfId="42414"/>
    <cellStyle name="Percent 2 2 2" xfId="42415"/>
    <cellStyle name="Percent 2 2 3" xfId="42416"/>
    <cellStyle name="Percent 2 3" xfId="42417"/>
    <cellStyle name="Percent 2 3 2" xfId="42418"/>
    <cellStyle name="Percent 2 3 3" xfId="42419"/>
    <cellStyle name="Percent 2 4" xfId="42420"/>
    <cellStyle name="Percent 2 4 2" xfId="42421"/>
    <cellStyle name="Percent 2 4 3" xfId="42422"/>
    <cellStyle name="Percent 2 5" xfId="42423"/>
    <cellStyle name="Percent 2 5 2" xfId="42424"/>
    <cellStyle name="Percent 2 5 3" xfId="42425"/>
    <cellStyle name="Percent 2 6" xfId="42426"/>
    <cellStyle name="Percent 2 6 2" xfId="42427"/>
    <cellStyle name="Percent 2 6 3" xfId="42428"/>
    <cellStyle name="Percent 2 7" xfId="42429"/>
    <cellStyle name="Percent 2 8" xfId="42430"/>
    <cellStyle name="Title 2" xfId="42431"/>
    <cellStyle name="Title 2 2" xfId="42432"/>
    <cellStyle name="Title 2 3" xfId="42433"/>
    <cellStyle name="Title 3" xfId="42434"/>
    <cellStyle name="Title 3 2" xfId="42435"/>
    <cellStyle name="Title 3 3" xfId="42436"/>
    <cellStyle name="Title 4" xfId="42437"/>
    <cellStyle name="Title 4 2" xfId="42438"/>
    <cellStyle name="Title 4 3" xfId="42439"/>
    <cellStyle name="Title 5" xfId="42440"/>
    <cellStyle name="Title 5 2" xfId="42441"/>
    <cellStyle name="Title 5 3" xfId="42442"/>
    <cellStyle name="Title 6" xfId="42443"/>
    <cellStyle name="Title 6 2" xfId="42444"/>
    <cellStyle name="Title 6 3" xfId="42445"/>
    <cellStyle name="Title 7" xfId="42446"/>
    <cellStyle name="Title 7 2" xfId="42447"/>
    <cellStyle name="Title 7 3" xfId="42448"/>
    <cellStyle name="Title 8" xfId="42449"/>
    <cellStyle name="Title 8 2" xfId="42450"/>
    <cellStyle name="Title 8 3" xfId="42451"/>
    <cellStyle name="Total 2" xfId="42452"/>
    <cellStyle name="Total 2 10" xfId="42453"/>
    <cellStyle name="Total 2 10 10" xfId="42454"/>
    <cellStyle name="Total 2 10 10 2" xfId="42455"/>
    <cellStyle name="Total 2 10 10 2 2" xfId="42456"/>
    <cellStyle name="Total 2 10 10 2 2 2" xfId="42457"/>
    <cellStyle name="Total 2 10 10 2 3" xfId="42458"/>
    <cellStyle name="Total 2 10 10 3" xfId="42459"/>
    <cellStyle name="Total 2 10 10 3 2" xfId="42460"/>
    <cellStyle name="Total 2 10 10 3 2 2" xfId="42461"/>
    <cellStyle name="Total 2 10 10 3 3" xfId="42462"/>
    <cellStyle name="Total 2 10 10 4" xfId="42463"/>
    <cellStyle name="Total 2 10 10 5" xfId="42464"/>
    <cellStyle name="Total 2 10 11" xfId="42465"/>
    <cellStyle name="Total 2 10 11 2" xfId="42466"/>
    <cellStyle name="Total 2 10 11 2 2" xfId="42467"/>
    <cellStyle name="Total 2 10 11 2 2 2" xfId="42468"/>
    <cellStyle name="Total 2 10 11 2 3" xfId="42469"/>
    <cellStyle name="Total 2 10 11 3" xfId="42470"/>
    <cellStyle name="Total 2 10 11 3 2" xfId="42471"/>
    <cellStyle name="Total 2 10 11 3 2 2" xfId="42472"/>
    <cellStyle name="Total 2 10 11 3 3" xfId="42473"/>
    <cellStyle name="Total 2 10 11 4" xfId="42474"/>
    <cellStyle name="Total 2 10 11 5" xfId="42475"/>
    <cellStyle name="Total 2 10 12" xfId="42476"/>
    <cellStyle name="Total 2 10 12 2" xfId="42477"/>
    <cellStyle name="Total 2 10 12 2 2" xfId="42478"/>
    <cellStyle name="Total 2 10 12 2 2 2" xfId="42479"/>
    <cellStyle name="Total 2 10 12 2 3" xfId="42480"/>
    <cellStyle name="Total 2 10 12 3" xfId="42481"/>
    <cellStyle name="Total 2 10 12 3 2" xfId="42482"/>
    <cellStyle name="Total 2 10 12 3 2 2" xfId="42483"/>
    <cellStyle name="Total 2 10 12 3 3" xfId="42484"/>
    <cellStyle name="Total 2 10 12 4" xfId="42485"/>
    <cellStyle name="Total 2 10 12 5" xfId="42486"/>
    <cellStyle name="Total 2 10 13" xfId="42487"/>
    <cellStyle name="Total 2 10 13 2" xfId="42488"/>
    <cellStyle name="Total 2 10 13 2 2" xfId="42489"/>
    <cellStyle name="Total 2 10 13 2 2 2" xfId="42490"/>
    <cellStyle name="Total 2 10 13 2 3" xfId="42491"/>
    <cellStyle name="Total 2 10 13 3" xfId="42492"/>
    <cellStyle name="Total 2 10 13 3 2" xfId="42493"/>
    <cellStyle name="Total 2 10 13 3 2 2" xfId="42494"/>
    <cellStyle name="Total 2 10 13 3 3" xfId="42495"/>
    <cellStyle name="Total 2 10 13 4" xfId="42496"/>
    <cellStyle name="Total 2 10 13 5" xfId="42497"/>
    <cellStyle name="Total 2 10 14" xfId="42498"/>
    <cellStyle name="Total 2 10 14 2" xfId="42499"/>
    <cellStyle name="Total 2 10 14 2 2" xfId="42500"/>
    <cellStyle name="Total 2 10 14 2 2 2" xfId="42501"/>
    <cellStyle name="Total 2 10 14 2 3" xfId="42502"/>
    <cellStyle name="Total 2 10 14 3" xfId="42503"/>
    <cellStyle name="Total 2 10 14 3 2" xfId="42504"/>
    <cellStyle name="Total 2 10 14 3 2 2" xfId="42505"/>
    <cellStyle name="Total 2 10 14 3 3" xfId="42506"/>
    <cellStyle name="Total 2 10 14 4" xfId="42507"/>
    <cellStyle name="Total 2 10 14 5" xfId="42508"/>
    <cellStyle name="Total 2 10 15" xfId="42509"/>
    <cellStyle name="Total 2 10 15 2" xfId="42510"/>
    <cellStyle name="Total 2 10 15 2 2" xfId="42511"/>
    <cellStyle name="Total 2 10 15 2 2 2" xfId="42512"/>
    <cellStyle name="Total 2 10 15 2 3" xfId="42513"/>
    <cellStyle name="Total 2 10 15 3" xfId="42514"/>
    <cellStyle name="Total 2 10 15 3 2" xfId="42515"/>
    <cellStyle name="Total 2 10 15 3 2 2" xfId="42516"/>
    <cellStyle name="Total 2 10 15 3 3" xfId="42517"/>
    <cellStyle name="Total 2 10 15 4" xfId="42518"/>
    <cellStyle name="Total 2 10 15 5" xfId="42519"/>
    <cellStyle name="Total 2 10 16" xfId="42520"/>
    <cellStyle name="Total 2 10 16 2" xfId="42521"/>
    <cellStyle name="Total 2 10 16 2 2" xfId="42522"/>
    <cellStyle name="Total 2 10 16 2 2 2" xfId="42523"/>
    <cellStyle name="Total 2 10 16 2 3" xfId="42524"/>
    <cellStyle name="Total 2 10 16 3" xfId="42525"/>
    <cellStyle name="Total 2 10 16 3 2" xfId="42526"/>
    <cellStyle name="Total 2 10 16 3 2 2" xfId="42527"/>
    <cellStyle name="Total 2 10 16 3 3" xfId="42528"/>
    <cellStyle name="Total 2 10 16 4" xfId="42529"/>
    <cellStyle name="Total 2 10 16 5" xfId="42530"/>
    <cellStyle name="Total 2 10 17" xfId="42531"/>
    <cellStyle name="Total 2 10 17 2" xfId="42532"/>
    <cellStyle name="Total 2 10 17 2 2" xfId="42533"/>
    <cellStyle name="Total 2 10 17 2 2 2" xfId="42534"/>
    <cellStyle name="Total 2 10 17 2 3" xfId="42535"/>
    <cellStyle name="Total 2 10 17 3" xfId="42536"/>
    <cellStyle name="Total 2 10 17 3 2" xfId="42537"/>
    <cellStyle name="Total 2 10 17 3 2 2" xfId="42538"/>
    <cellStyle name="Total 2 10 17 3 3" xfId="42539"/>
    <cellStyle name="Total 2 10 17 4" xfId="42540"/>
    <cellStyle name="Total 2 10 17 5" xfId="42541"/>
    <cellStyle name="Total 2 10 18" xfId="42542"/>
    <cellStyle name="Total 2 10 18 2" xfId="42543"/>
    <cellStyle name="Total 2 10 18 2 2" xfId="42544"/>
    <cellStyle name="Total 2 10 18 2 2 2" xfId="42545"/>
    <cellStyle name="Total 2 10 18 2 3" xfId="42546"/>
    <cellStyle name="Total 2 10 18 3" xfId="42547"/>
    <cellStyle name="Total 2 10 18 3 2" xfId="42548"/>
    <cellStyle name="Total 2 10 18 3 2 2" xfId="42549"/>
    <cellStyle name="Total 2 10 18 3 3" xfId="42550"/>
    <cellStyle name="Total 2 10 18 4" xfId="42551"/>
    <cellStyle name="Total 2 10 18 5" xfId="42552"/>
    <cellStyle name="Total 2 10 19" xfId="42553"/>
    <cellStyle name="Total 2 10 19 2" xfId="42554"/>
    <cellStyle name="Total 2 10 19 2 2" xfId="42555"/>
    <cellStyle name="Total 2 10 19 2 2 2" xfId="42556"/>
    <cellStyle name="Total 2 10 19 2 3" xfId="42557"/>
    <cellStyle name="Total 2 10 19 3" xfId="42558"/>
    <cellStyle name="Total 2 10 19 3 2" xfId="42559"/>
    <cellStyle name="Total 2 10 19 3 2 2" xfId="42560"/>
    <cellStyle name="Total 2 10 19 3 3" xfId="42561"/>
    <cellStyle name="Total 2 10 19 4" xfId="42562"/>
    <cellStyle name="Total 2 10 19 5" xfId="42563"/>
    <cellStyle name="Total 2 10 2" xfId="42564"/>
    <cellStyle name="Total 2 10 2 2" xfId="42565"/>
    <cellStyle name="Total 2 10 2 2 2" xfId="42566"/>
    <cellStyle name="Total 2 10 2 2 2 2" xfId="42567"/>
    <cellStyle name="Total 2 10 2 2 3" xfId="42568"/>
    <cellStyle name="Total 2 10 2 3" xfId="42569"/>
    <cellStyle name="Total 2 10 2 3 2" xfId="42570"/>
    <cellStyle name="Total 2 10 2 3 2 2" xfId="42571"/>
    <cellStyle name="Total 2 10 2 3 3" xfId="42572"/>
    <cellStyle name="Total 2 10 2 4" xfId="42573"/>
    <cellStyle name="Total 2 10 2 4 2" xfId="42574"/>
    <cellStyle name="Total 2 10 2 4 2 2" xfId="42575"/>
    <cellStyle name="Total 2 10 2 4 3" xfId="42576"/>
    <cellStyle name="Total 2 10 2 5" xfId="42577"/>
    <cellStyle name="Total 2 10 2 5 2" xfId="42578"/>
    <cellStyle name="Total 2 10 2 5 2 2" xfId="42579"/>
    <cellStyle name="Total 2 10 2 5 3" xfId="42580"/>
    <cellStyle name="Total 2 10 2 6" xfId="42581"/>
    <cellStyle name="Total 2 10 2 7" xfId="42582"/>
    <cellStyle name="Total 2 10 20" xfId="42583"/>
    <cellStyle name="Total 2 10 20 2" xfId="42584"/>
    <cellStyle name="Total 2 10 20 2 2" xfId="42585"/>
    <cellStyle name="Total 2 10 20 2 2 2" xfId="42586"/>
    <cellStyle name="Total 2 10 20 2 3" xfId="42587"/>
    <cellStyle name="Total 2 10 20 3" xfId="42588"/>
    <cellStyle name="Total 2 10 20 3 2" xfId="42589"/>
    <cellStyle name="Total 2 10 20 3 2 2" xfId="42590"/>
    <cellStyle name="Total 2 10 20 3 3" xfId="42591"/>
    <cellStyle name="Total 2 10 20 4" xfId="42592"/>
    <cellStyle name="Total 2 10 20 5" xfId="42593"/>
    <cellStyle name="Total 2 10 21" xfId="42594"/>
    <cellStyle name="Total 2 10 21 2" xfId="42595"/>
    <cellStyle name="Total 2 10 21 2 2" xfId="42596"/>
    <cellStyle name="Total 2 10 21 2 2 2" xfId="42597"/>
    <cellStyle name="Total 2 10 21 2 3" xfId="42598"/>
    <cellStyle name="Total 2 10 21 3" xfId="42599"/>
    <cellStyle name="Total 2 10 21 3 2" xfId="42600"/>
    <cellStyle name="Total 2 10 21 3 2 2" xfId="42601"/>
    <cellStyle name="Total 2 10 21 3 3" xfId="42602"/>
    <cellStyle name="Total 2 10 21 4" xfId="42603"/>
    <cellStyle name="Total 2 10 21 5" xfId="42604"/>
    <cellStyle name="Total 2 10 22" xfId="42605"/>
    <cellStyle name="Total 2 10 22 2" xfId="42606"/>
    <cellStyle name="Total 2 10 22 2 2" xfId="42607"/>
    <cellStyle name="Total 2 10 22 2 2 2" xfId="42608"/>
    <cellStyle name="Total 2 10 22 2 3" xfId="42609"/>
    <cellStyle name="Total 2 10 22 3" xfId="42610"/>
    <cellStyle name="Total 2 10 22 3 2" xfId="42611"/>
    <cellStyle name="Total 2 10 22 3 2 2" xfId="42612"/>
    <cellStyle name="Total 2 10 22 3 3" xfId="42613"/>
    <cellStyle name="Total 2 10 22 4" xfId="42614"/>
    <cellStyle name="Total 2 10 22 5" xfId="42615"/>
    <cellStyle name="Total 2 10 23" xfId="42616"/>
    <cellStyle name="Total 2 10 23 2" xfId="42617"/>
    <cellStyle name="Total 2 10 23 2 2" xfId="42618"/>
    <cellStyle name="Total 2 10 23 2 2 2" xfId="42619"/>
    <cellStyle name="Total 2 10 23 2 3" xfId="42620"/>
    <cellStyle name="Total 2 10 23 3" xfId="42621"/>
    <cellStyle name="Total 2 10 23 3 2" xfId="42622"/>
    <cellStyle name="Total 2 10 23 3 2 2" xfId="42623"/>
    <cellStyle name="Total 2 10 23 3 3" xfId="42624"/>
    <cellStyle name="Total 2 10 23 4" xfId="42625"/>
    <cellStyle name="Total 2 10 23 5" xfId="42626"/>
    <cellStyle name="Total 2 10 24" xfId="42627"/>
    <cellStyle name="Total 2 10 24 2" xfId="42628"/>
    <cellStyle name="Total 2 10 24 2 2" xfId="42629"/>
    <cellStyle name="Total 2 10 24 2 2 2" xfId="42630"/>
    <cellStyle name="Total 2 10 24 2 3" xfId="42631"/>
    <cellStyle name="Total 2 10 24 3" xfId="42632"/>
    <cellStyle name="Total 2 10 24 3 2" xfId="42633"/>
    <cellStyle name="Total 2 10 24 3 2 2" xfId="42634"/>
    <cellStyle name="Total 2 10 24 3 3" xfId="42635"/>
    <cellStyle name="Total 2 10 24 4" xfId="42636"/>
    <cellStyle name="Total 2 10 24 5" xfId="42637"/>
    <cellStyle name="Total 2 10 25" xfId="42638"/>
    <cellStyle name="Total 2 10 25 2" xfId="42639"/>
    <cellStyle name="Total 2 10 25 2 2" xfId="42640"/>
    <cellStyle name="Total 2 10 25 2 2 2" xfId="42641"/>
    <cellStyle name="Total 2 10 25 2 3" xfId="42642"/>
    <cellStyle name="Total 2 10 25 3" xfId="42643"/>
    <cellStyle name="Total 2 10 25 3 2" xfId="42644"/>
    <cellStyle name="Total 2 10 25 3 2 2" xfId="42645"/>
    <cellStyle name="Total 2 10 25 3 3" xfId="42646"/>
    <cellStyle name="Total 2 10 25 4" xfId="42647"/>
    <cellStyle name="Total 2 10 25 5" xfId="42648"/>
    <cellStyle name="Total 2 10 26" xfId="42649"/>
    <cellStyle name="Total 2 10 26 2" xfId="42650"/>
    <cellStyle name="Total 2 10 26 2 2" xfId="42651"/>
    <cellStyle name="Total 2 10 26 2 2 2" xfId="42652"/>
    <cellStyle name="Total 2 10 26 2 3" xfId="42653"/>
    <cellStyle name="Total 2 10 26 3" xfId="42654"/>
    <cellStyle name="Total 2 10 26 3 2" xfId="42655"/>
    <cellStyle name="Total 2 10 26 3 2 2" xfId="42656"/>
    <cellStyle name="Total 2 10 26 3 3" xfId="42657"/>
    <cellStyle name="Total 2 10 26 4" xfId="42658"/>
    <cellStyle name="Total 2 10 26 5" xfId="42659"/>
    <cellStyle name="Total 2 10 27" xfId="42660"/>
    <cellStyle name="Total 2 10 27 2" xfId="42661"/>
    <cellStyle name="Total 2 10 27 2 2" xfId="42662"/>
    <cellStyle name="Total 2 10 27 2 2 2" xfId="42663"/>
    <cellStyle name="Total 2 10 27 2 3" xfId="42664"/>
    <cellStyle name="Total 2 10 27 3" xfId="42665"/>
    <cellStyle name="Total 2 10 27 3 2" xfId="42666"/>
    <cellStyle name="Total 2 10 27 3 2 2" xfId="42667"/>
    <cellStyle name="Total 2 10 27 3 3" xfId="42668"/>
    <cellStyle name="Total 2 10 27 4" xfId="42669"/>
    <cellStyle name="Total 2 10 27 5" xfId="42670"/>
    <cellStyle name="Total 2 10 28" xfId="42671"/>
    <cellStyle name="Total 2 10 28 2" xfId="42672"/>
    <cellStyle name="Total 2 10 28 2 2" xfId="42673"/>
    <cellStyle name="Total 2 10 28 2 2 2" xfId="42674"/>
    <cellStyle name="Total 2 10 28 2 3" xfId="42675"/>
    <cellStyle name="Total 2 10 28 3" xfId="42676"/>
    <cellStyle name="Total 2 10 28 3 2" xfId="42677"/>
    <cellStyle name="Total 2 10 28 3 2 2" xfId="42678"/>
    <cellStyle name="Total 2 10 28 3 3" xfId="42679"/>
    <cellStyle name="Total 2 10 28 4" xfId="42680"/>
    <cellStyle name="Total 2 10 28 5" xfId="42681"/>
    <cellStyle name="Total 2 10 29" xfId="42682"/>
    <cellStyle name="Total 2 10 29 2" xfId="42683"/>
    <cellStyle name="Total 2 10 29 2 2" xfId="42684"/>
    <cellStyle name="Total 2 10 29 2 2 2" xfId="42685"/>
    <cellStyle name="Total 2 10 29 2 3" xfId="42686"/>
    <cellStyle name="Total 2 10 29 3" xfId="42687"/>
    <cellStyle name="Total 2 10 29 3 2" xfId="42688"/>
    <cellStyle name="Total 2 10 29 3 2 2" xfId="42689"/>
    <cellStyle name="Total 2 10 29 3 3" xfId="42690"/>
    <cellStyle name="Total 2 10 29 4" xfId="42691"/>
    <cellStyle name="Total 2 10 29 5" xfId="42692"/>
    <cellStyle name="Total 2 10 3" xfId="42693"/>
    <cellStyle name="Total 2 10 3 2" xfId="42694"/>
    <cellStyle name="Total 2 10 3 2 2" xfId="42695"/>
    <cellStyle name="Total 2 10 3 2 2 2" xfId="42696"/>
    <cellStyle name="Total 2 10 3 2 3" xfId="42697"/>
    <cellStyle name="Total 2 10 3 3" xfId="42698"/>
    <cellStyle name="Total 2 10 3 3 2" xfId="42699"/>
    <cellStyle name="Total 2 10 3 3 2 2" xfId="42700"/>
    <cellStyle name="Total 2 10 3 3 3" xfId="42701"/>
    <cellStyle name="Total 2 10 3 4" xfId="42702"/>
    <cellStyle name="Total 2 10 3 4 2" xfId="42703"/>
    <cellStyle name="Total 2 10 3 4 2 2" xfId="42704"/>
    <cellStyle name="Total 2 10 3 4 3" xfId="42705"/>
    <cellStyle name="Total 2 10 3 5" xfId="42706"/>
    <cellStyle name="Total 2 10 3 5 2" xfId="42707"/>
    <cellStyle name="Total 2 10 3 5 2 2" xfId="42708"/>
    <cellStyle name="Total 2 10 3 5 3" xfId="42709"/>
    <cellStyle name="Total 2 10 3 6" xfId="42710"/>
    <cellStyle name="Total 2 10 3 7" xfId="42711"/>
    <cellStyle name="Total 2 10 30" xfId="42712"/>
    <cellStyle name="Total 2 10 30 2" xfId="42713"/>
    <cellStyle name="Total 2 10 30 2 2" xfId="42714"/>
    <cellStyle name="Total 2 10 30 2 2 2" xfId="42715"/>
    <cellStyle name="Total 2 10 30 2 3" xfId="42716"/>
    <cellStyle name="Total 2 10 30 3" xfId="42717"/>
    <cellStyle name="Total 2 10 30 3 2" xfId="42718"/>
    <cellStyle name="Total 2 10 30 3 2 2" xfId="42719"/>
    <cellStyle name="Total 2 10 30 3 3" xfId="42720"/>
    <cellStyle name="Total 2 10 30 4" xfId="42721"/>
    <cellStyle name="Total 2 10 30 5" xfId="42722"/>
    <cellStyle name="Total 2 10 31" xfId="42723"/>
    <cellStyle name="Total 2 10 31 2" xfId="42724"/>
    <cellStyle name="Total 2 10 31 2 2" xfId="42725"/>
    <cellStyle name="Total 2 10 31 2 2 2" xfId="42726"/>
    <cellStyle name="Total 2 10 31 2 3" xfId="42727"/>
    <cellStyle name="Total 2 10 31 3" xfId="42728"/>
    <cellStyle name="Total 2 10 31 3 2" xfId="42729"/>
    <cellStyle name="Total 2 10 31 3 2 2" xfId="42730"/>
    <cellStyle name="Total 2 10 31 3 3" xfId="42731"/>
    <cellStyle name="Total 2 10 31 4" xfId="42732"/>
    <cellStyle name="Total 2 10 31 5" xfId="42733"/>
    <cellStyle name="Total 2 10 32" xfId="42734"/>
    <cellStyle name="Total 2 10 32 2" xfId="42735"/>
    <cellStyle name="Total 2 10 32 2 2" xfId="42736"/>
    <cellStyle name="Total 2 10 32 2 2 2" xfId="42737"/>
    <cellStyle name="Total 2 10 32 2 3" xfId="42738"/>
    <cellStyle name="Total 2 10 32 3" xfId="42739"/>
    <cellStyle name="Total 2 10 32 3 2" xfId="42740"/>
    <cellStyle name="Total 2 10 32 3 2 2" xfId="42741"/>
    <cellStyle name="Total 2 10 32 3 3" xfId="42742"/>
    <cellStyle name="Total 2 10 32 4" xfId="42743"/>
    <cellStyle name="Total 2 10 32 5" xfId="42744"/>
    <cellStyle name="Total 2 10 33" xfId="42745"/>
    <cellStyle name="Total 2 10 33 2" xfId="42746"/>
    <cellStyle name="Total 2 10 33 2 2" xfId="42747"/>
    <cellStyle name="Total 2 10 33 2 2 2" xfId="42748"/>
    <cellStyle name="Total 2 10 33 2 3" xfId="42749"/>
    <cellStyle name="Total 2 10 33 3" xfId="42750"/>
    <cellStyle name="Total 2 10 33 3 2" xfId="42751"/>
    <cellStyle name="Total 2 10 33 3 2 2" xfId="42752"/>
    <cellStyle name="Total 2 10 33 3 3" xfId="42753"/>
    <cellStyle name="Total 2 10 33 4" xfId="42754"/>
    <cellStyle name="Total 2 10 33 5" xfId="42755"/>
    <cellStyle name="Total 2 10 34" xfId="42756"/>
    <cellStyle name="Total 2 10 34 2" xfId="42757"/>
    <cellStyle name="Total 2 10 34 2 2" xfId="42758"/>
    <cellStyle name="Total 2 10 34 2 2 2" xfId="42759"/>
    <cellStyle name="Total 2 10 34 2 3" xfId="42760"/>
    <cellStyle name="Total 2 10 34 3" xfId="42761"/>
    <cellStyle name="Total 2 10 34 3 2" xfId="42762"/>
    <cellStyle name="Total 2 10 34 3 2 2" xfId="42763"/>
    <cellStyle name="Total 2 10 34 3 3" xfId="42764"/>
    <cellStyle name="Total 2 10 34 4" xfId="42765"/>
    <cellStyle name="Total 2 10 34 5" xfId="42766"/>
    <cellStyle name="Total 2 10 35" xfId="42767"/>
    <cellStyle name="Total 2 10 35 2" xfId="42768"/>
    <cellStyle name="Total 2 10 35 2 2" xfId="42769"/>
    <cellStyle name="Total 2 10 35 2 2 2" xfId="42770"/>
    <cellStyle name="Total 2 10 35 2 3" xfId="42771"/>
    <cellStyle name="Total 2 10 35 3" xfId="42772"/>
    <cellStyle name="Total 2 10 35 3 2" xfId="42773"/>
    <cellStyle name="Total 2 10 35 3 2 2" xfId="42774"/>
    <cellStyle name="Total 2 10 35 3 3" xfId="42775"/>
    <cellStyle name="Total 2 10 35 4" xfId="42776"/>
    <cellStyle name="Total 2 10 35 5" xfId="42777"/>
    <cellStyle name="Total 2 10 36" xfId="42778"/>
    <cellStyle name="Total 2 10 36 2" xfId="42779"/>
    <cellStyle name="Total 2 10 36 2 2" xfId="42780"/>
    <cellStyle name="Total 2 10 36 2 2 2" xfId="42781"/>
    <cellStyle name="Total 2 10 36 2 3" xfId="42782"/>
    <cellStyle name="Total 2 10 36 3" xfId="42783"/>
    <cellStyle name="Total 2 10 36 3 2" xfId="42784"/>
    <cellStyle name="Total 2 10 36 3 2 2" xfId="42785"/>
    <cellStyle name="Total 2 10 36 3 3" xfId="42786"/>
    <cellStyle name="Total 2 10 36 4" xfId="42787"/>
    <cellStyle name="Total 2 10 36 5" xfId="42788"/>
    <cellStyle name="Total 2 10 37" xfId="42789"/>
    <cellStyle name="Total 2 10 37 2" xfId="42790"/>
    <cellStyle name="Total 2 10 37 2 2" xfId="42791"/>
    <cellStyle name="Total 2 10 37 2 2 2" xfId="42792"/>
    <cellStyle name="Total 2 10 37 2 3" xfId="42793"/>
    <cellStyle name="Total 2 10 37 3" xfId="42794"/>
    <cellStyle name="Total 2 10 37 3 2" xfId="42795"/>
    <cellStyle name="Total 2 10 37 3 2 2" xfId="42796"/>
    <cellStyle name="Total 2 10 37 3 3" xfId="42797"/>
    <cellStyle name="Total 2 10 37 4" xfId="42798"/>
    <cellStyle name="Total 2 10 37 5" xfId="42799"/>
    <cellStyle name="Total 2 10 38" xfId="42800"/>
    <cellStyle name="Total 2 10 38 2" xfId="42801"/>
    <cellStyle name="Total 2 10 38 2 2" xfId="42802"/>
    <cellStyle name="Total 2 10 38 2 2 2" xfId="42803"/>
    <cellStyle name="Total 2 10 38 2 3" xfId="42804"/>
    <cellStyle name="Total 2 10 38 3" xfId="42805"/>
    <cellStyle name="Total 2 10 38 3 2" xfId="42806"/>
    <cellStyle name="Total 2 10 38 3 2 2" xfId="42807"/>
    <cellStyle name="Total 2 10 38 3 3" xfId="42808"/>
    <cellStyle name="Total 2 10 38 4" xfId="42809"/>
    <cellStyle name="Total 2 10 38 5" xfId="42810"/>
    <cellStyle name="Total 2 10 39" xfId="42811"/>
    <cellStyle name="Total 2 10 39 2" xfId="42812"/>
    <cellStyle name="Total 2 10 39 2 2" xfId="42813"/>
    <cellStyle name="Total 2 10 39 2 2 2" xfId="42814"/>
    <cellStyle name="Total 2 10 39 2 3" xfId="42815"/>
    <cellStyle name="Total 2 10 39 3" xfId="42816"/>
    <cellStyle name="Total 2 10 39 3 2" xfId="42817"/>
    <cellStyle name="Total 2 10 39 3 2 2" xfId="42818"/>
    <cellStyle name="Total 2 10 39 3 3" xfId="42819"/>
    <cellStyle name="Total 2 10 39 4" xfId="42820"/>
    <cellStyle name="Total 2 10 39 5" xfId="42821"/>
    <cellStyle name="Total 2 10 4" xfId="42822"/>
    <cellStyle name="Total 2 10 4 2" xfId="42823"/>
    <cellStyle name="Total 2 10 4 2 2" xfId="42824"/>
    <cellStyle name="Total 2 10 4 2 2 2" xfId="42825"/>
    <cellStyle name="Total 2 10 4 2 3" xfId="42826"/>
    <cellStyle name="Total 2 10 4 3" xfId="42827"/>
    <cellStyle name="Total 2 10 4 3 2" xfId="42828"/>
    <cellStyle name="Total 2 10 4 3 2 2" xfId="42829"/>
    <cellStyle name="Total 2 10 4 3 3" xfId="42830"/>
    <cellStyle name="Total 2 10 4 4" xfId="42831"/>
    <cellStyle name="Total 2 10 4 4 2" xfId="42832"/>
    <cellStyle name="Total 2 10 4 4 2 2" xfId="42833"/>
    <cellStyle name="Total 2 10 4 4 3" xfId="42834"/>
    <cellStyle name="Total 2 10 4 5" xfId="42835"/>
    <cellStyle name="Total 2 10 4 5 2" xfId="42836"/>
    <cellStyle name="Total 2 10 4 5 2 2" xfId="42837"/>
    <cellStyle name="Total 2 10 4 5 3" xfId="42838"/>
    <cellStyle name="Total 2 10 4 6" xfId="42839"/>
    <cellStyle name="Total 2 10 4 7" xfId="42840"/>
    <cellStyle name="Total 2 10 40" xfId="42841"/>
    <cellStyle name="Total 2 10 40 2" xfId="42842"/>
    <cellStyle name="Total 2 10 40 2 2" xfId="42843"/>
    <cellStyle name="Total 2 10 40 2 2 2" xfId="42844"/>
    <cellStyle name="Total 2 10 40 2 3" xfId="42845"/>
    <cellStyle name="Total 2 10 40 3" xfId="42846"/>
    <cellStyle name="Total 2 10 40 3 2" xfId="42847"/>
    <cellStyle name="Total 2 10 40 3 2 2" xfId="42848"/>
    <cellStyle name="Total 2 10 40 3 3" xfId="42849"/>
    <cellStyle name="Total 2 10 40 4" xfId="42850"/>
    <cellStyle name="Total 2 10 40 5" xfId="42851"/>
    <cellStyle name="Total 2 10 41" xfId="42852"/>
    <cellStyle name="Total 2 10 41 2" xfId="42853"/>
    <cellStyle name="Total 2 10 41 2 2" xfId="42854"/>
    <cellStyle name="Total 2 10 41 2 2 2" xfId="42855"/>
    <cellStyle name="Total 2 10 41 2 3" xfId="42856"/>
    <cellStyle name="Total 2 10 41 3" xfId="42857"/>
    <cellStyle name="Total 2 10 41 3 2" xfId="42858"/>
    <cellStyle name="Total 2 10 41 3 2 2" xfId="42859"/>
    <cellStyle name="Total 2 10 41 3 3" xfId="42860"/>
    <cellStyle name="Total 2 10 41 4" xfId="42861"/>
    <cellStyle name="Total 2 10 41 5" xfId="42862"/>
    <cellStyle name="Total 2 10 42" xfId="42863"/>
    <cellStyle name="Total 2 10 42 2" xfId="42864"/>
    <cellStyle name="Total 2 10 42 2 2" xfId="42865"/>
    <cellStyle name="Total 2 10 42 2 2 2" xfId="42866"/>
    <cellStyle name="Total 2 10 42 2 3" xfId="42867"/>
    <cellStyle name="Total 2 10 42 3" xfId="42868"/>
    <cellStyle name="Total 2 10 42 3 2" xfId="42869"/>
    <cellStyle name="Total 2 10 42 3 2 2" xfId="42870"/>
    <cellStyle name="Total 2 10 42 3 3" xfId="42871"/>
    <cellStyle name="Total 2 10 42 4" xfId="42872"/>
    <cellStyle name="Total 2 10 42 5" xfId="42873"/>
    <cellStyle name="Total 2 10 43" xfId="42874"/>
    <cellStyle name="Total 2 10 43 2" xfId="42875"/>
    <cellStyle name="Total 2 10 43 2 2" xfId="42876"/>
    <cellStyle name="Total 2 10 43 2 2 2" xfId="42877"/>
    <cellStyle name="Total 2 10 43 2 3" xfId="42878"/>
    <cellStyle name="Total 2 10 43 3" xfId="42879"/>
    <cellStyle name="Total 2 10 43 3 2" xfId="42880"/>
    <cellStyle name="Total 2 10 43 3 2 2" xfId="42881"/>
    <cellStyle name="Total 2 10 43 3 3" xfId="42882"/>
    <cellStyle name="Total 2 10 43 4" xfId="42883"/>
    <cellStyle name="Total 2 10 43 5" xfId="42884"/>
    <cellStyle name="Total 2 10 44" xfId="42885"/>
    <cellStyle name="Total 2 10 44 2" xfId="42886"/>
    <cellStyle name="Total 2 10 44 2 2" xfId="42887"/>
    <cellStyle name="Total 2 10 44 2 2 2" xfId="42888"/>
    <cellStyle name="Total 2 10 44 2 3" xfId="42889"/>
    <cellStyle name="Total 2 10 44 3" xfId="42890"/>
    <cellStyle name="Total 2 10 44 3 2" xfId="42891"/>
    <cellStyle name="Total 2 10 44 3 2 2" xfId="42892"/>
    <cellStyle name="Total 2 10 44 3 3" xfId="42893"/>
    <cellStyle name="Total 2 10 44 4" xfId="42894"/>
    <cellStyle name="Total 2 10 44 5" xfId="42895"/>
    <cellStyle name="Total 2 10 45" xfId="42896"/>
    <cellStyle name="Total 2 10 45 2" xfId="42897"/>
    <cellStyle name="Total 2 10 45 2 2" xfId="42898"/>
    <cellStyle name="Total 2 10 45 2 2 2" xfId="42899"/>
    <cellStyle name="Total 2 10 45 2 3" xfId="42900"/>
    <cellStyle name="Total 2 10 45 3" xfId="42901"/>
    <cellStyle name="Total 2 10 45 3 2" xfId="42902"/>
    <cellStyle name="Total 2 10 45 3 2 2" xfId="42903"/>
    <cellStyle name="Total 2 10 45 3 3" xfId="42904"/>
    <cellStyle name="Total 2 10 45 4" xfId="42905"/>
    <cellStyle name="Total 2 10 45 5" xfId="42906"/>
    <cellStyle name="Total 2 10 46" xfId="42907"/>
    <cellStyle name="Total 2 10 46 2" xfId="42908"/>
    <cellStyle name="Total 2 10 46 2 2" xfId="42909"/>
    <cellStyle name="Total 2 10 46 2 2 2" xfId="42910"/>
    <cellStyle name="Total 2 10 46 2 3" xfId="42911"/>
    <cellStyle name="Total 2 10 46 3" xfId="42912"/>
    <cellStyle name="Total 2 10 46 3 2" xfId="42913"/>
    <cellStyle name="Total 2 10 46 3 2 2" xfId="42914"/>
    <cellStyle name="Total 2 10 46 3 3" xfId="42915"/>
    <cellStyle name="Total 2 10 46 4" xfId="42916"/>
    <cellStyle name="Total 2 10 46 5" xfId="42917"/>
    <cellStyle name="Total 2 10 47" xfId="42918"/>
    <cellStyle name="Total 2 10 47 2" xfId="42919"/>
    <cellStyle name="Total 2 10 47 2 2" xfId="42920"/>
    <cellStyle name="Total 2 10 47 2 2 2" xfId="42921"/>
    <cellStyle name="Total 2 10 47 2 3" xfId="42922"/>
    <cellStyle name="Total 2 10 47 3" xfId="42923"/>
    <cellStyle name="Total 2 10 47 3 2" xfId="42924"/>
    <cellStyle name="Total 2 10 47 3 2 2" xfId="42925"/>
    <cellStyle name="Total 2 10 47 3 3" xfId="42926"/>
    <cellStyle name="Total 2 10 47 4" xfId="42927"/>
    <cellStyle name="Total 2 10 47 5" xfId="42928"/>
    <cellStyle name="Total 2 10 48" xfId="42929"/>
    <cellStyle name="Total 2 10 48 2" xfId="42930"/>
    <cellStyle name="Total 2 10 48 2 2" xfId="42931"/>
    <cellStyle name="Total 2 10 48 2 2 2" xfId="42932"/>
    <cellStyle name="Total 2 10 48 2 3" xfId="42933"/>
    <cellStyle name="Total 2 10 48 3" xfId="42934"/>
    <cellStyle name="Total 2 10 48 3 2" xfId="42935"/>
    <cellStyle name="Total 2 10 48 3 2 2" xfId="42936"/>
    <cellStyle name="Total 2 10 48 3 3" xfId="42937"/>
    <cellStyle name="Total 2 10 48 4" xfId="42938"/>
    <cellStyle name="Total 2 10 48 5" xfId="42939"/>
    <cellStyle name="Total 2 10 49" xfId="42940"/>
    <cellStyle name="Total 2 10 49 2" xfId="42941"/>
    <cellStyle name="Total 2 10 49 2 2" xfId="42942"/>
    <cellStyle name="Total 2 10 49 3" xfId="42943"/>
    <cellStyle name="Total 2 10 5" xfId="42944"/>
    <cellStyle name="Total 2 10 5 2" xfId="42945"/>
    <cellStyle name="Total 2 10 5 2 2" xfId="42946"/>
    <cellStyle name="Total 2 10 5 2 2 2" xfId="42947"/>
    <cellStyle name="Total 2 10 5 2 3" xfId="42948"/>
    <cellStyle name="Total 2 10 5 3" xfId="42949"/>
    <cellStyle name="Total 2 10 5 3 2" xfId="42950"/>
    <cellStyle name="Total 2 10 5 3 2 2" xfId="42951"/>
    <cellStyle name="Total 2 10 5 3 3" xfId="42952"/>
    <cellStyle name="Total 2 10 5 4" xfId="42953"/>
    <cellStyle name="Total 2 10 5 4 2" xfId="42954"/>
    <cellStyle name="Total 2 10 5 4 2 2" xfId="42955"/>
    <cellStyle name="Total 2 10 5 4 3" xfId="42956"/>
    <cellStyle name="Total 2 10 5 5" xfId="42957"/>
    <cellStyle name="Total 2 10 5 5 2" xfId="42958"/>
    <cellStyle name="Total 2 10 5 5 2 2" xfId="42959"/>
    <cellStyle name="Total 2 10 5 5 3" xfId="42960"/>
    <cellStyle name="Total 2 10 5 6" xfId="42961"/>
    <cellStyle name="Total 2 10 5 7" xfId="42962"/>
    <cellStyle name="Total 2 10 50" xfId="42963"/>
    <cellStyle name="Total 2 10 50 2" xfId="42964"/>
    <cellStyle name="Total 2 10 50 2 2" xfId="42965"/>
    <cellStyle name="Total 2 10 50 3" xfId="42966"/>
    <cellStyle name="Total 2 10 51" xfId="42967"/>
    <cellStyle name="Total 2 10 51 2" xfId="42968"/>
    <cellStyle name="Total 2 10 51 2 2" xfId="42969"/>
    <cellStyle name="Total 2 10 51 3" xfId="42970"/>
    <cellStyle name="Total 2 10 52" xfId="42971"/>
    <cellStyle name="Total 2 10 52 2" xfId="42972"/>
    <cellStyle name="Total 2 10 52 2 2" xfId="42973"/>
    <cellStyle name="Total 2 10 52 3" xfId="42974"/>
    <cellStyle name="Total 2 10 53" xfId="42975"/>
    <cellStyle name="Total 2 10 54" xfId="42976"/>
    <cellStyle name="Total 2 10 6" xfId="42977"/>
    <cellStyle name="Total 2 10 6 2" xfId="42978"/>
    <cellStyle name="Total 2 10 6 2 2" xfId="42979"/>
    <cellStyle name="Total 2 10 6 2 2 2" xfId="42980"/>
    <cellStyle name="Total 2 10 6 2 3" xfId="42981"/>
    <cellStyle name="Total 2 10 6 3" xfId="42982"/>
    <cellStyle name="Total 2 10 6 3 2" xfId="42983"/>
    <cellStyle name="Total 2 10 6 3 2 2" xfId="42984"/>
    <cellStyle name="Total 2 10 6 3 3" xfId="42985"/>
    <cellStyle name="Total 2 10 6 4" xfId="42986"/>
    <cellStyle name="Total 2 10 6 4 2" xfId="42987"/>
    <cellStyle name="Total 2 10 6 4 2 2" xfId="42988"/>
    <cellStyle name="Total 2 10 6 4 3" xfId="42989"/>
    <cellStyle name="Total 2 10 6 5" xfId="42990"/>
    <cellStyle name="Total 2 10 6 5 2" xfId="42991"/>
    <cellStyle name="Total 2 10 6 5 2 2" xfId="42992"/>
    <cellStyle name="Total 2 10 6 5 3" xfId="42993"/>
    <cellStyle name="Total 2 10 6 6" xfId="42994"/>
    <cellStyle name="Total 2 10 6 7" xfId="42995"/>
    <cellStyle name="Total 2 10 7" xfId="42996"/>
    <cellStyle name="Total 2 10 7 2" xfId="42997"/>
    <cellStyle name="Total 2 10 7 2 2" xfId="42998"/>
    <cellStyle name="Total 2 10 7 2 2 2" xfId="42999"/>
    <cellStyle name="Total 2 10 7 2 3" xfId="43000"/>
    <cellStyle name="Total 2 10 7 3" xfId="43001"/>
    <cellStyle name="Total 2 10 7 3 2" xfId="43002"/>
    <cellStyle name="Total 2 10 7 3 2 2" xfId="43003"/>
    <cellStyle name="Total 2 10 7 3 3" xfId="43004"/>
    <cellStyle name="Total 2 10 7 4" xfId="43005"/>
    <cellStyle name="Total 2 10 7 4 2" xfId="43006"/>
    <cellStyle name="Total 2 10 7 4 2 2" xfId="43007"/>
    <cellStyle name="Total 2 10 7 4 3" xfId="43008"/>
    <cellStyle name="Total 2 10 7 5" xfId="43009"/>
    <cellStyle name="Total 2 10 7 5 2" xfId="43010"/>
    <cellStyle name="Total 2 10 7 5 2 2" xfId="43011"/>
    <cellStyle name="Total 2 10 7 5 3" xfId="43012"/>
    <cellStyle name="Total 2 10 7 6" xfId="43013"/>
    <cellStyle name="Total 2 10 7 7" xfId="43014"/>
    <cellStyle name="Total 2 10 8" xfId="43015"/>
    <cellStyle name="Total 2 10 8 2" xfId="43016"/>
    <cellStyle name="Total 2 10 8 2 2" xfId="43017"/>
    <cellStyle name="Total 2 10 8 2 2 2" xfId="43018"/>
    <cellStyle name="Total 2 10 8 2 3" xfId="43019"/>
    <cellStyle name="Total 2 10 8 3" xfId="43020"/>
    <cellStyle name="Total 2 10 8 3 2" xfId="43021"/>
    <cellStyle name="Total 2 10 8 3 2 2" xfId="43022"/>
    <cellStyle name="Total 2 10 8 3 3" xfId="43023"/>
    <cellStyle name="Total 2 10 8 4" xfId="43024"/>
    <cellStyle name="Total 2 10 8 4 2" xfId="43025"/>
    <cellStyle name="Total 2 10 8 4 2 2" xfId="43026"/>
    <cellStyle name="Total 2 10 8 4 3" xfId="43027"/>
    <cellStyle name="Total 2 10 8 5" xfId="43028"/>
    <cellStyle name="Total 2 10 8 5 2" xfId="43029"/>
    <cellStyle name="Total 2 10 8 5 2 2" xfId="43030"/>
    <cellStyle name="Total 2 10 8 5 3" xfId="43031"/>
    <cellStyle name="Total 2 10 8 6" xfId="43032"/>
    <cellStyle name="Total 2 10 8 7" xfId="43033"/>
    <cellStyle name="Total 2 10 9" xfId="43034"/>
    <cellStyle name="Total 2 10 9 2" xfId="43035"/>
    <cellStyle name="Total 2 10 9 2 2" xfId="43036"/>
    <cellStyle name="Total 2 10 9 2 2 2" xfId="43037"/>
    <cellStyle name="Total 2 10 9 2 3" xfId="43038"/>
    <cellStyle name="Total 2 10 9 3" xfId="43039"/>
    <cellStyle name="Total 2 10 9 3 2" xfId="43040"/>
    <cellStyle name="Total 2 10 9 3 2 2" xfId="43041"/>
    <cellStyle name="Total 2 10 9 3 3" xfId="43042"/>
    <cellStyle name="Total 2 10 9 4" xfId="43043"/>
    <cellStyle name="Total 2 10 9 5" xfId="43044"/>
    <cellStyle name="Total 2 11" xfId="43045"/>
    <cellStyle name="Total 2 11 2" xfId="43046"/>
    <cellStyle name="Total 2 11 2 2" xfId="43047"/>
    <cellStyle name="Total 2 11 2 2 2" xfId="43048"/>
    <cellStyle name="Total 2 11 2 2 2 2" xfId="43049"/>
    <cellStyle name="Total 2 11 2 2 3" xfId="43050"/>
    <cellStyle name="Total 2 11 2 3" xfId="43051"/>
    <cellStyle name="Total 2 11 2 3 2" xfId="43052"/>
    <cellStyle name="Total 2 11 2 4" xfId="43053"/>
    <cellStyle name="Total 2 11 3" xfId="43054"/>
    <cellStyle name="Total 2 11 3 2" xfId="43055"/>
    <cellStyle name="Total 2 11 3 2 2" xfId="43056"/>
    <cellStyle name="Total 2 11 3 3" xfId="43057"/>
    <cellStyle name="Total 2 11 4" xfId="43058"/>
    <cellStyle name="Total 2 11 4 2" xfId="43059"/>
    <cellStyle name="Total 2 11 4 2 2" xfId="43060"/>
    <cellStyle name="Total 2 11 4 3" xfId="43061"/>
    <cellStyle name="Total 2 11 5" xfId="43062"/>
    <cellStyle name="Total 2 11 5 2" xfId="43063"/>
    <cellStyle name="Total 2 11 5 2 2" xfId="43064"/>
    <cellStyle name="Total 2 11 5 3" xfId="43065"/>
    <cellStyle name="Total 2 11 6" xfId="43066"/>
    <cellStyle name="Total 2 11 6 2" xfId="43067"/>
    <cellStyle name="Total 2 11 6 2 2" xfId="43068"/>
    <cellStyle name="Total 2 11 6 3" xfId="43069"/>
    <cellStyle name="Total 2 11 7" xfId="43070"/>
    <cellStyle name="Total 2 11 7 2" xfId="43071"/>
    <cellStyle name="Total 2 11 7 2 2" xfId="43072"/>
    <cellStyle name="Total 2 11 7 3" xfId="43073"/>
    <cellStyle name="Total 2 11 8" xfId="43074"/>
    <cellStyle name="Total 2 11 9" xfId="43075"/>
    <cellStyle name="Total 2 12" xfId="43076"/>
    <cellStyle name="Total 2 12 2" xfId="43077"/>
    <cellStyle name="Total 2 12 2 2" xfId="43078"/>
    <cellStyle name="Total 2 12 2 2 2" xfId="43079"/>
    <cellStyle name="Total 2 12 2 3" xfId="43080"/>
    <cellStyle name="Total 2 12 3" xfId="43081"/>
    <cellStyle name="Total 2 12 3 2" xfId="43082"/>
    <cellStyle name="Total 2 12 3 2 2" xfId="43083"/>
    <cellStyle name="Total 2 12 3 3" xfId="43084"/>
    <cellStyle name="Total 2 12 4" xfId="43085"/>
    <cellStyle name="Total 2 12 4 2" xfId="43086"/>
    <cellStyle name="Total 2 12 4 2 2" xfId="43087"/>
    <cellStyle name="Total 2 12 4 3" xfId="43088"/>
    <cellStyle name="Total 2 12 5" xfId="43089"/>
    <cellStyle name="Total 2 12 5 2" xfId="43090"/>
    <cellStyle name="Total 2 12 5 2 2" xfId="43091"/>
    <cellStyle name="Total 2 12 5 3" xfId="43092"/>
    <cellStyle name="Total 2 12 6" xfId="43093"/>
    <cellStyle name="Total 2 12 7" xfId="43094"/>
    <cellStyle name="Total 2 13" xfId="43095"/>
    <cellStyle name="Total 2 13 2" xfId="43096"/>
    <cellStyle name="Total 2 13 2 2" xfId="43097"/>
    <cellStyle name="Total 2 13 2 2 2" xfId="43098"/>
    <cellStyle name="Total 2 13 2 3" xfId="43099"/>
    <cellStyle name="Total 2 13 3" xfId="43100"/>
    <cellStyle name="Total 2 13 3 2" xfId="43101"/>
    <cellStyle name="Total 2 13 3 2 2" xfId="43102"/>
    <cellStyle name="Total 2 13 3 3" xfId="43103"/>
    <cellStyle name="Total 2 13 4" xfId="43104"/>
    <cellStyle name="Total 2 13 4 2" xfId="43105"/>
    <cellStyle name="Total 2 13 4 2 2" xfId="43106"/>
    <cellStyle name="Total 2 13 4 3" xfId="43107"/>
    <cellStyle name="Total 2 13 5" xfId="43108"/>
    <cellStyle name="Total 2 13 5 2" xfId="43109"/>
    <cellStyle name="Total 2 13 5 2 2" xfId="43110"/>
    <cellStyle name="Total 2 13 5 3" xfId="43111"/>
    <cellStyle name="Total 2 13 6" xfId="43112"/>
    <cellStyle name="Total 2 13 7" xfId="43113"/>
    <cellStyle name="Total 2 14" xfId="43114"/>
    <cellStyle name="Total 2 14 2" xfId="43115"/>
    <cellStyle name="Total 2 14 2 2" xfId="43116"/>
    <cellStyle name="Total 2 14 2 2 2" xfId="43117"/>
    <cellStyle name="Total 2 14 2 3" xfId="43118"/>
    <cellStyle name="Total 2 14 3" xfId="43119"/>
    <cellStyle name="Total 2 14 3 2" xfId="43120"/>
    <cellStyle name="Total 2 14 3 2 2" xfId="43121"/>
    <cellStyle name="Total 2 14 3 3" xfId="43122"/>
    <cellStyle name="Total 2 14 4" xfId="43123"/>
    <cellStyle name="Total 2 14 4 2" xfId="43124"/>
    <cellStyle name="Total 2 14 4 2 2" xfId="43125"/>
    <cellStyle name="Total 2 14 4 3" xfId="43126"/>
    <cellStyle name="Total 2 14 5" xfId="43127"/>
    <cellStyle name="Total 2 15" xfId="43128"/>
    <cellStyle name="Total 2 15 2" xfId="43129"/>
    <cellStyle name="Total 2 15 2 2" xfId="43130"/>
    <cellStyle name="Total 2 15 2 2 2" xfId="43131"/>
    <cellStyle name="Total 2 15 2 3" xfId="43132"/>
    <cellStyle name="Total 2 15 3" xfId="43133"/>
    <cellStyle name="Total 2 15 3 2" xfId="43134"/>
    <cellStyle name="Total 2 15 3 2 2" xfId="43135"/>
    <cellStyle name="Total 2 15 3 3" xfId="43136"/>
    <cellStyle name="Total 2 15 4" xfId="43137"/>
    <cellStyle name="Total 2 16" xfId="43138"/>
    <cellStyle name="Total 2 16 2" xfId="43139"/>
    <cellStyle name="Total 2 16 2 2" xfId="43140"/>
    <cellStyle name="Total 2 16 2 2 2" xfId="43141"/>
    <cellStyle name="Total 2 16 2 3" xfId="43142"/>
    <cellStyle name="Total 2 16 3" xfId="43143"/>
    <cellStyle name="Total 2 16 3 2" xfId="43144"/>
    <cellStyle name="Total 2 16 3 2 2" xfId="43145"/>
    <cellStyle name="Total 2 16 3 3" xfId="43146"/>
    <cellStyle name="Total 2 16 4" xfId="43147"/>
    <cellStyle name="Total 2 17" xfId="43148"/>
    <cellStyle name="Total 2 17 2" xfId="43149"/>
    <cellStyle name="Total 2 17 2 2" xfId="43150"/>
    <cellStyle name="Total 2 17 2 2 2" xfId="43151"/>
    <cellStyle name="Total 2 17 2 3" xfId="43152"/>
    <cellStyle name="Total 2 17 3" xfId="43153"/>
    <cellStyle name="Total 2 17 3 2" xfId="43154"/>
    <cellStyle name="Total 2 17 3 2 2" xfId="43155"/>
    <cellStyle name="Total 2 17 3 3" xfId="43156"/>
    <cellStyle name="Total 2 17 4" xfId="43157"/>
    <cellStyle name="Total 2 18" xfId="43158"/>
    <cellStyle name="Total 2 18 2" xfId="43159"/>
    <cellStyle name="Total 2 18 2 2" xfId="43160"/>
    <cellStyle name="Total 2 18 2 2 2" xfId="43161"/>
    <cellStyle name="Total 2 18 2 3" xfId="43162"/>
    <cellStyle name="Total 2 18 3" xfId="43163"/>
    <cellStyle name="Total 2 18 3 2" xfId="43164"/>
    <cellStyle name="Total 2 18 3 2 2" xfId="43165"/>
    <cellStyle name="Total 2 18 3 3" xfId="43166"/>
    <cellStyle name="Total 2 18 4" xfId="43167"/>
    <cellStyle name="Total 2 19" xfId="43168"/>
    <cellStyle name="Total 2 19 2" xfId="43169"/>
    <cellStyle name="Total 2 19 2 2" xfId="43170"/>
    <cellStyle name="Total 2 19 2 2 2" xfId="43171"/>
    <cellStyle name="Total 2 19 2 3" xfId="43172"/>
    <cellStyle name="Total 2 19 3" xfId="43173"/>
    <cellStyle name="Total 2 19 3 2" xfId="43174"/>
    <cellStyle name="Total 2 19 3 2 2" xfId="43175"/>
    <cellStyle name="Total 2 19 3 3" xfId="43176"/>
    <cellStyle name="Total 2 19 4" xfId="43177"/>
    <cellStyle name="Total 2 2" xfId="43178"/>
    <cellStyle name="Total 2 2 10" xfId="43179"/>
    <cellStyle name="Total 2 2 10 2" xfId="43180"/>
    <cellStyle name="Total 2 2 10 2 2" xfId="43181"/>
    <cellStyle name="Total 2 2 10 2 2 2" xfId="43182"/>
    <cellStyle name="Total 2 2 10 2 3" xfId="43183"/>
    <cellStyle name="Total 2 2 10 3" xfId="43184"/>
    <cellStyle name="Total 2 2 10 3 2" xfId="43185"/>
    <cellStyle name="Total 2 2 10 3 2 2" xfId="43186"/>
    <cellStyle name="Total 2 2 10 3 3" xfId="43187"/>
    <cellStyle name="Total 2 2 10 4" xfId="43188"/>
    <cellStyle name="Total 2 2 10 5" xfId="43189"/>
    <cellStyle name="Total 2 2 11" xfId="43190"/>
    <cellStyle name="Total 2 2 11 2" xfId="43191"/>
    <cellStyle name="Total 2 2 11 2 2" xfId="43192"/>
    <cellStyle name="Total 2 2 11 2 2 2" xfId="43193"/>
    <cellStyle name="Total 2 2 11 2 3" xfId="43194"/>
    <cellStyle name="Total 2 2 11 3" xfId="43195"/>
    <cellStyle name="Total 2 2 11 3 2" xfId="43196"/>
    <cellStyle name="Total 2 2 11 3 2 2" xfId="43197"/>
    <cellStyle name="Total 2 2 11 3 3" xfId="43198"/>
    <cellStyle name="Total 2 2 11 4" xfId="43199"/>
    <cellStyle name="Total 2 2 11 5" xfId="43200"/>
    <cellStyle name="Total 2 2 12" xfId="43201"/>
    <cellStyle name="Total 2 2 12 2" xfId="43202"/>
    <cellStyle name="Total 2 2 12 2 2" xfId="43203"/>
    <cellStyle name="Total 2 2 12 2 2 2" xfId="43204"/>
    <cellStyle name="Total 2 2 12 2 3" xfId="43205"/>
    <cellStyle name="Total 2 2 12 3" xfId="43206"/>
    <cellStyle name="Total 2 2 12 3 2" xfId="43207"/>
    <cellStyle name="Total 2 2 12 3 2 2" xfId="43208"/>
    <cellStyle name="Total 2 2 12 3 3" xfId="43209"/>
    <cellStyle name="Total 2 2 12 4" xfId="43210"/>
    <cellStyle name="Total 2 2 12 5" xfId="43211"/>
    <cellStyle name="Total 2 2 13" xfId="43212"/>
    <cellStyle name="Total 2 2 13 2" xfId="43213"/>
    <cellStyle name="Total 2 2 13 2 2" xfId="43214"/>
    <cellStyle name="Total 2 2 13 2 2 2" xfId="43215"/>
    <cellStyle name="Total 2 2 13 2 3" xfId="43216"/>
    <cellStyle name="Total 2 2 13 3" xfId="43217"/>
    <cellStyle name="Total 2 2 13 3 2" xfId="43218"/>
    <cellStyle name="Total 2 2 13 3 2 2" xfId="43219"/>
    <cellStyle name="Total 2 2 13 3 3" xfId="43220"/>
    <cellStyle name="Total 2 2 13 4" xfId="43221"/>
    <cellStyle name="Total 2 2 13 5" xfId="43222"/>
    <cellStyle name="Total 2 2 14" xfId="43223"/>
    <cellStyle name="Total 2 2 14 2" xfId="43224"/>
    <cellStyle name="Total 2 2 14 2 2" xfId="43225"/>
    <cellStyle name="Total 2 2 14 2 2 2" xfId="43226"/>
    <cellStyle name="Total 2 2 14 2 3" xfId="43227"/>
    <cellStyle name="Total 2 2 14 3" xfId="43228"/>
    <cellStyle name="Total 2 2 14 3 2" xfId="43229"/>
    <cellStyle name="Total 2 2 14 3 2 2" xfId="43230"/>
    <cellStyle name="Total 2 2 14 3 3" xfId="43231"/>
    <cellStyle name="Total 2 2 14 4" xfId="43232"/>
    <cellStyle name="Total 2 2 14 5" xfId="43233"/>
    <cellStyle name="Total 2 2 15" xfId="43234"/>
    <cellStyle name="Total 2 2 15 2" xfId="43235"/>
    <cellStyle name="Total 2 2 15 2 2" xfId="43236"/>
    <cellStyle name="Total 2 2 15 2 2 2" xfId="43237"/>
    <cellStyle name="Total 2 2 15 2 3" xfId="43238"/>
    <cellStyle name="Total 2 2 15 3" xfId="43239"/>
    <cellStyle name="Total 2 2 15 3 2" xfId="43240"/>
    <cellStyle name="Total 2 2 15 3 2 2" xfId="43241"/>
    <cellStyle name="Total 2 2 15 3 3" xfId="43242"/>
    <cellStyle name="Total 2 2 15 4" xfId="43243"/>
    <cellStyle name="Total 2 2 15 5" xfId="43244"/>
    <cellStyle name="Total 2 2 16" xfId="43245"/>
    <cellStyle name="Total 2 2 16 2" xfId="43246"/>
    <cellStyle name="Total 2 2 16 2 2" xfId="43247"/>
    <cellStyle name="Total 2 2 16 2 2 2" xfId="43248"/>
    <cellStyle name="Total 2 2 16 2 3" xfId="43249"/>
    <cellStyle name="Total 2 2 16 3" xfId="43250"/>
    <cellStyle name="Total 2 2 16 3 2" xfId="43251"/>
    <cellStyle name="Total 2 2 16 3 2 2" xfId="43252"/>
    <cellStyle name="Total 2 2 16 3 3" xfId="43253"/>
    <cellStyle name="Total 2 2 16 4" xfId="43254"/>
    <cellStyle name="Total 2 2 16 5" xfId="43255"/>
    <cellStyle name="Total 2 2 17" xfId="43256"/>
    <cellStyle name="Total 2 2 17 2" xfId="43257"/>
    <cellStyle name="Total 2 2 17 2 2" xfId="43258"/>
    <cellStyle name="Total 2 2 17 2 2 2" xfId="43259"/>
    <cellStyle name="Total 2 2 17 2 3" xfId="43260"/>
    <cellStyle name="Total 2 2 17 3" xfId="43261"/>
    <cellStyle name="Total 2 2 17 3 2" xfId="43262"/>
    <cellStyle name="Total 2 2 17 3 2 2" xfId="43263"/>
    <cellStyle name="Total 2 2 17 3 3" xfId="43264"/>
    <cellStyle name="Total 2 2 17 4" xfId="43265"/>
    <cellStyle name="Total 2 2 17 5" xfId="43266"/>
    <cellStyle name="Total 2 2 18" xfId="43267"/>
    <cellStyle name="Total 2 2 18 2" xfId="43268"/>
    <cellStyle name="Total 2 2 18 2 2" xfId="43269"/>
    <cellStyle name="Total 2 2 18 2 2 2" xfId="43270"/>
    <cellStyle name="Total 2 2 18 2 3" xfId="43271"/>
    <cellStyle name="Total 2 2 18 3" xfId="43272"/>
    <cellStyle name="Total 2 2 18 3 2" xfId="43273"/>
    <cellStyle name="Total 2 2 18 3 2 2" xfId="43274"/>
    <cellStyle name="Total 2 2 18 3 3" xfId="43275"/>
    <cellStyle name="Total 2 2 18 4" xfId="43276"/>
    <cellStyle name="Total 2 2 18 5" xfId="43277"/>
    <cellStyle name="Total 2 2 19" xfId="43278"/>
    <cellStyle name="Total 2 2 19 2" xfId="43279"/>
    <cellStyle name="Total 2 2 19 2 2" xfId="43280"/>
    <cellStyle name="Total 2 2 19 2 2 2" xfId="43281"/>
    <cellStyle name="Total 2 2 19 2 3" xfId="43282"/>
    <cellStyle name="Total 2 2 19 3" xfId="43283"/>
    <cellStyle name="Total 2 2 19 3 2" xfId="43284"/>
    <cellStyle name="Total 2 2 19 3 2 2" xfId="43285"/>
    <cellStyle name="Total 2 2 19 3 3" xfId="43286"/>
    <cellStyle name="Total 2 2 19 4" xfId="43287"/>
    <cellStyle name="Total 2 2 19 5" xfId="43288"/>
    <cellStyle name="Total 2 2 2" xfId="43289"/>
    <cellStyle name="Total 2 2 2 2" xfId="43290"/>
    <cellStyle name="Total 2 2 2 2 2" xfId="43291"/>
    <cellStyle name="Total 2 2 2 2 2 2" xfId="43292"/>
    <cellStyle name="Total 2 2 2 2 3" xfId="43293"/>
    <cellStyle name="Total 2 2 2 3" xfId="43294"/>
    <cellStyle name="Total 2 2 2 3 2" xfId="43295"/>
    <cellStyle name="Total 2 2 2 3 2 2" xfId="43296"/>
    <cellStyle name="Total 2 2 2 3 3" xfId="43297"/>
    <cellStyle name="Total 2 2 2 4" xfId="43298"/>
    <cellStyle name="Total 2 2 2 4 2" xfId="43299"/>
    <cellStyle name="Total 2 2 2 4 2 2" xfId="43300"/>
    <cellStyle name="Total 2 2 2 4 3" xfId="43301"/>
    <cellStyle name="Total 2 2 2 5" xfId="43302"/>
    <cellStyle name="Total 2 2 2 5 2" xfId="43303"/>
    <cellStyle name="Total 2 2 2 5 2 2" xfId="43304"/>
    <cellStyle name="Total 2 2 2 5 3" xfId="43305"/>
    <cellStyle name="Total 2 2 2 6" xfId="43306"/>
    <cellStyle name="Total 2 2 2 7" xfId="43307"/>
    <cellStyle name="Total 2 2 20" xfId="43308"/>
    <cellStyle name="Total 2 2 20 2" xfId="43309"/>
    <cellStyle name="Total 2 2 20 2 2" xfId="43310"/>
    <cellStyle name="Total 2 2 20 2 2 2" xfId="43311"/>
    <cellStyle name="Total 2 2 20 2 3" xfId="43312"/>
    <cellStyle name="Total 2 2 20 3" xfId="43313"/>
    <cellStyle name="Total 2 2 20 3 2" xfId="43314"/>
    <cellStyle name="Total 2 2 20 3 2 2" xfId="43315"/>
    <cellStyle name="Total 2 2 20 3 3" xfId="43316"/>
    <cellStyle name="Total 2 2 20 4" xfId="43317"/>
    <cellStyle name="Total 2 2 20 5" xfId="43318"/>
    <cellStyle name="Total 2 2 21" xfId="43319"/>
    <cellStyle name="Total 2 2 21 2" xfId="43320"/>
    <cellStyle name="Total 2 2 21 2 2" xfId="43321"/>
    <cellStyle name="Total 2 2 21 2 2 2" xfId="43322"/>
    <cellStyle name="Total 2 2 21 2 3" xfId="43323"/>
    <cellStyle name="Total 2 2 21 3" xfId="43324"/>
    <cellStyle name="Total 2 2 21 3 2" xfId="43325"/>
    <cellStyle name="Total 2 2 21 3 2 2" xfId="43326"/>
    <cellStyle name="Total 2 2 21 3 3" xfId="43327"/>
    <cellStyle name="Total 2 2 21 4" xfId="43328"/>
    <cellStyle name="Total 2 2 21 5" xfId="43329"/>
    <cellStyle name="Total 2 2 22" xfId="43330"/>
    <cellStyle name="Total 2 2 22 2" xfId="43331"/>
    <cellStyle name="Total 2 2 22 2 2" xfId="43332"/>
    <cellStyle name="Total 2 2 22 2 2 2" xfId="43333"/>
    <cellStyle name="Total 2 2 22 2 3" xfId="43334"/>
    <cellStyle name="Total 2 2 22 3" xfId="43335"/>
    <cellStyle name="Total 2 2 22 3 2" xfId="43336"/>
    <cellStyle name="Total 2 2 22 3 2 2" xfId="43337"/>
    <cellStyle name="Total 2 2 22 3 3" xfId="43338"/>
    <cellStyle name="Total 2 2 22 4" xfId="43339"/>
    <cellStyle name="Total 2 2 22 5" xfId="43340"/>
    <cellStyle name="Total 2 2 23" xfId="43341"/>
    <cellStyle name="Total 2 2 23 2" xfId="43342"/>
    <cellStyle name="Total 2 2 23 2 2" xfId="43343"/>
    <cellStyle name="Total 2 2 23 2 2 2" xfId="43344"/>
    <cellStyle name="Total 2 2 23 2 3" xfId="43345"/>
    <cellStyle name="Total 2 2 23 3" xfId="43346"/>
    <cellStyle name="Total 2 2 23 3 2" xfId="43347"/>
    <cellStyle name="Total 2 2 23 3 2 2" xfId="43348"/>
    <cellStyle name="Total 2 2 23 3 3" xfId="43349"/>
    <cellStyle name="Total 2 2 23 4" xfId="43350"/>
    <cellStyle name="Total 2 2 23 5" xfId="43351"/>
    <cellStyle name="Total 2 2 24" xfId="43352"/>
    <cellStyle name="Total 2 2 24 2" xfId="43353"/>
    <cellStyle name="Total 2 2 24 2 2" xfId="43354"/>
    <cellStyle name="Total 2 2 24 2 2 2" xfId="43355"/>
    <cellStyle name="Total 2 2 24 2 3" xfId="43356"/>
    <cellStyle name="Total 2 2 24 3" xfId="43357"/>
    <cellStyle name="Total 2 2 24 3 2" xfId="43358"/>
    <cellStyle name="Total 2 2 24 3 2 2" xfId="43359"/>
    <cellStyle name="Total 2 2 24 3 3" xfId="43360"/>
    <cellStyle name="Total 2 2 24 4" xfId="43361"/>
    <cellStyle name="Total 2 2 24 5" xfId="43362"/>
    <cellStyle name="Total 2 2 25" xfId="43363"/>
    <cellStyle name="Total 2 2 25 2" xfId="43364"/>
    <cellStyle name="Total 2 2 25 2 2" xfId="43365"/>
    <cellStyle name="Total 2 2 25 2 2 2" xfId="43366"/>
    <cellStyle name="Total 2 2 25 2 3" xfId="43367"/>
    <cellStyle name="Total 2 2 25 3" xfId="43368"/>
    <cellStyle name="Total 2 2 25 3 2" xfId="43369"/>
    <cellStyle name="Total 2 2 25 3 2 2" xfId="43370"/>
    <cellStyle name="Total 2 2 25 3 3" xfId="43371"/>
    <cellStyle name="Total 2 2 25 4" xfId="43372"/>
    <cellStyle name="Total 2 2 25 5" xfId="43373"/>
    <cellStyle name="Total 2 2 26" xfId="43374"/>
    <cellStyle name="Total 2 2 26 2" xfId="43375"/>
    <cellStyle name="Total 2 2 26 2 2" xfId="43376"/>
    <cellStyle name="Total 2 2 26 2 2 2" xfId="43377"/>
    <cellStyle name="Total 2 2 26 2 3" xfId="43378"/>
    <cellStyle name="Total 2 2 26 3" xfId="43379"/>
    <cellStyle name="Total 2 2 26 3 2" xfId="43380"/>
    <cellStyle name="Total 2 2 26 3 2 2" xfId="43381"/>
    <cellStyle name="Total 2 2 26 3 3" xfId="43382"/>
    <cellStyle name="Total 2 2 26 4" xfId="43383"/>
    <cellStyle name="Total 2 2 26 5" xfId="43384"/>
    <cellStyle name="Total 2 2 27" xfId="43385"/>
    <cellStyle name="Total 2 2 27 2" xfId="43386"/>
    <cellStyle name="Total 2 2 27 2 2" xfId="43387"/>
    <cellStyle name="Total 2 2 27 2 2 2" xfId="43388"/>
    <cellStyle name="Total 2 2 27 2 3" xfId="43389"/>
    <cellStyle name="Total 2 2 27 3" xfId="43390"/>
    <cellStyle name="Total 2 2 27 3 2" xfId="43391"/>
    <cellStyle name="Total 2 2 27 3 2 2" xfId="43392"/>
    <cellStyle name="Total 2 2 27 3 3" xfId="43393"/>
    <cellStyle name="Total 2 2 27 4" xfId="43394"/>
    <cellStyle name="Total 2 2 27 5" xfId="43395"/>
    <cellStyle name="Total 2 2 28" xfId="43396"/>
    <cellStyle name="Total 2 2 28 2" xfId="43397"/>
    <cellStyle name="Total 2 2 28 2 2" xfId="43398"/>
    <cellStyle name="Total 2 2 28 2 2 2" xfId="43399"/>
    <cellStyle name="Total 2 2 28 2 3" xfId="43400"/>
    <cellStyle name="Total 2 2 28 3" xfId="43401"/>
    <cellStyle name="Total 2 2 28 3 2" xfId="43402"/>
    <cellStyle name="Total 2 2 28 3 2 2" xfId="43403"/>
    <cellStyle name="Total 2 2 28 3 3" xfId="43404"/>
    <cellStyle name="Total 2 2 28 4" xfId="43405"/>
    <cellStyle name="Total 2 2 28 5" xfId="43406"/>
    <cellStyle name="Total 2 2 29" xfId="43407"/>
    <cellStyle name="Total 2 2 29 2" xfId="43408"/>
    <cellStyle name="Total 2 2 29 2 2" xfId="43409"/>
    <cellStyle name="Total 2 2 29 2 2 2" xfId="43410"/>
    <cellStyle name="Total 2 2 29 2 3" xfId="43411"/>
    <cellStyle name="Total 2 2 29 3" xfId="43412"/>
    <cellStyle name="Total 2 2 29 3 2" xfId="43413"/>
    <cellStyle name="Total 2 2 29 3 2 2" xfId="43414"/>
    <cellStyle name="Total 2 2 29 3 3" xfId="43415"/>
    <cellStyle name="Total 2 2 29 4" xfId="43416"/>
    <cellStyle name="Total 2 2 29 5" xfId="43417"/>
    <cellStyle name="Total 2 2 3" xfId="43418"/>
    <cellStyle name="Total 2 2 3 2" xfId="43419"/>
    <cellStyle name="Total 2 2 3 2 2" xfId="43420"/>
    <cellStyle name="Total 2 2 3 2 2 2" xfId="43421"/>
    <cellStyle name="Total 2 2 3 2 3" xfId="43422"/>
    <cellStyle name="Total 2 2 3 3" xfId="43423"/>
    <cellStyle name="Total 2 2 3 3 2" xfId="43424"/>
    <cellStyle name="Total 2 2 3 3 2 2" xfId="43425"/>
    <cellStyle name="Total 2 2 3 3 3" xfId="43426"/>
    <cellStyle name="Total 2 2 3 4" xfId="43427"/>
    <cellStyle name="Total 2 2 3 4 2" xfId="43428"/>
    <cellStyle name="Total 2 2 3 4 2 2" xfId="43429"/>
    <cellStyle name="Total 2 2 3 4 3" xfId="43430"/>
    <cellStyle name="Total 2 2 3 5" xfId="43431"/>
    <cellStyle name="Total 2 2 3 5 2" xfId="43432"/>
    <cellStyle name="Total 2 2 3 5 2 2" xfId="43433"/>
    <cellStyle name="Total 2 2 3 5 3" xfId="43434"/>
    <cellStyle name="Total 2 2 3 6" xfId="43435"/>
    <cellStyle name="Total 2 2 3 7" xfId="43436"/>
    <cellStyle name="Total 2 2 30" xfId="43437"/>
    <cellStyle name="Total 2 2 30 2" xfId="43438"/>
    <cellStyle name="Total 2 2 30 2 2" xfId="43439"/>
    <cellStyle name="Total 2 2 30 2 2 2" xfId="43440"/>
    <cellStyle name="Total 2 2 30 2 3" xfId="43441"/>
    <cellStyle name="Total 2 2 30 3" xfId="43442"/>
    <cellStyle name="Total 2 2 30 3 2" xfId="43443"/>
    <cellStyle name="Total 2 2 30 3 2 2" xfId="43444"/>
    <cellStyle name="Total 2 2 30 3 3" xfId="43445"/>
    <cellStyle name="Total 2 2 30 4" xfId="43446"/>
    <cellStyle name="Total 2 2 30 5" xfId="43447"/>
    <cellStyle name="Total 2 2 31" xfId="43448"/>
    <cellStyle name="Total 2 2 31 2" xfId="43449"/>
    <cellStyle name="Total 2 2 31 2 2" xfId="43450"/>
    <cellStyle name="Total 2 2 31 2 2 2" xfId="43451"/>
    <cellStyle name="Total 2 2 31 2 3" xfId="43452"/>
    <cellStyle name="Total 2 2 31 3" xfId="43453"/>
    <cellStyle name="Total 2 2 31 3 2" xfId="43454"/>
    <cellStyle name="Total 2 2 31 3 2 2" xfId="43455"/>
    <cellStyle name="Total 2 2 31 3 3" xfId="43456"/>
    <cellStyle name="Total 2 2 31 4" xfId="43457"/>
    <cellStyle name="Total 2 2 31 5" xfId="43458"/>
    <cellStyle name="Total 2 2 32" xfId="43459"/>
    <cellStyle name="Total 2 2 32 2" xfId="43460"/>
    <cellStyle name="Total 2 2 32 2 2" xfId="43461"/>
    <cellStyle name="Total 2 2 32 2 2 2" xfId="43462"/>
    <cellStyle name="Total 2 2 32 2 3" xfId="43463"/>
    <cellStyle name="Total 2 2 32 3" xfId="43464"/>
    <cellStyle name="Total 2 2 32 3 2" xfId="43465"/>
    <cellStyle name="Total 2 2 32 3 2 2" xfId="43466"/>
    <cellStyle name="Total 2 2 32 3 3" xfId="43467"/>
    <cellStyle name="Total 2 2 32 4" xfId="43468"/>
    <cellStyle name="Total 2 2 32 5" xfId="43469"/>
    <cellStyle name="Total 2 2 33" xfId="43470"/>
    <cellStyle name="Total 2 2 33 2" xfId="43471"/>
    <cellStyle name="Total 2 2 33 2 2" xfId="43472"/>
    <cellStyle name="Total 2 2 33 2 2 2" xfId="43473"/>
    <cellStyle name="Total 2 2 33 2 3" xfId="43474"/>
    <cellStyle name="Total 2 2 33 3" xfId="43475"/>
    <cellStyle name="Total 2 2 33 3 2" xfId="43476"/>
    <cellStyle name="Total 2 2 33 3 2 2" xfId="43477"/>
    <cellStyle name="Total 2 2 33 3 3" xfId="43478"/>
    <cellStyle name="Total 2 2 33 4" xfId="43479"/>
    <cellStyle name="Total 2 2 33 5" xfId="43480"/>
    <cellStyle name="Total 2 2 34" xfId="43481"/>
    <cellStyle name="Total 2 2 34 2" xfId="43482"/>
    <cellStyle name="Total 2 2 34 2 2" xfId="43483"/>
    <cellStyle name="Total 2 2 34 2 2 2" xfId="43484"/>
    <cellStyle name="Total 2 2 34 2 3" xfId="43485"/>
    <cellStyle name="Total 2 2 34 3" xfId="43486"/>
    <cellStyle name="Total 2 2 34 3 2" xfId="43487"/>
    <cellStyle name="Total 2 2 34 3 2 2" xfId="43488"/>
    <cellStyle name="Total 2 2 34 3 3" xfId="43489"/>
    <cellStyle name="Total 2 2 34 4" xfId="43490"/>
    <cellStyle name="Total 2 2 34 5" xfId="43491"/>
    <cellStyle name="Total 2 2 35" xfId="43492"/>
    <cellStyle name="Total 2 2 35 2" xfId="43493"/>
    <cellStyle name="Total 2 2 35 2 2" xfId="43494"/>
    <cellStyle name="Total 2 2 35 2 2 2" xfId="43495"/>
    <cellStyle name="Total 2 2 35 2 3" xfId="43496"/>
    <cellStyle name="Total 2 2 35 3" xfId="43497"/>
    <cellStyle name="Total 2 2 35 3 2" xfId="43498"/>
    <cellStyle name="Total 2 2 35 3 2 2" xfId="43499"/>
    <cellStyle name="Total 2 2 35 3 3" xfId="43500"/>
    <cellStyle name="Total 2 2 35 4" xfId="43501"/>
    <cellStyle name="Total 2 2 35 5" xfId="43502"/>
    <cellStyle name="Total 2 2 36" xfId="43503"/>
    <cellStyle name="Total 2 2 36 2" xfId="43504"/>
    <cellStyle name="Total 2 2 36 2 2" xfId="43505"/>
    <cellStyle name="Total 2 2 36 2 2 2" xfId="43506"/>
    <cellStyle name="Total 2 2 36 2 3" xfId="43507"/>
    <cellStyle name="Total 2 2 36 3" xfId="43508"/>
    <cellStyle name="Total 2 2 36 3 2" xfId="43509"/>
    <cellStyle name="Total 2 2 36 3 2 2" xfId="43510"/>
    <cellStyle name="Total 2 2 36 3 3" xfId="43511"/>
    <cellStyle name="Total 2 2 36 4" xfId="43512"/>
    <cellStyle name="Total 2 2 36 5" xfId="43513"/>
    <cellStyle name="Total 2 2 37" xfId="43514"/>
    <cellStyle name="Total 2 2 37 2" xfId="43515"/>
    <cellStyle name="Total 2 2 37 2 2" xfId="43516"/>
    <cellStyle name="Total 2 2 37 2 2 2" xfId="43517"/>
    <cellStyle name="Total 2 2 37 2 3" xfId="43518"/>
    <cellStyle name="Total 2 2 37 3" xfId="43519"/>
    <cellStyle name="Total 2 2 37 3 2" xfId="43520"/>
    <cellStyle name="Total 2 2 37 3 2 2" xfId="43521"/>
    <cellStyle name="Total 2 2 37 3 3" xfId="43522"/>
    <cellStyle name="Total 2 2 37 4" xfId="43523"/>
    <cellStyle name="Total 2 2 37 5" xfId="43524"/>
    <cellStyle name="Total 2 2 38" xfId="43525"/>
    <cellStyle name="Total 2 2 38 2" xfId="43526"/>
    <cellStyle name="Total 2 2 38 2 2" xfId="43527"/>
    <cellStyle name="Total 2 2 38 2 2 2" xfId="43528"/>
    <cellStyle name="Total 2 2 38 2 3" xfId="43529"/>
    <cellStyle name="Total 2 2 38 3" xfId="43530"/>
    <cellStyle name="Total 2 2 38 3 2" xfId="43531"/>
    <cellStyle name="Total 2 2 38 3 2 2" xfId="43532"/>
    <cellStyle name="Total 2 2 38 3 3" xfId="43533"/>
    <cellStyle name="Total 2 2 38 4" xfId="43534"/>
    <cellStyle name="Total 2 2 38 5" xfId="43535"/>
    <cellStyle name="Total 2 2 39" xfId="43536"/>
    <cellStyle name="Total 2 2 39 2" xfId="43537"/>
    <cellStyle name="Total 2 2 39 2 2" xfId="43538"/>
    <cellStyle name="Total 2 2 39 2 2 2" xfId="43539"/>
    <cellStyle name="Total 2 2 39 2 3" xfId="43540"/>
    <cellStyle name="Total 2 2 39 3" xfId="43541"/>
    <cellStyle name="Total 2 2 39 3 2" xfId="43542"/>
    <cellStyle name="Total 2 2 39 3 2 2" xfId="43543"/>
    <cellStyle name="Total 2 2 39 3 3" xfId="43544"/>
    <cellStyle name="Total 2 2 39 4" xfId="43545"/>
    <cellStyle name="Total 2 2 39 5" xfId="43546"/>
    <cellStyle name="Total 2 2 4" xfId="43547"/>
    <cellStyle name="Total 2 2 4 2" xfId="43548"/>
    <cellStyle name="Total 2 2 4 2 2" xfId="43549"/>
    <cellStyle name="Total 2 2 4 2 2 2" xfId="43550"/>
    <cellStyle name="Total 2 2 4 2 3" xfId="43551"/>
    <cellStyle name="Total 2 2 4 3" xfId="43552"/>
    <cellStyle name="Total 2 2 4 3 2" xfId="43553"/>
    <cellStyle name="Total 2 2 4 3 2 2" xfId="43554"/>
    <cellStyle name="Total 2 2 4 3 3" xfId="43555"/>
    <cellStyle name="Total 2 2 4 4" xfId="43556"/>
    <cellStyle name="Total 2 2 4 4 2" xfId="43557"/>
    <cellStyle name="Total 2 2 4 4 2 2" xfId="43558"/>
    <cellStyle name="Total 2 2 4 4 3" xfId="43559"/>
    <cellStyle name="Total 2 2 4 5" xfId="43560"/>
    <cellStyle name="Total 2 2 4 5 2" xfId="43561"/>
    <cellStyle name="Total 2 2 4 5 2 2" xfId="43562"/>
    <cellStyle name="Total 2 2 4 5 3" xfId="43563"/>
    <cellStyle name="Total 2 2 4 6" xfId="43564"/>
    <cellStyle name="Total 2 2 4 7" xfId="43565"/>
    <cellStyle name="Total 2 2 40" xfId="43566"/>
    <cellStyle name="Total 2 2 40 2" xfId="43567"/>
    <cellStyle name="Total 2 2 40 2 2" xfId="43568"/>
    <cellStyle name="Total 2 2 40 2 2 2" xfId="43569"/>
    <cellStyle name="Total 2 2 40 2 3" xfId="43570"/>
    <cellStyle name="Total 2 2 40 3" xfId="43571"/>
    <cellStyle name="Total 2 2 40 3 2" xfId="43572"/>
    <cellStyle name="Total 2 2 40 3 2 2" xfId="43573"/>
    <cellStyle name="Total 2 2 40 3 3" xfId="43574"/>
    <cellStyle name="Total 2 2 40 4" xfId="43575"/>
    <cellStyle name="Total 2 2 40 5" xfId="43576"/>
    <cellStyle name="Total 2 2 41" xfId="43577"/>
    <cellStyle name="Total 2 2 41 2" xfId="43578"/>
    <cellStyle name="Total 2 2 41 2 2" xfId="43579"/>
    <cellStyle name="Total 2 2 41 2 2 2" xfId="43580"/>
    <cellStyle name="Total 2 2 41 2 3" xfId="43581"/>
    <cellStyle name="Total 2 2 41 3" xfId="43582"/>
    <cellStyle name="Total 2 2 41 3 2" xfId="43583"/>
    <cellStyle name="Total 2 2 41 3 2 2" xfId="43584"/>
    <cellStyle name="Total 2 2 41 3 3" xfId="43585"/>
    <cellStyle name="Total 2 2 41 4" xfId="43586"/>
    <cellStyle name="Total 2 2 41 5" xfId="43587"/>
    <cellStyle name="Total 2 2 42" xfId="43588"/>
    <cellStyle name="Total 2 2 42 2" xfId="43589"/>
    <cellStyle name="Total 2 2 42 2 2" xfId="43590"/>
    <cellStyle name="Total 2 2 42 2 2 2" xfId="43591"/>
    <cellStyle name="Total 2 2 42 2 3" xfId="43592"/>
    <cellStyle name="Total 2 2 42 3" xfId="43593"/>
    <cellStyle name="Total 2 2 42 3 2" xfId="43594"/>
    <cellStyle name="Total 2 2 42 3 2 2" xfId="43595"/>
    <cellStyle name="Total 2 2 42 3 3" xfId="43596"/>
    <cellStyle name="Total 2 2 42 4" xfId="43597"/>
    <cellStyle name="Total 2 2 42 5" xfId="43598"/>
    <cellStyle name="Total 2 2 43" xfId="43599"/>
    <cellStyle name="Total 2 2 43 2" xfId="43600"/>
    <cellStyle name="Total 2 2 43 2 2" xfId="43601"/>
    <cellStyle name="Total 2 2 43 2 2 2" xfId="43602"/>
    <cellStyle name="Total 2 2 43 2 3" xfId="43603"/>
    <cellStyle name="Total 2 2 43 3" xfId="43604"/>
    <cellStyle name="Total 2 2 43 3 2" xfId="43605"/>
    <cellStyle name="Total 2 2 43 3 2 2" xfId="43606"/>
    <cellStyle name="Total 2 2 43 3 3" xfId="43607"/>
    <cellStyle name="Total 2 2 43 4" xfId="43608"/>
    <cellStyle name="Total 2 2 43 5" xfId="43609"/>
    <cellStyle name="Total 2 2 44" xfId="43610"/>
    <cellStyle name="Total 2 2 44 2" xfId="43611"/>
    <cellStyle name="Total 2 2 44 2 2" xfId="43612"/>
    <cellStyle name="Total 2 2 44 2 2 2" xfId="43613"/>
    <cellStyle name="Total 2 2 44 2 3" xfId="43614"/>
    <cellStyle name="Total 2 2 44 3" xfId="43615"/>
    <cellStyle name="Total 2 2 44 3 2" xfId="43616"/>
    <cellStyle name="Total 2 2 44 3 2 2" xfId="43617"/>
    <cellStyle name="Total 2 2 44 3 3" xfId="43618"/>
    <cellStyle name="Total 2 2 44 4" xfId="43619"/>
    <cellStyle name="Total 2 2 44 5" xfId="43620"/>
    <cellStyle name="Total 2 2 45" xfId="43621"/>
    <cellStyle name="Total 2 2 45 2" xfId="43622"/>
    <cellStyle name="Total 2 2 45 2 2" xfId="43623"/>
    <cellStyle name="Total 2 2 45 2 2 2" xfId="43624"/>
    <cellStyle name="Total 2 2 45 2 3" xfId="43625"/>
    <cellStyle name="Total 2 2 45 3" xfId="43626"/>
    <cellStyle name="Total 2 2 45 3 2" xfId="43627"/>
    <cellStyle name="Total 2 2 45 3 2 2" xfId="43628"/>
    <cellStyle name="Total 2 2 45 3 3" xfId="43629"/>
    <cellStyle name="Total 2 2 45 4" xfId="43630"/>
    <cellStyle name="Total 2 2 45 5" xfId="43631"/>
    <cellStyle name="Total 2 2 46" xfId="43632"/>
    <cellStyle name="Total 2 2 46 2" xfId="43633"/>
    <cellStyle name="Total 2 2 46 2 2" xfId="43634"/>
    <cellStyle name="Total 2 2 46 2 2 2" xfId="43635"/>
    <cellStyle name="Total 2 2 46 2 3" xfId="43636"/>
    <cellStyle name="Total 2 2 46 3" xfId="43637"/>
    <cellStyle name="Total 2 2 46 3 2" xfId="43638"/>
    <cellStyle name="Total 2 2 46 3 2 2" xfId="43639"/>
    <cellStyle name="Total 2 2 46 3 3" xfId="43640"/>
    <cellStyle name="Total 2 2 46 4" xfId="43641"/>
    <cellStyle name="Total 2 2 46 5" xfId="43642"/>
    <cellStyle name="Total 2 2 47" xfId="43643"/>
    <cellStyle name="Total 2 2 47 2" xfId="43644"/>
    <cellStyle name="Total 2 2 47 2 2" xfId="43645"/>
    <cellStyle name="Total 2 2 47 2 2 2" xfId="43646"/>
    <cellStyle name="Total 2 2 47 2 3" xfId="43647"/>
    <cellStyle name="Total 2 2 47 3" xfId="43648"/>
    <cellStyle name="Total 2 2 47 3 2" xfId="43649"/>
    <cellStyle name="Total 2 2 47 3 2 2" xfId="43650"/>
    <cellStyle name="Total 2 2 47 3 3" xfId="43651"/>
    <cellStyle name="Total 2 2 47 4" xfId="43652"/>
    <cellStyle name="Total 2 2 47 5" xfId="43653"/>
    <cellStyle name="Total 2 2 48" xfId="43654"/>
    <cellStyle name="Total 2 2 48 2" xfId="43655"/>
    <cellStyle name="Total 2 2 48 2 2" xfId="43656"/>
    <cellStyle name="Total 2 2 48 2 2 2" xfId="43657"/>
    <cellStyle name="Total 2 2 48 2 3" xfId="43658"/>
    <cellStyle name="Total 2 2 48 3" xfId="43659"/>
    <cellStyle name="Total 2 2 48 3 2" xfId="43660"/>
    <cellStyle name="Total 2 2 48 3 2 2" xfId="43661"/>
    <cellStyle name="Total 2 2 48 3 3" xfId="43662"/>
    <cellStyle name="Total 2 2 48 4" xfId="43663"/>
    <cellStyle name="Total 2 2 48 5" xfId="43664"/>
    <cellStyle name="Total 2 2 49" xfId="43665"/>
    <cellStyle name="Total 2 2 49 2" xfId="43666"/>
    <cellStyle name="Total 2 2 49 2 2" xfId="43667"/>
    <cellStyle name="Total 2 2 49 3" xfId="43668"/>
    <cellStyle name="Total 2 2 5" xfId="43669"/>
    <cellStyle name="Total 2 2 5 2" xfId="43670"/>
    <cellStyle name="Total 2 2 5 2 2" xfId="43671"/>
    <cellStyle name="Total 2 2 5 2 2 2" xfId="43672"/>
    <cellStyle name="Total 2 2 5 2 3" xfId="43673"/>
    <cellStyle name="Total 2 2 5 3" xfId="43674"/>
    <cellStyle name="Total 2 2 5 3 2" xfId="43675"/>
    <cellStyle name="Total 2 2 5 3 2 2" xfId="43676"/>
    <cellStyle name="Total 2 2 5 3 3" xfId="43677"/>
    <cellStyle name="Total 2 2 5 4" xfId="43678"/>
    <cellStyle name="Total 2 2 5 4 2" xfId="43679"/>
    <cellStyle name="Total 2 2 5 4 2 2" xfId="43680"/>
    <cellStyle name="Total 2 2 5 4 3" xfId="43681"/>
    <cellStyle name="Total 2 2 5 5" xfId="43682"/>
    <cellStyle name="Total 2 2 5 5 2" xfId="43683"/>
    <cellStyle name="Total 2 2 5 5 2 2" xfId="43684"/>
    <cellStyle name="Total 2 2 5 5 3" xfId="43685"/>
    <cellStyle name="Total 2 2 5 6" xfId="43686"/>
    <cellStyle name="Total 2 2 5 7" xfId="43687"/>
    <cellStyle name="Total 2 2 50" xfId="43688"/>
    <cellStyle name="Total 2 2 50 2" xfId="43689"/>
    <cellStyle name="Total 2 2 50 2 2" xfId="43690"/>
    <cellStyle name="Total 2 2 50 3" xfId="43691"/>
    <cellStyle name="Total 2 2 51" xfId="43692"/>
    <cellStyle name="Total 2 2 51 2" xfId="43693"/>
    <cellStyle name="Total 2 2 51 2 2" xfId="43694"/>
    <cellStyle name="Total 2 2 51 3" xfId="43695"/>
    <cellStyle name="Total 2 2 52" xfId="43696"/>
    <cellStyle name="Total 2 2 52 2" xfId="43697"/>
    <cellStyle name="Total 2 2 52 2 2" xfId="43698"/>
    <cellStyle name="Total 2 2 52 3" xfId="43699"/>
    <cellStyle name="Total 2 2 53" xfId="43700"/>
    <cellStyle name="Total 2 2 54" xfId="43701"/>
    <cellStyle name="Total 2 2 6" xfId="43702"/>
    <cellStyle name="Total 2 2 6 2" xfId="43703"/>
    <cellStyle name="Total 2 2 6 2 2" xfId="43704"/>
    <cellStyle name="Total 2 2 6 2 2 2" xfId="43705"/>
    <cellStyle name="Total 2 2 6 2 3" xfId="43706"/>
    <cellStyle name="Total 2 2 6 3" xfId="43707"/>
    <cellStyle name="Total 2 2 6 3 2" xfId="43708"/>
    <cellStyle name="Total 2 2 6 3 2 2" xfId="43709"/>
    <cellStyle name="Total 2 2 6 3 3" xfId="43710"/>
    <cellStyle name="Total 2 2 6 4" xfId="43711"/>
    <cellStyle name="Total 2 2 6 4 2" xfId="43712"/>
    <cellStyle name="Total 2 2 6 4 2 2" xfId="43713"/>
    <cellStyle name="Total 2 2 6 4 3" xfId="43714"/>
    <cellStyle name="Total 2 2 6 5" xfId="43715"/>
    <cellStyle name="Total 2 2 6 5 2" xfId="43716"/>
    <cellStyle name="Total 2 2 6 5 2 2" xfId="43717"/>
    <cellStyle name="Total 2 2 6 5 3" xfId="43718"/>
    <cellStyle name="Total 2 2 6 6" xfId="43719"/>
    <cellStyle name="Total 2 2 6 7" xfId="43720"/>
    <cellStyle name="Total 2 2 7" xfId="43721"/>
    <cellStyle name="Total 2 2 7 2" xfId="43722"/>
    <cellStyle name="Total 2 2 7 2 2" xfId="43723"/>
    <cellStyle name="Total 2 2 7 2 2 2" xfId="43724"/>
    <cellStyle name="Total 2 2 7 2 3" xfId="43725"/>
    <cellStyle name="Total 2 2 7 3" xfId="43726"/>
    <cellStyle name="Total 2 2 7 3 2" xfId="43727"/>
    <cellStyle name="Total 2 2 7 3 2 2" xfId="43728"/>
    <cellStyle name="Total 2 2 7 3 3" xfId="43729"/>
    <cellStyle name="Total 2 2 7 4" xfId="43730"/>
    <cellStyle name="Total 2 2 7 4 2" xfId="43731"/>
    <cellStyle name="Total 2 2 7 4 2 2" xfId="43732"/>
    <cellStyle name="Total 2 2 7 4 3" xfId="43733"/>
    <cellStyle name="Total 2 2 7 5" xfId="43734"/>
    <cellStyle name="Total 2 2 7 5 2" xfId="43735"/>
    <cellStyle name="Total 2 2 7 5 2 2" xfId="43736"/>
    <cellStyle name="Total 2 2 7 5 3" xfId="43737"/>
    <cellStyle name="Total 2 2 7 6" xfId="43738"/>
    <cellStyle name="Total 2 2 7 7" xfId="43739"/>
    <cellStyle name="Total 2 2 8" xfId="43740"/>
    <cellStyle name="Total 2 2 8 2" xfId="43741"/>
    <cellStyle name="Total 2 2 8 2 2" xfId="43742"/>
    <cellStyle name="Total 2 2 8 2 2 2" xfId="43743"/>
    <cellStyle name="Total 2 2 8 2 3" xfId="43744"/>
    <cellStyle name="Total 2 2 8 3" xfId="43745"/>
    <cellStyle name="Total 2 2 8 3 2" xfId="43746"/>
    <cellStyle name="Total 2 2 8 3 2 2" xfId="43747"/>
    <cellStyle name="Total 2 2 8 3 3" xfId="43748"/>
    <cellStyle name="Total 2 2 8 4" xfId="43749"/>
    <cellStyle name="Total 2 2 8 4 2" xfId="43750"/>
    <cellStyle name="Total 2 2 8 4 2 2" xfId="43751"/>
    <cellStyle name="Total 2 2 8 4 3" xfId="43752"/>
    <cellStyle name="Total 2 2 8 5" xfId="43753"/>
    <cellStyle name="Total 2 2 8 5 2" xfId="43754"/>
    <cellStyle name="Total 2 2 8 5 2 2" xfId="43755"/>
    <cellStyle name="Total 2 2 8 5 3" xfId="43756"/>
    <cellStyle name="Total 2 2 8 6" xfId="43757"/>
    <cellStyle name="Total 2 2 8 7" xfId="43758"/>
    <cellStyle name="Total 2 2 9" xfId="43759"/>
    <cellStyle name="Total 2 2 9 2" xfId="43760"/>
    <cellStyle name="Total 2 2 9 2 2" xfId="43761"/>
    <cellStyle name="Total 2 2 9 2 2 2" xfId="43762"/>
    <cellStyle name="Total 2 2 9 2 3" xfId="43763"/>
    <cellStyle name="Total 2 2 9 3" xfId="43764"/>
    <cellStyle name="Total 2 2 9 3 2" xfId="43765"/>
    <cellStyle name="Total 2 2 9 3 2 2" xfId="43766"/>
    <cellStyle name="Total 2 2 9 3 3" xfId="43767"/>
    <cellStyle name="Total 2 2 9 4" xfId="43768"/>
    <cellStyle name="Total 2 2 9 5" xfId="43769"/>
    <cellStyle name="Total 2 20" xfId="43770"/>
    <cellStyle name="Total 2 20 2" xfId="43771"/>
    <cellStyle name="Total 2 20 2 2" xfId="43772"/>
    <cellStyle name="Total 2 20 2 2 2" xfId="43773"/>
    <cellStyle name="Total 2 20 2 3" xfId="43774"/>
    <cellStyle name="Total 2 20 3" xfId="43775"/>
    <cellStyle name="Total 2 20 3 2" xfId="43776"/>
    <cellStyle name="Total 2 20 3 2 2" xfId="43777"/>
    <cellStyle name="Total 2 20 3 3" xfId="43778"/>
    <cellStyle name="Total 2 20 4" xfId="43779"/>
    <cellStyle name="Total 2 21" xfId="43780"/>
    <cellStyle name="Total 2 21 2" xfId="43781"/>
    <cellStyle name="Total 2 21 2 2" xfId="43782"/>
    <cellStyle name="Total 2 21 3" xfId="43783"/>
    <cellStyle name="Total 2 22" xfId="43784"/>
    <cellStyle name="Total 2 22 2" xfId="43785"/>
    <cellStyle name="Total 2 22 2 2" xfId="43786"/>
    <cellStyle name="Total 2 22 3" xfId="43787"/>
    <cellStyle name="Total 2 23" xfId="43788"/>
    <cellStyle name="Total 2 23 2" xfId="43789"/>
    <cellStyle name="Total 2 23 2 2" xfId="43790"/>
    <cellStyle name="Total 2 23 3" xfId="43791"/>
    <cellStyle name="Total 2 24" xfId="43792"/>
    <cellStyle name="Total 2 24 2" xfId="43793"/>
    <cellStyle name="Total 2 24 2 2" xfId="43794"/>
    <cellStyle name="Total 2 24 3" xfId="43795"/>
    <cellStyle name="Total 2 25" xfId="43796"/>
    <cellStyle name="Total 2 26" xfId="43797"/>
    <cellStyle name="Total 2 3" xfId="43798"/>
    <cellStyle name="Total 2 3 10" xfId="43799"/>
    <cellStyle name="Total 2 3 10 2" xfId="43800"/>
    <cellStyle name="Total 2 3 10 2 2" xfId="43801"/>
    <cellStyle name="Total 2 3 10 2 2 2" xfId="43802"/>
    <cellStyle name="Total 2 3 10 2 3" xfId="43803"/>
    <cellStyle name="Total 2 3 10 3" xfId="43804"/>
    <cellStyle name="Total 2 3 10 3 2" xfId="43805"/>
    <cellStyle name="Total 2 3 10 3 2 2" xfId="43806"/>
    <cellStyle name="Total 2 3 10 3 3" xfId="43807"/>
    <cellStyle name="Total 2 3 10 4" xfId="43808"/>
    <cellStyle name="Total 2 3 10 5" xfId="43809"/>
    <cellStyle name="Total 2 3 11" xfId="43810"/>
    <cellStyle name="Total 2 3 11 2" xfId="43811"/>
    <cellStyle name="Total 2 3 11 2 2" xfId="43812"/>
    <cellStyle name="Total 2 3 11 2 2 2" xfId="43813"/>
    <cellStyle name="Total 2 3 11 2 3" xfId="43814"/>
    <cellStyle name="Total 2 3 11 3" xfId="43815"/>
    <cellStyle name="Total 2 3 11 3 2" xfId="43816"/>
    <cellStyle name="Total 2 3 11 3 2 2" xfId="43817"/>
    <cellStyle name="Total 2 3 11 3 3" xfId="43818"/>
    <cellStyle name="Total 2 3 11 4" xfId="43819"/>
    <cellStyle name="Total 2 3 11 5" xfId="43820"/>
    <cellStyle name="Total 2 3 12" xfId="43821"/>
    <cellStyle name="Total 2 3 12 2" xfId="43822"/>
    <cellStyle name="Total 2 3 12 2 2" xfId="43823"/>
    <cellStyle name="Total 2 3 12 2 2 2" xfId="43824"/>
    <cellStyle name="Total 2 3 12 2 3" xfId="43825"/>
    <cellStyle name="Total 2 3 12 3" xfId="43826"/>
    <cellStyle name="Total 2 3 12 3 2" xfId="43827"/>
    <cellStyle name="Total 2 3 12 3 2 2" xfId="43828"/>
    <cellStyle name="Total 2 3 12 3 3" xfId="43829"/>
    <cellStyle name="Total 2 3 12 4" xfId="43830"/>
    <cellStyle name="Total 2 3 12 5" xfId="43831"/>
    <cellStyle name="Total 2 3 13" xfId="43832"/>
    <cellStyle name="Total 2 3 13 2" xfId="43833"/>
    <cellStyle name="Total 2 3 13 2 2" xfId="43834"/>
    <cellStyle name="Total 2 3 13 2 2 2" xfId="43835"/>
    <cellStyle name="Total 2 3 13 2 3" xfId="43836"/>
    <cellStyle name="Total 2 3 13 3" xfId="43837"/>
    <cellStyle name="Total 2 3 13 3 2" xfId="43838"/>
    <cellStyle name="Total 2 3 13 3 2 2" xfId="43839"/>
    <cellStyle name="Total 2 3 13 3 3" xfId="43840"/>
    <cellStyle name="Total 2 3 13 4" xfId="43841"/>
    <cellStyle name="Total 2 3 13 5" xfId="43842"/>
    <cellStyle name="Total 2 3 14" xfId="43843"/>
    <cellStyle name="Total 2 3 14 2" xfId="43844"/>
    <cellStyle name="Total 2 3 14 2 2" xfId="43845"/>
    <cellStyle name="Total 2 3 14 2 2 2" xfId="43846"/>
    <cellStyle name="Total 2 3 14 2 3" xfId="43847"/>
    <cellStyle name="Total 2 3 14 3" xfId="43848"/>
    <cellStyle name="Total 2 3 14 3 2" xfId="43849"/>
    <cellStyle name="Total 2 3 14 3 2 2" xfId="43850"/>
    <cellStyle name="Total 2 3 14 3 3" xfId="43851"/>
    <cellStyle name="Total 2 3 14 4" xfId="43852"/>
    <cellStyle name="Total 2 3 14 5" xfId="43853"/>
    <cellStyle name="Total 2 3 15" xfId="43854"/>
    <cellStyle name="Total 2 3 15 2" xfId="43855"/>
    <cellStyle name="Total 2 3 15 2 2" xfId="43856"/>
    <cellStyle name="Total 2 3 15 2 2 2" xfId="43857"/>
    <cellStyle name="Total 2 3 15 2 3" xfId="43858"/>
    <cellStyle name="Total 2 3 15 3" xfId="43859"/>
    <cellStyle name="Total 2 3 15 3 2" xfId="43860"/>
    <cellStyle name="Total 2 3 15 3 2 2" xfId="43861"/>
    <cellStyle name="Total 2 3 15 3 3" xfId="43862"/>
    <cellStyle name="Total 2 3 15 4" xfId="43863"/>
    <cellStyle name="Total 2 3 15 5" xfId="43864"/>
    <cellStyle name="Total 2 3 16" xfId="43865"/>
    <cellStyle name="Total 2 3 16 2" xfId="43866"/>
    <cellStyle name="Total 2 3 16 2 2" xfId="43867"/>
    <cellStyle name="Total 2 3 16 2 2 2" xfId="43868"/>
    <cellStyle name="Total 2 3 16 2 3" xfId="43869"/>
    <cellStyle name="Total 2 3 16 3" xfId="43870"/>
    <cellStyle name="Total 2 3 16 3 2" xfId="43871"/>
    <cellStyle name="Total 2 3 16 3 2 2" xfId="43872"/>
    <cellStyle name="Total 2 3 16 3 3" xfId="43873"/>
    <cellStyle name="Total 2 3 16 4" xfId="43874"/>
    <cellStyle name="Total 2 3 16 5" xfId="43875"/>
    <cellStyle name="Total 2 3 17" xfId="43876"/>
    <cellStyle name="Total 2 3 17 2" xfId="43877"/>
    <cellStyle name="Total 2 3 17 2 2" xfId="43878"/>
    <cellStyle name="Total 2 3 17 2 2 2" xfId="43879"/>
    <cellStyle name="Total 2 3 17 2 3" xfId="43880"/>
    <cellStyle name="Total 2 3 17 3" xfId="43881"/>
    <cellStyle name="Total 2 3 17 3 2" xfId="43882"/>
    <cellStyle name="Total 2 3 17 3 2 2" xfId="43883"/>
    <cellStyle name="Total 2 3 17 3 3" xfId="43884"/>
    <cellStyle name="Total 2 3 17 4" xfId="43885"/>
    <cellStyle name="Total 2 3 17 5" xfId="43886"/>
    <cellStyle name="Total 2 3 18" xfId="43887"/>
    <cellStyle name="Total 2 3 18 2" xfId="43888"/>
    <cellStyle name="Total 2 3 18 2 2" xfId="43889"/>
    <cellStyle name="Total 2 3 18 2 2 2" xfId="43890"/>
    <cellStyle name="Total 2 3 18 2 3" xfId="43891"/>
    <cellStyle name="Total 2 3 18 3" xfId="43892"/>
    <cellStyle name="Total 2 3 18 3 2" xfId="43893"/>
    <cellStyle name="Total 2 3 18 3 2 2" xfId="43894"/>
    <cellStyle name="Total 2 3 18 3 3" xfId="43895"/>
    <cellStyle name="Total 2 3 18 4" xfId="43896"/>
    <cellStyle name="Total 2 3 18 5" xfId="43897"/>
    <cellStyle name="Total 2 3 19" xfId="43898"/>
    <cellStyle name="Total 2 3 19 2" xfId="43899"/>
    <cellStyle name="Total 2 3 19 2 2" xfId="43900"/>
    <cellStyle name="Total 2 3 19 2 2 2" xfId="43901"/>
    <cellStyle name="Total 2 3 19 2 3" xfId="43902"/>
    <cellStyle name="Total 2 3 19 3" xfId="43903"/>
    <cellStyle name="Total 2 3 19 3 2" xfId="43904"/>
    <cellStyle name="Total 2 3 19 3 2 2" xfId="43905"/>
    <cellStyle name="Total 2 3 19 3 3" xfId="43906"/>
    <cellStyle name="Total 2 3 19 4" xfId="43907"/>
    <cellStyle name="Total 2 3 19 5" xfId="43908"/>
    <cellStyle name="Total 2 3 2" xfId="43909"/>
    <cellStyle name="Total 2 3 2 2" xfId="43910"/>
    <cellStyle name="Total 2 3 2 2 2" xfId="43911"/>
    <cellStyle name="Total 2 3 2 2 2 2" xfId="43912"/>
    <cellStyle name="Total 2 3 2 2 3" xfId="43913"/>
    <cellStyle name="Total 2 3 2 3" xfId="43914"/>
    <cellStyle name="Total 2 3 2 3 2" xfId="43915"/>
    <cellStyle name="Total 2 3 2 3 2 2" xfId="43916"/>
    <cellStyle name="Total 2 3 2 3 3" xfId="43917"/>
    <cellStyle name="Total 2 3 2 4" xfId="43918"/>
    <cellStyle name="Total 2 3 2 4 2" xfId="43919"/>
    <cellStyle name="Total 2 3 2 4 2 2" xfId="43920"/>
    <cellStyle name="Total 2 3 2 4 3" xfId="43921"/>
    <cellStyle name="Total 2 3 2 5" xfId="43922"/>
    <cellStyle name="Total 2 3 2 5 2" xfId="43923"/>
    <cellStyle name="Total 2 3 2 5 2 2" xfId="43924"/>
    <cellStyle name="Total 2 3 2 5 3" xfId="43925"/>
    <cellStyle name="Total 2 3 2 6" xfId="43926"/>
    <cellStyle name="Total 2 3 2 7" xfId="43927"/>
    <cellStyle name="Total 2 3 20" xfId="43928"/>
    <cellStyle name="Total 2 3 20 2" xfId="43929"/>
    <cellStyle name="Total 2 3 20 2 2" xfId="43930"/>
    <cellStyle name="Total 2 3 20 2 2 2" xfId="43931"/>
    <cellStyle name="Total 2 3 20 2 3" xfId="43932"/>
    <cellStyle name="Total 2 3 20 3" xfId="43933"/>
    <cellStyle name="Total 2 3 20 3 2" xfId="43934"/>
    <cellStyle name="Total 2 3 20 3 2 2" xfId="43935"/>
    <cellStyle name="Total 2 3 20 3 3" xfId="43936"/>
    <cellStyle name="Total 2 3 20 4" xfId="43937"/>
    <cellStyle name="Total 2 3 20 5" xfId="43938"/>
    <cellStyle name="Total 2 3 21" xfId="43939"/>
    <cellStyle name="Total 2 3 21 2" xfId="43940"/>
    <cellStyle name="Total 2 3 21 2 2" xfId="43941"/>
    <cellStyle name="Total 2 3 21 2 2 2" xfId="43942"/>
    <cellStyle name="Total 2 3 21 2 3" xfId="43943"/>
    <cellStyle name="Total 2 3 21 3" xfId="43944"/>
    <cellStyle name="Total 2 3 21 3 2" xfId="43945"/>
    <cellStyle name="Total 2 3 21 3 2 2" xfId="43946"/>
    <cellStyle name="Total 2 3 21 3 3" xfId="43947"/>
    <cellStyle name="Total 2 3 21 4" xfId="43948"/>
    <cellStyle name="Total 2 3 21 5" xfId="43949"/>
    <cellStyle name="Total 2 3 22" xfId="43950"/>
    <cellStyle name="Total 2 3 22 2" xfId="43951"/>
    <cellStyle name="Total 2 3 22 2 2" xfId="43952"/>
    <cellStyle name="Total 2 3 22 2 2 2" xfId="43953"/>
    <cellStyle name="Total 2 3 22 2 3" xfId="43954"/>
    <cellStyle name="Total 2 3 22 3" xfId="43955"/>
    <cellStyle name="Total 2 3 22 3 2" xfId="43956"/>
    <cellStyle name="Total 2 3 22 3 2 2" xfId="43957"/>
    <cellStyle name="Total 2 3 22 3 3" xfId="43958"/>
    <cellStyle name="Total 2 3 22 4" xfId="43959"/>
    <cellStyle name="Total 2 3 22 5" xfId="43960"/>
    <cellStyle name="Total 2 3 23" xfId="43961"/>
    <cellStyle name="Total 2 3 23 2" xfId="43962"/>
    <cellStyle name="Total 2 3 23 2 2" xfId="43963"/>
    <cellStyle name="Total 2 3 23 2 2 2" xfId="43964"/>
    <cellStyle name="Total 2 3 23 2 3" xfId="43965"/>
    <cellStyle name="Total 2 3 23 3" xfId="43966"/>
    <cellStyle name="Total 2 3 23 3 2" xfId="43967"/>
    <cellStyle name="Total 2 3 23 3 2 2" xfId="43968"/>
    <cellStyle name="Total 2 3 23 3 3" xfId="43969"/>
    <cellStyle name="Total 2 3 23 4" xfId="43970"/>
    <cellStyle name="Total 2 3 23 5" xfId="43971"/>
    <cellStyle name="Total 2 3 24" xfId="43972"/>
    <cellStyle name="Total 2 3 24 2" xfId="43973"/>
    <cellStyle name="Total 2 3 24 2 2" xfId="43974"/>
    <cellStyle name="Total 2 3 24 2 2 2" xfId="43975"/>
    <cellStyle name="Total 2 3 24 2 3" xfId="43976"/>
    <cellStyle name="Total 2 3 24 3" xfId="43977"/>
    <cellStyle name="Total 2 3 24 3 2" xfId="43978"/>
    <cellStyle name="Total 2 3 24 3 2 2" xfId="43979"/>
    <cellStyle name="Total 2 3 24 3 3" xfId="43980"/>
    <cellStyle name="Total 2 3 24 4" xfId="43981"/>
    <cellStyle name="Total 2 3 24 5" xfId="43982"/>
    <cellStyle name="Total 2 3 25" xfId="43983"/>
    <cellStyle name="Total 2 3 25 2" xfId="43984"/>
    <cellStyle name="Total 2 3 25 2 2" xfId="43985"/>
    <cellStyle name="Total 2 3 25 2 2 2" xfId="43986"/>
    <cellStyle name="Total 2 3 25 2 3" xfId="43987"/>
    <cellStyle name="Total 2 3 25 3" xfId="43988"/>
    <cellStyle name="Total 2 3 25 3 2" xfId="43989"/>
    <cellStyle name="Total 2 3 25 3 2 2" xfId="43990"/>
    <cellStyle name="Total 2 3 25 3 3" xfId="43991"/>
    <cellStyle name="Total 2 3 25 4" xfId="43992"/>
    <cellStyle name="Total 2 3 25 5" xfId="43993"/>
    <cellStyle name="Total 2 3 26" xfId="43994"/>
    <cellStyle name="Total 2 3 26 2" xfId="43995"/>
    <cellStyle name="Total 2 3 26 2 2" xfId="43996"/>
    <cellStyle name="Total 2 3 26 2 2 2" xfId="43997"/>
    <cellStyle name="Total 2 3 26 2 3" xfId="43998"/>
    <cellStyle name="Total 2 3 26 3" xfId="43999"/>
    <cellStyle name="Total 2 3 26 3 2" xfId="44000"/>
    <cellStyle name="Total 2 3 26 3 2 2" xfId="44001"/>
    <cellStyle name="Total 2 3 26 3 3" xfId="44002"/>
    <cellStyle name="Total 2 3 26 4" xfId="44003"/>
    <cellStyle name="Total 2 3 26 5" xfId="44004"/>
    <cellStyle name="Total 2 3 27" xfId="44005"/>
    <cellStyle name="Total 2 3 27 2" xfId="44006"/>
    <cellStyle name="Total 2 3 27 2 2" xfId="44007"/>
    <cellStyle name="Total 2 3 27 2 2 2" xfId="44008"/>
    <cellStyle name="Total 2 3 27 2 3" xfId="44009"/>
    <cellStyle name="Total 2 3 27 3" xfId="44010"/>
    <cellStyle name="Total 2 3 27 3 2" xfId="44011"/>
    <cellStyle name="Total 2 3 27 3 2 2" xfId="44012"/>
    <cellStyle name="Total 2 3 27 3 3" xfId="44013"/>
    <cellStyle name="Total 2 3 27 4" xfId="44014"/>
    <cellStyle name="Total 2 3 27 5" xfId="44015"/>
    <cellStyle name="Total 2 3 28" xfId="44016"/>
    <cellStyle name="Total 2 3 28 2" xfId="44017"/>
    <cellStyle name="Total 2 3 28 2 2" xfId="44018"/>
    <cellStyle name="Total 2 3 28 2 2 2" xfId="44019"/>
    <cellStyle name="Total 2 3 28 2 3" xfId="44020"/>
    <cellStyle name="Total 2 3 28 3" xfId="44021"/>
    <cellStyle name="Total 2 3 28 3 2" xfId="44022"/>
    <cellStyle name="Total 2 3 28 3 2 2" xfId="44023"/>
    <cellStyle name="Total 2 3 28 3 3" xfId="44024"/>
    <cellStyle name="Total 2 3 28 4" xfId="44025"/>
    <cellStyle name="Total 2 3 28 5" xfId="44026"/>
    <cellStyle name="Total 2 3 29" xfId="44027"/>
    <cellStyle name="Total 2 3 29 2" xfId="44028"/>
    <cellStyle name="Total 2 3 29 2 2" xfId="44029"/>
    <cellStyle name="Total 2 3 29 2 2 2" xfId="44030"/>
    <cellStyle name="Total 2 3 29 2 3" xfId="44031"/>
    <cellStyle name="Total 2 3 29 3" xfId="44032"/>
    <cellStyle name="Total 2 3 29 3 2" xfId="44033"/>
    <cellStyle name="Total 2 3 29 3 2 2" xfId="44034"/>
    <cellStyle name="Total 2 3 29 3 3" xfId="44035"/>
    <cellStyle name="Total 2 3 29 4" xfId="44036"/>
    <cellStyle name="Total 2 3 29 5" xfId="44037"/>
    <cellStyle name="Total 2 3 3" xfId="44038"/>
    <cellStyle name="Total 2 3 3 2" xfId="44039"/>
    <cellStyle name="Total 2 3 3 2 2" xfId="44040"/>
    <cellStyle name="Total 2 3 3 2 2 2" xfId="44041"/>
    <cellStyle name="Total 2 3 3 2 3" xfId="44042"/>
    <cellStyle name="Total 2 3 3 3" xfId="44043"/>
    <cellStyle name="Total 2 3 3 3 2" xfId="44044"/>
    <cellStyle name="Total 2 3 3 3 2 2" xfId="44045"/>
    <cellStyle name="Total 2 3 3 3 3" xfId="44046"/>
    <cellStyle name="Total 2 3 3 4" xfId="44047"/>
    <cellStyle name="Total 2 3 3 4 2" xfId="44048"/>
    <cellStyle name="Total 2 3 3 4 2 2" xfId="44049"/>
    <cellStyle name="Total 2 3 3 4 3" xfId="44050"/>
    <cellStyle name="Total 2 3 3 5" xfId="44051"/>
    <cellStyle name="Total 2 3 3 5 2" xfId="44052"/>
    <cellStyle name="Total 2 3 3 5 2 2" xfId="44053"/>
    <cellStyle name="Total 2 3 3 5 3" xfId="44054"/>
    <cellStyle name="Total 2 3 3 6" xfId="44055"/>
    <cellStyle name="Total 2 3 3 7" xfId="44056"/>
    <cellStyle name="Total 2 3 30" xfId="44057"/>
    <cellStyle name="Total 2 3 30 2" xfId="44058"/>
    <cellStyle name="Total 2 3 30 2 2" xfId="44059"/>
    <cellStyle name="Total 2 3 30 2 2 2" xfId="44060"/>
    <cellStyle name="Total 2 3 30 2 3" xfId="44061"/>
    <cellStyle name="Total 2 3 30 3" xfId="44062"/>
    <cellStyle name="Total 2 3 30 3 2" xfId="44063"/>
    <cellStyle name="Total 2 3 30 3 2 2" xfId="44064"/>
    <cellStyle name="Total 2 3 30 3 3" xfId="44065"/>
    <cellStyle name="Total 2 3 30 4" xfId="44066"/>
    <cellStyle name="Total 2 3 30 5" xfId="44067"/>
    <cellStyle name="Total 2 3 31" xfId="44068"/>
    <cellStyle name="Total 2 3 31 2" xfId="44069"/>
    <cellStyle name="Total 2 3 31 2 2" xfId="44070"/>
    <cellStyle name="Total 2 3 31 2 2 2" xfId="44071"/>
    <cellStyle name="Total 2 3 31 2 3" xfId="44072"/>
    <cellStyle name="Total 2 3 31 3" xfId="44073"/>
    <cellStyle name="Total 2 3 31 3 2" xfId="44074"/>
    <cellStyle name="Total 2 3 31 3 2 2" xfId="44075"/>
    <cellStyle name="Total 2 3 31 3 3" xfId="44076"/>
    <cellStyle name="Total 2 3 31 4" xfId="44077"/>
    <cellStyle name="Total 2 3 31 5" xfId="44078"/>
    <cellStyle name="Total 2 3 32" xfId="44079"/>
    <cellStyle name="Total 2 3 32 2" xfId="44080"/>
    <cellStyle name="Total 2 3 32 2 2" xfId="44081"/>
    <cellStyle name="Total 2 3 32 2 2 2" xfId="44082"/>
    <cellStyle name="Total 2 3 32 2 3" xfId="44083"/>
    <cellStyle name="Total 2 3 32 3" xfId="44084"/>
    <cellStyle name="Total 2 3 32 3 2" xfId="44085"/>
    <cellStyle name="Total 2 3 32 3 2 2" xfId="44086"/>
    <cellStyle name="Total 2 3 32 3 3" xfId="44087"/>
    <cellStyle name="Total 2 3 32 4" xfId="44088"/>
    <cellStyle name="Total 2 3 32 5" xfId="44089"/>
    <cellStyle name="Total 2 3 33" xfId="44090"/>
    <cellStyle name="Total 2 3 33 2" xfId="44091"/>
    <cellStyle name="Total 2 3 33 2 2" xfId="44092"/>
    <cellStyle name="Total 2 3 33 2 2 2" xfId="44093"/>
    <cellStyle name="Total 2 3 33 2 3" xfId="44094"/>
    <cellStyle name="Total 2 3 33 3" xfId="44095"/>
    <cellStyle name="Total 2 3 33 3 2" xfId="44096"/>
    <cellStyle name="Total 2 3 33 3 2 2" xfId="44097"/>
    <cellStyle name="Total 2 3 33 3 3" xfId="44098"/>
    <cellStyle name="Total 2 3 33 4" xfId="44099"/>
    <cellStyle name="Total 2 3 33 5" xfId="44100"/>
    <cellStyle name="Total 2 3 34" xfId="44101"/>
    <cellStyle name="Total 2 3 34 2" xfId="44102"/>
    <cellStyle name="Total 2 3 34 2 2" xfId="44103"/>
    <cellStyle name="Total 2 3 34 2 2 2" xfId="44104"/>
    <cellStyle name="Total 2 3 34 2 3" xfId="44105"/>
    <cellStyle name="Total 2 3 34 3" xfId="44106"/>
    <cellStyle name="Total 2 3 34 3 2" xfId="44107"/>
    <cellStyle name="Total 2 3 34 3 2 2" xfId="44108"/>
    <cellStyle name="Total 2 3 34 3 3" xfId="44109"/>
    <cellStyle name="Total 2 3 34 4" xfId="44110"/>
    <cellStyle name="Total 2 3 34 5" xfId="44111"/>
    <cellStyle name="Total 2 3 35" xfId="44112"/>
    <cellStyle name="Total 2 3 35 2" xfId="44113"/>
    <cellStyle name="Total 2 3 35 2 2" xfId="44114"/>
    <cellStyle name="Total 2 3 35 2 2 2" xfId="44115"/>
    <cellStyle name="Total 2 3 35 2 3" xfId="44116"/>
    <cellStyle name="Total 2 3 35 3" xfId="44117"/>
    <cellStyle name="Total 2 3 35 3 2" xfId="44118"/>
    <cellStyle name="Total 2 3 35 3 2 2" xfId="44119"/>
    <cellStyle name="Total 2 3 35 3 3" xfId="44120"/>
    <cellStyle name="Total 2 3 35 4" xfId="44121"/>
    <cellStyle name="Total 2 3 35 5" xfId="44122"/>
    <cellStyle name="Total 2 3 36" xfId="44123"/>
    <cellStyle name="Total 2 3 36 2" xfId="44124"/>
    <cellStyle name="Total 2 3 36 2 2" xfId="44125"/>
    <cellStyle name="Total 2 3 36 2 2 2" xfId="44126"/>
    <cellStyle name="Total 2 3 36 2 3" xfId="44127"/>
    <cellStyle name="Total 2 3 36 3" xfId="44128"/>
    <cellStyle name="Total 2 3 36 3 2" xfId="44129"/>
    <cellStyle name="Total 2 3 36 3 2 2" xfId="44130"/>
    <cellStyle name="Total 2 3 36 3 3" xfId="44131"/>
    <cellStyle name="Total 2 3 36 4" xfId="44132"/>
    <cellStyle name="Total 2 3 36 5" xfId="44133"/>
    <cellStyle name="Total 2 3 37" xfId="44134"/>
    <cellStyle name="Total 2 3 37 2" xfId="44135"/>
    <cellStyle name="Total 2 3 37 2 2" xfId="44136"/>
    <cellStyle name="Total 2 3 37 2 2 2" xfId="44137"/>
    <cellStyle name="Total 2 3 37 2 3" xfId="44138"/>
    <cellStyle name="Total 2 3 37 3" xfId="44139"/>
    <cellStyle name="Total 2 3 37 3 2" xfId="44140"/>
    <cellStyle name="Total 2 3 37 3 2 2" xfId="44141"/>
    <cellStyle name="Total 2 3 37 3 3" xfId="44142"/>
    <cellStyle name="Total 2 3 37 4" xfId="44143"/>
    <cellStyle name="Total 2 3 37 5" xfId="44144"/>
    <cellStyle name="Total 2 3 38" xfId="44145"/>
    <cellStyle name="Total 2 3 38 2" xfId="44146"/>
    <cellStyle name="Total 2 3 38 2 2" xfId="44147"/>
    <cellStyle name="Total 2 3 38 2 2 2" xfId="44148"/>
    <cellStyle name="Total 2 3 38 2 3" xfId="44149"/>
    <cellStyle name="Total 2 3 38 3" xfId="44150"/>
    <cellStyle name="Total 2 3 38 3 2" xfId="44151"/>
    <cellStyle name="Total 2 3 38 3 2 2" xfId="44152"/>
    <cellStyle name="Total 2 3 38 3 3" xfId="44153"/>
    <cellStyle name="Total 2 3 38 4" xfId="44154"/>
    <cellStyle name="Total 2 3 38 5" xfId="44155"/>
    <cellStyle name="Total 2 3 39" xfId="44156"/>
    <cellStyle name="Total 2 3 39 2" xfId="44157"/>
    <cellStyle name="Total 2 3 39 2 2" xfId="44158"/>
    <cellStyle name="Total 2 3 39 2 2 2" xfId="44159"/>
    <cellStyle name="Total 2 3 39 2 3" xfId="44160"/>
    <cellStyle name="Total 2 3 39 3" xfId="44161"/>
    <cellStyle name="Total 2 3 39 3 2" xfId="44162"/>
    <cellStyle name="Total 2 3 39 3 2 2" xfId="44163"/>
    <cellStyle name="Total 2 3 39 3 3" xfId="44164"/>
    <cellStyle name="Total 2 3 39 4" xfId="44165"/>
    <cellStyle name="Total 2 3 39 5" xfId="44166"/>
    <cellStyle name="Total 2 3 4" xfId="44167"/>
    <cellStyle name="Total 2 3 4 2" xfId="44168"/>
    <cellStyle name="Total 2 3 4 2 2" xfId="44169"/>
    <cellStyle name="Total 2 3 4 2 2 2" xfId="44170"/>
    <cellStyle name="Total 2 3 4 2 3" xfId="44171"/>
    <cellStyle name="Total 2 3 4 3" xfId="44172"/>
    <cellStyle name="Total 2 3 4 3 2" xfId="44173"/>
    <cellStyle name="Total 2 3 4 3 2 2" xfId="44174"/>
    <cellStyle name="Total 2 3 4 3 3" xfId="44175"/>
    <cellStyle name="Total 2 3 4 4" xfId="44176"/>
    <cellStyle name="Total 2 3 4 4 2" xfId="44177"/>
    <cellStyle name="Total 2 3 4 4 2 2" xfId="44178"/>
    <cellStyle name="Total 2 3 4 4 3" xfId="44179"/>
    <cellStyle name="Total 2 3 4 5" xfId="44180"/>
    <cellStyle name="Total 2 3 4 5 2" xfId="44181"/>
    <cellStyle name="Total 2 3 4 5 2 2" xfId="44182"/>
    <cellStyle name="Total 2 3 4 5 3" xfId="44183"/>
    <cellStyle name="Total 2 3 4 6" xfId="44184"/>
    <cellStyle name="Total 2 3 4 7" xfId="44185"/>
    <cellStyle name="Total 2 3 40" xfId="44186"/>
    <cellStyle name="Total 2 3 40 2" xfId="44187"/>
    <cellStyle name="Total 2 3 40 2 2" xfId="44188"/>
    <cellStyle name="Total 2 3 40 2 2 2" xfId="44189"/>
    <cellStyle name="Total 2 3 40 2 3" xfId="44190"/>
    <cellStyle name="Total 2 3 40 3" xfId="44191"/>
    <cellStyle name="Total 2 3 40 3 2" xfId="44192"/>
    <cellStyle name="Total 2 3 40 3 2 2" xfId="44193"/>
    <cellStyle name="Total 2 3 40 3 3" xfId="44194"/>
    <cellStyle name="Total 2 3 40 4" xfId="44195"/>
    <cellStyle name="Total 2 3 40 5" xfId="44196"/>
    <cellStyle name="Total 2 3 41" xfId="44197"/>
    <cellStyle name="Total 2 3 41 2" xfId="44198"/>
    <cellStyle name="Total 2 3 41 2 2" xfId="44199"/>
    <cellStyle name="Total 2 3 41 2 2 2" xfId="44200"/>
    <cellStyle name="Total 2 3 41 2 3" xfId="44201"/>
    <cellStyle name="Total 2 3 41 3" xfId="44202"/>
    <cellStyle name="Total 2 3 41 3 2" xfId="44203"/>
    <cellStyle name="Total 2 3 41 3 2 2" xfId="44204"/>
    <cellStyle name="Total 2 3 41 3 3" xfId="44205"/>
    <cellStyle name="Total 2 3 41 4" xfId="44206"/>
    <cellStyle name="Total 2 3 41 5" xfId="44207"/>
    <cellStyle name="Total 2 3 42" xfId="44208"/>
    <cellStyle name="Total 2 3 42 2" xfId="44209"/>
    <cellStyle name="Total 2 3 42 2 2" xfId="44210"/>
    <cellStyle name="Total 2 3 42 2 2 2" xfId="44211"/>
    <cellStyle name="Total 2 3 42 2 3" xfId="44212"/>
    <cellStyle name="Total 2 3 42 3" xfId="44213"/>
    <cellStyle name="Total 2 3 42 3 2" xfId="44214"/>
    <cellStyle name="Total 2 3 42 3 2 2" xfId="44215"/>
    <cellStyle name="Total 2 3 42 3 3" xfId="44216"/>
    <cellStyle name="Total 2 3 42 4" xfId="44217"/>
    <cellStyle name="Total 2 3 42 5" xfId="44218"/>
    <cellStyle name="Total 2 3 43" xfId="44219"/>
    <cellStyle name="Total 2 3 43 2" xfId="44220"/>
    <cellStyle name="Total 2 3 43 2 2" xfId="44221"/>
    <cellStyle name="Total 2 3 43 2 2 2" xfId="44222"/>
    <cellStyle name="Total 2 3 43 2 3" xfId="44223"/>
    <cellStyle name="Total 2 3 43 3" xfId="44224"/>
    <cellStyle name="Total 2 3 43 3 2" xfId="44225"/>
    <cellStyle name="Total 2 3 43 3 2 2" xfId="44226"/>
    <cellStyle name="Total 2 3 43 3 3" xfId="44227"/>
    <cellStyle name="Total 2 3 43 4" xfId="44228"/>
    <cellStyle name="Total 2 3 43 5" xfId="44229"/>
    <cellStyle name="Total 2 3 44" xfId="44230"/>
    <cellStyle name="Total 2 3 44 2" xfId="44231"/>
    <cellStyle name="Total 2 3 44 2 2" xfId="44232"/>
    <cellStyle name="Total 2 3 44 2 2 2" xfId="44233"/>
    <cellStyle name="Total 2 3 44 2 3" xfId="44234"/>
    <cellStyle name="Total 2 3 44 3" xfId="44235"/>
    <cellStyle name="Total 2 3 44 3 2" xfId="44236"/>
    <cellStyle name="Total 2 3 44 3 2 2" xfId="44237"/>
    <cellStyle name="Total 2 3 44 3 3" xfId="44238"/>
    <cellStyle name="Total 2 3 44 4" xfId="44239"/>
    <cellStyle name="Total 2 3 44 5" xfId="44240"/>
    <cellStyle name="Total 2 3 45" xfId="44241"/>
    <cellStyle name="Total 2 3 45 2" xfId="44242"/>
    <cellStyle name="Total 2 3 45 2 2" xfId="44243"/>
    <cellStyle name="Total 2 3 45 2 2 2" xfId="44244"/>
    <cellStyle name="Total 2 3 45 2 3" xfId="44245"/>
    <cellStyle name="Total 2 3 45 3" xfId="44246"/>
    <cellStyle name="Total 2 3 45 3 2" xfId="44247"/>
    <cellStyle name="Total 2 3 45 3 2 2" xfId="44248"/>
    <cellStyle name="Total 2 3 45 3 3" xfId="44249"/>
    <cellStyle name="Total 2 3 45 4" xfId="44250"/>
    <cellStyle name="Total 2 3 45 5" xfId="44251"/>
    <cellStyle name="Total 2 3 46" xfId="44252"/>
    <cellStyle name="Total 2 3 46 2" xfId="44253"/>
    <cellStyle name="Total 2 3 46 2 2" xfId="44254"/>
    <cellStyle name="Total 2 3 46 2 2 2" xfId="44255"/>
    <cellStyle name="Total 2 3 46 2 3" xfId="44256"/>
    <cellStyle name="Total 2 3 46 3" xfId="44257"/>
    <cellStyle name="Total 2 3 46 3 2" xfId="44258"/>
    <cellStyle name="Total 2 3 46 3 2 2" xfId="44259"/>
    <cellStyle name="Total 2 3 46 3 3" xfId="44260"/>
    <cellStyle name="Total 2 3 46 4" xfId="44261"/>
    <cellStyle name="Total 2 3 46 5" xfId="44262"/>
    <cellStyle name="Total 2 3 47" xfId="44263"/>
    <cellStyle name="Total 2 3 47 2" xfId="44264"/>
    <cellStyle name="Total 2 3 47 2 2" xfId="44265"/>
    <cellStyle name="Total 2 3 47 2 2 2" xfId="44266"/>
    <cellStyle name="Total 2 3 47 2 3" xfId="44267"/>
    <cellStyle name="Total 2 3 47 3" xfId="44268"/>
    <cellStyle name="Total 2 3 47 3 2" xfId="44269"/>
    <cellStyle name="Total 2 3 47 3 2 2" xfId="44270"/>
    <cellStyle name="Total 2 3 47 3 3" xfId="44271"/>
    <cellStyle name="Total 2 3 47 4" xfId="44272"/>
    <cellStyle name="Total 2 3 47 5" xfId="44273"/>
    <cellStyle name="Total 2 3 48" xfId="44274"/>
    <cellStyle name="Total 2 3 48 2" xfId="44275"/>
    <cellStyle name="Total 2 3 48 2 2" xfId="44276"/>
    <cellStyle name="Total 2 3 48 2 2 2" xfId="44277"/>
    <cellStyle name="Total 2 3 48 2 3" xfId="44278"/>
    <cellStyle name="Total 2 3 48 3" xfId="44279"/>
    <cellStyle name="Total 2 3 48 3 2" xfId="44280"/>
    <cellStyle name="Total 2 3 48 3 2 2" xfId="44281"/>
    <cellStyle name="Total 2 3 48 3 3" xfId="44282"/>
    <cellStyle name="Total 2 3 48 4" xfId="44283"/>
    <cellStyle name="Total 2 3 48 5" xfId="44284"/>
    <cellStyle name="Total 2 3 49" xfId="44285"/>
    <cellStyle name="Total 2 3 49 2" xfId="44286"/>
    <cellStyle name="Total 2 3 49 2 2" xfId="44287"/>
    <cellStyle name="Total 2 3 49 3" xfId="44288"/>
    <cellStyle name="Total 2 3 5" xfId="44289"/>
    <cellStyle name="Total 2 3 5 2" xfId="44290"/>
    <cellStyle name="Total 2 3 5 2 2" xfId="44291"/>
    <cellStyle name="Total 2 3 5 2 2 2" xfId="44292"/>
    <cellStyle name="Total 2 3 5 2 3" xfId="44293"/>
    <cellStyle name="Total 2 3 5 3" xfId="44294"/>
    <cellStyle name="Total 2 3 5 3 2" xfId="44295"/>
    <cellStyle name="Total 2 3 5 3 2 2" xfId="44296"/>
    <cellStyle name="Total 2 3 5 3 3" xfId="44297"/>
    <cellStyle name="Total 2 3 5 4" xfId="44298"/>
    <cellStyle name="Total 2 3 5 4 2" xfId="44299"/>
    <cellStyle name="Total 2 3 5 4 2 2" xfId="44300"/>
    <cellStyle name="Total 2 3 5 4 3" xfId="44301"/>
    <cellStyle name="Total 2 3 5 5" xfId="44302"/>
    <cellStyle name="Total 2 3 5 5 2" xfId="44303"/>
    <cellStyle name="Total 2 3 5 5 2 2" xfId="44304"/>
    <cellStyle name="Total 2 3 5 5 3" xfId="44305"/>
    <cellStyle name="Total 2 3 5 6" xfId="44306"/>
    <cellStyle name="Total 2 3 5 7" xfId="44307"/>
    <cellStyle name="Total 2 3 50" xfId="44308"/>
    <cellStyle name="Total 2 3 50 2" xfId="44309"/>
    <cellStyle name="Total 2 3 50 2 2" xfId="44310"/>
    <cellStyle name="Total 2 3 50 3" xfId="44311"/>
    <cellStyle name="Total 2 3 51" xfId="44312"/>
    <cellStyle name="Total 2 3 51 2" xfId="44313"/>
    <cellStyle name="Total 2 3 51 2 2" xfId="44314"/>
    <cellStyle name="Total 2 3 51 3" xfId="44315"/>
    <cellStyle name="Total 2 3 52" xfId="44316"/>
    <cellStyle name="Total 2 3 52 2" xfId="44317"/>
    <cellStyle name="Total 2 3 52 2 2" xfId="44318"/>
    <cellStyle name="Total 2 3 52 3" xfId="44319"/>
    <cellStyle name="Total 2 3 53" xfId="44320"/>
    <cellStyle name="Total 2 3 54" xfId="44321"/>
    <cellStyle name="Total 2 3 6" xfId="44322"/>
    <cellStyle name="Total 2 3 6 2" xfId="44323"/>
    <cellStyle name="Total 2 3 6 2 2" xfId="44324"/>
    <cellStyle name="Total 2 3 6 2 2 2" xfId="44325"/>
    <cellStyle name="Total 2 3 6 2 3" xfId="44326"/>
    <cellStyle name="Total 2 3 6 3" xfId="44327"/>
    <cellStyle name="Total 2 3 6 3 2" xfId="44328"/>
    <cellStyle name="Total 2 3 6 3 2 2" xfId="44329"/>
    <cellStyle name="Total 2 3 6 3 3" xfId="44330"/>
    <cellStyle name="Total 2 3 6 4" xfId="44331"/>
    <cellStyle name="Total 2 3 6 4 2" xfId="44332"/>
    <cellStyle name="Total 2 3 6 4 2 2" xfId="44333"/>
    <cellStyle name="Total 2 3 6 4 3" xfId="44334"/>
    <cellStyle name="Total 2 3 6 5" xfId="44335"/>
    <cellStyle name="Total 2 3 6 5 2" xfId="44336"/>
    <cellStyle name="Total 2 3 6 5 2 2" xfId="44337"/>
    <cellStyle name="Total 2 3 6 5 3" xfId="44338"/>
    <cellStyle name="Total 2 3 6 6" xfId="44339"/>
    <cellStyle name="Total 2 3 6 7" xfId="44340"/>
    <cellStyle name="Total 2 3 7" xfId="44341"/>
    <cellStyle name="Total 2 3 7 2" xfId="44342"/>
    <cellStyle name="Total 2 3 7 2 2" xfId="44343"/>
    <cellStyle name="Total 2 3 7 2 2 2" xfId="44344"/>
    <cellStyle name="Total 2 3 7 2 3" xfId="44345"/>
    <cellStyle name="Total 2 3 7 3" xfId="44346"/>
    <cellStyle name="Total 2 3 7 3 2" xfId="44347"/>
    <cellStyle name="Total 2 3 7 3 2 2" xfId="44348"/>
    <cellStyle name="Total 2 3 7 3 3" xfId="44349"/>
    <cellStyle name="Total 2 3 7 4" xfId="44350"/>
    <cellStyle name="Total 2 3 7 4 2" xfId="44351"/>
    <cellStyle name="Total 2 3 7 4 2 2" xfId="44352"/>
    <cellStyle name="Total 2 3 7 4 3" xfId="44353"/>
    <cellStyle name="Total 2 3 7 5" xfId="44354"/>
    <cellStyle name="Total 2 3 7 5 2" xfId="44355"/>
    <cellStyle name="Total 2 3 7 5 2 2" xfId="44356"/>
    <cellStyle name="Total 2 3 7 5 3" xfId="44357"/>
    <cellStyle name="Total 2 3 7 6" xfId="44358"/>
    <cellStyle name="Total 2 3 7 7" xfId="44359"/>
    <cellStyle name="Total 2 3 8" xfId="44360"/>
    <cellStyle name="Total 2 3 8 2" xfId="44361"/>
    <cellStyle name="Total 2 3 8 2 2" xfId="44362"/>
    <cellStyle name="Total 2 3 8 2 2 2" xfId="44363"/>
    <cellStyle name="Total 2 3 8 2 3" xfId="44364"/>
    <cellStyle name="Total 2 3 8 3" xfId="44365"/>
    <cellStyle name="Total 2 3 8 3 2" xfId="44366"/>
    <cellStyle name="Total 2 3 8 3 2 2" xfId="44367"/>
    <cellStyle name="Total 2 3 8 3 3" xfId="44368"/>
    <cellStyle name="Total 2 3 8 4" xfId="44369"/>
    <cellStyle name="Total 2 3 8 4 2" xfId="44370"/>
    <cellStyle name="Total 2 3 8 4 2 2" xfId="44371"/>
    <cellStyle name="Total 2 3 8 4 3" xfId="44372"/>
    <cellStyle name="Total 2 3 8 5" xfId="44373"/>
    <cellStyle name="Total 2 3 8 5 2" xfId="44374"/>
    <cellStyle name="Total 2 3 8 5 2 2" xfId="44375"/>
    <cellStyle name="Total 2 3 8 5 3" xfId="44376"/>
    <cellStyle name="Total 2 3 8 6" xfId="44377"/>
    <cellStyle name="Total 2 3 8 7" xfId="44378"/>
    <cellStyle name="Total 2 3 9" xfId="44379"/>
    <cellStyle name="Total 2 3 9 2" xfId="44380"/>
    <cellStyle name="Total 2 3 9 2 2" xfId="44381"/>
    <cellStyle name="Total 2 3 9 2 2 2" xfId="44382"/>
    <cellStyle name="Total 2 3 9 2 3" xfId="44383"/>
    <cellStyle name="Total 2 3 9 3" xfId="44384"/>
    <cellStyle name="Total 2 3 9 3 2" xfId="44385"/>
    <cellStyle name="Total 2 3 9 3 2 2" xfId="44386"/>
    <cellStyle name="Total 2 3 9 3 3" xfId="44387"/>
    <cellStyle name="Total 2 3 9 4" xfId="44388"/>
    <cellStyle name="Total 2 3 9 5" xfId="44389"/>
    <cellStyle name="Total 2 4" xfId="44390"/>
    <cellStyle name="Total 2 4 10" xfId="44391"/>
    <cellStyle name="Total 2 4 10 2" xfId="44392"/>
    <cellStyle name="Total 2 4 10 2 2" xfId="44393"/>
    <cellStyle name="Total 2 4 10 2 2 2" xfId="44394"/>
    <cellStyle name="Total 2 4 10 2 3" xfId="44395"/>
    <cellStyle name="Total 2 4 10 3" xfId="44396"/>
    <cellStyle name="Total 2 4 10 3 2" xfId="44397"/>
    <cellStyle name="Total 2 4 10 3 2 2" xfId="44398"/>
    <cellStyle name="Total 2 4 10 3 3" xfId="44399"/>
    <cellStyle name="Total 2 4 10 4" xfId="44400"/>
    <cellStyle name="Total 2 4 10 5" xfId="44401"/>
    <cellStyle name="Total 2 4 11" xfId="44402"/>
    <cellStyle name="Total 2 4 11 2" xfId="44403"/>
    <cellStyle name="Total 2 4 11 2 2" xfId="44404"/>
    <cellStyle name="Total 2 4 11 2 2 2" xfId="44405"/>
    <cellStyle name="Total 2 4 11 2 3" xfId="44406"/>
    <cellStyle name="Total 2 4 11 3" xfId="44407"/>
    <cellStyle name="Total 2 4 11 3 2" xfId="44408"/>
    <cellStyle name="Total 2 4 11 3 2 2" xfId="44409"/>
    <cellStyle name="Total 2 4 11 3 3" xfId="44410"/>
    <cellStyle name="Total 2 4 11 4" xfId="44411"/>
    <cellStyle name="Total 2 4 11 5" xfId="44412"/>
    <cellStyle name="Total 2 4 12" xfId="44413"/>
    <cellStyle name="Total 2 4 12 2" xfId="44414"/>
    <cellStyle name="Total 2 4 12 2 2" xfId="44415"/>
    <cellStyle name="Total 2 4 12 2 2 2" xfId="44416"/>
    <cellStyle name="Total 2 4 12 2 3" xfId="44417"/>
    <cellStyle name="Total 2 4 12 3" xfId="44418"/>
    <cellStyle name="Total 2 4 12 3 2" xfId="44419"/>
    <cellStyle name="Total 2 4 12 3 2 2" xfId="44420"/>
    <cellStyle name="Total 2 4 12 3 3" xfId="44421"/>
    <cellStyle name="Total 2 4 12 4" xfId="44422"/>
    <cellStyle name="Total 2 4 12 5" xfId="44423"/>
    <cellStyle name="Total 2 4 13" xfId="44424"/>
    <cellStyle name="Total 2 4 13 2" xfId="44425"/>
    <cellStyle name="Total 2 4 13 2 2" xfId="44426"/>
    <cellStyle name="Total 2 4 13 2 2 2" xfId="44427"/>
    <cellStyle name="Total 2 4 13 2 3" xfId="44428"/>
    <cellStyle name="Total 2 4 13 3" xfId="44429"/>
    <cellStyle name="Total 2 4 13 3 2" xfId="44430"/>
    <cellStyle name="Total 2 4 13 3 2 2" xfId="44431"/>
    <cellStyle name="Total 2 4 13 3 3" xfId="44432"/>
    <cellStyle name="Total 2 4 13 4" xfId="44433"/>
    <cellStyle name="Total 2 4 13 5" xfId="44434"/>
    <cellStyle name="Total 2 4 14" xfId="44435"/>
    <cellStyle name="Total 2 4 14 2" xfId="44436"/>
    <cellStyle name="Total 2 4 14 2 2" xfId="44437"/>
    <cellStyle name="Total 2 4 14 2 2 2" xfId="44438"/>
    <cellStyle name="Total 2 4 14 2 3" xfId="44439"/>
    <cellStyle name="Total 2 4 14 3" xfId="44440"/>
    <cellStyle name="Total 2 4 14 3 2" xfId="44441"/>
    <cellStyle name="Total 2 4 14 3 2 2" xfId="44442"/>
    <cellStyle name="Total 2 4 14 3 3" xfId="44443"/>
    <cellStyle name="Total 2 4 14 4" xfId="44444"/>
    <cellStyle name="Total 2 4 14 5" xfId="44445"/>
    <cellStyle name="Total 2 4 15" xfId="44446"/>
    <cellStyle name="Total 2 4 15 2" xfId="44447"/>
    <cellStyle name="Total 2 4 15 2 2" xfId="44448"/>
    <cellStyle name="Total 2 4 15 2 2 2" xfId="44449"/>
    <cellStyle name="Total 2 4 15 2 3" xfId="44450"/>
    <cellStyle name="Total 2 4 15 3" xfId="44451"/>
    <cellStyle name="Total 2 4 15 3 2" xfId="44452"/>
    <cellStyle name="Total 2 4 15 3 2 2" xfId="44453"/>
    <cellStyle name="Total 2 4 15 3 3" xfId="44454"/>
    <cellStyle name="Total 2 4 15 4" xfId="44455"/>
    <cellStyle name="Total 2 4 15 5" xfId="44456"/>
    <cellStyle name="Total 2 4 16" xfId="44457"/>
    <cellStyle name="Total 2 4 16 2" xfId="44458"/>
    <cellStyle name="Total 2 4 16 2 2" xfId="44459"/>
    <cellStyle name="Total 2 4 16 2 2 2" xfId="44460"/>
    <cellStyle name="Total 2 4 16 2 3" xfId="44461"/>
    <cellStyle name="Total 2 4 16 3" xfId="44462"/>
    <cellStyle name="Total 2 4 16 3 2" xfId="44463"/>
    <cellStyle name="Total 2 4 16 3 2 2" xfId="44464"/>
    <cellStyle name="Total 2 4 16 3 3" xfId="44465"/>
    <cellStyle name="Total 2 4 16 4" xfId="44466"/>
    <cellStyle name="Total 2 4 16 5" xfId="44467"/>
    <cellStyle name="Total 2 4 17" xfId="44468"/>
    <cellStyle name="Total 2 4 17 2" xfId="44469"/>
    <cellStyle name="Total 2 4 17 2 2" xfId="44470"/>
    <cellStyle name="Total 2 4 17 2 2 2" xfId="44471"/>
    <cellStyle name="Total 2 4 17 2 3" xfId="44472"/>
    <cellStyle name="Total 2 4 17 3" xfId="44473"/>
    <cellStyle name="Total 2 4 17 3 2" xfId="44474"/>
    <cellStyle name="Total 2 4 17 3 2 2" xfId="44475"/>
    <cellStyle name="Total 2 4 17 3 3" xfId="44476"/>
    <cellStyle name="Total 2 4 17 4" xfId="44477"/>
    <cellStyle name="Total 2 4 17 5" xfId="44478"/>
    <cellStyle name="Total 2 4 18" xfId="44479"/>
    <cellStyle name="Total 2 4 18 2" xfId="44480"/>
    <cellStyle name="Total 2 4 18 2 2" xfId="44481"/>
    <cellStyle name="Total 2 4 18 2 2 2" xfId="44482"/>
    <cellStyle name="Total 2 4 18 2 3" xfId="44483"/>
    <cellStyle name="Total 2 4 18 3" xfId="44484"/>
    <cellStyle name="Total 2 4 18 3 2" xfId="44485"/>
    <cellStyle name="Total 2 4 18 3 2 2" xfId="44486"/>
    <cellStyle name="Total 2 4 18 3 3" xfId="44487"/>
    <cellStyle name="Total 2 4 18 4" xfId="44488"/>
    <cellStyle name="Total 2 4 18 5" xfId="44489"/>
    <cellStyle name="Total 2 4 19" xfId="44490"/>
    <cellStyle name="Total 2 4 19 2" xfId="44491"/>
    <cellStyle name="Total 2 4 19 2 2" xfId="44492"/>
    <cellStyle name="Total 2 4 19 2 2 2" xfId="44493"/>
    <cellStyle name="Total 2 4 19 2 3" xfId="44494"/>
    <cellStyle name="Total 2 4 19 3" xfId="44495"/>
    <cellStyle name="Total 2 4 19 3 2" xfId="44496"/>
    <cellStyle name="Total 2 4 19 3 2 2" xfId="44497"/>
    <cellStyle name="Total 2 4 19 3 3" xfId="44498"/>
    <cellStyle name="Total 2 4 19 4" xfId="44499"/>
    <cellStyle name="Total 2 4 19 5" xfId="44500"/>
    <cellStyle name="Total 2 4 2" xfId="44501"/>
    <cellStyle name="Total 2 4 2 2" xfId="44502"/>
    <cellStyle name="Total 2 4 2 2 2" xfId="44503"/>
    <cellStyle name="Total 2 4 2 2 2 2" xfId="44504"/>
    <cellStyle name="Total 2 4 2 2 3" xfId="44505"/>
    <cellStyle name="Total 2 4 2 3" xfId="44506"/>
    <cellStyle name="Total 2 4 2 3 2" xfId="44507"/>
    <cellStyle name="Total 2 4 2 3 2 2" xfId="44508"/>
    <cellStyle name="Total 2 4 2 3 3" xfId="44509"/>
    <cellStyle name="Total 2 4 2 4" xfId="44510"/>
    <cellStyle name="Total 2 4 2 4 2" xfId="44511"/>
    <cellStyle name="Total 2 4 2 4 2 2" xfId="44512"/>
    <cellStyle name="Total 2 4 2 4 3" xfId="44513"/>
    <cellStyle name="Total 2 4 2 5" xfId="44514"/>
    <cellStyle name="Total 2 4 2 5 2" xfId="44515"/>
    <cellStyle name="Total 2 4 2 5 2 2" xfId="44516"/>
    <cellStyle name="Total 2 4 2 5 3" xfId="44517"/>
    <cellStyle name="Total 2 4 2 6" xfId="44518"/>
    <cellStyle name="Total 2 4 2 7" xfId="44519"/>
    <cellStyle name="Total 2 4 20" xfId="44520"/>
    <cellStyle name="Total 2 4 20 2" xfId="44521"/>
    <cellStyle name="Total 2 4 20 2 2" xfId="44522"/>
    <cellStyle name="Total 2 4 20 2 2 2" xfId="44523"/>
    <cellStyle name="Total 2 4 20 2 3" xfId="44524"/>
    <cellStyle name="Total 2 4 20 3" xfId="44525"/>
    <cellStyle name="Total 2 4 20 3 2" xfId="44526"/>
    <cellStyle name="Total 2 4 20 3 2 2" xfId="44527"/>
    <cellStyle name="Total 2 4 20 3 3" xfId="44528"/>
    <cellStyle name="Total 2 4 20 4" xfId="44529"/>
    <cellStyle name="Total 2 4 20 5" xfId="44530"/>
    <cellStyle name="Total 2 4 21" xfId="44531"/>
    <cellStyle name="Total 2 4 21 2" xfId="44532"/>
    <cellStyle name="Total 2 4 21 2 2" xfId="44533"/>
    <cellStyle name="Total 2 4 21 2 2 2" xfId="44534"/>
    <cellStyle name="Total 2 4 21 2 3" xfId="44535"/>
    <cellStyle name="Total 2 4 21 3" xfId="44536"/>
    <cellStyle name="Total 2 4 21 3 2" xfId="44537"/>
    <cellStyle name="Total 2 4 21 3 2 2" xfId="44538"/>
    <cellStyle name="Total 2 4 21 3 3" xfId="44539"/>
    <cellStyle name="Total 2 4 21 4" xfId="44540"/>
    <cellStyle name="Total 2 4 21 5" xfId="44541"/>
    <cellStyle name="Total 2 4 22" xfId="44542"/>
    <cellStyle name="Total 2 4 22 2" xfId="44543"/>
    <cellStyle name="Total 2 4 22 2 2" xfId="44544"/>
    <cellStyle name="Total 2 4 22 2 2 2" xfId="44545"/>
    <cellStyle name="Total 2 4 22 2 3" xfId="44546"/>
    <cellStyle name="Total 2 4 22 3" xfId="44547"/>
    <cellStyle name="Total 2 4 22 3 2" xfId="44548"/>
    <cellStyle name="Total 2 4 22 3 2 2" xfId="44549"/>
    <cellStyle name="Total 2 4 22 3 3" xfId="44550"/>
    <cellStyle name="Total 2 4 22 4" xfId="44551"/>
    <cellStyle name="Total 2 4 22 5" xfId="44552"/>
    <cellStyle name="Total 2 4 23" xfId="44553"/>
    <cellStyle name="Total 2 4 23 2" xfId="44554"/>
    <cellStyle name="Total 2 4 23 2 2" xfId="44555"/>
    <cellStyle name="Total 2 4 23 2 2 2" xfId="44556"/>
    <cellStyle name="Total 2 4 23 2 3" xfId="44557"/>
    <cellStyle name="Total 2 4 23 3" xfId="44558"/>
    <cellStyle name="Total 2 4 23 3 2" xfId="44559"/>
    <cellStyle name="Total 2 4 23 3 2 2" xfId="44560"/>
    <cellStyle name="Total 2 4 23 3 3" xfId="44561"/>
    <cellStyle name="Total 2 4 23 4" xfId="44562"/>
    <cellStyle name="Total 2 4 23 5" xfId="44563"/>
    <cellStyle name="Total 2 4 24" xfId="44564"/>
    <cellStyle name="Total 2 4 24 2" xfId="44565"/>
    <cellStyle name="Total 2 4 24 2 2" xfId="44566"/>
    <cellStyle name="Total 2 4 24 2 2 2" xfId="44567"/>
    <cellStyle name="Total 2 4 24 2 3" xfId="44568"/>
    <cellStyle name="Total 2 4 24 3" xfId="44569"/>
    <cellStyle name="Total 2 4 24 3 2" xfId="44570"/>
    <cellStyle name="Total 2 4 24 3 2 2" xfId="44571"/>
    <cellStyle name="Total 2 4 24 3 3" xfId="44572"/>
    <cellStyle name="Total 2 4 24 4" xfId="44573"/>
    <cellStyle name="Total 2 4 24 5" xfId="44574"/>
    <cellStyle name="Total 2 4 25" xfId="44575"/>
    <cellStyle name="Total 2 4 25 2" xfId="44576"/>
    <cellStyle name="Total 2 4 25 2 2" xfId="44577"/>
    <cellStyle name="Total 2 4 25 2 2 2" xfId="44578"/>
    <cellStyle name="Total 2 4 25 2 3" xfId="44579"/>
    <cellStyle name="Total 2 4 25 3" xfId="44580"/>
    <cellStyle name="Total 2 4 25 3 2" xfId="44581"/>
    <cellStyle name="Total 2 4 25 3 2 2" xfId="44582"/>
    <cellStyle name="Total 2 4 25 3 3" xfId="44583"/>
    <cellStyle name="Total 2 4 25 4" xfId="44584"/>
    <cellStyle name="Total 2 4 25 5" xfId="44585"/>
    <cellStyle name="Total 2 4 26" xfId="44586"/>
    <cellStyle name="Total 2 4 26 2" xfId="44587"/>
    <cellStyle name="Total 2 4 26 2 2" xfId="44588"/>
    <cellStyle name="Total 2 4 26 2 2 2" xfId="44589"/>
    <cellStyle name="Total 2 4 26 2 3" xfId="44590"/>
    <cellStyle name="Total 2 4 26 3" xfId="44591"/>
    <cellStyle name="Total 2 4 26 3 2" xfId="44592"/>
    <cellStyle name="Total 2 4 26 3 2 2" xfId="44593"/>
    <cellStyle name="Total 2 4 26 3 3" xfId="44594"/>
    <cellStyle name="Total 2 4 26 4" xfId="44595"/>
    <cellStyle name="Total 2 4 26 5" xfId="44596"/>
    <cellStyle name="Total 2 4 27" xfId="44597"/>
    <cellStyle name="Total 2 4 27 2" xfId="44598"/>
    <cellStyle name="Total 2 4 27 2 2" xfId="44599"/>
    <cellStyle name="Total 2 4 27 2 2 2" xfId="44600"/>
    <cellStyle name="Total 2 4 27 2 3" xfId="44601"/>
    <cellStyle name="Total 2 4 27 3" xfId="44602"/>
    <cellStyle name="Total 2 4 27 3 2" xfId="44603"/>
    <cellStyle name="Total 2 4 27 3 2 2" xfId="44604"/>
    <cellStyle name="Total 2 4 27 3 3" xfId="44605"/>
    <cellStyle name="Total 2 4 27 4" xfId="44606"/>
    <cellStyle name="Total 2 4 27 5" xfId="44607"/>
    <cellStyle name="Total 2 4 28" xfId="44608"/>
    <cellStyle name="Total 2 4 28 2" xfId="44609"/>
    <cellStyle name="Total 2 4 28 2 2" xfId="44610"/>
    <cellStyle name="Total 2 4 28 2 2 2" xfId="44611"/>
    <cellStyle name="Total 2 4 28 2 3" xfId="44612"/>
    <cellStyle name="Total 2 4 28 3" xfId="44613"/>
    <cellStyle name="Total 2 4 28 3 2" xfId="44614"/>
    <cellStyle name="Total 2 4 28 3 2 2" xfId="44615"/>
    <cellStyle name="Total 2 4 28 3 3" xfId="44616"/>
    <cellStyle name="Total 2 4 28 4" xfId="44617"/>
    <cellStyle name="Total 2 4 28 5" xfId="44618"/>
    <cellStyle name="Total 2 4 29" xfId="44619"/>
    <cellStyle name="Total 2 4 29 2" xfId="44620"/>
    <cellStyle name="Total 2 4 29 2 2" xfId="44621"/>
    <cellStyle name="Total 2 4 29 2 2 2" xfId="44622"/>
    <cellStyle name="Total 2 4 29 2 3" xfId="44623"/>
    <cellStyle name="Total 2 4 29 3" xfId="44624"/>
    <cellStyle name="Total 2 4 29 3 2" xfId="44625"/>
    <cellStyle name="Total 2 4 29 3 2 2" xfId="44626"/>
    <cellStyle name="Total 2 4 29 3 3" xfId="44627"/>
    <cellStyle name="Total 2 4 29 4" xfId="44628"/>
    <cellStyle name="Total 2 4 29 5" xfId="44629"/>
    <cellStyle name="Total 2 4 3" xfId="44630"/>
    <cellStyle name="Total 2 4 3 2" xfId="44631"/>
    <cellStyle name="Total 2 4 3 2 2" xfId="44632"/>
    <cellStyle name="Total 2 4 3 2 2 2" xfId="44633"/>
    <cellStyle name="Total 2 4 3 2 3" xfId="44634"/>
    <cellStyle name="Total 2 4 3 3" xfId="44635"/>
    <cellStyle name="Total 2 4 3 3 2" xfId="44636"/>
    <cellStyle name="Total 2 4 3 3 2 2" xfId="44637"/>
    <cellStyle name="Total 2 4 3 3 3" xfId="44638"/>
    <cellStyle name="Total 2 4 3 4" xfId="44639"/>
    <cellStyle name="Total 2 4 3 4 2" xfId="44640"/>
    <cellStyle name="Total 2 4 3 4 2 2" xfId="44641"/>
    <cellStyle name="Total 2 4 3 4 3" xfId="44642"/>
    <cellStyle name="Total 2 4 3 5" xfId="44643"/>
    <cellStyle name="Total 2 4 3 5 2" xfId="44644"/>
    <cellStyle name="Total 2 4 3 5 2 2" xfId="44645"/>
    <cellStyle name="Total 2 4 3 5 3" xfId="44646"/>
    <cellStyle name="Total 2 4 3 6" xfId="44647"/>
    <cellStyle name="Total 2 4 3 7" xfId="44648"/>
    <cellStyle name="Total 2 4 30" xfId="44649"/>
    <cellStyle name="Total 2 4 30 2" xfId="44650"/>
    <cellStyle name="Total 2 4 30 2 2" xfId="44651"/>
    <cellStyle name="Total 2 4 30 2 2 2" xfId="44652"/>
    <cellStyle name="Total 2 4 30 2 3" xfId="44653"/>
    <cellStyle name="Total 2 4 30 3" xfId="44654"/>
    <cellStyle name="Total 2 4 30 3 2" xfId="44655"/>
    <cellStyle name="Total 2 4 30 3 2 2" xfId="44656"/>
    <cellStyle name="Total 2 4 30 3 3" xfId="44657"/>
    <cellStyle name="Total 2 4 30 4" xfId="44658"/>
    <cellStyle name="Total 2 4 30 5" xfId="44659"/>
    <cellStyle name="Total 2 4 31" xfId="44660"/>
    <cellStyle name="Total 2 4 31 2" xfId="44661"/>
    <cellStyle name="Total 2 4 31 2 2" xfId="44662"/>
    <cellStyle name="Total 2 4 31 2 2 2" xfId="44663"/>
    <cellStyle name="Total 2 4 31 2 3" xfId="44664"/>
    <cellStyle name="Total 2 4 31 3" xfId="44665"/>
    <cellStyle name="Total 2 4 31 3 2" xfId="44666"/>
    <cellStyle name="Total 2 4 31 3 2 2" xfId="44667"/>
    <cellStyle name="Total 2 4 31 3 3" xfId="44668"/>
    <cellStyle name="Total 2 4 31 4" xfId="44669"/>
    <cellStyle name="Total 2 4 31 5" xfId="44670"/>
    <cellStyle name="Total 2 4 32" xfId="44671"/>
    <cellStyle name="Total 2 4 32 2" xfId="44672"/>
    <cellStyle name="Total 2 4 32 2 2" xfId="44673"/>
    <cellStyle name="Total 2 4 32 2 2 2" xfId="44674"/>
    <cellStyle name="Total 2 4 32 2 3" xfId="44675"/>
    <cellStyle name="Total 2 4 32 3" xfId="44676"/>
    <cellStyle name="Total 2 4 32 3 2" xfId="44677"/>
    <cellStyle name="Total 2 4 32 3 2 2" xfId="44678"/>
    <cellStyle name="Total 2 4 32 3 3" xfId="44679"/>
    <cellStyle name="Total 2 4 32 4" xfId="44680"/>
    <cellStyle name="Total 2 4 32 5" xfId="44681"/>
    <cellStyle name="Total 2 4 33" xfId="44682"/>
    <cellStyle name="Total 2 4 33 2" xfId="44683"/>
    <cellStyle name="Total 2 4 33 2 2" xfId="44684"/>
    <cellStyle name="Total 2 4 33 2 2 2" xfId="44685"/>
    <cellStyle name="Total 2 4 33 2 3" xfId="44686"/>
    <cellStyle name="Total 2 4 33 3" xfId="44687"/>
    <cellStyle name="Total 2 4 33 3 2" xfId="44688"/>
    <cellStyle name="Total 2 4 33 3 2 2" xfId="44689"/>
    <cellStyle name="Total 2 4 33 3 3" xfId="44690"/>
    <cellStyle name="Total 2 4 33 4" xfId="44691"/>
    <cellStyle name="Total 2 4 33 5" xfId="44692"/>
    <cellStyle name="Total 2 4 34" xfId="44693"/>
    <cellStyle name="Total 2 4 34 2" xfId="44694"/>
    <cellStyle name="Total 2 4 34 2 2" xfId="44695"/>
    <cellStyle name="Total 2 4 34 2 2 2" xfId="44696"/>
    <cellStyle name="Total 2 4 34 2 3" xfId="44697"/>
    <cellStyle name="Total 2 4 34 3" xfId="44698"/>
    <cellStyle name="Total 2 4 34 3 2" xfId="44699"/>
    <cellStyle name="Total 2 4 34 3 2 2" xfId="44700"/>
    <cellStyle name="Total 2 4 34 3 3" xfId="44701"/>
    <cellStyle name="Total 2 4 34 4" xfId="44702"/>
    <cellStyle name="Total 2 4 34 5" xfId="44703"/>
    <cellStyle name="Total 2 4 35" xfId="44704"/>
    <cellStyle name="Total 2 4 35 2" xfId="44705"/>
    <cellStyle name="Total 2 4 35 2 2" xfId="44706"/>
    <cellStyle name="Total 2 4 35 2 2 2" xfId="44707"/>
    <cellStyle name="Total 2 4 35 2 3" xfId="44708"/>
    <cellStyle name="Total 2 4 35 3" xfId="44709"/>
    <cellStyle name="Total 2 4 35 3 2" xfId="44710"/>
    <cellStyle name="Total 2 4 35 3 2 2" xfId="44711"/>
    <cellStyle name="Total 2 4 35 3 3" xfId="44712"/>
    <cellStyle name="Total 2 4 35 4" xfId="44713"/>
    <cellStyle name="Total 2 4 35 5" xfId="44714"/>
    <cellStyle name="Total 2 4 36" xfId="44715"/>
    <cellStyle name="Total 2 4 36 2" xfId="44716"/>
    <cellStyle name="Total 2 4 36 2 2" xfId="44717"/>
    <cellStyle name="Total 2 4 36 2 2 2" xfId="44718"/>
    <cellStyle name="Total 2 4 36 2 3" xfId="44719"/>
    <cellStyle name="Total 2 4 36 3" xfId="44720"/>
    <cellStyle name="Total 2 4 36 3 2" xfId="44721"/>
    <cellStyle name="Total 2 4 36 3 2 2" xfId="44722"/>
    <cellStyle name="Total 2 4 36 3 3" xfId="44723"/>
    <cellStyle name="Total 2 4 36 4" xfId="44724"/>
    <cellStyle name="Total 2 4 36 5" xfId="44725"/>
    <cellStyle name="Total 2 4 37" xfId="44726"/>
    <cellStyle name="Total 2 4 37 2" xfId="44727"/>
    <cellStyle name="Total 2 4 37 2 2" xfId="44728"/>
    <cellStyle name="Total 2 4 37 2 2 2" xfId="44729"/>
    <cellStyle name="Total 2 4 37 2 3" xfId="44730"/>
    <cellStyle name="Total 2 4 37 3" xfId="44731"/>
    <cellStyle name="Total 2 4 37 3 2" xfId="44732"/>
    <cellStyle name="Total 2 4 37 3 2 2" xfId="44733"/>
    <cellStyle name="Total 2 4 37 3 3" xfId="44734"/>
    <cellStyle name="Total 2 4 37 4" xfId="44735"/>
    <cellStyle name="Total 2 4 37 5" xfId="44736"/>
    <cellStyle name="Total 2 4 38" xfId="44737"/>
    <cellStyle name="Total 2 4 38 2" xfId="44738"/>
    <cellStyle name="Total 2 4 38 2 2" xfId="44739"/>
    <cellStyle name="Total 2 4 38 2 2 2" xfId="44740"/>
    <cellStyle name="Total 2 4 38 2 3" xfId="44741"/>
    <cellStyle name="Total 2 4 38 3" xfId="44742"/>
    <cellStyle name="Total 2 4 38 3 2" xfId="44743"/>
    <cellStyle name="Total 2 4 38 3 2 2" xfId="44744"/>
    <cellStyle name="Total 2 4 38 3 3" xfId="44745"/>
    <cellStyle name="Total 2 4 38 4" xfId="44746"/>
    <cellStyle name="Total 2 4 38 5" xfId="44747"/>
    <cellStyle name="Total 2 4 39" xfId="44748"/>
    <cellStyle name="Total 2 4 39 2" xfId="44749"/>
    <cellStyle name="Total 2 4 39 2 2" xfId="44750"/>
    <cellStyle name="Total 2 4 39 2 2 2" xfId="44751"/>
    <cellStyle name="Total 2 4 39 2 3" xfId="44752"/>
    <cellStyle name="Total 2 4 39 3" xfId="44753"/>
    <cellStyle name="Total 2 4 39 3 2" xfId="44754"/>
    <cellStyle name="Total 2 4 39 3 2 2" xfId="44755"/>
    <cellStyle name="Total 2 4 39 3 3" xfId="44756"/>
    <cellStyle name="Total 2 4 39 4" xfId="44757"/>
    <cellStyle name="Total 2 4 39 5" xfId="44758"/>
    <cellStyle name="Total 2 4 4" xfId="44759"/>
    <cellStyle name="Total 2 4 4 2" xfId="44760"/>
    <cellStyle name="Total 2 4 4 2 2" xfId="44761"/>
    <cellStyle name="Total 2 4 4 2 2 2" xfId="44762"/>
    <cellStyle name="Total 2 4 4 2 3" xfId="44763"/>
    <cellStyle name="Total 2 4 4 3" xfId="44764"/>
    <cellStyle name="Total 2 4 4 3 2" xfId="44765"/>
    <cellStyle name="Total 2 4 4 3 2 2" xfId="44766"/>
    <cellStyle name="Total 2 4 4 3 3" xfId="44767"/>
    <cellStyle name="Total 2 4 4 4" xfId="44768"/>
    <cellStyle name="Total 2 4 4 4 2" xfId="44769"/>
    <cellStyle name="Total 2 4 4 4 2 2" xfId="44770"/>
    <cellStyle name="Total 2 4 4 4 3" xfId="44771"/>
    <cellStyle name="Total 2 4 4 5" xfId="44772"/>
    <cellStyle name="Total 2 4 4 5 2" xfId="44773"/>
    <cellStyle name="Total 2 4 4 5 2 2" xfId="44774"/>
    <cellStyle name="Total 2 4 4 5 3" xfId="44775"/>
    <cellStyle name="Total 2 4 4 6" xfId="44776"/>
    <cellStyle name="Total 2 4 4 7" xfId="44777"/>
    <cellStyle name="Total 2 4 40" xfId="44778"/>
    <cellStyle name="Total 2 4 40 2" xfId="44779"/>
    <cellStyle name="Total 2 4 40 2 2" xfId="44780"/>
    <cellStyle name="Total 2 4 40 2 2 2" xfId="44781"/>
    <cellStyle name="Total 2 4 40 2 3" xfId="44782"/>
    <cellStyle name="Total 2 4 40 3" xfId="44783"/>
    <cellStyle name="Total 2 4 40 3 2" xfId="44784"/>
    <cellStyle name="Total 2 4 40 3 2 2" xfId="44785"/>
    <cellStyle name="Total 2 4 40 3 3" xfId="44786"/>
    <cellStyle name="Total 2 4 40 4" xfId="44787"/>
    <cellStyle name="Total 2 4 40 5" xfId="44788"/>
    <cellStyle name="Total 2 4 41" xfId="44789"/>
    <cellStyle name="Total 2 4 41 2" xfId="44790"/>
    <cellStyle name="Total 2 4 41 2 2" xfId="44791"/>
    <cellStyle name="Total 2 4 41 2 2 2" xfId="44792"/>
    <cellStyle name="Total 2 4 41 2 3" xfId="44793"/>
    <cellStyle name="Total 2 4 41 3" xfId="44794"/>
    <cellStyle name="Total 2 4 41 3 2" xfId="44795"/>
    <cellStyle name="Total 2 4 41 3 2 2" xfId="44796"/>
    <cellStyle name="Total 2 4 41 3 3" xfId="44797"/>
    <cellStyle name="Total 2 4 41 4" xfId="44798"/>
    <cellStyle name="Total 2 4 41 5" xfId="44799"/>
    <cellStyle name="Total 2 4 42" xfId="44800"/>
    <cellStyle name="Total 2 4 42 2" xfId="44801"/>
    <cellStyle name="Total 2 4 42 2 2" xfId="44802"/>
    <cellStyle name="Total 2 4 42 2 2 2" xfId="44803"/>
    <cellStyle name="Total 2 4 42 2 3" xfId="44804"/>
    <cellStyle name="Total 2 4 42 3" xfId="44805"/>
    <cellStyle name="Total 2 4 42 3 2" xfId="44806"/>
    <cellStyle name="Total 2 4 42 3 2 2" xfId="44807"/>
    <cellStyle name="Total 2 4 42 3 3" xfId="44808"/>
    <cellStyle name="Total 2 4 42 4" xfId="44809"/>
    <cellStyle name="Total 2 4 42 5" xfId="44810"/>
    <cellStyle name="Total 2 4 43" xfId="44811"/>
    <cellStyle name="Total 2 4 43 2" xfId="44812"/>
    <cellStyle name="Total 2 4 43 2 2" xfId="44813"/>
    <cellStyle name="Total 2 4 43 2 2 2" xfId="44814"/>
    <cellStyle name="Total 2 4 43 2 3" xfId="44815"/>
    <cellStyle name="Total 2 4 43 3" xfId="44816"/>
    <cellStyle name="Total 2 4 43 3 2" xfId="44817"/>
    <cellStyle name="Total 2 4 43 3 2 2" xfId="44818"/>
    <cellStyle name="Total 2 4 43 3 3" xfId="44819"/>
    <cellStyle name="Total 2 4 43 4" xfId="44820"/>
    <cellStyle name="Total 2 4 43 5" xfId="44821"/>
    <cellStyle name="Total 2 4 44" xfId="44822"/>
    <cellStyle name="Total 2 4 44 2" xfId="44823"/>
    <cellStyle name="Total 2 4 44 2 2" xfId="44824"/>
    <cellStyle name="Total 2 4 44 2 2 2" xfId="44825"/>
    <cellStyle name="Total 2 4 44 2 3" xfId="44826"/>
    <cellStyle name="Total 2 4 44 3" xfId="44827"/>
    <cellStyle name="Total 2 4 44 3 2" xfId="44828"/>
    <cellStyle name="Total 2 4 44 3 2 2" xfId="44829"/>
    <cellStyle name="Total 2 4 44 3 3" xfId="44830"/>
    <cellStyle name="Total 2 4 44 4" xfId="44831"/>
    <cellStyle name="Total 2 4 44 5" xfId="44832"/>
    <cellStyle name="Total 2 4 45" xfId="44833"/>
    <cellStyle name="Total 2 4 45 2" xfId="44834"/>
    <cellStyle name="Total 2 4 45 2 2" xfId="44835"/>
    <cellStyle name="Total 2 4 45 2 2 2" xfId="44836"/>
    <cellStyle name="Total 2 4 45 2 3" xfId="44837"/>
    <cellStyle name="Total 2 4 45 3" xfId="44838"/>
    <cellStyle name="Total 2 4 45 3 2" xfId="44839"/>
    <cellStyle name="Total 2 4 45 3 2 2" xfId="44840"/>
    <cellStyle name="Total 2 4 45 3 3" xfId="44841"/>
    <cellStyle name="Total 2 4 45 4" xfId="44842"/>
    <cellStyle name="Total 2 4 45 5" xfId="44843"/>
    <cellStyle name="Total 2 4 46" xfId="44844"/>
    <cellStyle name="Total 2 4 46 2" xfId="44845"/>
    <cellStyle name="Total 2 4 46 2 2" xfId="44846"/>
    <cellStyle name="Total 2 4 46 2 2 2" xfId="44847"/>
    <cellStyle name="Total 2 4 46 2 3" xfId="44848"/>
    <cellStyle name="Total 2 4 46 3" xfId="44849"/>
    <cellStyle name="Total 2 4 46 3 2" xfId="44850"/>
    <cellStyle name="Total 2 4 46 3 2 2" xfId="44851"/>
    <cellStyle name="Total 2 4 46 3 3" xfId="44852"/>
    <cellStyle name="Total 2 4 46 4" xfId="44853"/>
    <cellStyle name="Total 2 4 46 5" xfId="44854"/>
    <cellStyle name="Total 2 4 47" xfId="44855"/>
    <cellStyle name="Total 2 4 47 2" xfId="44856"/>
    <cellStyle name="Total 2 4 47 2 2" xfId="44857"/>
    <cellStyle name="Total 2 4 47 2 2 2" xfId="44858"/>
    <cellStyle name="Total 2 4 47 2 3" xfId="44859"/>
    <cellStyle name="Total 2 4 47 3" xfId="44860"/>
    <cellStyle name="Total 2 4 47 3 2" xfId="44861"/>
    <cellStyle name="Total 2 4 47 3 2 2" xfId="44862"/>
    <cellStyle name="Total 2 4 47 3 3" xfId="44863"/>
    <cellStyle name="Total 2 4 47 4" xfId="44864"/>
    <cellStyle name="Total 2 4 47 5" xfId="44865"/>
    <cellStyle name="Total 2 4 48" xfId="44866"/>
    <cellStyle name="Total 2 4 48 2" xfId="44867"/>
    <cellStyle name="Total 2 4 48 2 2" xfId="44868"/>
    <cellStyle name="Total 2 4 48 2 2 2" xfId="44869"/>
    <cellStyle name="Total 2 4 48 2 3" xfId="44870"/>
    <cellStyle name="Total 2 4 48 3" xfId="44871"/>
    <cellStyle name="Total 2 4 48 3 2" xfId="44872"/>
    <cellStyle name="Total 2 4 48 3 2 2" xfId="44873"/>
    <cellStyle name="Total 2 4 48 3 3" xfId="44874"/>
    <cellStyle name="Total 2 4 48 4" xfId="44875"/>
    <cellStyle name="Total 2 4 48 5" xfId="44876"/>
    <cellStyle name="Total 2 4 49" xfId="44877"/>
    <cellStyle name="Total 2 4 49 2" xfId="44878"/>
    <cellStyle name="Total 2 4 49 2 2" xfId="44879"/>
    <cellStyle name="Total 2 4 49 3" xfId="44880"/>
    <cellStyle name="Total 2 4 5" xfId="44881"/>
    <cellStyle name="Total 2 4 5 2" xfId="44882"/>
    <cellStyle name="Total 2 4 5 2 2" xfId="44883"/>
    <cellStyle name="Total 2 4 5 2 2 2" xfId="44884"/>
    <cellStyle name="Total 2 4 5 2 3" xfId="44885"/>
    <cellStyle name="Total 2 4 5 3" xfId="44886"/>
    <cellStyle name="Total 2 4 5 3 2" xfId="44887"/>
    <cellStyle name="Total 2 4 5 3 2 2" xfId="44888"/>
    <cellStyle name="Total 2 4 5 3 3" xfId="44889"/>
    <cellStyle name="Total 2 4 5 4" xfId="44890"/>
    <cellStyle name="Total 2 4 5 4 2" xfId="44891"/>
    <cellStyle name="Total 2 4 5 4 2 2" xfId="44892"/>
    <cellStyle name="Total 2 4 5 4 3" xfId="44893"/>
    <cellStyle name="Total 2 4 5 5" xfId="44894"/>
    <cellStyle name="Total 2 4 5 5 2" xfId="44895"/>
    <cellStyle name="Total 2 4 5 5 2 2" xfId="44896"/>
    <cellStyle name="Total 2 4 5 5 3" xfId="44897"/>
    <cellStyle name="Total 2 4 5 6" xfId="44898"/>
    <cellStyle name="Total 2 4 5 7" xfId="44899"/>
    <cellStyle name="Total 2 4 50" xfId="44900"/>
    <cellStyle name="Total 2 4 50 2" xfId="44901"/>
    <cellStyle name="Total 2 4 50 2 2" xfId="44902"/>
    <cellStyle name="Total 2 4 50 3" xfId="44903"/>
    <cellStyle name="Total 2 4 51" xfId="44904"/>
    <cellStyle name="Total 2 4 51 2" xfId="44905"/>
    <cellStyle name="Total 2 4 51 2 2" xfId="44906"/>
    <cellStyle name="Total 2 4 51 3" xfId="44907"/>
    <cellStyle name="Total 2 4 52" xfId="44908"/>
    <cellStyle name="Total 2 4 52 2" xfId="44909"/>
    <cellStyle name="Total 2 4 52 2 2" xfId="44910"/>
    <cellStyle name="Total 2 4 52 3" xfId="44911"/>
    <cellStyle name="Total 2 4 53" xfId="44912"/>
    <cellStyle name="Total 2 4 54" xfId="44913"/>
    <cellStyle name="Total 2 4 6" xfId="44914"/>
    <cellStyle name="Total 2 4 6 2" xfId="44915"/>
    <cellStyle name="Total 2 4 6 2 2" xfId="44916"/>
    <cellStyle name="Total 2 4 6 2 2 2" xfId="44917"/>
    <cellStyle name="Total 2 4 6 2 3" xfId="44918"/>
    <cellStyle name="Total 2 4 6 3" xfId="44919"/>
    <cellStyle name="Total 2 4 6 3 2" xfId="44920"/>
    <cellStyle name="Total 2 4 6 3 2 2" xfId="44921"/>
    <cellStyle name="Total 2 4 6 3 3" xfId="44922"/>
    <cellStyle name="Total 2 4 6 4" xfId="44923"/>
    <cellStyle name="Total 2 4 6 4 2" xfId="44924"/>
    <cellStyle name="Total 2 4 6 4 2 2" xfId="44925"/>
    <cellStyle name="Total 2 4 6 4 3" xfId="44926"/>
    <cellStyle name="Total 2 4 6 5" xfId="44927"/>
    <cellStyle name="Total 2 4 6 5 2" xfId="44928"/>
    <cellStyle name="Total 2 4 6 5 2 2" xfId="44929"/>
    <cellStyle name="Total 2 4 6 5 3" xfId="44930"/>
    <cellStyle name="Total 2 4 6 6" xfId="44931"/>
    <cellStyle name="Total 2 4 6 7" xfId="44932"/>
    <cellStyle name="Total 2 4 7" xfId="44933"/>
    <cellStyle name="Total 2 4 7 2" xfId="44934"/>
    <cellStyle name="Total 2 4 7 2 2" xfId="44935"/>
    <cellStyle name="Total 2 4 7 2 2 2" xfId="44936"/>
    <cellStyle name="Total 2 4 7 2 3" xfId="44937"/>
    <cellStyle name="Total 2 4 7 3" xfId="44938"/>
    <cellStyle name="Total 2 4 7 3 2" xfId="44939"/>
    <cellStyle name="Total 2 4 7 3 2 2" xfId="44940"/>
    <cellStyle name="Total 2 4 7 3 3" xfId="44941"/>
    <cellStyle name="Total 2 4 7 4" xfId="44942"/>
    <cellStyle name="Total 2 4 7 4 2" xfId="44943"/>
    <cellStyle name="Total 2 4 7 4 2 2" xfId="44944"/>
    <cellStyle name="Total 2 4 7 4 3" xfId="44945"/>
    <cellStyle name="Total 2 4 7 5" xfId="44946"/>
    <cellStyle name="Total 2 4 7 5 2" xfId="44947"/>
    <cellStyle name="Total 2 4 7 5 2 2" xfId="44948"/>
    <cellStyle name="Total 2 4 7 5 3" xfId="44949"/>
    <cellStyle name="Total 2 4 7 6" xfId="44950"/>
    <cellStyle name="Total 2 4 7 7" xfId="44951"/>
    <cellStyle name="Total 2 4 8" xfId="44952"/>
    <cellStyle name="Total 2 4 8 2" xfId="44953"/>
    <cellStyle name="Total 2 4 8 2 2" xfId="44954"/>
    <cellStyle name="Total 2 4 8 2 2 2" xfId="44955"/>
    <cellStyle name="Total 2 4 8 2 3" xfId="44956"/>
    <cellStyle name="Total 2 4 8 3" xfId="44957"/>
    <cellStyle name="Total 2 4 8 3 2" xfId="44958"/>
    <cellStyle name="Total 2 4 8 3 2 2" xfId="44959"/>
    <cellStyle name="Total 2 4 8 3 3" xfId="44960"/>
    <cellStyle name="Total 2 4 8 4" xfId="44961"/>
    <cellStyle name="Total 2 4 8 4 2" xfId="44962"/>
    <cellStyle name="Total 2 4 8 4 2 2" xfId="44963"/>
    <cellStyle name="Total 2 4 8 4 3" xfId="44964"/>
    <cellStyle name="Total 2 4 8 5" xfId="44965"/>
    <cellStyle name="Total 2 4 8 5 2" xfId="44966"/>
    <cellStyle name="Total 2 4 8 5 2 2" xfId="44967"/>
    <cellStyle name="Total 2 4 8 5 3" xfId="44968"/>
    <cellStyle name="Total 2 4 8 6" xfId="44969"/>
    <cellStyle name="Total 2 4 8 7" xfId="44970"/>
    <cellStyle name="Total 2 4 9" xfId="44971"/>
    <cellStyle name="Total 2 4 9 2" xfId="44972"/>
    <cellStyle name="Total 2 4 9 2 2" xfId="44973"/>
    <cellStyle name="Total 2 4 9 2 2 2" xfId="44974"/>
    <cellStyle name="Total 2 4 9 2 3" xfId="44975"/>
    <cellStyle name="Total 2 4 9 3" xfId="44976"/>
    <cellStyle name="Total 2 4 9 3 2" xfId="44977"/>
    <cellStyle name="Total 2 4 9 3 2 2" xfId="44978"/>
    <cellStyle name="Total 2 4 9 3 3" xfId="44979"/>
    <cellStyle name="Total 2 4 9 4" xfId="44980"/>
    <cellStyle name="Total 2 4 9 5" xfId="44981"/>
    <cellStyle name="Total 2 5" xfId="44982"/>
    <cellStyle name="Total 2 5 10" xfId="44983"/>
    <cellStyle name="Total 2 5 10 2" xfId="44984"/>
    <cellStyle name="Total 2 5 10 2 2" xfId="44985"/>
    <cellStyle name="Total 2 5 10 2 2 2" xfId="44986"/>
    <cellStyle name="Total 2 5 10 2 3" xfId="44987"/>
    <cellStyle name="Total 2 5 10 3" xfId="44988"/>
    <cellStyle name="Total 2 5 10 3 2" xfId="44989"/>
    <cellStyle name="Total 2 5 10 3 2 2" xfId="44990"/>
    <cellStyle name="Total 2 5 10 3 3" xfId="44991"/>
    <cellStyle name="Total 2 5 10 4" xfId="44992"/>
    <cellStyle name="Total 2 5 10 5" xfId="44993"/>
    <cellStyle name="Total 2 5 11" xfId="44994"/>
    <cellStyle name="Total 2 5 11 2" xfId="44995"/>
    <cellStyle name="Total 2 5 11 2 2" xfId="44996"/>
    <cellStyle name="Total 2 5 11 2 2 2" xfId="44997"/>
    <cellStyle name="Total 2 5 11 2 3" xfId="44998"/>
    <cellStyle name="Total 2 5 11 3" xfId="44999"/>
    <cellStyle name="Total 2 5 11 3 2" xfId="45000"/>
    <cellStyle name="Total 2 5 11 3 2 2" xfId="45001"/>
    <cellStyle name="Total 2 5 11 3 3" xfId="45002"/>
    <cellStyle name="Total 2 5 11 4" xfId="45003"/>
    <cellStyle name="Total 2 5 11 5" xfId="45004"/>
    <cellStyle name="Total 2 5 12" xfId="45005"/>
    <cellStyle name="Total 2 5 12 2" xfId="45006"/>
    <cellStyle name="Total 2 5 12 2 2" xfId="45007"/>
    <cellStyle name="Total 2 5 12 2 2 2" xfId="45008"/>
    <cellStyle name="Total 2 5 12 2 3" xfId="45009"/>
    <cellStyle name="Total 2 5 12 3" xfId="45010"/>
    <cellStyle name="Total 2 5 12 3 2" xfId="45011"/>
    <cellStyle name="Total 2 5 12 3 2 2" xfId="45012"/>
    <cellStyle name="Total 2 5 12 3 3" xfId="45013"/>
    <cellStyle name="Total 2 5 12 4" xfId="45014"/>
    <cellStyle name="Total 2 5 12 5" xfId="45015"/>
    <cellStyle name="Total 2 5 13" xfId="45016"/>
    <cellStyle name="Total 2 5 13 2" xfId="45017"/>
    <cellStyle name="Total 2 5 13 2 2" xfId="45018"/>
    <cellStyle name="Total 2 5 13 2 2 2" xfId="45019"/>
    <cellStyle name="Total 2 5 13 2 3" xfId="45020"/>
    <cellStyle name="Total 2 5 13 3" xfId="45021"/>
    <cellStyle name="Total 2 5 13 3 2" xfId="45022"/>
    <cellStyle name="Total 2 5 13 3 2 2" xfId="45023"/>
    <cellStyle name="Total 2 5 13 3 3" xfId="45024"/>
    <cellStyle name="Total 2 5 13 4" xfId="45025"/>
    <cellStyle name="Total 2 5 13 5" xfId="45026"/>
    <cellStyle name="Total 2 5 14" xfId="45027"/>
    <cellStyle name="Total 2 5 14 2" xfId="45028"/>
    <cellStyle name="Total 2 5 14 2 2" xfId="45029"/>
    <cellStyle name="Total 2 5 14 2 2 2" xfId="45030"/>
    <cellStyle name="Total 2 5 14 2 3" xfId="45031"/>
    <cellStyle name="Total 2 5 14 3" xfId="45032"/>
    <cellStyle name="Total 2 5 14 3 2" xfId="45033"/>
    <cellStyle name="Total 2 5 14 3 2 2" xfId="45034"/>
    <cellStyle name="Total 2 5 14 3 3" xfId="45035"/>
    <cellStyle name="Total 2 5 14 4" xfId="45036"/>
    <cellStyle name="Total 2 5 14 5" xfId="45037"/>
    <cellStyle name="Total 2 5 15" xfId="45038"/>
    <cellStyle name="Total 2 5 15 2" xfId="45039"/>
    <cellStyle name="Total 2 5 15 2 2" xfId="45040"/>
    <cellStyle name="Total 2 5 15 2 2 2" xfId="45041"/>
    <cellStyle name="Total 2 5 15 2 3" xfId="45042"/>
    <cellStyle name="Total 2 5 15 3" xfId="45043"/>
    <cellStyle name="Total 2 5 15 3 2" xfId="45044"/>
    <cellStyle name="Total 2 5 15 3 2 2" xfId="45045"/>
    <cellStyle name="Total 2 5 15 3 3" xfId="45046"/>
    <cellStyle name="Total 2 5 15 4" xfId="45047"/>
    <cellStyle name="Total 2 5 15 5" xfId="45048"/>
    <cellStyle name="Total 2 5 16" xfId="45049"/>
    <cellStyle name="Total 2 5 16 2" xfId="45050"/>
    <cellStyle name="Total 2 5 16 2 2" xfId="45051"/>
    <cellStyle name="Total 2 5 16 2 2 2" xfId="45052"/>
    <cellStyle name="Total 2 5 16 2 3" xfId="45053"/>
    <cellStyle name="Total 2 5 16 3" xfId="45054"/>
    <cellStyle name="Total 2 5 16 3 2" xfId="45055"/>
    <cellStyle name="Total 2 5 16 3 2 2" xfId="45056"/>
    <cellStyle name="Total 2 5 16 3 3" xfId="45057"/>
    <cellStyle name="Total 2 5 16 4" xfId="45058"/>
    <cellStyle name="Total 2 5 16 5" xfId="45059"/>
    <cellStyle name="Total 2 5 17" xfId="45060"/>
    <cellStyle name="Total 2 5 17 2" xfId="45061"/>
    <cellStyle name="Total 2 5 17 2 2" xfId="45062"/>
    <cellStyle name="Total 2 5 17 2 2 2" xfId="45063"/>
    <cellStyle name="Total 2 5 17 2 3" xfId="45064"/>
    <cellStyle name="Total 2 5 17 3" xfId="45065"/>
    <cellStyle name="Total 2 5 17 3 2" xfId="45066"/>
    <cellStyle name="Total 2 5 17 3 2 2" xfId="45067"/>
    <cellStyle name="Total 2 5 17 3 3" xfId="45068"/>
    <cellStyle name="Total 2 5 17 4" xfId="45069"/>
    <cellStyle name="Total 2 5 17 5" xfId="45070"/>
    <cellStyle name="Total 2 5 18" xfId="45071"/>
    <cellStyle name="Total 2 5 18 2" xfId="45072"/>
    <cellStyle name="Total 2 5 18 2 2" xfId="45073"/>
    <cellStyle name="Total 2 5 18 2 2 2" xfId="45074"/>
    <cellStyle name="Total 2 5 18 2 3" xfId="45075"/>
    <cellStyle name="Total 2 5 18 3" xfId="45076"/>
    <cellStyle name="Total 2 5 18 3 2" xfId="45077"/>
    <cellStyle name="Total 2 5 18 3 2 2" xfId="45078"/>
    <cellStyle name="Total 2 5 18 3 3" xfId="45079"/>
    <cellStyle name="Total 2 5 18 4" xfId="45080"/>
    <cellStyle name="Total 2 5 18 5" xfId="45081"/>
    <cellStyle name="Total 2 5 19" xfId="45082"/>
    <cellStyle name="Total 2 5 19 2" xfId="45083"/>
    <cellStyle name="Total 2 5 19 2 2" xfId="45084"/>
    <cellStyle name="Total 2 5 19 2 2 2" xfId="45085"/>
    <cellStyle name="Total 2 5 19 2 3" xfId="45086"/>
    <cellStyle name="Total 2 5 19 3" xfId="45087"/>
    <cellStyle name="Total 2 5 19 3 2" xfId="45088"/>
    <cellStyle name="Total 2 5 19 3 2 2" xfId="45089"/>
    <cellStyle name="Total 2 5 19 3 3" xfId="45090"/>
    <cellStyle name="Total 2 5 19 4" xfId="45091"/>
    <cellStyle name="Total 2 5 19 5" xfId="45092"/>
    <cellStyle name="Total 2 5 2" xfId="45093"/>
    <cellStyle name="Total 2 5 2 2" xfId="45094"/>
    <cellStyle name="Total 2 5 2 2 2" xfId="45095"/>
    <cellStyle name="Total 2 5 2 2 2 2" xfId="45096"/>
    <cellStyle name="Total 2 5 2 2 3" xfId="45097"/>
    <cellStyle name="Total 2 5 2 3" xfId="45098"/>
    <cellStyle name="Total 2 5 2 3 2" xfId="45099"/>
    <cellStyle name="Total 2 5 2 3 2 2" xfId="45100"/>
    <cellStyle name="Total 2 5 2 3 3" xfId="45101"/>
    <cellStyle name="Total 2 5 2 4" xfId="45102"/>
    <cellStyle name="Total 2 5 2 4 2" xfId="45103"/>
    <cellStyle name="Total 2 5 2 4 2 2" xfId="45104"/>
    <cellStyle name="Total 2 5 2 4 3" xfId="45105"/>
    <cellStyle name="Total 2 5 2 5" xfId="45106"/>
    <cellStyle name="Total 2 5 2 5 2" xfId="45107"/>
    <cellStyle name="Total 2 5 2 5 2 2" xfId="45108"/>
    <cellStyle name="Total 2 5 2 5 3" xfId="45109"/>
    <cellStyle name="Total 2 5 2 6" xfId="45110"/>
    <cellStyle name="Total 2 5 2 7" xfId="45111"/>
    <cellStyle name="Total 2 5 20" xfId="45112"/>
    <cellStyle name="Total 2 5 20 2" xfId="45113"/>
    <cellStyle name="Total 2 5 20 2 2" xfId="45114"/>
    <cellStyle name="Total 2 5 20 2 2 2" xfId="45115"/>
    <cellStyle name="Total 2 5 20 2 3" xfId="45116"/>
    <cellStyle name="Total 2 5 20 3" xfId="45117"/>
    <cellStyle name="Total 2 5 20 3 2" xfId="45118"/>
    <cellStyle name="Total 2 5 20 3 2 2" xfId="45119"/>
    <cellStyle name="Total 2 5 20 3 3" xfId="45120"/>
    <cellStyle name="Total 2 5 20 4" xfId="45121"/>
    <cellStyle name="Total 2 5 20 5" xfId="45122"/>
    <cellStyle name="Total 2 5 21" xfId="45123"/>
    <cellStyle name="Total 2 5 21 2" xfId="45124"/>
    <cellStyle name="Total 2 5 21 2 2" xfId="45125"/>
    <cellStyle name="Total 2 5 21 2 2 2" xfId="45126"/>
    <cellStyle name="Total 2 5 21 2 3" xfId="45127"/>
    <cellStyle name="Total 2 5 21 3" xfId="45128"/>
    <cellStyle name="Total 2 5 21 3 2" xfId="45129"/>
    <cellStyle name="Total 2 5 21 3 2 2" xfId="45130"/>
    <cellStyle name="Total 2 5 21 3 3" xfId="45131"/>
    <cellStyle name="Total 2 5 21 4" xfId="45132"/>
    <cellStyle name="Total 2 5 21 5" xfId="45133"/>
    <cellStyle name="Total 2 5 22" xfId="45134"/>
    <cellStyle name="Total 2 5 22 2" xfId="45135"/>
    <cellStyle name="Total 2 5 22 2 2" xfId="45136"/>
    <cellStyle name="Total 2 5 22 2 2 2" xfId="45137"/>
    <cellStyle name="Total 2 5 22 2 3" xfId="45138"/>
    <cellStyle name="Total 2 5 22 3" xfId="45139"/>
    <cellStyle name="Total 2 5 22 3 2" xfId="45140"/>
    <cellStyle name="Total 2 5 22 3 2 2" xfId="45141"/>
    <cellStyle name="Total 2 5 22 3 3" xfId="45142"/>
    <cellStyle name="Total 2 5 22 4" xfId="45143"/>
    <cellStyle name="Total 2 5 22 5" xfId="45144"/>
    <cellStyle name="Total 2 5 23" xfId="45145"/>
    <cellStyle name="Total 2 5 23 2" xfId="45146"/>
    <cellStyle name="Total 2 5 23 2 2" xfId="45147"/>
    <cellStyle name="Total 2 5 23 2 2 2" xfId="45148"/>
    <cellStyle name="Total 2 5 23 2 3" xfId="45149"/>
    <cellStyle name="Total 2 5 23 3" xfId="45150"/>
    <cellStyle name="Total 2 5 23 3 2" xfId="45151"/>
    <cellStyle name="Total 2 5 23 3 2 2" xfId="45152"/>
    <cellStyle name="Total 2 5 23 3 3" xfId="45153"/>
    <cellStyle name="Total 2 5 23 4" xfId="45154"/>
    <cellStyle name="Total 2 5 23 5" xfId="45155"/>
    <cellStyle name="Total 2 5 24" xfId="45156"/>
    <cellStyle name="Total 2 5 24 2" xfId="45157"/>
    <cellStyle name="Total 2 5 24 2 2" xfId="45158"/>
    <cellStyle name="Total 2 5 24 2 2 2" xfId="45159"/>
    <cellStyle name="Total 2 5 24 2 3" xfId="45160"/>
    <cellStyle name="Total 2 5 24 3" xfId="45161"/>
    <cellStyle name="Total 2 5 24 3 2" xfId="45162"/>
    <cellStyle name="Total 2 5 24 3 2 2" xfId="45163"/>
    <cellStyle name="Total 2 5 24 3 3" xfId="45164"/>
    <cellStyle name="Total 2 5 24 4" xfId="45165"/>
    <cellStyle name="Total 2 5 24 5" xfId="45166"/>
    <cellStyle name="Total 2 5 25" xfId="45167"/>
    <cellStyle name="Total 2 5 25 2" xfId="45168"/>
    <cellStyle name="Total 2 5 25 2 2" xfId="45169"/>
    <cellStyle name="Total 2 5 25 2 2 2" xfId="45170"/>
    <cellStyle name="Total 2 5 25 2 3" xfId="45171"/>
    <cellStyle name="Total 2 5 25 3" xfId="45172"/>
    <cellStyle name="Total 2 5 25 3 2" xfId="45173"/>
    <cellStyle name="Total 2 5 25 3 2 2" xfId="45174"/>
    <cellStyle name="Total 2 5 25 3 3" xfId="45175"/>
    <cellStyle name="Total 2 5 25 4" xfId="45176"/>
    <cellStyle name="Total 2 5 25 5" xfId="45177"/>
    <cellStyle name="Total 2 5 26" xfId="45178"/>
    <cellStyle name="Total 2 5 26 2" xfId="45179"/>
    <cellStyle name="Total 2 5 26 2 2" xfId="45180"/>
    <cellStyle name="Total 2 5 26 2 2 2" xfId="45181"/>
    <cellStyle name="Total 2 5 26 2 3" xfId="45182"/>
    <cellStyle name="Total 2 5 26 3" xfId="45183"/>
    <cellStyle name="Total 2 5 26 3 2" xfId="45184"/>
    <cellStyle name="Total 2 5 26 3 2 2" xfId="45185"/>
    <cellStyle name="Total 2 5 26 3 3" xfId="45186"/>
    <cellStyle name="Total 2 5 26 4" xfId="45187"/>
    <cellStyle name="Total 2 5 26 5" xfId="45188"/>
    <cellStyle name="Total 2 5 27" xfId="45189"/>
    <cellStyle name="Total 2 5 27 2" xfId="45190"/>
    <cellStyle name="Total 2 5 27 2 2" xfId="45191"/>
    <cellStyle name="Total 2 5 27 2 2 2" xfId="45192"/>
    <cellStyle name="Total 2 5 27 2 3" xfId="45193"/>
    <cellStyle name="Total 2 5 27 3" xfId="45194"/>
    <cellStyle name="Total 2 5 27 3 2" xfId="45195"/>
    <cellStyle name="Total 2 5 27 3 2 2" xfId="45196"/>
    <cellStyle name="Total 2 5 27 3 3" xfId="45197"/>
    <cellStyle name="Total 2 5 27 4" xfId="45198"/>
    <cellStyle name="Total 2 5 27 5" xfId="45199"/>
    <cellStyle name="Total 2 5 28" xfId="45200"/>
    <cellStyle name="Total 2 5 28 2" xfId="45201"/>
    <cellStyle name="Total 2 5 28 2 2" xfId="45202"/>
    <cellStyle name="Total 2 5 28 2 2 2" xfId="45203"/>
    <cellStyle name="Total 2 5 28 2 3" xfId="45204"/>
    <cellStyle name="Total 2 5 28 3" xfId="45205"/>
    <cellStyle name="Total 2 5 28 3 2" xfId="45206"/>
    <cellStyle name="Total 2 5 28 3 2 2" xfId="45207"/>
    <cellStyle name="Total 2 5 28 3 3" xfId="45208"/>
    <cellStyle name="Total 2 5 28 4" xfId="45209"/>
    <cellStyle name="Total 2 5 28 5" xfId="45210"/>
    <cellStyle name="Total 2 5 29" xfId="45211"/>
    <cellStyle name="Total 2 5 29 2" xfId="45212"/>
    <cellStyle name="Total 2 5 29 2 2" xfId="45213"/>
    <cellStyle name="Total 2 5 29 2 2 2" xfId="45214"/>
    <cellStyle name="Total 2 5 29 2 3" xfId="45215"/>
    <cellStyle name="Total 2 5 29 3" xfId="45216"/>
    <cellStyle name="Total 2 5 29 3 2" xfId="45217"/>
    <cellStyle name="Total 2 5 29 3 2 2" xfId="45218"/>
    <cellStyle name="Total 2 5 29 3 3" xfId="45219"/>
    <cellStyle name="Total 2 5 29 4" xfId="45220"/>
    <cellStyle name="Total 2 5 29 5" xfId="45221"/>
    <cellStyle name="Total 2 5 3" xfId="45222"/>
    <cellStyle name="Total 2 5 3 2" xfId="45223"/>
    <cellStyle name="Total 2 5 3 2 2" xfId="45224"/>
    <cellStyle name="Total 2 5 3 2 2 2" xfId="45225"/>
    <cellStyle name="Total 2 5 3 2 3" xfId="45226"/>
    <cellStyle name="Total 2 5 3 3" xfId="45227"/>
    <cellStyle name="Total 2 5 3 3 2" xfId="45228"/>
    <cellStyle name="Total 2 5 3 3 2 2" xfId="45229"/>
    <cellStyle name="Total 2 5 3 3 3" xfId="45230"/>
    <cellStyle name="Total 2 5 3 4" xfId="45231"/>
    <cellStyle name="Total 2 5 3 4 2" xfId="45232"/>
    <cellStyle name="Total 2 5 3 4 2 2" xfId="45233"/>
    <cellStyle name="Total 2 5 3 4 3" xfId="45234"/>
    <cellStyle name="Total 2 5 3 5" xfId="45235"/>
    <cellStyle name="Total 2 5 3 5 2" xfId="45236"/>
    <cellStyle name="Total 2 5 3 5 2 2" xfId="45237"/>
    <cellStyle name="Total 2 5 3 5 3" xfId="45238"/>
    <cellStyle name="Total 2 5 3 6" xfId="45239"/>
    <cellStyle name="Total 2 5 3 7" xfId="45240"/>
    <cellStyle name="Total 2 5 30" xfId="45241"/>
    <cellStyle name="Total 2 5 30 2" xfId="45242"/>
    <cellStyle name="Total 2 5 30 2 2" xfId="45243"/>
    <cellStyle name="Total 2 5 30 2 2 2" xfId="45244"/>
    <cellStyle name="Total 2 5 30 2 3" xfId="45245"/>
    <cellStyle name="Total 2 5 30 3" xfId="45246"/>
    <cellStyle name="Total 2 5 30 3 2" xfId="45247"/>
    <cellStyle name="Total 2 5 30 3 2 2" xfId="45248"/>
    <cellStyle name="Total 2 5 30 3 3" xfId="45249"/>
    <cellStyle name="Total 2 5 30 4" xfId="45250"/>
    <cellStyle name="Total 2 5 30 5" xfId="45251"/>
    <cellStyle name="Total 2 5 31" xfId="45252"/>
    <cellStyle name="Total 2 5 31 2" xfId="45253"/>
    <cellStyle name="Total 2 5 31 2 2" xfId="45254"/>
    <cellStyle name="Total 2 5 31 2 2 2" xfId="45255"/>
    <cellStyle name="Total 2 5 31 2 3" xfId="45256"/>
    <cellStyle name="Total 2 5 31 3" xfId="45257"/>
    <cellStyle name="Total 2 5 31 3 2" xfId="45258"/>
    <cellStyle name="Total 2 5 31 3 2 2" xfId="45259"/>
    <cellStyle name="Total 2 5 31 3 3" xfId="45260"/>
    <cellStyle name="Total 2 5 31 4" xfId="45261"/>
    <cellStyle name="Total 2 5 31 5" xfId="45262"/>
    <cellStyle name="Total 2 5 32" xfId="45263"/>
    <cellStyle name="Total 2 5 32 2" xfId="45264"/>
    <cellStyle name="Total 2 5 32 2 2" xfId="45265"/>
    <cellStyle name="Total 2 5 32 2 2 2" xfId="45266"/>
    <cellStyle name="Total 2 5 32 2 3" xfId="45267"/>
    <cellStyle name="Total 2 5 32 3" xfId="45268"/>
    <cellStyle name="Total 2 5 32 3 2" xfId="45269"/>
    <cellStyle name="Total 2 5 32 3 2 2" xfId="45270"/>
    <cellStyle name="Total 2 5 32 3 3" xfId="45271"/>
    <cellStyle name="Total 2 5 32 4" xfId="45272"/>
    <cellStyle name="Total 2 5 32 5" xfId="45273"/>
    <cellStyle name="Total 2 5 33" xfId="45274"/>
    <cellStyle name="Total 2 5 33 2" xfId="45275"/>
    <cellStyle name="Total 2 5 33 2 2" xfId="45276"/>
    <cellStyle name="Total 2 5 33 2 2 2" xfId="45277"/>
    <cellStyle name="Total 2 5 33 2 3" xfId="45278"/>
    <cellStyle name="Total 2 5 33 3" xfId="45279"/>
    <cellStyle name="Total 2 5 33 3 2" xfId="45280"/>
    <cellStyle name="Total 2 5 33 3 2 2" xfId="45281"/>
    <cellStyle name="Total 2 5 33 3 3" xfId="45282"/>
    <cellStyle name="Total 2 5 33 4" xfId="45283"/>
    <cellStyle name="Total 2 5 33 5" xfId="45284"/>
    <cellStyle name="Total 2 5 34" xfId="45285"/>
    <cellStyle name="Total 2 5 34 2" xfId="45286"/>
    <cellStyle name="Total 2 5 34 2 2" xfId="45287"/>
    <cellStyle name="Total 2 5 34 2 2 2" xfId="45288"/>
    <cellStyle name="Total 2 5 34 2 3" xfId="45289"/>
    <cellStyle name="Total 2 5 34 3" xfId="45290"/>
    <cellStyle name="Total 2 5 34 3 2" xfId="45291"/>
    <cellStyle name="Total 2 5 34 3 2 2" xfId="45292"/>
    <cellStyle name="Total 2 5 34 3 3" xfId="45293"/>
    <cellStyle name="Total 2 5 34 4" xfId="45294"/>
    <cellStyle name="Total 2 5 34 5" xfId="45295"/>
    <cellStyle name="Total 2 5 35" xfId="45296"/>
    <cellStyle name="Total 2 5 35 2" xfId="45297"/>
    <cellStyle name="Total 2 5 35 2 2" xfId="45298"/>
    <cellStyle name="Total 2 5 35 2 2 2" xfId="45299"/>
    <cellStyle name="Total 2 5 35 2 3" xfId="45300"/>
    <cellStyle name="Total 2 5 35 3" xfId="45301"/>
    <cellStyle name="Total 2 5 35 3 2" xfId="45302"/>
    <cellStyle name="Total 2 5 35 3 2 2" xfId="45303"/>
    <cellStyle name="Total 2 5 35 3 3" xfId="45304"/>
    <cellStyle name="Total 2 5 35 4" xfId="45305"/>
    <cellStyle name="Total 2 5 35 5" xfId="45306"/>
    <cellStyle name="Total 2 5 36" xfId="45307"/>
    <cellStyle name="Total 2 5 36 2" xfId="45308"/>
    <cellStyle name="Total 2 5 36 2 2" xfId="45309"/>
    <cellStyle name="Total 2 5 36 2 2 2" xfId="45310"/>
    <cellStyle name="Total 2 5 36 2 3" xfId="45311"/>
    <cellStyle name="Total 2 5 36 3" xfId="45312"/>
    <cellStyle name="Total 2 5 36 3 2" xfId="45313"/>
    <cellStyle name="Total 2 5 36 3 2 2" xfId="45314"/>
    <cellStyle name="Total 2 5 36 3 3" xfId="45315"/>
    <cellStyle name="Total 2 5 36 4" xfId="45316"/>
    <cellStyle name="Total 2 5 36 5" xfId="45317"/>
    <cellStyle name="Total 2 5 37" xfId="45318"/>
    <cellStyle name="Total 2 5 37 2" xfId="45319"/>
    <cellStyle name="Total 2 5 37 2 2" xfId="45320"/>
    <cellStyle name="Total 2 5 37 2 2 2" xfId="45321"/>
    <cellStyle name="Total 2 5 37 2 3" xfId="45322"/>
    <cellStyle name="Total 2 5 37 3" xfId="45323"/>
    <cellStyle name="Total 2 5 37 3 2" xfId="45324"/>
    <cellStyle name="Total 2 5 37 3 2 2" xfId="45325"/>
    <cellStyle name="Total 2 5 37 3 3" xfId="45326"/>
    <cellStyle name="Total 2 5 37 4" xfId="45327"/>
    <cellStyle name="Total 2 5 37 5" xfId="45328"/>
    <cellStyle name="Total 2 5 38" xfId="45329"/>
    <cellStyle name="Total 2 5 38 2" xfId="45330"/>
    <cellStyle name="Total 2 5 38 2 2" xfId="45331"/>
    <cellStyle name="Total 2 5 38 2 2 2" xfId="45332"/>
    <cellStyle name="Total 2 5 38 2 3" xfId="45333"/>
    <cellStyle name="Total 2 5 38 3" xfId="45334"/>
    <cellStyle name="Total 2 5 38 3 2" xfId="45335"/>
    <cellStyle name="Total 2 5 38 3 2 2" xfId="45336"/>
    <cellStyle name="Total 2 5 38 3 3" xfId="45337"/>
    <cellStyle name="Total 2 5 38 4" xfId="45338"/>
    <cellStyle name="Total 2 5 38 5" xfId="45339"/>
    <cellStyle name="Total 2 5 39" xfId="45340"/>
    <cellStyle name="Total 2 5 39 2" xfId="45341"/>
    <cellStyle name="Total 2 5 39 2 2" xfId="45342"/>
    <cellStyle name="Total 2 5 39 2 2 2" xfId="45343"/>
    <cellStyle name="Total 2 5 39 2 3" xfId="45344"/>
    <cellStyle name="Total 2 5 39 3" xfId="45345"/>
    <cellStyle name="Total 2 5 39 3 2" xfId="45346"/>
    <cellStyle name="Total 2 5 39 3 2 2" xfId="45347"/>
    <cellStyle name="Total 2 5 39 3 3" xfId="45348"/>
    <cellStyle name="Total 2 5 39 4" xfId="45349"/>
    <cellStyle name="Total 2 5 39 5" xfId="45350"/>
    <cellStyle name="Total 2 5 4" xfId="45351"/>
    <cellStyle name="Total 2 5 4 2" xfId="45352"/>
    <cellStyle name="Total 2 5 4 2 2" xfId="45353"/>
    <cellStyle name="Total 2 5 4 2 2 2" xfId="45354"/>
    <cellStyle name="Total 2 5 4 2 3" xfId="45355"/>
    <cellStyle name="Total 2 5 4 3" xfId="45356"/>
    <cellStyle name="Total 2 5 4 3 2" xfId="45357"/>
    <cellStyle name="Total 2 5 4 3 2 2" xfId="45358"/>
    <cellStyle name="Total 2 5 4 3 3" xfId="45359"/>
    <cellStyle name="Total 2 5 4 4" xfId="45360"/>
    <cellStyle name="Total 2 5 4 4 2" xfId="45361"/>
    <cellStyle name="Total 2 5 4 4 2 2" xfId="45362"/>
    <cellStyle name="Total 2 5 4 4 3" xfId="45363"/>
    <cellStyle name="Total 2 5 4 5" xfId="45364"/>
    <cellStyle name="Total 2 5 4 5 2" xfId="45365"/>
    <cellStyle name="Total 2 5 4 5 2 2" xfId="45366"/>
    <cellStyle name="Total 2 5 4 5 3" xfId="45367"/>
    <cellStyle name="Total 2 5 4 6" xfId="45368"/>
    <cellStyle name="Total 2 5 4 7" xfId="45369"/>
    <cellStyle name="Total 2 5 40" xfId="45370"/>
    <cellStyle name="Total 2 5 40 2" xfId="45371"/>
    <cellStyle name="Total 2 5 40 2 2" xfId="45372"/>
    <cellStyle name="Total 2 5 40 2 2 2" xfId="45373"/>
    <cellStyle name="Total 2 5 40 2 3" xfId="45374"/>
    <cellStyle name="Total 2 5 40 3" xfId="45375"/>
    <cellStyle name="Total 2 5 40 3 2" xfId="45376"/>
    <cellStyle name="Total 2 5 40 3 2 2" xfId="45377"/>
    <cellStyle name="Total 2 5 40 3 3" xfId="45378"/>
    <cellStyle name="Total 2 5 40 4" xfId="45379"/>
    <cellStyle name="Total 2 5 40 5" xfId="45380"/>
    <cellStyle name="Total 2 5 41" xfId="45381"/>
    <cellStyle name="Total 2 5 41 2" xfId="45382"/>
    <cellStyle name="Total 2 5 41 2 2" xfId="45383"/>
    <cellStyle name="Total 2 5 41 2 2 2" xfId="45384"/>
    <cellStyle name="Total 2 5 41 2 3" xfId="45385"/>
    <cellStyle name="Total 2 5 41 3" xfId="45386"/>
    <cellStyle name="Total 2 5 41 3 2" xfId="45387"/>
    <cellStyle name="Total 2 5 41 3 2 2" xfId="45388"/>
    <cellStyle name="Total 2 5 41 3 3" xfId="45389"/>
    <cellStyle name="Total 2 5 41 4" xfId="45390"/>
    <cellStyle name="Total 2 5 41 5" xfId="45391"/>
    <cellStyle name="Total 2 5 42" xfId="45392"/>
    <cellStyle name="Total 2 5 42 2" xfId="45393"/>
    <cellStyle name="Total 2 5 42 2 2" xfId="45394"/>
    <cellStyle name="Total 2 5 42 2 2 2" xfId="45395"/>
    <cellStyle name="Total 2 5 42 2 3" xfId="45396"/>
    <cellStyle name="Total 2 5 42 3" xfId="45397"/>
    <cellStyle name="Total 2 5 42 3 2" xfId="45398"/>
    <cellStyle name="Total 2 5 42 3 2 2" xfId="45399"/>
    <cellStyle name="Total 2 5 42 3 3" xfId="45400"/>
    <cellStyle name="Total 2 5 42 4" xfId="45401"/>
    <cellStyle name="Total 2 5 42 5" xfId="45402"/>
    <cellStyle name="Total 2 5 43" xfId="45403"/>
    <cellStyle name="Total 2 5 43 2" xfId="45404"/>
    <cellStyle name="Total 2 5 43 2 2" xfId="45405"/>
    <cellStyle name="Total 2 5 43 2 2 2" xfId="45406"/>
    <cellStyle name="Total 2 5 43 2 3" xfId="45407"/>
    <cellStyle name="Total 2 5 43 3" xfId="45408"/>
    <cellStyle name="Total 2 5 43 3 2" xfId="45409"/>
    <cellStyle name="Total 2 5 43 3 2 2" xfId="45410"/>
    <cellStyle name="Total 2 5 43 3 3" xfId="45411"/>
    <cellStyle name="Total 2 5 43 4" xfId="45412"/>
    <cellStyle name="Total 2 5 43 5" xfId="45413"/>
    <cellStyle name="Total 2 5 44" xfId="45414"/>
    <cellStyle name="Total 2 5 44 2" xfId="45415"/>
    <cellStyle name="Total 2 5 44 2 2" xfId="45416"/>
    <cellStyle name="Total 2 5 44 2 2 2" xfId="45417"/>
    <cellStyle name="Total 2 5 44 2 3" xfId="45418"/>
    <cellStyle name="Total 2 5 44 3" xfId="45419"/>
    <cellStyle name="Total 2 5 44 3 2" xfId="45420"/>
    <cellStyle name="Total 2 5 44 3 2 2" xfId="45421"/>
    <cellStyle name="Total 2 5 44 3 3" xfId="45422"/>
    <cellStyle name="Total 2 5 44 4" xfId="45423"/>
    <cellStyle name="Total 2 5 44 5" xfId="45424"/>
    <cellStyle name="Total 2 5 45" xfId="45425"/>
    <cellStyle name="Total 2 5 45 2" xfId="45426"/>
    <cellStyle name="Total 2 5 45 2 2" xfId="45427"/>
    <cellStyle name="Total 2 5 45 2 2 2" xfId="45428"/>
    <cellStyle name="Total 2 5 45 2 3" xfId="45429"/>
    <cellStyle name="Total 2 5 45 3" xfId="45430"/>
    <cellStyle name="Total 2 5 45 3 2" xfId="45431"/>
    <cellStyle name="Total 2 5 45 3 2 2" xfId="45432"/>
    <cellStyle name="Total 2 5 45 3 3" xfId="45433"/>
    <cellStyle name="Total 2 5 45 4" xfId="45434"/>
    <cellStyle name="Total 2 5 45 5" xfId="45435"/>
    <cellStyle name="Total 2 5 46" xfId="45436"/>
    <cellStyle name="Total 2 5 46 2" xfId="45437"/>
    <cellStyle name="Total 2 5 46 2 2" xfId="45438"/>
    <cellStyle name="Total 2 5 46 2 2 2" xfId="45439"/>
    <cellStyle name="Total 2 5 46 2 3" xfId="45440"/>
    <cellStyle name="Total 2 5 46 3" xfId="45441"/>
    <cellStyle name="Total 2 5 46 3 2" xfId="45442"/>
    <cellStyle name="Total 2 5 46 3 2 2" xfId="45443"/>
    <cellStyle name="Total 2 5 46 3 3" xfId="45444"/>
    <cellStyle name="Total 2 5 46 4" xfId="45445"/>
    <cellStyle name="Total 2 5 46 5" xfId="45446"/>
    <cellStyle name="Total 2 5 47" xfId="45447"/>
    <cellStyle name="Total 2 5 47 2" xfId="45448"/>
    <cellStyle name="Total 2 5 47 2 2" xfId="45449"/>
    <cellStyle name="Total 2 5 47 2 2 2" xfId="45450"/>
    <cellStyle name="Total 2 5 47 2 3" xfId="45451"/>
    <cellStyle name="Total 2 5 47 3" xfId="45452"/>
    <cellStyle name="Total 2 5 47 3 2" xfId="45453"/>
    <cellStyle name="Total 2 5 47 3 2 2" xfId="45454"/>
    <cellStyle name="Total 2 5 47 3 3" xfId="45455"/>
    <cellStyle name="Total 2 5 47 4" xfId="45456"/>
    <cellStyle name="Total 2 5 47 5" xfId="45457"/>
    <cellStyle name="Total 2 5 48" xfId="45458"/>
    <cellStyle name="Total 2 5 48 2" xfId="45459"/>
    <cellStyle name="Total 2 5 48 2 2" xfId="45460"/>
    <cellStyle name="Total 2 5 48 2 2 2" xfId="45461"/>
    <cellStyle name="Total 2 5 48 2 3" xfId="45462"/>
    <cellStyle name="Total 2 5 48 3" xfId="45463"/>
    <cellStyle name="Total 2 5 48 3 2" xfId="45464"/>
    <cellStyle name="Total 2 5 48 3 2 2" xfId="45465"/>
    <cellStyle name="Total 2 5 48 3 3" xfId="45466"/>
    <cellStyle name="Total 2 5 48 4" xfId="45467"/>
    <cellStyle name="Total 2 5 48 5" xfId="45468"/>
    <cellStyle name="Total 2 5 49" xfId="45469"/>
    <cellStyle name="Total 2 5 49 2" xfId="45470"/>
    <cellStyle name="Total 2 5 49 2 2" xfId="45471"/>
    <cellStyle name="Total 2 5 49 3" xfId="45472"/>
    <cellStyle name="Total 2 5 5" xfId="45473"/>
    <cellStyle name="Total 2 5 5 2" xfId="45474"/>
    <cellStyle name="Total 2 5 5 2 2" xfId="45475"/>
    <cellStyle name="Total 2 5 5 2 2 2" xfId="45476"/>
    <cellStyle name="Total 2 5 5 2 3" xfId="45477"/>
    <cellStyle name="Total 2 5 5 3" xfId="45478"/>
    <cellStyle name="Total 2 5 5 3 2" xfId="45479"/>
    <cellStyle name="Total 2 5 5 3 2 2" xfId="45480"/>
    <cellStyle name="Total 2 5 5 3 3" xfId="45481"/>
    <cellStyle name="Total 2 5 5 4" xfId="45482"/>
    <cellStyle name="Total 2 5 5 4 2" xfId="45483"/>
    <cellStyle name="Total 2 5 5 4 2 2" xfId="45484"/>
    <cellStyle name="Total 2 5 5 4 3" xfId="45485"/>
    <cellStyle name="Total 2 5 5 5" xfId="45486"/>
    <cellStyle name="Total 2 5 5 5 2" xfId="45487"/>
    <cellStyle name="Total 2 5 5 5 2 2" xfId="45488"/>
    <cellStyle name="Total 2 5 5 5 3" xfId="45489"/>
    <cellStyle name="Total 2 5 5 6" xfId="45490"/>
    <cellStyle name="Total 2 5 5 7" xfId="45491"/>
    <cellStyle name="Total 2 5 50" xfId="45492"/>
    <cellStyle name="Total 2 5 50 2" xfId="45493"/>
    <cellStyle name="Total 2 5 50 2 2" xfId="45494"/>
    <cellStyle name="Total 2 5 50 3" xfId="45495"/>
    <cellStyle name="Total 2 5 51" xfId="45496"/>
    <cellStyle name="Total 2 5 51 2" xfId="45497"/>
    <cellStyle name="Total 2 5 51 2 2" xfId="45498"/>
    <cellStyle name="Total 2 5 51 3" xfId="45499"/>
    <cellStyle name="Total 2 5 52" xfId="45500"/>
    <cellStyle name="Total 2 5 52 2" xfId="45501"/>
    <cellStyle name="Total 2 5 52 2 2" xfId="45502"/>
    <cellStyle name="Total 2 5 52 3" xfId="45503"/>
    <cellStyle name="Total 2 5 53" xfId="45504"/>
    <cellStyle name="Total 2 5 54" xfId="45505"/>
    <cellStyle name="Total 2 5 6" xfId="45506"/>
    <cellStyle name="Total 2 5 6 2" xfId="45507"/>
    <cellStyle name="Total 2 5 6 2 2" xfId="45508"/>
    <cellStyle name="Total 2 5 6 2 2 2" xfId="45509"/>
    <cellStyle name="Total 2 5 6 2 3" xfId="45510"/>
    <cellStyle name="Total 2 5 6 3" xfId="45511"/>
    <cellStyle name="Total 2 5 6 3 2" xfId="45512"/>
    <cellStyle name="Total 2 5 6 3 2 2" xfId="45513"/>
    <cellStyle name="Total 2 5 6 3 3" xfId="45514"/>
    <cellStyle name="Total 2 5 6 4" xfId="45515"/>
    <cellStyle name="Total 2 5 6 4 2" xfId="45516"/>
    <cellStyle name="Total 2 5 6 4 2 2" xfId="45517"/>
    <cellStyle name="Total 2 5 6 4 3" xfId="45518"/>
    <cellStyle name="Total 2 5 6 5" xfId="45519"/>
    <cellStyle name="Total 2 5 6 5 2" xfId="45520"/>
    <cellStyle name="Total 2 5 6 5 2 2" xfId="45521"/>
    <cellStyle name="Total 2 5 6 5 3" xfId="45522"/>
    <cellStyle name="Total 2 5 6 6" xfId="45523"/>
    <cellStyle name="Total 2 5 6 7" xfId="45524"/>
    <cellStyle name="Total 2 5 7" xfId="45525"/>
    <cellStyle name="Total 2 5 7 2" xfId="45526"/>
    <cellStyle name="Total 2 5 7 2 2" xfId="45527"/>
    <cellStyle name="Total 2 5 7 2 2 2" xfId="45528"/>
    <cellStyle name="Total 2 5 7 2 3" xfId="45529"/>
    <cellStyle name="Total 2 5 7 3" xfId="45530"/>
    <cellStyle name="Total 2 5 7 3 2" xfId="45531"/>
    <cellStyle name="Total 2 5 7 3 2 2" xfId="45532"/>
    <cellStyle name="Total 2 5 7 3 3" xfId="45533"/>
    <cellStyle name="Total 2 5 7 4" xfId="45534"/>
    <cellStyle name="Total 2 5 7 4 2" xfId="45535"/>
    <cellStyle name="Total 2 5 7 4 2 2" xfId="45536"/>
    <cellStyle name="Total 2 5 7 4 3" xfId="45537"/>
    <cellStyle name="Total 2 5 7 5" xfId="45538"/>
    <cellStyle name="Total 2 5 7 5 2" xfId="45539"/>
    <cellStyle name="Total 2 5 7 5 2 2" xfId="45540"/>
    <cellStyle name="Total 2 5 7 5 3" xfId="45541"/>
    <cellStyle name="Total 2 5 7 6" xfId="45542"/>
    <cellStyle name="Total 2 5 7 7" xfId="45543"/>
    <cellStyle name="Total 2 5 8" xfId="45544"/>
    <cellStyle name="Total 2 5 8 2" xfId="45545"/>
    <cellStyle name="Total 2 5 8 2 2" xfId="45546"/>
    <cellStyle name="Total 2 5 8 2 2 2" xfId="45547"/>
    <cellStyle name="Total 2 5 8 2 3" xfId="45548"/>
    <cellStyle name="Total 2 5 8 3" xfId="45549"/>
    <cellStyle name="Total 2 5 8 3 2" xfId="45550"/>
    <cellStyle name="Total 2 5 8 3 2 2" xfId="45551"/>
    <cellStyle name="Total 2 5 8 3 3" xfId="45552"/>
    <cellStyle name="Total 2 5 8 4" xfId="45553"/>
    <cellStyle name="Total 2 5 8 4 2" xfId="45554"/>
    <cellStyle name="Total 2 5 8 4 2 2" xfId="45555"/>
    <cellStyle name="Total 2 5 8 4 3" xfId="45556"/>
    <cellStyle name="Total 2 5 8 5" xfId="45557"/>
    <cellStyle name="Total 2 5 8 5 2" xfId="45558"/>
    <cellStyle name="Total 2 5 8 5 2 2" xfId="45559"/>
    <cellStyle name="Total 2 5 8 5 3" xfId="45560"/>
    <cellStyle name="Total 2 5 8 6" xfId="45561"/>
    <cellStyle name="Total 2 5 8 7" xfId="45562"/>
    <cellStyle name="Total 2 5 9" xfId="45563"/>
    <cellStyle name="Total 2 5 9 2" xfId="45564"/>
    <cellStyle name="Total 2 5 9 2 2" xfId="45565"/>
    <cellStyle name="Total 2 5 9 2 2 2" xfId="45566"/>
    <cellStyle name="Total 2 5 9 2 3" xfId="45567"/>
    <cellStyle name="Total 2 5 9 3" xfId="45568"/>
    <cellStyle name="Total 2 5 9 3 2" xfId="45569"/>
    <cellStyle name="Total 2 5 9 3 2 2" xfId="45570"/>
    <cellStyle name="Total 2 5 9 3 3" xfId="45571"/>
    <cellStyle name="Total 2 5 9 4" xfId="45572"/>
    <cellStyle name="Total 2 5 9 5" xfId="45573"/>
    <cellStyle name="Total 2 6" xfId="45574"/>
    <cellStyle name="Total 2 6 10" xfId="45575"/>
    <cellStyle name="Total 2 6 10 2" xfId="45576"/>
    <cellStyle name="Total 2 6 10 2 2" xfId="45577"/>
    <cellStyle name="Total 2 6 10 2 2 2" xfId="45578"/>
    <cellStyle name="Total 2 6 10 2 3" xfId="45579"/>
    <cellStyle name="Total 2 6 10 3" xfId="45580"/>
    <cellStyle name="Total 2 6 10 3 2" xfId="45581"/>
    <cellStyle name="Total 2 6 10 3 2 2" xfId="45582"/>
    <cellStyle name="Total 2 6 10 3 3" xfId="45583"/>
    <cellStyle name="Total 2 6 10 4" xfId="45584"/>
    <cellStyle name="Total 2 6 10 5" xfId="45585"/>
    <cellStyle name="Total 2 6 11" xfId="45586"/>
    <cellStyle name="Total 2 6 11 2" xfId="45587"/>
    <cellStyle name="Total 2 6 11 2 2" xfId="45588"/>
    <cellStyle name="Total 2 6 11 2 2 2" xfId="45589"/>
    <cellStyle name="Total 2 6 11 2 3" xfId="45590"/>
    <cellStyle name="Total 2 6 11 3" xfId="45591"/>
    <cellStyle name="Total 2 6 11 3 2" xfId="45592"/>
    <cellStyle name="Total 2 6 11 3 2 2" xfId="45593"/>
    <cellStyle name="Total 2 6 11 3 3" xfId="45594"/>
    <cellStyle name="Total 2 6 11 4" xfId="45595"/>
    <cellStyle name="Total 2 6 11 5" xfId="45596"/>
    <cellStyle name="Total 2 6 12" xfId="45597"/>
    <cellStyle name="Total 2 6 12 2" xfId="45598"/>
    <cellStyle name="Total 2 6 12 2 2" xfId="45599"/>
    <cellStyle name="Total 2 6 12 2 2 2" xfId="45600"/>
    <cellStyle name="Total 2 6 12 2 3" xfId="45601"/>
    <cellStyle name="Total 2 6 12 3" xfId="45602"/>
    <cellStyle name="Total 2 6 12 3 2" xfId="45603"/>
    <cellStyle name="Total 2 6 12 3 2 2" xfId="45604"/>
    <cellStyle name="Total 2 6 12 3 3" xfId="45605"/>
    <cellStyle name="Total 2 6 12 4" xfId="45606"/>
    <cellStyle name="Total 2 6 12 5" xfId="45607"/>
    <cellStyle name="Total 2 6 13" xfId="45608"/>
    <cellStyle name="Total 2 6 13 2" xfId="45609"/>
    <cellStyle name="Total 2 6 13 2 2" xfId="45610"/>
    <cellStyle name="Total 2 6 13 2 2 2" xfId="45611"/>
    <cellStyle name="Total 2 6 13 2 3" xfId="45612"/>
    <cellStyle name="Total 2 6 13 3" xfId="45613"/>
    <cellStyle name="Total 2 6 13 3 2" xfId="45614"/>
    <cellStyle name="Total 2 6 13 3 2 2" xfId="45615"/>
    <cellStyle name="Total 2 6 13 3 3" xfId="45616"/>
    <cellStyle name="Total 2 6 13 4" xfId="45617"/>
    <cellStyle name="Total 2 6 13 5" xfId="45618"/>
    <cellStyle name="Total 2 6 14" xfId="45619"/>
    <cellStyle name="Total 2 6 14 2" xfId="45620"/>
    <cellStyle name="Total 2 6 14 2 2" xfId="45621"/>
    <cellStyle name="Total 2 6 14 2 2 2" xfId="45622"/>
    <cellStyle name="Total 2 6 14 2 3" xfId="45623"/>
    <cellStyle name="Total 2 6 14 3" xfId="45624"/>
    <cellStyle name="Total 2 6 14 3 2" xfId="45625"/>
    <cellStyle name="Total 2 6 14 3 2 2" xfId="45626"/>
    <cellStyle name="Total 2 6 14 3 3" xfId="45627"/>
    <cellStyle name="Total 2 6 14 4" xfId="45628"/>
    <cellStyle name="Total 2 6 14 5" xfId="45629"/>
    <cellStyle name="Total 2 6 15" xfId="45630"/>
    <cellStyle name="Total 2 6 15 2" xfId="45631"/>
    <cellStyle name="Total 2 6 15 2 2" xfId="45632"/>
    <cellStyle name="Total 2 6 15 2 2 2" xfId="45633"/>
    <cellStyle name="Total 2 6 15 2 3" xfId="45634"/>
    <cellStyle name="Total 2 6 15 3" xfId="45635"/>
    <cellStyle name="Total 2 6 15 3 2" xfId="45636"/>
    <cellStyle name="Total 2 6 15 3 2 2" xfId="45637"/>
    <cellStyle name="Total 2 6 15 3 3" xfId="45638"/>
    <cellStyle name="Total 2 6 15 4" xfId="45639"/>
    <cellStyle name="Total 2 6 15 5" xfId="45640"/>
    <cellStyle name="Total 2 6 16" xfId="45641"/>
    <cellStyle name="Total 2 6 16 2" xfId="45642"/>
    <cellStyle name="Total 2 6 16 2 2" xfId="45643"/>
    <cellStyle name="Total 2 6 16 2 2 2" xfId="45644"/>
    <cellStyle name="Total 2 6 16 2 3" xfId="45645"/>
    <cellStyle name="Total 2 6 16 3" xfId="45646"/>
    <cellStyle name="Total 2 6 16 3 2" xfId="45647"/>
    <cellStyle name="Total 2 6 16 3 2 2" xfId="45648"/>
    <cellStyle name="Total 2 6 16 3 3" xfId="45649"/>
    <cellStyle name="Total 2 6 16 4" xfId="45650"/>
    <cellStyle name="Total 2 6 16 5" xfId="45651"/>
    <cellStyle name="Total 2 6 17" xfId="45652"/>
    <cellStyle name="Total 2 6 17 2" xfId="45653"/>
    <cellStyle name="Total 2 6 17 2 2" xfId="45654"/>
    <cellStyle name="Total 2 6 17 2 2 2" xfId="45655"/>
    <cellStyle name="Total 2 6 17 2 3" xfId="45656"/>
    <cellStyle name="Total 2 6 17 3" xfId="45657"/>
    <cellStyle name="Total 2 6 17 3 2" xfId="45658"/>
    <cellStyle name="Total 2 6 17 3 2 2" xfId="45659"/>
    <cellStyle name="Total 2 6 17 3 3" xfId="45660"/>
    <cellStyle name="Total 2 6 17 4" xfId="45661"/>
    <cellStyle name="Total 2 6 17 5" xfId="45662"/>
    <cellStyle name="Total 2 6 18" xfId="45663"/>
    <cellStyle name="Total 2 6 18 2" xfId="45664"/>
    <cellStyle name="Total 2 6 18 2 2" xfId="45665"/>
    <cellStyle name="Total 2 6 18 2 2 2" xfId="45666"/>
    <cellStyle name="Total 2 6 18 2 3" xfId="45667"/>
    <cellStyle name="Total 2 6 18 3" xfId="45668"/>
    <cellStyle name="Total 2 6 18 3 2" xfId="45669"/>
    <cellStyle name="Total 2 6 18 3 2 2" xfId="45670"/>
    <cellStyle name="Total 2 6 18 3 3" xfId="45671"/>
    <cellStyle name="Total 2 6 18 4" xfId="45672"/>
    <cellStyle name="Total 2 6 18 5" xfId="45673"/>
    <cellStyle name="Total 2 6 19" xfId="45674"/>
    <cellStyle name="Total 2 6 19 2" xfId="45675"/>
    <cellStyle name="Total 2 6 19 2 2" xfId="45676"/>
    <cellStyle name="Total 2 6 19 2 2 2" xfId="45677"/>
    <cellStyle name="Total 2 6 19 2 3" xfId="45678"/>
    <cellStyle name="Total 2 6 19 3" xfId="45679"/>
    <cellStyle name="Total 2 6 19 3 2" xfId="45680"/>
    <cellStyle name="Total 2 6 19 3 2 2" xfId="45681"/>
    <cellStyle name="Total 2 6 19 3 3" xfId="45682"/>
    <cellStyle name="Total 2 6 19 4" xfId="45683"/>
    <cellStyle name="Total 2 6 19 5" xfId="45684"/>
    <cellStyle name="Total 2 6 2" xfId="45685"/>
    <cellStyle name="Total 2 6 2 2" xfId="45686"/>
    <cellStyle name="Total 2 6 2 2 2" xfId="45687"/>
    <cellStyle name="Total 2 6 2 2 2 2" xfId="45688"/>
    <cellStyle name="Total 2 6 2 2 3" xfId="45689"/>
    <cellStyle name="Total 2 6 2 3" xfId="45690"/>
    <cellStyle name="Total 2 6 2 3 2" xfId="45691"/>
    <cellStyle name="Total 2 6 2 3 2 2" xfId="45692"/>
    <cellStyle name="Total 2 6 2 3 3" xfId="45693"/>
    <cellStyle name="Total 2 6 2 4" xfId="45694"/>
    <cellStyle name="Total 2 6 2 4 2" xfId="45695"/>
    <cellStyle name="Total 2 6 2 4 2 2" xfId="45696"/>
    <cellStyle name="Total 2 6 2 4 3" xfId="45697"/>
    <cellStyle name="Total 2 6 2 5" xfId="45698"/>
    <cellStyle name="Total 2 6 2 5 2" xfId="45699"/>
    <cellStyle name="Total 2 6 2 5 2 2" xfId="45700"/>
    <cellStyle name="Total 2 6 2 5 3" xfId="45701"/>
    <cellStyle name="Total 2 6 2 6" xfId="45702"/>
    <cellStyle name="Total 2 6 2 7" xfId="45703"/>
    <cellStyle name="Total 2 6 20" xfId="45704"/>
    <cellStyle name="Total 2 6 20 2" xfId="45705"/>
    <cellStyle name="Total 2 6 20 2 2" xfId="45706"/>
    <cellStyle name="Total 2 6 20 2 2 2" xfId="45707"/>
    <cellStyle name="Total 2 6 20 2 3" xfId="45708"/>
    <cellStyle name="Total 2 6 20 3" xfId="45709"/>
    <cellStyle name="Total 2 6 20 3 2" xfId="45710"/>
    <cellStyle name="Total 2 6 20 3 2 2" xfId="45711"/>
    <cellStyle name="Total 2 6 20 3 3" xfId="45712"/>
    <cellStyle name="Total 2 6 20 4" xfId="45713"/>
    <cellStyle name="Total 2 6 20 5" xfId="45714"/>
    <cellStyle name="Total 2 6 21" xfId="45715"/>
    <cellStyle name="Total 2 6 21 2" xfId="45716"/>
    <cellStyle name="Total 2 6 21 2 2" xfId="45717"/>
    <cellStyle name="Total 2 6 21 2 2 2" xfId="45718"/>
    <cellStyle name="Total 2 6 21 2 3" xfId="45719"/>
    <cellStyle name="Total 2 6 21 3" xfId="45720"/>
    <cellStyle name="Total 2 6 21 3 2" xfId="45721"/>
    <cellStyle name="Total 2 6 21 3 2 2" xfId="45722"/>
    <cellStyle name="Total 2 6 21 3 3" xfId="45723"/>
    <cellStyle name="Total 2 6 21 4" xfId="45724"/>
    <cellStyle name="Total 2 6 21 5" xfId="45725"/>
    <cellStyle name="Total 2 6 22" xfId="45726"/>
    <cellStyle name="Total 2 6 22 2" xfId="45727"/>
    <cellStyle name="Total 2 6 22 2 2" xfId="45728"/>
    <cellStyle name="Total 2 6 22 2 2 2" xfId="45729"/>
    <cellStyle name="Total 2 6 22 2 3" xfId="45730"/>
    <cellStyle name="Total 2 6 22 3" xfId="45731"/>
    <cellStyle name="Total 2 6 22 3 2" xfId="45732"/>
    <cellStyle name="Total 2 6 22 3 2 2" xfId="45733"/>
    <cellStyle name="Total 2 6 22 3 3" xfId="45734"/>
    <cellStyle name="Total 2 6 22 4" xfId="45735"/>
    <cellStyle name="Total 2 6 22 5" xfId="45736"/>
    <cellStyle name="Total 2 6 23" xfId="45737"/>
    <cellStyle name="Total 2 6 23 2" xfId="45738"/>
    <cellStyle name="Total 2 6 23 2 2" xfId="45739"/>
    <cellStyle name="Total 2 6 23 2 2 2" xfId="45740"/>
    <cellStyle name="Total 2 6 23 2 3" xfId="45741"/>
    <cellStyle name="Total 2 6 23 3" xfId="45742"/>
    <cellStyle name="Total 2 6 23 3 2" xfId="45743"/>
    <cellStyle name="Total 2 6 23 3 2 2" xfId="45744"/>
    <cellStyle name="Total 2 6 23 3 3" xfId="45745"/>
    <cellStyle name="Total 2 6 23 4" xfId="45746"/>
    <cellStyle name="Total 2 6 23 5" xfId="45747"/>
    <cellStyle name="Total 2 6 24" xfId="45748"/>
    <cellStyle name="Total 2 6 24 2" xfId="45749"/>
    <cellStyle name="Total 2 6 24 2 2" xfId="45750"/>
    <cellStyle name="Total 2 6 24 2 2 2" xfId="45751"/>
    <cellStyle name="Total 2 6 24 2 3" xfId="45752"/>
    <cellStyle name="Total 2 6 24 3" xfId="45753"/>
    <cellStyle name="Total 2 6 24 3 2" xfId="45754"/>
    <cellStyle name="Total 2 6 24 3 2 2" xfId="45755"/>
    <cellStyle name="Total 2 6 24 3 3" xfId="45756"/>
    <cellStyle name="Total 2 6 24 4" xfId="45757"/>
    <cellStyle name="Total 2 6 24 5" xfId="45758"/>
    <cellStyle name="Total 2 6 25" xfId="45759"/>
    <cellStyle name="Total 2 6 25 2" xfId="45760"/>
    <cellStyle name="Total 2 6 25 2 2" xfId="45761"/>
    <cellStyle name="Total 2 6 25 2 2 2" xfId="45762"/>
    <cellStyle name="Total 2 6 25 2 3" xfId="45763"/>
    <cellStyle name="Total 2 6 25 3" xfId="45764"/>
    <cellStyle name="Total 2 6 25 3 2" xfId="45765"/>
    <cellStyle name="Total 2 6 25 3 2 2" xfId="45766"/>
    <cellStyle name="Total 2 6 25 3 3" xfId="45767"/>
    <cellStyle name="Total 2 6 25 4" xfId="45768"/>
    <cellStyle name="Total 2 6 25 5" xfId="45769"/>
    <cellStyle name="Total 2 6 26" xfId="45770"/>
    <cellStyle name="Total 2 6 26 2" xfId="45771"/>
    <cellStyle name="Total 2 6 26 2 2" xfId="45772"/>
    <cellStyle name="Total 2 6 26 2 2 2" xfId="45773"/>
    <cellStyle name="Total 2 6 26 2 3" xfId="45774"/>
    <cellStyle name="Total 2 6 26 3" xfId="45775"/>
    <cellStyle name="Total 2 6 26 3 2" xfId="45776"/>
    <cellStyle name="Total 2 6 26 3 2 2" xfId="45777"/>
    <cellStyle name="Total 2 6 26 3 3" xfId="45778"/>
    <cellStyle name="Total 2 6 26 4" xfId="45779"/>
    <cellStyle name="Total 2 6 26 5" xfId="45780"/>
    <cellStyle name="Total 2 6 27" xfId="45781"/>
    <cellStyle name="Total 2 6 27 2" xfId="45782"/>
    <cellStyle name="Total 2 6 27 2 2" xfId="45783"/>
    <cellStyle name="Total 2 6 27 2 2 2" xfId="45784"/>
    <cellStyle name="Total 2 6 27 2 3" xfId="45785"/>
    <cellStyle name="Total 2 6 27 3" xfId="45786"/>
    <cellStyle name="Total 2 6 27 3 2" xfId="45787"/>
    <cellStyle name="Total 2 6 27 3 2 2" xfId="45788"/>
    <cellStyle name="Total 2 6 27 3 3" xfId="45789"/>
    <cellStyle name="Total 2 6 27 4" xfId="45790"/>
    <cellStyle name="Total 2 6 27 5" xfId="45791"/>
    <cellStyle name="Total 2 6 28" xfId="45792"/>
    <cellStyle name="Total 2 6 28 2" xfId="45793"/>
    <cellStyle name="Total 2 6 28 2 2" xfId="45794"/>
    <cellStyle name="Total 2 6 28 2 2 2" xfId="45795"/>
    <cellStyle name="Total 2 6 28 2 3" xfId="45796"/>
    <cellStyle name="Total 2 6 28 3" xfId="45797"/>
    <cellStyle name="Total 2 6 28 3 2" xfId="45798"/>
    <cellStyle name="Total 2 6 28 3 2 2" xfId="45799"/>
    <cellStyle name="Total 2 6 28 3 3" xfId="45800"/>
    <cellStyle name="Total 2 6 28 4" xfId="45801"/>
    <cellStyle name="Total 2 6 28 5" xfId="45802"/>
    <cellStyle name="Total 2 6 29" xfId="45803"/>
    <cellStyle name="Total 2 6 29 2" xfId="45804"/>
    <cellStyle name="Total 2 6 29 2 2" xfId="45805"/>
    <cellStyle name="Total 2 6 29 2 2 2" xfId="45806"/>
    <cellStyle name="Total 2 6 29 2 3" xfId="45807"/>
    <cellStyle name="Total 2 6 29 3" xfId="45808"/>
    <cellStyle name="Total 2 6 29 3 2" xfId="45809"/>
    <cellStyle name="Total 2 6 29 3 2 2" xfId="45810"/>
    <cellStyle name="Total 2 6 29 3 3" xfId="45811"/>
    <cellStyle name="Total 2 6 29 4" xfId="45812"/>
    <cellStyle name="Total 2 6 29 5" xfId="45813"/>
    <cellStyle name="Total 2 6 3" xfId="45814"/>
    <cellStyle name="Total 2 6 3 2" xfId="45815"/>
    <cellStyle name="Total 2 6 3 2 2" xfId="45816"/>
    <cellStyle name="Total 2 6 3 2 2 2" xfId="45817"/>
    <cellStyle name="Total 2 6 3 2 3" xfId="45818"/>
    <cellStyle name="Total 2 6 3 3" xfId="45819"/>
    <cellStyle name="Total 2 6 3 3 2" xfId="45820"/>
    <cellStyle name="Total 2 6 3 3 2 2" xfId="45821"/>
    <cellStyle name="Total 2 6 3 3 3" xfId="45822"/>
    <cellStyle name="Total 2 6 3 4" xfId="45823"/>
    <cellStyle name="Total 2 6 3 4 2" xfId="45824"/>
    <cellStyle name="Total 2 6 3 4 2 2" xfId="45825"/>
    <cellStyle name="Total 2 6 3 4 3" xfId="45826"/>
    <cellStyle name="Total 2 6 3 5" xfId="45827"/>
    <cellStyle name="Total 2 6 3 5 2" xfId="45828"/>
    <cellStyle name="Total 2 6 3 5 2 2" xfId="45829"/>
    <cellStyle name="Total 2 6 3 5 3" xfId="45830"/>
    <cellStyle name="Total 2 6 3 6" xfId="45831"/>
    <cellStyle name="Total 2 6 3 7" xfId="45832"/>
    <cellStyle name="Total 2 6 30" xfId="45833"/>
    <cellStyle name="Total 2 6 30 2" xfId="45834"/>
    <cellStyle name="Total 2 6 30 2 2" xfId="45835"/>
    <cellStyle name="Total 2 6 30 2 2 2" xfId="45836"/>
    <cellStyle name="Total 2 6 30 2 3" xfId="45837"/>
    <cellStyle name="Total 2 6 30 3" xfId="45838"/>
    <cellStyle name="Total 2 6 30 3 2" xfId="45839"/>
    <cellStyle name="Total 2 6 30 3 2 2" xfId="45840"/>
    <cellStyle name="Total 2 6 30 3 3" xfId="45841"/>
    <cellStyle name="Total 2 6 30 4" xfId="45842"/>
    <cellStyle name="Total 2 6 30 5" xfId="45843"/>
    <cellStyle name="Total 2 6 31" xfId="45844"/>
    <cellStyle name="Total 2 6 31 2" xfId="45845"/>
    <cellStyle name="Total 2 6 31 2 2" xfId="45846"/>
    <cellStyle name="Total 2 6 31 2 2 2" xfId="45847"/>
    <cellStyle name="Total 2 6 31 2 3" xfId="45848"/>
    <cellStyle name="Total 2 6 31 3" xfId="45849"/>
    <cellStyle name="Total 2 6 31 3 2" xfId="45850"/>
    <cellStyle name="Total 2 6 31 3 2 2" xfId="45851"/>
    <cellStyle name="Total 2 6 31 3 3" xfId="45852"/>
    <cellStyle name="Total 2 6 31 4" xfId="45853"/>
    <cellStyle name="Total 2 6 31 5" xfId="45854"/>
    <cellStyle name="Total 2 6 32" xfId="45855"/>
    <cellStyle name="Total 2 6 32 2" xfId="45856"/>
    <cellStyle name="Total 2 6 32 2 2" xfId="45857"/>
    <cellStyle name="Total 2 6 32 2 2 2" xfId="45858"/>
    <cellStyle name="Total 2 6 32 2 3" xfId="45859"/>
    <cellStyle name="Total 2 6 32 3" xfId="45860"/>
    <cellStyle name="Total 2 6 32 3 2" xfId="45861"/>
    <cellStyle name="Total 2 6 32 3 2 2" xfId="45862"/>
    <cellStyle name="Total 2 6 32 3 3" xfId="45863"/>
    <cellStyle name="Total 2 6 32 4" xfId="45864"/>
    <cellStyle name="Total 2 6 32 5" xfId="45865"/>
    <cellStyle name="Total 2 6 33" xfId="45866"/>
    <cellStyle name="Total 2 6 33 2" xfId="45867"/>
    <cellStyle name="Total 2 6 33 2 2" xfId="45868"/>
    <cellStyle name="Total 2 6 33 2 2 2" xfId="45869"/>
    <cellStyle name="Total 2 6 33 2 3" xfId="45870"/>
    <cellStyle name="Total 2 6 33 3" xfId="45871"/>
    <cellStyle name="Total 2 6 33 3 2" xfId="45872"/>
    <cellStyle name="Total 2 6 33 3 2 2" xfId="45873"/>
    <cellStyle name="Total 2 6 33 3 3" xfId="45874"/>
    <cellStyle name="Total 2 6 33 4" xfId="45875"/>
    <cellStyle name="Total 2 6 33 5" xfId="45876"/>
    <cellStyle name="Total 2 6 34" xfId="45877"/>
    <cellStyle name="Total 2 6 34 2" xfId="45878"/>
    <cellStyle name="Total 2 6 34 2 2" xfId="45879"/>
    <cellStyle name="Total 2 6 34 2 2 2" xfId="45880"/>
    <cellStyle name="Total 2 6 34 2 3" xfId="45881"/>
    <cellStyle name="Total 2 6 34 3" xfId="45882"/>
    <cellStyle name="Total 2 6 34 3 2" xfId="45883"/>
    <cellStyle name="Total 2 6 34 3 2 2" xfId="45884"/>
    <cellStyle name="Total 2 6 34 3 3" xfId="45885"/>
    <cellStyle name="Total 2 6 34 4" xfId="45886"/>
    <cellStyle name="Total 2 6 34 5" xfId="45887"/>
    <cellStyle name="Total 2 6 35" xfId="45888"/>
    <cellStyle name="Total 2 6 35 2" xfId="45889"/>
    <cellStyle name="Total 2 6 35 2 2" xfId="45890"/>
    <cellStyle name="Total 2 6 35 2 2 2" xfId="45891"/>
    <cellStyle name="Total 2 6 35 2 3" xfId="45892"/>
    <cellStyle name="Total 2 6 35 3" xfId="45893"/>
    <cellStyle name="Total 2 6 35 3 2" xfId="45894"/>
    <cellStyle name="Total 2 6 35 3 2 2" xfId="45895"/>
    <cellStyle name="Total 2 6 35 3 3" xfId="45896"/>
    <cellStyle name="Total 2 6 35 4" xfId="45897"/>
    <cellStyle name="Total 2 6 35 5" xfId="45898"/>
    <cellStyle name="Total 2 6 36" xfId="45899"/>
    <cellStyle name="Total 2 6 36 2" xfId="45900"/>
    <cellStyle name="Total 2 6 36 2 2" xfId="45901"/>
    <cellStyle name="Total 2 6 36 2 2 2" xfId="45902"/>
    <cellStyle name="Total 2 6 36 2 3" xfId="45903"/>
    <cellStyle name="Total 2 6 36 3" xfId="45904"/>
    <cellStyle name="Total 2 6 36 3 2" xfId="45905"/>
    <cellStyle name="Total 2 6 36 3 2 2" xfId="45906"/>
    <cellStyle name="Total 2 6 36 3 3" xfId="45907"/>
    <cellStyle name="Total 2 6 36 4" xfId="45908"/>
    <cellStyle name="Total 2 6 36 5" xfId="45909"/>
    <cellStyle name="Total 2 6 37" xfId="45910"/>
    <cellStyle name="Total 2 6 37 2" xfId="45911"/>
    <cellStyle name="Total 2 6 37 2 2" xfId="45912"/>
    <cellStyle name="Total 2 6 37 2 2 2" xfId="45913"/>
    <cellStyle name="Total 2 6 37 2 3" xfId="45914"/>
    <cellStyle name="Total 2 6 37 3" xfId="45915"/>
    <cellStyle name="Total 2 6 37 3 2" xfId="45916"/>
    <cellStyle name="Total 2 6 37 3 2 2" xfId="45917"/>
    <cellStyle name="Total 2 6 37 3 3" xfId="45918"/>
    <cellStyle name="Total 2 6 37 4" xfId="45919"/>
    <cellStyle name="Total 2 6 37 5" xfId="45920"/>
    <cellStyle name="Total 2 6 38" xfId="45921"/>
    <cellStyle name="Total 2 6 38 2" xfId="45922"/>
    <cellStyle name="Total 2 6 38 2 2" xfId="45923"/>
    <cellStyle name="Total 2 6 38 2 2 2" xfId="45924"/>
    <cellStyle name="Total 2 6 38 2 3" xfId="45925"/>
    <cellStyle name="Total 2 6 38 3" xfId="45926"/>
    <cellStyle name="Total 2 6 38 3 2" xfId="45927"/>
    <cellStyle name="Total 2 6 38 3 2 2" xfId="45928"/>
    <cellStyle name="Total 2 6 38 3 3" xfId="45929"/>
    <cellStyle name="Total 2 6 38 4" xfId="45930"/>
    <cellStyle name="Total 2 6 38 5" xfId="45931"/>
    <cellStyle name="Total 2 6 39" xfId="45932"/>
    <cellStyle name="Total 2 6 39 2" xfId="45933"/>
    <cellStyle name="Total 2 6 39 2 2" xfId="45934"/>
    <cellStyle name="Total 2 6 39 2 2 2" xfId="45935"/>
    <cellStyle name="Total 2 6 39 2 3" xfId="45936"/>
    <cellStyle name="Total 2 6 39 3" xfId="45937"/>
    <cellStyle name="Total 2 6 39 3 2" xfId="45938"/>
    <cellStyle name="Total 2 6 39 3 2 2" xfId="45939"/>
    <cellStyle name="Total 2 6 39 3 3" xfId="45940"/>
    <cellStyle name="Total 2 6 39 4" xfId="45941"/>
    <cellStyle name="Total 2 6 39 5" xfId="45942"/>
    <cellStyle name="Total 2 6 4" xfId="45943"/>
    <cellStyle name="Total 2 6 4 2" xfId="45944"/>
    <cellStyle name="Total 2 6 4 2 2" xfId="45945"/>
    <cellStyle name="Total 2 6 4 2 2 2" xfId="45946"/>
    <cellStyle name="Total 2 6 4 2 3" xfId="45947"/>
    <cellStyle name="Total 2 6 4 3" xfId="45948"/>
    <cellStyle name="Total 2 6 4 3 2" xfId="45949"/>
    <cellStyle name="Total 2 6 4 3 2 2" xfId="45950"/>
    <cellStyle name="Total 2 6 4 3 3" xfId="45951"/>
    <cellStyle name="Total 2 6 4 4" xfId="45952"/>
    <cellStyle name="Total 2 6 4 4 2" xfId="45953"/>
    <cellStyle name="Total 2 6 4 4 2 2" xfId="45954"/>
    <cellStyle name="Total 2 6 4 4 3" xfId="45955"/>
    <cellStyle name="Total 2 6 4 5" xfId="45956"/>
    <cellStyle name="Total 2 6 4 5 2" xfId="45957"/>
    <cellStyle name="Total 2 6 4 5 2 2" xfId="45958"/>
    <cellStyle name="Total 2 6 4 5 3" xfId="45959"/>
    <cellStyle name="Total 2 6 4 6" xfId="45960"/>
    <cellStyle name="Total 2 6 4 7" xfId="45961"/>
    <cellStyle name="Total 2 6 40" xfId="45962"/>
    <cellStyle name="Total 2 6 40 2" xfId="45963"/>
    <cellStyle name="Total 2 6 40 2 2" xfId="45964"/>
    <cellStyle name="Total 2 6 40 2 2 2" xfId="45965"/>
    <cellStyle name="Total 2 6 40 2 3" xfId="45966"/>
    <cellStyle name="Total 2 6 40 3" xfId="45967"/>
    <cellStyle name="Total 2 6 40 3 2" xfId="45968"/>
    <cellStyle name="Total 2 6 40 3 2 2" xfId="45969"/>
    <cellStyle name="Total 2 6 40 3 3" xfId="45970"/>
    <cellStyle name="Total 2 6 40 4" xfId="45971"/>
    <cellStyle name="Total 2 6 40 5" xfId="45972"/>
    <cellStyle name="Total 2 6 41" xfId="45973"/>
    <cellStyle name="Total 2 6 41 2" xfId="45974"/>
    <cellStyle name="Total 2 6 41 2 2" xfId="45975"/>
    <cellStyle name="Total 2 6 41 2 2 2" xfId="45976"/>
    <cellStyle name="Total 2 6 41 2 3" xfId="45977"/>
    <cellStyle name="Total 2 6 41 3" xfId="45978"/>
    <cellStyle name="Total 2 6 41 3 2" xfId="45979"/>
    <cellStyle name="Total 2 6 41 3 2 2" xfId="45980"/>
    <cellStyle name="Total 2 6 41 3 3" xfId="45981"/>
    <cellStyle name="Total 2 6 41 4" xfId="45982"/>
    <cellStyle name="Total 2 6 41 5" xfId="45983"/>
    <cellStyle name="Total 2 6 42" xfId="45984"/>
    <cellStyle name="Total 2 6 42 2" xfId="45985"/>
    <cellStyle name="Total 2 6 42 2 2" xfId="45986"/>
    <cellStyle name="Total 2 6 42 2 2 2" xfId="45987"/>
    <cellStyle name="Total 2 6 42 2 3" xfId="45988"/>
    <cellStyle name="Total 2 6 42 3" xfId="45989"/>
    <cellStyle name="Total 2 6 42 3 2" xfId="45990"/>
    <cellStyle name="Total 2 6 42 3 2 2" xfId="45991"/>
    <cellStyle name="Total 2 6 42 3 3" xfId="45992"/>
    <cellStyle name="Total 2 6 42 4" xfId="45993"/>
    <cellStyle name="Total 2 6 42 5" xfId="45994"/>
    <cellStyle name="Total 2 6 43" xfId="45995"/>
    <cellStyle name="Total 2 6 43 2" xfId="45996"/>
    <cellStyle name="Total 2 6 43 2 2" xfId="45997"/>
    <cellStyle name="Total 2 6 43 2 2 2" xfId="45998"/>
    <cellStyle name="Total 2 6 43 2 3" xfId="45999"/>
    <cellStyle name="Total 2 6 43 3" xfId="46000"/>
    <cellStyle name="Total 2 6 43 3 2" xfId="46001"/>
    <cellStyle name="Total 2 6 43 3 2 2" xfId="46002"/>
    <cellStyle name="Total 2 6 43 3 3" xfId="46003"/>
    <cellStyle name="Total 2 6 43 4" xfId="46004"/>
    <cellStyle name="Total 2 6 43 5" xfId="46005"/>
    <cellStyle name="Total 2 6 44" xfId="46006"/>
    <cellStyle name="Total 2 6 44 2" xfId="46007"/>
    <cellStyle name="Total 2 6 44 2 2" xfId="46008"/>
    <cellStyle name="Total 2 6 44 2 2 2" xfId="46009"/>
    <cellStyle name="Total 2 6 44 2 3" xfId="46010"/>
    <cellStyle name="Total 2 6 44 3" xfId="46011"/>
    <cellStyle name="Total 2 6 44 3 2" xfId="46012"/>
    <cellStyle name="Total 2 6 44 3 2 2" xfId="46013"/>
    <cellStyle name="Total 2 6 44 3 3" xfId="46014"/>
    <cellStyle name="Total 2 6 44 4" xfId="46015"/>
    <cellStyle name="Total 2 6 44 5" xfId="46016"/>
    <cellStyle name="Total 2 6 45" xfId="46017"/>
    <cellStyle name="Total 2 6 45 2" xfId="46018"/>
    <cellStyle name="Total 2 6 45 2 2" xfId="46019"/>
    <cellStyle name="Total 2 6 45 2 2 2" xfId="46020"/>
    <cellStyle name="Total 2 6 45 2 3" xfId="46021"/>
    <cellStyle name="Total 2 6 45 3" xfId="46022"/>
    <cellStyle name="Total 2 6 45 3 2" xfId="46023"/>
    <cellStyle name="Total 2 6 45 3 2 2" xfId="46024"/>
    <cellStyle name="Total 2 6 45 3 3" xfId="46025"/>
    <cellStyle name="Total 2 6 45 4" xfId="46026"/>
    <cellStyle name="Total 2 6 45 5" xfId="46027"/>
    <cellStyle name="Total 2 6 46" xfId="46028"/>
    <cellStyle name="Total 2 6 46 2" xfId="46029"/>
    <cellStyle name="Total 2 6 46 2 2" xfId="46030"/>
    <cellStyle name="Total 2 6 46 2 2 2" xfId="46031"/>
    <cellStyle name="Total 2 6 46 2 3" xfId="46032"/>
    <cellStyle name="Total 2 6 46 3" xfId="46033"/>
    <cellStyle name="Total 2 6 46 3 2" xfId="46034"/>
    <cellStyle name="Total 2 6 46 3 2 2" xfId="46035"/>
    <cellStyle name="Total 2 6 46 3 3" xfId="46036"/>
    <cellStyle name="Total 2 6 46 4" xfId="46037"/>
    <cellStyle name="Total 2 6 46 5" xfId="46038"/>
    <cellStyle name="Total 2 6 47" xfId="46039"/>
    <cellStyle name="Total 2 6 47 2" xfId="46040"/>
    <cellStyle name="Total 2 6 47 2 2" xfId="46041"/>
    <cellStyle name="Total 2 6 47 2 2 2" xfId="46042"/>
    <cellStyle name="Total 2 6 47 2 3" xfId="46043"/>
    <cellStyle name="Total 2 6 47 3" xfId="46044"/>
    <cellStyle name="Total 2 6 47 3 2" xfId="46045"/>
    <cellStyle name="Total 2 6 47 3 2 2" xfId="46046"/>
    <cellStyle name="Total 2 6 47 3 3" xfId="46047"/>
    <cellStyle name="Total 2 6 47 4" xfId="46048"/>
    <cellStyle name="Total 2 6 47 5" xfId="46049"/>
    <cellStyle name="Total 2 6 48" xfId="46050"/>
    <cellStyle name="Total 2 6 48 2" xfId="46051"/>
    <cellStyle name="Total 2 6 48 2 2" xfId="46052"/>
    <cellStyle name="Total 2 6 48 2 2 2" xfId="46053"/>
    <cellStyle name="Total 2 6 48 2 3" xfId="46054"/>
    <cellStyle name="Total 2 6 48 3" xfId="46055"/>
    <cellStyle name="Total 2 6 48 3 2" xfId="46056"/>
    <cellStyle name="Total 2 6 48 3 2 2" xfId="46057"/>
    <cellStyle name="Total 2 6 48 3 3" xfId="46058"/>
    <cellStyle name="Total 2 6 48 4" xfId="46059"/>
    <cellStyle name="Total 2 6 48 5" xfId="46060"/>
    <cellStyle name="Total 2 6 49" xfId="46061"/>
    <cellStyle name="Total 2 6 49 2" xfId="46062"/>
    <cellStyle name="Total 2 6 49 2 2" xfId="46063"/>
    <cellStyle name="Total 2 6 49 3" xfId="46064"/>
    <cellStyle name="Total 2 6 5" xfId="46065"/>
    <cellStyle name="Total 2 6 5 2" xfId="46066"/>
    <cellStyle name="Total 2 6 5 2 2" xfId="46067"/>
    <cellStyle name="Total 2 6 5 2 2 2" xfId="46068"/>
    <cellStyle name="Total 2 6 5 2 3" xfId="46069"/>
    <cellStyle name="Total 2 6 5 3" xfId="46070"/>
    <cellStyle name="Total 2 6 5 3 2" xfId="46071"/>
    <cellStyle name="Total 2 6 5 3 2 2" xfId="46072"/>
    <cellStyle name="Total 2 6 5 3 3" xfId="46073"/>
    <cellStyle name="Total 2 6 5 4" xfId="46074"/>
    <cellStyle name="Total 2 6 5 4 2" xfId="46075"/>
    <cellStyle name="Total 2 6 5 4 2 2" xfId="46076"/>
    <cellStyle name="Total 2 6 5 4 3" xfId="46077"/>
    <cellStyle name="Total 2 6 5 5" xfId="46078"/>
    <cellStyle name="Total 2 6 5 5 2" xfId="46079"/>
    <cellStyle name="Total 2 6 5 5 2 2" xfId="46080"/>
    <cellStyle name="Total 2 6 5 5 3" xfId="46081"/>
    <cellStyle name="Total 2 6 5 6" xfId="46082"/>
    <cellStyle name="Total 2 6 5 7" xfId="46083"/>
    <cellStyle name="Total 2 6 50" xfId="46084"/>
    <cellStyle name="Total 2 6 50 2" xfId="46085"/>
    <cellStyle name="Total 2 6 50 2 2" xfId="46086"/>
    <cellStyle name="Total 2 6 50 3" xfId="46087"/>
    <cellStyle name="Total 2 6 51" xfId="46088"/>
    <cellStyle name="Total 2 6 51 2" xfId="46089"/>
    <cellStyle name="Total 2 6 51 2 2" xfId="46090"/>
    <cellStyle name="Total 2 6 51 3" xfId="46091"/>
    <cellStyle name="Total 2 6 52" xfId="46092"/>
    <cellStyle name="Total 2 6 52 2" xfId="46093"/>
    <cellStyle name="Total 2 6 52 2 2" xfId="46094"/>
    <cellStyle name="Total 2 6 52 3" xfId="46095"/>
    <cellStyle name="Total 2 6 53" xfId="46096"/>
    <cellStyle name="Total 2 6 54" xfId="46097"/>
    <cellStyle name="Total 2 6 6" xfId="46098"/>
    <cellStyle name="Total 2 6 6 2" xfId="46099"/>
    <cellStyle name="Total 2 6 6 2 2" xfId="46100"/>
    <cellStyle name="Total 2 6 6 2 2 2" xfId="46101"/>
    <cellStyle name="Total 2 6 6 2 3" xfId="46102"/>
    <cellStyle name="Total 2 6 6 3" xfId="46103"/>
    <cellStyle name="Total 2 6 6 3 2" xfId="46104"/>
    <cellStyle name="Total 2 6 6 3 2 2" xfId="46105"/>
    <cellStyle name="Total 2 6 6 3 3" xfId="46106"/>
    <cellStyle name="Total 2 6 6 4" xfId="46107"/>
    <cellStyle name="Total 2 6 6 4 2" xfId="46108"/>
    <cellStyle name="Total 2 6 6 4 2 2" xfId="46109"/>
    <cellStyle name="Total 2 6 6 4 3" xfId="46110"/>
    <cellStyle name="Total 2 6 6 5" xfId="46111"/>
    <cellStyle name="Total 2 6 6 5 2" xfId="46112"/>
    <cellStyle name="Total 2 6 6 5 2 2" xfId="46113"/>
    <cellStyle name="Total 2 6 6 5 3" xfId="46114"/>
    <cellStyle name="Total 2 6 6 6" xfId="46115"/>
    <cellStyle name="Total 2 6 6 7" xfId="46116"/>
    <cellStyle name="Total 2 6 7" xfId="46117"/>
    <cellStyle name="Total 2 6 7 2" xfId="46118"/>
    <cellStyle name="Total 2 6 7 2 2" xfId="46119"/>
    <cellStyle name="Total 2 6 7 2 2 2" xfId="46120"/>
    <cellStyle name="Total 2 6 7 2 3" xfId="46121"/>
    <cellStyle name="Total 2 6 7 3" xfId="46122"/>
    <cellStyle name="Total 2 6 7 3 2" xfId="46123"/>
    <cellStyle name="Total 2 6 7 3 2 2" xfId="46124"/>
    <cellStyle name="Total 2 6 7 3 3" xfId="46125"/>
    <cellStyle name="Total 2 6 7 4" xfId="46126"/>
    <cellStyle name="Total 2 6 7 4 2" xfId="46127"/>
    <cellStyle name="Total 2 6 7 4 2 2" xfId="46128"/>
    <cellStyle name="Total 2 6 7 4 3" xfId="46129"/>
    <cellStyle name="Total 2 6 7 5" xfId="46130"/>
    <cellStyle name="Total 2 6 7 5 2" xfId="46131"/>
    <cellStyle name="Total 2 6 7 5 2 2" xfId="46132"/>
    <cellStyle name="Total 2 6 7 5 3" xfId="46133"/>
    <cellStyle name="Total 2 6 7 6" xfId="46134"/>
    <cellStyle name="Total 2 6 7 7" xfId="46135"/>
    <cellStyle name="Total 2 6 8" xfId="46136"/>
    <cellStyle name="Total 2 6 8 2" xfId="46137"/>
    <cellStyle name="Total 2 6 8 2 2" xfId="46138"/>
    <cellStyle name="Total 2 6 8 2 2 2" xfId="46139"/>
    <cellStyle name="Total 2 6 8 2 3" xfId="46140"/>
    <cellStyle name="Total 2 6 8 3" xfId="46141"/>
    <cellStyle name="Total 2 6 8 3 2" xfId="46142"/>
    <cellStyle name="Total 2 6 8 3 2 2" xfId="46143"/>
    <cellStyle name="Total 2 6 8 3 3" xfId="46144"/>
    <cellStyle name="Total 2 6 8 4" xfId="46145"/>
    <cellStyle name="Total 2 6 8 4 2" xfId="46146"/>
    <cellStyle name="Total 2 6 8 4 2 2" xfId="46147"/>
    <cellStyle name="Total 2 6 8 4 3" xfId="46148"/>
    <cellStyle name="Total 2 6 8 5" xfId="46149"/>
    <cellStyle name="Total 2 6 8 5 2" xfId="46150"/>
    <cellStyle name="Total 2 6 8 5 2 2" xfId="46151"/>
    <cellStyle name="Total 2 6 8 5 3" xfId="46152"/>
    <cellStyle name="Total 2 6 8 6" xfId="46153"/>
    <cellStyle name="Total 2 6 8 7" xfId="46154"/>
    <cellStyle name="Total 2 6 9" xfId="46155"/>
    <cellStyle name="Total 2 6 9 2" xfId="46156"/>
    <cellStyle name="Total 2 6 9 2 2" xfId="46157"/>
    <cellStyle name="Total 2 6 9 2 2 2" xfId="46158"/>
    <cellStyle name="Total 2 6 9 2 3" xfId="46159"/>
    <cellStyle name="Total 2 6 9 3" xfId="46160"/>
    <cellStyle name="Total 2 6 9 3 2" xfId="46161"/>
    <cellStyle name="Total 2 6 9 3 2 2" xfId="46162"/>
    <cellStyle name="Total 2 6 9 3 3" xfId="46163"/>
    <cellStyle name="Total 2 6 9 4" xfId="46164"/>
    <cellStyle name="Total 2 6 9 5" xfId="46165"/>
    <cellStyle name="Total 2 7" xfId="46166"/>
    <cellStyle name="Total 2 7 10" xfId="46167"/>
    <cellStyle name="Total 2 7 10 2" xfId="46168"/>
    <cellStyle name="Total 2 7 10 2 2" xfId="46169"/>
    <cellStyle name="Total 2 7 10 2 2 2" xfId="46170"/>
    <cellStyle name="Total 2 7 10 2 3" xfId="46171"/>
    <cellStyle name="Total 2 7 10 3" xfId="46172"/>
    <cellStyle name="Total 2 7 10 3 2" xfId="46173"/>
    <cellStyle name="Total 2 7 10 3 2 2" xfId="46174"/>
    <cellStyle name="Total 2 7 10 3 3" xfId="46175"/>
    <cellStyle name="Total 2 7 10 4" xfId="46176"/>
    <cellStyle name="Total 2 7 10 5" xfId="46177"/>
    <cellStyle name="Total 2 7 11" xfId="46178"/>
    <cellStyle name="Total 2 7 11 2" xfId="46179"/>
    <cellStyle name="Total 2 7 11 2 2" xfId="46180"/>
    <cellStyle name="Total 2 7 11 2 2 2" xfId="46181"/>
    <cellStyle name="Total 2 7 11 2 3" xfId="46182"/>
    <cellStyle name="Total 2 7 11 3" xfId="46183"/>
    <cellStyle name="Total 2 7 11 3 2" xfId="46184"/>
    <cellStyle name="Total 2 7 11 3 2 2" xfId="46185"/>
    <cellStyle name="Total 2 7 11 3 3" xfId="46186"/>
    <cellStyle name="Total 2 7 11 4" xfId="46187"/>
    <cellStyle name="Total 2 7 11 5" xfId="46188"/>
    <cellStyle name="Total 2 7 12" xfId="46189"/>
    <cellStyle name="Total 2 7 12 2" xfId="46190"/>
    <cellStyle name="Total 2 7 12 2 2" xfId="46191"/>
    <cellStyle name="Total 2 7 12 2 2 2" xfId="46192"/>
    <cellStyle name="Total 2 7 12 2 3" xfId="46193"/>
    <cellStyle name="Total 2 7 12 3" xfId="46194"/>
    <cellStyle name="Total 2 7 12 3 2" xfId="46195"/>
    <cellStyle name="Total 2 7 12 3 2 2" xfId="46196"/>
    <cellStyle name="Total 2 7 12 3 3" xfId="46197"/>
    <cellStyle name="Total 2 7 12 4" xfId="46198"/>
    <cellStyle name="Total 2 7 12 5" xfId="46199"/>
    <cellStyle name="Total 2 7 13" xfId="46200"/>
    <cellStyle name="Total 2 7 13 2" xfId="46201"/>
    <cellStyle name="Total 2 7 13 2 2" xfId="46202"/>
    <cellStyle name="Total 2 7 13 2 2 2" xfId="46203"/>
    <cellStyle name="Total 2 7 13 2 3" xfId="46204"/>
    <cellStyle name="Total 2 7 13 3" xfId="46205"/>
    <cellStyle name="Total 2 7 13 3 2" xfId="46206"/>
    <cellStyle name="Total 2 7 13 3 2 2" xfId="46207"/>
    <cellStyle name="Total 2 7 13 3 3" xfId="46208"/>
    <cellStyle name="Total 2 7 13 4" xfId="46209"/>
    <cellStyle name="Total 2 7 13 5" xfId="46210"/>
    <cellStyle name="Total 2 7 14" xfId="46211"/>
    <cellStyle name="Total 2 7 14 2" xfId="46212"/>
    <cellStyle name="Total 2 7 14 2 2" xfId="46213"/>
    <cellStyle name="Total 2 7 14 2 2 2" xfId="46214"/>
    <cellStyle name="Total 2 7 14 2 3" xfId="46215"/>
    <cellStyle name="Total 2 7 14 3" xfId="46216"/>
    <cellStyle name="Total 2 7 14 3 2" xfId="46217"/>
    <cellStyle name="Total 2 7 14 3 2 2" xfId="46218"/>
    <cellStyle name="Total 2 7 14 3 3" xfId="46219"/>
    <cellStyle name="Total 2 7 14 4" xfId="46220"/>
    <cellStyle name="Total 2 7 14 5" xfId="46221"/>
    <cellStyle name="Total 2 7 15" xfId="46222"/>
    <cellStyle name="Total 2 7 15 2" xfId="46223"/>
    <cellStyle name="Total 2 7 15 2 2" xfId="46224"/>
    <cellStyle name="Total 2 7 15 2 2 2" xfId="46225"/>
    <cellStyle name="Total 2 7 15 2 3" xfId="46226"/>
    <cellStyle name="Total 2 7 15 3" xfId="46227"/>
    <cellStyle name="Total 2 7 15 3 2" xfId="46228"/>
    <cellStyle name="Total 2 7 15 3 2 2" xfId="46229"/>
    <cellStyle name="Total 2 7 15 3 3" xfId="46230"/>
    <cellStyle name="Total 2 7 15 4" xfId="46231"/>
    <cellStyle name="Total 2 7 15 5" xfId="46232"/>
    <cellStyle name="Total 2 7 16" xfId="46233"/>
    <cellStyle name="Total 2 7 16 2" xfId="46234"/>
    <cellStyle name="Total 2 7 16 2 2" xfId="46235"/>
    <cellStyle name="Total 2 7 16 2 2 2" xfId="46236"/>
    <cellStyle name="Total 2 7 16 2 3" xfId="46237"/>
    <cellStyle name="Total 2 7 16 3" xfId="46238"/>
    <cellStyle name="Total 2 7 16 3 2" xfId="46239"/>
    <cellStyle name="Total 2 7 16 3 2 2" xfId="46240"/>
    <cellStyle name="Total 2 7 16 3 3" xfId="46241"/>
    <cellStyle name="Total 2 7 16 4" xfId="46242"/>
    <cellStyle name="Total 2 7 16 5" xfId="46243"/>
    <cellStyle name="Total 2 7 17" xfId="46244"/>
    <cellStyle name="Total 2 7 17 2" xfId="46245"/>
    <cellStyle name="Total 2 7 17 2 2" xfId="46246"/>
    <cellStyle name="Total 2 7 17 2 2 2" xfId="46247"/>
    <cellStyle name="Total 2 7 17 2 3" xfId="46248"/>
    <cellStyle name="Total 2 7 17 3" xfId="46249"/>
    <cellStyle name="Total 2 7 17 3 2" xfId="46250"/>
    <cellStyle name="Total 2 7 17 3 2 2" xfId="46251"/>
    <cellStyle name="Total 2 7 17 3 3" xfId="46252"/>
    <cellStyle name="Total 2 7 17 4" xfId="46253"/>
    <cellStyle name="Total 2 7 17 5" xfId="46254"/>
    <cellStyle name="Total 2 7 18" xfId="46255"/>
    <cellStyle name="Total 2 7 18 2" xfId="46256"/>
    <cellStyle name="Total 2 7 18 2 2" xfId="46257"/>
    <cellStyle name="Total 2 7 18 2 2 2" xfId="46258"/>
    <cellStyle name="Total 2 7 18 2 3" xfId="46259"/>
    <cellStyle name="Total 2 7 18 3" xfId="46260"/>
    <cellStyle name="Total 2 7 18 3 2" xfId="46261"/>
    <cellStyle name="Total 2 7 18 3 2 2" xfId="46262"/>
    <cellStyle name="Total 2 7 18 3 3" xfId="46263"/>
    <cellStyle name="Total 2 7 18 4" xfId="46264"/>
    <cellStyle name="Total 2 7 18 5" xfId="46265"/>
    <cellStyle name="Total 2 7 19" xfId="46266"/>
    <cellStyle name="Total 2 7 19 2" xfId="46267"/>
    <cellStyle name="Total 2 7 19 2 2" xfId="46268"/>
    <cellStyle name="Total 2 7 19 2 2 2" xfId="46269"/>
    <cellStyle name="Total 2 7 19 2 3" xfId="46270"/>
    <cellStyle name="Total 2 7 19 3" xfId="46271"/>
    <cellStyle name="Total 2 7 19 3 2" xfId="46272"/>
    <cellStyle name="Total 2 7 19 3 2 2" xfId="46273"/>
    <cellStyle name="Total 2 7 19 3 3" xfId="46274"/>
    <cellStyle name="Total 2 7 19 4" xfId="46275"/>
    <cellStyle name="Total 2 7 19 5" xfId="46276"/>
    <cellStyle name="Total 2 7 2" xfId="46277"/>
    <cellStyle name="Total 2 7 2 2" xfId="46278"/>
    <cellStyle name="Total 2 7 2 2 2" xfId="46279"/>
    <cellStyle name="Total 2 7 2 2 2 2" xfId="46280"/>
    <cellStyle name="Total 2 7 2 2 3" xfId="46281"/>
    <cellStyle name="Total 2 7 2 3" xfId="46282"/>
    <cellStyle name="Total 2 7 2 3 2" xfId="46283"/>
    <cellStyle name="Total 2 7 2 3 2 2" xfId="46284"/>
    <cellStyle name="Total 2 7 2 3 3" xfId="46285"/>
    <cellStyle name="Total 2 7 2 4" xfId="46286"/>
    <cellStyle name="Total 2 7 2 4 2" xfId="46287"/>
    <cellStyle name="Total 2 7 2 4 2 2" xfId="46288"/>
    <cellStyle name="Total 2 7 2 4 3" xfId="46289"/>
    <cellStyle name="Total 2 7 2 5" xfId="46290"/>
    <cellStyle name="Total 2 7 2 5 2" xfId="46291"/>
    <cellStyle name="Total 2 7 2 5 2 2" xfId="46292"/>
    <cellStyle name="Total 2 7 2 5 3" xfId="46293"/>
    <cellStyle name="Total 2 7 2 6" xfId="46294"/>
    <cellStyle name="Total 2 7 2 7" xfId="46295"/>
    <cellStyle name="Total 2 7 20" xfId="46296"/>
    <cellStyle name="Total 2 7 20 2" xfId="46297"/>
    <cellStyle name="Total 2 7 20 2 2" xfId="46298"/>
    <cellStyle name="Total 2 7 20 2 2 2" xfId="46299"/>
    <cellStyle name="Total 2 7 20 2 3" xfId="46300"/>
    <cellStyle name="Total 2 7 20 3" xfId="46301"/>
    <cellStyle name="Total 2 7 20 3 2" xfId="46302"/>
    <cellStyle name="Total 2 7 20 3 2 2" xfId="46303"/>
    <cellStyle name="Total 2 7 20 3 3" xfId="46304"/>
    <cellStyle name="Total 2 7 20 4" xfId="46305"/>
    <cellStyle name="Total 2 7 20 5" xfId="46306"/>
    <cellStyle name="Total 2 7 21" xfId="46307"/>
    <cellStyle name="Total 2 7 21 2" xfId="46308"/>
    <cellStyle name="Total 2 7 21 2 2" xfId="46309"/>
    <cellStyle name="Total 2 7 21 2 2 2" xfId="46310"/>
    <cellStyle name="Total 2 7 21 2 3" xfId="46311"/>
    <cellStyle name="Total 2 7 21 3" xfId="46312"/>
    <cellStyle name="Total 2 7 21 3 2" xfId="46313"/>
    <cellStyle name="Total 2 7 21 3 2 2" xfId="46314"/>
    <cellStyle name="Total 2 7 21 3 3" xfId="46315"/>
    <cellStyle name="Total 2 7 21 4" xfId="46316"/>
    <cellStyle name="Total 2 7 21 5" xfId="46317"/>
    <cellStyle name="Total 2 7 22" xfId="46318"/>
    <cellStyle name="Total 2 7 22 2" xfId="46319"/>
    <cellStyle name="Total 2 7 22 2 2" xfId="46320"/>
    <cellStyle name="Total 2 7 22 2 2 2" xfId="46321"/>
    <cellStyle name="Total 2 7 22 2 3" xfId="46322"/>
    <cellStyle name="Total 2 7 22 3" xfId="46323"/>
    <cellStyle name="Total 2 7 22 3 2" xfId="46324"/>
    <cellStyle name="Total 2 7 22 3 2 2" xfId="46325"/>
    <cellStyle name="Total 2 7 22 3 3" xfId="46326"/>
    <cellStyle name="Total 2 7 22 4" xfId="46327"/>
    <cellStyle name="Total 2 7 22 5" xfId="46328"/>
    <cellStyle name="Total 2 7 23" xfId="46329"/>
    <cellStyle name="Total 2 7 23 2" xfId="46330"/>
    <cellStyle name="Total 2 7 23 2 2" xfId="46331"/>
    <cellStyle name="Total 2 7 23 2 2 2" xfId="46332"/>
    <cellStyle name="Total 2 7 23 2 3" xfId="46333"/>
    <cellStyle name="Total 2 7 23 3" xfId="46334"/>
    <cellStyle name="Total 2 7 23 3 2" xfId="46335"/>
    <cellStyle name="Total 2 7 23 3 2 2" xfId="46336"/>
    <cellStyle name="Total 2 7 23 3 3" xfId="46337"/>
    <cellStyle name="Total 2 7 23 4" xfId="46338"/>
    <cellStyle name="Total 2 7 23 5" xfId="46339"/>
    <cellStyle name="Total 2 7 24" xfId="46340"/>
    <cellStyle name="Total 2 7 24 2" xfId="46341"/>
    <cellStyle name="Total 2 7 24 2 2" xfId="46342"/>
    <cellStyle name="Total 2 7 24 2 2 2" xfId="46343"/>
    <cellStyle name="Total 2 7 24 2 3" xfId="46344"/>
    <cellStyle name="Total 2 7 24 3" xfId="46345"/>
    <cellStyle name="Total 2 7 24 3 2" xfId="46346"/>
    <cellStyle name="Total 2 7 24 3 2 2" xfId="46347"/>
    <cellStyle name="Total 2 7 24 3 3" xfId="46348"/>
    <cellStyle name="Total 2 7 24 4" xfId="46349"/>
    <cellStyle name="Total 2 7 24 5" xfId="46350"/>
    <cellStyle name="Total 2 7 25" xfId="46351"/>
    <cellStyle name="Total 2 7 25 2" xfId="46352"/>
    <cellStyle name="Total 2 7 25 2 2" xfId="46353"/>
    <cellStyle name="Total 2 7 25 2 2 2" xfId="46354"/>
    <cellStyle name="Total 2 7 25 2 3" xfId="46355"/>
    <cellStyle name="Total 2 7 25 3" xfId="46356"/>
    <cellStyle name="Total 2 7 25 3 2" xfId="46357"/>
    <cellStyle name="Total 2 7 25 3 2 2" xfId="46358"/>
    <cellStyle name="Total 2 7 25 3 3" xfId="46359"/>
    <cellStyle name="Total 2 7 25 4" xfId="46360"/>
    <cellStyle name="Total 2 7 25 5" xfId="46361"/>
    <cellStyle name="Total 2 7 26" xfId="46362"/>
    <cellStyle name="Total 2 7 26 2" xfId="46363"/>
    <cellStyle name="Total 2 7 26 2 2" xfId="46364"/>
    <cellStyle name="Total 2 7 26 2 2 2" xfId="46365"/>
    <cellStyle name="Total 2 7 26 2 3" xfId="46366"/>
    <cellStyle name="Total 2 7 26 3" xfId="46367"/>
    <cellStyle name="Total 2 7 26 3 2" xfId="46368"/>
    <cellStyle name="Total 2 7 26 3 2 2" xfId="46369"/>
    <cellStyle name="Total 2 7 26 3 3" xfId="46370"/>
    <cellStyle name="Total 2 7 26 4" xfId="46371"/>
    <cellStyle name="Total 2 7 26 5" xfId="46372"/>
    <cellStyle name="Total 2 7 27" xfId="46373"/>
    <cellStyle name="Total 2 7 27 2" xfId="46374"/>
    <cellStyle name="Total 2 7 27 2 2" xfId="46375"/>
    <cellStyle name="Total 2 7 27 2 2 2" xfId="46376"/>
    <cellStyle name="Total 2 7 27 2 3" xfId="46377"/>
    <cellStyle name="Total 2 7 27 3" xfId="46378"/>
    <cellStyle name="Total 2 7 27 3 2" xfId="46379"/>
    <cellStyle name="Total 2 7 27 3 2 2" xfId="46380"/>
    <cellStyle name="Total 2 7 27 3 3" xfId="46381"/>
    <cellStyle name="Total 2 7 27 4" xfId="46382"/>
    <cellStyle name="Total 2 7 27 5" xfId="46383"/>
    <cellStyle name="Total 2 7 28" xfId="46384"/>
    <cellStyle name="Total 2 7 28 2" xfId="46385"/>
    <cellStyle name="Total 2 7 28 2 2" xfId="46386"/>
    <cellStyle name="Total 2 7 28 2 2 2" xfId="46387"/>
    <cellStyle name="Total 2 7 28 2 3" xfId="46388"/>
    <cellStyle name="Total 2 7 28 3" xfId="46389"/>
    <cellStyle name="Total 2 7 28 3 2" xfId="46390"/>
    <cellStyle name="Total 2 7 28 3 2 2" xfId="46391"/>
    <cellStyle name="Total 2 7 28 3 3" xfId="46392"/>
    <cellStyle name="Total 2 7 28 4" xfId="46393"/>
    <cellStyle name="Total 2 7 28 5" xfId="46394"/>
    <cellStyle name="Total 2 7 29" xfId="46395"/>
    <cellStyle name="Total 2 7 29 2" xfId="46396"/>
    <cellStyle name="Total 2 7 29 2 2" xfId="46397"/>
    <cellStyle name="Total 2 7 29 2 2 2" xfId="46398"/>
    <cellStyle name="Total 2 7 29 2 3" xfId="46399"/>
    <cellStyle name="Total 2 7 29 3" xfId="46400"/>
    <cellStyle name="Total 2 7 29 3 2" xfId="46401"/>
    <cellStyle name="Total 2 7 29 3 2 2" xfId="46402"/>
    <cellStyle name="Total 2 7 29 3 3" xfId="46403"/>
    <cellStyle name="Total 2 7 29 4" xfId="46404"/>
    <cellStyle name="Total 2 7 29 5" xfId="46405"/>
    <cellStyle name="Total 2 7 3" xfId="46406"/>
    <cellStyle name="Total 2 7 3 2" xfId="46407"/>
    <cellStyle name="Total 2 7 3 2 2" xfId="46408"/>
    <cellStyle name="Total 2 7 3 2 2 2" xfId="46409"/>
    <cellStyle name="Total 2 7 3 2 3" xfId="46410"/>
    <cellStyle name="Total 2 7 3 3" xfId="46411"/>
    <cellStyle name="Total 2 7 3 3 2" xfId="46412"/>
    <cellStyle name="Total 2 7 3 3 2 2" xfId="46413"/>
    <cellStyle name="Total 2 7 3 3 3" xfId="46414"/>
    <cellStyle name="Total 2 7 3 4" xfId="46415"/>
    <cellStyle name="Total 2 7 3 4 2" xfId="46416"/>
    <cellStyle name="Total 2 7 3 4 2 2" xfId="46417"/>
    <cellStyle name="Total 2 7 3 4 3" xfId="46418"/>
    <cellStyle name="Total 2 7 3 5" xfId="46419"/>
    <cellStyle name="Total 2 7 3 5 2" xfId="46420"/>
    <cellStyle name="Total 2 7 3 5 2 2" xfId="46421"/>
    <cellStyle name="Total 2 7 3 5 3" xfId="46422"/>
    <cellStyle name="Total 2 7 3 6" xfId="46423"/>
    <cellStyle name="Total 2 7 3 7" xfId="46424"/>
    <cellStyle name="Total 2 7 30" xfId="46425"/>
    <cellStyle name="Total 2 7 30 2" xfId="46426"/>
    <cellStyle name="Total 2 7 30 2 2" xfId="46427"/>
    <cellStyle name="Total 2 7 30 2 2 2" xfId="46428"/>
    <cellStyle name="Total 2 7 30 2 3" xfId="46429"/>
    <cellStyle name="Total 2 7 30 3" xfId="46430"/>
    <cellStyle name="Total 2 7 30 3 2" xfId="46431"/>
    <cellStyle name="Total 2 7 30 3 2 2" xfId="46432"/>
    <cellStyle name="Total 2 7 30 3 3" xfId="46433"/>
    <cellStyle name="Total 2 7 30 4" xfId="46434"/>
    <cellStyle name="Total 2 7 30 5" xfId="46435"/>
    <cellStyle name="Total 2 7 31" xfId="46436"/>
    <cellStyle name="Total 2 7 31 2" xfId="46437"/>
    <cellStyle name="Total 2 7 31 2 2" xfId="46438"/>
    <cellStyle name="Total 2 7 31 2 2 2" xfId="46439"/>
    <cellStyle name="Total 2 7 31 2 3" xfId="46440"/>
    <cellStyle name="Total 2 7 31 3" xfId="46441"/>
    <cellStyle name="Total 2 7 31 3 2" xfId="46442"/>
    <cellStyle name="Total 2 7 31 3 2 2" xfId="46443"/>
    <cellStyle name="Total 2 7 31 3 3" xfId="46444"/>
    <cellStyle name="Total 2 7 31 4" xfId="46445"/>
    <cellStyle name="Total 2 7 31 5" xfId="46446"/>
    <cellStyle name="Total 2 7 32" xfId="46447"/>
    <cellStyle name="Total 2 7 32 2" xfId="46448"/>
    <cellStyle name="Total 2 7 32 2 2" xfId="46449"/>
    <cellStyle name="Total 2 7 32 2 2 2" xfId="46450"/>
    <cellStyle name="Total 2 7 32 2 3" xfId="46451"/>
    <cellStyle name="Total 2 7 32 3" xfId="46452"/>
    <cellStyle name="Total 2 7 32 3 2" xfId="46453"/>
    <cellStyle name="Total 2 7 32 3 2 2" xfId="46454"/>
    <cellStyle name="Total 2 7 32 3 3" xfId="46455"/>
    <cellStyle name="Total 2 7 32 4" xfId="46456"/>
    <cellStyle name="Total 2 7 32 5" xfId="46457"/>
    <cellStyle name="Total 2 7 33" xfId="46458"/>
    <cellStyle name="Total 2 7 33 2" xfId="46459"/>
    <cellStyle name="Total 2 7 33 2 2" xfId="46460"/>
    <cellStyle name="Total 2 7 33 2 2 2" xfId="46461"/>
    <cellStyle name="Total 2 7 33 2 3" xfId="46462"/>
    <cellStyle name="Total 2 7 33 3" xfId="46463"/>
    <cellStyle name="Total 2 7 33 3 2" xfId="46464"/>
    <cellStyle name="Total 2 7 33 3 2 2" xfId="46465"/>
    <cellStyle name="Total 2 7 33 3 3" xfId="46466"/>
    <cellStyle name="Total 2 7 33 4" xfId="46467"/>
    <cellStyle name="Total 2 7 33 5" xfId="46468"/>
    <cellStyle name="Total 2 7 34" xfId="46469"/>
    <cellStyle name="Total 2 7 34 2" xfId="46470"/>
    <cellStyle name="Total 2 7 34 2 2" xfId="46471"/>
    <cellStyle name="Total 2 7 34 2 2 2" xfId="46472"/>
    <cellStyle name="Total 2 7 34 2 3" xfId="46473"/>
    <cellStyle name="Total 2 7 34 3" xfId="46474"/>
    <cellStyle name="Total 2 7 34 3 2" xfId="46475"/>
    <cellStyle name="Total 2 7 34 3 2 2" xfId="46476"/>
    <cellStyle name="Total 2 7 34 3 3" xfId="46477"/>
    <cellStyle name="Total 2 7 34 4" xfId="46478"/>
    <cellStyle name="Total 2 7 34 5" xfId="46479"/>
    <cellStyle name="Total 2 7 35" xfId="46480"/>
    <cellStyle name="Total 2 7 35 2" xfId="46481"/>
    <cellStyle name="Total 2 7 35 2 2" xfId="46482"/>
    <cellStyle name="Total 2 7 35 2 2 2" xfId="46483"/>
    <cellStyle name="Total 2 7 35 2 3" xfId="46484"/>
    <cellStyle name="Total 2 7 35 3" xfId="46485"/>
    <cellStyle name="Total 2 7 35 3 2" xfId="46486"/>
    <cellStyle name="Total 2 7 35 3 2 2" xfId="46487"/>
    <cellStyle name="Total 2 7 35 3 3" xfId="46488"/>
    <cellStyle name="Total 2 7 35 4" xfId="46489"/>
    <cellStyle name="Total 2 7 35 5" xfId="46490"/>
    <cellStyle name="Total 2 7 36" xfId="46491"/>
    <cellStyle name="Total 2 7 36 2" xfId="46492"/>
    <cellStyle name="Total 2 7 36 2 2" xfId="46493"/>
    <cellStyle name="Total 2 7 36 2 2 2" xfId="46494"/>
    <cellStyle name="Total 2 7 36 2 3" xfId="46495"/>
    <cellStyle name="Total 2 7 36 3" xfId="46496"/>
    <cellStyle name="Total 2 7 36 3 2" xfId="46497"/>
    <cellStyle name="Total 2 7 36 3 2 2" xfId="46498"/>
    <cellStyle name="Total 2 7 36 3 3" xfId="46499"/>
    <cellStyle name="Total 2 7 36 4" xfId="46500"/>
    <cellStyle name="Total 2 7 36 5" xfId="46501"/>
    <cellStyle name="Total 2 7 37" xfId="46502"/>
    <cellStyle name="Total 2 7 37 2" xfId="46503"/>
    <cellStyle name="Total 2 7 37 2 2" xfId="46504"/>
    <cellStyle name="Total 2 7 37 2 2 2" xfId="46505"/>
    <cellStyle name="Total 2 7 37 2 3" xfId="46506"/>
    <cellStyle name="Total 2 7 37 3" xfId="46507"/>
    <cellStyle name="Total 2 7 37 3 2" xfId="46508"/>
    <cellStyle name="Total 2 7 37 3 2 2" xfId="46509"/>
    <cellStyle name="Total 2 7 37 3 3" xfId="46510"/>
    <cellStyle name="Total 2 7 37 4" xfId="46511"/>
    <cellStyle name="Total 2 7 37 5" xfId="46512"/>
    <cellStyle name="Total 2 7 38" xfId="46513"/>
    <cellStyle name="Total 2 7 38 2" xfId="46514"/>
    <cellStyle name="Total 2 7 38 2 2" xfId="46515"/>
    <cellStyle name="Total 2 7 38 2 2 2" xfId="46516"/>
    <cellStyle name="Total 2 7 38 2 3" xfId="46517"/>
    <cellStyle name="Total 2 7 38 3" xfId="46518"/>
    <cellStyle name="Total 2 7 38 3 2" xfId="46519"/>
    <cellStyle name="Total 2 7 38 3 2 2" xfId="46520"/>
    <cellStyle name="Total 2 7 38 3 3" xfId="46521"/>
    <cellStyle name="Total 2 7 38 4" xfId="46522"/>
    <cellStyle name="Total 2 7 38 5" xfId="46523"/>
    <cellStyle name="Total 2 7 39" xfId="46524"/>
    <cellStyle name="Total 2 7 39 2" xfId="46525"/>
    <cellStyle name="Total 2 7 39 2 2" xfId="46526"/>
    <cellStyle name="Total 2 7 39 2 2 2" xfId="46527"/>
    <cellStyle name="Total 2 7 39 2 3" xfId="46528"/>
    <cellStyle name="Total 2 7 39 3" xfId="46529"/>
    <cellStyle name="Total 2 7 39 3 2" xfId="46530"/>
    <cellStyle name="Total 2 7 39 3 2 2" xfId="46531"/>
    <cellStyle name="Total 2 7 39 3 3" xfId="46532"/>
    <cellStyle name="Total 2 7 39 4" xfId="46533"/>
    <cellStyle name="Total 2 7 39 5" xfId="46534"/>
    <cellStyle name="Total 2 7 4" xfId="46535"/>
    <cellStyle name="Total 2 7 4 2" xfId="46536"/>
    <cellStyle name="Total 2 7 4 2 2" xfId="46537"/>
    <cellStyle name="Total 2 7 4 2 2 2" xfId="46538"/>
    <cellStyle name="Total 2 7 4 2 3" xfId="46539"/>
    <cellStyle name="Total 2 7 4 3" xfId="46540"/>
    <cellStyle name="Total 2 7 4 3 2" xfId="46541"/>
    <cellStyle name="Total 2 7 4 3 2 2" xfId="46542"/>
    <cellStyle name="Total 2 7 4 3 3" xfId="46543"/>
    <cellStyle name="Total 2 7 4 4" xfId="46544"/>
    <cellStyle name="Total 2 7 4 4 2" xfId="46545"/>
    <cellStyle name="Total 2 7 4 4 2 2" xfId="46546"/>
    <cellStyle name="Total 2 7 4 4 3" xfId="46547"/>
    <cellStyle name="Total 2 7 4 5" xfId="46548"/>
    <cellStyle name="Total 2 7 4 5 2" xfId="46549"/>
    <cellStyle name="Total 2 7 4 5 2 2" xfId="46550"/>
    <cellStyle name="Total 2 7 4 5 3" xfId="46551"/>
    <cellStyle name="Total 2 7 4 6" xfId="46552"/>
    <cellStyle name="Total 2 7 4 7" xfId="46553"/>
    <cellStyle name="Total 2 7 40" xfId="46554"/>
    <cellStyle name="Total 2 7 40 2" xfId="46555"/>
    <cellStyle name="Total 2 7 40 2 2" xfId="46556"/>
    <cellStyle name="Total 2 7 40 2 2 2" xfId="46557"/>
    <cellStyle name="Total 2 7 40 2 3" xfId="46558"/>
    <cellStyle name="Total 2 7 40 3" xfId="46559"/>
    <cellStyle name="Total 2 7 40 3 2" xfId="46560"/>
    <cellStyle name="Total 2 7 40 3 2 2" xfId="46561"/>
    <cellStyle name="Total 2 7 40 3 3" xfId="46562"/>
    <cellStyle name="Total 2 7 40 4" xfId="46563"/>
    <cellStyle name="Total 2 7 40 5" xfId="46564"/>
    <cellStyle name="Total 2 7 41" xfId="46565"/>
    <cellStyle name="Total 2 7 41 2" xfId="46566"/>
    <cellStyle name="Total 2 7 41 2 2" xfId="46567"/>
    <cellStyle name="Total 2 7 41 2 2 2" xfId="46568"/>
    <cellStyle name="Total 2 7 41 2 3" xfId="46569"/>
    <cellStyle name="Total 2 7 41 3" xfId="46570"/>
    <cellStyle name="Total 2 7 41 3 2" xfId="46571"/>
    <cellStyle name="Total 2 7 41 3 2 2" xfId="46572"/>
    <cellStyle name="Total 2 7 41 3 3" xfId="46573"/>
    <cellStyle name="Total 2 7 41 4" xfId="46574"/>
    <cellStyle name="Total 2 7 41 5" xfId="46575"/>
    <cellStyle name="Total 2 7 42" xfId="46576"/>
    <cellStyle name="Total 2 7 42 2" xfId="46577"/>
    <cellStyle name="Total 2 7 42 2 2" xfId="46578"/>
    <cellStyle name="Total 2 7 42 2 2 2" xfId="46579"/>
    <cellStyle name="Total 2 7 42 2 3" xfId="46580"/>
    <cellStyle name="Total 2 7 42 3" xfId="46581"/>
    <cellStyle name="Total 2 7 42 3 2" xfId="46582"/>
    <cellStyle name="Total 2 7 42 3 2 2" xfId="46583"/>
    <cellStyle name="Total 2 7 42 3 3" xfId="46584"/>
    <cellStyle name="Total 2 7 42 4" xfId="46585"/>
    <cellStyle name="Total 2 7 42 5" xfId="46586"/>
    <cellStyle name="Total 2 7 43" xfId="46587"/>
    <cellStyle name="Total 2 7 43 2" xfId="46588"/>
    <cellStyle name="Total 2 7 43 2 2" xfId="46589"/>
    <cellStyle name="Total 2 7 43 2 2 2" xfId="46590"/>
    <cellStyle name="Total 2 7 43 2 3" xfId="46591"/>
    <cellStyle name="Total 2 7 43 3" xfId="46592"/>
    <cellStyle name="Total 2 7 43 3 2" xfId="46593"/>
    <cellStyle name="Total 2 7 43 3 2 2" xfId="46594"/>
    <cellStyle name="Total 2 7 43 3 3" xfId="46595"/>
    <cellStyle name="Total 2 7 43 4" xfId="46596"/>
    <cellStyle name="Total 2 7 43 5" xfId="46597"/>
    <cellStyle name="Total 2 7 44" xfId="46598"/>
    <cellStyle name="Total 2 7 44 2" xfId="46599"/>
    <cellStyle name="Total 2 7 44 2 2" xfId="46600"/>
    <cellStyle name="Total 2 7 44 2 2 2" xfId="46601"/>
    <cellStyle name="Total 2 7 44 2 3" xfId="46602"/>
    <cellStyle name="Total 2 7 44 3" xfId="46603"/>
    <cellStyle name="Total 2 7 44 3 2" xfId="46604"/>
    <cellStyle name="Total 2 7 44 3 2 2" xfId="46605"/>
    <cellStyle name="Total 2 7 44 3 3" xfId="46606"/>
    <cellStyle name="Total 2 7 44 4" xfId="46607"/>
    <cellStyle name="Total 2 7 44 5" xfId="46608"/>
    <cellStyle name="Total 2 7 45" xfId="46609"/>
    <cellStyle name="Total 2 7 45 2" xfId="46610"/>
    <cellStyle name="Total 2 7 45 2 2" xfId="46611"/>
    <cellStyle name="Total 2 7 45 2 2 2" xfId="46612"/>
    <cellStyle name="Total 2 7 45 2 3" xfId="46613"/>
    <cellStyle name="Total 2 7 45 3" xfId="46614"/>
    <cellStyle name="Total 2 7 45 3 2" xfId="46615"/>
    <cellStyle name="Total 2 7 45 3 2 2" xfId="46616"/>
    <cellStyle name="Total 2 7 45 3 3" xfId="46617"/>
    <cellStyle name="Total 2 7 45 4" xfId="46618"/>
    <cellStyle name="Total 2 7 45 5" xfId="46619"/>
    <cellStyle name="Total 2 7 46" xfId="46620"/>
    <cellStyle name="Total 2 7 46 2" xfId="46621"/>
    <cellStyle name="Total 2 7 46 2 2" xfId="46622"/>
    <cellStyle name="Total 2 7 46 2 2 2" xfId="46623"/>
    <cellStyle name="Total 2 7 46 2 3" xfId="46624"/>
    <cellStyle name="Total 2 7 46 3" xfId="46625"/>
    <cellStyle name="Total 2 7 46 3 2" xfId="46626"/>
    <cellStyle name="Total 2 7 46 3 2 2" xfId="46627"/>
    <cellStyle name="Total 2 7 46 3 3" xfId="46628"/>
    <cellStyle name="Total 2 7 46 4" xfId="46629"/>
    <cellStyle name="Total 2 7 46 5" xfId="46630"/>
    <cellStyle name="Total 2 7 47" xfId="46631"/>
    <cellStyle name="Total 2 7 47 2" xfId="46632"/>
    <cellStyle name="Total 2 7 47 2 2" xfId="46633"/>
    <cellStyle name="Total 2 7 47 2 2 2" xfId="46634"/>
    <cellStyle name="Total 2 7 47 2 3" xfId="46635"/>
    <cellStyle name="Total 2 7 47 3" xfId="46636"/>
    <cellStyle name="Total 2 7 47 3 2" xfId="46637"/>
    <cellStyle name="Total 2 7 47 3 2 2" xfId="46638"/>
    <cellStyle name="Total 2 7 47 3 3" xfId="46639"/>
    <cellStyle name="Total 2 7 47 4" xfId="46640"/>
    <cellStyle name="Total 2 7 47 5" xfId="46641"/>
    <cellStyle name="Total 2 7 48" xfId="46642"/>
    <cellStyle name="Total 2 7 48 2" xfId="46643"/>
    <cellStyle name="Total 2 7 48 2 2" xfId="46644"/>
    <cellStyle name="Total 2 7 48 2 2 2" xfId="46645"/>
    <cellStyle name="Total 2 7 48 2 3" xfId="46646"/>
    <cellStyle name="Total 2 7 48 3" xfId="46647"/>
    <cellStyle name="Total 2 7 48 3 2" xfId="46648"/>
    <cellStyle name="Total 2 7 48 3 2 2" xfId="46649"/>
    <cellStyle name="Total 2 7 48 3 3" xfId="46650"/>
    <cellStyle name="Total 2 7 48 4" xfId="46651"/>
    <cellStyle name="Total 2 7 48 5" xfId="46652"/>
    <cellStyle name="Total 2 7 49" xfId="46653"/>
    <cellStyle name="Total 2 7 49 2" xfId="46654"/>
    <cellStyle name="Total 2 7 49 2 2" xfId="46655"/>
    <cellStyle name="Total 2 7 49 3" xfId="46656"/>
    <cellStyle name="Total 2 7 5" xfId="46657"/>
    <cellStyle name="Total 2 7 5 2" xfId="46658"/>
    <cellStyle name="Total 2 7 5 2 2" xfId="46659"/>
    <cellStyle name="Total 2 7 5 2 2 2" xfId="46660"/>
    <cellStyle name="Total 2 7 5 2 3" xfId="46661"/>
    <cellStyle name="Total 2 7 5 3" xfId="46662"/>
    <cellStyle name="Total 2 7 5 3 2" xfId="46663"/>
    <cellStyle name="Total 2 7 5 3 2 2" xfId="46664"/>
    <cellStyle name="Total 2 7 5 3 3" xfId="46665"/>
    <cellStyle name="Total 2 7 5 4" xfId="46666"/>
    <cellStyle name="Total 2 7 5 4 2" xfId="46667"/>
    <cellStyle name="Total 2 7 5 4 2 2" xfId="46668"/>
    <cellStyle name="Total 2 7 5 4 3" xfId="46669"/>
    <cellStyle name="Total 2 7 5 5" xfId="46670"/>
    <cellStyle name="Total 2 7 5 5 2" xfId="46671"/>
    <cellStyle name="Total 2 7 5 5 2 2" xfId="46672"/>
    <cellStyle name="Total 2 7 5 5 3" xfId="46673"/>
    <cellStyle name="Total 2 7 5 6" xfId="46674"/>
    <cellStyle name="Total 2 7 5 7" xfId="46675"/>
    <cellStyle name="Total 2 7 50" xfId="46676"/>
    <cellStyle name="Total 2 7 50 2" xfId="46677"/>
    <cellStyle name="Total 2 7 50 2 2" xfId="46678"/>
    <cellStyle name="Total 2 7 50 3" xfId="46679"/>
    <cellStyle name="Total 2 7 51" xfId="46680"/>
    <cellStyle name="Total 2 7 51 2" xfId="46681"/>
    <cellStyle name="Total 2 7 51 2 2" xfId="46682"/>
    <cellStyle name="Total 2 7 51 3" xfId="46683"/>
    <cellStyle name="Total 2 7 52" xfId="46684"/>
    <cellStyle name="Total 2 7 52 2" xfId="46685"/>
    <cellStyle name="Total 2 7 52 2 2" xfId="46686"/>
    <cellStyle name="Total 2 7 52 3" xfId="46687"/>
    <cellStyle name="Total 2 7 53" xfId="46688"/>
    <cellStyle name="Total 2 7 54" xfId="46689"/>
    <cellStyle name="Total 2 7 6" xfId="46690"/>
    <cellStyle name="Total 2 7 6 2" xfId="46691"/>
    <cellStyle name="Total 2 7 6 2 2" xfId="46692"/>
    <cellStyle name="Total 2 7 6 2 2 2" xfId="46693"/>
    <cellStyle name="Total 2 7 6 2 3" xfId="46694"/>
    <cellStyle name="Total 2 7 6 3" xfId="46695"/>
    <cellStyle name="Total 2 7 6 3 2" xfId="46696"/>
    <cellStyle name="Total 2 7 6 3 2 2" xfId="46697"/>
    <cellStyle name="Total 2 7 6 3 3" xfId="46698"/>
    <cellStyle name="Total 2 7 6 4" xfId="46699"/>
    <cellStyle name="Total 2 7 6 4 2" xfId="46700"/>
    <cellStyle name="Total 2 7 6 4 2 2" xfId="46701"/>
    <cellStyle name="Total 2 7 6 4 3" xfId="46702"/>
    <cellStyle name="Total 2 7 6 5" xfId="46703"/>
    <cellStyle name="Total 2 7 6 5 2" xfId="46704"/>
    <cellStyle name="Total 2 7 6 5 2 2" xfId="46705"/>
    <cellStyle name="Total 2 7 6 5 3" xfId="46706"/>
    <cellStyle name="Total 2 7 6 6" xfId="46707"/>
    <cellStyle name="Total 2 7 6 7" xfId="46708"/>
    <cellStyle name="Total 2 7 7" xfId="46709"/>
    <cellStyle name="Total 2 7 7 2" xfId="46710"/>
    <cellStyle name="Total 2 7 7 2 2" xfId="46711"/>
    <cellStyle name="Total 2 7 7 2 2 2" xfId="46712"/>
    <cellStyle name="Total 2 7 7 2 3" xfId="46713"/>
    <cellStyle name="Total 2 7 7 3" xfId="46714"/>
    <cellStyle name="Total 2 7 7 3 2" xfId="46715"/>
    <cellStyle name="Total 2 7 7 3 2 2" xfId="46716"/>
    <cellStyle name="Total 2 7 7 3 3" xfId="46717"/>
    <cellStyle name="Total 2 7 7 4" xfId="46718"/>
    <cellStyle name="Total 2 7 7 4 2" xfId="46719"/>
    <cellStyle name="Total 2 7 7 4 2 2" xfId="46720"/>
    <cellStyle name="Total 2 7 7 4 3" xfId="46721"/>
    <cellStyle name="Total 2 7 7 5" xfId="46722"/>
    <cellStyle name="Total 2 7 7 5 2" xfId="46723"/>
    <cellStyle name="Total 2 7 7 5 2 2" xfId="46724"/>
    <cellStyle name="Total 2 7 7 5 3" xfId="46725"/>
    <cellStyle name="Total 2 7 7 6" xfId="46726"/>
    <cellStyle name="Total 2 7 7 7" xfId="46727"/>
    <cellStyle name="Total 2 7 8" xfId="46728"/>
    <cellStyle name="Total 2 7 8 2" xfId="46729"/>
    <cellStyle name="Total 2 7 8 2 2" xfId="46730"/>
    <cellStyle name="Total 2 7 8 2 2 2" xfId="46731"/>
    <cellStyle name="Total 2 7 8 2 3" xfId="46732"/>
    <cellStyle name="Total 2 7 8 3" xfId="46733"/>
    <cellStyle name="Total 2 7 8 3 2" xfId="46734"/>
    <cellStyle name="Total 2 7 8 3 2 2" xfId="46735"/>
    <cellStyle name="Total 2 7 8 3 3" xfId="46736"/>
    <cellStyle name="Total 2 7 8 4" xfId="46737"/>
    <cellStyle name="Total 2 7 8 4 2" xfId="46738"/>
    <cellStyle name="Total 2 7 8 4 2 2" xfId="46739"/>
    <cellStyle name="Total 2 7 8 4 3" xfId="46740"/>
    <cellStyle name="Total 2 7 8 5" xfId="46741"/>
    <cellStyle name="Total 2 7 8 5 2" xfId="46742"/>
    <cellStyle name="Total 2 7 8 5 2 2" xfId="46743"/>
    <cellStyle name="Total 2 7 8 5 3" xfId="46744"/>
    <cellStyle name="Total 2 7 8 6" xfId="46745"/>
    <cellStyle name="Total 2 7 8 7" xfId="46746"/>
    <cellStyle name="Total 2 7 9" xfId="46747"/>
    <cellStyle name="Total 2 7 9 2" xfId="46748"/>
    <cellStyle name="Total 2 7 9 2 2" xfId="46749"/>
    <cellStyle name="Total 2 7 9 2 2 2" xfId="46750"/>
    <cellStyle name="Total 2 7 9 2 3" xfId="46751"/>
    <cellStyle name="Total 2 7 9 3" xfId="46752"/>
    <cellStyle name="Total 2 7 9 3 2" xfId="46753"/>
    <cellStyle name="Total 2 7 9 3 2 2" xfId="46754"/>
    <cellStyle name="Total 2 7 9 3 3" xfId="46755"/>
    <cellStyle name="Total 2 7 9 4" xfId="46756"/>
    <cellStyle name="Total 2 7 9 5" xfId="46757"/>
    <cellStyle name="Total 2 8" xfId="46758"/>
    <cellStyle name="Total 2 8 10" xfId="46759"/>
    <cellStyle name="Total 2 8 10 2" xfId="46760"/>
    <cellStyle name="Total 2 8 10 2 2" xfId="46761"/>
    <cellStyle name="Total 2 8 10 2 2 2" xfId="46762"/>
    <cellStyle name="Total 2 8 10 2 3" xfId="46763"/>
    <cellStyle name="Total 2 8 10 3" xfId="46764"/>
    <cellStyle name="Total 2 8 10 3 2" xfId="46765"/>
    <cellStyle name="Total 2 8 10 3 2 2" xfId="46766"/>
    <cellStyle name="Total 2 8 10 3 3" xfId="46767"/>
    <cellStyle name="Total 2 8 10 4" xfId="46768"/>
    <cellStyle name="Total 2 8 10 5" xfId="46769"/>
    <cellStyle name="Total 2 8 11" xfId="46770"/>
    <cellStyle name="Total 2 8 11 2" xfId="46771"/>
    <cellStyle name="Total 2 8 11 2 2" xfId="46772"/>
    <cellStyle name="Total 2 8 11 2 2 2" xfId="46773"/>
    <cellStyle name="Total 2 8 11 2 3" xfId="46774"/>
    <cellStyle name="Total 2 8 11 3" xfId="46775"/>
    <cellStyle name="Total 2 8 11 3 2" xfId="46776"/>
    <cellStyle name="Total 2 8 11 3 2 2" xfId="46777"/>
    <cellStyle name="Total 2 8 11 3 3" xfId="46778"/>
    <cellStyle name="Total 2 8 11 4" xfId="46779"/>
    <cellStyle name="Total 2 8 11 5" xfId="46780"/>
    <cellStyle name="Total 2 8 12" xfId="46781"/>
    <cellStyle name="Total 2 8 12 2" xfId="46782"/>
    <cellStyle name="Total 2 8 12 2 2" xfId="46783"/>
    <cellStyle name="Total 2 8 12 2 2 2" xfId="46784"/>
    <cellStyle name="Total 2 8 12 2 3" xfId="46785"/>
    <cellStyle name="Total 2 8 12 3" xfId="46786"/>
    <cellStyle name="Total 2 8 12 3 2" xfId="46787"/>
    <cellStyle name="Total 2 8 12 3 2 2" xfId="46788"/>
    <cellStyle name="Total 2 8 12 3 3" xfId="46789"/>
    <cellStyle name="Total 2 8 12 4" xfId="46790"/>
    <cellStyle name="Total 2 8 12 5" xfId="46791"/>
    <cellStyle name="Total 2 8 13" xfId="46792"/>
    <cellStyle name="Total 2 8 13 2" xfId="46793"/>
    <cellStyle name="Total 2 8 13 2 2" xfId="46794"/>
    <cellStyle name="Total 2 8 13 2 2 2" xfId="46795"/>
    <cellStyle name="Total 2 8 13 2 3" xfId="46796"/>
    <cellStyle name="Total 2 8 13 3" xfId="46797"/>
    <cellStyle name="Total 2 8 13 3 2" xfId="46798"/>
    <cellStyle name="Total 2 8 13 3 2 2" xfId="46799"/>
    <cellStyle name="Total 2 8 13 3 3" xfId="46800"/>
    <cellStyle name="Total 2 8 13 4" xfId="46801"/>
    <cellStyle name="Total 2 8 13 5" xfId="46802"/>
    <cellStyle name="Total 2 8 14" xfId="46803"/>
    <cellStyle name="Total 2 8 14 2" xfId="46804"/>
    <cellStyle name="Total 2 8 14 2 2" xfId="46805"/>
    <cellStyle name="Total 2 8 14 2 2 2" xfId="46806"/>
    <cellStyle name="Total 2 8 14 2 3" xfId="46807"/>
    <cellStyle name="Total 2 8 14 3" xfId="46808"/>
    <cellStyle name="Total 2 8 14 3 2" xfId="46809"/>
    <cellStyle name="Total 2 8 14 3 2 2" xfId="46810"/>
    <cellStyle name="Total 2 8 14 3 3" xfId="46811"/>
    <cellStyle name="Total 2 8 14 4" xfId="46812"/>
    <cellStyle name="Total 2 8 14 5" xfId="46813"/>
    <cellStyle name="Total 2 8 15" xfId="46814"/>
    <cellStyle name="Total 2 8 15 2" xfId="46815"/>
    <cellStyle name="Total 2 8 15 2 2" xfId="46816"/>
    <cellStyle name="Total 2 8 15 2 2 2" xfId="46817"/>
    <cellStyle name="Total 2 8 15 2 3" xfId="46818"/>
    <cellStyle name="Total 2 8 15 3" xfId="46819"/>
    <cellStyle name="Total 2 8 15 3 2" xfId="46820"/>
    <cellStyle name="Total 2 8 15 3 2 2" xfId="46821"/>
    <cellStyle name="Total 2 8 15 3 3" xfId="46822"/>
    <cellStyle name="Total 2 8 15 4" xfId="46823"/>
    <cellStyle name="Total 2 8 15 5" xfId="46824"/>
    <cellStyle name="Total 2 8 16" xfId="46825"/>
    <cellStyle name="Total 2 8 16 2" xfId="46826"/>
    <cellStyle name="Total 2 8 16 2 2" xfId="46827"/>
    <cellStyle name="Total 2 8 16 2 2 2" xfId="46828"/>
    <cellStyle name="Total 2 8 16 2 3" xfId="46829"/>
    <cellStyle name="Total 2 8 16 3" xfId="46830"/>
    <cellStyle name="Total 2 8 16 3 2" xfId="46831"/>
    <cellStyle name="Total 2 8 16 3 2 2" xfId="46832"/>
    <cellStyle name="Total 2 8 16 3 3" xfId="46833"/>
    <cellStyle name="Total 2 8 16 4" xfId="46834"/>
    <cellStyle name="Total 2 8 16 5" xfId="46835"/>
    <cellStyle name="Total 2 8 17" xfId="46836"/>
    <cellStyle name="Total 2 8 17 2" xfId="46837"/>
    <cellStyle name="Total 2 8 17 2 2" xfId="46838"/>
    <cellStyle name="Total 2 8 17 2 2 2" xfId="46839"/>
    <cellStyle name="Total 2 8 17 2 3" xfId="46840"/>
    <cellStyle name="Total 2 8 17 3" xfId="46841"/>
    <cellStyle name="Total 2 8 17 3 2" xfId="46842"/>
    <cellStyle name="Total 2 8 17 3 2 2" xfId="46843"/>
    <cellStyle name="Total 2 8 17 3 3" xfId="46844"/>
    <cellStyle name="Total 2 8 17 4" xfId="46845"/>
    <cellStyle name="Total 2 8 17 5" xfId="46846"/>
    <cellStyle name="Total 2 8 18" xfId="46847"/>
    <cellStyle name="Total 2 8 18 2" xfId="46848"/>
    <cellStyle name="Total 2 8 18 2 2" xfId="46849"/>
    <cellStyle name="Total 2 8 18 2 2 2" xfId="46850"/>
    <cellStyle name="Total 2 8 18 2 3" xfId="46851"/>
    <cellStyle name="Total 2 8 18 3" xfId="46852"/>
    <cellStyle name="Total 2 8 18 3 2" xfId="46853"/>
    <cellStyle name="Total 2 8 18 3 2 2" xfId="46854"/>
    <cellStyle name="Total 2 8 18 3 3" xfId="46855"/>
    <cellStyle name="Total 2 8 18 4" xfId="46856"/>
    <cellStyle name="Total 2 8 18 5" xfId="46857"/>
    <cellStyle name="Total 2 8 19" xfId="46858"/>
    <cellStyle name="Total 2 8 19 2" xfId="46859"/>
    <cellStyle name="Total 2 8 19 2 2" xfId="46860"/>
    <cellStyle name="Total 2 8 19 2 2 2" xfId="46861"/>
    <cellStyle name="Total 2 8 19 2 3" xfId="46862"/>
    <cellStyle name="Total 2 8 19 3" xfId="46863"/>
    <cellStyle name="Total 2 8 19 3 2" xfId="46864"/>
    <cellStyle name="Total 2 8 19 3 2 2" xfId="46865"/>
    <cellStyle name="Total 2 8 19 3 3" xfId="46866"/>
    <cellStyle name="Total 2 8 19 4" xfId="46867"/>
    <cellStyle name="Total 2 8 19 5" xfId="46868"/>
    <cellStyle name="Total 2 8 2" xfId="46869"/>
    <cellStyle name="Total 2 8 2 2" xfId="46870"/>
    <cellStyle name="Total 2 8 2 2 2" xfId="46871"/>
    <cellStyle name="Total 2 8 2 2 2 2" xfId="46872"/>
    <cellStyle name="Total 2 8 2 2 3" xfId="46873"/>
    <cellStyle name="Total 2 8 2 3" xfId="46874"/>
    <cellStyle name="Total 2 8 2 3 2" xfId="46875"/>
    <cellStyle name="Total 2 8 2 3 2 2" xfId="46876"/>
    <cellStyle name="Total 2 8 2 3 3" xfId="46877"/>
    <cellStyle name="Total 2 8 2 4" xfId="46878"/>
    <cellStyle name="Total 2 8 2 4 2" xfId="46879"/>
    <cellStyle name="Total 2 8 2 4 2 2" xfId="46880"/>
    <cellStyle name="Total 2 8 2 4 3" xfId="46881"/>
    <cellStyle name="Total 2 8 2 5" xfId="46882"/>
    <cellStyle name="Total 2 8 2 5 2" xfId="46883"/>
    <cellStyle name="Total 2 8 2 5 2 2" xfId="46884"/>
    <cellStyle name="Total 2 8 2 5 3" xfId="46885"/>
    <cellStyle name="Total 2 8 2 6" xfId="46886"/>
    <cellStyle name="Total 2 8 2 7" xfId="46887"/>
    <cellStyle name="Total 2 8 20" xfId="46888"/>
    <cellStyle name="Total 2 8 20 2" xfId="46889"/>
    <cellStyle name="Total 2 8 20 2 2" xfId="46890"/>
    <cellStyle name="Total 2 8 20 2 2 2" xfId="46891"/>
    <cellStyle name="Total 2 8 20 2 3" xfId="46892"/>
    <cellStyle name="Total 2 8 20 3" xfId="46893"/>
    <cellStyle name="Total 2 8 20 3 2" xfId="46894"/>
    <cellStyle name="Total 2 8 20 3 2 2" xfId="46895"/>
    <cellStyle name="Total 2 8 20 3 3" xfId="46896"/>
    <cellStyle name="Total 2 8 20 4" xfId="46897"/>
    <cellStyle name="Total 2 8 20 5" xfId="46898"/>
    <cellStyle name="Total 2 8 21" xfId="46899"/>
    <cellStyle name="Total 2 8 21 2" xfId="46900"/>
    <cellStyle name="Total 2 8 21 2 2" xfId="46901"/>
    <cellStyle name="Total 2 8 21 2 2 2" xfId="46902"/>
    <cellStyle name="Total 2 8 21 2 3" xfId="46903"/>
    <cellStyle name="Total 2 8 21 3" xfId="46904"/>
    <cellStyle name="Total 2 8 21 3 2" xfId="46905"/>
    <cellStyle name="Total 2 8 21 3 2 2" xfId="46906"/>
    <cellStyle name="Total 2 8 21 3 3" xfId="46907"/>
    <cellStyle name="Total 2 8 21 4" xfId="46908"/>
    <cellStyle name="Total 2 8 21 5" xfId="46909"/>
    <cellStyle name="Total 2 8 22" xfId="46910"/>
    <cellStyle name="Total 2 8 22 2" xfId="46911"/>
    <cellStyle name="Total 2 8 22 2 2" xfId="46912"/>
    <cellStyle name="Total 2 8 22 2 2 2" xfId="46913"/>
    <cellStyle name="Total 2 8 22 2 3" xfId="46914"/>
    <cellStyle name="Total 2 8 22 3" xfId="46915"/>
    <cellStyle name="Total 2 8 22 3 2" xfId="46916"/>
    <cellStyle name="Total 2 8 22 3 2 2" xfId="46917"/>
    <cellStyle name="Total 2 8 22 3 3" xfId="46918"/>
    <cellStyle name="Total 2 8 22 4" xfId="46919"/>
    <cellStyle name="Total 2 8 22 5" xfId="46920"/>
    <cellStyle name="Total 2 8 23" xfId="46921"/>
    <cellStyle name="Total 2 8 23 2" xfId="46922"/>
    <cellStyle name="Total 2 8 23 2 2" xfId="46923"/>
    <cellStyle name="Total 2 8 23 2 2 2" xfId="46924"/>
    <cellStyle name="Total 2 8 23 2 3" xfId="46925"/>
    <cellStyle name="Total 2 8 23 3" xfId="46926"/>
    <cellStyle name="Total 2 8 23 3 2" xfId="46927"/>
    <cellStyle name="Total 2 8 23 3 2 2" xfId="46928"/>
    <cellStyle name="Total 2 8 23 3 3" xfId="46929"/>
    <cellStyle name="Total 2 8 23 4" xfId="46930"/>
    <cellStyle name="Total 2 8 23 5" xfId="46931"/>
    <cellStyle name="Total 2 8 24" xfId="46932"/>
    <cellStyle name="Total 2 8 24 2" xfId="46933"/>
    <cellStyle name="Total 2 8 24 2 2" xfId="46934"/>
    <cellStyle name="Total 2 8 24 2 2 2" xfId="46935"/>
    <cellStyle name="Total 2 8 24 2 3" xfId="46936"/>
    <cellStyle name="Total 2 8 24 3" xfId="46937"/>
    <cellStyle name="Total 2 8 24 3 2" xfId="46938"/>
    <cellStyle name="Total 2 8 24 3 2 2" xfId="46939"/>
    <cellStyle name="Total 2 8 24 3 3" xfId="46940"/>
    <cellStyle name="Total 2 8 24 4" xfId="46941"/>
    <cellStyle name="Total 2 8 24 5" xfId="46942"/>
    <cellStyle name="Total 2 8 25" xfId="46943"/>
    <cellStyle name="Total 2 8 25 2" xfId="46944"/>
    <cellStyle name="Total 2 8 25 2 2" xfId="46945"/>
    <cellStyle name="Total 2 8 25 2 2 2" xfId="46946"/>
    <cellStyle name="Total 2 8 25 2 3" xfId="46947"/>
    <cellStyle name="Total 2 8 25 3" xfId="46948"/>
    <cellStyle name="Total 2 8 25 3 2" xfId="46949"/>
    <cellStyle name="Total 2 8 25 3 2 2" xfId="46950"/>
    <cellStyle name="Total 2 8 25 3 3" xfId="46951"/>
    <cellStyle name="Total 2 8 25 4" xfId="46952"/>
    <cellStyle name="Total 2 8 25 5" xfId="46953"/>
    <cellStyle name="Total 2 8 26" xfId="46954"/>
    <cellStyle name="Total 2 8 26 2" xfId="46955"/>
    <cellStyle name="Total 2 8 26 2 2" xfId="46956"/>
    <cellStyle name="Total 2 8 26 2 2 2" xfId="46957"/>
    <cellStyle name="Total 2 8 26 2 3" xfId="46958"/>
    <cellStyle name="Total 2 8 26 3" xfId="46959"/>
    <cellStyle name="Total 2 8 26 3 2" xfId="46960"/>
    <cellStyle name="Total 2 8 26 3 2 2" xfId="46961"/>
    <cellStyle name="Total 2 8 26 3 3" xfId="46962"/>
    <cellStyle name="Total 2 8 26 4" xfId="46963"/>
    <cellStyle name="Total 2 8 26 5" xfId="46964"/>
    <cellStyle name="Total 2 8 27" xfId="46965"/>
    <cellStyle name="Total 2 8 27 2" xfId="46966"/>
    <cellStyle name="Total 2 8 27 2 2" xfId="46967"/>
    <cellStyle name="Total 2 8 27 2 2 2" xfId="46968"/>
    <cellStyle name="Total 2 8 27 2 3" xfId="46969"/>
    <cellStyle name="Total 2 8 27 3" xfId="46970"/>
    <cellStyle name="Total 2 8 27 3 2" xfId="46971"/>
    <cellStyle name="Total 2 8 27 3 2 2" xfId="46972"/>
    <cellStyle name="Total 2 8 27 3 3" xfId="46973"/>
    <cellStyle name="Total 2 8 27 4" xfId="46974"/>
    <cellStyle name="Total 2 8 27 5" xfId="46975"/>
    <cellStyle name="Total 2 8 28" xfId="46976"/>
    <cellStyle name="Total 2 8 28 2" xfId="46977"/>
    <cellStyle name="Total 2 8 28 2 2" xfId="46978"/>
    <cellStyle name="Total 2 8 28 2 2 2" xfId="46979"/>
    <cellStyle name="Total 2 8 28 2 3" xfId="46980"/>
    <cellStyle name="Total 2 8 28 3" xfId="46981"/>
    <cellStyle name="Total 2 8 28 3 2" xfId="46982"/>
    <cellStyle name="Total 2 8 28 3 2 2" xfId="46983"/>
    <cellStyle name="Total 2 8 28 3 3" xfId="46984"/>
    <cellStyle name="Total 2 8 28 4" xfId="46985"/>
    <cellStyle name="Total 2 8 28 5" xfId="46986"/>
    <cellStyle name="Total 2 8 29" xfId="46987"/>
    <cellStyle name="Total 2 8 29 2" xfId="46988"/>
    <cellStyle name="Total 2 8 29 2 2" xfId="46989"/>
    <cellStyle name="Total 2 8 29 2 2 2" xfId="46990"/>
    <cellStyle name="Total 2 8 29 2 3" xfId="46991"/>
    <cellStyle name="Total 2 8 29 3" xfId="46992"/>
    <cellStyle name="Total 2 8 29 3 2" xfId="46993"/>
    <cellStyle name="Total 2 8 29 3 2 2" xfId="46994"/>
    <cellStyle name="Total 2 8 29 3 3" xfId="46995"/>
    <cellStyle name="Total 2 8 29 4" xfId="46996"/>
    <cellStyle name="Total 2 8 29 5" xfId="46997"/>
    <cellStyle name="Total 2 8 3" xfId="46998"/>
    <cellStyle name="Total 2 8 3 2" xfId="46999"/>
    <cellStyle name="Total 2 8 3 2 2" xfId="47000"/>
    <cellStyle name="Total 2 8 3 2 2 2" xfId="47001"/>
    <cellStyle name="Total 2 8 3 2 3" xfId="47002"/>
    <cellStyle name="Total 2 8 3 3" xfId="47003"/>
    <cellStyle name="Total 2 8 3 3 2" xfId="47004"/>
    <cellStyle name="Total 2 8 3 3 2 2" xfId="47005"/>
    <cellStyle name="Total 2 8 3 3 3" xfId="47006"/>
    <cellStyle name="Total 2 8 3 4" xfId="47007"/>
    <cellStyle name="Total 2 8 3 4 2" xfId="47008"/>
    <cellStyle name="Total 2 8 3 4 2 2" xfId="47009"/>
    <cellStyle name="Total 2 8 3 4 3" xfId="47010"/>
    <cellStyle name="Total 2 8 3 5" xfId="47011"/>
    <cellStyle name="Total 2 8 3 5 2" xfId="47012"/>
    <cellStyle name="Total 2 8 3 5 2 2" xfId="47013"/>
    <cellStyle name="Total 2 8 3 5 3" xfId="47014"/>
    <cellStyle name="Total 2 8 3 6" xfId="47015"/>
    <cellStyle name="Total 2 8 3 7" xfId="47016"/>
    <cellStyle name="Total 2 8 30" xfId="47017"/>
    <cellStyle name="Total 2 8 30 2" xfId="47018"/>
    <cellStyle name="Total 2 8 30 2 2" xfId="47019"/>
    <cellStyle name="Total 2 8 30 2 2 2" xfId="47020"/>
    <cellStyle name="Total 2 8 30 2 3" xfId="47021"/>
    <cellStyle name="Total 2 8 30 3" xfId="47022"/>
    <cellStyle name="Total 2 8 30 3 2" xfId="47023"/>
    <cellStyle name="Total 2 8 30 3 2 2" xfId="47024"/>
    <cellStyle name="Total 2 8 30 3 3" xfId="47025"/>
    <cellStyle name="Total 2 8 30 4" xfId="47026"/>
    <cellStyle name="Total 2 8 30 5" xfId="47027"/>
    <cellStyle name="Total 2 8 31" xfId="47028"/>
    <cellStyle name="Total 2 8 31 2" xfId="47029"/>
    <cellStyle name="Total 2 8 31 2 2" xfId="47030"/>
    <cellStyle name="Total 2 8 31 2 2 2" xfId="47031"/>
    <cellStyle name="Total 2 8 31 2 3" xfId="47032"/>
    <cellStyle name="Total 2 8 31 3" xfId="47033"/>
    <cellStyle name="Total 2 8 31 3 2" xfId="47034"/>
    <cellStyle name="Total 2 8 31 3 2 2" xfId="47035"/>
    <cellStyle name="Total 2 8 31 3 3" xfId="47036"/>
    <cellStyle name="Total 2 8 31 4" xfId="47037"/>
    <cellStyle name="Total 2 8 31 5" xfId="47038"/>
    <cellStyle name="Total 2 8 32" xfId="47039"/>
    <cellStyle name="Total 2 8 32 2" xfId="47040"/>
    <cellStyle name="Total 2 8 32 2 2" xfId="47041"/>
    <cellStyle name="Total 2 8 32 2 2 2" xfId="47042"/>
    <cellStyle name="Total 2 8 32 2 3" xfId="47043"/>
    <cellStyle name="Total 2 8 32 3" xfId="47044"/>
    <cellStyle name="Total 2 8 32 3 2" xfId="47045"/>
    <cellStyle name="Total 2 8 32 3 2 2" xfId="47046"/>
    <cellStyle name="Total 2 8 32 3 3" xfId="47047"/>
    <cellStyle name="Total 2 8 32 4" xfId="47048"/>
    <cellStyle name="Total 2 8 32 5" xfId="47049"/>
    <cellStyle name="Total 2 8 33" xfId="47050"/>
    <cellStyle name="Total 2 8 33 2" xfId="47051"/>
    <cellStyle name="Total 2 8 33 2 2" xfId="47052"/>
    <cellStyle name="Total 2 8 33 2 2 2" xfId="47053"/>
    <cellStyle name="Total 2 8 33 2 3" xfId="47054"/>
    <cellStyle name="Total 2 8 33 3" xfId="47055"/>
    <cellStyle name="Total 2 8 33 3 2" xfId="47056"/>
    <cellStyle name="Total 2 8 33 3 2 2" xfId="47057"/>
    <cellStyle name="Total 2 8 33 3 3" xfId="47058"/>
    <cellStyle name="Total 2 8 33 4" xfId="47059"/>
    <cellStyle name="Total 2 8 33 5" xfId="47060"/>
    <cellStyle name="Total 2 8 34" xfId="47061"/>
    <cellStyle name="Total 2 8 34 2" xfId="47062"/>
    <cellStyle name="Total 2 8 34 2 2" xfId="47063"/>
    <cellStyle name="Total 2 8 34 2 2 2" xfId="47064"/>
    <cellStyle name="Total 2 8 34 2 3" xfId="47065"/>
    <cellStyle name="Total 2 8 34 3" xfId="47066"/>
    <cellStyle name="Total 2 8 34 3 2" xfId="47067"/>
    <cellStyle name="Total 2 8 34 3 2 2" xfId="47068"/>
    <cellStyle name="Total 2 8 34 3 3" xfId="47069"/>
    <cellStyle name="Total 2 8 34 4" xfId="47070"/>
    <cellStyle name="Total 2 8 34 5" xfId="47071"/>
    <cellStyle name="Total 2 8 35" xfId="47072"/>
    <cellStyle name="Total 2 8 35 2" xfId="47073"/>
    <cellStyle name="Total 2 8 35 2 2" xfId="47074"/>
    <cellStyle name="Total 2 8 35 2 2 2" xfId="47075"/>
    <cellStyle name="Total 2 8 35 2 3" xfId="47076"/>
    <cellStyle name="Total 2 8 35 3" xfId="47077"/>
    <cellStyle name="Total 2 8 35 3 2" xfId="47078"/>
    <cellStyle name="Total 2 8 35 3 2 2" xfId="47079"/>
    <cellStyle name="Total 2 8 35 3 3" xfId="47080"/>
    <cellStyle name="Total 2 8 35 4" xfId="47081"/>
    <cellStyle name="Total 2 8 35 5" xfId="47082"/>
    <cellStyle name="Total 2 8 36" xfId="47083"/>
    <cellStyle name="Total 2 8 36 2" xfId="47084"/>
    <cellStyle name="Total 2 8 36 2 2" xfId="47085"/>
    <cellStyle name="Total 2 8 36 2 2 2" xfId="47086"/>
    <cellStyle name="Total 2 8 36 2 3" xfId="47087"/>
    <cellStyle name="Total 2 8 36 3" xfId="47088"/>
    <cellStyle name="Total 2 8 36 3 2" xfId="47089"/>
    <cellStyle name="Total 2 8 36 3 2 2" xfId="47090"/>
    <cellStyle name="Total 2 8 36 3 3" xfId="47091"/>
    <cellStyle name="Total 2 8 36 4" xfId="47092"/>
    <cellStyle name="Total 2 8 36 5" xfId="47093"/>
    <cellStyle name="Total 2 8 37" xfId="47094"/>
    <cellStyle name="Total 2 8 37 2" xfId="47095"/>
    <cellStyle name="Total 2 8 37 2 2" xfId="47096"/>
    <cellStyle name="Total 2 8 37 2 2 2" xfId="47097"/>
    <cellStyle name="Total 2 8 37 2 3" xfId="47098"/>
    <cellStyle name="Total 2 8 37 3" xfId="47099"/>
    <cellStyle name="Total 2 8 37 3 2" xfId="47100"/>
    <cellStyle name="Total 2 8 37 3 2 2" xfId="47101"/>
    <cellStyle name="Total 2 8 37 3 3" xfId="47102"/>
    <cellStyle name="Total 2 8 37 4" xfId="47103"/>
    <cellStyle name="Total 2 8 37 5" xfId="47104"/>
    <cellStyle name="Total 2 8 38" xfId="47105"/>
    <cellStyle name="Total 2 8 38 2" xfId="47106"/>
    <cellStyle name="Total 2 8 38 2 2" xfId="47107"/>
    <cellStyle name="Total 2 8 38 2 2 2" xfId="47108"/>
    <cellStyle name="Total 2 8 38 2 3" xfId="47109"/>
    <cellStyle name="Total 2 8 38 3" xfId="47110"/>
    <cellStyle name="Total 2 8 38 3 2" xfId="47111"/>
    <cellStyle name="Total 2 8 38 3 2 2" xfId="47112"/>
    <cellStyle name="Total 2 8 38 3 3" xfId="47113"/>
    <cellStyle name="Total 2 8 38 4" xfId="47114"/>
    <cellStyle name="Total 2 8 38 5" xfId="47115"/>
    <cellStyle name="Total 2 8 39" xfId="47116"/>
    <cellStyle name="Total 2 8 39 2" xfId="47117"/>
    <cellStyle name="Total 2 8 39 2 2" xfId="47118"/>
    <cellStyle name="Total 2 8 39 2 2 2" xfId="47119"/>
    <cellStyle name="Total 2 8 39 2 3" xfId="47120"/>
    <cellStyle name="Total 2 8 39 3" xfId="47121"/>
    <cellStyle name="Total 2 8 39 3 2" xfId="47122"/>
    <cellStyle name="Total 2 8 39 3 2 2" xfId="47123"/>
    <cellStyle name="Total 2 8 39 3 3" xfId="47124"/>
    <cellStyle name="Total 2 8 39 4" xfId="47125"/>
    <cellStyle name="Total 2 8 39 5" xfId="47126"/>
    <cellStyle name="Total 2 8 4" xfId="47127"/>
    <cellStyle name="Total 2 8 4 2" xfId="47128"/>
    <cellStyle name="Total 2 8 4 2 2" xfId="47129"/>
    <cellStyle name="Total 2 8 4 2 2 2" xfId="47130"/>
    <cellStyle name="Total 2 8 4 2 3" xfId="47131"/>
    <cellStyle name="Total 2 8 4 3" xfId="47132"/>
    <cellStyle name="Total 2 8 4 3 2" xfId="47133"/>
    <cellStyle name="Total 2 8 4 3 2 2" xfId="47134"/>
    <cellStyle name="Total 2 8 4 3 3" xfId="47135"/>
    <cellStyle name="Total 2 8 4 4" xfId="47136"/>
    <cellStyle name="Total 2 8 4 4 2" xfId="47137"/>
    <cellStyle name="Total 2 8 4 4 2 2" xfId="47138"/>
    <cellStyle name="Total 2 8 4 4 3" xfId="47139"/>
    <cellStyle name="Total 2 8 4 5" xfId="47140"/>
    <cellStyle name="Total 2 8 4 5 2" xfId="47141"/>
    <cellStyle name="Total 2 8 4 5 2 2" xfId="47142"/>
    <cellStyle name="Total 2 8 4 5 3" xfId="47143"/>
    <cellStyle name="Total 2 8 4 6" xfId="47144"/>
    <cellStyle name="Total 2 8 4 7" xfId="47145"/>
    <cellStyle name="Total 2 8 40" xfId="47146"/>
    <cellStyle name="Total 2 8 40 2" xfId="47147"/>
    <cellStyle name="Total 2 8 40 2 2" xfId="47148"/>
    <cellStyle name="Total 2 8 40 2 2 2" xfId="47149"/>
    <cellStyle name="Total 2 8 40 2 3" xfId="47150"/>
    <cellStyle name="Total 2 8 40 3" xfId="47151"/>
    <cellStyle name="Total 2 8 40 3 2" xfId="47152"/>
    <cellStyle name="Total 2 8 40 3 2 2" xfId="47153"/>
    <cellStyle name="Total 2 8 40 3 3" xfId="47154"/>
    <cellStyle name="Total 2 8 40 4" xfId="47155"/>
    <cellStyle name="Total 2 8 40 5" xfId="47156"/>
    <cellStyle name="Total 2 8 41" xfId="47157"/>
    <cellStyle name="Total 2 8 41 2" xfId="47158"/>
    <cellStyle name="Total 2 8 41 2 2" xfId="47159"/>
    <cellStyle name="Total 2 8 41 2 2 2" xfId="47160"/>
    <cellStyle name="Total 2 8 41 2 3" xfId="47161"/>
    <cellStyle name="Total 2 8 41 3" xfId="47162"/>
    <cellStyle name="Total 2 8 41 3 2" xfId="47163"/>
    <cellStyle name="Total 2 8 41 3 2 2" xfId="47164"/>
    <cellStyle name="Total 2 8 41 3 3" xfId="47165"/>
    <cellStyle name="Total 2 8 41 4" xfId="47166"/>
    <cellStyle name="Total 2 8 41 5" xfId="47167"/>
    <cellStyle name="Total 2 8 42" xfId="47168"/>
    <cellStyle name="Total 2 8 42 2" xfId="47169"/>
    <cellStyle name="Total 2 8 42 2 2" xfId="47170"/>
    <cellStyle name="Total 2 8 42 2 2 2" xfId="47171"/>
    <cellStyle name="Total 2 8 42 2 3" xfId="47172"/>
    <cellStyle name="Total 2 8 42 3" xfId="47173"/>
    <cellStyle name="Total 2 8 42 3 2" xfId="47174"/>
    <cellStyle name="Total 2 8 42 3 2 2" xfId="47175"/>
    <cellStyle name="Total 2 8 42 3 3" xfId="47176"/>
    <cellStyle name="Total 2 8 42 4" xfId="47177"/>
    <cellStyle name="Total 2 8 42 5" xfId="47178"/>
    <cellStyle name="Total 2 8 43" xfId="47179"/>
    <cellStyle name="Total 2 8 43 2" xfId="47180"/>
    <cellStyle name="Total 2 8 43 2 2" xfId="47181"/>
    <cellStyle name="Total 2 8 43 2 2 2" xfId="47182"/>
    <cellStyle name="Total 2 8 43 2 3" xfId="47183"/>
    <cellStyle name="Total 2 8 43 3" xfId="47184"/>
    <cellStyle name="Total 2 8 43 3 2" xfId="47185"/>
    <cellStyle name="Total 2 8 43 3 2 2" xfId="47186"/>
    <cellStyle name="Total 2 8 43 3 3" xfId="47187"/>
    <cellStyle name="Total 2 8 43 4" xfId="47188"/>
    <cellStyle name="Total 2 8 43 5" xfId="47189"/>
    <cellStyle name="Total 2 8 44" xfId="47190"/>
    <cellStyle name="Total 2 8 44 2" xfId="47191"/>
    <cellStyle name="Total 2 8 44 2 2" xfId="47192"/>
    <cellStyle name="Total 2 8 44 2 2 2" xfId="47193"/>
    <cellStyle name="Total 2 8 44 2 3" xfId="47194"/>
    <cellStyle name="Total 2 8 44 3" xfId="47195"/>
    <cellStyle name="Total 2 8 44 3 2" xfId="47196"/>
    <cellStyle name="Total 2 8 44 3 2 2" xfId="47197"/>
    <cellStyle name="Total 2 8 44 3 3" xfId="47198"/>
    <cellStyle name="Total 2 8 44 4" xfId="47199"/>
    <cellStyle name="Total 2 8 44 5" xfId="47200"/>
    <cellStyle name="Total 2 8 45" xfId="47201"/>
    <cellStyle name="Total 2 8 45 2" xfId="47202"/>
    <cellStyle name="Total 2 8 45 2 2" xfId="47203"/>
    <cellStyle name="Total 2 8 45 2 2 2" xfId="47204"/>
    <cellStyle name="Total 2 8 45 2 3" xfId="47205"/>
    <cellStyle name="Total 2 8 45 3" xfId="47206"/>
    <cellStyle name="Total 2 8 45 3 2" xfId="47207"/>
    <cellStyle name="Total 2 8 45 3 2 2" xfId="47208"/>
    <cellStyle name="Total 2 8 45 3 3" xfId="47209"/>
    <cellStyle name="Total 2 8 45 4" xfId="47210"/>
    <cellStyle name="Total 2 8 45 5" xfId="47211"/>
    <cellStyle name="Total 2 8 46" xfId="47212"/>
    <cellStyle name="Total 2 8 46 2" xfId="47213"/>
    <cellStyle name="Total 2 8 46 2 2" xfId="47214"/>
    <cellStyle name="Total 2 8 46 2 2 2" xfId="47215"/>
    <cellStyle name="Total 2 8 46 2 3" xfId="47216"/>
    <cellStyle name="Total 2 8 46 3" xfId="47217"/>
    <cellStyle name="Total 2 8 46 3 2" xfId="47218"/>
    <cellStyle name="Total 2 8 46 3 2 2" xfId="47219"/>
    <cellStyle name="Total 2 8 46 3 3" xfId="47220"/>
    <cellStyle name="Total 2 8 46 4" xfId="47221"/>
    <cellStyle name="Total 2 8 46 5" xfId="47222"/>
    <cellStyle name="Total 2 8 47" xfId="47223"/>
    <cellStyle name="Total 2 8 47 2" xfId="47224"/>
    <cellStyle name="Total 2 8 47 2 2" xfId="47225"/>
    <cellStyle name="Total 2 8 47 2 2 2" xfId="47226"/>
    <cellStyle name="Total 2 8 47 2 3" xfId="47227"/>
    <cellStyle name="Total 2 8 47 3" xfId="47228"/>
    <cellStyle name="Total 2 8 47 3 2" xfId="47229"/>
    <cellStyle name="Total 2 8 47 3 2 2" xfId="47230"/>
    <cellStyle name="Total 2 8 47 3 3" xfId="47231"/>
    <cellStyle name="Total 2 8 47 4" xfId="47232"/>
    <cellStyle name="Total 2 8 47 5" xfId="47233"/>
    <cellStyle name="Total 2 8 48" xfId="47234"/>
    <cellStyle name="Total 2 8 48 2" xfId="47235"/>
    <cellStyle name="Total 2 8 48 2 2" xfId="47236"/>
    <cellStyle name="Total 2 8 48 2 2 2" xfId="47237"/>
    <cellStyle name="Total 2 8 48 2 3" xfId="47238"/>
    <cellStyle name="Total 2 8 48 3" xfId="47239"/>
    <cellStyle name="Total 2 8 48 3 2" xfId="47240"/>
    <cellStyle name="Total 2 8 48 3 2 2" xfId="47241"/>
    <cellStyle name="Total 2 8 48 3 3" xfId="47242"/>
    <cellStyle name="Total 2 8 48 4" xfId="47243"/>
    <cellStyle name="Total 2 8 48 5" xfId="47244"/>
    <cellStyle name="Total 2 8 49" xfId="47245"/>
    <cellStyle name="Total 2 8 49 2" xfId="47246"/>
    <cellStyle name="Total 2 8 49 2 2" xfId="47247"/>
    <cellStyle name="Total 2 8 49 3" xfId="47248"/>
    <cellStyle name="Total 2 8 5" xfId="47249"/>
    <cellStyle name="Total 2 8 5 2" xfId="47250"/>
    <cellStyle name="Total 2 8 5 2 2" xfId="47251"/>
    <cellStyle name="Total 2 8 5 2 2 2" xfId="47252"/>
    <cellStyle name="Total 2 8 5 2 3" xfId="47253"/>
    <cellStyle name="Total 2 8 5 3" xfId="47254"/>
    <cellStyle name="Total 2 8 5 3 2" xfId="47255"/>
    <cellStyle name="Total 2 8 5 3 2 2" xfId="47256"/>
    <cellStyle name="Total 2 8 5 3 3" xfId="47257"/>
    <cellStyle name="Total 2 8 5 4" xfId="47258"/>
    <cellStyle name="Total 2 8 5 4 2" xfId="47259"/>
    <cellStyle name="Total 2 8 5 4 2 2" xfId="47260"/>
    <cellStyle name="Total 2 8 5 4 3" xfId="47261"/>
    <cellStyle name="Total 2 8 5 5" xfId="47262"/>
    <cellStyle name="Total 2 8 5 5 2" xfId="47263"/>
    <cellStyle name="Total 2 8 5 5 2 2" xfId="47264"/>
    <cellStyle name="Total 2 8 5 5 3" xfId="47265"/>
    <cellStyle name="Total 2 8 5 6" xfId="47266"/>
    <cellStyle name="Total 2 8 5 7" xfId="47267"/>
    <cellStyle name="Total 2 8 50" xfId="47268"/>
    <cellStyle name="Total 2 8 50 2" xfId="47269"/>
    <cellStyle name="Total 2 8 50 2 2" xfId="47270"/>
    <cellStyle name="Total 2 8 50 3" xfId="47271"/>
    <cellStyle name="Total 2 8 51" xfId="47272"/>
    <cellStyle name="Total 2 8 51 2" xfId="47273"/>
    <cellStyle name="Total 2 8 51 2 2" xfId="47274"/>
    <cellStyle name="Total 2 8 51 3" xfId="47275"/>
    <cellStyle name="Total 2 8 52" xfId="47276"/>
    <cellStyle name="Total 2 8 52 2" xfId="47277"/>
    <cellStyle name="Total 2 8 52 2 2" xfId="47278"/>
    <cellStyle name="Total 2 8 52 3" xfId="47279"/>
    <cellStyle name="Total 2 8 53" xfId="47280"/>
    <cellStyle name="Total 2 8 54" xfId="47281"/>
    <cellStyle name="Total 2 8 6" xfId="47282"/>
    <cellStyle name="Total 2 8 6 2" xfId="47283"/>
    <cellStyle name="Total 2 8 6 2 2" xfId="47284"/>
    <cellStyle name="Total 2 8 6 2 2 2" xfId="47285"/>
    <cellStyle name="Total 2 8 6 2 3" xfId="47286"/>
    <cellStyle name="Total 2 8 6 3" xfId="47287"/>
    <cellStyle name="Total 2 8 6 3 2" xfId="47288"/>
    <cellStyle name="Total 2 8 6 3 2 2" xfId="47289"/>
    <cellStyle name="Total 2 8 6 3 3" xfId="47290"/>
    <cellStyle name="Total 2 8 6 4" xfId="47291"/>
    <cellStyle name="Total 2 8 6 4 2" xfId="47292"/>
    <cellStyle name="Total 2 8 6 4 2 2" xfId="47293"/>
    <cellStyle name="Total 2 8 6 4 3" xfId="47294"/>
    <cellStyle name="Total 2 8 6 5" xfId="47295"/>
    <cellStyle name="Total 2 8 6 5 2" xfId="47296"/>
    <cellStyle name="Total 2 8 6 5 2 2" xfId="47297"/>
    <cellStyle name="Total 2 8 6 5 3" xfId="47298"/>
    <cellStyle name="Total 2 8 6 6" xfId="47299"/>
    <cellStyle name="Total 2 8 6 7" xfId="47300"/>
    <cellStyle name="Total 2 8 7" xfId="47301"/>
    <cellStyle name="Total 2 8 7 2" xfId="47302"/>
    <cellStyle name="Total 2 8 7 2 2" xfId="47303"/>
    <cellStyle name="Total 2 8 7 2 2 2" xfId="47304"/>
    <cellStyle name="Total 2 8 7 2 3" xfId="47305"/>
    <cellStyle name="Total 2 8 7 3" xfId="47306"/>
    <cellStyle name="Total 2 8 7 3 2" xfId="47307"/>
    <cellStyle name="Total 2 8 7 3 2 2" xfId="47308"/>
    <cellStyle name="Total 2 8 7 3 3" xfId="47309"/>
    <cellStyle name="Total 2 8 7 4" xfId="47310"/>
    <cellStyle name="Total 2 8 7 4 2" xfId="47311"/>
    <cellStyle name="Total 2 8 7 4 2 2" xfId="47312"/>
    <cellStyle name="Total 2 8 7 4 3" xfId="47313"/>
    <cellStyle name="Total 2 8 7 5" xfId="47314"/>
    <cellStyle name="Total 2 8 7 5 2" xfId="47315"/>
    <cellStyle name="Total 2 8 7 5 2 2" xfId="47316"/>
    <cellStyle name="Total 2 8 7 5 3" xfId="47317"/>
    <cellStyle name="Total 2 8 7 6" xfId="47318"/>
    <cellStyle name="Total 2 8 7 7" xfId="47319"/>
    <cellStyle name="Total 2 8 8" xfId="47320"/>
    <cellStyle name="Total 2 8 8 2" xfId="47321"/>
    <cellStyle name="Total 2 8 8 2 2" xfId="47322"/>
    <cellStyle name="Total 2 8 8 2 2 2" xfId="47323"/>
    <cellStyle name="Total 2 8 8 2 3" xfId="47324"/>
    <cellStyle name="Total 2 8 8 3" xfId="47325"/>
    <cellStyle name="Total 2 8 8 3 2" xfId="47326"/>
    <cellStyle name="Total 2 8 8 3 2 2" xfId="47327"/>
    <cellStyle name="Total 2 8 8 3 3" xfId="47328"/>
    <cellStyle name="Total 2 8 8 4" xfId="47329"/>
    <cellStyle name="Total 2 8 8 4 2" xfId="47330"/>
    <cellStyle name="Total 2 8 8 4 2 2" xfId="47331"/>
    <cellStyle name="Total 2 8 8 4 3" xfId="47332"/>
    <cellStyle name="Total 2 8 8 5" xfId="47333"/>
    <cellStyle name="Total 2 8 8 5 2" xfId="47334"/>
    <cellStyle name="Total 2 8 8 5 2 2" xfId="47335"/>
    <cellStyle name="Total 2 8 8 5 3" xfId="47336"/>
    <cellStyle name="Total 2 8 8 6" xfId="47337"/>
    <cellStyle name="Total 2 8 8 7" xfId="47338"/>
    <cellStyle name="Total 2 8 9" xfId="47339"/>
    <cellStyle name="Total 2 8 9 2" xfId="47340"/>
    <cellStyle name="Total 2 8 9 2 2" xfId="47341"/>
    <cellStyle name="Total 2 8 9 2 2 2" xfId="47342"/>
    <cellStyle name="Total 2 8 9 2 3" xfId="47343"/>
    <cellStyle name="Total 2 8 9 3" xfId="47344"/>
    <cellStyle name="Total 2 8 9 3 2" xfId="47345"/>
    <cellStyle name="Total 2 8 9 3 2 2" xfId="47346"/>
    <cellStyle name="Total 2 8 9 3 3" xfId="47347"/>
    <cellStyle name="Total 2 8 9 4" xfId="47348"/>
    <cellStyle name="Total 2 8 9 5" xfId="47349"/>
    <cellStyle name="Total 2 9" xfId="47350"/>
    <cellStyle name="Total 2 9 10" xfId="47351"/>
    <cellStyle name="Total 2 9 10 2" xfId="47352"/>
    <cellStyle name="Total 2 9 10 2 2" xfId="47353"/>
    <cellStyle name="Total 2 9 10 2 2 2" xfId="47354"/>
    <cellStyle name="Total 2 9 10 2 3" xfId="47355"/>
    <cellStyle name="Total 2 9 10 3" xfId="47356"/>
    <cellStyle name="Total 2 9 10 3 2" xfId="47357"/>
    <cellStyle name="Total 2 9 10 3 2 2" xfId="47358"/>
    <cellStyle name="Total 2 9 10 3 3" xfId="47359"/>
    <cellStyle name="Total 2 9 10 4" xfId="47360"/>
    <cellStyle name="Total 2 9 10 5" xfId="47361"/>
    <cellStyle name="Total 2 9 11" xfId="47362"/>
    <cellStyle name="Total 2 9 11 2" xfId="47363"/>
    <cellStyle name="Total 2 9 11 2 2" xfId="47364"/>
    <cellStyle name="Total 2 9 11 2 2 2" xfId="47365"/>
    <cellStyle name="Total 2 9 11 2 3" xfId="47366"/>
    <cellStyle name="Total 2 9 11 3" xfId="47367"/>
    <cellStyle name="Total 2 9 11 3 2" xfId="47368"/>
    <cellStyle name="Total 2 9 11 3 2 2" xfId="47369"/>
    <cellStyle name="Total 2 9 11 3 3" xfId="47370"/>
    <cellStyle name="Total 2 9 11 4" xfId="47371"/>
    <cellStyle name="Total 2 9 11 5" xfId="47372"/>
    <cellStyle name="Total 2 9 12" xfId="47373"/>
    <cellStyle name="Total 2 9 12 2" xfId="47374"/>
    <cellStyle name="Total 2 9 12 2 2" xfId="47375"/>
    <cellStyle name="Total 2 9 12 2 2 2" xfId="47376"/>
    <cellStyle name="Total 2 9 12 2 3" xfId="47377"/>
    <cellStyle name="Total 2 9 12 3" xfId="47378"/>
    <cellStyle name="Total 2 9 12 3 2" xfId="47379"/>
    <cellStyle name="Total 2 9 12 3 2 2" xfId="47380"/>
    <cellStyle name="Total 2 9 12 3 3" xfId="47381"/>
    <cellStyle name="Total 2 9 12 4" xfId="47382"/>
    <cellStyle name="Total 2 9 12 5" xfId="47383"/>
    <cellStyle name="Total 2 9 13" xfId="47384"/>
    <cellStyle name="Total 2 9 13 2" xfId="47385"/>
    <cellStyle name="Total 2 9 13 2 2" xfId="47386"/>
    <cellStyle name="Total 2 9 13 2 2 2" xfId="47387"/>
    <cellStyle name="Total 2 9 13 2 3" xfId="47388"/>
    <cellStyle name="Total 2 9 13 3" xfId="47389"/>
    <cellStyle name="Total 2 9 13 3 2" xfId="47390"/>
    <cellStyle name="Total 2 9 13 3 2 2" xfId="47391"/>
    <cellStyle name="Total 2 9 13 3 3" xfId="47392"/>
    <cellStyle name="Total 2 9 13 4" xfId="47393"/>
    <cellStyle name="Total 2 9 13 5" xfId="47394"/>
    <cellStyle name="Total 2 9 14" xfId="47395"/>
    <cellStyle name="Total 2 9 14 2" xfId="47396"/>
    <cellStyle name="Total 2 9 14 2 2" xfId="47397"/>
    <cellStyle name="Total 2 9 14 2 2 2" xfId="47398"/>
    <cellStyle name="Total 2 9 14 2 3" xfId="47399"/>
    <cellStyle name="Total 2 9 14 3" xfId="47400"/>
    <cellStyle name="Total 2 9 14 3 2" xfId="47401"/>
    <cellStyle name="Total 2 9 14 3 2 2" xfId="47402"/>
    <cellStyle name="Total 2 9 14 3 3" xfId="47403"/>
    <cellStyle name="Total 2 9 14 4" xfId="47404"/>
    <cellStyle name="Total 2 9 14 5" xfId="47405"/>
    <cellStyle name="Total 2 9 15" xfId="47406"/>
    <cellStyle name="Total 2 9 15 2" xfId="47407"/>
    <cellStyle name="Total 2 9 15 2 2" xfId="47408"/>
    <cellStyle name="Total 2 9 15 2 2 2" xfId="47409"/>
    <cellStyle name="Total 2 9 15 2 3" xfId="47410"/>
    <cellStyle name="Total 2 9 15 3" xfId="47411"/>
    <cellStyle name="Total 2 9 15 3 2" xfId="47412"/>
    <cellStyle name="Total 2 9 15 3 2 2" xfId="47413"/>
    <cellStyle name="Total 2 9 15 3 3" xfId="47414"/>
    <cellStyle name="Total 2 9 15 4" xfId="47415"/>
    <cellStyle name="Total 2 9 15 5" xfId="47416"/>
    <cellStyle name="Total 2 9 16" xfId="47417"/>
    <cellStyle name="Total 2 9 16 2" xfId="47418"/>
    <cellStyle name="Total 2 9 16 2 2" xfId="47419"/>
    <cellStyle name="Total 2 9 16 2 2 2" xfId="47420"/>
    <cellStyle name="Total 2 9 16 2 3" xfId="47421"/>
    <cellStyle name="Total 2 9 16 3" xfId="47422"/>
    <cellStyle name="Total 2 9 16 3 2" xfId="47423"/>
    <cellStyle name="Total 2 9 16 3 2 2" xfId="47424"/>
    <cellStyle name="Total 2 9 16 3 3" xfId="47425"/>
    <cellStyle name="Total 2 9 16 4" xfId="47426"/>
    <cellStyle name="Total 2 9 16 5" xfId="47427"/>
    <cellStyle name="Total 2 9 17" xfId="47428"/>
    <cellStyle name="Total 2 9 17 2" xfId="47429"/>
    <cellStyle name="Total 2 9 17 2 2" xfId="47430"/>
    <cellStyle name="Total 2 9 17 2 2 2" xfId="47431"/>
    <cellStyle name="Total 2 9 17 2 3" xfId="47432"/>
    <cellStyle name="Total 2 9 17 3" xfId="47433"/>
    <cellStyle name="Total 2 9 17 3 2" xfId="47434"/>
    <cellStyle name="Total 2 9 17 3 2 2" xfId="47435"/>
    <cellStyle name="Total 2 9 17 3 3" xfId="47436"/>
    <cellStyle name="Total 2 9 17 4" xfId="47437"/>
    <cellStyle name="Total 2 9 17 5" xfId="47438"/>
    <cellStyle name="Total 2 9 18" xfId="47439"/>
    <cellStyle name="Total 2 9 18 2" xfId="47440"/>
    <cellStyle name="Total 2 9 18 2 2" xfId="47441"/>
    <cellStyle name="Total 2 9 18 2 2 2" xfId="47442"/>
    <cellStyle name="Total 2 9 18 2 3" xfId="47443"/>
    <cellStyle name="Total 2 9 18 3" xfId="47444"/>
    <cellStyle name="Total 2 9 18 3 2" xfId="47445"/>
    <cellStyle name="Total 2 9 18 3 2 2" xfId="47446"/>
    <cellStyle name="Total 2 9 18 3 3" xfId="47447"/>
    <cellStyle name="Total 2 9 18 4" xfId="47448"/>
    <cellStyle name="Total 2 9 18 5" xfId="47449"/>
    <cellStyle name="Total 2 9 19" xfId="47450"/>
    <cellStyle name="Total 2 9 19 2" xfId="47451"/>
    <cellStyle name="Total 2 9 19 2 2" xfId="47452"/>
    <cellStyle name="Total 2 9 19 2 2 2" xfId="47453"/>
    <cellStyle name="Total 2 9 19 2 3" xfId="47454"/>
    <cellStyle name="Total 2 9 19 3" xfId="47455"/>
    <cellStyle name="Total 2 9 19 3 2" xfId="47456"/>
    <cellStyle name="Total 2 9 19 3 2 2" xfId="47457"/>
    <cellStyle name="Total 2 9 19 3 3" xfId="47458"/>
    <cellStyle name="Total 2 9 19 4" xfId="47459"/>
    <cellStyle name="Total 2 9 19 5" xfId="47460"/>
    <cellStyle name="Total 2 9 2" xfId="47461"/>
    <cellStyle name="Total 2 9 2 2" xfId="47462"/>
    <cellStyle name="Total 2 9 2 2 2" xfId="47463"/>
    <cellStyle name="Total 2 9 2 2 2 2" xfId="47464"/>
    <cellStyle name="Total 2 9 2 2 3" xfId="47465"/>
    <cellStyle name="Total 2 9 2 3" xfId="47466"/>
    <cellStyle name="Total 2 9 2 3 2" xfId="47467"/>
    <cellStyle name="Total 2 9 2 3 2 2" xfId="47468"/>
    <cellStyle name="Total 2 9 2 3 3" xfId="47469"/>
    <cellStyle name="Total 2 9 2 4" xfId="47470"/>
    <cellStyle name="Total 2 9 2 4 2" xfId="47471"/>
    <cellStyle name="Total 2 9 2 4 2 2" xfId="47472"/>
    <cellStyle name="Total 2 9 2 4 3" xfId="47473"/>
    <cellStyle name="Total 2 9 2 5" xfId="47474"/>
    <cellStyle name="Total 2 9 2 5 2" xfId="47475"/>
    <cellStyle name="Total 2 9 2 5 2 2" xfId="47476"/>
    <cellStyle name="Total 2 9 2 5 3" xfId="47477"/>
    <cellStyle name="Total 2 9 2 6" xfId="47478"/>
    <cellStyle name="Total 2 9 2 7" xfId="47479"/>
    <cellStyle name="Total 2 9 20" xfId="47480"/>
    <cellStyle name="Total 2 9 20 2" xfId="47481"/>
    <cellStyle name="Total 2 9 20 2 2" xfId="47482"/>
    <cellStyle name="Total 2 9 20 2 2 2" xfId="47483"/>
    <cellStyle name="Total 2 9 20 2 3" xfId="47484"/>
    <cellStyle name="Total 2 9 20 3" xfId="47485"/>
    <cellStyle name="Total 2 9 20 3 2" xfId="47486"/>
    <cellStyle name="Total 2 9 20 3 2 2" xfId="47487"/>
    <cellStyle name="Total 2 9 20 3 3" xfId="47488"/>
    <cellStyle name="Total 2 9 20 4" xfId="47489"/>
    <cellStyle name="Total 2 9 20 5" xfId="47490"/>
    <cellStyle name="Total 2 9 21" xfId="47491"/>
    <cellStyle name="Total 2 9 21 2" xfId="47492"/>
    <cellStyle name="Total 2 9 21 2 2" xfId="47493"/>
    <cellStyle name="Total 2 9 21 2 2 2" xfId="47494"/>
    <cellStyle name="Total 2 9 21 2 3" xfId="47495"/>
    <cellStyle name="Total 2 9 21 3" xfId="47496"/>
    <cellStyle name="Total 2 9 21 3 2" xfId="47497"/>
    <cellStyle name="Total 2 9 21 3 2 2" xfId="47498"/>
    <cellStyle name="Total 2 9 21 3 3" xfId="47499"/>
    <cellStyle name="Total 2 9 21 4" xfId="47500"/>
    <cellStyle name="Total 2 9 21 5" xfId="47501"/>
    <cellStyle name="Total 2 9 22" xfId="47502"/>
    <cellStyle name="Total 2 9 22 2" xfId="47503"/>
    <cellStyle name="Total 2 9 22 2 2" xfId="47504"/>
    <cellStyle name="Total 2 9 22 2 2 2" xfId="47505"/>
    <cellStyle name="Total 2 9 22 2 3" xfId="47506"/>
    <cellStyle name="Total 2 9 22 3" xfId="47507"/>
    <cellStyle name="Total 2 9 22 3 2" xfId="47508"/>
    <cellStyle name="Total 2 9 22 3 2 2" xfId="47509"/>
    <cellStyle name="Total 2 9 22 3 3" xfId="47510"/>
    <cellStyle name="Total 2 9 22 4" xfId="47511"/>
    <cellStyle name="Total 2 9 22 5" xfId="47512"/>
    <cellStyle name="Total 2 9 23" xfId="47513"/>
    <cellStyle name="Total 2 9 23 2" xfId="47514"/>
    <cellStyle name="Total 2 9 23 2 2" xfId="47515"/>
    <cellStyle name="Total 2 9 23 2 2 2" xfId="47516"/>
    <cellStyle name="Total 2 9 23 2 3" xfId="47517"/>
    <cellStyle name="Total 2 9 23 3" xfId="47518"/>
    <cellStyle name="Total 2 9 23 3 2" xfId="47519"/>
    <cellStyle name="Total 2 9 23 3 2 2" xfId="47520"/>
    <cellStyle name="Total 2 9 23 3 3" xfId="47521"/>
    <cellStyle name="Total 2 9 23 4" xfId="47522"/>
    <cellStyle name="Total 2 9 23 5" xfId="47523"/>
    <cellStyle name="Total 2 9 24" xfId="47524"/>
    <cellStyle name="Total 2 9 24 2" xfId="47525"/>
    <cellStyle name="Total 2 9 24 2 2" xfId="47526"/>
    <cellStyle name="Total 2 9 24 2 2 2" xfId="47527"/>
    <cellStyle name="Total 2 9 24 2 3" xfId="47528"/>
    <cellStyle name="Total 2 9 24 3" xfId="47529"/>
    <cellStyle name="Total 2 9 24 3 2" xfId="47530"/>
    <cellStyle name="Total 2 9 24 3 2 2" xfId="47531"/>
    <cellStyle name="Total 2 9 24 3 3" xfId="47532"/>
    <cellStyle name="Total 2 9 24 4" xfId="47533"/>
    <cellStyle name="Total 2 9 24 5" xfId="47534"/>
    <cellStyle name="Total 2 9 25" xfId="47535"/>
    <cellStyle name="Total 2 9 25 2" xfId="47536"/>
    <cellStyle name="Total 2 9 25 2 2" xfId="47537"/>
    <cellStyle name="Total 2 9 25 2 2 2" xfId="47538"/>
    <cellStyle name="Total 2 9 25 2 3" xfId="47539"/>
    <cellStyle name="Total 2 9 25 3" xfId="47540"/>
    <cellStyle name="Total 2 9 25 3 2" xfId="47541"/>
    <cellStyle name="Total 2 9 25 3 2 2" xfId="47542"/>
    <cellStyle name="Total 2 9 25 3 3" xfId="47543"/>
    <cellStyle name="Total 2 9 25 4" xfId="47544"/>
    <cellStyle name="Total 2 9 25 5" xfId="47545"/>
    <cellStyle name="Total 2 9 26" xfId="47546"/>
    <cellStyle name="Total 2 9 26 2" xfId="47547"/>
    <cellStyle name="Total 2 9 26 2 2" xfId="47548"/>
    <cellStyle name="Total 2 9 26 2 2 2" xfId="47549"/>
    <cellStyle name="Total 2 9 26 2 3" xfId="47550"/>
    <cellStyle name="Total 2 9 26 3" xfId="47551"/>
    <cellStyle name="Total 2 9 26 3 2" xfId="47552"/>
    <cellStyle name="Total 2 9 26 3 2 2" xfId="47553"/>
    <cellStyle name="Total 2 9 26 3 3" xfId="47554"/>
    <cellStyle name="Total 2 9 26 4" xfId="47555"/>
    <cellStyle name="Total 2 9 26 5" xfId="47556"/>
    <cellStyle name="Total 2 9 27" xfId="47557"/>
    <cellStyle name="Total 2 9 27 2" xfId="47558"/>
    <cellStyle name="Total 2 9 27 2 2" xfId="47559"/>
    <cellStyle name="Total 2 9 27 2 2 2" xfId="47560"/>
    <cellStyle name="Total 2 9 27 2 3" xfId="47561"/>
    <cellStyle name="Total 2 9 27 3" xfId="47562"/>
    <cellStyle name="Total 2 9 27 3 2" xfId="47563"/>
    <cellStyle name="Total 2 9 27 3 2 2" xfId="47564"/>
    <cellStyle name="Total 2 9 27 3 3" xfId="47565"/>
    <cellStyle name="Total 2 9 27 4" xfId="47566"/>
    <cellStyle name="Total 2 9 27 5" xfId="47567"/>
    <cellStyle name="Total 2 9 28" xfId="47568"/>
    <cellStyle name="Total 2 9 28 2" xfId="47569"/>
    <cellStyle name="Total 2 9 28 2 2" xfId="47570"/>
    <cellStyle name="Total 2 9 28 2 2 2" xfId="47571"/>
    <cellStyle name="Total 2 9 28 2 3" xfId="47572"/>
    <cellStyle name="Total 2 9 28 3" xfId="47573"/>
    <cellStyle name="Total 2 9 28 3 2" xfId="47574"/>
    <cellStyle name="Total 2 9 28 3 2 2" xfId="47575"/>
    <cellStyle name="Total 2 9 28 3 3" xfId="47576"/>
    <cellStyle name="Total 2 9 28 4" xfId="47577"/>
    <cellStyle name="Total 2 9 28 5" xfId="47578"/>
    <cellStyle name="Total 2 9 29" xfId="47579"/>
    <cellStyle name="Total 2 9 29 2" xfId="47580"/>
    <cellStyle name="Total 2 9 29 2 2" xfId="47581"/>
    <cellStyle name="Total 2 9 29 2 2 2" xfId="47582"/>
    <cellStyle name="Total 2 9 29 2 3" xfId="47583"/>
    <cellStyle name="Total 2 9 29 3" xfId="47584"/>
    <cellStyle name="Total 2 9 29 3 2" xfId="47585"/>
    <cellStyle name="Total 2 9 29 3 2 2" xfId="47586"/>
    <cellStyle name="Total 2 9 29 3 3" xfId="47587"/>
    <cellStyle name="Total 2 9 29 4" xfId="47588"/>
    <cellStyle name="Total 2 9 29 5" xfId="47589"/>
    <cellStyle name="Total 2 9 3" xfId="47590"/>
    <cellStyle name="Total 2 9 3 2" xfId="47591"/>
    <cellStyle name="Total 2 9 3 2 2" xfId="47592"/>
    <cellStyle name="Total 2 9 3 2 2 2" xfId="47593"/>
    <cellStyle name="Total 2 9 3 2 3" xfId="47594"/>
    <cellStyle name="Total 2 9 3 3" xfId="47595"/>
    <cellStyle name="Total 2 9 3 3 2" xfId="47596"/>
    <cellStyle name="Total 2 9 3 3 2 2" xfId="47597"/>
    <cellStyle name="Total 2 9 3 3 3" xfId="47598"/>
    <cellStyle name="Total 2 9 3 4" xfId="47599"/>
    <cellStyle name="Total 2 9 3 4 2" xfId="47600"/>
    <cellStyle name="Total 2 9 3 4 2 2" xfId="47601"/>
    <cellStyle name="Total 2 9 3 4 3" xfId="47602"/>
    <cellStyle name="Total 2 9 3 5" xfId="47603"/>
    <cellStyle name="Total 2 9 3 5 2" xfId="47604"/>
    <cellStyle name="Total 2 9 3 5 2 2" xfId="47605"/>
    <cellStyle name="Total 2 9 3 5 3" xfId="47606"/>
    <cellStyle name="Total 2 9 3 6" xfId="47607"/>
    <cellStyle name="Total 2 9 3 7" xfId="47608"/>
    <cellStyle name="Total 2 9 30" xfId="47609"/>
    <cellStyle name="Total 2 9 30 2" xfId="47610"/>
    <cellStyle name="Total 2 9 30 2 2" xfId="47611"/>
    <cellStyle name="Total 2 9 30 2 2 2" xfId="47612"/>
    <cellStyle name="Total 2 9 30 2 3" xfId="47613"/>
    <cellStyle name="Total 2 9 30 3" xfId="47614"/>
    <cellStyle name="Total 2 9 30 3 2" xfId="47615"/>
    <cellStyle name="Total 2 9 30 3 2 2" xfId="47616"/>
    <cellStyle name="Total 2 9 30 3 3" xfId="47617"/>
    <cellStyle name="Total 2 9 30 4" xfId="47618"/>
    <cellStyle name="Total 2 9 30 5" xfId="47619"/>
    <cellStyle name="Total 2 9 31" xfId="47620"/>
    <cellStyle name="Total 2 9 31 2" xfId="47621"/>
    <cellStyle name="Total 2 9 31 2 2" xfId="47622"/>
    <cellStyle name="Total 2 9 31 2 2 2" xfId="47623"/>
    <cellStyle name="Total 2 9 31 2 3" xfId="47624"/>
    <cellStyle name="Total 2 9 31 3" xfId="47625"/>
    <cellStyle name="Total 2 9 31 3 2" xfId="47626"/>
    <cellStyle name="Total 2 9 31 3 2 2" xfId="47627"/>
    <cellStyle name="Total 2 9 31 3 3" xfId="47628"/>
    <cellStyle name="Total 2 9 31 4" xfId="47629"/>
    <cellStyle name="Total 2 9 31 5" xfId="47630"/>
    <cellStyle name="Total 2 9 32" xfId="47631"/>
    <cellStyle name="Total 2 9 32 2" xfId="47632"/>
    <cellStyle name="Total 2 9 32 2 2" xfId="47633"/>
    <cellStyle name="Total 2 9 32 2 2 2" xfId="47634"/>
    <cellStyle name="Total 2 9 32 2 3" xfId="47635"/>
    <cellStyle name="Total 2 9 32 3" xfId="47636"/>
    <cellStyle name="Total 2 9 32 3 2" xfId="47637"/>
    <cellStyle name="Total 2 9 32 3 2 2" xfId="47638"/>
    <cellStyle name="Total 2 9 32 3 3" xfId="47639"/>
    <cellStyle name="Total 2 9 32 4" xfId="47640"/>
    <cellStyle name="Total 2 9 32 5" xfId="47641"/>
    <cellStyle name="Total 2 9 33" xfId="47642"/>
    <cellStyle name="Total 2 9 33 2" xfId="47643"/>
    <cellStyle name="Total 2 9 33 2 2" xfId="47644"/>
    <cellStyle name="Total 2 9 33 2 2 2" xfId="47645"/>
    <cellStyle name="Total 2 9 33 2 3" xfId="47646"/>
    <cellStyle name="Total 2 9 33 3" xfId="47647"/>
    <cellStyle name="Total 2 9 33 3 2" xfId="47648"/>
    <cellStyle name="Total 2 9 33 3 2 2" xfId="47649"/>
    <cellStyle name="Total 2 9 33 3 3" xfId="47650"/>
    <cellStyle name="Total 2 9 33 4" xfId="47651"/>
    <cellStyle name="Total 2 9 33 5" xfId="47652"/>
    <cellStyle name="Total 2 9 34" xfId="47653"/>
    <cellStyle name="Total 2 9 34 2" xfId="47654"/>
    <cellStyle name="Total 2 9 34 2 2" xfId="47655"/>
    <cellStyle name="Total 2 9 34 2 2 2" xfId="47656"/>
    <cellStyle name="Total 2 9 34 2 3" xfId="47657"/>
    <cellStyle name="Total 2 9 34 3" xfId="47658"/>
    <cellStyle name="Total 2 9 34 3 2" xfId="47659"/>
    <cellStyle name="Total 2 9 34 3 2 2" xfId="47660"/>
    <cellStyle name="Total 2 9 34 3 3" xfId="47661"/>
    <cellStyle name="Total 2 9 34 4" xfId="47662"/>
    <cellStyle name="Total 2 9 34 5" xfId="47663"/>
    <cellStyle name="Total 2 9 35" xfId="47664"/>
    <cellStyle name="Total 2 9 35 2" xfId="47665"/>
    <cellStyle name="Total 2 9 35 2 2" xfId="47666"/>
    <cellStyle name="Total 2 9 35 2 2 2" xfId="47667"/>
    <cellStyle name="Total 2 9 35 2 3" xfId="47668"/>
    <cellStyle name="Total 2 9 35 3" xfId="47669"/>
    <cellStyle name="Total 2 9 35 3 2" xfId="47670"/>
    <cellStyle name="Total 2 9 35 3 2 2" xfId="47671"/>
    <cellStyle name="Total 2 9 35 3 3" xfId="47672"/>
    <cellStyle name="Total 2 9 35 4" xfId="47673"/>
    <cellStyle name="Total 2 9 35 5" xfId="47674"/>
    <cellStyle name="Total 2 9 36" xfId="47675"/>
    <cellStyle name="Total 2 9 36 2" xfId="47676"/>
    <cellStyle name="Total 2 9 36 2 2" xfId="47677"/>
    <cellStyle name="Total 2 9 36 2 2 2" xfId="47678"/>
    <cellStyle name="Total 2 9 36 2 3" xfId="47679"/>
    <cellStyle name="Total 2 9 36 3" xfId="47680"/>
    <cellStyle name="Total 2 9 36 3 2" xfId="47681"/>
    <cellStyle name="Total 2 9 36 3 2 2" xfId="47682"/>
    <cellStyle name="Total 2 9 36 3 3" xfId="47683"/>
    <cellStyle name="Total 2 9 36 4" xfId="47684"/>
    <cellStyle name="Total 2 9 36 5" xfId="47685"/>
    <cellStyle name="Total 2 9 37" xfId="47686"/>
    <cellStyle name="Total 2 9 37 2" xfId="47687"/>
    <cellStyle name="Total 2 9 37 2 2" xfId="47688"/>
    <cellStyle name="Total 2 9 37 2 2 2" xfId="47689"/>
    <cellStyle name="Total 2 9 37 2 3" xfId="47690"/>
    <cellStyle name="Total 2 9 37 3" xfId="47691"/>
    <cellStyle name="Total 2 9 37 3 2" xfId="47692"/>
    <cellStyle name="Total 2 9 37 3 2 2" xfId="47693"/>
    <cellStyle name="Total 2 9 37 3 3" xfId="47694"/>
    <cellStyle name="Total 2 9 37 4" xfId="47695"/>
    <cellStyle name="Total 2 9 37 5" xfId="47696"/>
    <cellStyle name="Total 2 9 38" xfId="47697"/>
    <cellStyle name="Total 2 9 38 2" xfId="47698"/>
    <cellStyle name="Total 2 9 38 2 2" xfId="47699"/>
    <cellStyle name="Total 2 9 38 2 2 2" xfId="47700"/>
    <cellStyle name="Total 2 9 38 2 3" xfId="47701"/>
    <cellStyle name="Total 2 9 38 3" xfId="47702"/>
    <cellStyle name="Total 2 9 38 3 2" xfId="47703"/>
    <cellStyle name="Total 2 9 38 3 2 2" xfId="47704"/>
    <cellStyle name="Total 2 9 38 3 3" xfId="47705"/>
    <cellStyle name="Total 2 9 38 4" xfId="47706"/>
    <cellStyle name="Total 2 9 38 5" xfId="47707"/>
    <cellStyle name="Total 2 9 39" xfId="47708"/>
    <cellStyle name="Total 2 9 39 2" xfId="47709"/>
    <cellStyle name="Total 2 9 39 2 2" xfId="47710"/>
    <cellStyle name="Total 2 9 39 2 2 2" xfId="47711"/>
    <cellStyle name="Total 2 9 39 2 3" xfId="47712"/>
    <cellStyle name="Total 2 9 39 3" xfId="47713"/>
    <cellStyle name="Total 2 9 39 3 2" xfId="47714"/>
    <cellStyle name="Total 2 9 39 3 2 2" xfId="47715"/>
    <cellStyle name="Total 2 9 39 3 3" xfId="47716"/>
    <cellStyle name="Total 2 9 39 4" xfId="47717"/>
    <cellStyle name="Total 2 9 39 5" xfId="47718"/>
    <cellStyle name="Total 2 9 4" xfId="47719"/>
    <cellStyle name="Total 2 9 4 2" xfId="47720"/>
    <cellStyle name="Total 2 9 4 2 2" xfId="47721"/>
    <cellStyle name="Total 2 9 4 2 2 2" xfId="47722"/>
    <cellStyle name="Total 2 9 4 2 3" xfId="47723"/>
    <cellStyle name="Total 2 9 4 3" xfId="47724"/>
    <cellStyle name="Total 2 9 4 3 2" xfId="47725"/>
    <cellStyle name="Total 2 9 4 3 2 2" xfId="47726"/>
    <cellStyle name="Total 2 9 4 3 3" xfId="47727"/>
    <cellStyle name="Total 2 9 4 4" xfId="47728"/>
    <cellStyle name="Total 2 9 4 4 2" xfId="47729"/>
    <cellStyle name="Total 2 9 4 4 2 2" xfId="47730"/>
    <cellStyle name="Total 2 9 4 4 3" xfId="47731"/>
    <cellStyle name="Total 2 9 4 5" xfId="47732"/>
    <cellStyle name="Total 2 9 4 5 2" xfId="47733"/>
    <cellStyle name="Total 2 9 4 5 2 2" xfId="47734"/>
    <cellStyle name="Total 2 9 4 5 3" xfId="47735"/>
    <cellStyle name="Total 2 9 4 6" xfId="47736"/>
    <cellStyle name="Total 2 9 4 7" xfId="47737"/>
    <cellStyle name="Total 2 9 40" xfId="47738"/>
    <cellStyle name="Total 2 9 40 2" xfId="47739"/>
    <cellStyle name="Total 2 9 40 2 2" xfId="47740"/>
    <cellStyle name="Total 2 9 40 2 2 2" xfId="47741"/>
    <cellStyle name="Total 2 9 40 2 3" xfId="47742"/>
    <cellStyle name="Total 2 9 40 3" xfId="47743"/>
    <cellStyle name="Total 2 9 40 3 2" xfId="47744"/>
    <cellStyle name="Total 2 9 40 3 2 2" xfId="47745"/>
    <cellStyle name="Total 2 9 40 3 3" xfId="47746"/>
    <cellStyle name="Total 2 9 40 4" xfId="47747"/>
    <cellStyle name="Total 2 9 40 5" xfId="47748"/>
    <cellStyle name="Total 2 9 41" xfId="47749"/>
    <cellStyle name="Total 2 9 41 2" xfId="47750"/>
    <cellStyle name="Total 2 9 41 2 2" xfId="47751"/>
    <cellStyle name="Total 2 9 41 2 2 2" xfId="47752"/>
    <cellStyle name="Total 2 9 41 2 3" xfId="47753"/>
    <cellStyle name="Total 2 9 41 3" xfId="47754"/>
    <cellStyle name="Total 2 9 41 3 2" xfId="47755"/>
    <cellStyle name="Total 2 9 41 3 2 2" xfId="47756"/>
    <cellStyle name="Total 2 9 41 3 3" xfId="47757"/>
    <cellStyle name="Total 2 9 41 4" xfId="47758"/>
    <cellStyle name="Total 2 9 41 5" xfId="47759"/>
    <cellStyle name="Total 2 9 42" xfId="47760"/>
    <cellStyle name="Total 2 9 42 2" xfId="47761"/>
    <cellStyle name="Total 2 9 42 2 2" xfId="47762"/>
    <cellStyle name="Total 2 9 42 2 2 2" xfId="47763"/>
    <cellStyle name="Total 2 9 42 2 3" xfId="47764"/>
    <cellStyle name="Total 2 9 42 3" xfId="47765"/>
    <cellStyle name="Total 2 9 42 3 2" xfId="47766"/>
    <cellStyle name="Total 2 9 42 3 2 2" xfId="47767"/>
    <cellStyle name="Total 2 9 42 3 3" xfId="47768"/>
    <cellStyle name="Total 2 9 42 4" xfId="47769"/>
    <cellStyle name="Total 2 9 42 5" xfId="47770"/>
    <cellStyle name="Total 2 9 43" xfId="47771"/>
    <cellStyle name="Total 2 9 43 2" xfId="47772"/>
    <cellStyle name="Total 2 9 43 2 2" xfId="47773"/>
    <cellStyle name="Total 2 9 43 2 2 2" xfId="47774"/>
    <cellStyle name="Total 2 9 43 2 3" xfId="47775"/>
    <cellStyle name="Total 2 9 43 3" xfId="47776"/>
    <cellStyle name="Total 2 9 43 3 2" xfId="47777"/>
    <cellStyle name="Total 2 9 43 3 2 2" xfId="47778"/>
    <cellStyle name="Total 2 9 43 3 3" xfId="47779"/>
    <cellStyle name="Total 2 9 43 4" xfId="47780"/>
    <cellStyle name="Total 2 9 43 5" xfId="47781"/>
    <cellStyle name="Total 2 9 44" xfId="47782"/>
    <cellStyle name="Total 2 9 44 2" xfId="47783"/>
    <cellStyle name="Total 2 9 44 2 2" xfId="47784"/>
    <cellStyle name="Total 2 9 44 2 2 2" xfId="47785"/>
    <cellStyle name="Total 2 9 44 2 3" xfId="47786"/>
    <cellStyle name="Total 2 9 44 3" xfId="47787"/>
    <cellStyle name="Total 2 9 44 3 2" xfId="47788"/>
    <cellStyle name="Total 2 9 44 3 2 2" xfId="47789"/>
    <cellStyle name="Total 2 9 44 3 3" xfId="47790"/>
    <cellStyle name="Total 2 9 44 4" xfId="47791"/>
    <cellStyle name="Total 2 9 44 5" xfId="47792"/>
    <cellStyle name="Total 2 9 45" xfId="47793"/>
    <cellStyle name="Total 2 9 45 2" xfId="47794"/>
    <cellStyle name="Total 2 9 45 2 2" xfId="47795"/>
    <cellStyle name="Total 2 9 45 2 2 2" xfId="47796"/>
    <cellStyle name="Total 2 9 45 2 3" xfId="47797"/>
    <cellStyle name="Total 2 9 45 3" xfId="47798"/>
    <cellStyle name="Total 2 9 45 3 2" xfId="47799"/>
    <cellStyle name="Total 2 9 45 3 2 2" xfId="47800"/>
    <cellStyle name="Total 2 9 45 3 3" xfId="47801"/>
    <cellStyle name="Total 2 9 45 4" xfId="47802"/>
    <cellStyle name="Total 2 9 45 5" xfId="47803"/>
    <cellStyle name="Total 2 9 46" xfId="47804"/>
    <cellStyle name="Total 2 9 46 2" xfId="47805"/>
    <cellStyle name="Total 2 9 46 2 2" xfId="47806"/>
    <cellStyle name="Total 2 9 46 2 2 2" xfId="47807"/>
    <cellStyle name="Total 2 9 46 2 3" xfId="47808"/>
    <cellStyle name="Total 2 9 46 3" xfId="47809"/>
    <cellStyle name="Total 2 9 46 3 2" xfId="47810"/>
    <cellStyle name="Total 2 9 46 3 2 2" xfId="47811"/>
    <cellStyle name="Total 2 9 46 3 3" xfId="47812"/>
    <cellStyle name="Total 2 9 46 4" xfId="47813"/>
    <cellStyle name="Total 2 9 46 5" xfId="47814"/>
    <cellStyle name="Total 2 9 47" xfId="47815"/>
    <cellStyle name="Total 2 9 47 2" xfId="47816"/>
    <cellStyle name="Total 2 9 47 2 2" xfId="47817"/>
    <cellStyle name="Total 2 9 47 2 2 2" xfId="47818"/>
    <cellStyle name="Total 2 9 47 2 3" xfId="47819"/>
    <cellStyle name="Total 2 9 47 3" xfId="47820"/>
    <cellStyle name="Total 2 9 47 3 2" xfId="47821"/>
    <cellStyle name="Total 2 9 47 3 2 2" xfId="47822"/>
    <cellStyle name="Total 2 9 47 3 3" xfId="47823"/>
    <cellStyle name="Total 2 9 47 4" xfId="47824"/>
    <cellStyle name="Total 2 9 47 5" xfId="47825"/>
    <cellStyle name="Total 2 9 48" xfId="47826"/>
    <cellStyle name="Total 2 9 48 2" xfId="47827"/>
    <cellStyle name="Total 2 9 48 2 2" xfId="47828"/>
    <cellStyle name="Total 2 9 48 2 2 2" xfId="47829"/>
    <cellStyle name="Total 2 9 48 2 3" xfId="47830"/>
    <cellStyle name="Total 2 9 48 3" xfId="47831"/>
    <cellStyle name="Total 2 9 48 3 2" xfId="47832"/>
    <cellStyle name="Total 2 9 48 3 2 2" xfId="47833"/>
    <cellStyle name="Total 2 9 48 3 3" xfId="47834"/>
    <cellStyle name="Total 2 9 48 4" xfId="47835"/>
    <cellStyle name="Total 2 9 48 5" xfId="47836"/>
    <cellStyle name="Total 2 9 49" xfId="47837"/>
    <cellStyle name="Total 2 9 49 2" xfId="47838"/>
    <cellStyle name="Total 2 9 49 2 2" xfId="47839"/>
    <cellStyle name="Total 2 9 49 3" xfId="47840"/>
    <cellStyle name="Total 2 9 5" xfId="47841"/>
    <cellStyle name="Total 2 9 5 2" xfId="47842"/>
    <cellStyle name="Total 2 9 5 2 2" xfId="47843"/>
    <cellStyle name="Total 2 9 5 2 2 2" xfId="47844"/>
    <cellStyle name="Total 2 9 5 2 3" xfId="47845"/>
    <cellStyle name="Total 2 9 5 3" xfId="47846"/>
    <cellStyle name="Total 2 9 5 3 2" xfId="47847"/>
    <cellStyle name="Total 2 9 5 3 2 2" xfId="47848"/>
    <cellStyle name="Total 2 9 5 3 3" xfId="47849"/>
    <cellStyle name="Total 2 9 5 4" xfId="47850"/>
    <cellStyle name="Total 2 9 5 4 2" xfId="47851"/>
    <cellStyle name="Total 2 9 5 4 2 2" xfId="47852"/>
    <cellStyle name="Total 2 9 5 4 3" xfId="47853"/>
    <cellStyle name="Total 2 9 5 5" xfId="47854"/>
    <cellStyle name="Total 2 9 5 5 2" xfId="47855"/>
    <cellStyle name="Total 2 9 5 5 2 2" xfId="47856"/>
    <cellStyle name="Total 2 9 5 5 3" xfId="47857"/>
    <cellStyle name="Total 2 9 5 6" xfId="47858"/>
    <cellStyle name="Total 2 9 5 7" xfId="47859"/>
    <cellStyle name="Total 2 9 50" xfId="47860"/>
    <cellStyle name="Total 2 9 50 2" xfId="47861"/>
    <cellStyle name="Total 2 9 50 2 2" xfId="47862"/>
    <cellStyle name="Total 2 9 50 3" xfId="47863"/>
    <cellStyle name="Total 2 9 51" xfId="47864"/>
    <cellStyle name="Total 2 9 51 2" xfId="47865"/>
    <cellStyle name="Total 2 9 51 2 2" xfId="47866"/>
    <cellStyle name="Total 2 9 51 3" xfId="47867"/>
    <cellStyle name="Total 2 9 52" xfId="47868"/>
    <cellStyle name="Total 2 9 52 2" xfId="47869"/>
    <cellStyle name="Total 2 9 52 2 2" xfId="47870"/>
    <cellStyle name="Total 2 9 52 3" xfId="47871"/>
    <cellStyle name="Total 2 9 53" xfId="47872"/>
    <cellStyle name="Total 2 9 54" xfId="47873"/>
    <cellStyle name="Total 2 9 6" xfId="47874"/>
    <cellStyle name="Total 2 9 6 2" xfId="47875"/>
    <cellStyle name="Total 2 9 6 2 2" xfId="47876"/>
    <cellStyle name="Total 2 9 6 2 2 2" xfId="47877"/>
    <cellStyle name="Total 2 9 6 2 3" xfId="47878"/>
    <cellStyle name="Total 2 9 6 3" xfId="47879"/>
    <cellStyle name="Total 2 9 6 3 2" xfId="47880"/>
    <cellStyle name="Total 2 9 6 3 2 2" xfId="47881"/>
    <cellStyle name="Total 2 9 6 3 3" xfId="47882"/>
    <cellStyle name="Total 2 9 6 4" xfId="47883"/>
    <cellStyle name="Total 2 9 6 4 2" xfId="47884"/>
    <cellStyle name="Total 2 9 6 4 2 2" xfId="47885"/>
    <cellStyle name="Total 2 9 6 4 3" xfId="47886"/>
    <cellStyle name="Total 2 9 6 5" xfId="47887"/>
    <cellStyle name="Total 2 9 6 5 2" xfId="47888"/>
    <cellStyle name="Total 2 9 6 5 2 2" xfId="47889"/>
    <cellStyle name="Total 2 9 6 5 3" xfId="47890"/>
    <cellStyle name="Total 2 9 6 6" xfId="47891"/>
    <cellStyle name="Total 2 9 6 7" xfId="47892"/>
    <cellStyle name="Total 2 9 7" xfId="47893"/>
    <cellStyle name="Total 2 9 7 2" xfId="47894"/>
    <cellStyle name="Total 2 9 7 2 2" xfId="47895"/>
    <cellStyle name="Total 2 9 7 2 2 2" xfId="47896"/>
    <cellStyle name="Total 2 9 7 2 3" xfId="47897"/>
    <cellStyle name="Total 2 9 7 3" xfId="47898"/>
    <cellStyle name="Total 2 9 7 3 2" xfId="47899"/>
    <cellStyle name="Total 2 9 7 3 2 2" xfId="47900"/>
    <cellStyle name="Total 2 9 7 3 3" xfId="47901"/>
    <cellStyle name="Total 2 9 7 4" xfId="47902"/>
    <cellStyle name="Total 2 9 7 4 2" xfId="47903"/>
    <cellStyle name="Total 2 9 7 4 2 2" xfId="47904"/>
    <cellStyle name="Total 2 9 7 4 3" xfId="47905"/>
    <cellStyle name="Total 2 9 7 5" xfId="47906"/>
    <cellStyle name="Total 2 9 7 5 2" xfId="47907"/>
    <cellStyle name="Total 2 9 7 5 2 2" xfId="47908"/>
    <cellStyle name="Total 2 9 7 5 3" xfId="47909"/>
    <cellStyle name="Total 2 9 7 6" xfId="47910"/>
    <cellStyle name="Total 2 9 7 7" xfId="47911"/>
    <cellStyle name="Total 2 9 8" xfId="47912"/>
    <cellStyle name="Total 2 9 8 2" xfId="47913"/>
    <cellStyle name="Total 2 9 8 2 2" xfId="47914"/>
    <cellStyle name="Total 2 9 8 2 2 2" xfId="47915"/>
    <cellStyle name="Total 2 9 8 2 3" xfId="47916"/>
    <cellStyle name="Total 2 9 8 3" xfId="47917"/>
    <cellStyle name="Total 2 9 8 3 2" xfId="47918"/>
    <cellStyle name="Total 2 9 8 3 2 2" xfId="47919"/>
    <cellStyle name="Total 2 9 8 3 3" xfId="47920"/>
    <cellStyle name="Total 2 9 8 4" xfId="47921"/>
    <cellStyle name="Total 2 9 8 4 2" xfId="47922"/>
    <cellStyle name="Total 2 9 8 4 2 2" xfId="47923"/>
    <cellStyle name="Total 2 9 8 4 3" xfId="47924"/>
    <cellStyle name="Total 2 9 8 5" xfId="47925"/>
    <cellStyle name="Total 2 9 8 5 2" xfId="47926"/>
    <cellStyle name="Total 2 9 8 5 2 2" xfId="47927"/>
    <cellStyle name="Total 2 9 8 5 3" xfId="47928"/>
    <cellStyle name="Total 2 9 8 6" xfId="47929"/>
    <cellStyle name="Total 2 9 8 7" xfId="47930"/>
    <cellStyle name="Total 2 9 9" xfId="47931"/>
    <cellStyle name="Total 2 9 9 2" xfId="47932"/>
    <cellStyle name="Total 2 9 9 2 2" xfId="47933"/>
    <cellStyle name="Total 2 9 9 2 2 2" xfId="47934"/>
    <cellStyle name="Total 2 9 9 2 3" xfId="47935"/>
    <cellStyle name="Total 2 9 9 3" xfId="47936"/>
    <cellStyle name="Total 2 9 9 3 2" xfId="47937"/>
    <cellStyle name="Total 2 9 9 3 2 2" xfId="47938"/>
    <cellStyle name="Total 2 9 9 3 3" xfId="47939"/>
    <cellStyle name="Total 2 9 9 4" xfId="47940"/>
    <cellStyle name="Total 2 9 9 5" xfId="47941"/>
    <cellStyle name="Total 3" xfId="47942"/>
    <cellStyle name="Total 3 10" xfId="47943"/>
    <cellStyle name="Total 3 10 2" xfId="47944"/>
    <cellStyle name="Total 3 10 2 2" xfId="47945"/>
    <cellStyle name="Total 3 10 3" xfId="47946"/>
    <cellStyle name="Total 3 11" xfId="47947"/>
    <cellStyle name="Total 3 11 2" xfId="47948"/>
    <cellStyle name="Total 3 11 2 2" xfId="47949"/>
    <cellStyle name="Total 3 11 3" xfId="47950"/>
    <cellStyle name="Total 3 12" xfId="47951"/>
    <cellStyle name="Total 3 12 2" xfId="47952"/>
    <cellStyle name="Total 3 12 2 2" xfId="47953"/>
    <cellStyle name="Total 3 12 3" xfId="47954"/>
    <cellStyle name="Total 3 13" xfId="47955"/>
    <cellStyle name="Total 3 14" xfId="47956"/>
    <cellStyle name="Total 3 2" xfId="47957"/>
    <cellStyle name="Total 3 2 2" xfId="47958"/>
    <cellStyle name="Total 3 2 2 2" xfId="47959"/>
    <cellStyle name="Total 3 2 2 2 2" xfId="47960"/>
    <cellStyle name="Total 3 2 2 2 2 2" xfId="47961"/>
    <cellStyle name="Total 3 2 2 2 3" xfId="47962"/>
    <cellStyle name="Total 3 2 2 3" xfId="47963"/>
    <cellStyle name="Total 3 2 2 3 2" xfId="47964"/>
    <cellStyle name="Total 3 2 2 4" xfId="47965"/>
    <cellStyle name="Total 3 2 3" xfId="47966"/>
    <cellStyle name="Total 3 2 3 2" xfId="47967"/>
    <cellStyle name="Total 3 2 3 2 2" xfId="47968"/>
    <cellStyle name="Total 3 2 3 3" xfId="47969"/>
    <cellStyle name="Total 3 2 4" xfId="47970"/>
    <cellStyle name="Total 3 2 4 2" xfId="47971"/>
    <cellStyle name="Total 3 2 4 2 2" xfId="47972"/>
    <cellStyle name="Total 3 2 4 3" xfId="47973"/>
    <cellStyle name="Total 3 2 5" xfId="47974"/>
    <cellStyle name="Total 3 2 5 2" xfId="47975"/>
    <cellStyle name="Total 3 2 5 2 2" xfId="47976"/>
    <cellStyle name="Total 3 2 5 3" xfId="47977"/>
    <cellStyle name="Total 3 2 6" xfId="47978"/>
    <cellStyle name="Total 3 2 6 2" xfId="47979"/>
    <cellStyle name="Total 3 2 6 2 2" xfId="47980"/>
    <cellStyle name="Total 3 2 6 3" xfId="47981"/>
    <cellStyle name="Total 3 2 7" xfId="47982"/>
    <cellStyle name="Total 3 2 7 2" xfId="47983"/>
    <cellStyle name="Total 3 2 7 2 2" xfId="47984"/>
    <cellStyle name="Total 3 2 7 3" xfId="47985"/>
    <cellStyle name="Total 3 2 8" xfId="47986"/>
    <cellStyle name="Total 3 2 9" xfId="47987"/>
    <cellStyle name="Total 3 3" xfId="47988"/>
    <cellStyle name="Total 3 3 2" xfId="47989"/>
    <cellStyle name="Total 3 3 2 2" xfId="47990"/>
    <cellStyle name="Total 3 3 2 2 2" xfId="47991"/>
    <cellStyle name="Total 3 3 2 3" xfId="47992"/>
    <cellStyle name="Total 3 3 3" xfId="47993"/>
    <cellStyle name="Total 3 3 3 2" xfId="47994"/>
    <cellStyle name="Total 3 3 3 2 2" xfId="47995"/>
    <cellStyle name="Total 3 3 3 3" xfId="47996"/>
    <cellStyle name="Total 3 3 4" xfId="47997"/>
    <cellStyle name="Total 3 3 4 2" xfId="47998"/>
    <cellStyle name="Total 3 3 4 2 2" xfId="47999"/>
    <cellStyle name="Total 3 3 4 3" xfId="48000"/>
    <cellStyle name="Total 3 3 5" xfId="48001"/>
    <cellStyle name="Total 3 4" xfId="48002"/>
    <cellStyle name="Total 3 4 2" xfId="48003"/>
    <cellStyle name="Total 3 4 2 2" xfId="48004"/>
    <cellStyle name="Total 3 4 2 2 2" xfId="48005"/>
    <cellStyle name="Total 3 4 2 3" xfId="48006"/>
    <cellStyle name="Total 3 4 3" xfId="48007"/>
    <cellStyle name="Total 3 4 3 2" xfId="48008"/>
    <cellStyle name="Total 3 4 3 2 2" xfId="48009"/>
    <cellStyle name="Total 3 4 3 3" xfId="48010"/>
    <cellStyle name="Total 3 4 4" xfId="48011"/>
    <cellStyle name="Total 3 4 4 2" xfId="48012"/>
    <cellStyle name="Total 3 4 4 2 2" xfId="48013"/>
    <cellStyle name="Total 3 4 4 3" xfId="48014"/>
    <cellStyle name="Total 3 4 5" xfId="48015"/>
    <cellStyle name="Total 3 5" xfId="48016"/>
    <cellStyle name="Total 3 5 2" xfId="48017"/>
    <cellStyle name="Total 3 5 2 2" xfId="48018"/>
    <cellStyle name="Total 3 5 2 2 2" xfId="48019"/>
    <cellStyle name="Total 3 5 2 3" xfId="48020"/>
    <cellStyle name="Total 3 5 3" xfId="48021"/>
    <cellStyle name="Total 3 5 3 2" xfId="48022"/>
    <cellStyle name="Total 3 5 3 2 2" xfId="48023"/>
    <cellStyle name="Total 3 5 3 3" xfId="48024"/>
    <cellStyle name="Total 3 5 4" xfId="48025"/>
    <cellStyle name="Total 3 5 4 2" xfId="48026"/>
    <cellStyle name="Total 3 5 4 2 2" xfId="48027"/>
    <cellStyle name="Total 3 5 4 3" xfId="48028"/>
    <cellStyle name="Total 3 5 5" xfId="48029"/>
    <cellStyle name="Total 3 6" xfId="48030"/>
    <cellStyle name="Total 3 6 2" xfId="48031"/>
    <cellStyle name="Total 3 6 2 2" xfId="48032"/>
    <cellStyle name="Total 3 6 2 2 2" xfId="48033"/>
    <cellStyle name="Total 3 6 2 3" xfId="48034"/>
    <cellStyle name="Total 3 6 3" xfId="48035"/>
    <cellStyle name="Total 3 6 3 2" xfId="48036"/>
    <cellStyle name="Total 3 6 3 2 2" xfId="48037"/>
    <cellStyle name="Total 3 6 3 3" xfId="48038"/>
    <cellStyle name="Total 3 6 4" xfId="48039"/>
    <cellStyle name="Total 3 7" xfId="48040"/>
    <cellStyle name="Total 3 7 2" xfId="48041"/>
    <cellStyle name="Total 3 7 2 2" xfId="48042"/>
    <cellStyle name="Total 3 7 2 2 2" xfId="48043"/>
    <cellStyle name="Total 3 7 2 3" xfId="48044"/>
    <cellStyle name="Total 3 7 3" xfId="48045"/>
    <cellStyle name="Total 3 7 3 2" xfId="48046"/>
    <cellStyle name="Total 3 7 3 2 2" xfId="48047"/>
    <cellStyle name="Total 3 7 3 3" xfId="48048"/>
    <cellStyle name="Total 3 7 4" xfId="48049"/>
    <cellStyle name="Total 3 8" xfId="48050"/>
    <cellStyle name="Total 3 8 2" xfId="48051"/>
    <cellStyle name="Total 3 8 2 2" xfId="48052"/>
    <cellStyle name="Total 3 8 2 2 2" xfId="48053"/>
    <cellStyle name="Total 3 8 2 3" xfId="48054"/>
    <cellStyle name="Total 3 8 3" xfId="48055"/>
    <cellStyle name="Total 3 8 3 2" xfId="48056"/>
    <cellStyle name="Total 3 8 3 2 2" xfId="48057"/>
    <cellStyle name="Total 3 8 3 3" xfId="48058"/>
    <cellStyle name="Total 3 8 4" xfId="48059"/>
    <cellStyle name="Total 3 9" xfId="48060"/>
    <cellStyle name="Total 3 9 2" xfId="48061"/>
    <cellStyle name="Total 3 9 2 2" xfId="48062"/>
    <cellStyle name="Total 3 9 3" xfId="48063"/>
    <cellStyle name="Total 4" xfId="48064"/>
    <cellStyle name="Total 4 10" xfId="48065"/>
    <cellStyle name="Total 4 10 2" xfId="48066"/>
    <cellStyle name="Total 4 10 2 2" xfId="48067"/>
    <cellStyle name="Total 4 10 3" xfId="48068"/>
    <cellStyle name="Total 4 11" xfId="48069"/>
    <cellStyle name="Total 4 11 2" xfId="48070"/>
    <cellStyle name="Total 4 11 2 2" xfId="48071"/>
    <cellStyle name="Total 4 11 3" xfId="48072"/>
    <cellStyle name="Total 4 12" xfId="48073"/>
    <cellStyle name="Total 4 12 2" xfId="48074"/>
    <cellStyle name="Total 4 12 2 2" xfId="48075"/>
    <cellStyle name="Total 4 12 3" xfId="48076"/>
    <cellStyle name="Total 4 13" xfId="48077"/>
    <cellStyle name="Total 4 14" xfId="48078"/>
    <cellStyle name="Total 4 2" xfId="48079"/>
    <cellStyle name="Total 4 2 2" xfId="48080"/>
    <cellStyle name="Total 4 2 2 2" xfId="48081"/>
    <cellStyle name="Total 4 2 2 2 2" xfId="48082"/>
    <cellStyle name="Total 4 2 2 2 2 2" xfId="48083"/>
    <cellStyle name="Total 4 2 2 2 3" xfId="48084"/>
    <cellStyle name="Total 4 2 2 3" xfId="48085"/>
    <cellStyle name="Total 4 2 2 3 2" xfId="48086"/>
    <cellStyle name="Total 4 2 2 4" xfId="48087"/>
    <cellStyle name="Total 4 2 3" xfId="48088"/>
    <cellStyle name="Total 4 2 3 2" xfId="48089"/>
    <cellStyle name="Total 4 2 3 2 2" xfId="48090"/>
    <cellStyle name="Total 4 2 3 3" xfId="48091"/>
    <cellStyle name="Total 4 2 4" xfId="48092"/>
    <cellStyle name="Total 4 2 4 2" xfId="48093"/>
    <cellStyle name="Total 4 2 4 2 2" xfId="48094"/>
    <cellStyle name="Total 4 2 4 3" xfId="48095"/>
    <cellStyle name="Total 4 2 5" xfId="48096"/>
    <cellStyle name="Total 4 2 5 2" xfId="48097"/>
    <cellStyle name="Total 4 2 5 2 2" xfId="48098"/>
    <cellStyle name="Total 4 2 5 3" xfId="48099"/>
    <cellStyle name="Total 4 2 6" xfId="48100"/>
    <cellStyle name="Total 4 2 6 2" xfId="48101"/>
    <cellStyle name="Total 4 2 6 2 2" xfId="48102"/>
    <cellStyle name="Total 4 2 6 3" xfId="48103"/>
    <cellStyle name="Total 4 2 7" xfId="48104"/>
    <cellStyle name="Total 4 2 7 2" xfId="48105"/>
    <cellStyle name="Total 4 2 7 2 2" xfId="48106"/>
    <cellStyle name="Total 4 2 7 3" xfId="48107"/>
    <cellStyle name="Total 4 2 8" xfId="48108"/>
    <cellStyle name="Total 4 2 9" xfId="48109"/>
    <cellStyle name="Total 4 3" xfId="48110"/>
    <cellStyle name="Total 4 3 2" xfId="48111"/>
    <cellStyle name="Total 4 3 2 2" xfId="48112"/>
    <cellStyle name="Total 4 3 2 2 2" xfId="48113"/>
    <cellStyle name="Total 4 3 2 3" xfId="48114"/>
    <cellStyle name="Total 4 3 3" xfId="48115"/>
    <cellStyle name="Total 4 3 3 2" xfId="48116"/>
    <cellStyle name="Total 4 3 3 2 2" xfId="48117"/>
    <cellStyle name="Total 4 3 3 3" xfId="48118"/>
    <cellStyle name="Total 4 3 4" xfId="48119"/>
    <cellStyle name="Total 4 3 4 2" xfId="48120"/>
    <cellStyle name="Total 4 3 4 2 2" xfId="48121"/>
    <cellStyle name="Total 4 3 4 3" xfId="48122"/>
    <cellStyle name="Total 4 3 5" xfId="48123"/>
    <cellStyle name="Total 4 4" xfId="48124"/>
    <cellStyle name="Total 4 4 2" xfId="48125"/>
    <cellStyle name="Total 4 4 2 2" xfId="48126"/>
    <cellStyle name="Total 4 4 2 2 2" xfId="48127"/>
    <cellStyle name="Total 4 4 2 3" xfId="48128"/>
    <cellStyle name="Total 4 4 3" xfId="48129"/>
    <cellStyle name="Total 4 4 3 2" xfId="48130"/>
    <cellStyle name="Total 4 4 3 2 2" xfId="48131"/>
    <cellStyle name="Total 4 4 3 3" xfId="48132"/>
    <cellStyle name="Total 4 4 4" xfId="48133"/>
    <cellStyle name="Total 4 4 4 2" xfId="48134"/>
    <cellStyle name="Total 4 4 4 2 2" xfId="48135"/>
    <cellStyle name="Total 4 4 4 3" xfId="48136"/>
    <cellStyle name="Total 4 4 5" xfId="48137"/>
    <cellStyle name="Total 4 5" xfId="48138"/>
    <cellStyle name="Total 4 5 2" xfId="48139"/>
    <cellStyle name="Total 4 5 2 2" xfId="48140"/>
    <cellStyle name="Total 4 5 2 2 2" xfId="48141"/>
    <cellStyle name="Total 4 5 2 3" xfId="48142"/>
    <cellStyle name="Total 4 5 3" xfId="48143"/>
    <cellStyle name="Total 4 5 3 2" xfId="48144"/>
    <cellStyle name="Total 4 5 3 2 2" xfId="48145"/>
    <cellStyle name="Total 4 5 3 3" xfId="48146"/>
    <cellStyle name="Total 4 5 4" xfId="48147"/>
    <cellStyle name="Total 4 5 4 2" xfId="48148"/>
    <cellStyle name="Total 4 5 4 2 2" xfId="48149"/>
    <cellStyle name="Total 4 5 4 3" xfId="48150"/>
    <cellStyle name="Total 4 5 5" xfId="48151"/>
    <cellStyle name="Total 4 6" xfId="48152"/>
    <cellStyle name="Total 4 6 2" xfId="48153"/>
    <cellStyle name="Total 4 6 2 2" xfId="48154"/>
    <cellStyle name="Total 4 6 2 2 2" xfId="48155"/>
    <cellStyle name="Total 4 6 2 3" xfId="48156"/>
    <cellStyle name="Total 4 6 3" xfId="48157"/>
    <cellStyle name="Total 4 6 3 2" xfId="48158"/>
    <cellStyle name="Total 4 6 3 2 2" xfId="48159"/>
    <cellStyle name="Total 4 6 3 3" xfId="48160"/>
    <cellStyle name="Total 4 6 4" xfId="48161"/>
    <cellStyle name="Total 4 7" xfId="48162"/>
    <cellStyle name="Total 4 7 2" xfId="48163"/>
    <cellStyle name="Total 4 7 2 2" xfId="48164"/>
    <cellStyle name="Total 4 7 2 2 2" xfId="48165"/>
    <cellStyle name="Total 4 7 2 3" xfId="48166"/>
    <cellStyle name="Total 4 7 3" xfId="48167"/>
    <cellStyle name="Total 4 7 3 2" xfId="48168"/>
    <cellStyle name="Total 4 7 3 2 2" xfId="48169"/>
    <cellStyle name="Total 4 7 3 3" xfId="48170"/>
    <cellStyle name="Total 4 7 4" xfId="48171"/>
    <cellStyle name="Total 4 8" xfId="48172"/>
    <cellStyle name="Total 4 8 2" xfId="48173"/>
    <cellStyle name="Total 4 8 2 2" xfId="48174"/>
    <cellStyle name="Total 4 8 2 2 2" xfId="48175"/>
    <cellStyle name="Total 4 8 2 3" xfId="48176"/>
    <cellStyle name="Total 4 8 3" xfId="48177"/>
    <cellStyle name="Total 4 8 3 2" xfId="48178"/>
    <cellStyle name="Total 4 8 3 2 2" xfId="48179"/>
    <cellStyle name="Total 4 8 3 3" xfId="48180"/>
    <cellStyle name="Total 4 8 4" xfId="48181"/>
    <cellStyle name="Total 4 9" xfId="48182"/>
    <cellStyle name="Total 4 9 2" xfId="48183"/>
    <cellStyle name="Total 4 9 2 2" xfId="48184"/>
    <cellStyle name="Total 4 9 3" xfId="48185"/>
    <cellStyle name="Total 5" xfId="48186"/>
    <cellStyle name="Total 5 10" xfId="48187"/>
    <cellStyle name="Total 5 10 2" xfId="48188"/>
    <cellStyle name="Total 5 10 2 2" xfId="48189"/>
    <cellStyle name="Total 5 10 2 2 2" xfId="48190"/>
    <cellStyle name="Total 5 10 2 3" xfId="48191"/>
    <cellStyle name="Total 5 10 3" xfId="48192"/>
    <cellStyle name="Total 5 10 3 2" xfId="48193"/>
    <cellStyle name="Total 5 10 3 2 2" xfId="48194"/>
    <cellStyle name="Total 5 10 3 3" xfId="48195"/>
    <cellStyle name="Total 5 10 4" xfId="48196"/>
    <cellStyle name="Total 5 10 5" xfId="48197"/>
    <cellStyle name="Total 5 11" xfId="48198"/>
    <cellStyle name="Total 5 11 2" xfId="48199"/>
    <cellStyle name="Total 5 11 2 2" xfId="48200"/>
    <cellStyle name="Total 5 11 2 2 2" xfId="48201"/>
    <cellStyle name="Total 5 11 2 3" xfId="48202"/>
    <cellStyle name="Total 5 11 3" xfId="48203"/>
    <cellStyle name="Total 5 11 3 2" xfId="48204"/>
    <cellStyle name="Total 5 11 3 2 2" xfId="48205"/>
    <cellStyle name="Total 5 11 3 3" xfId="48206"/>
    <cellStyle name="Total 5 11 4" xfId="48207"/>
    <cellStyle name="Total 5 11 5" xfId="48208"/>
    <cellStyle name="Total 5 12" xfId="48209"/>
    <cellStyle name="Total 5 12 2" xfId="48210"/>
    <cellStyle name="Total 5 12 2 2" xfId="48211"/>
    <cellStyle name="Total 5 12 2 2 2" xfId="48212"/>
    <cellStyle name="Total 5 12 2 3" xfId="48213"/>
    <cellStyle name="Total 5 12 3" xfId="48214"/>
    <cellStyle name="Total 5 12 3 2" xfId="48215"/>
    <cellStyle name="Total 5 12 3 2 2" xfId="48216"/>
    <cellStyle name="Total 5 12 3 3" xfId="48217"/>
    <cellStyle name="Total 5 12 4" xfId="48218"/>
    <cellStyle name="Total 5 12 5" xfId="48219"/>
    <cellStyle name="Total 5 13" xfId="48220"/>
    <cellStyle name="Total 5 13 2" xfId="48221"/>
    <cellStyle name="Total 5 13 2 2" xfId="48222"/>
    <cellStyle name="Total 5 13 2 2 2" xfId="48223"/>
    <cellStyle name="Total 5 13 2 3" xfId="48224"/>
    <cellStyle name="Total 5 13 3" xfId="48225"/>
    <cellStyle name="Total 5 13 3 2" xfId="48226"/>
    <cellStyle name="Total 5 13 3 2 2" xfId="48227"/>
    <cellStyle name="Total 5 13 3 3" xfId="48228"/>
    <cellStyle name="Total 5 13 4" xfId="48229"/>
    <cellStyle name="Total 5 13 5" xfId="48230"/>
    <cellStyle name="Total 5 14" xfId="48231"/>
    <cellStyle name="Total 5 14 2" xfId="48232"/>
    <cellStyle name="Total 5 14 2 2" xfId="48233"/>
    <cellStyle name="Total 5 14 2 2 2" xfId="48234"/>
    <cellStyle name="Total 5 14 2 3" xfId="48235"/>
    <cellStyle name="Total 5 14 3" xfId="48236"/>
    <cellStyle name="Total 5 14 3 2" xfId="48237"/>
    <cellStyle name="Total 5 14 3 2 2" xfId="48238"/>
    <cellStyle name="Total 5 14 3 3" xfId="48239"/>
    <cellStyle name="Total 5 14 4" xfId="48240"/>
    <cellStyle name="Total 5 14 5" xfId="48241"/>
    <cellStyle name="Total 5 15" xfId="48242"/>
    <cellStyle name="Total 5 15 2" xfId="48243"/>
    <cellStyle name="Total 5 15 2 2" xfId="48244"/>
    <cellStyle name="Total 5 15 2 2 2" xfId="48245"/>
    <cellStyle name="Total 5 15 2 3" xfId="48246"/>
    <cellStyle name="Total 5 15 3" xfId="48247"/>
    <cellStyle name="Total 5 15 3 2" xfId="48248"/>
    <cellStyle name="Total 5 15 3 2 2" xfId="48249"/>
    <cellStyle name="Total 5 15 3 3" xfId="48250"/>
    <cellStyle name="Total 5 15 4" xfId="48251"/>
    <cellStyle name="Total 5 15 5" xfId="48252"/>
    <cellStyle name="Total 5 16" xfId="48253"/>
    <cellStyle name="Total 5 16 2" xfId="48254"/>
    <cellStyle name="Total 5 16 2 2" xfId="48255"/>
    <cellStyle name="Total 5 16 2 2 2" xfId="48256"/>
    <cellStyle name="Total 5 16 2 3" xfId="48257"/>
    <cellStyle name="Total 5 16 3" xfId="48258"/>
    <cellStyle name="Total 5 16 3 2" xfId="48259"/>
    <cellStyle name="Total 5 16 3 2 2" xfId="48260"/>
    <cellStyle name="Total 5 16 3 3" xfId="48261"/>
    <cellStyle name="Total 5 16 4" xfId="48262"/>
    <cellStyle name="Total 5 16 5" xfId="48263"/>
    <cellStyle name="Total 5 17" xfId="48264"/>
    <cellStyle name="Total 5 17 2" xfId="48265"/>
    <cellStyle name="Total 5 17 2 2" xfId="48266"/>
    <cellStyle name="Total 5 17 2 2 2" xfId="48267"/>
    <cellStyle name="Total 5 17 2 3" xfId="48268"/>
    <cellStyle name="Total 5 17 3" xfId="48269"/>
    <cellStyle name="Total 5 17 3 2" xfId="48270"/>
    <cellStyle name="Total 5 17 3 2 2" xfId="48271"/>
    <cellStyle name="Total 5 17 3 3" xfId="48272"/>
    <cellStyle name="Total 5 17 4" xfId="48273"/>
    <cellStyle name="Total 5 17 5" xfId="48274"/>
    <cellStyle name="Total 5 18" xfId="48275"/>
    <cellStyle name="Total 5 18 2" xfId="48276"/>
    <cellStyle name="Total 5 18 2 2" xfId="48277"/>
    <cellStyle name="Total 5 18 2 2 2" xfId="48278"/>
    <cellStyle name="Total 5 18 2 3" xfId="48279"/>
    <cellStyle name="Total 5 18 3" xfId="48280"/>
    <cellStyle name="Total 5 18 3 2" xfId="48281"/>
    <cellStyle name="Total 5 18 3 2 2" xfId="48282"/>
    <cellStyle name="Total 5 18 3 3" xfId="48283"/>
    <cellStyle name="Total 5 18 4" xfId="48284"/>
    <cellStyle name="Total 5 18 5" xfId="48285"/>
    <cellStyle name="Total 5 19" xfId="48286"/>
    <cellStyle name="Total 5 19 2" xfId="48287"/>
    <cellStyle name="Total 5 19 2 2" xfId="48288"/>
    <cellStyle name="Total 5 19 2 2 2" xfId="48289"/>
    <cellStyle name="Total 5 19 2 3" xfId="48290"/>
    <cellStyle name="Total 5 19 3" xfId="48291"/>
    <cellStyle name="Total 5 19 3 2" xfId="48292"/>
    <cellStyle name="Total 5 19 3 2 2" xfId="48293"/>
    <cellStyle name="Total 5 19 3 3" xfId="48294"/>
    <cellStyle name="Total 5 19 4" xfId="48295"/>
    <cellStyle name="Total 5 19 5" xfId="48296"/>
    <cellStyle name="Total 5 2" xfId="48297"/>
    <cellStyle name="Total 5 2 2" xfId="48298"/>
    <cellStyle name="Total 5 2 2 2" xfId="48299"/>
    <cellStyle name="Total 5 2 2 2 2" xfId="48300"/>
    <cellStyle name="Total 5 2 2 3" xfId="48301"/>
    <cellStyle name="Total 5 2 3" xfId="48302"/>
    <cellStyle name="Total 5 2 3 2" xfId="48303"/>
    <cellStyle name="Total 5 2 3 2 2" xfId="48304"/>
    <cellStyle name="Total 5 2 3 3" xfId="48305"/>
    <cellStyle name="Total 5 2 4" xfId="48306"/>
    <cellStyle name="Total 5 2 4 2" xfId="48307"/>
    <cellStyle name="Total 5 2 4 2 2" xfId="48308"/>
    <cellStyle name="Total 5 2 4 3" xfId="48309"/>
    <cellStyle name="Total 5 2 5" xfId="48310"/>
    <cellStyle name="Total 5 2 5 2" xfId="48311"/>
    <cellStyle name="Total 5 2 5 2 2" xfId="48312"/>
    <cellStyle name="Total 5 2 5 3" xfId="48313"/>
    <cellStyle name="Total 5 2 6" xfId="48314"/>
    <cellStyle name="Total 5 2 7" xfId="48315"/>
    <cellStyle name="Total 5 20" xfId="48316"/>
    <cellStyle name="Total 5 20 2" xfId="48317"/>
    <cellStyle name="Total 5 20 2 2" xfId="48318"/>
    <cellStyle name="Total 5 20 2 2 2" xfId="48319"/>
    <cellStyle name="Total 5 20 2 3" xfId="48320"/>
    <cellStyle name="Total 5 20 3" xfId="48321"/>
    <cellStyle name="Total 5 20 3 2" xfId="48322"/>
    <cellStyle name="Total 5 20 3 2 2" xfId="48323"/>
    <cellStyle name="Total 5 20 3 3" xfId="48324"/>
    <cellStyle name="Total 5 20 4" xfId="48325"/>
    <cellStyle name="Total 5 20 5" xfId="48326"/>
    <cellStyle name="Total 5 21" xfId="48327"/>
    <cellStyle name="Total 5 21 2" xfId="48328"/>
    <cellStyle name="Total 5 21 2 2" xfId="48329"/>
    <cellStyle name="Total 5 21 2 2 2" xfId="48330"/>
    <cellStyle name="Total 5 21 2 3" xfId="48331"/>
    <cellStyle name="Total 5 21 3" xfId="48332"/>
    <cellStyle name="Total 5 21 3 2" xfId="48333"/>
    <cellStyle name="Total 5 21 3 2 2" xfId="48334"/>
    <cellStyle name="Total 5 21 3 3" xfId="48335"/>
    <cellStyle name="Total 5 21 4" xfId="48336"/>
    <cellStyle name="Total 5 21 5" xfId="48337"/>
    <cellStyle name="Total 5 22" xfId="48338"/>
    <cellStyle name="Total 5 22 2" xfId="48339"/>
    <cellStyle name="Total 5 22 2 2" xfId="48340"/>
    <cellStyle name="Total 5 22 2 2 2" xfId="48341"/>
    <cellStyle name="Total 5 22 2 3" xfId="48342"/>
    <cellStyle name="Total 5 22 3" xfId="48343"/>
    <cellStyle name="Total 5 22 3 2" xfId="48344"/>
    <cellStyle name="Total 5 22 3 2 2" xfId="48345"/>
    <cellStyle name="Total 5 22 3 3" xfId="48346"/>
    <cellStyle name="Total 5 22 4" xfId="48347"/>
    <cellStyle name="Total 5 22 5" xfId="48348"/>
    <cellStyle name="Total 5 23" xfId="48349"/>
    <cellStyle name="Total 5 23 2" xfId="48350"/>
    <cellStyle name="Total 5 23 2 2" xfId="48351"/>
    <cellStyle name="Total 5 23 2 2 2" xfId="48352"/>
    <cellStyle name="Total 5 23 2 3" xfId="48353"/>
    <cellStyle name="Total 5 23 3" xfId="48354"/>
    <cellStyle name="Total 5 23 3 2" xfId="48355"/>
    <cellStyle name="Total 5 23 3 2 2" xfId="48356"/>
    <cellStyle name="Total 5 23 3 3" xfId="48357"/>
    <cellStyle name="Total 5 23 4" xfId="48358"/>
    <cellStyle name="Total 5 23 5" xfId="48359"/>
    <cellStyle name="Total 5 24" xfId="48360"/>
    <cellStyle name="Total 5 24 2" xfId="48361"/>
    <cellStyle name="Total 5 24 2 2" xfId="48362"/>
    <cellStyle name="Total 5 24 2 2 2" xfId="48363"/>
    <cellStyle name="Total 5 24 2 3" xfId="48364"/>
    <cellStyle name="Total 5 24 3" xfId="48365"/>
    <cellStyle name="Total 5 24 3 2" xfId="48366"/>
    <cellStyle name="Total 5 24 3 2 2" xfId="48367"/>
    <cellStyle name="Total 5 24 3 3" xfId="48368"/>
    <cellStyle name="Total 5 24 4" xfId="48369"/>
    <cellStyle name="Total 5 24 5" xfId="48370"/>
    <cellStyle name="Total 5 25" xfId="48371"/>
    <cellStyle name="Total 5 25 2" xfId="48372"/>
    <cellStyle name="Total 5 25 2 2" xfId="48373"/>
    <cellStyle name="Total 5 25 2 2 2" xfId="48374"/>
    <cellStyle name="Total 5 25 2 3" xfId="48375"/>
    <cellStyle name="Total 5 25 3" xfId="48376"/>
    <cellStyle name="Total 5 25 3 2" xfId="48377"/>
    <cellStyle name="Total 5 25 3 2 2" xfId="48378"/>
    <cellStyle name="Total 5 25 3 3" xfId="48379"/>
    <cellStyle name="Total 5 25 4" xfId="48380"/>
    <cellStyle name="Total 5 25 5" xfId="48381"/>
    <cellStyle name="Total 5 26" xfId="48382"/>
    <cellStyle name="Total 5 26 2" xfId="48383"/>
    <cellStyle name="Total 5 26 2 2" xfId="48384"/>
    <cellStyle name="Total 5 26 2 2 2" xfId="48385"/>
    <cellStyle name="Total 5 26 2 3" xfId="48386"/>
    <cellStyle name="Total 5 26 3" xfId="48387"/>
    <cellStyle name="Total 5 26 3 2" xfId="48388"/>
    <cellStyle name="Total 5 26 3 2 2" xfId="48389"/>
    <cellStyle name="Total 5 26 3 3" xfId="48390"/>
    <cellStyle name="Total 5 26 4" xfId="48391"/>
    <cellStyle name="Total 5 26 5" xfId="48392"/>
    <cellStyle name="Total 5 27" xfId="48393"/>
    <cellStyle name="Total 5 27 2" xfId="48394"/>
    <cellStyle name="Total 5 27 2 2" xfId="48395"/>
    <cellStyle name="Total 5 27 2 2 2" xfId="48396"/>
    <cellStyle name="Total 5 27 2 3" xfId="48397"/>
    <cellStyle name="Total 5 27 3" xfId="48398"/>
    <cellStyle name="Total 5 27 3 2" xfId="48399"/>
    <cellStyle name="Total 5 27 3 2 2" xfId="48400"/>
    <cellStyle name="Total 5 27 3 3" xfId="48401"/>
    <cellStyle name="Total 5 27 4" xfId="48402"/>
    <cellStyle name="Total 5 27 5" xfId="48403"/>
    <cellStyle name="Total 5 28" xfId="48404"/>
    <cellStyle name="Total 5 28 2" xfId="48405"/>
    <cellStyle name="Total 5 28 2 2" xfId="48406"/>
    <cellStyle name="Total 5 28 2 2 2" xfId="48407"/>
    <cellStyle name="Total 5 28 2 3" xfId="48408"/>
    <cellStyle name="Total 5 28 3" xfId="48409"/>
    <cellStyle name="Total 5 28 3 2" xfId="48410"/>
    <cellStyle name="Total 5 28 3 2 2" xfId="48411"/>
    <cellStyle name="Total 5 28 3 3" xfId="48412"/>
    <cellStyle name="Total 5 28 4" xfId="48413"/>
    <cellStyle name="Total 5 28 5" xfId="48414"/>
    <cellStyle name="Total 5 29" xfId="48415"/>
    <cellStyle name="Total 5 29 2" xfId="48416"/>
    <cellStyle name="Total 5 29 2 2" xfId="48417"/>
    <cellStyle name="Total 5 29 2 2 2" xfId="48418"/>
    <cellStyle name="Total 5 29 2 3" xfId="48419"/>
    <cellStyle name="Total 5 29 3" xfId="48420"/>
    <cellStyle name="Total 5 29 3 2" xfId="48421"/>
    <cellStyle name="Total 5 29 3 2 2" xfId="48422"/>
    <cellStyle name="Total 5 29 3 3" xfId="48423"/>
    <cellStyle name="Total 5 29 4" xfId="48424"/>
    <cellStyle name="Total 5 29 5" xfId="48425"/>
    <cellStyle name="Total 5 3" xfId="48426"/>
    <cellStyle name="Total 5 3 2" xfId="48427"/>
    <cellStyle name="Total 5 3 2 2" xfId="48428"/>
    <cellStyle name="Total 5 3 2 2 2" xfId="48429"/>
    <cellStyle name="Total 5 3 2 3" xfId="48430"/>
    <cellStyle name="Total 5 3 3" xfId="48431"/>
    <cellStyle name="Total 5 3 3 2" xfId="48432"/>
    <cellStyle name="Total 5 3 3 2 2" xfId="48433"/>
    <cellStyle name="Total 5 3 3 3" xfId="48434"/>
    <cellStyle name="Total 5 3 4" xfId="48435"/>
    <cellStyle name="Total 5 3 4 2" xfId="48436"/>
    <cellStyle name="Total 5 3 4 2 2" xfId="48437"/>
    <cellStyle name="Total 5 3 4 3" xfId="48438"/>
    <cellStyle name="Total 5 3 5" xfId="48439"/>
    <cellStyle name="Total 5 3 5 2" xfId="48440"/>
    <cellStyle name="Total 5 3 5 2 2" xfId="48441"/>
    <cellStyle name="Total 5 3 5 3" xfId="48442"/>
    <cellStyle name="Total 5 3 6" xfId="48443"/>
    <cellStyle name="Total 5 3 7" xfId="48444"/>
    <cellStyle name="Total 5 30" xfId="48445"/>
    <cellStyle name="Total 5 30 2" xfId="48446"/>
    <cellStyle name="Total 5 30 2 2" xfId="48447"/>
    <cellStyle name="Total 5 30 2 2 2" xfId="48448"/>
    <cellStyle name="Total 5 30 2 3" xfId="48449"/>
    <cellStyle name="Total 5 30 3" xfId="48450"/>
    <cellStyle name="Total 5 30 3 2" xfId="48451"/>
    <cellStyle name="Total 5 30 3 2 2" xfId="48452"/>
    <cellStyle name="Total 5 30 3 3" xfId="48453"/>
    <cellStyle name="Total 5 30 4" xfId="48454"/>
    <cellStyle name="Total 5 30 5" xfId="48455"/>
    <cellStyle name="Total 5 31" xfId="48456"/>
    <cellStyle name="Total 5 31 2" xfId="48457"/>
    <cellStyle name="Total 5 31 2 2" xfId="48458"/>
    <cellStyle name="Total 5 31 2 2 2" xfId="48459"/>
    <cellStyle name="Total 5 31 2 3" xfId="48460"/>
    <cellStyle name="Total 5 31 3" xfId="48461"/>
    <cellStyle name="Total 5 31 3 2" xfId="48462"/>
    <cellStyle name="Total 5 31 3 2 2" xfId="48463"/>
    <cellStyle name="Total 5 31 3 3" xfId="48464"/>
    <cellStyle name="Total 5 31 4" xfId="48465"/>
    <cellStyle name="Total 5 31 5" xfId="48466"/>
    <cellStyle name="Total 5 32" xfId="48467"/>
    <cellStyle name="Total 5 32 2" xfId="48468"/>
    <cellStyle name="Total 5 32 2 2" xfId="48469"/>
    <cellStyle name="Total 5 32 2 2 2" xfId="48470"/>
    <cellStyle name="Total 5 32 2 3" xfId="48471"/>
    <cellStyle name="Total 5 32 3" xfId="48472"/>
    <cellStyle name="Total 5 32 3 2" xfId="48473"/>
    <cellStyle name="Total 5 32 3 2 2" xfId="48474"/>
    <cellStyle name="Total 5 32 3 3" xfId="48475"/>
    <cellStyle name="Total 5 32 4" xfId="48476"/>
    <cellStyle name="Total 5 32 5" xfId="48477"/>
    <cellStyle name="Total 5 33" xfId="48478"/>
    <cellStyle name="Total 5 33 2" xfId="48479"/>
    <cellStyle name="Total 5 33 2 2" xfId="48480"/>
    <cellStyle name="Total 5 33 2 2 2" xfId="48481"/>
    <cellStyle name="Total 5 33 2 3" xfId="48482"/>
    <cellStyle name="Total 5 33 3" xfId="48483"/>
    <cellStyle name="Total 5 33 3 2" xfId="48484"/>
    <cellStyle name="Total 5 33 3 2 2" xfId="48485"/>
    <cellStyle name="Total 5 33 3 3" xfId="48486"/>
    <cellStyle name="Total 5 33 4" xfId="48487"/>
    <cellStyle name="Total 5 33 5" xfId="48488"/>
    <cellStyle name="Total 5 34" xfId="48489"/>
    <cellStyle name="Total 5 34 2" xfId="48490"/>
    <cellStyle name="Total 5 34 2 2" xfId="48491"/>
    <cellStyle name="Total 5 34 2 2 2" xfId="48492"/>
    <cellStyle name="Total 5 34 2 3" xfId="48493"/>
    <cellStyle name="Total 5 34 3" xfId="48494"/>
    <cellStyle name="Total 5 34 3 2" xfId="48495"/>
    <cellStyle name="Total 5 34 3 2 2" xfId="48496"/>
    <cellStyle name="Total 5 34 3 3" xfId="48497"/>
    <cellStyle name="Total 5 34 4" xfId="48498"/>
    <cellStyle name="Total 5 34 5" xfId="48499"/>
    <cellStyle name="Total 5 35" xfId="48500"/>
    <cellStyle name="Total 5 35 2" xfId="48501"/>
    <cellStyle name="Total 5 35 2 2" xfId="48502"/>
    <cellStyle name="Total 5 35 2 2 2" xfId="48503"/>
    <cellStyle name="Total 5 35 2 3" xfId="48504"/>
    <cellStyle name="Total 5 35 3" xfId="48505"/>
    <cellStyle name="Total 5 35 3 2" xfId="48506"/>
    <cellStyle name="Total 5 35 3 2 2" xfId="48507"/>
    <cellStyle name="Total 5 35 3 3" xfId="48508"/>
    <cellStyle name="Total 5 35 4" xfId="48509"/>
    <cellStyle name="Total 5 35 5" xfId="48510"/>
    <cellStyle name="Total 5 36" xfId="48511"/>
    <cellStyle name="Total 5 36 2" xfId="48512"/>
    <cellStyle name="Total 5 36 2 2" xfId="48513"/>
    <cellStyle name="Total 5 36 2 2 2" xfId="48514"/>
    <cellStyle name="Total 5 36 2 3" xfId="48515"/>
    <cellStyle name="Total 5 36 3" xfId="48516"/>
    <cellStyle name="Total 5 36 3 2" xfId="48517"/>
    <cellStyle name="Total 5 36 3 2 2" xfId="48518"/>
    <cellStyle name="Total 5 36 3 3" xfId="48519"/>
    <cellStyle name="Total 5 36 4" xfId="48520"/>
    <cellStyle name="Total 5 36 5" xfId="48521"/>
    <cellStyle name="Total 5 37" xfId="48522"/>
    <cellStyle name="Total 5 37 2" xfId="48523"/>
    <cellStyle name="Total 5 37 2 2" xfId="48524"/>
    <cellStyle name="Total 5 37 2 2 2" xfId="48525"/>
    <cellStyle name="Total 5 37 2 3" xfId="48526"/>
    <cellStyle name="Total 5 37 3" xfId="48527"/>
    <cellStyle name="Total 5 37 3 2" xfId="48528"/>
    <cellStyle name="Total 5 37 3 2 2" xfId="48529"/>
    <cellStyle name="Total 5 37 3 3" xfId="48530"/>
    <cellStyle name="Total 5 37 4" xfId="48531"/>
    <cellStyle name="Total 5 37 5" xfId="48532"/>
    <cellStyle name="Total 5 38" xfId="48533"/>
    <cellStyle name="Total 5 38 2" xfId="48534"/>
    <cellStyle name="Total 5 38 2 2" xfId="48535"/>
    <cellStyle name="Total 5 38 2 2 2" xfId="48536"/>
    <cellStyle name="Total 5 38 2 3" xfId="48537"/>
    <cellStyle name="Total 5 38 3" xfId="48538"/>
    <cellStyle name="Total 5 38 3 2" xfId="48539"/>
    <cellStyle name="Total 5 38 3 2 2" xfId="48540"/>
    <cellStyle name="Total 5 38 3 3" xfId="48541"/>
    <cellStyle name="Total 5 38 4" xfId="48542"/>
    <cellStyle name="Total 5 38 5" xfId="48543"/>
    <cellStyle name="Total 5 39" xfId="48544"/>
    <cellStyle name="Total 5 39 2" xfId="48545"/>
    <cellStyle name="Total 5 39 2 2" xfId="48546"/>
    <cellStyle name="Total 5 39 2 2 2" xfId="48547"/>
    <cellStyle name="Total 5 39 2 3" xfId="48548"/>
    <cellStyle name="Total 5 39 3" xfId="48549"/>
    <cellStyle name="Total 5 39 3 2" xfId="48550"/>
    <cellStyle name="Total 5 39 3 2 2" xfId="48551"/>
    <cellStyle name="Total 5 39 3 3" xfId="48552"/>
    <cellStyle name="Total 5 39 4" xfId="48553"/>
    <cellStyle name="Total 5 39 5" xfId="48554"/>
    <cellStyle name="Total 5 4" xfId="48555"/>
    <cellStyle name="Total 5 4 2" xfId="48556"/>
    <cellStyle name="Total 5 4 2 2" xfId="48557"/>
    <cellStyle name="Total 5 4 2 2 2" xfId="48558"/>
    <cellStyle name="Total 5 4 2 3" xfId="48559"/>
    <cellStyle name="Total 5 4 3" xfId="48560"/>
    <cellStyle name="Total 5 4 3 2" xfId="48561"/>
    <cellStyle name="Total 5 4 3 2 2" xfId="48562"/>
    <cellStyle name="Total 5 4 3 3" xfId="48563"/>
    <cellStyle name="Total 5 4 4" xfId="48564"/>
    <cellStyle name="Total 5 4 4 2" xfId="48565"/>
    <cellStyle name="Total 5 4 4 2 2" xfId="48566"/>
    <cellStyle name="Total 5 4 4 3" xfId="48567"/>
    <cellStyle name="Total 5 4 5" xfId="48568"/>
    <cellStyle name="Total 5 4 5 2" xfId="48569"/>
    <cellStyle name="Total 5 4 5 2 2" xfId="48570"/>
    <cellStyle name="Total 5 4 5 3" xfId="48571"/>
    <cellStyle name="Total 5 4 6" xfId="48572"/>
    <cellStyle name="Total 5 4 7" xfId="48573"/>
    <cellStyle name="Total 5 40" xfId="48574"/>
    <cellStyle name="Total 5 40 2" xfId="48575"/>
    <cellStyle name="Total 5 40 2 2" xfId="48576"/>
    <cellStyle name="Total 5 40 2 2 2" xfId="48577"/>
    <cellStyle name="Total 5 40 2 3" xfId="48578"/>
    <cellStyle name="Total 5 40 3" xfId="48579"/>
    <cellStyle name="Total 5 40 3 2" xfId="48580"/>
    <cellStyle name="Total 5 40 3 2 2" xfId="48581"/>
    <cellStyle name="Total 5 40 3 3" xfId="48582"/>
    <cellStyle name="Total 5 40 4" xfId="48583"/>
    <cellStyle name="Total 5 40 5" xfId="48584"/>
    <cellStyle name="Total 5 41" xfId="48585"/>
    <cellStyle name="Total 5 41 2" xfId="48586"/>
    <cellStyle name="Total 5 41 2 2" xfId="48587"/>
    <cellStyle name="Total 5 41 2 2 2" xfId="48588"/>
    <cellStyle name="Total 5 41 2 3" xfId="48589"/>
    <cellStyle name="Total 5 41 3" xfId="48590"/>
    <cellStyle name="Total 5 41 3 2" xfId="48591"/>
    <cellStyle name="Total 5 41 3 2 2" xfId="48592"/>
    <cellStyle name="Total 5 41 3 3" xfId="48593"/>
    <cellStyle name="Total 5 41 4" xfId="48594"/>
    <cellStyle name="Total 5 41 5" xfId="48595"/>
    <cellStyle name="Total 5 42" xfId="48596"/>
    <cellStyle name="Total 5 42 2" xfId="48597"/>
    <cellStyle name="Total 5 42 2 2" xfId="48598"/>
    <cellStyle name="Total 5 42 2 2 2" xfId="48599"/>
    <cellStyle name="Total 5 42 2 3" xfId="48600"/>
    <cellStyle name="Total 5 42 3" xfId="48601"/>
    <cellStyle name="Total 5 42 3 2" xfId="48602"/>
    <cellStyle name="Total 5 42 3 2 2" xfId="48603"/>
    <cellStyle name="Total 5 42 3 3" xfId="48604"/>
    <cellStyle name="Total 5 42 4" xfId="48605"/>
    <cellStyle name="Total 5 42 5" xfId="48606"/>
    <cellStyle name="Total 5 43" xfId="48607"/>
    <cellStyle name="Total 5 43 2" xfId="48608"/>
    <cellStyle name="Total 5 43 2 2" xfId="48609"/>
    <cellStyle name="Total 5 43 2 2 2" xfId="48610"/>
    <cellStyle name="Total 5 43 2 3" xfId="48611"/>
    <cellStyle name="Total 5 43 3" xfId="48612"/>
    <cellStyle name="Total 5 43 3 2" xfId="48613"/>
    <cellStyle name="Total 5 43 3 2 2" xfId="48614"/>
    <cellStyle name="Total 5 43 3 3" xfId="48615"/>
    <cellStyle name="Total 5 43 4" xfId="48616"/>
    <cellStyle name="Total 5 43 5" xfId="48617"/>
    <cellStyle name="Total 5 44" xfId="48618"/>
    <cellStyle name="Total 5 44 2" xfId="48619"/>
    <cellStyle name="Total 5 44 2 2" xfId="48620"/>
    <cellStyle name="Total 5 44 2 2 2" xfId="48621"/>
    <cellStyle name="Total 5 44 2 3" xfId="48622"/>
    <cellStyle name="Total 5 44 3" xfId="48623"/>
    <cellStyle name="Total 5 44 3 2" xfId="48624"/>
    <cellStyle name="Total 5 44 3 2 2" xfId="48625"/>
    <cellStyle name="Total 5 44 3 3" xfId="48626"/>
    <cellStyle name="Total 5 44 4" xfId="48627"/>
    <cellStyle name="Total 5 44 5" xfId="48628"/>
    <cellStyle name="Total 5 45" xfId="48629"/>
    <cellStyle name="Total 5 45 2" xfId="48630"/>
    <cellStyle name="Total 5 45 2 2" xfId="48631"/>
    <cellStyle name="Total 5 45 2 2 2" xfId="48632"/>
    <cellStyle name="Total 5 45 2 3" xfId="48633"/>
    <cellStyle name="Total 5 45 3" xfId="48634"/>
    <cellStyle name="Total 5 45 3 2" xfId="48635"/>
    <cellStyle name="Total 5 45 3 2 2" xfId="48636"/>
    <cellStyle name="Total 5 45 3 3" xfId="48637"/>
    <cellStyle name="Total 5 45 4" xfId="48638"/>
    <cellStyle name="Total 5 45 5" xfId="48639"/>
    <cellStyle name="Total 5 46" xfId="48640"/>
    <cellStyle name="Total 5 46 2" xfId="48641"/>
    <cellStyle name="Total 5 46 2 2" xfId="48642"/>
    <cellStyle name="Total 5 46 2 2 2" xfId="48643"/>
    <cellStyle name="Total 5 46 2 3" xfId="48644"/>
    <cellStyle name="Total 5 46 3" xfId="48645"/>
    <cellStyle name="Total 5 46 3 2" xfId="48646"/>
    <cellStyle name="Total 5 46 3 2 2" xfId="48647"/>
    <cellStyle name="Total 5 46 3 3" xfId="48648"/>
    <cellStyle name="Total 5 46 4" xfId="48649"/>
    <cellStyle name="Total 5 46 5" xfId="48650"/>
    <cellStyle name="Total 5 47" xfId="48651"/>
    <cellStyle name="Total 5 47 2" xfId="48652"/>
    <cellStyle name="Total 5 47 2 2" xfId="48653"/>
    <cellStyle name="Total 5 47 2 2 2" xfId="48654"/>
    <cellStyle name="Total 5 47 2 3" xfId="48655"/>
    <cellStyle name="Total 5 47 3" xfId="48656"/>
    <cellStyle name="Total 5 47 3 2" xfId="48657"/>
    <cellStyle name="Total 5 47 3 2 2" xfId="48658"/>
    <cellStyle name="Total 5 47 3 3" xfId="48659"/>
    <cellStyle name="Total 5 47 4" xfId="48660"/>
    <cellStyle name="Total 5 47 5" xfId="48661"/>
    <cellStyle name="Total 5 48" xfId="48662"/>
    <cellStyle name="Total 5 48 2" xfId="48663"/>
    <cellStyle name="Total 5 48 2 2" xfId="48664"/>
    <cellStyle name="Total 5 48 2 2 2" xfId="48665"/>
    <cellStyle name="Total 5 48 2 3" xfId="48666"/>
    <cellStyle name="Total 5 48 3" xfId="48667"/>
    <cellStyle name="Total 5 48 3 2" xfId="48668"/>
    <cellStyle name="Total 5 48 3 2 2" xfId="48669"/>
    <cellStyle name="Total 5 48 3 3" xfId="48670"/>
    <cellStyle name="Total 5 48 4" xfId="48671"/>
    <cellStyle name="Total 5 48 5" xfId="48672"/>
    <cellStyle name="Total 5 49" xfId="48673"/>
    <cellStyle name="Total 5 49 2" xfId="48674"/>
    <cellStyle name="Total 5 49 2 2" xfId="48675"/>
    <cellStyle name="Total 5 49 3" xfId="48676"/>
    <cellStyle name="Total 5 5" xfId="48677"/>
    <cellStyle name="Total 5 5 2" xfId="48678"/>
    <cellStyle name="Total 5 5 2 2" xfId="48679"/>
    <cellStyle name="Total 5 5 2 2 2" xfId="48680"/>
    <cellStyle name="Total 5 5 2 3" xfId="48681"/>
    <cellStyle name="Total 5 5 3" xfId="48682"/>
    <cellStyle name="Total 5 5 3 2" xfId="48683"/>
    <cellStyle name="Total 5 5 3 2 2" xfId="48684"/>
    <cellStyle name="Total 5 5 3 3" xfId="48685"/>
    <cellStyle name="Total 5 5 4" xfId="48686"/>
    <cellStyle name="Total 5 5 4 2" xfId="48687"/>
    <cellStyle name="Total 5 5 4 2 2" xfId="48688"/>
    <cellStyle name="Total 5 5 4 3" xfId="48689"/>
    <cellStyle name="Total 5 5 5" xfId="48690"/>
    <cellStyle name="Total 5 5 5 2" xfId="48691"/>
    <cellStyle name="Total 5 5 5 2 2" xfId="48692"/>
    <cellStyle name="Total 5 5 5 3" xfId="48693"/>
    <cellStyle name="Total 5 5 6" xfId="48694"/>
    <cellStyle name="Total 5 5 7" xfId="48695"/>
    <cellStyle name="Total 5 50" xfId="48696"/>
    <cellStyle name="Total 5 50 2" xfId="48697"/>
    <cellStyle name="Total 5 50 2 2" xfId="48698"/>
    <cellStyle name="Total 5 50 3" xfId="48699"/>
    <cellStyle name="Total 5 51" xfId="48700"/>
    <cellStyle name="Total 5 51 2" xfId="48701"/>
    <cellStyle name="Total 5 51 2 2" xfId="48702"/>
    <cellStyle name="Total 5 51 3" xfId="48703"/>
    <cellStyle name="Total 5 52" xfId="48704"/>
    <cellStyle name="Total 5 52 2" xfId="48705"/>
    <cellStyle name="Total 5 52 2 2" xfId="48706"/>
    <cellStyle name="Total 5 52 3" xfId="48707"/>
    <cellStyle name="Total 5 53" xfId="48708"/>
    <cellStyle name="Total 5 54" xfId="48709"/>
    <cellStyle name="Total 5 6" xfId="48710"/>
    <cellStyle name="Total 5 6 2" xfId="48711"/>
    <cellStyle name="Total 5 6 2 2" xfId="48712"/>
    <cellStyle name="Total 5 6 2 2 2" xfId="48713"/>
    <cellStyle name="Total 5 6 2 3" xfId="48714"/>
    <cellStyle name="Total 5 6 3" xfId="48715"/>
    <cellStyle name="Total 5 6 3 2" xfId="48716"/>
    <cellStyle name="Total 5 6 3 2 2" xfId="48717"/>
    <cellStyle name="Total 5 6 3 3" xfId="48718"/>
    <cellStyle name="Total 5 6 4" xfId="48719"/>
    <cellStyle name="Total 5 6 4 2" xfId="48720"/>
    <cellStyle name="Total 5 6 4 2 2" xfId="48721"/>
    <cellStyle name="Total 5 6 4 3" xfId="48722"/>
    <cellStyle name="Total 5 6 5" xfId="48723"/>
    <cellStyle name="Total 5 6 5 2" xfId="48724"/>
    <cellStyle name="Total 5 6 5 2 2" xfId="48725"/>
    <cellStyle name="Total 5 6 5 3" xfId="48726"/>
    <cellStyle name="Total 5 6 6" xfId="48727"/>
    <cellStyle name="Total 5 6 7" xfId="48728"/>
    <cellStyle name="Total 5 7" xfId="48729"/>
    <cellStyle name="Total 5 7 2" xfId="48730"/>
    <cellStyle name="Total 5 7 2 2" xfId="48731"/>
    <cellStyle name="Total 5 7 2 2 2" xfId="48732"/>
    <cellStyle name="Total 5 7 2 3" xfId="48733"/>
    <cellStyle name="Total 5 7 3" xfId="48734"/>
    <cellStyle name="Total 5 7 3 2" xfId="48735"/>
    <cellStyle name="Total 5 7 3 2 2" xfId="48736"/>
    <cellStyle name="Total 5 7 3 3" xfId="48737"/>
    <cellStyle name="Total 5 7 4" xfId="48738"/>
    <cellStyle name="Total 5 7 4 2" xfId="48739"/>
    <cellStyle name="Total 5 7 4 2 2" xfId="48740"/>
    <cellStyle name="Total 5 7 4 3" xfId="48741"/>
    <cellStyle name="Total 5 7 5" xfId="48742"/>
    <cellStyle name="Total 5 7 5 2" xfId="48743"/>
    <cellStyle name="Total 5 7 5 2 2" xfId="48744"/>
    <cellStyle name="Total 5 7 5 3" xfId="48745"/>
    <cellStyle name="Total 5 7 6" xfId="48746"/>
    <cellStyle name="Total 5 7 7" xfId="48747"/>
    <cellStyle name="Total 5 8" xfId="48748"/>
    <cellStyle name="Total 5 8 2" xfId="48749"/>
    <cellStyle name="Total 5 8 2 2" xfId="48750"/>
    <cellStyle name="Total 5 8 2 2 2" xfId="48751"/>
    <cellStyle name="Total 5 8 2 3" xfId="48752"/>
    <cellStyle name="Total 5 8 3" xfId="48753"/>
    <cellStyle name="Total 5 8 3 2" xfId="48754"/>
    <cellStyle name="Total 5 8 3 2 2" xfId="48755"/>
    <cellStyle name="Total 5 8 3 3" xfId="48756"/>
    <cellStyle name="Total 5 8 4" xfId="48757"/>
    <cellStyle name="Total 5 8 4 2" xfId="48758"/>
    <cellStyle name="Total 5 8 4 2 2" xfId="48759"/>
    <cellStyle name="Total 5 8 4 3" xfId="48760"/>
    <cellStyle name="Total 5 8 5" xfId="48761"/>
    <cellStyle name="Total 5 8 5 2" xfId="48762"/>
    <cellStyle name="Total 5 8 5 2 2" xfId="48763"/>
    <cellStyle name="Total 5 8 5 3" xfId="48764"/>
    <cellStyle name="Total 5 8 6" xfId="48765"/>
    <cellStyle name="Total 5 8 7" xfId="48766"/>
    <cellStyle name="Total 5 9" xfId="48767"/>
    <cellStyle name="Total 5 9 2" xfId="48768"/>
    <cellStyle name="Total 5 9 2 2" xfId="48769"/>
    <cellStyle name="Total 5 9 2 2 2" xfId="48770"/>
    <cellStyle name="Total 5 9 2 3" xfId="48771"/>
    <cellStyle name="Total 5 9 3" xfId="48772"/>
    <cellStyle name="Total 5 9 3 2" xfId="48773"/>
    <cellStyle name="Total 5 9 3 2 2" xfId="48774"/>
    <cellStyle name="Total 5 9 3 3" xfId="48775"/>
    <cellStyle name="Total 5 9 4" xfId="48776"/>
    <cellStyle name="Total 5 9 5" xfId="48777"/>
    <cellStyle name="Total 6" xfId="48778"/>
    <cellStyle name="Total 6 2" xfId="48779"/>
    <cellStyle name="Total 6 2 2" xfId="48780"/>
    <cellStyle name="Total 6 2 2 2" xfId="48781"/>
    <cellStyle name="Total 6 2 2 2 2" xfId="48782"/>
    <cellStyle name="Total 6 2 2 3" xfId="48783"/>
    <cellStyle name="Total 6 2 3" xfId="48784"/>
    <cellStyle name="Total 6 2 3 2" xfId="48785"/>
    <cellStyle name="Total 6 2 4" xfId="48786"/>
    <cellStyle name="Total 6 3" xfId="48787"/>
    <cellStyle name="Total 6 3 2" xfId="48788"/>
    <cellStyle name="Total 6 3 2 2" xfId="48789"/>
    <cellStyle name="Total 6 3 3" xfId="48790"/>
    <cellStyle name="Total 6 4" xfId="48791"/>
    <cellStyle name="Total 6 4 2" xfId="48792"/>
    <cellStyle name="Total 6 4 2 2" xfId="48793"/>
    <cellStyle name="Total 6 4 3" xfId="48794"/>
    <cellStyle name="Total 6 5" xfId="48795"/>
    <cellStyle name="Total 6 5 2" xfId="48796"/>
    <cellStyle name="Total 6 5 2 2" xfId="48797"/>
    <cellStyle name="Total 6 5 3" xfId="48798"/>
    <cellStyle name="Total 6 6" xfId="48799"/>
    <cellStyle name="Total 6 6 2" xfId="48800"/>
    <cellStyle name="Total 6 6 2 2" xfId="48801"/>
    <cellStyle name="Total 6 6 3" xfId="48802"/>
    <cellStyle name="Total 6 7" xfId="48803"/>
    <cellStyle name="Total 6 7 2" xfId="48804"/>
    <cellStyle name="Total 6 7 2 2" xfId="48805"/>
    <cellStyle name="Total 6 7 3" xfId="48806"/>
    <cellStyle name="Total 6 8" xfId="48807"/>
    <cellStyle name="Total 6 9" xfId="48808"/>
    <cellStyle name="Total 7" xfId="48809"/>
    <cellStyle name="Total 7 2" xfId="48810"/>
    <cellStyle name="Total 7 2 2" xfId="48811"/>
    <cellStyle name="Total 7 2 2 2" xfId="48812"/>
    <cellStyle name="Total 7 2 2 2 2" xfId="48813"/>
    <cellStyle name="Total 7 2 2 3" xfId="48814"/>
    <cellStyle name="Total 7 2 3" xfId="48815"/>
    <cellStyle name="Total 7 2 3 2" xfId="48816"/>
    <cellStyle name="Total 7 2 4" xfId="48817"/>
    <cellStyle name="Total 7 3" xfId="48818"/>
    <cellStyle name="Total 7 3 2" xfId="48819"/>
    <cellStyle name="Total 7 3 2 2" xfId="48820"/>
    <cellStyle name="Total 7 3 3" xfId="48821"/>
    <cellStyle name="Total 7 4" xfId="48822"/>
    <cellStyle name="Total 7 4 2" xfId="48823"/>
    <cellStyle name="Total 7 4 2 2" xfId="48824"/>
    <cellStyle name="Total 7 4 3" xfId="48825"/>
    <cellStyle name="Total 7 5" xfId="48826"/>
    <cellStyle name="Total 7 5 2" xfId="48827"/>
    <cellStyle name="Total 7 5 2 2" xfId="48828"/>
    <cellStyle name="Total 7 5 3" xfId="48829"/>
    <cellStyle name="Total 7 6" xfId="48830"/>
    <cellStyle name="Total 7 6 2" xfId="48831"/>
    <cellStyle name="Total 7 6 2 2" xfId="48832"/>
    <cellStyle name="Total 7 6 3" xfId="48833"/>
    <cellStyle name="Total 7 7" xfId="48834"/>
    <cellStyle name="Total 7 7 2" xfId="48835"/>
    <cellStyle name="Total 7 7 2 2" xfId="48836"/>
    <cellStyle name="Total 7 7 3" xfId="48837"/>
    <cellStyle name="Total 7 8" xfId="48838"/>
    <cellStyle name="Total 7 9" xfId="48839"/>
    <cellStyle name="Total 8" xfId="48840"/>
    <cellStyle name="Total 8 2" xfId="48841"/>
    <cellStyle name="Total 8 2 2" xfId="48842"/>
    <cellStyle name="Total 8 2 2 2" xfId="48843"/>
    <cellStyle name="Total 8 2 2 2 2" xfId="48844"/>
    <cellStyle name="Total 8 2 2 3" xfId="48845"/>
    <cellStyle name="Total 8 2 3" xfId="48846"/>
    <cellStyle name="Total 8 2 3 2" xfId="48847"/>
    <cellStyle name="Total 8 2 4" xfId="48848"/>
    <cellStyle name="Total 8 3" xfId="48849"/>
    <cellStyle name="Total 8 3 2" xfId="48850"/>
    <cellStyle name="Total 8 3 2 2" xfId="48851"/>
    <cellStyle name="Total 8 3 3" xfId="48852"/>
    <cellStyle name="Total 8 4" xfId="48853"/>
    <cellStyle name="Total 8 4 2" xfId="48854"/>
    <cellStyle name="Total 8 4 2 2" xfId="48855"/>
    <cellStyle name="Total 8 4 3" xfId="48856"/>
    <cellStyle name="Total 8 5" xfId="48857"/>
    <cellStyle name="Total 8 5 2" xfId="48858"/>
    <cellStyle name="Total 8 5 2 2" xfId="48859"/>
    <cellStyle name="Total 8 5 3" xfId="48860"/>
    <cellStyle name="Total 8 6" xfId="48861"/>
    <cellStyle name="Total 8 6 2" xfId="48862"/>
    <cellStyle name="Total 8 6 2 2" xfId="48863"/>
    <cellStyle name="Total 8 6 3" xfId="48864"/>
    <cellStyle name="Total 8 7" xfId="48865"/>
    <cellStyle name="Total 8 7 2" xfId="48866"/>
    <cellStyle name="Total 8 7 2 2" xfId="48867"/>
    <cellStyle name="Total 8 7 3" xfId="48868"/>
    <cellStyle name="Total 8 8" xfId="48869"/>
    <cellStyle name="Total 8 9" xfId="48870"/>
    <cellStyle name="Warning Text 2" xfId="48871"/>
    <cellStyle name="Warning Text 2 2" xfId="48872"/>
    <cellStyle name="Warning Text 2 3" xfId="48873"/>
    <cellStyle name="Warning Text 3" xfId="48874"/>
    <cellStyle name="Warning Text 3 2" xfId="48875"/>
    <cellStyle name="Warning Text 3 3" xfId="48876"/>
    <cellStyle name="Warning Text 4" xfId="48877"/>
    <cellStyle name="Warning Text 4 2" xfId="48878"/>
    <cellStyle name="Warning Text 4 3" xfId="48879"/>
    <cellStyle name="Warning Text 5" xfId="48880"/>
    <cellStyle name="Warning Text 5 2" xfId="48881"/>
    <cellStyle name="Warning Text 5 3" xfId="48882"/>
    <cellStyle name="Warning Text 6" xfId="48883"/>
    <cellStyle name="Warning Text 6 2" xfId="48884"/>
    <cellStyle name="Warning Text 6 3" xfId="48885"/>
    <cellStyle name="Warning Text 7" xfId="48886"/>
    <cellStyle name="Warning Text 7 2" xfId="48887"/>
    <cellStyle name="Warning Text 7 3" xfId="48888"/>
    <cellStyle name="Warning Text 8" xfId="48889"/>
    <cellStyle name="Warning Text 8 2" xfId="48890"/>
    <cellStyle name="Warning Text 8 3" xfId="48891"/>
  </cellStyles>
  <dxfs count="0"/>
  <tableStyles count="0" defaultTableStyle="TableStyleMedium9" defaultPivotStyle="PivotStyleLight16"/>
  <colors>
    <mruColors>
      <color rgb="FF1F49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publicsafetytest.spokanecity.org/Users/mgalvin/Desktop/Spokane_Law%20RMS_Requirements_2012_02_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ATRICK\Clients\Users\emoore\Desktop\Master%20Functional%20Requirements\Stafford%20County,%20VA\RFP\Functional%20Requirements\Old\Stafford%20CAD-Mobile%20Functional%20Requiremen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TRICK\Clients\Users\emoore\Desktop\Master%20Functional%20Requirements\Funcational%20Requirements\Stafford%20Global%20Functional%20Require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chedule for Review"/>
      <sheetName val="Review Schedule"/>
      <sheetName val="Personnel Activity"/>
      <sheetName val="Personnel"/>
      <sheetName val="Training"/>
      <sheetName val="NIBRS"/>
      <sheetName val="Citations"/>
      <sheetName val="Towed Vehicles"/>
      <sheetName val="Case Mgmt"/>
      <sheetName val="Juveniles"/>
      <sheetName val="Intelligence"/>
      <sheetName val="Property and Evidence"/>
      <sheetName val="Asset Mgmt"/>
      <sheetName val="Offender Reg"/>
      <sheetName val="Civil"/>
      <sheetName val="Interfa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eview Schedule (2)"/>
      <sheetName val="Review Schedule"/>
      <sheetName val="CAD"/>
      <sheetName val="Mobile"/>
      <sheetName val="Sheet1"/>
    </sheetNames>
    <sheetDataSet>
      <sheetData sheetId="0" refreshError="1"/>
      <sheetData sheetId="1" refreshError="1"/>
      <sheetData sheetId="2" refreshError="1"/>
      <sheetData sheetId="3" refreshError="1">
        <row r="22">
          <cell r="B22" t="str">
            <v>General CAD Requirements</v>
          </cell>
        </row>
        <row r="184">
          <cell r="B184" t="str">
            <v>Call Taking</v>
          </cell>
        </row>
        <row r="430">
          <cell r="B430" t="str">
            <v>CAD Mapping Requirements</v>
          </cell>
        </row>
        <row r="542">
          <cell r="B542" t="str">
            <v>Automatic Vehicle Location (AVL)</v>
          </cell>
        </row>
        <row r="560">
          <cell r="B560" t="str">
            <v>Dispatching</v>
          </cell>
        </row>
        <row r="718">
          <cell r="B718" t="str">
            <v>Unit Management</v>
          </cell>
        </row>
        <row r="867">
          <cell r="B867" t="str">
            <v>Call Management</v>
          </cell>
        </row>
        <row r="969">
          <cell r="B969" t="str">
            <v>Call Disposition</v>
          </cell>
        </row>
        <row r="1009">
          <cell r="B1009" t="str">
            <v>Communications Supervisor Support</v>
          </cell>
        </row>
        <row r="1032">
          <cell r="B1032" t="str">
            <v>Operational Queries</v>
          </cell>
        </row>
        <row r="1107">
          <cell r="B1107" t="str">
            <v>BOLs</v>
          </cell>
        </row>
        <row r="1148">
          <cell r="B1148" t="str">
            <v>Management Reporting</v>
          </cell>
        </row>
        <row r="1373">
          <cell r="B1373" t="str">
            <v>CAD System Administration</v>
          </cell>
        </row>
      </sheetData>
      <sheetData sheetId="4" refreshError="1">
        <row r="21">
          <cell r="B21" t="str">
            <v>General  Mobile Data Computing Features</v>
          </cell>
        </row>
        <row r="56">
          <cell r="B56" t="str">
            <v>Mobile Application User Interface</v>
          </cell>
        </row>
        <row r="114">
          <cell r="B114" t="str">
            <v>Function Keys/Commands</v>
          </cell>
        </row>
        <row r="152">
          <cell r="B152" t="str">
            <v xml:space="preserve">Security  </v>
          </cell>
        </row>
        <row r="208">
          <cell r="B208" t="str">
            <v>Application Integration</v>
          </cell>
        </row>
        <row r="235">
          <cell r="B235" t="str">
            <v>Mobile Mapping</v>
          </cell>
        </row>
        <row r="322">
          <cell r="B322" t="str">
            <v>AVL Integration</v>
          </cell>
        </row>
        <row r="334">
          <cell r="B334" t="str">
            <v>Emergency Key Functionality</v>
          </cell>
        </row>
        <row r="351">
          <cell r="B351" t="str">
            <v>Mobile Dispatch Operations</v>
          </cell>
        </row>
        <row r="445">
          <cell r="B445" t="str">
            <v xml:space="preserve">Queries  </v>
          </cell>
        </row>
        <row r="560">
          <cell r="B560" t="str">
            <v xml:space="preserve">Incident Command </v>
          </cell>
        </row>
      </sheetData>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18">
          <cell r="B18" t="str">
            <v>Global System Features</v>
          </cell>
        </row>
        <row r="31">
          <cell r="B31" t="str">
            <v xml:space="preserve"> Code Table Administration</v>
          </cell>
        </row>
        <row r="46">
          <cell r="B46" t="str">
            <v>Security Administration</v>
          </cell>
        </row>
        <row r="102">
          <cell r="B102" t="str">
            <v>Geofile Administration</v>
          </cell>
        </row>
        <row r="177">
          <cell r="B177" t="str">
            <v xml:space="preserve">Online Documentation </v>
          </cell>
        </row>
        <row r="207">
          <cell r="B207" t="str">
            <v>Logons and Logoffs</v>
          </cell>
        </row>
        <row r="240">
          <cell r="B240" t="str">
            <v>User IDs and Passwords</v>
          </cell>
        </row>
        <row r="258">
          <cell r="B258" t="str">
            <v>Audit Trails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6.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6" Type="http://schemas.openxmlformats.org/officeDocument/2006/relationships/printerSettings" Target="../printerSettings/printerSettings32.bin"/><Relationship Id="rId5" Type="http://schemas.openxmlformats.org/officeDocument/2006/relationships/printerSettings" Target="../printerSettings/printerSettings31.bin"/><Relationship Id="rId4"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view="pageLayout" zoomScaleNormal="100" workbookViewId="0">
      <selection activeCell="A4" sqref="A4:F4"/>
    </sheetView>
  </sheetViews>
  <sheetFormatPr defaultRowHeight="15" x14ac:dyDescent="0.25"/>
  <cols>
    <col min="1" max="1" width="7.42578125" style="232" customWidth="1"/>
    <col min="2" max="2" width="75.140625" style="223" customWidth="1"/>
    <col min="3" max="5" width="9.140625" style="223"/>
    <col min="6" max="6" width="1" style="223" customWidth="1"/>
    <col min="7" max="16384" width="9.140625" style="223"/>
  </cols>
  <sheetData>
    <row r="1" spans="1:6" s="222" customFormat="1" ht="23.25" x14ac:dyDescent="0.25">
      <c r="A1" s="1216" t="s">
        <v>3606</v>
      </c>
      <c r="B1" s="1216"/>
      <c r="C1" s="1216"/>
      <c r="D1" s="1216"/>
      <c r="E1" s="1216"/>
      <c r="F1" s="1216"/>
    </row>
    <row r="3" spans="1:6" ht="18" x14ac:dyDescent="0.25">
      <c r="A3" s="1216" t="s">
        <v>278</v>
      </c>
      <c r="B3" s="1216"/>
      <c r="C3" s="1216"/>
      <c r="D3" s="1216"/>
      <c r="E3" s="1216"/>
      <c r="F3" s="1216"/>
    </row>
    <row r="4" spans="1:6" ht="91.5" customHeight="1" x14ac:dyDescent="0.25">
      <c r="A4" s="1217" t="s">
        <v>3393</v>
      </c>
      <c r="B4" s="1218"/>
      <c r="C4" s="1218"/>
      <c r="D4" s="1218"/>
      <c r="E4" s="1218"/>
      <c r="F4" s="1218"/>
    </row>
    <row r="5" spans="1:6" x14ac:dyDescent="0.25">
      <c r="A5" s="224"/>
      <c r="B5" s="225" t="s">
        <v>279</v>
      </c>
      <c r="C5" s="1219" t="s">
        <v>280</v>
      </c>
      <c r="D5" s="1219"/>
      <c r="E5" s="239"/>
      <c r="F5" s="231"/>
    </row>
    <row r="6" spans="1:6" x14ac:dyDescent="0.25">
      <c r="A6" s="226"/>
      <c r="B6" s="227" t="s">
        <v>3556</v>
      </c>
      <c r="C6" s="1220" t="s">
        <v>153</v>
      </c>
      <c r="D6" s="1220"/>
      <c r="E6" s="239"/>
      <c r="F6" s="231"/>
    </row>
    <row r="7" spans="1:6" x14ac:dyDescent="0.25">
      <c r="A7" s="226"/>
      <c r="B7" s="228"/>
      <c r="C7" s="1215"/>
      <c r="D7" s="1215"/>
      <c r="E7" s="239"/>
      <c r="F7" s="231"/>
    </row>
    <row r="8" spans="1:6" x14ac:dyDescent="0.25">
      <c r="A8" s="226"/>
      <c r="B8" s="227" t="s">
        <v>3557</v>
      </c>
      <c r="C8" s="1220" t="s">
        <v>152</v>
      </c>
      <c r="D8" s="1220"/>
      <c r="E8" s="239"/>
      <c r="F8" s="231"/>
    </row>
    <row r="9" spans="1:6" x14ac:dyDescent="0.25">
      <c r="A9" s="226"/>
      <c r="B9" s="228"/>
      <c r="C9" s="1215"/>
      <c r="D9" s="1215"/>
      <c r="E9" s="239"/>
      <c r="F9" s="231"/>
    </row>
    <row r="10" spans="1:6" ht="45" x14ac:dyDescent="0.25">
      <c r="A10" s="226"/>
      <c r="B10" s="1162" t="s">
        <v>3558</v>
      </c>
      <c r="C10" s="1220" t="s">
        <v>151</v>
      </c>
      <c r="D10" s="1220"/>
      <c r="E10" s="239"/>
      <c r="F10" s="231"/>
    </row>
    <row r="11" spans="1:6" x14ac:dyDescent="0.25">
      <c r="A11" s="226"/>
      <c r="B11" s="229"/>
      <c r="C11" s="1215"/>
      <c r="D11" s="1215"/>
      <c r="E11" s="239"/>
      <c r="F11" s="231"/>
    </row>
    <row r="12" spans="1:6" ht="45" x14ac:dyDescent="0.25">
      <c r="A12" s="226"/>
      <c r="B12" s="230" t="s">
        <v>3562</v>
      </c>
      <c r="C12" s="1221" t="s">
        <v>150</v>
      </c>
      <c r="D12" s="1221"/>
      <c r="E12" s="239"/>
      <c r="F12" s="231"/>
    </row>
    <row r="13" spans="1:6" x14ac:dyDescent="0.25">
      <c r="A13" s="226"/>
      <c r="B13" s="229"/>
      <c r="C13" s="1215"/>
      <c r="D13" s="1215"/>
      <c r="E13" s="239"/>
      <c r="F13" s="231"/>
    </row>
    <row r="14" spans="1:6" ht="60" x14ac:dyDescent="0.25">
      <c r="A14" s="226"/>
      <c r="B14" s="1163" t="s">
        <v>3564</v>
      </c>
      <c r="C14" s="1221" t="s">
        <v>341</v>
      </c>
      <c r="D14" s="1221"/>
      <c r="E14" s="4"/>
      <c r="F14" s="239"/>
    </row>
    <row r="15" spans="1:6" x14ac:dyDescent="0.25">
      <c r="A15" s="226"/>
      <c r="B15" s="239"/>
      <c r="C15" s="4"/>
      <c r="D15" s="4"/>
      <c r="E15" s="4"/>
      <c r="F15" s="239"/>
    </row>
    <row r="16" spans="1:6" ht="60.75" customHeight="1" x14ac:dyDescent="0.25">
      <c r="A16" s="1217" t="s">
        <v>285</v>
      </c>
      <c r="B16" s="1217"/>
      <c r="C16" s="1217"/>
      <c r="D16" s="1217"/>
      <c r="E16" s="1217"/>
      <c r="F16" s="1217"/>
    </row>
    <row r="17" spans="1:6" x14ac:dyDescent="0.25">
      <c r="A17" s="226"/>
      <c r="B17" s="240"/>
      <c r="C17" s="4"/>
      <c r="D17" s="4"/>
      <c r="E17" s="4"/>
      <c r="F17" s="4"/>
    </row>
    <row r="18" spans="1:6" ht="38.25" customHeight="1" x14ac:dyDescent="0.25">
      <c r="A18" s="1217" t="s">
        <v>281</v>
      </c>
      <c r="B18" s="1217"/>
      <c r="C18" s="1217"/>
      <c r="D18" s="1217"/>
      <c r="E18" s="1217"/>
      <c r="F18" s="1217"/>
    </row>
    <row r="19" spans="1:6" x14ac:dyDescent="0.25">
      <c r="A19" s="231"/>
      <c r="B19" s="232"/>
    </row>
    <row r="20" spans="1:6" x14ac:dyDescent="0.25">
      <c r="A20" s="231"/>
      <c r="B20" s="232"/>
    </row>
    <row r="21" spans="1:6" x14ac:dyDescent="0.25">
      <c r="A21" s="231"/>
      <c r="B21" s="232"/>
    </row>
    <row r="22" spans="1:6" x14ac:dyDescent="0.25">
      <c r="A22" s="231"/>
      <c r="B22" s="232"/>
    </row>
    <row r="23" spans="1:6" x14ac:dyDescent="0.25">
      <c r="A23" s="231"/>
      <c r="B23" s="232"/>
    </row>
    <row r="24" spans="1:6" x14ac:dyDescent="0.25">
      <c r="A24" s="231"/>
      <c r="B24" s="232"/>
    </row>
    <row r="25" spans="1:6" x14ac:dyDescent="0.25">
      <c r="A25" s="231"/>
      <c r="B25" s="232"/>
      <c r="C25" s="1"/>
      <c r="D25" s="1"/>
      <c r="E25" s="1"/>
      <c r="F25" s="1"/>
    </row>
    <row r="26" spans="1:6" x14ac:dyDescent="0.25">
      <c r="A26" s="231"/>
      <c r="B26" s="232"/>
      <c r="C26" s="1"/>
      <c r="D26" s="1"/>
      <c r="E26" s="1"/>
      <c r="F26" s="1"/>
    </row>
    <row r="27" spans="1:6" x14ac:dyDescent="0.25">
      <c r="A27" s="231"/>
      <c r="B27" s="232"/>
    </row>
    <row r="28" spans="1:6" x14ac:dyDescent="0.25">
      <c r="A28" s="231"/>
      <c r="B28" s="232"/>
    </row>
    <row r="29" spans="1:6" x14ac:dyDescent="0.25">
      <c r="A29" s="231"/>
      <c r="B29" s="232"/>
    </row>
    <row r="30" spans="1:6" x14ac:dyDescent="0.25">
      <c r="A30" s="231"/>
      <c r="B30" s="232"/>
    </row>
    <row r="31" spans="1:6" x14ac:dyDescent="0.25">
      <c r="A31" s="231"/>
      <c r="B31" s="232"/>
    </row>
    <row r="32" spans="1:6" x14ac:dyDescent="0.25">
      <c r="A32" s="231"/>
      <c r="B32" s="232"/>
    </row>
    <row r="33" spans="1:2" x14ac:dyDescent="0.25">
      <c r="A33" s="231"/>
      <c r="B33" s="233"/>
    </row>
    <row r="34" spans="1:2" x14ac:dyDescent="0.25">
      <c r="A34" s="231"/>
      <c r="B34" s="233"/>
    </row>
    <row r="35" spans="1:2" x14ac:dyDescent="0.25">
      <c r="A35" s="234"/>
    </row>
    <row r="36" spans="1:2" x14ac:dyDescent="0.25">
      <c r="A36" s="231"/>
      <c r="B36" s="235"/>
    </row>
    <row r="37" spans="1:2" x14ac:dyDescent="0.25">
      <c r="A37" s="234"/>
    </row>
    <row r="38" spans="1:2" x14ac:dyDescent="0.25">
      <c r="A38" s="234"/>
    </row>
    <row r="39" spans="1:2" x14ac:dyDescent="0.25">
      <c r="A39" s="234"/>
    </row>
    <row r="40" spans="1:2" x14ac:dyDescent="0.25">
      <c r="A40" s="234"/>
    </row>
    <row r="41" spans="1:2" x14ac:dyDescent="0.25">
      <c r="A41" s="234"/>
    </row>
    <row r="42" spans="1:2" x14ac:dyDescent="0.25">
      <c r="A42" s="234"/>
    </row>
    <row r="43" spans="1:2" x14ac:dyDescent="0.25">
      <c r="A43" s="231"/>
      <c r="B43" s="236"/>
    </row>
    <row r="44" spans="1:2" x14ac:dyDescent="0.25">
      <c r="A44" s="234"/>
    </row>
    <row r="45" spans="1:2" x14ac:dyDescent="0.25">
      <c r="A45" s="231"/>
      <c r="B45" s="237"/>
    </row>
    <row r="46" spans="1:2" x14ac:dyDescent="0.25">
      <c r="A46" s="231"/>
      <c r="B46" s="237"/>
    </row>
    <row r="47" spans="1:2" x14ac:dyDescent="0.25">
      <c r="A47" s="231"/>
      <c r="B47" s="238"/>
    </row>
    <row r="48" spans="1:2" x14ac:dyDescent="0.25">
      <c r="A48" s="231"/>
      <c r="B48" s="238"/>
    </row>
    <row r="49" spans="1:2" x14ac:dyDescent="0.25">
      <c r="A49" s="231"/>
      <c r="B49" s="237"/>
    </row>
    <row r="50" spans="1:2" x14ac:dyDescent="0.25">
      <c r="A50" s="231"/>
      <c r="B50" s="238"/>
    </row>
    <row r="51" spans="1:2" x14ac:dyDescent="0.25">
      <c r="A51" s="231"/>
      <c r="B51" s="238"/>
    </row>
    <row r="52" spans="1:2" x14ac:dyDescent="0.25">
      <c r="A52" s="234"/>
    </row>
    <row r="53" spans="1:2" x14ac:dyDescent="0.25">
      <c r="A53" s="234"/>
    </row>
    <row r="54" spans="1:2" x14ac:dyDescent="0.25">
      <c r="A54" s="234"/>
    </row>
    <row r="55" spans="1:2" x14ac:dyDescent="0.25">
      <c r="A55" s="234"/>
    </row>
    <row r="56" spans="1:2" x14ac:dyDescent="0.25">
      <c r="A56" s="234"/>
    </row>
  </sheetData>
  <customSheetViews>
    <customSheetView guid="{D97329D5-B649-4B2F-86D7-C6BEAE913806}" fitToPage="1" topLeftCell="A7">
      <selection activeCell="B12" sqref="B12"/>
      <pageMargins left="0.7" right="0.7" top="0.75" bottom="0.75" header="0.3" footer="0.3"/>
      <pageSetup orientation="landscape" r:id="rId1"/>
    </customSheetView>
    <customSheetView guid="{9208F210-2ED8-4398-A0D6-491045D9FDEB}" fitToPage="1" topLeftCell="A6">
      <selection activeCell="B12" sqref="B12"/>
      <pageMargins left="0.7" right="0.7" top="0.75" bottom="0.75" header="0.3" footer="0.3"/>
      <pageSetup orientation="landscape" r:id="rId2"/>
    </customSheetView>
    <customSheetView guid="{A68BF0CC-C2ED-4B16-81B1-1B708EA22356}" fitToPage="1" topLeftCell="A6">
      <selection activeCell="B12" sqref="B12"/>
      <pageMargins left="0.7" right="0.7" top="0.75" bottom="0.75" header="0.3" footer="0.3"/>
      <pageSetup orientation="landscape" r:id="rId3"/>
    </customSheetView>
    <customSheetView guid="{FF37031A-F1B7-4AA7-A7E7-E41A94ECF4B1}" fitToPage="1" topLeftCell="A7">
      <selection activeCell="B12" sqref="B12"/>
      <pageMargins left="0.7" right="0.7" top="0.75" bottom="0.75" header="0.3" footer="0.3"/>
      <pageSetup orientation="landscape" r:id="rId4"/>
    </customSheetView>
    <customSheetView guid="{C0DA29AC-16E2-4A15-8C4F-F71595E8BC75}" fitToPage="1">
      <selection activeCell="B27" sqref="B27"/>
      <pageMargins left="0.7" right="0.7" top="0.75" bottom="0.75" header="0.3" footer="0.3"/>
      <pageSetup orientation="landscape" r:id="rId5"/>
    </customSheetView>
  </customSheetViews>
  <mergeCells count="15">
    <mergeCell ref="A18:F18"/>
    <mergeCell ref="C8:D8"/>
    <mergeCell ref="C9:D9"/>
    <mergeCell ref="C10:D10"/>
    <mergeCell ref="C11:D11"/>
    <mergeCell ref="C12:D12"/>
    <mergeCell ref="A16:F16"/>
    <mergeCell ref="C14:D14"/>
    <mergeCell ref="C13:D13"/>
    <mergeCell ref="C7:D7"/>
    <mergeCell ref="A1:F1"/>
    <mergeCell ref="A3:F3"/>
    <mergeCell ref="A4:F4"/>
    <mergeCell ref="C5:D5"/>
    <mergeCell ref="C6:D6"/>
  </mergeCells>
  <pageMargins left="0.7" right="0.7" top="0.75" bottom="0.75" header="0.3" footer="0.3"/>
  <pageSetup scale="98" orientation="landscape" r:id="rId6"/>
  <headerFooter>
    <oddFooter>&amp;LATTACHMENT  F  -  Spokane County RFP No. P8705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H271"/>
  <sheetViews>
    <sheetView showGridLines="0" view="pageLayout" topLeftCell="A276" zoomScaleNormal="110" zoomScaleSheetLayoutView="80" workbookViewId="0">
      <selection activeCell="B273" sqref="B273"/>
    </sheetView>
  </sheetViews>
  <sheetFormatPr defaultRowHeight="15" x14ac:dyDescent="0.25"/>
  <cols>
    <col min="1" max="1" width="6.7109375" style="5" customWidth="1"/>
    <col min="2" max="2" width="55.7109375" style="4" customWidth="1"/>
    <col min="3" max="7" width="4.7109375" style="3" customWidth="1"/>
    <col min="8" max="8" width="40.7109375" style="2" customWidth="1"/>
    <col min="9" max="16384" width="9.140625" style="1"/>
  </cols>
  <sheetData>
    <row r="1" spans="1:8" ht="15.75" x14ac:dyDescent="0.25">
      <c r="A1" s="1222" t="s">
        <v>3605</v>
      </c>
      <c r="B1" s="1222"/>
      <c r="C1" s="1222"/>
      <c r="D1" s="1222"/>
      <c r="E1" s="1222"/>
      <c r="F1" s="1222"/>
      <c r="G1" s="1222"/>
      <c r="H1" s="1222"/>
    </row>
    <row r="2" spans="1:8" ht="15.75" x14ac:dyDescent="0.25">
      <c r="A2" s="1222" t="s">
        <v>258</v>
      </c>
      <c r="B2" s="1222"/>
      <c r="C2" s="1222"/>
      <c r="D2" s="1222"/>
      <c r="E2" s="1222"/>
      <c r="F2" s="1222"/>
      <c r="G2" s="1222"/>
      <c r="H2" s="1222"/>
    </row>
    <row r="3" spans="1:8" ht="15.75" x14ac:dyDescent="0.25">
      <c r="A3" s="1222"/>
      <c r="B3" s="1222"/>
      <c r="C3" s="1222"/>
      <c r="D3" s="1222"/>
      <c r="E3" s="1222"/>
      <c r="F3" s="1222"/>
      <c r="G3" s="1222"/>
      <c r="H3" s="1222"/>
    </row>
    <row r="4" spans="1:8" s="154" customFormat="1" ht="15.75" x14ac:dyDescent="0.25">
      <c r="A4" s="1222" t="s">
        <v>156</v>
      </c>
      <c r="B4" s="1222"/>
      <c r="C4" s="1222"/>
      <c r="D4" s="1222"/>
      <c r="E4" s="1222"/>
      <c r="F4" s="1222"/>
      <c r="G4" s="1222"/>
      <c r="H4" s="1222"/>
    </row>
    <row r="5" spans="1:8" s="154" customFormat="1" x14ac:dyDescent="0.25">
      <c r="A5" s="158"/>
      <c r="B5" s="157"/>
      <c r="C5" s="156"/>
      <c r="D5" s="156"/>
      <c r="E5" s="156"/>
      <c r="F5" s="156"/>
      <c r="G5" s="156"/>
      <c r="H5" s="155"/>
    </row>
    <row r="6" spans="1:8" s="159" customFormat="1" ht="15.75" x14ac:dyDescent="0.25">
      <c r="A6" s="158">
        <f>A16</f>
        <v>1</v>
      </c>
      <c r="B6" s="221" t="str">
        <f>Global_Features</f>
        <v>Global System Features</v>
      </c>
      <c r="C6" s="161"/>
      <c r="D6" s="161"/>
      <c r="E6" s="161"/>
      <c r="F6" s="161"/>
      <c r="G6" s="161"/>
      <c r="H6" s="160"/>
    </row>
    <row r="7" spans="1:8" s="159" customFormat="1" ht="15.75" x14ac:dyDescent="0.25">
      <c r="A7" s="158">
        <f>A28</f>
        <v>13</v>
      </c>
      <c r="B7" s="221" t="s">
        <v>256</v>
      </c>
      <c r="C7" s="161"/>
      <c r="D7" s="161"/>
      <c r="E7" s="161"/>
      <c r="F7" s="161"/>
      <c r="G7" s="161"/>
      <c r="H7" s="160"/>
    </row>
    <row r="8" spans="1:8" s="159" customFormat="1" ht="15.75" x14ac:dyDescent="0.25">
      <c r="A8" s="158">
        <f>A43</f>
        <v>28</v>
      </c>
      <c r="B8" s="221" t="str">
        <f>Security_Admin</f>
        <v>Security Administration</v>
      </c>
      <c r="C8" s="161"/>
      <c r="D8" s="161"/>
      <c r="E8" s="161"/>
      <c r="F8" s="161"/>
      <c r="G8" s="161"/>
      <c r="H8" s="160"/>
    </row>
    <row r="9" spans="1:8" s="159" customFormat="1" ht="15.75" x14ac:dyDescent="0.25">
      <c r="A9" s="158">
        <f>A81</f>
        <v>66</v>
      </c>
      <c r="B9" s="221" t="str">
        <f>B81</f>
        <v>Logons and Logoffs</v>
      </c>
      <c r="C9" s="161"/>
      <c r="D9" s="161"/>
      <c r="E9" s="161"/>
      <c r="F9" s="161"/>
      <c r="G9" s="161"/>
      <c r="H9" s="160"/>
    </row>
    <row r="10" spans="1:8" s="159" customFormat="1" ht="15.75" x14ac:dyDescent="0.25">
      <c r="A10" s="158">
        <f>A96</f>
        <v>81</v>
      </c>
      <c r="B10" s="221" t="str">
        <f>B96</f>
        <v>User IDs and Passwords</v>
      </c>
      <c r="C10" s="161"/>
      <c r="D10" s="161"/>
      <c r="E10" s="161"/>
      <c r="F10" s="161"/>
      <c r="G10" s="161"/>
      <c r="H10" s="160"/>
    </row>
    <row r="11" spans="1:8" s="154" customFormat="1" x14ac:dyDescent="0.25">
      <c r="A11" s="158">
        <f>A110</f>
        <v>95</v>
      </c>
      <c r="B11" s="221" t="str">
        <f>B110</f>
        <v>Audit Trails</v>
      </c>
      <c r="C11" s="156"/>
      <c r="D11" s="156"/>
      <c r="E11" s="156"/>
      <c r="F11" s="156"/>
      <c r="G11" s="156"/>
      <c r="H11" s="155"/>
    </row>
    <row r="12" spans="1:8" s="154" customFormat="1" x14ac:dyDescent="0.25">
      <c r="A12" s="158">
        <f>A161</f>
        <v>146</v>
      </c>
      <c r="B12" s="221" t="s">
        <v>212</v>
      </c>
      <c r="C12" s="156"/>
      <c r="D12" s="156"/>
      <c r="E12" s="156"/>
      <c r="F12" s="156"/>
      <c r="G12" s="156"/>
      <c r="H12" s="155"/>
    </row>
    <row r="13" spans="1:8" s="159" customFormat="1" ht="15.75" x14ac:dyDescent="0.25">
      <c r="A13" s="158">
        <f>A249</f>
        <v>234</v>
      </c>
      <c r="B13" s="221" t="str">
        <f>Online_Documentation</f>
        <v xml:space="preserve">Online Documentation </v>
      </c>
      <c r="C13" s="161"/>
      <c r="D13" s="161"/>
      <c r="E13" s="161"/>
      <c r="F13" s="161"/>
      <c r="G13" s="161"/>
      <c r="H13" s="160"/>
    </row>
    <row r="14" spans="1:8" s="154" customFormat="1" x14ac:dyDescent="0.25">
      <c r="A14" s="158"/>
      <c r="B14" s="157"/>
      <c r="C14" s="156"/>
      <c r="D14" s="156"/>
      <c r="E14" s="156"/>
      <c r="F14" s="156"/>
      <c r="G14" s="156"/>
      <c r="H14" s="155"/>
    </row>
    <row r="15" spans="1:8" s="150" customFormat="1" x14ac:dyDescent="0.2">
      <c r="A15" s="219" t="s">
        <v>155</v>
      </c>
      <c r="B15" s="220" t="s">
        <v>154</v>
      </c>
      <c r="C15" s="219" t="s">
        <v>153</v>
      </c>
      <c r="D15" s="219" t="s">
        <v>152</v>
      </c>
      <c r="E15" s="219" t="s">
        <v>151</v>
      </c>
      <c r="F15" s="219" t="s">
        <v>150</v>
      </c>
      <c r="G15" s="242" t="s">
        <v>341</v>
      </c>
      <c r="H15" s="219" t="s">
        <v>149</v>
      </c>
    </row>
    <row r="16" spans="1:8" x14ac:dyDescent="0.25">
      <c r="A16" s="10">
        <v>1</v>
      </c>
      <c r="B16" s="15" t="s">
        <v>148</v>
      </c>
      <c r="C16" s="14"/>
      <c r="D16" s="14"/>
      <c r="E16" s="14"/>
      <c r="F16" s="14"/>
      <c r="G16" s="243"/>
      <c r="H16" s="14"/>
    </row>
    <row r="17" spans="1:8" s="150" customFormat="1" ht="30" x14ac:dyDescent="0.2">
      <c r="A17" s="10">
        <f>A16+1</f>
        <v>2</v>
      </c>
      <c r="B17" s="149" t="s">
        <v>158</v>
      </c>
      <c r="C17" s="132"/>
      <c r="D17" s="89"/>
      <c r="E17" s="89"/>
      <c r="F17" s="89"/>
      <c r="G17" s="244"/>
      <c r="H17" s="147"/>
    </row>
    <row r="18" spans="1:8" s="150" customFormat="1" x14ac:dyDescent="0.2">
      <c r="A18" s="10">
        <f t="shared" ref="A18:A81" si="0">A17+1</f>
        <v>3</v>
      </c>
      <c r="B18" s="148" t="s">
        <v>144</v>
      </c>
      <c r="C18" s="91"/>
      <c r="D18" s="91"/>
      <c r="E18" s="91"/>
      <c r="F18" s="91"/>
      <c r="G18" s="245"/>
      <c r="H18" s="147"/>
    </row>
    <row r="19" spans="1:8" s="150" customFormat="1" x14ac:dyDescent="0.2">
      <c r="A19" s="10">
        <f t="shared" si="0"/>
        <v>4</v>
      </c>
      <c r="B19" s="148" t="s">
        <v>143</v>
      </c>
      <c r="C19" s="91"/>
      <c r="D19" s="91"/>
      <c r="E19" s="91"/>
      <c r="F19" s="91"/>
      <c r="G19" s="245"/>
      <c r="H19" s="147"/>
    </row>
    <row r="20" spans="1:8" s="150" customFormat="1" x14ac:dyDescent="0.2">
      <c r="A20" s="10">
        <f t="shared" si="0"/>
        <v>5</v>
      </c>
      <c r="B20" s="148" t="s">
        <v>142</v>
      </c>
      <c r="C20" s="91"/>
      <c r="D20" s="91"/>
      <c r="E20" s="91"/>
      <c r="F20" s="91"/>
      <c r="G20" s="245"/>
      <c r="H20" s="147"/>
    </row>
    <row r="21" spans="1:8" s="150" customFormat="1" ht="30" x14ac:dyDescent="0.2">
      <c r="A21" s="10">
        <f t="shared" si="0"/>
        <v>6</v>
      </c>
      <c r="B21" s="43" t="s">
        <v>327</v>
      </c>
      <c r="C21" s="91"/>
      <c r="D21" s="91"/>
      <c r="E21" s="91"/>
      <c r="F21" s="91"/>
      <c r="G21" s="245"/>
      <c r="H21" s="147"/>
    </row>
    <row r="22" spans="1:8" s="150" customFormat="1" ht="30" x14ac:dyDescent="0.2">
      <c r="A22" s="10">
        <f t="shared" si="0"/>
        <v>7</v>
      </c>
      <c r="B22" s="153" t="s">
        <v>147</v>
      </c>
      <c r="C22" s="152"/>
      <c r="D22" s="152"/>
      <c r="E22" s="152"/>
      <c r="F22" s="152"/>
      <c r="G22" s="246"/>
      <c r="H22" s="151"/>
    </row>
    <row r="23" spans="1:8" s="12" customFormat="1" ht="45" x14ac:dyDescent="0.2">
      <c r="A23" s="10">
        <f t="shared" si="0"/>
        <v>8</v>
      </c>
      <c r="B23" s="149" t="s">
        <v>146</v>
      </c>
      <c r="C23" s="91"/>
      <c r="D23" s="91"/>
      <c r="E23" s="91"/>
      <c r="F23" s="91"/>
      <c r="G23" s="245"/>
      <c r="H23" s="82"/>
    </row>
    <row r="24" spans="1:8" s="12" customFormat="1" x14ac:dyDescent="0.2">
      <c r="A24" s="10">
        <f t="shared" si="0"/>
        <v>9</v>
      </c>
      <c r="B24" s="299" t="s">
        <v>157</v>
      </c>
      <c r="C24" s="91"/>
      <c r="D24" s="91"/>
      <c r="E24" s="91"/>
      <c r="F24" s="91"/>
      <c r="G24" s="245"/>
      <c r="H24" s="82"/>
    </row>
    <row r="25" spans="1:8" s="12" customFormat="1" ht="30" x14ac:dyDescent="0.25">
      <c r="A25" s="10">
        <f t="shared" si="0"/>
        <v>10</v>
      </c>
      <c r="B25" s="300" t="s">
        <v>145</v>
      </c>
      <c r="C25" s="91"/>
      <c r="D25" s="91"/>
      <c r="E25" s="91"/>
      <c r="F25" s="91"/>
      <c r="G25" s="245"/>
      <c r="H25" s="82"/>
    </row>
    <row r="26" spans="1:8" s="12" customFormat="1" x14ac:dyDescent="0.25">
      <c r="A26" s="10">
        <f t="shared" si="0"/>
        <v>11</v>
      </c>
      <c r="B26" s="300" t="s">
        <v>311</v>
      </c>
      <c r="C26" s="91"/>
      <c r="D26" s="91"/>
      <c r="E26" s="91"/>
      <c r="F26" s="91"/>
      <c r="G26" s="245"/>
      <c r="H26" s="82"/>
    </row>
    <row r="27" spans="1:8" s="12" customFormat="1" x14ac:dyDescent="0.25">
      <c r="A27" s="10">
        <f t="shared" si="0"/>
        <v>12</v>
      </c>
      <c r="B27" s="300" t="s">
        <v>328</v>
      </c>
      <c r="C27" s="91"/>
      <c r="D27" s="91"/>
      <c r="E27" s="91"/>
      <c r="F27" s="91"/>
      <c r="G27" s="245"/>
      <c r="H27" s="82"/>
    </row>
    <row r="28" spans="1:8" x14ac:dyDescent="0.25">
      <c r="A28" s="10">
        <f t="shared" si="0"/>
        <v>13</v>
      </c>
      <c r="B28" s="15" t="s">
        <v>141</v>
      </c>
      <c r="C28" s="14"/>
      <c r="D28" s="14"/>
      <c r="E28" s="14"/>
      <c r="F28" s="14"/>
      <c r="G28" s="243"/>
      <c r="H28" s="14"/>
    </row>
    <row r="29" spans="1:8" s="12" customFormat="1" ht="30" x14ac:dyDescent="0.2">
      <c r="A29" s="10">
        <f t="shared" si="0"/>
        <v>14</v>
      </c>
      <c r="B29" s="50" t="s">
        <v>264</v>
      </c>
      <c r="C29" s="91"/>
      <c r="D29" s="83"/>
      <c r="E29" s="83"/>
      <c r="F29" s="83"/>
      <c r="G29" s="247"/>
      <c r="H29" s="82"/>
    </row>
    <row r="30" spans="1:8" s="12" customFormat="1" ht="30" x14ac:dyDescent="0.2">
      <c r="A30" s="10">
        <f t="shared" si="0"/>
        <v>15</v>
      </c>
      <c r="B30" s="50" t="s">
        <v>330</v>
      </c>
      <c r="C30" s="91"/>
      <c r="D30" s="83"/>
      <c r="E30" s="83"/>
      <c r="F30" s="83"/>
      <c r="G30" s="247"/>
      <c r="H30" s="82"/>
    </row>
    <row r="31" spans="1:8" s="12" customFormat="1" ht="45" x14ac:dyDescent="0.2">
      <c r="A31" s="10">
        <f t="shared" si="0"/>
        <v>16</v>
      </c>
      <c r="B31" s="50" t="s">
        <v>329</v>
      </c>
      <c r="C31" s="91"/>
      <c r="D31" s="83"/>
      <c r="E31" s="83"/>
      <c r="F31" s="83"/>
      <c r="G31" s="247"/>
      <c r="H31" s="82"/>
    </row>
    <row r="32" spans="1:8" s="12" customFormat="1" ht="30" x14ac:dyDescent="0.2">
      <c r="A32" s="10">
        <f t="shared" si="0"/>
        <v>17</v>
      </c>
      <c r="B32" s="50" t="s">
        <v>309</v>
      </c>
      <c r="C32" s="91"/>
      <c r="D32" s="83"/>
      <c r="E32" s="83"/>
      <c r="F32" s="83"/>
      <c r="G32" s="247"/>
      <c r="H32" s="82"/>
    </row>
    <row r="33" spans="1:8" s="12" customFormat="1" ht="30" x14ac:dyDescent="0.2">
      <c r="A33" s="10">
        <f t="shared" si="0"/>
        <v>18</v>
      </c>
      <c r="B33" s="50" t="s">
        <v>265</v>
      </c>
      <c r="C33" s="91"/>
      <c r="D33" s="83"/>
      <c r="E33" s="83"/>
      <c r="F33" s="83"/>
      <c r="G33" s="247"/>
      <c r="H33" s="82"/>
    </row>
    <row r="34" spans="1:8" s="12" customFormat="1" ht="45" x14ac:dyDescent="0.2">
      <c r="A34" s="10">
        <f t="shared" si="0"/>
        <v>19</v>
      </c>
      <c r="B34" s="50" t="s">
        <v>140</v>
      </c>
      <c r="C34" s="91"/>
      <c r="D34" s="83"/>
      <c r="E34" s="83"/>
      <c r="F34" s="83"/>
      <c r="G34" s="247"/>
      <c r="H34" s="82"/>
    </row>
    <row r="35" spans="1:8" s="12" customFormat="1" x14ac:dyDescent="0.2">
      <c r="A35" s="10">
        <f t="shared" si="0"/>
        <v>20</v>
      </c>
      <c r="B35" s="22" t="s">
        <v>133</v>
      </c>
      <c r="C35" s="91"/>
      <c r="D35" s="83"/>
      <c r="E35" s="83"/>
      <c r="F35" s="83"/>
      <c r="G35" s="247"/>
      <c r="H35" s="82"/>
    </row>
    <row r="36" spans="1:8" s="12" customFormat="1" ht="60" x14ac:dyDescent="0.2">
      <c r="A36" s="10">
        <f t="shared" si="0"/>
        <v>21</v>
      </c>
      <c r="B36" s="146" t="s">
        <v>139</v>
      </c>
      <c r="C36" s="91"/>
      <c r="D36" s="83"/>
      <c r="E36" s="83"/>
      <c r="F36" s="83"/>
      <c r="G36" s="247"/>
      <c r="H36" s="82"/>
    </row>
    <row r="37" spans="1:8" s="12" customFormat="1" ht="60" x14ac:dyDescent="0.25">
      <c r="A37" s="10">
        <f t="shared" si="0"/>
        <v>22</v>
      </c>
      <c r="B37" s="145" t="s">
        <v>138</v>
      </c>
      <c r="C37" s="91"/>
      <c r="D37" s="83"/>
      <c r="E37" s="83"/>
      <c r="F37" s="83"/>
      <c r="G37" s="247"/>
      <c r="H37" s="82"/>
    </row>
    <row r="38" spans="1:8" s="12" customFormat="1" ht="30" x14ac:dyDescent="0.25">
      <c r="A38" s="10">
        <f t="shared" si="0"/>
        <v>23</v>
      </c>
      <c r="B38" s="145" t="s">
        <v>137</v>
      </c>
      <c r="C38" s="91"/>
      <c r="D38" s="83"/>
      <c r="E38" s="83"/>
      <c r="F38" s="83"/>
      <c r="G38" s="247"/>
      <c r="H38" s="82"/>
    </row>
    <row r="39" spans="1:8" s="12" customFormat="1" ht="18.75" customHeight="1" x14ac:dyDescent="0.2">
      <c r="A39" s="10">
        <f t="shared" si="0"/>
        <v>24</v>
      </c>
      <c r="B39" s="50" t="s">
        <v>136</v>
      </c>
      <c r="C39" s="91"/>
      <c r="D39" s="83"/>
      <c r="E39" s="83"/>
      <c r="F39" s="83"/>
      <c r="G39" s="247"/>
      <c r="H39" s="82"/>
    </row>
    <row r="40" spans="1:8" s="12" customFormat="1" ht="18.75" customHeight="1" x14ac:dyDescent="0.2">
      <c r="A40" s="10">
        <f t="shared" si="0"/>
        <v>25</v>
      </c>
      <c r="B40" s="50" t="s">
        <v>135</v>
      </c>
      <c r="C40" s="91"/>
      <c r="D40" s="83"/>
      <c r="E40" s="83"/>
      <c r="F40" s="83"/>
      <c r="G40" s="247"/>
      <c r="H40" s="82"/>
    </row>
    <row r="41" spans="1:8" ht="30" x14ac:dyDescent="0.2">
      <c r="A41" s="10">
        <f t="shared" si="0"/>
        <v>26</v>
      </c>
      <c r="B41" s="22" t="s">
        <v>134</v>
      </c>
      <c r="C41" s="20"/>
      <c r="D41" s="28"/>
      <c r="E41" s="28"/>
      <c r="F41" s="28"/>
      <c r="G41" s="248"/>
      <c r="H41" s="27"/>
    </row>
    <row r="42" spans="1:8" s="12" customFormat="1" x14ac:dyDescent="0.2">
      <c r="A42" s="10">
        <f t="shared" si="0"/>
        <v>27</v>
      </c>
      <c r="B42" s="50" t="s">
        <v>286</v>
      </c>
      <c r="C42" s="83"/>
      <c r="D42" s="83"/>
      <c r="E42" s="83"/>
      <c r="F42" s="83"/>
      <c r="G42" s="247"/>
      <c r="H42" s="82"/>
    </row>
    <row r="43" spans="1:8" x14ac:dyDescent="0.25">
      <c r="A43" s="10">
        <f t="shared" si="0"/>
        <v>28</v>
      </c>
      <c r="B43" s="15" t="s">
        <v>132</v>
      </c>
      <c r="C43" s="14"/>
      <c r="D43" s="14"/>
      <c r="E43" s="14"/>
      <c r="F43" s="14"/>
      <c r="G43" s="243"/>
      <c r="H43" s="14"/>
    </row>
    <row r="44" spans="1:8" ht="30" x14ac:dyDescent="0.2">
      <c r="A44" s="10">
        <f t="shared" si="0"/>
        <v>29</v>
      </c>
      <c r="B44" s="144" t="s">
        <v>282</v>
      </c>
      <c r="C44" s="143"/>
      <c r="D44" s="143"/>
      <c r="E44" s="143"/>
      <c r="F44" s="143"/>
      <c r="G44" s="249"/>
      <c r="H44" s="142"/>
    </row>
    <row r="45" spans="1:8" ht="30" x14ac:dyDescent="0.2">
      <c r="A45" s="10">
        <f t="shared" si="0"/>
        <v>30</v>
      </c>
      <c r="B45" s="36" t="s">
        <v>251</v>
      </c>
      <c r="C45" s="35"/>
      <c r="D45" s="35"/>
      <c r="E45" s="35"/>
      <c r="F45" s="35"/>
      <c r="G45" s="250"/>
      <c r="H45" s="141"/>
    </row>
    <row r="46" spans="1:8" x14ac:dyDescent="0.2">
      <c r="A46" s="10">
        <f t="shared" si="0"/>
        <v>31</v>
      </c>
      <c r="B46" s="140" t="s">
        <v>131</v>
      </c>
      <c r="C46" s="24"/>
      <c r="D46" s="24"/>
      <c r="E46" s="24"/>
      <c r="F46" s="24"/>
      <c r="G46" s="251"/>
      <c r="H46" s="23"/>
    </row>
    <row r="47" spans="1:8" x14ac:dyDescent="0.2">
      <c r="A47" s="10">
        <f t="shared" si="0"/>
        <v>32</v>
      </c>
      <c r="B47" s="137" t="s">
        <v>164</v>
      </c>
      <c r="C47" s="25"/>
      <c r="D47" s="25"/>
      <c r="E47" s="25"/>
      <c r="F47" s="25"/>
      <c r="G47" s="252"/>
      <c r="H47" s="138"/>
    </row>
    <row r="48" spans="1:8" x14ac:dyDescent="0.2">
      <c r="A48" s="10">
        <f t="shared" si="0"/>
        <v>33</v>
      </c>
      <c r="B48" s="139" t="s">
        <v>130</v>
      </c>
      <c r="C48" s="35"/>
      <c r="D48" s="35"/>
      <c r="E48" s="35"/>
      <c r="F48" s="35"/>
      <c r="G48" s="250"/>
      <c r="H48" s="141"/>
    </row>
    <row r="49" spans="1:8" ht="30" x14ac:dyDescent="0.2">
      <c r="A49" s="10">
        <f t="shared" si="0"/>
        <v>34</v>
      </c>
      <c r="B49" s="144" t="s">
        <v>165</v>
      </c>
      <c r="C49" s="28"/>
      <c r="D49" s="28"/>
      <c r="E49" s="28"/>
      <c r="F49" s="28"/>
      <c r="G49" s="248"/>
      <c r="H49" s="27"/>
    </row>
    <row r="50" spans="1:8" ht="30" x14ac:dyDescent="0.2">
      <c r="A50" s="10">
        <f t="shared" si="0"/>
        <v>35</v>
      </c>
      <c r="B50" s="75" t="s">
        <v>129</v>
      </c>
      <c r="C50" s="132"/>
      <c r="D50" s="89"/>
      <c r="E50" s="89"/>
      <c r="F50" s="89"/>
      <c r="G50" s="244"/>
      <c r="H50" s="75"/>
    </row>
    <row r="51" spans="1:8" x14ac:dyDescent="0.2">
      <c r="A51" s="10">
        <f t="shared" si="0"/>
        <v>36</v>
      </c>
      <c r="B51" s="135" t="s">
        <v>111</v>
      </c>
      <c r="C51" s="21"/>
      <c r="D51" s="21"/>
      <c r="E51" s="21"/>
      <c r="F51" s="21"/>
      <c r="G51" s="253"/>
      <c r="H51" s="134"/>
    </row>
    <row r="52" spans="1:8" x14ac:dyDescent="0.2">
      <c r="A52" s="10">
        <f t="shared" si="0"/>
        <v>37</v>
      </c>
      <c r="B52" s="135" t="s">
        <v>128</v>
      </c>
      <c r="C52" s="21"/>
      <c r="D52" s="21"/>
      <c r="E52" s="21"/>
      <c r="F52" s="21"/>
      <c r="G52" s="253"/>
      <c r="H52" s="134"/>
    </row>
    <row r="53" spans="1:8" x14ac:dyDescent="0.2">
      <c r="A53" s="10">
        <f t="shared" si="0"/>
        <v>38</v>
      </c>
      <c r="B53" s="135" t="s">
        <v>21</v>
      </c>
      <c r="C53" s="21"/>
      <c r="D53" s="21"/>
      <c r="E53" s="21"/>
      <c r="F53" s="21"/>
      <c r="G53" s="253"/>
      <c r="H53" s="134"/>
    </row>
    <row r="54" spans="1:8" x14ac:dyDescent="0.2">
      <c r="A54" s="10">
        <f t="shared" si="0"/>
        <v>39</v>
      </c>
      <c r="B54" s="135" t="s">
        <v>20</v>
      </c>
      <c r="C54" s="21"/>
      <c r="D54" s="29"/>
      <c r="E54" s="29"/>
      <c r="F54" s="29"/>
      <c r="G54" s="254"/>
      <c r="H54" s="136"/>
    </row>
    <row r="55" spans="1:8" x14ac:dyDescent="0.2">
      <c r="A55" s="10">
        <f t="shared" si="0"/>
        <v>40</v>
      </c>
      <c r="B55" s="135" t="s">
        <v>127</v>
      </c>
      <c r="C55" s="21"/>
      <c r="D55" s="21"/>
      <c r="E55" s="21"/>
      <c r="F55" s="21"/>
      <c r="G55" s="253"/>
      <c r="H55" s="134"/>
    </row>
    <row r="56" spans="1:8" ht="45" x14ac:dyDescent="0.2">
      <c r="A56" s="10">
        <f t="shared" si="0"/>
        <v>41</v>
      </c>
      <c r="B56" s="133" t="s">
        <v>166</v>
      </c>
      <c r="C56" s="28"/>
      <c r="D56" s="28"/>
      <c r="E56" s="28"/>
      <c r="F56" s="28"/>
      <c r="G56" s="248"/>
      <c r="H56" s="27"/>
    </row>
    <row r="57" spans="1:8" ht="30" x14ac:dyDescent="0.2">
      <c r="A57" s="10">
        <f t="shared" si="0"/>
        <v>42</v>
      </c>
      <c r="B57" s="125" t="s">
        <v>126</v>
      </c>
      <c r="C57" s="132"/>
      <c r="D57" s="89"/>
      <c r="E57" s="89"/>
      <c r="F57" s="89"/>
      <c r="G57" s="244"/>
      <c r="H57" s="27"/>
    </row>
    <row r="58" spans="1:8" x14ac:dyDescent="0.2">
      <c r="A58" s="10">
        <f t="shared" si="0"/>
        <v>43</v>
      </c>
      <c r="B58" s="123" t="s">
        <v>125</v>
      </c>
      <c r="C58" s="28"/>
      <c r="D58" s="28"/>
      <c r="E58" s="28"/>
      <c r="F58" s="28"/>
      <c r="G58" s="248"/>
      <c r="H58" s="27"/>
    </row>
    <row r="59" spans="1:8" x14ac:dyDescent="0.2">
      <c r="A59" s="10">
        <f t="shared" si="0"/>
        <v>44</v>
      </c>
      <c r="B59" s="131" t="s">
        <v>124</v>
      </c>
      <c r="C59" s="83"/>
      <c r="D59" s="83"/>
      <c r="E59" s="83"/>
      <c r="F59" s="83"/>
      <c r="G59" s="247"/>
      <c r="H59" s="82"/>
    </row>
    <row r="60" spans="1:8" x14ac:dyDescent="0.2">
      <c r="A60" s="10">
        <f t="shared" si="0"/>
        <v>45</v>
      </c>
      <c r="B60" s="131" t="s">
        <v>123</v>
      </c>
      <c r="C60" s="83"/>
      <c r="D60" s="83"/>
      <c r="E60" s="83"/>
      <c r="F60" s="83"/>
      <c r="G60" s="247"/>
      <c r="H60" s="82"/>
    </row>
    <row r="61" spans="1:8" x14ac:dyDescent="0.2">
      <c r="A61" s="10">
        <f t="shared" si="0"/>
        <v>46</v>
      </c>
      <c r="B61" s="131" t="s">
        <v>122</v>
      </c>
      <c r="C61" s="83"/>
      <c r="D61" s="83"/>
      <c r="E61" s="83"/>
      <c r="F61" s="83"/>
      <c r="G61" s="247"/>
      <c r="H61" s="82"/>
    </row>
    <row r="62" spans="1:8" x14ac:dyDescent="0.2">
      <c r="A62" s="10">
        <f t="shared" si="0"/>
        <v>47</v>
      </c>
      <c r="B62" s="131" t="s">
        <v>121</v>
      </c>
      <c r="C62" s="83"/>
      <c r="D62" s="83"/>
      <c r="E62" s="83"/>
      <c r="F62" s="83"/>
      <c r="G62" s="247"/>
      <c r="H62" s="82"/>
    </row>
    <row r="63" spans="1:8" x14ac:dyDescent="0.2">
      <c r="A63" s="10">
        <f t="shared" si="0"/>
        <v>48</v>
      </c>
      <c r="B63" s="131" t="s">
        <v>120</v>
      </c>
      <c r="C63" s="83"/>
      <c r="D63" s="83"/>
      <c r="E63" s="83"/>
      <c r="F63" s="83"/>
      <c r="G63" s="247"/>
      <c r="H63" s="82"/>
    </row>
    <row r="64" spans="1:8" x14ac:dyDescent="0.2">
      <c r="A64" s="10">
        <f t="shared" si="0"/>
        <v>49</v>
      </c>
      <c r="B64" s="131" t="s">
        <v>119</v>
      </c>
      <c r="C64" s="83"/>
      <c r="D64" s="83"/>
      <c r="E64" s="83"/>
      <c r="F64" s="83"/>
      <c r="G64" s="247"/>
      <c r="H64" s="82"/>
    </row>
    <row r="65" spans="1:8" ht="30" x14ac:dyDescent="0.2">
      <c r="A65" s="10">
        <f t="shared" si="0"/>
        <v>50</v>
      </c>
      <c r="B65" s="50" t="s">
        <v>118</v>
      </c>
      <c r="C65" s="83"/>
      <c r="D65" s="83"/>
      <c r="E65" s="83"/>
      <c r="F65" s="83"/>
      <c r="G65" s="247"/>
      <c r="H65" s="82"/>
    </row>
    <row r="66" spans="1:8" s="12" customFormat="1" x14ac:dyDescent="0.2">
      <c r="A66" s="10">
        <f t="shared" si="0"/>
        <v>51</v>
      </c>
      <c r="B66" s="50" t="s">
        <v>287</v>
      </c>
      <c r="C66" s="83"/>
      <c r="D66" s="83"/>
      <c r="E66" s="83"/>
      <c r="F66" s="83"/>
      <c r="G66" s="247"/>
      <c r="H66" s="82"/>
    </row>
    <row r="67" spans="1:8" s="12" customFormat="1" x14ac:dyDescent="0.2">
      <c r="A67" s="10">
        <f t="shared" si="0"/>
        <v>52</v>
      </c>
      <c r="B67" s="50" t="s">
        <v>288</v>
      </c>
      <c r="C67" s="83"/>
      <c r="D67" s="83"/>
      <c r="E67" s="83"/>
      <c r="F67" s="83"/>
      <c r="G67" s="247"/>
      <c r="H67" s="82"/>
    </row>
    <row r="68" spans="1:8" x14ac:dyDescent="0.2">
      <c r="A68" s="10">
        <f t="shared" si="0"/>
        <v>53</v>
      </c>
      <c r="B68" s="130" t="s">
        <v>116</v>
      </c>
      <c r="C68" s="124"/>
      <c r="D68" s="124"/>
      <c r="E68" s="124"/>
      <c r="F68" s="124"/>
      <c r="G68" s="255"/>
      <c r="H68" s="128"/>
    </row>
    <row r="69" spans="1:8" x14ac:dyDescent="0.2">
      <c r="A69" s="10">
        <f t="shared" si="0"/>
        <v>54</v>
      </c>
      <c r="B69" s="126" t="s">
        <v>33</v>
      </c>
      <c r="C69" s="28"/>
      <c r="D69" s="129"/>
      <c r="E69" s="129"/>
      <c r="F69" s="129"/>
      <c r="G69" s="256"/>
      <c r="H69" s="128"/>
    </row>
    <row r="70" spans="1:8" x14ac:dyDescent="0.2">
      <c r="A70" s="10">
        <f t="shared" si="0"/>
        <v>55</v>
      </c>
      <c r="B70" s="123" t="s">
        <v>115</v>
      </c>
      <c r="C70" s="28"/>
      <c r="D70" s="129"/>
      <c r="E70" s="129"/>
      <c r="F70" s="129"/>
      <c r="G70" s="256"/>
      <c r="H70" s="128"/>
    </row>
    <row r="71" spans="1:8" x14ac:dyDescent="0.2">
      <c r="A71" s="10">
        <f t="shared" si="0"/>
        <v>56</v>
      </c>
      <c r="B71" s="123" t="s">
        <v>114</v>
      </c>
      <c r="C71" s="127"/>
      <c r="D71" s="127"/>
      <c r="E71" s="127"/>
      <c r="F71" s="127"/>
      <c r="G71" s="257"/>
      <c r="H71" s="27"/>
    </row>
    <row r="72" spans="1:8" x14ac:dyDescent="0.2">
      <c r="A72" s="10">
        <f t="shared" si="0"/>
        <v>57</v>
      </c>
      <c r="B72" s="126" t="s">
        <v>35</v>
      </c>
      <c r="C72" s="20"/>
      <c r="D72" s="20"/>
      <c r="E72" s="20"/>
      <c r="F72" s="20"/>
      <c r="G72" s="258"/>
      <c r="H72" s="19"/>
    </row>
    <row r="73" spans="1:8" x14ac:dyDescent="0.2">
      <c r="A73" s="10">
        <f t="shared" si="0"/>
        <v>58</v>
      </c>
      <c r="B73" s="123" t="s">
        <v>113</v>
      </c>
      <c r="C73" s="28"/>
      <c r="D73" s="28"/>
      <c r="E73" s="28"/>
      <c r="F73" s="28"/>
      <c r="G73" s="248"/>
      <c r="H73" s="27"/>
    </row>
    <row r="74" spans="1:8" x14ac:dyDescent="0.2">
      <c r="A74" s="10">
        <f t="shared" si="0"/>
        <v>59</v>
      </c>
      <c r="B74" s="126" t="s">
        <v>112</v>
      </c>
      <c r="C74" s="28"/>
      <c r="D74" s="28"/>
      <c r="E74" s="28"/>
      <c r="F74" s="28"/>
      <c r="G74" s="248"/>
      <c r="H74" s="27"/>
    </row>
    <row r="75" spans="1:8" x14ac:dyDescent="0.2">
      <c r="A75" s="10">
        <f t="shared" si="0"/>
        <v>60</v>
      </c>
      <c r="B75" s="122" t="s">
        <v>110</v>
      </c>
      <c r="C75" s="121"/>
      <c r="D75" s="121"/>
      <c r="E75" s="121"/>
      <c r="F75" s="121"/>
      <c r="G75" s="259"/>
      <c r="H75" s="120"/>
    </row>
    <row r="76" spans="1:8" ht="30" x14ac:dyDescent="0.2">
      <c r="A76" s="10">
        <f t="shared" si="0"/>
        <v>61</v>
      </c>
      <c r="B76" s="119" t="s">
        <v>109</v>
      </c>
      <c r="C76" s="118"/>
      <c r="D76" s="118"/>
      <c r="E76" s="118"/>
      <c r="F76" s="118"/>
      <c r="G76" s="260"/>
      <c r="H76" s="117"/>
    </row>
    <row r="77" spans="1:8" s="12" customFormat="1" ht="30" x14ac:dyDescent="0.2">
      <c r="A77" s="10">
        <f t="shared" si="0"/>
        <v>62</v>
      </c>
      <c r="B77" s="119" t="s">
        <v>108</v>
      </c>
      <c r="C77" s="118"/>
      <c r="D77" s="118"/>
      <c r="E77" s="118"/>
      <c r="F77" s="118"/>
      <c r="G77" s="260"/>
      <c r="H77" s="117"/>
    </row>
    <row r="78" spans="1:8" ht="30" x14ac:dyDescent="0.2">
      <c r="A78" s="10">
        <f t="shared" si="0"/>
        <v>63</v>
      </c>
      <c r="B78" s="75" t="s">
        <v>107</v>
      </c>
      <c r="C78" s="62"/>
      <c r="D78" s="62"/>
      <c r="E78" s="62"/>
      <c r="F78" s="62"/>
      <c r="G78" s="261"/>
      <c r="H78" s="116"/>
    </row>
    <row r="79" spans="1:8" ht="30" x14ac:dyDescent="0.2">
      <c r="A79" s="10">
        <f t="shared" si="0"/>
        <v>64</v>
      </c>
      <c r="B79" s="86" t="s">
        <v>106</v>
      </c>
      <c r="C79" s="17"/>
      <c r="D79" s="17"/>
      <c r="E79" s="17"/>
      <c r="F79" s="17"/>
      <c r="G79" s="262"/>
      <c r="H79" s="85"/>
    </row>
    <row r="80" spans="1:8" ht="45" x14ac:dyDescent="0.2">
      <c r="A80" s="10">
        <f t="shared" si="0"/>
        <v>65</v>
      </c>
      <c r="B80" s="86" t="s">
        <v>197</v>
      </c>
      <c r="C80" s="17"/>
      <c r="D80" s="17"/>
      <c r="E80" s="17"/>
      <c r="F80" s="17"/>
      <c r="G80" s="262"/>
      <c r="H80" s="85"/>
    </row>
    <row r="81" spans="1:8" x14ac:dyDescent="0.25">
      <c r="A81" s="10">
        <f t="shared" si="0"/>
        <v>66</v>
      </c>
      <c r="B81" s="15" t="s">
        <v>56</v>
      </c>
      <c r="C81" s="14"/>
      <c r="D81" s="14"/>
      <c r="E81" s="14"/>
      <c r="F81" s="14"/>
      <c r="G81" s="243"/>
      <c r="H81" s="14"/>
    </row>
    <row r="82" spans="1:8" ht="30" x14ac:dyDescent="0.2">
      <c r="A82" s="10">
        <f t="shared" ref="A82:A86" si="1">A81+1</f>
        <v>67</v>
      </c>
      <c r="B82" s="93" t="s">
        <v>3492</v>
      </c>
      <c r="C82" s="62"/>
      <c r="D82" s="62"/>
      <c r="E82" s="62"/>
      <c r="F82" s="62"/>
      <c r="G82" s="261"/>
      <c r="H82" s="75"/>
    </row>
    <row r="83" spans="1:8" x14ac:dyDescent="0.2">
      <c r="A83" s="10">
        <f t="shared" si="1"/>
        <v>68</v>
      </c>
      <c r="B83" s="92" t="s">
        <v>55</v>
      </c>
      <c r="C83" s="17"/>
      <c r="D83" s="17"/>
      <c r="E83" s="17"/>
      <c r="F83" s="17"/>
      <c r="G83" s="262"/>
      <c r="H83" s="85"/>
    </row>
    <row r="84" spans="1:8" s="12" customFormat="1" ht="30" x14ac:dyDescent="0.2">
      <c r="A84" s="10">
        <f t="shared" si="1"/>
        <v>69</v>
      </c>
      <c r="B84" s="50" t="s">
        <v>117</v>
      </c>
      <c r="C84" s="91"/>
      <c r="D84" s="83"/>
      <c r="E84" s="83"/>
      <c r="F84" s="83"/>
      <c r="G84" s="247"/>
      <c r="H84" s="82"/>
    </row>
    <row r="85" spans="1:8" s="12" customFormat="1" ht="30" x14ac:dyDescent="0.2">
      <c r="A85" s="10">
        <f t="shared" si="1"/>
        <v>70</v>
      </c>
      <c r="B85" s="43" t="s">
        <v>289</v>
      </c>
      <c r="C85" s="41"/>
      <c r="D85" s="41"/>
      <c r="E85" s="41"/>
      <c r="F85" s="41"/>
      <c r="G85" s="263"/>
      <c r="H85" s="40"/>
    </row>
    <row r="86" spans="1:8" ht="45" x14ac:dyDescent="0.2">
      <c r="A86" s="10">
        <f t="shared" si="1"/>
        <v>71</v>
      </c>
      <c r="B86" s="75" t="s">
        <v>257</v>
      </c>
      <c r="C86" s="89"/>
      <c r="D86" s="89"/>
      <c r="E86" s="89"/>
      <c r="F86" s="89"/>
      <c r="G86" s="244"/>
      <c r="H86" s="75"/>
    </row>
    <row r="87" spans="1:8" x14ac:dyDescent="0.2">
      <c r="A87" s="10">
        <f t="shared" ref="A87:A142" si="2">A86+1</f>
        <v>72</v>
      </c>
      <c r="B87" s="63" t="s">
        <v>54</v>
      </c>
      <c r="C87" s="62"/>
      <c r="D87" s="62"/>
      <c r="E87" s="62"/>
      <c r="F87" s="62"/>
      <c r="G87" s="261"/>
      <c r="H87" s="75"/>
    </row>
    <row r="88" spans="1:8" x14ac:dyDescent="0.2">
      <c r="A88" s="10">
        <f t="shared" si="2"/>
        <v>73</v>
      </c>
      <c r="B88" s="63" t="s">
        <v>53</v>
      </c>
      <c r="C88" s="62"/>
      <c r="D88" s="62"/>
      <c r="E88" s="62"/>
      <c r="F88" s="62"/>
      <c r="G88" s="261"/>
      <c r="H88" s="75"/>
    </row>
    <row r="89" spans="1:8" s="12" customFormat="1" ht="30" x14ac:dyDescent="0.2">
      <c r="A89" s="10">
        <f t="shared" si="2"/>
        <v>74</v>
      </c>
      <c r="B89" s="50" t="s">
        <v>52</v>
      </c>
      <c r="C89" s="91"/>
      <c r="D89" s="83"/>
      <c r="E89" s="83"/>
      <c r="F89" s="83"/>
      <c r="G89" s="247"/>
      <c r="H89" s="82"/>
    </row>
    <row r="90" spans="1:8" x14ac:dyDescent="0.2">
      <c r="A90" s="10">
        <f t="shared" si="2"/>
        <v>75</v>
      </c>
      <c r="B90" s="42" t="s">
        <v>51</v>
      </c>
      <c r="C90" s="41"/>
      <c r="D90" s="41"/>
      <c r="E90" s="41"/>
      <c r="F90" s="41"/>
      <c r="G90" s="263"/>
      <c r="H90" s="40"/>
    </row>
    <row r="91" spans="1:8" x14ac:dyDescent="0.2">
      <c r="A91" s="10">
        <f t="shared" si="2"/>
        <v>76</v>
      </c>
      <c r="B91" s="90" t="s">
        <v>50</v>
      </c>
      <c r="C91" s="81"/>
      <c r="D91" s="81"/>
      <c r="E91" s="81"/>
      <c r="F91" s="81"/>
      <c r="G91" s="264"/>
      <c r="H91" s="80"/>
    </row>
    <row r="92" spans="1:8" ht="30" x14ac:dyDescent="0.2">
      <c r="A92" s="10">
        <f t="shared" si="2"/>
        <v>77</v>
      </c>
      <c r="B92" s="50" t="s">
        <v>266</v>
      </c>
      <c r="C92" s="20"/>
      <c r="D92" s="20"/>
      <c r="E92" s="20"/>
      <c r="F92" s="20"/>
      <c r="G92" s="258"/>
      <c r="H92" s="19"/>
    </row>
    <row r="93" spans="1:8" x14ac:dyDescent="0.2">
      <c r="A93" s="10">
        <f t="shared" si="2"/>
        <v>78</v>
      </c>
      <c r="B93" s="50" t="s">
        <v>49</v>
      </c>
      <c r="C93" s="28"/>
      <c r="D93" s="28"/>
      <c r="E93" s="28"/>
      <c r="F93" s="28"/>
      <c r="G93" s="248"/>
      <c r="H93" s="27"/>
    </row>
    <row r="94" spans="1:8" ht="30" x14ac:dyDescent="0.25">
      <c r="A94" s="10">
        <f t="shared" si="2"/>
        <v>79</v>
      </c>
      <c r="B94" s="145" t="s">
        <v>48</v>
      </c>
      <c r="C94" s="88"/>
      <c r="D94" s="88"/>
      <c r="E94" s="88"/>
      <c r="F94" s="88"/>
      <c r="G94" s="265"/>
      <c r="H94" s="87"/>
    </row>
    <row r="95" spans="1:8" s="12" customFormat="1" ht="30" x14ac:dyDescent="0.25">
      <c r="A95" s="10">
        <f t="shared" si="2"/>
        <v>80</v>
      </c>
      <c r="B95" s="145" t="s">
        <v>290</v>
      </c>
      <c r="C95" s="78"/>
      <c r="D95" s="78"/>
      <c r="E95" s="78"/>
      <c r="F95" s="78"/>
      <c r="G95" s="266"/>
      <c r="H95" s="77"/>
    </row>
    <row r="96" spans="1:8" x14ac:dyDescent="0.25">
      <c r="A96" s="10">
        <f t="shared" si="2"/>
        <v>81</v>
      </c>
      <c r="B96" s="15" t="s">
        <v>46</v>
      </c>
      <c r="C96" s="14"/>
      <c r="D96" s="14"/>
      <c r="E96" s="14"/>
      <c r="F96" s="14"/>
      <c r="G96" s="243"/>
      <c r="H96" s="14"/>
    </row>
    <row r="97" spans="1:8" s="12" customFormat="1" ht="30" x14ac:dyDescent="0.25">
      <c r="A97" s="10">
        <f t="shared" si="2"/>
        <v>82</v>
      </c>
      <c r="B97" s="79" t="s">
        <v>267</v>
      </c>
      <c r="C97" s="78"/>
      <c r="D97" s="78"/>
      <c r="E97" s="78"/>
      <c r="F97" s="78"/>
      <c r="G97" s="266"/>
      <c r="H97" s="77"/>
    </row>
    <row r="98" spans="1:8" s="12" customFormat="1" ht="45" x14ac:dyDescent="0.2">
      <c r="A98" s="10">
        <f t="shared" si="2"/>
        <v>83</v>
      </c>
      <c r="B98" s="40" t="s">
        <v>269</v>
      </c>
      <c r="C98" s="41"/>
      <c r="D98" s="41"/>
      <c r="E98" s="41"/>
      <c r="F98" s="41"/>
      <c r="G98" s="263"/>
      <c r="H98" s="40"/>
    </row>
    <row r="99" spans="1:8" s="12" customFormat="1" ht="30" x14ac:dyDescent="0.2">
      <c r="A99" s="10">
        <f t="shared" si="2"/>
        <v>84</v>
      </c>
      <c r="B99" s="40" t="s">
        <v>268</v>
      </c>
      <c r="C99" s="41"/>
      <c r="D99" s="41"/>
      <c r="E99" s="41"/>
      <c r="F99" s="41"/>
      <c r="G99" s="263"/>
      <c r="H99" s="40"/>
    </row>
    <row r="100" spans="1:8" s="12" customFormat="1" x14ac:dyDescent="0.2">
      <c r="A100" s="10">
        <f t="shared" si="2"/>
        <v>85</v>
      </c>
      <c r="B100" s="80" t="s">
        <v>45</v>
      </c>
      <c r="C100" s="41"/>
      <c r="D100" s="41"/>
      <c r="E100" s="41"/>
      <c r="F100" s="41"/>
      <c r="G100" s="263"/>
      <c r="H100" s="40"/>
    </row>
    <row r="101" spans="1:8" s="12" customFormat="1" x14ac:dyDescent="0.2">
      <c r="A101" s="10">
        <f t="shared" si="2"/>
        <v>86</v>
      </c>
      <c r="B101" s="40" t="s">
        <v>44</v>
      </c>
      <c r="C101" s="41"/>
      <c r="D101" s="41"/>
      <c r="E101" s="41"/>
      <c r="F101" s="41"/>
      <c r="G101" s="263"/>
      <c r="H101" s="40"/>
    </row>
    <row r="102" spans="1:8" ht="30" x14ac:dyDescent="0.2">
      <c r="A102" s="10">
        <f t="shared" si="2"/>
        <v>87</v>
      </c>
      <c r="B102" s="76" t="s">
        <v>43</v>
      </c>
      <c r="C102" s="62"/>
      <c r="D102" s="62"/>
      <c r="E102" s="62"/>
      <c r="F102" s="62"/>
      <c r="G102" s="261"/>
      <c r="H102" s="75"/>
    </row>
    <row r="103" spans="1:8" x14ac:dyDescent="0.2">
      <c r="A103" s="10">
        <f t="shared" si="2"/>
        <v>88</v>
      </c>
      <c r="B103" s="76" t="s">
        <v>283</v>
      </c>
      <c r="C103" s="62"/>
      <c r="D103" s="62"/>
      <c r="E103" s="62"/>
      <c r="F103" s="62"/>
      <c r="G103" s="261"/>
      <c r="H103" s="75"/>
    </row>
    <row r="104" spans="1:8" ht="30" x14ac:dyDescent="0.2">
      <c r="A104" s="10">
        <f t="shared" si="2"/>
        <v>89</v>
      </c>
      <c r="B104" s="74" t="s">
        <v>42</v>
      </c>
      <c r="C104" s="28"/>
      <c r="D104" s="28"/>
      <c r="E104" s="28"/>
      <c r="F104" s="28"/>
      <c r="G104" s="248"/>
      <c r="H104" s="27"/>
    </row>
    <row r="105" spans="1:8" x14ac:dyDescent="0.2">
      <c r="A105" s="10">
        <f t="shared" si="2"/>
        <v>90</v>
      </c>
      <c r="B105" s="22" t="s">
        <v>41</v>
      </c>
      <c r="C105" s="20"/>
      <c r="D105" s="20"/>
      <c r="E105" s="20"/>
      <c r="F105" s="20"/>
      <c r="G105" s="258"/>
      <c r="H105" s="19"/>
    </row>
    <row r="106" spans="1:8" s="12" customFormat="1" ht="30" x14ac:dyDescent="0.2">
      <c r="A106" s="10">
        <f t="shared" si="2"/>
        <v>91</v>
      </c>
      <c r="B106" s="50" t="s">
        <v>339</v>
      </c>
      <c r="C106" s="83"/>
      <c r="D106" s="83"/>
      <c r="E106" s="83"/>
      <c r="F106" s="83"/>
      <c r="G106" s="247"/>
      <c r="H106" s="82"/>
    </row>
    <row r="107" spans="1:8" s="12" customFormat="1" x14ac:dyDescent="0.2">
      <c r="A107" s="10">
        <f t="shared" si="2"/>
        <v>92</v>
      </c>
      <c r="B107" s="301" t="s">
        <v>40</v>
      </c>
      <c r="C107" s="83"/>
      <c r="D107" s="83"/>
      <c r="E107" s="83"/>
      <c r="F107" s="83"/>
      <c r="G107" s="247"/>
      <c r="H107" s="82"/>
    </row>
    <row r="108" spans="1:8" s="12" customFormat="1" x14ac:dyDescent="0.2">
      <c r="A108" s="10">
        <f t="shared" si="2"/>
        <v>93</v>
      </c>
      <c r="B108" s="301" t="s">
        <v>340</v>
      </c>
      <c r="C108" s="83"/>
      <c r="D108" s="83"/>
      <c r="E108" s="83"/>
      <c r="F108" s="83"/>
      <c r="G108" s="247"/>
      <c r="H108" s="82"/>
    </row>
    <row r="109" spans="1:8" x14ac:dyDescent="0.2">
      <c r="A109" s="10">
        <f t="shared" si="2"/>
        <v>94</v>
      </c>
      <c r="B109" s="74" t="s">
        <v>162</v>
      </c>
      <c r="C109" s="28"/>
      <c r="D109" s="28"/>
      <c r="E109" s="28"/>
      <c r="F109" s="28"/>
      <c r="G109" s="248"/>
      <c r="H109" s="27"/>
    </row>
    <row r="110" spans="1:8" x14ac:dyDescent="0.25">
      <c r="A110" s="10">
        <f t="shared" si="2"/>
        <v>95</v>
      </c>
      <c r="B110" s="15" t="s">
        <v>39</v>
      </c>
      <c r="C110" s="14"/>
      <c r="D110" s="14"/>
      <c r="E110" s="14"/>
      <c r="F110" s="14"/>
      <c r="G110" s="243"/>
      <c r="H110" s="14"/>
    </row>
    <row r="111" spans="1:8" ht="30" x14ac:dyDescent="0.2">
      <c r="A111" s="10">
        <f t="shared" si="2"/>
        <v>96</v>
      </c>
      <c r="B111" s="73" t="s">
        <v>38</v>
      </c>
      <c r="C111" s="72"/>
      <c r="D111" s="72"/>
      <c r="E111" s="72"/>
      <c r="F111" s="72"/>
      <c r="G111" s="267"/>
      <c r="H111" s="71"/>
    </row>
    <row r="112" spans="1:8" x14ac:dyDescent="0.2">
      <c r="A112" s="10">
        <f t="shared" si="2"/>
        <v>97</v>
      </c>
      <c r="B112" s="70" t="s">
        <v>37</v>
      </c>
      <c r="C112" s="69"/>
      <c r="D112" s="69"/>
      <c r="E112" s="69"/>
      <c r="F112" s="69"/>
      <c r="G112" s="268"/>
      <c r="H112" s="67"/>
    </row>
    <row r="113" spans="1:8" x14ac:dyDescent="0.2">
      <c r="A113" s="10">
        <f t="shared" si="2"/>
        <v>98</v>
      </c>
      <c r="B113" s="68" t="s">
        <v>36</v>
      </c>
      <c r="C113" s="53"/>
      <c r="D113" s="61"/>
      <c r="E113" s="61"/>
      <c r="F113" s="61"/>
      <c r="G113" s="269"/>
      <c r="H113" s="67"/>
    </row>
    <row r="114" spans="1:8" x14ac:dyDescent="0.2">
      <c r="A114" s="10">
        <f t="shared" si="2"/>
        <v>99</v>
      </c>
      <c r="B114" s="68" t="s">
        <v>35</v>
      </c>
      <c r="C114" s="53"/>
      <c r="D114" s="61"/>
      <c r="E114" s="61"/>
      <c r="F114" s="61"/>
      <c r="G114" s="269"/>
      <c r="H114" s="67"/>
    </row>
    <row r="115" spans="1:8" x14ac:dyDescent="0.2">
      <c r="A115" s="10">
        <f t="shared" si="2"/>
        <v>100</v>
      </c>
      <c r="B115" s="68" t="s">
        <v>34</v>
      </c>
      <c r="C115" s="53"/>
      <c r="D115" s="61"/>
      <c r="E115" s="61"/>
      <c r="F115" s="61"/>
      <c r="G115" s="269"/>
      <c r="H115" s="67"/>
    </row>
    <row r="116" spans="1:8" x14ac:dyDescent="0.2">
      <c r="A116" s="10">
        <f t="shared" si="2"/>
        <v>101</v>
      </c>
      <c r="B116" s="68" t="s">
        <v>33</v>
      </c>
      <c r="C116" s="53"/>
      <c r="D116" s="61"/>
      <c r="E116" s="61"/>
      <c r="F116" s="61"/>
      <c r="G116" s="269"/>
      <c r="H116" s="67"/>
    </row>
    <row r="117" spans="1:8" s="12" customFormat="1" x14ac:dyDescent="0.2">
      <c r="A117" s="10">
        <f t="shared" si="2"/>
        <v>102</v>
      </c>
      <c r="B117" s="302" t="s">
        <v>291</v>
      </c>
      <c r="C117" s="303"/>
      <c r="D117" s="303"/>
      <c r="E117" s="303"/>
      <c r="F117" s="303"/>
      <c r="G117" s="304"/>
      <c r="H117" s="305"/>
    </row>
    <row r="118" spans="1:8" s="12" customFormat="1" x14ac:dyDescent="0.2">
      <c r="A118" s="10">
        <f t="shared" si="2"/>
        <v>103</v>
      </c>
      <c r="B118" s="42" t="s">
        <v>198</v>
      </c>
      <c r="C118" s="41"/>
      <c r="D118" s="41"/>
      <c r="E118" s="41"/>
      <c r="F118" s="41"/>
      <c r="G118" s="263"/>
      <c r="H118" s="40"/>
    </row>
    <row r="119" spans="1:8" x14ac:dyDescent="0.2">
      <c r="A119" s="10">
        <f t="shared" si="2"/>
        <v>104</v>
      </c>
      <c r="B119" s="66" t="s">
        <v>32</v>
      </c>
      <c r="C119" s="65"/>
      <c r="D119" s="65"/>
      <c r="E119" s="65"/>
      <c r="F119" s="65"/>
      <c r="G119" s="270"/>
      <c r="H119" s="18"/>
    </row>
    <row r="120" spans="1:8" x14ac:dyDescent="0.2">
      <c r="A120" s="10">
        <f t="shared" si="2"/>
        <v>105</v>
      </c>
      <c r="B120" s="64" t="s">
        <v>31</v>
      </c>
      <c r="C120" s="62"/>
      <c r="D120" s="62"/>
      <c r="E120" s="62"/>
      <c r="F120" s="62"/>
      <c r="G120" s="261"/>
      <c r="H120" s="18"/>
    </row>
    <row r="121" spans="1:8" x14ac:dyDescent="0.2">
      <c r="A121" s="10">
        <f t="shared" si="2"/>
        <v>106</v>
      </c>
      <c r="B121" s="64" t="s">
        <v>30</v>
      </c>
      <c r="C121" s="62"/>
      <c r="D121" s="62"/>
      <c r="E121" s="62"/>
      <c r="F121" s="62"/>
      <c r="G121" s="261"/>
      <c r="H121" s="18"/>
    </row>
    <row r="122" spans="1:8" x14ac:dyDescent="0.2">
      <c r="A122" s="10">
        <f t="shared" si="2"/>
        <v>107</v>
      </c>
      <c r="B122" s="64" t="s">
        <v>29</v>
      </c>
      <c r="C122" s="62"/>
      <c r="D122" s="62"/>
      <c r="E122" s="62"/>
      <c r="F122" s="62"/>
      <c r="G122" s="261"/>
      <c r="H122" s="18"/>
    </row>
    <row r="123" spans="1:8" x14ac:dyDescent="0.2">
      <c r="A123" s="10">
        <f t="shared" si="2"/>
        <v>108</v>
      </c>
      <c r="B123" s="64" t="s">
        <v>28</v>
      </c>
      <c r="C123" s="62"/>
      <c r="D123" s="62"/>
      <c r="E123" s="62"/>
      <c r="F123" s="62"/>
      <c r="G123" s="261"/>
      <c r="H123" s="18"/>
    </row>
    <row r="124" spans="1:8" ht="30" x14ac:dyDescent="0.2">
      <c r="A124" s="10">
        <f t="shared" si="2"/>
        <v>109</v>
      </c>
      <c r="B124" s="63" t="s">
        <v>27</v>
      </c>
      <c r="C124" s="17"/>
      <c r="D124" s="17"/>
      <c r="E124" s="17"/>
      <c r="F124" s="17"/>
      <c r="G124" s="262"/>
      <c r="H124" s="16"/>
    </row>
    <row r="125" spans="1:8" x14ac:dyDescent="0.2">
      <c r="A125" s="10">
        <f t="shared" si="2"/>
        <v>110</v>
      </c>
      <c r="B125" s="63" t="s">
        <v>26</v>
      </c>
      <c r="C125" s="62"/>
      <c r="D125" s="62"/>
      <c r="E125" s="62"/>
      <c r="F125" s="62"/>
      <c r="G125" s="261"/>
      <c r="H125" s="18"/>
    </row>
    <row r="126" spans="1:8" x14ac:dyDescent="0.2">
      <c r="A126" s="10">
        <f t="shared" si="2"/>
        <v>111</v>
      </c>
      <c r="B126" s="63" t="s">
        <v>163</v>
      </c>
      <c r="C126" s="62"/>
      <c r="D126" s="62"/>
      <c r="E126" s="62"/>
      <c r="F126" s="62"/>
      <c r="G126" s="261"/>
      <c r="H126" s="18"/>
    </row>
    <row r="127" spans="1:8" x14ac:dyDescent="0.2">
      <c r="A127" s="10">
        <f t="shared" si="2"/>
        <v>112</v>
      </c>
      <c r="B127" s="63" t="s">
        <v>25</v>
      </c>
      <c r="C127" s="62"/>
      <c r="D127" s="62"/>
      <c r="E127" s="62"/>
      <c r="F127" s="62"/>
      <c r="G127" s="261"/>
      <c r="H127" s="18"/>
    </row>
    <row r="128" spans="1:8" x14ac:dyDescent="0.2">
      <c r="A128" s="10">
        <f t="shared" si="2"/>
        <v>113</v>
      </c>
      <c r="B128" s="63" t="s">
        <v>24</v>
      </c>
      <c r="C128" s="62"/>
      <c r="D128" s="62"/>
      <c r="E128" s="62"/>
      <c r="F128" s="62"/>
      <c r="G128" s="261"/>
      <c r="H128" s="18"/>
    </row>
    <row r="129" spans="1:8" x14ac:dyDescent="0.2">
      <c r="A129" s="10">
        <f t="shared" si="2"/>
        <v>114</v>
      </c>
      <c r="B129" s="63" t="s">
        <v>23</v>
      </c>
      <c r="C129" s="62"/>
      <c r="D129" s="62"/>
      <c r="E129" s="62"/>
      <c r="F129" s="62"/>
      <c r="G129" s="261"/>
      <c r="H129" s="18"/>
    </row>
    <row r="130" spans="1:8" ht="30" x14ac:dyDescent="0.2">
      <c r="A130" s="10">
        <f t="shared" si="2"/>
        <v>115</v>
      </c>
      <c r="B130" s="218" t="s">
        <v>270</v>
      </c>
      <c r="C130" s="61"/>
      <c r="D130" s="60"/>
      <c r="E130" s="60"/>
      <c r="F130" s="60"/>
      <c r="G130" s="271"/>
      <c r="H130" s="59"/>
    </row>
    <row r="131" spans="1:8" x14ac:dyDescent="0.2">
      <c r="A131" s="10">
        <f t="shared" si="2"/>
        <v>116</v>
      </c>
      <c r="B131" s="58" t="s">
        <v>22</v>
      </c>
      <c r="C131" s="57"/>
      <c r="D131" s="57"/>
      <c r="E131" s="57"/>
      <c r="F131" s="57"/>
      <c r="G131" s="272"/>
      <c r="H131" s="51"/>
    </row>
    <row r="132" spans="1:8" x14ac:dyDescent="0.2">
      <c r="A132" s="10">
        <f t="shared" si="2"/>
        <v>117</v>
      </c>
      <c r="B132" s="54" t="s">
        <v>21</v>
      </c>
      <c r="C132" s="53"/>
      <c r="D132" s="52"/>
      <c r="E132" s="52"/>
      <c r="F132" s="52"/>
      <c r="G132" s="273"/>
      <c r="H132" s="51"/>
    </row>
    <row r="133" spans="1:8" x14ac:dyDescent="0.2">
      <c r="A133" s="10">
        <f t="shared" si="2"/>
        <v>118</v>
      </c>
      <c r="B133" s="54" t="s">
        <v>20</v>
      </c>
      <c r="C133" s="53"/>
      <c r="D133" s="52"/>
      <c r="E133" s="52"/>
      <c r="F133" s="52"/>
      <c r="G133" s="273"/>
      <c r="H133" s="51"/>
    </row>
    <row r="134" spans="1:8" x14ac:dyDescent="0.2">
      <c r="A134" s="10">
        <f t="shared" si="2"/>
        <v>119</v>
      </c>
      <c r="B134" s="54" t="s">
        <v>19</v>
      </c>
      <c r="C134" s="53"/>
      <c r="D134" s="52"/>
      <c r="E134" s="52"/>
      <c r="F134" s="52"/>
      <c r="G134" s="273"/>
      <c r="H134" s="51"/>
    </row>
    <row r="135" spans="1:8" x14ac:dyDescent="0.2">
      <c r="A135" s="10">
        <f t="shared" si="2"/>
        <v>120</v>
      </c>
      <c r="B135" s="54" t="s">
        <v>250</v>
      </c>
      <c r="C135" s="53"/>
      <c r="D135" s="52"/>
      <c r="E135" s="52"/>
      <c r="F135" s="52"/>
      <c r="G135" s="273"/>
      <c r="H135" s="51"/>
    </row>
    <row r="136" spans="1:8" s="12" customFormat="1" x14ac:dyDescent="0.2">
      <c r="A136" s="10">
        <f t="shared" si="2"/>
        <v>121</v>
      </c>
      <c r="B136" s="306" t="s">
        <v>291</v>
      </c>
      <c r="C136" s="303"/>
      <c r="D136" s="307"/>
      <c r="E136" s="307"/>
      <c r="F136" s="307"/>
      <c r="G136" s="308"/>
      <c r="H136" s="309"/>
    </row>
    <row r="137" spans="1:8" x14ac:dyDescent="0.2">
      <c r="A137" s="10">
        <f t="shared" si="2"/>
        <v>122</v>
      </c>
      <c r="B137" s="54" t="s">
        <v>18</v>
      </c>
      <c r="C137" s="53"/>
      <c r="D137" s="52"/>
      <c r="E137" s="52"/>
      <c r="F137" s="52"/>
      <c r="G137" s="273"/>
      <c r="H137" s="51"/>
    </row>
    <row r="138" spans="1:8" x14ac:dyDescent="0.25">
      <c r="A138" s="10">
        <f t="shared" si="2"/>
        <v>123</v>
      </c>
      <c r="B138" s="54" t="s">
        <v>17</v>
      </c>
      <c r="C138" s="53"/>
      <c r="D138" s="56"/>
      <c r="E138" s="56"/>
      <c r="F138" s="56"/>
      <c r="G138" s="274"/>
      <c r="H138" s="55"/>
    </row>
    <row r="139" spans="1:8" x14ac:dyDescent="0.2">
      <c r="A139" s="10">
        <f t="shared" si="2"/>
        <v>124</v>
      </c>
      <c r="B139" s="54" t="s">
        <v>16</v>
      </c>
      <c r="C139" s="53"/>
      <c r="D139" s="52"/>
      <c r="E139" s="52"/>
      <c r="F139" s="52"/>
      <c r="G139" s="273"/>
      <c r="H139" s="51"/>
    </row>
    <row r="140" spans="1:8" x14ac:dyDescent="0.2">
      <c r="A140" s="10">
        <f t="shared" si="2"/>
        <v>125</v>
      </c>
      <c r="B140" s="54" t="s">
        <v>15</v>
      </c>
      <c r="C140" s="53"/>
      <c r="D140" s="52"/>
      <c r="E140" s="52"/>
      <c r="F140" s="52"/>
      <c r="G140" s="273"/>
      <c r="H140" s="51"/>
    </row>
    <row r="141" spans="1:8" x14ac:dyDescent="0.2">
      <c r="A141" s="10">
        <f t="shared" si="2"/>
        <v>126</v>
      </c>
      <c r="B141" s="54" t="s">
        <v>14</v>
      </c>
      <c r="C141" s="53"/>
      <c r="D141" s="52"/>
      <c r="E141" s="52"/>
      <c r="F141" s="52"/>
      <c r="G141" s="273"/>
      <c r="H141" s="51"/>
    </row>
    <row r="142" spans="1:8" s="12" customFormat="1" ht="30" x14ac:dyDescent="0.2">
      <c r="A142" s="10">
        <f t="shared" si="2"/>
        <v>127</v>
      </c>
      <c r="B142" s="50" t="s">
        <v>13</v>
      </c>
      <c r="C142" s="49"/>
      <c r="D142" s="49"/>
      <c r="E142" s="49"/>
      <c r="F142" s="49"/>
      <c r="G142" s="275"/>
      <c r="H142" s="48"/>
    </row>
    <row r="143" spans="1:8" s="12" customFormat="1" ht="30" x14ac:dyDescent="0.25">
      <c r="A143" s="10">
        <f t="shared" ref="A143:A206" si="3">A142+1</f>
        <v>128</v>
      </c>
      <c r="B143" s="47" t="s">
        <v>12</v>
      </c>
      <c r="C143" s="46"/>
      <c r="D143" s="46"/>
      <c r="E143" s="46"/>
      <c r="F143" s="46"/>
      <c r="G143" s="276"/>
      <c r="H143" s="45"/>
    </row>
    <row r="144" spans="1:8" s="12" customFormat="1" ht="30" x14ac:dyDescent="0.2">
      <c r="A144" s="10">
        <f t="shared" si="3"/>
        <v>129</v>
      </c>
      <c r="B144" s="44" t="s">
        <v>271</v>
      </c>
      <c r="C144" s="41"/>
      <c r="D144" s="41"/>
      <c r="E144" s="41"/>
      <c r="F144" s="41"/>
      <c r="G144" s="263"/>
      <c r="H144" s="40"/>
    </row>
    <row r="145" spans="1:8" s="12" customFormat="1" ht="30" x14ac:dyDescent="0.2">
      <c r="A145" s="10">
        <f t="shared" si="3"/>
        <v>130</v>
      </c>
      <c r="B145" s="42" t="s">
        <v>0</v>
      </c>
      <c r="C145" s="41"/>
      <c r="D145" s="41"/>
      <c r="E145" s="41"/>
      <c r="F145" s="41"/>
      <c r="G145" s="263"/>
      <c r="H145" s="40"/>
    </row>
    <row r="146" spans="1:8" s="12" customFormat="1" x14ac:dyDescent="0.2">
      <c r="A146" s="10">
        <f t="shared" si="3"/>
        <v>131</v>
      </c>
      <c r="B146" s="43" t="s">
        <v>11</v>
      </c>
      <c r="C146" s="41"/>
      <c r="D146" s="41"/>
      <c r="E146" s="41"/>
      <c r="F146" s="41"/>
      <c r="G146" s="263"/>
      <c r="H146" s="40"/>
    </row>
    <row r="147" spans="1:8" s="12" customFormat="1" x14ac:dyDescent="0.2">
      <c r="A147" s="10">
        <f t="shared" si="3"/>
        <v>132</v>
      </c>
      <c r="B147" s="43" t="s">
        <v>10</v>
      </c>
      <c r="C147" s="41"/>
      <c r="D147" s="41"/>
      <c r="E147" s="41"/>
      <c r="F147" s="41"/>
      <c r="G147" s="263"/>
      <c r="H147" s="40"/>
    </row>
    <row r="148" spans="1:8" s="12" customFormat="1" x14ac:dyDescent="0.2">
      <c r="A148" s="10">
        <f t="shared" si="3"/>
        <v>133</v>
      </c>
      <c r="B148" s="43" t="s">
        <v>292</v>
      </c>
      <c r="C148" s="41"/>
      <c r="D148" s="41"/>
      <c r="E148" s="41"/>
      <c r="F148" s="41"/>
      <c r="G148" s="263"/>
      <c r="H148" s="40"/>
    </row>
    <row r="149" spans="1:8" s="12" customFormat="1" x14ac:dyDescent="0.2">
      <c r="A149" s="10">
        <f t="shared" si="3"/>
        <v>134</v>
      </c>
      <c r="B149" s="43" t="s">
        <v>293</v>
      </c>
      <c r="C149" s="41"/>
      <c r="D149" s="41"/>
      <c r="E149" s="41"/>
      <c r="F149" s="41"/>
      <c r="G149" s="263"/>
      <c r="H149" s="40"/>
    </row>
    <row r="150" spans="1:8" s="12" customFormat="1" x14ac:dyDescent="0.2">
      <c r="A150" s="10">
        <f t="shared" si="3"/>
        <v>135</v>
      </c>
      <c r="B150" s="43" t="s">
        <v>9</v>
      </c>
      <c r="C150" s="41"/>
      <c r="D150" s="41"/>
      <c r="E150" s="41"/>
      <c r="F150" s="41"/>
      <c r="G150" s="263"/>
      <c r="H150" s="40"/>
    </row>
    <row r="151" spans="1:8" s="12" customFormat="1" x14ac:dyDescent="0.2">
      <c r="A151" s="10">
        <f t="shared" si="3"/>
        <v>136</v>
      </c>
      <c r="B151" s="39" t="s">
        <v>8</v>
      </c>
      <c r="C151" s="38"/>
      <c r="D151" s="38"/>
      <c r="E151" s="38"/>
      <c r="F151" s="38"/>
      <c r="G151" s="277"/>
      <c r="H151" s="37"/>
    </row>
    <row r="152" spans="1:8" x14ac:dyDescent="0.2">
      <c r="A152" s="10">
        <f t="shared" si="3"/>
        <v>137</v>
      </c>
      <c r="B152" s="34" t="s">
        <v>7</v>
      </c>
      <c r="C152" s="29"/>
      <c r="D152" s="20"/>
      <c r="E152" s="20"/>
      <c r="F152" s="20"/>
      <c r="G152" s="258"/>
      <c r="H152" s="31"/>
    </row>
    <row r="153" spans="1:8" x14ac:dyDescent="0.2">
      <c r="A153" s="10">
        <f t="shared" si="3"/>
        <v>138</v>
      </c>
      <c r="B153" s="30" t="s">
        <v>272</v>
      </c>
      <c r="C153" s="33"/>
      <c r="D153" s="33"/>
      <c r="E153" s="33"/>
      <c r="F153" s="33"/>
      <c r="G153" s="278"/>
      <c r="H153" s="31"/>
    </row>
    <row r="154" spans="1:8" x14ac:dyDescent="0.2">
      <c r="A154" s="10">
        <f t="shared" si="3"/>
        <v>139</v>
      </c>
      <c r="B154" s="32" t="s">
        <v>6</v>
      </c>
      <c r="C154" s="21"/>
      <c r="D154" s="20"/>
      <c r="E154" s="20"/>
      <c r="F154" s="20"/>
      <c r="G154" s="258"/>
      <c r="H154" s="31"/>
    </row>
    <row r="155" spans="1:8" x14ac:dyDescent="0.2">
      <c r="A155" s="10">
        <f t="shared" si="3"/>
        <v>140</v>
      </c>
      <c r="B155" s="32" t="s">
        <v>5</v>
      </c>
      <c r="C155" s="21"/>
      <c r="D155" s="20"/>
      <c r="E155" s="20"/>
      <c r="F155" s="20"/>
      <c r="G155" s="258"/>
      <c r="H155" s="31"/>
    </row>
    <row r="156" spans="1:8" s="12" customFormat="1" x14ac:dyDescent="0.2">
      <c r="A156" s="10">
        <f t="shared" si="3"/>
        <v>141</v>
      </c>
      <c r="B156" s="241" t="s">
        <v>4</v>
      </c>
      <c r="C156" s="91"/>
      <c r="D156" s="83"/>
      <c r="E156" s="83"/>
      <c r="F156" s="83"/>
      <c r="G156" s="247"/>
      <c r="H156" s="48"/>
    </row>
    <row r="157" spans="1:8" x14ac:dyDescent="0.2">
      <c r="A157" s="10">
        <f t="shared" si="3"/>
        <v>142</v>
      </c>
      <c r="B157" s="30" t="s">
        <v>3</v>
      </c>
      <c r="C157" s="29"/>
      <c r="D157" s="28"/>
      <c r="E157" s="28"/>
      <c r="F157" s="28"/>
      <c r="G157" s="248"/>
      <c r="H157" s="27"/>
    </row>
    <row r="158" spans="1:8" x14ac:dyDescent="0.2">
      <c r="A158" s="10">
        <f t="shared" si="3"/>
        <v>143</v>
      </c>
      <c r="B158" s="30" t="s">
        <v>2</v>
      </c>
      <c r="C158" s="29"/>
      <c r="D158" s="28"/>
      <c r="E158" s="28"/>
      <c r="F158" s="28"/>
      <c r="G158" s="248"/>
      <c r="H158" s="27"/>
    </row>
    <row r="159" spans="1:8" ht="30" x14ac:dyDescent="0.2">
      <c r="A159" s="10">
        <f t="shared" si="3"/>
        <v>144</v>
      </c>
      <c r="B159" s="30" t="s">
        <v>1</v>
      </c>
      <c r="C159" s="29"/>
      <c r="D159" s="28"/>
      <c r="E159" s="28"/>
      <c r="F159" s="28"/>
      <c r="G159" s="248"/>
      <c r="H159" s="27"/>
    </row>
    <row r="160" spans="1:8" ht="30" x14ac:dyDescent="0.2">
      <c r="A160" s="10">
        <f t="shared" si="3"/>
        <v>145</v>
      </c>
      <c r="B160" s="26" t="s">
        <v>199</v>
      </c>
      <c r="C160" s="25"/>
      <c r="D160" s="24"/>
      <c r="E160" s="24"/>
      <c r="F160" s="24"/>
      <c r="G160" s="251"/>
      <c r="H160" s="23"/>
    </row>
    <row r="161" spans="1:8" x14ac:dyDescent="0.25">
      <c r="A161" s="10">
        <f t="shared" si="3"/>
        <v>146</v>
      </c>
      <c r="B161" s="15" t="s">
        <v>247</v>
      </c>
      <c r="C161" s="14"/>
      <c r="D161" s="14"/>
      <c r="E161" s="14"/>
      <c r="F161" s="14"/>
      <c r="G161" s="243"/>
      <c r="H161" s="14"/>
    </row>
    <row r="162" spans="1:8" x14ac:dyDescent="0.2">
      <c r="A162" s="10">
        <f t="shared" si="3"/>
        <v>147</v>
      </c>
      <c r="B162" s="210" t="s">
        <v>213</v>
      </c>
      <c r="C162" s="210"/>
      <c r="D162" s="210"/>
      <c r="E162" s="210"/>
      <c r="F162" s="210"/>
      <c r="G162" s="279"/>
      <c r="H162" s="210"/>
    </row>
    <row r="163" spans="1:8" s="12" customFormat="1" x14ac:dyDescent="0.25">
      <c r="A163" s="10">
        <f t="shared" si="3"/>
        <v>148</v>
      </c>
      <c r="B163" s="176" t="s">
        <v>200</v>
      </c>
      <c r="C163" s="183"/>
      <c r="D163" s="183"/>
      <c r="E163" s="183"/>
      <c r="F163" s="183"/>
      <c r="G163" s="280"/>
      <c r="H163" s="174"/>
    </row>
    <row r="164" spans="1:8" s="12" customFormat="1" ht="30" x14ac:dyDescent="0.25">
      <c r="A164" s="10">
        <f t="shared" si="3"/>
        <v>149</v>
      </c>
      <c r="B164" s="177" t="s">
        <v>248</v>
      </c>
      <c r="C164" s="174"/>
      <c r="D164" s="174"/>
      <c r="E164" s="174"/>
      <c r="F164" s="174"/>
      <c r="G164" s="281"/>
      <c r="H164" s="174"/>
    </row>
    <row r="165" spans="1:8" s="12" customFormat="1" ht="30" x14ac:dyDescent="0.25">
      <c r="A165" s="10">
        <f t="shared" si="3"/>
        <v>150</v>
      </c>
      <c r="B165" s="177" t="s">
        <v>249</v>
      </c>
      <c r="C165" s="174"/>
      <c r="D165" s="174"/>
      <c r="E165" s="174"/>
      <c r="F165" s="174"/>
      <c r="G165" s="281"/>
      <c r="H165" s="174"/>
    </row>
    <row r="166" spans="1:8" s="12" customFormat="1" x14ac:dyDescent="0.25">
      <c r="A166" s="10">
        <f t="shared" si="3"/>
        <v>151</v>
      </c>
      <c r="B166" s="177" t="s">
        <v>201</v>
      </c>
      <c r="C166" s="174"/>
      <c r="D166" s="174"/>
      <c r="E166" s="174"/>
      <c r="F166" s="174"/>
      <c r="G166" s="281"/>
      <c r="H166" s="174"/>
    </row>
    <row r="167" spans="1:8" s="12" customFormat="1" x14ac:dyDescent="0.25">
      <c r="A167" s="10">
        <f t="shared" si="3"/>
        <v>152</v>
      </c>
      <c r="B167" s="177" t="s">
        <v>202</v>
      </c>
      <c r="C167" s="174"/>
      <c r="D167" s="174"/>
      <c r="E167" s="174"/>
      <c r="F167" s="174"/>
      <c r="G167" s="281"/>
      <c r="H167" s="174"/>
    </row>
    <row r="168" spans="1:8" x14ac:dyDescent="0.25">
      <c r="A168" s="10">
        <f t="shared" si="3"/>
        <v>153</v>
      </c>
      <c r="B168" s="176" t="s">
        <v>205</v>
      </c>
      <c r="C168" s="184"/>
      <c r="D168" s="184"/>
      <c r="E168" s="184"/>
      <c r="F168" s="184"/>
      <c r="G168" s="282"/>
      <c r="H168" s="175"/>
    </row>
    <row r="169" spans="1:8" customFormat="1" x14ac:dyDescent="0.25">
      <c r="A169" s="10">
        <f t="shared" si="3"/>
        <v>154</v>
      </c>
      <c r="B169" s="178" t="s">
        <v>206</v>
      </c>
      <c r="C169" s="179"/>
      <c r="D169" s="179"/>
      <c r="E169" s="179"/>
      <c r="F169" s="179"/>
      <c r="G169" s="283"/>
      <c r="H169" s="180"/>
    </row>
    <row r="170" spans="1:8" customFormat="1" x14ac:dyDescent="0.25">
      <c r="A170" s="10">
        <f t="shared" si="3"/>
        <v>155</v>
      </c>
      <c r="B170" s="178" t="s">
        <v>207</v>
      </c>
      <c r="C170" s="179"/>
      <c r="D170" s="179"/>
      <c r="E170" s="179"/>
      <c r="F170" s="179"/>
      <c r="G170" s="283"/>
      <c r="H170" s="180"/>
    </row>
    <row r="171" spans="1:8" customFormat="1" x14ac:dyDescent="0.25">
      <c r="A171" s="10">
        <f t="shared" si="3"/>
        <v>156</v>
      </c>
      <c r="B171" s="182" t="s">
        <v>208</v>
      </c>
      <c r="C171" s="179"/>
      <c r="D171" s="179"/>
      <c r="E171" s="179"/>
      <c r="F171" s="179"/>
      <c r="G171" s="283"/>
      <c r="H171" s="180"/>
    </row>
    <row r="172" spans="1:8" s="6" customFormat="1" x14ac:dyDescent="0.2">
      <c r="A172" s="10">
        <f t="shared" si="3"/>
        <v>157</v>
      </c>
      <c r="B172" s="11" t="s">
        <v>203</v>
      </c>
      <c r="C172" s="9"/>
      <c r="D172" s="8"/>
      <c r="E172" s="8"/>
      <c r="F172" s="8"/>
      <c r="G172" s="284"/>
      <c r="H172" s="7"/>
    </row>
    <row r="173" spans="1:8" customFormat="1" ht="30" x14ac:dyDescent="0.25">
      <c r="A173" s="10">
        <f t="shared" si="3"/>
        <v>158</v>
      </c>
      <c r="B173" s="205" t="s">
        <v>232</v>
      </c>
      <c r="C173" s="206"/>
      <c r="D173" s="206"/>
      <c r="E173" s="206"/>
      <c r="F173" s="206"/>
      <c r="G173" s="285"/>
      <c r="H173" s="206"/>
    </row>
    <row r="174" spans="1:8" s="6" customFormat="1" ht="30" x14ac:dyDescent="0.2">
      <c r="A174" s="10">
        <f t="shared" si="3"/>
        <v>159</v>
      </c>
      <c r="B174" s="11" t="s">
        <v>204</v>
      </c>
      <c r="C174" s="9"/>
      <c r="D174" s="8"/>
      <c r="E174" s="8"/>
      <c r="F174" s="8"/>
      <c r="G174" s="284"/>
      <c r="H174" s="7"/>
    </row>
    <row r="175" spans="1:8" s="6" customFormat="1" ht="30" x14ac:dyDescent="0.2">
      <c r="A175" s="10">
        <f t="shared" si="3"/>
        <v>160</v>
      </c>
      <c r="B175" s="13" t="s">
        <v>209</v>
      </c>
      <c r="C175" s="9"/>
      <c r="D175" s="8"/>
      <c r="E175" s="8"/>
      <c r="F175" s="8"/>
      <c r="G175" s="284"/>
      <c r="H175" s="7"/>
    </row>
    <row r="176" spans="1:8" s="6" customFormat="1" ht="30" x14ac:dyDescent="0.2">
      <c r="A176" s="10">
        <f t="shared" si="3"/>
        <v>161</v>
      </c>
      <c r="B176" s="11" t="s">
        <v>211</v>
      </c>
      <c r="C176" s="9"/>
      <c r="D176" s="8"/>
      <c r="E176" s="8"/>
      <c r="F176" s="8"/>
      <c r="G176" s="284"/>
      <c r="H176" s="7"/>
    </row>
    <row r="177" spans="1:8" s="12" customFormat="1" ht="45" x14ac:dyDescent="0.2">
      <c r="A177" s="10">
        <f t="shared" si="3"/>
        <v>162</v>
      </c>
      <c r="B177" s="310" t="s">
        <v>331</v>
      </c>
      <c r="C177" s="311"/>
      <c r="D177" s="312"/>
      <c r="E177" s="312"/>
      <c r="F177" s="312"/>
      <c r="G177" s="313"/>
      <c r="H177" s="314"/>
    </row>
    <row r="178" spans="1:8" s="12" customFormat="1" x14ac:dyDescent="0.2">
      <c r="A178" s="10">
        <f t="shared" si="3"/>
        <v>163</v>
      </c>
      <c r="B178" s="310" t="s">
        <v>210</v>
      </c>
      <c r="C178" s="311"/>
      <c r="D178" s="312"/>
      <c r="E178" s="312"/>
      <c r="F178" s="312"/>
      <c r="G178" s="313"/>
      <c r="H178" s="314"/>
    </row>
    <row r="179" spans="1:8" s="12" customFormat="1" ht="30" x14ac:dyDescent="0.2">
      <c r="A179" s="10">
        <f t="shared" si="3"/>
        <v>164</v>
      </c>
      <c r="B179" s="310" t="s">
        <v>230</v>
      </c>
      <c r="C179" s="311"/>
      <c r="D179" s="312"/>
      <c r="E179" s="312"/>
      <c r="F179" s="312"/>
      <c r="G179" s="313"/>
      <c r="H179" s="314"/>
    </row>
    <row r="180" spans="1:8" s="181" customFormat="1" ht="30" x14ac:dyDescent="0.25">
      <c r="A180" s="10">
        <f t="shared" si="3"/>
        <v>165</v>
      </c>
      <c r="B180" s="315" t="s">
        <v>333</v>
      </c>
      <c r="C180" s="183"/>
      <c r="D180" s="183"/>
      <c r="E180" s="183"/>
      <c r="F180" s="183"/>
      <c r="G180" s="280"/>
      <c r="H180" s="316"/>
    </row>
    <row r="181" spans="1:8" s="181" customFormat="1" x14ac:dyDescent="0.25">
      <c r="A181" s="10">
        <f t="shared" si="3"/>
        <v>166</v>
      </c>
      <c r="B181" s="317" t="s">
        <v>334</v>
      </c>
      <c r="C181" s="316"/>
      <c r="D181" s="316"/>
      <c r="E181" s="316"/>
      <c r="F181" s="316"/>
      <c r="G181" s="316"/>
      <c r="H181" s="316"/>
    </row>
    <row r="182" spans="1:8" s="181" customFormat="1" x14ac:dyDescent="0.25">
      <c r="A182" s="10">
        <f t="shared" si="3"/>
        <v>167</v>
      </c>
      <c r="B182" s="317" t="s">
        <v>335</v>
      </c>
      <c r="C182" s="316"/>
      <c r="D182" s="316"/>
      <c r="E182" s="316"/>
      <c r="F182" s="316"/>
      <c r="G182" s="316"/>
      <c r="H182" s="316"/>
    </row>
    <row r="183" spans="1:8" s="181" customFormat="1" x14ac:dyDescent="0.25">
      <c r="A183" s="10">
        <f t="shared" si="3"/>
        <v>168</v>
      </c>
      <c r="B183" s="317" t="s">
        <v>336</v>
      </c>
      <c r="C183" s="316"/>
      <c r="D183" s="316"/>
      <c r="E183" s="316"/>
      <c r="F183" s="316"/>
      <c r="G183" s="316"/>
      <c r="H183" s="316"/>
    </row>
    <row r="184" spans="1:8" s="181" customFormat="1" x14ac:dyDescent="0.25">
      <c r="A184" s="10">
        <f t="shared" si="3"/>
        <v>169</v>
      </c>
      <c r="B184" s="317" t="s">
        <v>225</v>
      </c>
      <c r="C184" s="316"/>
      <c r="D184" s="316"/>
      <c r="E184" s="316"/>
      <c r="F184" s="316"/>
      <c r="G184" s="316"/>
      <c r="H184" s="316"/>
    </row>
    <row r="185" spans="1:8" s="181" customFormat="1" x14ac:dyDescent="0.25">
      <c r="A185" s="10">
        <f t="shared" si="3"/>
        <v>170</v>
      </c>
      <c r="B185" s="317" t="s">
        <v>337</v>
      </c>
      <c r="C185" s="316"/>
      <c r="D185" s="316"/>
      <c r="E185" s="316"/>
      <c r="F185" s="316"/>
      <c r="G185" s="316"/>
      <c r="H185" s="316"/>
    </row>
    <row r="186" spans="1:8" s="181" customFormat="1" ht="30" x14ac:dyDescent="0.25">
      <c r="A186" s="10">
        <f t="shared" si="3"/>
        <v>171</v>
      </c>
      <c r="B186" s="315" t="s">
        <v>338</v>
      </c>
      <c r="C186" s="183"/>
      <c r="D186" s="183"/>
      <c r="E186" s="183"/>
      <c r="F186" s="183"/>
      <c r="G186" s="280"/>
      <c r="H186" s="316"/>
    </row>
    <row r="187" spans="1:8" s="181" customFormat="1" x14ac:dyDescent="0.25">
      <c r="A187" s="10">
        <f t="shared" si="3"/>
        <v>172</v>
      </c>
      <c r="B187" s="317" t="s">
        <v>334</v>
      </c>
      <c r="C187" s="316"/>
      <c r="D187" s="316"/>
      <c r="E187" s="316"/>
      <c r="F187" s="316"/>
      <c r="G187" s="316"/>
      <c r="H187" s="316"/>
    </row>
    <row r="188" spans="1:8" s="181" customFormat="1" x14ac:dyDescent="0.25">
      <c r="A188" s="10">
        <f t="shared" si="3"/>
        <v>173</v>
      </c>
      <c r="B188" s="317" t="s">
        <v>335</v>
      </c>
      <c r="C188" s="316"/>
      <c r="D188" s="316"/>
      <c r="E188" s="316"/>
      <c r="F188" s="316"/>
      <c r="G188" s="316"/>
      <c r="H188" s="316"/>
    </row>
    <row r="189" spans="1:8" s="181" customFormat="1" x14ac:dyDescent="0.25">
      <c r="A189" s="10">
        <f t="shared" si="3"/>
        <v>174</v>
      </c>
      <c r="B189" s="317" t="s">
        <v>225</v>
      </c>
      <c r="C189" s="316"/>
      <c r="D189" s="316"/>
      <c r="E189" s="316"/>
      <c r="F189" s="316"/>
      <c r="G189" s="316"/>
      <c r="H189" s="316"/>
    </row>
    <row r="190" spans="1:8" s="181" customFormat="1" x14ac:dyDescent="0.25">
      <c r="A190" s="10">
        <f t="shared" si="3"/>
        <v>175</v>
      </c>
      <c r="B190" s="317" t="s">
        <v>336</v>
      </c>
      <c r="C190" s="316"/>
      <c r="D190" s="316"/>
      <c r="E190" s="316"/>
      <c r="F190" s="316"/>
      <c r="G190" s="316"/>
      <c r="H190" s="316"/>
    </row>
    <row r="191" spans="1:8" s="181" customFormat="1" x14ac:dyDescent="0.25">
      <c r="A191" s="10">
        <f t="shared" si="3"/>
        <v>176</v>
      </c>
      <c r="B191" s="317" t="s">
        <v>337</v>
      </c>
      <c r="C191" s="316"/>
      <c r="D191" s="316"/>
      <c r="E191" s="316"/>
      <c r="F191" s="316"/>
      <c r="G191" s="316"/>
      <c r="H191" s="316"/>
    </row>
    <row r="192" spans="1:8" x14ac:dyDescent="0.2">
      <c r="A192" s="10">
        <f t="shared" si="3"/>
        <v>177</v>
      </c>
      <c r="B192" s="210" t="s">
        <v>214</v>
      </c>
      <c r="C192" s="210"/>
      <c r="D192" s="210"/>
      <c r="E192" s="210"/>
      <c r="F192" s="210"/>
      <c r="G192" s="279"/>
      <c r="H192" s="210"/>
    </row>
    <row r="193" spans="1:8" s="319" customFormat="1" ht="30" x14ac:dyDescent="0.2">
      <c r="A193" s="10">
        <f t="shared" si="3"/>
        <v>178</v>
      </c>
      <c r="B193" s="105" t="s">
        <v>305</v>
      </c>
      <c r="C193" s="105"/>
      <c r="D193" s="105"/>
      <c r="E193" s="105"/>
      <c r="F193" s="105"/>
      <c r="G193" s="318"/>
      <c r="H193" s="105"/>
    </row>
    <row r="194" spans="1:8" x14ac:dyDescent="0.25">
      <c r="A194" s="10">
        <f t="shared" si="3"/>
        <v>179</v>
      </c>
      <c r="B194" s="186" t="s">
        <v>215</v>
      </c>
      <c r="C194" s="185"/>
      <c r="D194" s="185"/>
      <c r="E194" s="185"/>
      <c r="F194" s="185"/>
      <c r="G194" s="286"/>
      <c r="H194" s="189"/>
    </row>
    <row r="195" spans="1:8" x14ac:dyDescent="0.25">
      <c r="A195" s="10">
        <f t="shared" si="3"/>
        <v>180</v>
      </c>
      <c r="B195" s="211" t="s">
        <v>235</v>
      </c>
      <c r="C195" s="213"/>
      <c r="D195" s="213"/>
      <c r="E195" s="213"/>
      <c r="F195" s="213"/>
      <c r="G195" s="287"/>
      <c r="H195" s="189"/>
    </row>
    <row r="196" spans="1:8" x14ac:dyDescent="0.25">
      <c r="A196" s="10">
        <f t="shared" si="3"/>
        <v>181</v>
      </c>
      <c r="B196" s="211" t="s">
        <v>190</v>
      </c>
      <c r="C196" s="213"/>
      <c r="D196" s="213"/>
      <c r="E196" s="213"/>
      <c r="F196" s="213"/>
      <c r="G196" s="287"/>
      <c r="H196" s="189"/>
    </row>
    <row r="197" spans="1:8" s="12" customFormat="1" x14ac:dyDescent="0.25">
      <c r="A197" s="10">
        <f t="shared" si="3"/>
        <v>182</v>
      </c>
      <c r="B197" s="320" t="s">
        <v>301</v>
      </c>
      <c r="C197" s="213"/>
      <c r="D197" s="213"/>
      <c r="E197" s="213"/>
      <c r="F197" s="213"/>
      <c r="G197" s="287"/>
      <c r="H197" s="45"/>
    </row>
    <row r="198" spans="1:8" x14ac:dyDescent="0.25">
      <c r="A198" s="10">
        <f t="shared" si="3"/>
        <v>183</v>
      </c>
      <c r="B198" s="211" t="s">
        <v>243</v>
      </c>
      <c r="C198" s="185"/>
      <c r="D198" s="185"/>
      <c r="E198" s="185"/>
      <c r="F198" s="185"/>
      <c r="G198" s="286"/>
      <c r="H198" s="189"/>
    </row>
    <row r="199" spans="1:8" x14ac:dyDescent="0.25">
      <c r="A199" s="10">
        <f t="shared" si="3"/>
        <v>184</v>
      </c>
      <c r="B199" s="212" t="s">
        <v>236</v>
      </c>
      <c r="C199" s="213"/>
      <c r="D199" s="213"/>
      <c r="E199" s="213"/>
      <c r="F199" s="213"/>
      <c r="G199" s="287"/>
      <c r="H199" s="189"/>
    </row>
    <row r="200" spans="1:8" x14ac:dyDescent="0.25">
      <c r="A200" s="10">
        <f t="shared" si="3"/>
        <v>185</v>
      </c>
      <c r="B200" s="212" t="s">
        <v>237</v>
      </c>
      <c r="C200" s="213"/>
      <c r="D200" s="213"/>
      <c r="E200" s="213"/>
      <c r="F200" s="213"/>
      <c r="G200" s="287"/>
      <c r="H200" s="189"/>
    </row>
    <row r="201" spans="1:8" x14ac:dyDescent="0.25">
      <c r="A201" s="10">
        <f t="shared" si="3"/>
        <v>186</v>
      </c>
      <c r="B201" s="212" t="s">
        <v>238</v>
      </c>
      <c r="C201" s="213"/>
      <c r="D201" s="213"/>
      <c r="E201" s="213"/>
      <c r="F201" s="213"/>
      <c r="G201" s="287"/>
      <c r="H201" s="189"/>
    </row>
    <row r="202" spans="1:8" s="12" customFormat="1" x14ac:dyDescent="0.25">
      <c r="A202" s="10">
        <f t="shared" si="3"/>
        <v>187</v>
      </c>
      <c r="B202" s="320" t="s">
        <v>298</v>
      </c>
      <c r="C202" s="213"/>
      <c r="D202" s="213"/>
      <c r="E202" s="213"/>
      <c r="F202" s="213"/>
      <c r="G202" s="287"/>
      <c r="H202" s="45"/>
    </row>
    <row r="203" spans="1:8" s="12" customFormat="1" x14ac:dyDescent="0.25">
      <c r="A203" s="10">
        <f t="shared" si="3"/>
        <v>188</v>
      </c>
      <c r="B203" s="320" t="s">
        <v>302</v>
      </c>
      <c r="C203" s="213"/>
      <c r="D203" s="213"/>
      <c r="E203" s="213"/>
      <c r="F203" s="213"/>
      <c r="G203" s="287"/>
      <c r="H203" s="45"/>
    </row>
    <row r="204" spans="1:8" s="12" customFormat="1" x14ac:dyDescent="0.25">
      <c r="A204" s="10">
        <f t="shared" si="3"/>
        <v>189</v>
      </c>
      <c r="B204" s="320" t="s">
        <v>299</v>
      </c>
      <c r="C204" s="213"/>
      <c r="D204" s="213"/>
      <c r="E204" s="213"/>
      <c r="F204" s="213"/>
      <c r="G204" s="287"/>
      <c r="H204" s="45"/>
    </row>
    <row r="205" spans="1:8" s="12" customFormat="1" x14ac:dyDescent="0.25">
      <c r="A205" s="10">
        <f t="shared" si="3"/>
        <v>190</v>
      </c>
      <c r="B205" s="320" t="s">
        <v>300</v>
      </c>
      <c r="C205" s="213"/>
      <c r="D205" s="213"/>
      <c r="E205" s="213"/>
      <c r="F205" s="213"/>
      <c r="G205" s="287"/>
      <c r="H205" s="45"/>
    </row>
    <row r="206" spans="1:8" x14ac:dyDescent="0.25">
      <c r="A206" s="10">
        <f t="shared" si="3"/>
        <v>191</v>
      </c>
      <c r="B206" s="211" t="s">
        <v>244</v>
      </c>
      <c r="C206" s="185"/>
      <c r="D206" s="185"/>
      <c r="E206" s="185"/>
      <c r="F206" s="185"/>
      <c r="G206" s="286"/>
      <c r="H206" s="189"/>
    </row>
    <row r="207" spans="1:8" x14ac:dyDescent="0.25">
      <c r="A207" s="10">
        <f t="shared" ref="A207:A270" si="4">A206+1</f>
        <v>192</v>
      </c>
      <c r="B207" s="212" t="s">
        <v>236</v>
      </c>
      <c r="C207" s="213"/>
      <c r="D207" s="213"/>
      <c r="E207" s="213"/>
      <c r="F207" s="213"/>
      <c r="G207" s="287"/>
      <c r="H207" s="189"/>
    </row>
    <row r="208" spans="1:8" ht="30" x14ac:dyDescent="0.25">
      <c r="A208" s="10">
        <f t="shared" si="4"/>
        <v>193</v>
      </c>
      <c r="B208" s="212" t="s">
        <v>3399</v>
      </c>
      <c r="C208" s="213"/>
      <c r="D208" s="213"/>
      <c r="E208" s="213"/>
      <c r="F208" s="213"/>
      <c r="G208" s="287"/>
      <c r="H208" s="189"/>
    </row>
    <row r="209" spans="1:8" s="12" customFormat="1" x14ac:dyDescent="0.25">
      <c r="A209" s="10">
        <f t="shared" si="4"/>
        <v>194</v>
      </c>
      <c r="B209" s="321" t="s">
        <v>304</v>
      </c>
      <c r="C209" s="213"/>
      <c r="D209" s="213"/>
      <c r="E209" s="213"/>
      <c r="F209" s="213"/>
      <c r="G209" s="287"/>
      <c r="H209" s="45"/>
    </row>
    <row r="210" spans="1:8" x14ac:dyDescent="0.25">
      <c r="A210" s="10">
        <f t="shared" si="4"/>
        <v>195</v>
      </c>
      <c r="B210" s="211" t="s">
        <v>245</v>
      </c>
      <c r="C210" s="185"/>
      <c r="D210" s="185"/>
      <c r="E210" s="185"/>
      <c r="F210" s="185"/>
      <c r="G210" s="286"/>
      <c r="H210" s="189"/>
    </row>
    <row r="211" spans="1:8" x14ac:dyDescent="0.25">
      <c r="A211" s="10">
        <f t="shared" si="4"/>
        <v>196</v>
      </c>
      <c r="B211" s="212" t="s">
        <v>86</v>
      </c>
      <c r="C211" s="213"/>
      <c r="D211" s="213"/>
      <c r="E211" s="213"/>
      <c r="F211" s="213"/>
      <c r="G211" s="287"/>
      <c r="H211" s="189"/>
    </row>
    <row r="212" spans="1:8" x14ac:dyDescent="0.25">
      <c r="A212" s="10">
        <f t="shared" si="4"/>
        <v>197</v>
      </c>
      <c r="B212" s="212" t="s">
        <v>239</v>
      </c>
      <c r="C212" s="213"/>
      <c r="D212" s="213"/>
      <c r="E212" s="213"/>
      <c r="F212" s="213"/>
      <c r="G212" s="287"/>
      <c r="H212" s="189"/>
    </row>
    <row r="213" spans="1:8" x14ac:dyDescent="0.25">
      <c r="A213" s="10">
        <f t="shared" si="4"/>
        <v>198</v>
      </c>
      <c r="B213" s="212" t="s">
        <v>91</v>
      </c>
      <c r="C213" s="213"/>
      <c r="D213" s="213"/>
      <c r="E213" s="213"/>
      <c r="F213" s="213"/>
      <c r="G213" s="287"/>
      <c r="H213" s="189"/>
    </row>
    <row r="214" spans="1:8" x14ac:dyDescent="0.25">
      <c r="A214" s="10">
        <f t="shared" si="4"/>
        <v>199</v>
      </c>
      <c r="B214" s="212" t="s">
        <v>240</v>
      </c>
      <c r="C214" s="213"/>
      <c r="D214" s="213"/>
      <c r="E214" s="213"/>
      <c r="F214" s="213"/>
      <c r="G214" s="287"/>
      <c r="H214" s="189"/>
    </row>
    <row r="215" spans="1:8" s="12" customFormat="1" x14ac:dyDescent="0.25">
      <c r="A215" s="10">
        <f t="shared" si="4"/>
        <v>200</v>
      </c>
      <c r="B215" s="321" t="s">
        <v>191</v>
      </c>
      <c r="C215" s="213"/>
      <c r="D215" s="213"/>
      <c r="E215" s="213"/>
      <c r="F215" s="213"/>
      <c r="G215" s="287"/>
      <c r="H215" s="45"/>
    </row>
    <row r="216" spans="1:8" s="12" customFormat="1" x14ac:dyDescent="0.25">
      <c r="A216" s="10">
        <f t="shared" si="4"/>
        <v>201</v>
      </c>
      <c r="B216" s="321" t="s">
        <v>284</v>
      </c>
      <c r="C216" s="213"/>
      <c r="D216" s="213"/>
      <c r="E216" s="213"/>
      <c r="F216" s="213"/>
      <c r="G216" s="287"/>
      <c r="H216" s="45"/>
    </row>
    <row r="217" spans="1:8" x14ac:dyDescent="0.25">
      <c r="A217" s="10">
        <f t="shared" si="4"/>
        <v>202</v>
      </c>
      <c r="B217" s="211" t="s">
        <v>246</v>
      </c>
      <c r="C217" s="185"/>
      <c r="D217" s="185"/>
      <c r="E217" s="185"/>
      <c r="F217" s="185"/>
      <c r="G217" s="286"/>
      <c r="H217" s="189"/>
    </row>
    <row r="218" spans="1:8" x14ac:dyDescent="0.25">
      <c r="A218" s="10">
        <f t="shared" si="4"/>
        <v>203</v>
      </c>
      <c r="B218" s="212" t="s">
        <v>241</v>
      </c>
      <c r="C218" s="213"/>
      <c r="D218" s="213"/>
      <c r="E218" s="213"/>
      <c r="F218" s="213"/>
      <c r="G218" s="287"/>
      <c r="H218" s="189"/>
    </row>
    <row r="219" spans="1:8" x14ac:dyDescent="0.25">
      <c r="A219" s="10">
        <f t="shared" si="4"/>
        <v>204</v>
      </c>
      <c r="B219" s="212" t="s">
        <v>242</v>
      </c>
      <c r="C219" s="213"/>
      <c r="D219" s="213"/>
      <c r="E219" s="213"/>
      <c r="F219" s="213"/>
      <c r="G219" s="287"/>
      <c r="H219" s="189"/>
    </row>
    <row r="220" spans="1:8" s="12" customFormat="1" x14ac:dyDescent="0.25">
      <c r="A220" s="10">
        <f t="shared" si="4"/>
        <v>205</v>
      </c>
      <c r="B220" s="321" t="s">
        <v>294</v>
      </c>
      <c r="C220" s="213"/>
      <c r="D220" s="213"/>
      <c r="E220" s="213"/>
      <c r="F220" s="213"/>
      <c r="G220" s="287"/>
      <c r="H220" s="45"/>
    </row>
    <row r="221" spans="1:8" s="12" customFormat="1" x14ac:dyDescent="0.25">
      <c r="A221" s="10">
        <f t="shared" si="4"/>
        <v>206</v>
      </c>
      <c r="B221" s="321" t="s">
        <v>295</v>
      </c>
      <c r="C221" s="213"/>
      <c r="D221" s="213"/>
      <c r="E221" s="213"/>
      <c r="F221" s="213"/>
      <c r="G221" s="287"/>
      <c r="H221" s="45"/>
    </row>
    <row r="222" spans="1:8" s="12" customFormat="1" x14ac:dyDescent="0.25">
      <c r="A222" s="10">
        <f t="shared" si="4"/>
        <v>207</v>
      </c>
      <c r="B222" s="321" t="s">
        <v>296</v>
      </c>
      <c r="C222" s="213"/>
      <c r="D222" s="213"/>
      <c r="E222" s="213"/>
      <c r="F222" s="213"/>
      <c r="G222" s="287"/>
      <c r="H222" s="45"/>
    </row>
    <row r="223" spans="1:8" s="12" customFormat="1" x14ac:dyDescent="0.25">
      <c r="A223" s="10">
        <f t="shared" si="4"/>
        <v>208</v>
      </c>
      <c r="B223" s="321" t="s">
        <v>297</v>
      </c>
      <c r="C223" s="213"/>
      <c r="D223" s="213"/>
      <c r="E223" s="213"/>
      <c r="F223" s="213"/>
      <c r="G223" s="287"/>
      <c r="H223" s="45"/>
    </row>
    <row r="224" spans="1:8" customFormat="1" ht="30" x14ac:dyDescent="0.25">
      <c r="A224" s="10">
        <f t="shared" si="4"/>
        <v>209</v>
      </c>
      <c r="B224" s="215" t="s">
        <v>252</v>
      </c>
      <c r="C224" s="216"/>
      <c r="D224" s="216"/>
      <c r="E224" s="216"/>
      <c r="F224" s="216"/>
      <c r="G224" s="288"/>
      <c r="H224" s="217"/>
    </row>
    <row r="225" spans="1:8" customFormat="1" ht="30" x14ac:dyDescent="0.25">
      <c r="A225" s="10">
        <f t="shared" si="4"/>
        <v>210</v>
      </c>
      <c r="B225" s="215" t="s">
        <v>253</v>
      </c>
      <c r="C225" s="216"/>
      <c r="D225" s="216"/>
      <c r="E225" s="216"/>
      <c r="F225" s="216"/>
      <c r="G225" s="288"/>
      <c r="H225" s="217"/>
    </row>
    <row r="226" spans="1:8" s="181" customFormat="1" x14ac:dyDescent="0.25">
      <c r="A226" s="10">
        <f t="shared" si="4"/>
        <v>211</v>
      </c>
      <c r="B226" s="322" t="s">
        <v>303</v>
      </c>
      <c r="C226" s="323"/>
      <c r="D226" s="323"/>
      <c r="E226" s="323"/>
      <c r="F226" s="323"/>
      <c r="G226" s="324"/>
      <c r="H226" s="325"/>
    </row>
    <row r="227" spans="1:8" customFormat="1" ht="30" x14ac:dyDescent="0.25">
      <c r="A227" s="10">
        <f t="shared" si="4"/>
        <v>212</v>
      </c>
      <c r="B227" s="215" t="s">
        <v>273</v>
      </c>
      <c r="C227" s="216"/>
      <c r="D227" s="216"/>
      <c r="E227" s="216"/>
      <c r="F227" s="216"/>
      <c r="G227" s="288"/>
      <c r="H227" s="217"/>
    </row>
    <row r="228" spans="1:8" customFormat="1" ht="30" x14ac:dyDescent="0.25">
      <c r="A228" s="10">
        <f t="shared" si="4"/>
        <v>213</v>
      </c>
      <c r="B228" s="209" t="s">
        <v>274</v>
      </c>
      <c r="C228" s="208"/>
      <c r="D228" s="208"/>
      <c r="E228" s="208"/>
      <c r="F228" s="208"/>
      <c r="G228" s="289"/>
      <c r="H228" s="207"/>
    </row>
    <row r="229" spans="1:8" customFormat="1" ht="30" x14ac:dyDescent="0.25">
      <c r="A229" s="10">
        <f t="shared" si="4"/>
        <v>214</v>
      </c>
      <c r="B229" s="193" t="s">
        <v>223</v>
      </c>
      <c r="C229" s="194"/>
      <c r="D229" s="194"/>
      <c r="E229" s="199"/>
      <c r="F229" s="194"/>
      <c r="G229" s="290"/>
      <c r="H229" s="200"/>
    </row>
    <row r="230" spans="1:8" customFormat="1" x14ac:dyDescent="0.25">
      <c r="A230" s="10">
        <f t="shared" si="4"/>
        <v>215</v>
      </c>
      <c r="B230" s="192" t="s">
        <v>233</v>
      </c>
      <c r="C230" s="194"/>
      <c r="D230" s="194"/>
      <c r="E230" s="194"/>
      <c r="F230" s="194"/>
      <c r="G230" s="290"/>
      <c r="H230" s="195"/>
    </row>
    <row r="231" spans="1:8" x14ac:dyDescent="0.25">
      <c r="A231" s="10">
        <f t="shared" si="4"/>
        <v>216</v>
      </c>
      <c r="B231" s="187" t="s">
        <v>216</v>
      </c>
      <c r="C231" s="188"/>
      <c r="D231" s="188"/>
      <c r="E231" s="188"/>
      <c r="F231" s="188"/>
      <c r="G231" s="291"/>
      <c r="H231" s="189"/>
    </row>
    <row r="232" spans="1:8" x14ac:dyDescent="0.25">
      <c r="A232" s="10">
        <f t="shared" si="4"/>
        <v>217</v>
      </c>
      <c r="B232" s="187" t="s">
        <v>221</v>
      </c>
      <c r="C232" s="188"/>
      <c r="D232" s="188"/>
      <c r="E232" s="188"/>
      <c r="F232" s="188"/>
      <c r="G232" s="291"/>
      <c r="H232" s="189"/>
    </row>
    <row r="233" spans="1:8" x14ac:dyDescent="0.25">
      <c r="A233" s="10">
        <f t="shared" si="4"/>
        <v>218</v>
      </c>
      <c r="B233" s="187" t="s">
        <v>217</v>
      </c>
      <c r="C233" s="188"/>
      <c r="D233" s="188"/>
      <c r="E233" s="188"/>
      <c r="F233" s="188"/>
      <c r="G233" s="291"/>
      <c r="H233" s="189"/>
    </row>
    <row r="234" spans="1:8" ht="30" x14ac:dyDescent="0.25">
      <c r="A234" s="10">
        <f t="shared" si="4"/>
        <v>219</v>
      </c>
      <c r="B234" s="204" t="s">
        <v>231</v>
      </c>
      <c r="C234" s="188"/>
      <c r="D234" s="188"/>
      <c r="E234" s="188"/>
      <c r="F234" s="188"/>
      <c r="G234" s="291"/>
      <c r="H234" s="189"/>
    </row>
    <row r="235" spans="1:8" x14ac:dyDescent="0.25">
      <c r="A235" s="10">
        <f t="shared" si="4"/>
        <v>220</v>
      </c>
      <c r="B235" s="187" t="s">
        <v>218</v>
      </c>
      <c r="C235" s="191"/>
      <c r="D235" s="191"/>
      <c r="E235" s="191"/>
      <c r="F235" s="191"/>
      <c r="G235" s="292"/>
      <c r="H235" s="189"/>
    </row>
    <row r="236" spans="1:8" x14ac:dyDescent="0.25">
      <c r="A236" s="10">
        <f t="shared" si="4"/>
        <v>221</v>
      </c>
      <c r="B236" s="190" t="s">
        <v>219</v>
      </c>
      <c r="C236" s="188"/>
      <c r="D236" s="188"/>
      <c r="E236" s="188"/>
      <c r="F236" s="188"/>
      <c r="G236" s="291"/>
      <c r="H236" s="189"/>
    </row>
    <row r="237" spans="1:8" ht="16.5" customHeight="1" x14ac:dyDescent="0.25">
      <c r="A237" s="10">
        <f t="shared" si="4"/>
        <v>222</v>
      </c>
      <c r="B237" s="190" t="s">
        <v>254</v>
      </c>
      <c r="C237" s="188"/>
      <c r="D237" s="188"/>
      <c r="E237" s="188"/>
      <c r="F237" s="188"/>
      <c r="G237" s="291"/>
      <c r="H237" s="189"/>
    </row>
    <row r="238" spans="1:8" s="12" customFormat="1" x14ac:dyDescent="0.25">
      <c r="A238" s="10">
        <f t="shared" si="4"/>
        <v>223</v>
      </c>
      <c r="B238" s="326" t="s">
        <v>306</v>
      </c>
      <c r="C238" s="46"/>
      <c r="D238" s="46"/>
      <c r="E238" s="46"/>
      <c r="F238" s="46"/>
      <c r="G238" s="276"/>
      <c r="H238" s="45"/>
    </row>
    <row r="239" spans="1:8" x14ac:dyDescent="0.25">
      <c r="A239" s="10">
        <f t="shared" si="4"/>
        <v>224</v>
      </c>
      <c r="B239" s="190" t="s">
        <v>255</v>
      </c>
      <c r="C239" s="188"/>
      <c r="D239" s="188"/>
      <c r="E239" s="188"/>
      <c r="F239" s="188"/>
      <c r="G239" s="291"/>
      <c r="H239" s="189"/>
    </row>
    <row r="240" spans="1:8" x14ac:dyDescent="0.25">
      <c r="A240" s="10">
        <f t="shared" si="4"/>
        <v>225</v>
      </c>
      <c r="B240" s="190" t="s">
        <v>220</v>
      </c>
      <c r="C240" s="188"/>
      <c r="D240" s="188"/>
      <c r="E240" s="188"/>
      <c r="F240" s="188"/>
      <c r="G240" s="291"/>
      <c r="H240" s="189"/>
    </row>
    <row r="241" spans="1:8" x14ac:dyDescent="0.25">
      <c r="A241" s="10">
        <f t="shared" si="4"/>
        <v>226</v>
      </c>
      <c r="B241" s="190" t="s">
        <v>307</v>
      </c>
      <c r="C241" s="188"/>
      <c r="D241" s="188"/>
      <c r="E241" s="188"/>
      <c r="F241" s="188"/>
      <c r="G241" s="291"/>
      <c r="H241" s="189"/>
    </row>
    <row r="242" spans="1:8" x14ac:dyDescent="0.25">
      <c r="A242" s="10">
        <f t="shared" si="4"/>
        <v>227</v>
      </c>
      <c r="B242" s="190" t="s">
        <v>234</v>
      </c>
      <c r="C242" s="188"/>
      <c r="D242" s="188"/>
      <c r="E242" s="188"/>
      <c r="F242" s="188"/>
      <c r="G242" s="291"/>
      <c r="H242" s="189"/>
    </row>
    <row r="243" spans="1:8" x14ac:dyDescent="0.25">
      <c r="A243" s="10">
        <f t="shared" si="4"/>
        <v>228</v>
      </c>
      <c r="B243" s="192" t="s">
        <v>222</v>
      </c>
      <c r="C243" s="188"/>
      <c r="D243" s="188"/>
      <c r="E243" s="188"/>
      <c r="F243" s="188"/>
      <c r="G243" s="291"/>
      <c r="H243" s="189"/>
    </row>
    <row r="244" spans="1:8" ht="30" x14ac:dyDescent="0.25">
      <c r="A244" s="10">
        <f t="shared" si="4"/>
        <v>229</v>
      </c>
      <c r="B244" s="193" t="s">
        <v>224</v>
      </c>
      <c r="C244" s="188"/>
      <c r="D244" s="188"/>
      <c r="E244" s="188"/>
      <c r="F244" s="188"/>
      <c r="G244" s="291"/>
      <c r="H244" s="189"/>
    </row>
    <row r="245" spans="1:8" customFormat="1" ht="30" x14ac:dyDescent="0.25">
      <c r="A245" s="10">
        <f t="shared" si="4"/>
        <v>230</v>
      </c>
      <c r="B245" s="196" t="s">
        <v>227</v>
      </c>
      <c r="C245" s="185"/>
      <c r="D245" s="185"/>
      <c r="E245" s="185"/>
      <c r="F245" s="185"/>
      <c r="G245" s="286"/>
      <c r="H245" s="197"/>
    </row>
    <row r="246" spans="1:8" s="203" customFormat="1" x14ac:dyDescent="0.25">
      <c r="A246" s="10">
        <f t="shared" si="4"/>
        <v>231</v>
      </c>
      <c r="B246" s="198" t="s">
        <v>226</v>
      </c>
      <c r="C246" s="201"/>
      <c r="D246" s="201"/>
      <c r="E246" s="201"/>
      <c r="F246" s="201"/>
      <c r="G246" s="293"/>
      <c r="H246" s="202"/>
    </row>
    <row r="247" spans="1:8" s="203" customFormat="1" ht="30" x14ac:dyDescent="0.25">
      <c r="A247" s="10">
        <f t="shared" si="4"/>
        <v>232</v>
      </c>
      <c r="B247" s="198" t="s">
        <v>228</v>
      </c>
      <c r="C247" s="201"/>
      <c r="D247" s="201"/>
      <c r="E247" s="201"/>
      <c r="F247" s="201"/>
      <c r="G247" s="293"/>
      <c r="H247" s="202"/>
    </row>
    <row r="248" spans="1:8" s="203" customFormat="1" ht="30" x14ac:dyDescent="0.25">
      <c r="A248" s="10">
        <f t="shared" si="4"/>
        <v>233</v>
      </c>
      <c r="B248" s="198" t="s">
        <v>229</v>
      </c>
      <c r="C248" s="201"/>
      <c r="D248" s="201"/>
      <c r="E248" s="201"/>
      <c r="F248" s="201"/>
      <c r="G248" s="293"/>
      <c r="H248" s="202"/>
    </row>
    <row r="249" spans="1:8" x14ac:dyDescent="0.25">
      <c r="A249" s="10">
        <f t="shared" si="4"/>
        <v>234</v>
      </c>
      <c r="B249" s="15" t="s">
        <v>69</v>
      </c>
      <c r="C249" s="14"/>
      <c r="D249" s="14"/>
      <c r="E249" s="14"/>
      <c r="F249" s="14"/>
      <c r="G249" s="243"/>
      <c r="H249" s="14"/>
    </row>
    <row r="250" spans="1:8" x14ac:dyDescent="0.2">
      <c r="A250" s="10">
        <f t="shared" si="4"/>
        <v>235</v>
      </c>
      <c r="B250" s="75" t="s">
        <v>68</v>
      </c>
      <c r="C250" s="100"/>
      <c r="D250" s="100"/>
      <c r="E250" s="100"/>
      <c r="F250" s="100"/>
      <c r="G250" s="294"/>
      <c r="H250" s="75"/>
    </row>
    <row r="251" spans="1:8" s="12" customFormat="1" ht="30" x14ac:dyDescent="0.2">
      <c r="A251" s="10">
        <f t="shared" si="4"/>
        <v>236</v>
      </c>
      <c r="B251" s="50" t="s">
        <v>67</v>
      </c>
      <c r="C251" s="91"/>
      <c r="D251" s="83"/>
      <c r="E251" s="83"/>
      <c r="F251" s="83"/>
      <c r="G251" s="247"/>
      <c r="H251" s="82"/>
    </row>
    <row r="252" spans="1:8" s="12" customFormat="1" x14ac:dyDescent="0.2">
      <c r="A252" s="10">
        <f t="shared" si="4"/>
        <v>237</v>
      </c>
      <c r="B252" s="42" t="s">
        <v>66</v>
      </c>
      <c r="C252" s="84"/>
      <c r="D252" s="84"/>
      <c r="E252" s="84"/>
      <c r="F252" s="84"/>
      <c r="G252" s="295"/>
      <c r="H252" s="40"/>
    </row>
    <row r="253" spans="1:8" s="12" customFormat="1" x14ac:dyDescent="0.2">
      <c r="A253" s="10">
        <f t="shared" si="4"/>
        <v>238</v>
      </c>
      <c r="B253" s="98" t="s">
        <v>65</v>
      </c>
      <c r="C253" s="84"/>
      <c r="D253" s="84"/>
      <c r="E253" s="84"/>
      <c r="F253" s="84"/>
      <c r="G253" s="295"/>
      <c r="H253" s="40"/>
    </row>
    <row r="254" spans="1:8" s="12" customFormat="1" ht="30" x14ac:dyDescent="0.2">
      <c r="A254" s="10">
        <f t="shared" si="4"/>
        <v>239</v>
      </c>
      <c r="B254" s="42" t="s">
        <v>64</v>
      </c>
      <c r="C254" s="84"/>
      <c r="D254" s="84"/>
      <c r="E254" s="84"/>
      <c r="F254" s="84"/>
      <c r="G254" s="295"/>
      <c r="H254" s="40"/>
    </row>
    <row r="255" spans="1:8" s="12" customFormat="1" ht="30" x14ac:dyDescent="0.2">
      <c r="A255" s="10">
        <f t="shared" si="4"/>
        <v>240</v>
      </c>
      <c r="B255" s="98" t="s">
        <v>275</v>
      </c>
      <c r="C255" s="84"/>
      <c r="D255" s="84"/>
      <c r="E255" s="84"/>
      <c r="F255" s="84"/>
      <c r="G255" s="295"/>
      <c r="H255" s="40"/>
    </row>
    <row r="256" spans="1:8" s="12" customFormat="1" ht="30" x14ac:dyDescent="0.2">
      <c r="A256" s="10">
        <f t="shared" si="4"/>
        <v>241</v>
      </c>
      <c r="B256" s="42" t="s">
        <v>276</v>
      </c>
      <c r="C256" s="97"/>
      <c r="D256" s="97"/>
      <c r="E256" s="97"/>
      <c r="F256" s="97"/>
      <c r="G256" s="296"/>
      <c r="H256" s="40"/>
    </row>
    <row r="257" spans="1:8" s="12" customFormat="1" x14ac:dyDescent="0.2">
      <c r="A257" s="10">
        <f t="shared" si="4"/>
        <v>242</v>
      </c>
      <c r="B257" s="99" t="s">
        <v>63</v>
      </c>
      <c r="C257" s="84"/>
      <c r="D257" s="84"/>
      <c r="E257" s="84"/>
      <c r="F257" s="84"/>
      <c r="G257" s="295"/>
      <c r="H257" s="40"/>
    </row>
    <row r="258" spans="1:8" s="12" customFormat="1" x14ac:dyDescent="0.2">
      <c r="A258" s="10">
        <f t="shared" si="4"/>
        <v>243</v>
      </c>
      <c r="B258" s="99" t="s">
        <v>62</v>
      </c>
      <c r="C258" s="84"/>
      <c r="D258" s="84"/>
      <c r="E258" s="84"/>
      <c r="F258" s="84"/>
      <c r="G258" s="295"/>
      <c r="H258" s="40"/>
    </row>
    <row r="259" spans="1:8" s="12" customFormat="1" ht="30" x14ac:dyDescent="0.2">
      <c r="A259" s="10">
        <f t="shared" si="4"/>
        <v>244</v>
      </c>
      <c r="B259" s="98" t="s">
        <v>308</v>
      </c>
      <c r="C259" s="84"/>
      <c r="D259" s="84"/>
      <c r="E259" s="84"/>
      <c r="F259" s="84"/>
      <c r="G259" s="295"/>
      <c r="H259" s="40"/>
    </row>
    <row r="260" spans="1:8" ht="45" x14ac:dyDescent="0.2">
      <c r="A260" s="10">
        <f t="shared" si="4"/>
        <v>245</v>
      </c>
      <c r="B260" s="22" t="s">
        <v>61</v>
      </c>
      <c r="C260" s="21"/>
      <c r="D260" s="28"/>
      <c r="E260" s="28"/>
      <c r="F260" s="28"/>
      <c r="G260" s="248"/>
      <c r="H260" s="27"/>
    </row>
    <row r="261" spans="1:8" ht="30" x14ac:dyDescent="0.2">
      <c r="A261" s="10">
        <f t="shared" si="4"/>
        <v>246</v>
      </c>
      <c r="B261" s="18" t="s">
        <v>60</v>
      </c>
      <c r="C261" s="96"/>
      <c r="D261" s="96"/>
      <c r="E261" s="96"/>
      <c r="F261" s="96"/>
      <c r="G261" s="297"/>
      <c r="H261" s="75"/>
    </row>
    <row r="262" spans="1:8" s="12" customFormat="1" ht="30" x14ac:dyDescent="0.2">
      <c r="A262" s="10">
        <f t="shared" si="4"/>
        <v>247</v>
      </c>
      <c r="B262" s="98" t="s">
        <v>277</v>
      </c>
      <c r="C262" s="84"/>
      <c r="D262" s="84"/>
      <c r="E262" s="84"/>
      <c r="F262" s="84"/>
      <c r="G262" s="295"/>
      <c r="H262" s="40"/>
    </row>
    <row r="263" spans="1:8" x14ac:dyDescent="0.2">
      <c r="A263" s="10">
        <f t="shared" si="4"/>
        <v>248</v>
      </c>
      <c r="B263" s="18" t="s">
        <v>59</v>
      </c>
      <c r="C263" s="94"/>
      <c r="D263" s="94"/>
      <c r="E263" s="94"/>
      <c r="F263" s="94"/>
      <c r="G263" s="298"/>
      <c r="H263" s="85"/>
    </row>
    <row r="264" spans="1:8" x14ac:dyDescent="0.2">
      <c r="A264" s="10">
        <f t="shared" si="4"/>
        <v>249</v>
      </c>
      <c r="B264" s="18" t="s">
        <v>58</v>
      </c>
      <c r="C264" s="94"/>
      <c r="D264" s="94"/>
      <c r="E264" s="94"/>
      <c r="F264" s="94"/>
      <c r="G264" s="298"/>
      <c r="H264" s="85"/>
    </row>
    <row r="265" spans="1:8" ht="30" x14ac:dyDescent="0.2">
      <c r="A265" s="10">
        <f t="shared" si="4"/>
        <v>250</v>
      </c>
      <c r="B265" s="18" t="s">
        <v>161</v>
      </c>
      <c r="C265" s="89"/>
      <c r="D265" s="89"/>
      <c r="E265" s="89"/>
      <c r="F265" s="89"/>
      <c r="G265" s="244"/>
      <c r="H265" s="85"/>
    </row>
    <row r="266" spans="1:8" x14ac:dyDescent="0.2">
      <c r="A266" s="10">
        <f t="shared" si="4"/>
        <v>251</v>
      </c>
      <c r="B266" s="95" t="s">
        <v>21</v>
      </c>
      <c r="C266" s="94"/>
      <c r="D266" s="94"/>
      <c r="E266" s="94"/>
      <c r="F266" s="94"/>
      <c r="G266" s="298"/>
      <c r="H266" s="85"/>
    </row>
    <row r="267" spans="1:8" x14ac:dyDescent="0.2">
      <c r="A267" s="10">
        <f t="shared" si="4"/>
        <v>252</v>
      </c>
      <c r="B267" s="95" t="s">
        <v>47</v>
      </c>
      <c r="C267" s="94"/>
      <c r="D267" s="94"/>
      <c r="E267" s="94"/>
      <c r="F267" s="94"/>
      <c r="G267" s="298"/>
      <c r="H267" s="85"/>
    </row>
    <row r="268" spans="1:8" x14ac:dyDescent="0.2">
      <c r="A268" s="10">
        <f t="shared" si="4"/>
        <v>253</v>
      </c>
      <c r="B268" s="76" t="s">
        <v>57</v>
      </c>
      <c r="C268" s="97"/>
      <c r="D268" s="97"/>
      <c r="E268" s="97"/>
      <c r="F268" s="97"/>
      <c r="G268" s="296"/>
      <c r="H268" s="85"/>
    </row>
    <row r="269" spans="1:8" s="12" customFormat="1" x14ac:dyDescent="0.2">
      <c r="A269" s="10">
        <f t="shared" si="4"/>
        <v>254</v>
      </c>
      <c r="B269" s="327" t="s">
        <v>310</v>
      </c>
      <c r="C269" s="84"/>
      <c r="D269" s="84"/>
      <c r="E269" s="84"/>
      <c r="F269" s="84"/>
      <c r="G269" s="295"/>
      <c r="H269" s="40"/>
    </row>
    <row r="270" spans="1:8" s="12" customFormat="1" x14ac:dyDescent="0.2">
      <c r="A270" s="10">
        <f t="shared" si="4"/>
        <v>255</v>
      </c>
      <c r="B270" s="99" t="s">
        <v>36</v>
      </c>
      <c r="C270" s="84"/>
      <c r="D270" s="84"/>
      <c r="E270" s="84"/>
      <c r="F270" s="84"/>
      <c r="G270" s="295"/>
      <c r="H270" s="40"/>
    </row>
    <row r="271" spans="1:8" s="12" customFormat="1" x14ac:dyDescent="0.25">
      <c r="A271" s="10">
        <f t="shared" ref="A271" si="5">A270+1</f>
        <v>256</v>
      </c>
      <c r="B271" s="326" t="s">
        <v>111</v>
      </c>
      <c r="C271" s="46"/>
      <c r="D271" s="46"/>
      <c r="E271" s="46"/>
      <c r="F271" s="46"/>
      <c r="G271" s="276"/>
      <c r="H271" s="45"/>
    </row>
  </sheetData>
  <customSheetViews>
    <customSheetView guid="{D97329D5-B649-4B2F-86D7-C6BEAE913806}" scale="85" showGridLines="0" topLeftCell="A197">
      <selection activeCell="B211" sqref="B211"/>
      <pageMargins left="0.7" right="0.7" top="0.75" bottom="0.75" header="0.3" footer="0.3"/>
      <pageSetup scale="96" fitToHeight="40" orientation="landscape" r:id="rId1"/>
      <headerFooter>
        <oddFooter>&amp;LSpokane County RFP# XXX&amp;RPage &amp;P of &amp;N</oddFooter>
      </headerFooter>
    </customSheetView>
    <customSheetView guid="{9208F210-2ED8-4398-A0D6-491045D9FDEB}" scale="85" showPageBreaks="1" showGridLines="0" printArea="1" topLeftCell="A197">
      <selection activeCell="B211" sqref="B211"/>
      <pageMargins left="0.7" right="0.7" top="0.75" bottom="0.75" header="0.3" footer="0.3"/>
      <pageSetup scale="96" fitToHeight="40" orientation="landscape" r:id="rId2"/>
      <headerFooter>
        <oddFooter>&amp;LSpokane County RFP# XXX&amp;RPage &amp;P of &amp;N</oddFooter>
      </headerFooter>
    </customSheetView>
    <customSheetView guid="{A68BF0CC-C2ED-4B16-81B1-1B708EA22356}" scale="85" showPageBreaks="1" showGridLines="0" printArea="1" topLeftCell="A197">
      <selection activeCell="B211" sqref="B211"/>
      <pageMargins left="0.7" right="0.7" top="0.75" bottom="0.75" header="0.3" footer="0.3"/>
      <pageSetup scale="96" fitToHeight="40" orientation="landscape" r:id="rId3"/>
      <headerFooter>
        <oddFooter>&amp;LSpokane County RFP# XXX&amp;RPage &amp;P of &amp;N</oddFooter>
      </headerFooter>
    </customSheetView>
    <customSheetView guid="{FF37031A-F1B7-4AA7-A7E7-E41A94ECF4B1}" scale="85" showGridLines="0" topLeftCell="A197">
      <selection activeCell="B211" sqref="B211"/>
      <pageMargins left="0.7" right="0.7" top="0.75" bottom="0.75" header="0.3" footer="0.3"/>
      <pageSetup scale="96" fitToHeight="40" orientation="landscape" r:id="rId4"/>
      <headerFooter>
        <oddFooter>&amp;LSpokane County RFP# XXX&amp;RPage &amp;P of &amp;N</oddFooter>
      </headerFooter>
    </customSheetView>
    <customSheetView guid="{C0DA29AC-16E2-4A15-8C4F-F71595E8BC75}" scale="110" showGridLines="0" printArea="1" topLeftCell="A256">
      <selection activeCell="B94" sqref="B94"/>
      <pageMargins left="0.7" right="0.7" top="0.75" bottom="0.75" header="0.3" footer="0.3"/>
      <pageSetup scale="96" fitToHeight="40" orientation="landscape" r:id="rId5"/>
      <headerFooter>
        <oddFooter>&amp;LSpokane County RFP# XXX&amp;RPage &amp;P of &amp;N</oddFooter>
      </headerFooter>
    </customSheetView>
  </customSheetViews>
  <mergeCells count="4">
    <mergeCell ref="A2:H2"/>
    <mergeCell ref="A1:H1"/>
    <mergeCell ref="A3:H3"/>
    <mergeCell ref="A4:H4"/>
  </mergeCells>
  <hyperlinks>
    <hyperlink ref="B6" location="Global_System_Features" display="Global_System_Features"/>
    <hyperlink ref="B7" location="Code_Table_Admin" display="Code Table Administration"/>
    <hyperlink ref="B8" location="Security_Admin" display="Security_Admin"/>
    <hyperlink ref="B9" location="Logons" display="Logons"/>
    <hyperlink ref="B10" location="User_IDs" display="User_IDs"/>
    <hyperlink ref="B11" location="Audit_Trails" display="Audit_Trails"/>
    <hyperlink ref="B12" location="Global_Report_and_Query" display="Global Report and Query Features"/>
    <hyperlink ref="B13" location="Online_Documentation" display="Online_Documentation"/>
  </hyperlinks>
  <pageMargins left="0.7" right="0.7" top="0.75" bottom="0.75" header="0.3" footer="0.3"/>
  <pageSetup scale="96" fitToHeight="40" orientation="landscape" r:id="rId6"/>
  <headerFooter>
    <oddFooter>&amp;LATTACHMENT  F  -  Spokane County RFP No. P8705&amp;RPage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L1140"/>
  <sheetViews>
    <sheetView showGridLines="0" view="pageLayout" topLeftCell="A40" zoomScaleNormal="85" zoomScaleSheetLayoutView="110" workbookViewId="0">
      <selection activeCell="D5" sqref="D5"/>
    </sheetView>
  </sheetViews>
  <sheetFormatPr defaultColWidth="14" defaultRowHeight="15" x14ac:dyDescent="0.2"/>
  <cols>
    <col min="1" max="1" width="6.7109375" style="346" customWidth="1"/>
    <col min="2" max="2" width="55.7109375" style="345" customWidth="1"/>
    <col min="3" max="3" width="11.140625" style="345" bestFit="1" customWidth="1"/>
    <col min="4" max="4" width="14.85546875" style="345" bestFit="1" customWidth="1"/>
    <col min="5" max="5" width="25.5703125" style="345" bestFit="1" customWidth="1"/>
    <col min="6" max="6" width="16.28515625" style="345" bestFit="1" customWidth="1"/>
    <col min="7" max="7" width="21.42578125" style="345" bestFit="1" customWidth="1"/>
    <col min="8" max="8" width="40.7109375" style="345" customWidth="1"/>
    <col min="9" max="9" width="57.28515625" style="345" customWidth="1"/>
    <col min="10" max="16384" width="14" style="345"/>
  </cols>
  <sheetData>
    <row r="1" spans="1:8" ht="15.75" x14ac:dyDescent="0.25">
      <c r="A1" s="1223" t="s">
        <v>3605</v>
      </c>
      <c r="B1" s="1223"/>
      <c r="C1" s="1223"/>
      <c r="D1" s="1223"/>
      <c r="E1" s="1223"/>
      <c r="F1" s="1223"/>
      <c r="G1" s="1223"/>
      <c r="H1" s="1223"/>
    </row>
    <row r="2" spans="1:8" ht="15.75" x14ac:dyDescent="0.25">
      <c r="A2" s="1223" t="s">
        <v>258</v>
      </c>
      <c r="B2" s="1223"/>
      <c r="C2" s="1223"/>
      <c r="D2" s="1223"/>
      <c r="E2" s="1223"/>
      <c r="F2" s="1223"/>
      <c r="G2" s="1223"/>
      <c r="H2" s="1223"/>
    </row>
    <row r="3" spans="1:8" ht="15.75" x14ac:dyDescent="0.25">
      <c r="A3" s="1223"/>
      <c r="B3" s="1223"/>
      <c r="C3" s="1223"/>
      <c r="D3" s="1223"/>
      <c r="E3" s="1223"/>
      <c r="F3" s="1223"/>
      <c r="G3" s="1223"/>
      <c r="H3" s="1223"/>
    </row>
    <row r="4" spans="1:8" ht="15.75" x14ac:dyDescent="0.25">
      <c r="A4" s="1223" t="s">
        <v>3513</v>
      </c>
      <c r="B4" s="1223"/>
      <c r="C4" s="1223"/>
      <c r="D4" s="1223"/>
      <c r="E4" s="1223"/>
      <c r="F4" s="1223"/>
      <c r="G4" s="1223"/>
      <c r="H4" s="1223"/>
    </row>
    <row r="5" spans="1:8" ht="15.75" x14ac:dyDescent="0.25">
      <c r="A5" s="546"/>
      <c r="B5" s="545"/>
      <c r="C5" s="1128"/>
      <c r="D5" s="1128"/>
      <c r="E5" s="1128"/>
      <c r="F5" s="1128"/>
      <c r="G5" s="1128"/>
      <c r="H5" s="1128"/>
    </row>
    <row r="6" spans="1:8" s="547" customFormat="1" ht="15.75" x14ac:dyDescent="0.25">
      <c r="A6" s="546">
        <f>A22</f>
        <v>1</v>
      </c>
      <c r="B6" s="549" t="str">
        <f>Global_CAD_Features</f>
        <v>General CAD Requirements</v>
      </c>
      <c r="C6" s="548"/>
      <c r="D6" s="548"/>
      <c r="E6" s="548"/>
      <c r="F6" s="548"/>
      <c r="G6" s="548"/>
      <c r="H6" s="548"/>
    </row>
    <row r="7" spans="1:8" s="547" customFormat="1" ht="15.75" x14ac:dyDescent="0.25">
      <c r="A7" s="546">
        <f>A127</f>
        <v>106</v>
      </c>
      <c r="B7" s="549" t="s">
        <v>1185</v>
      </c>
      <c r="C7" s="548"/>
      <c r="D7" s="548"/>
      <c r="E7" s="548"/>
      <c r="F7" s="548"/>
      <c r="G7" s="548"/>
      <c r="H7" s="548"/>
    </row>
    <row r="8" spans="1:8" s="547" customFormat="1" ht="15.75" x14ac:dyDescent="0.25">
      <c r="A8" s="546">
        <f>A313</f>
        <v>292</v>
      </c>
      <c r="B8" s="549" t="str">
        <f>CAD_Mapping</f>
        <v>CAD Mapping Requirements</v>
      </c>
      <c r="C8" s="548"/>
      <c r="D8" s="548"/>
      <c r="E8" s="548"/>
      <c r="F8" s="548"/>
      <c r="G8" s="548"/>
      <c r="H8" s="548"/>
    </row>
    <row r="9" spans="1:8" s="547" customFormat="1" ht="15.75" x14ac:dyDescent="0.25">
      <c r="A9" s="546">
        <f>A449</f>
        <v>428</v>
      </c>
      <c r="B9" s="549" t="str">
        <f>CAD_AVL</f>
        <v>Automatic Vehicle Location (AVL)</v>
      </c>
      <c r="C9" s="548"/>
      <c r="D9" s="548"/>
      <c r="E9" s="548"/>
      <c r="F9" s="548"/>
      <c r="G9" s="548"/>
      <c r="H9" s="548"/>
    </row>
    <row r="10" spans="1:8" s="547" customFormat="1" ht="15.75" x14ac:dyDescent="0.25">
      <c r="A10" s="546">
        <f>A465</f>
        <v>444</v>
      </c>
      <c r="B10" s="549" t="str">
        <f>Dispatching</f>
        <v>Dispatching</v>
      </c>
      <c r="C10" s="548"/>
      <c r="D10" s="548"/>
      <c r="E10" s="548"/>
      <c r="F10" s="548"/>
      <c r="G10" s="548"/>
      <c r="H10" s="548"/>
    </row>
    <row r="11" spans="1:8" s="547" customFormat="1" ht="15.75" x14ac:dyDescent="0.25">
      <c r="A11" s="546">
        <f>A597</f>
        <v>576</v>
      </c>
      <c r="B11" s="549" t="str">
        <f>Unit_Management</f>
        <v>Unit Management</v>
      </c>
      <c r="C11" s="548"/>
      <c r="D11" s="548"/>
      <c r="E11" s="548"/>
      <c r="F11" s="548"/>
      <c r="G11" s="548"/>
      <c r="H11" s="548"/>
    </row>
    <row r="12" spans="1:8" s="547" customFormat="1" ht="15.75" x14ac:dyDescent="0.25">
      <c r="A12" s="546">
        <f>A679</f>
        <v>658</v>
      </c>
      <c r="B12" s="549" t="str">
        <f>Call_Management</f>
        <v>Call Management</v>
      </c>
      <c r="C12" s="548"/>
      <c r="D12" s="548"/>
      <c r="E12" s="548"/>
      <c r="F12" s="548"/>
      <c r="G12" s="548"/>
      <c r="H12" s="548"/>
    </row>
    <row r="13" spans="1:8" s="547" customFormat="1" ht="15.75" x14ac:dyDescent="0.25">
      <c r="A13" s="546">
        <f>A741</f>
        <v>720</v>
      </c>
      <c r="B13" s="549" t="s">
        <v>719</v>
      </c>
      <c r="C13" s="548"/>
      <c r="D13" s="548"/>
      <c r="E13" s="548"/>
      <c r="F13" s="548"/>
      <c r="G13" s="548"/>
      <c r="H13" s="548"/>
    </row>
    <row r="14" spans="1:8" s="547" customFormat="1" ht="15.75" x14ac:dyDescent="0.25">
      <c r="A14" s="546">
        <f>A771</f>
        <v>750</v>
      </c>
      <c r="B14" s="549" t="str">
        <f>Call_Disposition</f>
        <v>Call Disposition</v>
      </c>
      <c r="C14" s="548"/>
      <c r="D14" s="548"/>
      <c r="E14" s="548"/>
      <c r="F14" s="548"/>
      <c r="G14" s="548"/>
      <c r="H14" s="548"/>
    </row>
    <row r="15" spans="1:8" s="547" customFormat="1" ht="15.75" x14ac:dyDescent="0.25">
      <c r="A15" s="546">
        <f>A823</f>
        <v>802</v>
      </c>
      <c r="B15" s="549" t="s">
        <v>639</v>
      </c>
      <c r="C15" s="548"/>
      <c r="D15" s="548"/>
      <c r="E15" s="548"/>
      <c r="F15" s="548"/>
      <c r="G15" s="548"/>
      <c r="H15" s="548"/>
    </row>
    <row r="16" spans="1:8" s="547" customFormat="1" ht="15.75" x14ac:dyDescent="0.25">
      <c r="A16" s="546">
        <f>A863</f>
        <v>842</v>
      </c>
      <c r="B16" s="549" t="str">
        <f>Communications_Supervisor_Support</f>
        <v>Communications Supervisor Support</v>
      </c>
      <c r="C16" s="548"/>
      <c r="D16" s="548"/>
      <c r="E16" s="548"/>
      <c r="F16" s="548"/>
      <c r="G16" s="548"/>
      <c r="H16" s="548"/>
    </row>
    <row r="17" spans="1:8" s="547" customFormat="1" ht="15.75" x14ac:dyDescent="0.25">
      <c r="A17" s="546">
        <f>A881</f>
        <v>860</v>
      </c>
      <c r="B17" s="549" t="s">
        <v>582</v>
      </c>
      <c r="C17" s="548"/>
      <c r="D17" s="548"/>
      <c r="E17" s="548"/>
      <c r="F17" s="548"/>
      <c r="G17" s="548"/>
      <c r="H17" s="548"/>
    </row>
    <row r="18" spans="1:8" s="547" customFormat="1" ht="15.75" x14ac:dyDescent="0.25">
      <c r="A18" s="546">
        <f>A972</f>
        <v>951</v>
      </c>
      <c r="B18" s="549" t="str">
        <f>B972</f>
        <v>CAD and Mobile Messaging</v>
      </c>
      <c r="C18" s="548"/>
      <c r="D18" s="548"/>
      <c r="E18" s="548"/>
      <c r="F18" s="548"/>
      <c r="G18" s="548"/>
      <c r="H18" s="548"/>
    </row>
    <row r="19" spans="1:8" s="547" customFormat="1" ht="15.75" x14ac:dyDescent="0.25">
      <c r="A19" s="546">
        <f>A1045</f>
        <v>1024</v>
      </c>
      <c r="B19" s="549" t="str">
        <f>CAD_System_Admin</f>
        <v>CAD System Administration</v>
      </c>
      <c r="C19" s="548"/>
      <c r="D19" s="548"/>
      <c r="E19" s="548"/>
      <c r="F19" s="548"/>
      <c r="G19" s="548"/>
      <c r="H19" s="548"/>
    </row>
    <row r="20" spans="1:8" ht="15.75" x14ac:dyDescent="0.25">
      <c r="A20" s="546"/>
      <c r="B20" s="545"/>
      <c r="C20" s="1128"/>
      <c r="D20" s="1128"/>
      <c r="E20" s="1128"/>
      <c r="F20" s="1128"/>
      <c r="G20" s="1128"/>
      <c r="H20" s="1128"/>
    </row>
    <row r="21" spans="1:8" x14ac:dyDescent="0.25">
      <c r="A21" s="544" t="s">
        <v>155</v>
      </c>
      <c r="B21" s="543" t="s">
        <v>1277</v>
      </c>
      <c r="C21" s="1166" t="s">
        <v>3560</v>
      </c>
      <c r="D21" s="1166" t="s">
        <v>3559</v>
      </c>
      <c r="E21" s="1166" t="s">
        <v>3561</v>
      </c>
      <c r="F21" s="1166" t="s">
        <v>3563</v>
      </c>
      <c r="G21" s="1166" t="s">
        <v>3565</v>
      </c>
      <c r="H21" s="542" t="s">
        <v>149</v>
      </c>
    </row>
    <row r="22" spans="1:8" x14ac:dyDescent="0.25">
      <c r="A22" s="351">
        <v>1</v>
      </c>
      <c r="B22" s="396" t="s">
        <v>1276</v>
      </c>
      <c r="C22" s="395"/>
      <c r="D22" s="395"/>
      <c r="E22" s="395"/>
      <c r="F22" s="395"/>
      <c r="G22" s="395"/>
      <c r="H22" s="494"/>
    </row>
    <row r="23" spans="1:8" ht="30" x14ac:dyDescent="0.2">
      <c r="A23" s="351">
        <v>2</v>
      </c>
      <c r="B23" s="539" t="s">
        <v>1275</v>
      </c>
      <c r="C23" s="335"/>
      <c r="D23" s="335"/>
      <c r="E23" s="335"/>
      <c r="F23" s="335"/>
      <c r="G23" s="335"/>
      <c r="H23" s="537"/>
    </row>
    <row r="24" spans="1:8" x14ac:dyDescent="0.2">
      <c r="A24" s="351">
        <v>3</v>
      </c>
      <c r="B24" s="541" t="s">
        <v>1274</v>
      </c>
      <c r="C24" s="386"/>
      <c r="D24" s="540"/>
      <c r="E24" s="540"/>
      <c r="F24" s="540"/>
      <c r="G24" s="540"/>
      <c r="H24" s="537"/>
    </row>
    <row r="25" spans="1:8" x14ac:dyDescent="0.2">
      <c r="A25" s="351">
        <v>4</v>
      </c>
      <c r="B25" s="541" t="s">
        <v>1273</v>
      </c>
      <c r="C25" s="386"/>
      <c r="D25" s="540"/>
      <c r="E25" s="540"/>
      <c r="F25" s="540"/>
      <c r="G25" s="540"/>
      <c r="H25" s="537"/>
    </row>
    <row r="26" spans="1:8" x14ac:dyDescent="0.2">
      <c r="A26" s="351">
        <v>5</v>
      </c>
      <c r="B26" s="541" t="s">
        <v>1272</v>
      </c>
      <c r="C26" s="386"/>
      <c r="D26" s="540"/>
      <c r="E26" s="540"/>
      <c r="F26" s="540"/>
      <c r="G26" s="540"/>
      <c r="H26" s="537"/>
    </row>
    <row r="27" spans="1:8" ht="30" x14ac:dyDescent="0.25">
      <c r="A27" s="351">
        <v>6</v>
      </c>
      <c r="B27" s="402" t="s">
        <v>1271</v>
      </c>
      <c r="C27" s="335"/>
      <c r="D27" s="335"/>
      <c r="E27" s="335"/>
      <c r="F27" s="335"/>
      <c r="G27" s="335"/>
      <c r="H27" s="419"/>
    </row>
    <row r="28" spans="1:8" x14ac:dyDescent="0.25">
      <c r="A28" s="351">
        <v>7</v>
      </c>
      <c r="B28" s="500" t="s">
        <v>1270</v>
      </c>
      <c r="C28" s="334"/>
      <c r="D28" s="334"/>
      <c r="E28" s="334"/>
      <c r="F28" s="334"/>
      <c r="G28" s="334"/>
      <c r="H28" s="419"/>
    </row>
    <row r="29" spans="1:8" x14ac:dyDescent="0.25">
      <c r="A29" s="351">
        <v>8</v>
      </c>
      <c r="B29" s="376" t="s">
        <v>1269</v>
      </c>
      <c r="C29" s="334"/>
      <c r="D29" s="334"/>
      <c r="E29" s="334"/>
      <c r="F29" s="334"/>
      <c r="G29" s="334"/>
      <c r="H29" s="419"/>
    </row>
    <row r="30" spans="1:8" ht="45" x14ac:dyDescent="0.25">
      <c r="A30" s="351">
        <v>9</v>
      </c>
      <c r="B30" s="1155" t="s">
        <v>3536</v>
      </c>
      <c r="C30" s="334"/>
      <c r="D30" s="334"/>
      <c r="E30" s="334"/>
      <c r="F30" s="334"/>
      <c r="G30" s="334"/>
      <c r="H30" s="419"/>
    </row>
    <row r="31" spans="1:8" s="1128" customFormat="1" ht="45" x14ac:dyDescent="0.2">
      <c r="A31" s="351">
        <v>10</v>
      </c>
      <c r="B31" s="539" t="s">
        <v>1268</v>
      </c>
      <c r="C31" s="538"/>
      <c r="D31" s="538"/>
      <c r="E31" s="538"/>
      <c r="F31" s="538"/>
      <c r="G31" s="538"/>
      <c r="H31" s="537"/>
    </row>
    <row r="32" spans="1:8" s="1128" customFormat="1" ht="30" x14ac:dyDescent="0.2">
      <c r="A32" s="351">
        <v>11</v>
      </c>
      <c r="B32" s="539" t="s">
        <v>1267</v>
      </c>
      <c r="C32" s="538"/>
      <c r="D32" s="538"/>
      <c r="E32" s="538"/>
      <c r="F32" s="538"/>
      <c r="G32" s="538"/>
      <c r="H32" s="537"/>
    </row>
    <row r="33" spans="1:8" s="1128" customFormat="1" x14ac:dyDescent="0.2">
      <c r="A33" s="351">
        <v>12</v>
      </c>
      <c r="B33" s="536" t="s">
        <v>1266</v>
      </c>
      <c r="C33" s="332"/>
      <c r="D33" s="332"/>
      <c r="E33" s="332"/>
      <c r="F33" s="332"/>
      <c r="G33" s="332"/>
      <c r="H33" s="381"/>
    </row>
    <row r="34" spans="1:8" x14ac:dyDescent="0.2">
      <c r="A34" s="351">
        <v>13</v>
      </c>
      <c r="B34" s="535" t="s">
        <v>1265</v>
      </c>
      <c r="C34" s="534"/>
      <c r="D34" s="534"/>
      <c r="E34" s="534"/>
      <c r="F34" s="534"/>
      <c r="G34" s="534"/>
      <c r="H34" s="533"/>
    </row>
    <row r="35" spans="1:8" s="1128" customFormat="1" ht="30" x14ac:dyDescent="0.25">
      <c r="A35" s="351">
        <v>14</v>
      </c>
      <c r="B35" s="350" t="s">
        <v>1264</v>
      </c>
      <c r="C35" s="335"/>
      <c r="D35" s="335"/>
      <c r="E35" s="335"/>
      <c r="F35" s="335"/>
      <c r="G35" s="335"/>
      <c r="H35" s="348"/>
    </row>
    <row r="36" spans="1:8" s="1128" customFormat="1" x14ac:dyDescent="0.25">
      <c r="A36" s="351">
        <v>15</v>
      </c>
      <c r="B36" s="530" t="s">
        <v>1263</v>
      </c>
      <c r="C36" s="349"/>
      <c r="D36" s="349"/>
      <c r="E36" s="349"/>
      <c r="F36" s="349"/>
      <c r="G36" s="349"/>
      <c r="H36" s="348"/>
    </row>
    <row r="37" spans="1:8" s="1128" customFormat="1" x14ac:dyDescent="0.25">
      <c r="A37" s="351">
        <v>16</v>
      </c>
      <c r="B37" s="530" t="s">
        <v>1262</v>
      </c>
      <c r="C37" s="349"/>
      <c r="D37" s="349"/>
      <c r="E37" s="349"/>
      <c r="F37" s="349"/>
      <c r="G37" s="349"/>
      <c r="H37" s="348"/>
    </row>
    <row r="38" spans="1:8" s="1128" customFormat="1" x14ac:dyDescent="0.25">
      <c r="A38" s="351">
        <v>17</v>
      </c>
      <c r="B38" s="530" t="s">
        <v>1261</v>
      </c>
      <c r="C38" s="349"/>
      <c r="D38" s="349"/>
      <c r="E38" s="349"/>
      <c r="F38" s="349"/>
      <c r="G38" s="349"/>
      <c r="H38" s="348"/>
    </row>
    <row r="39" spans="1:8" x14ac:dyDescent="0.25">
      <c r="A39" s="351">
        <v>18</v>
      </c>
      <c r="B39" s="532" t="s">
        <v>1260</v>
      </c>
      <c r="C39" s="531"/>
      <c r="D39" s="531"/>
      <c r="E39" s="531"/>
      <c r="F39" s="531"/>
      <c r="G39" s="531"/>
      <c r="H39" s="348"/>
    </row>
    <row r="40" spans="1:8" x14ac:dyDescent="0.25">
      <c r="A40" s="351">
        <v>19</v>
      </c>
      <c r="B40" s="532" t="s">
        <v>1259</v>
      </c>
      <c r="C40" s="531"/>
      <c r="D40" s="531"/>
      <c r="E40" s="531"/>
      <c r="F40" s="531"/>
      <c r="G40" s="531"/>
      <c r="H40" s="348"/>
    </row>
    <row r="41" spans="1:8" x14ac:dyDescent="0.25">
      <c r="A41" s="351">
        <v>20</v>
      </c>
      <c r="B41" s="532" t="s">
        <v>1258</v>
      </c>
      <c r="C41" s="531"/>
      <c r="D41" s="531"/>
      <c r="E41" s="531"/>
      <c r="F41" s="531"/>
      <c r="G41" s="531"/>
      <c r="H41" s="348"/>
    </row>
    <row r="42" spans="1:8" x14ac:dyDescent="0.25">
      <c r="A42" s="351">
        <v>21</v>
      </c>
      <c r="B42" s="532" t="s">
        <v>1257</v>
      </c>
      <c r="C42" s="531"/>
      <c r="D42" s="531"/>
      <c r="E42" s="531"/>
      <c r="F42" s="531"/>
      <c r="G42" s="531"/>
      <c r="H42" s="348"/>
    </row>
    <row r="43" spans="1:8" x14ac:dyDescent="0.25">
      <c r="A43" s="351">
        <v>22</v>
      </c>
      <c r="B43" s="532" t="s">
        <v>1256</v>
      </c>
      <c r="C43" s="531"/>
      <c r="D43" s="531"/>
      <c r="E43" s="531"/>
      <c r="F43" s="531"/>
      <c r="G43" s="531"/>
      <c r="H43" s="348"/>
    </row>
    <row r="44" spans="1:8" x14ac:dyDescent="0.25">
      <c r="A44" s="351">
        <v>23</v>
      </c>
      <c r="B44" s="532" t="s">
        <v>1255</v>
      </c>
      <c r="C44" s="531"/>
      <c r="D44" s="531"/>
      <c r="E44" s="531"/>
      <c r="F44" s="531"/>
      <c r="G44" s="531"/>
      <c r="H44" s="348"/>
    </row>
    <row r="45" spans="1:8" x14ac:dyDescent="0.25">
      <c r="A45" s="351">
        <v>24</v>
      </c>
      <c r="B45" s="532" t="s">
        <v>1254</v>
      </c>
      <c r="C45" s="531"/>
      <c r="D45" s="531"/>
      <c r="E45" s="531"/>
      <c r="F45" s="531"/>
      <c r="G45" s="531"/>
      <c r="H45" s="348"/>
    </row>
    <row r="46" spans="1:8" x14ac:dyDescent="0.25">
      <c r="A46" s="351">
        <v>25</v>
      </c>
      <c r="B46" s="532" t="s">
        <v>1253</v>
      </c>
      <c r="C46" s="531"/>
      <c r="D46" s="531"/>
      <c r="E46" s="531"/>
      <c r="F46" s="531"/>
      <c r="G46" s="531"/>
      <c r="H46" s="348"/>
    </row>
    <row r="47" spans="1:8" x14ac:dyDescent="0.25">
      <c r="A47" s="351">
        <v>26</v>
      </c>
      <c r="B47" s="532" t="s">
        <v>1252</v>
      </c>
      <c r="C47" s="531"/>
      <c r="D47" s="531"/>
      <c r="E47" s="531"/>
      <c r="F47" s="531"/>
      <c r="G47" s="531"/>
      <c r="H47" s="348"/>
    </row>
    <row r="48" spans="1:8" x14ac:dyDescent="0.25">
      <c r="A48" s="351">
        <v>27</v>
      </c>
      <c r="B48" s="532" t="s">
        <v>1251</v>
      </c>
      <c r="C48" s="531"/>
      <c r="D48" s="531"/>
      <c r="E48" s="531"/>
      <c r="F48" s="531"/>
      <c r="G48" s="531"/>
      <c r="H48" s="348"/>
    </row>
    <row r="49" spans="1:8" s="1128" customFormat="1" x14ac:dyDescent="0.25">
      <c r="A49" s="351">
        <v>28</v>
      </c>
      <c r="B49" s="530" t="s">
        <v>1250</v>
      </c>
      <c r="C49" s="349"/>
      <c r="D49" s="349"/>
      <c r="E49" s="349"/>
      <c r="F49" s="349"/>
      <c r="G49" s="349"/>
      <c r="H49" s="348"/>
    </row>
    <row r="50" spans="1:8" s="1128" customFormat="1" x14ac:dyDescent="0.25">
      <c r="A50" s="351">
        <v>29</v>
      </c>
      <c r="B50" s="530" t="s">
        <v>1249</v>
      </c>
      <c r="C50" s="349"/>
      <c r="D50" s="349"/>
      <c r="E50" s="349"/>
      <c r="F50" s="349"/>
      <c r="G50" s="349"/>
      <c r="H50" s="348"/>
    </row>
    <row r="51" spans="1:8" s="1128" customFormat="1" x14ac:dyDescent="0.25">
      <c r="A51" s="351">
        <v>30</v>
      </c>
      <c r="B51" s="530" t="s">
        <v>1248</v>
      </c>
      <c r="C51" s="349"/>
      <c r="D51" s="349"/>
      <c r="E51" s="349"/>
      <c r="F51" s="349"/>
      <c r="G51" s="349"/>
      <c r="H51" s="348"/>
    </row>
    <row r="52" spans="1:8" s="1128" customFormat="1" x14ac:dyDescent="0.25">
      <c r="A52" s="351">
        <v>31</v>
      </c>
      <c r="B52" s="530" t="s">
        <v>1247</v>
      </c>
      <c r="C52" s="349"/>
      <c r="D52" s="349"/>
      <c r="E52" s="349"/>
      <c r="F52" s="349"/>
      <c r="G52" s="349"/>
      <c r="H52" s="348"/>
    </row>
    <row r="53" spans="1:8" s="1128" customFormat="1" x14ac:dyDescent="0.25">
      <c r="A53" s="351">
        <v>32</v>
      </c>
      <c r="B53" s="530" t="s">
        <v>1246</v>
      </c>
      <c r="C53" s="349"/>
      <c r="D53" s="349"/>
      <c r="E53" s="349"/>
      <c r="F53" s="349"/>
      <c r="G53" s="349"/>
      <c r="H53" s="348"/>
    </row>
    <row r="54" spans="1:8" s="1128" customFormat="1" x14ac:dyDescent="0.25">
      <c r="A54" s="351">
        <v>33</v>
      </c>
      <c r="B54" s="530" t="s">
        <v>1245</v>
      </c>
      <c r="C54" s="349"/>
      <c r="D54" s="349"/>
      <c r="E54" s="349"/>
      <c r="F54" s="349"/>
      <c r="G54" s="349"/>
      <c r="H54" s="348"/>
    </row>
    <row r="55" spans="1:8" s="1128" customFormat="1" x14ac:dyDescent="0.25">
      <c r="A55" s="351">
        <v>34</v>
      </c>
      <c r="B55" s="530" t="s">
        <v>1244</v>
      </c>
      <c r="C55" s="349"/>
      <c r="D55" s="349"/>
      <c r="E55" s="349"/>
      <c r="F55" s="349"/>
      <c r="G55" s="349"/>
      <c r="H55" s="348"/>
    </row>
    <row r="56" spans="1:8" s="1128" customFormat="1" x14ac:dyDescent="0.25">
      <c r="A56" s="351">
        <v>35</v>
      </c>
      <c r="B56" s="530" t="s">
        <v>1243</v>
      </c>
      <c r="C56" s="349"/>
      <c r="D56" s="349"/>
      <c r="E56" s="349"/>
      <c r="F56" s="349"/>
      <c r="G56" s="349"/>
      <c r="H56" s="348"/>
    </row>
    <row r="57" spans="1:8" s="1128" customFormat="1" x14ac:dyDescent="0.25">
      <c r="A57" s="351">
        <v>36</v>
      </c>
      <c r="B57" s="530" t="s">
        <v>1242</v>
      </c>
      <c r="C57" s="349"/>
      <c r="D57" s="349"/>
      <c r="E57" s="349"/>
      <c r="F57" s="349"/>
      <c r="G57" s="349"/>
      <c r="H57" s="348"/>
    </row>
    <row r="58" spans="1:8" s="1128" customFormat="1" x14ac:dyDescent="0.25">
      <c r="A58" s="351">
        <v>37</v>
      </c>
      <c r="B58" s="530" t="s">
        <v>1241</v>
      </c>
      <c r="C58" s="349"/>
      <c r="D58" s="349"/>
      <c r="E58" s="349"/>
      <c r="F58" s="349"/>
      <c r="G58" s="349"/>
      <c r="H58" s="348"/>
    </row>
    <row r="59" spans="1:8" s="1128" customFormat="1" x14ac:dyDescent="0.25">
      <c r="A59" s="351">
        <v>38</v>
      </c>
      <c r="B59" s="530" t="s">
        <v>1240</v>
      </c>
      <c r="C59" s="349"/>
      <c r="D59" s="349"/>
      <c r="E59" s="349"/>
      <c r="F59" s="349"/>
      <c r="G59" s="349"/>
      <c r="H59" s="348"/>
    </row>
    <row r="60" spans="1:8" s="1128" customFormat="1" x14ac:dyDescent="0.25">
      <c r="A60" s="351">
        <v>39</v>
      </c>
      <c r="B60" s="530" t="s">
        <v>1239</v>
      </c>
      <c r="C60" s="349"/>
      <c r="D60" s="349"/>
      <c r="E60" s="349"/>
      <c r="F60" s="349"/>
      <c r="G60" s="349"/>
      <c r="H60" s="348"/>
    </row>
    <row r="61" spans="1:8" s="1128" customFormat="1" x14ac:dyDescent="0.25">
      <c r="A61" s="351">
        <v>40</v>
      </c>
      <c r="B61" s="530" t="s">
        <v>1238</v>
      </c>
      <c r="C61" s="349"/>
      <c r="D61" s="349"/>
      <c r="E61" s="349"/>
      <c r="F61" s="349"/>
      <c r="G61" s="349"/>
      <c r="H61" s="348"/>
    </row>
    <row r="62" spans="1:8" s="1128" customFormat="1" x14ac:dyDescent="0.25">
      <c r="A62" s="351">
        <v>41</v>
      </c>
      <c r="B62" s="530" t="s">
        <v>1237</v>
      </c>
      <c r="C62" s="349"/>
      <c r="D62" s="349"/>
      <c r="E62" s="349"/>
      <c r="F62" s="349"/>
      <c r="G62" s="349"/>
      <c r="H62" s="348"/>
    </row>
    <row r="63" spans="1:8" s="1128" customFormat="1" x14ac:dyDescent="0.25">
      <c r="A63" s="351">
        <v>42</v>
      </c>
      <c r="B63" s="530" t="s">
        <v>1236</v>
      </c>
      <c r="C63" s="349"/>
      <c r="D63" s="349"/>
      <c r="E63" s="349"/>
      <c r="F63" s="349"/>
      <c r="G63" s="349"/>
      <c r="H63" s="348"/>
    </row>
    <row r="64" spans="1:8" s="1128" customFormat="1" x14ac:dyDescent="0.25">
      <c r="A64" s="351">
        <v>43</v>
      </c>
      <c r="B64" s="530" t="s">
        <v>1235</v>
      </c>
      <c r="C64" s="349"/>
      <c r="D64" s="349"/>
      <c r="E64" s="349"/>
      <c r="F64" s="349"/>
      <c r="G64" s="349"/>
      <c r="H64" s="348"/>
    </row>
    <row r="65" spans="1:8" s="1146" customFormat="1" ht="33.75" x14ac:dyDescent="0.2">
      <c r="A65" s="351">
        <v>44</v>
      </c>
      <c r="B65" s="350" t="s">
        <v>3553</v>
      </c>
      <c r="C65" s="349"/>
      <c r="D65" s="349"/>
      <c r="E65" s="349"/>
      <c r="F65" s="349"/>
      <c r="G65" s="349"/>
      <c r="H65" s="1188" t="s">
        <v>3592</v>
      </c>
    </row>
    <row r="66" spans="1:8" s="1153" customFormat="1" x14ac:dyDescent="0.2">
      <c r="A66" s="351">
        <v>45</v>
      </c>
      <c r="B66" s="436" t="s">
        <v>3525</v>
      </c>
      <c r="C66" s="362"/>
      <c r="D66" s="362"/>
      <c r="E66" s="362"/>
      <c r="F66" s="362"/>
      <c r="G66" s="362"/>
      <c r="H66" s="362"/>
    </row>
    <row r="67" spans="1:8" s="1146" customFormat="1" x14ac:dyDescent="0.25">
      <c r="A67" s="351">
        <v>46</v>
      </c>
      <c r="B67" s="530" t="s">
        <v>3526</v>
      </c>
      <c r="C67" s="349"/>
      <c r="D67" s="349"/>
      <c r="E67" s="349"/>
      <c r="F67" s="349"/>
      <c r="G67" s="349"/>
      <c r="H67" s="348"/>
    </row>
    <row r="68" spans="1:8" s="1146" customFormat="1" x14ac:dyDescent="0.25">
      <c r="A68" s="351">
        <v>47</v>
      </c>
      <c r="B68" s="1154" t="s">
        <v>3527</v>
      </c>
      <c r="C68" s="349"/>
      <c r="D68" s="349"/>
      <c r="E68" s="349"/>
      <c r="F68" s="349"/>
      <c r="G68" s="349"/>
      <c r="H68" s="348"/>
    </row>
    <row r="69" spans="1:8" s="1146" customFormat="1" x14ac:dyDescent="0.25">
      <c r="A69" s="351">
        <v>48</v>
      </c>
      <c r="B69" s="1154" t="s">
        <v>3528</v>
      </c>
      <c r="C69" s="349"/>
      <c r="D69" s="349"/>
      <c r="E69" s="349"/>
      <c r="F69" s="349"/>
      <c r="G69" s="349"/>
      <c r="H69" s="348"/>
    </row>
    <row r="70" spans="1:8" s="1146" customFormat="1" x14ac:dyDescent="0.25">
      <c r="A70" s="351">
        <v>49</v>
      </c>
      <c r="B70" s="1154" t="s">
        <v>3529</v>
      </c>
      <c r="C70" s="349"/>
      <c r="D70" s="349"/>
      <c r="E70" s="349"/>
      <c r="F70" s="349"/>
      <c r="G70" s="349"/>
      <c r="H70" s="348"/>
    </row>
    <row r="71" spans="1:8" s="1146" customFormat="1" x14ac:dyDescent="0.25">
      <c r="A71" s="351">
        <v>50</v>
      </c>
      <c r="B71" s="1154" t="s">
        <v>3530</v>
      </c>
      <c r="C71" s="349"/>
      <c r="D71" s="349"/>
      <c r="E71" s="349"/>
      <c r="F71" s="349"/>
      <c r="G71" s="349"/>
      <c r="H71" s="348"/>
    </row>
    <row r="72" spans="1:8" s="1146" customFormat="1" x14ac:dyDescent="0.25">
      <c r="A72" s="351">
        <v>51</v>
      </c>
      <c r="B72" s="530" t="s">
        <v>3531</v>
      </c>
      <c r="C72" s="349"/>
      <c r="D72" s="349"/>
      <c r="E72" s="349"/>
      <c r="F72" s="349"/>
      <c r="G72" s="349"/>
      <c r="H72" s="348"/>
    </row>
    <row r="73" spans="1:8" s="1146" customFormat="1" x14ac:dyDescent="0.25">
      <c r="A73" s="351">
        <v>52</v>
      </c>
      <c r="B73" s="530" t="s">
        <v>3532</v>
      </c>
      <c r="C73" s="349"/>
      <c r="D73" s="349"/>
      <c r="E73" s="349"/>
      <c r="F73" s="349"/>
      <c r="G73" s="349"/>
      <c r="H73" s="348"/>
    </row>
    <row r="74" spans="1:8" s="1146" customFormat="1" x14ac:dyDescent="0.25">
      <c r="A74" s="351">
        <v>53</v>
      </c>
      <c r="B74" s="530" t="s">
        <v>3533</v>
      </c>
      <c r="C74" s="349"/>
      <c r="D74" s="349"/>
      <c r="E74" s="349"/>
      <c r="F74" s="349"/>
      <c r="G74" s="349"/>
      <c r="H74" s="348"/>
    </row>
    <row r="75" spans="1:8" s="1146" customFormat="1" x14ac:dyDescent="0.25">
      <c r="A75" s="351">
        <v>54</v>
      </c>
      <c r="B75" s="530" t="s">
        <v>3534</v>
      </c>
      <c r="C75" s="349"/>
      <c r="D75" s="349"/>
      <c r="E75" s="349"/>
      <c r="F75" s="349"/>
      <c r="G75" s="349"/>
      <c r="H75" s="348"/>
    </row>
    <row r="76" spans="1:8" s="1146" customFormat="1" x14ac:dyDescent="0.25">
      <c r="A76" s="351">
        <v>55</v>
      </c>
      <c r="B76" s="530" t="s">
        <v>3535</v>
      </c>
      <c r="C76" s="349"/>
      <c r="D76" s="349"/>
      <c r="E76" s="349"/>
      <c r="F76" s="349"/>
      <c r="G76" s="349"/>
      <c r="H76" s="348"/>
    </row>
    <row r="77" spans="1:8" x14ac:dyDescent="0.2">
      <c r="A77" s="351">
        <v>56</v>
      </c>
      <c r="B77" s="279" t="s">
        <v>1234</v>
      </c>
      <c r="C77" s="363"/>
      <c r="D77" s="363"/>
      <c r="E77" s="363"/>
      <c r="F77" s="363"/>
      <c r="G77" s="363"/>
      <c r="H77" s="362"/>
    </row>
    <row r="78" spans="1:8" s="1128" customFormat="1" x14ac:dyDescent="0.2">
      <c r="A78" s="351">
        <v>57</v>
      </c>
      <c r="B78" s="539" t="s">
        <v>1233</v>
      </c>
      <c r="C78" s="385"/>
      <c r="D78" s="540"/>
      <c r="E78" s="540"/>
      <c r="F78" s="540"/>
      <c r="G78" s="540"/>
      <c r="H78" s="537"/>
    </row>
    <row r="79" spans="1:8" s="1128" customFormat="1" ht="30" x14ac:dyDescent="0.2">
      <c r="A79" s="351">
        <v>58</v>
      </c>
      <c r="B79" s="539" t="s">
        <v>1232</v>
      </c>
      <c r="C79" s="385"/>
      <c r="D79" s="540"/>
      <c r="E79" s="540"/>
      <c r="F79" s="540"/>
      <c r="G79" s="540"/>
      <c r="H79" s="537"/>
    </row>
    <row r="80" spans="1:8" s="1128" customFormat="1" x14ac:dyDescent="0.2">
      <c r="A80" s="351">
        <v>59</v>
      </c>
      <c r="B80" s="539" t="s">
        <v>1231</v>
      </c>
      <c r="C80" s="385"/>
      <c r="D80" s="540"/>
      <c r="E80" s="540"/>
      <c r="F80" s="540"/>
      <c r="G80" s="540"/>
      <c r="H80" s="537"/>
    </row>
    <row r="81" spans="1:8" s="1128" customFormat="1" ht="60" x14ac:dyDescent="0.2">
      <c r="A81" s="351">
        <v>60</v>
      </c>
      <c r="B81" s="539" t="s">
        <v>1230</v>
      </c>
      <c r="C81" s="385"/>
      <c r="D81" s="540"/>
      <c r="E81" s="540"/>
      <c r="F81" s="540"/>
      <c r="G81" s="540"/>
      <c r="H81" s="537"/>
    </row>
    <row r="82" spans="1:8" s="1128" customFormat="1" ht="75" x14ac:dyDescent="0.2">
      <c r="A82" s="351">
        <v>61</v>
      </c>
      <c r="B82" s="539" t="s">
        <v>1229</v>
      </c>
      <c r="C82" s="385"/>
      <c r="D82" s="540"/>
      <c r="E82" s="540"/>
      <c r="F82" s="540"/>
      <c r="G82" s="540"/>
      <c r="H82" s="537"/>
    </row>
    <row r="83" spans="1:8" s="1128" customFormat="1" ht="75" x14ac:dyDescent="0.2">
      <c r="A83" s="351">
        <v>62</v>
      </c>
      <c r="B83" s="539" t="s">
        <v>1228</v>
      </c>
      <c r="C83" s="385"/>
      <c r="D83" s="540"/>
      <c r="E83" s="540"/>
      <c r="F83" s="540"/>
      <c r="G83" s="540"/>
      <c r="H83" s="537"/>
    </row>
    <row r="84" spans="1:8" s="1128" customFormat="1" ht="45" x14ac:dyDescent="0.2">
      <c r="A84" s="351">
        <v>63</v>
      </c>
      <c r="B84" s="539" t="s">
        <v>1227</v>
      </c>
      <c r="C84" s="385"/>
      <c r="D84" s="540"/>
      <c r="E84" s="540"/>
      <c r="F84" s="540"/>
      <c r="G84" s="540"/>
      <c r="H84" s="537"/>
    </row>
    <row r="85" spans="1:8" x14ac:dyDescent="0.2">
      <c r="A85" s="351">
        <v>64</v>
      </c>
      <c r="B85" s="279" t="s">
        <v>1226</v>
      </c>
      <c r="C85" s="363"/>
      <c r="D85" s="363"/>
      <c r="E85" s="363"/>
      <c r="F85" s="363"/>
      <c r="G85" s="363"/>
      <c r="H85" s="362"/>
    </row>
    <row r="86" spans="1:8" s="1128" customFormat="1" ht="30" x14ac:dyDescent="0.2">
      <c r="A86" s="351">
        <v>65</v>
      </c>
      <c r="B86" s="318" t="s">
        <v>1225</v>
      </c>
      <c r="C86" s="332"/>
      <c r="D86" s="332"/>
      <c r="E86" s="332"/>
      <c r="F86" s="332"/>
      <c r="G86" s="332"/>
      <c r="H86" s="381"/>
    </row>
    <row r="87" spans="1:8" ht="30" x14ac:dyDescent="0.25">
      <c r="A87" s="351">
        <v>66</v>
      </c>
      <c r="B87" s="529" t="s">
        <v>1224</v>
      </c>
      <c r="C87" s="335"/>
      <c r="D87" s="335"/>
      <c r="E87" s="335"/>
      <c r="F87" s="335"/>
      <c r="G87" s="335"/>
      <c r="H87" s="528"/>
    </row>
    <row r="88" spans="1:8" x14ac:dyDescent="0.25">
      <c r="A88" s="351">
        <v>67</v>
      </c>
      <c r="B88" s="527" t="s">
        <v>173</v>
      </c>
      <c r="C88" s="386"/>
      <c r="D88" s="523"/>
      <c r="E88" s="523"/>
      <c r="F88" s="523"/>
      <c r="G88" s="523"/>
      <c r="H88" s="528"/>
    </row>
    <row r="89" spans="1:8" x14ac:dyDescent="0.25">
      <c r="A89" s="351">
        <v>68</v>
      </c>
      <c r="B89" s="527" t="s">
        <v>1223</v>
      </c>
      <c r="C89" s="386"/>
      <c r="D89" s="523"/>
      <c r="E89" s="523"/>
      <c r="F89" s="523"/>
      <c r="G89" s="523"/>
      <c r="H89" s="528"/>
    </row>
    <row r="90" spans="1:8" x14ac:dyDescent="0.25">
      <c r="A90" s="351">
        <v>69</v>
      </c>
      <c r="B90" s="527" t="s">
        <v>1222</v>
      </c>
      <c r="C90" s="386"/>
      <c r="D90" s="523"/>
      <c r="E90" s="523"/>
      <c r="F90" s="523"/>
      <c r="G90" s="523"/>
      <c r="H90" s="528"/>
    </row>
    <row r="91" spans="1:8" x14ac:dyDescent="0.25">
      <c r="A91" s="351">
        <v>70</v>
      </c>
      <c r="B91" s="527" t="s">
        <v>1221</v>
      </c>
      <c r="C91" s="386"/>
      <c r="D91" s="523"/>
      <c r="E91" s="523"/>
      <c r="F91" s="523"/>
      <c r="G91" s="523"/>
      <c r="H91" s="528"/>
    </row>
    <row r="92" spans="1:8" x14ac:dyDescent="0.25">
      <c r="A92" s="351">
        <v>71</v>
      </c>
      <c r="B92" s="527" t="s">
        <v>1220</v>
      </c>
      <c r="C92" s="386"/>
      <c r="D92" s="523"/>
      <c r="E92" s="523"/>
      <c r="F92" s="523"/>
      <c r="G92" s="523"/>
      <c r="H92" s="528"/>
    </row>
    <row r="93" spans="1:8" x14ac:dyDescent="0.25">
      <c r="A93" s="351">
        <v>72</v>
      </c>
      <c r="B93" s="527" t="s">
        <v>1219</v>
      </c>
      <c r="C93" s="386"/>
      <c r="D93" s="523"/>
      <c r="E93" s="523"/>
      <c r="F93" s="523"/>
      <c r="G93" s="523"/>
      <c r="H93" s="528"/>
    </row>
    <row r="94" spans="1:8" x14ac:dyDescent="0.25">
      <c r="A94" s="351">
        <v>73</v>
      </c>
      <c r="B94" s="526" t="s">
        <v>1218</v>
      </c>
      <c r="C94" s="386"/>
      <c r="D94" s="525"/>
      <c r="E94" s="525"/>
      <c r="F94" s="525"/>
      <c r="G94" s="525"/>
      <c r="H94" s="528"/>
    </row>
    <row r="95" spans="1:8" x14ac:dyDescent="0.25">
      <c r="A95" s="351">
        <v>74</v>
      </c>
      <c r="B95" s="526" t="s">
        <v>1217</v>
      </c>
      <c r="C95" s="386"/>
      <c r="D95" s="525"/>
      <c r="E95" s="525"/>
      <c r="F95" s="525"/>
      <c r="G95" s="525"/>
      <c r="H95" s="528"/>
    </row>
    <row r="96" spans="1:8" s="1128" customFormat="1" ht="30" x14ac:dyDescent="0.25">
      <c r="A96" s="351">
        <v>75</v>
      </c>
      <c r="B96" s="524" t="s">
        <v>1216</v>
      </c>
      <c r="C96" s="385"/>
      <c r="D96" s="523"/>
      <c r="E96" s="523"/>
      <c r="F96" s="523"/>
      <c r="G96" s="523"/>
      <c r="H96" s="528"/>
    </row>
    <row r="97" spans="1:8" s="1128" customFormat="1" ht="30" x14ac:dyDescent="0.25">
      <c r="A97" s="351">
        <v>76</v>
      </c>
      <c r="B97" s="524" t="s">
        <v>1215</v>
      </c>
      <c r="C97" s="385"/>
      <c r="D97" s="523"/>
      <c r="E97" s="523"/>
      <c r="F97" s="523"/>
      <c r="G97" s="523"/>
      <c r="H97" s="528"/>
    </row>
    <row r="98" spans="1:8" s="1128" customFormat="1" ht="30" x14ac:dyDescent="0.25">
      <c r="A98" s="351">
        <v>77</v>
      </c>
      <c r="B98" s="522" t="s">
        <v>1214</v>
      </c>
      <c r="C98" s="385"/>
      <c r="D98" s="403"/>
      <c r="E98" s="403"/>
      <c r="F98" s="403"/>
      <c r="G98" s="403"/>
      <c r="H98" s="528"/>
    </row>
    <row r="99" spans="1:8" s="1128" customFormat="1" x14ac:dyDescent="0.25">
      <c r="A99" s="351">
        <v>78</v>
      </c>
      <c r="B99" s="521" t="s">
        <v>1213</v>
      </c>
      <c r="C99" s="385"/>
      <c r="D99" s="403"/>
      <c r="E99" s="403"/>
      <c r="F99" s="403"/>
      <c r="G99" s="403"/>
      <c r="H99" s="528"/>
    </row>
    <row r="100" spans="1:8" ht="30" x14ac:dyDescent="0.25">
      <c r="A100" s="351">
        <v>79</v>
      </c>
      <c r="B100" s="354" t="s">
        <v>1212</v>
      </c>
      <c r="C100" s="335"/>
      <c r="D100" s="335"/>
      <c r="E100" s="335"/>
      <c r="F100" s="335"/>
      <c r="G100" s="335"/>
      <c r="H100" s="528"/>
    </row>
    <row r="101" spans="1:8" s="1128" customFormat="1" x14ac:dyDescent="0.25">
      <c r="A101" s="351">
        <v>80</v>
      </c>
      <c r="B101" s="382" t="s">
        <v>1211</v>
      </c>
      <c r="C101" s="332"/>
      <c r="D101" s="332"/>
      <c r="E101" s="332"/>
      <c r="F101" s="332"/>
      <c r="G101" s="332"/>
      <c r="H101" s="528"/>
    </row>
    <row r="102" spans="1:8" s="1128" customFormat="1" x14ac:dyDescent="0.25">
      <c r="A102" s="351">
        <v>81</v>
      </c>
      <c r="B102" s="382" t="s">
        <v>1210</v>
      </c>
      <c r="C102" s="332"/>
      <c r="D102" s="332"/>
      <c r="E102" s="332"/>
      <c r="F102" s="332"/>
      <c r="G102" s="332"/>
      <c r="H102" s="528"/>
    </row>
    <row r="103" spans="1:8" s="1128" customFormat="1" x14ac:dyDescent="0.25">
      <c r="A103" s="351">
        <v>82</v>
      </c>
      <c r="B103" s="382" t="s">
        <v>1209</v>
      </c>
      <c r="C103" s="332"/>
      <c r="D103" s="332"/>
      <c r="E103" s="332"/>
      <c r="F103" s="332"/>
      <c r="G103" s="332"/>
      <c r="H103" s="528"/>
    </row>
    <row r="104" spans="1:8" s="1128" customFormat="1" x14ac:dyDescent="0.25">
      <c r="A104" s="351">
        <v>83</v>
      </c>
      <c r="B104" s="382" t="s">
        <v>1208</v>
      </c>
      <c r="C104" s="332"/>
      <c r="D104" s="332"/>
      <c r="E104" s="332"/>
      <c r="F104" s="332"/>
      <c r="G104" s="332"/>
      <c r="H104" s="528"/>
    </row>
    <row r="105" spans="1:8" s="1128" customFormat="1" x14ac:dyDescent="0.25">
      <c r="A105" s="351">
        <v>84</v>
      </c>
      <c r="B105" s="382" t="s">
        <v>1207</v>
      </c>
      <c r="C105" s="332"/>
      <c r="D105" s="332"/>
      <c r="E105" s="332"/>
      <c r="F105" s="332"/>
      <c r="G105" s="332"/>
      <c r="H105" s="528"/>
    </row>
    <row r="106" spans="1:8" s="1128" customFormat="1" x14ac:dyDescent="0.25">
      <c r="A106" s="351">
        <v>85</v>
      </c>
      <c r="B106" s="382" t="s">
        <v>1206</v>
      </c>
      <c r="C106" s="332"/>
      <c r="D106" s="332"/>
      <c r="E106" s="332"/>
      <c r="F106" s="332"/>
      <c r="G106" s="332"/>
      <c r="H106" s="528"/>
    </row>
    <row r="107" spans="1:8" s="1128" customFormat="1" ht="30" x14ac:dyDescent="0.25">
      <c r="A107" s="351">
        <v>86</v>
      </c>
      <c r="B107" s="519" t="s">
        <v>1205</v>
      </c>
      <c r="C107" s="332"/>
      <c r="D107" s="332"/>
      <c r="E107" s="332"/>
      <c r="F107" s="332"/>
      <c r="G107" s="332"/>
      <c r="H107" s="528"/>
    </row>
    <row r="108" spans="1:8" s="1128" customFormat="1" ht="30" x14ac:dyDescent="0.25">
      <c r="A108" s="351">
        <v>87</v>
      </c>
      <c r="B108" s="518" t="s">
        <v>1204</v>
      </c>
      <c r="C108" s="332"/>
      <c r="D108" s="332"/>
      <c r="E108" s="332"/>
      <c r="F108" s="332"/>
      <c r="G108" s="332"/>
      <c r="H108" s="528"/>
    </row>
    <row r="109" spans="1:8" ht="45" x14ac:dyDescent="0.25">
      <c r="A109" s="351">
        <v>88</v>
      </c>
      <c r="B109" s="516" t="s">
        <v>1203</v>
      </c>
      <c r="C109" s="334"/>
      <c r="D109" s="334"/>
      <c r="E109" s="334"/>
      <c r="F109" s="334"/>
      <c r="G109" s="334"/>
      <c r="H109" s="528"/>
    </row>
    <row r="110" spans="1:8" ht="30" x14ac:dyDescent="0.25">
      <c r="A110" s="351">
        <v>89</v>
      </c>
      <c r="B110" s="517" t="s">
        <v>1202</v>
      </c>
      <c r="C110" s="386"/>
      <c r="D110" s="515"/>
      <c r="E110" s="515"/>
      <c r="F110" s="515"/>
      <c r="G110" s="515"/>
      <c r="H110" s="528"/>
    </row>
    <row r="111" spans="1:8" x14ac:dyDescent="0.25">
      <c r="A111" s="351">
        <v>90</v>
      </c>
      <c r="B111" s="516" t="s">
        <v>1201</v>
      </c>
      <c r="C111" s="386"/>
      <c r="D111" s="515"/>
      <c r="E111" s="515"/>
      <c r="F111" s="515"/>
      <c r="G111" s="515"/>
      <c r="H111" s="528"/>
    </row>
    <row r="112" spans="1:8" x14ac:dyDescent="0.25">
      <c r="A112" s="351">
        <v>91</v>
      </c>
      <c r="B112" s="512" t="s">
        <v>1200</v>
      </c>
      <c r="C112" s="386"/>
      <c r="D112" s="514"/>
      <c r="E112" s="514"/>
      <c r="F112" s="514"/>
      <c r="G112" s="514"/>
      <c r="H112" s="528"/>
    </row>
    <row r="113" spans="1:8" x14ac:dyDescent="0.25">
      <c r="A113" s="351">
        <v>92</v>
      </c>
      <c r="B113" s="512" t="s">
        <v>1199</v>
      </c>
      <c r="C113" s="386"/>
      <c r="D113" s="514"/>
      <c r="E113" s="514"/>
      <c r="F113" s="514"/>
      <c r="G113" s="514"/>
      <c r="H113" s="528"/>
    </row>
    <row r="114" spans="1:8" s="411" customFormat="1" x14ac:dyDescent="0.25">
      <c r="A114" s="351">
        <v>93</v>
      </c>
      <c r="B114" s="378" t="s">
        <v>1198</v>
      </c>
      <c r="C114" s="334"/>
      <c r="D114" s="334"/>
      <c r="E114" s="334"/>
      <c r="F114" s="334"/>
      <c r="G114" s="334"/>
      <c r="H114" s="528"/>
    </row>
    <row r="115" spans="1:8" ht="16.5" customHeight="1" x14ac:dyDescent="0.25">
      <c r="A115" s="351">
        <v>94</v>
      </c>
      <c r="B115" s="357" t="s">
        <v>1197</v>
      </c>
      <c r="C115" s="368"/>
      <c r="D115" s="368"/>
      <c r="E115" s="368"/>
      <c r="F115" s="368"/>
      <c r="G115" s="368"/>
      <c r="H115" s="528"/>
    </row>
    <row r="116" spans="1:8" x14ac:dyDescent="0.25">
      <c r="A116" s="351">
        <v>95</v>
      </c>
      <c r="B116" s="354" t="s">
        <v>1196</v>
      </c>
      <c r="C116" s="334"/>
      <c r="D116" s="334"/>
      <c r="E116" s="334"/>
      <c r="F116" s="334"/>
      <c r="G116" s="334"/>
      <c r="H116" s="528"/>
    </row>
    <row r="117" spans="1:8" ht="20.25" customHeight="1" x14ac:dyDescent="0.25">
      <c r="A117" s="351">
        <v>96</v>
      </c>
      <c r="B117" s="512" t="s">
        <v>1195</v>
      </c>
      <c r="C117" s="334"/>
      <c r="D117" s="334"/>
      <c r="E117" s="334"/>
      <c r="F117" s="334"/>
      <c r="G117" s="334"/>
      <c r="H117" s="528"/>
    </row>
    <row r="118" spans="1:8" ht="30" x14ac:dyDescent="0.25">
      <c r="A118" s="351">
        <v>97</v>
      </c>
      <c r="B118" s="512" t="s">
        <v>1194</v>
      </c>
      <c r="C118" s="334"/>
      <c r="D118" s="334"/>
      <c r="E118" s="334"/>
      <c r="F118" s="334"/>
      <c r="G118" s="334"/>
      <c r="H118" s="528"/>
    </row>
    <row r="119" spans="1:8" s="1128" customFormat="1" x14ac:dyDescent="0.25">
      <c r="A119" s="351">
        <v>98</v>
      </c>
      <c r="B119" s="519" t="s">
        <v>1193</v>
      </c>
      <c r="C119" s="332"/>
      <c r="D119" s="332"/>
      <c r="E119" s="332"/>
      <c r="F119" s="332"/>
      <c r="G119" s="332"/>
      <c r="H119" s="528"/>
    </row>
    <row r="120" spans="1:8" x14ac:dyDescent="0.25">
      <c r="A120" s="351">
        <v>99</v>
      </c>
      <c r="B120" s="412" t="s">
        <v>1192</v>
      </c>
      <c r="C120" s="335"/>
      <c r="D120" s="335"/>
      <c r="E120" s="335"/>
      <c r="F120" s="335"/>
      <c r="G120" s="335"/>
      <c r="H120" s="528"/>
    </row>
    <row r="121" spans="1:8" ht="30" x14ac:dyDescent="0.25">
      <c r="A121" s="351">
        <v>100</v>
      </c>
      <c r="B121" s="500" t="s">
        <v>1191</v>
      </c>
      <c r="C121" s="334"/>
      <c r="D121" s="334"/>
      <c r="E121" s="334"/>
      <c r="F121" s="334"/>
      <c r="G121" s="334"/>
      <c r="H121" s="528"/>
    </row>
    <row r="122" spans="1:8" x14ac:dyDescent="0.25">
      <c r="A122" s="351">
        <v>101</v>
      </c>
      <c r="B122" s="500" t="s">
        <v>1190</v>
      </c>
      <c r="C122" s="334"/>
      <c r="D122" s="334"/>
      <c r="E122" s="334"/>
      <c r="F122" s="334"/>
      <c r="G122" s="334"/>
      <c r="H122" s="528"/>
    </row>
    <row r="123" spans="1:8" x14ac:dyDescent="0.25">
      <c r="A123" s="351">
        <v>102</v>
      </c>
      <c r="B123" s="512" t="s">
        <v>1189</v>
      </c>
      <c r="C123" s="334"/>
      <c r="D123" s="334"/>
      <c r="E123" s="334"/>
      <c r="F123" s="334"/>
      <c r="G123" s="334"/>
      <c r="H123" s="528"/>
    </row>
    <row r="124" spans="1:8" ht="30" x14ac:dyDescent="0.25">
      <c r="A124" s="351">
        <v>103</v>
      </c>
      <c r="B124" s="354" t="s">
        <v>1188</v>
      </c>
      <c r="C124" s="334"/>
      <c r="D124" s="334"/>
      <c r="E124" s="334"/>
      <c r="F124" s="334"/>
      <c r="G124" s="334"/>
      <c r="H124" s="528"/>
    </row>
    <row r="125" spans="1:8" s="1128" customFormat="1" x14ac:dyDescent="0.25">
      <c r="A125" s="351">
        <v>104</v>
      </c>
      <c r="B125" s="357" t="s">
        <v>1187</v>
      </c>
      <c r="C125" s="332"/>
      <c r="D125" s="332"/>
      <c r="E125" s="332"/>
      <c r="F125" s="332"/>
      <c r="G125" s="332"/>
      <c r="H125" s="528"/>
    </row>
    <row r="126" spans="1:8" s="1128" customFormat="1" x14ac:dyDescent="0.25">
      <c r="A126" s="351">
        <v>105</v>
      </c>
      <c r="B126" s="357" t="s">
        <v>1186</v>
      </c>
      <c r="C126" s="332"/>
      <c r="D126" s="332"/>
      <c r="E126" s="332"/>
      <c r="F126" s="332"/>
      <c r="G126" s="332"/>
      <c r="H126" s="528"/>
    </row>
    <row r="127" spans="1:8" x14ac:dyDescent="0.25">
      <c r="A127" s="351">
        <v>106</v>
      </c>
      <c r="B127" s="396" t="s">
        <v>1185</v>
      </c>
      <c r="C127" s="395"/>
      <c r="D127" s="395"/>
      <c r="E127" s="395"/>
      <c r="F127" s="395"/>
      <c r="G127" s="395"/>
      <c r="H127" s="494"/>
    </row>
    <row r="128" spans="1:8" x14ac:dyDescent="0.2">
      <c r="A128" s="351">
        <v>107</v>
      </c>
      <c r="B128" s="279" t="s">
        <v>1184</v>
      </c>
      <c r="C128" s="363"/>
      <c r="D128" s="363"/>
      <c r="E128" s="363"/>
      <c r="F128" s="363"/>
      <c r="G128" s="363"/>
      <c r="H128" s="362"/>
    </row>
    <row r="129" spans="1:8" x14ac:dyDescent="0.2">
      <c r="A129" s="351">
        <v>108</v>
      </c>
      <c r="B129" s="378" t="s">
        <v>1183</v>
      </c>
      <c r="C129" s="335"/>
      <c r="D129" s="335"/>
      <c r="E129" s="335"/>
      <c r="F129" s="335"/>
      <c r="G129" s="335"/>
      <c r="H129" s="381"/>
    </row>
    <row r="130" spans="1:8" x14ac:dyDescent="0.2">
      <c r="A130" s="351">
        <v>109</v>
      </c>
      <c r="B130" s="376" t="s">
        <v>1182</v>
      </c>
      <c r="C130" s="334"/>
      <c r="D130" s="334"/>
      <c r="E130" s="334"/>
      <c r="F130" s="334"/>
      <c r="G130" s="334"/>
      <c r="H130" s="381"/>
    </row>
    <row r="131" spans="1:8" x14ac:dyDescent="0.2">
      <c r="A131" s="351">
        <v>110</v>
      </c>
      <c r="B131" s="511" t="s">
        <v>1181</v>
      </c>
      <c r="C131" s="427"/>
      <c r="D131" s="427"/>
      <c r="E131" s="427"/>
      <c r="F131" s="427"/>
      <c r="G131" s="427"/>
      <c r="H131" s="381"/>
    </row>
    <row r="132" spans="1:8" x14ac:dyDescent="0.2">
      <c r="A132" s="351">
        <v>111</v>
      </c>
      <c r="B132" s="376" t="s">
        <v>1180</v>
      </c>
      <c r="C132" s="427"/>
      <c r="D132" s="427"/>
      <c r="E132" s="427"/>
      <c r="F132" s="427"/>
      <c r="G132" s="427"/>
      <c r="H132" s="381"/>
    </row>
    <row r="133" spans="1:8" x14ac:dyDescent="0.2">
      <c r="A133" s="351">
        <v>112</v>
      </c>
      <c r="B133" s="376" t="s">
        <v>3593</v>
      </c>
      <c r="C133" s="427"/>
      <c r="D133" s="427"/>
      <c r="E133" s="427"/>
      <c r="F133" s="427"/>
      <c r="G133" s="427"/>
      <c r="H133" s="381"/>
    </row>
    <row r="134" spans="1:8" x14ac:dyDescent="0.2">
      <c r="A134" s="351">
        <v>113</v>
      </c>
      <c r="B134" s="376" t="s">
        <v>1179</v>
      </c>
      <c r="C134" s="427"/>
      <c r="D134" s="427"/>
      <c r="E134" s="427"/>
      <c r="F134" s="427"/>
      <c r="G134" s="427"/>
      <c r="H134" s="381"/>
    </row>
    <row r="135" spans="1:8" s="1128" customFormat="1" x14ac:dyDescent="0.2">
      <c r="A135" s="351">
        <v>114</v>
      </c>
      <c r="B135" s="382" t="s">
        <v>1178</v>
      </c>
      <c r="C135" s="505"/>
      <c r="D135" s="505"/>
      <c r="E135" s="505"/>
      <c r="F135" s="505"/>
      <c r="G135" s="505"/>
      <c r="H135" s="381"/>
    </row>
    <row r="136" spans="1:8" x14ac:dyDescent="0.2">
      <c r="A136" s="351">
        <v>115</v>
      </c>
      <c r="B136" s="279" t="s">
        <v>1177</v>
      </c>
      <c r="C136" s="363" t="s">
        <v>1032</v>
      </c>
      <c r="D136" s="363" t="s">
        <v>1032</v>
      </c>
      <c r="E136" s="363" t="s">
        <v>1032</v>
      </c>
      <c r="F136" s="363" t="s">
        <v>1032</v>
      </c>
      <c r="G136" s="363"/>
      <c r="H136" s="362"/>
    </row>
    <row r="137" spans="1:8" ht="30" x14ac:dyDescent="0.2">
      <c r="A137" s="351">
        <v>116</v>
      </c>
      <c r="B137" s="412" t="s">
        <v>1176</v>
      </c>
      <c r="C137" s="334"/>
      <c r="D137" s="334"/>
      <c r="E137" s="334"/>
      <c r="F137" s="334"/>
      <c r="G137" s="334"/>
      <c r="H137" s="381"/>
    </row>
    <row r="138" spans="1:8" s="1128" customFormat="1" ht="45" x14ac:dyDescent="0.2">
      <c r="A138" s="351">
        <v>117</v>
      </c>
      <c r="B138" s="378" t="s">
        <v>1175</v>
      </c>
      <c r="C138" s="335"/>
      <c r="D138" s="335"/>
      <c r="E138" s="335"/>
      <c r="F138" s="335"/>
      <c r="G138" s="335"/>
      <c r="H138" s="381"/>
    </row>
    <row r="139" spans="1:8" x14ac:dyDescent="0.2">
      <c r="A139" s="351">
        <v>118</v>
      </c>
      <c r="B139" s="376" t="s">
        <v>1068</v>
      </c>
      <c r="C139" s="334"/>
      <c r="D139" s="334"/>
      <c r="E139" s="334"/>
      <c r="F139" s="334"/>
      <c r="G139" s="334"/>
      <c r="H139" s="381"/>
    </row>
    <row r="140" spans="1:8" x14ac:dyDescent="0.2">
      <c r="A140" s="351">
        <v>119</v>
      </c>
      <c r="B140" s="376" t="s">
        <v>1174</v>
      </c>
      <c r="C140" s="334"/>
      <c r="D140" s="334"/>
      <c r="E140" s="334"/>
      <c r="F140" s="334"/>
      <c r="G140" s="334"/>
      <c r="H140" s="381"/>
    </row>
    <row r="141" spans="1:8" x14ac:dyDescent="0.2">
      <c r="A141" s="351">
        <v>120</v>
      </c>
      <c r="B141" s="376" t="s">
        <v>1173</v>
      </c>
      <c r="C141" s="334"/>
      <c r="D141" s="334"/>
      <c r="E141" s="334"/>
      <c r="F141" s="334"/>
      <c r="G141" s="334"/>
      <c r="H141" s="381"/>
    </row>
    <row r="142" spans="1:8" x14ac:dyDescent="0.2">
      <c r="A142" s="351">
        <v>121</v>
      </c>
      <c r="B142" s="382" t="s">
        <v>1059</v>
      </c>
      <c r="C142" s="332"/>
      <c r="D142" s="332"/>
      <c r="E142" s="332"/>
      <c r="F142" s="332"/>
      <c r="G142" s="332"/>
      <c r="H142" s="381"/>
    </row>
    <row r="143" spans="1:8" ht="18.75" customHeight="1" x14ac:dyDescent="0.2">
      <c r="A143" s="351">
        <v>122</v>
      </c>
      <c r="B143" s="376" t="s">
        <v>1172</v>
      </c>
      <c r="C143" s="334"/>
      <c r="D143" s="334"/>
      <c r="E143" s="334"/>
      <c r="F143" s="334"/>
      <c r="G143" s="334"/>
      <c r="H143" s="381"/>
    </row>
    <row r="144" spans="1:8" x14ac:dyDescent="0.2">
      <c r="A144" s="351">
        <v>123</v>
      </c>
      <c r="B144" s="376" t="s">
        <v>1171</v>
      </c>
      <c r="C144" s="334"/>
      <c r="D144" s="334"/>
      <c r="E144" s="334"/>
      <c r="F144" s="334"/>
      <c r="G144" s="334"/>
      <c r="H144" s="381"/>
    </row>
    <row r="145" spans="1:8" x14ac:dyDescent="0.2">
      <c r="A145" s="351">
        <v>124</v>
      </c>
      <c r="B145" s="376" t="s">
        <v>1170</v>
      </c>
      <c r="C145" s="334"/>
      <c r="D145" s="334"/>
      <c r="E145" s="334"/>
      <c r="F145" s="334"/>
      <c r="G145" s="334"/>
      <c r="H145" s="381"/>
    </row>
    <row r="146" spans="1:8" x14ac:dyDescent="0.2">
      <c r="A146" s="351">
        <v>125</v>
      </c>
      <c r="B146" s="376" t="s">
        <v>78</v>
      </c>
      <c r="C146" s="334"/>
      <c r="D146" s="334"/>
      <c r="E146" s="334"/>
      <c r="F146" s="334"/>
      <c r="G146" s="334"/>
      <c r="H146" s="381"/>
    </row>
    <row r="147" spans="1:8" s="1128" customFormat="1" x14ac:dyDescent="0.2">
      <c r="A147" s="351">
        <v>126</v>
      </c>
      <c r="B147" s="382" t="s">
        <v>77</v>
      </c>
      <c r="C147" s="332"/>
      <c r="D147" s="332"/>
      <c r="E147" s="332"/>
      <c r="F147" s="332"/>
      <c r="G147" s="332"/>
      <c r="H147" s="381"/>
    </row>
    <row r="148" spans="1:8" s="1128" customFormat="1" x14ac:dyDescent="0.2">
      <c r="A148" s="351">
        <v>127</v>
      </c>
      <c r="B148" s="382" t="s">
        <v>1143</v>
      </c>
      <c r="C148" s="332"/>
      <c r="D148" s="332"/>
      <c r="E148" s="332"/>
      <c r="F148" s="332"/>
      <c r="G148" s="332"/>
      <c r="H148" s="381"/>
    </row>
    <row r="149" spans="1:8" s="1128" customFormat="1" ht="30" x14ac:dyDescent="0.2">
      <c r="A149" s="351">
        <v>128</v>
      </c>
      <c r="B149" s="382" t="s">
        <v>1169</v>
      </c>
      <c r="C149" s="332"/>
      <c r="D149" s="332"/>
      <c r="E149" s="332"/>
      <c r="F149" s="332"/>
      <c r="G149" s="332"/>
      <c r="H149" s="381"/>
    </row>
    <row r="150" spans="1:8" s="1128" customFormat="1" ht="45" x14ac:dyDescent="0.2">
      <c r="A150" s="351">
        <v>129</v>
      </c>
      <c r="B150" s="382" t="s">
        <v>1168</v>
      </c>
      <c r="C150" s="332"/>
      <c r="D150" s="332"/>
      <c r="E150" s="332"/>
      <c r="F150" s="332"/>
      <c r="G150" s="332"/>
      <c r="H150" s="381"/>
    </row>
    <row r="151" spans="1:8" s="1128" customFormat="1" x14ac:dyDescent="0.2">
      <c r="A151" s="351">
        <v>130</v>
      </c>
      <c r="B151" s="382" t="s">
        <v>1167</v>
      </c>
      <c r="C151" s="332"/>
      <c r="D151" s="332"/>
      <c r="E151" s="332"/>
      <c r="F151" s="332"/>
      <c r="G151" s="332"/>
      <c r="H151" s="381"/>
    </row>
    <row r="152" spans="1:8" s="1128" customFormat="1" x14ac:dyDescent="0.2">
      <c r="A152" s="351">
        <v>131</v>
      </c>
      <c r="B152" s="382" t="s">
        <v>1166</v>
      </c>
      <c r="C152" s="332"/>
      <c r="D152" s="332"/>
      <c r="E152" s="332"/>
      <c r="F152" s="332"/>
      <c r="G152" s="332"/>
      <c r="H152" s="381"/>
    </row>
    <row r="153" spans="1:8" s="1128" customFormat="1" ht="30" x14ac:dyDescent="0.2">
      <c r="A153" s="351">
        <v>132</v>
      </c>
      <c r="B153" s="318" t="s">
        <v>1165</v>
      </c>
      <c r="C153" s="332"/>
      <c r="D153" s="332"/>
      <c r="E153" s="332"/>
      <c r="F153" s="332"/>
      <c r="G153" s="332"/>
      <c r="H153" s="381"/>
    </row>
    <row r="154" spans="1:8" s="1128" customFormat="1" ht="30" x14ac:dyDescent="0.2">
      <c r="A154" s="351">
        <v>133</v>
      </c>
      <c r="B154" s="318" t="s">
        <v>1164</v>
      </c>
      <c r="C154" s="332"/>
      <c r="D154" s="332"/>
      <c r="E154" s="332"/>
      <c r="F154" s="332"/>
      <c r="G154" s="332"/>
      <c r="H154" s="381"/>
    </row>
    <row r="155" spans="1:8" s="1128" customFormat="1" ht="45" x14ac:dyDescent="0.2">
      <c r="A155" s="351">
        <v>134</v>
      </c>
      <c r="B155" s="318" t="s">
        <v>1163</v>
      </c>
      <c r="C155" s="505"/>
      <c r="D155" s="505"/>
      <c r="E155" s="505"/>
      <c r="F155" s="505"/>
      <c r="G155" s="505"/>
      <c r="H155" s="381"/>
    </row>
    <row r="156" spans="1:8" s="1128" customFormat="1" ht="45" x14ac:dyDescent="0.2">
      <c r="A156" s="351">
        <v>135</v>
      </c>
      <c r="B156" s="318" t="s">
        <v>1162</v>
      </c>
      <c r="C156" s="505"/>
      <c r="D156" s="505"/>
      <c r="E156" s="505"/>
      <c r="F156" s="505"/>
      <c r="G156" s="505"/>
      <c r="H156" s="381"/>
    </row>
    <row r="157" spans="1:8" s="1128" customFormat="1" ht="45" x14ac:dyDescent="0.2">
      <c r="A157" s="351">
        <v>136</v>
      </c>
      <c r="B157" s="318" t="s">
        <v>1161</v>
      </c>
      <c r="C157" s="505"/>
      <c r="D157" s="505"/>
      <c r="E157" s="505"/>
      <c r="F157" s="505"/>
      <c r="G157" s="505"/>
      <c r="H157" s="381"/>
    </row>
    <row r="158" spans="1:8" s="1128" customFormat="1" ht="45" x14ac:dyDescent="0.2">
      <c r="A158" s="351">
        <v>137</v>
      </c>
      <c r="B158" s="381" t="s">
        <v>1160</v>
      </c>
      <c r="C158" s="332"/>
      <c r="D158" s="332"/>
      <c r="E158" s="332"/>
      <c r="F158" s="332"/>
      <c r="G158" s="332"/>
      <c r="H158" s="381"/>
    </row>
    <row r="159" spans="1:8" s="1128" customFormat="1" ht="45" x14ac:dyDescent="0.2">
      <c r="A159" s="351">
        <v>138</v>
      </c>
      <c r="B159" s="381" t="s">
        <v>1159</v>
      </c>
      <c r="C159" s="332"/>
      <c r="D159" s="332"/>
      <c r="E159" s="332"/>
      <c r="F159" s="332"/>
      <c r="G159" s="332"/>
      <c r="H159" s="381"/>
    </row>
    <row r="160" spans="1:8" s="1128" customFormat="1" x14ac:dyDescent="0.2">
      <c r="A160" s="351">
        <v>139</v>
      </c>
      <c r="B160" s="381" t="s">
        <v>1158</v>
      </c>
      <c r="C160" s="332"/>
      <c r="D160" s="332"/>
      <c r="E160" s="332"/>
      <c r="F160" s="332"/>
      <c r="G160" s="332"/>
      <c r="H160" s="381"/>
    </row>
    <row r="161" spans="1:8" ht="45" x14ac:dyDescent="0.2">
      <c r="A161" s="351">
        <v>140</v>
      </c>
      <c r="B161" s="381" t="s">
        <v>1157</v>
      </c>
      <c r="C161" s="332"/>
      <c r="D161" s="332"/>
      <c r="E161" s="332"/>
      <c r="F161" s="332"/>
      <c r="G161" s="332"/>
      <c r="H161" s="381"/>
    </row>
    <row r="162" spans="1:8" x14ac:dyDescent="0.2">
      <c r="A162" s="351">
        <v>141</v>
      </c>
      <c r="B162" s="279" t="s">
        <v>1156</v>
      </c>
      <c r="C162" s="363" t="s">
        <v>1032</v>
      </c>
      <c r="D162" s="363" t="s">
        <v>1032</v>
      </c>
      <c r="E162" s="363" t="s">
        <v>1032</v>
      </c>
      <c r="F162" s="363" t="s">
        <v>1032</v>
      </c>
      <c r="G162" s="363"/>
      <c r="H162" s="362"/>
    </row>
    <row r="163" spans="1:8" ht="30" x14ac:dyDescent="0.2">
      <c r="A163" s="351">
        <v>142</v>
      </c>
      <c r="B163" s="378" t="s">
        <v>1155</v>
      </c>
      <c r="C163" s="334"/>
      <c r="D163" s="334"/>
      <c r="E163" s="334"/>
      <c r="F163" s="334"/>
      <c r="G163" s="334"/>
      <c r="H163" s="496"/>
    </row>
    <row r="164" spans="1:8" x14ac:dyDescent="0.2">
      <c r="A164" s="351">
        <v>143</v>
      </c>
      <c r="B164" s="378" t="s">
        <v>1154</v>
      </c>
      <c r="C164" s="334"/>
      <c r="D164" s="334"/>
      <c r="E164" s="334"/>
      <c r="F164" s="334"/>
      <c r="G164" s="334"/>
      <c r="H164" s="496"/>
    </row>
    <row r="165" spans="1:8" x14ac:dyDescent="0.2">
      <c r="A165" s="351">
        <v>144</v>
      </c>
      <c r="B165" s="378" t="s">
        <v>1153</v>
      </c>
      <c r="C165" s="334"/>
      <c r="D165" s="334"/>
      <c r="E165" s="334"/>
      <c r="F165" s="334"/>
      <c r="G165" s="334"/>
      <c r="H165" s="496"/>
    </row>
    <row r="166" spans="1:8" s="1128" customFormat="1" x14ac:dyDescent="0.2">
      <c r="A166" s="351">
        <v>145</v>
      </c>
      <c r="B166" s="318" t="s">
        <v>1152</v>
      </c>
      <c r="C166" s="332"/>
      <c r="D166" s="332"/>
      <c r="E166" s="332"/>
      <c r="F166" s="332"/>
      <c r="G166" s="332"/>
      <c r="H166" s="496"/>
    </row>
    <row r="167" spans="1:8" s="1128" customFormat="1" ht="30" x14ac:dyDescent="0.2">
      <c r="A167" s="351">
        <v>146</v>
      </c>
      <c r="B167" s="318" t="s">
        <v>1151</v>
      </c>
      <c r="C167" s="332"/>
      <c r="D167" s="332"/>
      <c r="E167" s="332"/>
      <c r="F167" s="332"/>
      <c r="G167" s="332"/>
      <c r="H167" s="496"/>
    </row>
    <row r="168" spans="1:8" s="1128" customFormat="1" x14ac:dyDescent="0.2">
      <c r="A168" s="351">
        <v>147</v>
      </c>
      <c r="B168" s="318" t="s">
        <v>1150</v>
      </c>
      <c r="C168" s="332"/>
      <c r="D168" s="332"/>
      <c r="E168" s="332"/>
      <c r="F168" s="332"/>
      <c r="G168" s="332"/>
      <c r="H168" s="496"/>
    </row>
    <row r="169" spans="1:8" s="1128" customFormat="1" x14ac:dyDescent="0.2">
      <c r="A169" s="351">
        <v>148</v>
      </c>
      <c r="B169" s="318" t="s">
        <v>1149</v>
      </c>
      <c r="C169" s="332"/>
      <c r="D169" s="332"/>
      <c r="E169" s="332"/>
      <c r="F169" s="332"/>
      <c r="G169" s="332"/>
      <c r="H169" s="496"/>
    </row>
    <row r="170" spans="1:8" s="1128" customFormat="1" ht="30" x14ac:dyDescent="0.2">
      <c r="A170" s="351">
        <v>149</v>
      </c>
      <c r="B170" s="318" t="s">
        <v>1148</v>
      </c>
      <c r="C170" s="332"/>
      <c r="D170" s="332"/>
      <c r="E170" s="332"/>
      <c r="F170" s="332"/>
      <c r="G170" s="332"/>
      <c r="H170" s="496"/>
    </row>
    <row r="171" spans="1:8" ht="30" x14ac:dyDescent="0.2">
      <c r="A171" s="351">
        <v>150</v>
      </c>
      <c r="B171" s="487" t="s">
        <v>1147</v>
      </c>
      <c r="C171" s="507"/>
      <c r="D171" s="506"/>
      <c r="E171" s="506"/>
      <c r="F171" s="506"/>
      <c r="G171" s="506"/>
      <c r="H171" s="496"/>
    </row>
    <row r="172" spans="1:8" x14ac:dyDescent="0.2">
      <c r="A172" s="351">
        <v>151</v>
      </c>
      <c r="B172" s="488" t="s">
        <v>1146</v>
      </c>
      <c r="C172" s="508"/>
      <c r="D172" s="340"/>
      <c r="E172" s="340"/>
      <c r="F172" s="340"/>
      <c r="G172" s="340"/>
      <c r="H172" s="496"/>
    </row>
    <row r="173" spans="1:8" x14ac:dyDescent="0.2">
      <c r="A173" s="351">
        <v>152</v>
      </c>
      <c r="B173" s="486" t="s">
        <v>177</v>
      </c>
      <c r="C173" s="509"/>
      <c r="D173" s="344"/>
      <c r="E173" s="344"/>
      <c r="F173" s="344"/>
      <c r="G173" s="344"/>
      <c r="H173" s="496"/>
    </row>
    <row r="174" spans="1:8" x14ac:dyDescent="0.2">
      <c r="A174" s="351">
        <v>153</v>
      </c>
      <c r="B174" s="486" t="s">
        <v>1145</v>
      </c>
      <c r="C174" s="509"/>
      <c r="D174" s="344"/>
      <c r="E174" s="344"/>
      <c r="F174" s="344"/>
      <c r="G174" s="344"/>
      <c r="H174" s="496"/>
    </row>
    <row r="175" spans="1:8" x14ac:dyDescent="0.2">
      <c r="A175" s="351">
        <v>154</v>
      </c>
      <c r="B175" s="488" t="s">
        <v>192</v>
      </c>
      <c r="C175" s="508"/>
      <c r="D175" s="340"/>
      <c r="E175" s="340"/>
      <c r="F175" s="340"/>
      <c r="G175" s="340"/>
      <c r="H175" s="496"/>
    </row>
    <row r="176" spans="1:8" x14ac:dyDescent="0.2">
      <c r="A176" s="351">
        <v>155</v>
      </c>
      <c r="B176" s="486" t="s">
        <v>1144</v>
      </c>
      <c r="C176" s="509"/>
      <c r="D176" s="344"/>
      <c r="E176" s="344"/>
      <c r="F176" s="344"/>
      <c r="G176" s="344"/>
      <c r="H176" s="496"/>
    </row>
    <row r="177" spans="1:8" x14ac:dyDescent="0.2">
      <c r="A177" s="351">
        <v>156</v>
      </c>
      <c r="B177" s="486" t="s">
        <v>78</v>
      </c>
      <c r="C177" s="509"/>
      <c r="D177" s="344"/>
      <c r="E177" s="344"/>
      <c r="F177" s="344"/>
      <c r="G177" s="344"/>
      <c r="H177" s="496"/>
    </row>
    <row r="178" spans="1:8" s="1128" customFormat="1" x14ac:dyDescent="0.2">
      <c r="A178" s="351">
        <v>157</v>
      </c>
      <c r="B178" s="488" t="s">
        <v>1143</v>
      </c>
      <c r="C178" s="508"/>
      <c r="D178" s="340"/>
      <c r="E178" s="340"/>
      <c r="F178" s="340"/>
      <c r="G178" s="340"/>
      <c r="H178" s="496"/>
    </row>
    <row r="179" spans="1:8" s="1128" customFormat="1" x14ac:dyDescent="0.2">
      <c r="A179" s="351">
        <v>158</v>
      </c>
      <c r="B179" s="488" t="s">
        <v>77</v>
      </c>
      <c r="C179" s="508"/>
      <c r="D179" s="340"/>
      <c r="E179" s="340"/>
      <c r="F179" s="340"/>
      <c r="G179" s="340"/>
      <c r="H179" s="496"/>
    </row>
    <row r="180" spans="1:8" x14ac:dyDescent="0.2">
      <c r="A180" s="351">
        <v>159</v>
      </c>
      <c r="B180" s="486" t="s">
        <v>1142</v>
      </c>
      <c r="C180" s="509"/>
      <c r="D180" s="344"/>
      <c r="E180" s="344"/>
      <c r="F180" s="344"/>
      <c r="G180" s="344"/>
      <c r="H180" s="496"/>
    </row>
    <row r="181" spans="1:8" ht="30" x14ac:dyDescent="0.2">
      <c r="A181" s="351">
        <v>160</v>
      </c>
      <c r="B181" s="487" t="s">
        <v>1141</v>
      </c>
      <c r="C181" s="507"/>
      <c r="D181" s="506"/>
      <c r="E181" s="506"/>
      <c r="F181" s="506"/>
      <c r="G181" s="506"/>
      <c r="H181" s="496"/>
    </row>
    <row r="182" spans="1:8" x14ac:dyDescent="0.2">
      <c r="A182" s="351">
        <v>161</v>
      </c>
      <c r="B182" s="488" t="s">
        <v>1140</v>
      </c>
      <c r="C182" s="508"/>
      <c r="D182" s="340"/>
      <c r="E182" s="340"/>
      <c r="F182" s="340"/>
      <c r="G182" s="340"/>
      <c r="H182" s="496"/>
    </row>
    <row r="183" spans="1:8" s="1128" customFormat="1" x14ac:dyDescent="0.2">
      <c r="A183" s="351">
        <v>162</v>
      </c>
      <c r="B183" s="488" t="s">
        <v>85</v>
      </c>
      <c r="C183" s="508"/>
      <c r="D183" s="340"/>
      <c r="E183" s="340"/>
      <c r="F183" s="340"/>
      <c r="G183" s="340"/>
      <c r="H183" s="496"/>
    </row>
    <row r="184" spans="1:8" s="1128" customFormat="1" x14ac:dyDescent="0.2">
      <c r="A184" s="351">
        <v>163</v>
      </c>
      <c r="B184" s="490" t="s">
        <v>1139</v>
      </c>
      <c r="C184" s="507"/>
      <c r="D184" s="506"/>
      <c r="E184" s="506"/>
      <c r="F184" s="506"/>
      <c r="G184" s="506"/>
      <c r="H184" s="496"/>
    </row>
    <row r="185" spans="1:8" s="1128" customFormat="1" x14ac:dyDescent="0.2">
      <c r="A185" s="351">
        <v>164</v>
      </c>
      <c r="B185" s="488" t="s">
        <v>111</v>
      </c>
      <c r="C185" s="508"/>
      <c r="D185" s="340"/>
      <c r="E185" s="340"/>
      <c r="F185" s="340"/>
      <c r="G185" s="340"/>
      <c r="H185" s="496"/>
    </row>
    <row r="186" spans="1:8" s="1128" customFormat="1" x14ac:dyDescent="0.2">
      <c r="A186" s="351">
        <v>165</v>
      </c>
      <c r="B186" s="488" t="s">
        <v>1138</v>
      </c>
      <c r="C186" s="508"/>
      <c r="D186" s="340"/>
      <c r="E186" s="340"/>
      <c r="F186" s="340"/>
      <c r="G186" s="340"/>
      <c r="H186" s="496"/>
    </row>
    <row r="187" spans="1:8" s="1128" customFormat="1" ht="30" x14ac:dyDescent="0.2">
      <c r="A187" s="351">
        <v>166</v>
      </c>
      <c r="B187" s="318" t="s">
        <v>1137</v>
      </c>
      <c r="C187" s="332"/>
      <c r="D187" s="332"/>
      <c r="E187" s="332"/>
      <c r="F187" s="332"/>
      <c r="G187" s="332"/>
      <c r="H187" s="496"/>
    </row>
    <row r="188" spans="1:8" s="1128" customFormat="1" ht="30" x14ac:dyDescent="0.2">
      <c r="A188" s="351">
        <v>167</v>
      </c>
      <c r="B188" s="318" t="s">
        <v>1136</v>
      </c>
      <c r="C188" s="507"/>
      <c r="D188" s="506"/>
      <c r="E188" s="506"/>
      <c r="F188" s="506"/>
      <c r="G188" s="506"/>
      <c r="H188" s="496"/>
    </row>
    <row r="189" spans="1:8" s="1128" customFormat="1" x14ac:dyDescent="0.2">
      <c r="A189" s="351">
        <v>168</v>
      </c>
      <c r="B189" s="382" t="s">
        <v>1135</v>
      </c>
      <c r="C189" s="332"/>
      <c r="D189" s="332"/>
      <c r="E189" s="332"/>
      <c r="F189" s="332"/>
      <c r="G189" s="332"/>
      <c r="H189" s="496"/>
    </row>
    <row r="190" spans="1:8" s="1128" customFormat="1" x14ac:dyDescent="0.2">
      <c r="A190" s="351">
        <v>169</v>
      </c>
      <c r="B190" s="382" t="s">
        <v>1134</v>
      </c>
      <c r="C190" s="332"/>
      <c r="D190" s="332"/>
      <c r="E190" s="332"/>
      <c r="F190" s="332"/>
      <c r="G190" s="332"/>
      <c r="H190" s="496"/>
    </row>
    <row r="191" spans="1:8" s="1128" customFormat="1" x14ac:dyDescent="0.2">
      <c r="A191" s="351">
        <v>170</v>
      </c>
      <c r="B191" s="382" t="s">
        <v>1133</v>
      </c>
      <c r="C191" s="332"/>
      <c r="D191" s="332"/>
      <c r="E191" s="332"/>
      <c r="F191" s="332"/>
      <c r="G191" s="332"/>
      <c r="H191" s="496"/>
    </row>
    <row r="192" spans="1:8" ht="45" x14ac:dyDescent="0.2">
      <c r="A192" s="351">
        <v>171</v>
      </c>
      <c r="B192" s="318" t="s">
        <v>1132</v>
      </c>
      <c r="C192" s="332"/>
      <c r="D192" s="332"/>
      <c r="E192" s="332"/>
      <c r="F192" s="332"/>
      <c r="G192" s="332"/>
      <c r="H192" s="496"/>
    </row>
    <row r="193" spans="1:8" x14ac:dyDescent="0.2">
      <c r="A193" s="351">
        <v>172</v>
      </c>
      <c r="B193" s="470" t="s">
        <v>1131</v>
      </c>
      <c r="C193" s="334"/>
      <c r="D193" s="334"/>
      <c r="E193" s="334"/>
      <c r="F193" s="334"/>
      <c r="G193" s="334"/>
      <c r="H193" s="496"/>
    </row>
    <row r="194" spans="1:8" ht="30" x14ac:dyDescent="0.2">
      <c r="A194" s="351">
        <v>173</v>
      </c>
      <c r="B194" s="470" t="s">
        <v>1130</v>
      </c>
      <c r="C194" s="335"/>
      <c r="D194" s="335"/>
      <c r="E194" s="335"/>
      <c r="F194" s="335"/>
      <c r="G194" s="335"/>
      <c r="H194" s="496"/>
    </row>
    <row r="195" spans="1:8" x14ac:dyDescent="0.2">
      <c r="A195" s="351">
        <v>174</v>
      </c>
      <c r="B195" s="469" t="s">
        <v>1129</v>
      </c>
      <c r="C195" s="334" t="s">
        <v>1032</v>
      </c>
      <c r="D195" s="334" t="s">
        <v>1032</v>
      </c>
      <c r="E195" s="334" t="s">
        <v>1032</v>
      </c>
      <c r="F195" s="334" t="s">
        <v>1032</v>
      </c>
      <c r="G195" s="334"/>
      <c r="H195" s="496"/>
    </row>
    <row r="196" spans="1:8" x14ac:dyDescent="0.2">
      <c r="A196" s="351">
        <v>175</v>
      </c>
      <c r="B196" s="469" t="s">
        <v>81</v>
      </c>
      <c r="C196" s="334"/>
      <c r="D196" s="334"/>
      <c r="E196" s="334"/>
      <c r="F196" s="334"/>
      <c r="G196" s="334"/>
      <c r="H196" s="496"/>
    </row>
    <row r="197" spans="1:8" s="1128" customFormat="1" x14ac:dyDescent="0.2">
      <c r="A197" s="351">
        <v>176</v>
      </c>
      <c r="B197" s="469" t="s">
        <v>1128</v>
      </c>
      <c r="C197" s="334"/>
      <c r="D197" s="334"/>
      <c r="E197" s="334"/>
      <c r="F197" s="334"/>
      <c r="G197" s="334"/>
      <c r="H197" s="496"/>
    </row>
    <row r="198" spans="1:8" s="1128" customFormat="1" x14ac:dyDescent="0.2">
      <c r="A198" s="351">
        <v>177</v>
      </c>
      <c r="B198" s="468" t="s">
        <v>1127</v>
      </c>
      <c r="C198" s="332"/>
      <c r="D198" s="332"/>
      <c r="E198" s="332"/>
      <c r="F198" s="332"/>
      <c r="G198" s="332"/>
      <c r="H198" s="496"/>
    </row>
    <row r="199" spans="1:8" x14ac:dyDescent="0.2">
      <c r="A199" s="351">
        <v>178</v>
      </c>
      <c r="B199" s="468" t="s">
        <v>1126</v>
      </c>
      <c r="C199" s="332"/>
      <c r="D199" s="332"/>
      <c r="E199" s="332"/>
      <c r="F199" s="332"/>
      <c r="G199" s="332"/>
      <c r="H199" s="496"/>
    </row>
    <row r="200" spans="1:8" x14ac:dyDescent="0.2">
      <c r="A200" s="351">
        <v>179</v>
      </c>
      <c r="B200" s="469" t="s">
        <v>1125</v>
      </c>
      <c r="C200" s="334"/>
      <c r="D200" s="334"/>
      <c r="E200" s="334"/>
      <c r="F200" s="334"/>
      <c r="G200" s="334"/>
      <c r="H200" s="496"/>
    </row>
    <row r="201" spans="1:8" x14ac:dyDescent="0.2">
      <c r="A201" s="351">
        <v>180</v>
      </c>
      <c r="B201" s="469" t="s">
        <v>238</v>
      </c>
      <c r="C201" s="334"/>
      <c r="D201" s="334"/>
      <c r="E201" s="334"/>
      <c r="F201" s="334"/>
      <c r="G201" s="334"/>
      <c r="H201" s="496"/>
    </row>
    <row r="202" spans="1:8" s="1128" customFormat="1" x14ac:dyDescent="0.2">
      <c r="A202" s="351">
        <v>181</v>
      </c>
      <c r="B202" s="469" t="s">
        <v>90</v>
      </c>
      <c r="C202" s="334"/>
      <c r="D202" s="334"/>
      <c r="E202" s="334"/>
      <c r="F202" s="334"/>
      <c r="G202" s="334"/>
      <c r="H202" s="496"/>
    </row>
    <row r="203" spans="1:8" x14ac:dyDescent="0.2">
      <c r="A203" s="351">
        <v>182</v>
      </c>
      <c r="B203" s="468" t="s">
        <v>87</v>
      </c>
      <c r="C203" s="332"/>
      <c r="D203" s="332"/>
      <c r="E203" s="332"/>
      <c r="F203" s="332"/>
      <c r="G203" s="332"/>
      <c r="H203" s="496"/>
    </row>
    <row r="204" spans="1:8" x14ac:dyDescent="0.2">
      <c r="A204" s="351">
        <v>183</v>
      </c>
      <c r="B204" s="469" t="s">
        <v>1124</v>
      </c>
      <c r="C204" s="334"/>
      <c r="D204" s="334"/>
      <c r="E204" s="334"/>
      <c r="F204" s="334"/>
      <c r="G204" s="334"/>
      <c r="H204" s="496"/>
    </row>
    <row r="205" spans="1:8" x14ac:dyDescent="0.2">
      <c r="A205" s="351">
        <v>184</v>
      </c>
      <c r="B205" s="469" t="s">
        <v>1123</v>
      </c>
      <c r="C205" s="334"/>
      <c r="D205" s="334"/>
      <c r="E205" s="334"/>
      <c r="F205" s="334"/>
      <c r="G205" s="334"/>
      <c r="H205" s="496"/>
    </row>
    <row r="206" spans="1:8" x14ac:dyDescent="0.2">
      <c r="A206" s="351">
        <v>185</v>
      </c>
      <c r="B206" s="457" t="s">
        <v>1122</v>
      </c>
      <c r="C206" s="334"/>
      <c r="D206" s="334"/>
      <c r="E206" s="334"/>
      <c r="F206" s="334"/>
      <c r="G206" s="334"/>
      <c r="H206" s="496"/>
    </row>
    <row r="207" spans="1:8" s="1128" customFormat="1" ht="30" x14ac:dyDescent="0.2">
      <c r="A207" s="351">
        <v>186</v>
      </c>
      <c r="B207" s="499" t="s">
        <v>1121</v>
      </c>
      <c r="C207" s="332"/>
      <c r="D207" s="332"/>
      <c r="E207" s="332"/>
      <c r="F207" s="332"/>
      <c r="G207" s="332"/>
      <c r="H207" s="496"/>
    </row>
    <row r="208" spans="1:8" s="1128" customFormat="1" ht="30" x14ac:dyDescent="0.2">
      <c r="A208" s="351">
        <v>187</v>
      </c>
      <c r="B208" s="499" t="s">
        <v>1120</v>
      </c>
      <c r="C208" s="332"/>
      <c r="D208" s="332"/>
      <c r="E208" s="332"/>
      <c r="F208" s="332"/>
      <c r="G208" s="332"/>
      <c r="H208" s="496"/>
    </row>
    <row r="209" spans="1:8" x14ac:dyDescent="0.2">
      <c r="A209" s="351">
        <v>188</v>
      </c>
      <c r="B209" s="279" t="s">
        <v>1119</v>
      </c>
      <c r="C209" s="363"/>
      <c r="D209" s="363"/>
      <c r="E209" s="363"/>
      <c r="F209" s="363"/>
      <c r="G209" s="363"/>
      <c r="H209" s="362"/>
    </row>
    <row r="210" spans="1:8" ht="45" x14ac:dyDescent="0.2">
      <c r="A210" s="351">
        <v>189</v>
      </c>
      <c r="B210" s="440" t="s">
        <v>1118</v>
      </c>
      <c r="C210" s="334"/>
      <c r="D210" s="334"/>
      <c r="E210" s="334"/>
      <c r="F210" s="334"/>
      <c r="G210" s="334"/>
      <c r="H210" s="495"/>
    </row>
    <row r="211" spans="1:8" s="1128" customFormat="1" ht="30" x14ac:dyDescent="0.2">
      <c r="A211" s="351">
        <v>190</v>
      </c>
      <c r="B211" s="582" t="s">
        <v>1117</v>
      </c>
      <c r="C211" s="332"/>
      <c r="D211" s="332"/>
      <c r="E211" s="332"/>
      <c r="F211" s="332"/>
      <c r="G211" s="332"/>
      <c r="H211" s="495"/>
    </row>
    <row r="212" spans="1:8" s="1128" customFormat="1" ht="30" x14ac:dyDescent="0.2">
      <c r="A212" s="351">
        <v>191</v>
      </c>
      <c r="B212" s="318" t="s">
        <v>1116</v>
      </c>
      <c r="C212" s="505"/>
      <c r="D212" s="505"/>
      <c r="E212" s="505"/>
      <c r="F212" s="505"/>
      <c r="G212" s="505"/>
      <c r="H212" s="495"/>
    </row>
    <row r="213" spans="1:8" s="1128" customFormat="1" ht="30" x14ac:dyDescent="0.2">
      <c r="A213" s="351">
        <v>192</v>
      </c>
      <c r="B213" s="318" t="s">
        <v>1115</v>
      </c>
      <c r="C213" s="505"/>
      <c r="D213" s="505"/>
      <c r="E213" s="505"/>
      <c r="F213" s="505"/>
      <c r="G213" s="505"/>
      <c r="H213" s="495"/>
    </row>
    <row r="214" spans="1:8" s="1128" customFormat="1" x14ac:dyDescent="0.2">
      <c r="A214" s="351">
        <v>193</v>
      </c>
      <c r="B214" s="318" t="s">
        <v>1114</v>
      </c>
      <c r="C214" s="505"/>
      <c r="D214" s="505"/>
      <c r="E214" s="505"/>
      <c r="F214" s="505"/>
      <c r="G214" s="505"/>
      <c r="H214" s="495"/>
    </row>
    <row r="215" spans="1:8" s="1128" customFormat="1" ht="30" x14ac:dyDescent="0.2">
      <c r="A215" s="351">
        <v>194</v>
      </c>
      <c r="B215" s="378" t="s">
        <v>1113</v>
      </c>
      <c r="C215" s="334"/>
      <c r="D215" s="334"/>
      <c r="E215" s="334"/>
      <c r="F215" s="334"/>
      <c r="G215" s="334"/>
      <c r="H215" s="495"/>
    </row>
    <row r="216" spans="1:8" ht="45" x14ac:dyDescent="0.2">
      <c r="A216" s="351">
        <v>195</v>
      </c>
      <c r="B216" s="412" t="s">
        <v>1112</v>
      </c>
      <c r="C216" s="334"/>
      <c r="D216" s="334"/>
      <c r="E216" s="334"/>
      <c r="F216" s="334"/>
      <c r="G216" s="334"/>
      <c r="H216" s="495"/>
    </row>
    <row r="217" spans="1:8" ht="30" x14ac:dyDescent="0.2">
      <c r="A217" s="351">
        <v>196</v>
      </c>
      <c r="B217" s="354" t="s">
        <v>1111</v>
      </c>
      <c r="C217" s="334"/>
      <c r="D217" s="334"/>
      <c r="E217" s="334"/>
      <c r="F217" s="334"/>
      <c r="G217" s="334"/>
      <c r="H217" s="495"/>
    </row>
    <row r="218" spans="1:8" s="1128" customFormat="1" x14ac:dyDescent="0.2">
      <c r="A218" s="351">
        <v>197</v>
      </c>
      <c r="B218" s="499" t="s">
        <v>1110</v>
      </c>
      <c r="C218" s="335"/>
      <c r="D218" s="335"/>
      <c r="E218" s="335"/>
      <c r="F218" s="335"/>
      <c r="G218" s="335"/>
      <c r="H218" s="495"/>
    </row>
    <row r="219" spans="1:8" s="1128" customFormat="1" x14ac:dyDescent="0.2">
      <c r="A219" s="351">
        <v>198</v>
      </c>
      <c r="B219" s="468" t="s">
        <v>1109</v>
      </c>
      <c r="C219" s="332"/>
      <c r="D219" s="332"/>
      <c r="E219" s="332"/>
      <c r="F219" s="332"/>
      <c r="G219" s="332"/>
      <c r="H219" s="495"/>
    </row>
    <row r="220" spans="1:8" s="1128" customFormat="1" x14ac:dyDescent="0.2">
      <c r="A220" s="351">
        <v>199</v>
      </c>
      <c r="B220" s="382" t="s">
        <v>1108</v>
      </c>
      <c r="C220" s="332"/>
      <c r="D220" s="332"/>
      <c r="E220" s="332"/>
      <c r="F220" s="332"/>
      <c r="G220" s="332"/>
      <c r="H220" s="495"/>
    </row>
    <row r="221" spans="1:8" s="1128" customFormat="1" x14ac:dyDescent="0.2">
      <c r="A221" s="351">
        <v>200</v>
      </c>
      <c r="B221" s="382" t="s">
        <v>91</v>
      </c>
      <c r="C221" s="332"/>
      <c r="D221" s="332"/>
      <c r="E221" s="332"/>
      <c r="F221" s="332"/>
      <c r="G221" s="332"/>
      <c r="H221" s="495"/>
    </row>
    <row r="222" spans="1:8" x14ac:dyDescent="0.2">
      <c r="A222" s="351">
        <v>201</v>
      </c>
      <c r="B222" s="382" t="s">
        <v>1107</v>
      </c>
      <c r="C222" s="332"/>
      <c r="D222" s="332"/>
      <c r="E222" s="332"/>
      <c r="F222" s="332"/>
      <c r="G222" s="332"/>
      <c r="H222" s="495"/>
    </row>
    <row r="223" spans="1:8" x14ac:dyDescent="0.2">
      <c r="A223" s="351">
        <v>202</v>
      </c>
      <c r="B223" s="469" t="s">
        <v>1044</v>
      </c>
      <c r="C223" s="368"/>
      <c r="D223" s="368"/>
      <c r="E223" s="368"/>
      <c r="F223" s="368"/>
      <c r="G223" s="368"/>
      <c r="H223" s="495"/>
    </row>
    <row r="224" spans="1:8" x14ac:dyDescent="0.2">
      <c r="A224" s="351">
        <v>203</v>
      </c>
      <c r="B224" s="469" t="s">
        <v>85</v>
      </c>
      <c r="C224" s="334"/>
      <c r="D224" s="334"/>
      <c r="E224" s="334"/>
      <c r="F224" s="334"/>
      <c r="G224" s="334"/>
      <c r="H224" s="495"/>
    </row>
    <row r="225" spans="1:8" x14ac:dyDescent="0.2">
      <c r="A225" s="351">
        <v>204</v>
      </c>
      <c r="B225" s="469" t="s">
        <v>1106</v>
      </c>
      <c r="C225" s="334"/>
      <c r="D225" s="334"/>
      <c r="E225" s="334"/>
      <c r="F225" s="334"/>
      <c r="G225" s="334"/>
      <c r="H225" s="495"/>
    </row>
    <row r="226" spans="1:8" x14ac:dyDescent="0.2">
      <c r="A226" s="351">
        <v>205</v>
      </c>
      <c r="B226" s="469" t="s">
        <v>219</v>
      </c>
      <c r="C226" s="334"/>
      <c r="D226" s="334"/>
      <c r="E226" s="334"/>
      <c r="F226" s="334"/>
      <c r="G226" s="334"/>
      <c r="H226" s="495"/>
    </row>
    <row r="227" spans="1:8" x14ac:dyDescent="0.2">
      <c r="A227" s="351">
        <v>206</v>
      </c>
      <c r="B227" s="469" t="s">
        <v>81</v>
      </c>
      <c r="C227" s="334"/>
      <c r="D227" s="334"/>
      <c r="E227" s="334"/>
      <c r="F227" s="334"/>
      <c r="G227" s="334"/>
      <c r="H227" s="495"/>
    </row>
    <row r="228" spans="1:8" ht="30" x14ac:dyDescent="0.2">
      <c r="A228" s="351">
        <v>207</v>
      </c>
      <c r="B228" s="470" t="s">
        <v>1105</v>
      </c>
      <c r="C228" s="334"/>
      <c r="D228" s="334"/>
      <c r="E228" s="334"/>
      <c r="F228" s="334"/>
      <c r="G228" s="334"/>
      <c r="H228" s="495"/>
    </row>
    <row r="229" spans="1:8" ht="30" x14ac:dyDescent="0.2">
      <c r="A229" s="351">
        <v>208</v>
      </c>
      <c r="B229" s="354" t="s">
        <v>1104</v>
      </c>
      <c r="C229" s="334"/>
      <c r="D229" s="334"/>
      <c r="E229" s="334"/>
      <c r="F229" s="334"/>
      <c r="G229" s="334"/>
      <c r="H229" s="495"/>
    </row>
    <row r="230" spans="1:8" ht="30" x14ac:dyDescent="0.2">
      <c r="A230" s="351">
        <v>209</v>
      </c>
      <c r="B230" s="354" t="s">
        <v>1103</v>
      </c>
      <c r="C230" s="334"/>
      <c r="D230" s="334"/>
      <c r="E230" s="334"/>
      <c r="F230" s="334"/>
      <c r="G230" s="334"/>
      <c r="H230" s="495"/>
    </row>
    <row r="231" spans="1:8" ht="45" x14ac:dyDescent="0.2">
      <c r="A231" s="351">
        <v>210</v>
      </c>
      <c r="B231" s="354" t="s">
        <v>1102</v>
      </c>
      <c r="C231" s="334"/>
      <c r="D231" s="334"/>
      <c r="E231" s="334"/>
      <c r="F231" s="334"/>
      <c r="G231" s="334"/>
      <c r="H231" s="495"/>
    </row>
    <row r="232" spans="1:8" x14ac:dyDescent="0.2">
      <c r="A232" s="351">
        <v>211</v>
      </c>
      <c r="B232" s="457" t="s">
        <v>1101</v>
      </c>
      <c r="C232" s="334"/>
      <c r="D232" s="334"/>
      <c r="E232" s="334"/>
      <c r="F232" s="334"/>
      <c r="G232" s="334"/>
      <c r="H232" s="495"/>
    </row>
    <row r="233" spans="1:8" ht="30" x14ac:dyDescent="0.2">
      <c r="A233" s="351">
        <v>212</v>
      </c>
      <c r="B233" s="457" t="s">
        <v>1100</v>
      </c>
      <c r="C233" s="334"/>
      <c r="D233" s="334"/>
      <c r="E233" s="334"/>
      <c r="F233" s="334"/>
      <c r="G233" s="334"/>
      <c r="H233" s="495"/>
    </row>
    <row r="234" spans="1:8" x14ac:dyDescent="0.2">
      <c r="A234" s="351">
        <v>213</v>
      </c>
      <c r="B234" s="457" t="s">
        <v>1099</v>
      </c>
      <c r="C234" s="334"/>
      <c r="D234" s="334"/>
      <c r="E234" s="334"/>
      <c r="F234" s="334"/>
      <c r="G234" s="334"/>
      <c r="H234" s="495"/>
    </row>
    <row r="235" spans="1:8" ht="30" x14ac:dyDescent="0.2">
      <c r="A235" s="351">
        <v>214</v>
      </c>
      <c r="B235" s="457" t="s">
        <v>1098</v>
      </c>
      <c r="C235" s="334"/>
      <c r="D235" s="334"/>
      <c r="E235" s="334"/>
      <c r="F235" s="334"/>
      <c r="G235" s="334"/>
      <c r="H235" s="495"/>
    </row>
    <row r="236" spans="1:8" ht="45" x14ac:dyDescent="0.2">
      <c r="A236" s="351">
        <v>215</v>
      </c>
      <c r="B236" s="378" t="s">
        <v>1097</v>
      </c>
      <c r="C236" s="334"/>
      <c r="D236" s="334"/>
      <c r="E236" s="334"/>
      <c r="F236" s="334"/>
      <c r="G236" s="334"/>
      <c r="H236" s="495"/>
    </row>
    <row r="237" spans="1:8" ht="45" x14ac:dyDescent="0.2">
      <c r="A237" s="351">
        <v>216</v>
      </c>
      <c r="B237" s="378" t="s">
        <v>1096</v>
      </c>
      <c r="C237" s="334"/>
      <c r="D237" s="334"/>
      <c r="E237" s="334"/>
      <c r="F237" s="334"/>
      <c r="G237" s="334"/>
      <c r="H237" s="495"/>
    </row>
    <row r="238" spans="1:8" ht="30" x14ac:dyDescent="0.2">
      <c r="A238" s="351">
        <v>217</v>
      </c>
      <c r="B238" s="378" t="s">
        <v>1095</v>
      </c>
      <c r="C238" s="335"/>
      <c r="D238" s="335"/>
      <c r="E238" s="335"/>
      <c r="F238" s="335"/>
      <c r="G238" s="335"/>
      <c r="H238" s="495"/>
    </row>
    <row r="239" spans="1:8" ht="30" x14ac:dyDescent="0.2">
      <c r="A239" s="351">
        <v>218</v>
      </c>
      <c r="B239" s="376" t="s">
        <v>1094</v>
      </c>
      <c r="C239" s="334"/>
      <c r="D239" s="334"/>
      <c r="E239" s="334"/>
      <c r="F239" s="334"/>
      <c r="G239" s="334"/>
      <c r="H239" s="495"/>
    </row>
    <row r="240" spans="1:8" x14ac:dyDescent="0.2">
      <c r="A240" s="351">
        <v>219</v>
      </c>
      <c r="B240" s="376" t="s">
        <v>1093</v>
      </c>
      <c r="C240" s="334"/>
      <c r="D240" s="334"/>
      <c r="E240" s="334"/>
      <c r="F240" s="334"/>
      <c r="G240" s="334"/>
      <c r="H240" s="495"/>
    </row>
    <row r="241" spans="1:8" x14ac:dyDescent="0.2">
      <c r="A241" s="351">
        <v>220</v>
      </c>
      <c r="B241" s="376" t="s">
        <v>1092</v>
      </c>
      <c r="C241" s="334"/>
      <c r="D241" s="334"/>
      <c r="E241" s="334"/>
      <c r="F241" s="334"/>
      <c r="G241" s="334"/>
      <c r="H241" s="495"/>
    </row>
    <row r="242" spans="1:8" x14ac:dyDescent="0.2">
      <c r="A242" s="351">
        <v>221</v>
      </c>
      <c r="B242" s="376" t="s">
        <v>21</v>
      </c>
      <c r="C242" s="334"/>
      <c r="D242" s="334"/>
      <c r="E242" s="334"/>
      <c r="F242" s="334"/>
      <c r="G242" s="334"/>
      <c r="H242" s="495"/>
    </row>
    <row r="243" spans="1:8" s="1128" customFormat="1" ht="30" x14ac:dyDescent="0.2">
      <c r="A243" s="351">
        <v>222</v>
      </c>
      <c r="B243" s="318" t="s">
        <v>1091</v>
      </c>
      <c r="C243" s="332"/>
      <c r="D243" s="332"/>
      <c r="E243" s="332"/>
      <c r="F243" s="332"/>
      <c r="G243" s="332"/>
      <c r="H243" s="495"/>
    </row>
    <row r="244" spans="1:8" x14ac:dyDescent="0.2">
      <c r="A244" s="351">
        <v>223</v>
      </c>
      <c r="B244" s="279" t="s">
        <v>1090</v>
      </c>
      <c r="C244" s="363" t="s">
        <v>1032</v>
      </c>
      <c r="D244" s="363" t="s">
        <v>1032</v>
      </c>
      <c r="E244" s="363" t="s">
        <v>1032</v>
      </c>
      <c r="F244" s="363" t="s">
        <v>1032</v>
      </c>
      <c r="G244" s="363"/>
      <c r="H244" s="436"/>
    </row>
    <row r="245" spans="1:8" s="1128" customFormat="1" ht="75" x14ac:dyDescent="0.2">
      <c r="A245" s="351">
        <v>224</v>
      </c>
      <c r="B245" s="318" t="s">
        <v>1089</v>
      </c>
      <c r="C245" s="332"/>
      <c r="D245" s="332"/>
      <c r="E245" s="332"/>
      <c r="F245" s="332"/>
      <c r="G245" s="332"/>
      <c r="H245" s="495"/>
    </row>
    <row r="246" spans="1:8" s="1128" customFormat="1" ht="45" x14ac:dyDescent="0.2">
      <c r="A246" s="351">
        <v>225</v>
      </c>
      <c r="B246" s="357" t="s">
        <v>1088</v>
      </c>
      <c r="C246" s="332"/>
      <c r="D246" s="332"/>
      <c r="E246" s="332"/>
      <c r="F246" s="332"/>
      <c r="G246" s="332"/>
      <c r="H246" s="495"/>
    </row>
    <row r="247" spans="1:8" x14ac:dyDescent="0.2">
      <c r="A247" s="351">
        <v>226</v>
      </c>
      <c r="B247" s="381" t="s">
        <v>1087</v>
      </c>
      <c r="C247" s="334"/>
      <c r="D247" s="334"/>
      <c r="E247" s="334"/>
      <c r="F247" s="334"/>
      <c r="G247" s="334"/>
      <c r="H247" s="495"/>
    </row>
    <row r="248" spans="1:8" ht="30" x14ac:dyDescent="0.2">
      <c r="A248" s="351">
        <v>227</v>
      </c>
      <c r="B248" s="354" t="s">
        <v>1086</v>
      </c>
      <c r="C248" s="334"/>
      <c r="D248" s="334"/>
      <c r="E248" s="334"/>
      <c r="F248" s="334"/>
      <c r="G248" s="334"/>
      <c r="H248" s="495"/>
    </row>
    <row r="249" spans="1:8" ht="30" x14ac:dyDescent="0.25">
      <c r="A249" s="351">
        <v>228</v>
      </c>
      <c r="B249" s="504" t="s">
        <v>1085</v>
      </c>
      <c r="C249" s="334"/>
      <c r="D249" s="334"/>
      <c r="E249" s="334"/>
      <c r="F249" s="334"/>
      <c r="G249" s="334"/>
      <c r="H249" s="495"/>
    </row>
    <row r="250" spans="1:8" x14ac:dyDescent="0.2">
      <c r="A250" s="351">
        <v>229</v>
      </c>
      <c r="B250" s="279" t="s">
        <v>1084</v>
      </c>
      <c r="C250" s="363" t="s">
        <v>1032</v>
      </c>
      <c r="D250" s="363" t="s">
        <v>1032</v>
      </c>
      <c r="E250" s="363" t="s">
        <v>1032</v>
      </c>
      <c r="F250" s="363" t="s">
        <v>1032</v>
      </c>
      <c r="G250" s="363"/>
      <c r="H250" s="362"/>
    </row>
    <row r="251" spans="1:8" ht="30" x14ac:dyDescent="0.2">
      <c r="A251" s="351">
        <v>230</v>
      </c>
      <c r="B251" s="378" t="s">
        <v>1083</v>
      </c>
      <c r="C251" s="334"/>
      <c r="D251" s="334"/>
      <c r="E251" s="334"/>
      <c r="F251" s="334"/>
      <c r="G251" s="334"/>
      <c r="H251" s="496"/>
    </row>
    <row r="252" spans="1:8" ht="30" x14ac:dyDescent="0.2">
      <c r="A252" s="351">
        <v>231</v>
      </c>
      <c r="B252" s="378" t="s">
        <v>1082</v>
      </c>
      <c r="C252" s="334"/>
      <c r="D252" s="334"/>
      <c r="E252" s="334"/>
      <c r="F252" s="334"/>
      <c r="G252" s="334"/>
      <c r="H252" s="496"/>
    </row>
    <row r="253" spans="1:8" ht="45" x14ac:dyDescent="0.2">
      <c r="A253" s="351">
        <v>232</v>
      </c>
      <c r="B253" s="378" t="s">
        <v>1081</v>
      </c>
      <c r="C253" s="334"/>
      <c r="D253" s="334"/>
      <c r="E253" s="334"/>
      <c r="F253" s="334"/>
      <c r="G253" s="334"/>
      <c r="H253" s="496"/>
    </row>
    <row r="254" spans="1:8" ht="30" x14ac:dyDescent="0.2">
      <c r="A254" s="351">
        <v>233</v>
      </c>
      <c r="B254" s="378" t="s">
        <v>1080</v>
      </c>
      <c r="C254" s="334"/>
      <c r="D254" s="334"/>
      <c r="E254" s="334"/>
      <c r="F254" s="334"/>
      <c r="G254" s="334"/>
      <c r="H254" s="496"/>
    </row>
    <row r="255" spans="1:8" x14ac:dyDescent="0.2">
      <c r="A255" s="351">
        <v>234</v>
      </c>
      <c r="B255" s="354" t="s">
        <v>1079</v>
      </c>
      <c r="C255" s="334"/>
      <c r="D255" s="334"/>
      <c r="E255" s="334"/>
      <c r="F255" s="334"/>
      <c r="G255" s="334"/>
      <c r="H255" s="496"/>
    </row>
    <row r="256" spans="1:8" x14ac:dyDescent="0.2">
      <c r="A256" s="351">
        <v>235</v>
      </c>
      <c r="B256" s="357" t="s">
        <v>1078</v>
      </c>
      <c r="C256" s="332"/>
      <c r="D256" s="332"/>
      <c r="E256" s="332"/>
      <c r="F256" s="332"/>
      <c r="G256" s="332"/>
      <c r="H256" s="496"/>
    </row>
    <row r="257" spans="1:8" s="1128" customFormat="1" x14ac:dyDescent="0.2">
      <c r="A257" s="351">
        <v>236</v>
      </c>
      <c r="B257" s="378" t="s">
        <v>1077</v>
      </c>
      <c r="C257" s="335"/>
      <c r="D257" s="335"/>
      <c r="E257" s="335"/>
      <c r="F257" s="335"/>
      <c r="G257" s="335"/>
      <c r="H257" s="496"/>
    </row>
    <row r="258" spans="1:8" x14ac:dyDescent="0.2">
      <c r="A258" s="351">
        <v>237</v>
      </c>
      <c r="B258" s="376" t="s">
        <v>1076</v>
      </c>
      <c r="C258" s="334"/>
      <c r="D258" s="334"/>
      <c r="E258" s="334"/>
      <c r="F258" s="334"/>
      <c r="G258" s="334"/>
      <c r="H258" s="496"/>
    </row>
    <row r="259" spans="1:8" x14ac:dyDescent="0.2">
      <c r="A259" s="351">
        <v>238</v>
      </c>
      <c r="B259" s="376" t="s">
        <v>1075</v>
      </c>
      <c r="C259" s="334"/>
      <c r="D259" s="334"/>
      <c r="E259" s="334"/>
      <c r="F259" s="334"/>
      <c r="G259" s="334"/>
      <c r="H259" s="496"/>
    </row>
    <row r="260" spans="1:8" x14ac:dyDescent="0.2">
      <c r="A260" s="351">
        <v>239</v>
      </c>
      <c r="B260" s="376" t="s">
        <v>1074</v>
      </c>
      <c r="C260" s="334"/>
      <c r="D260" s="334"/>
      <c r="E260" s="334"/>
      <c r="F260" s="334"/>
      <c r="G260" s="334"/>
      <c r="H260" s="496"/>
    </row>
    <row r="261" spans="1:8" x14ac:dyDescent="0.2">
      <c r="A261" s="351">
        <v>240</v>
      </c>
      <c r="B261" s="503" t="s">
        <v>1073</v>
      </c>
      <c r="C261" s="502" t="s">
        <v>1032</v>
      </c>
      <c r="D261" s="502" t="s">
        <v>1032</v>
      </c>
      <c r="E261" s="502" t="s">
        <v>1032</v>
      </c>
      <c r="F261" s="502" t="s">
        <v>1032</v>
      </c>
      <c r="G261" s="502"/>
      <c r="H261" s="502"/>
    </row>
    <row r="262" spans="1:8" ht="30" x14ac:dyDescent="0.2">
      <c r="A262" s="351">
        <v>241</v>
      </c>
      <c r="B262" s="412" t="s">
        <v>1072</v>
      </c>
      <c r="C262" s="335"/>
      <c r="D262" s="335"/>
      <c r="E262" s="335"/>
      <c r="F262" s="335"/>
      <c r="G262" s="335"/>
      <c r="H262" s="381"/>
    </row>
    <row r="263" spans="1:8" x14ac:dyDescent="0.25">
      <c r="A263" s="351">
        <v>242</v>
      </c>
      <c r="B263" s="501" t="s">
        <v>1071</v>
      </c>
      <c r="C263" s="427"/>
      <c r="D263" s="427"/>
      <c r="E263" s="427"/>
      <c r="F263" s="427"/>
      <c r="G263" s="427"/>
      <c r="H263" s="381"/>
    </row>
    <row r="264" spans="1:8" s="1128" customFormat="1" x14ac:dyDescent="0.2">
      <c r="A264" s="351">
        <v>243</v>
      </c>
      <c r="B264" s="970" t="s">
        <v>1070</v>
      </c>
      <c r="C264" s="332"/>
      <c r="D264" s="332"/>
      <c r="E264" s="332"/>
      <c r="F264" s="332"/>
      <c r="G264" s="332"/>
      <c r="H264" s="381"/>
    </row>
    <row r="265" spans="1:8" s="1128" customFormat="1" x14ac:dyDescent="0.2">
      <c r="A265" s="351">
        <v>244</v>
      </c>
      <c r="B265" s="414" t="s">
        <v>1069</v>
      </c>
      <c r="C265" s="332"/>
      <c r="D265" s="332"/>
      <c r="E265" s="332"/>
      <c r="F265" s="332"/>
      <c r="G265" s="332"/>
      <c r="H265" s="381"/>
    </row>
    <row r="266" spans="1:8" s="1128" customFormat="1" x14ac:dyDescent="0.2">
      <c r="A266" s="351">
        <v>245</v>
      </c>
      <c r="B266" s="414" t="s">
        <v>1068</v>
      </c>
      <c r="C266" s="332"/>
      <c r="D266" s="332"/>
      <c r="E266" s="332"/>
      <c r="F266" s="332"/>
      <c r="G266" s="332"/>
      <c r="H266" s="381"/>
    </row>
    <row r="267" spans="1:8" s="1128" customFormat="1" ht="30" x14ac:dyDescent="0.2">
      <c r="A267" s="351">
        <v>246</v>
      </c>
      <c r="B267" s="381" t="s">
        <v>1067</v>
      </c>
      <c r="C267" s="332"/>
      <c r="D267" s="332"/>
      <c r="E267" s="332"/>
      <c r="F267" s="332"/>
      <c r="G267" s="332"/>
      <c r="H267" s="381"/>
    </row>
    <row r="268" spans="1:8" s="1128" customFormat="1" ht="30" x14ac:dyDescent="0.2">
      <c r="A268" s="351">
        <v>247</v>
      </c>
      <c r="B268" s="381" t="s">
        <v>1066</v>
      </c>
      <c r="C268" s="332"/>
      <c r="D268" s="332"/>
      <c r="E268" s="332"/>
      <c r="F268" s="332"/>
      <c r="G268" s="332"/>
      <c r="H268" s="381"/>
    </row>
    <row r="269" spans="1:8" s="1128" customFormat="1" ht="30" x14ac:dyDescent="0.2">
      <c r="A269" s="351">
        <v>248</v>
      </c>
      <c r="B269" s="381" t="s">
        <v>1065</v>
      </c>
      <c r="C269" s="332"/>
      <c r="D269" s="332"/>
      <c r="E269" s="332"/>
      <c r="F269" s="332"/>
      <c r="G269" s="332"/>
      <c r="H269" s="381"/>
    </row>
    <row r="270" spans="1:8" s="1128" customFormat="1" ht="30" x14ac:dyDescent="0.2">
      <c r="A270" s="351">
        <v>249</v>
      </c>
      <c r="B270" s="381" t="s">
        <v>1064</v>
      </c>
      <c r="C270" s="332"/>
      <c r="D270" s="332"/>
      <c r="E270" s="332"/>
      <c r="F270" s="332"/>
      <c r="G270" s="332"/>
      <c r="H270" s="381"/>
    </row>
    <row r="271" spans="1:8" s="1128" customFormat="1" ht="30" x14ac:dyDescent="0.2">
      <c r="A271" s="351">
        <v>250</v>
      </c>
      <c r="B271" s="381" t="s">
        <v>1063</v>
      </c>
      <c r="C271" s="332"/>
      <c r="D271" s="332"/>
      <c r="E271" s="332"/>
      <c r="F271" s="332"/>
      <c r="G271" s="332"/>
      <c r="H271" s="381"/>
    </row>
    <row r="272" spans="1:8" s="1128" customFormat="1" ht="45" x14ac:dyDescent="0.2">
      <c r="A272" s="351">
        <v>251</v>
      </c>
      <c r="B272" s="381" t="s">
        <v>1062</v>
      </c>
      <c r="C272" s="332"/>
      <c r="D272" s="332"/>
      <c r="E272" s="332"/>
      <c r="F272" s="332"/>
      <c r="G272" s="332"/>
      <c r="H272" s="381"/>
    </row>
    <row r="273" spans="1:8" ht="30" x14ac:dyDescent="0.2">
      <c r="A273" s="351">
        <v>252</v>
      </c>
      <c r="B273" s="412" t="s">
        <v>1061</v>
      </c>
      <c r="C273" s="335"/>
      <c r="D273" s="335"/>
      <c r="E273" s="335"/>
      <c r="F273" s="335"/>
      <c r="G273" s="335"/>
      <c r="H273" s="381"/>
    </row>
    <row r="274" spans="1:8" x14ac:dyDescent="0.2">
      <c r="A274" s="351">
        <v>253</v>
      </c>
      <c r="B274" s="500" t="s">
        <v>1060</v>
      </c>
      <c r="C274" s="334"/>
      <c r="D274" s="334"/>
      <c r="E274" s="334"/>
      <c r="F274" s="334"/>
      <c r="G274" s="334"/>
      <c r="H274" s="381"/>
    </row>
    <row r="275" spans="1:8" x14ac:dyDescent="0.2">
      <c r="A275" s="351">
        <v>254</v>
      </c>
      <c r="B275" s="500" t="s">
        <v>1059</v>
      </c>
      <c r="C275" s="334"/>
      <c r="D275" s="334"/>
      <c r="E275" s="334"/>
      <c r="F275" s="334"/>
      <c r="G275" s="334"/>
      <c r="H275" s="381"/>
    </row>
    <row r="276" spans="1:8" x14ac:dyDescent="0.2">
      <c r="A276" s="351">
        <v>255</v>
      </c>
      <c r="B276" s="500" t="s">
        <v>1058</v>
      </c>
      <c r="C276" s="334"/>
      <c r="D276" s="334"/>
      <c r="E276" s="334"/>
      <c r="F276" s="334"/>
      <c r="G276" s="334"/>
      <c r="H276" s="381"/>
    </row>
    <row r="277" spans="1:8" x14ac:dyDescent="0.2">
      <c r="A277" s="351">
        <v>256</v>
      </c>
      <c r="B277" s="414" t="s">
        <v>302</v>
      </c>
      <c r="C277" s="332"/>
      <c r="D277" s="332"/>
      <c r="E277" s="332"/>
      <c r="F277" s="332"/>
      <c r="G277" s="332"/>
      <c r="H277" s="381"/>
    </row>
    <row r="278" spans="1:8" x14ac:dyDescent="0.2">
      <c r="A278" s="351">
        <v>257</v>
      </c>
      <c r="B278" s="500" t="s">
        <v>1057</v>
      </c>
      <c r="C278" s="334"/>
      <c r="D278" s="334"/>
      <c r="E278" s="334"/>
      <c r="F278" s="334"/>
      <c r="G278" s="334"/>
      <c r="H278" s="381"/>
    </row>
    <row r="279" spans="1:8" s="1128" customFormat="1" x14ac:dyDescent="0.2">
      <c r="A279" s="351">
        <v>258</v>
      </c>
      <c r="B279" s="414" t="s">
        <v>1056</v>
      </c>
      <c r="C279" s="332"/>
      <c r="D279" s="332"/>
      <c r="E279" s="332"/>
      <c r="F279" s="332"/>
      <c r="G279" s="332"/>
      <c r="H279" s="381"/>
    </row>
    <row r="280" spans="1:8" ht="30" x14ac:dyDescent="0.2">
      <c r="A280" s="351">
        <v>259</v>
      </c>
      <c r="B280" s="412" t="s">
        <v>1055</v>
      </c>
      <c r="C280" s="335"/>
      <c r="D280" s="335"/>
      <c r="E280" s="335"/>
      <c r="F280" s="335"/>
      <c r="G280" s="335"/>
      <c r="H280" s="381"/>
    </row>
    <row r="281" spans="1:8" ht="45" x14ac:dyDescent="0.2">
      <c r="A281" s="351">
        <v>260</v>
      </c>
      <c r="B281" s="500" t="s">
        <v>1054</v>
      </c>
      <c r="C281" s="334"/>
      <c r="D281" s="334"/>
      <c r="E281" s="334"/>
      <c r="F281" s="334"/>
      <c r="G281" s="334"/>
      <c r="H281" s="381"/>
    </row>
    <row r="282" spans="1:8" x14ac:dyDescent="0.2">
      <c r="A282" s="351">
        <v>261</v>
      </c>
      <c r="B282" s="428" t="s">
        <v>1053</v>
      </c>
      <c r="C282" s="334"/>
      <c r="D282" s="334"/>
      <c r="E282" s="334"/>
      <c r="F282" s="334"/>
      <c r="G282" s="334"/>
      <c r="H282" s="381"/>
    </row>
    <row r="283" spans="1:8" ht="30" x14ac:dyDescent="0.2">
      <c r="A283" s="351">
        <v>262</v>
      </c>
      <c r="B283" s="500" t="s">
        <v>1052</v>
      </c>
      <c r="C283" s="334"/>
      <c r="D283" s="334"/>
      <c r="E283" s="334"/>
      <c r="F283" s="334"/>
      <c r="G283" s="334"/>
      <c r="H283" s="381"/>
    </row>
    <row r="284" spans="1:8" ht="30" x14ac:dyDescent="0.2">
      <c r="A284" s="351">
        <v>263</v>
      </c>
      <c r="B284" s="500" t="s">
        <v>1051</v>
      </c>
      <c r="C284" s="368"/>
      <c r="D284" s="368"/>
      <c r="E284" s="368"/>
      <c r="F284" s="368"/>
      <c r="G284" s="368"/>
      <c r="H284" s="381"/>
    </row>
    <row r="285" spans="1:8" x14ac:dyDescent="0.2">
      <c r="A285" s="351">
        <v>264</v>
      </c>
      <c r="B285" s="381" t="s">
        <v>1050</v>
      </c>
      <c r="C285" s="332"/>
      <c r="D285" s="332"/>
      <c r="E285" s="332"/>
      <c r="F285" s="332"/>
      <c r="G285" s="332"/>
      <c r="H285" s="381"/>
    </row>
    <row r="286" spans="1:8" x14ac:dyDescent="0.2">
      <c r="A286" s="351">
        <v>265</v>
      </c>
      <c r="B286" s="279" t="s">
        <v>1049</v>
      </c>
      <c r="C286" s="363" t="s">
        <v>1032</v>
      </c>
      <c r="D286" s="363" t="s">
        <v>1032</v>
      </c>
      <c r="E286" s="363" t="s">
        <v>1032</v>
      </c>
      <c r="F286" s="363" t="s">
        <v>1032</v>
      </c>
      <c r="G286" s="363"/>
      <c r="H286" s="362"/>
    </row>
    <row r="287" spans="1:8" ht="30" x14ac:dyDescent="0.2">
      <c r="A287" s="351">
        <v>266</v>
      </c>
      <c r="B287" s="499" t="s">
        <v>1048</v>
      </c>
      <c r="C287" s="335"/>
      <c r="D287" s="335"/>
      <c r="E287" s="335"/>
      <c r="F287" s="335"/>
      <c r="G287" s="335"/>
      <c r="H287" s="381"/>
    </row>
    <row r="288" spans="1:8" x14ac:dyDescent="0.2">
      <c r="A288" s="351">
        <v>267</v>
      </c>
      <c r="B288" s="468" t="s">
        <v>1047</v>
      </c>
      <c r="C288" s="368"/>
      <c r="D288" s="368"/>
      <c r="E288" s="368"/>
      <c r="F288" s="368"/>
      <c r="G288" s="368"/>
      <c r="H288" s="381"/>
    </row>
    <row r="289" spans="1:8" x14ac:dyDescent="0.2">
      <c r="A289" s="351">
        <v>268</v>
      </c>
      <c r="B289" s="468" t="s">
        <v>92</v>
      </c>
      <c r="C289" s="334"/>
      <c r="D289" s="334"/>
      <c r="E289" s="334"/>
      <c r="F289" s="334"/>
      <c r="G289" s="334"/>
      <c r="H289" s="381"/>
    </row>
    <row r="290" spans="1:8" s="1128" customFormat="1" x14ac:dyDescent="0.2">
      <c r="A290" s="351">
        <v>269</v>
      </c>
      <c r="B290" s="468" t="s">
        <v>1046</v>
      </c>
      <c r="C290" s="332"/>
      <c r="D290" s="332"/>
      <c r="E290" s="332"/>
      <c r="F290" s="332"/>
      <c r="G290" s="332"/>
      <c r="H290" s="381"/>
    </row>
    <row r="291" spans="1:8" x14ac:dyDescent="0.2">
      <c r="A291" s="351">
        <v>270</v>
      </c>
      <c r="B291" s="468" t="s">
        <v>1045</v>
      </c>
      <c r="C291" s="332"/>
      <c r="D291" s="332"/>
      <c r="E291" s="332"/>
      <c r="F291" s="332"/>
      <c r="G291" s="332"/>
      <c r="H291" s="381"/>
    </row>
    <row r="292" spans="1:8" x14ac:dyDescent="0.2">
      <c r="A292" s="351">
        <v>271</v>
      </c>
      <c r="B292" s="468" t="s">
        <v>1044</v>
      </c>
      <c r="C292" s="334"/>
      <c r="D292" s="334"/>
      <c r="E292" s="334"/>
      <c r="F292" s="334"/>
      <c r="G292" s="334"/>
      <c r="H292" s="381"/>
    </row>
    <row r="293" spans="1:8" x14ac:dyDescent="0.2">
      <c r="A293" s="351">
        <v>272</v>
      </c>
      <c r="B293" s="468" t="s">
        <v>85</v>
      </c>
      <c r="C293" s="334"/>
      <c r="D293" s="334"/>
      <c r="E293" s="334"/>
      <c r="F293" s="334"/>
      <c r="G293" s="334"/>
      <c r="H293" s="381"/>
    </row>
    <row r="294" spans="1:8" ht="30" x14ac:dyDescent="0.2">
      <c r="A294" s="351">
        <v>273</v>
      </c>
      <c r="B294" s="378" t="s">
        <v>1043</v>
      </c>
      <c r="C294" s="335"/>
      <c r="D294" s="335"/>
      <c r="E294" s="335"/>
      <c r="F294" s="335"/>
      <c r="G294" s="335"/>
      <c r="H294" s="381"/>
    </row>
    <row r="295" spans="1:8" x14ac:dyDescent="0.2">
      <c r="A295" s="351">
        <v>274</v>
      </c>
      <c r="B295" s="382" t="s">
        <v>669</v>
      </c>
      <c r="C295" s="368"/>
      <c r="D295" s="368"/>
      <c r="E295" s="368"/>
      <c r="F295" s="368"/>
      <c r="G295" s="368"/>
      <c r="H295" s="1132"/>
    </row>
    <row r="296" spans="1:8" x14ac:dyDescent="0.2">
      <c r="A296" s="351">
        <v>275</v>
      </c>
      <c r="B296" s="382" t="s">
        <v>666</v>
      </c>
      <c r="C296" s="368"/>
      <c r="D296" s="368"/>
      <c r="E296" s="368"/>
      <c r="F296" s="368"/>
      <c r="G296" s="368"/>
      <c r="H296" s="1132"/>
    </row>
    <row r="297" spans="1:8" ht="30" x14ac:dyDescent="0.2">
      <c r="A297" s="351">
        <v>276</v>
      </c>
      <c r="B297" s="318" t="s">
        <v>1042</v>
      </c>
      <c r="C297" s="334"/>
      <c r="D297" s="334"/>
      <c r="E297" s="334"/>
      <c r="F297" s="334"/>
      <c r="G297" s="334"/>
      <c r="H297" s="1132"/>
    </row>
    <row r="298" spans="1:8" s="1128" customFormat="1" ht="30" x14ac:dyDescent="0.2">
      <c r="A298" s="351">
        <v>277</v>
      </c>
      <c r="B298" s="318" t="s">
        <v>1041</v>
      </c>
      <c r="C298" s="332"/>
      <c r="D298" s="332"/>
      <c r="E298" s="332"/>
      <c r="F298" s="332"/>
      <c r="G298" s="332"/>
      <c r="H298" s="1132"/>
    </row>
    <row r="299" spans="1:8" s="1128" customFormat="1" ht="30" x14ac:dyDescent="0.2">
      <c r="A299" s="351">
        <v>278</v>
      </c>
      <c r="B299" s="318" t="s">
        <v>1040</v>
      </c>
      <c r="C299" s="332"/>
      <c r="D299" s="332"/>
      <c r="E299" s="332"/>
      <c r="F299" s="332"/>
      <c r="G299" s="332"/>
      <c r="H299" s="1132"/>
    </row>
    <row r="300" spans="1:8" s="1128" customFormat="1" ht="45" x14ac:dyDescent="0.2">
      <c r="A300" s="351">
        <v>279</v>
      </c>
      <c r="B300" s="318" t="s">
        <v>1039</v>
      </c>
      <c r="C300" s="332"/>
      <c r="D300" s="332"/>
      <c r="E300" s="332"/>
      <c r="F300" s="332"/>
      <c r="G300" s="332"/>
      <c r="H300" s="1132"/>
    </row>
    <row r="301" spans="1:8" x14ac:dyDescent="0.2">
      <c r="A301" s="351">
        <v>280</v>
      </c>
      <c r="B301" s="318" t="s">
        <v>1038</v>
      </c>
      <c r="C301" s="368"/>
      <c r="D301" s="368"/>
      <c r="E301" s="368"/>
      <c r="F301" s="368"/>
      <c r="G301" s="368"/>
      <c r="H301" s="1132"/>
    </row>
    <row r="302" spans="1:8" ht="30" x14ac:dyDescent="0.2">
      <c r="A302" s="351">
        <v>281</v>
      </c>
      <c r="B302" s="498" t="s">
        <v>1037</v>
      </c>
      <c r="C302" s="497"/>
      <c r="D302" s="342"/>
      <c r="E302" s="342"/>
      <c r="F302" s="342"/>
      <c r="G302" s="342"/>
      <c r="H302" s="1132"/>
    </row>
    <row r="303" spans="1:8" x14ac:dyDescent="0.2">
      <c r="A303" s="351">
        <v>282</v>
      </c>
      <c r="B303" s="279" t="s">
        <v>1036</v>
      </c>
      <c r="C303" s="363" t="s">
        <v>1032</v>
      </c>
      <c r="D303" s="363" t="s">
        <v>1032</v>
      </c>
      <c r="E303" s="363" t="s">
        <v>1032</v>
      </c>
      <c r="F303" s="363" t="s">
        <v>1032</v>
      </c>
      <c r="G303" s="363"/>
      <c r="H303" s="362"/>
    </row>
    <row r="304" spans="1:8" ht="30" x14ac:dyDescent="0.2">
      <c r="A304" s="351">
        <v>283</v>
      </c>
      <c r="B304" s="378" t="s">
        <v>1035</v>
      </c>
      <c r="C304" s="334"/>
      <c r="D304" s="334"/>
      <c r="E304" s="334"/>
      <c r="F304" s="334"/>
      <c r="G304" s="334"/>
      <c r="H304" s="495"/>
    </row>
    <row r="305" spans="1:8" ht="30" x14ac:dyDescent="0.2">
      <c r="A305" s="351">
        <v>284</v>
      </c>
      <c r="B305" s="378" t="s">
        <v>1034</v>
      </c>
      <c r="C305" s="334"/>
      <c r="D305" s="334"/>
      <c r="E305" s="334"/>
      <c r="F305" s="334"/>
      <c r="G305" s="334"/>
      <c r="H305" s="496"/>
    </row>
    <row r="306" spans="1:8" x14ac:dyDescent="0.2">
      <c r="A306" s="351">
        <v>285</v>
      </c>
      <c r="B306" s="279" t="s">
        <v>1033</v>
      </c>
      <c r="C306" s="363" t="s">
        <v>1032</v>
      </c>
      <c r="D306" s="363" t="s">
        <v>1032</v>
      </c>
      <c r="E306" s="363" t="s">
        <v>1032</v>
      </c>
      <c r="F306" s="363" t="s">
        <v>1032</v>
      </c>
      <c r="G306" s="363"/>
      <c r="H306" s="362"/>
    </row>
    <row r="307" spans="1:8" ht="30" x14ac:dyDescent="0.2">
      <c r="A307" s="351">
        <v>286</v>
      </c>
      <c r="B307" s="378" t="s">
        <v>1031</v>
      </c>
      <c r="C307" s="335"/>
      <c r="D307" s="335"/>
      <c r="E307" s="335"/>
      <c r="F307" s="335"/>
      <c r="G307" s="335"/>
      <c r="H307" s="495"/>
    </row>
    <row r="308" spans="1:8" x14ac:dyDescent="0.2">
      <c r="A308" s="351">
        <v>287</v>
      </c>
      <c r="B308" s="376" t="s">
        <v>1030</v>
      </c>
      <c r="C308" s="334"/>
      <c r="D308" s="334"/>
      <c r="E308" s="334"/>
      <c r="F308" s="334"/>
      <c r="G308" s="334"/>
      <c r="H308" s="495"/>
    </row>
    <row r="309" spans="1:8" x14ac:dyDescent="0.2">
      <c r="A309" s="351">
        <v>288</v>
      </c>
      <c r="B309" s="376" t="s">
        <v>1029</v>
      </c>
      <c r="C309" s="334"/>
      <c r="D309" s="334"/>
      <c r="E309" s="334"/>
      <c r="F309" s="334"/>
      <c r="G309" s="334"/>
      <c r="H309" s="495"/>
    </row>
    <row r="310" spans="1:8" x14ac:dyDescent="0.2">
      <c r="A310" s="351">
        <v>289</v>
      </c>
      <c r="B310" s="376" t="s">
        <v>1028</v>
      </c>
      <c r="C310" s="334"/>
      <c r="D310" s="334"/>
      <c r="E310" s="334"/>
      <c r="F310" s="334"/>
      <c r="G310" s="334"/>
      <c r="H310" s="495"/>
    </row>
    <row r="311" spans="1:8" s="1128" customFormat="1" x14ac:dyDescent="0.2">
      <c r="A311" s="351">
        <v>290</v>
      </c>
      <c r="B311" s="382" t="s">
        <v>1027</v>
      </c>
      <c r="C311" s="332"/>
      <c r="D311" s="332"/>
      <c r="E311" s="332"/>
      <c r="F311" s="332"/>
      <c r="G311" s="332"/>
      <c r="H311" s="495"/>
    </row>
    <row r="312" spans="1:8" ht="30" x14ac:dyDescent="0.2">
      <c r="A312" s="351">
        <v>291</v>
      </c>
      <c r="B312" s="378" t="s">
        <v>1026</v>
      </c>
      <c r="C312" s="334"/>
      <c r="D312" s="334"/>
      <c r="E312" s="334"/>
      <c r="F312" s="334"/>
      <c r="G312" s="334"/>
      <c r="H312" s="495"/>
    </row>
    <row r="313" spans="1:8" x14ac:dyDescent="0.25">
      <c r="A313" s="351">
        <v>292</v>
      </c>
      <c r="B313" s="396" t="s">
        <v>1025</v>
      </c>
      <c r="C313" s="395"/>
      <c r="D313" s="395"/>
      <c r="E313" s="395"/>
      <c r="F313" s="395"/>
      <c r="G313" s="395"/>
      <c r="H313" s="494"/>
    </row>
    <row r="314" spans="1:8" ht="30" x14ac:dyDescent="0.2">
      <c r="A314" s="351">
        <v>293</v>
      </c>
      <c r="B314" s="487" t="s">
        <v>1024</v>
      </c>
      <c r="C314" s="353"/>
      <c r="D314" s="353"/>
      <c r="E314" s="353"/>
      <c r="F314" s="353"/>
      <c r="G314" s="353"/>
      <c r="H314" s="352"/>
    </row>
    <row r="315" spans="1:8" ht="30" x14ac:dyDescent="0.2">
      <c r="A315" s="351">
        <v>294</v>
      </c>
      <c r="B315" s="493" t="s">
        <v>1023</v>
      </c>
      <c r="C315" s="338"/>
      <c r="D315" s="338"/>
      <c r="E315" s="338"/>
      <c r="F315" s="338"/>
      <c r="G315" s="338"/>
      <c r="H315" s="352"/>
    </row>
    <row r="316" spans="1:8" ht="30" x14ac:dyDescent="0.2">
      <c r="A316" s="351">
        <v>295</v>
      </c>
      <c r="B316" s="493" t="s">
        <v>3594</v>
      </c>
      <c r="C316" s="338"/>
      <c r="D316" s="338"/>
      <c r="E316" s="338"/>
      <c r="F316" s="338"/>
      <c r="G316" s="338"/>
      <c r="H316" s="352"/>
    </row>
    <row r="317" spans="1:8" x14ac:dyDescent="0.2">
      <c r="A317" s="351">
        <v>296</v>
      </c>
      <c r="B317" s="489" t="s">
        <v>1022</v>
      </c>
      <c r="C317" s="335"/>
      <c r="D317" s="335"/>
      <c r="E317" s="335"/>
      <c r="F317" s="335"/>
      <c r="G317" s="335"/>
      <c r="H317" s="352"/>
    </row>
    <row r="318" spans="1:8" x14ac:dyDescent="0.2">
      <c r="A318" s="351">
        <v>297</v>
      </c>
      <c r="B318" s="486" t="s">
        <v>1021</v>
      </c>
      <c r="C318" s="332"/>
      <c r="D318" s="332"/>
      <c r="E318" s="332"/>
      <c r="F318" s="332"/>
      <c r="G318" s="332"/>
      <c r="H318" s="352"/>
    </row>
    <row r="319" spans="1:8" x14ac:dyDescent="0.2">
      <c r="A319" s="351">
        <v>298</v>
      </c>
      <c r="B319" s="486" t="s">
        <v>1013</v>
      </c>
      <c r="C319" s="334"/>
      <c r="D319" s="334"/>
      <c r="E319" s="334"/>
      <c r="F319" s="334"/>
      <c r="G319" s="334"/>
      <c r="H319" s="352"/>
    </row>
    <row r="320" spans="1:8" x14ac:dyDescent="0.2">
      <c r="A320" s="351">
        <v>299</v>
      </c>
      <c r="B320" s="486" t="s">
        <v>1020</v>
      </c>
      <c r="C320" s="334"/>
      <c r="D320" s="334"/>
      <c r="E320" s="334"/>
      <c r="F320" s="334"/>
      <c r="G320" s="334"/>
      <c r="H320" s="352"/>
    </row>
    <row r="321" spans="1:8" x14ac:dyDescent="0.2">
      <c r="A321" s="351">
        <v>300</v>
      </c>
      <c r="B321" s="486" t="s">
        <v>1019</v>
      </c>
      <c r="C321" s="334"/>
      <c r="D321" s="334"/>
      <c r="E321" s="334"/>
      <c r="F321" s="334"/>
      <c r="G321" s="334"/>
      <c r="H321" s="352"/>
    </row>
    <row r="322" spans="1:8" ht="30" x14ac:dyDescent="0.2">
      <c r="A322" s="351">
        <v>301</v>
      </c>
      <c r="B322" s="489" t="s">
        <v>1018</v>
      </c>
      <c r="C322" s="334"/>
      <c r="D322" s="334"/>
      <c r="E322" s="334"/>
      <c r="F322" s="334"/>
      <c r="G322" s="334"/>
      <c r="H322" s="352"/>
    </row>
    <row r="323" spans="1:8" s="1128" customFormat="1" ht="30" x14ac:dyDescent="0.2">
      <c r="A323" s="351">
        <v>302</v>
      </c>
      <c r="B323" s="493" t="s">
        <v>1017</v>
      </c>
      <c r="C323" s="332"/>
      <c r="D323" s="332"/>
      <c r="E323" s="332"/>
      <c r="F323" s="332"/>
      <c r="G323" s="332"/>
      <c r="H323" s="352"/>
    </row>
    <row r="324" spans="1:8" ht="30" x14ac:dyDescent="0.2">
      <c r="A324" s="351">
        <v>303</v>
      </c>
      <c r="B324" s="354" t="s">
        <v>1016</v>
      </c>
      <c r="C324" s="334"/>
      <c r="D324" s="334"/>
      <c r="E324" s="334"/>
      <c r="F324" s="334"/>
      <c r="G324" s="334"/>
      <c r="H324" s="352"/>
    </row>
    <row r="325" spans="1:8" ht="30" x14ac:dyDescent="0.2">
      <c r="A325" s="351">
        <v>304</v>
      </c>
      <c r="B325" s="487" t="s">
        <v>1015</v>
      </c>
      <c r="C325" s="334"/>
      <c r="D325" s="334"/>
      <c r="E325" s="334"/>
      <c r="F325" s="334"/>
      <c r="G325" s="334"/>
      <c r="H325" s="352"/>
    </row>
    <row r="326" spans="1:8" x14ac:dyDescent="0.2">
      <c r="A326" s="351">
        <v>305</v>
      </c>
      <c r="B326" s="487" t="s">
        <v>1014</v>
      </c>
      <c r="C326" s="335"/>
      <c r="D326" s="335"/>
      <c r="E326" s="335"/>
      <c r="F326" s="335"/>
      <c r="G326" s="335"/>
      <c r="H326" s="352"/>
    </row>
    <row r="327" spans="1:8" x14ac:dyDescent="0.2">
      <c r="A327" s="351">
        <v>306</v>
      </c>
      <c r="B327" s="486" t="s">
        <v>1013</v>
      </c>
      <c r="C327" s="334"/>
      <c r="D327" s="334"/>
      <c r="E327" s="334"/>
      <c r="F327" s="334"/>
      <c r="G327" s="334"/>
      <c r="H327" s="352"/>
    </row>
    <row r="328" spans="1:8" s="1128" customFormat="1" x14ac:dyDescent="0.2">
      <c r="A328" s="351">
        <v>307</v>
      </c>
      <c r="B328" s="488" t="s">
        <v>1012</v>
      </c>
      <c r="C328" s="332"/>
      <c r="D328" s="332"/>
      <c r="E328" s="332"/>
      <c r="F328" s="332"/>
      <c r="G328" s="332"/>
      <c r="H328" s="352"/>
    </row>
    <row r="329" spans="1:8" x14ac:dyDescent="0.2">
      <c r="A329" s="351">
        <v>308</v>
      </c>
      <c r="B329" s="486" t="s">
        <v>1011</v>
      </c>
      <c r="C329" s="334"/>
      <c r="D329" s="334"/>
      <c r="E329" s="334"/>
      <c r="F329" s="334"/>
      <c r="G329" s="334"/>
      <c r="H329" s="352"/>
    </row>
    <row r="330" spans="1:8" ht="15" customHeight="1" x14ac:dyDescent="0.2">
      <c r="A330" s="351">
        <v>309</v>
      </c>
      <c r="B330" s="486" t="s">
        <v>1010</v>
      </c>
      <c r="C330" s="334"/>
      <c r="D330" s="334"/>
      <c r="E330" s="334"/>
      <c r="F330" s="334"/>
      <c r="G330" s="334"/>
      <c r="H330" s="352"/>
    </row>
    <row r="331" spans="1:8" x14ac:dyDescent="0.2">
      <c r="A331" s="351">
        <v>310</v>
      </c>
      <c r="B331" s="488" t="s">
        <v>1009</v>
      </c>
      <c r="C331" s="332"/>
      <c r="D331" s="332"/>
      <c r="E331" s="332"/>
      <c r="F331" s="332"/>
      <c r="G331" s="332"/>
      <c r="H331" s="352"/>
    </row>
    <row r="332" spans="1:8" x14ac:dyDescent="0.2">
      <c r="A332" s="351">
        <v>311</v>
      </c>
      <c r="B332" s="486" t="s">
        <v>1008</v>
      </c>
      <c r="C332" s="334"/>
      <c r="D332" s="334"/>
      <c r="E332" s="334"/>
      <c r="F332" s="334"/>
      <c r="G332" s="334"/>
      <c r="H332" s="352"/>
    </row>
    <row r="333" spans="1:8" ht="30" x14ac:dyDescent="0.2">
      <c r="A333" s="351">
        <v>312</v>
      </c>
      <c r="B333" s="492" t="s">
        <v>1007</v>
      </c>
      <c r="C333" s="338"/>
      <c r="D333" s="338"/>
      <c r="E333" s="338"/>
      <c r="F333" s="338"/>
      <c r="G333" s="338"/>
      <c r="H333" s="356"/>
    </row>
    <row r="334" spans="1:8" ht="30" x14ac:dyDescent="0.2">
      <c r="A334" s="351">
        <v>313</v>
      </c>
      <c r="B334" s="492" t="s">
        <v>1006</v>
      </c>
      <c r="C334" s="338"/>
      <c r="D334" s="338"/>
      <c r="E334" s="338"/>
      <c r="F334" s="338"/>
      <c r="G334" s="338"/>
      <c r="H334" s="356"/>
    </row>
    <row r="335" spans="1:8" s="1128" customFormat="1" ht="45" x14ac:dyDescent="0.2">
      <c r="A335" s="351">
        <v>314</v>
      </c>
      <c r="B335" s="492" t="s">
        <v>1005</v>
      </c>
      <c r="C335" s="338"/>
      <c r="D335" s="338"/>
      <c r="E335" s="338"/>
      <c r="F335" s="338"/>
      <c r="G335" s="338"/>
      <c r="H335" s="356"/>
    </row>
    <row r="336" spans="1:8" ht="30" x14ac:dyDescent="0.2">
      <c r="A336" s="351">
        <v>315</v>
      </c>
      <c r="B336" s="489" t="s">
        <v>1004</v>
      </c>
      <c r="C336" s="334"/>
      <c r="D336" s="334"/>
      <c r="E336" s="334"/>
      <c r="F336" s="334"/>
      <c r="G336" s="334"/>
      <c r="H336" s="358"/>
    </row>
    <row r="337" spans="1:38" ht="30" x14ac:dyDescent="0.25">
      <c r="A337" s="351">
        <v>316</v>
      </c>
      <c r="B337" s="491" t="s">
        <v>1003</v>
      </c>
      <c r="C337" s="334"/>
      <c r="D337" s="334"/>
      <c r="E337" s="334"/>
      <c r="F337" s="334"/>
      <c r="G337" s="334"/>
      <c r="H337" s="358"/>
    </row>
    <row r="338" spans="1:38" ht="45" x14ac:dyDescent="0.2">
      <c r="A338" s="351">
        <v>317</v>
      </c>
      <c r="B338" s="490" t="s">
        <v>1002</v>
      </c>
      <c r="C338" s="332"/>
      <c r="D338" s="332"/>
      <c r="E338" s="332"/>
      <c r="F338" s="332"/>
      <c r="G338" s="332"/>
      <c r="H338" s="358"/>
    </row>
    <row r="339" spans="1:38" ht="30" x14ac:dyDescent="0.2">
      <c r="A339" s="351">
        <v>318</v>
      </c>
      <c r="B339" s="490" t="s">
        <v>1001</v>
      </c>
      <c r="C339" s="332"/>
      <c r="D339" s="332"/>
      <c r="E339" s="332"/>
      <c r="F339" s="332"/>
      <c r="G339" s="332"/>
      <c r="H339" s="358"/>
    </row>
    <row r="340" spans="1:38" ht="30" x14ac:dyDescent="0.2">
      <c r="A340" s="351">
        <v>319</v>
      </c>
      <c r="B340" s="487" t="s">
        <v>1000</v>
      </c>
      <c r="C340" s="334"/>
      <c r="D340" s="334"/>
      <c r="E340" s="334"/>
      <c r="F340" s="334"/>
      <c r="G340" s="334"/>
      <c r="H340" s="358"/>
    </row>
    <row r="341" spans="1:38" s="1128" customFormat="1" ht="30" x14ac:dyDescent="0.2">
      <c r="A341" s="351">
        <v>320</v>
      </c>
      <c r="B341" s="354" t="s">
        <v>999</v>
      </c>
      <c r="C341" s="334"/>
      <c r="D341" s="334"/>
      <c r="E341" s="334"/>
      <c r="F341" s="334"/>
      <c r="G341" s="334"/>
      <c r="H341" s="358"/>
    </row>
    <row r="342" spans="1:38" ht="30" x14ac:dyDescent="0.2">
      <c r="A342" s="351">
        <v>321</v>
      </c>
      <c r="B342" s="354" t="s">
        <v>998</v>
      </c>
      <c r="C342" s="334"/>
      <c r="D342" s="334"/>
      <c r="E342" s="334"/>
      <c r="F342" s="334"/>
      <c r="G342" s="334"/>
      <c r="H342" s="358"/>
    </row>
    <row r="343" spans="1:38" ht="30" x14ac:dyDescent="0.2">
      <c r="A343" s="351">
        <v>322</v>
      </c>
      <c r="B343" s="489" t="s">
        <v>997</v>
      </c>
      <c r="C343" s="335"/>
      <c r="D343" s="335"/>
      <c r="E343" s="335"/>
      <c r="F343" s="335"/>
      <c r="G343" s="335"/>
      <c r="H343" s="358"/>
    </row>
    <row r="344" spans="1:38" x14ac:dyDescent="0.2">
      <c r="A344" s="351">
        <v>323</v>
      </c>
      <c r="B344" s="488" t="s">
        <v>190</v>
      </c>
      <c r="C344" s="332"/>
      <c r="D344" s="332"/>
      <c r="E344" s="332"/>
      <c r="F344" s="332"/>
      <c r="G344" s="332"/>
      <c r="H344" s="358"/>
    </row>
    <row r="345" spans="1:38" x14ac:dyDescent="0.2">
      <c r="A345" s="351">
        <v>324</v>
      </c>
      <c r="B345" s="488" t="s">
        <v>302</v>
      </c>
      <c r="C345" s="332"/>
      <c r="D345" s="332"/>
      <c r="E345" s="332"/>
      <c r="F345" s="332"/>
      <c r="G345" s="332"/>
      <c r="H345" s="358"/>
    </row>
    <row r="346" spans="1:38" x14ac:dyDescent="0.2">
      <c r="A346" s="351">
        <v>325</v>
      </c>
      <c r="B346" s="488" t="s">
        <v>996</v>
      </c>
      <c r="C346" s="338"/>
      <c r="D346" s="332"/>
      <c r="E346" s="332"/>
      <c r="F346" s="332"/>
      <c r="G346" s="332"/>
      <c r="H346" s="358"/>
    </row>
    <row r="347" spans="1:38" x14ac:dyDescent="0.2">
      <c r="A347" s="351">
        <v>326</v>
      </c>
      <c r="B347" s="488" t="s">
        <v>803</v>
      </c>
      <c r="C347" s="338"/>
      <c r="D347" s="332"/>
      <c r="E347" s="332"/>
      <c r="F347" s="332"/>
      <c r="G347" s="332"/>
      <c r="H347" s="358"/>
    </row>
    <row r="348" spans="1:38" s="1128" customFormat="1" x14ac:dyDescent="0.2">
      <c r="A348" s="351">
        <v>327</v>
      </c>
      <c r="B348" s="488" t="s">
        <v>765</v>
      </c>
      <c r="C348" s="332"/>
      <c r="D348" s="332"/>
      <c r="E348" s="332"/>
      <c r="F348" s="332"/>
      <c r="G348" s="332"/>
      <c r="H348" s="358"/>
    </row>
    <row r="349" spans="1:38" s="1128" customFormat="1" x14ac:dyDescent="0.2">
      <c r="A349" s="351">
        <v>328</v>
      </c>
      <c r="B349" s="488" t="s">
        <v>995</v>
      </c>
      <c r="C349" s="332"/>
      <c r="D349" s="332"/>
      <c r="E349" s="332"/>
      <c r="F349" s="332"/>
      <c r="G349" s="332"/>
      <c r="H349" s="358"/>
    </row>
    <row r="350" spans="1:38" s="1128" customFormat="1" x14ac:dyDescent="0.2">
      <c r="A350" s="351">
        <v>329</v>
      </c>
      <c r="B350" s="486" t="s">
        <v>512</v>
      </c>
      <c r="C350" s="334"/>
      <c r="D350" s="334"/>
      <c r="E350" s="334"/>
      <c r="F350" s="334"/>
      <c r="G350" s="334"/>
      <c r="H350" s="358"/>
    </row>
    <row r="351" spans="1:38" customFormat="1" x14ac:dyDescent="0.25">
      <c r="A351" s="351">
        <v>330</v>
      </c>
      <c r="B351" s="279" t="s">
        <v>105</v>
      </c>
      <c r="C351" s="363"/>
      <c r="D351" s="363"/>
      <c r="E351" s="363"/>
      <c r="F351" s="363"/>
      <c r="G351" s="363"/>
      <c r="H351" s="362"/>
      <c r="I351" s="181"/>
      <c r="J351" s="181"/>
      <c r="K351" s="181"/>
      <c r="L351" s="181"/>
      <c r="M351" s="181"/>
      <c r="N351" s="181"/>
      <c r="O351" s="181"/>
      <c r="P351" s="181"/>
      <c r="Q351" s="181"/>
      <c r="R351" s="181"/>
      <c r="S351" s="181"/>
      <c r="T351" s="181"/>
      <c r="U351" s="181"/>
      <c r="V351" s="181"/>
      <c r="W351" s="181"/>
      <c r="X351" s="181"/>
      <c r="Y351" s="181"/>
      <c r="Z351" s="181"/>
      <c r="AA351" s="181"/>
      <c r="AB351" s="181"/>
      <c r="AC351" s="181"/>
      <c r="AD351" s="181"/>
      <c r="AE351" s="181"/>
      <c r="AF351" s="181"/>
      <c r="AG351" s="181"/>
      <c r="AH351" s="181"/>
      <c r="AI351" s="181"/>
      <c r="AJ351" s="181"/>
      <c r="AK351" s="181"/>
      <c r="AL351" s="181"/>
    </row>
    <row r="352" spans="1:38" customFormat="1" x14ac:dyDescent="0.25">
      <c r="A352" s="351">
        <v>331</v>
      </c>
      <c r="B352" s="111" t="s">
        <v>104</v>
      </c>
      <c r="C352" s="104"/>
      <c r="D352" s="104"/>
      <c r="E352" s="104"/>
      <c r="F352" s="104"/>
      <c r="G352" s="332"/>
      <c r="H352" s="115"/>
      <c r="I352" s="181"/>
      <c r="J352" s="181"/>
      <c r="K352" s="181"/>
      <c r="L352" s="181"/>
      <c r="M352" s="181"/>
      <c r="N352" s="181"/>
      <c r="O352" s="181"/>
      <c r="P352" s="181"/>
      <c r="Q352" s="181"/>
      <c r="R352" s="181"/>
      <c r="S352" s="181"/>
      <c r="T352" s="181"/>
      <c r="U352" s="181"/>
      <c r="V352" s="181"/>
      <c r="W352" s="181"/>
      <c r="X352" s="181"/>
      <c r="Y352" s="181"/>
      <c r="Z352" s="181"/>
      <c r="AA352" s="181"/>
      <c r="AB352" s="181"/>
      <c r="AC352" s="181"/>
      <c r="AD352" s="181"/>
      <c r="AE352" s="181"/>
      <c r="AF352" s="181"/>
      <c r="AG352" s="181"/>
      <c r="AH352" s="181"/>
      <c r="AI352" s="181"/>
      <c r="AJ352" s="181"/>
      <c r="AK352" s="181"/>
      <c r="AL352" s="181"/>
    </row>
    <row r="353" spans="1:38" customFormat="1" x14ac:dyDescent="0.25">
      <c r="A353" s="351">
        <v>332</v>
      </c>
      <c r="B353" s="111" t="s">
        <v>259</v>
      </c>
      <c r="C353" s="104"/>
      <c r="D353" s="104"/>
      <c r="E353" s="104"/>
      <c r="F353" s="104"/>
      <c r="G353" s="332"/>
      <c r="H353" s="115"/>
      <c r="I353" s="181"/>
      <c r="J353" s="181"/>
      <c r="K353" s="181"/>
      <c r="L353" s="181"/>
      <c r="M353" s="181"/>
      <c r="N353" s="181"/>
      <c r="O353" s="181"/>
      <c r="P353" s="181"/>
      <c r="Q353" s="181"/>
      <c r="R353" s="181"/>
      <c r="S353" s="181"/>
      <c r="T353" s="181"/>
      <c r="U353" s="181"/>
      <c r="V353" s="181"/>
      <c r="W353" s="181"/>
      <c r="X353" s="181"/>
      <c r="Y353" s="181"/>
      <c r="Z353" s="181"/>
      <c r="AA353" s="181"/>
      <c r="AB353" s="181"/>
      <c r="AC353" s="181"/>
      <c r="AD353" s="181"/>
      <c r="AE353" s="181"/>
      <c r="AF353" s="181"/>
      <c r="AG353" s="181"/>
      <c r="AH353" s="181"/>
      <c r="AI353" s="181"/>
      <c r="AJ353" s="181"/>
      <c r="AK353" s="181"/>
      <c r="AL353" s="181"/>
    </row>
    <row r="354" spans="1:38" s="181" customFormat="1" ht="45" x14ac:dyDescent="0.25">
      <c r="A354" s="351">
        <v>333</v>
      </c>
      <c r="B354" s="111" t="s">
        <v>312</v>
      </c>
      <c r="C354" s="104"/>
      <c r="D354" s="104"/>
      <c r="E354" s="104"/>
      <c r="F354" s="104"/>
      <c r="G354" s="332"/>
      <c r="H354" s="115"/>
    </row>
    <row r="355" spans="1:38" s="181" customFormat="1" ht="30" x14ac:dyDescent="0.25">
      <c r="A355" s="351">
        <v>334</v>
      </c>
      <c r="B355" s="111" t="s">
        <v>313</v>
      </c>
      <c r="C355" s="104"/>
      <c r="D355" s="104"/>
      <c r="E355" s="104"/>
      <c r="F355" s="104"/>
      <c r="G355" s="332"/>
      <c r="H355" s="115"/>
    </row>
    <row r="356" spans="1:38" s="181" customFormat="1" x14ac:dyDescent="0.25">
      <c r="A356" s="351">
        <v>335</v>
      </c>
      <c r="B356" s="111" t="s">
        <v>314</v>
      </c>
      <c r="C356" s="104"/>
      <c r="D356" s="104"/>
      <c r="E356" s="104"/>
      <c r="F356" s="104"/>
      <c r="G356" s="332"/>
      <c r="H356" s="115"/>
    </row>
    <row r="357" spans="1:38" s="181" customFormat="1" x14ac:dyDescent="0.25">
      <c r="A357" s="351">
        <v>336</v>
      </c>
      <c r="B357" s="111" t="s">
        <v>325</v>
      </c>
      <c r="C357" s="328"/>
      <c r="D357" s="328"/>
      <c r="E357" s="328"/>
      <c r="F357" s="328"/>
      <c r="G357" s="333"/>
      <c r="H357" s="115"/>
    </row>
    <row r="358" spans="1:38" s="181" customFormat="1" x14ac:dyDescent="0.25">
      <c r="A358" s="351">
        <v>337</v>
      </c>
      <c r="B358" s="44" t="s">
        <v>70</v>
      </c>
      <c r="C358" s="104"/>
      <c r="D358" s="104"/>
      <c r="E358" s="104"/>
      <c r="F358" s="104"/>
      <c r="G358" s="332"/>
      <c r="H358" s="115"/>
    </row>
    <row r="359" spans="1:38" s="181" customFormat="1" ht="30" x14ac:dyDescent="0.25">
      <c r="A359" s="351">
        <v>338</v>
      </c>
      <c r="B359" s="44" t="s">
        <v>326</v>
      </c>
      <c r="C359" s="104"/>
      <c r="D359" s="104"/>
      <c r="E359" s="104"/>
      <c r="F359" s="104"/>
      <c r="G359" s="332"/>
      <c r="H359" s="115"/>
    </row>
    <row r="360" spans="1:38" s="181" customFormat="1" x14ac:dyDescent="0.25">
      <c r="A360" s="351">
        <v>339</v>
      </c>
      <c r="B360" s="44" t="s">
        <v>315</v>
      </c>
      <c r="C360" s="104"/>
      <c r="D360" s="104"/>
      <c r="E360" s="104"/>
      <c r="F360" s="104"/>
      <c r="G360" s="332"/>
      <c r="H360" s="115"/>
    </row>
    <row r="361" spans="1:38" s="181" customFormat="1" x14ac:dyDescent="0.25">
      <c r="A361" s="351">
        <v>340</v>
      </c>
      <c r="B361" s="329" t="s">
        <v>103</v>
      </c>
      <c r="C361" s="104"/>
      <c r="D361" s="104"/>
      <c r="E361" s="104"/>
      <c r="F361" s="104"/>
      <c r="G361" s="332"/>
      <c r="H361" s="115"/>
    </row>
    <row r="362" spans="1:38" s="181" customFormat="1" x14ac:dyDescent="0.25">
      <c r="A362" s="351">
        <v>341</v>
      </c>
      <c r="B362" s="329" t="s">
        <v>342</v>
      </c>
      <c r="C362" s="104"/>
      <c r="D362" s="104"/>
      <c r="E362" s="104"/>
      <c r="F362" s="104"/>
      <c r="G362" s="332"/>
      <c r="H362" s="115"/>
    </row>
    <row r="363" spans="1:38" customFormat="1" ht="30" x14ac:dyDescent="0.25">
      <c r="A363" s="351">
        <v>342</v>
      </c>
      <c r="B363" s="114" t="s">
        <v>167</v>
      </c>
      <c r="C363" s="106"/>
      <c r="D363" s="106"/>
      <c r="E363" s="106"/>
      <c r="F363" s="106"/>
      <c r="G363" s="334"/>
      <c r="H363" s="115"/>
      <c r="I363" s="181"/>
      <c r="J363" s="181"/>
      <c r="K363" s="181"/>
      <c r="L363" s="181"/>
      <c r="M363" s="181"/>
      <c r="N363" s="181"/>
      <c r="O363" s="181"/>
      <c r="P363" s="181"/>
      <c r="Q363" s="181"/>
      <c r="R363" s="181"/>
      <c r="S363" s="181"/>
      <c r="T363" s="181"/>
      <c r="U363" s="181"/>
      <c r="V363" s="181"/>
      <c r="W363" s="181"/>
      <c r="X363" s="181"/>
      <c r="Y363" s="181"/>
      <c r="Z363" s="181"/>
      <c r="AA363" s="181"/>
      <c r="AB363" s="181"/>
      <c r="AC363" s="181"/>
      <c r="AD363" s="181"/>
      <c r="AE363" s="181"/>
      <c r="AF363" s="181"/>
      <c r="AG363" s="181"/>
      <c r="AH363" s="181"/>
      <c r="AI363" s="181"/>
      <c r="AJ363" s="181"/>
      <c r="AK363" s="181"/>
      <c r="AL363" s="181"/>
    </row>
    <row r="364" spans="1:38" customFormat="1" ht="30" x14ac:dyDescent="0.25">
      <c r="A364" s="351">
        <v>343</v>
      </c>
      <c r="B364" s="105" t="s">
        <v>95</v>
      </c>
      <c r="C364" s="104"/>
      <c r="D364" s="104"/>
      <c r="E364" s="104"/>
      <c r="F364" s="104"/>
      <c r="G364" s="332"/>
      <c r="H364" s="115"/>
      <c r="I364" s="181"/>
      <c r="J364" s="181"/>
      <c r="K364" s="181"/>
      <c r="L364" s="181"/>
      <c r="M364" s="181"/>
      <c r="N364" s="181"/>
      <c r="O364" s="181"/>
      <c r="P364" s="181"/>
      <c r="Q364" s="181"/>
      <c r="R364" s="181"/>
      <c r="S364" s="181"/>
      <c r="T364" s="181"/>
      <c r="U364" s="181"/>
      <c r="V364" s="181"/>
      <c r="W364" s="181"/>
      <c r="X364" s="181"/>
      <c r="Y364" s="181"/>
      <c r="Z364" s="181"/>
      <c r="AA364" s="181"/>
      <c r="AB364" s="181"/>
      <c r="AC364" s="181"/>
      <c r="AD364" s="181"/>
      <c r="AE364" s="181"/>
      <c r="AF364" s="181"/>
      <c r="AG364" s="181"/>
      <c r="AH364" s="181"/>
      <c r="AI364" s="181"/>
      <c r="AJ364" s="181"/>
      <c r="AK364" s="181"/>
      <c r="AL364" s="181"/>
    </row>
    <row r="365" spans="1:38" customFormat="1" ht="30" x14ac:dyDescent="0.25">
      <c r="A365" s="351">
        <v>344</v>
      </c>
      <c r="B365" s="105" t="s">
        <v>160</v>
      </c>
      <c r="C365" s="104"/>
      <c r="D365" s="104"/>
      <c r="E365" s="104"/>
      <c r="F365" s="104"/>
      <c r="G365" s="332"/>
      <c r="H365" s="115"/>
      <c r="I365" s="181"/>
      <c r="J365" s="181"/>
      <c r="K365" s="181"/>
      <c r="L365" s="181"/>
      <c r="M365" s="181"/>
      <c r="N365" s="181"/>
      <c r="O365" s="181"/>
      <c r="P365" s="181"/>
      <c r="Q365" s="181"/>
      <c r="R365" s="181"/>
      <c r="S365" s="181"/>
      <c r="T365" s="181"/>
      <c r="U365" s="181"/>
      <c r="V365" s="181"/>
      <c r="W365" s="181"/>
      <c r="X365" s="181"/>
      <c r="Y365" s="181"/>
      <c r="Z365" s="181"/>
      <c r="AA365" s="181"/>
      <c r="AB365" s="181"/>
      <c r="AC365" s="181"/>
      <c r="AD365" s="181"/>
      <c r="AE365" s="181"/>
      <c r="AF365" s="181"/>
      <c r="AG365" s="181"/>
      <c r="AH365" s="181"/>
      <c r="AI365" s="181"/>
      <c r="AJ365" s="181"/>
      <c r="AK365" s="181"/>
      <c r="AL365" s="181"/>
    </row>
    <row r="366" spans="1:38" customFormat="1" ht="32.25" customHeight="1" x14ac:dyDescent="0.25">
      <c r="A366" s="351">
        <v>345</v>
      </c>
      <c r="B366" s="105" t="s">
        <v>159</v>
      </c>
      <c r="C366" s="104"/>
      <c r="D366" s="104"/>
      <c r="E366" s="104"/>
      <c r="F366" s="104"/>
      <c r="G366" s="332"/>
      <c r="H366" s="115"/>
      <c r="I366" s="181"/>
      <c r="J366" s="181"/>
      <c r="K366" s="181"/>
      <c r="L366" s="181"/>
      <c r="M366" s="181"/>
      <c r="N366" s="181"/>
      <c r="O366" s="181"/>
      <c r="P366" s="181"/>
      <c r="Q366" s="181"/>
      <c r="R366" s="181"/>
      <c r="S366" s="181"/>
      <c r="T366" s="181"/>
      <c r="U366" s="181"/>
      <c r="V366" s="181"/>
      <c r="W366" s="181"/>
      <c r="X366" s="181"/>
      <c r="Y366" s="181"/>
      <c r="Z366" s="181"/>
      <c r="AA366" s="181"/>
      <c r="AB366" s="181"/>
      <c r="AC366" s="181"/>
      <c r="AD366" s="181"/>
      <c r="AE366" s="181"/>
      <c r="AF366" s="181"/>
      <c r="AG366" s="181"/>
      <c r="AH366" s="181"/>
      <c r="AI366" s="181"/>
      <c r="AJ366" s="181"/>
      <c r="AK366" s="181"/>
      <c r="AL366" s="181"/>
    </row>
    <row r="367" spans="1:38" s="181" customFormat="1" x14ac:dyDescent="0.25">
      <c r="A367" s="351">
        <v>346</v>
      </c>
      <c r="B367" s="105" t="s">
        <v>316</v>
      </c>
      <c r="C367" s="104"/>
      <c r="D367" s="104"/>
      <c r="E367" s="104"/>
      <c r="F367" s="104"/>
      <c r="G367" s="332"/>
      <c r="H367" s="115"/>
    </row>
    <row r="368" spans="1:38" customFormat="1" ht="30" x14ac:dyDescent="0.25">
      <c r="A368" s="351">
        <v>347</v>
      </c>
      <c r="B368" s="107" t="s">
        <v>76</v>
      </c>
      <c r="C368" s="106"/>
      <c r="D368" s="106"/>
      <c r="E368" s="106"/>
      <c r="F368" s="106"/>
      <c r="G368" s="334"/>
      <c r="H368" s="115"/>
      <c r="I368" s="181"/>
      <c r="J368" s="181"/>
      <c r="K368" s="181"/>
      <c r="L368" s="181"/>
      <c r="M368" s="181"/>
      <c r="N368" s="181"/>
      <c r="O368" s="181"/>
      <c r="P368" s="181"/>
      <c r="Q368" s="181"/>
      <c r="R368" s="181"/>
      <c r="S368" s="181"/>
      <c r="T368" s="181"/>
      <c r="U368" s="181"/>
      <c r="V368" s="181"/>
      <c r="W368" s="181"/>
      <c r="X368" s="181"/>
      <c r="Y368" s="181"/>
      <c r="Z368" s="181"/>
      <c r="AA368" s="181"/>
      <c r="AB368" s="181"/>
      <c r="AC368" s="181"/>
      <c r="AD368" s="181"/>
      <c r="AE368" s="181"/>
      <c r="AF368" s="181"/>
      <c r="AG368" s="181"/>
      <c r="AH368" s="181"/>
      <c r="AI368" s="181"/>
      <c r="AJ368" s="181"/>
      <c r="AK368" s="181"/>
      <c r="AL368" s="181"/>
    </row>
    <row r="369" spans="1:38" customFormat="1" ht="30" x14ac:dyDescent="0.25">
      <c r="A369" s="351">
        <v>348</v>
      </c>
      <c r="B369" s="105" t="s">
        <v>75</v>
      </c>
      <c r="C369" s="104"/>
      <c r="D369" s="104"/>
      <c r="E369" s="104"/>
      <c r="F369" s="104"/>
      <c r="G369" s="332"/>
      <c r="H369" s="115"/>
      <c r="I369" s="181"/>
      <c r="J369" s="181"/>
      <c r="K369" s="181"/>
      <c r="L369" s="181"/>
      <c r="M369" s="181"/>
      <c r="N369" s="181"/>
      <c r="O369" s="181"/>
      <c r="P369" s="181"/>
      <c r="Q369" s="181"/>
      <c r="R369" s="181"/>
      <c r="S369" s="181"/>
      <c r="T369" s="181"/>
      <c r="U369" s="181"/>
      <c r="V369" s="181"/>
      <c r="W369" s="181"/>
      <c r="X369" s="181"/>
      <c r="Y369" s="181"/>
      <c r="Z369" s="181"/>
      <c r="AA369" s="181"/>
      <c r="AB369" s="181"/>
      <c r="AC369" s="181"/>
      <c r="AD369" s="181"/>
      <c r="AE369" s="181"/>
      <c r="AF369" s="181"/>
      <c r="AG369" s="181"/>
      <c r="AH369" s="181"/>
      <c r="AI369" s="181"/>
      <c r="AJ369" s="181"/>
      <c r="AK369" s="181"/>
      <c r="AL369" s="181"/>
    </row>
    <row r="370" spans="1:38" customFormat="1" x14ac:dyDescent="0.25">
      <c r="A370" s="351">
        <v>349</v>
      </c>
      <c r="B370" s="279" t="s">
        <v>169</v>
      </c>
      <c r="C370" s="363"/>
      <c r="D370" s="363"/>
      <c r="E370" s="363"/>
      <c r="F370" s="363"/>
      <c r="G370" s="363"/>
      <c r="H370" s="362"/>
      <c r="I370" s="181"/>
      <c r="J370" s="181"/>
      <c r="K370" s="181"/>
      <c r="L370" s="181"/>
      <c r="M370" s="181"/>
      <c r="N370" s="181"/>
      <c r="O370" s="181"/>
      <c r="P370" s="181"/>
      <c r="Q370" s="181"/>
      <c r="R370" s="181"/>
      <c r="S370" s="181"/>
      <c r="T370" s="181"/>
      <c r="U370" s="181"/>
      <c r="V370" s="181"/>
      <c r="W370" s="181"/>
      <c r="X370" s="181"/>
      <c r="Y370" s="181"/>
      <c r="Z370" s="181"/>
      <c r="AA370" s="181"/>
      <c r="AB370" s="181"/>
      <c r="AC370" s="181"/>
      <c r="AD370" s="181"/>
      <c r="AE370" s="181"/>
      <c r="AF370" s="181"/>
      <c r="AG370" s="181"/>
      <c r="AH370" s="181"/>
      <c r="AI370" s="181"/>
      <c r="AJ370" s="181"/>
      <c r="AK370" s="181"/>
      <c r="AL370" s="181"/>
    </row>
    <row r="371" spans="1:38" customFormat="1" ht="30" x14ac:dyDescent="0.25">
      <c r="A371" s="351">
        <v>350</v>
      </c>
      <c r="B371" s="105" t="s">
        <v>170</v>
      </c>
      <c r="C371" s="109"/>
      <c r="D371" s="109"/>
      <c r="E371" s="109"/>
      <c r="F371" s="109"/>
      <c r="G371" s="335"/>
      <c r="H371" s="103"/>
      <c r="I371" s="181"/>
      <c r="J371" s="181"/>
      <c r="K371" s="181"/>
      <c r="L371" s="181"/>
      <c r="M371" s="181"/>
      <c r="N371" s="181"/>
      <c r="O371" s="181"/>
      <c r="P371" s="181"/>
      <c r="Q371" s="181"/>
      <c r="R371" s="181"/>
      <c r="S371" s="181"/>
      <c r="T371" s="181"/>
      <c r="U371" s="181"/>
      <c r="V371" s="181"/>
      <c r="W371" s="181"/>
      <c r="X371" s="181"/>
      <c r="Y371" s="181"/>
      <c r="Z371" s="181"/>
      <c r="AA371" s="181"/>
      <c r="AB371" s="181"/>
      <c r="AC371" s="181"/>
      <c r="AD371" s="181"/>
      <c r="AE371" s="181"/>
      <c r="AF371" s="181"/>
      <c r="AG371" s="181"/>
      <c r="AH371" s="181"/>
      <c r="AI371" s="181"/>
      <c r="AJ371" s="181"/>
      <c r="AK371" s="181"/>
      <c r="AL371" s="181"/>
    </row>
    <row r="372" spans="1:38" customFormat="1" x14ac:dyDescent="0.25">
      <c r="A372" s="351">
        <v>351</v>
      </c>
      <c r="B372" s="108" t="s">
        <v>94</v>
      </c>
      <c r="C372" s="104"/>
      <c r="D372" s="104"/>
      <c r="E372" s="104"/>
      <c r="F372" s="104"/>
      <c r="G372" s="332"/>
      <c r="H372" s="103"/>
      <c r="I372" s="181"/>
      <c r="J372" s="181"/>
      <c r="K372" s="181"/>
      <c r="L372" s="181"/>
      <c r="M372" s="181"/>
      <c r="N372" s="181"/>
      <c r="O372" s="181"/>
      <c r="P372" s="181"/>
      <c r="Q372" s="181"/>
      <c r="R372" s="181"/>
      <c r="S372" s="181"/>
      <c r="T372" s="181"/>
      <c r="U372" s="181"/>
      <c r="V372" s="181"/>
      <c r="W372" s="181"/>
      <c r="X372" s="181"/>
      <c r="Y372" s="181"/>
      <c r="Z372" s="181"/>
      <c r="AA372" s="181"/>
      <c r="AB372" s="181"/>
      <c r="AC372" s="181"/>
      <c r="AD372" s="181"/>
      <c r="AE372" s="181"/>
      <c r="AF372" s="181"/>
      <c r="AG372" s="181"/>
      <c r="AH372" s="181"/>
      <c r="AI372" s="181"/>
      <c r="AJ372" s="181"/>
      <c r="AK372" s="181"/>
      <c r="AL372" s="181"/>
    </row>
    <row r="373" spans="1:38" customFormat="1" x14ac:dyDescent="0.25">
      <c r="A373" s="351">
        <v>352</v>
      </c>
      <c r="B373" s="108" t="s">
        <v>93</v>
      </c>
      <c r="C373" s="104"/>
      <c r="D373" s="104"/>
      <c r="E373" s="104"/>
      <c r="F373" s="104"/>
      <c r="G373" s="332"/>
      <c r="H373" s="103"/>
      <c r="I373" s="181"/>
      <c r="J373" s="181"/>
      <c r="K373" s="181"/>
      <c r="L373" s="181"/>
      <c r="M373" s="181"/>
      <c r="N373" s="181"/>
      <c r="O373" s="181"/>
      <c r="P373" s="181"/>
      <c r="Q373" s="181"/>
      <c r="R373" s="181"/>
      <c r="S373" s="181"/>
      <c r="T373" s="181"/>
      <c r="U373" s="181"/>
      <c r="V373" s="181"/>
      <c r="W373" s="181"/>
      <c r="X373" s="181"/>
      <c r="Y373" s="181"/>
      <c r="Z373" s="181"/>
      <c r="AA373" s="181"/>
      <c r="AB373" s="181"/>
      <c r="AC373" s="181"/>
      <c r="AD373" s="181"/>
      <c r="AE373" s="181"/>
      <c r="AF373" s="181"/>
      <c r="AG373" s="181"/>
      <c r="AH373" s="181"/>
      <c r="AI373" s="181"/>
      <c r="AJ373" s="181"/>
      <c r="AK373" s="181"/>
      <c r="AL373" s="181"/>
    </row>
    <row r="374" spans="1:38" customFormat="1" x14ac:dyDescent="0.25">
      <c r="A374" s="351">
        <v>353</v>
      </c>
      <c r="B374" s="108" t="s">
        <v>92</v>
      </c>
      <c r="C374" s="104"/>
      <c r="D374" s="104"/>
      <c r="E374" s="104"/>
      <c r="F374" s="104"/>
      <c r="G374" s="332"/>
      <c r="H374" s="103"/>
      <c r="I374" s="181"/>
      <c r="J374" s="181"/>
      <c r="K374" s="181"/>
      <c r="L374" s="181"/>
      <c r="M374" s="181"/>
      <c r="N374" s="181"/>
      <c r="O374" s="181"/>
      <c r="P374" s="181"/>
      <c r="Q374" s="181"/>
      <c r="R374" s="181"/>
      <c r="S374" s="181"/>
      <c r="T374" s="181"/>
      <c r="U374" s="181"/>
      <c r="V374" s="181"/>
      <c r="W374" s="181"/>
      <c r="X374" s="181"/>
      <c r="Y374" s="181"/>
      <c r="Z374" s="181"/>
      <c r="AA374" s="181"/>
      <c r="AB374" s="181"/>
      <c r="AC374" s="181"/>
      <c r="AD374" s="181"/>
      <c r="AE374" s="181"/>
      <c r="AF374" s="181"/>
      <c r="AG374" s="181"/>
      <c r="AH374" s="181"/>
      <c r="AI374" s="181"/>
      <c r="AJ374" s="181"/>
      <c r="AK374" s="181"/>
      <c r="AL374" s="181"/>
    </row>
    <row r="375" spans="1:38" customFormat="1" x14ac:dyDescent="0.25">
      <c r="A375" s="351">
        <v>354</v>
      </c>
      <c r="B375" s="108" t="s">
        <v>91</v>
      </c>
      <c r="C375" s="104"/>
      <c r="D375" s="104"/>
      <c r="E375" s="104"/>
      <c r="F375" s="104"/>
      <c r="G375" s="332"/>
      <c r="H375" s="103"/>
      <c r="I375" s="181"/>
      <c r="J375" s="181"/>
      <c r="K375" s="181"/>
      <c r="L375" s="181"/>
      <c r="M375" s="181"/>
      <c r="N375" s="181"/>
      <c r="O375" s="181"/>
      <c r="P375" s="181"/>
      <c r="Q375" s="181"/>
      <c r="R375" s="181"/>
      <c r="S375" s="181"/>
      <c r="T375" s="181"/>
      <c r="U375" s="181"/>
      <c r="V375" s="181"/>
      <c r="W375" s="181"/>
      <c r="X375" s="181"/>
      <c r="Y375" s="181"/>
      <c r="Z375" s="181"/>
      <c r="AA375" s="181"/>
      <c r="AB375" s="181"/>
      <c r="AC375" s="181"/>
      <c r="AD375" s="181"/>
      <c r="AE375" s="181"/>
      <c r="AF375" s="181"/>
      <c r="AG375" s="181"/>
      <c r="AH375" s="181"/>
      <c r="AI375" s="181"/>
      <c r="AJ375" s="181"/>
      <c r="AK375" s="181"/>
      <c r="AL375" s="181"/>
    </row>
    <row r="376" spans="1:38" customFormat="1" x14ac:dyDescent="0.25">
      <c r="A376" s="351">
        <v>355</v>
      </c>
      <c r="B376" s="108" t="s">
        <v>260</v>
      </c>
      <c r="C376" s="104"/>
      <c r="D376" s="104"/>
      <c r="E376" s="104"/>
      <c r="F376" s="104"/>
      <c r="G376" s="332"/>
      <c r="H376" s="103"/>
      <c r="I376" s="181"/>
      <c r="J376" s="181"/>
      <c r="K376" s="181"/>
      <c r="L376" s="181"/>
      <c r="M376" s="181"/>
      <c r="N376" s="181"/>
      <c r="O376" s="181"/>
      <c r="P376" s="181"/>
      <c r="Q376" s="181"/>
      <c r="R376" s="181"/>
      <c r="S376" s="181"/>
      <c r="T376" s="181"/>
      <c r="U376" s="181"/>
      <c r="V376" s="181"/>
      <c r="W376" s="181"/>
      <c r="X376" s="181"/>
      <c r="Y376" s="181"/>
      <c r="Z376" s="181"/>
      <c r="AA376" s="181"/>
      <c r="AB376" s="181"/>
      <c r="AC376" s="181"/>
      <c r="AD376" s="181"/>
      <c r="AE376" s="181"/>
      <c r="AF376" s="181"/>
      <c r="AG376" s="181"/>
      <c r="AH376" s="181"/>
      <c r="AI376" s="181"/>
      <c r="AJ376" s="181"/>
      <c r="AK376" s="181"/>
      <c r="AL376" s="181"/>
    </row>
    <row r="377" spans="1:38" customFormat="1" x14ac:dyDescent="0.25">
      <c r="A377" s="351">
        <v>356</v>
      </c>
      <c r="B377" s="108" t="s">
        <v>90</v>
      </c>
      <c r="C377" s="104"/>
      <c r="D377" s="104"/>
      <c r="E377" s="104"/>
      <c r="F377" s="104"/>
      <c r="G377" s="332"/>
      <c r="H377" s="103"/>
      <c r="I377" s="181"/>
      <c r="J377" s="181"/>
      <c r="K377" s="181"/>
      <c r="L377" s="181"/>
      <c r="M377" s="181"/>
      <c r="N377" s="181"/>
      <c r="O377" s="181"/>
      <c r="P377" s="181"/>
      <c r="Q377" s="181"/>
      <c r="R377" s="181"/>
      <c r="S377" s="181"/>
      <c r="T377" s="181"/>
      <c r="U377" s="181"/>
      <c r="V377" s="181"/>
      <c r="W377" s="181"/>
      <c r="X377" s="181"/>
      <c r="Y377" s="181"/>
      <c r="Z377" s="181"/>
      <c r="AA377" s="181"/>
      <c r="AB377" s="181"/>
      <c r="AC377" s="181"/>
      <c r="AD377" s="181"/>
      <c r="AE377" s="181"/>
      <c r="AF377" s="181"/>
      <c r="AG377" s="181"/>
      <c r="AH377" s="181"/>
      <c r="AI377" s="181"/>
      <c r="AJ377" s="181"/>
      <c r="AK377" s="181"/>
      <c r="AL377" s="181"/>
    </row>
    <row r="378" spans="1:38" customFormat="1" ht="30" x14ac:dyDescent="0.25">
      <c r="A378" s="351">
        <v>357</v>
      </c>
      <c r="B378" s="108" t="s">
        <v>89</v>
      </c>
      <c r="C378" s="104"/>
      <c r="D378" s="104"/>
      <c r="E378" s="104"/>
      <c r="F378" s="104"/>
      <c r="G378" s="332"/>
      <c r="H378" s="103"/>
      <c r="I378" s="181"/>
      <c r="J378" s="181"/>
      <c r="K378" s="181"/>
      <c r="L378" s="181"/>
      <c r="M378" s="181"/>
      <c r="N378" s="181"/>
      <c r="O378" s="181"/>
      <c r="P378" s="181"/>
      <c r="Q378" s="181"/>
      <c r="R378" s="181"/>
      <c r="S378" s="181"/>
      <c r="T378" s="181"/>
      <c r="U378" s="181"/>
      <c r="V378" s="181"/>
      <c r="W378" s="181"/>
      <c r="X378" s="181"/>
      <c r="Y378" s="181"/>
      <c r="Z378" s="181"/>
      <c r="AA378" s="181"/>
      <c r="AB378" s="181"/>
      <c r="AC378" s="181"/>
      <c r="AD378" s="181"/>
      <c r="AE378" s="181"/>
      <c r="AF378" s="181"/>
      <c r="AG378" s="181"/>
      <c r="AH378" s="181"/>
      <c r="AI378" s="181"/>
      <c r="AJ378" s="181"/>
      <c r="AK378" s="181"/>
      <c r="AL378" s="181"/>
    </row>
    <row r="379" spans="1:38" customFormat="1" x14ac:dyDescent="0.25">
      <c r="A379" s="351">
        <v>358</v>
      </c>
      <c r="B379" s="108" t="s">
        <v>88</v>
      </c>
      <c r="C379" s="104"/>
      <c r="D379" s="104"/>
      <c r="E379" s="104"/>
      <c r="F379" s="104"/>
      <c r="G379" s="332"/>
      <c r="H379" s="103"/>
      <c r="I379" s="181"/>
      <c r="J379" s="181"/>
      <c r="K379" s="181"/>
      <c r="L379" s="181"/>
      <c r="M379" s="181"/>
      <c r="N379" s="181"/>
      <c r="O379" s="181"/>
      <c r="P379" s="181"/>
      <c r="Q379" s="181"/>
      <c r="R379" s="181"/>
      <c r="S379" s="181"/>
      <c r="T379" s="181"/>
      <c r="U379" s="181"/>
      <c r="V379" s="181"/>
      <c r="W379" s="181"/>
      <c r="X379" s="181"/>
      <c r="Y379" s="181"/>
      <c r="Z379" s="181"/>
      <c r="AA379" s="181"/>
      <c r="AB379" s="181"/>
      <c r="AC379" s="181"/>
      <c r="AD379" s="181"/>
      <c r="AE379" s="181"/>
      <c r="AF379" s="181"/>
      <c r="AG379" s="181"/>
      <c r="AH379" s="181"/>
      <c r="AI379" s="181"/>
      <c r="AJ379" s="181"/>
      <c r="AK379" s="181"/>
      <c r="AL379" s="181"/>
    </row>
    <row r="380" spans="1:38" customFormat="1" x14ac:dyDescent="0.25">
      <c r="A380" s="351">
        <v>359</v>
      </c>
      <c r="B380" s="108" t="s">
        <v>87</v>
      </c>
      <c r="C380" s="104"/>
      <c r="D380" s="104"/>
      <c r="E380" s="104"/>
      <c r="F380" s="104"/>
      <c r="G380" s="332"/>
      <c r="H380" s="103"/>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1"/>
      <c r="AJ380" s="181"/>
      <c r="AK380" s="181"/>
      <c r="AL380" s="181"/>
    </row>
    <row r="381" spans="1:38" customFormat="1" x14ac:dyDescent="0.25">
      <c r="A381" s="351">
        <v>360</v>
      </c>
      <c r="B381" s="108" t="s">
        <v>85</v>
      </c>
      <c r="C381" s="104"/>
      <c r="D381" s="104"/>
      <c r="E381" s="104"/>
      <c r="F381" s="104"/>
      <c r="G381" s="332"/>
      <c r="H381" s="103"/>
      <c r="I381" s="181"/>
      <c r="J381" s="181"/>
      <c r="K381" s="181"/>
      <c r="L381" s="181"/>
      <c r="M381" s="181"/>
      <c r="N381" s="181"/>
      <c r="O381" s="181"/>
      <c r="P381" s="181"/>
      <c r="Q381" s="181"/>
      <c r="R381" s="181"/>
      <c r="S381" s="181"/>
      <c r="T381" s="181"/>
      <c r="U381" s="181"/>
      <c r="V381" s="181"/>
      <c r="W381" s="181"/>
      <c r="X381" s="181"/>
      <c r="Y381" s="181"/>
      <c r="Z381" s="181"/>
      <c r="AA381" s="181"/>
      <c r="AB381" s="181"/>
      <c r="AC381" s="181"/>
      <c r="AD381" s="181"/>
      <c r="AE381" s="181"/>
      <c r="AF381" s="181"/>
      <c r="AG381" s="181"/>
      <c r="AH381" s="181"/>
      <c r="AI381" s="181"/>
      <c r="AJ381" s="181"/>
      <c r="AK381" s="181"/>
      <c r="AL381" s="181"/>
    </row>
    <row r="382" spans="1:38" customFormat="1" x14ac:dyDescent="0.25">
      <c r="A382" s="351">
        <v>361</v>
      </c>
      <c r="B382" s="108" t="s">
        <v>84</v>
      </c>
      <c r="C382" s="104"/>
      <c r="D382" s="104"/>
      <c r="E382" s="104"/>
      <c r="F382" s="104"/>
      <c r="G382" s="332"/>
      <c r="H382" s="103"/>
      <c r="I382" s="181"/>
      <c r="J382" s="181"/>
      <c r="K382" s="181"/>
      <c r="L382" s="181"/>
      <c r="M382" s="181"/>
      <c r="N382" s="181"/>
      <c r="O382" s="181"/>
      <c r="P382" s="181"/>
      <c r="Q382" s="181"/>
      <c r="R382" s="181"/>
      <c r="S382" s="181"/>
      <c r="T382" s="181"/>
      <c r="U382" s="181"/>
      <c r="V382" s="181"/>
      <c r="W382" s="181"/>
      <c r="X382" s="181"/>
      <c r="Y382" s="181"/>
      <c r="Z382" s="181"/>
      <c r="AA382" s="181"/>
      <c r="AB382" s="181"/>
      <c r="AC382" s="181"/>
      <c r="AD382" s="181"/>
      <c r="AE382" s="181"/>
      <c r="AF382" s="181"/>
      <c r="AG382" s="181"/>
      <c r="AH382" s="181"/>
      <c r="AI382" s="181"/>
      <c r="AJ382" s="181"/>
      <c r="AK382" s="181"/>
      <c r="AL382" s="181"/>
    </row>
    <row r="383" spans="1:38" customFormat="1" x14ac:dyDescent="0.25">
      <c r="A383" s="351">
        <v>362</v>
      </c>
      <c r="B383" s="108" t="s">
        <v>83</v>
      </c>
      <c r="C383" s="104"/>
      <c r="D383" s="104"/>
      <c r="E383" s="104"/>
      <c r="F383" s="104"/>
      <c r="G383" s="332"/>
      <c r="H383" s="103"/>
      <c r="I383" s="181"/>
      <c r="J383" s="181"/>
      <c r="K383" s="181"/>
      <c r="L383" s="181"/>
      <c r="M383" s="181"/>
      <c r="N383" s="181"/>
      <c r="O383" s="181"/>
      <c r="P383" s="181"/>
      <c r="Q383" s="181"/>
      <c r="R383" s="181"/>
      <c r="S383" s="181"/>
      <c r="T383" s="181"/>
      <c r="U383" s="181"/>
      <c r="V383" s="181"/>
      <c r="W383" s="181"/>
      <c r="X383" s="181"/>
      <c r="Y383" s="181"/>
      <c r="Z383" s="181"/>
      <c r="AA383" s="181"/>
      <c r="AB383" s="181"/>
      <c r="AC383" s="181"/>
      <c r="AD383" s="181"/>
      <c r="AE383" s="181"/>
      <c r="AF383" s="181"/>
      <c r="AG383" s="181"/>
      <c r="AH383" s="181"/>
      <c r="AI383" s="181"/>
      <c r="AJ383" s="181"/>
      <c r="AK383" s="181"/>
      <c r="AL383" s="181"/>
    </row>
    <row r="384" spans="1:38" s="181" customFormat="1" x14ac:dyDescent="0.25">
      <c r="A384" s="351">
        <v>363</v>
      </c>
      <c r="B384" s="108" t="s">
        <v>317</v>
      </c>
      <c r="C384" s="104"/>
      <c r="D384" s="104"/>
      <c r="E384" s="104"/>
      <c r="F384" s="104"/>
      <c r="G384" s="332"/>
      <c r="H384" s="103"/>
    </row>
    <row r="385" spans="1:38" s="181" customFormat="1" x14ac:dyDescent="0.25">
      <c r="A385" s="351">
        <v>364</v>
      </c>
      <c r="B385" s="108" t="s">
        <v>261</v>
      </c>
      <c r="C385" s="104"/>
      <c r="D385" s="104"/>
      <c r="E385" s="104"/>
      <c r="F385" s="104"/>
      <c r="G385" s="332"/>
      <c r="H385" s="103"/>
    </row>
    <row r="386" spans="1:38" s="181" customFormat="1" x14ac:dyDescent="0.25">
      <c r="A386" s="351">
        <v>365</v>
      </c>
      <c r="B386" s="108" t="s">
        <v>82</v>
      </c>
      <c r="C386" s="104"/>
      <c r="D386" s="104"/>
      <c r="E386" s="104"/>
      <c r="F386" s="104"/>
      <c r="G386" s="332"/>
      <c r="H386" s="103"/>
    </row>
    <row r="387" spans="1:38" s="181" customFormat="1" x14ac:dyDescent="0.25">
      <c r="A387" s="351">
        <v>366</v>
      </c>
      <c r="B387" s="108" t="s">
        <v>81</v>
      </c>
      <c r="C387" s="104"/>
      <c r="D387" s="104"/>
      <c r="E387" s="104"/>
      <c r="F387" s="104"/>
      <c r="G387" s="332"/>
      <c r="H387" s="103"/>
    </row>
    <row r="388" spans="1:38" s="181" customFormat="1" x14ac:dyDescent="0.25">
      <c r="A388" s="351">
        <v>367</v>
      </c>
      <c r="B388" s="108" t="s">
        <v>80</v>
      </c>
      <c r="C388" s="104"/>
      <c r="D388" s="104"/>
      <c r="E388" s="104"/>
      <c r="F388" s="104"/>
      <c r="G388" s="332"/>
      <c r="H388" s="103"/>
    </row>
    <row r="389" spans="1:38" s="181" customFormat="1" x14ac:dyDescent="0.25">
      <c r="A389" s="351">
        <v>368</v>
      </c>
      <c r="B389" s="108" t="s">
        <v>79</v>
      </c>
      <c r="C389" s="104"/>
      <c r="D389" s="104"/>
      <c r="E389" s="104"/>
      <c r="F389" s="104"/>
      <c r="G389" s="332"/>
      <c r="H389" s="103"/>
    </row>
    <row r="390" spans="1:38" s="181" customFormat="1" x14ac:dyDescent="0.25">
      <c r="A390" s="351">
        <v>369</v>
      </c>
      <c r="B390" s="108" t="s">
        <v>318</v>
      </c>
      <c r="C390" s="104"/>
      <c r="D390" s="104"/>
      <c r="E390" s="104"/>
      <c r="F390" s="104"/>
      <c r="G390" s="332"/>
      <c r="H390" s="103"/>
    </row>
    <row r="391" spans="1:38" s="181" customFormat="1" x14ac:dyDescent="0.25">
      <c r="A391" s="351">
        <v>370</v>
      </c>
      <c r="B391" s="108" t="s">
        <v>78</v>
      </c>
      <c r="C391" s="104"/>
      <c r="D391" s="104"/>
      <c r="E391" s="104"/>
      <c r="F391" s="104"/>
      <c r="G391" s="332"/>
      <c r="H391" s="103"/>
    </row>
    <row r="392" spans="1:38" s="181" customFormat="1" x14ac:dyDescent="0.25">
      <c r="A392" s="351">
        <v>371</v>
      </c>
      <c r="B392" s="108" t="s">
        <v>77</v>
      </c>
      <c r="C392" s="104"/>
      <c r="D392" s="104"/>
      <c r="E392" s="104"/>
      <c r="F392" s="104"/>
      <c r="G392" s="332"/>
      <c r="H392" s="103"/>
    </row>
    <row r="393" spans="1:38" s="181" customFormat="1" ht="30" x14ac:dyDescent="0.25">
      <c r="A393" s="351">
        <v>372</v>
      </c>
      <c r="B393" s="105" t="s">
        <v>319</v>
      </c>
      <c r="C393" s="104"/>
      <c r="D393" s="104"/>
      <c r="E393" s="104"/>
      <c r="F393" s="104"/>
      <c r="G393" s="332"/>
      <c r="H393" s="103"/>
    </row>
    <row r="394" spans="1:38" customFormat="1" x14ac:dyDescent="0.25">
      <c r="A394" s="351">
        <v>373</v>
      </c>
      <c r="B394" s="110" t="s">
        <v>101</v>
      </c>
      <c r="C394" s="109"/>
      <c r="D394" s="109"/>
      <c r="E394" s="109"/>
      <c r="F394" s="109"/>
      <c r="G394" s="335"/>
      <c r="H394" s="103"/>
      <c r="I394" s="181"/>
      <c r="J394" s="181"/>
      <c r="K394" s="181"/>
      <c r="L394" s="181"/>
      <c r="M394" s="181"/>
      <c r="N394" s="181"/>
      <c r="O394" s="181"/>
      <c r="P394" s="181"/>
      <c r="Q394" s="181"/>
      <c r="R394" s="181"/>
      <c r="S394" s="181"/>
      <c r="T394" s="181"/>
      <c r="U394" s="181"/>
      <c r="V394" s="181"/>
      <c r="W394" s="181"/>
      <c r="X394" s="181"/>
      <c r="Y394" s="181"/>
      <c r="Z394" s="181"/>
      <c r="AA394" s="181"/>
      <c r="AB394" s="181"/>
      <c r="AC394" s="181"/>
      <c r="AD394" s="181"/>
      <c r="AE394" s="181"/>
      <c r="AF394" s="181"/>
      <c r="AG394" s="181"/>
      <c r="AH394" s="181"/>
      <c r="AI394" s="181"/>
      <c r="AJ394" s="181"/>
      <c r="AK394" s="181"/>
      <c r="AL394" s="181"/>
    </row>
    <row r="395" spans="1:38" customFormat="1" x14ac:dyDescent="0.25">
      <c r="A395" s="351">
        <v>374</v>
      </c>
      <c r="B395" s="108" t="s">
        <v>100</v>
      </c>
      <c r="C395" s="104"/>
      <c r="D395" s="104"/>
      <c r="E395" s="104"/>
      <c r="F395" s="104"/>
      <c r="G395" s="332"/>
      <c r="H395" s="103"/>
      <c r="I395" s="181"/>
      <c r="J395" s="181"/>
      <c r="K395" s="181"/>
      <c r="L395" s="181"/>
      <c r="M395" s="181"/>
      <c r="N395" s="181"/>
      <c r="O395" s="181"/>
      <c r="P395" s="181"/>
      <c r="Q395" s="181"/>
      <c r="R395" s="181"/>
      <c r="S395" s="181"/>
      <c r="T395" s="181"/>
      <c r="U395" s="181"/>
      <c r="V395" s="181"/>
      <c r="W395" s="181"/>
      <c r="X395" s="181"/>
      <c r="Y395" s="181"/>
      <c r="Z395" s="181"/>
      <c r="AA395" s="181"/>
      <c r="AB395" s="181"/>
      <c r="AC395" s="181"/>
      <c r="AD395" s="181"/>
      <c r="AE395" s="181"/>
      <c r="AF395" s="181"/>
      <c r="AG395" s="181"/>
      <c r="AH395" s="181"/>
      <c r="AI395" s="181"/>
      <c r="AJ395" s="181"/>
      <c r="AK395" s="181"/>
      <c r="AL395" s="181"/>
    </row>
    <row r="396" spans="1:38" customFormat="1" x14ac:dyDescent="0.25">
      <c r="A396" s="351">
        <v>375</v>
      </c>
      <c r="B396" s="108" t="s">
        <v>262</v>
      </c>
      <c r="C396" s="104"/>
      <c r="D396" s="104"/>
      <c r="E396" s="104"/>
      <c r="F396" s="104"/>
      <c r="G396" s="332"/>
      <c r="H396" s="103"/>
      <c r="I396" s="181"/>
      <c r="J396" s="181"/>
      <c r="K396" s="181"/>
      <c r="L396" s="181"/>
      <c r="M396" s="181"/>
      <c r="N396" s="181"/>
      <c r="O396" s="181"/>
      <c r="P396" s="181"/>
      <c r="Q396" s="181"/>
      <c r="R396" s="181"/>
      <c r="S396" s="181"/>
      <c r="T396" s="181"/>
      <c r="U396" s="181"/>
      <c r="V396" s="181"/>
      <c r="W396" s="181"/>
      <c r="X396" s="181"/>
      <c r="Y396" s="181"/>
      <c r="Z396" s="181"/>
      <c r="AA396" s="181"/>
      <c r="AB396" s="181"/>
      <c r="AC396" s="181"/>
      <c r="AD396" s="181"/>
      <c r="AE396" s="181"/>
      <c r="AF396" s="181"/>
      <c r="AG396" s="181"/>
      <c r="AH396" s="181"/>
      <c r="AI396" s="181"/>
      <c r="AJ396" s="181"/>
      <c r="AK396" s="181"/>
      <c r="AL396" s="181"/>
    </row>
    <row r="397" spans="1:38" customFormat="1" x14ac:dyDescent="0.25">
      <c r="A397" s="351">
        <v>376</v>
      </c>
      <c r="B397" s="108" t="s">
        <v>99</v>
      </c>
      <c r="C397" s="104"/>
      <c r="D397" s="104"/>
      <c r="E397" s="104"/>
      <c r="F397" s="104"/>
      <c r="G397" s="332"/>
      <c r="H397" s="103"/>
      <c r="I397" s="181"/>
      <c r="J397" s="181"/>
      <c r="K397" s="181"/>
      <c r="L397" s="181"/>
      <c r="M397" s="181"/>
      <c r="N397" s="181"/>
      <c r="O397" s="181"/>
      <c r="P397" s="181"/>
      <c r="Q397" s="181"/>
      <c r="R397" s="181"/>
      <c r="S397" s="181"/>
      <c r="T397" s="181"/>
      <c r="U397" s="181"/>
      <c r="V397" s="181"/>
      <c r="W397" s="181"/>
      <c r="X397" s="181"/>
      <c r="Y397" s="181"/>
      <c r="Z397" s="181"/>
      <c r="AA397" s="181"/>
      <c r="AB397" s="181"/>
      <c r="AC397" s="181"/>
      <c r="AD397" s="181"/>
      <c r="AE397" s="181"/>
      <c r="AF397" s="181"/>
      <c r="AG397" s="181"/>
      <c r="AH397" s="181"/>
      <c r="AI397" s="181"/>
      <c r="AJ397" s="181"/>
      <c r="AK397" s="181"/>
      <c r="AL397" s="181"/>
    </row>
    <row r="398" spans="1:38" customFormat="1" x14ac:dyDescent="0.25">
      <c r="A398" s="351">
        <v>377</v>
      </c>
      <c r="B398" s="108" t="s">
        <v>96</v>
      </c>
      <c r="C398" s="104"/>
      <c r="D398" s="104"/>
      <c r="E398" s="104"/>
      <c r="F398" s="104"/>
      <c r="G398" s="332"/>
      <c r="H398" s="103"/>
      <c r="I398" s="181"/>
      <c r="J398" s="181"/>
      <c r="K398" s="181"/>
      <c r="L398" s="181"/>
      <c r="M398" s="181"/>
      <c r="N398" s="181"/>
      <c r="O398" s="181"/>
      <c r="P398" s="181"/>
      <c r="Q398" s="181"/>
      <c r="R398" s="181"/>
      <c r="S398" s="181"/>
      <c r="T398" s="181"/>
      <c r="U398" s="181"/>
      <c r="V398" s="181"/>
      <c r="W398" s="181"/>
      <c r="X398" s="181"/>
      <c r="Y398" s="181"/>
      <c r="Z398" s="181"/>
      <c r="AA398" s="181"/>
      <c r="AB398" s="181"/>
      <c r="AC398" s="181"/>
      <c r="AD398" s="181"/>
      <c r="AE398" s="181"/>
      <c r="AF398" s="181"/>
      <c r="AG398" s="181"/>
      <c r="AH398" s="181"/>
      <c r="AI398" s="181"/>
      <c r="AJ398" s="181"/>
      <c r="AK398" s="181"/>
      <c r="AL398" s="181"/>
    </row>
    <row r="399" spans="1:38" customFormat="1" x14ac:dyDescent="0.25">
      <c r="A399" s="351">
        <v>378</v>
      </c>
      <c r="B399" s="108" t="s">
        <v>98</v>
      </c>
      <c r="C399" s="104"/>
      <c r="D399" s="104"/>
      <c r="E399" s="104"/>
      <c r="F399" s="104"/>
      <c r="G399" s="332"/>
      <c r="H399" s="103"/>
      <c r="I399" s="181"/>
      <c r="J399" s="181"/>
      <c r="K399" s="181"/>
      <c r="L399" s="181"/>
      <c r="M399" s="181"/>
      <c r="N399" s="181"/>
      <c r="O399" s="181"/>
      <c r="P399" s="181"/>
      <c r="Q399" s="181"/>
      <c r="R399" s="181"/>
      <c r="S399" s="181"/>
      <c r="T399" s="181"/>
      <c r="U399" s="181"/>
      <c r="V399" s="181"/>
      <c r="W399" s="181"/>
      <c r="X399" s="181"/>
      <c r="Y399" s="181"/>
      <c r="Z399" s="181"/>
      <c r="AA399" s="181"/>
      <c r="AB399" s="181"/>
      <c r="AC399" s="181"/>
      <c r="AD399" s="181"/>
      <c r="AE399" s="181"/>
      <c r="AF399" s="181"/>
      <c r="AG399" s="181"/>
      <c r="AH399" s="181"/>
      <c r="AI399" s="181"/>
      <c r="AJ399" s="181"/>
      <c r="AK399" s="181"/>
      <c r="AL399" s="181"/>
    </row>
    <row r="400" spans="1:38" s="181" customFormat="1" ht="30" x14ac:dyDescent="0.25">
      <c r="A400" s="351">
        <v>379</v>
      </c>
      <c r="B400" s="108" t="s">
        <v>320</v>
      </c>
      <c r="C400" s="104"/>
      <c r="D400" s="104"/>
      <c r="E400" s="104"/>
      <c r="F400" s="104"/>
      <c r="G400" s="332"/>
      <c r="H400" s="103"/>
    </row>
    <row r="401" spans="1:38" s="181" customFormat="1" x14ac:dyDescent="0.25">
      <c r="A401" s="351">
        <v>380</v>
      </c>
      <c r="B401" s="108" t="s">
        <v>321</v>
      </c>
      <c r="C401" s="104"/>
      <c r="D401" s="104"/>
      <c r="E401" s="104"/>
      <c r="F401" s="104"/>
      <c r="G401" s="332"/>
      <c r="H401" s="103"/>
    </row>
    <row r="402" spans="1:38" customFormat="1" x14ac:dyDescent="0.25">
      <c r="A402" s="351">
        <v>381</v>
      </c>
      <c r="B402" s="279" t="s">
        <v>168</v>
      </c>
      <c r="C402" s="363"/>
      <c r="D402" s="363"/>
      <c r="E402" s="363"/>
      <c r="F402" s="363"/>
      <c r="G402" s="363"/>
      <c r="H402" s="362"/>
      <c r="I402" s="181"/>
      <c r="J402" s="181"/>
      <c r="K402" s="181"/>
      <c r="L402" s="181"/>
      <c r="M402" s="181"/>
      <c r="N402" s="181"/>
      <c r="O402" s="181"/>
      <c r="P402" s="181"/>
      <c r="Q402" s="181"/>
      <c r="R402" s="181"/>
      <c r="S402" s="181"/>
      <c r="T402" s="181"/>
      <c r="U402" s="181"/>
      <c r="V402" s="181"/>
      <c r="W402" s="181"/>
      <c r="X402" s="181"/>
      <c r="Y402" s="181"/>
      <c r="Z402" s="181"/>
      <c r="AA402" s="181"/>
      <c r="AB402" s="181"/>
      <c r="AC402" s="181"/>
      <c r="AD402" s="181"/>
      <c r="AE402" s="181"/>
      <c r="AF402" s="181"/>
      <c r="AG402" s="181"/>
      <c r="AH402" s="181"/>
      <c r="AI402" s="181"/>
      <c r="AJ402" s="181"/>
      <c r="AK402" s="181"/>
      <c r="AL402" s="181"/>
    </row>
    <row r="403" spans="1:38" customFormat="1" x14ac:dyDescent="0.25">
      <c r="A403" s="351">
        <v>382</v>
      </c>
      <c r="B403" s="113" t="s">
        <v>102</v>
      </c>
      <c r="C403" s="112"/>
      <c r="D403" s="112"/>
      <c r="E403" s="112"/>
      <c r="F403" s="112"/>
      <c r="G403" s="336"/>
      <c r="H403" s="103"/>
      <c r="I403" s="181"/>
      <c r="J403" s="181"/>
      <c r="K403" s="181"/>
      <c r="L403" s="181"/>
      <c r="M403" s="181"/>
      <c r="N403" s="181"/>
      <c r="O403" s="181"/>
      <c r="P403" s="181"/>
      <c r="Q403" s="181"/>
      <c r="R403" s="181"/>
      <c r="S403" s="181"/>
      <c r="T403" s="181"/>
      <c r="U403" s="181"/>
      <c r="V403" s="181"/>
      <c r="W403" s="181"/>
      <c r="X403" s="181"/>
      <c r="Y403" s="181"/>
      <c r="Z403" s="181"/>
      <c r="AA403" s="181"/>
      <c r="AB403" s="181"/>
      <c r="AC403" s="181"/>
      <c r="AD403" s="181"/>
      <c r="AE403" s="181"/>
      <c r="AF403" s="181"/>
      <c r="AG403" s="181"/>
      <c r="AH403" s="181"/>
      <c r="AI403" s="181"/>
      <c r="AJ403" s="181"/>
      <c r="AK403" s="181"/>
      <c r="AL403" s="181"/>
    </row>
    <row r="404" spans="1:38" s="181" customFormat="1" x14ac:dyDescent="0.25">
      <c r="A404" s="351">
        <v>383</v>
      </c>
      <c r="B404" s="113" t="s">
        <v>322</v>
      </c>
      <c r="C404" s="112"/>
      <c r="D404" s="112"/>
      <c r="E404" s="112"/>
      <c r="F404" s="112"/>
      <c r="G404" s="336"/>
      <c r="H404" s="103"/>
    </row>
    <row r="405" spans="1:38" s="181" customFormat="1" ht="30" x14ac:dyDescent="0.25">
      <c r="A405" s="351">
        <v>384</v>
      </c>
      <c r="B405" s="110" t="s">
        <v>97</v>
      </c>
      <c r="C405" s="330"/>
      <c r="D405" s="330"/>
      <c r="E405" s="330"/>
      <c r="F405" s="330"/>
      <c r="G405" s="337"/>
      <c r="H405" s="103"/>
    </row>
    <row r="406" spans="1:38" s="181" customFormat="1" ht="30" x14ac:dyDescent="0.25">
      <c r="A406" s="351">
        <v>385</v>
      </c>
      <c r="B406" s="44" t="s">
        <v>74</v>
      </c>
      <c r="C406" s="101"/>
      <c r="D406" s="101"/>
      <c r="E406" s="101"/>
      <c r="F406" s="101"/>
      <c r="G406" s="338"/>
      <c r="H406" s="103"/>
    </row>
    <row r="407" spans="1:38" s="181" customFormat="1" ht="30" x14ac:dyDescent="0.25">
      <c r="A407" s="351">
        <v>386</v>
      </c>
      <c r="B407" s="44" t="s">
        <v>73</v>
      </c>
      <c r="C407" s="328"/>
      <c r="D407" s="328"/>
      <c r="E407" s="328"/>
      <c r="F407" s="328"/>
      <c r="G407" s="333"/>
      <c r="H407" s="103"/>
    </row>
    <row r="408" spans="1:38" s="181" customFormat="1" x14ac:dyDescent="0.25">
      <c r="A408" s="351">
        <v>387</v>
      </c>
      <c r="B408" s="44" t="s">
        <v>323</v>
      </c>
      <c r="C408" s="328"/>
      <c r="D408" s="328"/>
      <c r="E408" s="328"/>
      <c r="F408" s="328"/>
      <c r="G408" s="333"/>
      <c r="H408" s="103"/>
    </row>
    <row r="409" spans="1:38" s="181" customFormat="1" ht="45" x14ac:dyDescent="0.25">
      <c r="A409" s="351">
        <v>388</v>
      </c>
      <c r="B409" s="44" t="s">
        <v>72</v>
      </c>
      <c r="C409" s="328"/>
      <c r="D409" s="328"/>
      <c r="E409" s="328"/>
      <c r="F409" s="328"/>
      <c r="G409" s="333"/>
      <c r="H409" s="103"/>
    </row>
    <row r="410" spans="1:38" s="181" customFormat="1" ht="60" x14ac:dyDescent="0.25">
      <c r="A410" s="351">
        <v>389</v>
      </c>
      <c r="B410" s="331" t="s">
        <v>332</v>
      </c>
      <c r="C410" s="328"/>
      <c r="D410" s="328"/>
      <c r="E410" s="328"/>
      <c r="F410" s="328"/>
      <c r="G410" s="333"/>
      <c r="H410" s="103"/>
    </row>
    <row r="411" spans="1:38" customFormat="1" ht="30" x14ac:dyDescent="0.25">
      <c r="A411" s="351">
        <v>390</v>
      </c>
      <c r="B411" s="102" t="s">
        <v>71</v>
      </c>
      <c r="C411" s="214"/>
      <c r="D411" s="214"/>
      <c r="E411" s="214"/>
      <c r="F411" s="214"/>
      <c r="G411" s="339"/>
      <c r="H411" s="103"/>
      <c r="I411" s="181"/>
      <c r="J411" s="181"/>
      <c r="K411" s="181"/>
      <c r="L411" s="181"/>
      <c r="M411" s="181"/>
      <c r="N411" s="181"/>
      <c r="O411" s="181"/>
      <c r="P411" s="181"/>
      <c r="Q411" s="181"/>
      <c r="R411" s="181"/>
      <c r="S411" s="181"/>
      <c r="T411" s="181"/>
      <c r="U411" s="181"/>
      <c r="V411" s="181"/>
      <c r="W411" s="181"/>
      <c r="X411" s="181"/>
      <c r="Y411" s="181"/>
      <c r="Z411" s="181"/>
      <c r="AA411" s="181"/>
      <c r="AB411" s="181"/>
      <c r="AC411" s="181"/>
      <c r="AD411" s="181"/>
      <c r="AE411" s="181"/>
      <c r="AF411" s="181"/>
      <c r="AG411" s="181"/>
      <c r="AH411" s="181"/>
      <c r="AI411" s="181"/>
      <c r="AJ411" s="181"/>
      <c r="AK411" s="181"/>
      <c r="AL411" s="181"/>
    </row>
    <row r="412" spans="1:38" customFormat="1" x14ac:dyDescent="0.25">
      <c r="A412" s="351">
        <v>391</v>
      </c>
      <c r="B412" s="279" t="s">
        <v>171</v>
      </c>
      <c r="C412" s="363"/>
      <c r="D412" s="363"/>
      <c r="E412" s="363"/>
      <c r="F412" s="363"/>
      <c r="G412" s="363"/>
      <c r="H412" s="362"/>
      <c r="I412" s="181"/>
      <c r="J412" s="181"/>
      <c r="K412" s="181"/>
      <c r="L412" s="181"/>
      <c r="M412" s="181"/>
      <c r="N412" s="181"/>
      <c r="O412" s="181"/>
      <c r="P412" s="181"/>
      <c r="Q412" s="181"/>
      <c r="R412" s="181"/>
      <c r="S412" s="181"/>
      <c r="T412" s="181"/>
      <c r="U412" s="181"/>
      <c r="V412" s="181"/>
      <c r="W412" s="181"/>
      <c r="X412" s="181"/>
      <c r="Y412" s="181"/>
      <c r="Z412" s="181"/>
      <c r="AA412" s="181"/>
      <c r="AB412" s="181"/>
      <c r="AC412" s="181"/>
      <c r="AD412" s="181"/>
      <c r="AE412" s="181"/>
      <c r="AF412" s="181"/>
      <c r="AG412" s="181"/>
      <c r="AH412" s="181"/>
      <c r="AI412" s="181"/>
      <c r="AJ412" s="181"/>
      <c r="AK412" s="181"/>
      <c r="AL412" s="181"/>
    </row>
    <row r="413" spans="1:38" customFormat="1" ht="30" x14ac:dyDescent="0.25">
      <c r="A413" s="351">
        <v>392</v>
      </c>
      <c r="B413" s="111" t="s">
        <v>172</v>
      </c>
      <c r="C413" s="109"/>
      <c r="D413" s="109"/>
      <c r="E413" s="109"/>
      <c r="F413" s="109"/>
      <c r="G413" s="335"/>
      <c r="H413" s="103"/>
      <c r="I413" s="181"/>
      <c r="J413" s="181"/>
      <c r="K413" s="181"/>
      <c r="L413" s="181"/>
      <c r="M413" s="181"/>
      <c r="N413" s="181"/>
      <c r="O413" s="181"/>
      <c r="P413" s="181"/>
      <c r="Q413" s="181"/>
      <c r="R413" s="181"/>
      <c r="S413" s="181"/>
      <c r="T413" s="181"/>
      <c r="U413" s="181"/>
      <c r="V413" s="181"/>
      <c r="W413" s="181"/>
      <c r="X413" s="181"/>
      <c r="Y413" s="181"/>
      <c r="Z413" s="181"/>
      <c r="AA413" s="181"/>
      <c r="AB413" s="181"/>
      <c r="AC413" s="181"/>
      <c r="AD413" s="181"/>
      <c r="AE413" s="181"/>
      <c r="AF413" s="181"/>
      <c r="AG413" s="181"/>
      <c r="AH413" s="181"/>
      <c r="AI413" s="181"/>
      <c r="AJ413" s="181"/>
      <c r="AK413" s="181"/>
      <c r="AL413" s="181"/>
    </row>
    <row r="414" spans="1:38" customFormat="1" x14ac:dyDescent="0.25">
      <c r="A414" s="351">
        <v>393</v>
      </c>
      <c r="B414" s="162" t="s">
        <v>173</v>
      </c>
      <c r="C414" s="163"/>
      <c r="D414" s="164"/>
      <c r="E414" s="164"/>
      <c r="F414" s="164"/>
      <c r="G414" s="340"/>
      <c r="H414" s="103"/>
      <c r="I414" s="181"/>
      <c r="J414" s="181"/>
      <c r="K414" s="181"/>
      <c r="L414" s="181"/>
      <c r="M414" s="181"/>
      <c r="N414" s="181"/>
      <c r="O414" s="181"/>
      <c r="P414" s="181"/>
      <c r="Q414" s="181"/>
      <c r="R414" s="181"/>
      <c r="S414" s="181"/>
      <c r="T414" s="181"/>
      <c r="U414" s="181"/>
      <c r="V414" s="181"/>
      <c r="W414" s="181"/>
      <c r="X414" s="181"/>
      <c r="Y414" s="181"/>
      <c r="Z414" s="181"/>
      <c r="AA414" s="181"/>
      <c r="AB414" s="181"/>
      <c r="AC414" s="181"/>
      <c r="AD414" s="181"/>
      <c r="AE414" s="181"/>
      <c r="AF414" s="181"/>
      <c r="AG414" s="181"/>
      <c r="AH414" s="181"/>
      <c r="AI414" s="181"/>
      <c r="AJ414" s="181"/>
      <c r="AK414" s="181"/>
      <c r="AL414" s="181"/>
    </row>
    <row r="415" spans="1:38" customFormat="1" x14ac:dyDescent="0.25">
      <c r="A415" s="351">
        <v>394</v>
      </c>
      <c r="B415" s="162" t="s">
        <v>174</v>
      </c>
      <c r="C415" s="163"/>
      <c r="D415" s="164"/>
      <c r="E415" s="164"/>
      <c r="F415" s="164"/>
      <c r="G415" s="340"/>
      <c r="H415" s="103"/>
      <c r="I415" s="181"/>
      <c r="J415" s="181"/>
      <c r="K415" s="181"/>
      <c r="L415" s="181"/>
      <c r="M415" s="181"/>
      <c r="N415" s="181"/>
      <c r="O415" s="181"/>
      <c r="P415" s="181"/>
      <c r="Q415" s="181"/>
      <c r="R415" s="181"/>
      <c r="S415" s="181"/>
      <c r="T415" s="181"/>
      <c r="U415" s="181"/>
      <c r="V415" s="181"/>
      <c r="W415" s="181"/>
      <c r="X415" s="181"/>
      <c r="Y415" s="181"/>
      <c r="Z415" s="181"/>
      <c r="AA415" s="181"/>
      <c r="AB415" s="181"/>
      <c r="AC415" s="181"/>
      <c r="AD415" s="181"/>
      <c r="AE415" s="181"/>
      <c r="AF415" s="181"/>
      <c r="AG415" s="181"/>
      <c r="AH415" s="181"/>
      <c r="AI415" s="181"/>
      <c r="AJ415" s="181"/>
      <c r="AK415" s="181"/>
      <c r="AL415" s="181"/>
    </row>
    <row r="416" spans="1:38" customFormat="1" x14ac:dyDescent="0.25">
      <c r="A416" s="351">
        <v>395</v>
      </c>
      <c r="B416" s="165" t="s">
        <v>175</v>
      </c>
      <c r="C416" s="163"/>
      <c r="D416" s="166"/>
      <c r="E416" s="166"/>
      <c r="F416" s="166"/>
      <c r="G416" s="341"/>
      <c r="H416" s="103"/>
      <c r="I416" s="181"/>
      <c r="J416" s="181"/>
      <c r="K416" s="181"/>
      <c r="L416" s="181"/>
      <c r="M416" s="181"/>
      <c r="N416" s="181"/>
      <c r="O416" s="181"/>
      <c r="P416" s="181"/>
      <c r="Q416" s="181"/>
      <c r="R416" s="181"/>
      <c r="S416" s="181"/>
      <c r="T416" s="181"/>
      <c r="U416" s="181"/>
      <c r="V416" s="181"/>
      <c r="W416" s="181"/>
      <c r="X416" s="181"/>
      <c r="Y416" s="181"/>
      <c r="Z416" s="181"/>
      <c r="AA416" s="181"/>
      <c r="AB416" s="181"/>
      <c r="AC416" s="181"/>
      <c r="AD416" s="181"/>
      <c r="AE416" s="181"/>
      <c r="AF416" s="181"/>
      <c r="AG416" s="181"/>
      <c r="AH416" s="181"/>
      <c r="AI416" s="181"/>
      <c r="AJ416" s="181"/>
      <c r="AK416" s="181"/>
      <c r="AL416" s="181"/>
    </row>
    <row r="417" spans="1:38" customFormat="1" ht="30" x14ac:dyDescent="0.25">
      <c r="A417" s="351">
        <v>396</v>
      </c>
      <c r="B417" s="167" t="s">
        <v>187</v>
      </c>
      <c r="C417" s="163"/>
      <c r="D417" s="166"/>
      <c r="E417" s="166"/>
      <c r="F417" s="166"/>
      <c r="G417" s="341"/>
      <c r="H417" s="103"/>
      <c r="I417" s="181"/>
      <c r="J417" s="181"/>
      <c r="K417" s="181"/>
      <c r="L417" s="181"/>
      <c r="M417" s="181"/>
      <c r="N417" s="181"/>
      <c r="O417" s="181"/>
      <c r="P417" s="181"/>
      <c r="Q417" s="181"/>
      <c r="R417" s="181"/>
      <c r="S417" s="181"/>
      <c r="T417" s="181"/>
      <c r="U417" s="181"/>
      <c r="V417" s="181"/>
      <c r="W417" s="181"/>
      <c r="X417" s="181"/>
      <c r="Y417" s="181"/>
      <c r="Z417" s="181"/>
      <c r="AA417" s="181"/>
      <c r="AB417" s="181"/>
      <c r="AC417" s="181"/>
      <c r="AD417" s="181"/>
      <c r="AE417" s="181"/>
      <c r="AF417" s="181"/>
      <c r="AG417" s="181"/>
      <c r="AH417" s="181"/>
      <c r="AI417" s="181"/>
      <c r="AJ417" s="181"/>
      <c r="AK417" s="181"/>
      <c r="AL417" s="181"/>
    </row>
    <row r="418" spans="1:38" customFormat="1" x14ac:dyDescent="0.25">
      <c r="A418" s="351">
        <v>397</v>
      </c>
      <c r="B418" s="111" t="s">
        <v>195</v>
      </c>
      <c r="C418" s="172"/>
      <c r="D418" s="164"/>
      <c r="E418" s="164"/>
      <c r="F418" s="164"/>
      <c r="G418" s="340"/>
      <c r="H418" s="103"/>
      <c r="I418" s="181"/>
      <c r="J418" s="181"/>
      <c r="K418" s="181"/>
      <c r="L418" s="181"/>
      <c r="M418" s="181"/>
      <c r="N418" s="181"/>
      <c r="O418" s="181"/>
      <c r="P418" s="181"/>
      <c r="Q418" s="181"/>
      <c r="R418" s="181"/>
      <c r="S418" s="181"/>
      <c r="T418" s="181"/>
      <c r="U418" s="181"/>
      <c r="V418" s="181"/>
      <c r="W418" s="181"/>
      <c r="X418" s="181"/>
      <c r="Y418" s="181"/>
      <c r="Z418" s="181"/>
      <c r="AA418" s="181"/>
      <c r="AB418" s="181"/>
      <c r="AC418" s="181"/>
      <c r="AD418" s="181"/>
      <c r="AE418" s="181"/>
      <c r="AF418" s="181"/>
      <c r="AG418" s="181"/>
      <c r="AH418" s="181"/>
      <c r="AI418" s="181"/>
      <c r="AJ418" s="181"/>
      <c r="AK418" s="181"/>
      <c r="AL418" s="181"/>
    </row>
    <row r="419" spans="1:38" customFormat="1" x14ac:dyDescent="0.25">
      <c r="A419" s="351">
        <v>398</v>
      </c>
      <c r="B419" s="279" t="s">
        <v>176</v>
      </c>
      <c r="C419" s="363"/>
      <c r="D419" s="363"/>
      <c r="E419" s="363"/>
      <c r="F419" s="363"/>
      <c r="G419" s="363"/>
      <c r="H419" s="362"/>
      <c r="I419" s="181"/>
      <c r="J419" s="181"/>
      <c r="K419" s="181"/>
      <c r="L419" s="181"/>
      <c r="M419" s="181"/>
      <c r="N419" s="181"/>
      <c r="O419" s="181"/>
      <c r="P419" s="181"/>
      <c r="Q419" s="181"/>
      <c r="R419" s="181"/>
      <c r="S419" s="181"/>
      <c r="T419" s="181"/>
      <c r="U419" s="181"/>
      <c r="V419" s="181"/>
      <c r="W419" s="181"/>
      <c r="X419" s="181"/>
      <c r="Y419" s="181"/>
      <c r="Z419" s="181"/>
      <c r="AA419" s="181"/>
      <c r="AB419" s="181"/>
      <c r="AC419" s="181"/>
      <c r="AD419" s="181"/>
      <c r="AE419" s="181"/>
      <c r="AF419" s="181"/>
      <c r="AG419" s="181"/>
      <c r="AH419" s="181"/>
      <c r="AI419" s="181"/>
      <c r="AJ419" s="181"/>
      <c r="AK419" s="181"/>
      <c r="AL419" s="181"/>
    </row>
    <row r="420" spans="1:38" customFormat="1" ht="30" x14ac:dyDescent="0.25">
      <c r="A420" s="351">
        <v>399</v>
      </c>
      <c r="B420" s="167" t="s">
        <v>179</v>
      </c>
      <c r="C420" s="109"/>
      <c r="D420" s="109"/>
      <c r="E420" s="109"/>
      <c r="F420" s="109"/>
      <c r="G420" s="335"/>
      <c r="H420" s="103"/>
      <c r="I420" s="181"/>
      <c r="J420" s="181"/>
      <c r="K420" s="181"/>
      <c r="L420" s="181"/>
      <c r="M420" s="181"/>
      <c r="N420" s="181"/>
      <c r="O420" s="181"/>
      <c r="P420" s="181"/>
      <c r="Q420" s="181"/>
      <c r="R420" s="181"/>
      <c r="S420" s="181"/>
      <c r="T420" s="181"/>
      <c r="U420" s="181"/>
      <c r="V420" s="181"/>
      <c r="W420" s="181"/>
      <c r="X420" s="181"/>
      <c r="Y420" s="181"/>
      <c r="Z420" s="181"/>
      <c r="AA420" s="181"/>
      <c r="AB420" s="181"/>
      <c r="AC420" s="181"/>
      <c r="AD420" s="181"/>
      <c r="AE420" s="181"/>
      <c r="AF420" s="181"/>
      <c r="AG420" s="181"/>
      <c r="AH420" s="181"/>
      <c r="AI420" s="181"/>
      <c r="AJ420" s="181"/>
      <c r="AK420" s="181"/>
      <c r="AL420" s="181"/>
    </row>
    <row r="421" spans="1:38" customFormat="1" x14ac:dyDescent="0.25">
      <c r="A421" s="351">
        <v>400</v>
      </c>
      <c r="B421" s="165" t="s">
        <v>178</v>
      </c>
      <c r="C421" s="106"/>
      <c r="D421" s="106"/>
      <c r="E421" s="106"/>
      <c r="F421" s="106"/>
      <c r="G421" s="334"/>
      <c r="H421" s="103"/>
      <c r="I421" s="181"/>
      <c r="J421" s="181"/>
      <c r="K421" s="181"/>
      <c r="L421" s="181"/>
      <c r="M421" s="181"/>
      <c r="N421" s="181"/>
      <c r="O421" s="181"/>
      <c r="P421" s="181"/>
      <c r="Q421" s="181"/>
      <c r="R421" s="181"/>
      <c r="S421" s="181"/>
      <c r="T421" s="181"/>
      <c r="U421" s="181"/>
      <c r="V421" s="181"/>
      <c r="W421" s="181"/>
      <c r="X421" s="181"/>
      <c r="Y421" s="181"/>
      <c r="Z421" s="181"/>
      <c r="AA421" s="181"/>
      <c r="AB421" s="181"/>
      <c r="AC421" s="181"/>
      <c r="AD421" s="181"/>
      <c r="AE421" s="181"/>
      <c r="AF421" s="181"/>
      <c r="AG421" s="181"/>
      <c r="AH421" s="181"/>
      <c r="AI421" s="181"/>
      <c r="AJ421" s="181"/>
      <c r="AK421" s="181"/>
      <c r="AL421" s="181"/>
    </row>
    <row r="422" spans="1:38" customFormat="1" x14ac:dyDescent="0.25">
      <c r="A422" s="351">
        <v>401</v>
      </c>
      <c r="B422" s="165" t="s">
        <v>80</v>
      </c>
      <c r="C422" s="106"/>
      <c r="D422" s="106"/>
      <c r="E422" s="106"/>
      <c r="F422" s="106"/>
      <c r="G422" s="334"/>
      <c r="H422" s="103"/>
      <c r="I422" s="181"/>
      <c r="J422" s="181"/>
      <c r="K422" s="181"/>
      <c r="L422" s="181"/>
      <c r="M422" s="181"/>
      <c r="N422" s="181"/>
      <c r="O422" s="181"/>
      <c r="P422" s="181"/>
      <c r="Q422" s="181"/>
      <c r="R422" s="181"/>
      <c r="S422" s="181"/>
      <c r="T422" s="181"/>
      <c r="U422" s="181"/>
      <c r="V422" s="181"/>
      <c r="W422" s="181"/>
      <c r="X422" s="181"/>
      <c r="Y422" s="181"/>
      <c r="Z422" s="181"/>
      <c r="AA422" s="181"/>
      <c r="AB422" s="181"/>
      <c r="AC422" s="181"/>
      <c r="AD422" s="181"/>
      <c r="AE422" s="181"/>
      <c r="AF422" s="181"/>
      <c r="AG422" s="181"/>
      <c r="AH422" s="181"/>
      <c r="AI422" s="181"/>
      <c r="AJ422" s="181"/>
      <c r="AK422" s="181"/>
      <c r="AL422" s="181"/>
    </row>
    <row r="423" spans="1:38" customFormat="1" x14ac:dyDescent="0.25">
      <c r="A423" s="351">
        <v>402</v>
      </c>
      <c r="B423" s="165" t="s">
        <v>177</v>
      </c>
      <c r="C423" s="214"/>
      <c r="D423" s="214"/>
      <c r="E423" s="214"/>
      <c r="F423" s="214"/>
      <c r="G423" s="339"/>
      <c r="H423" s="103"/>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c r="AI423" s="181"/>
      <c r="AJ423" s="181"/>
      <c r="AK423" s="181"/>
      <c r="AL423" s="181"/>
    </row>
    <row r="424" spans="1:38" customFormat="1" x14ac:dyDescent="0.25">
      <c r="A424" s="351">
        <v>403</v>
      </c>
      <c r="B424" s="165" t="s">
        <v>100</v>
      </c>
      <c r="C424" s="214"/>
      <c r="D424" s="214"/>
      <c r="E424" s="214"/>
      <c r="F424" s="214"/>
      <c r="G424" s="339"/>
      <c r="H424" s="103"/>
      <c r="I424" s="181"/>
      <c r="J424" s="181"/>
      <c r="K424" s="181"/>
      <c r="L424" s="181"/>
      <c r="M424" s="181"/>
      <c r="N424" s="181"/>
      <c r="O424" s="181"/>
      <c r="P424" s="181"/>
      <c r="Q424" s="181"/>
      <c r="R424" s="181"/>
      <c r="S424" s="181"/>
      <c r="T424" s="181"/>
      <c r="U424" s="181"/>
      <c r="V424" s="181"/>
      <c r="W424" s="181"/>
      <c r="X424" s="181"/>
      <c r="Y424" s="181"/>
      <c r="Z424" s="181"/>
      <c r="AA424" s="181"/>
      <c r="AB424" s="181"/>
      <c r="AC424" s="181"/>
      <c r="AD424" s="181"/>
      <c r="AE424" s="181"/>
      <c r="AF424" s="181"/>
      <c r="AG424" s="181"/>
      <c r="AH424" s="181"/>
      <c r="AI424" s="181"/>
      <c r="AJ424" s="181"/>
      <c r="AK424" s="181"/>
      <c r="AL424" s="181"/>
    </row>
    <row r="425" spans="1:38" customFormat="1" x14ac:dyDescent="0.25">
      <c r="A425" s="351">
        <v>404</v>
      </c>
      <c r="B425" s="165" t="s">
        <v>263</v>
      </c>
      <c r="C425" s="214"/>
      <c r="D425" s="214"/>
      <c r="E425" s="214"/>
      <c r="F425" s="214"/>
      <c r="G425" s="339"/>
      <c r="H425" s="103"/>
      <c r="I425" s="181"/>
      <c r="J425" s="181"/>
      <c r="K425" s="181"/>
      <c r="L425" s="181"/>
      <c r="M425" s="181"/>
      <c r="N425" s="181"/>
      <c r="O425" s="181"/>
      <c r="P425" s="181"/>
      <c r="Q425" s="181"/>
      <c r="R425" s="181"/>
      <c r="S425" s="181"/>
      <c r="T425" s="181"/>
      <c r="U425" s="181"/>
      <c r="V425" s="181"/>
      <c r="W425" s="181"/>
      <c r="X425" s="181"/>
      <c r="Y425" s="181"/>
      <c r="Z425" s="181"/>
      <c r="AA425" s="181"/>
      <c r="AB425" s="181"/>
      <c r="AC425" s="181"/>
      <c r="AD425" s="181"/>
      <c r="AE425" s="181"/>
      <c r="AF425" s="181"/>
      <c r="AG425" s="181"/>
      <c r="AH425" s="181"/>
      <c r="AI425" s="181"/>
      <c r="AJ425" s="181"/>
      <c r="AK425" s="181"/>
      <c r="AL425" s="181"/>
    </row>
    <row r="426" spans="1:38" s="181" customFormat="1" x14ac:dyDescent="0.25">
      <c r="A426" s="351">
        <v>405</v>
      </c>
      <c r="B426" s="162" t="s">
        <v>318</v>
      </c>
      <c r="C426" s="328"/>
      <c r="D426" s="328"/>
      <c r="E426" s="328"/>
      <c r="F426" s="328"/>
      <c r="G426" s="333"/>
      <c r="H426" s="103"/>
    </row>
    <row r="427" spans="1:38" s="181" customFormat="1" x14ac:dyDescent="0.25">
      <c r="A427" s="351">
        <v>406</v>
      </c>
      <c r="B427" s="162" t="s">
        <v>324</v>
      </c>
      <c r="C427" s="328"/>
      <c r="D427" s="328"/>
      <c r="E427" s="328"/>
      <c r="F427" s="328"/>
      <c r="G427" s="333"/>
      <c r="H427" s="103"/>
    </row>
    <row r="428" spans="1:38" customFormat="1" ht="30" x14ac:dyDescent="0.25">
      <c r="A428" s="351">
        <v>407</v>
      </c>
      <c r="B428" s="167" t="s">
        <v>196</v>
      </c>
      <c r="C428" s="214"/>
      <c r="D428" s="214"/>
      <c r="E428" s="214"/>
      <c r="F428" s="214"/>
      <c r="G428" s="339"/>
      <c r="H428" s="103"/>
      <c r="I428" s="181"/>
      <c r="J428" s="181"/>
      <c r="K428" s="181"/>
      <c r="L428" s="181"/>
      <c r="M428" s="181"/>
      <c r="N428" s="181"/>
      <c r="O428" s="181"/>
      <c r="P428" s="181"/>
      <c r="Q428" s="181"/>
      <c r="R428" s="181"/>
      <c r="S428" s="181"/>
      <c r="T428" s="181"/>
      <c r="U428" s="181"/>
      <c r="V428" s="181"/>
      <c r="W428" s="181"/>
      <c r="X428" s="181"/>
      <c r="Y428" s="181"/>
      <c r="Z428" s="181"/>
      <c r="AA428" s="181"/>
      <c r="AB428" s="181"/>
      <c r="AC428" s="181"/>
      <c r="AD428" s="181"/>
      <c r="AE428" s="181"/>
      <c r="AF428" s="181"/>
      <c r="AG428" s="181"/>
      <c r="AH428" s="181"/>
      <c r="AI428" s="181"/>
      <c r="AJ428" s="181"/>
      <c r="AK428" s="181"/>
      <c r="AL428" s="181"/>
    </row>
    <row r="429" spans="1:38" customFormat="1" ht="30" x14ac:dyDescent="0.25">
      <c r="A429" s="351">
        <v>408</v>
      </c>
      <c r="B429" s="167" t="s">
        <v>180</v>
      </c>
      <c r="C429" s="109"/>
      <c r="D429" s="109"/>
      <c r="E429" s="109"/>
      <c r="F429" s="109"/>
      <c r="G429" s="335"/>
      <c r="H429" s="103"/>
      <c r="I429" s="181"/>
      <c r="J429" s="181"/>
      <c r="K429" s="181"/>
      <c r="L429" s="181"/>
      <c r="M429" s="181"/>
      <c r="N429" s="181"/>
      <c r="O429" s="181"/>
      <c r="P429" s="181"/>
      <c r="Q429" s="181"/>
      <c r="R429" s="181"/>
      <c r="S429" s="181"/>
      <c r="T429" s="181"/>
      <c r="U429" s="181"/>
      <c r="V429" s="181"/>
      <c r="W429" s="181"/>
      <c r="X429" s="181"/>
      <c r="Y429" s="181"/>
      <c r="Z429" s="181"/>
      <c r="AA429" s="181"/>
      <c r="AB429" s="181"/>
      <c r="AC429" s="181"/>
      <c r="AD429" s="181"/>
      <c r="AE429" s="181"/>
      <c r="AF429" s="181"/>
      <c r="AG429" s="181"/>
      <c r="AH429" s="181"/>
      <c r="AI429" s="181"/>
      <c r="AJ429" s="181"/>
      <c r="AK429" s="181"/>
      <c r="AL429" s="181"/>
    </row>
    <row r="430" spans="1:38" customFormat="1" x14ac:dyDescent="0.25">
      <c r="A430" s="351">
        <v>409</v>
      </c>
      <c r="B430" s="165" t="s">
        <v>181</v>
      </c>
      <c r="C430" s="168"/>
      <c r="D430" s="169"/>
      <c r="E430" s="169"/>
      <c r="F430" s="169"/>
      <c r="G430" s="342"/>
      <c r="H430" s="103"/>
      <c r="I430" s="181"/>
      <c r="J430" s="181"/>
      <c r="K430" s="181"/>
      <c r="L430" s="181"/>
      <c r="M430" s="181"/>
      <c r="N430" s="181"/>
      <c r="O430" s="181"/>
      <c r="P430" s="181"/>
      <c r="Q430" s="181"/>
      <c r="R430" s="181"/>
      <c r="S430" s="181"/>
      <c r="T430" s="181"/>
      <c r="U430" s="181"/>
      <c r="V430" s="181"/>
      <c r="W430" s="181"/>
      <c r="X430" s="181"/>
      <c r="Y430" s="181"/>
      <c r="Z430" s="181"/>
      <c r="AA430" s="181"/>
      <c r="AB430" s="181"/>
      <c r="AC430" s="181"/>
      <c r="AD430" s="181"/>
      <c r="AE430" s="181"/>
      <c r="AF430" s="181"/>
      <c r="AG430" s="181"/>
      <c r="AH430" s="181"/>
      <c r="AI430" s="181"/>
      <c r="AJ430" s="181"/>
      <c r="AK430" s="181"/>
      <c r="AL430" s="181"/>
    </row>
    <row r="431" spans="1:38" customFormat="1" x14ac:dyDescent="0.25">
      <c r="A431" s="351">
        <v>410</v>
      </c>
      <c r="B431" s="165" t="s">
        <v>182</v>
      </c>
      <c r="C431" s="168"/>
      <c r="D431" s="169"/>
      <c r="E431" s="169"/>
      <c r="F431" s="169"/>
      <c r="G431" s="342"/>
      <c r="H431" s="103"/>
      <c r="I431" s="181"/>
      <c r="J431" s="181"/>
      <c r="K431" s="181"/>
      <c r="L431" s="181"/>
      <c r="M431" s="181"/>
      <c r="N431" s="181"/>
      <c r="O431" s="181"/>
      <c r="P431" s="181"/>
      <c r="Q431" s="181"/>
      <c r="R431" s="181"/>
      <c r="S431" s="181"/>
      <c r="T431" s="181"/>
      <c r="U431" s="181"/>
      <c r="V431" s="181"/>
      <c r="W431" s="181"/>
      <c r="X431" s="181"/>
      <c r="Y431" s="181"/>
      <c r="Z431" s="181"/>
      <c r="AA431" s="181"/>
      <c r="AB431" s="181"/>
      <c r="AC431" s="181"/>
      <c r="AD431" s="181"/>
      <c r="AE431" s="181"/>
      <c r="AF431" s="181"/>
      <c r="AG431" s="181"/>
      <c r="AH431" s="181"/>
      <c r="AI431" s="181"/>
      <c r="AJ431" s="181"/>
      <c r="AK431" s="181"/>
      <c r="AL431" s="181"/>
    </row>
    <row r="432" spans="1:38" customFormat="1" x14ac:dyDescent="0.25">
      <c r="A432" s="351">
        <v>411</v>
      </c>
      <c r="B432" s="165" t="s">
        <v>183</v>
      </c>
      <c r="C432" s="168"/>
      <c r="D432" s="169"/>
      <c r="E432" s="169"/>
      <c r="F432" s="169"/>
      <c r="G432" s="342"/>
      <c r="H432" s="103"/>
      <c r="I432" s="181"/>
      <c r="J432" s="181"/>
      <c r="K432" s="181"/>
      <c r="L432" s="181"/>
      <c r="M432" s="181"/>
      <c r="N432" s="181"/>
      <c r="O432" s="181"/>
      <c r="P432" s="181"/>
      <c r="Q432" s="181"/>
      <c r="R432" s="181"/>
      <c r="S432" s="181"/>
      <c r="T432" s="181"/>
      <c r="U432" s="181"/>
      <c r="V432" s="181"/>
      <c r="W432" s="181"/>
      <c r="X432" s="181"/>
      <c r="Y432" s="181"/>
      <c r="Z432" s="181"/>
      <c r="AA432" s="181"/>
      <c r="AB432" s="181"/>
      <c r="AC432" s="181"/>
      <c r="AD432" s="181"/>
      <c r="AE432" s="181"/>
      <c r="AF432" s="181"/>
      <c r="AG432" s="181"/>
      <c r="AH432" s="181"/>
      <c r="AI432" s="181"/>
      <c r="AJ432" s="181"/>
      <c r="AK432" s="181"/>
      <c r="AL432" s="181"/>
    </row>
    <row r="433" spans="1:38" customFormat="1" x14ac:dyDescent="0.25">
      <c r="A433" s="351">
        <v>412</v>
      </c>
      <c r="B433" s="165" t="s">
        <v>184</v>
      </c>
      <c r="C433" s="168"/>
      <c r="D433" s="169"/>
      <c r="E433" s="169"/>
      <c r="F433" s="169"/>
      <c r="G433" s="342"/>
      <c r="H433" s="103"/>
      <c r="I433" s="181"/>
      <c r="J433" s="181"/>
      <c r="K433" s="181"/>
      <c r="L433" s="181"/>
      <c r="M433" s="181"/>
      <c r="N433" s="181"/>
      <c r="O433" s="181"/>
      <c r="P433" s="181"/>
      <c r="Q433" s="181"/>
      <c r="R433" s="181"/>
      <c r="S433" s="181"/>
      <c r="T433" s="181"/>
      <c r="U433" s="181"/>
      <c r="V433" s="181"/>
      <c r="W433" s="181"/>
      <c r="X433" s="181"/>
      <c r="Y433" s="181"/>
      <c r="Z433" s="181"/>
      <c r="AA433" s="181"/>
      <c r="AB433" s="181"/>
      <c r="AC433" s="181"/>
      <c r="AD433" s="181"/>
      <c r="AE433" s="181"/>
      <c r="AF433" s="181"/>
      <c r="AG433" s="181"/>
      <c r="AH433" s="181"/>
      <c r="AI433" s="181"/>
      <c r="AJ433" s="181"/>
      <c r="AK433" s="181"/>
      <c r="AL433" s="181"/>
    </row>
    <row r="434" spans="1:38" customFormat="1" x14ac:dyDescent="0.25">
      <c r="A434" s="351">
        <v>413</v>
      </c>
      <c r="B434" s="165" t="s">
        <v>185</v>
      </c>
      <c r="C434" s="168"/>
      <c r="D434" s="170"/>
      <c r="E434" s="170"/>
      <c r="F434" s="170"/>
      <c r="G434" s="343"/>
      <c r="H434" s="103"/>
      <c r="I434" s="181"/>
      <c r="J434" s="181"/>
      <c r="K434" s="181"/>
      <c r="L434" s="181"/>
      <c r="M434" s="181"/>
      <c r="N434" s="181"/>
      <c r="O434" s="181"/>
      <c r="P434" s="181"/>
      <c r="Q434" s="181"/>
      <c r="R434" s="181"/>
      <c r="S434" s="181"/>
      <c r="T434" s="181"/>
      <c r="U434" s="181"/>
      <c r="V434" s="181"/>
      <c r="W434" s="181"/>
      <c r="X434" s="181"/>
      <c r="Y434" s="181"/>
      <c r="Z434" s="181"/>
      <c r="AA434" s="181"/>
      <c r="AB434" s="181"/>
      <c r="AC434" s="181"/>
      <c r="AD434" s="181"/>
      <c r="AE434" s="181"/>
      <c r="AF434" s="181"/>
      <c r="AG434" s="181"/>
      <c r="AH434" s="181"/>
      <c r="AI434" s="181"/>
      <c r="AJ434" s="181"/>
      <c r="AK434" s="181"/>
      <c r="AL434" s="181"/>
    </row>
    <row r="435" spans="1:38" customFormat="1" x14ac:dyDescent="0.25">
      <c r="A435" s="351">
        <v>414</v>
      </c>
      <c r="B435" s="165" t="s">
        <v>186</v>
      </c>
      <c r="C435" s="168"/>
      <c r="D435" s="170"/>
      <c r="E435" s="170"/>
      <c r="F435" s="170"/>
      <c r="G435" s="343"/>
      <c r="H435" s="103"/>
      <c r="I435" s="181"/>
      <c r="J435" s="181"/>
      <c r="K435" s="181"/>
      <c r="L435" s="181"/>
      <c r="M435" s="181"/>
      <c r="N435" s="181"/>
      <c r="O435" s="181"/>
      <c r="P435" s="181"/>
      <c r="Q435" s="181"/>
      <c r="R435" s="181"/>
      <c r="S435" s="181"/>
      <c r="T435" s="181"/>
      <c r="U435" s="181"/>
      <c r="V435" s="181"/>
      <c r="W435" s="181"/>
      <c r="X435" s="181"/>
      <c r="Y435" s="181"/>
      <c r="Z435" s="181"/>
      <c r="AA435" s="181"/>
      <c r="AB435" s="181"/>
      <c r="AC435" s="181"/>
      <c r="AD435" s="181"/>
      <c r="AE435" s="181"/>
      <c r="AF435" s="181"/>
      <c r="AG435" s="181"/>
      <c r="AH435" s="181"/>
      <c r="AI435" s="181"/>
      <c r="AJ435" s="181"/>
      <c r="AK435" s="181"/>
      <c r="AL435" s="181"/>
    </row>
    <row r="436" spans="1:38" customFormat="1" ht="45" x14ac:dyDescent="0.25">
      <c r="A436" s="351">
        <v>415</v>
      </c>
      <c r="B436" s="171" t="s">
        <v>188</v>
      </c>
      <c r="C436" s="109"/>
      <c r="D436" s="109"/>
      <c r="E436" s="109"/>
      <c r="F436" s="109"/>
      <c r="G436" s="335"/>
      <c r="H436" s="103"/>
      <c r="I436" s="181"/>
      <c r="J436" s="181"/>
      <c r="K436" s="181"/>
      <c r="L436" s="181"/>
      <c r="M436" s="181"/>
      <c r="N436" s="181"/>
      <c r="O436" s="181"/>
      <c r="P436" s="181"/>
      <c r="Q436" s="181"/>
      <c r="R436" s="181"/>
      <c r="S436" s="181"/>
      <c r="T436" s="181"/>
      <c r="U436" s="181"/>
      <c r="V436" s="181"/>
      <c r="W436" s="181"/>
      <c r="X436" s="181"/>
      <c r="Y436" s="181"/>
      <c r="Z436" s="181"/>
      <c r="AA436" s="181"/>
      <c r="AB436" s="181"/>
      <c r="AC436" s="181"/>
      <c r="AD436" s="181"/>
      <c r="AE436" s="181"/>
      <c r="AF436" s="181"/>
      <c r="AG436" s="181"/>
      <c r="AH436" s="181"/>
      <c r="AI436" s="181"/>
      <c r="AJ436" s="181"/>
      <c r="AK436" s="181"/>
      <c r="AL436" s="181"/>
    </row>
    <row r="437" spans="1:38" s="181" customFormat="1" x14ac:dyDescent="0.25">
      <c r="A437" s="351">
        <v>416</v>
      </c>
      <c r="B437" s="165" t="s">
        <v>88</v>
      </c>
      <c r="C437" s="163"/>
      <c r="D437" s="166"/>
      <c r="E437" s="166"/>
      <c r="F437" s="166"/>
      <c r="G437" s="341"/>
      <c r="H437" s="103"/>
    </row>
    <row r="438" spans="1:38" s="181" customFormat="1" x14ac:dyDescent="0.25">
      <c r="A438" s="351">
        <v>417</v>
      </c>
      <c r="B438" s="165" t="s">
        <v>189</v>
      </c>
      <c r="C438" s="163"/>
      <c r="D438" s="166"/>
      <c r="E438" s="166"/>
      <c r="F438" s="166"/>
      <c r="G438" s="341"/>
      <c r="H438" s="103"/>
    </row>
    <row r="439" spans="1:38" s="181" customFormat="1" x14ac:dyDescent="0.25">
      <c r="A439" s="351">
        <v>418</v>
      </c>
      <c r="B439" s="165" t="s">
        <v>100</v>
      </c>
      <c r="C439" s="163"/>
      <c r="D439" s="166"/>
      <c r="E439" s="166"/>
      <c r="F439" s="166"/>
      <c r="G439" s="341"/>
      <c r="H439" s="103"/>
    </row>
    <row r="440" spans="1:38" s="181" customFormat="1" x14ac:dyDescent="0.25">
      <c r="A440" s="351">
        <v>419</v>
      </c>
      <c r="B440" s="165" t="s">
        <v>284</v>
      </c>
      <c r="C440" s="163"/>
      <c r="D440" s="166"/>
      <c r="E440" s="166"/>
      <c r="F440" s="166"/>
      <c r="G440" s="341"/>
      <c r="H440" s="103"/>
    </row>
    <row r="441" spans="1:38" s="181" customFormat="1" x14ac:dyDescent="0.25">
      <c r="A441" s="351">
        <v>420</v>
      </c>
      <c r="B441" s="165" t="s">
        <v>190</v>
      </c>
      <c r="C441" s="163"/>
      <c r="D441" s="166"/>
      <c r="E441" s="166"/>
      <c r="F441" s="166"/>
      <c r="G441" s="341"/>
      <c r="H441" s="103"/>
    </row>
    <row r="442" spans="1:38" s="181" customFormat="1" x14ac:dyDescent="0.25">
      <c r="A442" s="351">
        <v>421</v>
      </c>
      <c r="B442" s="162" t="s">
        <v>191</v>
      </c>
      <c r="C442" s="172"/>
      <c r="D442" s="164"/>
      <c r="E442" s="164"/>
      <c r="F442" s="164"/>
      <c r="G442" s="340"/>
      <c r="H442" s="103"/>
    </row>
    <row r="443" spans="1:38" s="181" customFormat="1" x14ac:dyDescent="0.25">
      <c r="A443" s="351">
        <v>422</v>
      </c>
      <c r="B443" s="162" t="s">
        <v>192</v>
      </c>
      <c r="C443" s="172"/>
      <c r="D443" s="164"/>
      <c r="E443" s="164"/>
      <c r="F443" s="164"/>
      <c r="G443" s="340"/>
      <c r="H443" s="103"/>
    </row>
    <row r="444" spans="1:38" s="181" customFormat="1" x14ac:dyDescent="0.25">
      <c r="A444" s="351">
        <v>423</v>
      </c>
      <c r="B444" s="165" t="s">
        <v>78</v>
      </c>
      <c r="C444" s="163"/>
      <c r="D444" s="166"/>
      <c r="E444" s="166"/>
      <c r="F444" s="166"/>
      <c r="G444" s="341"/>
      <c r="H444" s="103"/>
    </row>
    <row r="445" spans="1:38" s="181" customFormat="1" x14ac:dyDescent="0.25">
      <c r="A445" s="351">
        <v>424</v>
      </c>
      <c r="B445" s="162" t="s">
        <v>77</v>
      </c>
      <c r="C445" s="172"/>
      <c r="D445" s="164"/>
      <c r="E445" s="164"/>
      <c r="F445" s="164"/>
      <c r="G445" s="340"/>
      <c r="H445" s="103"/>
    </row>
    <row r="446" spans="1:38" s="181" customFormat="1" x14ac:dyDescent="0.25">
      <c r="A446" s="351">
        <v>425</v>
      </c>
      <c r="B446" s="162" t="s">
        <v>318</v>
      </c>
      <c r="C446" s="172"/>
      <c r="D446" s="164"/>
      <c r="E446" s="164"/>
      <c r="F446" s="164"/>
      <c r="G446" s="340"/>
      <c r="H446" s="103"/>
    </row>
    <row r="447" spans="1:38" s="181" customFormat="1" x14ac:dyDescent="0.25">
      <c r="A447" s="351">
        <v>426</v>
      </c>
      <c r="B447" s="165" t="s">
        <v>193</v>
      </c>
      <c r="C447" s="163"/>
      <c r="D447" s="166"/>
      <c r="E447" s="166"/>
      <c r="F447" s="166"/>
      <c r="G447" s="341"/>
      <c r="H447" s="103"/>
    </row>
    <row r="448" spans="1:38" s="181" customFormat="1" x14ac:dyDescent="0.25">
      <c r="A448" s="351">
        <v>427</v>
      </c>
      <c r="B448" s="165" t="s">
        <v>194</v>
      </c>
      <c r="C448" s="163"/>
      <c r="D448" s="173"/>
      <c r="E448" s="173"/>
      <c r="F448" s="173"/>
      <c r="G448" s="344"/>
      <c r="H448" s="103"/>
    </row>
    <row r="449" spans="1:8" s="1128" customFormat="1" x14ac:dyDescent="0.25">
      <c r="A449" s="351">
        <v>428</v>
      </c>
      <c r="B449" s="396" t="s">
        <v>994</v>
      </c>
      <c r="C449" s="395"/>
      <c r="D449" s="395"/>
      <c r="E449" s="395"/>
      <c r="F449" s="395"/>
      <c r="G449" s="395"/>
      <c r="H449" s="394"/>
    </row>
    <row r="450" spans="1:8" ht="30" x14ac:dyDescent="0.2">
      <c r="A450" s="351">
        <v>429</v>
      </c>
      <c r="B450" s="378" t="s">
        <v>993</v>
      </c>
      <c r="C450" s="369"/>
      <c r="D450" s="369"/>
      <c r="E450" s="369"/>
      <c r="F450" s="369"/>
      <c r="G450" s="369"/>
      <c r="H450" s="103"/>
    </row>
    <row r="451" spans="1:8" x14ac:dyDescent="0.2">
      <c r="A451" s="351">
        <v>430</v>
      </c>
      <c r="B451" s="487" t="s">
        <v>992</v>
      </c>
      <c r="C451" s="335"/>
      <c r="D451" s="335"/>
      <c r="E451" s="335"/>
      <c r="F451" s="335"/>
      <c r="G451" s="335"/>
      <c r="H451" s="103"/>
    </row>
    <row r="452" spans="1:8" s="1128" customFormat="1" x14ac:dyDescent="0.2">
      <c r="A452" s="351">
        <v>431</v>
      </c>
      <c r="B452" s="486" t="s">
        <v>111</v>
      </c>
      <c r="C452" s="334"/>
      <c r="D452" s="334"/>
      <c r="E452" s="334"/>
      <c r="F452" s="334"/>
      <c r="G452" s="334"/>
      <c r="H452" s="103"/>
    </row>
    <row r="453" spans="1:8" x14ac:dyDescent="0.2">
      <c r="A453" s="351">
        <v>432</v>
      </c>
      <c r="B453" s="486" t="s">
        <v>991</v>
      </c>
      <c r="C453" s="334"/>
      <c r="D453" s="334"/>
      <c r="E453" s="334"/>
      <c r="F453" s="334"/>
      <c r="G453" s="334"/>
      <c r="H453" s="103"/>
    </row>
    <row r="454" spans="1:8" s="1128" customFormat="1" ht="30" x14ac:dyDescent="0.2">
      <c r="A454" s="351">
        <v>433</v>
      </c>
      <c r="B454" s="971" t="s">
        <v>990</v>
      </c>
      <c r="C454" s="422"/>
      <c r="D454" s="422"/>
      <c r="E454" s="422"/>
      <c r="F454" s="422"/>
      <c r="G454" s="422"/>
      <c r="H454" s="421"/>
    </row>
    <row r="455" spans="1:8" ht="30" x14ac:dyDescent="0.2">
      <c r="A455" s="351">
        <v>434</v>
      </c>
      <c r="B455" s="485" t="s">
        <v>989</v>
      </c>
      <c r="C455" s="332"/>
      <c r="D455" s="332"/>
      <c r="E455" s="332"/>
      <c r="F455" s="332"/>
      <c r="G455" s="332"/>
      <c r="H455" s="364"/>
    </row>
    <row r="456" spans="1:8" x14ac:dyDescent="0.2">
      <c r="A456" s="351">
        <v>435</v>
      </c>
      <c r="B456" s="485" t="s">
        <v>988</v>
      </c>
      <c r="C456" s="332"/>
      <c r="D456" s="332"/>
      <c r="E456" s="332"/>
      <c r="F456" s="332"/>
      <c r="G456" s="332"/>
      <c r="H456" s="364"/>
    </row>
    <row r="457" spans="1:8" ht="30" x14ac:dyDescent="0.2">
      <c r="A457" s="351">
        <v>436</v>
      </c>
      <c r="B457" s="378" t="s">
        <v>987</v>
      </c>
      <c r="C457" s="332"/>
      <c r="D457" s="332"/>
      <c r="E457" s="332"/>
      <c r="F457" s="332"/>
      <c r="G457" s="332"/>
      <c r="H457" s="364"/>
    </row>
    <row r="458" spans="1:8" ht="30" x14ac:dyDescent="0.2">
      <c r="A458" s="351">
        <v>437</v>
      </c>
      <c r="B458" s="318" t="s">
        <v>986</v>
      </c>
      <c r="C458" s="332"/>
      <c r="D458" s="332"/>
      <c r="E458" s="332"/>
      <c r="F458" s="332"/>
      <c r="G458" s="332"/>
      <c r="H458" s="364"/>
    </row>
    <row r="459" spans="1:8" s="1128" customFormat="1" ht="30" x14ac:dyDescent="0.2">
      <c r="A459" s="351">
        <v>438</v>
      </c>
      <c r="B459" s="318" t="s">
        <v>985</v>
      </c>
      <c r="C459" s="332"/>
      <c r="D459" s="332"/>
      <c r="E459" s="332"/>
      <c r="F459" s="332"/>
      <c r="G459" s="332"/>
      <c r="H459" s="364"/>
    </row>
    <row r="460" spans="1:8" ht="45" x14ac:dyDescent="0.2">
      <c r="A460" s="351">
        <v>439</v>
      </c>
      <c r="B460" s="484" t="s">
        <v>984</v>
      </c>
      <c r="C460" s="332"/>
      <c r="D460" s="332"/>
      <c r="E460" s="332"/>
      <c r="F460" s="332"/>
      <c r="G460" s="332"/>
      <c r="H460" s="364"/>
    </row>
    <row r="461" spans="1:8" ht="33.75" customHeight="1" x14ac:dyDescent="0.2">
      <c r="A461" s="351">
        <v>440</v>
      </c>
      <c r="B461" s="484" t="s">
        <v>983</v>
      </c>
      <c r="C461" s="332"/>
      <c r="D461" s="332"/>
      <c r="E461" s="332"/>
      <c r="F461" s="332"/>
      <c r="G461" s="332"/>
      <c r="H461" s="364"/>
    </row>
    <row r="462" spans="1:8" s="1128" customFormat="1" ht="30" x14ac:dyDescent="0.2">
      <c r="A462" s="351">
        <v>441</v>
      </c>
      <c r="B462" s="521" t="s">
        <v>982</v>
      </c>
      <c r="C462" s="324"/>
      <c r="D462" s="324"/>
      <c r="E462" s="324"/>
      <c r="F462" s="324"/>
      <c r="G462" s="324"/>
      <c r="H462" s="406"/>
    </row>
    <row r="463" spans="1:8" s="1128" customFormat="1" x14ac:dyDescent="0.2">
      <c r="A463" s="351">
        <v>442</v>
      </c>
      <c r="B463" s="521" t="s">
        <v>981</v>
      </c>
      <c r="C463" s="324"/>
      <c r="D463" s="324"/>
      <c r="E463" s="324"/>
      <c r="F463" s="324"/>
      <c r="G463" s="324"/>
      <c r="H463" s="406"/>
    </row>
    <row r="464" spans="1:8" s="1128" customFormat="1" ht="30" x14ac:dyDescent="0.2">
      <c r="A464" s="351">
        <v>443</v>
      </c>
      <c r="B464" s="521" t="s">
        <v>980</v>
      </c>
      <c r="C464" s="324"/>
      <c r="D464" s="324"/>
      <c r="E464" s="324"/>
      <c r="F464" s="324"/>
      <c r="G464" s="324"/>
      <c r="H464" s="406"/>
    </row>
    <row r="465" spans="1:8" s="1128" customFormat="1" x14ac:dyDescent="0.25">
      <c r="A465" s="351">
        <v>444</v>
      </c>
      <c r="B465" s="396" t="s">
        <v>979</v>
      </c>
      <c r="C465" s="395"/>
      <c r="D465" s="395"/>
      <c r="E465" s="395"/>
      <c r="F465" s="395"/>
      <c r="G465" s="395"/>
      <c r="H465" s="394"/>
    </row>
    <row r="466" spans="1:8" s="1128" customFormat="1" x14ac:dyDescent="0.2">
      <c r="A466" s="351">
        <v>445</v>
      </c>
      <c r="B466" s="279" t="s">
        <v>978</v>
      </c>
      <c r="C466" s="363"/>
      <c r="D466" s="363"/>
      <c r="E466" s="363"/>
      <c r="F466" s="363"/>
      <c r="G466" s="363"/>
      <c r="H466" s="362"/>
    </row>
    <row r="467" spans="1:8" ht="30" x14ac:dyDescent="0.25">
      <c r="A467" s="351">
        <v>446</v>
      </c>
      <c r="B467" s="378" t="s">
        <v>977</v>
      </c>
      <c r="C467" s="334"/>
      <c r="D467" s="334"/>
      <c r="E467" s="334"/>
      <c r="F467" s="334"/>
      <c r="G467" s="334"/>
      <c r="H467" s="419"/>
    </row>
    <row r="468" spans="1:8" ht="30" x14ac:dyDescent="0.25">
      <c r="A468" s="351">
        <v>447</v>
      </c>
      <c r="B468" s="378" t="s">
        <v>976</v>
      </c>
      <c r="C468" s="334"/>
      <c r="D468" s="334"/>
      <c r="E468" s="334"/>
      <c r="F468" s="334"/>
      <c r="G468" s="334"/>
      <c r="H468" s="419"/>
    </row>
    <row r="469" spans="1:8" s="1128" customFormat="1" ht="30" x14ac:dyDescent="0.25">
      <c r="A469" s="351">
        <v>448</v>
      </c>
      <c r="B469" s="318" t="s">
        <v>975</v>
      </c>
      <c r="C469" s="332"/>
      <c r="D469" s="332"/>
      <c r="E469" s="332"/>
      <c r="F469" s="332"/>
      <c r="G469" s="332"/>
      <c r="H469" s="375"/>
    </row>
    <row r="470" spans="1:8" s="1128" customFormat="1" x14ac:dyDescent="0.2">
      <c r="A470" s="351">
        <v>449</v>
      </c>
      <c r="B470" s="483" t="s">
        <v>974</v>
      </c>
      <c r="C470" s="482"/>
      <c r="D470" s="482"/>
      <c r="E470" s="482"/>
      <c r="F470" s="482"/>
      <c r="G470" s="482"/>
      <c r="H470" s="481"/>
    </row>
    <row r="471" spans="1:8" s="1128" customFormat="1" x14ac:dyDescent="0.2">
      <c r="A471" s="351">
        <v>450</v>
      </c>
      <c r="B471" s="357" t="s">
        <v>973</v>
      </c>
      <c r="C471" s="332"/>
      <c r="D471" s="332"/>
      <c r="E471" s="332"/>
      <c r="F471" s="332"/>
      <c r="G471" s="332"/>
      <c r="H471" s="381"/>
    </row>
    <row r="472" spans="1:8" ht="30" x14ac:dyDescent="0.2">
      <c r="A472" s="351">
        <v>451</v>
      </c>
      <c r="B472" s="357" t="s">
        <v>972</v>
      </c>
      <c r="C472" s="332"/>
      <c r="D472" s="332"/>
      <c r="E472" s="332"/>
      <c r="F472" s="332"/>
      <c r="G472" s="332"/>
      <c r="H472" s="381"/>
    </row>
    <row r="473" spans="1:8" s="1128" customFormat="1" x14ac:dyDescent="0.2">
      <c r="A473" s="351">
        <v>452</v>
      </c>
      <c r="B473" s="354" t="s">
        <v>971</v>
      </c>
      <c r="C473" s="367"/>
      <c r="D473" s="367"/>
      <c r="E473" s="367"/>
      <c r="F473" s="367"/>
      <c r="G473" s="367"/>
      <c r="H473" s="381"/>
    </row>
    <row r="474" spans="1:8" s="1128" customFormat="1" x14ac:dyDescent="0.2">
      <c r="A474" s="351">
        <v>453</v>
      </c>
      <c r="B474" s="354" t="s">
        <v>970</v>
      </c>
      <c r="C474" s="367"/>
      <c r="D474" s="367"/>
      <c r="E474" s="367"/>
      <c r="F474" s="367"/>
      <c r="G474" s="367"/>
      <c r="H474" s="381"/>
    </row>
    <row r="475" spans="1:8" x14ac:dyDescent="0.2">
      <c r="A475" s="351">
        <v>454</v>
      </c>
      <c r="B475" s="480" t="s">
        <v>969</v>
      </c>
      <c r="C475" s="479"/>
      <c r="D475" s="479"/>
      <c r="E475" s="479"/>
      <c r="F475" s="479"/>
      <c r="G475" s="479"/>
      <c r="H475" s="478"/>
    </row>
    <row r="476" spans="1:8" ht="30" x14ac:dyDescent="0.2">
      <c r="A476" s="351">
        <v>455</v>
      </c>
      <c r="B476" s="354" t="s">
        <v>968</v>
      </c>
      <c r="C476" s="335"/>
      <c r="D476" s="335"/>
      <c r="E476" s="335"/>
      <c r="F476" s="335"/>
      <c r="G476" s="335"/>
      <c r="H476" s="381"/>
    </row>
    <row r="477" spans="1:8" x14ac:dyDescent="0.2">
      <c r="A477" s="351">
        <v>456</v>
      </c>
      <c r="B477" s="477" t="s">
        <v>967</v>
      </c>
      <c r="C477" s="334"/>
      <c r="D477" s="334"/>
      <c r="E477" s="334"/>
      <c r="F477" s="334"/>
      <c r="G477" s="334"/>
      <c r="H477" s="366"/>
    </row>
    <row r="478" spans="1:8" x14ac:dyDescent="0.2">
      <c r="A478" s="351">
        <v>457</v>
      </c>
      <c r="B478" s="376" t="s">
        <v>966</v>
      </c>
      <c r="C478" s="335"/>
      <c r="D478" s="335"/>
      <c r="E478" s="335"/>
      <c r="F478" s="335"/>
      <c r="G478" s="335"/>
      <c r="H478" s="381"/>
    </row>
    <row r="479" spans="1:8" x14ac:dyDescent="0.2">
      <c r="A479" s="351">
        <v>458</v>
      </c>
      <c r="B479" s="418" t="s">
        <v>965</v>
      </c>
      <c r="C479" s="334"/>
      <c r="D479" s="334"/>
      <c r="E479" s="334"/>
      <c r="F479" s="334"/>
      <c r="G479" s="334"/>
      <c r="H479" s="381"/>
    </row>
    <row r="480" spans="1:8" x14ac:dyDescent="0.2">
      <c r="A480" s="351">
        <v>459</v>
      </c>
      <c r="B480" s="418" t="s">
        <v>964</v>
      </c>
      <c r="C480" s="334"/>
      <c r="D480" s="334"/>
      <c r="E480" s="334"/>
      <c r="F480" s="334"/>
      <c r="G480" s="334"/>
      <c r="H480" s="381"/>
    </row>
    <row r="481" spans="1:8" x14ac:dyDescent="0.2">
      <c r="A481" s="351">
        <v>460</v>
      </c>
      <c r="B481" s="418" t="s">
        <v>963</v>
      </c>
      <c r="C481" s="334"/>
      <c r="D481" s="334"/>
      <c r="E481" s="334"/>
      <c r="F481" s="334"/>
      <c r="G481" s="334"/>
      <c r="H481" s="381"/>
    </row>
    <row r="482" spans="1:8" s="1128" customFormat="1" x14ac:dyDescent="0.2">
      <c r="A482" s="351">
        <v>461</v>
      </c>
      <c r="B482" s="476" t="s">
        <v>962</v>
      </c>
      <c r="C482" s="332"/>
      <c r="D482" s="332"/>
      <c r="E482" s="332"/>
      <c r="F482" s="332"/>
      <c r="G482" s="332"/>
      <c r="H482" s="381"/>
    </row>
    <row r="483" spans="1:8" x14ac:dyDescent="0.2">
      <c r="A483" s="351">
        <v>462</v>
      </c>
      <c r="B483" s="418" t="s">
        <v>961</v>
      </c>
      <c r="C483" s="334"/>
      <c r="D483" s="334"/>
      <c r="E483" s="334"/>
      <c r="F483" s="334"/>
      <c r="G483" s="334"/>
      <c r="H483" s="381"/>
    </row>
    <row r="484" spans="1:8" x14ac:dyDescent="0.2">
      <c r="A484" s="351">
        <v>463</v>
      </c>
      <c r="B484" s="418" t="s">
        <v>960</v>
      </c>
      <c r="C484" s="334"/>
      <c r="D484" s="334"/>
      <c r="E484" s="334"/>
      <c r="F484" s="334"/>
      <c r="G484" s="334"/>
      <c r="H484" s="381"/>
    </row>
    <row r="485" spans="1:8" x14ac:dyDescent="0.2">
      <c r="A485" s="351">
        <v>464</v>
      </c>
      <c r="B485" s="476" t="s">
        <v>959</v>
      </c>
      <c r="C485" s="332"/>
      <c r="D485" s="332"/>
      <c r="E485" s="332"/>
      <c r="F485" s="332"/>
      <c r="G485" s="332"/>
      <c r="H485" s="381"/>
    </row>
    <row r="486" spans="1:8" x14ac:dyDescent="0.2">
      <c r="A486" s="351">
        <v>465</v>
      </c>
      <c r="B486" s="428" t="s">
        <v>958</v>
      </c>
      <c r="C486" s="368"/>
      <c r="D486" s="368"/>
      <c r="E486" s="368"/>
      <c r="F486" s="368"/>
      <c r="G486" s="368"/>
      <c r="H486" s="460"/>
    </row>
    <row r="487" spans="1:8" s="1128" customFormat="1" x14ac:dyDescent="0.2">
      <c r="A487" s="351">
        <v>466</v>
      </c>
      <c r="B487" s="382" t="s">
        <v>957</v>
      </c>
      <c r="C487" s="332"/>
      <c r="D487" s="332"/>
      <c r="E487" s="332"/>
      <c r="F487" s="332"/>
      <c r="G487" s="332"/>
      <c r="H487" s="364"/>
    </row>
    <row r="488" spans="1:8" ht="30" x14ac:dyDescent="0.2">
      <c r="A488" s="351">
        <v>467</v>
      </c>
      <c r="B488" s="382" t="s">
        <v>956</v>
      </c>
      <c r="C488" s="368"/>
      <c r="D488" s="368"/>
      <c r="E488" s="368"/>
      <c r="F488" s="368"/>
      <c r="G488" s="368"/>
      <c r="H488" s="364"/>
    </row>
    <row r="489" spans="1:8" x14ac:dyDescent="0.2">
      <c r="A489" s="351">
        <v>468</v>
      </c>
      <c r="B489" s="428" t="s">
        <v>302</v>
      </c>
      <c r="C489" s="368"/>
      <c r="D489" s="368"/>
      <c r="E489" s="368"/>
      <c r="F489" s="368"/>
      <c r="G489" s="368"/>
      <c r="H489" s="364"/>
    </row>
    <row r="490" spans="1:8" x14ac:dyDescent="0.2">
      <c r="A490" s="351">
        <v>469</v>
      </c>
      <c r="B490" s="382" t="s">
        <v>955</v>
      </c>
      <c r="C490" s="332"/>
      <c r="D490" s="332"/>
      <c r="E490" s="332"/>
      <c r="F490" s="332"/>
      <c r="G490" s="332"/>
      <c r="H490" s="364"/>
    </row>
    <row r="491" spans="1:8" x14ac:dyDescent="0.2">
      <c r="A491" s="351">
        <v>470</v>
      </c>
      <c r="B491" s="382" t="s">
        <v>954</v>
      </c>
      <c r="C491" s="332"/>
      <c r="D491" s="332"/>
      <c r="E491" s="332"/>
      <c r="F491" s="332"/>
      <c r="G491" s="332"/>
      <c r="H491" s="364"/>
    </row>
    <row r="492" spans="1:8" x14ac:dyDescent="0.2">
      <c r="A492" s="351">
        <v>471</v>
      </c>
      <c r="B492" s="382" t="s">
        <v>953</v>
      </c>
      <c r="C492" s="332"/>
      <c r="D492" s="332"/>
      <c r="E492" s="332"/>
      <c r="F492" s="332"/>
      <c r="G492" s="332"/>
      <c r="H492" s="364"/>
    </row>
    <row r="493" spans="1:8" s="1128" customFormat="1" x14ac:dyDescent="0.2">
      <c r="A493" s="351">
        <v>472</v>
      </c>
      <c r="B493" s="382" t="s">
        <v>952</v>
      </c>
      <c r="C493" s="332"/>
      <c r="D493" s="332"/>
      <c r="E493" s="332"/>
      <c r="F493" s="332"/>
      <c r="G493" s="332"/>
      <c r="H493" s="364"/>
    </row>
    <row r="494" spans="1:8" s="1128" customFormat="1" x14ac:dyDescent="0.2">
      <c r="A494" s="351">
        <v>473</v>
      </c>
      <c r="B494" s="382" t="s">
        <v>951</v>
      </c>
      <c r="C494" s="332"/>
      <c r="D494" s="332"/>
      <c r="E494" s="332"/>
      <c r="F494" s="332"/>
      <c r="G494" s="332"/>
      <c r="H494" s="364"/>
    </row>
    <row r="495" spans="1:8" s="1128" customFormat="1" x14ac:dyDescent="0.2">
      <c r="A495" s="351">
        <v>474</v>
      </c>
      <c r="B495" s="382" t="s">
        <v>950</v>
      </c>
      <c r="C495" s="332"/>
      <c r="D495" s="332"/>
      <c r="E495" s="332"/>
      <c r="F495" s="332"/>
      <c r="G495" s="332"/>
      <c r="H495" s="364"/>
    </row>
    <row r="496" spans="1:8" s="1128" customFormat="1" x14ac:dyDescent="0.2">
      <c r="A496" s="351">
        <v>475</v>
      </c>
      <c r="B496" s="382" t="s">
        <v>949</v>
      </c>
      <c r="C496" s="332"/>
      <c r="D496" s="332"/>
      <c r="E496" s="332"/>
      <c r="F496" s="332"/>
      <c r="G496" s="332"/>
      <c r="H496" s="364"/>
    </row>
    <row r="497" spans="1:8" s="1128" customFormat="1" ht="45" x14ac:dyDescent="0.2">
      <c r="A497" s="351">
        <v>476</v>
      </c>
      <c r="B497" s="318" t="s">
        <v>948</v>
      </c>
      <c r="C497" s="385"/>
      <c r="D497" s="399"/>
      <c r="E497" s="399"/>
      <c r="F497" s="399"/>
      <c r="G497" s="399"/>
      <c r="H497" s="381"/>
    </row>
    <row r="498" spans="1:8" s="1128" customFormat="1" ht="45" x14ac:dyDescent="0.2">
      <c r="A498" s="351">
        <v>477</v>
      </c>
      <c r="B498" s="318" t="s">
        <v>947</v>
      </c>
      <c r="C498" s="385"/>
      <c r="D498" s="399"/>
      <c r="E498" s="399"/>
      <c r="F498" s="399"/>
      <c r="G498" s="399"/>
      <c r="H498" s="381"/>
    </row>
    <row r="499" spans="1:8" s="1128" customFormat="1" ht="45" x14ac:dyDescent="0.25">
      <c r="A499" s="351">
        <v>478</v>
      </c>
      <c r="B499" s="337" t="s">
        <v>946</v>
      </c>
      <c r="C499" s="332"/>
      <c r="D499" s="332"/>
      <c r="E499" s="332"/>
      <c r="F499" s="332"/>
      <c r="G499" s="332"/>
      <c r="H499" s="375"/>
    </row>
    <row r="500" spans="1:8" s="1128" customFormat="1" ht="45" x14ac:dyDescent="0.25">
      <c r="A500" s="351">
        <v>479</v>
      </c>
      <c r="B500" s="337" t="s">
        <v>945</v>
      </c>
      <c r="C500" s="332"/>
      <c r="D500" s="332"/>
      <c r="E500" s="332"/>
      <c r="F500" s="332"/>
      <c r="G500" s="332"/>
      <c r="H500" s="375"/>
    </row>
    <row r="501" spans="1:8" s="1128" customFormat="1" ht="30" x14ac:dyDescent="0.25">
      <c r="A501" s="351">
        <v>480</v>
      </c>
      <c r="B501" s="475" t="s">
        <v>944</v>
      </c>
      <c r="C501" s="288"/>
      <c r="D501" s="288"/>
      <c r="E501" s="288"/>
      <c r="F501" s="288"/>
      <c r="G501" s="288"/>
      <c r="H501" s="474"/>
    </row>
    <row r="502" spans="1:8" s="1128" customFormat="1" ht="45" x14ac:dyDescent="0.25">
      <c r="A502" s="351">
        <v>481</v>
      </c>
      <c r="B502" s="378" t="s">
        <v>943</v>
      </c>
      <c r="C502" s="367"/>
      <c r="D502" s="367"/>
      <c r="E502" s="367"/>
      <c r="F502" s="367"/>
      <c r="G502" s="367"/>
      <c r="H502" s="435"/>
    </row>
    <row r="503" spans="1:8" s="1128" customFormat="1" ht="45" x14ac:dyDescent="0.25">
      <c r="A503" s="351">
        <v>482</v>
      </c>
      <c r="B503" s="972" t="s">
        <v>942</v>
      </c>
      <c r="C503" s="332"/>
      <c r="D503" s="332"/>
      <c r="E503" s="332"/>
      <c r="F503" s="332"/>
      <c r="G503" s="332"/>
      <c r="H503" s="375"/>
    </row>
    <row r="504" spans="1:8" s="1128" customFormat="1" x14ac:dyDescent="0.2">
      <c r="A504" s="351">
        <v>483</v>
      </c>
      <c r="B504" s="473" t="s">
        <v>941</v>
      </c>
      <c r="C504" s="472"/>
      <c r="D504" s="472"/>
      <c r="E504" s="472"/>
      <c r="F504" s="472"/>
      <c r="G504" s="472"/>
      <c r="H504" s="471"/>
    </row>
    <row r="505" spans="1:8" s="1128" customFormat="1" x14ac:dyDescent="0.2">
      <c r="A505" s="351">
        <v>484</v>
      </c>
      <c r="B505" s="470" t="s">
        <v>940</v>
      </c>
      <c r="C505" s="335"/>
      <c r="D505" s="335"/>
      <c r="E505" s="335"/>
      <c r="F505" s="335"/>
      <c r="G505" s="335"/>
      <c r="H505" s="381"/>
    </row>
    <row r="506" spans="1:8" x14ac:dyDescent="0.2">
      <c r="A506" s="351">
        <v>485</v>
      </c>
      <c r="B506" s="469" t="s">
        <v>939</v>
      </c>
      <c r="C506" s="334"/>
      <c r="D506" s="334"/>
      <c r="E506" s="334"/>
      <c r="F506" s="334"/>
      <c r="G506" s="334"/>
      <c r="H506" s="381"/>
    </row>
    <row r="507" spans="1:8" x14ac:dyDescent="0.2">
      <c r="A507" s="351">
        <v>486</v>
      </c>
      <c r="B507" s="469" t="s">
        <v>938</v>
      </c>
      <c r="C507" s="334"/>
      <c r="D507" s="334"/>
      <c r="E507" s="334"/>
      <c r="F507" s="334"/>
      <c r="G507" s="334"/>
      <c r="H507" s="381"/>
    </row>
    <row r="508" spans="1:8" x14ac:dyDescent="0.2">
      <c r="A508" s="351">
        <v>487</v>
      </c>
      <c r="B508" s="468" t="s">
        <v>937</v>
      </c>
      <c r="C508" s="332"/>
      <c r="D508" s="332"/>
      <c r="E508" s="332"/>
      <c r="F508" s="332"/>
      <c r="G508" s="332"/>
      <c r="H508" s="381"/>
    </row>
    <row r="509" spans="1:8" s="1128" customFormat="1" ht="30" x14ac:dyDescent="0.25">
      <c r="A509" s="351">
        <v>488</v>
      </c>
      <c r="B509" s="430" t="s">
        <v>936</v>
      </c>
      <c r="C509" s="335"/>
      <c r="D509" s="335"/>
      <c r="E509" s="335"/>
      <c r="F509" s="335"/>
      <c r="G509" s="335"/>
      <c r="H509" s="381"/>
    </row>
    <row r="510" spans="1:8" x14ac:dyDescent="0.25">
      <c r="A510" s="351">
        <v>489</v>
      </c>
      <c r="B510" s="433" t="s">
        <v>935</v>
      </c>
      <c r="C510" s="334"/>
      <c r="D510" s="334"/>
      <c r="E510" s="334"/>
      <c r="F510" s="334"/>
      <c r="G510" s="334"/>
      <c r="H510" s="381"/>
    </row>
    <row r="511" spans="1:8" x14ac:dyDescent="0.25">
      <c r="A511" s="351">
        <v>490</v>
      </c>
      <c r="B511" s="433" t="s">
        <v>934</v>
      </c>
      <c r="C511" s="334"/>
      <c r="D511" s="334"/>
      <c r="E511" s="334"/>
      <c r="F511" s="334"/>
      <c r="G511" s="334"/>
      <c r="H511" s="381"/>
    </row>
    <row r="512" spans="1:8" x14ac:dyDescent="0.25">
      <c r="A512" s="351">
        <v>491</v>
      </c>
      <c r="B512" s="433" t="s">
        <v>933</v>
      </c>
      <c r="C512" s="334"/>
      <c r="D512" s="334"/>
      <c r="E512" s="334"/>
      <c r="F512" s="334"/>
      <c r="G512" s="334"/>
      <c r="H512" s="381"/>
    </row>
    <row r="513" spans="1:8" x14ac:dyDescent="0.2">
      <c r="A513" s="351">
        <v>492</v>
      </c>
      <c r="B513" s="467" t="s">
        <v>932</v>
      </c>
      <c r="C513" s="466"/>
      <c r="D513" s="466"/>
      <c r="E513" s="466"/>
      <c r="F513" s="466"/>
      <c r="G513" s="466"/>
      <c r="H513" s="465"/>
    </row>
    <row r="514" spans="1:8" ht="30" x14ac:dyDescent="0.2">
      <c r="A514" s="351">
        <v>493</v>
      </c>
      <c r="B514" s="318" t="s">
        <v>931</v>
      </c>
      <c r="C514" s="335"/>
      <c r="D514" s="335"/>
      <c r="E514" s="335"/>
      <c r="F514" s="335"/>
      <c r="G514" s="335"/>
      <c r="H514" s="381"/>
    </row>
    <row r="515" spans="1:8" x14ac:dyDescent="0.2">
      <c r="A515" s="351">
        <v>494</v>
      </c>
      <c r="B515" s="376" t="s">
        <v>930</v>
      </c>
      <c r="C515" s="334"/>
      <c r="D515" s="334"/>
      <c r="E515" s="334"/>
      <c r="F515" s="334"/>
      <c r="G515" s="334"/>
      <c r="H515" s="381"/>
    </row>
    <row r="516" spans="1:8" x14ac:dyDescent="0.2">
      <c r="A516" s="351">
        <v>495</v>
      </c>
      <c r="B516" s="376" t="s">
        <v>929</v>
      </c>
      <c r="C516" s="334"/>
      <c r="D516" s="334"/>
      <c r="E516" s="334"/>
      <c r="F516" s="334"/>
      <c r="G516" s="334"/>
      <c r="H516" s="381"/>
    </row>
    <row r="517" spans="1:8" x14ac:dyDescent="0.2">
      <c r="A517" s="351">
        <v>496</v>
      </c>
      <c r="B517" s="382" t="s">
        <v>928</v>
      </c>
      <c r="C517" s="368"/>
      <c r="D517" s="368"/>
      <c r="E517" s="368"/>
      <c r="F517" s="368"/>
      <c r="G517" s="368"/>
      <c r="H517" s="381"/>
    </row>
    <row r="518" spans="1:8" s="1128" customFormat="1" ht="30" x14ac:dyDescent="0.2">
      <c r="A518" s="351">
        <v>497</v>
      </c>
      <c r="B518" s="381" t="s">
        <v>927</v>
      </c>
      <c r="C518" s="332"/>
      <c r="D518" s="332"/>
      <c r="E518" s="332"/>
      <c r="F518" s="332"/>
      <c r="G518" s="332"/>
      <c r="H518" s="381"/>
    </row>
    <row r="519" spans="1:8" s="1128" customFormat="1" x14ac:dyDescent="0.2">
      <c r="A519" s="351">
        <v>498</v>
      </c>
      <c r="B519" s="381" t="s">
        <v>926</v>
      </c>
      <c r="C519" s="332"/>
      <c r="D519" s="332"/>
      <c r="E519" s="332"/>
      <c r="F519" s="332"/>
      <c r="G519" s="332"/>
      <c r="H519" s="381"/>
    </row>
    <row r="520" spans="1:8" s="1128" customFormat="1" x14ac:dyDescent="0.2">
      <c r="A520" s="351">
        <v>499</v>
      </c>
      <c r="B520" s="381" t="s">
        <v>925</v>
      </c>
      <c r="C520" s="332"/>
      <c r="D520" s="332"/>
      <c r="E520" s="332"/>
      <c r="F520" s="332"/>
      <c r="G520" s="332"/>
      <c r="H520" s="381"/>
    </row>
    <row r="521" spans="1:8" s="1128" customFormat="1" x14ac:dyDescent="0.2">
      <c r="A521" s="351">
        <v>500</v>
      </c>
      <c r="B521" s="381" t="s">
        <v>924</v>
      </c>
      <c r="C521" s="332"/>
      <c r="D521" s="332"/>
      <c r="E521" s="332"/>
      <c r="F521" s="332"/>
      <c r="G521" s="332"/>
      <c r="H521" s="381"/>
    </row>
    <row r="522" spans="1:8" s="1128" customFormat="1" x14ac:dyDescent="0.2">
      <c r="A522" s="351">
        <v>501</v>
      </c>
      <c r="B522" s="378" t="s">
        <v>923</v>
      </c>
      <c r="C522" s="335"/>
      <c r="D522" s="335"/>
      <c r="E522" s="335"/>
      <c r="F522" s="335"/>
      <c r="G522" s="335"/>
      <c r="H522" s="381"/>
    </row>
    <row r="523" spans="1:8" x14ac:dyDescent="0.2">
      <c r="A523" s="351">
        <v>502</v>
      </c>
      <c r="B523" s="376" t="s">
        <v>922</v>
      </c>
      <c r="C523" s="334"/>
      <c r="D523" s="334"/>
      <c r="E523" s="334"/>
      <c r="F523" s="334"/>
      <c r="G523" s="334"/>
      <c r="H523" s="381"/>
    </row>
    <row r="524" spans="1:8" ht="30" x14ac:dyDescent="0.2">
      <c r="A524" s="351">
        <v>503</v>
      </c>
      <c r="B524" s="376" t="s">
        <v>921</v>
      </c>
      <c r="C524" s="334"/>
      <c r="D524" s="334"/>
      <c r="E524" s="334"/>
      <c r="F524" s="334"/>
      <c r="G524" s="334"/>
      <c r="H524" s="381"/>
    </row>
    <row r="525" spans="1:8" x14ac:dyDescent="0.2">
      <c r="A525" s="351">
        <v>504</v>
      </c>
      <c r="B525" s="376" t="s">
        <v>920</v>
      </c>
      <c r="C525" s="334"/>
      <c r="D525" s="334"/>
      <c r="E525" s="334"/>
      <c r="F525" s="334"/>
      <c r="G525" s="334"/>
      <c r="H525" s="381"/>
    </row>
    <row r="526" spans="1:8" ht="30" x14ac:dyDescent="0.2">
      <c r="A526" s="351">
        <v>505</v>
      </c>
      <c r="B526" s="378" t="s">
        <v>919</v>
      </c>
      <c r="C526" s="334"/>
      <c r="D526" s="334"/>
      <c r="E526" s="334"/>
      <c r="F526" s="334"/>
      <c r="G526" s="334"/>
      <c r="H526" s="381"/>
    </row>
    <row r="527" spans="1:8" ht="30" x14ac:dyDescent="0.2">
      <c r="A527" s="351">
        <v>506</v>
      </c>
      <c r="B527" s="354" t="s">
        <v>918</v>
      </c>
      <c r="C527" s="335"/>
      <c r="D527" s="335"/>
      <c r="E527" s="335"/>
      <c r="F527" s="335"/>
      <c r="G527" s="335"/>
      <c r="H527" s="381"/>
    </row>
    <row r="528" spans="1:8" x14ac:dyDescent="0.25">
      <c r="A528" s="351">
        <v>507</v>
      </c>
      <c r="B528" s="376" t="s">
        <v>917</v>
      </c>
      <c r="C528" s="367"/>
      <c r="D528" s="367"/>
      <c r="E528" s="367"/>
      <c r="F528" s="367"/>
      <c r="G528" s="367"/>
      <c r="H528" s="435"/>
    </row>
    <row r="529" spans="1:8" x14ac:dyDescent="0.25">
      <c r="A529" s="351">
        <v>508</v>
      </c>
      <c r="B529" s="376" t="s">
        <v>916</v>
      </c>
      <c r="C529" s="334"/>
      <c r="D529" s="451"/>
      <c r="E529" s="451"/>
      <c r="F529" s="451"/>
      <c r="G529" s="451"/>
      <c r="H529" s="419"/>
    </row>
    <row r="530" spans="1:8" x14ac:dyDescent="0.25">
      <c r="A530" s="351">
        <v>509</v>
      </c>
      <c r="B530" s="376" t="s">
        <v>915</v>
      </c>
      <c r="C530" s="334"/>
      <c r="D530" s="451"/>
      <c r="E530" s="451"/>
      <c r="F530" s="451"/>
      <c r="G530" s="451"/>
      <c r="H530" s="419"/>
    </row>
    <row r="531" spans="1:8" x14ac:dyDescent="0.25">
      <c r="A531" s="351">
        <v>510</v>
      </c>
      <c r="B531" s="376" t="s">
        <v>914</v>
      </c>
      <c r="C531" s="367"/>
      <c r="D531" s="367"/>
      <c r="E531" s="367"/>
      <c r="F531" s="367"/>
      <c r="G531" s="367"/>
      <c r="H531" s="435"/>
    </row>
    <row r="532" spans="1:8" x14ac:dyDescent="0.25">
      <c r="A532" s="351">
        <v>511</v>
      </c>
      <c r="B532" s="376" t="s">
        <v>913</v>
      </c>
      <c r="C532" s="367"/>
      <c r="D532" s="367"/>
      <c r="E532" s="367"/>
      <c r="F532" s="367"/>
      <c r="G532" s="367"/>
      <c r="H532" s="435"/>
    </row>
    <row r="533" spans="1:8" s="1128" customFormat="1" x14ac:dyDescent="0.25">
      <c r="A533" s="351">
        <v>512</v>
      </c>
      <c r="B533" s="382" t="s">
        <v>912</v>
      </c>
      <c r="C533" s="332"/>
      <c r="D533" s="332"/>
      <c r="E533" s="332"/>
      <c r="F533" s="332"/>
      <c r="G533" s="332"/>
      <c r="H533" s="375"/>
    </row>
    <row r="534" spans="1:8" ht="25.5" customHeight="1" x14ac:dyDescent="0.25">
      <c r="A534" s="351">
        <v>513</v>
      </c>
      <c r="B534" s="376" t="s">
        <v>911</v>
      </c>
      <c r="C534" s="367"/>
      <c r="D534" s="367"/>
      <c r="E534" s="367"/>
      <c r="F534" s="367"/>
      <c r="G534" s="367"/>
      <c r="H534" s="435"/>
    </row>
    <row r="535" spans="1:8" x14ac:dyDescent="0.25">
      <c r="A535" s="351">
        <v>514</v>
      </c>
      <c r="B535" s="376" t="s">
        <v>910</v>
      </c>
      <c r="C535" s="367"/>
      <c r="D535" s="367"/>
      <c r="E535" s="367"/>
      <c r="F535" s="367"/>
      <c r="G535" s="367"/>
      <c r="H535" s="435"/>
    </row>
    <row r="536" spans="1:8" ht="30" x14ac:dyDescent="0.25">
      <c r="A536" s="351">
        <v>515</v>
      </c>
      <c r="B536" s="354" t="s">
        <v>909</v>
      </c>
      <c r="C536" s="367"/>
      <c r="D536" s="367"/>
      <c r="E536" s="367"/>
      <c r="F536" s="367"/>
      <c r="G536" s="367"/>
      <c r="H536" s="435"/>
    </row>
    <row r="537" spans="1:8" ht="45" x14ac:dyDescent="0.25">
      <c r="A537" s="351">
        <v>516</v>
      </c>
      <c r="B537" s="354" t="s">
        <v>908</v>
      </c>
      <c r="C537" s="367"/>
      <c r="D537" s="367"/>
      <c r="E537" s="367"/>
      <c r="F537" s="367"/>
      <c r="G537" s="367"/>
      <c r="H537" s="435"/>
    </row>
    <row r="538" spans="1:8" ht="30" x14ac:dyDescent="0.25">
      <c r="A538" s="351">
        <v>517</v>
      </c>
      <c r="B538" s="402" t="s">
        <v>907</v>
      </c>
      <c r="C538" s="367"/>
      <c r="D538" s="367"/>
      <c r="E538" s="367"/>
      <c r="F538" s="367"/>
      <c r="G538" s="367"/>
      <c r="H538" s="435"/>
    </row>
    <row r="539" spans="1:8" ht="30" x14ac:dyDescent="0.25">
      <c r="A539" s="351">
        <v>518</v>
      </c>
      <c r="B539" s="354" t="s">
        <v>906</v>
      </c>
      <c r="C539" s="335"/>
      <c r="D539" s="335"/>
      <c r="E539" s="335"/>
      <c r="F539" s="335"/>
      <c r="G539" s="335"/>
      <c r="H539" s="435"/>
    </row>
    <row r="540" spans="1:8" x14ac:dyDescent="0.25">
      <c r="A540" s="351">
        <v>519</v>
      </c>
      <c r="B540" s="376" t="s">
        <v>905</v>
      </c>
      <c r="C540" s="367"/>
      <c r="D540" s="367"/>
      <c r="E540" s="367"/>
      <c r="F540" s="367"/>
      <c r="G540" s="367"/>
      <c r="H540" s="435"/>
    </row>
    <row r="541" spans="1:8" x14ac:dyDescent="0.25">
      <c r="A541" s="351">
        <v>520</v>
      </c>
      <c r="B541" s="376" t="s">
        <v>814</v>
      </c>
      <c r="C541" s="367"/>
      <c r="D541" s="367"/>
      <c r="E541" s="367"/>
      <c r="F541" s="367"/>
      <c r="G541" s="367"/>
      <c r="H541" s="435"/>
    </row>
    <row r="542" spans="1:8" x14ac:dyDescent="0.25">
      <c r="A542" s="351">
        <v>521</v>
      </c>
      <c r="B542" s="376" t="s">
        <v>904</v>
      </c>
      <c r="C542" s="367"/>
      <c r="D542" s="367"/>
      <c r="E542" s="367"/>
      <c r="F542" s="367"/>
      <c r="G542" s="367"/>
      <c r="H542" s="435"/>
    </row>
    <row r="543" spans="1:8" ht="60" x14ac:dyDescent="0.25">
      <c r="A543" s="351">
        <v>522</v>
      </c>
      <c r="B543" s="378" t="s">
        <v>903</v>
      </c>
      <c r="C543" s="334"/>
      <c r="D543" s="334"/>
      <c r="E543" s="334"/>
      <c r="F543" s="334"/>
      <c r="G543" s="334"/>
      <c r="H543" s="435"/>
    </row>
    <row r="544" spans="1:8" ht="30" x14ac:dyDescent="0.25">
      <c r="A544" s="351">
        <v>523</v>
      </c>
      <c r="B544" s="378" t="s">
        <v>902</v>
      </c>
      <c r="C544" s="334"/>
      <c r="D544" s="334"/>
      <c r="E544" s="334"/>
      <c r="F544" s="334"/>
      <c r="G544" s="334"/>
      <c r="H544" s="419"/>
    </row>
    <row r="545" spans="1:8" s="1128" customFormat="1" x14ac:dyDescent="0.25">
      <c r="A545" s="351">
        <v>524</v>
      </c>
      <c r="B545" s="318" t="s">
        <v>901</v>
      </c>
      <c r="C545" s="332"/>
      <c r="D545" s="332"/>
      <c r="E545" s="332"/>
      <c r="F545" s="332"/>
      <c r="G545" s="332"/>
      <c r="H545" s="375"/>
    </row>
    <row r="546" spans="1:8" ht="30" x14ac:dyDescent="0.25">
      <c r="A546" s="351">
        <v>525</v>
      </c>
      <c r="B546" s="318" t="s">
        <v>900</v>
      </c>
      <c r="C546" s="385"/>
      <c r="D546" s="399"/>
      <c r="E546" s="399"/>
      <c r="F546" s="399"/>
      <c r="G546" s="399"/>
      <c r="H546" s="375"/>
    </row>
    <row r="547" spans="1:8" x14ac:dyDescent="0.2">
      <c r="A547" s="351">
        <v>526</v>
      </c>
      <c r="B547" s="279" t="s">
        <v>421</v>
      </c>
      <c r="C547" s="363"/>
      <c r="D547" s="363"/>
      <c r="E547" s="363"/>
      <c r="F547" s="363"/>
      <c r="G547" s="363"/>
      <c r="H547" s="362"/>
    </row>
    <row r="548" spans="1:8" ht="45" x14ac:dyDescent="0.2">
      <c r="A548" s="351">
        <v>527</v>
      </c>
      <c r="B548" s="318" t="s">
        <v>899</v>
      </c>
      <c r="C548" s="332"/>
      <c r="D548" s="332"/>
      <c r="E548" s="332"/>
      <c r="F548" s="332"/>
      <c r="G548" s="332"/>
      <c r="H548" s="364"/>
    </row>
    <row r="549" spans="1:8" s="1128" customFormat="1" x14ac:dyDescent="0.2">
      <c r="A549" s="351">
        <v>528</v>
      </c>
      <c r="B549" s="318" t="s">
        <v>898</v>
      </c>
      <c r="C549" s="332"/>
      <c r="D549" s="332"/>
      <c r="E549" s="332"/>
      <c r="F549" s="332"/>
      <c r="G549" s="332"/>
      <c r="H549" s="364"/>
    </row>
    <row r="550" spans="1:8" s="1128" customFormat="1" ht="30" x14ac:dyDescent="0.2">
      <c r="A550" s="351">
        <v>529</v>
      </c>
      <c r="B550" s="318" t="s">
        <v>897</v>
      </c>
      <c r="C550" s="332"/>
      <c r="D550" s="332"/>
      <c r="E550" s="332"/>
      <c r="F550" s="332"/>
      <c r="G550" s="332"/>
      <c r="H550" s="364"/>
    </row>
    <row r="551" spans="1:8" s="1128" customFormat="1" ht="30" x14ac:dyDescent="0.2">
      <c r="A551" s="351">
        <v>530</v>
      </c>
      <c r="B551" s="318" t="s">
        <v>896</v>
      </c>
      <c r="C551" s="332"/>
      <c r="D551" s="332"/>
      <c r="E551" s="332"/>
      <c r="F551" s="332"/>
      <c r="G551" s="332"/>
      <c r="H551" s="364"/>
    </row>
    <row r="552" spans="1:8" s="1128" customFormat="1" x14ac:dyDescent="0.2">
      <c r="A552" s="351">
        <v>531</v>
      </c>
      <c r="B552" s="378" t="s">
        <v>895</v>
      </c>
      <c r="C552" s="334"/>
      <c r="D552" s="334"/>
      <c r="E552" s="334"/>
      <c r="F552" s="334"/>
      <c r="G552" s="334"/>
      <c r="H552" s="364"/>
    </row>
    <row r="553" spans="1:8" s="1128" customFormat="1" x14ac:dyDescent="0.2">
      <c r="A553" s="351">
        <v>532</v>
      </c>
      <c r="B553" s="318" t="s">
        <v>894</v>
      </c>
      <c r="C553" s="332"/>
      <c r="D553" s="332"/>
      <c r="E553" s="332"/>
      <c r="F553" s="332"/>
      <c r="G553" s="332"/>
      <c r="H553" s="364"/>
    </row>
    <row r="554" spans="1:8" x14ac:dyDescent="0.2">
      <c r="A554" s="351">
        <v>533</v>
      </c>
      <c r="B554" s="464" t="s">
        <v>893</v>
      </c>
      <c r="C554" s="335"/>
      <c r="D554" s="335"/>
      <c r="E554" s="335"/>
      <c r="F554" s="335"/>
      <c r="G554" s="335"/>
      <c r="H554" s="364"/>
    </row>
    <row r="555" spans="1:8" x14ac:dyDescent="0.25">
      <c r="A555" s="351">
        <v>534</v>
      </c>
      <c r="B555" s="443" t="s">
        <v>144</v>
      </c>
      <c r="C555" s="332"/>
      <c r="D555" s="332"/>
      <c r="E555" s="332"/>
      <c r="F555" s="332"/>
      <c r="G555" s="332"/>
      <c r="H555" s="364"/>
    </row>
    <row r="556" spans="1:8" s="1128" customFormat="1" x14ac:dyDescent="0.25">
      <c r="A556" s="351">
        <v>535</v>
      </c>
      <c r="B556" s="463" t="s">
        <v>143</v>
      </c>
      <c r="C556" s="368"/>
      <c r="D556" s="368"/>
      <c r="E556" s="368"/>
      <c r="F556" s="368"/>
      <c r="G556" s="368"/>
      <c r="H556" s="364"/>
    </row>
    <row r="557" spans="1:8" s="1128" customFormat="1" x14ac:dyDescent="0.25">
      <c r="A557" s="351">
        <v>536</v>
      </c>
      <c r="B557" s="432" t="s">
        <v>892</v>
      </c>
      <c r="C557" s="332"/>
      <c r="D557" s="332"/>
      <c r="E557" s="332"/>
      <c r="F557" s="332"/>
      <c r="G557" s="332"/>
      <c r="H557" s="364"/>
    </row>
    <row r="558" spans="1:8" s="1128" customFormat="1" ht="30" x14ac:dyDescent="0.25">
      <c r="A558" s="351">
        <v>537</v>
      </c>
      <c r="B558" s="432" t="s">
        <v>891</v>
      </c>
      <c r="C558" s="332"/>
      <c r="D558" s="332"/>
      <c r="E558" s="332"/>
      <c r="F558" s="332"/>
      <c r="G558" s="332"/>
      <c r="H558" s="364"/>
    </row>
    <row r="559" spans="1:8" x14ac:dyDescent="0.25">
      <c r="A559" s="351">
        <v>538</v>
      </c>
      <c r="B559" s="462" t="s">
        <v>890</v>
      </c>
      <c r="C559" s="334"/>
      <c r="D559" s="334"/>
      <c r="E559" s="334"/>
      <c r="F559" s="334"/>
      <c r="G559" s="334"/>
      <c r="H559" s="364"/>
    </row>
    <row r="560" spans="1:8" ht="30" x14ac:dyDescent="0.2">
      <c r="A560" s="351">
        <v>539</v>
      </c>
      <c r="B560" s="461" t="s">
        <v>889</v>
      </c>
      <c r="C560" s="335"/>
      <c r="D560" s="335"/>
      <c r="E560" s="335"/>
      <c r="F560" s="335"/>
      <c r="G560" s="335"/>
      <c r="H560" s="364"/>
    </row>
    <row r="561" spans="1:8" x14ac:dyDescent="0.2">
      <c r="A561" s="351">
        <v>540</v>
      </c>
      <c r="B561" s="376" t="s">
        <v>888</v>
      </c>
      <c r="C561" s="334"/>
      <c r="D561" s="334"/>
      <c r="E561" s="334"/>
      <c r="F561" s="334"/>
      <c r="G561" s="334"/>
      <c r="H561" s="364"/>
    </row>
    <row r="562" spans="1:8" x14ac:dyDescent="0.2">
      <c r="A562" s="351">
        <v>541</v>
      </c>
      <c r="B562" s="376" t="s">
        <v>887</v>
      </c>
      <c r="C562" s="334"/>
      <c r="D562" s="334"/>
      <c r="E562" s="334"/>
      <c r="F562" s="334"/>
      <c r="G562" s="334"/>
      <c r="H562" s="364"/>
    </row>
    <row r="563" spans="1:8" x14ac:dyDescent="0.2">
      <c r="A563" s="351">
        <v>542</v>
      </c>
      <c r="B563" s="376" t="s">
        <v>886</v>
      </c>
      <c r="C563" s="334"/>
      <c r="D563" s="334"/>
      <c r="E563" s="334"/>
      <c r="F563" s="334"/>
      <c r="G563" s="334"/>
      <c r="H563" s="364"/>
    </row>
    <row r="564" spans="1:8" x14ac:dyDescent="0.2">
      <c r="A564" s="351">
        <v>543</v>
      </c>
      <c r="B564" s="446" t="s">
        <v>885</v>
      </c>
      <c r="C564" s="445"/>
      <c r="D564" s="445"/>
      <c r="E564" s="445"/>
      <c r="F564" s="445"/>
      <c r="G564" s="445"/>
      <c r="H564" s="444"/>
    </row>
    <row r="565" spans="1:8" x14ac:dyDescent="0.25">
      <c r="A565" s="351">
        <v>544</v>
      </c>
      <c r="B565" s="402" t="s">
        <v>884</v>
      </c>
      <c r="C565" s="367"/>
      <c r="D565" s="367"/>
      <c r="E565" s="367"/>
      <c r="F565" s="367"/>
      <c r="G565" s="367"/>
      <c r="H565" s="375"/>
    </row>
    <row r="566" spans="1:8" x14ac:dyDescent="0.25">
      <c r="A566" s="351">
        <v>545</v>
      </c>
      <c r="B566" s="337" t="s">
        <v>883</v>
      </c>
      <c r="C566" s="332"/>
      <c r="D566" s="332"/>
      <c r="E566" s="332"/>
      <c r="F566" s="332"/>
      <c r="G566" s="332"/>
      <c r="H566" s="375"/>
    </row>
    <row r="567" spans="1:8" ht="30" x14ac:dyDescent="0.25">
      <c r="A567" s="351">
        <v>546</v>
      </c>
      <c r="B567" s="381" t="s">
        <v>882</v>
      </c>
      <c r="C567" s="332"/>
      <c r="D567" s="332"/>
      <c r="E567" s="332"/>
      <c r="F567" s="332"/>
      <c r="G567" s="332"/>
      <c r="H567" s="375"/>
    </row>
    <row r="568" spans="1:8" x14ac:dyDescent="0.25">
      <c r="A568" s="351">
        <v>547</v>
      </c>
      <c r="B568" s="381" t="s">
        <v>881</v>
      </c>
      <c r="C568" s="368"/>
      <c r="D568" s="368"/>
      <c r="E568" s="368"/>
      <c r="F568" s="368"/>
      <c r="G568" s="368"/>
      <c r="H568" s="375"/>
    </row>
    <row r="569" spans="1:8" s="1128" customFormat="1" ht="30" x14ac:dyDescent="0.25">
      <c r="A569" s="351">
        <v>548</v>
      </c>
      <c r="B569" s="357" t="s">
        <v>880</v>
      </c>
      <c r="C569" s="332"/>
      <c r="D569" s="332"/>
      <c r="E569" s="332"/>
      <c r="F569" s="332"/>
      <c r="G569" s="332"/>
      <c r="H569" s="375"/>
    </row>
    <row r="570" spans="1:8" s="1128" customFormat="1" x14ac:dyDescent="0.25">
      <c r="A570" s="351">
        <v>549</v>
      </c>
      <c r="B570" s="357" t="s">
        <v>879</v>
      </c>
      <c r="C570" s="332"/>
      <c r="D570" s="332"/>
      <c r="E570" s="332"/>
      <c r="F570" s="332"/>
      <c r="G570" s="332"/>
      <c r="H570" s="375"/>
    </row>
    <row r="571" spans="1:8" s="1128" customFormat="1" ht="30" x14ac:dyDescent="0.25">
      <c r="A571" s="351">
        <v>550</v>
      </c>
      <c r="B571" s="378" t="s">
        <v>878</v>
      </c>
      <c r="C571" s="334"/>
      <c r="D571" s="334"/>
      <c r="E571" s="334"/>
      <c r="F571" s="334"/>
      <c r="G571" s="334"/>
      <c r="H571" s="375"/>
    </row>
    <row r="572" spans="1:8" s="1128" customFormat="1" x14ac:dyDescent="0.2">
      <c r="A572" s="351">
        <v>551</v>
      </c>
      <c r="B572" s="446" t="s">
        <v>877</v>
      </c>
      <c r="C572" s="445"/>
      <c r="D572" s="445"/>
      <c r="E572" s="445"/>
      <c r="F572" s="445"/>
      <c r="G572" s="445"/>
      <c r="H572" s="444"/>
    </row>
    <row r="573" spans="1:8" s="1128" customFormat="1" ht="30" x14ac:dyDescent="0.2">
      <c r="A573" s="351">
        <v>552</v>
      </c>
      <c r="B573" s="459" t="s">
        <v>876</v>
      </c>
      <c r="C573" s="367"/>
      <c r="D573" s="367"/>
      <c r="E573" s="367"/>
      <c r="F573" s="367"/>
      <c r="G573" s="367"/>
      <c r="H573" s="366"/>
    </row>
    <row r="574" spans="1:8" ht="30" x14ac:dyDescent="0.2">
      <c r="A574" s="351">
        <v>553</v>
      </c>
      <c r="B574" s="357" t="s">
        <v>874</v>
      </c>
      <c r="C574" s="335"/>
      <c r="D574" s="335"/>
      <c r="E574" s="335"/>
      <c r="F574" s="335"/>
      <c r="G574" s="335"/>
      <c r="H574" s="366"/>
    </row>
    <row r="575" spans="1:8" x14ac:dyDescent="0.2">
      <c r="A575" s="351">
        <v>554</v>
      </c>
      <c r="B575" s="382" t="s">
        <v>873</v>
      </c>
      <c r="C575" s="332"/>
      <c r="D575" s="332"/>
      <c r="E575" s="332"/>
      <c r="F575" s="332"/>
      <c r="G575" s="332"/>
      <c r="H575" s="366"/>
    </row>
    <row r="576" spans="1:8" x14ac:dyDescent="0.2">
      <c r="A576" s="351">
        <v>555</v>
      </c>
      <c r="B576" s="382" t="s">
        <v>872</v>
      </c>
      <c r="C576" s="332"/>
      <c r="D576" s="332"/>
      <c r="E576" s="332"/>
      <c r="F576" s="332"/>
      <c r="G576" s="332"/>
      <c r="H576" s="366"/>
    </row>
    <row r="577" spans="1:8" ht="45" x14ac:dyDescent="0.2">
      <c r="A577" s="351">
        <v>556</v>
      </c>
      <c r="B577" s="354" t="s">
        <v>871</v>
      </c>
      <c r="C577" s="334"/>
      <c r="D577" s="334"/>
      <c r="E577" s="334"/>
      <c r="F577" s="334"/>
      <c r="G577" s="334"/>
      <c r="H577" s="366"/>
    </row>
    <row r="578" spans="1:8" s="1128" customFormat="1" x14ac:dyDescent="0.2">
      <c r="A578" s="351">
        <v>557</v>
      </c>
      <c r="B578" s="446" t="s">
        <v>870</v>
      </c>
      <c r="C578" s="445"/>
      <c r="D578" s="445"/>
      <c r="E578" s="445"/>
      <c r="F578" s="445"/>
      <c r="G578" s="445"/>
      <c r="H578" s="444"/>
    </row>
    <row r="579" spans="1:8" s="1128" customFormat="1" x14ac:dyDescent="0.25">
      <c r="A579" s="351">
        <v>558</v>
      </c>
      <c r="B579" s="410" t="s">
        <v>869</v>
      </c>
      <c r="C579" s="367"/>
      <c r="D579" s="367"/>
      <c r="E579" s="367"/>
      <c r="F579" s="367"/>
      <c r="G579" s="367"/>
      <c r="H579" s="375"/>
    </row>
    <row r="580" spans="1:8" s="1128" customFormat="1" ht="30" x14ac:dyDescent="0.25">
      <c r="A580" s="351">
        <v>559</v>
      </c>
      <c r="B580" s="357" t="s">
        <v>868</v>
      </c>
      <c r="C580" s="332"/>
      <c r="D580" s="332"/>
      <c r="E580" s="332"/>
      <c r="F580" s="332"/>
      <c r="G580" s="332"/>
      <c r="H580" s="375"/>
    </row>
    <row r="581" spans="1:8" s="1128" customFormat="1" x14ac:dyDescent="0.25">
      <c r="A581" s="351">
        <v>560</v>
      </c>
      <c r="B581" s="357" t="s">
        <v>867</v>
      </c>
      <c r="C581" s="332"/>
      <c r="D581" s="332"/>
      <c r="E581" s="332"/>
      <c r="F581" s="332"/>
      <c r="G581" s="332"/>
      <c r="H581" s="375"/>
    </row>
    <row r="582" spans="1:8" s="1128" customFormat="1" ht="30" x14ac:dyDescent="0.25">
      <c r="A582" s="351">
        <v>561</v>
      </c>
      <c r="B582" s="410" t="s">
        <v>866</v>
      </c>
      <c r="C582" s="334"/>
      <c r="D582" s="334"/>
      <c r="E582" s="334"/>
      <c r="F582" s="334"/>
      <c r="G582" s="334"/>
      <c r="H582" s="375"/>
    </row>
    <row r="583" spans="1:8" ht="30" x14ac:dyDescent="0.25">
      <c r="A583" s="351">
        <v>562</v>
      </c>
      <c r="B583" s="354" t="s">
        <v>865</v>
      </c>
      <c r="C583" s="367"/>
      <c r="D583" s="367"/>
      <c r="E583" s="367"/>
      <c r="F583" s="367"/>
      <c r="G583" s="367"/>
      <c r="H583" s="375"/>
    </row>
    <row r="584" spans="1:8" x14ac:dyDescent="0.25">
      <c r="A584" s="351">
        <v>563</v>
      </c>
      <c r="B584" s="354" t="s">
        <v>864</v>
      </c>
      <c r="C584" s="367"/>
      <c r="D584" s="367"/>
      <c r="E584" s="367"/>
      <c r="F584" s="367"/>
      <c r="G584" s="367"/>
      <c r="H584" s="375"/>
    </row>
    <row r="585" spans="1:8" s="1128" customFormat="1" x14ac:dyDescent="0.25">
      <c r="A585" s="351">
        <v>564</v>
      </c>
      <c r="B585" s="357" t="s">
        <v>863</v>
      </c>
      <c r="C585" s="335"/>
      <c r="D585" s="335"/>
      <c r="E585" s="335"/>
      <c r="F585" s="335"/>
      <c r="G585" s="335"/>
      <c r="H585" s="375"/>
    </row>
    <row r="586" spans="1:8" s="1128" customFormat="1" x14ac:dyDescent="0.25">
      <c r="A586" s="351">
        <v>565</v>
      </c>
      <c r="B586" s="382" t="s">
        <v>862</v>
      </c>
      <c r="C586" s="332"/>
      <c r="D586" s="332"/>
      <c r="E586" s="332"/>
      <c r="F586" s="332"/>
      <c r="G586" s="332"/>
      <c r="H586" s="375"/>
    </row>
    <row r="587" spans="1:8" s="1128" customFormat="1" x14ac:dyDescent="0.25">
      <c r="A587" s="351">
        <v>566</v>
      </c>
      <c r="B587" s="382" t="s">
        <v>861</v>
      </c>
      <c r="C587" s="332"/>
      <c r="D587" s="332"/>
      <c r="E587" s="332"/>
      <c r="F587" s="332"/>
      <c r="G587" s="332"/>
      <c r="H587" s="375"/>
    </row>
    <row r="588" spans="1:8" s="1128" customFormat="1" x14ac:dyDescent="0.25">
      <c r="A588" s="351">
        <v>567</v>
      </c>
      <c r="B588" s="382" t="s">
        <v>761</v>
      </c>
      <c r="C588" s="332"/>
      <c r="D588" s="332"/>
      <c r="E588" s="332"/>
      <c r="F588" s="332"/>
      <c r="G588" s="332"/>
      <c r="H588" s="375"/>
    </row>
    <row r="589" spans="1:8" s="1128" customFormat="1" x14ac:dyDescent="0.25">
      <c r="A589" s="351">
        <v>568</v>
      </c>
      <c r="B589" s="382" t="s">
        <v>860</v>
      </c>
      <c r="C589" s="332"/>
      <c r="D589" s="332"/>
      <c r="E589" s="332"/>
      <c r="F589" s="332"/>
      <c r="G589" s="332"/>
      <c r="H589" s="375"/>
    </row>
    <row r="590" spans="1:8" s="1128" customFormat="1" ht="30" x14ac:dyDescent="0.25">
      <c r="A590" s="351">
        <v>569</v>
      </c>
      <c r="B590" s="357" t="s">
        <v>859</v>
      </c>
      <c r="C590" s="332"/>
      <c r="D590" s="332"/>
      <c r="E590" s="332"/>
      <c r="F590" s="332"/>
      <c r="G590" s="332"/>
      <c r="H590" s="375"/>
    </row>
    <row r="591" spans="1:8" x14ac:dyDescent="0.2">
      <c r="A591" s="351">
        <v>570</v>
      </c>
      <c r="B591" s="446" t="s">
        <v>858</v>
      </c>
      <c r="C591" s="445"/>
      <c r="D591" s="445"/>
      <c r="E591" s="445"/>
      <c r="F591" s="445"/>
      <c r="G591" s="445"/>
      <c r="H591" s="444"/>
    </row>
    <row r="592" spans="1:8" ht="30" x14ac:dyDescent="0.25">
      <c r="A592" s="351">
        <v>571</v>
      </c>
      <c r="B592" s="442" t="s">
        <v>857</v>
      </c>
      <c r="C592" s="367"/>
      <c r="D592" s="367"/>
      <c r="E592" s="367"/>
      <c r="F592" s="367"/>
      <c r="G592" s="367"/>
      <c r="H592" s="435"/>
    </row>
    <row r="593" spans="1:8" ht="30" x14ac:dyDescent="0.25">
      <c r="A593" s="351">
        <v>572</v>
      </c>
      <c r="B593" s="442" t="s">
        <v>856</v>
      </c>
      <c r="C593" s="367"/>
      <c r="D593" s="367"/>
      <c r="E593" s="367"/>
      <c r="F593" s="367"/>
      <c r="G593" s="367"/>
      <c r="H593" s="435"/>
    </row>
    <row r="594" spans="1:8" ht="30" x14ac:dyDescent="0.25">
      <c r="A594" s="351">
        <v>573</v>
      </c>
      <c r="B594" s="354" t="s">
        <v>855</v>
      </c>
      <c r="C594" s="334"/>
      <c r="D594" s="334"/>
      <c r="E594" s="334"/>
      <c r="F594" s="334"/>
      <c r="G594" s="334"/>
      <c r="H594" s="435"/>
    </row>
    <row r="595" spans="1:8" ht="30" x14ac:dyDescent="0.25">
      <c r="A595" s="351">
        <v>574</v>
      </c>
      <c r="B595" s="354" t="s">
        <v>854</v>
      </c>
      <c r="C595" s="332"/>
      <c r="D595" s="332"/>
      <c r="E595" s="332"/>
      <c r="F595" s="332"/>
      <c r="G595" s="332"/>
      <c r="H595" s="435"/>
    </row>
    <row r="596" spans="1:8" ht="60" x14ac:dyDescent="0.25">
      <c r="A596" s="351">
        <v>575</v>
      </c>
      <c r="B596" s="354" t="s">
        <v>853</v>
      </c>
      <c r="C596" s="367"/>
      <c r="D596" s="367"/>
      <c r="E596" s="367"/>
      <c r="F596" s="367"/>
      <c r="G596" s="367"/>
      <c r="H596" s="435"/>
    </row>
    <row r="597" spans="1:8" x14ac:dyDescent="0.25">
      <c r="A597" s="351">
        <v>576</v>
      </c>
      <c r="B597" s="396" t="s">
        <v>852</v>
      </c>
      <c r="C597" s="395"/>
      <c r="D597" s="395"/>
      <c r="E597" s="395"/>
      <c r="F597" s="395"/>
      <c r="G597" s="395"/>
      <c r="H597" s="394"/>
    </row>
    <row r="598" spans="1:8" x14ac:dyDescent="0.2">
      <c r="A598" s="351">
        <v>577</v>
      </c>
      <c r="B598" s="455" t="s">
        <v>851</v>
      </c>
      <c r="C598" s="454"/>
      <c r="D598" s="454"/>
      <c r="E598" s="454"/>
      <c r="F598" s="454"/>
      <c r="G598" s="454"/>
      <c r="H598" s="453"/>
    </row>
    <row r="599" spans="1:8" s="415" customFormat="1" ht="45" x14ac:dyDescent="0.2">
      <c r="A599" s="351">
        <v>578</v>
      </c>
      <c r="B599" s="973" t="s">
        <v>850</v>
      </c>
      <c r="C599" s="974"/>
      <c r="D599" s="974"/>
      <c r="E599" s="974"/>
      <c r="F599" s="974"/>
      <c r="G599" s="974"/>
      <c r="H599" s="975"/>
    </row>
    <row r="600" spans="1:8" s="415" customFormat="1" ht="30" x14ac:dyDescent="0.2">
      <c r="A600" s="351">
        <v>579</v>
      </c>
      <c r="B600" s="973" t="s">
        <v>849</v>
      </c>
      <c r="C600" s="974"/>
      <c r="D600" s="974"/>
      <c r="E600" s="974"/>
      <c r="F600" s="974"/>
      <c r="G600" s="974"/>
      <c r="H600" s="975"/>
    </row>
    <row r="601" spans="1:8" ht="30" x14ac:dyDescent="0.25">
      <c r="A601" s="351">
        <v>580</v>
      </c>
      <c r="B601" s="354" t="s">
        <v>848</v>
      </c>
      <c r="C601" s="334"/>
      <c r="D601" s="334"/>
      <c r="E601" s="334"/>
      <c r="F601" s="334"/>
      <c r="G601" s="334"/>
      <c r="H601" s="419"/>
    </row>
    <row r="602" spans="1:8" x14ac:dyDescent="0.25">
      <c r="A602" s="351">
        <v>581</v>
      </c>
      <c r="B602" s="354" t="s">
        <v>847</v>
      </c>
      <c r="C602" s="334"/>
      <c r="D602" s="334"/>
      <c r="E602" s="334"/>
      <c r="F602" s="334"/>
      <c r="G602" s="334"/>
      <c r="H602" s="419"/>
    </row>
    <row r="603" spans="1:8" ht="30" x14ac:dyDescent="0.25">
      <c r="A603" s="351">
        <v>582</v>
      </c>
      <c r="B603" s="354" t="s">
        <v>846</v>
      </c>
      <c r="C603" s="334"/>
      <c r="D603" s="334"/>
      <c r="E603" s="334"/>
      <c r="F603" s="334"/>
      <c r="G603" s="334"/>
      <c r="H603" s="419"/>
    </row>
    <row r="604" spans="1:8" ht="30" x14ac:dyDescent="0.25">
      <c r="A604" s="351">
        <v>583</v>
      </c>
      <c r="B604" s="402" t="s">
        <v>845</v>
      </c>
      <c r="C604" s="334"/>
      <c r="D604" s="334"/>
      <c r="E604" s="334"/>
      <c r="F604" s="334"/>
      <c r="G604" s="334"/>
      <c r="H604" s="419"/>
    </row>
    <row r="605" spans="1:8" ht="30" x14ac:dyDescent="0.25">
      <c r="A605" s="351">
        <v>584</v>
      </c>
      <c r="B605" s="402" t="s">
        <v>844</v>
      </c>
      <c r="C605" s="367"/>
      <c r="D605" s="367"/>
      <c r="E605" s="367"/>
      <c r="F605" s="367"/>
      <c r="G605" s="367"/>
      <c r="H605" s="435"/>
    </row>
    <row r="606" spans="1:8" ht="30" x14ac:dyDescent="0.25">
      <c r="A606" s="351">
        <v>585</v>
      </c>
      <c r="B606" s="378" t="s">
        <v>843</v>
      </c>
      <c r="C606" s="334"/>
      <c r="D606" s="334"/>
      <c r="E606" s="334"/>
      <c r="F606" s="334"/>
      <c r="G606" s="334"/>
      <c r="H606" s="419"/>
    </row>
    <row r="607" spans="1:8" ht="45" x14ac:dyDescent="0.2">
      <c r="A607" s="351">
        <v>586</v>
      </c>
      <c r="B607" s="354" t="s">
        <v>842</v>
      </c>
      <c r="C607" s="334"/>
      <c r="D607" s="334"/>
      <c r="E607" s="334"/>
      <c r="F607" s="334"/>
      <c r="G607" s="334"/>
      <c r="H607" s="1133"/>
    </row>
    <row r="608" spans="1:8" ht="30" x14ac:dyDescent="0.25">
      <c r="A608" s="351">
        <v>587</v>
      </c>
      <c r="B608" s="457" t="s">
        <v>841</v>
      </c>
      <c r="C608" s="334"/>
      <c r="D608" s="334"/>
      <c r="E608" s="334"/>
      <c r="F608" s="334"/>
      <c r="G608" s="334"/>
      <c r="H608" s="419"/>
    </row>
    <row r="609" spans="1:8" x14ac:dyDescent="0.25">
      <c r="A609" s="351">
        <v>588</v>
      </c>
      <c r="B609" s="354" t="s">
        <v>840</v>
      </c>
      <c r="C609" s="334"/>
      <c r="D609" s="334"/>
      <c r="E609" s="334"/>
      <c r="F609" s="334"/>
      <c r="G609" s="334"/>
      <c r="H609" s="419"/>
    </row>
    <row r="610" spans="1:8" ht="30" x14ac:dyDescent="0.25">
      <c r="A610" s="351">
        <v>589</v>
      </c>
      <c r="B610" s="318" t="s">
        <v>839</v>
      </c>
      <c r="C610" s="332"/>
      <c r="D610" s="332"/>
      <c r="E610" s="332"/>
      <c r="F610" s="332"/>
      <c r="G610" s="332"/>
      <c r="H610" s="419"/>
    </row>
    <row r="611" spans="1:8" ht="30" x14ac:dyDescent="0.25">
      <c r="A611" s="351">
        <v>590</v>
      </c>
      <c r="B611" s="354" t="s">
        <v>838</v>
      </c>
      <c r="C611" s="334"/>
      <c r="D611" s="334"/>
      <c r="E611" s="334"/>
      <c r="F611" s="334"/>
      <c r="G611" s="334"/>
      <c r="H611" s="419"/>
    </row>
    <row r="612" spans="1:8" x14ac:dyDescent="0.25">
      <c r="A612" s="351">
        <v>591</v>
      </c>
      <c r="B612" s="354" t="s">
        <v>837</v>
      </c>
      <c r="C612" s="334"/>
      <c r="D612" s="334"/>
      <c r="E612" s="334"/>
      <c r="F612" s="334"/>
      <c r="G612" s="334"/>
      <c r="H612" s="419"/>
    </row>
    <row r="613" spans="1:8" ht="30" x14ac:dyDescent="0.25">
      <c r="A613" s="351">
        <v>592</v>
      </c>
      <c r="B613" s="354" t="s">
        <v>836</v>
      </c>
      <c r="C613" s="334"/>
      <c r="D613" s="334"/>
      <c r="E613" s="334"/>
      <c r="F613" s="334"/>
      <c r="G613" s="334"/>
      <c r="H613" s="419"/>
    </row>
    <row r="614" spans="1:8" x14ac:dyDescent="0.25">
      <c r="A614" s="351">
        <v>593</v>
      </c>
      <c r="B614" s="357" t="s">
        <v>835</v>
      </c>
      <c r="C614" s="332"/>
      <c r="D614" s="332"/>
      <c r="E614" s="332"/>
      <c r="F614" s="332"/>
      <c r="G614" s="332"/>
      <c r="H614" s="419"/>
    </row>
    <row r="615" spans="1:8" s="1128" customFormat="1" ht="60" x14ac:dyDescent="0.25">
      <c r="A615" s="351">
        <v>594</v>
      </c>
      <c r="B615" s="357" t="s">
        <v>834</v>
      </c>
      <c r="C615" s="332"/>
      <c r="D615" s="332"/>
      <c r="E615" s="332"/>
      <c r="F615" s="332"/>
      <c r="G615" s="332"/>
      <c r="H615" s="419"/>
    </row>
    <row r="616" spans="1:8" s="1128" customFormat="1" ht="60" x14ac:dyDescent="0.25">
      <c r="A616" s="351">
        <v>595</v>
      </c>
      <c r="B616" s="357" t="s">
        <v>833</v>
      </c>
      <c r="C616" s="332"/>
      <c r="D616" s="332"/>
      <c r="E616" s="332"/>
      <c r="F616" s="332"/>
      <c r="G616" s="332"/>
      <c r="H616" s="419"/>
    </row>
    <row r="617" spans="1:8" s="1128" customFormat="1" x14ac:dyDescent="0.25">
      <c r="A617" s="351">
        <v>596</v>
      </c>
      <c r="B617" s="357" t="s">
        <v>832</v>
      </c>
      <c r="C617" s="332"/>
      <c r="D617" s="332"/>
      <c r="E617" s="332"/>
      <c r="F617" s="332"/>
      <c r="G617" s="332"/>
      <c r="H617" s="419"/>
    </row>
    <row r="618" spans="1:8" s="1128" customFormat="1" x14ac:dyDescent="0.25">
      <c r="A618" s="351">
        <v>597</v>
      </c>
      <c r="B618" s="354" t="s">
        <v>831</v>
      </c>
      <c r="C618" s="332"/>
      <c r="D618" s="332"/>
      <c r="E618" s="332"/>
      <c r="F618" s="332"/>
      <c r="G618" s="332"/>
      <c r="H618" s="419"/>
    </row>
    <row r="619" spans="1:8" x14ac:dyDescent="0.25">
      <c r="A619" s="351">
        <v>598</v>
      </c>
      <c r="B619" s="357" t="s">
        <v>830</v>
      </c>
      <c r="C619" s="332"/>
      <c r="D619" s="332"/>
      <c r="E619" s="332"/>
      <c r="F619" s="332"/>
      <c r="G619" s="332"/>
      <c r="H619" s="419"/>
    </row>
    <row r="620" spans="1:8" x14ac:dyDescent="0.25">
      <c r="A620" s="351">
        <v>599</v>
      </c>
      <c r="B620" s="354" t="s">
        <v>829</v>
      </c>
      <c r="C620" s="334"/>
      <c r="D620" s="334"/>
      <c r="E620" s="334"/>
      <c r="F620" s="334"/>
      <c r="G620" s="334"/>
      <c r="H620" s="419"/>
    </row>
    <row r="621" spans="1:8" ht="45" x14ac:dyDescent="0.25">
      <c r="A621" s="351">
        <v>600</v>
      </c>
      <c r="B621" s="354" t="s">
        <v>828</v>
      </c>
      <c r="C621" s="334"/>
      <c r="D621" s="334"/>
      <c r="E621" s="334"/>
      <c r="F621" s="334"/>
      <c r="G621" s="334"/>
      <c r="H621" s="419"/>
    </row>
    <row r="622" spans="1:8" ht="30" x14ac:dyDescent="0.25">
      <c r="A622" s="351">
        <v>601</v>
      </c>
      <c r="B622" s="361" t="s">
        <v>827</v>
      </c>
      <c r="C622" s="353"/>
      <c r="D622" s="353"/>
      <c r="E622" s="353"/>
      <c r="F622" s="353"/>
      <c r="G622" s="353"/>
      <c r="H622" s="419"/>
    </row>
    <row r="623" spans="1:8" ht="30" x14ac:dyDescent="0.25">
      <c r="A623" s="351">
        <v>602</v>
      </c>
      <c r="B623" s="361" t="s">
        <v>826</v>
      </c>
      <c r="C623" s="456"/>
      <c r="D623" s="456"/>
      <c r="E623" s="456"/>
      <c r="F623" s="456"/>
      <c r="G623" s="456"/>
      <c r="H623" s="419"/>
    </row>
    <row r="624" spans="1:8" x14ac:dyDescent="0.25">
      <c r="A624" s="351">
        <v>603</v>
      </c>
      <c r="B624" s="389" t="s">
        <v>825</v>
      </c>
      <c r="C624" s="353"/>
      <c r="D624" s="353"/>
      <c r="E624" s="353"/>
      <c r="F624" s="353"/>
      <c r="G624" s="353"/>
      <c r="H624" s="419"/>
    </row>
    <row r="625" spans="1:8" s="1128" customFormat="1" x14ac:dyDescent="0.25">
      <c r="A625" s="351">
        <v>604</v>
      </c>
      <c r="B625" s="389" t="s">
        <v>824</v>
      </c>
      <c r="C625" s="353"/>
      <c r="D625" s="353"/>
      <c r="E625" s="353"/>
      <c r="F625" s="353"/>
      <c r="G625" s="353"/>
      <c r="H625" s="419"/>
    </row>
    <row r="626" spans="1:8" x14ac:dyDescent="0.25">
      <c r="A626" s="351">
        <v>605</v>
      </c>
      <c r="B626" s="389" t="s">
        <v>823</v>
      </c>
      <c r="C626" s="353"/>
      <c r="D626" s="353"/>
      <c r="E626" s="353"/>
      <c r="F626" s="353"/>
      <c r="G626" s="353"/>
      <c r="H626" s="419"/>
    </row>
    <row r="627" spans="1:8" s="1128" customFormat="1" x14ac:dyDescent="0.2">
      <c r="A627" s="351">
        <v>606</v>
      </c>
      <c r="B627" s="455" t="s">
        <v>822</v>
      </c>
      <c r="C627" s="454"/>
      <c r="D627" s="454"/>
      <c r="E627" s="454"/>
      <c r="F627" s="454"/>
      <c r="G627" s="454"/>
      <c r="H627" s="453"/>
    </row>
    <row r="628" spans="1:8" s="1128" customFormat="1" ht="45" x14ac:dyDescent="0.25">
      <c r="A628" s="351">
        <v>607</v>
      </c>
      <c r="B628" s="357" t="s">
        <v>821</v>
      </c>
      <c r="C628" s="332"/>
      <c r="D628" s="332"/>
      <c r="E628" s="332"/>
      <c r="F628" s="332"/>
      <c r="G628" s="332"/>
      <c r="H628" s="375"/>
    </row>
    <row r="629" spans="1:8" s="1128" customFormat="1" ht="30" x14ac:dyDescent="0.25">
      <c r="A629" s="351">
        <v>608</v>
      </c>
      <c r="B629" s="357" t="s">
        <v>820</v>
      </c>
      <c r="C629" s="332"/>
      <c r="D629" s="332"/>
      <c r="E629" s="332"/>
      <c r="F629" s="332"/>
      <c r="G629" s="332"/>
      <c r="H629" s="375"/>
    </row>
    <row r="630" spans="1:8" x14ac:dyDescent="0.2">
      <c r="A630" s="351">
        <v>609</v>
      </c>
      <c r="B630" s="455" t="s">
        <v>819</v>
      </c>
      <c r="C630" s="454"/>
      <c r="D630" s="454"/>
      <c r="E630" s="454"/>
      <c r="F630" s="454"/>
      <c r="G630" s="454"/>
      <c r="H630" s="453"/>
    </row>
    <row r="631" spans="1:8" ht="30" x14ac:dyDescent="0.25">
      <c r="A631" s="351">
        <v>610</v>
      </c>
      <c r="B631" s="402" t="s">
        <v>818</v>
      </c>
      <c r="C631" s="367"/>
      <c r="D631" s="367"/>
      <c r="E631" s="367"/>
      <c r="F631" s="367"/>
      <c r="G631" s="367"/>
      <c r="H631" s="435"/>
    </row>
    <row r="632" spans="1:8" x14ac:dyDescent="0.25">
      <c r="A632" s="351">
        <v>611</v>
      </c>
      <c r="B632" s="448" t="s">
        <v>817</v>
      </c>
      <c r="C632" s="377"/>
      <c r="D632" s="377"/>
      <c r="E632" s="377"/>
      <c r="F632" s="377"/>
      <c r="G632" s="377"/>
      <c r="H632" s="435"/>
    </row>
    <row r="633" spans="1:8" x14ac:dyDescent="0.25">
      <c r="A633" s="351">
        <v>612</v>
      </c>
      <c r="B633" s="452" t="s">
        <v>816</v>
      </c>
      <c r="C633" s="367"/>
      <c r="D633" s="367"/>
      <c r="E633" s="367"/>
      <c r="F633" s="367"/>
      <c r="G633" s="367"/>
      <c r="H633" s="435"/>
    </row>
    <row r="634" spans="1:8" x14ac:dyDescent="0.25">
      <c r="A634" s="351">
        <v>613</v>
      </c>
      <c r="B634" s="452" t="s">
        <v>815</v>
      </c>
      <c r="C634" s="367"/>
      <c r="D634" s="367"/>
      <c r="E634" s="367"/>
      <c r="F634" s="367"/>
      <c r="G634" s="367"/>
      <c r="H634" s="435"/>
    </row>
    <row r="635" spans="1:8" x14ac:dyDescent="0.25">
      <c r="A635" s="351">
        <v>614</v>
      </c>
      <c r="B635" s="452" t="s">
        <v>402</v>
      </c>
      <c r="C635" s="334"/>
      <c r="D635" s="334"/>
      <c r="E635" s="334"/>
      <c r="F635" s="334"/>
      <c r="G635" s="334"/>
      <c r="H635" s="419"/>
    </row>
    <row r="636" spans="1:8" s="1128" customFormat="1" x14ac:dyDescent="0.25">
      <c r="A636" s="351">
        <v>615</v>
      </c>
      <c r="B636" s="449" t="s">
        <v>814</v>
      </c>
      <c r="C636" s="332"/>
      <c r="D636" s="332"/>
      <c r="E636" s="332"/>
      <c r="F636" s="332"/>
      <c r="G636" s="332"/>
      <c r="H636" s="419"/>
    </row>
    <row r="637" spans="1:8" x14ac:dyDescent="0.25">
      <c r="A637" s="351">
        <v>616</v>
      </c>
      <c r="B637" s="449" t="s">
        <v>99</v>
      </c>
      <c r="C637" s="332"/>
      <c r="D637" s="332"/>
      <c r="E637" s="332"/>
      <c r="F637" s="332"/>
      <c r="G637" s="332"/>
      <c r="H637" s="419"/>
    </row>
    <row r="638" spans="1:8" x14ac:dyDescent="0.25">
      <c r="A638" s="351">
        <v>617</v>
      </c>
      <c r="B638" s="452" t="s">
        <v>813</v>
      </c>
      <c r="C638" s="334"/>
      <c r="D638" s="334"/>
      <c r="E638" s="334"/>
      <c r="F638" s="334"/>
      <c r="G638" s="334"/>
      <c r="H638" s="419"/>
    </row>
    <row r="639" spans="1:8" x14ac:dyDescent="0.25">
      <c r="A639" s="351">
        <v>618</v>
      </c>
      <c r="B639" s="452" t="s">
        <v>812</v>
      </c>
      <c r="C639" s="334"/>
      <c r="D639" s="334"/>
      <c r="E639" s="334"/>
      <c r="F639" s="334"/>
      <c r="G639" s="334"/>
      <c r="H639" s="419"/>
    </row>
    <row r="640" spans="1:8" x14ac:dyDescent="0.25">
      <c r="A640" s="351">
        <v>619</v>
      </c>
      <c r="B640" s="452" t="s">
        <v>811</v>
      </c>
      <c r="C640" s="334"/>
      <c r="D640" s="334"/>
      <c r="E640" s="334"/>
      <c r="F640" s="334"/>
      <c r="G640" s="334"/>
      <c r="H640" s="419"/>
    </row>
    <row r="641" spans="1:8" x14ac:dyDescent="0.25">
      <c r="A641" s="351">
        <v>620</v>
      </c>
      <c r="B641" s="452" t="s">
        <v>809</v>
      </c>
      <c r="C641" s="334"/>
      <c r="D641" s="451"/>
      <c r="E641" s="451"/>
      <c r="F641" s="451"/>
      <c r="G641" s="451"/>
      <c r="H641" s="419"/>
    </row>
    <row r="642" spans="1:8" x14ac:dyDescent="0.25">
      <c r="A642" s="351">
        <v>621</v>
      </c>
      <c r="B642" s="449" t="s">
        <v>619</v>
      </c>
      <c r="C642" s="332"/>
      <c r="D642" s="450"/>
      <c r="E642" s="450"/>
      <c r="F642" s="450"/>
      <c r="G642" s="450"/>
      <c r="H642" s="419"/>
    </row>
    <row r="643" spans="1:8" x14ac:dyDescent="0.25">
      <c r="A643" s="351">
        <v>622</v>
      </c>
      <c r="B643" s="449" t="s">
        <v>808</v>
      </c>
      <c r="C643" s="332"/>
      <c r="D643" s="332"/>
      <c r="E643" s="332"/>
      <c r="F643" s="332"/>
      <c r="G643" s="332"/>
      <c r="H643" s="419"/>
    </row>
    <row r="644" spans="1:8" x14ac:dyDescent="0.25">
      <c r="A644" s="351">
        <v>623</v>
      </c>
      <c r="B644" s="449" t="s">
        <v>236</v>
      </c>
      <c r="C644" s="332"/>
      <c r="D644" s="332"/>
      <c r="E644" s="332"/>
      <c r="F644" s="332"/>
      <c r="G644" s="332"/>
      <c r="H644" s="419"/>
    </row>
    <row r="645" spans="1:8" x14ac:dyDescent="0.25">
      <c r="A645" s="351">
        <v>624</v>
      </c>
      <c r="B645" s="449" t="s">
        <v>807</v>
      </c>
      <c r="C645" s="332"/>
      <c r="D645" s="332"/>
      <c r="E645" s="332"/>
      <c r="F645" s="332"/>
      <c r="G645" s="332"/>
      <c r="H645" s="419"/>
    </row>
    <row r="646" spans="1:8" s="1128" customFormat="1" x14ac:dyDescent="0.25">
      <c r="A646" s="351">
        <v>625</v>
      </c>
      <c r="B646" s="449" t="s">
        <v>806</v>
      </c>
      <c r="C646" s="332"/>
      <c r="D646" s="332"/>
      <c r="E646" s="332"/>
      <c r="F646" s="332"/>
      <c r="G646" s="332"/>
      <c r="H646" s="419"/>
    </row>
    <row r="647" spans="1:8" s="1128" customFormat="1" x14ac:dyDescent="0.25">
      <c r="A647" s="351">
        <v>626</v>
      </c>
      <c r="B647" s="449" t="s">
        <v>805</v>
      </c>
      <c r="C647" s="332"/>
      <c r="D647" s="332"/>
      <c r="E647" s="332"/>
      <c r="F647" s="332"/>
      <c r="G647" s="332"/>
      <c r="H647" s="419"/>
    </row>
    <row r="648" spans="1:8" s="1128" customFormat="1" x14ac:dyDescent="0.25">
      <c r="A648" s="351">
        <v>627</v>
      </c>
      <c r="B648" s="449" t="s">
        <v>804</v>
      </c>
      <c r="C648" s="332"/>
      <c r="D648" s="332"/>
      <c r="E648" s="332"/>
      <c r="F648" s="332"/>
      <c r="G648" s="332"/>
      <c r="H648" s="419"/>
    </row>
    <row r="649" spans="1:8" s="1128" customFormat="1" x14ac:dyDescent="0.25">
      <c r="A649" s="351">
        <v>628</v>
      </c>
      <c r="B649" s="449" t="s">
        <v>803</v>
      </c>
      <c r="C649" s="332"/>
      <c r="D649" s="332"/>
      <c r="E649" s="332"/>
      <c r="F649" s="332"/>
      <c r="G649" s="332"/>
      <c r="H649" s="419"/>
    </row>
    <row r="650" spans="1:8" s="1128" customFormat="1" x14ac:dyDescent="0.25">
      <c r="A650" s="351">
        <v>629</v>
      </c>
      <c r="B650" s="449" t="s">
        <v>802</v>
      </c>
      <c r="C650" s="332"/>
      <c r="D650" s="332"/>
      <c r="E650" s="332"/>
      <c r="F650" s="332"/>
      <c r="G650" s="332"/>
      <c r="H650" s="419"/>
    </row>
    <row r="651" spans="1:8" s="1128" customFormat="1" x14ac:dyDescent="0.25">
      <c r="A651" s="351">
        <v>630</v>
      </c>
      <c r="B651" s="449" t="s">
        <v>801</v>
      </c>
      <c r="C651" s="332"/>
      <c r="D651" s="332"/>
      <c r="E651" s="332"/>
      <c r="F651" s="332"/>
      <c r="G651" s="332"/>
      <c r="H651" s="419"/>
    </row>
    <row r="652" spans="1:8" s="1128" customFormat="1" x14ac:dyDescent="0.25">
      <c r="A652" s="351">
        <v>631</v>
      </c>
      <c r="B652" s="449" t="s">
        <v>800</v>
      </c>
      <c r="C652" s="332"/>
      <c r="D652" s="332"/>
      <c r="E652" s="332"/>
      <c r="F652" s="332"/>
      <c r="G652" s="332"/>
      <c r="H652" s="419"/>
    </row>
    <row r="653" spans="1:8" s="1128" customFormat="1" ht="30" x14ac:dyDescent="0.25">
      <c r="A653" s="351">
        <v>632</v>
      </c>
      <c r="B653" s="448" t="s">
        <v>799</v>
      </c>
      <c r="C653" s="367"/>
      <c r="D653" s="367"/>
      <c r="E653" s="367"/>
      <c r="F653" s="367"/>
      <c r="G653" s="367"/>
      <c r="H653" s="419"/>
    </row>
    <row r="654" spans="1:8" s="1128" customFormat="1" ht="30" x14ac:dyDescent="0.25">
      <c r="A654" s="351">
        <v>633</v>
      </c>
      <c r="B654" s="447" t="s">
        <v>798</v>
      </c>
      <c r="C654" s="332"/>
      <c r="D654" s="332"/>
      <c r="E654" s="332"/>
      <c r="F654" s="332"/>
      <c r="G654" s="332"/>
      <c r="H654" s="419"/>
    </row>
    <row r="655" spans="1:8" s="1128" customFormat="1" ht="45" x14ac:dyDescent="0.25">
      <c r="A655" s="351">
        <v>634</v>
      </c>
      <c r="B655" s="447" t="s">
        <v>797</v>
      </c>
      <c r="C655" s="332"/>
      <c r="D655" s="332"/>
      <c r="E655" s="332"/>
      <c r="F655" s="332"/>
      <c r="G655" s="332"/>
      <c r="H655" s="419"/>
    </row>
    <row r="656" spans="1:8" x14ac:dyDescent="0.2">
      <c r="A656" s="351">
        <v>635</v>
      </c>
      <c r="B656" s="446" t="s">
        <v>796</v>
      </c>
      <c r="C656" s="445"/>
      <c r="D656" s="445"/>
      <c r="E656" s="445"/>
      <c r="F656" s="445"/>
      <c r="G656" s="445"/>
      <c r="H656" s="444"/>
    </row>
    <row r="657" spans="1:8" x14ac:dyDescent="0.25">
      <c r="A657" s="351">
        <v>636</v>
      </c>
      <c r="B657" s="354" t="s">
        <v>795</v>
      </c>
      <c r="C657" s="367"/>
      <c r="D657" s="367"/>
      <c r="E657" s="367"/>
      <c r="F657" s="367"/>
      <c r="G657" s="367"/>
      <c r="H657" s="419"/>
    </row>
    <row r="658" spans="1:8" x14ac:dyDescent="0.25">
      <c r="A658" s="351">
        <v>637</v>
      </c>
      <c r="B658" s="357" t="s">
        <v>794</v>
      </c>
      <c r="C658" s="332"/>
      <c r="D658" s="332"/>
      <c r="E658" s="332"/>
      <c r="F658" s="332"/>
      <c r="G658" s="332"/>
      <c r="H658" s="419"/>
    </row>
    <row r="659" spans="1:8" x14ac:dyDescent="0.25">
      <c r="A659" s="351">
        <v>638</v>
      </c>
      <c r="B659" s="357" t="s">
        <v>793</v>
      </c>
      <c r="C659" s="332"/>
      <c r="D659" s="332"/>
      <c r="E659" s="332"/>
      <c r="F659" s="332"/>
      <c r="G659" s="332"/>
      <c r="H659" s="419"/>
    </row>
    <row r="660" spans="1:8" s="1128" customFormat="1" ht="30" x14ac:dyDescent="0.25">
      <c r="A660" s="351">
        <v>639</v>
      </c>
      <c r="B660" s="357" t="s">
        <v>792</v>
      </c>
      <c r="C660" s="332"/>
      <c r="D660" s="332"/>
      <c r="E660" s="332"/>
      <c r="F660" s="332"/>
      <c r="G660" s="332"/>
      <c r="H660" s="419"/>
    </row>
    <row r="661" spans="1:8" ht="30" x14ac:dyDescent="0.25">
      <c r="A661" s="351">
        <v>640</v>
      </c>
      <c r="B661" s="357" t="s">
        <v>791</v>
      </c>
      <c r="C661" s="332"/>
      <c r="D661" s="332"/>
      <c r="E661" s="332"/>
      <c r="F661" s="332"/>
      <c r="G661" s="332"/>
      <c r="H661" s="419"/>
    </row>
    <row r="662" spans="1:8" ht="30" x14ac:dyDescent="0.25">
      <c r="A662" s="351">
        <v>641</v>
      </c>
      <c r="B662" s="354" t="s">
        <v>790</v>
      </c>
      <c r="C662" s="368"/>
      <c r="D662" s="368"/>
      <c r="E662" s="368"/>
      <c r="F662" s="368"/>
      <c r="G662" s="368"/>
      <c r="H662" s="419"/>
    </row>
    <row r="663" spans="1:8" x14ac:dyDescent="0.25">
      <c r="A663" s="351">
        <v>642</v>
      </c>
      <c r="B663" s="442" t="s">
        <v>789</v>
      </c>
      <c r="C663" s="377"/>
      <c r="D663" s="377"/>
      <c r="E663" s="377"/>
      <c r="F663" s="377"/>
      <c r="G663" s="377"/>
      <c r="H663" s="435"/>
    </row>
    <row r="664" spans="1:8" x14ac:dyDescent="0.25">
      <c r="A664" s="351">
        <v>643</v>
      </c>
      <c r="B664" s="441" t="s">
        <v>788</v>
      </c>
      <c r="C664" s="367"/>
      <c r="D664" s="367"/>
      <c r="E664" s="367"/>
      <c r="F664" s="367"/>
      <c r="G664" s="367"/>
      <c r="H664" s="435"/>
    </row>
    <row r="665" spans="1:8" ht="30" x14ac:dyDescent="0.25">
      <c r="A665" s="351">
        <v>644</v>
      </c>
      <c r="B665" s="443" t="s">
        <v>787</v>
      </c>
      <c r="C665" s="332"/>
      <c r="D665" s="332"/>
      <c r="E665" s="332"/>
      <c r="F665" s="332"/>
      <c r="G665" s="332"/>
      <c r="H665" s="435"/>
    </row>
    <row r="666" spans="1:8" x14ac:dyDescent="0.25">
      <c r="A666" s="351">
        <v>645</v>
      </c>
      <c r="B666" s="443" t="s">
        <v>786</v>
      </c>
      <c r="C666" s="332"/>
      <c r="D666" s="332"/>
      <c r="E666" s="332"/>
      <c r="F666" s="332"/>
      <c r="G666" s="332"/>
      <c r="H666" s="435"/>
    </row>
    <row r="667" spans="1:8" x14ac:dyDescent="0.25">
      <c r="A667" s="351">
        <v>646</v>
      </c>
      <c r="B667" s="443" t="s">
        <v>785</v>
      </c>
      <c r="C667" s="332"/>
      <c r="D667" s="332"/>
      <c r="E667" s="332"/>
      <c r="F667" s="332"/>
      <c r="G667" s="332"/>
      <c r="H667" s="435"/>
    </row>
    <row r="668" spans="1:8" x14ac:dyDescent="0.25">
      <c r="A668" s="351">
        <v>647</v>
      </c>
      <c r="B668" s="442" t="s">
        <v>784</v>
      </c>
      <c r="C668" s="377"/>
      <c r="D668" s="377"/>
      <c r="E668" s="377"/>
      <c r="F668" s="377"/>
      <c r="G668" s="377"/>
      <c r="H668" s="375"/>
    </row>
    <row r="669" spans="1:8" x14ac:dyDescent="0.25">
      <c r="A669" s="351">
        <v>648</v>
      </c>
      <c r="B669" s="441" t="s">
        <v>783</v>
      </c>
      <c r="C669" s="332"/>
      <c r="D669" s="332"/>
      <c r="E669" s="332"/>
      <c r="F669" s="332"/>
      <c r="G669" s="332"/>
      <c r="H669" s="375"/>
    </row>
    <row r="670" spans="1:8" s="1128" customFormat="1" x14ac:dyDescent="0.25">
      <c r="A670" s="351">
        <v>649</v>
      </c>
      <c r="B670" s="441" t="s">
        <v>782</v>
      </c>
      <c r="C670" s="332"/>
      <c r="D670" s="332"/>
      <c r="E670" s="332"/>
      <c r="F670" s="332"/>
      <c r="G670" s="332"/>
      <c r="H670" s="375"/>
    </row>
    <row r="671" spans="1:8" s="1128" customFormat="1" ht="30" x14ac:dyDescent="0.25">
      <c r="A671" s="351">
        <v>650</v>
      </c>
      <c r="B671" s="402" t="s">
        <v>781</v>
      </c>
      <c r="C671" s="367"/>
      <c r="D671" s="367"/>
      <c r="E671" s="367"/>
      <c r="F671" s="367"/>
      <c r="G671" s="367"/>
      <c r="H671" s="375"/>
    </row>
    <row r="672" spans="1:8" s="1128" customFormat="1" ht="30" x14ac:dyDescent="0.25">
      <c r="A672" s="351">
        <v>651</v>
      </c>
      <c r="B672" s="354" t="s">
        <v>780</v>
      </c>
      <c r="C672" s="367"/>
      <c r="D672" s="367"/>
      <c r="E672" s="367"/>
      <c r="F672" s="367"/>
      <c r="G672" s="367"/>
      <c r="H672" s="375"/>
    </row>
    <row r="673" spans="1:8" x14ac:dyDescent="0.25">
      <c r="A673" s="351">
        <v>652</v>
      </c>
      <c r="B673" s="429" t="s">
        <v>779</v>
      </c>
      <c r="C673" s="363"/>
      <c r="D673" s="363"/>
      <c r="E673" s="363"/>
      <c r="F673" s="363"/>
      <c r="G673" s="363"/>
      <c r="H673" s="431"/>
    </row>
    <row r="674" spans="1:8" ht="30" x14ac:dyDescent="0.25">
      <c r="A674" s="351">
        <v>653</v>
      </c>
      <c r="B674" s="430" t="s">
        <v>778</v>
      </c>
      <c r="C674" s="367"/>
      <c r="D674" s="367"/>
      <c r="E674" s="367"/>
      <c r="F674" s="367"/>
      <c r="G674" s="367"/>
      <c r="H674" s="375"/>
    </row>
    <row r="675" spans="1:8" x14ac:dyDescent="0.25">
      <c r="A675" s="351">
        <v>654</v>
      </c>
      <c r="B675" s="354" t="s">
        <v>777</v>
      </c>
      <c r="C675" s="334"/>
      <c r="D675" s="334"/>
      <c r="E675" s="334"/>
      <c r="F675" s="334"/>
      <c r="G675" s="334"/>
      <c r="H675" s="375"/>
    </row>
    <row r="676" spans="1:8" ht="30" x14ac:dyDescent="0.25">
      <c r="A676" s="351">
        <v>655</v>
      </c>
      <c r="B676" s="430" t="s">
        <v>776</v>
      </c>
      <c r="C676" s="334"/>
      <c r="D676" s="334"/>
      <c r="E676" s="334"/>
      <c r="F676" s="334"/>
      <c r="G676" s="334"/>
      <c r="H676" s="375"/>
    </row>
    <row r="677" spans="1:8" ht="30" x14ac:dyDescent="0.25">
      <c r="A677" s="351">
        <v>656</v>
      </c>
      <c r="B677" s="378" t="s">
        <v>775</v>
      </c>
      <c r="C677" s="334"/>
      <c r="D677" s="334"/>
      <c r="E677" s="334"/>
      <c r="F677" s="334"/>
      <c r="G677" s="334"/>
      <c r="H677" s="375"/>
    </row>
    <row r="678" spans="1:8" ht="30" x14ac:dyDescent="0.25">
      <c r="A678" s="351">
        <v>657</v>
      </c>
      <c r="B678" s="430" t="s">
        <v>774</v>
      </c>
      <c r="C678" s="334"/>
      <c r="D678" s="334"/>
      <c r="E678" s="334"/>
      <c r="F678" s="334"/>
      <c r="G678" s="334"/>
      <c r="H678" s="375"/>
    </row>
    <row r="679" spans="1:8" x14ac:dyDescent="0.25">
      <c r="A679" s="351">
        <v>658</v>
      </c>
      <c r="B679" s="396" t="s">
        <v>773</v>
      </c>
      <c r="C679" s="395"/>
      <c r="D679" s="395"/>
      <c r="E679" s="395"/>
      <c r="F679" s="395"/>
      <c r="G679" s="395"/>
      <c r="H679" s="394"/>
    </row>
    <row r="680" spans="1:8" x14ac:dyDescent="0.25">
      <c r="A680" s="351">
        <v>659</v>
      </c>
      <c r="B680" s="429" t="s">
        <v>772</v>
      </c>
      <c r="C680" s="363"/>
      <c r="D680" s="363"/>
      <c r="E680" s="363"/>
      <c r="F680" s="363"/>
      <c r="G680" s="363"/>
      <c r="H680" s="431"/>
    </row>
    <row r="681" spans="1:8" x14ac:dyDescent="0.2">
      <c r="A681" s="351">
        <v>660</v>
      </c>
      <c r="B681" s="354" t="s">
        <v>771</v>
      </c>
      <c r="C681" s="334"/>
      <c r="D681" s="334"/>
      <c r="E681" s="334"/>
      <c r="F681" s="334"/>
      <c r="G681" s="334"/>
      <c r="H681" s="358"/>
    </row>
    <row r="682" spans="1:8" ht="30" x14ac:dyDescent="0.2">
      <c r="A682" s="351">
        <v>661</v>
      </c>
      <c r="B682" s="354" t="s">
        <v>770</v>
      </c>
      <c r="C682" s="377"/>
      <c r="D682" s="377"/>
      <c r="E682" s="377"/>
      <c r="F682" s="377"/>
      <c r="G682" s="377"/>
      <c r="H682" s="358"/>
    </row>
    <row r="683" spans="1:8" x14ac:dyDescent="0.2">
      <c r="A683" s="351">
        <v>662</v>
      </c>
      <c r="B683" s="376" t="s">
        <v>769</v>
      </c>
      <c r="C683" s="367"/>
      <c r="D683" s="367"/>
      <c r="E683" s="367"/>
      <c r="F683" s="367"/>
      <c r="G683" s="367"/>
      <c r="H683" s="358"/>
    </row>
    <row r="684" spans="1:8" ht="45" x14ac:dyDescent="0.2">
      <c r="A684" s="351">
        <v>663</v>
      </c>
      <c r="B684" s="376" t="s">
        <v>768</v>
      </c>
      <c r="C684" s="367"/>
      <c r="D684" s="367"/>
      <c r="E684" s="367"/>
      <c r="F684" s="367"/>
      <c r="G684" s="367"/>
      <c r="H684" s="358"/>
    </row>
    <row r="685" spans="1:8" ht="30" x14ac:dyDescent="0.2">
      <c r="A685" s="351">
        <v>664</v>
      </c>
      <c r="B685" s="378" t="s">
        <v>767</v>
      </c>
      <c r="C685" s="334"/>
      <c r="D685" s="334"/>
      <c r="E685" s="334"/>
      <c r="F685" s="334"/>
      <c r="G685" s="334"/>
      <c r="H685" s="358"/>
    </row>
    <row r="686" spans="1:8" ht="45" x14ac:dyDescent="0.2">
      <c r="A686" s="351">
        <v>665</v>
      </c>
      <c r="B686" s="378" t="s">
        <v>766</v>
      </c>
      <c r="C686" s="377"/>
      <c r="D686" s="377"/>
      <c r="E686" s="377"/>
      <c r="F686" s="377"/>
      <c r="G686" s="377"/>
      <c r="H686" s="358"/>
    </row>
    <row r="687" spans="1:8" x14ac:dyDescent="0.2">
      <c r="A687" s="351">
        <v>666</v>
      </c>
      <c r="B687" s="376" t="s">
        <v>762</v>
      </c>
      <c r="C687" s="334"/>
      <c r="D687" s="334"/>
      <c r="E687" s="334"/>
      <c r="F687" s="334"/>
      <c r="G687" s="334"/>
      <c r="H687" s="358"/>
    </row>
    <row r="688" spans="1:8" x14ac:dyDescent="0.2">
      <c r="A688" s="351">
        <v>667</v>
      </c>
      <c r="B688" s="376" t="s">
        <v>190</v>
      </c>
      <c r="C688" s="334"/>
      <c r="D688" s="334"/>
      <c r="E688" s="334"/>
      <c r="F688" s="334"/>
      <c r="G688" s="334"/>
      <c r="H688" s="358"/>
    </row>
    <row r="689" spans="1:8" x14ac:dyDescent="0.2">
      <c r="A689" s="351">
        <v>668</v>
      </c>
      <c r="B689" s="376" t="s">
        <v>302</v>
      </c>
      <c r="C689" s="334"/>
      <c r="D689" s="334"/>
      <c r="E689" s="334"/>
      <c r="F689" s="334"/>
      <c r="G689" s="334"/>
      <c r="H689" s="358"/>
    </row>
    <row r="690" spans="1:8" x14ac:dyDescent="0.2">
      <c r="A690" s="351">
        <v>669</v>
      </c>
      <c r="B690" s="376" t="s">
        <v>537</v>
      </c>
      <c r="C690" s="334"/>
      <c r="D690" s="334"/>
      <c r="E690" s="334"/>
      <c r="F690" s="334"/>
      <c r="G690" s="334"/>
      <c r="H690" s="358"/>
    </row>
    <row r="691" spans="1:8" x14ac:dyDescent="0.2">
      <c r="A691" s="351">
        <v>670</v>
      </c>
      <c r="B691" s="376" t="s">
        <v>761</v>
      </c>
      <c r="C691" s="334"/>
      <c r="D691" s="334"/>
      <c r="E691" s="334"/>
      <c r="F691" s="334"/>
      <c r="G691" s="334"/>
      <c r="H691" s="358"/>
    </row>
    <row r="692" spans="1:8" x14ac:dyDescent="0.2">
      <c r="A692" s="351">
        <v>671</v>
      </c>
      <c r="B692" s="376" t="s">
        <v>765</v>
      </c>
      <c r="C692" s="334"/>
      <c r="D692" s="334"/>
      <c r="E692" s="334"/>
      <c r="F692" s="334"/>
      <c r="G692" s="334"/>
      <c r="H692" s="358"/>
    </row>
    <row r="693" spans="1:8" x14ac:dyDescent="0.2">
      <c r="A693" s="351">
        <v>672</v>
      </c>
      <c r="B693" s="376" t="s">
        <v>760</v>
      </c>
      <c r="C693" s="334"/>
      <c r="D693" s="334"/>
      <c r="E693" s="334"/>
      <c r="F693" s="334"/>
      <c r="G693" s="334"/>
      <c r="H693" s="358"/>
    </row>
    <row r="694" spans="1:8" x14ac:dyDescent="0.2">
      <c r="A694" s="351">
        <v>673</v>
      </c>
      <c r="B694" s="376" t="s">
        <v>759</v>
      </c>
      <c r="C694" s="334"/>
      <c r="D694" s="334"/>
      <c r="E694" s="334"/>
      <c r="F694" s="334"/>
      <c r="G694" s="334"/>
      <c r="H694" s="358"/>
    </row>
    <row r="695" spans="1:8" x14ac:dyDescent="0.2">
      <c r="A695" s="351">
        <v>674</v>
      </c>
      <c r="B695" s="376" t="s">
        <v>758</v>
      </c>
      <c r="C695" s="334"/>
      <c r="D695" s="334"/>
      <c r="E695" s="334"/>
      <c r="F695" s="334"/>
      <c r="G695" s="334"/>
      <c r="H695" s="358"/>
    </row>
    <row r="696" spans="1:8" s="1128" customFormat="1" ht="30" x14ac:dyDescent="0.2">
      <c r="A696" s="351">
        <v>675</v>
      </c>
      <c r="B696" s="318" t="s">
        <v>764</v>
      </c>
      <c r="C696" s="332"/>
      <c r="D696" s="332"/>
      <c r="E696" s="332"/>
      <c r="F696" s="332"/>
      <c r="G696" s="332"/>
      <c r="H696" s="358"/>
    </row>
    <row r="697" spans="1:8" x14ac:dyDescent="0.2">
      <c r="A697" s="351">
        <v>676</v>
      </c>
      <c r="B697" s="378" t="s">
        <v>763</v>
      </c>
      <c r="C697" s="377"/>
      <c r="D697" s="377"/>
      <c r="E697" s="377"/>
      <c r="F697" s="377"/>
      <c r="G697" s="377"/>
      <c r="H697" s="358"/>
    </row>
    <row r="698" spans="1:8" x14ac:dyDescent="0.2">
      <c r="A698" s="351">
        <v>677</v>
      </c>
      <c r="B698" s="376" t="s">
        <v>762</v>
      </c>
      <c r="C698" s="334"/>
      <c r="D698" s="334"/>
      <c r="E698" s="334"/>
      <c r="F698" s="334"/>
      <c r="G698" s="334"/>
      <c r="H698" s="358"/>
    </row>
    <row r="699" spans="1:8" x14ac:dyDescent="0.2">
      <c r="A699" s="351">
        <v>678</v>
      </c>
      <c r="B699" s="376" t="s">
        <v>761</v>
      </c>
      <c r="C699" s="334"/>
      <c r="D699" s="334"/>
      <c r="E699" s="334"/>
      <c r="F699" s="334"/>
      <c r="G699" s="334"/>
      <c r="H699" s="358"/>
    </row>
    <row r="700" spans="1:8" x14ac:dyDescent="0.2">
      <c r="A700" s="351">
        <v>679</v>
      </c>
      <c r="B700" s="376" t="s">
        <v>760</v>
      </c>
      <c r="C700" s="334"/>
      <c r="D700" s="334"/>
      <c r="E700" s="334"/>
      <c r="F700" s="334"/>
      <c r="G700" s="334"/>
      <c r="H700" s="358"/>
    </row>
    <row r="701" spans="1:8" x14ac:dyDescent="0.2">
      <c r="A701" s="351">
        <v>680</v>
      </c>
      <c r="B701" s="376" t="s">
        <v>759</v>
      </c>
      <c r="C701" s="334"/>
      <c r="D701" s="334"/>
      <c r="E701" s="334"/>
      <c r="F701" s="334"/>
      <c r="G701" s="334"/>
      <c r="H701" s="358"/>
    </row>
    <row r="702" spans="1:8" x14ac:dyDescent="0.2">
      <c r="A702" s="351">
        <v>681</v>
      </c>
      <c r="B702" s="376" t="s">
        <v>758</v>
      </c>
      <c r="C702" s="334"/>
      <c r="D702" s="334"/>
      <c r="E702" s="334"/>
      <c r="F702" s="334"/>
      <c r="G702" s="334"/>
      <c r="H702" s="358"/>
    </row>
    <row r="703" spans="1:8" s="1128" customFormat="1" ht="30" x14ac:dyDescent="0.2">
      <c r="A703" s="351">
        <v>682</v>
      </c>
      <c r="B703" s="357" t="s">
        <v>757</v>
      </c>
      <c r="C703" s="332"/>
      <c r="D703" s="332"/>
      <c r="E703" s="332"/>
      <c r="F703" s="332"/>
      <c r="G703" s="332"/>
      <c r="H703" s="358"/>
    </row>
    <row r="704" spans="1:8" s="1128" customFormat="1" ht="45" x14ac:dyDescent="0.2">
      <c r="A704" s="351">
        <v>683</v>
      </c>
      <c r="B704" s="357" t="s">
        <v>756</v>
      </c>
      <c r="C704" s="332"/>
      <c r="D704" s="332"/>
      <c r="E704" s="332"/>
      <c r="F704" s="332"/>
      <c r="G704" s="332"/>
      <c r="H704" s="358"/>
    </row>
    <row r="705" spans="1:8" ht="45" x14ac:dyDescent="0.2">
      <c r="A705" s="351">
        <v>684</v>
      </c>
      <c r="B705" s="408" t="s">
        <v>755</v>
      </c>
      <c r="C705" s="288"/>
      <c r="D705" s="288"/>
      <c r="E705" s="288"/>
      <c r="F705" s="288"/>
      <c r="G705" s="288"/>
      <c r="H705" s="440"/>
    </row>
    <row r="706" spans="1:8" s="1128" customFormat="1" ht="30" x14ac:dyDescent="0.2">
      <c r="A706" s="351">
        <v>685</v>
      </c>
      <c r="B706" s="559" t="s">
        <v>754</v>
      </c>
      <c r="C706" s="324"/>
      <c r="D706" s="324"/>
      <c r="E706" s="324"/>
      <c r="F706" s="324"/>
      <c r="G706" s="324"/>
      <c r="H706" s="440"/>
    </row>
    <row r="707" spans="1:8" s="1128" customFormat="1" ht="30" x14ac:dyDescent="0.25">
      <c r="A707" s="351">
        <v>686</v>
      </c>
      <c r="B707" s="491" t="s">
        <v>753</v>
      </c>
      <c r="C707" s="332"/>
      <c r="D707" s="332"/>
      <c r="E707" s="332"/>
      <c r="F707" s="332"/>
      <c r="G707" s="332"/>
      <c r="H707" s="440"/>
    </row>
    <row r="708" spans="1:8" x14ac:dyDescent="0.2">
      <c r="A708" s="351">
        <v>687</v>
      </c>
      <c r="B708" s="408" t="s">
        <v>752</v>
      </c>
      <c r="C708" s="288"/>
      <c r="D708" s="288"/>
      <c r="E708" s="288"/>
      <c r="F708" s="288"/>
      <c r="G708" s="288"/>
      <c r="H708" s="440"/>
    </row>
    <row r="709" spans="1:8" s="439" customFormat="1" x14ac:dyDescent="0.25">
      <c r="A709" s="351">
        <v>688</v>
      </c>
      <c r="B709" s="429" t="s">
        <v>751</v>
      </c>
      <c r="C709" s="363"/>
      <c r="D709" s="363"/>
      <c r="E709" s="363"/>
      <c r="F709" s="363"/>
      <c r="G709" s="363"/>
      <c r="H709" s="431"/>
    </row>
    <row r="710" spans="1:8" ht="16.5" customHeight="1" x14ac:dyDescent="0.25">
      <c r="A710" s="351">
        <v>689</v>
      </c>
      <c r="B710" s="430" t="s">
        <v>750</v>
      </c>
      <c r="C710" s="334"/>
      <c r="D710" s="334"/>
      <c r="E710" s="334"/>
      <c r="F710" s="334"/>
      <c r="G710" s="334"/>
      <c r="H710" s="419"/>
    </row>
    <row r="711" spans="1:8" ht="30" x14ac:dyDescent="0.25">
      <c r="A711" s="351">
        <v>690</v>
      </c>
      <c r="B711" s="430" t="s">
        <v>749</v>
      </c>
      <c r="C711" s="334"/>
      <c r="D711" s="334"/>
      <c r="E711" s="334"/>
      <c r="F711" s="334"/>
      <c r="G711" s="334"/>
      <c r="H711" s="419"/>
    </row>
    <row r="712" spans="1:8" s="1128" customFormat="1" ht="45" x14ac:dyDescent="0.25">
      <c r="A712" s="351">
        <v>691</v>
      </c>
      <c r="B712" s="432" t="s">
        <v>748</v>
      </c>
      <c r="C712" s="332"/>
      <c r="D712" s="332"/>
      <c r="E712" s="332"/>
      <c r="F712" s="332"/>
      <c r="G712" s="332"/>
      <c r="H712" s="419"/>
    </row>
    <row r="713" spans="1:8" s="1128" customFormat="1" ht="30" x14ac:dyDescent="0.25">
      <c r="A713" s="351">
        <v>692</v>
      </c>
      <c r="B713" s="432" t="s">
        <v>747</v>
      </c>
      <c r="C713" s="332"/>
      <c r="D713" s="332"/>
      <c r="E713" s="332"/>
      <c r="F713" s="332"/>
      <c r="G713" s="332"/>
      <c r="H713" s="419"/>
    </row>
    <row r="714" spans="1:8" s="1128" customFormat="1" ht="45" x14ac:dyDescent="0.25">
      <c r="A714" s="351">
        <v>693</v>
      </c>
      <c r="B714" s="432" t="s">
        <v>746</v>
      </c>
      <c r="C714" s="332"/>
      <c r="D714" s="332"/>
      <c r="E714" s="332"/>
      <c r="F714" s="332"/>
      <c r="G714" s="332"/>
      <c r="H714" s="419"/>
    </row>
    <row r="715" spans="1:8" s="1128" customFormat="1" ht="30" x14ac:dyDescent="0.25">
      <c r="A715" s="351">
        <v>694</v>
      </c>
      <c r="B715" s="318" t="s">
        <v>745</v>
      </c>
      <c r="C715" s="332"/>
      <c r="D715" s="332"/>
      <c r="E715" s="332"/>
      <c r="F715" s="332"/>
      <c r="G715" s="332"/>
      <c r="H715" s="419"/>
    </row>
    <row r="716" spans="1:8" ht="30" x14ac:dyDescent="0.25">
      <c r="A716" s="351">
        <v>695</v>
      </c>
      <c r="B716" s="378" t="s">
        <v>744</v>
      </c>
      <c r="C716" s="334"/>
      <c r="D716" s="334"/>
      <c r="E716" s="334"/>
      <c r="F716" s="334"/>
      <c r="G716" s="334"/>
      <c r="H716" s="419"/>
    </row>
    <row r="717" spans="1:8" ht="30" x14ac:dyDescent="0.25">
      <c r="A717" s="351">
        <v>696</v>
      </c>
      <c r="B717" s="378" t="s">
        <v>743</v>
      </c>
      <c r="C717" s="334"/>
      <c r="D717" s="334"/>
      <c r="E717" s="334"/>
      <c r="F717" s="334"/>
      <c r="G717" s="334"/>
      <c r="H717" s="419"/>
    </row>
    <row r="718" spans="1:8" ht="30" x14ac:dyDescent="0.25">
      <c r="A718" s="351">
        <v>697</v>
      </c>
      <c r="B718" s="354" t="s">
        <v>742</v>
      </c>
      <c r="C718" s="334"/>
      <c r="D718" s="334"/>
      <c r="E718" s="334"/>
      <c r="F718" s="334"/>
      <c r="G718" s="334"/>
      <c r="H718" s="419"/>
    </row>
    <row r="719" spans="1:8" ht="30" x14ac:dyDescent="0.25">
      <c r="A719" s="351">
        <v>698</v>
      </c>
      <c r="B719" s="412" t="s">
        <v>741</v>
      </c>
      <c r="C719" s="334"/>
      <c r="D719" s="334"/>
      <c r="E719" s="334"/>
      <c r="F719" s="334"/>
      <c r="G719" s="334"/>
      <c r="H719" s="419"/>
    </row>
    <row r="720" spans="1:8" x14ac:dyDescent="0.25">
      <c r="A720" s="351">
        <v>699</v>
      </c>
      <c r="B720" s="357" t="s">
        <v>740</v>
      </c>
      <c r="C720" s="334"/>
      <c r="D720" s="334"/>
      <c r="E720" s="334"/>
      <c r="F720" s="334"/>
      <c r="G720" s="334"/>
      <c r="H720" s="419"/>
    </row>
    <row r="721" spans="1:8" x14ac:dyDescent="0.25">
      <c r="A721" s="351">
        <v>700</v>
      </c>
      <c r="B721" s="438" t="s">
        <v>739</v>
      </c>
      <c r="C721" s="334"/>
      <c r="D721" s="334"/>
      <c r="E721" s="334"/>
      <c r="F721" s="334"/>
      <c r="G721" s="334"/>
      <c r="H721" s="419"/>
    </row>
    <row r="722" spans="1:8" ht="30" x14ac:dyDescent="0.2">
      <c r="A722" s="351">
        <v>701</v>
      </c>
      <c r="B722" s="357" t="s">
        <v>738</v>
      </c>
      <c r="C722" s="332"/>
      <c r="D722" s="332"/>
      <c r="E722" s="332"/>
      <c r="F722" s="332"/>
      <c r="G722" s="332"/>
      <c r="H722" s="437"/>
    </row>
    <row r="723" spans="1:8" s="1128" customFormat="1" ht="30" x14ac:dyDescent="0.2">
      <c r="A723" s="351">
        <v>702</v>
      </c>
      <c r="B723" s="357" t="s">
        <v>737</v>
      </c>
      <c r="C723" s="332"/>
      <c r="D723" s="332"/>
      <c r="E723" s="332"/>
      <c r="F723" s="332"/>
      <c r="G723" s="332"/>
      <c r="H723" s="437"/>
    </row>
    <row r="724" spans="1:8" x14ac:dyDescent="0.25">
      <c r="A724" s="351">
        <v>703</v>
      </c>
      <c r="B724" s="429" t="s">
        <v>736</v>
      </c>
      <c r="C724" s="363"/>
      <c r="D724" s="363"/>
      <c r="E724" s="363"/>
      <c r="F724" s="363"/>
      <c r="G724" s="363"/>
      <c r="H724" s="431"/>
    </row>
    <row r="725" spans="1:8" x14ac:dyDescent="0.25">
      <c r="A725" s="351">
        <v>704</v>
      </c>
      <c r="B725" s="354" t="s">
        <v>735</v>
      </c>
      <c r="C725" s="367"/>
      <c r="D725" s="367"/>
      <c r="E725" s="367"/>
      <c r="F725" s="367"/>
      <c r="G725" s="367"/>
      <c r="H725" s="435"/>
    </row>
    <row r="726" spans="1:8" x14ac:dyDescent="0.25">
      <c r="A726" s="351">
        <v>705</v>
      </c>
      <c r="B726" s="354" t="s">
        <v>734</v>
      </c>
      <c r="C726" s="367"/>
      <c r="D726" s="367"/>
      <c r="E726" s="367"/>
      <c r="F726" s="367"/>
      <c r="G726" s="367"/>
      <c r="H726" s="435"/>
    </row>
    <row r="727" spans="1:8" ht="30" x14ac:dyDescent="0.25">
      <c r="A727" s="351">
        <v>706</v>
      </c>
      <c r="B727" s="378" t="s">
        <v>733</v>
      </c>
      <c r="C727" s="367"/>
      <c r="D727" s="367"/>
      <c r="E727" s="367"/>
      <c r="F727" s="367"/>
      <c r="G727" s="367"/>
      <c r="H727" s="435"/>
    </row>
    <row r="728" spans="1:8" s="1128" customFormat="1" ht="45" x14ac:dyDescent="0.25">
      <c r="A728" s="351">
        <v>707</v>
      </c>
      <c r="B728" s="318" t="s">
        <v>732</v>
      </c>
      <c r="C728" s="332"/>
      <c r="D728" s="332"/>
      <c r="E728" s="332"/>
      <c r="F728" s="332"/>
      <c r="G728" s="332"/>
      <c r="H728" s="435"/>
    </row>
    <row r="729" spans="1:8" s="1128" customFormat="1" ht="45" x14ac:dyDescent="0.25">
      <c r="A729" s="351">
        <v>708</v>
      </c>
      <c r="B729" s="318" t="s">
        <v>731</v>
      </c>
      <c r="C729" s="332"/>
      <c r="D729" s="332"/>
      <c r="E729" s="332"/>
      <c r="F729" s="332"/>
      <c r="G729" s="332"/>
      <c r="H729" s="435"/>
    </row>
    <row r="730" spans="1:8" s="1128" customFormat="1" ht="45" x14ac:dyDescent="0.25">
      <c r="A730" s="351">
        <v>709</v>
      </c>
      <c r="B730" s="318" t="s">
        <v>730</v>
      </c>
      <c r="C730" s="332"/>
      <c r="D730" s="332"/>
      <c r="E730" s="332"/>
      <c r="F730" s="332"/>
      <c r="G730" s="332"/>
      <c r="H730" s="435"/>
    </row>
    <row r="731" spans="1:8" s="1128" customFormat="1" ht="30" x14ac:dyDescent="0.25">
      <c r="A731" s="351">
        <v>710</v>
      </c>
      <c r="B731" s="318" t="s">
        <v>729</v>
      </c>
      <c r="C731" s="332"/>
      <c r="D731" s="332"/>
      <c r="E731" s="332"/>
      <c r="F731" s="332"/>
      <c r="G731" s="332"/>
      <c r="H731" s="435"/>
    </row>
    <row r="732" spans="1:8" s="1128" customFormat="1" ht="30" x14ac:dyDescent="0.25">
      <c r="A732" s="351">
        <v>711</v>
      </c>
      <c r="B732" s="318" t="s">
        <v>728</v>
      </c>
      <c r="C732" s="332"/>
      <c r="D732" s="332"/>
      <c r="E732" s="332"/>
      <c r="F732" s="332"/>
      <c r="G732" s="332"/>
      <c r="H732" s="435"/>
    </row>
    <row r="733" spans="1:8" x14ac:dyDescent="0.25">
      <c r="A733" s="351">
        <v>712</v>
      </c>
      <c r="B733" s="429" t="s">
        <v>727</v>
      </c>
      <c r="C733" s="363"/>
      <c r="D733" s="363"/>
      <c r="E733" s="363"/>
      <c r="F733" s="363"/>
      <c r="G733" s="363"/>
      <c r="H733" s="431"/>
    </row>
    <row r="734" spans="1:8" s="1128" customFormat="1" ht="30" x14ac:dyDescent="0.25">
      <c r="A734" s="351">
        <v>713</v>
      </c>
      <c r="B734" s="430" t="s">
        <v>726</v>
      </c>
      <c r="C734" s="334"/>
      <c r="D734" s="334"/>
      <c r="E734" s="334"/>
      <c r="F734" s="334"/>
      <c r="G734" s="334"/>
      <c r="H734" s="435"/>
    </row>
    <row r="735" spans="1:8" s="1128" customFormat="1" x14ac:dyDescent="0.25">
      <c r="A735" s="351">
        <v>714</v>
      </c>
      <c r="B735" s="354" t="s">
        <v>725</v>
      </c>
      <c r="C735" s="334"/>
      <c r="D735" s="334"/>
      <c r="E735" s="334"/>
      <c r="F735" s="334"/>
      <c r="G735" s="334"/>
      <c r="H735" s="435"/>
    </row>
    <row r="736" spans="1:8" s="1128" customFormat="1" x14ac:dyDescent="0.25">
      <c r="A736" s="351">
        <v>715</v>
      </c>
      <c r="B736" s="354" t="s">
        <v>724</v>
      </c>
      <c r="C736" s="334"/>
      <c r="D736" s="334"/>
      <c r="E736" s="334"/>
      <c r="F736" s="334"/>
      <c r="G736" s="334"/>
      <c r="H736" s="435"/>
    </row>
    <row r="737" spans="1:8" s="1128" customFormat="1" ht="45" x14ac:dyDescent="0.25">
      <c r="A737" s="351">
        <v>716</v>
      </c>
      <c r="B737" s="357" t="s">
        <v>723</v>
      </c>
      <c r="C737" s="332"/>
      <c r="D737" s="332"/>
      <c r="E737" s="332"/>
      <c r="F737" s="332"/>
      <c r="G737" s="332"/>
      <c r="H737" s="435"/>
    </row>
    <row r="738" spans="1:8" s="1128" customFormat="1" x14ac:dyDescent="0.25">
      <c r="A738" s="351">
        <v>717</v>
      </c>
      <c r="B738" s="357" t="s">
        <v>722</v>
      </c>
      <c r="C738" s="332"/>
      <c r="D738" s="332"/>
      <c r="E738" s="332"/>
      <c r="F738" s="332"/>
      <c r="G738" s="332"/>
      <c r="H738" s="435"/>
    </row>
    <row r="739" spans="1:8" s="1128" customFormat="1" x14ac:dyDescent="0.25">
      <c r="A739" s="351">
        <v>718</v>
      </c>
      <c r="B739" s="354" t="s">
        <v>721</v>
      </c>
      <c r="C739" s="334"/>
      <c r="D739" s="334"/>
      <c r="E739" s="334"/>
      <c r="F739" s="334"/>
      <c r="G739" s="334"/>
      <c r="H739" s="435"/>
    </row>
    <row r="740" spans="1:8" ht="15" customHeight="1" x14ac:dyDescent="0.25">
      <c r="A740" s="351">
        <v>719</v>
      </c>
      <c r="B740" s="402" t="s">
        <v>720</v>
      </c>
      <c r="C740" s="334"/>
      <c r="D740" s="334"/>
      <c r="E740" s="334"/>
      <c r="F740" s="334"/>
      <c r="G740" s="334"/>
      <c r="H740" s="435"/>
    </row>
    <row r="741" spans="1:8" x14ac:dyDescent="0.25">
      <c r="A741" s="351">
        <v>720</v>
      </c>
      <c r="B741" s="396" t="s">
        <v>719</v>
      </c>
      <c r="C741" s="395"/>
      <c r="D741" s="395"/>
      <c r="E741" s="395"/>
      <c r="F741" s="395"/>
      <c r="G741" s="395"/>
      <c r="H741" s="394"/>
    </row>
    <row r="742" spans="1:8" x14ac:dyDescent="0.25">
      <c r="A742" s="351">
        <v>721</v>
      </c>
      <c r="B742" s="429" t="s">
        <v>718</v>
      </c>
      <c r="C742" s="363"/>
      <c r="D742" s="363"/>
      <c r="E742" s="363"/>
      <c r="F742" s="363"/>
      <c r="G742" s="363"/>
      <c r="H742" s="431"/>
    </row>
    <row r="743" spans="1:8" s="1128" customFormat="1" ht="45" x14ac:dyDescent="0.2">
      <c r="A743" s="351">
        <v>722</v>
      </c>
      <c r="B743" s="357" t="s">
        <v>717</v>
      </c>
      <c r="C743" s="332"/>
      <c r="D743" s="332"/>
      <c r="E743" s="332"/>
      <c r="F743" s="332"/>
      <c r="G743" s="332"/>
      <c r="H743" s="1134"/>
    </row>
    <row r="744" spans="1:8" s="1128" customFormat="1" ht="30" x14ac:dyDescent="0.2">
      <c r="A744" s="351">
        <v>723</v>
      </c>
      <c r="B744" s="357" t="s">
        <v>716</v>
      </c>
      <c r="C744" s="332"/>
      <c r="D744" s="332"/>
      <c r="E744" s="332"/>
      <c r="F744" s="332"/>
      <c r="G744" s="332"/>
      <c r="H744" s="1134"/>
    </row>
    <row r="745" spans="1:8" s="1128" customFormat="1" ht="30" x14ac:dyDescent="0.2">
      <c r="A745" s="351">
        <v>724</v>
      </c>
      <c r="B745" s="357" t="s">
        <v>715</v>
      </c>
      <c r="C745" s="332"/>
      <c r="D745" s="332"/>
      <c r="E745" s="332"/>
      <c r="F745" s="332"/>
      <c r="G745" s="332"/>
      <c r="H745" s="1134"/>
    </row>
    <row r="746" spans="1:8" ht="30" x14ac:dyDescent="0.2">
      <c r="A746" s="351">
        <v>725</v>
      </c>
      <c r="B746" s="354" t="s">
        <v>714</v>
      </c>
      <c r="C746" s="377"/>
      <c r="D746" s="377"/>
      <c r="E746" s="377"/>
      <c r="F746" s="377"/>
      <c r="G746" s="377"/>
      <c r="H746" s="1134"/>
    </row>
    <row r="747" spans="1:8" x14ac:dyDescent="0.2">
      <c r="A747" s="351">
        <v>726</v>
      </c>
      <c r="B747" s="376" t="s">
        <v>713</v>
      </c>
      <c r="C747" s="334"/>
      <c r="D747" s="334"/>
      <c r="E747" s="334"/>
      <c r="F747" s="334"/>
      <c r="G747" s="334"/>
      <c r="H747" s="1134"/>
    </row>
    <row r="748" spans="1:8" x14ac:dyDescent="0.2">
      <c r="A748" s="351">
        <v>727</v>
      </c>
      <c r="B748" s="376" t="s">
        <v>712</v>
      </c>
      <c r="C748" s="334"/>
      <c r="D748" s="334"/>
      <c r="E748" s="334"/>
      <c r="F748" s="334"/>
      <c r="G748" s="334"/>
      <c r="H748" s="1134"/>
    </row>
    <row r="749" spans="1:8" x14ac:dyDescent="0.2">
      <c r="A749" s="351">
        <v>728</v>
      </c>
      <c r="B749" s="376" t="s">
        <v>711</v>
      </c>
      <c r="C749" s="334"/>
      <c r="D749" s="334"/>
      <c r="E749" s="334"/>
      <c r="F749" s="334"/>
      <c r="G749" s="334"/>
      <c r="H749" s="1134"/>
    </row>
    <row r="750" spans="1:8" ht="30" x14ac:dyDescent="0.2">
      <c r="A750" s="351">
        <v>729</v>
      </c>
      <c r="B750" s="410" t="s">
        <v>710</v>
      </c>
      <c r="C750" s="334"/>
      <c r="D750" s="334"/>
      <c r="E750" s="334"/>
      <c r="F750" s="334"/>
      <c r="G750" s="334"/>
      <c r="H750" s="1134"/>
    </row>
    <row r="751" spans="1:8" ht="30" x14ac:dyDescent="0.2">
      <c r="A751" s="351">
        <v>730</v>
      </c>
      <c r="B751" s="378" t="s">
        <v>709</v>
      </c>
      <c r="C751" s="334"/>
      <c r="D751" s="334"/>
      <c r="E751" s="334"/>
      <c r="F751" s="334"/>
      <c r="G751" s="334"/>
      <c r="H751" s="1134"/>
    </row>
    <row r="752" spans="1:8" x14ac:dyDescent="0.2">
      <c r="A752" s="351">
        <v>731</v>
      </c>
      <c r="B752" s="378" t="s">
        <v>708</v>
      </c>
      <c r="C752" s="334"/>
      <c r="D752" s="334"/>
      <c r="E752" s="334"/>
      <c r="F752" s="334"/>
      <c r="G752" s="334"/>
      <c r="H752" s="1134"/>
    </row>
    <row r="753" spans="1:8" s="1128" customFormat="1" x14ac:dyDescent="0.2">
      <c r="A753" s="351">
        <v>732</v>
      </c>
      <c r="B753" s="318" t="s">
        <v>707</v>
      </c>
      <c r="C753" s="332"/>
      <c r="D753" s="332"/>
      <c r="E753" s="332"/>
      <c r="F753" s="332"/>
      <c r="G753" s="332"/>
      <c r="H753" s="1134"/>
    </row>
    <row r="754" spans="1:8" ht="45" x14ac:dyDescent="0.2">
      <c r="A754" s="351">
        <v>733</v>
      </c>
      <c r="B754" s="354" t="s">
        <v>706</v>
      </c>
      <c r="C754" s="334"/>
      <c r="D754" s="334"/>
      <c r="E754" s="334"/>
      <c r="F754" s="334"/>
      <c r="G754" s="334"/>
      <c r="H754" s="1134"/>
    </row>
    <row r="755" spans="1:8" ht="30" x14ac:dyDescent="0.2">
      <c r="A755" s="351">
        <v>734</v>
      </c>
      <c r="B755" s="354" t="s">
        <v>705</v>
      </c>
      <c r="C755" s="334"/>
      <c r="D755" s="334"/>
      <c r="E755" s="334"/>
      <c r="F755" s="334"/>
      <c r="G755" s="334"/>
      <c r="H755" s="1134"/>
    </row>
    <row r="756" spans="1:8" ht="30" x14ac:dyDescent="0.2">
      <c r="A756" s="351">
        <v>735</v>
      </c>
      <c r="B756" s="354" t="s">
        <v>704</v>
      </c>
      <c r="C756" s="334"/>
      <c r="D756" s="334"/>
      <c r="E756" s="334"/>
      <c r="F756" s="334"/>
      <c r="G756" s="334"/>
      <c r="H756" s="1134"/>
    </row>
    <row r="757" spans="1:8" s="1128" customFormat="1" ht="30" x14ac:dyDescent="0.2">
      <c r="A757" s="351">
        <v>736</v>
      </c>
      <c r="B757" s="357" t="s">
        <v>703</v>
      </c>
      <c r="C757" s="332"/>
      <c r="D757" s="332"/>
      <c r="E757" s="332"/>
      <c r="F757" s="332"/>
      <c r="G757" s="332"/>
      <c r="H757" s="1134"/>
    </row>
    <row r="758" spans="1:8" s="1128" customFormat="1" x14ac:dyDescent="0.2">
      <c r="A758" s="351">
        <v>737</v>
      </c>
      <c r="B758" s="357" t="s">
        <v>702</v>
      </c>
      <c r="C758" s="332"/>
      <c r="D758" s="332"/>
      <c r="E758" s="332"/>
      <c r="F758" s="332"/>
      <c r="G758" s="332"/>
      <c r="H758" s="1134"/>
    </row>
    <row r="759" spans="1:8" s="1128" customFormat="1" ht="45" x14ac:dyDescent="0.2">
      <c r="A759" s="351">
        <v>738</v>
      </c>
      <c r="B759" s="357" t="s">
        <v>701</v>
      </c>
      <c r="C759" s="332"/>
      <c r="D759" s="332"/>
      <c r="E759" s="332"/>
      <c r="F759" s="332"/>
      <c r="G759" s="332"/>
      <c r="H759" s="1134"/>
    </row>
    <row r="760" spans="1:8" s="1128" customFormat="1" x14ac:dyDescent="0.2">
      <c r="A760" s="351">
        <v>739</v>
      </c>
      <c r="B760" s="357" t="s">
        <v>700</v>
      </c>
      <c r="C760" s="377"/>
      <c r="D760" s="377"/>
      <c r="E760" s="377"/>
      <c r="F760" s="377"/>
      <c r="G760" s="377"/>
      <c r="H760" s="1134"/>
    </row>
    <row r="761" spans="1:8" s="1128" customFormat="1" x14ac:dyDescent="0.2">
      <c r="A761" s="351">
        <v>740</v>
      </c>
      <c r="B761" s="382" t="s">
        <v>699</v>
      </c>
      <c r="C761" s="332"/>
      <c r="D761" s="332"/>
      <c r="E761" s="332"/>
      <c r="F761" s="332"/>
      <c r="G761" s="332"/>
      <c r="H761" s="1134"/>
    </row>
    <row r="762" spans="1:8" s="1128" customFormat="1" x14ac:dyDescent="0.2">
      <c r="A762" s="351">
        <v>741</v>
      </c>
      <c r="B762" s="382" t="s">
        <v>698</v>
      </c>
      <c r="C762" s="332"/>
      <c r="D762" s="332"/>
      <c r="E762" s="332"/>
      <c r="F762" s="332"/>
      <c r="G762" s="332"/>
      <c r="H762" s="1134"/>
    </row>
    <row r="763" spans="1:8" s="1128" customFormat="1" x14ac:dyDescent="0.2">
      <c r="A763" s="351">
        <v>742</v>
      </c>
      <c r="B763" s="382" t="s">
        <v>3400</v>
      </c>
      <c r="C763" s="332"/>
      <c r="D763" s="332"/>
      <c r="E763" s="332"/>
      <c r="F763" s="332"/>
      <c r="G763" s="332"/>
      <c r="H763" s="1134"/>
    </row>
    <row r="764" spans="1:8" s="1128" customFormat="1" x14ac:dyDescent="0.2">
      <c r="A764" s="351">
        <v>743</v>
      </c>
      <c r="B764" s="382" t="s">
        <v>697</v>
      </c>
      <c r="C764" s="332"/>
      <c r="D764" s="332"/>
      <c r="E764" s="332"/>
      <c r="F764" s="332"/>
      <c r="G764" s="332"/>
      <c r="H764" s="1134"/>
    </row>
    <row r="765" spans="1:8" s="1128" customFormat="1" ht="30" x14ac:dyDescent="0.2">
      <c r="A765" s="351">
        <v>744</v>
      </c>
      <c r="B765" s="357" t="s">
        <v>696</v>
      </c>
      <c r="C765" s="332"/>
      <c r="D765" s="332"/>
      <c r="E765" s="332"/>
      <c r="F765" s="332"/>
      <c r="G765" s="332"/>
      <c r="H765" s="1134"/>
    </row>
    <row r="766" spans="1:8" s="1128" customFormat="1" ht="45" x14ac:dyDescent="0.2">
      <c r="A766" s="351">
        <v>745</v>
      </c>
      <c r="B766" s="357" t="s">
        <v>695</v>
      </c>
      <c r="C766" s="332"/>
      <c r="D766" s="332"/>
      <c r="E766" s="332"/>
      <c r="F766" s="332"/>
      <c r="G766" s="332"/>
      <c r="H766" s="1134"/>
    </row>
    <row r="767" spans="1:8" s="1128" customFormat="1" ht="30" x14ac:dyDescent="0.2">
      <c r="A767" s="351">
        <v>746</v>
      </c>
      <c r="B767" s="357" t="s">
        <v>694</v>
      </c>
      <c r="C767" s="332"/>
      <c r="D767" s="332"/>
      <c r="E767" s="332"/>
      <c r="F767" s="332"/>
      <c r="G767" s="332"/>
      <c r="H767" s="1134"/>
    </row>
    <row r="768" spans="1:8" s="1128" customFormat="1" ht="30" x14ac:dyDescent="0.2">
      <c r="A768" s="351">
        <v>747</v>
      </c>
      <c r="B768" s="357" t="s">
        <v>693</v>
      </c>
      <c r="C768" s="332"/>
      <c r="D768" s="332"/>
      <c r="E768" s="332"/>
      <c r="F768" s="332"/>
      <c r="G768" s="332"/>
      <c r="H768" s="1134"/>
    </row>
    <row r="769" spans="1:8" s="1128" customFormat="1" ht="30" x14ac:dyDescent="0.2">
      <c r="A769" s="351">
        <v>748</v>
      </c>
      <c r="B769" s="357" t="s">
        <v>692</v>
      </c>
      <c r="C769" s="332"/>
      <c r="D769" s="332"/>
      <c r="E769" s="332"/>
      <c r="F769" s="332"/>
      <c r="G769" s="332"/>
      <c r="H769" s="1134"/>
    </row>
    <row r="770" spans="1:8" s="1128" customFormat="1" ht="30" x14ac:dyDescent="0.2">
      <c r="A770" s="351">
        <v>749</v>
      </c>
      <c r="B770" s="357" t="s">
        <v>691</v>
      </c>
      <c r="C770" s="332"/>
      <c r="D770" s="332"/>
      <c r="E770" s="332"/>
      <c r="F770" s="332"/>
      <c r="G770" s="332"/>
      <c r="H770" s="1134"/>
    </row>
    <row r="771" spans="1:8" x14ac:dyDescent="0.25">
      <c r="A771" s="351">
        <v>750</v>
      </c>
      <c r="B771" s="396" t="s">
        <v>690</v>
      </c>
      <c r="C771" s="395"/>
      <c r="D771" s="395"/>
      <c r="E771" s="395"/>
      <c r="F771" s="395"/>
      <c r="G771" s="395"/>
      <c r="H771" s="394"/>
    </row>
    <row r="772" spans="1:8" x14ac:dyDescent="0.2">
      <c r="A772" s="351">
        <v>751</v>
      </c>
      <c r="B772" s="436" t="s">
        <v>689</v>
      </c>
      <c r="C772" s="425"/>
      <c r="D772" s="425"/>
      <c r="E772" s="425"/>
      <c r="F772" s="425"/>
      <c r="G772" s="425"/>
      <c r="H772" s="362"/>
    </row>
    <row r="773" spans="1:8" x14ac:dyDescent="0.25">
      <c r="A773" s="351">
        <v>752</v>
      </c>
      <c r="B773" s="354" t="s">
        <v>688</v>
      </c>
      <c r="C773" s="367"/>
      <c r="D773" s="367"/>
      <c r="E773" s="367"/>
      <c r="F773" s="367"/>
      <c r="G773" s="367"/>
      <c r="H773" s="435"/>
    </row>
    <row r="774" spans="1:8" s="1128" customFormat="1" ht="30" x14ac:dyDescent="0.25">
      <c r="A774" s="351">
        <v>753</v>
      </c>
      <c r="B774" s="357" t="s">
        <v>687</v>
      </c>
      <c r="C774" s="332"/>
      <c r="D774" s="332"/>
      <c r="E774" s="332"/>
      <c r="F774" s="332"/>
      <c r="G774" s="332"/>
      <c r="H774" s="435"/>
    </row>
    <row r="775" spans="1:8" ht="60" x14ac:dyDescent="0.25">
      <c r="A775" s="351">
        <v>754</v>
      </c>
      <c r="B775" s="354" t="s">
        <v>686</v>
      </c>
      <c r="C775" s="367"/>
      <c r="D775" s="367"/>
      <c r="E775" s="367"/>
      <c r="F775" s="367"/>
      <c r="G775" s="367"/>
      <c r="H775" s="435"/>
    </row>
    <row r="776" spans="1:8" ht="45" x14ac:dyDescent="0.25">
      <c r="A776" s="351">
        <v>755</v>
      </c>
      <c r="B776" s="354" t="s">
        <v>685</v>
      </c>
      <c r="C776" s="367"/>
      <c r="D776" s="367"/>
      <c r="E776" s="367"/>
      <c r="F776" s="367"/>
      <c r="G776" s="367"/>
      <c r="H776" s="435"/>
    </row>
    <row r="777" spans="1:8" x14ac:dyDescent="0.25">
      <c r="A777" s="351">
        <v>756</v>
      </c>
      <c r="B777" s="429" t="s">
        <v>684</v>
      </c>
      <c r="C777" s="363"/>
      <c r="D777" s="363"/>
      <c r="E777" s="363"/>
      <c r="F777" s="363"/>
      <c r="G777" s="363"/>
      <c r="H777" s="431"/>
    </row>
    <row r="778" spans="1:8" s="1128" customFormat="1" x14ac:dyDescent="0.25">
      <c r="A778" s="351">
        <v>757</v>
      </c>
      <c r="B778" s="432" t="s">
        <v>683</v>
      </c>
      <c r="C778" s="332"/>
      <c r="D778" s="332"/>
      <c r="E778" s="332"/>
      <c r="F778" s="332"/>
      <c r="G778" s="332"/>
      <c r="H778" s="435"/>
    </row>
    <row r="779" spans="1:8" s="1128" customFormat="1" ht="30" x14ac:dyDescent="0.25">
      <c r="A779" s="351">
        <v>758</v>
      </c>
      <c r="B779" s="432" t="s">
        <v>682</v>
      </c>
      <c r="C779" s="332"/>
      <c r="D779" s="332"/>
      <c r="E779" s="332"/>
      <c r="F779" s="332"/>
      <c r="G779" s="332"/>
      <c r="H779" s="435"/>
    </row>
    <row r="780" spans="1:8" s="1128" customFormat="1" ht="30" x14ac:dyDescent="0.25">
      <c r="A780" s="351">
        <v>759</v>
      </c>
      <c r="B780" s="432" t="s">
        <v>681</v>
      </c>
      <c r="C780" s="332"/>
      <c r="D780" s="332"/>
      <c r="E780" s="332"/>
      <c r="F780" s="332"/>
      <c r="G780" s="332"/>
      <c r="H780" s="435"/>
    </row>
    <row r="781" spans="1:8" x14ac:dyDescent="0.25">
      <c r="A781" s="351">
        <v>760</v>
      </c>
      <c r="B781" s="432" t="s">
        <v>680</v>
      </c>
      <c r="C781" s="332"/>
      <c r="D781" s="332"/>
      <c r="E781" s="332"/>
      <c r="F781" s="332"/>
      <c r="G781" s="332"/>
      <c r="H781" s="435"/>
    </row>
    <row r="782" spans="1:8" ht="30" x14ac:dyDescent="0.25">
      <c r="A782" s="351">
        <v>761</v>
      </c>
      <c r="B782" s="432" t="s">
        <v>679</v>
      </c>
      <c r="C782" s="332"/>
      <c r="D782" s="332"/>
      <c r="E782" s="332"/>
      <c r="F782" s="332"/>
      <c r="G782" s="332"/>
      <c r="H782" s="435"/>
    </row>
    <row r="783" spans="1:8" s="1128" customFormat="1" ht="30" x14ac:dyDescent="0.25">
      <c r="A783" s="351">
        <v>762</v>
      </c>
      <c r="B783" s="354" t="s">
        <v>678</v>
      </c>
      <c r="C783" s="367"/>
      <c r="D783" s="367"/>
      <c r="E783" s="367"/>
      <c r="F783" s="367"/>
      <c r="G783" s="367"/>
      <c r="H783" s="435"/>
    </row>
    <row r="784" spans="1:8" s="1128" customFormat="1" ht="30" x14ac:dyDescent="0.25">
      <c r="A784" s="351">
        <v>763</v>
      </c>
      <c r="B784" s="434" t="s">
        <v>677</v>
      </c>
      <c r="C784" s="367"/>
      <c r="D784" s="367"/>
      <c r="E784" s="367"/>
      <c r="F784" s="367"/>
      <c r="G784" s="367"/>
      <c r="H784" s="435"/>
    </row>
    <row r="785" spans="1:8" s="1128" customFormat="1" ht="45" x14ac:dyDescent="0.25">
      <c r="A785" s="351">
        <v>764</v>
      </c>
      <c r="B785" s="430" t="s">
        <v>676</v>
      </c>
      <c r="C785" s="334"/>
      <c r="D785" s="334"/>
      <c r="E785" s="334"/>
      <c r="F785" s="334"/>
      <c r="G785" s="334"/>
      <c r="H785" s="435"/>
    </row>
    <row r="786" spans="1:8" ht="30" x14ac:dyDescent="0.25">
      <c r="A786" s="351">
        <v>765</v>
      </c>
      <c r="B786" s="432" t="s">
        <v>675</v>
      </c>
      <c r="C786" s="332"/>
      <c r="D786" s="332"/>
      <c r="E786" s="332"/>
      <c r="F786" s="332"/>
      <c r="G786" s="332"/>
      <c r="H786" s="435"/>
    </row>
    <row r="787" spans="1:8" s="1128" customFormat="1" ht="30" x14ac:dyDescent="0.25">
      <c r="A787" s="351">
        <v>766</v>
      </c>
      <c r="B787" s="432" t="s">
        <v>3595</v>
      </c>
      <c r="C787" s="332"/>
      <c r="D787" s="332"/>
      <c r="E787" s="332"/>
      <c r="F787" s="332"/>
      <c r="G787" s="332"/>
      <c r="H787" s="435"/>
    </row>
    <row r="788" spans="1:8" s="1128" customFormat="1" ht="30" x14ac:dyDescent="0.25">
      <c r="A788" s="351">
        <v>767</v>
      </c>
      <c r="B788" s="432" t="s">
        <v>674</v>
      </c>
      <c r="C788" s="332"/>
      <c r="D788" s="332"/>
      <c r="E788" s="332"/>
      <c r="F788" s="332"/>
      <c r="G788" s="332"/>
      <c r="H788" s="435"/>
    </row>
    <row r="789" spans="1:8" s="1128" customFormat="1" ht="75" x14ac:dyDescent="0.25">
      <c r="A789" s="351">
        <v>768</v>
      </c>
      <c r="B789" s="432" t="s">
        <v>673</v>
      </c>
      <c r="C789" s="332"/>
      <c r="D789" s="332"/>
      <c r="E789" s="332"/>
      <c r="F789" s="332"/>
      <c r="G789" s="332"/>
      <c r="H789" s="435"/>
    </row>
    <row r="790" spans="1:8" x14ac:dyDescent="0.25">
      <c r="A790" s="351">
        <v>769</v>
      </c>
      <c r="B790" s="429" t="s">
        <v>672</v>
      </c>
      <c r="C790" s="363"/>
      <c r="D790" s="363"/>
      <c r="E790" s="363"/>
      <c r="F790" s="363"/>
      <c r="G790" s="363"/>
      <c r="H790" s="431"/>
    </row>
    <row r="791" spans="1:8" s="1128" customFormat="1" ht="30" x14ac:dyDescent="0.25">
      <c r="A791" s="351">
        <v>770</v>
      </c>
      <c r="B791" s="432" t="s">
        <v>671</v>
      </c>
      <c r="C791" s="332"/>
      <c r="D791" s="332"/>
      <c r="E791" s="332"/>
      <c r="F791" s="332"/>
      <c r="G791" s="332"/>
      <c r="H791" s="375"/>
    </row>
    <row r="792" spans="1:8" x14ac:dyDescent="0.25">
      <c r="A792" s="351">
        <v>771</v>
      </c>
      <c r="B792" s="432" t="s">
        <v>670</v>
      </c>
      <c r="C792" s="377"/>
      <c r="D792" s="377"/>
      <c r="E792" s="377"/>
      <c r="F792" s="377"/>
      <c r="G792" s="377"/>
      <c r="H792" s="419"/>
    </row>
    <row r="793" spans="1:8" x14ac:dyDescent="0.25">
      <c r="A793" s="351">
        <v>772</v>
      </c>
      <c r="B793" s="433" t="s">
        <v>669</v>
      </c>
      <c r="C793" s="334"/>
      <c r="D793" s="334"/>
      <c r="E793" s="334"/>
      <c r="F793" s="334"/>
      <c r="G793" s="334"/>
      <c r="H793" s="419"/>
    </row>
    <row r="794" spans="1:8" s="1128" customFormat="1" ht="30" x14ac:dyDescent="0.25">
      <c r="A794" s="351">
        <v>773</v>
      </c>
      <c r="B794" s="376" t="s">
        <v>668</v>
      </c>
      <c r="C794" s="334"/>
      <c r="D794" s="334"/>
      <c r="E794" s="334"/>
      <c r="F794" s="334"/>
      <c r="G794" s="334"/>
      <c r="H794" s="419"/>
    </row>
    <row r="795" spans="1:8" x14ac:dyDescent="0.25">
      <c r="A795" s="351">
        <v>774</v>
      </c>
      <c r="B795" s="433" t="s">
        <v>667</v>
      </c>
      <c r="C795" s="334"/>
      <c r="D795" s="334"/>
      <c r="E795" s="334"/>
      <c r="F795" s="334"/>
      <c r="G795" s="334"/>
      <c r="H795" s="419"/>
    </row>
    <row r="796" spans="1:8" s="1128" customFormat="1" x14ac:dyDescent="0.25">
      <c r="A796" s="351">
        <v>775</v>
      </c>
      <c r="B796" s="433" t="s">
        <v>666</v>
      </c>
      <c r="C796" s="334"/>
      <c r="D796" s="334"/>
      <c r="E796" s="334"/>
      <c r="F796" s="334"/>
      <c r="G796" s="334"/>
      <c r="H796" s="419"/>
    </row>
    <row r="797" spans="1:8" ht="30" x14ac:dyDescent="0.25">
      <c r="A797" s="351">
        <v>776</v>
      </c>
      <c r="B797" s="432" t="s">
        <v>665</v>
      </c>
      <c r="C797" s="332"/>
      <c r="D797" s="332"/>
      <c r="E797" s="332"/>
      <c r="F797" s="332"/>
      <c r="G797" s="332"/>
      <c r="H797" s="375"/>
    </row>
    <row r="798" spans="1:8" s="1128" customFormat="1" ht="30" x14ac:dyDescent="0.25">
      <c r="A798" s="351">
        <v>777</v>
      </c>
      <c r="B798" s="432" t="s">
        <v>664</v>
      </c>
      <c r="C798" s="332"/>
      <c r="D798" s="332"/>
      <c r="E798" s="332"/>
      <c r="F798" s="332"/>
      <c r="G798" s="332"/>
      <c r="H798" s="375"/>
    </row>
    <row r="799" spans="1:8" x14ac:dyDescent="0.25">
      <c r="A799" s="351">
        <v>778</v>
      </c>
      <c r="B799" s="429" t="s">
        <v>663</v>
      </c>
      <c r="C799" s="363"/>
      <c r="D799" s="363"/>
      <c r="E799" s="363"/>
      <c r="F799" s="363"/>
      <c r="G799" s="363"/>
      <c r="H799" s="431"/>
    </row>
    <row r="800" spans="1:8" ht="45" x14ac:dyDescent="0.25">
      <c r="A800" s="351">
        <v>779</v>
      </c>
      <c r="B800" s="354" t="s">
        <v>662</v>
      </c>
      <c r="C800" s="334"/>
      <c r="D800" s="334"/>
      <c r="E800" s="334"/>
      <c r="F800" s="334"/>
      <c r="G800" s="334"/>
      <c r="H800" s="375"/>
    </row>
    <row r="801" spans="1:8" ht="30" x14ac:dyDescent="0.25">
      <c r="A801" s="351">
        <v>780</v>
      </c>
      <c r="B801" s="354" t="s">
        <v>661</v>
      </c>
      <c r="C801" s="367"/>
      <c r="D801" s="367"/>
      <c r="E801" s="367"/>
      <c r="F801" s="367"/>
      <c r="G801" s="367"/>
      <c r="H801" s="375"/>
    </row>
    <row r="802" spans="1:8" x14ac:dyDescent="0.25">
      <c r="A802" s="351">
        <v>781</v>
      </c>
      <c r="B802" s="354" t="s">
        <v>660</v>
      </c>
      <c r="C802" s="367"/>
      <c r="D802" s="367"/>
      <c r="E802" s="367"/>
      <c r="F802" s="367"/>
      <c r="G802" s="367"/>
      <c r="H802" s="375"/>
    </row>
    <row r="803" spans="1:8" ht="45" x14ac:dyDescent="0.25">
      <c r="A803" s="351">
        <v>782</v>
      </c>
      <c r="B803" s="354" t="s">
        <v>659</v>
      </c>
      <c r="C803" s="334"/>
      <c r="D803" s="334"/>
      <c r="E803" s="334"/>
      <c r="F803" s="334"/>
      <c r="G803" s="334"/>
      <c r="H803" s="375"/>
    </row>
    <row r="804" spans="1:8" s="1128" customFormat="1" ht="30" x14ac:dyDescent="0.25">
      <c r="A804" s="351">
        <v>783</v>
      </c>
      <c r="B804" s="357" t="s">
        <v>658</v>
      </c>
      <c r="C804" s="332"/>
      <c r="D804" s="332"/>
      <c r="E804" s="332"/>
      <c r="F804" s="332"/>
      <c r="G804" s="332"/>
      <c r="H804" s="375"/>
    </row>
    <row r="805" spans="1:8" x14ac:dyDescent="0.25">
      <c r="A805" s="351">
        <v>784</v>
      </c>
      <c r="B805" s="357" t="s">
        <v>657</v>
      </c>
      <c r="C805" s="332"/>
      <c r="D805" s="332"/>
      <c r="E805" s="332"/>
      <c r="F805" s="332"/>
      <c r="G805" s="332"/>
      <c r="H805" s="375"/>
    </row>
    <row r="806" spans="1:8" ht="15.75" customHeight="1" x14ac:dyDescent="0.25">
      <c r="A806" s="351">
        <v>785</v>
      </c>
      <c r="B806" s="430" t="s">
        <v>656</v>
      </c>
      <c r="C806" s="334"/>
      <c r="D806" s="334"/>
      <c r="E806" s="334"/>
      <c r="F806" s="334"/>
      <c r="G806" s="334"/>
      <c r="H806" s="375"/>
    </row>
    <row r="807" spans="1:8" x14ac:dyDescent="0.25">
      <c r="A807" s="351">
        <v>786</v>
      </c>
      <c r="B807" s="429" t="s">
        <v>655</v>
      </c>
      <c r="C807" s="429"/>
      <c r="D807" s="429"/>
      <c r="E807" s="429"/>
      <c r="F807" s="429"/>
      <c r="G807" s="429"/>
      <c r="H807" s="429"/>
    </row>
    <row r="808" spans="1:8" s="1128" customFormat="1" ht="30" x14ac:dyDescent="0.25">
      <c r="A808" s="351">
        <v>787</v>
      </c>
      <c r="B808" s="357" t="s">
        <v>654</v>
      </c>
      <c r="C808" s="332"/>
      <c r="D808" s="332"/>
      <c r="E808" s="332"/>
      <c r="F808" s="332"/>
      <c r="G808" s="332"/>
      <c r="H808" s="375"/>
    </row>
    <row r="809" spans="1:8" s="1128" customFormat="1" ht="30" x14ac:dyDescent="0.25">
      <c r="A809" s="351">
        <v>788</v>
      </c>
      <c r="B809" s="357" t="s">
        <v>653</v>
      </c>
      <c r="C809" s="332"/>
      <c r="D809" s="332"/>
      <c r="E809" s="332"/>
      <c r="F809" s="332"/>
      <c r="G809" s="332"/>
      <c r="H809" s="375"/>
    </row>
    <row r="810" spans="1:8" s="1128" customFormat="1" ht="30" x14ac:dyDescent="0.25">
      <c r="A810" s="351">
        <v>789</v>
      </c>
      <c r="B810" s="357" t="s">
        <v>652</v>
      </c>
      <c r="C810" s="332"/>
      <c r="D810" s="332"/>
      <c r="E810" s="332"/>
      <c r="F810" s="332"/>
      <c r="G810" s="332"/>
      <c r="H810" s="375"/>
    </row>
    <row r="811" spans="1:8" s="1128" customFormat="1" x14ac:dyDescent="0.25">
      <c r="A811" s="351">
        <v>790</v>
      </c>
      <c r="B811" s="357" t="s">
        <v>651</v>
      </c>
      <c r="C811" s="377"/>
      <c r="D811" s="377"/>
      <c r="E811" s="377"/>
      <c r="F811" s="377"/>
      <c r="G811" s="377"/>
      <c r="H811" s="375"/>
    </row>
    <row r="812" spans="1:8" s="1128" customFormat="1" x14ac:dyDescent="0.25">
      <c r="A812" s="351">
        <v>791</v>
      </c>
      <c r="B812" s="382" t="s">
        <v>650</v>
      </c>
      <c r="C812" s="332"/>
      <c r="D812" s="332"/>
      <c r="E812" s="332"/>
      <c r="F812" s="332"/>
      <c r="G812" s="332"/>
      <c r="H812" s="375"/>
    </row>
    <row r="813" spans="1:8" s="1128" customFormat="1" x14ac:dyDescent="0.25">
      <c r="A813" s="351">
        <v>792</v>
      </c>
      <c r="B813" s="382" t="s">
        <v>649</v>
      </c>
      <c r="C813" s="332"/>
      <c r="D813" s="332"/>
      <c r="E813" s="332"/>
      <c r="F813" s="332"/>
      <c r="G813" s="332"/>
      <c r="H813" s="375"/>
    </row>
    <row r="814" spans="1:8" s="1128" customFormat="1" x14ac:dyDescent="0.25">
      <c r="A814" s="351">
        <v>793</v>
      </c>
      <c r="B814" s="382" t="s">
        <v>648</v>
      </c>
      <c r="C814" s="332"/>
      <c r="D814" s="332"/>
      <c r="E814" s="332"/>
      <c r="F814" s="332"/>
      <c r="G814" s="332"/>
      <c r="H814" s="375"/>
    </row>
    <row r="815" spans="1:8" s="1128" customFormat="1" x14ac:dyDescent="0.25">
      <c r="A815" s="351">
        <v>794</v>
      </c>
      <c r="B815" s="357" t="s">
        <v>647</v>
      </c>
      <c r="C815" s="377"/>
      <c r="D815" s="377"/>
      <c r="E815" s="377"/>
      <c r="F815" s="377"/>
      <c r="G815" s="377"/>
      <c r="H815" s="375"/>
    </row>
    <row r="816" spans="1:8" s="1128" customFormat="1" x14ac:dyDescent="0.25">
      <c r="A816" s="351">
        <v>795</v>
      </c>
      <c r="B816" s="382" t="s">
        <v>646</v>
      </c>
      <c r="C816" s="332"/>
      <c r="D816" s="332"/>
      <c r="E816" s="332"/>
      <c r="F816" s="332"/>
      <c r="G816" s="332"/>
      <c r="H816" s="375"/>
    </row>
    <row r="817" spans="1:8" s="1128" customFormat="1" x14ac:dyDescent="0.25">
      <c r="A817" s="351">
        <v>796</v>
      </c>
      <c r="B817" s="382" t="s">
        <v>645</v>
      </c>
      <c r="C817" s="332"/>
      <c r="D817" s="332"/>
      <c r="E817" s="332"/>
      <c r="F817" s="332"/>
      <c r="G817" s="332"/>
      <c r="H817" s="375"/>
    </row>
    <row r="818" spans="1:8" s="1128" customFormat="1" x14ac:dyDescent="0.25">
      <c r="A818" s="351">
        <v>797</v>
      </c>
      <c r="B818" s="357" t="s">
        <v>644</v>
      </c>
      <c r="C818" s="332"/>
      <c r="D818" s="332"/>
      <c r="E818" s="332"/>
      <c r="F818" s="332"/>
      <c r="G818" s="332"/>
      <c r="H818" s="375"/>
    </row>
    <row r="819" spans="1:8" s="1128" customFormat="1" ht="30" x14ac:dyDescent="0.25">
      <c r="A819" s="351">
        <v>798</v>
      </c>
      <c r="B819" s="357" t="s">
        <v>643</v>
      </c>
      <c r="C819" s="332"/>
      <c r="D819" s="332"/>
      <c r="E819" s="332"/>
      <c r="F819" s="332"/>
      <c r="G819" s="332"/>
      <c r="H819" s="375"/>
    </row>
    <row r="820" spans="1:8" s="1128" customFormat="1" ht="30" x14ac:dyDescent="0.25">
      <c r="A820" s="351">
        <v>799</v>
      </c>
      <c r="B820" s="357" t="s">
        <v>642</v>
      </c>
      <c r="C820" s="332"/>
      <c r="D820" s="332"/>
      <c r="E820" s="332"/>
      <c r="F820" s="332"/>
      <c r="G820" s="332"/>
      <c r="H820" s="375"/>
    </row>
    <row r="821" spans="1:8" s="1128" customFormat="1" ht="30" x14ac:dyDescent="0.25">
      <c r="A821" s="351">
        <v>800</v>
      </c>
      <c r="B821" s="357" t="s">
        <v>641</v>
      </c>
      <c r="C821" s="332"/>
      <c r="D821" s="332"/>
      <c r="E821" s="332"/>
      <c r="F821" s="332"/>
      <c r="G821" s="332"/>
      <c r="H821" s="375"/>
    </row>
    <row r="822" spans="1:8" s="1128" customFormat="1" ht="75" x14ac:dyDescent="0.25">
      <c r="A822" s="351">
        <v>801</v>
      </c>
      <c r="B822" s="579" t="s">
        <v>640</v>
      </c>
      <c r="C822" s="332"/>
      <c r="D822" s="332"/>
      <c r="E822" s="332"/>
      <c r="F822" s="332"/>
      <c r="G822" s="332"/>
      <c r="H822" s="375"/>
    </row>
    <row r="823" spans="1:8" s="411" customFormat="1" x14ac:dyDescent="0.25">
      <c r="A823" s="351">
        <v>802</v>
      </c>
      <c r="B823" s="396" t="s">
        <v>639</v>
      </c>
      <c r="C823" s="395"/>
      <c r="D823" s="395"/>
      <c r="E823" s="395"/>
      <c r="F823" s="395"/>
      <c r="G823" s="395"/>
      <c r="H823" s="394"/>
    </row>
    <row r="824" spans="1:8" s="411" customFormat="1" ht="30" x14ac:dyDescent="0.2">
      <c r="A824" s="351">
        <v>803</v>
      </c>
      <c r="B824" s="378" t="s">
        <v>638</v>
      </c>
      <c r="C824" s="334"/>
      <c r="D824" s="334"/>
      <c r="E824" s="334"/>
      <c r="F824" s="334"/>
      <c r="G824" s="334"/>
      <c r="H824" s="381"/>
    </row>
    <row r="825" spans="1:8" s="411" customFormat="1" x14ac:dyDescent="0.2">
      <c r="A825" s="351">
        <v>804</v>
      </c>
      <c r="B825" s="378" t="s">
        <v>637</v>
      </c>
      <c r="C825" s="334"/>
      <c r="D825" s="334"/>
      <c r="E825" s="334"/>
      <c r="F825" s="334"/>
      <c r="G825" s="334"/>
      <c r="H825" s="381"/>
    </row>
    <row r="826" spans="1:8" s="411" customFormat="1" x14ac:dyDescent="0.2">
      <c r="A826" s="351">
        <v>805</v>
      </c>
      <c r="B826" s="318" t="s">
        <v>636</v>
      </c>
      <c r="C826" s="332"/>
      <c r="D826" s="332"/>
      <c r="E826" s="332"/>
      <c r="F826" s="332"/>
      <c r="G826" s="332"/>
      <c r="H826" s="381"/>
    </row>
    <row r="827" spans="1:8" s="1128" customFormat="1" ht="30" x14ac:dyDescent="0.2">
      <c r="A827" s="351">
        <v>806</v>
      </c>
      <c r="B827" s="318" t="s">
        <v>635</v>
      </c>
      <c r="C827" s="332"/>
      <c r="D827" s="332"/>
      <c r="E827" s="332"/>
      <c r="F827" s="332"/>
      <c r="G827" s="332"/>
      <c r="H827" s="381"/>
    </row>
    <row r="828" spans="1:8" s="411" customFormat="1" x14ac:dyDescent="0.2">
      <c r="A828" s="351">
        <v>807</v>
      </c>
      <c r="B828" s="378" t="s">
        <v>634</v>
      </c>
      <c r="C828" s="334"/>
      <c r="D828" s="334"/>
      <c r="E828" s="334"/>
      <c r="F828" s="334"/>
      <c r="G828" s="334"/>
      <c r="H828" s="381"/>
    </row>
    <row r="829" spans="1:8" s="411" customFormat="1" x14ac:dyDescent="0.2">
      <c r="A829" s="351">
        <v>808</v>
      </c>
      <c r="B829" s="378" t="s">
        <v>633</v>
      </c>
      <c r="C829" s="377"/>
      <c r="D829" s="377"/>
      <c r="E829" s="377"/>
      <c r="F829" s="377"/>
      <c r="G829" s="377"/>
      <c r="H829" s="381"/>
    </row>
    <row r="830" spans="1:8" x14ac:dyDescent="0.2">
      <c r="A830" s="351">
        <v>809</v>
      </c>
      <c r="B830" s="376" t="s">
        <v>632</v>
      </c>
      <c r="C830" s="334"/>
      <c r="D830" s="334"/>
      <c r="E830" s="334"/>
      <c r="F830" s="334"/>
      <c r="G830" s="334"/>
      <c r="H830" s="381"/>
    </row>
    <row r="831" spans="1:8" x14ac:dyDescent="0.2">
      <c r="A831" s="351">
        <v>810</v>
      </c>
      <c r="B831" s="376" t="s">
        <v>631</v>
      </c>
      <c r="C831" s="334"/>
      <c r="D831" s="334"/>
      <c r="E831" s="334"/>
      <c r="F831" s="334"/>
      <c r="G831" s="334"/>
      <c r="H831" s="381"/>
    </row>
    <row r="832" spans="1:8" x14ac:dyDescent="0.2">
      <c r="A832" s="351">
        <v>811</v>
      </c>
      <c r="B832" s="376" t="s">
        <v>630</v>
      </c>
      <c r="C832" s="334"/>
      <c r="D832" s="334"/>
      <c r="E832" s="334"/>
      <c r="F832" s="334"/>
      <c r="G832" s="334"/>
      <c r="H832" s="381"/>
    </row>
    <row r="833" spans="1:8" s="1128" customFormat="1" x14ac:dyDescent="0.2">
      <c r="A833" s="351">
        <v>812</v>
      </c>
      <c r="B833" s="376" t="s">
        <v>629</v>
      </c>
      <c r="C833" s="334"/>
      <c r="D833" s="334"/>
      <c r="E833" s="334"/>
      <c r="F833" s="334"/>
      <c r="G833" s="334"/>
      <c r="H833" s="381"/>
    </row>
    <row r="834" spans="1:8" x14ac:dyDescent="0.2">
      <c r="A834" s="351">
        <v>813</v>
      </c>
      <c r="B834" s="376" t="s">
        <v>628</v>
      </c>
      <c r="C834" s="334"/>
      <c r="D834" s="334"/>
      <c r="E834" s="334"/>
      <c r="F834" s="334"/>
      <c r="G834" s="334"/>
      <c r="H834" s="381"/>
    </row>
    <row r="835" spans="1:8" s="1128" customFormat="1" x14ac:dyDescent="0.2">
      <c r="A835" s="351">
        <v>814</v>
      </c>
      <c r="B835" s="382" t="s">
        <v>627</v>
      </c>
      <c r="C835" s="332"/>
      <c r="D835" s="332"/>
      <c r="E835" s="332"/>
      <c r="F835" s="332"/>
      <c r="G835" s="332"/>
      <c r="H835" s="381"/>
    </row>
    <row r="836" spans="1:8" s="1128" customFormat="1" x14ac:dyDescent="0.2">
      <c r="A836" s="351">
        <v>815</v>
      </c>
      <c r="B836" s="382" t="s">
        <v>190</v>
      </c>
      <c r="C836" s="332"/>
      <c r="D836" s="332"/>
      <c r="E836" s="332"/>
      <c r="F836" s="332"/>
      <c r="G836" s="332"/>
      <c r="H836" s="381"/>
    </row>
    <row r="837" spans="1:8" x14ac:dyDescent="0.2">
      <c r="A837" s="351">
        <v>816</v>
      </c>
      <c r="B837" s="376" t="s">
        <v>626</v>
      </c>
      <c r="C837" s="334"/>
      <c r="D837" s="334"/>
      <c r="E837" s="334"/>
      <c r="F837" s="334"/>
      <c r="G837" s="334"/>
      <c r="H837" s="381"/>
    </row>
    <row r="838" spans="1:8" x14ac:dyDescent="0.2">
      <c r="A838" s="351">
        <v>817</v>
      </c>
      <c r="B838" s="376" t="s">
        <v>625</v>
      </c>
      <c r="C838" s="334"/>
      <c r="D838" s="334"/>
      <c r="E838" s="334"/>
      <c r="F838" s="334"/>
      <c r="G838" s="334"/>
      <c r="H838" s="381"/>
    </row>
    <row r="839" spans="1:8" x14ac:dyDescent="0.2">
      <c r="A839" s="351">
        <v>818</v>
      </c>
      <c r="B839" s="376" t="s">
        <v>624</v>
      </c>
      <c r="C839" s="334"/>
      <c r="D839" s="334"/>
      <c r="E839" s="334"/>
      <c r="F839" s="334"/>
      <c r="G839" s="334"/>
      <c r="H839" s="381"/>
    </row>
    <row r="840" spans="1:8" x14ac:dyDescent="0.2">
      <c r="A840" s="351">
        <v>819</v>
      </c>
      <c r="B840" s="428" t="s">
        <v>623</v>
      </c>
      <c r="C840" s="334"/>
      <c r="D840" s="334"/>
      <c r="E840" s="334"/>
      <c r="F840" s="334"/>
      <c r="G840" s="334"/>
      <c r="H840" s="381"/>
    </row>
    <row r="841" spans="1:8" x14ac:dyDescent="0.2">
      <c r="A841" s="351">
        <v>820</v>
      </c>
      <c r="B841" s="376" t="s">
        <v>622</v>
      </c>
      <c r="C841" s="334"/>
      <c r="D841" s="334"/>
      <c r="E841" s="334"/>
      <c r="F841" s="334"/>
      <c r="G841" s="334"/>
      <c r="H841" s="381"/>
    </row>
    <row r="842" spans="1:8" x14ac:dyDescent="0.2">
      <c r="A842" s="351">
        <v>821</v>
      </c>
      <c r="B842" s="376" t="s">
        <v>621</v>
      </c>
      <c r="C842" s="334"/>
      <c r="D842" s="334"/>
      <c r="E842" s="334"/>
      <c r="F842" s="334"/>
      <c r="G842" s="334"/>
      <c r="H842" s="381"/>
    </row>
    <row r="843" spans="1:8" x14ac:dyDescent="0.2">
      <c r="A843" s="351">
        <v>822</v>
      </c>
      <c r="B843" s="376" t="s">
        <v>620</v>
      </c>
      <c r="C843" s="334"/>
      <c r="D843" s="334"/>
      <c r="E843" s="334"/>
      <c r="F843" s="334"/>
      <c r="G843" s="334"/>
      <c r="H843" s="381"/>
    </row>
    <row r="844" spans="1:8" x14ac:dyDescent="0.2">
      <c r="A844" s="351">
        <v>823</v>
      </c>
      <c r="B844" s="376" t="s">
        <v>619</v>
      </c>
      <c r="C844" s="334"/>
      <c r="D844" s="334"/>
      <c r="E844" s="334"/>
      <c r="F844" s="334"/>
      <c r="G844" s="334"/>
      <c r="H844" s="381"/>
    </row>
    <row r="845" spans="1:8" x14ac:dyDescent="0.2">
      <c r="A845" s="351">
        <v>824</v>
      </c>
      <c r="B845" s="376" t="s">
        <v>618</v>
      </c>
      <c r="C845" s="334"/>
      <c r="D845" s="334"/>
      <c r="E845" s="334"/>
      <c r="F845" s="334"/>
      <c r="G845" s="334"/>
      <c r="H845" s="381"/>
    </row>
    <row r="846" spans="1:8" x14ac:dyDescent="0.2">
      <c r="A846" s="351">
        <v>825</v>
      </c>
      <c r="B846" s="376" t="s">
        <v>617</v>
      </c>
      <c r="C846" s="334"/>
      <c r="D846" s="334"/>
      <c r="E846" s="334"/>
      <c r="F846" s="334"/>
      <c r="G846" s="334"/>
      <c r="H846" s="381"/>
    </row>
    <row r="847" spans="1:8" x14ac:dyDescent="0.2">
      <c r="A847" s="351">
        <v>826</v>
      </c>
      <c r="B847" s="382" t="s">
        <v>616</v>
      </c>
      <c r="C847" s="332"/>
      <c r="D847" s="332"/>
      <c r="E847" s="332"/>
      <c r="F847" s="332"/>
      <c r="G847" s="332"/>
      <c r="H847" s="381"/>
    </row>
    <row r="848" spans="1:8" x14ac:dyDescent="0.2">
      <c r="A848" s="351">
        <v>827</v>
      </c>
      <c r="B848" s="382" t="s">
        <v>615</v>
      </c>
      <c r="C848" s="332"/>
      <c r="D848" s="332"/>
      <c r="E848" s="332"/>
      <c r="F848" s="332"/>
      <c r="G848" s="332"/>
      <c r="H848" s="381"/>
    </row>
    <row r="849" spans="1:8" ht="30" x14ac:dyDescent="0.2">
      <c r="A849" s="351">
        <v>828</v>
      </c>
      <c r="B849" s="318" t="s">
        <v>614</v>
      </c>
      <c r="C849" s="332"/>
      <c r="D849" s="332"/>
      <c r="E849" s="332"/>
      <c r="F849" s="332"/>
      <c r="G849" s="332"/>
      <c r="H849" s="381"/>
    </row>
    <row r="850" spans="1:8" s="1128" customFormat="1" x14ac:dyDescent="0.2">
      <c r="A850" s="351">
        <v>829</v>
      </c>
      <c r="B850" s="318" t="s">
        <v>613</v>
      </c>
      <c r="C850" s="332"/>
      <c r="D850" s="332"/>
      <c r="E850" s="332"/>
      <c r="F850" s="332"/>
      <c r="G850" s="332"/>
      <c r="H850" s="381"/>
    </row>
    <row r="851" spans="1:8" s="1128" customFormat="1" x14ac:dyDescent="0.2">
      <c r="A851" s="351">
        <v>830</v>
      </c>
      <c r="B851" s="318" t="s">
        <v>612</v>
      </c>
      <c r="C851" s="332"/>
      <c r="D851" s="332"/>
      <c r="E851" s="332"/>
      <c r="F851" s="332"/>
      <c r="G851" s="332"/>
      <c r="H851" s="381"/>
    </row>
    <row r="852" spans="1:8" s="1128" customFormat="1" x14ac:dyDescent="0.2">
      <c r="A852" s="351">
        <v>831</v>
      </c>
      <c r="B852" s="318" t="s">
        <v>611</v>
      </c>
      <c r="C852" s="332"/>
      <c r="D852" s="332"/>
      <c r="E852" s="332"/>
      <c r="F852" s="332"/>
      <c r="G852" s="332"/>
      <c r="H852" s="381"/>
    </row>
    <row r="853" spans="1:8" s="1128" customFormat="1" x14ac:dyDescent="0.2">
      <c r="A853" s="351">
        <v>832</v>
      </c>
      <c r="B853" s="318" t="s">
        <v>610</v>
      </c>
      <c r="C853" s="332"/>
      <c r="D853" s="332"/>
      <c r="E853" s="332"/>
      <c r="F853" s="332"/>
      <c r="G853" s="332"/>
      <c r="H853" s="381"/>
    </row>
    <row r="854" spans="1:8" s="1128" customFormat="1" ht="30" x14ac:dyDescent="0.2">
      <c r="A854" s="351">
        <v>833</v>
      </c>
      <c r="B854" s="318" t="s">
        <v>609</v>
      </c>
      <c r="C854" s="332"/>
      <c r="D854" s="332"/>
      <c r="E854" s="332"/>
      <c r="F854" s="332"/>
      <c r="G854" s="332"/>
      <c r="H854" s="381"/>
    </row>
    <row r="855" spans="1:8" s="1128" customFormat="1" x14ac:dyDescent="0.2">
      <c r="A855" s="351">
        <v>834</v>
      </c>
      <c r="B855" s="318" t="s">
        <v>608</v>
      </c>
      <c r="C855" s="332"/>
      <c r="D855" s="332"/>
      <c r="E855" s="332"/>
      <c r="F855" s="332"/>
      <c r="G855" s="332"/>
      <c r="H855" s="381"/>
    </row>
    <row r="856" spans="1:8" s="1128" customFormat="1" x14ac:dyDescent="0.2">
      <c r="A856" s="351">
        <v>835</v>
      </c>
      <c r="B856" s="318" t="s">
        <v>607</v>
      </c>
      <c r="C856" s="332"/>
      <c r="D856" s="332"/>
      <c r="E856" s="332"/>
      <c r="F856" s="332"/>
      <c r="G856" s="332"/>
      <c r="H856" s="381"/>
    </row>
    <row r="857" spans="1:8" s="1128" customFormat="1" x14ac:dyDescent="0.2">
      <c r="A857" s="351">
        <v>836</v>
      </c>
      <c r="B857" s="318" t="s">
        <v>606</v>
      </c>
      <c r="C857" s="332"/>
      <c r="D857" s="332"/>
      <c r="E857" s="332"/>
      <c r="F857" s="332"/>
      <c r="G857" s="332"/>
      <c r="H857" s="381"/>
    </row>
    <row r="858" spans="1:8" s="1128" customFormat="1" ht="30" x14ac:dyDescent="0.2">
      <c r="A858" s="351">
        <v>837</v>
      </c>
      <c r="B858" s="318" t="s">
        <v>605</v>
      </c>
      <c r="C858" s="332"/>
      <c r="D858" s="332"/>
      <c r="E858" s="332"/>
      <c r="F858" s="332"/>
      <c r="G858" s="332"/>
      <c r="H858" s="381"/>
    </row>
    <row r="859" spans="1:8" s="1128" customFormat="1" ht="30" x14ac:dyDescent="0.2">
      <c r="A859" s="351">
        <v>838</v>
      </c>
      <c r="B859" s="318" t="s">
        <v>604</v>
      </c>
      <c r="C859" s="332"/>
      <c r="D859" s="332"/>
      <c r="E859" s="332"/>
      <c r="F859" s="332"/>
      <c r="G859" s="332"/>
      <c r="H859" s="381"/>
    </row>
    <row r="860" spans="1:8" s="1128" customFormat="1" x14ac:dyDescent="0.2">
      <c r="A860" s="351">
        <v>839</v>
      </c>
      <c r="B860" s="318" t="s">
        <v>603</v>
      </c>
      <c r="C860" s="332"/>
      <c r="D860" s="332"/>
      <c r="E860" s="332"/>
      <c r="F860" s="332"/>
      <c r="G860" s="332"/>
      <c r="H860" s="381"/>
    </row>
    <row r="861" spans="1:8" x14ac:dyDescent="0.2">
      <c r="A861" s="351">
        <v>840</v>
      </c>
      <c r="B861" s="378" t="s">
        <v>602</v>
      </c>
      <c r="C861" s="334"/>
      <c r="D861" s="334"/>
      <c r="E861" s="334"/>
      <c r="F861" s="334"/>
      <c r="G861" s="334"/>
      <c r="H861" s="381"/>
    </row>
    <row r="862" spans="1:8" x14ac:dyDescent="0.2">
      <c r="A862" s="351">
        <v>841</v>
      </c>
      <c r="B862" s="318" t="s">
        <v>601</v>
      </c>
      <c r="C862" s="332"/>
      <c r="D862" s="332"/>
      <c r="E862" s="332"/>
      <c r="F862" s="332"/>
      <c r="G862" s="332"/>
      <c r="H862" s="381"/>
    </row>
    <row r="863" spans="1:8" x14ac:dyDescent="0.25">
      <c r="A863" s="351">
        <v>842</v>
      </c>
      <c r="B863" s="396" t="s">
        <v>600</v>
      </c>
      <c r="C863" s="395"/>
      <c r="D863" s="395"/>
      <c r="E863" s="395"/>
      <c r="F863" s="395"/>
      <c r="G863" s="395"/>
      <c r="H863" s="394"/>
    </row>
    <row r="864" spans="1:8" ht="45" x14ac:dyDescent="0.2">
      <c r="A864" s="351">
        <v>843</v>
      </c>
      <c r="B864" s="354" t="s">
        <v>599</v>
      </c>
      <c r="C864" s="353"/>
      <c r="D864" s="353"/>
      <c r="E864" s="353"/>
      <c r="F864" s="353"/>
      <c r="G864" s="353"/>
      <c r="H864" s="356"/>
    </row>
    <row r="865" spans="1:8" ht="45" x14ac:dyDescent="0.2">
      <c r="A865" s="351">
        <v>844</v>
      </c>
      <c r="B865" s="354" t="s">
        <v>598</v>
      </c>
      <c r="C865" s="374"/>
      <c r="D865" s="374"/>
      <c r="E865" s="374"/>
      <c r="F865" s="374"/>
      <c r="G865" s="374"/>
      <c r="H865" s="356"/>
    </row>
    <row r="866" spans="1:8" ht="30" x14ac:dyDescent="0.2">
      <c r="A866" s="351">
        <v>845</v>
      </c>
      <c r="B866" s="357" t="s">
        <v>597</v>
      </c>
      <c r="C866" s="374"/>
      <c r="D866" s="374"/>
      <c r="E866" s="374"/>
      <c r="F866" s="374"/>
      <c r="G866" s="374"/>
      <c r="H866" s="356"/>
    </row>
    <row r="867" spans="1:8" s="1128" customFormat="1" ht="60" x14ac:dyDescent="0.2">
      <c r="A867" s="351">
        <v>846</v>
      </c>
      <c r="B867" s="354" t="s">
        <v>596</v>
      </c>
      <c r="C867" s="353"/>
      <c r="D867" s="353"/>
      <c r="E867" s="353"/>
      <c r="F867" s="353"/>
      <c r="G867" s="353"/>
      <c r="H867" s="356"/>
    </row>
    <row r="868" spans="1:8" ht="30" x14ac:dyDescent="0.2">
      <c r="A868" s="351">
        <v>847</v>
      </c>
      <c r="B868" s="354" t="s">
        <v>595</v>
      </c>
      <c r="C868" s="427"/>
      <c r="D868" s="427"/>
      <c r="E868" s="427"/>
      <c r="F868" s="427"/>
      <c r="G868" s="427"/>
      <c r="H868" s="356"/>
    </row>
    <row r="869" spans="1:8" s="1128" customFormat="1" ht="30" x14ac:dyDescent="0.2">
      <c r="A869" s="351">
        <v>848</v>
      </c>
      <c r="B869" s="357" t="s">
        <v>594</v>
      </c>
      <c r="C869" s="505"/>
      <c r="D869" s="505"/>
      <c r="E869" s="505"/>
      <c r="F869" s="505"/>
      <c r="G869" s="505"/>
      <c r="H869" s="356"/>
    </row>
    <row r="870" spans="1:8" ht="45" x14ac:dyDescent="0.2">
      <c r="A870" s="351">
        <v>849</v>
      </c>
      <c r="B870" s="350" t="s">
        <v>593</v>
      </c>
      <c r="C870" s="349"/>
      <c r="D870" s="349"/>
      <c r="E870" s="349"/>
      <c r="F870" s="349"/>
      <c r="G870" s="349"/>
      <c r="H870" s="356"/>
    </row>
    <row r="871" spans="1:8" x14ac:dyDescent="0.2">
      <c r="A871" s="351">
        <v>850</v>
      </c>
      <c r="B871" s="426" t="s">
        <v>592</v>
      </c>
      <c r="C871" s="425"/>
      <c r="D871" s="425"/>
      <c r="E871" s="425"/>
      <c r="F871" s="425"/>
      <c r="G871" s="425"/>
      <c r="H871" s="424"/>
    </row>
    <row r="872" spans="1:8" s="1128" customFormat="1" ht="31.5" customHeight="1" x14ac:dyDescent="0.2">
      <c r="A872" s="351">
        <v>851</v>
      </c>
      <c r="B872" s="357" t="s">
        <v>591</v>
      </c>
      <c r="C872" s="332"/>
      <c r="D872" s="332"/>
      <c r="E872" s="332"/>
      <c r="F872" s="332"/>
      <c r="G872" s="332"/>
      <c r="H872" s="356"/>
    </row>
    <row r="873" spans="1:8" s="1128" customFormat="1" ht="46.5" customHeight="1" x14ac:dyDescent="0.2">
      <c r="A873" s="351">
        <v>852</v>
      </c>
      <c r="B873" s="357" t="s">
        <v>590</v>
      </c>
      <c r="C873" s="332"/>
      <c r="D873" s="332"/>
      <c r="E873" s="332"/>
      <c r="F873" s="332"/>
      <c r="G873" s="332"/>
      <c r="H873" s="356"/>
    </row>
    <row r="874" spans="1:8" s="1128" customFormat="1" ht="27.75" customHeight="1" x14ac:dyDescent="0.2">
      <c r="A874" s="351">
        <v>853</v>
      </c>
      <c r="B874" s="357" t="s">
        <v>589</v>
      </c>
      <c r="C874" s="332"/>
      <c r="D874" s="332"/>
      <c r="E874" s="332"/>
      <c r="F874" s="332"/>
      <c r="G874" s="332"/>
      <c r="H874" s="356"/>
    </row>
    <row r="875" spans="1:8" ht="30" x14ac:dyDescent="0.2">
      <c r="A875" s="351">
        <v>854</v>
      </c>
      <c r="B875" s="357" t="s">
        <v>588</v>
      </c>
      <c r="C875" s="332"/>
      <c r="D875" s="332"/>
      <c r="E875" s="332"/>
      <c r="F875" s="332"/>
      <c r="G875" s="332"/>
      <c r="H875" s="356"/>
    </row>
    <row r="876" spans="1:8" s="1128" customFormat="1" ht="30" x14ac:dyDescent="0.2">
      <c r="A876" s="351">
        <v>855</v>
      </c>
      <c r="B876" s="423" t="s">
        <v>587</v>
      </c>
      <c r="C876" s="422"/>
      <c r="D876" s="422"/>
      <c r="E876" s="422"/>
      <c r="F876" s="422"/>
      <c r="G876" s="422"/>
      <c r="H876" s="356"/>
    </row>
    <row r="877" spans="1:8" s="1128" customFormat="1" ht="30" x14ac:dyDescent="0.2">
      <c r="A877" s="351">
        <v>856</v>
      </c>
      <c r="B877" s="423" t="s">
        <v>586</v>
      </c>
      <c r="C877" s="422"/>
      <c r="D877" s="422"/>
      <c r="E877" s="422"/>
      <c r="F877" s="422"/>
      <c r="G877" s="422"/>
      <c r="H877" s="356"/>
    </row>
    <row r="878" spans="1:8" s="1128" customFormat="1" ht="30" x14ac:dyDescent="0.2">
      <c r="A878" s="351">
        <v>857</v>
      </c>
      <c r="B878" s="410" t="s">
        <v>585</v>
      </c>
      <c r="C878" s="367"/>
      <c r="D878" s="367"/>
      <c r="E878" s="367"/>
      <c r="F878" s="367"/>
      <c r="G878" s="367"/>
      <c r="H878" s="356"/>
    </row>
    <row r="879" spans="1:8" ht="30" x14ac:dyDescent="0.2">
      <c r="A879" s="351">
        <v>858</v>
      </c>
      <c r="B879" s="410" t="s">
        <v>584</v>
      </c>
      <c r="C879" s="367"/>
      <c r="D879" s="367"/>
      <c r="E879" s="367"/>
      <c r="F879" s="367"/>
      <c r="G879" s="367"/>
      <c r="H879" s="356"/>
    </row>
    <row r="880" spans="1:8" ht="30" x14ac:dyDescent="0.2">
      <c r="A880" s="351">
        <v>859</v>
      </c>
      <c r="B880" s="410" t="s">
        <v>583</v>
      </c>
      <c r="C880" s="367"/>
      <c r="D880" s="367"/>
      <c r="E880" s="367"/>
      <c r="F880" s="367"/>
      <c r="G880" s="367"/>
      <c r="H880" s="356"/>
    </row>
    <row r="881" spans="1:8" x14ac:dyDescent="0.25">
      <c r="A881" s="351">
        <v>860</v>
      </c>
      <c r="B881" s="396" t="s">
        <v>582</v>
      </c>
      <c r="C881" s="396"/>
      <c r="D881" s="396"/>
      <c r="E881" s="396"/>
      <c r="F881" s="396"/>
      <c r="G881" s="396"/>
      <c r="H881" s="396"/>
    </row>
    <row r="882" spans="1:8" x14ac:dyDescent="0.2">
      <c r="A882" s="351">
        <v>861</v>
      </c>
      <c r="B882" s="279" t="s">
        <v>581</v>
      </c>
      <c r="C882" s="279"/>
      <c r="D882" s="279"/>
      <c r="E882" s="279"/>
      <c r="F882" s="279"/>
      <c r="G882" s="279"/>
      <c r="H882" s="279"/>
    </row>
    <row r="883" spans="1:8" s="1128" customFormat="1" x14ac:dyDescent="0.2">
      <c r="A883" s="351">
        <v>862</v>
      </c>
      <c r="B883" s="318" t="s">
        <v>200</v>
      </c>
      <c r="C883" s="335"/>
      <c r="D883" s="335"/>
      <c r="E883" s="335"/>
      <c r="F883" s="335"/>
      <c r="G883" s="335"/>
      <c r="H883" s="358"/>
    </row>
    <row r="884" spans="1:8" s="1128" customFormat="1" ht="30" x14ac:dyDescent="0.2">
      <c r="A884" s="351">
        <v>863</v>
      </c>
      <c r="B884" s="376" t="s">
        <v>580</v>
      </c>
      <c r="C884" s="334"/>
      <c r="D884" s="334"/>
      <c r="E884" s="334"/>
      <c r="F884" s="334"/>
      <c r="G884" s="334"/>
      <c r="H884" s="358"/>
    </row>
    <row r="885" spans="1:8" s="1128" customFormat="1" ht="30" x14ac:dyDescent="0.2">
      <c r="A885" s="351">
        <v>864</v>
      </c>
      <c r="B885" s="376" t="s">
        <v>579</v>
      </c>
      <c r="C885" s="334"/>
      <c r="D885" s="334"/>
      <c r="E885" s="334"/>
      <c r="F885" s="334"/>
      <c r="G885" s="334"/>
      <c r="H885" s="358"/>
    </row>
    <row r="886" spans="1:8" ht="30" x14ac:dyDescent="0.2">
      <c r="A886" s="351">
        <v>865</v>
      </c>
      <c r="B886" s="420" t="s">
        <v>578</v>
      </c>
      <c r="C886" s="332"/>
      <c r="D886" s="332"/>
      <c r="E886" s="332"/>
      <c r="F886" s="332"/>
      <c r="G886" s="332"/>
      <c r="H886" s="364"/>
    </row>
    <row r="887" spans="1:8" ht="30" x14ac:dyDescent="0.25">
      <c r="A887" s="351">
        <v>866</v>
      </c>
      <c r="B887" s="354" t="s">
        <v>577</v>
      </c>
      <c r="C887" s="377"/>
      <c r="D887" s="377"/>
      <c r="E887" s="377"/>
      <c r="F887" s="377"/>
      <c r="G887" s="377"/>
      <c r="H887" s="419"/>
    </row>
    <row r="888" spans="1:8" x14ac:dyDescent="0.25">
      <c r="A888" s="351">
        <v>867</v>
      </c>
      <c r="B888" s="376" t="s">
        <v>576</v>
      </c>
      <c r="C888" s="334"/>
      <c r="D888" s="334"/>
      <c r="E888" s="334"/>
      <c r="F888" s="334"/>
      <c r="G888" s="334"/>
      <c r="H888" s="419"/>
    </row>
    <row r="889" spans="1:8" s="1128" customFormat="1" x14ac:dyDescent="0.25">
      <c r="A889" s="351">
        <v>868</v>
      </c>
      <c r="B889" s="376" t="s">
        <v>575</v>
      </c>
      <c r="C889" s="334"/>
      <c r="D889" s="334"/>
      <c r="E889" s="334"/>
      <c r="F889" s="334"/>
      <c r="G889" s="334"/>
      <c r="H889" s="419"/>
    </row>
    <row r="890" spans="1:8" s="1128" customFormat="1" x14ac:dyDescent="0.25">
      <c r="A890" s="351">
        <v>869</v>
      </c>
      <c r="B890" s="382" t="s">
        <v>574</v>
      </c>
      <c r="C890" s="332"/>
      <c r="D890" s="332"/>
      <c r="E890" s="332"/>
      <c r="F890" s="332"/>
      <c r="G890" s="332"/>
      <c r="H890" s="419"/>
    </row>
    <row r="891" spans="1:8" s="1128" customFormat="1" x14ac:dyDescent="0.25">
      <c r="A891" s="351">
        <v>870</v>
      </c>
      <c r="B891" s="382" t="s">
        <v>573</v>
      </c>
      <c r="C891" s="332"/>
      <c r="D891" s="332"/>
      <c r="E891" s="332"/>
      <c r="F891" s="332"/>
      <c r="G891" s="332"/>
      <c r="H891" s="419"/>
    </row>
    <row r="892" spans="1:8" x14ac:dyDescent="0.25">
      <c r="A892" s="351">
        <v>871</v>
      </c>
      <c r="B892" s="382" t="s">
        <v>572</v>
      </c>
      <c r="C892" s="332"/>
      <c r="D892" s="332"/>
      <c r="E892" s="332"/>
      <c r="F892" s="332"/>
      <c r="G892" s="332"/>
      <c r="H892" s="419"/>
    </row>
    <row r="893" spans="1:8" x14ac:dyDescent="0.25">
      <c r="A893" s="351">
        <v>872</v>
      </c>
      <c r="B893" s="382" t="s">
        <v>571</v>
      </c>
      <c r="C893" s="332"/>
      <c r="D893" s="332"/>
      <c r="E893" s="332"/>
      <c r="F893" s="332"/>
      <c r="G893" s="332"/>
      <c r="H893" s="419"/>
    </row>
    <row r="894" spans="1:8" x14ac:dyDescent="0.25">
      <c r="A894" s="351">
        <v>873</v>
      </c>
      <c r="B894" s="382" t="s">
        <v>570</v>
      </c>
      <c r="C894" s="332"/>
      <c r="D894" s="332"/>
      <c r="E894" s="332"/>
      <c r="F894" s="332"/>
      <c r="G894" s="332"/>
      <c r="H894" s="419"/>
    </row>
    <row r="895" spans="1:8" x14ac:dyDescent="0.25">
      <c r="A895" s="351">
        <v>874</v>
      </c>
      <c r="B895" s="382" t="s">
        <v>569</v>
      </c>
      <c r="C895" s="332"/>
      <c r="D895" s="332"/>
      <c r="E895" s="332"/>
      <c r="F895" s="332"/>
      <c r="G895" s="332"/>
      <c r="H895" s="419"/>
    </row>
    <row r="896" spans="1:8" s="1128" customFormat="1" x14ac:dyDescent="0.25">
      <c r="A896" s="351">
        <v>875</v>
      </c>
      <c r="B896" s="382" t="s">
        <v>568</v>
      </c>
      <c r="C896" s="332"/>
      <c r="D896" s="332"/>
      <c r="E896" s="332"/>
      <c r="F896" s="332"/>
      <c r="G896" s="332"/>
      <c r="H896" s="419"/>
    </row>
    <row r="897" spans="1:8" s="1128" customFormat="1" x14ac:dyDescent="0.25">
      <c r="A897" s="351">
        <v>876</v>
      </c>
      <c r="B897" s="382" t="s">
        <v>567</v>
      </c>
      <c r="C897" s="332"/>
      <c r="D897" s="332"/>
      <c r="E897" s="332"/>
      <c r="F897" s="332"/>
      <c r="G897" s="332"/>
      <c r="H897" s="419"/>
    </row>
    <row r="898" spans="1:8" s="1128" customFormat="1" x14ac:dyDescent="0.25">
      <c r="A898" s="351">
        <v>877</v>
      </c>
      <c r="B898" s="382" t="s">
        <v>566</v>
      </c>
      <c r="C898" s="332"/>
      <c r="D898" s="332"/>
      <c r="E898" s="332"/>
      <c r="F898" s="332"/>
      <c r="G898" s="332"/>
      <c r="H898" s="419"/>
    </row>
    <row r="899" spans="1:8" s="1128" customFormat="1" x14ac:dyDescent="0.25">
      <c r="A899" s="351">
        <v>878</v>
      </c>
      <c r="B899" s="382" t="s">
        <v>565</v>
      </c>
      <c r="C899" s="332"/>
      <c r="D899" s="332"/>
      <c r="E899" s="332"/>
      <c r="F899" s="332"/>
      <c r="G899" s="332"/>
      <c r="H899" s="419"/>
    </row>
    <row r="900" spans="1:8" s="1146" customFormat="1" ht="30" x14ac:dyDescent="0.25">
      <c r="A900" s="351">
        <v>879</v>
      </c>
      <c r="B900" s="382" t="s">
        <v>3523</v>
      </c>
      <c r="C900" s="332"/>
      <c r="D900" s="332"/>
      <c r="E900" s="332"/>
      <c r="F900" s="332"/>
      <c r="G900" s="332"/>
      <c r="H900" s="419"/>
    </row>
    <row r="901" spans="1:8" s="1128" customFormat="1" x14ac:dyDescent="0.25">
      <c r="A901" s="351">
        <v>880</v>
      </c>
      <c r="B901" s="376" t="s">
        <v>564</v>
      </c>
      <c r="C901" s="334"/>
      <c r="D901" s="334"/>
      <c r="E901" s="334"/>
      <c r="F901" s="334"/>
      <c r="G901" s="334"/>
      <c r="H901" s="419"/>
    </row>
    <row r="902" spans="1:8" x14ac:dyDescent="0.25">
      <c r="A902" s="351">
        <v>881</v>
      </c>
      <c r="B902" s="376" t="s">
        <v>563</v>
      </c>
      <c r="C902" s="334"/>
      <c r="D902" s="334"/>
      <c r="E902" s="334"/>
      <c r="F902" s="334"/>
      <c r="G902" s="334"/>
      <c r="H902" s="419"/>
    </row>
    <row r="903" spans="1:8" x14ac:dyDescent="0.25">
      <c r="A903" s="351">
        <v>882</v>
      </c>
      <c r="B903" s="382" t="s">
        <v>562</v>
      </c>
      <c r="C903" s="332"/>
      <c r="D903" s="332"/>
      <c r="E903" s="332"/>
      <c r="F903" s="332"/>
      <c r="G903" s="332"/>
      <c r="H903" s="419"/>
    </row>
    <row r="904" spans="1:8" x14ac:dyDescent="0.25">
      <c r="A904" s="351">
        <v>883</v>
      </c>
      <c r="B904" s="382" t="s">
        <v>561</v>
      </c>
      <c r="C904" s="332"/>
      <c r="D904" s="332"/>
      <c r="E904" s="332"/>
      <c r="F904" s="332"/>
      <c r="G904" s="332"/>
      <c r="H904" s="419"/>
    </row>
    <row r="905" spans="1:8" x14ac:dyDescent="0.25">
      <c r="A905" s="351">
        <v>884</v>
      </c>
      <c r="B905" s="382" t="s">
        <v>560</v>
      </c>
      <c r="C905" s="332"/>
      <c r="D905" s="332"/>
      <c r="E905" s="332"/>
      <c r="F905" s="332"/>
      <c r="G905" s="332"/>
      <c r="H905" s="419"/>
    </row>
    <row r="906" spans="1:8" x14ac:dyDescent="0.25">
      <c r="A906" s="351">
        <v>885</v>
      </c>
      <c r="B906" s="382" t="s">
        <v>559</v>
      </c>
      <c r="C906" s="332"/>
      <c r="D906" s="332"/>
      <c r="E906" s="332"/>
      <c r="F906" s="332"/>
      <c r="G906" s="332"/>
      <c r="H906" s="419"/>
    </row>
    <row r="907" spans="1:8" s="1128" customFormat="1" x14ac:dyDescent="0.25">
      <c r="A907" s="351">
        <v>886</v>
      </c>
      <c r="B907" s="382" t="s">
        <v>558</v>
      </c>
      <c r="C907" s="332"/>
      <c r="D907" s="332"/>
      <c r="E907" s="332"/>
      <c r="F907" s="332"/>
      <c r="G907" s="332"/>
      <c r="H907" s="419"/>
    </row>
    <row r="908" spans="1:8" x14ac:dyDescent="0.25">
      <c r="A908" s="351">
        <v>887</v>
      </c>
      <c r="B908" s="382" t="s">
        <v>557</v>
      </c>
      <c r="C908" s="332"/>
      <c r="D908" s="332"/>
      <c r="E908" s="332"/>
      <c r="F908" s="332"/>
      <c r="G908" s="332"/>
      <c r="H908" s="419"/>
    </row>
    <row r="909" spans="1:8" x14ac:dyDescent="0.25">
      <c r="A909" s="351">
        <v>888</v>
      </c>
      <c r="B909" s="382" t="s">
        <v>556</v>
      </c>
      <c r="C909" s="332"/>
      <c r="D909" s="332"/>
      <c r="E909" s="332"/>
      <c r="F909" s="332"/>
      <c r="G909" s="332"/>
      <c r="H909" s="419"/>
    </row>
    <row r="910" spans="1:8" x14ac:dyDescent="0.25">
      <c r="A910" s="351">
        <v>889</v>
      </c>
      <c r="B910" s="376" t="s">
        <v>555</v>
      </c>
      <c r="C910" s="334"/>
      <c r="D910" s="334"/>
      <c r="E910" s="334"/>
      <c r="F910" s="334"/>
      <c r="G910" s="334"/>
      <c r="H910" s="419"/>
    </row>
    <row r="911" spans="1:8" x14ac:dyDescent="0.25">
      <c r="A911" s="351">
        <v>890</v>
      </c>
      <c r="B911" s="376" t="s">
        <v>554</v>
      </c>
      <c r="C911" s="377"/>
      <c r="D911" s="377"/>
      <c r="E911" s="377"/>
      <c r="F911" s="377"/>
      <c r="G911" s="377"/>
      <c r="H911" s="419"/>
    </row>
    <row r="912" spans="1:8" x14ac:dyDescent="0.25">
      <c r="A912" s="351">
        <v>891</v>
      </c>
      <c r="B912" s="418" t="s">
        <v>553</v>
      </c>
      <c r="C912" s="334"/>
      <c r="D912" s="334"/>
      <c r="E912" s="334"/>
      <c r="F912" s="334"/>
      <c r="G912" s="334"/>
      <c r="H912" s="419"/>
    </row>
    <row r="913" spans="1:9" x14ac:dyDescent="0.25">
      <c r="A913" s="351">
        <v>892</v>
      </c>
      <c r="B913" s="418" t="s">
        <v>366</v>
      </c>
      <c r="C913" s="334"/>
      <c r="D913" s="334"/>
      <c r="E913" s="334"/>
      <c r="F913" s="334"/>
      <c r="G913" s="334"/>
      <c r="H913" s="419"/>
    </row>
    <row r="914" spans="1:9" x14ac:dyDescent="0.25">
      <c r="A914" s="351">
        <v>893</v>
      </c>
      <c r="B914" s="418" t="s">
        <v>404</v>
      </c>
      <c r="C914" s="334"/>
      <c r="D914" s="334"/>
      <c r="E914" s="334"/>
      <c r="F914" s="334"/>
      <c r="G914" s="334"/>
      <c r="H914" s="419"/>
    </row>
    <row r="915" spans="1:9" s="1128" customFormat="1" x14ac:dyDescent="0.25">
      <c r="A915" s="351">
        <v>894</v>
      </c>
      <c r="B915" s="376" t="s">
        <v>552</v>
      </c>
      <c r="C915" s="334"/>
      <c r="D915" s="334"/>
      <c r="E915" s="334"/>
      <c r="F915" s="334"/>
      <c r="G915" s="334"/>
      <c r="H915" s="419"/>
    </row>
    <row r="916" spans="1:9" s="1128" customFormat="1" ht="30" x14ac:dyDescent="0.25">
      <c r="A916" s="351">
        <v>895</v>
      </c>
      <c r="B916" s="378" t="s">
        <v>551</v>
      </c>
      <c r="C916" s="334"/>
      <c r="D916" s="334"/>
      <c r="E916" s="334"/>
      <c r="F916" s="334"/>
      <c r="G916" s="334"/>
      <c r="H916" s="419"/>
    </row>
    <row r="917" spans="1:9" s="1128" customFormat="1" ht="30" x14ac:dyDescent="0.25">
      <c r="A917" s="351">
        <v>896</v>
      </c>
      <c r="B917" s="318" t="s">
        <v>550</v>
      </c>
      <c r="C917" s="332"/>
      <c r="D917" s="332"/>
      <c r="E917" s="332"/>
      <c r="F917" s="332"/>
      <c r="G917" s="332"/>
      <c r="H917" s="419"/>
    </row>
    <row r="918" spans="1:9" s="1128" customFormat="1" ht="30" x14ac:dyDescent="0.25">
      <c r="A918" s="351">
        <v>897</v>
      </c>
      <c r="B918" s="318" t="s">
        <v>549</v>
      </c>
      <c r="C918" s="332"/>
      <c r="D918" s="332"/>
      <c r="E918" s="332"/>
      <c r="F918" s="332"/>
      <c r="G918" s="332"/>
      <c r="H918" s="419"/>
    </row>
    <row r="919" spans="1:9" s="1128" customFormat="1" x14ac:dyDescent="0.25">
      <c r="A919" s="351">
        <v>898</v>
      </c>
      <c r="B919" s="318" t="s">
        <v>548</v>
      </c>
      <c r="C919" s="332"/>
      <c r="D919" s="332"/>
      <c r="E919" s="332"/>
      <c r="F919" s="332"/>
      <c r="G919" s="332"/>
      <c r="H919" s="419"/>
    </row>
    <row r="920" spans="1:9" s="1128" customFormat="1" ht="30" x14ac:dyDescent="0.25">
      <c r="A920" s="351">
        <v>899</v>
      </c>
      <c r="B920" s="318" t="s">
        <v>547</v>
      </c>
      <c r="C920" s="332"/>
      <c r="D920" s="332"/>
      <c r="E920" s="332"/>
      <c r="F920" s="332"/>
      <c r="G920" s="332"/>
      <c r="H920" s="419"/>
    </row>
    <row r="921" spans="1:9" s="1128" customFormat="1" ht="45" x14ac:dyDescent="0.25">
      <c r="A921" s="351">
        <v>900</v>
      </c>
      <c r="B921" s="318" t="s">
        <v>546</v>
      </c>
      <c r="C921" s="332"/>
      <c r="D921" s="332"/>
      <c r="E921" s="332"/>
      <c r="F921" s="332"/>
      <c r="G921" s="332"/>
      <c r="H921" s="419"/>
    </row>
    <row r="922" spans="1:9" s="1128" customFormat="1" x14ac:dyDescent="0.2">
      <c r="A922" s="351">
        <v>901</v>
      </c>
      <c r="B922" s="279" t="s">
        <v>545</v>
      </c>
      <c r="C922" s="279"/>
      <c r="D922" s="279"/>
      <c r="E922" s="279"/>
      <c r="F922" s="279"/>
      <c r="G922" s="279"/>
      <c r="H922" s="279"/>
      <c r="I922" s="415"/>
    </row>
    <row r="923" spans="1:9" s="1128" customFormat="1" x14ac:dyDescent="0.25">
      <c r="A923" s="351">
        <v>902</v>
      </c>
      <c r="B923" s="417" t="s">
        <v>544</v>
      </c>
      <c r="C923" s="416"/>
      <c r="D923" s="416"/>
      <c r="E923" s="416"/>
      <c r="F923" s="416"/>
      <c r="G923" s="416"/>
      <c r="H923" s="430"/>
      <c r="I923" s="415"/>
    </row>
    <row r="924" spans="1:9" s="1128" customFormat="1" x14ac:dyDescent="0.25">
      <c r="A924" s="351">
        <v>903</v>
      </c>
      <c r="B924" s="417" t="s">
        <v>543</v>
      </c>
      <c r="C924" s="416"/>
      <c r="D924" s="416"/>
      <c r="E924" s="416"/>
      <c r="F924" s="416"/>
      <c r="G924" s="416"/>
      <c r="H924" s="1135"/>
      <c r="I924" s="415"/>
    </row>
    <row r="925" spans="1:9" s="1128" customFormat="1" ht="30" x14ac:dyDescent="0.25">
      <c r="A925" s="351">
        <v>904</v>
      </c>
      <c r="B925" s="417" t="s">
        <v>542</v>
      </c>
      <c r="C925" s="416"/>
      <c r="D925" s="416"/>
      <c r="E925" s="416"/>
      <c r="F925" s="416"/>
      <c r="G925" s="416"/>
      <c r="H925" s="1135"/>
      <c r="I925" s="415"/>
    </row>
    <row r="926" spans="1:9" s="1128" customFormat="1" ht="45" x14ac:dyDescent="0.25">
      <c r="A926" s="351">
        <v>905</v>
      </c>
      <c r="B926" s="417" t="s">
        <v>541</v>
      </c>
      <c r="C926" s="416"/>
      <c r="D926" s="416"/>
      <c r="E926" s="416"/>
      <c r="F926" s="416"/>
      <c r="G926" s="416"/>
      <c r="H926" s="1135"/>
      <c r="I926" s="415"/>
    </row>
    <row r="927" spans="1:9" ht="30" x14ac:dyDescent="0.2">
      <c r="A927" s="351">
        <v>906</v>
      </c>
      <c r="B927" s="381" t="s">
        <v>540</v>
      </c>
      <c r="C927" s="335"/>
      <c r="D927" s="335"/>
      <c r="E927" s="335"/>
      <c r="F927" s="335"/>
      <c r="G927" s="335"/>
      <c r="H927" s="318"/>
    </row>
    <row r="928" spans="1:9" x14ac:dyDescent="0.2">
      <c r="A928" s="351">
        <v>907</v>
      </c>
      <c r="B928" s="414" t="s">
        <v>539</v>
      </c>
      <c r="C928" s="332"/>
      <c r="D928" s="332"/>
      <c r="E928" s="332"/>
      <c r="F928" s="332"/>
      <c r="G928" s="332"/>
      <c r="H928" s="318"/>
    </row>
    <row r="929" spans="1:8" x14ac:dyDescent="0.2">
      <c r="A929" s="351">
        <v>908</v>
      </c>
      <c r="B929" s="414" t="s">
        <v>538</v>
      </c>
      <c r="C929" s="332"/>
      <c r="D929" s="332"/>
      <c r="E929" s="332"/>
      <c r="F929" s="332"/>
      <c r="G929" s="332"/>
      <c r="H929" s="318"/>
    </row>
    <row r="930" spans="1:8" s="1128" customFormat="1" x14ac:dyDescent="0.2">
      <c r="A930" s="351">
        <v>909</v>
      </c>
      <c r="B930" s="414" t="s">
        <v>402</v>
      </c>
      <c r="C930" s="332"/>
      <c r="D930" s="332"/>
      <c r="E930" s="332"/>
      <c r="F930" s="332"/>
      <c r="G930" s="332"/>
      <c r="H930" s="318"/>
    </row>
    <row r="931" spans="1:8" x14ac:dyDescent="0.2">
      <c r="A931" s="351">
        <v>910</v>
      </c>
      <c r="B931" s="414" t="s">
        <v>190</v>
      </c>
      <c r="C931" s="332"/>
      <c r="D931" s="332"/>
      <c r="E931" s="332"/>
      <c r="F931" s="332"/>
      <c r="G931" s="332"/>
      <c r="H931" s="318"/>
    </row>
    <row r="932" spans="1:8" x14ac:dyDescent="0.2">
      <c r="A932" s="351">
        <v>911</v>
      </c>
      <c r="B932" s="414" t="s">
        <v>512</v>
      </c>
      <c r="C932" s="332"/>
      <c r="D932" s="332"/>
      <c r="E932" s="332"/>
      <c r="F932" s="332"/>
      <c r="G932" s="332"/>
      <c r="H932" s="318"/>
    </row>
    <row r="933" spans="1:8" x14ac:dyDescent="0.2">
      <c r="A933" s="351">
        <v>912</v>
      </c>
      <c r="B933" s="414" t="s">
        <v>520</v>
      </c>
      <c r="C933" s="332"/>
      <c r="D933" s="332"/>
      <c r="E933" s="332"/>
      <c r="F933" s="332"/>
      <c r="G933" s="332"/>
      <c r="H933" s="318"/>
    </row>
    <row r="934" spans="1:8" x14ac:dyDescent="0.2">
      <c r="A934" s="351">
        <v>913</v>
      </c>
      <c r="B934" s="414" t="s">
        <v>537</v>
      </c>
      <c r="C934" s="332"/>
      <c r="D934" s="332"/>
      <c r="E934" s="332"/>
      <c r="F934" s="332"/>
      <c r="G934" s="332"/>
      <c r="H934" s="318"/>
    </row>
    <row r="935" spans="1:8" x14ac:dyDescent="0.2">
      <c r="A935" s="351">
        <v>914</v>
      </c>
      <c r="B935" s="414" t="s">
        <v>536</v>
      </c>
      <c r="C935" s="332"/>
      <c r="D935" s="332"/>
      <c r="E935" s="332"/>
      <c r="F935" s="332"/>
      <c r="G935" s="332"/>
      <c r="H935" s="318"/>
    </row>
    <row r="936" spans="1:8" s="1128" customFormat="1" x14ac:dyDescent="0.2">
      <c r="A936" s="351">
        <v>915</v>
      </c>
      <c r="B936" s="414" t="s">
        <v>535</v>
      </c>
      <c r="C936" s="332"/>
      <c r="D936" s="332"/>
      <c r="E936" s="332"/>
      <c r="F936" s="332"/>
      <c r="G936" s="332"/>
      <c r="H936" s="318"/>
    </row>
    <row r="937" spans="1:8" s="1128" customFormat="1" x14ac:dyDescent="0.2">
      <c r="A937" s="351">
        <v>916</v>
      </c>
      <c r="B937" s="414" t="s">
        <v>534</v>
      </c>
      <c r="C937" s="332"/>
      <c r="D937" s="332"/>
      <c r="E937" s="332"/>
      <c r="F937" s="332"/>
      <c r="G937" s="332"/>
      <c r="H937" s="318"/>
    </row>
    <row r="938" spans="1:8" s="1128" customFormat="1" x14ac:dyDescent="0.2">
      <c r="A938" s="351">
        <v>917</v>
      </c>
      <c r="B938" s="414" t="s">
        <v>236</v>
      </c>
      <c r="C938" s="332"/>
      <c r="D938" s="332"/>
      <c r="E938" s="332"/>
      <c r="F938" s="332"/>
      <c r="G938" s="332"/>
      <c r="H938" s="318"/>
    </row>
    <row r="939" spans="1:8" s="1128" customFormat="1" x14ac:dyDescent="0.2">
      <c r="A939" s="351">
        <v>918</v>
      </c>
      <c r="B939" s="414" t="s">
        <v>533</v>
      </c>
      <c r="C939" s="332"/>
      <c r="D939" s="332"/>
      <c r="E939" s="332"/>
      <c r="F939" s="332"/>
      <c r="G939" s="332"/>
      <c r="H939" s="318"/>
    </row>
    <row r="940" spans="1:8" s="1128" customFormat="1" x14ac:dyDescent="0.2">
      <c r="A940" s="351">
        <v>919</v>
      </c>
      <c r="B940" s="414" t="s">
        <v>304</v>
      </c>
      <c r="C940" s="332"/>
      <c r="D940" s="332"/>
      <c r="E940" s="332"/>
      <c r="F940" s="332"/>
      <c r="G940" s="332"/>
      <c r="H940" s="318"/>
    </row>
    <row r="941" spans="1:8" s="1128" customFormat="1" x14ac:dyDescent="0.2">
      <c r="A941" s="351">
        <v>920</v>
      </c>
      <c r="B941" s="414" t="s">
        <v>191</v>
      </c>
      <c r="C941" s="332"/>
      <c r="D941" s="332"/>
      <c r="E941" s="332"/>
      <c r="F941" s="332"/>
      <c r="G941" s="332"/>
      <c r="H941" s="318"/>
    </row>
    <row r="942" spans="1:8" s="1128" customFormat="1" x14ac:dyDescent="0.2">
      <c r="A942" s="351">
        <v>921</v>
      </c>
      <c r="B942" s="414" t="s">
        <v>532</v>
      </c>
      <c r="C942" s="332"/>
      <c r="D942" s="332"/>
      <c r="E942" s="332"/>
      <c r="F942" s="332"/>
      <c r="G942" s="332"/>
      <c r="H942" s="318"/>
    </row>
    <row r="943" spans="1:8" x14ac:dyDescent="0.2">
      <c r="A943" s="351">
        <v>922</v>
      </c>
      <c r="B943" s="414" t="s">
        <v>531</v>
      </c>
      <c r="C943" s="332"/>
      <c r="D943" s="332"/>
      <c r="E943" s="332"/>
      <c r="F943" s="332"/>
      <c r="G943" s="332"/>
      <c r="H943" s="318"/>
    </row>
    <row r="944" spans="1:8" s="1128" customFormat="1" x14ac:dyDescent="0.2">
      <c r="A944" s="351">
        <v>923</v>
      </c>
      <c r="B944" s="381" t="s">
        <v>530</v>
      </c>
      <c r="C944" s="332"/>
      <c r="D944" s="332"/>
      <c r="E944" s="332"/>
      <c r="F944" s="332"/>
      <c r="G944" s="332"/>
      <c r="H944" s="318"/>
    </row>
    <row r="945" spans="1:8" s="1128" customFormat="1" ht="60" x14ac:dyDescent="0.2">
      <c r="A945" s="351">
        <v>924</v>
      </c>
      <c r="B945" s="381" t="s">
        <v>529</v>
      </c>
      <c r="C945" s="332"/>
      <c r="D945" s="332"/>
      <c r="E945" s="332"/>
      <c r="F945" s="332"/>
      <c r="G945" s="332"/>
      <c r="H945" s="318"/>
    </row>
    <row r="946" spans="1:8" s="1128" customFormat="1" ht="30" x14ac:dyDescent="0.25">
      <c r="A946" s="351">
        <v>925</v>
      </c>
      <c r="B946" s="976" t="s">
        <v>528</v>
      </c>
      <c r="C946" s="416"/>
      <c r="D946" s="416"/>
      <c r="E946" s="416"/>
      <c r="F946" s="416"/>
      <c r="G946" s="416"/>
      <c r="H946" s="1135"/>
    </row>
    <row r="947" spans="1:8" ht="30" x14ac:dyDescent="0.2">
      <c r="A947" s="351">
        <v>926</v>
      </c>
      <c r="B947" s="318" t="s">
        <v>527</v>
      </c>
      <c r="C947" s="377"/>
      <c r="D947" s="377"/>
      <c r="E947" s="377"/>
      <c r="F947" s="377"/>
      <c r="G947" s="377"/>
      <c r="H947" s="318"/>
    </row>
    <row r="948" spans="1:8" x14ac:dyDescent="0.2">
      <c r="A948" s="351">
        <v>927</v>
      </c>
      <c r="B948" s="376" t="s">
        <v>526</v>
      </c>
      <c r="C948" s="334"/>
      <c r="D948" s="334"/>
      <c r="E948" s="334"/>
      <c r="F948" s="334"/>
      <c r="G948" s="334"/>
      <c r="H948" s="318"/>
    </row>
    <row r="949" spans="1:8" x14ac:dyDescent="0.2">
      <c r="A949" s="351">
        <v>928</v>
      </c>
      <c r="B949" s="376" t="s">
        <v>525</v>
      </c>
      <c r="C949" s="334"/>
      <c r="D949" s="334"/>
      <c r="E949" s="334"/>
      <c r="F949" s="334"/>
      <c r="G949" s="334"/>
      <c r="H949" s="318"/>
    </row>
    <row r="950" spans="1:8" ht="30" x14ac:dyDescent="0.2">
      <c r="A950" s="351">
        <v>929</v>
      </c>
      <c r="B950" s="357" t="s">
        <v>524</v>
      </c>
      <c r="C950" s="335"/>
      <c r="D950" s="335"/>
      <c r="E950" s="335"/>
      <c r="F950" s="335"/>
      <c r="G950" s="335"/>
      <c r="H950" s="318"/>
    </row>
    <row r="951" spans="1:8" ht="30" x14ac:dyDescent="0.2">
      <c r="A951" s="351">
        <v>930</v>
      </c>
      <c r="B951" s="382" t="s">
        <v>523</v>
      </c>
      <c r="C951" s="332"/>
      <c r="D951" s="332"/>
      <c r="E951" s="332"/>
      <c r="F951" s="332"/>
      <c r="G951" s="332"/>
      <c r="H951" s="318"/>
    </row>
    <row r="952" spans="1:8" x14ac:dyDescent="0.2">
      <c r="A952" s="351">
        <v>931</v>
      </c>
      <c r="B952" s="382" t="s">
        <v>522</v>
      </c>
      <c r="C952" s="332"/>
      <c r="D952" s="332"/>
      <c r="E952" s="332"/>
      <c r="F952" s="332"/>
      <c r="G952" s="332"/>
      <c r="H952" s="318"/>
    </row>
    <row r="953" spans="1:8" x14ac:dyDescent="0.2">
      <c r="A953" s="351">
        <v>932</v>
      </c>
      <c r="B953" s="378" t="s">
        <v>521</v>
      </c>
      <c r="C953" s="377"/>
      <c r="D953" s="377"/>
      <c r="E953" s="377"/>
      <c r="F953" s="377"/>
      <c r="G953" s="377"/>
      <c r="H953" s="318"/>
    </row>
    <row r="954" spans="1:8" x14ac:dyDescent="0.2">
      <c r="A954" s="351">
        <v>933</v>
      </c>
      <c r="B954" s="376" t="s">
        <v>515</v>
      </c>
      <c r="C954" s="332"/>
      <c r="D954" s="332"/>
      <c r="E954" s="332"/>
      <c r="F954" s="332"/>
      <c r="G954" s="332"/>
      <c r="H954" s="318"/>
    </row>
    <row r="955" spans="1:8" s="1128" customFormat="1" x14ac:dyDescent="0.2">
      <c r="A955" s="351">
        <v>934</v>
      </c>
      <c r="B955" s="382" t="s">
        <v>513</v>
      </c>
      <c r="C955" s="332"/>
      <c r="D955" s="332"/>
      <c r="E955" s="332"/>
      <c r="F955" s="332"/>
      <c r="G955" s="332"/>
      <c r="H955" s="318"/>
    </row>
    <row r="956" spans="1:8" s="1128" customFormat="1" x14ac:dyDescent="0.2">
      <c r="A956" s="351">
        <v>935</v>
      </c>
      <c r="B956" s="382" t="s">
        <v>520</v>
      </c>
      <c r="C956" s="332"/>
      <c r="D956" s="332"/>
      <c r="E956" s="332"/>
      <c r="F956" s="332"/>
      <c r="G956" s="332"/>
      <c r="H956" s="318"/>
    </row>
    <row r="957" spans="1:8" s="1128" customFormat="1" x14ac:dyDescent="0.2">
      <c r="A957" s="351">
        <v>936</v>
      </c>
      <c r="B957" s="382" t="s">
        <v>111</v>
      </c>
      <c r="C957" s="332"/>
      <c r="D957" s="332"/>
      <c r="E957" s="332"/>
      <c r="F957" s="332"/>
      <c r="G957" s="332"/>
      <c r="H957" s="318"/>
    </row>
    <row r="958" spans="1:8" s="1128" customFormat="1" x14ac:dyDescent="0.2">
      <c r="A958" s="351">
        <v>937</v>
      </c>
      <c r="B958" s="376" t="s">
        <v>519</v>
      </c>
      <c r="C958" s="334"/>
      <c r="D958" s="334"/>
      <c r="E958" s="334"/>
      <c r="F958" s="334"/>
      <c r="G958" s="334"/>
      <c r="H958" s="318"/>
    </row>
    <row r="959" spans="1:8" s="1128" customFormat="1" x14ac:dyDescent="0.2">
      <c r="A959" s="351">
        <v>938</v>
      </c>
      <c r="B959" s="376" t="s">
        <v>518</v>
      </c>
      <c r="C959" s="334"/>
      <c r="D959" s="334"/>
      <c r="E959" s="334"/>
      <c r="F959" s="334"/>
      <c r="G959" s="334"/>
      <c r="H959" s="318"/>
    </row>
    <row r="960" spans="1:8" x14ac:dyDescent="0.2">
      <c r="A960" s="351">
        <v>939</v>
      </c>
      <c r="B960" s="354" t="s">
        <v>517</v>
      </c>
      <c r="C960" s="377"/>
      <c r="D960" s="377"/>
      <c r="E960" s="377"/>
      <c r="F960" s="377"/>
      <c r="G960" s="377"/>
      <c r="H960" s="318"/>
    </row>
    <row r="961" spans="1:8" x14ac:dyDescent="0.2">
      <c r="A961" s="351">
        <v>940</v>
      </c>
      <c r="B961" s="376" t="s">
        <v>516</v>
      </c>
      <c r="C961" s="334"/>
      <c r="D961" s="334"/>
      <c r="E961" s="334"/>
      <c r="F961" s="334"/>
      <c r="G961" s="334"/>
      <c r="H961" s="318"/>
    </row>
    <row r="962" spans="1:8" x14ac:dyDescent="0.2">
      <c r="A962" s="351">
        <v>941</v>
      </c>
      <c r="B962" s="376" t="s">
        <v>515</v>
      </c>
      <c r="C962" s="334"/>
      <c r="D962" s="334"/>
      <c r="E962" s="334"/>
      <c r="F962" s="334"/>
      <c r="G962" s="334"/>
      <c r="H962" s="318"/>
    </row>
    <row r="963" spans="1:8" s="1128" customFormat="1" x14ac:dyDescent="0.2">
      <c r="A963" s="351">
        <v>942</v>
      </c>
      <c r="B963" s="376" t="s">
        <v>514</v>
      </c>
      <c r="C963" s="334"/>
      <c r="D963" s="334"/>
      <c r="E963" s="334"/>
      <c r="F963" s="334"/>
      <c r="G963" s="334"/>
      <c r="H963" s="318"/>
    </row>
    <row r="964" spans="1:8" x14ac:dyDescent="0.2">
      <c r="A964" s="351">
        <v>943</v>
      </c>
      <c r="B964" s="382" t="s">
        <v>513</v>
      </c>
      <c r="C964" s="332"/>
      <c r="D964" s="332"/>
      <c r="E964" s="332"/>
      <c r="F964" s="332"/>
      <c r="G964" s="332"/>
      <c r="H964" s="318"/>
    </row>
    <row r="965" spans="1:8" x14ac:dyDescent="0.2">
      <c r="A965" s="351">
        <v>944</v>
      </c>
      <c r="B965" s="376" t="s">
        <v>302</v>
      </c>
      <c r="C965" s="334"/>
      <c r="D965" s="334"/>
      <c r="E965" s="334"/>
      <c r="F965" s="334"/>
      <c r="G965" s="334"/>
      <c r="H965" s="318"/>
    </row>
    <row r="966" spans="1:8" s="1128" customFormat="1" x14ac:dyDescent="0.2">
      <c r="A966" s="351">
        <v>945</v>
      </c>
      <c r="B966" s="382" t="s">
        <v>19</v>
      </c>
      <c r="C966" s="332"/>
      <c r="D966" s="332"/>
      <c r="E966" s="332"/>
      <c r="F966" s="332"/>
      <c r="G966" s="332"/>
      <c r="H966" s="318"/>
    </row>
    <row r="967" spans="1:8" s="1128" customFormat="1" x14ac:dyDescent="0.2">
      <c r="A967" s="351">
        <v>946</v>
      </c>
      <c r="B967" s="382" t="s">
        <v>512</v>
      </c>
      <c r="C967" s="332"/>
      <c r="D967" s="332"/>
      <c r="E967" s="332"/>
      <c r="F967" s="332"/>
      <c r="G967" s="332"/>
      <c r="H967" s="318"/>
    </row>
    <row r="968" spans="1:8" s="1128" customFormat="1" x14ac:dyDescent="0.2">
      <c r="A968" s="351">
        <v>947</v>
      </c>
      <c r="B968" s="382" t="s">
        <v>511</v>
      </c>
      <c r="C968" s="332"/>
      <c r="D968" s="332"/>
      <c r="E968" s="332"/>
      <c r="F968" s="332"/>
      <c r="G968" s="332"/>
      <c r="H968" s="318"/>
    </row>
    <row r="969" spans="1:8" x14ac:dyDescent="0.2">
      <c r="A969" s="351">
        <v>948</v>
      </c>
      <c r="B969" s="376" t="s">
        <v>510</v>
      </c>
      <c r="C969" s="334"/>
      <c r="D969" s="334"/>
      <c r="E969" s="334"/>
      <c r="F969" s="334"/>
      <c r="G969" s="334"/>
      <c r="H969" s="318"/>
    </row>
    <row r="970" spans="1:8" ht="30" x14ac:dyDescent="0.2">
      <c r="A970" s="351">
        <v>949</v>
      </c>
      <c r="B970" s="378" t="s">
        <v>509</v>
      </c>
      <c r="C970" s="334"/>
      <c r="D970" s="334"/>
      <c r="E970" s="334"/>
      <c r="F970" s="334"/>
      <c r="G970" s="334"/>
      <c r="H970" s="318"/>
    </row>
    <row r="971" spans="1:8" s="411" customFormat="1" x14ac:dyDescent="0.2">
      <c r="A971" s="351">
        <v>950</v>
      </c>
      <c r="B971" s="882" t="s">
        <v>3554</v>
      </c>
      <c r="C971" s="413"/>
      <c r="D971" s="397"/>
      <c r="E971" s="397"/>
      <c r="F971" s="397"/>
      <c r="G971" s="397"/>
      <c r="H971" s="318" t="s">
        <v>3555</v>
      </c>
    </row>
    <row r="972" spans="1:8" x14ac:dyDescent="0.25">
      <c r="A972" s="351">
        <v>951</v>
      </c>
      <c r="B972" s="396" t="s">
        <v>508</v>
      </c>
      <c r="C972" s="395"/>
      <c r="D972" s="395"/>
      <c r="E972" s="395"/>
      <c r="F972" s="395"/>
      <c r="G972" s="395"/>
      <c r="H972" s="394"/>
    </row>
    <row r="973" spans="1:8" x14ac:dyDescent="0.2">
      <c r="A973" s="351">
        <v>952</v>
      </c>
      <c r="B973" s="279" t="s">
        <v>507</v>
      </c>
      <c r="C973" s="388"/>
      <c r="D973" s="388"/>
      <c r="E973" s="388"/>
      <c r="F973" s="388"/>
      <c r="G973" s="388"/>
      <c r="H973" s="362"/>
    </row>
    <row r="974" spans="1:8" ht="45" x14ac:dyDescent="0.2">
      <c r="A974" s="351">
        <v>953</v>
      </c>
      <c r="B974" s="354" t="s">
        <v>506</v>
      </c>
      <c r="C974" s="398"/>
      <c r="D974" s="401"/>
      <c r="E974" s="401"/>
      <c r="F974" s="401"/>
      <c r="G974" s="401"/>
      <c r="H974" s="364"/>
    </row>
    <row r="975" spans="1:8" s="1128" customFormat="1" ht="30" x14ac:dyDescent="0.2">
      <c r="A975" s="351">
        <v>954</v>
      </c>
      <c r="B975" s="357" t="s">
        <v>505</v>
      </c>
      <c r="C975" s="400"/>
      <c r="D975" s="399"/>
      <c r="E975" s="399"/>
      <c r="F975" s="399"/>
      <c r="G975" s="399"/>
      <c r="H975" s="364"/>
    </row>
    <row r="976" spans="1:8" s="1128" customFormat="1" ht="30" x14ac:dyDescent="0.2">
      <c r="A976" s="351">
        <v>955</v>
      </c>
      <c r="B976" s="357" t="s">
        <v>504</v>
      </c>
      <c r="C976" s="400"/>
      <c r="D976" s="399"/>
      <c r="E976" s="399"/>
      <c r="F976" s="399"/>
      <c r="G976" s="399"/>
      <c r="H976" s="364"/>
    </row>
    <row r="977" spans="1:8" ht="30" x14ac:dyDescent="0.2">
      <c r="A977" s="351">
        <v>956</v>
      </c>
      <c r="B977" s="357" t="s">
        <v>503</v>
      </c>
      <c r="C977" s="400"/>
      <c r="D977" s="399"/>
      <c r="E977" s="399"/>
      <c r="F977" s="399"/>
      <c r="G977" s="399"/>
      <c r="H977" s="364"/>
    </row>
    <row r="978" spans="1:8" ht="30" x14ac:dyDescent="0.2">
      <c r="A978" s="351">
        <v>957</v>
      </c>
      <c r="B978" s="354" t="s">
        <v>502</v>
      </c>
      <c r="C978" s="377"/>
      <c r="D978" s="377"/>
      <c r="E978" s="377"/>
      <c r="F978" s="377"/>
      <c r="G978" s="377"/>
      <c r="H978" s="364"/>
    </row>
    <row r="979" spans="1:8" x14ac:dyDescent="0.2">
      <c r="A979" s="351">
        <v>958</v>
      </c>
      <c r="B979" s="376" t="s">
        <v>501</v>
      </c>
      <c r="C979" s="398"/>
      <c r="D979" s="401"/>
      <c r="E979" s="401"/>
      <c r="F979" s="401"/>
      <c r="G979" s="401"/>
      <c r="H979" s="364"/>
    </row>
    <row r="980" spans="1:8" x14ac:dyDescent="0.2">
      <c r="A980" s="351">
        <v>959</v>
      </c>
      <c r="B980" s="376" t="s">
        <v>500</v>
      </c>
      <c r="C980" s="398"/>
      <c r="D980" s="401"/>
      <c r="E980" s="401"/>
      <c r="F980" s="401"/>
      <c r="G980" s="401"/>
      <c r="H980" s="364"/>
    </row>
    <row r="981" spans="1:8" x14ac:dyDescent="0.2">
      <c r="A981" s="351">
        <v>960</v>
      </c>
      <c r="B981" s="376" t="s">
        <v>499</v>
      </c>
      <c r="C981" s="398"/>
      <c r="D981" s="401"/>
      <c r="E981" s="401"/>
      <c r="F981" s="401"/>
      <c r="G981" s="401"/>
      <c r="H981" s="364"/>
    </row>
    <row r="982" spans="1:8" s="1128" customFormat="1" x14ac:dyDescent="0.2">
      <c r="A982" s="351">
        <v>961</v>
      </c>
      <c r="B982" s="382" t="s">
        <v>498</v>
      </c>
      <c r="C982" s="400"/>
      <c r="D982" s="399"/>
      <c r="E982" s="399"/>
      <c r="F982" s="399"/>
      <c r="G982" s="399"/>
      <c r="H982" s="364"/>
    </row>
    <row r="983" spans="1:8" s="1128" customFormat="1" x14ac:dyDescent="0.2">
      <c r="A983" s="351">
        <v>962</v>
      </c>
      <c r="B983" s="376" t="s">
        <v>497</v>
      </c>
      <c r="C983" s="398"/>
      <c r="D983" s="401"/>
      <c r="E983" s="401"/>
      <c r="F983" s="401"/>
      <c r="G983" s="401"/>
      <c r="H983" s="364"/>
    </row>
    <row r="984" spans="1:8" x14ac:dyDescent="0.2">
      <c r="A984" s="351">
        <v>963</v>
      </c>
      <c r="B984" s="376" t="s">
        <v>496</v>
      </c>
      <c r="C984" s="398"/>
      <c r="D984" s="401"/>
      <c r="E984" s="401"/>
      <c r="F984" s="401"/>
      <c r="G984" s="401"/>
      <c r="H984" s="364"/>
    </row>
    <row r="985" spans="1:8" ht="30" x14ac:dyDescent="0.2">
      <c r="A985" s="351">
        <v>964</v>
      </c>
      <c r="B985" s="382" t="s">
        <v>495</v>
      </c>
      <c r="C985" s="400"/>
      <c r="D985" s="399"/>
      <c r="E985" s="399"/>
      <c r="F985" s="399"/>
      <c r="G985" s="399"/>
      <c r="H985" s="364"/>
    </row>
    <row r="986" spans="1:8" x14ac:dyDescent="0.2">
      <c r="A986" s="351">
        <v>965</v>
      </c>
      <c r="B986" s="376" t="s">
        <v>494</v>
      </c>
      <c r="C986" s="398"/>
      <c r="D986" s="401"/>
      <c r="E986" s="401"/>
      <c r="F986" s="401"/>
      <c r="G986" s="401"/>
      <c r="H986" s="364"/>
    </row>
    <row r="987" spans="1:8" x14ac:dyDescent="0.2">
      <c r="A987" s="351">
        <v>966</v>
      </c>
      <c r="B987" s="382" t="s">
        <v>493</v>
      </c>
      <c r="C987" s="398"/>
      <c r="D987" s="399"/>
      <c r="E987" s="399"/>
      <c r="F987" s="399"/>
      <c r="G987" s="399"/>
      <c r="H987" s="364"/>
    </row>
    <row r="988" spans="1:8" s="1128" customFormat="1" x14ac:dyDescent="0.2">
      <c r="A988" s="351">
        <v>967</v>
      </c>
      <c r="B988" s="382" t="s">
        <v>492</v>
      </c>
      <c r="C988" s="400"/>
      <c r="D988" s="399"/>
      <c r="E988" s="399"/>
      <c r="F988" s="399"/>
      <c r="G988" s="399"/>
      <c r="H988" s="364"/>
    </row>
    <row r="989" spans="1:8" ht="30" x14ac:dyDescent="0.2">
      <c r="A989" s="351">
        <v>968</v>
      </c>
      <c r="B989" s="318" t="s">
        <v>491</v>
      </c>
      <c r="C989" s="400"/>
      <c r="D989" s="399"/>
      <c r="E989" s="399"/>
      <c r="F989" s="399"/>
      <c r="G989" s="399"/>
      <c r="H989" s="364"/>
    </row>
    <row r="990" spans="1:8" x14ac:dyDescent="0.2">
      <c r="A990" s="351">
        <v>969</v>
      </c>
      <c r="B990" s="378" t="s">
        <v>490</v>
      </c>
      <c r="C990" s="398"/>
      <c r="D990" s="401"/>
      <c r="E990" s="401"/>
      <c r="F990" s="401"/>
      <c r="G990" s="401"/>
      <c r="H990" s="364"/>
    </row>
    <row r="991" spans="1:8" x14ac:dyDescent="0.2">
      <c r="A991" s="351">
        <v>970</v>
      </c>
      <c r="B991" s="378" t="s">
        <v>489</v>
      </c>
      <c r="C991" s="398"/>
      <c r="D991" s="401"/>
      <c r="E991" s="401"/>
      <c r="F991" s="401"/>
      <c r="G991" s="401"/>
      <c r="H991" s="364"/>
    </row>
    <row r="992" spans="1:8" x14ac:dyDescent="0.2">
      <c r="A992" s="351">
        <v>971</v>
      </c>
      <c r="B992" s="357" t="s">
        <v>488</v>
      </c>
      <c r="C992" s="377"/>
      <c r="D992" s="377"/>
      <c r="E992" s="377"/>
      <c r="F992" s="377"/>
      <c r="G992" s="377"/>
      <c r="H992" s="364"/>
    </row>
    <row r="993" spans="1:8" x14ac:dyDescent="0.2">
      <c r="A993" s="351">
        <v>972</v>
      </c>
      <c r="B993" s="382" t="s">
        <v>487</v>
      </c>
      <c r="C993" s="400"/>
      <c r="D993" s="399"/>
      <c r="E993" s="399"/>
      <c r="F993" s="399"/>
      <c r="G993" s="399"/>
      <c r="H993" s="364"/>
    </row>
    <row r="994" spans="1:8" x14ac:dyDescent="0.2">
      <c r="A994" s="351">
        <v>973</v>
      </c>
      <c r="B994" s="382" t="s">
        <v>486</v>
      </c>
      <c r="C994" s="400"/>
      <c r="D994" s="399"/>
      <c r="E994" s="399"/>
      <c r="F994" s="399"/>
      <c r="G994" s="399"/>
      <c r="H994" s="364"/>
    </row>
    <row r="995" spans="1:8" x14ac:dyDescent="0.2">
      <c r="A995" s="351">
        <v>974</v>
      </c>
      <c r="B995" s="382" t="s">
        <v>485</v>
      </c>
      <c r="C995" s="400"/>
      <c r="D995" s="399"/>
      <c r="E995" s="399"/>
      <c r="F995" s="399"/>
      <c r="G995" s="399"/>
      <c r="H995" s="364"/>
    </row>
    <row r="996" spans="1:8" x14ac:dyDescent="0.2">
      <c r="A996" s="351">
        <v>975</v>
      </c>
      <c r="B996" s="382" t="s">
        <v>484</v>
      </c>
      <c r="C996" s="400"/>
      <c r="D996" s="399"/>
      <c r="E996" s="399"/>
      <c r="F996" s="399"/>
      <c r="G996" s="399"/>
      <c r="H996" s="364"/>
    </row>
    <row r="997" spans="1:8" s="1128" customFormat="1" x14ac:dyDescent="0.2">
      <c r="A997" s="351">
        <v>976</v>
      </c>
      <c r="B997" s="382" t="s">
        <v>483</v>
      </c>
      <c r="C997" s="400"/>
      <c r="D997" s="399"/>
      <c r="E997" s="399"/>
      <c r="F997" s="399"/>
      <c r="G997" s="399"/>
      <c r="H997" s="364"/>
    </row>
    <row r="998" spans="1:8" s="1128" customFormat="1" x14ac:dyDescent="0.2">
      <c r="A998" s="351">
        <v>977</v>
      </c>
      <c r="B998" s="382" t="s">
        <v>482</v>
      </c>
      <c r="C998" s="400"/>
      <c r="D998" s="399"/>
      <c r="E998" s="399"/>
      <c r="F998" s="399"/>
      <c r="G998" s="399"/>
      <c r="H998" s="364"/>
    </row>
    <row r="999" spans="1:8" s="1128" customFormat="1" x14ac:dyDescent="0.2">
      <c r="A999" s="351">
        <v>978</v>
      </c>
      <c r="B999" s="382" t="s">
        <v>481</v>
      </c>
      <c r="C999" s="400"/>
      <c r="D999" s="399"/>
      <c r="E999" s="399"/>
      <c r="F999" s="399"/>
      <c r="G999" s="399"/>
      <c r="H999" s="364"/>
    </row>
    <row r="1000" spans="1:8" s="1128" customFormat="1" x14ac:dyDescent="0.2">
      <c r="A1000" s="351">
        <v>979</v>
      </c>
      <c r="B1000" s="382" t="s">
        <v>480</v>
      </c>
      <c r="C1000" s="400"/>
      <c r="D1000" s="399"/>
      <c r="E1000" s="399"/>
      <c r="F1000" s="399"/>
      <c r="G1000" s="399"/>
      <c r="H1000" s="364"/>
    </row>
    <row r="1001" spans="1:8" s="1128" customFormat="1" ht="30" x14ac:dyDescent="0.2">
      <c r="A1001" s="351">
        <v>980</v>
      </c>
      <c r="B1001" s="357" t="s">
        <v>479</v>
      </c>
      <c r="C1001" s="400"/>
      <c r="D1001" s="399"/>
      <c r="E1001" s="399"/>
      <c r="F1001" s="399"/>
      <c r="G1001" s="399"/>
      <c r="H1001" s="364"/>
    </row>
    <row r="1002" spans="1:8" s="1128" customFormat="1" ht="30" x14ac:dyDescent="0.2">
      <c r="A1002" s="351">
        <v>981</v>
      </c>
      <c r="B1002" s="410" t="s">
        <v>478</v>
      </c>
      <c r="C1002" s="398"/>
      <c r="D1002" s="401"/>
      <c r="E1002" s="401"/>
      <c r="F1002" s="401"/>
      <c r="G1002" s="401"/>
      <c r="H1002" s="364"/>
    </row>
    <row r="1003" spans="1:8" s="1128" customFormat="1" ht="30" x14ac:dyDescent="0.2">
      <c r="A1003" s="351">
        <v>982</v>
      </c>
      <c r="B1003" s="378" t="s">
        <v>477</v>
      </c>
      <c r="C1003" s="398"/>
      <c r="D1003" s="397"/>
      <c r="E1003" s="397"/>
      <c r="F1003" s="397"/>
      <c r="G1003" s="397"/>
      <c r="H1003" s="364"/>
    </row>
    <row r="1004" spans="1:8" s="1128" customFormat="1" x14ac:dyDescent="0.2">
      <c r="A1004" s="351">
        <v>983</v>
      </c>
      <c r="B1004" s="357" t="s">
        <v>476</v>
      </c>
      <c r="C1004" s="400"/>
      <c r="D1004" s="399"/>
      <c r="E1004" s="399"/>
      <c r="F1004" s="399"/>
      <c r="G1004" s="399"/>
      <c r="H1004" s="364"/>
    </row>
    <row r="1005" spans="1:8" s="1128" customFormat="1" x14ac:dyDescent="0.2">
      <c r="A1005" s="351">
        <v>984</v>
      </c>
      <c r="B1005" s="409" t="s">
        <v>475</v>
      </c>
      <c r="C1005" s="398"/>
      <c r="D1005" s="407"/>
      <c r="E1005" s="407"/>
      <c r="F1005" s="407"/>
      <c r="G1005" s="407"/>
      <c r="H1005" s="364"/>
    </row>
    <row r="1006" spans="1:8" s="1128" customFormat="1" ht="33" customHeight="1" x14ac:dyDescent="0.2">
      <c r="A1006" s="351">
        <v>985</v>
      </c>
      <c r="B1006" s="408" t="s">
        <v>474</v>
      </c>
      <c r="C1006" s="398"/>
      <c r="D1006" s="407"/>
      <c r="E1006" s="407"/>
      <c r="F1006" s="407"/>
      <c r="G1006" s="407"/>
      <c r="H1006" s="364"/>
    </row>
    <row r="1007" spans="1:8" ht="30" x14ac:dyDescent="0.2">
      <c r="A1007" s="351">
        <v>986</v>
      </c>
      <c r="B1007" s="408" t="s">
        <v>473</v>
      </c>
      <c r="C1007" s="398"/>
      <c r="D1007" s="407"/>
      <c r="E1007" s="407"/>
      <c r="F1007" s="407"/>
      <c r="G1007" s="407"/>
      <c r="H1007" s="364"/>
    </row>
    <row r="1008" spans="1:8" x14ac:dyDescent="0.2">
      <c r="A1008" s="351">
        <v>987</v>
      </c>
      <c r="B1008" s="279" t="s">
        <v>472</v>
      </c>
      <c r="C1008" s="388"/>
      <c r="D1008" s="388"/>
      <c r="E1008" s="388"/>
      <c r="F1008" s="388"/>
      <c r="G1008" s="388"/>
      <c r="H1008" s="362"/>
    </row>
    <row r="1009" spans="1:8" x14ac:dyDescent="0.2">
      <c r="A1009" s="351">
        <v>988</v>
      </c>
      <c r="B1009" s="318" t="s">
        <v>471</v>
      </c>
      <c r="C1009" s="400"/>
      <c r="D1009" s="399"/>
      <c r="E1009" s="399"/>
      <c r="F1009" s="399"/>
      <c r="G1009" s="399"/>
      <c r="H1009" s="364"/>
    </row>
    <row r="1010" spans="1:8" ht="30" x14ac:dyDescent="0.2">
      <c r="A1010" s="351">
        <v>989</v>
      </c>
      <c r="B1010" s="318" t="s">
        <v>470</v>
      </c>
      <c r="C1010" s="400"/>
      <c r="D1010" s="399"/>
      <c r="E1010" s="399"/>
      <c r="F1010" s="399"/>
      <c r="G1010" s="399"/>
      <c r="H1010" s="364"/>
    </row>
    <row r="1011" spans="1:8" s="1128" customFormat="1" ht="60" x14ac:dyDescent="0.2">
      <c r="A1011" s="351">
        <v>990</v>
      </c>
      <c r="B1011" s="318" t="s">
        <v>469</v>
      </c>
      <c r="C1011" s="400"/>
      <c r="D1011" s="399"/>
      <c r="E1011" s="399"/>
      <c r="F1011" s="399"/>
      <c r="G1011" s="399"/>
      <c r="H1011" s="364"/>
    </row>
    <row r="1012" spans="1:8" ht="39.75" customHeight="1" x14ac:dyDescent="0.2">
      <c r="A1012" s="351">
        <v>991</v>
      </c>
      <c r="B1012" s="318" t="s">
        <v>468</v>
      </c>
      <c r="C1012" s="400"/>
      <c r="D1012" s="399"/>
      <c r="E1012" s="399"/>
      <c r="F1012" s="399"/>
      <c r="G1012" s="399"/>
      <c r="H1012" s="364"/>
    </row>
    <row r="1013" spans="1:8" ht="30" x14ac:dyDescent="0.2">
      <c r="A1013" s="351">
        <v>992</v>
      </c>
      <c r="B1013" s="378" t="s">
        <v>467</v>
      </c>
      <c r="C1013" s="398"/>
      <c r="D1013" s="401"/>
      <c r="E1013" s="401"/>
      <c r="F1013" s="401"/>
      <c r="G1013" s="401"/>
      <c r="H1013" s="364"/>
    </row>
    <row r="1014" spans="1:8" s="1128" customFormat="1" ht="45" x14ac:dyDescent="0.2">
      <c r="A1014" s="351">
        <v>993</v>
      </c>
      <c r="B1014" s="378" t="s">
        <v>466</v>
      </c>
      <c r="C1014" s="398"/>
      <c r="D1014" s="401"/>
      <c r="E1014" s="401"/>
      <c r="F1014" s="401"/>
      <c r="G1014" s="401"/>
      <c r="H1014" s="364"/>
    </row>
    <row r="1015" spans="1:8" ht="14.25" customHeight="1" x14ac:dyDescent="0.25">
      <c r="A1015" s="351">
        <v>994</v>
      </c>
      <c r="B1015" s="402" t="s">
        <v>465</v>
      </c>
      <c r="C1015" s="398"/>
      <c r="D1015" s="401"/>
      <c r="E1015" s="401"/>
      <c r="F1015" s="401"/>
      <c r="G1015" s="401"/>
      <c r="H1015" s="364"/>
    </row>
    <row r="1016" spans="1:8" x14ac:dyDescent="0.2">
      <c r="A1016" s="351">
        <v>995</v>
      </c>
      <c r="B1016" s="405" t="s">
        <v>464</v>
      </c>
      <c r="C1016" s="398"/>
      <c r="D1016" s="404"/>
      <c r="E1016" s="404"/>
      <c r="F1016" s="404"/>
      <c r="G1016" s="404"/>
      <c r="H1016" s="364"/>
    </row>
    <row r="1017" spans="1:8" x14ac:dyDescent="0.2">
      <c r="A1017" s="351">
        <v>996</v>
      </c>
      <c r="B1017" s="350" t="s">
        <v>463</v>
      </c>
      <c r="C1017" s="398"/>
      <c r="D1017" s="403"/>
      <c r="E1017" s="403"/>
      <c r="F1017" s="403"/>
      <c r="G1017" s="403"/>
      <c r="H1017" s="364"/>
    </row>
    <row r="1018" spans="1:8" x14ac:dyDescent="0.2">
      <c r="A1018" s="351">
        <v>997</v>
      </c>
      <c r="B1018" s="350" t="s">
        <v>462</v>
      </c>
      <c r="C1018" s="400"/>
      <c r="D1018" s="403"/>
      <c r="E1018" s="403"/>
      <c r="F1018" s="403"/>
      <c r="G1018" s="403"/>
      <c r="H1018" s="364"/>
    </row>
    <row r="1019" spans="1:8" s="1128" customFormat="1" ht="30" x14ac:dyDescent="0.2">
      <c r="A1019" s="351">
        <v>998</v>
      </c>
      <c r="B1019" s="350" t="s">
        <v>461</v>
      </c>
      <c r="C1019" s="400"/>
      <c r="D1019" s="403"/>
      <c r="E1019" s="403"/>
      <c r="F1019" s="403"/>
      <c r="G1019" s="403"/>
      <c r="H1019" s="364"/>
    </row>
    <row r="1020" spans="1:8" ht="30" x14ac:dyDescent="0.2">
      <c r="A1020" s="351">
        <v>999</v>
      </c>
      <c r="B1020" s="354" t="s">
        <v>460</v>
      </c>
      <c r="C1020" s="398"/>
      <c r="D1020" s="401"/>
      <c r="E1020" s="401"/>
      <c r="F1020" s="401"/>
      <c r="G1020" s="401"/>
      <c r="H1020" s="364"/>
    </row>
    <row r="1021" spans="1:8" ht="45" x14ac:dyDescent="0.2">
      <c r="A1021" s="351">
        <v>1000</v>
      </c>
      <c r="B1021" s="378" t="s">
        <v>459</v>
      </c>
      <c r="C1021" s="398"/>
      <c r="D1021" s="401"/>
      <c r="E1021" s="401"/>
      <c r="F1021" s="401"/>
      <c r="G1021" s="401"/>
      <c r="H1021" s="364"/>
    </row>
    <row r="1022" spans="1:8" ht="30" x14ac:dyDescent="0.2">
      <c r="A1022" s="351">
        <v>1001</v>
      </c>
      <c r="B1022" s="318" t="s">
        <v>458</v>
      </c>
      <c r="C1022" s="400"/>
      <c r="D1022" s="399"/>
      <c r="E1022" s="399"/>
      <c r="F1022" s="399"/>
      <c r="G1022" s="399"/>
      <c r="H1022" s="364"/>
    </row>
    <row r="1023" spans="1:8" s="1128" customFormat="1" ht="30" x14ac:dyDescent="0.2">
      <c r="A1023" s="351">
        <v>1002</v>
      </c>
      <c r="B1023" s="354" t="s">
        <v>457</v>
      </c>
      <c r="C1023" s="398"/>
      <c r="D1023" s="401"/>
      <c r="E1023" s="401"/>
      <c r="F1023" s="401"/>
      <c r="G1023" s="401"/>
      <c r="H1023" s="364"/>
    </row>
    <row r="1024" spans="1:8" s="1128" customFormat="1" ht="30" x14ac:dyDescent="0.2">
      <c r="A1024" s="351">
        <v>1003</v>
      </c>
      <c r="B1024" s="357" t="s">
        <v>456</v>
      </c>
      <c r="C1024" s="400"/>
      <c r="D1024" s="399"/>
      <c r="E1024" s="399"/>
      <c r="F1024" s="399"/>
      <c r="G1024" s="399"/>
      <c r="H1024" s="364"/>
    </row>
    <row r="1025" spans="1:8" ht="15" customHeight="1" x14ac:dyDescent="0.25">
      <c r="A1025" s="351">
        <v>1004</v>
      </c>
      <c r="B1025" s="402" t="s">
        <v>455</v>
      </c>
      <c r="C1025" s="398"/>
      <c r="D1025" s="401"/>
      <c r="E1025" s="401"/>
      <c r="F1025" s="401"/>
      <c r="G1025" s="401"/>
      <c r="H1025" s="364"/>
    </row>
    <row r="1026" spans="1:8" x14ac:dyDescent="0.2">
      <c r="A1026" s="351">
        <v>1005</v>
      </c>
      <c r="B1026" s="279" t="s">
        <v>454</v>
      </c>
      <c r="C1026" s="388"/>
      <c r="D1026" s="388"/>
      <c r="E1026" s="388"/>
      <c r="F1026" s="388"/>
      <c r="G1026" s="388"/>
      <c r="H1026" s="362"/>
    </row>
    <row r="1027" spans="1:8" ht="30" x14ac:dyDescent="0.2">
      <c r="A1027" s="351">
        <v>1006</v>
      </c>
      <c r="B1027" s="354" t="s">
        <v>453</v>
      </c>
      <c r="C1027" s="398"/>
      <c r="D1027" s="401"/>
      <c r="E1027" s="401"/>
      <c r="F1027" s="401"/>
      <c r="G1027" s="401"/>
      <c r="H1027" s="364"/>
    </row>
    <row r="1028" spans="1:8" s="1128" customFormat="1" x14ac:dyDescent="0.2">
      <c r="A1028" s="351">
        <v>1007</v>
      </c>
      <c r="B1028" s="357" t="s">
        <v>452</v>
      </c>
      <c r="C1028" s="400"/>
      <c r="D1028" s="399"/>
      <c r="E1028" s="399"/>
      <c r="F1028" s="399"/>
      <c r="G1028" s="399"/>
      <c r="H1028" s="364"/>
    </row>
    <row r="1029" spans="1:8" s="1128" customFormat="1" ht="30" x14ac:dyDescent="0.2">
      <c r="A1029" s="351">
        <v>1008</v>
      </c>
      <c r="B1029" s="357" t="s">
        <v>451</v>
      </c>
      <c r="C1029" s="400"/>
      <c r="D1029" s="399"/>
      <c r="E1029" s="399"/>
      <c r="F1029" s="399"/>
      <c r="G1029" s="399"/>
      <c r="H1029" s="364"/>
    </row>
    <row r="1030" spans="1:8" ht="30" x14ac:dyDescent="0.2">
      <c r="A1030" s="351">
        <v>1009</v>
      </c>
      <c r="B1030" s="354" t="s">
        <v>450</v>
      </c>
      <c r="C1030" s="398"/>
      <c r="D1030" s="397"/>
      <c r="E1030" s="397"/>
      <c r="F1030" s="397"/>
      <c r="G1030" s="397"/>
      <c r="H1030" s="364"/>
    </row>
    <row r="1031" spans="1:8" s="1128" customFormat="1" ht="16.5" customHeight="1" x14ac:dyDescent="0.25">
      <c r="A1031" s="351">
        <v>1010</v>
      </c>
      <c r="B1031" s="402" t="s">
        <v>449</v>
      </c>
      <c r="C1031" s="398"/>
      <c r="D1031" s="401"/>
      <c r="E1031" s="401"/>
      <c r="F1031" s="401"/>
      <c r="G1031" s="401"/>
      <c r="H1031" s="364"/>
    </row>
    <row r="1032" spans="1:8" s="1128" customFormat="1" ht="30" x14ac:dyDescent="0.2">
      <c r="A1032" s="351">
        <v>1011</v>
      </c>
      <c r="B1032" s="354" t="s">
        <v>448</v>
      </c>
      <c r="C1032" s="398"/>
      <c r="D1032" s="401"/>
      <c r="E1032" s="401"/>
      <c r="F1032" s="401"/>
      <c r="G1032" s="401"/>
      <c r="H1032" s="364"/>
    </row>
    <row r="1033" spans="1:8" s="1128" customFormat="1" ht="30" x14ac:dyDescent="0.2">
      <c r="A1033" s="351">
        <v>1012</v>
      </c>
      <c r="B1033" s="378" t="s">
        <v>447</v>
      </c>
      <c r="C1033" s="398"/>
      <c r="D1033" s="401"/>
      <c r="E1033" s="401"/>
      <c r="F1033" s="401"/>
      <c r="G1033" s="401"/>
      <c r="H1033" s="364"/>
    </row>
    <row r="1034" spans="1:8" s="1128" customFormat="1" ht="30" x14ac:dyDescent="0.2">
      <c r="A1034" s="351">
        <v>1013</v>
      </c>
      <c r="B1034" s="318" t="s">
        <v>446</v>
      </c>
      <c r="C1034" s="400"/>
      <c r="D1034" s="399"/>
      <c r="E1034" s="399"/>
      <c r="F1034" s="399"/>
      <c r="G1034" s="399"/>
      <c r="H1034" s="364"/>
    </row>
    <row r="1035" spans="1:8" ht="30" x14ac:dyDescent="0.2">
      <c r="A1035" s="351">
        <v>1014</v>
      </c>
      <c r="B1035" s="357" t="s">
        <v>445</v>
      </c>
      <c r="C1035" s="400"/>
      <c r="D1035" s="399"/>
      <c r="E1035" s="399"/>
      <c r="F1035" s="399"/>
      <c r="G1035" s="399"/>
      <c r="H1035" s="364"/>
    </row>
    <row r="1036" spans="1:8" x14ac:dyDescent="0.2">
      <c r="A1036" s="351">
        <v>1015</v>
      </c>
      <c r="B1036" s="354" t="s">
        <v>444</v>
      </c>
      <c r="C1036" s="398"/>
      <c r="D1036" s="401"/>
      <c r="E1036" s="401"/>
      <c r="F1036" s="401"/>
      <c r="G1036" s="401"/>
      <c r="H1036" s="364"/>
    </row>
    <row r="1037" spans="1:8" x14ac:dyDescent="0.2">
      <c r="A1037" s="351">
        <v>1016</v>
      </c>
      <c r="B1037" s="354" t="s">
        <v>443</v>
      </c>
      <c r="C1037" s="398"/>
      <c r="D1037" s="401"/>
      <c r="E1037" s="401"/>
      <c r="F1037" s="401"/>
      <c r="G1037" s="401"/>
      <c r="H1037" s="364"/>
    </row>
    <row r="1038" spans="1:8" x14ac:dyDescent="0.2">
      <c r="A1038" s="351">
        <v>1017</v>
      </c>
      <c r="B1038" s="378" t="s">
        <v>442</v>
      </c>
      <c r="C1038" s="398"/>
      <c r="D1038" s="401"/>
      <c r="E1038" s="401"/>
      <c r="F1038" s="401"/>
      <c r="G1038" s="401"/>
      <c r="H1038" s="364"/>
    </row>
    <row r="1039" spans="1:8" x14ac:dyDescent="0.2">
      <c r="A1039" s="351">
        <v>1018</v>
      </c>
      <c r="B1039" s="378" t="s">
        <v>441</v>
      </c>
      <c r="C1039" s="398"/>
      <c r="D1039" s="401"/>
      <c r="E1039" s="401"/>
      <c r="F1039" s="401"/>
      <c r="G1039" s="401"/>
      <c r="H1039" s="364"/>
    </row>
    <row r="1040" spans="1:8" x14ac:dyDescent="0.2">
      <c r="A1040" s="351">
        <v>1019</v>
      </c>
      <c r="B1040" s="354" t="s">
        <v>440</v>
      </c>
      <c r="C1040" s="398"/>
      <c r="D1040" s="401"/>
      <c r="E1040" s="401"/>
      <c r="F1040" s="401"/>
      <c r="G1040" s="401"/>
      <c r="H1040" s="364"/>
    </row>
    <row r="1041" spans="1:9" s="1128" customFormat="1" ht="30" x14ac:dyDescent="0.2">
      <c r="A1041" s="351">
        <v>1020</v>
      </c>
      <c r="B1041" s="357" t="s">
        <v>439</v>
      </c>
      <c r="C1041" s="400"/>
      <c r="D1041" s="399"/>
      <c r="E1041" s="399"/>
      <c r="F1041" s="399"/>
      <c r="G1041" s="399"/>
      <c r="H1041" s="364"/>
    </row>
    <row r="1042" spans="1:9" x14ac:dyDescent="0.2">
      <c r="A1042" s="351">
        <v>1021</v>
      </c>
      <c r="B1042" s="357" t="s">
        <v>438</v>
      </c>
      <c r="C1042" s="400"/>
      <c r="D1042" s="399"/>
      <c r="E1042" s="399"/>
      <c r="F1042" s="399"/>
      <c r="G1042" s="399"/>
      <c r="H1042" s="364"/>
    </row>
    <row r="1043" spans="1:9" x14ac:dyDescent="0.2">
      <c r="A1043" s="351">
        <v>1022</v>
      </c>
      <c r="B1043" s="354" t="s">
        <v>437</v>
      </c>
      <c r="C1043" s="398"/>
      <c r="D1043" s="397"/>
      <c r="E1043" s="397"/>
      <c r="F1043" s="397"/>
      <c r="G1043" s="397"/>
      <c r="H1043" s="364"/>
    </row>
    <row r="1044" spans="1:9" s="1128" customFormat="1" x14ac:dyDescent="0.2">
      <c r="A1044" s="351">
        <v>1023</v>
      </c>
      <c r="B1044" s="357" t="s">
        <v>436</v>
      </c>
      <c r="C1044" s="400"/>
      <c r="D1044" s="399"/>
      <c r="E1044" s="399"/>
      <c r="F1044" s="399"/>
      <c r="G1044" s="399"/>
      <c r="H1044" s="364"/>
    </row>
    <row r="1045" spans="1:9" x14ac:dyDescent="0.25">
      <c r="A1045" s="351">
        <v>1024</v>
      </c>
      <c r="B1045" s="396" t="s">
        <v>435</v>
      </c>
      <c r="C1045" s="395"/>
      <c r="D1045" s="395"/>
      <c r="E1045" s="395"/>
      <c r="F1045" s="395"/>
      <c r="G1045" s="395"/>
      <c r="H1045" s="394"/>
    </row>
    <row r="1046" spans="1:9" x14ac:dyDescent="0.2">
      <c r="A1046" s="351">
        <v>1025</v>
      </c>
      <c r="B1046" s="279" t="s">
        <v>434</v>
      </c>
      <c r="C1046" s="363"/>
      <c r="D1046" s="363"/>
      <c r="E1046" s="363"/>
      <c r="F1046" s="363"/>
      <c r="G1046" s="363"/>
      <c r="H1046" s="362"/>
    </row>
    <row r="1047" spans="1:9" x14ac:dyDescent="0.2">
      <c r="A1047" s="351">
        <v>1026</v>
      </c>
      <c r="B1047" s="393" t="s">
        <v>433</v>
      </c>
      <c r="C1047" s="334"/>
      <c r="D1047" s="334"/>
      <c r="E1047" s="334"/>
      <c r="F1047" s="334"/>
      <c r="G1047" s="334"/>
      <c r="H1047" s="392"/>
    </row>
    <row r="1048" spans="1:9" s="1128" customFormat="1" x14ac:dyDescent="0.2">
      <c r="A1048" s="351">
        <v>1027</v>
      </c>
      <c r="B1048" s="393" t="s">
        <v>432</v>
      </c>
      <c r="C1048" s="332"/>
      <c r="D1048" s="332"/>
      <c r="E1048" s="332"/>
      <c r="F1048" s="332"/>
      <c r="G1048" s="332"/>
      <c r="H1048" s="392"/>
    </row>
    <row r="1049" spans="1:9" x14ac:dyDescent="0.2">
      <c r="A1049" s="351">
        <v>1028</v>
      </c>
      <c r="B1049" s="361" t="s">
        <v>431</v>
      </c>
      <c r="C1049" s="377"/>
      <c r="D1049" s="377"/>
      <c r="E1049" s="377"/>
      <c r="F1049" s="377"/>
      <c r="G1049" s="377"/>
      <c r="H1049" s="392"/>
    </row>
    <row r="1050" spans="1:9" s="1128" customFormat="1" x14ac:dyDescent="0.2">
      <c r="A1050" s="351">
        <v>1029</v>
      </c>
      <c r="B1050" s="390" t="s">
        <v>430</v>
      </c>
      <c r="C1050" s="332"/>
      <c r="D1050" s="332"/>
      <c r="E1050" s="332"/>
      <c r="F1050" s="332"/>
      <c r="G1050" s="332"/>
      <c r="H1050" s="392"/>
    </row>
    <row r="1051" spans="1:9" x14ac:dyDescent="0.2">
      <c r="A1051" s="351">
        <v>1030</v>
      </c>
      <c r="B1051" s="390" t="s">
        <v>429</v>
      </c>
      <c r="C1051" s="338"/>
      <c r="D1051" s="332"/>
      <c r="E1051" s="332"/>
      <c r="F1051" s="332"/>
      <c r="G1051" s="332"/>
      <c r="H1051" s="392"/>
    </row>
    <row r="1052" spans="1:9" s="1128" customFormat="1" x14ac:dyDescent="0.2">
      <c r="A1052" s="351">
        <v>1031</v>
      </c>
      <c r="B1052" s="390" t="s">
        <v>428</v>
      </c>
      <c r="C1052" s="338"/>
      <c r="D1052" s="332"/>
      <c r="E1052" s="332"/>
      <c r="F1052" s="332"/>
      <c r="G1052" s="332"/>
      <c r="H1052" s="392"/>
    </row>
    <row r="1053" spans="1:9" x14ac:dyDescent="0.2">
      <c r="A1053" s="351">
        <v>1032</v>
      </c>
      <c r="B1053" s="390" t="s">
        <v>427</v>
      </c>
      <c r="C1053" s="338"/>
      <c r="D1053" s="332"/>
      <c r="E1053" s="332"/>
      <c r="F1053" s="332"/>
      <c r="G1053" s="332"/>
      <c r="H1053" s="392"/>
    </row>
    <row r="1054" spans="1:9" x14ac:dyDescent="0.2">
      <c r="A1054" s="351">
        <v>1033</v>
      </c>
      <c r="B1054" s="390" t="s">
        <v>426</v>
      </c>
      <c r="C1054" s="338"/>
      <c r="D1054" s="332"/>
      <c r="E1054" s="332"/>
      <c r="F1054" s="332"/>
      <c r="G1054" s="332"/>
      <c r="H1054" s="392"/>
      <c r="I1054" s="391"/>
    </row>
    <row r="1055" spans="1:9" x14ac:dyDescent="0.2">
      <c r="A1055" s="351">
        <v>1034</v>
      </c>
      <c r="B1055" s="390" t="s">
        <v>425</v>
      </c>
      <c r="C1055" s="338"/>
      <c r="D1055" s="332"/>
      <c r="E1055" s="332"/>
      <c r="F1055" s="332"/>
      <c r="G1055" s="332"/>
      <c r="H1055" s="392"/>
    </row>
    <row r="1056" spans="1:9" ht="30" x14ac:dyDescent="0.2">
      <c r="A1056" s="351">
        <v>1035</v>
      </c>
      <c r="B1056" s="390" t="s">
        <v>424</v>
      </c>
      <c r="C1056" s="338"/>
      <c r="D1056" s="332"/>
      <c r="E1056" s="332"/>
      <c r="F1056" s="332"/>
      <c r="G1056" s="332"/>
      <c r="H1056" s="392"/>
    </row>
    <row r="1057" spans="1:8" s="1128" customFormat="1" x14ac:dyDescent="0.2">
      <c r="A1057" s="351">
        <v>1036</v>
      </c>
      <c r="B1057" s="390" t="s">
        <v>423</v>
      </c>
      <c r="C1057" s="338"/>
      <c r="D1057" s="332"/>
      <c r="E1057" s="332"/>
      <c r="F1057" s="332"/>
      <c r="G1057" s="332"/>
      <c r="H1057" s="392"/>
    </row>
    <row r="1058" spans="1:8" s="1128" customFormat="1" ht="30" x14ac:dyDescent="0.2">
      <c r="A1058" s="351">
        <v>1037</v>
      </c>
      <c r="B1058" s="389" t="s">
        <v>422</v>
      </c>
      <c r="C1058" s="374"/>
      <c r="D1058" s="334"/>
      <c r="E1058" s="334"/>
      <c r="F1058" s="334"/>
      <c r="G1058" s="334"/>
      <c r="H1058" s="392"/>
    </row>
    <row r="1059" spans="1:8" s="1128" customFormat="1" x14ac:dyDescent="0.2">
      <c r="A1059" s="351">
        <v>1038</v>
      </c>
      <c r="B1059" s="389" t="s">
        <v>421</v>
      </c>
      <c r="C1059" s="374"/>
      <c r="D1059" s="334"/>
      <c r="E1059" s="334"/>
      <c r="F1059" s="334"/>
      <c r="G1059" s="334"/>
      <c r="H1059" s="392"/>
    </row>
    <row r="1060" spans="1:8" s="1128" customFormat="1" ht="30" x14ac:dyDescent="0.2">
      <c r="A1060" s="351">
        <v>1039</v>
      </c>
      <c r="B1060" s="389" t="s">
        <v>420</v>
      </c>
      <c r="C1060" s="374"/>
      <c r="D1060" s="334"/>
      <c r="E1060" s="334"/>
      <c r="F1060" s="334"/>
      <c r="G1060" s="334"/>
      <c r="H1060" s="392"/>
    </row>
    <row r="1061" spans="1:8" s="1128" customFormat="1" x14ac:dyDescent="0.2">
      <c r="A1061" s="351">
        <v>1040</v>
      </c>
      <c r="B1061" s="389" t="s">
        <v>419</v>
      </c>
      <c r="C1061" s="374"/>
      <c r="D1061" s="334"/>
      <c r="E1061" s="334"/>
      <c r="F1061" s="334"/>
      <c r="G1061" s="334"/>
      <c r="H1061" s="392"/>
    </row>
    <row r="1062" spans="1:8" s="1128" customFormat="1" ht="30" x14ac:dyDescent="0.2">
      <c r="A1062" s="351">
        <v>1041</v>
      </c>
      <c r="B1062" s="370" t="s">
        <v>418</v>
      </c>
      <c r="C1062" s="338"/>
      <c r="D1062" s="338"/>
      <c r="E1062" s="338"/>
      <c r="F1062" s="338"/>
      <c r="G1062" s="338"/>
      <c r="H1062" s="392"/>
    </row>
    <row r="1063" spans="1:8" s="1128" customFormat="1" ht="30" x14ac:dyDescent="0.2">
      <c r="A1063" s="351">
        <v>1042</v>
      </c>
      <c r="B1063" s="370" t="s">
        <v>417</v>
      </c>
      <c r="C1063" s="338"/>
      <c r="D1063" s="338"/>
      <c r="E1063" s="338"/>
      <c r="F1063" s="338"/>
      <c r="G1063" s="338"/>
      <c r="H1063" s="392"/>
    </row>
    <row r="1064" spans="1:8" s="1128" customFormat="1" x14ac:dyDescent="0.2">
      <c r="A1064" s="351">
        <v>1043</v>
      </c>
      <c r="B1064" s="370" t="s">
        <v>416</v>
      </c>
      <c r="C1064" s="338"/>
      <c r="D1064" s="338"/>
      <c r="E1064" s="338"/>
      <c r="F1064" s="338"/>
      <c r="G1064" s="338"/>
      <c r="H1064" s="392"/>
    </row>
    <row r="1065" spans="1:8" ht="30" x14ac:dyDescent="0.2">
      <c r="A1065" s="351">
        <v>1044</v>
      </c>
      <c r="B1065" s="361" t="s">
        <v>415</v>
      </c>
      <c r="C1065" s="374"/>
      <c r="D1065" s="374"/>
      <c r="E1065" s="374"/>
      <c r="F1065" s="374"/>
      <c r="G1065" s="374"/>
      <c r="H1065" s="392"/>
    </row>
    <row r="1066" spans="1:8" x14ac:dyDescent="0.2">
      <c r="A1066" s="351">
        <v>1045</v>
      </c>
      <c r="B1066" s="279" t="s">
        <v>414</v>
      </c>
      <c r="C1066" s="363"/>
      <c r="D1066" s="363"/>
      <c r="E1066" s="363"/>
      <c r="F1066" s="363"/>
      <c r="G1066" s="363"/>
      <c r="H1066" s="362"/>
    </row>
    <row r="1067" spans="1:8" s="1128" customFormat="1" x14ac:dyDescent="0.2">
      <c r="A1067" s="351">
        <v>1046</v>
      </c>
      <c r="B1067" s="318" t="s">
        <v>413</v>
      </c>
      <c r="C1067" s="332"/>
      <c r="D1067" s="332"/>
      <c r="E1067" s="332"/>
      <c r="F1067" s="332"/>
      <c r="G1067" s="332"/>
      <c r="H1067" s="392"/>
    </row>
    <row r="1068" spans="1:8" s="1128" customFormat="1" x14ac:dyDescent="0.2">
      <c r="A1068" s="351">
        <v>1047</v>
      </c>
      <c r="B1068" s="318" t="s">
        <v>412</v>
      </c>
      <c r="C1068" s="332"/>
      <c r="D1068" s="332"/>
      <c r="E1068" s="332"/>
      <c r="F1068" s="332"/>
      <c r="G1068" s="332"/>
      <c r="H1068" s="392"/>
    </row>
    <row r="1069" spans="1:8" s="1128" customFormat="1" ht="30" x14ac:dyDescent="0.2">
      <c r="A1069" s="351">
        <v>1048</v>
      </c>
      <c r="B1069" s="318" t="s">
        <v>411</v>
      </c>
      <c r="C1069" s="332"/>
      <c r="D1069" s="332"/>
      <c r="E1069" s="332"/>
      <c r="F1069" s="332"/>
      <c r="G1069" s="332"/>
      <c r="H1069" s="392"/>
    </row>
    <row r="1070" spans="1:8" s="1128" customFormat="1" ht="30" x14ac:dyDescent="0.2">
      <c r="A1070" s="351">
        <v>1049</v>
      </c>
      <c r="B1070" s="318" t="s">
        <v>410</v>
      </c>
      <c r="C1070" s="332"/>
      <c r="D1070" s="332"/>
      <c r="E1070" s="332"/>
      <c r="F1070" s="332"/>
      <c r="G1070" s="332"/>
      <c r="H1070" s="392"/>
    </row>
    <row r="1071" spans="1:8" s="1128" customFormat="1" ht="30" x14ac:dyDescent="0.2">
      <c r="A1071" s="351">
        <v>1050</v>
      </c>
      <c r="B1071" s="370" t="s">
        <v>409</v>
      </c>
      <c r="C1071" s="338"/>
      <c r="D1071" s="338"/>
      <c r="E1071" s="338"/>
      <c r="F1071" s="338"/>
      <c r="G1071" s="338"/>
      <c r="H1071" s="392"/>
    </row>
    <row r="1072" spans="1:8" s="1128" customFormat="1" x14ac:dyDescent="0.2">
      <c r="A1072" s="351">
        <v>1051</v>
      </c>
      <c r="B1072" s="370" t="s">
        <v>408</v>
      </c>
      <c r="C1072" s="338"/>
      <c r="D1072" s="332"/>
      <c r="E1072" s="332"/>
      <c r="F1072" s="332"/>
      <c r="G1072" s="332"/>
      <c r="H1072" s="392"/>
    </row>
    <row r="1073" spans="1:8" s="1128" customFormat="1" x14ac:dyDescent="0.2">
      <c r="A1073" s="351">
        <v>1052</v>
      </c>
      <c r="B1073" s="279" t="s">
        <v>407</v>
      </c>
      <c r="C1073" s="388"/>
      <c r="D1073" s="388"/>
      <c r="E1073" s="388"/>
      <c r="F1073" s="388"/>
      <c r="G1073" s="388"/>
      <c r="H1073" s="362"/>
    </row>
    <row r="1074" spans="1:8" x14ac:dyDescent="0.2">
      <c r="A1074" s="351">
        <v>1053</v>
      </c>
      <c r="B1074" s="380" t="s">
        <v>406</v>
      </c>
      <c r="C1074" s="377"/>
      <c r="D1074" s="377"/>
      <c r="E1074" s="377"/>
      <c r="F1074" s="377"/>
      <c r="G1074" s="377"/>
      <c r="H1074" s="383"/>
    </row>
    <row r="1075" spans="1:8" s="1128" customFormat="1" x14ac:dyDescent="0.2">
      <c r="A1075" s="351">
        <v>1054</v>
      </c>
      <c r="B1075" s="977" t="s">
        <v>405</v>
      </c>
      <c r="C1075" s="385"/>
      <c r="D1075" s="384"/>
      <c r="E1075" s="384"/>
      <c r="F1075" s="384"/>
      <c r="G1075" s="384"/>
      <c r="H1075" s="383"/>
    </row>
    <row r="1076" spans="1:8" x14ac:dyDescent="0.2">
      <c r="A1076" s="351">
        <v>1055</v>
      </c>
      <c r="B1076" s="977" t="s">
        <v>100</v>
      </c>
      <c r="C1076" s="385"/>
      <c r="D1076" s="384"/>
      <c r="E1076" s="384"/>
      <c r="F1076" s="384"/>
      <c r="G1076" s="384"/>
      <c r="H1076" s="383"/>
    </row>
    <row r="1077" spans="1:8" x14ac:dyDescent="0.2">
      <c r="A1077" s="351">
        <v>1056</v>
      </c>
      <c r="B1077" s="977" t="s">
        <v>404</v>
      </c>
      <c r="C1077" s="385"/>
      <c r="D1077" s="384"/>
      <c r="E1077" s="384"/>
      <c r="F1077" s="384"/>
      <c r="G1077" s="384"/>
      <c r="H1077" s="383"/>
    </row>
    <row r="1078" spans="1:8" x14ac:dyDescent="0.2">
      <c r="A1078" s="351">
        <v>1057</v>
      </c>
      <c r="B1078" s="977" t="s">
        <v>403</v>
      </c>
      <c r="C1078" s="385"/>
      <c r="D1078" s="384"/>
      <c r="E1078" s="384"/>
      <c r="F1078" s="384"/>
      <c r="G1078" s="384"/>
      <c r="H1078" s="383"/>
    </row>
    <row r="1079" spans="1:8" s="1128" customFormat="1" x14ac:dyDescent="0.2">
      <c r="A1079" s="351">
        <v>1058</v>
      </c>
      <c r="B1079" s="977" t="s">
        <v>402</v>
      </c>
      <c r="C1079" s="385"/>
      <c r="D1079" s="384"/>
      <c r="E1079" s="384"/>
      <c r="F1079" s="384"/>
      <c r="G1079" s="384"/>
      <c r="H1079" s="383"/>
    </row>
    <row r="1080" spans="1:8" s="1128" customFormat="1" x14ac:dyDescent="0.2">
      <c r="A1080" s="351">
        <v>1059</v>
      </c>
      <c r="B1080" s="977" t="s">
        <v>401</v>
      </c>
      <c r="C1080" s="385"/>
      <c r="D1080" s="384"/>
      <c r="E1080" s="384"/>
      <c r="F1080" s="384"/>
      <c r="G1080" s="384"/>
      <c r="H1080" s="383"/>
    </row>
    <row r="1081" spans="1:8" s="1128" customFormat="1" x14ac:dyDescent="0.2">
      <c r="A1081" s="351">
        <v>1060</v>
      </c>
      <c r="B1081" s="977" t="s">
        <v>400</v>
      </c>
      <c r="C1081" s="385"/>
      <c r="D1081" s="384"/>
      <c r="E1081" s="384"/>
      <c r="F1081" s="384"/>
      <c r="G1081" s="384"/>
      <c r="H1081" s="383"/>
    </row>
    <row r="1082" spans="1:8" s="1128" customFormat="1" x14ac:dyDescent="0.2">
      <c r="A1082" s="351">
        <v>1061</v>
      </c>
      <c r="B1082" s="977" t="s">
        <v>399</v>
      </c>
      <c r="C1082" s="385"/>
      <c r="D1082" s="384"/>
      <c r="E1082" s="384"/>
      <c r="F1082" s="384"/>
      <c r="G1082" s="384"/>
      <c r="H1082" s="383"/>
    </row>
    <row r="1083" spans="1:8" s="1128" customFormat="1" x14ac:dyDescent="0.2">
      <c r="A1083" s="351">
        <v>1062</v>
      </c>
      <c r="B1083" s="977" t="s">
        <v>398</v>
      </c>
      <c r="C1083" s="385"/>
      <c r="D1083" s="384"/>
      <c r="E1083" s="384"/>
      <c r="F1083" s="384"/>
      <c r="G1083" s="384"/>
      <c r="H1083" s="383"/>
    </row>
    <row r="1084" spans="1:8" s="1128" customFormat="1" ht="30" x14ac:dyDescent="0.2">
      <c r="A1084" s="351">
        <v>1063</v>
      </c>
      <c r="B1084" s="380" t="s">
        <v>397</v>
      </c>
      <c r="C1084" s="385"/>
      <c r="D1084" s="384"/>
      <c r="E1084" s="384"/>
      <c r="F1084" s="384"/>
      <c r="G1084" s="384"/>
      <c r="H1084" s="383"/>
    </row>
    <row r="1085" spans="1:8" s="1128" customFormat="1" ht="30" x14ac:dyDescent="0.2">
      <c r="A1085" s="351">
        <v>1064</v>
      </c>
      <c r="B1085" s="380" t="s">
        <v>396</v>
      </c>
      <c r="C1085" s="385"/>
      <c r="D1085" s="384"/>
      <c r="E1085" s="384"/>
      <c r="F1085" s="384"/>
      <c r="G1085" s="384"/>
      <c r="H1085" s="383"/>
    </row>
    <row r="1086" spans="1:8" s="1128" customFormat="1" x14ac:dyDescent="0.2">
      <c r="A1086" s="351">
        <v>1065</v>
      </c>
      <c r="B1086" s="387" t="s">
        <v>395</v>
      </c>
      <c r="C1086" s="385"/>
      <c r="D1086" s="384"/>
      <c r="E1086" s="384"/>
      <c r="F1086" s="384"/>
      <c r="G1086" s="384"/>
      <c r="H1086" s="383"/>
    </row>
    <row r="1087" spans="1:8" s="1128" customFormat="1" ht="30" x14ac:dyDescent="0.2">
      <c r="A1087" s="351">
        <v>1066</v>
      </c>
      <c r="B1087" s="380" t="s">
        <v>394</v>
      </c>
      <c r="C1087" s="385"/>
      <c r="D1087" s="384"/>
      <c r="E1087" s="384"/>
      <c r="F1087" s="384"/>
      <c r="G1087" s="384"/>
      <c r="H1087" s="383"/>
    </row>
    <row r="1088" spans="1:8" s="1128" customFormat="1" x14ac:dyDescent="0.2">
      <c r="A1088" s="351">
        <v>1067</v>
      </c>
      <c r="B1088" s="387" t="s">
        <v>393</v>
      </c>
      <c r="C1088" s="386"/>
      <c r="D1088" s="384"/>
      <c r="E1088" s="384"/>
      <c r="F1088" s="384"/>
      <c r="G1088" s="384"/>
      <c r="H1088" s="383"/>
    </row>
    <row r="1089" spans="1:8" s="1128" customFormat="1" x14ac:dyDescent="0.2">
      <c r="A1089" s="351">
        <v>1068</v>
      </c>
      <c r="B1089" s="380" t="s">
        <v>392</v>
      </c>
      <c r="C1089" s="385"/>
      <c r="D1089" s="384"/>
      <c r="E1089" s="384"/>
      <c r="F1089" s="384"/>
      <c r="G1089" s="384"/>
      <c r="H1089" s="383"/>
    </row>
    <row r="1090" spans="1:8" ht="30" x14ac:dyDescent="0.2">
      <c r="A1090" s="351">
        <v>1069</v>
      </c>
      <c r="B1090" s="387" t="s">
        <v>391</v>
      </c>
      <c r="C1090" s="386"/>
      <c r="D1090" s="384"/>
      <c r="E1090" s="384"/>
      <c r="F1090" s="384"/>
      <c r="G1090" s="384"/>
      <c r="H1090" s="383"/>
    </row>
    <row r="1091" spans="1:8" s="1128" customFormat="1" ht="45" x14ac:dyDescent="0.2">
      <c r="A1091" s="351">
        <v>1070</v>
      </c>
      <c r="B1091" s="380" t="s">
        <v>390</v>
      </c>
      <c r="C1091" s="385"/>
      <c r="D1091" s="384"/>
      <c r="E1091" s="384"/>
      <c r="F1091" s="384"/>
      <c r="G1091" s="384"/>
      <c r="H1091" s="383"/>
    </row>
    <row r="1092" spans="1:8" s="1128" customFormat="1" x14ac:dyDescent="0.2">
      <c r="A1092" s="351">
        <v>1071</v>
      </c>
      <c r="B1092" s="279" t="s">
        <v>389</v>
      </c>
      <c r="C1092" s="363"/>
      <c r="D1092" s="363"/>
      <c r="E1092" s="363"/>
      <c r="F1092" s="363"/>
      <c r="G1092" s="363"/>
      <c r="H1092" s="362"/>
    </row>
    <row r="1093" spans="1:8" s="1128" customFormat="1" ht="30" x14ac:dyDescent="0.2">
      <c r="A1093" s="351">
        <v>1072</v>
      </c>
      <c r="B1093" s="378" t="s">
        <v>388</v>
      </c>
      <c r="C1093" s="335"/>
      <c r="D1093" s="335"/>
      <c r="E1093" s="335"/>
      <c r="F1093" s="335"/>
      <c r="G1093" s="335"/>
      <c r="H1093" s="381"/>
    </row>
    <row r="1094" spans="1:8" x14ac:dyDescent="0.2">
      <c r="A1094" s="351">
        <v>1073</v>
      </c>
      <c r="B1094" s="382" t="s">
        <v>387</v>
      </c>
      <c r="C1094" s="332"/>
      <c r="D1094" s="332"/>
      <c r="E1094" s="332"/>
      <c r="F1094" s="332"/>
      <c r="G1094" s="332"/>
      <c r="H1094" s="381"/>
    </row>
    <row r="1095" spans="1:8" s="1128" customFormat="1" x14ac:dyDescent="0.2">
      <c r="A1095" s="351">
        <v>1074</v>
      </c>
      <c r="B1095" s="376" t="s">
        <v>386</v>
      </c>
      <c r="C1095" s="334"/>
      <c r="D1095" s="334"/>
      <c r="E1095" s="334"/>
      <c r="F1095" s="334"/>
      <c r="G1095" s="334"/>
      <c r="H1095" s="381"/>
    </row>
    <row r="1096" spans="1:8" x14ac:dyDescent="0.2">
      <c r="A1096" s="351">
        <v>1075</v>
      </c>
      <c r="B1096" s="376" t="s">
        <v>385</v>
      </c>
      <c r="C1096" s="334"/>
      <c r="D1096" s="334"/>
      <c r="E1096" s="334"/>
      <c r="F1096" s="334"/>
      <c r="G1096" s="334"/>
      <c r="H1096" s="381"/>
    </row>
    <row r="1097" spans="1:8" x14ac:dyDescent="0.2">
      <c r="A1097" s="351">
        <v>1076</v>
      </c>
      <c r="B1097" s="376" t="s">
        <v>384</v>
      </c>
      <c r="C1097" s="334"/>
      <c r="D1097" s="334"/>
      <c r="E1097" s="334"/>
      <c r="F1097" s="334"/>
      <c r="G1097" s="334"/>
      <c r="H1097" s="381"/>
    </row>
    <row r="1098" spans="1:8" x14ac:dyDescent="0.2">
      <c r="A1098" s="351">
        <v>1077</v>
      </c>
      <c r="B1098" s="376" t="s">
        <v>383</v>
      </c>
      <c r="C1098" s="334"/>
      <c r="D1098" s="334"/>
      <c r="E1098" s="334"/>
      <c r="F1098" s="334"/>
      <c r="G1098" s="334"/>
      <c r="H1098" s="381"/>
    </row>
    <row r="1099" spans="1:8" x14ac:dyDescent="0.2">
      <c r="A1099" s="351">
        <v>1078</v>
      </c>
      <c r="B1099" s="376" t="s">
        <v>382</v>
      </c>
      <c r="C1099" s="334"/>
      <c r="D1099" s="334"/>
      <c r="E1099" s="334"/>
      <c r="F1099" s="334"/>
      <c r="G1099" s="334"/>
      <c r="H1099" s="381"/>
    </row>
    <row r="1100" spans="1:8" x14ac:dyDescent="0.2">
      <c r="A1100" s="351">
        <v>1079</v>
      </c>
      <c r="B1100" s="376" t="s">
        <v>381</v>
      </c>
      <c r="C1100" s="334"/>
      <c r="D1100" s="334"/>
      <c r="E1100" s="334"/>
      <c r="F1100" s="334"/>
      <c r="G1100" s="334"/>
      <c r="H1100" s="381"/>
    </row>
    <row r="1101" spans="1:8" ht="30" x14ac:dyDescent="0.2">
      <c r="A1101" s="351">
        <v>1080</v>
      </c>
      <c r="B1101" s="378" t="s">
        <v>380</v>
      </c>
      <c r="C1101" s="377"/>
      <c r="D1101" s="377"/>
      <c r="E1101" s="377"/>
      <c r="F1101" s="377"/>
      <c r="G1101" s="377"/>
      <c r="H1101" s="381"/>
    </row>
    <row r="1102" spans="1:8" x14ac:dyDescent="0.2">
      <c r="A1102" s="351">
        <v>1081</v>
      </c>
      <c r="B1102" s="376" t="s">
        <v>379</v>
      </c>
      <c r="C1102" s="334"/>
      <c r="D1102" s="334"/>
      <c r="E1102" s="334"/>
      <c r="F1102" s="334"/>
      <c r="G1102" s="334"/>
      <c r="H1102" s="381"/>
    </row>
    <row r="1103" spans="1:8" x14ac:dyDescent="0.2">
      <c r="A1103" s="351">
        <v>1082</v>
      </c>
      <c r="B1103" s="376" t="s">
        <v>378</v>
      </c>
      <c r="C1103" s="334"/>
      <c r="D1103" s="334"/>
      <c r="E1103" s="334"/>
      <c r="F1103" s="334"/>
      <c r="G1103" s="334"/>
      <c r="H1103" s="381"/>
    </row>
    <row r="1104" spans="1:8" s="1128" customFormat="1" x14ac:dyDescent="0.2">
      <c r="A1104" s="351">
        <v>1083</v>
      </c>
      <c r="B1104" s="376" t="s">
        <v>377</v>
      </c>
      <c r="C1104" s="334"/>
      <c r="D1104" s="334"/>
      <c r="E1104" s="334"/>
      <c r="F1104" s="334"/>
      <c r="G1104" s="334"/>
      <c r="H1104" s="381"/>
    </row>
    <row r="1105" spans="1:8" x14ac:dyDescent="0.2">
      <c r="A1105" s="351">
        <v>1084</v>
      </c>
      <c r="B1105" s="376" t="s">
        <v>376</v>
      </c>
      <c r="C1105" s="334"/>
      <c r="D1105" s="334"/>
      <c r="E1105" s="334"/>
      <c r="F1105" s="334"/>
      <c r="G1105" s="334"/>
      <c r="H1105" s="381"/>
    </row>
    <row r="1106" spans="1:8" x14ac:dyDescent="0.2">
      <c r="A1106" s="351">
        <v>1085</v>
      </c>
      <c r="B1106" s="318" t="s">
        <v>375</v>
      </c>
      <c r="C1106" s="332"/>
      <c r="D1106" s="332"/>
      <c r="E1106" s="332"/>
      <c r="F1106" s="332"/>
      <c r="G1106" s="332"/>
      <c r="H1106" s="381"/>
    </row>
    <row r="1107" spans="1:8" s="1128" customFormat="1" ht="30" x14ac:dyDescent="0.2">
      <c r="A1107" s="351">
        <v>1086</v>
      </c>
      <c r="B1107" s="318" t="s">
        <v>374</v>
      </c>
      <c r="C1107" s="332"/>
      <c r="D1107" s="332"/>
      <c r="E1107" s="332"/>
      <c r="F1107" s="332"/>
      <c r="G1107" s="332"/>
      <c r="H1107" s="381"/>
    </row>
    <row r="1108" spans="1:8" s="1128" customFormat="1" ht="30" x14ac:dyDescent="0.2">
      <c r="A1108" s="351">
        <v>1087</v>
      </c>
      <c r="B1108" s="318" t="s">
        <v>373</v>
      </c>
      <c r="C1108" s="332"/>
      <c r="D1108" s="332"/>
      <c r="E1108" s="332"/>
      <c r="F1108" s="332"/>
      <c r="G1108" s="332"/>
      <c r="H1108" s="381"/>
    </row>
    <row r="1109" spans="1:8" s="1128" customFormat="1" x14ac:dyDescent="0.2">
      <c r="A1109" s="351">
        <v>1088</v>
      </c>
      <c r="B1109" s="318" t="s">
        <v>372</v>
      </c>
      <c r="C1109" s="332"/>
      <c r="D1109" s="332"/>
      <c r="E1109" s="332"/>
      <c r="F1109" s="332"/>
      <c r="G1109" s="332"/>
      <c r="H1109" s="381"/>
    </row>
    <row r="1110" spans="1:8" s="1128" customFormat="1" x14ac:dyDescent="0.2">
      <c r="A1110" s="351">
        <v>1089</v>
      </c>
      <c r="B1110" s="318" t="s">
        <v>371</v>
      </c>
      <c r="C1110" s="332"/>
      <c r="D1110" s="332"/>
      <c r="E1110" s="332"/>
      <c r="F1110" s="332"/>
      <c r="G1110" s="332"/>
      <c r="H1110" s="381"/>
    </row>
    <row r="1111" spans="1:8" s="1128" customFormat="1" ht="30" x14ac:dyDescent="0.2">
      <c r="A1111" s="351">
        <v>1090</v>
      </c>
      <c r="B1111" s="380" t="s">
        <v>370</v>
      </c>
      <c r="C1111" s="379"/>
      <c r="D1111" s="379"/>
      <c r="E1111" s="379"/>
      <c r="F1111" s="379"/>
      <c r="G1111" s="379"/>
      <c r="H1111" s="381"/>
    </row>
    <row r="1112" spans="1:8" s="1128" customFormat="1" ht="30" x14ac:dyDescent="0.2">
      <c r="A1112" s="351">
        <v>1091</v>
      </c>
      <c r="B1112" s="378" t="s">
        <v>369</v>
      </c>
      <c r="C1112" s="334"/>
      <c r="D1112" s="334"/>
      <c r="E1112" s="334"/>
      <c r="F1112" s="334"/>
      <c r="G1112" s="334"/>
      <c r="H1112" s="358"/>
    </row>
    <row r="1113" spans="1:8" s="1128" customFormat="1" ht="30" x14ac:dyDescent="0.2">
      <c r="A1113" s="351">
        <v>1092</v>
      </c>
      <c r="B1113" s="378" t="s">
        <v>368</v>
      </c>
      <c r="C1113" s="377"/>
      <c r="D1113" s="377"/>
      <c r="E1113" s="377"/>
      <c r="F1113" s="377"/>
      <c r="G1113" s="377"/>
      <c r="H1113" s="358"/>
    </row>
    <row r="1114" spans="1:8" s="1128" customFormat="1" x14ac:dyDescent="0.2">
      <c r="A1114" s="351">
        <v>1093</v>
      </c>
      <c r="B1114" s="376" t="s">
        <v>16</v>
      </c>
      <c r="C1114" s="334"/>
      <c r="D1114" s="334"/>
      <c r="E1114" s="334"/>
      <c r="F1114" s="334"/>
      <c r="G1114" s="334"/>
      <c r="H1114" s="358"/>
    </row>
    <row r="1115" spans="1:8" x14ac:dyDescent="0.2">
      <c r="A1115" s="351">
        <v>1094</v>
      </c>
      <c r="B1115" s="376" t="s">
        <v>367</v>
      </c>
      <c r="C1115" s="334"/>
      <c r="D1115" s="334"/>
      <c r="E1115" s="334"/>
      <c r="F1115" s="334"/>
      <c r="G1115" s="334"/>
      <c r="H1115" s="358"/>
    </row>
    <row r="1116" spans="1:8" x14ac:dyDescent="0.2">
      <c r="A1116" s="351">
        <v>1095</v>
      </c>
      <c r="B1116" s="376" t="s">
        <v>366</v>
      </c>
      <c r="C1116" s="334"/>
      <c r="D1116" s="334"/>
      <c r="E1116" s="334"/>
      <c r="F1116" s="334"/>
      <c r="G1116" s="334"/>
      <c r="H1116" s="358"/>
    </row>
    <row r="1117" spans="1:8" x14ac:dyDescent="0.2">
      <c r="A1117" s="351">
        <v>1096</v>
      </c>
      <c r="B1117" s="376" t="s">
        <v>365</v>
      </c>
      <c r="C1117" s="334"/>
      <c r="D1117" s="334"/>
      <c r="E1117" s="334"/>
      <c r="F1117" s="334"/>
      <c r="G1117" s="334"/>
      <c r="H1117" s="358"/>
    </row>
    <row r="1118" spans="1:8" x14ac:dyDescent="0.2">
      <c r="A1118" s="351">
        <v>1097</v>
      </c>
      <c r="B1118" s="376" t="s">
        <v>190</v>
      </c>
      <c r="C1118" s="334"/>
      <c r="D1118" s="334"/>
      <c r="E1118" s="334"/>
      <c r="F1118" s="334"/>
      <c r="G1118" s="334"/>
      <c r="H1118" s="358"/>
    </row>
    <row r="1119" spans="1:8" ht="30" x14ac:dyDescent="0.2">
      <c r="A1119" s="351">
        <v>1098</v>
      </c>
      <c r="B1119" s="376" t="s">
        <v>364</v>
      </c>
      <c r="C1119" s="334"/>
      <c r="D1119" s="334"/>
      <c r="E1119" s="334"/>
      <c r="F1119" s="334"/>
      <c r="G1119" s="334"/>
      <c r="H1119" s="358"/>
    </row>
    <row r="1120" spans="1:8" ht="30" x14ac:dyDescent="0.2">
      <c r="A1120" s="351">
        <v>1099</v>
      </c>
      <c r="B1120" s="357" t="s">
        <v>363</v>
      </c>
      <c r="C1120" s="332"/>
      <c r="D1120" s="332"/>
      <c r="E1120" s="332"/>
      <c r="F1120" s="332"/>
      <c r="G1120" s="332"/>
      <c r="H1120" s="358"/>
    </row>
    <row r="1121" spans="1:8" ht="45" x14ac:dyDescent="0.2">
      <c r="A1121" s="351">
        <v>1100</v>
      </c>
      <c r="B1121" s="361" t="s">
        <v>362</v>
      </c>
      <c r="C1121" s="374"/>
      <c r="D1121" s="334"/>
      <c r="E1121" s="334"/>
      <c r="F1121" s="334"/>
      <c r="G1121" s="334"/>
      <c r="H1121" s="358"/>
    </row>
    <row r="1122" spans="1:8" s="1128" customFormat="1" ht="30" x14ac:dyDescent="0.2">
      <c r="A1122" s="351">
        <v>1101</v>
      </c>
      <c r="B1122" s="365" t="s">
        <v>361</v>
      </c>
      <c r="C1122" s="338"/>
      <c r="D1122" s="332"/>
      <c r="E1122" s="332"/>
      <c r="F1122" s="332"/>
      <c r="G1122" s="332"/>
      <c r="H1122" s="358"/>
    </row>
    <row r="1123" spans="1:8" s="1128" customFormat="1" x14ac:dyDescent="0.2">
      <c r="A1123" s="351">
        <v>1102</v>
      </c>
      <c r="B1123" s="373" t="s">
        <v>360</v>
      </c>
      <c r="C1123" s="372"/>
      <c r="D1123" s="372"/>
      <c r="E1123" s="372"/>
      <c r="F1123" s="372"/>
      <c r="G1123" s="372"/>
      <c r="H1123" s="371"/>
    </row>
    <row r="1124" spans="1:8" ht="60" x14ac:dyDescent="0.2">
      <c r="A1124" s="351">
        <v>1103</v>
      </c>
      <c r="B1124" s="370" t="s">
        <v>359</v>
      </c>
      <c r="C1124" s="369"/>
      <c r="D1124" s="368"/>
      <c r="E1124" s="368"/>
      <c r="F1124" s="368"/>
      <c r="G1124" s="368"/>
      <c r="H1124" s="364"/>
    </row>
    <row r="1125" spans="1:8" s="1128" customFormat="1" ht="30" x14ac:dyDescent="0.2">
      <c r="A1125" s="351">
        <v>1104</v>
      </c>
      <c r="B1125" s="359" t="s">
        <v>358</v>
      </c>
      <c r="C1125" s="353"/>
      <c r="D1125" s="367"/>
      <c r="E1125" s="367"/>
      <c r="F1125" s="367"/>
      <c r="G1125" s="367"/>
      <c r="H1125" s="364"/>
    </row>
    <row r="1126" spans="1:8" ht="30" x14ac:dyDescent="0.2">
      <c r="A1126" s="351">
        <v>1105</v>
      </c>
      <c r="B1126" s="365" t="s">
        <v>357</v>
      </c>
      <c r="C1126" s="338"/>
      <c r="D1126" s="332"/>
      <c r="E1126" s="332"/>
      <c r="F1126" s="332"/>
      <c r="G1126" s="332"/>
      <c r="H1126" s="364"/>
    </row>
    <row r="1127" spans="1:8" s="1128" customFormat="1" ht="30" x14ac:dyDescent="0.2">
      <c r="A1127" s="351">
        <v>1106</v>
      </c>
      <c r="B1127" s="365" t="s">
        <v>356</v>
      </c>
      <c r="C1127" s="338"/>
      <c r="D1127" s="332"/>
      <c r="E1127" s="332"/>
      <c r="F1127" s="332"/>
      <c r="G1127" s="332"/>
      <c r="H1127" s="364"/>
    </row>
    <row r="1128" spans="1:8" s="1128" customFormat="1" ht="30" x14ac:dyDescent="0.2">
      <c r="A1128" s="351">
        <v>1107</v>
      </c>
      <c r="B1128" s="365" t="s">
        <v>355</v>
      </c>
      <c r="C1128" s="338"/>
      <c r="D1128" s="332"/>
      <c r="E1128" s="332"/>
      <c r="F1128" s="332"/>
      <c r="G1128" s="332"/>
      <c r="H1128" s="364"/>
    </row>
    <row r="1129" spans="1:8" s="1128" customFormat="1" ht="30" x14ac:dyDescent="0.2">
      <c r="A1129" s="351">
        <v>1108</v>
      </c>
      <c r="B1129" s="365" t="s">
        <v>354</v>
      </c>
      <c r="C1129" s="338"/>
      <c r="D1129" s="332"/>
      <c r="E1129" s="332"/>
      <c r="F1129" s="332"/>
      <c r="G1129" s="332"/>
      <c r="H1129" s="364"/>
    </row>
    <row r="1130" spans="1:8" x14ac:dyDescent="0.2">
      <c r="A1130" s="351">
        <v>1109</v>
      </c>
      <c r="B1130" s="279" t="s">
        <v>353</v>
      </c>
      <c r="C1130" s="363"/>
      <c r="D1130" s="363"/>
      <c r="E1130" s="363"/>
      <c r="F1130" s="363"/>
      <c r="G1130" s="363"/>
      <c r="H1130" s="362"/>
    </row>
    <row r="1131" spans="1:8" ht="60" x14ac:dyDescent="0.2">
      <c r="A1131" s="351">
        <v>1110</v>
      </c>
      <c r="B1131" s="361" t="s">
        <v>352</v>
      </c>
      <c r="C1131" s="334"/>
      <c r="D1131" s="334"/>
      <c r="E1131" s="334"/>
      <c r="F1131" s="334"/>
      <c r="G1131" s="334"/>
      <c r="H1131" s="364"/>
    </row>
    <row r="1132" spans="1:8" ht="45" x14ac:dyDescent="0.2">
      <c r="A1132" s="351">
        <v>1111</v>
      </c>
      <c r="B1132" s="361" t="s">
        <v>351</v>
      </c>
      <c r="C1132" s="334"/>
      <c r="D1132" s="334"/>
      <c r="E1132" s="334"/>
      <c r="F1132" s="334"/>
      <c r="G1132" s="334"/>
      <c r="H1132" s="364"/>
    </row>
    <row r="1133" spans="1:8" s="1128" customFormat="1" ht="30" x14ac:dyDescent="0.2">
      <c r="A1133" s="351">
        <v>1112</v>
      </c>
      <c r="B1133" s="365" t="s">
        <v>350</v>
      </c>
      <c r="C1133" s="332"/>
      <c r="D1133" s="332"/>
      <c r="E1133" s="332"/>
      <c r="F1133" s="332"/>
      <c r="G1133" s="332"/>
      <c r="H1133" s="364"/>
    </row>
    <row r="1134" spans="1:8" s="1128" customFormat="1" ht="30" x14ac:dyDescent="0.2">
      <c r="A1134" s="351">
        <v>1113</v>
      </c>
      <c r="B1134" s="359" t="s">
        <v>349</v>
      </c>
      <c r="C1134" s="334"/>
      <c r="D1134" s="334"/>
      <c r="E1134" s="334"/>
      <c r="F1134" s="334"/>
      <c r="G1134" s="334"/>
      <c r="H1134" s="364"/>
    </row>
    <row r="1135" spans="1:8" s="1128" customFormat="1" ht="30" x14ac:dyDescent="0.2">
      <c r="A1135" s="351">
        <v>1114</v>
      </c>
      <c r="B1135" s="359" t="s">
        <v>348</v>
      </c>
      <c r="C1135" s="334"/>
      <c r="D1135" s="334"/>
      <c r="E1135" s="334"/>
      <c r="F1135" s="334"/>
      <c r="G1135" s="334"/>
      <c r="H1135" s="364"/>
    </row>
    <row r="1136" spans="1:8" ht="60" x14ac:dyDescent="0.2">
      <c r="A1136" s="351">
        <v>1115</v>
      </c>
      <c r="B1136" s="357" t="s">
        <v>347</v>
      </c>
      <c r="C1136" s="338"/>
      <c r="D1136" s="338"/>
      <c r="E1136" s="338"/>
      <c r="F1136" s="338"/>
      <c r="G1136" s="338"/>
      <c r="H1136" s="364"/>
    </row>
    <row r="1137" spans="1:8" ht="46.5" customHeight="1" x14ac:dyDescent="0.2">
      <c r="A1137" s="351">
        <v>1116</v>
      </c>
      <c r="B1137" s="354" t="s">
        <v>346</v>
      </c>
      <c r="C1137" s="353"/>
      <c r="D1137" s="353"/>
      <c r="E1137" s="353"/>
      <c r="F1137" s="353"/>
      <c r="G1137" s="353"/>
      <c r="H1137" s="364"/>
    </row>
    <row r="1138" spans="1:8" ht="45" x14ac:dyDescent="0.2">
      <c r="A1138" s="351">
        <v>1117</v>
      </c>
      <c r="B1138" s="355" t="s">
        <v>345</v>
      </c>
      <c r="C1138" s="353"/>
      <c r="D1138" s="353"/>
      <c r="E1138" s="353"/>
      <c r="F1138" s="353"/>
      <c r="G1138" s="353"/>
      <c r="H1138" s="364"/>
    </row>
    <row r="1139" spans="1:8" ht="30" x14ac:dyDescent="0.2">
      <c r="A1139" s="351">
        <v>1118</v>
      </c>
      <c r="B1139" s="354" t="s">
        <v>344</v>
      </c>
      <c r="C1139" s="353"/>
      <c r="D1139" s="353"/>
      <c r="E1139" s="353"/>
      <c r="F1139" s="353"/>
      <c r="G1139" s="353"/>
      <c r="H1139" s="364"/>
    </row>
    <row r="1140" spans="1:8" s="1128" customFormat="1" ht="30" x14ac:dyDescent="0.2">
      <c r="A1140" s="351">
        <v>1119</v>
      </c>
      <c r="B1140" s="350" t="s">
        <v>343</v>
      </c>
      <c r="C1140" s="349"/>
      <c r="D1140" s="349"/>
      <c r="E1140" s="349"/>
      <c r="F1140" s="349"/>
      <c r="G1140" s="349"/>
      <c r="H1140" s="364"/>
    </row>
  </sheetData>
  <mergeCells count="4">
    <mergeCell ref="A1:H1"/>
    <mergeCell ref="A2:H2"/>
    <mergeCell ref="A3:H3"/>
    <mergeCell ref="A4:H4"/>
  </mergeCells>
  <hyperlinks>
    <hyperlink ref="B6" location="General_CAD_Requirements" display="General_CAD_Requirements"/>
    <hyperlink ref="B8" location="CAD_Mapping_Requirements" display="CAD_Mapping_Requirements"/>
    <hyperlink ref="B7" location="CAD!B115" display="Call Taking"/>
    <hyperlink ref="B9" location="Automatic_Vehicle_Location__AVL" display="Automatic_Vehicle_Location__AVL"/>
    <hyperlink ref="B10" location="CAD_Dispatching" display="CAD_Dispatching"/>
    <hyperlink ref="B11" location="CAD_Unit_Management" display="CAD_Unit_Management"/>
    <hyperlink ref="B12" location="CAD_Call_Management" display="CAD_Call_Management"/>
    <hyperlink ref="B13" location="CAD_Towed_Vehicles" display="Towed Vehicles"/>
    <hyperlink ref="B14" location="CAD_Call_Disposition" display="CAD_Call_Disposition"/>
    <hyperlink ref="B15" location="CAD_BOLOs" display="BOLOs"/>
    <hyperlink ref="B16" location="CAD_Communications_Supervisor_Support" display="CAD_Communications_Supervisor_Support"/>
    <hyperlink ref="B17" location="CAD_Reporting_and_Query_Features" display="CAD Reporting and Query Features"/>
    <hyperlink ref="B18" location="CAD_and_Mobile_Messaging" display="CAD_and_Mobile_Messaging"/>
    <hyperlink ref="B19" location="CAD_System_Admin" display="CAD_System_Admin"/>
  </hyperlinks>
  <pageMargins left="0.2" right="0.2" top="0.75" bottom="0.75" header="0.3" footer="0.3"/>
  <pageSetup scale="70" fitToHeight="96" orientation="landscape" r:id="rId1"/>
  <headerFooter alignWithMargins="0">
    <oddFooter>&amp;LATTACHMENT  F  -  Spokane County RFP No. P8705&amp;RPage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BG362"/>
  <sheetViews>
    <sheetView showGridLines="0" view="pageLayout" topLeftCell="A36" zoomScaleNormal="100" zoomScaleSheetLayoutView="110" workbookViewId="0">
      <selection activeCell="D6" sqref="D6"/>
    </sheetView>
  </sheetViews>
  <sheetFormatPr defaultRowHeight="12.75" x14ac:dyDescent="0.2"/>
  <cols>
    <col min="1" max="1" width="6.7109375" style="345" customWidth="1"/>
    <col min="2" max="2" width="55.7109375" style="345" customWidth="1"/>
    <col min="3" max="3" width="11.140625" style="345" bestFit="1" customWidth="1"/>
    <col min="4" max="4" width="14.85546875" style="345" bestFit="1" customWidth="1"/>
    <col min="5" max="5" width="25.5703125" style="345" bestFit="1" customWidth="1"/>
    <col min="6" max="6" width="16.28515625" style="345" bestFit="1" customWidth="1"/>
    <col min="7" max="7" width="21.42578125" style="345" bestFit="1" customWidth="1"/>
    <col min="8" max="8" width="40.7109375" style="345" customWidth="1"/>
    <col min="9" max="9" width="19.28515625" style="1128" customWidth="1"/>
    <col min="10" max="59" width="9.140625" style="1128"/>
    <col min="60" max="16384" width="9.140625" style="345"/>
  </cols>
  <sheetData>
    <row r="1" spans="1:59" s="600" customFormat="1" ht="15.75" x14ac:dyDescent="0.25">
      <c r="A1" s="1223" t="s">
        <v>3605</v>
      </c>
      <c r="B1" s="1223"/>
      <c r="C1" s="1223"/>
      <c r="D1" s="1223"/>
      <c r="E1" s="1223"/>
      <c r="F1" s="1223"/>
      <c r="G1" s="1223"/>
      <c r="H1" s="1223"/>
      <c r="I1" s="601"/>
      <c r="J1" s="601"/>
      <c r="K1" s="601"/>
      <c r="L1" s="601"/>
      <c r="M1" s="601"/>
      <c r="N1" s="601"/>
      <c r="O1" s="601"/>
      <c r="P1" s="601"/>
      <c r="Q1" s="601"/>
      <c r="R1" s="601"/>
      <c r="S1" s="601"/>
      <c r="T1" s="601"/>
      <c r="U1" s="601"/>
      <c r="V1" s="601"/>
      <c r="W1" s="601"/>
      <c r="X1" s="601"/>
      <c r="Y1" s="601"/>
      <c r="Z1" s="601"/>
      <c r="AA1" s="601"/>
      <c r="AB1" s="601"/>
      <c r="AC1" s="601"/>
      <c r="AD1" s="601"/>
      <c r="AE1" s="601"/>
      <c r="AF1" s="601"/>
      <c r="AG1" s="601"/>
      <c r="AH1" s="601"/>
      <c r="AI1" s="601"/>
      <c r="AJ1" s="601"/>
      <c r="AK1" s="601"/>
      <c r="AL1" s="601"/>
      <c r="AM1" s="601"/>
      <c r="AN1" s="601"/>
      <c r="AO1" s="601"/>
      <c r="AP1" s="601"/>
      <c r="AQ1" s="601"/>
      <c r="AR1" s="601"/>
      <c r="AS1" s="601"/>
      <c r="AT1" s="601"/>
      <c r="AU1" s="601"/>
      <c r="AV1" s="601"/>
      <c r="AW1" s="601"/>
      <c r="AX1" s="601"/>
      <c r="AY1" s="601"/>
      <c r="AZ1" s="601"/>
      <c r="BA1" s="601"/>
      <c r="BB1" s="601"/>
      <c r="BC1" s="601"/>
      <c r="BD1" s="601"/>
      <c r="BE1" s="601"/>
      <c r="BF1" s="601"/>
      <c r="BG1" s="601"/>
    </row>
    <row r="2" spans="1:59" s="600" customFormat="1" ht="15.75" x14ac:dyDescent="0.25">
      <c r="A2" s="1223" t="s">
        <v>258</v>
      </c>
      <c r="B2" s="1223"/>
      <c r="C2" s="1223"/>
      <c r="D2" s="1223"/>
      <c r="E2" s="1223"/>
      <c r="F2" s="1223"/>
      <c r="G2" s="1223"/>
      <c r="H2" s="1223"/>
      <c r="I2" s="601"/>
      <c r="J2" s="601"/>
      <c r="K2" s="601"/>
      <c r="L2" s="601"/>
      <c r="M2" s="601"/>
      <c r="N2" s="601"/>
      <c r="O2" s="601"/>
      <c r="P2" s="601"/>
      <c r="Q2" s="601"/>
      <c r="R2" s="601"/>
      <c r="S2" s="601"/>
      <c r="T2" s="601"/>
      <c r="U2" s="601"/>
      <c r="V2" s="601"/>
      <c r="W2" s="601"/>
      <c r="X2" s="601"/>
      <c r="Y2" s="601"/>
      <c r="Z2" s="601"/>
      <c r="AA2" s="601"/>
      <c r="AB2" s="601"/>
      <c r="AC2" s="601"/>
      <c r="AD2" s="601"/>
      <c r="AE2" s="601"/>
      <c r="AF2" s="601"/>
      <c r="AG2" s="601"/>
      <c r="AH2" s="601"/>
      <c r="AI2" s="601"/>
      <c r="AJ2" s="601"/>
      <c r="AK2" s="601"/>
      <c r="AL2" s="601"/>
      <c r="AM2" s="601"/>
      <c r="AN2" s="601"/>
      <c r="AO2" s="601"/>
      <c r="AP2" s="601"/>
      <c r="AQ2" s="601"/>
      <c r="AR2" s="601"/>
      <c r="AS2" s="601"/>
      <c r="AT2" s="601"/>
      <c r="AU2" s="601"/>
      <c r="AV2" s="601"/>
      <c r="AW2" s="601"/>
      <c r="AX2" s="601"/>
      <c r="AY2" s="601"/>
      <c r="AZ2" s="601"/>
      <c r="BA2" s="601"/>
      <c r="BB2" s="601"/>
      <c r="BC2" s="601"/>
      <c r="BD2" s="601"/>
      <c r="BE2" s="601"/>
      <c r="BF2" s="601"/>
      <c r="BG2" s="601"/>
    </row>
    <row r="3" spans="1:59" s="600" customFormat="1" ht="15.75" x14ac:dyDescent="0.25">
      <c r="A3" s="1223"/>
      <c r="B3" s="1223"/>
      <c r="C3" s="1223"/>
      <c r="D3" s="1223"/>
      <c r="E3" s="1223"/>
      <c r="F3" s="1223"/>
      <c r="G3" s="1223"/>
      <c r="H3" s="1223"/>
      <c r="I3" s="601"/>
      <c r="J3" s="601"/>
      <c r="K3" s="601"/>
      <c r="L3" s="601"/>
      <c r="M3" s="601"/>
      <c r="N3" s="601"/>
      <c r="O3" s="601"/>
      <c r="P3" s="601"/>
      <c r="Q3" s="601"/>
      <c r="R3" s="601"/>
      <c r="S3" s="601"/>
      <c r="T3" s="601"/>
      <c r="U3" s="601"/>
      <c r="V3" s="601"/>
      <c r="W3" s="601"/>
      <c r="X3" s="601"/>
      <c r="Y3" s="601"/>
      <c r="Z3" s="601"/>
      <c r="AA3" s="601"/>
      <c r="AB3" s="601"/>
      <c r="AC3" s="601"/>
      <c r="AD3" s="601"/>
      <c r="AE3" s="601"/>
      <c r="AF3" s="601"/>
      <c r="AG3" s="601"/>
      <c r="AH3" s="601"/>
      <c r="AI3" s="601"/>
      <c r="AJ3" s="601"/>
      <c r="AK3" s="601"/>
      <c r="AL3" s="601"/>
      <c r="AM3" s="601"/>
      <c r="AN3" s="601"/>
      <c r="AO3" s="601"/>
      <c r="AP3" s="601"/>
      <c r="AQ3" s="601"/>
      <c r="AR3" s="601"/>
      <c r="AS3" s="601"/>
      <c r="AT3" s="601"/>
      <c r="AU3" s="601"/>
      <c r="AV3" s="601"/>
      <c r="AW3" s="601"/>
      <c r="AX3" s="601"/>
      <c r="AY3" s="601"/>
      <c r="AZ3" s="601"/>
      <c r="BA3" s="601"/>
      <c r="BB3" s="601"/>
      <c r="BC3" s="601"/>
      <c r="BD3" s="601"/>
      <c r="BE3" s="601"/>
      <c r="BF3" s="601"/>
      <c r="BG3" s="601"/>
    </row>
    <row r="4" spans="1:59" s="600" customFormat="1" ht="15.75" x14ac:dyDescent="0.25">
      <c r="A4" s="1223" t="s">
        <v>3512</v>
      </c>
      <c r="B4" s="1223"/>
      <c r="C4" s="1223"/>
      <c r="D4" s="1223"/>
      <c r="E4" s="1223"/>
      <c r="F4" s="1223"/>
      <c r="G4" s="1223"/>
      <c r="H4" s="1223"/>
      <c r="I4" s="601"/>
      <c r="J4" s="601"/>
      <c r="K4" s="601"/>
      <c r="L4" s="601"/>
      <c r="M4" s="601"/>
      <c r="N4" s="601"/>
      <c r="O4" s="601"/>
      <c r="P4" s="601"/>
      <c r="Q4" s="601"/>
      <c r="R4" s="601"/>
      <c r="S4" s="601"/>
      <c r="T4" s="601"/>
      <c r="U4" s="601"/>
      <c r="V4" s="601"/>
      <c r="W4" s="601"/>
      <c r="X4" s="601"/>
      <c r="Y4" s="601"/>
      <c r="Z4" s="601"/>
      <c r="AA4" s="601"/>
      <c r="AB4" s="601"/>
      <c r="AC4" s="601"/>
      <c r="AD4" s="601"/>
      <c r="AE4" s="601"/>
      <c r="AF4" s="601"/>
      <c r="AG4" s="601"/>
      <c r="AH4" s="601"/>
      <c r="AI4" s="601"/>
      <c r="AJ4" s="601"/>
      <c r="AK4" s="601"/>
      <c r="AL4" s="601"/>
      <c r="AM4" s="601"/>
      <c r="AN4" s="601"/>
      <c r="AO4" s="601"/>
      <c r="AP4" s="601"/>
      <c r="AQ4" s="601"/>
      <c r="AR4" s="601"/>
      <c r="AS4" s="601"/>
      <c r="AT4" s="601"/>
      <c r="AU4" s="601"/>
      <c r="AV4" s="601"/>
      <c r="AW4" s="601"/>
      <c r="AX4" s="601"/>
      <c r="AY4" s="601"/>
      <c r="AZ4" s="601"/>
      <c r="BA4" s="601"/>
      <c r="BB4" s="601"/>
      <c r="BC4" s="601"/>
      <c r="BD4" s="601"/>
      <c r="BE4" s="601"/>
      <c r="BF4" s="601"/>
      <c r="BG4" s="601"/>
    </row>
    <row r="5" spans="1:59" ht="15" x14ac:dyDescent="0.25">
      <c r="A5" s="599"/>
      <c r="B5" s="1224"/>
      <c r="C5" s="1224"/>
      <c r="D5" s="1225"/>
      <c r="E5" s="1225"/>
      <c r="F5" s="1225"/>
      <c r="G5" s="1225"/>
      <c r="H5" s="1225"/>
    </row>
    <row r="6" spans="1:59" s="547" customFormat="1" ht="15.75" x14ac:dyDescent="0.25">
      <c r="A6" s="546">
        <f>A18</f>
        <v>1</v>
      </c>
      <c r="B6" s="549" t="str">
        <f>General_Mobile_Requirements</f>
        <v>General  Mobile Data Computing Features</v>
      </c>
      <c r="C6" s="548"/>
      <c r="D6" s="548"/>
      <c r="E6" s="548"/>
      <c r="F6" s="548"/>
      <c r="G6" s="548"/>
      <c r="H6" s="548"/>
    </row>
    <row r="7" spans="1:59" s="547" customFormat="1" ht="15.75" x14ac:dyDescent="0.25">
      <c r="A7" s="546">
        <f>A27</f>
        <v>10</v>
      </c>
      <c r="B7" s="549" t="str">
        <f>Mobile_User_Interface</f>
        <v>Mobile Application User Interface</v>
      </c>
      <c r="C7" s="548"/>
      <c r="D7" s="548"/>
      <c r="E7" s="548"/>
      <c r="F7" s="548"/>
      <c r="G7" s="548"/>
      <c r="H7" s="548"/>
    </row>
    <row r="8" spans="1:59" s="547" customFormat="1" ht="15.75" x14ac:dyDescent="0.25">
      <c r="A8" s="546">
        <f>A89</f>
        <v>72</v>
      </c>
      <c r="B8" s="549" t="str">
        <f>Function_Keys</f>
        <v>Function Keys/Commands</v>
      </c>
      <c r="C8" s="548"/>
      <c r="D8" s="548"/>
      <c r="E8" s="548"/>
      <c r="F8" s="548"/>
      <c r="G8" s="548"/>
      <c r="H8" s="548"/>
    </row>
    <row r="9" spans="1:59" s="547" customFormat="1" ht="15.75" x14ac:dyDescent="0.25">
      <c r="A9" s="546">
        <f>A95</f>
        <v>78</v>
      </c>
      <c r="B9" s="549" t="str">
        <f>Emergency_Key</f>
        <v>Emergency Key Functionality</v>
      </c>
      <c r="C9" s="548"/>
      <c r="D9" s="548"/>
      <c r="E9" s="548"/>
      <c r="F9" s="548"/>
      <c r="G9" s="548"/>
      <c r="H9" s="548"/>
    </row>
    <row r="10" spans="1:59" s="547" customFormat="1" ht="15.75" x14ac:dyDescent="0.25">
      <c r="A10" s="546">
        <f>A113</f>
        <v>96</v>
      </c>
      <c r="B10" s="549" t="str">
        <f>Security</f>
        <v xml:space="preserve">Security  </v>
      </c>
      <c r="C10" s="548"/>
      <c r="D10" s="548"/>
      <c r="E10" s="548"/>
      <c r="F10" s="548"/>
      <c r="G10" s="548"/>
      <c r="H10" s="548"/>
    </row>
    <row r="11" spans="1:59" s="547" customFormat="1" ht="15.75" x14ac:dyDescent="0.25">
      <c r="A11" s="546">
        <f>A135</f>
        <v>118</v>
      </c>
      <c r="B11" s="549" t="str">
        <f>Application_Integration</f>
        <v>Application Integration</v>
      </c>
      <c r="C11" s="548"/>
      <c r="D11" s="548"/>
      <c r="E11" s="548"/>
      <c r="F11" s="548"/>
      <c r="G11" s="548"/>
      <c r="H11" s="548"/>
    </row>
    <row r="12" spans="1:59" s="547" customFormat="1" ht="15.75" x14ac:dyDescent="0.25">
      <c r="A12" s="546">
        <f>A143</f>
        <v>126</v>
      </c>
      <c r="B12" s="549" t="str">
        <f>Mobile_Mapping</f>
        <v>Mobile Mapping</v>
      </c>
      <c r="C12" s="548"/>
      <c r="D12" s="548"/>
      <c r="E12" s="548"/>
      <c r="F12" s="548"/>
      <c r="G12" s="548"/>
      <c r="H12" s="548"/>
    </row>
    <row r="13" spans="1:59" s="547" customFormat="1" ht="15.75" x14ac:dyDescent="0.25">
      <c r="A13" s="546">
        <f>A201</f>
        <v>184</v>
      </c>
      <c r="B13" s="549" t="s">
        <v>1570</v>
      </c>
      <c r="C13" s="548"/>
      <c r="D13" s="548"/>
      <c r="E13" s="548"/>
      <c r="F13" s="548"/>
      <c r="G13" s="548"/>
      <c r="H13" s="548"/>
    </row>
    <row r="14" spans="1:59" s="547" customFormat="1" ht="15.75" x14ac:dyDescent="0.25">
      <c r="A14" s="546">
        <f>A212</f>
        <v>195</v>
      </c>
      <c r="B14" s="549" t="str">
        <f>Mobile_Dispatch_Operations</f>
        <v>Mobile Dispatch Operations</v>
      </c>
      <c r="C14" s="548"/>
      <c r="D14" s="548"/>
      <c r="E14" s="548"/>
      <c r="F14" s="548"/>
      <c r="G14" s="548"/>
      <c r="H14" s="548"/>
    </row>
    <row r="15" spans="1:59" s="547" customFormat="1" ht="15.75" x14ac:dyDescent="0.25">
      <c r="A15" s="546">
        <f>A287</f>
        <v>270</v>
      </c>
      <c r="B15" s="549" t="str">
        <f>Queries</f>
        <v xml:space="preserve">Queries  </v>
      </c>
      <c r="C15" s="548"/>
      <c r="D15" s="548"/>
      <c r="E15" s="548"/>
      <c r="F15" s="548"/>
      <c r="G15" s="548"/>
      <c r="H15" s="548"/>
    </row>
    <row r="16" spans="1:59" ht="18" x14ac:dyDescent="0.25">
      <c r="A16" s="1128"/>
      <c r="B16" s="597"/>
      <c r="C16" s="597"/>
      <c r="D16" s="1128"/>
      <c r="E16" s="1128"/>
      <c r="F16" s="1128"/>
      <c r="G16" s="1128"/>
      <c r="H16" s="1128"/>
    </row>
    <row r="17" spans="1:8" ht="15" x14ac:dyDescent="0.25">
      <c r="A17" s="596" t="s">
        <v>155</v>
      </c>
      <c r="B17" s="565" t="s">
        <v>1569</v>
      </c>
      <c r="C17" s="1166" t="s">
        <v>3560</v>
      </c>
      <c r="D17" s="1166" t="s">
        <v>3559</v>
      </c>
      <c r="E17" s="1166" t="s">
        <v>3561</v>
      </c>
      <c r="F17" s="1166" t="s">
        <v>3563</v>
      </c>
      <c r="G17" s="1166" t="s">
        <v>3565</v>
      </c>
      <c r="H17" s="596" t="s">
        <v>149</v>
      </c>
    </row>
    <row r="18" spans="1:8" ht="15" x14ac:dyDescent="0.25">
      <c r="A18" s="550">
        <v>1</v>
      </c>
      <c r="B18" s="565" t="s">
        <v>1568</v>
      </c>
      <c r="C18" s="565"/>
      <c r="D18" s="565"/>
      <c r="E18" s="565"/>
      <c r="F18" s="565"/>
      <c r="G18" s="565"/>
      <c r="H18" s="565"/>
    </row>
    <row r="19" spans="1:8" s="1128" customFormat="1" ht="30" x14ac:dyDescent="0.2">
      <c r="A19" s="550">
        <f>A18+1</f>
        <v>2</v>
      </c>
      <c r="B19" s="408" t="s">
        <v>1567</v>
      </c>
      <c r="C19" s="324"/>
      <c r="D19" s="324"/>
      <c r="E19" s="324"/>
      <c r="F19" s="324"/>
      <c r="G19" s="324"/>
      <c r="H19" s="1140"/>
    </row>
    <row r="20" spans="1:8" s="1128" customFormat="1" ht="30" x14ac:dyDescent="0.2">
      <c r="A20" s="550">
        <f t="shared" ref="A20:A83" si="0">A19+1</f>
        <v>3</v>
      </c>
      <c r="B20" s="559" t="s">
        <v>1566</v>
      </c>
      <c r="C20" s="324"/>
      <c r="D20" s="324"/>
      <c r="E20" s="324"/>
      <c r="F20" s="324"/>
      <c r="G20" s="324"/>
      <c r="H20" s="1140"/>
    </row>
    <row r="21" spans="1:8" ht="45" x14ac:dyDescent="0.2">
      <c r="A21" s="550">
        <f t="shared" si="0"/>
        <v>4</v>
      </c>
      <c r="B21" s="408" t="s">
        <v>1565</v>
      </c>
      <c r="C21" s="288"/>
      <c r="D21" s="288"/>
      <c r="E21" s="288"/>
      <c r="F21" s="288"/>
      <c r="G21" s="288"/>
      <c r="H21" s="1140"/>
    </row>
    <row r="22" spans="1:8" ht="30" x14ac:dyDescent="0.2">
      <c r="A22" s="550">
        <f t="shared" si="0"/>
        <v>5</v>
      </c>
      <c r="B22" s="408" t="s">
        <v>1564</v>
      </c>
      <c r="C22" s="288"/>
      <c r="D22" s="288"/>
      <c r="E22" s="288"/>
      <c r="F22" s="288"/>
      <c r="G22" s="288"/>
      <c r="H22" s="1140"/>
    </row>
    <row r="23" spans="1:8" ht="30" x14ac:dyDescent="0.2">
      <c r="A23" s="550">
        <f t="shared" si="0"/>
        <v>6</v>
      </c>
      <c r="B23" s="378" t="s">
        <v>1563</v>
      </c>
      <c r="C23" s="334"/>
      <c r="D23" s="334"/>
      <c r="E23" s="334"/>
      <c r="F23" s="334"/>
      <c r="G23" s="334"/>
      <c r="H23" s="1140"/>
    </row>
    <row r="24" spans="1:8" s="1128" customFormat="1" ht="30" x14ac:dyDescent="0.2">
      <c r="A24" s="550">
        <f t="shared" si="0"/>
        <v>7</v>
      </c>
      <c r="B24" s="318" t="s">
        <v>1562</v>
      </c>
      <c r="C24" s="332"/>
      <c r="D24" s="332"/>
      <c r="E24" s="332"/>
      <c r="F24" s="332"/>
      <c r="G24" s="332"/>
      <c r="H24" s="1140"/>
    </row>
    <row r="25" spans="1:8" s="1128" customFormat="1" ht="45" x14ac:dyDescent="0.2">
      <c r="A25" s="550">
        <f t="shared" si="0"/>
        <v>8</v>
      </c>
      <c r="B25" s="318" t="s">
        <v>1561</v>
      </c>
      <c r="C25" s="332"/>
      <c r="D25" s="332"/>
      <c r="E25" s="332"/>
      <c r="F25" s="332"/>
      <c r="G25" s="332"/>
      <c r="H25" s="1140"/>
    </row>
    <row r="26" spans="1:8" s="1128" customFormat="1" ht="30" x14ac:dyDescent="0.2">
      <c r="A26" s="550">
        <f t="shared" si="0"/>
        <v>9</v>
      </c>
      <c r="B26" s="318" t="s">
        <v>1560</v>
      </c>
      <c r="C26" s="332"/>
      <c r="D26" s="332"/>
      <c r="E26" s="332"/>
      <c r="F26" s="332"/>
      <c r="G26" s="332"/>
      <c r="H26" s="1140"/>
    </row>
    <row r="27" spans="1:8" ht="15" x14ac:dyDescent="0.25">
      <c r="A27" s="550">
        <f t="shared" si="0"/>
        <v>10</v>
      </c>
      <c r="B27" s="565" t="s">
        <v>1559</v>
      </c>
      <c r="C27" s="565"/>
      <c r="D27" s="565"/>
      <c r="E27" s="565"/>
      <c r="F27" s="565"/>
      <c r="G27" s="565"/>
      <c r="H27" s="1144"/>
    </row>
    <row r="28" spans="1:8" ht="30" x14ac:dyDescent="0.2">
      <c r="A28" s="550">
        <f t="shared" si="0"/>
        <v>11</v>
      </c>
      <c r="B28" s="408" t="s">
        <v>1558</v>
      </c>
      <c r="C28" s="288"/>
      <c r="D28" s="288"/>
      <c r="E28" s="288"/>
      <c r="F28" s="288"/>
      <c r="G28" s="288"/>
      <c r="H28" s="1141"/>
    </row>
    <row r="29" spans="1:8" ht="15" x14ac:dyDescent="0.2">
      <c r="A29" s="550">
        <f t="shared" si="0"/>
        <v>12</v>
      </c>
      <c r="B29" s="408" t="s">
        <v>1557</v>
      </c>
      <c r="C29" s="288"/>
      <c r="D29" s="288"/>
      <c r="E29" s="288"/>
      <c r="F29" s="288"/>
      <c r="G29" s="288"/>
      <c r="H29" s="1141"/>
    </row>
    <row r="30" spans="1:8" ht="15" x14ac:dyDescent="0.2">
      <c r="A30" s="550">
        <f t="shared" si="0"/>
        <v>13</v>
      </c>
      <c r="B30" s="573" t="s">
        <v>1556</v>
      </c>
      <c r="C30" s="553"/>
      <c r="D30" s="553"/>
      <c r="E30" s="553"/>
      <c r="F30" s="553"/>
      <c r="G30" s="553"/>
      <c r="H30" s="1141"/>
    </row>
    <row r="31" spans="1:8" s="1128" customFormat="1" ht="15" x14ac:dyDescent="0.2">
      <c r="A31" s="550">
        <f t="shared" si="0"/>
        <v>14</v>
      </c>
      <c r="B31" s="522" t="s">
        <v>1555</v>
      </c>
      <c r="C31" s="349"/>
      <c r="D31" s="349"/>
      <c r="E31" s="349"/>
      <c r="F31" s="349"/>
      <c r="G31" s="349"/>
      <c r="H31" s="1141"/>
    </row>
    <row r="32" spans="1:8" ht="15" x14ac:dyDescent="0.2">
      <c r="A32" s="550">
        <f t="shared" si="0"/>
        <v>15</v>
      </c>
      <c r="B32" s="405" t="s">
        <v>1554</v>
      </c>
      <c r="C32" s="288"/>
      <c r="D32" s="288"/>
      <c r="E32" s="288"/>
      <c r="F32" s="288"/>
      <c r="G32" s="288"/>
      <c r="H32" s="1141"/>
    </row>
    <row r="33" spans="1:8" ht="45" x14ac:dyDescent="0.2">
      <c r="A33" s="550">
        <f t="shared" si="0"/>
        <v>16</v>
      </c>
      <c r="B33" s="521" t="s">
        <v>1553</v>
      </c>
      <c r="C33" s="324"/>
      <c r="D33" s="324"/>
      <c r="E33" s="324"/>
      <c r="F33" s="324"/>
      <c r="G33" s="324"/>
      <c r="H33" s="1140"/>
    </row>
    <row r="34" spans="1:8" ht="15" x14ac:dyDescent="0.2">
      <c r="A34" s="550">
        <f t="shared" si="0"/>
        <v>17</v>
      </c>
      <c r="B34" s="408" t="s">
        <v>1552</v>
      </c>
      <c r="C34" s="558"/>
      <c r="D34" s="591"/>
      <c r="E34" s="591"/>
      <c r="F34" s="591"/>
      <c r="G34" s="591"/>
      <c r="H34" s="1141"/>
    </row>
    <row r="35" spans="1:8" s="1128" customFormat="1" ht="32.25" customHeight="1" x14ac:dyDescent="0.2">
      <c r="A35" s="550">
        <f t="shared" si="0"/>
        <v>18</v>
      </c>
      <c r="B35" s="592" t="s">
        <v>1551</v>
      </c>
      <c r="C35" s="349"/>
      <c r="D35" s="324"/>
      <c r="E35" s="324"/>
      <c r="F35" s="324"/>
      <c r="G35" s="324"/>
      <c r="H35" s="1140"/>
    </row>
    <row r="36" spans="1:8" s="1128" customFormat="1" ht="15" x14ac:dyDescent="0.2">
      <c r="A36" s="550">
        <f t="shared" si="0"/>
        <v>19</v>
      </c>
      <c r="B36" s="595" t="s">
        <v>1550</v>
      </c>
      <c r="C36" s="324"/>
      <c r="D36" s="324"/>
      <c r="E36" s="324"/>
      <c r="F36" s="324"/>
      <c r="G36" s="324"/>
      <c r="H36" s="1140"/>
    </row>
    <row r="37" spans="1:8" s="1128" customFormat="1" ht="15" x14ac:dyDescent="0.2">
      <c r="A37" s="550">
        <f t="shared" si="0"/>
        <v>20</v>
      </c>
      <c r="B37" s="592" t="s">
        <v>1549</v>
      </c>
      <c r="C37" s="324"/>
      <c r="D37" s="324"/>
      <c r="E37" s="324"/>
      <c r="F37" s="324"/>
      <c r="G37" s="324"/>
      <c r="H37" s="1140"/>
    </row>
    <row r="38" spans="1:8" ht="30" x14ac:dyDescent="0.2">
      <c r="A38" s="550">
        <f t="shared" si="0"/>
        <v>21</v>
      </c>
      <c r="B38" s="590" t="s">
        <v>1548</v>
      </c>
      <c r="C38" s="594"/>
      <c r="D38" s="594"/>
      <c r="E38" s="586"/>
      <c r="F38" s="586"/>
      <c r="G38" s="586"/>
      <c r="H38" s="1140"/>
    </row>
    <row r="39" spans="1:8" s="978" customFormat="1" ht="15" x14ac:dyDescent="0.2">
      <c r="A39" s="550">
        <f t="shared" si="0"/>
        <v>22</v>
      </c>
      <c r="B39" s="559" t="s">
        <v>1547</v>
      </c>
      <c r="C39" s="764"/>
      <c r="D39" s="764"/>
      <c r="E39" s="584"/>
      <c r="F39" s="584"/>
      <c r="G39" s="584"/>
      <c r="H39" s="1140"/>
    </row>
    <row r="40" spans="1:8" s="1128" customFormat="1" ht="30" x14ac:dyDescent="0.2">
      <c r="A40" s="550">
        <f t="shared" si="0"/>
        <v>23</v>
      </c>
      <c r="B40" s="318" t="s">
        <v>1546</v>
      </c>
      <c r="C40" s="335"/>
      <c r="D40" s="335"/>
      <c r="E40" s="335"/>
      <c r="F40" s="335"/>
      <c r="G40" s="335"/>
      <c r="H40" s="318"/>
    </row>
    <row r="41" spans="1:8" s="1128" customFormat="1" ht="15" x14ac:dyDescent="0.2">
      <c r="A41" s="550">
        <f t="shared" si="0"/>
        <v>24</v>
      </c>
      <c r="B41" s="382" t="s">
        <v>1543</v>
      </c>
      <c r="C41" s="332"/>
      <c r="D41" s="332"/>
      <c r="E41" s="332"/>
      <c r="F41" s="332"/>
      <c r="G41" s="332"/>
      <c r="H41" s="318"/>
    </row>
    <row r="42" spans="1:8" s="1128" customFormat="1" ht="15" x14ac:dyDescent="0.2">
      <c r="A42" s="550">
        <f t="shared" si="0"/>
        <v>25</v>
      </c>
      <c r="B42" s="382" t="s">
        <v>173</v>
      </c>
      <c r="C42" s="332"/>
      <c r="D42" s="332"/>
      <c r="E42" s="332"/>
      <c r="F42" s="332"/>
      <c r="G42" s="332"/>
      <c r="H42" s="318"/>
    </row>
    <row r="43" spans="1:8" s="1128" customFormat="1" ht="15" x14ac:dyDescent="0.2">
      <c r="A43" s="550">
        <f t="shared" si="0"/>
        <v>26</v>
      </c>
      <c r="B43" s="382" t="s">
        <v>1542</v>
      </c>
      <c r="C43" s="332"/>
      <c r="D43" s="332"/>
      <c r="E43" s="332"/>
      <c r="F43" s="332"/>
      <c r="G43" s="332"/>
      <c r="H43" s="318"/>
    </row>
    <row r="44" spans="1:8" s="1128" customFormat="1" ht="15" x14ac:dyDescent="0.2">
      <c r="A44" s="550">
        <f t="shared" si="0"/>
        <v>27</v>
      </c>
      <c r="B44" s="382" t="s">
        <v>1541</v>
      </c>
      <c r="C44" s="332"/>
      <c r="D44" s="332"/>
      <c r="E44" s="332"/>
      <c r="F44" s="332"/>
      <c r="G44" s="332"/>
      <c r="H44" s="318"/>
    </row>
    <row r="45" spans="1:8" s="1128" customFormat="1" ht="15" x14ac:dyDescent="0.2">
      <c r="A45" s="550">
        <f t="shared" si="0"/>
        <v>28</v>
      </c>
      <c r="B45" s="382" t="s">
        <v>1545</v>
      </c>
      <c r="C45" s="332"/>
      <c r="D45" s="332"/>
      <c r="E45" s="332"/>
      <c r="F45" s="332"/>
      <c r="G45" s="332"/>
      <c r="H45" s="318"/>
    </row>
    <row r="46" spans="1:8" s="1128" customFormat="1" ht="30" x14ac:dyDescent="0.2">
      <c r="A46" s="550">
        <f t="shared" si="0"/>
        <v>29</v>
      </c>
      <c r="B46" s="318" t="s">
        <v>1544</v>
      </c>
      <c r="C46" s="335"/>
      <c r="D46" s="335"/>
      <c r="E46" s="335"/>
      <c r="F46" s="335"/>
      <c r="G46" s="335"/>
      <c r="H46" s="318"/>
    </row>
    <row r="47" spans="1:8" s="1128" customFormat="1" ht="15" x14ac:dyDescent="0.2">
      <c r="A47" s="550">
        <f t="shared" si="0"/>
        <v>30</v>
      </c>
      <c r="B47" s="382" t="s">
        <v>1543</v>
      </c>
      <c r="C47" s="332"/>
      <c r="D47" s="332"/>
      <c r="E47" s="332"/>
      <c r="F47" s="332"/>
      <c r="G47" s="332"/>
      <c r="H47" s="318"/>
    </row>
    <row r="48" spans="1:8" s="1128" customFormat="1" ht="15" x14ac:dyDescent="0.2">
      <c r="A48" s="550">
        <f t="shared" si="0"/>
        <v>31</v>
      </c>
      <c r="B48" s="382" t="s">
        <v>173</v>
      </c>
      <c r="C48" s="332"/>
      <c r="D48" s="332"/>
      <c r="E48" s="332"/>
      <c r="F48" s="332"/>
      <c r="G48" s="332"/>
      <c r="H48" s="318"/>
    </row>
    <row r="49" spans="1:8" s="1128" customFormat="1" ht="15" x14ac:dyDescent="0.2">
      <c r="A49" s="550">
        <f t="shared" si="0"/>
        <v>32</v>
      </c>
      <c r="B49" s="382" t="s">
        <v>1542</v>
      </c>
      <c r="C49" s="332"/>
      <c r="D49" s="332"/>
      <c r="E49" s="332"/>
      <c r="F49" s="332"/>
      <c r="G49" s="332"/>
      <c r="H49" s="318"/>
    </row>
    <row r="50" spans="1:8" s="1128" customFormat="1" ht="15" x14ac:dyDescent="0.2">
      <c r="A50" s="550">
        <f t="shared" si="0"/>
        <v>33</v>
      </c>
      <c r="B50" s="382" t="s">
        <v>1541</v>
      </c>
      <c r="C50" s="332"/>
      <c r="D50" s="332"/>
      <c r="E50" s="332"/>
      <c r="F50" s="332"/>
      <c r="G50" s="332"/>
      <c r="H50" s="318"/>
    </row>
    <row r="51" spans="1:8" ht="30" x14ac:dyDescent="0.2">
      <c r="A51" s="550">
        <f t="shared" si="0"/>
        <v>34</v>
      </c>
      <c r="B51" s="408" t="s">
        <v>1540</v>
      </c>
      <c r="C51" s="558"/>
      <c r="D51" s="591"/>
      <c r="E51" s="591"/>
      <c r="F51" s="591"/>
      <c r="G51" s="591"/>
      <c r="H51" s="408"/>
    </row>
    <row r="52" spans="1:8" ht="15" x14ac:dyDescent="0.2">
      <c r="A52" s="550">
        <f t="shared" si="0"/>
        <v>35</v>
      </c>
      <c r="B52" s="590" t="s">
        <v>1539</v>
      </c>
      <c r="C52" s="288"/>
      <c r="D52" s="288"/>
      <c r="E52" s="288"/>
      <c r="F52" s="288"/>
      <c r="G52" s="288"/>
      <c r="H52" s="408"/>
    </row>
    <row r="53" spans="1:8" ht="15" x14ac:dyDescent="0.2">
      <c r="A53" s="550">
        <f t="shared" si="0"/>
        <v>36</v>
      </c>
      <c r="B53" s="590" t="s">
        <v>1538</v>
      </c>
      <c r="C53" s="288"/>
      <c r="D53" s="288"/>
      <c r="E53" s="288"/>
      <c r="F53" s="288"/>
      <c r="G53" s="288"/>
      <c r="H53" s="408"/>
    </row>
    <row r="54" spans="1:8" ht="15" x14ac:dyDescent="0.2">
      <c r="A54" s="550">
        <f t="shared" si="0"/>
        <v>37</v>
      </c>
      <c r="B54" s="590" t="s">
        <v>296</v>
      </c>
      <c r="C54" s="288"/>
      <c r="D54" s="288"/>
      <c r="E54" s="288"/>
      <c r="F54" s="288"/>
      <c r="G54" s="288"/>
      <c r="H54" s="408"/>
    </row>
    <row r="55" spans="1:8" ht="15" x14ac:dyDescent="0.2">
      <c r="A55" s="550">
        <f t="shared" si="0"/>
        <v>38</v>
      </c>
      <c r="B55" s="590" t="s">
        <v>1537</v>
      </c>
      <c r="C55" s="288"/>
      <c r="D55" s="288"/>
      <c r="E55" s="288"/>
      <c r="F55" s="288"/>
      <c r="G55" s="288"/>
      <c r="H55" s="408"/>
    </row>
    <row r="56" spans="1:8" s="1128" customFormat="1" ht="30" x14ac:dyDescent="0.2">
      <c r="A56" s="550">
        <f t="shared" si="0"/>
        <v>39</v>
      </c>
      <c r="B56" s="318" t="s">
        <v>1536</v>
      </c>
      <c r="C56" s="332"/>
      <c r="D56" s="332"/>
      <c r="E56" s="332"/>
      <c r="F56" s="332"/>
      <c r="G56" s="332"/>
      <c r="H56" s="318"/>
    </row>
    <row r="57" spans="1:8" ht="30" x14ac:dyDescent="0.2">
      <c r="A57" s="550">
        <f t="shared" si="0"/>
        <v>40</v>
      </c>
      <c r="B57" s="409" t="s">
        <v>1535</v>
      </c>
      <c r="C57" s="288"/>
      <c r="D57" s="288"/>
      <c r="E57" s="288"/>
      <c r="F57" s="288"/>
      <c r="G57" s="288"/>
      <c r="H57" s="1141"/>
    </row>
    <row r="58" spans="1:8" ht="30" x14ac:dyDescent="0.2">
      <c r="A58" s="550">
        <f t="shared" si="0"/>
        <v>41</v>
      </c>
      <c r="B58" s="409" t="s">
        <v>1534</v>
      </c>
      <c r="C58" s="288"/>
      <c r="D58" s="288"/>
      <c r="E58" s="288"/>
      <c r="F58" s="288"/>
      <c r="G58" s="288"/>
      <c r="H58" s="1141"/>
    </row>
    <row r="59" spans="1:8" ht="30" x14ac:dyDescent="0.2">
      <c r="A59" s="550">
        <f t="shared" si="0"/>
        <v>42</v>
      </c>
      <c r="B59" s="409" t="s">
        <v>1533</v>
      </c>
      <c r="C59" s="288"/>
      <c r="D59" s="288"/>
      <c r="E59" s="288"/>
      <c r="F59" s="288"/>
      <c r="G59" s="288"/>
      <c r="H59" s="1141"/>
    </row>
    <row r="60" spans="1:8" ht="30" x14ac:dyDescent="0.2">
      <c r="A60" s="550">
        <f t="shared" si="0"/>
        <v>43</v>
      </c>
      <c r="B60" s="378" t="s">
        <v>1532</v>
      </c>
      <c r="C60" s="334"/>
      <c r="D60" s="334"/>
      <c r="E60" s="334"/>
      <c r="F60" s="334"/>
      <c r="G60" s="334"/>
      <c r="H60" s="1141"/>
    </row>
    <row r="61" spans="1:8" ht="30" x14ac:dyDescent="0.2">
      <c r="A61" s="550">
        <f t="shared" si="0"/>
        <v>44</v>
      </c>
      <c r="B61" s="408" t="s">
        <v>1531</v>
      </c>
      <c r="C61" s="288"/>
      <c r="D61" s="288"/>
      <c r="E61" s="288"/>
      <c r="F61" s="288"/>
      <c r="G61" s="288"/>
      <c r="H61" s="1141"/>
    </row>
    <row r="62" spans="1:8" ht="30" x14ac:dyDescent="0.2">
      <c r="A62" s="550">
        <f t="shared" si="0"/>
        <v>45</v>
      </c>
      <c r="B62" s="408" t="s">
        <v>1530</v>
      </c>
      <c r="C62" s="558"/>
      <c r="D62" s="591"/>
      <c r="E62" s="591"/>
      <c r="F62" s="591"/>
      <c r="G62" s="591"/>
      <c r="H62" s="1141"/>
    </row>
    <row r="63" spans="1:8" ht="15" x14ac:dyDescent="0.2">
      <c r="A63" s="550">
        <f t="shared" si="0"/>
        <v>46</v>
      </c>
      <c r="B63" s="592" t="s">
        <v>1529</v>
      </c>
      <c r="C63" s="324"/>
      <c r="D63" s="324"/>
      <c r="E63" s="324"/>
      <c r="F63" s="324"/>
      <c r="G63" s="324"/>
      <c r="H63" s="1141"/>
    </row>
    <row r="64" spans="1:8" ht="15" x14ac:dyDescent="0.2">
      <c r="A64" s="550">
        <f t="shared" si="0"/>
        <v>47</v>
      </c>
      <c r="B64" s="592" t="s">
        <v>1528</v>
      </c>
      <c r="C64" s="324"/>
      <c r="D64" s="324"/>
      <c r="E64" s="324"/>
      <c r="F64" s="324"/>
      <c r="G64" s="324"/>
      <c r="H64" s="1141"/>
    </row>
    <row r="65" spans="1:8" ht="15" x14ac:dyDescent="0.2">
      <c r="A65" s="550">
        <f t="shared" si="0"/>
        <v>48</v>
      </c>
      <c r="B65" s="592" t="s">
        <v>1527</v>
      </c>
      <c r="C65" s="324"/>
      <c r="D65" s="324"/>
      <c r="E65" s="324"/>
      <c r="F65" s="324"/>
      <c r="G65" s="324"/>
      <c r="H65" s="1141"/>
    </row>
    <row r="66" spans="1:8" s="1128" customFormat="1" ht="15" x14ac:dyDescent="0.2">
      <c r="A66" s="550">
        <f t="shared" si="0"/>
        <v>49</v>
      </c>
      <c r="B66" s="592" t="s">
        <v>1526</v>
      </c>
      <c r="C66" s="324"/>
      <c r="D66" s="324"/>
      <c r="E66" s="324"/>
      <c r="F66" s="324"/>
      <c r="G66" s="324"/>
      <c r="H66" s="1141"/>
    </row>
    <row r="67" spans="1:8" ht="15" x14ac:dyDescent="0.2">
      <c r="A67" s="550">
        <f t="shared" si="0"/>
        <v>50</v>
      </c>
      <c r="B67" s="593" t="s">
        <v>1525</v>
      </c>
      <c r="C67" s="324"/>
      <c r="D67" s="324"/>
      <c r="E67" s="324"/>
      <c r="F67" s="324"/>
      <c r="G67" s="324"/>
      <c r="H67" s="1141"/>
    </row>
    <row r="68" spans="1:8" ht="15" x14ac:dyDescent="0.2">
      <c r="A68" s="550">
        <f t="shared" si="0"/>
        <v>51</v>
      </c>
      <c r="B68" s="592" t="s">
        <v>190</v>
      </c>
      <c r="C68" s="324"/>
      <c r="D68" s="324"/>
      <c r="E68" s="324"/>
      <c r="F68" s="324"/>
      <c r="G68" s="324"/>
      <c r="H68" s="1141"/>
    </row>
    <row r="69" spans="1:8" ht="15" x14ac:dyDescent="0.2">
      <c r="A69" s="550">
        <f t="shared" si="0"/>
        <v>52</v>
      </c>
      <c r="B69" s="592" t="s">
        <v>1524</v>
      </c>
      <c r="C69" s="324"/>
      <c r="D69" s="324"/>
      <c r="E69" s="324"/>
      <c r="F69" s="324"/>
      <c r="G69" s="324"/>
      <c r="H69" s="1141"/>
    </row>
    <row r="70" spans="1:8" ht="15" x14ac:dyDescent="0.2">
      <c r="A70" s="550">
        <f t="shared" si="0"/>
        <v>53</v>
      </c>
      <c r="B70" s="590" t="s">
        <v>1523</v>
      </c>
      <c r="C70" s="288"/>
      <c r="D70" s="288"/>
      <c r="E70" s="288"/>
      <c r="F70" s="288"/>
      <c r="G70" s="288"/>
      <c r="H70" s="1141"/>
    </row>
    <row r="71" spans="1:8" ht="15" x14ac:dyDescent="0.2">
      <c r="A71" s="550">
        <f t="shared" si="0"/>
        <v>54</v>
      </c>
      <c r="B71" s="590" t="s">
        <v>512</v>
      </c>
      <c r="C71" s="553"/>
      <c r="D71" s="553"/>
      <c r="E71" s="553"/>
      <c r="F71" s="553"/>
      <c r="G71" s="553"/>
      <c r="H71" s="1141"/>
    </row>
    <row r="72" spans="1:8" ht="15" x14ac:dyDescent="0.25">
      <c r="A72" s="550">
        <f t="shared" si="0"/>
        <v>55</v>
      </c>
      <c r="B72" s="590" t="s">
        <v>712</v>
      </c>
      <c r="C72" s="553"/>
      <c r="D72" s="553"/>
      <c r="E72" s="553"/>
      <c r="F72" s="553"/>
      <c r="G72" s="553"/>
      <c r="H72" s="1142"/>
    </row>
    <row r="73" spans="1:8" ht="30" x14ac:dyDescent="0.25">
      <c r="A73" s="550">
        <f t="shared" si="0"/>
        <v>56</v>
      </c>
      <c r="B73" s="559" t="s">
        <v>1522</v>
      </c>
      <c r="C73" s="349"/>
      <c r="D73" s="324"/>
      <c r="E73" s="324"/>
      <c r="F73" s="324"/>
      <c r="G73" s="324"/>
      <c r="H73" s="1142"/>
    </row>
    <row r="74" spans="1:8" ht="30" x14ac:dyDescent="0.25">
      <c r="A74" s="550">
        <f t="shared" si="0"/>
        <v>57</v>
      </c>
      <c r="B74" s="409" t="s">
        <v>1521</v>
      </c>
      <c r="C74" s="288"/>
      <c r="D74" s="288"/>
      <c r="E74" s="288"/>
      <c r="F74" s="288"/>
      <c r="G74" s="288"/>
      <c r="H74" s="1142"/>
    </row>
    <row r="75" spans="1:8" s="1128" customFormat="1" ht="45" x14ac:dyDescent="0.25">
      <c r="A75" s="550">
        <f t="shared" si="0"/>
        <v>58</v>
      </c>
      <c r="B75" s="559" t="s">
        <v>1520</v>
      </c>
      <c r="C75" s="558"/>
      <c r="D75" s="591"/>
      <c r="E75" s="591"/>
      <c r="F75" s="591"/>
      <c r="G75" s="591"/>
      <c r="H75" s="1142"/>
    </row>
    <row r="76" spans="1:8" s="1128" customFormat="1" ht="15" x14ac:dyDescent="0.25">
      <c r="A76" s="550">
        <f t="shared" si="0"/>
        <v>59</v>
      </c>
      <c r="B76" s="592" t="s">
        <v>236</v>
      </c>
      <c r="C76" s="324"/>
      <c r="D76" s="324"/>
      <c r="E76" s="324"/>
      <c r="F76" s="324"/>
      <c r="G76" s="324"/>
      <c r="H76" s="1142"/>
    </row>
    <row r="77" spans="1:8" s="1128" customFormat="1" ht="15" x14ac:dyDescent="0.25">
      <c r="A77" s="550">
        <f t="shared" si="0"/>
        <v>60</v>
      </c>
      <c r="B77" s="592" t="s">
        <v>21</v>
      </c>
      <c r="C77" s="324"/>
      <c r="D77" s="324"/>
      <c r="E77" s="324"/>
      <c r="F77" s="324"/>
      <c r="G77" s="324"/>
      <c r="H77" s="1142"/>
    </row>
    <row r="78" spans="1:8" s="1128" customFormat="1" ht="15" x14ac:dyDescent="0.25">
      <c r="A78" s="550">
        <f t="shared" si="0"/>
        <v>61</v>
      </c>
      <c r="B78" s="592" t="s">
        <v>1519</v>
      </c>
      <c r="C78" s="324"/>
      <c r="D78" s="324"/>
      <c r="E78" s="324"/>
      <c r="F78" s="324"/>
      <c r="G78" s="324"/>
      <c r="H78" s="1142"/>
    </row>
    <row r="79" spans="1:8" s="1128" customFormat="1" ht="15" x14ac:dyDescent="0.25">
      <c r="A79" s="550">
        <f t="shared" si="0"/>
        <v>62</v>
      </c>
      <c r="B79" s="592" t="s">
        <v>1518</v>
      </c>
      <c r="C79" s="324"/>
      <c r="D79" s="324"/>
      <c r="E79" s="324"/>
      <c r="F79" s="324"/>
      <c r="G79" s="324"/>
      <c r="H79" s="1142"/>
    </row>
    <row r="80" spans="1:8" s="1128" customFormat="1" ht="15" x14ac:dyDescent="0.25">
      <c r="A80" s="550">
        <f t="shared" si="0"/>
        <v>63</v>
      </c>
      <c r="B80" s="592" t="s">
        <v>1517</v>
      </c>
      <c r="C80" s="324"/>
      <c r="D80" s="324"/>
      <c r="E80" s="324"/>
      <c r="F80" s="324"/>
      <c r="G80" s="324"/>
      <c r="H80" s="1142"/>
    </row>
    <row r="81" spans="1:8" s="1128" customFormat="1" ht="15" x14ac:dyDescent="0.25">
      <c r="A81" s="550">
        <f t="shared" si="0"/>
        <v>64</v>
      </c>
      <c r="B81" s="592" t="s">
        <v>1516</v>
      </c>
      <c r="C81" s="324"/>
      <c r="D81" s="324"/>
      <c r="E81" s="324"/>
      <c r="F81" s="324"/>
      <c r="G81" s="324"/>
      <c r="H81" s="1142"/>
    </row>
    <row r="82" spans="1:8" s="1128" customFormat="1" ht="15" x14ac:dyDescent="0.25">
      <c r="A82" s="550">
        <f t="shared" si="0"/>
        <v>65</v>
      </c>
      <c r="B82" s="592" t="s">
        <v>1515</v>
      </c>
      <c r="C82" s="324"/>
      <c r="D82" s="324"/>
      <c r="E82" s="324"/>
      <c r="F82" s="324"/>
      <c r="G82" s="324"/>
      <c r="H82" s="1142"/>
    </row>
    <row r="83" spans="1:8" s="1128" customFormat="1" ht="15" x14ac:dyDescent="0.25">
      <c r="A83" s="550">
        <f t="shared" si="0"/>
        <v>66</v>
      </c>
      <c r="B83" s="592" t="s">
        <v>425</v>
      </c>
      <c r="C83" s="324"/>
      <c r="D83" s="324"/>
      <c r="E83" s="324"/>
      <c r="F83" s="324"/>
      <c r="G83" s="324"/>
      <c r="H83" s="1142"/>
    </row>
    <row r="84" spans="1:8" s="1128" customFormat="1" ht="15" x14ac:dyDescent="0.25">
      <c r="A84" s="550">
        <f t="shared" ref="A84:A147" si="1">A83+1</f>
        <v>67</v>
      </c>
      <c r="B84" s="592" t="s">
        <v>1514</v>
      </c>
      <c r="C84" s="324"/>
      <c r="D84" s="324"/>
      <c r="E84" s="324"/>
      <c r="F84" s="324"/>
      <c r="G84" s="324"/>
      <c r="H84" s="1142"/>
    </row>
    <row r="85" spans="1:8" s="1128" customFormat="1" ht="15" x14ac:dyDescent="0.25">
      <c r="A85" s="550">
        <f t="shared" si="1"/>
        <v>68</v>
      </c>
      <c r="B85" s="592" t="s">
        <v>1513</v>
      </c>
      <c r="C85" s="324"/>
      <c r="D85" s="324"/>
      <c r="E85" s="324"/>
      <c r="F85" s="324"/>
      <c r="G85" s="324"/>
      <c r="H85" s="1142"/>
    </row>
    <row r="86" spans="1:8" s="1128" customFormat="1" ht="15" x14ac:dyDescent="0.25">
      <c r="A86" s="550">
        <f t="shared" si="1"/>
        <v>69</v>
      </c>
      <c r="B86" s="592" t="s">
        <v>1512</v>
      </c>
      <c r="C86" s="324"/>
      <c r="D86" s="324"/>
      <c r="E86" s="324"/>
      <c r="F86" s="324"/>
      <c r="G86" s="324"/>
      <c r="H86" s="1142"/>
    </row>
    <row r="87" spans="1:8" s="1128" customFormat="1" ht="30" x14ac:dyDescent="0.25">
      <c r="A87" s="550">
        <f t="shared" si="1"/>
        <v>70</v>
      </c>
      <c r="B87" s="559" t="s">
        <v>1511</v>
      </c>
      <c r="C87" s="324"/>
      <c r="D87" s="324"/>
      <c r="E87" s="324"/>
      <c r="F87" s="324"/>
      <c r="G87" s="324"/>
      <c r="H87" s="1142"/>
    </row>
    <row r="88" spans="1:8" s="1128" customFormat="1" ht="15" x14ac:dyDescent="0.25">
      <c r="A88" s="550">
        <f t="shared" si="1"/>
        <v>71</v>
      </c>
      <c r="B88" s="559" t="s">
        <v>1510</v>
      </c>
      <c r="C88" s="324"/>
      <c r="D88" s="324"/>
      <c r="E88" s="324"/>
      <c r="F88" s="324"/>
      <c r="G88" s="324"/>
      <c r="H88" s="1142"/>
    </row>
    <row r="89" spans="1:8" ht="15" x14ac:dyDescent="0.25">
      <c r="A89" s="550">
        <f t="shared" si="1"/>
        <v>72</v>
      </c>
      <c r="B89" s="565" t="s">
        <v>1509</v>
      </c>
      <c r="C89" s="565"/>
      <c r="D89" s="565"/>
      <c r="E89" s="565"/>
      <c r="F89" s="565"/>
      <c r="G89" s="565"/>
      <c r="H89" s="1144"/>
    </row>
    <row r="90" spans="1:8" ht="15" x14ac:dyDescent="0.25">
      <c r="A90" s="550">
        <f t="shared" si="1"/>
        <v>73</v>
      </c>
      <c r="B90" s="408" t="s">
        <v>1508</v>
      </c>
      <c r="C90" s="288"/>
      <c r="D90" s="288"/>
      <c r="E90" s="288"/>
      <c r="F90" s="288"/>
      <c r="G90" s="288"/>
      <c r="H90" s="1142"/>
    </row>
    <row r="91" spans="1:8" ht="15" x14ac:dyDescent="0.25">
      <c r="A91" s="550">
        <f t="shared" si="1"/>
        <v>74</v>
      </c>
      <c r="B91" s="408" t="s">
        <v>1507</v>
      </c>
      <c r="C91" s="558"/>
      <c r="D91" s="591"/>
      <c r="E91" s="591"/>
      <c r="F91" s="591"/>
      <c r="G91" s="591"/>
      <c r="H91" s="1142"/>
    </row>
    <row r="92" spans="1:8" ht="15" x14ac:dyDescent="0.25">
      <c r="A92" s="550">
        <f t="shared" si="1"/>
        <v>75</v>
      </c>
      <c r="B92" s="554" t="s">
        <v>1506</v>
      </c>
      <c r="C92" s="349"/>
      <c r="D92" s="324"/>
      <c r="E92" s="324"/>
      <c r="F92" s="324"/>
      <c r="G92" s="324"/>
      <c r="H92" s="1142"/>
    </row>
    <row r="93" spans="1:8" ht="15" x14ac:dyDescent="0.25">
      <c r="A93" s="550">
        <f t="shared" si="1"/>
        <v>76</v>
      </c>
      <c r="B93" s="554" t="s">
        <v>1505</v>
      </c>
      <c r="C93" s="349"/>
      <c r="D93" s="324"/>
      <c r="E93" s="324"/>
      <c r="F93" s="324"/>
      <c r="G93" s="324"/>
      <c r="H93" s="1142"/>
    </row>
    <row r="94" spans="1:8" s="1128" customFormat="1" ht="45" x14ac:dyDescent="0.25">
      <c r="A94" s="550">
        <f t="shared" si="1"/>
        <v>77</v>
      </c>
      <c r="B94" s="522" t="s">
        <v>1504</v>
      </c>
      <c r="C94" s="324"/>
      <c r="D94" s="324"/>
      <c r="E94" s="324"/>
      <c r="F94" s="324"/>
      <c r="G94" s="324"/>
      <c r="H94" s="1142"/>
    </row>
    <row r="95" spans="1:8" ht="15" x14ac:dyDescent="0.25">
      <c r="A95" s="550">
        <f t="shared" si="1"/>
        <v>78</v>
      </c>
      <c r="B95" s="565" t="s">
        <v>1503</v>
      </c>
      <c r="C95" s="565"/>
      <c r="D95" s="565"/>
      <c r="E95" s="565"/>
      <c r="F95" s="565"/>
      <c r="G95" s="565"/>
      <c r="H95" s="1144"/>
    </row>
    <row r="96" spans="1:8" ht="30" x14ac:dyDescent="0.25">
      <c r="A96" s="550">
        <f t="shared" si="1"/>
        <v>79</v>
      </c>
      <c r="B96" s="409" t="s">
        <v>1502</v>
      </c>
      <c r="C96" s="288"/>
      <c r="D96" s="288"/>
      <c r="E96" s="288"/>
      <c r="F96" s="288"/>
      <c r="G96" s="288"/>
      <c r="H96" s="1142"/>
    </row>
    <row r="97" spans="1:59" ht="30" x14ac:dyDescent="0.25">
      <c r="A97" s="550">
        <f t="shared" si="1"/>
        <v>80</v>
      </c>
      <c r="B97" s="409" t="s">
        <v>1501</v>
      </c>
      <c r="C97" s="558"/>
      <c r="D97" s="558"/>
      <c r="E97" s="558"/>
      <c r="F97" s="558"/>
      <c r="G97" s="558"/>
      <c r="H97" s="1142"/>
    </row>
    <row r="98" spans="1:59" ht="15" x14ac:dyDescent="0.25">
      <c r="A98" s="550">
        <f t="shared" si="1"/>
        <v>81</v>
      </c>
      <c r="B98" s="590" t="s">
        <v>619</v>
      </c>
      <c r="C98" s="288"/>
      <c r="D98" s="288"/>
      <c r="E98" s="288"/>
      <c r="F98" s="288"/>
      <c r="G98" s="288"/>
      <c r="H98" s="1142"/>
    </row>
    <row r="99" spans="1:59" ht="15" x14ac:dyDescent="0.25">
      <c r="A99" s="550">
        <f t="shared" si="1"/>
        <v>82</v>
      </c>
      <c r="B99" s="590" t="s">
        <v>1500</v>
      </c>
      <c r="C99" s="288"/>
      <c r="D99" s="288"/>
      <c r="E99" s="288"/>
      <c r="F99" s="288"/>
      <c r="G99" s="288"/>
      <c r="H99" s="1142"/>
    </row>
    <row r="100" spans="1:59" ht="15" x14ac:dyDescent="0.25">
      <c r="A100" s="550">
        <f t="shared" si="1"/>
        <v>83</v>
      </c>
      <c r="B100" s="590" t="s">
        <v>1499</v>
      </c>
      <c r="C100" s="288"/>
      <c r="D100" s="288"/>
      <c r="E100" s="288"/>
      <c r="F100" s="288"/>
      <c r="G100" s="288"/>
      <c r="H100" s="1142"/>
    </row>
    <row r="101" spans="1:59" ht="15" x14ac:dyDescent="0.25">
      <c r="A101" s="550">
        <f t="shared" si="1"/>
        <v>84</v>
      </c>
      <c r="B101" s="590" t="s">
        <v>21</v>
      </c>
      <c r="C101" s="288"/>
      <c r="D101" s="288"/>
      <c r="E101" s="288"/>
      <c r="F101" s="288"/>
      <c r="G101" s="288"/>
      <c r="H101" s="1142"/>
    </row>
    <row r="102" spans="1:59" ht="15" x14ac:dyDescent="0.25">
      <c r="A102" s="550">
        <f t="shared" si="1"/>
        <v>85</v>
      </c>
      <c r="B102" s="590" t="s">
        <v>20</v>
      </c>
      <c r="C102" s="288"/>
      <c r="D102" s="288"/>
      <c r="E102" s="288"/>
      <c r="F102" s="288"/>
      <c r="G102" s="288"/>
      <c r="H102" s="1142"/>
    </row>
    <row r="103" spans="1:59" ht="30" x14ac:dyDescent="0.25">
      <c r="A103" s="550">
        <f t="shared" si="1"/>
        <v>86</v>
      </c>
      <c r="B103" s="573" t="s">
        <v>1498</v>
      </c>
      <c r="C103" s="288"/>
      <c r="D103" s="288"/>
      <c r="E103" s="288"/>
      <c r="F103" s="288"/>
      <c r="G103" s="288"/>
      <c r="H103" s="1142"/>
    </row>
    <row r="104" spans="1:59" s="1128" customFormat="1" ht="75" x14ac:dyDescent="0.25">
      <c r="A104" s="550">
        <f t="shared" si="1"/>
        <v>87</v>
      </c>
      <c r="B104" s="522" t="s">
        <v>1497</v>
      </c>
      <c r="C104" s="324"/>
      <c r="D104" s="324"/>
      <c r="E104" s="324"/>
      <c r="F104" s="324"/>
      <c r="G104" s="324"/>
      <c r="H104" s="1142"/>
    </row>
    <row r="105" spans="1:59" s="556" customFormat="1" ht="30" x14ac:dyDescent="0.25">
      <c r="A105" s="550">
        <f t="shared" si="1"/>
        <v>88</v>
      </c>
      <c r="B105" s="559" t="s">
        <v>1496</v>
      </c>
      <c r="C105" s="324"/>
      <c r="D105" s="324"/>
      <c r="E105" s="324"/>
      <c r="F105" s="324"/>
      <c r="G105" s="324"/>
      <c r="H105" s="1142"/>
      <c r="I105" s="1128"/>
      <c r="J105" s="1128"/>
      <c r="K105" s="1128"/>
      <c r="L105" s="1128"/>
      <c r="M105" s="1128"/>
      <c r="N105" s="1128"/>
      <c r="O105" s="1128"/>
      <c r="P105" s="1128"/>
      <c r="Q105" s="1128"/>
      <c r="R105" s="1128"/>
      <c r="S105" s="1128"/>
      <c r="T105" s="1128"/>
      <c r="U105" s="1128"/>
      <c r="V105" s="1128"/>
      <c r="W105" s="1128"/>
      <c r="X105" s="1128"/>
      <c r="Y105" s="1128"/>
      <c r="Z105" s="1128"/>
      <c r="AA105" s="1128"/>
      <c r="AB105" s="1128"/>
      <c r="AC105" s="1128"/>
      <c r="AD105" s="1128"/>
      <c r="AE105" s="1128"/>
      <c r="AF105" s="1128"/>
      <c r="AG105" s="1128"/>
      <c r="AH105" s="1128"/>
      <c r="AI105" s="1128"/>
      <c r="AJ105" s="1128"/>
      <c r="AK105" s="1128"/>
      <c r="AL105" s="1128"/>
      <c r="AM105" s="1128"/>
      <c r="AN105" s="1128"/>
      <c r="AO105" s="1128"/>
      <c r="AP105" s="1128"/>
      <c r="AQ105" s="1128"/>
      <c r="AR105" s="1128"/>
      <c r="AS105" s="1128"/>
      <c r="AT105" s="1128"/>
      <c r="AU105" s="1128"/>
      <c r="AV105" s="1128"/>
      <c r="AW105" s="1128"/>
      <c r="AX105" s="1128"/>
      <c r="AY105" s="1128"/>
      <c r="AZ105" s="1128"/>
      <c r="BA105" s="1128"/>
      <c r="BB105" s="1128"/>
      <c r="BC105" s="1128"/>
      <c r="BD105" s="1128"/>
      <c r="BE105" s="1128"/>
      <c r="BF105" s="1128"/>
      <c r="BG105" s="1128"/>
    </row>
    <row r="106" spans="1:59" s="556" customFormat="1" ht="30" x14ac:dyDescent="0.25">
      <c r="A106" s="550">
        <f t="shared" si="1"/>
        <v>89</v>
      </c>
      <c r="B106" s="559" t="s">
        <v>1495</v>
      </c>
      <c r="C106" s="324"/>
      <c r="D106" s="324"/>
      <c r="E106" s="324"/>
      <c r="F106" s="324"/>
      <c r="G106" s="324"/>
      <c r="H106" s="1142"/>
      <c r="I106" s="1128"/>
      <c r="J106" s="1128"/>
      <c r="K106" s="1128"/>
      <c r="L106" s="1128"/>
      <c r="M106" s="1128"/>
      <c r="N106" s="1128"/>
      <c r="O106" s="1128"/>
      <c r="P106" s="1128"/>
      <c r="Q106" s="1128"/>
      <c r="R106" s="1128"/>
      <c r="S106" s="1128"/>
      <c r="T106" s="1128"/>
      <c r="U106" s="1128"/>
      <c r="V106" s="1128"/>
      <c r="W106" s="1128"/>
      <c r="X106" s="1128"/>
      <c r="Y106" s="1128"/>
      <c r="Z106" s="1128"/>
      <c r="AA106" s="1128"/>
      <c r="AB106" s="1128"/>
      <c r="AC106" s="1128"/>
      <c r="AD106" s="1128"/>
      <c r="AE106" s="1128"/>
      <c r="AF106" s="1128"/>
      <c r="AG106" s="1128"/>
      <c r="AH106" s="1128"/>
      <c r="AI106" s="1128"/>
      <c r="AJ106" s="1128"/>
      <c r="AK106" s="1128"/>
      <c r="AL106" s="1128"/>
      <c r="AM106" s="1128"/>
      <c r="AN106" s="1128"/>
      <c r="AO106" s="1128"/>
      <c r="AP106" s="1128"/>
      <c r="AQ106" s="1128"/>
      <c r="AR106" s="1128"/>
      <c r="AS106" s="1128"/>
      <c r="AT106" s="1128"/>
      <c r="AU106" s="1128"/>
      <c r="AV106" s="1128"/>
      <c r="AW106" s="1128"/>
      <c r="AX106" s="1128"/>
      <c r="AY106" s="1128"/>
      <c r="AZ106" s="1128"/>
      <c r="BA106" s="1128"/>
      <c r="BB106" s="1128"/>
      <c r="BC106" s="1128"/>
      <c r="BD106" s="1128"/>
      <c r="BE106" s="1128"/>
      <c r="BF106" s="1128"/>
      <c r="BG106" s="1128"/>
    </row>
    <row r="107" spans="1:59" s="1128" customFormat="1" ht="30" x14ac:dyDescent="0.25">
      <c r="A107" s="550">
        <f t="shared" si="1"/>
        <v>90</v>
      </c>
      <c r="B107" s="522" t="s">
        <v>1494</v>
      </c>
      <c r="C107" s="324"/>
      <c r="D107" s="324"/>
      <c r="E107" s="324"/>
      <c r="F107" s="324"/>
      <c r="G107" s="324"/>
      <c r="H107" s="1142"/>
    </row>
    <row r="108" spans="1:59" ht="45" x14ac:dyDescent="0.25">
      <c r="A108" s="550">
        <f t="shared" si="1"/>
        <v>91</v>
      </c>
      <c r="B108" s="573" t="s">
        <v>1493</v>
      </c>
      <c r="C108" s="288"/>
      <c r="D108" s="288"/>
      <c r="E108" s="288"/>
      <c r="F108" s="288"/>
      <c r="G108" s="288"/>
      <c r="H108" s="1142"/>
    </row>
    <row r="109" spans="1:59" ht="60" x14ac:dyDescent="0.25">
      <c r="A109" s="550">
        <f t="shared" si="1"/>
        <v>92</v>
      </c>
      <c r="B109" s="573" t="s">
        <v>1492</v>
      </c>
      <c r="C109" s="288"/>
      <c r="D109" s="288"/>
      <c r="E109" s="288"/>
      <c r="F109" s="288"/>
      <c r="G109" s="288"/>
      <c r="H109" s="1142"/>
    </row>
    <row r="110" spans="1:59" ht="30" x14ac:dyDescent="0.25">
      <c r="A110" s="550">
        <f t="shared" si="1"/>
        <v>93</v>
      </c>
      <c r="B110" s="573" t="s">
        <v>1491</v>
      </c>
      <c r="C110" s="288"/>
      <c r="D110" s="288"/>
      <c r="E110" s="288"/>
      <c r="F110" s="288"/>
      <c r="G110" s="288"/>
      <c r="H110" s="1142"/>
    </row>
    <row r="111" spans="1:59" ht="30" x14ac:dyDescent="0.25">
      <c r="A111" s="550">
        <f t="shared" si="1"/>
        <v>94</v>
      </c>
      <c r="B111" s="405" t="s">
        <v>1490</v>
      </c>
      <c r="C111" s="288"/>
      <c r="D111" s="288"/>
      <c r="E111" s="288"/>
      <c r="F111" s="288"/>
      <c r="G111" s="288"/>
      <c r="H111" s="1142"/>
    </row>
    <row r="112" spans="1:59" s="556" customFormat="1" ht="30" x14ac:dyDescent="0.25">
      <c r="A112" s="550">
        <f t="shared" si="1"/>
        <v>95</v>
      </c>
      <c r="B112" s="521" t="s">
        <v>1489</v>
      </c>
      <c r="C112" s="324"/>
      <c r="D112" s="324"/>
      <c r="E112" s="324"/>
      <c r="F112" s="324"/>
      <c r="G112" s="324"/>
      <c r="H112" s="1142"/>
      <c r="I112" s="1128"/>
      <c r="J112" s="1128"/>
      <c r="K112" s="1128"/>
      <c r="L112" s="1128"/>
      <c r="M112" s="1128"/>
      <c r="N112" s="1128"/>
      <c r="O112" s="1128"/>
      <c r="P112" s="1128"/>
      <c r="Q112" s="1128"/>
      <c r="R112" s="1128"/>
      <c r="S112" s="1128"/>
      <c r="T112" s="1128"/>
      <c r="U112" s="1128"/>
      <c r="V112" s="1128"/>
      <c r="W112" s="1128"/>
      <c r="X112" s="1128"/>
      <c r="Y112" s="1128"/>
      <c r="Z112" s="1128"/>
      <c r="AA112" s="1128"/>
      <c r="AB112" s="1128"/>
      <c r="AC112" s="1128"/>
      <c r="AD112" s="1128"/>
      <c r="AE112" s="1128"/>
      <c r="AF112" s="1128"/>
      <c r="AG112" s="1128"/>
      <c r="AH112" s="1128"/>
      <c r="AI112" s="1128"/>
      <c r="AJ112" s="1128"/>
      <c r="AK112" s="1128"/>
      <c r="AL112" s="1128"/>
      <c r="AM112" s="1128"/>
      <c r="AN112" s="1128"/>
      <c r="AO112" s="1128"/>
      <c r="AP112" s="1128"/>
      <c r="AQ112" s="1128"/>
      <c r="AR112" s="1128"/>
      <c r="AS112" s="1128"/>
      <c r="AT112" s="1128"/>
      <c r="AU112" s="1128"/>
      <c r="AV112" s="1128"/>
      <c r="AW112" s="1128"/>
      <c r="AX112" s="1128"/>
      <c r="AY112" s="1128"/>
      <c r="AZ112" s="1128"/>
      <c r="BA112" s="1128"/>
      <c r="BB112" s="1128"/>
      <c r="BC112" s="1128"/>
      <c r="BD112" s="1128"/>
      <c r="BE112" s="1128"/>
      <c r="BF112" s="1128"/>
      <c r="BG112" s="1128"/>
    </row>
    <row r="113" spans="1:8" ht="15" x14ac:dyDescent="0.25">
      <c r="A113" s="550">
        <f t="shared" si="1"/>
        <v>96</v>
      </c>
      <c r="B113" s="565" t="s">
        <v>1488</v>
      </c>
      <c r="C113" s="565"/>
      <c r="D113" s="565"/>
      <c r="E113" s="565"/>
      <c r="F113" s="565"/>
      <c r="G113" s="565"/>
      <c r="H113" s="1144"/>
    </row>
    <row r="114" spans="1:8" ht="15" x14ac:dyDescent="0.25">
      <c r="A114" s="550">
        <f t="shared" si="1"/>
        <v>97</v>
      </c>
      <c r="B114" s="573" t="s">
        <v>1487</v>
      </c>
      <c r="C114" s="288"/>
      <c r="D114" s="288"/>
      <c r="E114" s="288"/>
      <c r="F114" s="288"/>
      <c r="G114" s="288"/>
      <c r="H114" s="1142"/>
    </row>
    <row r="115" spans="1:8" ht="30" x14ac:dyDescent="0.25">
      <c r="A115" s="550">
        <f t="shared" si="1"/>
        <v>98</v>
      </c>
      <c r="B115" s="354" t="s">
        <v>1486</v>
      </c>
      <c r="C115" s="334"/>
      <c r="D115" s="334"/>
      <c r="E115" s="334"/>
      <c r="F115" s="334"/>
      <c r="G115" s="334"/>
      <c r="H115" s="430"/>
    </row>
    <row r="116" spans="1:8" s="1128" customFormat="1" ht="30" x14ac:dyDescent="0.25">
      <c r="A116" s="550">
        <f t="shared" si="1"/>
        <v>99</v>
      </c>
      <c r="B116" s="357" t="s">
        <v>1485</v>
      </c>
      <c r="C116" s="332"/>
      <c r="D116" s="332"/>
      <c r="E116" s="332"/>
      <c r="F116" s="332"/>
      <c r="G116" s="332"/>
      <c r="H116" s="430"/>
    </row>
    <row r="117" spans="1:8" s="1128" customFormat="1" ht="45" x14ac:dyDescent="0.25">
      <c r="A117" s="550">
        <f t="shared" si="1"/>
        <v>100</v>
      </c>
      <c r="B117" s="350" t="s">
        <v>1484</v>
      </c>
      <c r="C117" s="349"/>
      <c r="D117" s="349"/>
      <c r="E117" s="349"/>
      <c r="F117" s="349"/>
      <c r="G117" s="349"/>
      <c r="H117" s="430"/>
    </row>
    <row r="118" spans="1:8" s="1128" customFormat="1" ht="30" x14ac:dyDescent="0.2">
      <c r="A118" s="550">
        <f t="shared" si="1"/>
        <v>101</v>
      </c>
      <c r="B118" s="350" t="s">
        <v>1483</v>
      </c>
      <c r="C118" s="349"/>
      <c r="D118" s="349"/>
      <c r="E118" s="349"/>
      <c r="F118" s="349"/>
      <c r="G118" s="349"/>
      <c r="H118" s="350"/>
    </row>
    <row r="119" spans="1:8" s="1128" customFormat="1" ht="30" x14ac:dyDescent="0.2">
      <c r="A119" s="550">
        <f t="shared" si="1"/>
        <v>102</v>
      </c>
      <c r="B119" s="350" t="s">
        <v>1482</v>
      </c>
      <c r="C119" s="349"/>
      <c r="D119" s="349"/>
      <c r="E119" s="349"/>
      <c r="F119" s="349"/>
      <c r="G119" s="349"/>
      <c r="H119" s="350"/>
    </row>
    <row r="120" spans="1:8" s="1128" customFormat="1" ht="30" x14ac:dyDescent="0.2">
      <c r="A120" s="550">
        <f t="shared" si="1"/>
        <v>103</v>
      </c>
      <c r="B120" s="350" t="s">
        <v>1481</v>
      </c>
      <c r="C120" s="349"/>
      <c r="D120" s="349"/>
      <c r="E120" s="349"/>
      <c r="F120" s="349"/>
      <c r="G120" s="349"/>
      <c r="H120" s="350"/>
    </row>
    <row r="121" spans="1:8" s="1128" customFormat="1" ht="30" x14ac:dyDescent="0.2">
      <c r="A121" s="550">
        <f t="shared" si="1"/>
        <v>104</v>
      </c>
      <c r="B121" s="350" t="s">
        <v>1480</v>
      </c>
      <c r="C121" s="349"/>
      <c r="D121" s="349"/>
      <c r="E121" s="349"/>
      <c r="F121" s="349"/>
      <c r="G121" s="349"/>
      <c r="H121" s="350"/>
    </row>
    <row r="122" spans="1:8" ht="30" x14ac:dyDescent="0.2">
      <c r="A122" s="550">
        <f t="shared" si="1"/>
        <v>105</v>
      </c>
      <c r="B122" s="559" t="s">
        <v>1479</v>
      </c>
      <c r="C122" s="558"/>
      <c r="D122" s="558"/>
      <c r="E122" s="558"/>
      <c r="F122" s="558"/>
      <c r="G122" s="558"/>
      <c r="H122" s="1140"/>
    </row>
    <row r="123" spans="1:8" ht="15" x14ac:dyDescent="0.2">
      <c r="A123" s="550">
        <f t="shared" si="1"/>
        <v>106</v>
      </c>
      <c r="B123" s="589" t="s">
        <v>1477</v>
      </c>
      <c r="C123" s="553"/>
      <c r="D123" s="553"/>
      <c r="E123" s="553"/>
      <c r="F123" s="553"/>
      <c r="G123" s="553"/>
      <c r="H123" s="1140"/>
    </row>
    <row r="124" spans="1:8" ht="15" x14ac:dyDescent="0.2">
      <c r="A124" s="550">
        <f t="shared" si="1"/>
        <v>107</v>
      </c>
      <c r="B124" s="589" t="s">
        <v>1476</v>
      </c>
      <c r="C124" s="553"/>
      <c r="D124" s="553"/>
      <c r="E124" s="553"/>
      <c r="F124" s="553"/>
      <c r="G124" s="553"/>
      <c r="H124" s="1140"/>
    </row>
    <row r="125" spans="1:8" ht="15" x14ac:dyDescent="0.2">
      <c r="A125" s="550">
        <f t="shared" si="1"/>
        <v>108</v>
      </c>
      <c r="B125" s="589" t="s">
        <v>1475</v>
      </c>
      <c r="C125" s="553"/>
      <c r="D125" s="553"/>
      <c r="E125" s="553"/>
      <c r="F125" s="553"/>
      <c r="G125" s="553"/>
      <c r="H125" s="1140"/>
    </row>
    <row r="126" spans="1:8" s="1128" customFormat="1" ht="15" x14ac:dyDescent="0.2">
      <c r="A126" s="550">
        <f t="shared" si="1"/>
        <v>109</v>
      </c>
      <c r="B126" s="588" t="s">
        <v>1474</v>
      </c>
      <c r="C126" s="349"/>
      <c r="D126" s="349"/>
      <c r="E126" s="349"/>
      <c r="F126" s="349"/>
      <c r="G126" s="349"/>
      <c r="H126" s="1140"/>
    </row>
    <row r="127" spans="1:8" ht="30" x14ac:dyDescent="0.2">
      <c r="A127" s="550">
        <f t="shared" si="1"/>
        <v>110</v>
      </c>
      <c r="B127" s="405" t="s">
        <v>1478</v>
      </c>
      <c r="C127" s="558"/>
      <c r="D127" s="558"/>
      <c r="E127" s="558"/>
      <c r="F127" s="558"/>
      <c r="G127" s="558"/>
      <c r="H127" s="1140"/>
    </row>
    <row r="128" spans="1:8" ht="15" x14ac:dyDescent="0.2">
      <c r="A128" s="550">
        <f t="shared" si="1"/>
        <v>111</v>
      </c>
      <c r="B128" s="589" t="s">
        <v>1477</v>
      </c>
      <c r="C128" s="553"/>
      <c r="D128" s="553"/>
      <c r="E128" s="553"/>
      <c r="F128" s="553"/>
      <c r="G128" s="553"/>
      <c r="H128" s="1140"/>
    </row>
    <row r="129" spans="1:9" ht="15" x14ac:dyDescent="0.2">
      <c r="A129" s="550">
        <f t="shared" si="1"/>
        <v>112</v>
      </c>
      <c r="B129" s="589" t="s">
        <v>1476</v>
      </c>
      <c r="C129" s="553"/>
      <c r="D129" s="553"/>
      <c r="E129" s="553"/>
      <c r="F129" s="553"/>
      <c r="G129" s="553"/>
      <c r="H129" s="1140"/>
    </row>
    <row r="130" spans="1:9" ht="15" x14ac:dyDescent="0.2">
      <c r="A130" s="550">
        <f t="shared" si="1"/>
        <v>113</v>
      </c>
      <c r="B130" s="589" t="s">
        <v>1475</v>
      </c>
      <c r="C130" s="553"/>
      <c r="D130" s="553"/>
      <c r="E130" s="553"/>
      <c r="F130" s="553"/>
      <c r="G130" s="553"/>
      <c r="H130" s="1140"/>
    </row>
    <row r="131" spans="1:9" s="1128" customFormat="1" ht="15" x14ac:dyDescent="0.2">
      <c r="A131" s="550">
        <f t="shared" si="1"/>
        <v>114</v>
      </c>
      <c r="B131" s="588" t="s">
        <v>1474</v>
      </c>
      <c r="C131" s="349"/>
      <c r="D131" s="349"/>
      <c r="E131" s="349"/>
      <c r="F131" s="349"/>
      <c r="G131" s="349"/>
      <c r="H131" s="1140"/>
    </row>
    <row r="132" spans="1:9" ht="45" x14ac:dyDescent="0.2">
      <c r="A132" s="550">
        <f t="shared" si="1"/>
        <v>115</v>
      </c>
      <c r="B132" s="409" t="s">
        <v>1473</v>
      </c>
      <c r="C132" s="288"/>
      <c r="D132" s="288"/>
      <c r="E132" s="288"/>
      <c r="F132" s="288"/>
      <c r="G132" s="288"/>
      <c r="H132" s="350"/>
    </row>
    <row r="133" spans="1:9" ht="30" x14ac:dyDescent="0.2">
      <c r="A133" s="550">
        <f t="shared" si="1"/>
        <v>116</v>
      </c>
      <c r="B133" s="409" t="s">
        <v>1472</v>
      </c>
      <c r="C133" s="288"/>
      <c r="D133" s="288"/>
      <c r="E133" s="288"/>
      <c r="F133" s="288"/>
      <c r="G133" s="288"/>
      <c r="H133" s="350"/>
    </row>
    <row r="134" spans="1:9" ht="30" x14ac:dyDescent="0.2">
      <c r="A134" s="550">
        <f t="shared" si="1"/>
        <v>117</v>
      </c>
      <c r="B134" s="409" t="s">
        <v>1471</v>
      </c>
      <c r="C134" s="288"/>
      <c r="D134" s="288"/>
      <c r="E134" s="288"/>
      <c r="F134" s="288"/>
      <c r="G134" s="288"/>
      <c r="H134" s="350"/>
    </row>
    <row r="135" spans="1:9" ht="15" x14ac:dyDescent="0.25">
      <c r="A135" s="550">
        <f t="shared" si="1"/>
        <v>118</v>
      </c>
      <c r="B135" s="565" t="s">
        <v>1470</v>
      </c>
      <c r="C135" s="565"/>
      <c r="D135" s="565"/>
      <c r="E135" s="565"/>
      <c r="F135" s="565"/>
      <c r="G135" s="565"/>
      <c r="H135" s="1144"/>
    </row>
    <row r="136" spans="1:9" s="1128" customFormat="1" ht="30" x14ac:dyDescent="0.2">
      <c r="A136" s="550">
        <f t="shared" si="1"/>
        <v>119</v>
      </c>
      <c r="B136" s="584" t="s">
        <v>1469</v>
      </c>
      <c r="C136" s="583"/>
      <c r="D136" s="583"/>
      <c r="E136" s="583"/>
      <c r="F136" s="583"/>
      <c r="G136" s="583"/>
      <c r="H136" s="584"/>
    </row>
    <row r="137" spans="1:9" ht="15" x14ac:dyDescent="0.2">
      <c r="A137" s="550">
        <f t="shared" si="1"/>
        <v>120</v>
      </c>
      <c r="B137" s="587" t="s">
        <v>1468</v>
      </c>
      <c r="C137" s="586"/>
      <c r="D137" s="586"/>
      <c r="E137" s="586"/>
      <c r="F137" s="586"/>
      <c r="G137" s="586"/>
      <c r="H137" s="584"/>
    </row>
    <row r="138" spans="1:9" ht="45" x14ac:dyDescent="0.2">
      <c r="A138" s="550">
        <f t="shared" si="1"/>
        <v>121</v>
      </c>
      <c r="B138" s="585" t="s">
        <v>1467</v>
      </c>
      <c r="C138" s="534"/>
      <c r="D138" s="534"/>
      <c r="E138" s="534"/>
      <c r="F138" s="534"/>
      <c r="G138" s="534"/>
      <c r="H138" s="584"/>
    </row>
    <row r="139" spans="1:9" ht="30" x14ac:dyDescent="0.2">
      <c r="A139" s="550">
        <f t="shared" si="1"/>
        <v>122</v>
      </c>
      <c r="B139" s="585" t="s">
        <v>1466</v>
      </c>
      <c r="C139" s="534"/>
      <c r="D139" s="534"/>
      <c r="E139" s="534"/>
      <c r="F139" s="534"/>
      <c r="G139" s="534"/>
      <c r="H139" s="584"/>
    </row>
    <row r="140" spans="1:9" s="1128" customFormat="1" ht="30" x14ac:dyDescent="0.2">
      <c r="A140" s="550">
        <f t="shared" si="1"/>
        <v>123</v>
      </c>
      <c r="B140" s="584" t="s">
        <v>1465</v>
      </c>
      <c r="C140" s="583"/>
      <c r="D140" s="583"/>
      <c r="E140" s="583"/>
      <c r="F140" s="583"/>
      <c r="G140" s="583"/>
      <c r="H140" s="584"/>
      <c r="I140" s="415"/>
    </row>
    <row r="141" spans="1:9" s="1128" customFormat="1" ht="30" x14ac:dyDescent="0.2">
      <c r="A141" s="550">
        <f t="shared" si="1"/>
        <v>124</v>
      </c>
      <c r="B141" s="584" t="s">
        <v>1464</v>
      </c>
      <c r="C141" s="583"/>
      <c r="D141" s="583"/>
      <c r="E141" s="583"/>
      <c r="F141" s="583"/>
      <c r="G141" s="583"/>
      <c r="H141" s="584"/>
      <c r="I141" s="415"/>
    </row>
    <row r="142" spans="1:9" s="1128" customFormat="1" ht="30" x14ac:dyDescent="0.2">
      <c r="A142" s="550">
        <f t="shared" si="1"/>
        <v>125</v>
      </c>
      <c r="B142" s="584" t="s">
        <v>1463</v>
      </c>
      <c r="C142" s="583"/>
      <c r="D142" s="583"/>
      <c r="E142" s="583"/>
      <c r="F142" s="583"/>
      <c r="G142" s="583"/>
      <c r="H142" s="584"/>
      <c r="I142" s="415"/>
    </row>
    <row r="143" spans="1:9" ht="15" x14ac:dyDescent="0.25">
      <c r="A143" s="550">
        <f t="shared" si="1"/>
        <v>126</v>
      </c>
      <c r="B143" s="565" t="s">
        <v>1462</v>
      </c>
      <c r="C143" s="565"/>
      <c r="D143" s="565"/>
      <c r="E143" s="565"/>
      <c r="F143" s="565"/>
      <c r="G143" s="565"/>
      <c r="H143" s="1144"/>
    </row>
    <row r="144" spans="1:9" ht="15" x14ac:dyDescent="0.2">
      <c r="A144" s="550">
        <f t="shared" si="1"/>
        <v>127</v>
      </c>
      <c r="B144" s="408" t="s">
        <v>1461</v>
      </c>
      <c r="C144" s="288"/>
      <c r="D144" s="288"/>
      <c r="E144" s="288"/>
      <c r="F144" s="288"/>
      <c r="G144" s="288"/>
      <c r="H144" s="408"/>
    </row>
    <row r="145" spans="1:9" ht="15" x14ac:dyDescent="0.2">
      <c r="A145" s="550">
        <f t="shared" si="1"/>
        <v>128</v>
      </c>
      <c r="B145" s="405" t="s">
        <v>1460</v>
      </c>
      <c r="C145" s="288"/>
      <c r="D145" s="288"/>
      <c r="E145" s="288"/>
      <c r="F145" s="288"/>
      <c r="G145" s="288"/>
      <c r="H145" s="408"/>
    </row>
    <row r="146" spans="1:9" s="1128" customFormat="1" ht="30" x14ac:dyDescent="0.2">
      <c r="A146" s="550">
        <f t="shared" si="1"/>
        <v>129</v>
      </c>
      <c r="B146" s="493" t="s">
        <v>1459</v>
      </c>
      <c r="C146" s="332"/>
      <c r="D146" s="332"/>
      <c r="E146" s="332"/>
      <c r="F146" s="332"/>
      <c r="G146" s="332"/>
      <c r="H146" s="408"/>
    </row>
    <row r="147" spans="1:9" s="1128" customFormat="1" ht="30" x14ac:dyDescent="0.2">
      <c r="A147" s="550">
        <f t="shared" si="1"/>
        <v>130</v>
      </c>
      <c r="B147" s="493" t="s">
        <v>1458</v>
      </c>
      <c r="C147" s="332"/>
      <c r="D147" s="332"/>
      <c r="E147" s="332"/>
      <c r="F147" s="332"/>
      <c r="G147" s="332"/>
      <c r="H147" s="408"/>
    </row>
    <row r="148" spans="1:9" s="1128" customFormat="1" ht="30" x14ac:dyDescent="0.2">
      <c r="A148" s="550">
        <f t="shared" ref="A148:A211" si="2">A147+1</f>
        <v>131</v>
      </c>
      <c r="B148" s="521" t="s">
        <v>1457</v>
      </c>
      <c r="C148" s="324"/>
      <c r="D148" s="324"/>
      <c r="E148" s="324"/>
      <c r="F148" s="324"/>
      <c r="G148" s="324"/>
      <c r="H148" s="408"/>
    </row>
    <row r="149" spans="1:9" s="1128" customFormat="1" ht="15" x14ac:dyDescent="0.2">
      <c r="A149" s="550">
        <f t="shared" si="2"/>
        <v>132</v>
      </c>
      <c r="B149" s="521" t="s">
        <v>1456</v>
      </c>
      <c r="C149" s="324"/>
      <c r="D149" s="324"/>
      <c r="E149" s="324"/>
      <c r="F149" s="324"/>
      <c r="G149" s="324"/>
      <c r="H149" s="408"/>
    </row>
    <row r="150" spans="1:9" ht="15" x14ac:dyDescent="0.25">
      <c r="A150" s="550">
        <f t="shared" si="2"/>
        <v>133</v>
      </c>
      <c r="B150" s="408" t="s">
        <v>1455</v>
      </c>
      <c r="C150" s="581"/>
      <c r="D150" s="581"/>
      <c r="E150" s="581"/>
      <c r="F150" s="581"/>
      <c r="G150" s="581"/>
      <c r="H150" s="408"/>
    </row>
    <row r="151" spans="1:9" ht="15" x14ac:dyDescent="0.2">
      <c r="A151" s="550">
        <f t="shared" si="2"/>
        <v>134</v>
      </c>
      <c r="B151" s="554" t="s">
        <v>1454</v>
      </c>
      <c r="C151" s="288"/>
      <c r="D151" s="288"/>
      <c r="E151" s="288"/>
      <c r="F151" s="288"/>
      <c r="G151" s="288"/>
      <c r="H151" s="408"/>
    </row>
    <row r="152" spans="1:9" ht="15" x14ac:dyDescent="0.2">
      <c r="A152" s="550">
        <f t="shared" si="2"/>
        <v>135</v>
      </c>
      <c r="B152" s="554" t="s">
        <v>1453</v>
      </c>
      <c r="C152" s="288"/>
      <c r="D152" s="288"/>
      <c r="E152" s="288"/>
      <c r="F152" s="288"/>
      <c r="G152" s="288"/>
      <c r="H152" s="408"/>
    </row>
    <row r="153" spans="1:9" s="1128" customFormat="1" ht="15" x14ac:dyDescent="0.2">
      <c r="A153" s="550">
        <f t="shared" si="2"/>
        <v>136</v>
      </c>
      <c r="B153" s="555" t="s">
        <v>1452</v>
      </c>
      <c r="C153" s="324"/>
      <c r="D153" s="324"/>
      <c r="E153" s="324"/>
      <c r="F153" s="324"/>
      <c r="G153" s="324"/>
      <c r="H153" s="408"/>
    </row>
    <row r="154" spans="1:9" s="1128" customFormat="1" ht="15" x14ac:dyDescent="0.2">
      <c r="A154" s="550">
        <f t="shared" si="2"/>
        <v>137</v>
      </c>
      <c r="B154" s="555" t="s">
        <v>1451</v>
      </c>
      <c r="C154" s="324"/>
      <c r="D154" s="324"/>
      <c r="E154" s="324"/>
      <c r="F154" s="324"/>
      <c r="G154" s="324"/>
      <c r="H154" s="408"/>
      <c r="I154" s="415"/>
    </row>
    <row r="155" spans="1:9" s="1128" customFormat="1" ht="30" x14ac:dyDescent="0.2">
      <c r="A155" s="550">
        <f t="shared" si="2"/>
        <v>138</v>
      </c>
      <c r="B155" s="555" t="s">
        <v>1450</v>
      </c>
      <c r="C155" s="324"/>
      <c r="D155" s="324"/>
      <c r="E155" s="324"/>
      <c r="F155" s="324"/>
      <c r="G155" s="324"/>
      <c r="H155" s="408"/>
      <c r="I155" s="415"/>
    </row>
    <row r="156" spans="1:9" s="1128" customFormat="1" ht="15" x14ac:dyDescent="0.2">
      <c r="A156" s="550">
        <f t="shared" si="2"/>
        <v>139</v>
      </c>
      <c r="B156" s="555" t="s">
        <v>1059</v>
      </c>
      <c r="C156" s="324"/>
      <c r="D156" s="324"/>
      <c r="E156" s="324"/>
      <c r="F156" s="324"/>
      <c r="G156" s="324"/>
      <c r="H156" s="408"/>
      <c r="I156" s="415"/>
    </row>
    <row r="157" spans="1:9" s="1128" customFormat="1" ht="45" x14ac:dyDescent="0.2">
      <c r="A157" s="550">
        <f t="shared" si="2"/>
        <v>140</v>
      </c>
      <c r="B157" s="559" t="s">
        <v>1449</v>
      </c>
      <c r="C157" s="324"/>
      <c r="D157" s="324"/>
      <c r="E157" s="324"/>
      <c r="F157" s="324"/>
      <c r="G157" s="324"/>
      <c r="H157" s="408"/>
    </row>
    <row r="158" spans="1:9" s="1128" customFormat="1" ht="30" x14ac:dyDescent="0.2">
      <c r="A158" s="550">
        <f t="shared" si="2"/>
        <v>141</v>
      </c>
      <c r="B158" s="559" t="s">
        <v>1448</v>
      </c>
      <c r="C158" s="324"/>
      <c r="D158" s="324"/>
      <c r="E158" s="324"/>
      <c r="F158" s="324"/>
      <c r="G158" s="324"/>
      <c r="H158" s="408"/>
    </row>
    <row r="159" spans="1:9" s="1128" customFormat="1" ht="30" x14ac:dyDescent="0.2">
      <c r="A159" s="550">
        <f t="shared" si="2"/>
        <v>142</v>
      </c>
      <c r="B159" s="559" t="s">
        <v>1447</v>
      </c>
      <c r="C159" s="324"/>
      <c r="D159" s="324"/>
      <c r="E159" s="324"/>
      <c r="F159" s="324"/>
      <c r="G159" s="324"/>
      <c r="H159" s="408"/>
    </row>
    <row r="160" spans="1:9" s="1128" customFormat="1" ht="30" x14ac:dyDescent="0.2">
      <c r="A160" s="550">
        <f t="shared" si="2"/>
        <v>143</v>
      </c>
      <c r="B160" s="559" t="s">
        <v>1446</v>
      </c>
      <c r="C160" s="324"/>
      <c r="D160" s="324"/>
      <c r="E160" s="324"/>
      <c r="F160" s="324"/>
      <c r="G160" s="324"/>
      <c r="H160" s="408"/>
    </row>
    <row r="161" spans="1:59" s="1128" customFormat="1" ht="30" x14ac:dyDescent="0.2">
      <c r="A161" s="550">
        <f t="shared" si="2"/>
        <v>144</v>
      </c>
      <c r="B161" s="350" t="s">
        <v>1445</v>
      </c>
      <c r="C161" s="324"/>
      <c r="D161" s="324"/>
      <c r="E161" s="324"/>
      <c r="F161" s="324"/>
      <c r="G161" s="324"/>
      <c r="H161" s="408"/>
    </row>
    <row r="162" spans="1:59" s="1128" customFormat="1" ht="45" x14ac:dyDescent="0.2">
      <c r="A162" s="550">
        <f t="shared" si="2"/>
        <v>145</v>
      </c>
      <c r="B162" s="350" t="s">
        <v>1444</v>
      </c>
      <c r="C162" s="324"/>
      <c r="D162" s="324"/>
      <c r="E162" s="324"/>
      <c r="F162" s="324"/>
      <c r="G162" s="324"/>
      <c r="H162" s="408"/>
    </row>
    <row r="163" spans="1:59" s="1128" customFormat="1" ht="30" x14ac:dyDescent="0.2">
      <c r="A163" s="550">
        <f t="shared" si="2"/>
        <v>146</v>
      </c>
      <c r="B163" s="350" t="s">
        <v>1443</v>
      </c>
      <c r="C163" s="324"/>
      <c r="D163" s="324"/>
      <c r="E163" s="324"/>
      <c r="F163" s="324"/>
      <c r="G163" s="324"/>
      <c r="H163" s="408"/>
    </row>
    <row r="164" spans="1:59" s="1128" customFormat="1" ht="30" x14ac:dyDescent="0.2">
      <c r="A164" s="550">
        <f t="shared" si="2"/>
        <v>147</v>
      </c>
      <c r="B164" s="559" t="s">
        <v>1442</v>
      </c>
      <c r="C164" s="324"/>
      <c r="D164" s="324"/>
      <c r="E164" s="324"/>
      <c r="F164" s="324"/>
      <c r="G164" s="324"/>
      <c r="H164" s="408"/>
    </row>
    <row r="165" spans="1:59" s="1128" customFormat="1" ht="30" x14ac:dyDescent="0.2">
      <c r="A165" s="550">
        <f t="shared" si="2"/>
        <v>148</v>
      </c>
      <c r="B165" s="559" t="s">
        <v>1441</v>
      </c>
      <c r="C165" s="324"/>
      <c r="D165" s="324"/>
      <c r="E165" s="324"/>
      <c r="F165" s="324"/>
      <c r="G165" s="324"/>
      <c r="H165" s="408"/>
    </row>
    <row r="166" spans="1:59" s="1128" customFormat="1" ht="30" x14ac:dyDescent="0.25">
      <c r="A166" s="550">
        <f t="shared" si="2"/>
        <v>149</v>
      </c>
      <c r="B166" s="579" t="s">
        <v>1440</v>
      </c>
      <c r="C166" s="579"/>
      <c r="D166" s="579"/>
      <c r="E166" s="579"/>
      <c r="F166" s="579"/>
      <c r="G166" s="579"/>
      <c r="H166" s="408"/>
    </row>
    <row r="167" spans="1:59" s="1128" customFormat="1" ht="30" x14ac:dyDescent="0.25">
      <c r="A167" s="550">
        <f t="shared" si="2"/>
        <v>150</v>
      </c>
      <c r="B167" s="579" t="s">
        <v>1439</v>
      </c>
      <c r="C167" s="581"/>
      <c r="D167" s="581"/>
      <c r="E167" s="581"/>
      <c r="F167" s="581"/>
      <c r="G167" s="581"/>
      <c r="H167" s="408"/>
    </row>
    <row r="168" spans="1:59" ht="15" x14ac:dyDescent="0.25">
      <c r="A168" s="550">
        <f t="shared" si="2"/>
        <v>151</v>
      </c>
      <c r="B168" s="577" t="s">
        <v>111</v>
      </c>
      <c r="C168" s="579"/>
      <c r="D168" s="579"/>
      <c r="E168" s="579"/>
      <c r="F168" s="579"/>
      <c r="G168" s="579"/>
      <c r="H168" s="408"/>
    </row>
    <row r="169" spans="1:59" s="578" customFormat="1" ht="15" x14ac:dyDescent="0.25">
      <c r="A169" s="550">
        <f t="shared" si="2"/>
        <v>152</v>
      </c>
      <c r="B169" s="577" t="s">
        <v>1438</v>
      </c>
      <c r="C169" s="501"/>
      <c r="D169" s="501"/>
      <c r="E169" s="501"/>
      <c r="F169" s="501"/>
      <c r="G169" s="501"/>
      <c r="H169" s="408"/>
      <c r="I169" s="576"/>
      <c r="J169" s="576"/>
      <c r="K169" s="576"/>
      <c r="L169" s="576"/>
      <c r="M169" s="576"/>
      <c r="N169" s="576"/>
      <c r="O169" s="576"/>
      <c r="P169" s="576"/>
      <c r="Q169" s="576"/>
      <c r="R169" s="576"/>
      <c r="S169" s="576"/>
      <c r="T169" s="576"/>
      <c r="U169" s="576"/>
      <c r="V169" s="576"/>
      <c r="W169" s="576"/>
      <c r="X169" s="576"/>
      <c r="Y169" s="576"/>
      <c r="Z169" s="576"/>
      <c r="AA169" s="576"/>
      <c r="AB169" s="576"/>
      <c r="AC169" s="576"/>
      <c r="AD169" s="576"/>
      <c r="AE169" s="576"/>
      <c r="AF169" s="576"/>
      <c r="AG169" s="576"/>
      <c r="AH169" s="576"/>
      <c r="AI169" s="576"/>
      <c r="AJ169" s="576"/>
      <c r="AK169" s="576"/>
      <c r="AL169" s="576"/>
      <c r="AM169" s="576"/>
      <c r="AN169" s="576"/>
      <c r="AO169" s="576"/>
      <c r="AP169" s="576"/>
      <c r="AQ169" s="576"/>
      <c r="AR169" s="576"/>
      <c r="AS169" s="576"/>
      <c r="AT169" s="576"/>
      <c r="AU169" s="576"/>
      <c r="AV169" s="576"/>
      <c r="AW169" s="576"/>
      <c r="AX169" s="576"/>
      <c r="AY169" s="576"/>
      <c r="AZ169" s="576"/>
      <c r="BA169" s="576"/>
      <c r="BB169" s="576"/>
      <c r="BC169" s="576"/>
      <c r="BD169" s="576"/>
      <c r="BE169" s="576"/>
      <c r="BF169" s="576"/>
      <c r="BG169" s="576"/>
    </row>
    <row r="170" spans="1:59" s="578" customFormat="1" ht="15" x14ac:dyDescent="0.25">
      <c r="A170" s="550">
        <f t="shared" si="2"/>
        <v>153</v>
      </c>
      <c r="B170" s="577" t="s">
        <v>949</v>
      </c>
      <c r="C170" s="501"/>
      <c r="D170" s="501"/>
      <c r="E170" s="501"/>
      <c r="F170" s="501"/>
      <c r="G170" s="501"/>
      <c r="H170" s="408"/>
      <c r="I170" s="576"/>
      <c r="J170" s="576"/>
      <c r="K170" s="576"/>
      <c r="L170" s="576"/>
      <c r="M170" s="576"/>
      <c r="N170" s="576"/>
      <c r="O170" s="576"/>
      <c r="P170" s="576"/>
      <c r="Q170" s="576"/>
      <c r="R170" s="576"/>
      <c r="S170" s="576"/>
      <c r="T170" s="576"/>
      <c r="U170" s="576"/>
      <c r="V170" s="576"/>
      <c r="W170" s="576"/>
      <c r="X170" s="576"/>
      <c r="Y170" s="576"/>
      <c r="Z170" s="576"/>
      <c r="AA170" s="576"/>
      <c r="AB170" s="576"/>
      <c r="AC170" s="576"/>
      <c r="AD170" s="576"/>
      <c r="AE170" s="576"/>
      <c r="AF170" s="576"/>
      <c r="AG170" s="576"/>
      <c r="AH170" s="576"/>
      <c r="AI170" s="576"/>
      <c r="AJ170" s="576"/>
      <c r="AK170" s="576"/>
      <c r="AL170" s="576"/>
      <c r="AM170" s="576"/>
      <c r="AN170" s="576"/>
      <c r="AO170" s="576"/>
      <c r="AP170" s="576"/>
      <c r="AQ170" s="576"/>
      <c r="AR170" s="576"/>
      <c r="AS170" s="576"/>
      <c r="AT170" s="576"/>
      <c r="AU170" s="576"/>
      <c r="AV170" s="576"/>
      <c r="AW170" s="576"/>
      <c r="AX170" s="576"/>
      <c r="AY170" s="576"/>
      <c r="AZ170" s="576"/>
      <c r="BA170" s="576"/>
      <c r="BB170" s="576"/>
      <c r="BC170" s="576"/>
      <c r="BD170" s="576"/>
      <c r="BE170" s="576"/>
      <c r="BF170" s="576"/>
      <c r="BG170" s="576"/>
    </row>
    <row r="171" spans="1:59" s="576" customFormat="1" ht="15" x14ac:dyDescent="0.25">
      <c r="A171" s="550">
        <f t="shared" si="2"/>
        <v>154</v>
      </c>
      <c r="B171" s="577" t="s">
        <v>302</v>
      </c>
      <c r="C171" s="577"/>
      <c r="D171" s="577"/>
      <c r="E171" s="577"/>
      <c r="F171" s="577"/>
      <c r="G171" s="577"/>
      <c r="H171" s="408"/>
    </row>
    <row r="172" spans="1:59" s="576" customFormat="1" ht="15" x14ac:dyDescent="0.25">
      <c r="A172" s="550">
        <f t="shared" si="2"/>
        <v>155</v>
      </c>
      <c r="B172" s="577" t="s">
        <v>1295</v>
      </c>
      <c r="C172" s="577"/>
      <c r="D172" s="577"/>
      <c r="E172" s="577"/>
      <c r="F172" s="577"/>
      <c r="G172" s="577"/>
      <c r="H172" s="408"/>
    </row>
    <row r="173" spans="1:59" s="576" customFormat="1" ht="15" x14ac:dyDescent="0.25">
      <c r="A173" s="550">
        <f t="shared" si="2"/>
        <v>156</v>
      </c>
      <c r="B173" s="577" t="s">
        <v>1297</v>
      </c>
      <c r="C173" s="577"/>
      <c r="D173" s="577"/>
      <c r="E173" s="577"/>
      <c r="F173" s="577"/>
      <c r="G173" s="577"/>
      <c r="H173" s="408"/>
    </row>
    <row r="174" spans="1:59" s="576" customFormat="1" ht="15" x14ac:dyDescent="0.25">
      <c r="A174" s="550">
        <f t="shared" si="2"/>
        <v>157</v>
      </c>
      <c r="B174" s="577" t="s">
        <v>1437</v>
      </c>
      <c r="C174" s="577"/>
      <c r="D174" s="577"/>
      <c r="E174" s="577"/>
      <c r="F174" s="577"/>
      <c r="G174" s="577"/>
      <c r="H174" s="408"/>
    </row>
    <row r="175" spans="1:59" s="576" customFormat="1" ht="15" x14ac:dyDescent="0.25">
      <c r="A175" s="550">
        <f t="shared" si="2"/>
        <v>158</v>
      </c>
      <c r="B175" s="577" t="s">
        <v>190</v>
      </c>
      <c r="C175" s="577"/>
      <c r="D175" s="577"/>
      <c r="E175" s="577"/>
      <c r="F175" s="577"/>
      <c r="G175" s="577"/>
      <c r="H175" s="408"/>
    </row>
    <row r="176" spans="1:59" s="576" customFormat="1" ht="15" x14ac:dyDescent="0.25">
      <c r="A176" s="550">
        <f t="shared" si="2"/>
        <v>159</v>
      </c>
      <c r="B176" s="577" t="s">
        <v>762</v>
      </c>
      <c r="C176" s="577"/>
      <c r="D176" s="577"/>
      <c r="E176" s="577"/>
      <c r="F176" s="577"/>
      <c r="G176" s="577"/>
      <c r="H176" s="408"/>
    </row>
    <row r="177" spans="1:59" ht="15" x14ac:dyDescent="0.2">
      <c r="A177" s="550">
        <f t="shared" si="2"/>
        <v>160</v>
      </c>
      <c r="B177" s="436" t="s">
        <v>1436</v>
      </c>
      <c r="C177" s="436"/>
      <c r="D177" s="436"/>
      <c r="E177" s="436"/>
      <c r="F177" s="436"/>
      <c r="G177" s="436"/>
      <c r="H177" s="1139"/>
    </row>
    <row r="178" spans="1:59" ht="15" x14ac:dyDescent="0.2">
      <c r="A178" s="550">
        <f t="shared" si="2"/>
        <v>161</v>
      </c>
      <c r="B178" s="405" t="s">
        <v>1435</v>
      </c>
      <c r="C178" s="288"/>
      <c r="D178" s="288"/>
      <c r="E178" s="288"/>
      <c r="F178" s="288"/>
      <c r="G178" s="288"/>
      <c r="H178" s="408"/>
    </row>
    <row r="179" spans="1:59" ht="15" x14ac:dyDescent="0.2">
      <c r="A179" s="550">
        <f t="shared" si="2"/>
        <v>162</v>
      </c>
      <c r="B179" s="405" t="s">
        <v>1434</v>
      </c>
      <c r="C179" s="288"/>
      <c r="D179" s="288"/>
      <c r="E179" s="288"/>
      <c r="F179" s="288"/>
      <c r="G179" s="288"/>
      <c r="H179" s="408"/>
    </row>
    <row r="180" spans="1:59" s="411" customFormat="1" ht="45" x14ac:dyDescent="0.2">
      <c r="A180" s="550">
        <f t="shared" si="2"/>
        <v>163</v>
      </c>
      <c r="B180" s="318" t="s">
        <v>1433</v>
      </c>
      <c r="C180" s="575"/>
      <c r="D180" s="575"/>
      <c r="E180" s="575"/>
      <c r="F180" s="575"/>
      <c r="G180" s="575"/>
      <c r="H180" s="408"/>
      <c r="I180" s="1128"/>
      <c r="J180" s="1128"/>
      <c r="K180" s="1128"/>
      <c r="L180" s="1128"/>
      <c r="M180" s="1128"/>
      <c r="N180" s="1128"/>
      <c r="O180" s="1128"/>
      <c r="P180" s="1128"/>
      <c r="Q180" s="1128"/>
      <c r="R180" s="1128"/>
      <c r="S180" s="1128"/>
      <c r="T180" s="1128"/>
      <c r="U180" s="1128"/>
      <c r="V180" s="1128"/>
      <c r="W180" s="1128"/>
      <c r="X180" s="1128"/>
      <c r="Y180" s="1128"/>
      <c r="Z180" s="1128"/>
      <c r="AA180" s="1128"/>
      <c r="AB180" s="1128"/>
      <c r="AC180" s="1128"/>
      <c r="AD180" s="1128"/>
      <c r="AE180" s="1128"/>
      <c r="AF180" s="1128"/>
      <c r="AG180" s="1128"/>
      <c r="AH180" s="1128"/>
      <c r="AI180" s="1128"/>
      <c r="AJ180" s="1128"/>
      <c r="AK180" s="1128"/>
      <c r="AL180" s="1128"/>
      <c r="AM180" s="1128"/>
      <c r="AN180" s="1128"/>
      <c r="AO180" s="1128"/>
      <c r="AP180" s="1128"/>
      <c r="AQ180" s="1128"/>
      <c r="AR180" s="1128"/>
      <c r="AS180" s="1128"/>
      <c r="AT180" s="1128"/>
      <c r="AU180" s="1128"/>
      <c r="AV180" s="1128"/>
      <c r="AW180" s="1128"/>
      <c r="AX180" s="1128"/>
      <c r="AY180" s="1128"/>
      <c r="AZ180" s="1128"/>
      <c r="BA180" s="1128"/>
      <c r="BB180" s="1128"/>
      <c r="BC180" s="1128"/>
      <c r="BD180" s="1128"/>
      <c r="BE180" s="1128"/>
      <c r="BF180" s="1128"/>
      <c r="BG180" s="1128"/>
    </row>
    <row r="181" spans="1:59" ht="15" x14ac:dyDescent="0.2">
      <c r="A181" s="550">
        <f t="shared" si="2"/>
        <v>164</v>
      </c>
      <c r="B181" s="489" t="s">
        <v>1432</v>
      </c>
      <c r="C181" s="334"/>
      <c r="D181" s="334"/>
      <c r="E181" s="334"/>
      <c r="F181" s="334"/>
      <c r="G181" s="334"/>
      <c r="H181" s="408"/>
    </row>
    <row r="182" spans="1:59" ht="15" x14ac:dyDescent="0.2">
      <c r="A182" s="550">
        <f t="shared" si="2"/>
        <v>165</v>
      </c>
      <c r="B182" s="489" t="s">
        <v>1431</v>
      </c>
      <c r="C182" s="334"/>
      <c r="D182" s="334"/>
      <c r="E182" s="334"/>
      <c r="F182" s="334"/>
      <c r="G182" s="334"/>
      <c r="H182" s="408"/>
    </row>
    <row r="183" spans="1:59" s="1128" customFormat="1" ht="15" x14ac:dyDescent="0.2">
      <c r="A183" s="550">
        <f t="shared" si="2"/>
        <v>166</v>
      </c>
      <c r="B183" s="521" t="s">
        <v>1430</v>
      </c>
      <c r="C183" s="324"/>
      <c r="D183" s="324"/>
      <c r="E183" s="324"/>
      <c r="F183" s="324"/>
      <c r="G183" s="324"/>
      <c r="H183" s="408"/>
    </row>
    <row r="184" spans="1:59" s="1128" customFormat="1" ht="30" x14ac:dyDescent="0.2">
      <c r="A184" s="550">
        <f t="shared" si="2"/>
        <v>167</v>
      </c>
      <c r="B184" s="521" t="s">
        <v>1429</v>
      </c>
      <c r="C184" s="324"/>
      <c r="D184" s="324"/>
      <c r="E184" s="324"/>
      <c r="F184" s="324"/>
      <c r="G184" s="324"/>
      <c r="H184" s="408"/>
    </row>
    <row r="185" spans="1:59" ht="30" x14ac:dyDescent="0.2">
      <c r="A185" s="550">
        <f t="shared" si="2"/>
        <v>168</v>
      </c>
      <c r="B185" s="408" t="s">
        <v>1428</v>
      </c>
      <c r="C185" s="288"/>
      <c r="D185" s="288"/>
      <c r="E185" s="288"/>
      <c r="F185" s="288"/>
      <c r="G185" s="288"/>
      <c r="H185" s="408"/>
    </row>
    <row r="186" spans="1:59" ht="30" x14ac:dyDescent="0.2">
      <c r="A186" s="550">
        <f t="shared" si="2"/>
        <v>169</v>
      </c>
      <c r="B186" s="408" t="s">
        <v>1427</v>
      </c>
      <c r="C186" s="574"/>
      <c r="D186" s="574"/>
      <c r="E186" s="574"/>
      <c r="F186" s="574"/>
      <c r="G186" s="574"/>
      <c r="H186" s="408"/>
    </row>
    <row r="187" spans="1:59" ht="15" x14ac:dyDescent="0.2">
      <c r="A187" s="550">
        <f t="shared" si="2"/>
        <v>170</v>
      </c>
      <c r="B187" s="554" t="s">
        <v>1426</v>
      </c>
      <c r="C187" s="288"/>
      <c r="D187" s="288"/>
      <c r="E187" s="288"/>
      <c r="F187" s="288"/>
      <c r="G187" s="288"/>
      <c r="H187" s="408"/>
    </row>
    <row r="188" spans="1:59" ht="15" x14ac:dyDescent="0.2">
      <c r="A188" s="550">
        <f t="shared" si="2"/>
        <v>171</v>
      </c>
      <c r="B188" s="554" t="s">
        <v>1425</v>
      </c>
      <c r="C188" s="288"/>
      <c r="D188" s="288"/>
      <c r="E188" s="288"/>
      <c r="F188" s="288"/>
      <c r="G188" s="288"/>
      <c r="H188" s="408"/>
    </row>
    <row r="189" spans="1:59" s="1128" customFormat="1" ht="15" x14ac:dyDescent="0.2">
      <c r="A189" s="550">
        <f t="shared" si="2"/>
        <v>172</v>
      </c>
      <c r="B189" s="555" t="s">
        <v>1424</v>
      </c>
      <c r="C189" s="324"/>
      <c r="D189" s="324"/>
      <c r="E189" s="324"/>
      <c r="F189" s="324"/>
      <c r="G189" s="324"/>
      <c r="H189" s="408"/>
    </row>
    <row r="190" spans="1:59" s="1128" customFormat="1" ht="15" x14ac:dyDescent="0.2">
      <c r="A190" s="550">
        <f t="shared" si="2"/>
        <v>173</v>
      </c>
      <c r="B190" s="555" t="s">
        <v>1423</v>
      </c>
      <c r="C190" s="324"/>
      <c r="D190" s="324"/>
      <c r="E190" s="324"/>
      <c r="F190" s="324"/>
      <c r="G190" s="324"/>
      <c r="H190" s="408"/>
    </row>
    <row r="191" spans="1:59" s="1128" customFormat="1" ht="15" x14ac:dyDescent="0.2">
      <c r="A191" s="550">
        <f t="shared" si="2"/>
        <v>174</v>
      </c>
      <c r="B191" s="555" t="s">
        <v>1422</v>
      </c>
      <c r="C191" s="324"/>
      <c r="D191" s="324"/>
      <c r="E191" s="324"/>
      <c r="F191" s="324"/>
      <c r="G191" s="324"/>
      <c r="H191" s="408"/>
    </row>
    <row r="192" spans="1:59" s="1128" customFormat="1" ht="15" x14ac:dyDescent="0.2">
      <c r="A192" s="550">
        <f t="shared" si="2"/>
        <v>175</v>
      </c>
      <c r="B192" s="555" t="s">
        <v>1421</v>
      </c>
      <c r="C192" s="324"/>
      <c r="D192" s="324"/>
      <c r="E192" s="324"/>
      <c r="F192" s="324"/>
      <c r="G192" s="324"/>
      <c r="H192" s="408"/>
    </row>
    <row r="193" spans="1:8" s="1128" customFormat="1" ht="15" x14ac:dyDescent="0.2">
      <c r="A193" s="550">
        <f t="shared" si="2"/>
        <v>176</v>
      </c>
      <c r="B193" s="555" t="s">
        <v>1420</v>
      </c>
      <c r="C193" s="324"/>
      <c r="D193" s="324"/>
      <c r="E193" s="324"/>
      <c r="F193" s="324"/>
      <c r="G193" s="324"/>
      <c r="H193" s="408"/>
    </row>
    <row r="194" spans="1:8" s="1128" customFormat="1" ht="15" x14ac:dyDescent="0.2">
      <c r="A194" s="550">
        <f t="shared" si="2"/>
        <v>177</v>
      </c>
      <c r="B194" s="555" t="s">
        <v>1419</v>
      </c>
      <c r="C194" s="324"/>
      <c r="D194" s="324"/>
      <c r="E194" s="324"/>
      <c r="F194" s="324"/>
      <c r="G194" s="324"/>
      <c r="H194" s="408"/>
    </row>
    <row r="195" spans="1:8" s="1128" customFormat="1" ht="15" x14ac:dyDescent="0.2">
      <c r="A195" s="550">
        <f t="shared" si="2"/>
        <v>178</v>
      </c>
      <c r="B195" s="555" t="s">
        <v>1418</v>
      </c>
      <c r="C195" s="324"/>
      <c r="D195" s="324"/>
      <c r="E195" s="324"/>
      <c r="F195" s="324"/>
      <c r="G195" s="324"/>
      <c r="H195" s="408"/>
    </row>
    <row r="196" spans="1:8" s="1128" customFormat="1" ht="15" x14ac:dyDescent="0.2">
      <c r="A196" s="550">
        <f t="shared" si="2"/>
        <v>179</v>
      </c>
      <c r="B196" s="555" t="s">
        <v>962</v>
      </c>
      <c r="C196" s="324"/>
      <c r="D196" s="324"/>
      <c r="E196" s="324"/>
      <c r="F196" s="324"/>
      <c r="G196" s="324"/>
      <c r="H196" s="408"/>
    </row>
    <row r="197" spans="1:8" s="1128" customFormat="1" ht="30" x14ac:dyDescent="0.2">
      <c r="A197" s="550">
        <f t="shared" si="2"/>
        <v>180</v>
      </c>
      <c r="B197" s="521" t="s">
        <v>1417</v>
      </c>
      <c r="C197" s="324"/>
      <c r="D197" s="324"/>
      <c r="E197" s="324"/>
      <c r="F197" s="324"/>
      <c r="G197" s="324"/>
      <c r="H197" s="408"/>
    </row>
    <row r="198" spans="1:8" s="1128" customFormat="1" ht="15" x14ac:dyDescent="0.2">
      <c r="A198" s="550">
        <f t="shared" si="2"/>
        <v>181</v>
      </c>
      <c r="B198" s="521" t="s">
        <v>1416</v>
      </c>
      <c r="C198" s="324"/>
      <c r="D198" s="324"/>
      <c r="E198" s="324"/>
      <c r="F198" s="324"/>
      <c r="G198" s="324"/>
      <c r="H198" s="408"/>
    </row>
    <row r="199" spans="1:8" s="1128" customFormat="1" ht="51.75" customHeight="1" x14ac:dyDescent="0.2">
      <c r="A199" s="550">
        <f t="shared" si="2"/>
        <v>182</v>
      </c>
      <c r="B199" s="521" t="s">
        <v>1415</v>
      </c>
      <c r="C199" s="324"/>
      <c r="D199" s="324"/>
      <c r="E199" s="324"/>
      <c r="F199" s="324"/>
      <c r="G199" s="324"/>
      <c r="H199" s="408"/>
    </row>
    <row r="200" spans="1:8" ht="30" x14ac:dyDescent="0.2">
      <c r="A200" s="550">
        <f t="shared" si="2"/>
        <v>183</v>
      </c>
      <c r="B200" s="409" t="s">
        <v>1414</v>
      </c>
      <c r="C200" s="288"/>
      <c r="D200" s="288"/>
      <c r="E200" s="288"/>
      <c r="F200" s="288"/>
      <c r="G200" s="288"/>
      <c r="H200" s="408"/>
    </row>
    <row r="201" spans="1:8" ht="15" x14ac:dyDescent="0.25">
      <c r="A201" s="550">
        <f t="shared" si="2"/>
        <v>184</v>
      </c>
      <c r="B201" s="565" t="s">
        <v>1413</v>
      </c>
      <c r="C201" s="565"/>
      <c r="D201" s="565"/>
      <c r="E201" s="565"/>
      <c r="F201" s="565"/>
      <c r="G201" s="565"/>
      <c r="H201" s="1144"/>
    </row>
    <row r="202" spans="1:8" ht="15" x14ac:dyDescent="0.2">
      <c r="A202" s="550">
        <f t="shared" si="2"/>
        <v>185</v>
      </c>
      <c r="B202" s="573" t="s">
        <v>1412</v>
      </c>
      <c r="C202" s="288"/>
      <c r="D202" s="288"/>
      <c r="E202" s="288"/>
      <c r="F202" s="288"/>
      <c r="G202" s="288"/>
      <c r="H202" s="1140"/>
    </row>
    <row r="203" spans="1:8" ht="45" x14ac:dyDescent="0.2">
      <c r="A203" s="550">
        <f t="shared" si="2"/>
        <v>186</v>
      </c>
      <c r="B203" s="573" t="s">
        <v>1411</v>
      </c>
      <c r="C203" s="288"/>
      <c r="D203" s="288"/>
      <c r="E203" s="288"/>
      <c r="F203" s="288"/>
      <c r="G203" s="288"/>
      <c r="H203" s="1140"/>
    </row>
    <row r="204" spans="1:8" ht="15" x14ac:dyDescent="0.2">
      <c r="A204" s="550">
        <f t="shared" si="2"/>
        <v>187</v>
      </c>
      <c r="B204" s="573" t="s">
        <v>1410</v>
      </c>
      <c r="C204" s="288"/>
      <c r="D204" s="288"/>
      <c r="E204" s="288"/>
      <c r="F204" s="288"/>
      <c r="G204" s="288"/>
      <c r="H204" s="1140"/>
    </row>
    <row r="205" spans="1:8" ht="15" x14ac:dyDescent="0.2">
      <c r="A205" s="550">
        <f t="shared" si="2"/>
        <v>188</v>
      </c>
      <c r="B205" s="573" t="s">
        <v>1409</v>
      </c>
      <c r="C205" s="558"/>
      <c r="D205" s="558"/>
      <c r="E205" s="558"/>
      <c r="F205" s="558"/>
      <c r="G205" s="558"/>
      <c r="H205" s="1140"/>
    </row>
    <row r="206" spans="1:8" ht="15" x14ac:dyDescent="0.2">
      <c r="A206" s="550">
        <f t="shared" si="2"/>
        <v>189</v>
      </c>
      <c r="B206" s="532" t="s">
        <v>1408</v>
      </c>
      <c r="C206" s="288"/>
      <c r="D206" s="288"/>
      <c r="E206" s="288"/>
      <c r="F206" s="288"/>
      <c r="G206" s="288"/>
      <c r="H206" s="1140"/>
    </row>
    <row r="207" spans="1:8" ht="15" x14ac:dyDescent="0.2">
      <c r="A207" s="550">
        <f t="shared" si="2"/>
        <v>190</v>
      </c>
      <c r="B207" s="532" t="s">
        <v>90</v>
      </c>
      <c r="C207" s="288"/>
      <c r="D207" s="288"/>
      <c r="E207" s="288"/>
      <c r="F207" s="288"/>
      <c r="G207" s="288"/>
      <c r="H207" s="1140"/>
    </row>
    <row r="208" spans="1:8" ht="15" x14ac:dyDescent="0.2">
      <c r="A208" s="550">
        <f t="shared" si="2"/>
        <v>191</v>
      </c>
      <c r="B208" s="532" t="s">
        <v>1407</v>
      </c>
      <c r="C208" s="288"/>
      <c r="D208" s="288"/>
      <c r="E208" s="288"/>
      <c r="F208" s="288"/>
      <c r="G208" s="288"/>
      <c r="H208" s="1140"/>
    </row>
    <row r="209" spans="1:8" ht="15" x14ac:dyDescent="0.2">
      <c r="A209" s="550">
        <f t="shared" si="2"/>
        <v>192</v>
      </c>
      <c r="B209" s="532" t="s">
        <v>1406</v>
      </c>
      <c r="C209" s="288"/>
      <c r="D209" s="288"/>
      <c r="E209" s="288"/>
      <c r="F209" s="288"/>
      <c r="G209" s="288"/>
      <c r="H209" s="1140"/>
    </row>
    <row r="210" spans="1:8" s="1128" customFormat="1" ht="30" x14ac:dyDescent="0.2">
      <c r="A210" s="550">
        <f t="shared" si="2"/>
        <v>193</v>
      </c>
      <c r="B210" s="318" t="s">
        <v>1405</v>
      </c>
      <c r="C210" s="332"/>
      <c r="D210" s="332"/>
      <c r="E210" s="332"/>
      <c r="F210" s="332"/>
      <c r="G210" s="332"/>
      <c r="H210" s="1140"/>
    </row>
    <row r="211" spans="1:8" s="1128" customFormat="1" ht="15" x14ac:dyDescent="0.2">
      <c r="A211" s="550">
        <f t="shared" si="2"/>
        <v>194</v>
      </c>
      <c r="B211" s="318" t="s">
        <v>1404</v>
      </c>
      <c r="C211" s="332"/>
      <c r="D211" s="332"/>
      <c r="E211" s="332"/>
      <c r="F211" s="332"/>
      <c r="G211" s="332"/>
      <c r="H211" s="1140"/>
    </row>
    <row r="212" spans="1:8" ht="15" x14ac:dyDescent="0.25">
      <c r="A212" s="550">
        <f t="shared" ref="A212:A275" si="3">A211+1</f>
        <v>195</v>
      </c>
      <c r="B212" s="565" t="s">
        <v>1403</v>
      </c>
      <c r="C212" s="565"/>
      <c r="D212" s="565"/>
      <c r="E212" s="565"/>
      <c r="F212" s="565"/>
      <c r="G212" s="565"/>
      <c r="H212" s="1144"/>
    </row>
    <row r="213" spans="1:8" ht="15" x14ac:dyDescent="0.2">
      <c r="A213" s="550">
        <f t="shared" si="3"/>
        <v>196</v>
      </c>
      <c r="B213" s="279" t="s">
        <v>1402</v>
      </c>
      <c r="C213" s="388"/>
      <c r="D213" s="388"/>
      <c r="E213" s="388"/>
      <c r="F213" s="388"/>
      <c r="G213" s="388"/>
      <c r="H213" s="1139"/>
    </row>
    <row r="214" spans="1:8" ht="15" x14ac:dyDescent="0.2">
      <c r="A214" s="550">
        <f t="shared" si="3"/>
        <v>197</v>
      </c>
      <c r="B214" s="409" t="s">
        <v>1401</v>
      </c>
      <c r="C214" s="566"/>
      <c r="D214" s="288"/>
      <c r="E214" s="288"/>
      <c r="F214" s="288"/>
      <c r="G214" s="288"/>
      <c r="H214" s="408"/>
    </row>
    <row r="215" spans="1:8" ht="30" x14ac:dyDescent="0.2">
      <c r="A215" s="550">
        <f t="shared" si="3"/>
        <v>198</v>
      </c>
      <c r="B215" s="378" t="s">
        <v>1400</v>
      </c>
      <c r="C215" s="334"/>
      <c r="D215" s="334"/>
      <c r="E215" s="334"/>
      <c r="F215" s="334"/>
      <c r="G215" s="334"/>
      <c r="H215" s="408"/>
    </row>
    <row r="216" spans="1:8" ht="15" x14ac:dyDescent="0.2">
      <c r="A216" s="550">
        <f t="shared" si="3"/>
        <v>199</v>
      </c>
      <c r="B216" s="378" t="s">
        <v>1399</v>
      </c>
      <c r="C216" s="335"/>
      <c r="D216" s="335"/>
      <c r="E216" s="335"/>
      <c r="F216" s="335"/>
      <c r="G216" s="335"/>
      <c r="H216" s="408"/>
    </row>
    <row r="217" spans="1:8" ht="15" x14ac:dyDescent="0.2">
      <c r="A217" s="550">
        <f t="shared" si="3"/>
        <v>200</v>
      </c>
      <c r="B217" s="376" t="s">
        <v>144</v>
      </c>
      <c r="C217" s="334"/>
      <c r="D217" s="334"/>
      <c r="E217" s="334"/>
      <c r="F217" s="334"/>
      <c r="G217" s="334"/>
      <c r="H217" s="408"/>
    </row>
    <row r="218" spans="1:8" ht="15" x14ac:dyDescent="0.2">
      <c r="A218" s="550">
        <f t="shared" si="3"/>
        <v>201</v>
      </c>
      <c r="B218" s="376" t="s">
        <v>143</v>
      </c>
      <c r="C218" s="334"/>
      <c r="D218" s="334"/>
      <c r="E218" s="334"/>
      <c r="F218" s="334"/>
      <c r="G218" s="334"/>
      <c r="H218" s="408"/>
    </row>
    <row r="219" spans="1:8" ht="30" x14ac:dyDescent="0.2">
      <c r="A219" s="550">
        <f t="shared" si="3"/>
        <v>202</v>
      </c>
      <c r="B219" s="408" t="s">
        <v>1398</v>
      </c>
      <c r="C219" s="288"/>
      <c r="D219" s="288"/>
      <c r="E219" s="288"/>
      <c r="F219" s="288"/>
      <c r="G219" s="288"/>
      <c r="H219" s="408"/>
    </row>
    <row r="220" spans="1:8" ht="45" x14ac:dyDescent="0.2">
      <c r="A220" s="550">
        <f t="shared" si="3"/>
        <v>203</v>
      </c>
      <c r="B220" s="409" t="s">
        <v>1397</v>
      </c>
      <c r="C220" s="288"/>
      <c r="D220" s="288"/>
      <c r="E220" s="288"/>
      <c r="F220" s="288"/>
      <c r="G220" s="288"/>
      <c r="H220" s="408"/>
    </row>
    <row r="221" spans="1:8" ht="30" x14ac:dyDescent="0.2">
      <c r="A221" s="550">
        <f t="shared" si="3"/>
        <v>204</v>
      </c>
      <c r="B221" s="464" t="s">
        <v>1396</v>
      </c>
      <c r="C221" s="572"/>
      <c r="D221" s="572"/>
      <c r="E221" s="572"/>
      <c r="F221" s="572"/>
      <c r="G221" s="572"/>
      <c r="H221" s="408"/>
    </row>
    <row r="222" spans="1:8" ht="45" x14ac:dyDescent="0.2">
      <c r="A222" s="550">
        <f t="shared" si="3"/>
        <v>205</v>
      </c>
      <c r="B222" s="408" t="s">
        <v>1395</v>
      </c>
      <c r="C222" s="558"/>
      <c r="D222" s="558"/>
      <c r="E222" s="558"/>
      <c r="F222" s="558"/>
      <c r="G222" s="558"/>
      <c r="H222" s="408"/>
    </row>
    <row r="223" spans="1:8" ht="15" x14ac:dyDescent="0.2">
      <c r="A223" s="550">
        <f t="shared" si="3"/>
        <v>206</v>
      </c>
      <c r="B223" s="564" t="s">
        <v>1394</v>
      </c>
      <c r="C223" s="288"/>
      <c r="D223" s="288"/>
      <c r="E223" s="288"/>
      <c r="F223" s="288"/>
      <c r="G223" s="288"/>
      <c r="H223" s="408"/>
    </row>
    <row r="224" spans="1:8" ht="15" x14ac:dyDescent="0.2">
      <c r="A224" s="550">
        <f t="shared" si="3"/>
        <v>207</v>
      </c>
      <c r="B224" s="554" t="s">
        <v>1393</v>
      </c>
      <c r="C224" s="288"/>
      <c r="D224" s="288"/>
      <c r="E224" s="288"/>
      <c r="F224" s="288"/>
      <c r="G224" s="288"/>
      <c r="H224" s="408"/>
    </row>
    <row r="225" spans="1:8" ht="15" x14ac:dyDescent="0.2">
      <c r="A225" s="550">
        <f t="shared" si="3"/>
        <v>208</v>
      </c>
      <c r="B225" s="554" t="s">
        <v>1392</v>
      </c>
      <c r="C225" s="288"/>
      <c r="D225" s="288"/>
      <c r="E225" s="288"/>
      <c r="F225" s="288"/>
      <c r="G225" s="288"/>
      <c r="H225" s="408"/>
    </row>
    <row r="226" spans="1:8" ht="15" x14ac:dyDescent="0.2">
      <c r="A226" s="550">
        <f t="shared" si="3"/>
        <v>209</v>
      </c>
      <c r="B226" s="554" t="s">
        <v>1391</v>
      </c>
      <c r="C226" s="288"/>
      <c r="D226" s="288"/>
      <c r="E226" s="288"/>
      <c r="F226" s="288"/>
      <c r="G226" s="288"/>
      <c r="H226" s="1141"/>
    </row>
    <row r="227" spans="1:8" ht="15" x14ac:dyDescent="0.2">
      <c r="A227" s="550">
        <f t="shared" si="3"/>
        <v>210</v>
      </c>
      <c r="B227" s="560" t="s">
        <v>1390</v>
      </c>
      <c r="C227" s="288"/>
      <c r="D227" s="288"/>
      <c r="E227" s="288"/>
      <c r="F227" s="288"/>
      <c r="G227" s="288"/>
      <c r="H227" s="1141"/>
    </row>
    <row r="228" spans="1:8" ht="15" x14ac:dyDescent="0.2">
      <c r="A228" s="550">
        <f t="shared" si="3"/>
        <v>211</v>
      </c>
      <c r="B228" s="554" t="s">
        <v>1389</v>
      </c>
      <c r="C228" s="288"/>
      <c r="D228" s="288"/>
      <c r="E228" s="288"/>
      <c r="F228" s="288"/>
      <c r="G228" s="288"/>
      <c r="H228" s="1141"/>
    </row>
    <row r="229" spans="1:8" ht="15" x14ac:dyDescent="0.2">
      <c r="A229" s="550">
        <f t="shared" si="3"/>
        <v>212</v>
      </c>
      <c r="B229" s="554" t="s">
        <v>1388</v>
      </c>
      <c r="C229" s="288"/>
      <c r="D229" s="288"/>
      <c r="E229" s="288"/>
      <c r="F229" s="288"/>
      <c r="G229" s="288"/>
      <c r="H229" s="1141"/>
    </row>
    <row r="230" spans="1:8" ht="15" x14ac:dyDescent="0.2">
      <c r="A230" s="550">
        <f t="shared" si="3"/>
        <v>213</v>
      </c>
      <c r="B230" s="554" t="s">
        <v>1295</v>
      </c>
      <c r="C230" s="288"/>
      <c r="D230" s="288"/>
      <c r="E230" s="288"/>
      <c r="F230" s="288"/>
      <c r="G230" s="288"/>
      <c r="H230" s="1141"/>
    </row>
    <row r="231" spans="1:8" ht="15" x14ac:dyDescent="0.2">
      <c r="A231" s="550">
        <f t="shared" si="3"/>
        <v>214</v>
      </c>
      <c r="B231" s="554" t="s">
        <v>302</v>
      </c>
      <c r="C231" s="561"/>
      <c r="D231" s="561"/>
      <c r="E231" s="561"/>
      <c r="F231" s="561"/>
      <c r="G231" s="561"/>
      <c r="H231" s="1141"/>
    </row>
    <row r="232" spans="1:8" ht="15" x14ac:dyDescent="0.2">
      <c r="A232" s="550">
        <f t="shared" si="3"/>
        <v>215</v>
      </c>
      <c r="B232" s="555" t="s">
        <v>1387</v>
      </c>
      <c r="C232" s="324"/>
      <c r="D232" s="324"/>
      <c r="E232" s="324"/>
      <c r="F232" s="324"/>
      <c r="G232" s="324"/>
      <c r="H232" s="1141"/>
    </row>
    <row r="233" spans="1:8" ht="15" x14ac:dyDescent="0.2">
      <c r="A233" s="550">
        <f t="shared" si="3"/>
        <v>216</v>
      </c>
      <c r="B233" s="554" t="s">
        <v>1386</v>
      </c>
      <c r="C233" s="288"/>
      <c r="D233" s="288"/>
      <c r="E233" s="288"/>
      <c r="F233" s="288"/>
      <c r="G233" s="288"/>
      <c r="H233" s="1141"/>
    </row>
    <row r="234" spans="1:8" s="1128" customFormat="1" ht="15" x14ac:dyDescent="0.2">
      <c r="A234" s="550">
        <f t="shared" si="3"/>
        <v>217</v>
      </c>
      <c r="B234" s="555" t="s">
        <v>1385</v>
      </c>
      <c r="C234" s="324"/>
      <c r="D234" s="324"/>
      <c r="E234" s="324"/>
      <c r="F234" s="324"/>
      <c r="G234" s="324"/>
      <c r="H234" s="1141"/>
    </row>
    <row r="235" spans="1:8" s="1128" customFormat="1" ht="15" x14ac:dyDescent="0.2">
      <c r="A235" s="550">
        <f t="shared" si="3"/>
        <v>218</v>
      </c>
      <c r="B235" s="555" t="s">
        <v>381</v>
      </c>
      <c r="C235" s="324"/>
      <c r="D235" s="324"/>
      <c r="E235" s="324"/>
      <c r="F235" s="324"/>
      <c r="G235" s="324"/>
      <c r="H235" s="1140"/>
    </row>
    <row r="236" spans="1:8" ht="15" x14ac:dyDescent="0.2">
      <c r="A236" s="550">
        <f t="shared" si="3"/>
        <v>219</v>
      </c>
      <c r="B236" s="554" t="s">
        <v>1384</v>
      </c>
      <c r="C236" s="558"/>
      <c r="D236" s="558"/>
      <c r="E236" s="558"/>
      <c r="F236" s="558"/>
      <c r="G236" s="558"/>
      <c r="H236" s="1141"/>
    </row>
    <row r="237" spans="1:8" ht="15" x14ac:dyDescent="0.2">
      <c r="A237" s="550">
        <f t="shared" si="3"/>
        <v>220</v>
      </c>
      <c r="B237" s="571" t="s">
        <v>236</v>
      </c>
      <c r="C237" s="288"/>
      <c r="D237" s="288"/>
      <c r="E237" s="288"/>
      <c r="F237" s="288"/>
      <c r="G237" s="288"/>
      <c r="H237" s="1141"/>
    </row>
    <row r="238" spans="1:8" ht="15" x14ac:dyDescent="0.2">
      <c r="A238" s="550">
        <f t="shared" si="3"/>
        <v>221</v>
      </c>
      <c r="B238" s="571" t="s">
        <v>1383</v>
      </c>
      <c r="C238" s="288"/>
      <c r="D238" s="288"/>
      <c r="E238" s="288"/>
      <c r="F238" s="288"/>
      <c r="G238" s="288"/>
      <c r="H238" s="1141"/>
    </row>
    <row r="239" spans="1:8" ht="15" x14ac:dyDescent="0.2">
      <c r="A239" s="550">
        <f t="shared" si="3"/>
        <v>222</v>
      </c>
      <c r="B239" s="571" t="s">
        <v>537</v>
      </c>
      <c r="C239" s="288"/>
      <c r="D239" s="288"/>
      <c r="E239" s="288"/>
      <c r="F239" s="288"/>
      <c r="G239" s="288"/>
      <c r="H239" s="1141"/>
    </row>
    <row r="240" spans="1:8" s="1128" customFormat="1" ht="15" x14ac:dyDescent="0.2">
      <c r="A240" s="550">
        <f t="shared" si="3"/>
        <v>223</v>
      </c>
      <c r="B240" s="979" t="s">
        <v>1382</v>
      </c>
      <c r="C240" s="324"/>
      <c r="D240" s="324"/>
      <c r="E240" s="324"/>
      <c r="F240" s="324"/>
      <c r="G240" s="324"/>
      <c r="H240" s="1141"/>
    </row>
    <row r="241" spans="1:8" ht="15" x14ac:dyDescent="0.2">
      <c r="A241" s="550">
        <f t="shared" si="3"/>
        <v>224</v>
      </c>
      <c r="B241" s="554" t="s">
        <v>1381</v>
      </c>
      <c r="C241" s="288"/>
      <c r="D241" s="288"/>
      <c r="E241" s="288"/>
      <c r="F241" s="288"/>
      <c r="G241" s="288"/>
      <c r="H241" s="1141"/>
    </row>
    <row r="242" spans="1:8" s="1128" customFormat="1" ht="15" x14ac:dyDescent="0.2">
      <c r="A242" s="550">
        <f t="shared" si="3"/>
        <v>225</v>
      </c>
      <c r="B242" s="555" t="s">
        <v>1380</v>
      </c>
      <c r="C242" s="324"/>
      <c r="D242" s="324"/>
      <c r="E242" s="324"/>
      <c r="F242" s="324"/>
      <c r="G242" s="324"/>
      <c r="H242" s="1140"/>
    </row>
    <row r="243" spans="1:8" ht="15" x14ac:dyDescent="0.2">
      <c r="A243" s="550">
        <f t="shared" si="3"/>
        <v>226</v>
      </c>
      <c r="B243" s="554" t="s">
        <v>1379</v>
      </c>
      <c r="C243" s="288"/>
      <c r="D243" s="288"/>
      <c r="E243" s="288"/>
      <c r="F243" s="288"/>
      <c r="G243" s="288"/>
      <c r="H243" s="1141"/>
    </row>
    <row r="244" spans="1:8" ht="15" x14ac:dyDescent="0.2">
      <c r="A244" s="550">
        <f t="shared" si="3"/>
        <v>227</v>
      </c>
      <c r="B244" s="555" t="s">
        <v>1378</v>
      </c>
      <c r="C244" s="324"/>
      <c r="D244" s="324"/>
      <c r="E244" s="324"/>
      <c r="F244" s="324"/>
      <c r="G244" s="324"/>
      <c r="H244" s="1141"/>
    </row>
    <row r="245" spans="1:8" ht="15" x14ac:dyDescent="0.2">
      <c r="A245" s="550">
        <f t="shared" si="3"/>
        <v>228</v>
      </c>
      <c r="B245" s="554" t="s">
        <v>1377</v>
      </c>
      <c r="C245" s="288"/>
      <c r="D245" s="288"/>
      <c r="E245" s="288"/>
      <c r="F245" s="288"/>
      <c r="G245" s="288"/>
      <c r="H245" s="1141"/>
    </row>
    <row r="246" spans="1:8" ht="15" x14ac:dyDescent="0.2">
      <c r="A246" s="550">
        <f t="shared" si="3"/>
        <v>229</v>
      </c>
      <c r="B246" s="554" t="s">
        <v>1376</v>
      </c>
      <c r="C246" s="288"/>
      <c r="D246" s="288"/>
      <c r="E246" s="288"/>
      <c r="F246" s="288"/>
      <c r="G246" s="288"/>
      <c r="H246" s="1141"/>
    </row>
    <row r="247" spans="1:8" ht="15" x14ac:dyDescent="0.2">
      <c r="A247" s="550">
        <f t="shared" si="3"/>
        <v>230</v>
      </c>
      <c r="B247" s="554" t="s">
        <v>1375</v>
      </c>
      <c r="C247" s="288"/>
      <c r="D247" s="288"/>
      <c r="E247" s="288"/>
      <c r="F247" s="288"/>
      <c r="G247" s="288"/>
      <c r="H247" s="1141"/>
    </row>
    <row r="248" spans="1:8" s="1128" customFormat="1" ht="15" x14ac:dyDescent="0.2">
      <c r="A248" s="550">
        <f t="shared" si="3"/>
        <v>231</v>
      </c>
      <c r="B248" s="555" t="s">
        <v>1374</v>
      </c>
      <c r="C248" s="324"/>
      <c r="D248" s="324"/>
      <c r="E248" s="324"/>
      <c r="F248" s="324"/>
      <c r="G248" s="324"/>
      <c r="H248" s="1140"/>
    </row>
    <row r="249" spans="1:8" s="1128" customFormat="1" ht="15" x14ac:dyDescent="0.2">
      <c r="A249" s="550">
        <f t="shared" si="3"/>
        <v>232</v>
      </c>
      <c r="B249" s="555" t="s">
        <v>1373</v>
      </c>
      <c r="C249" s="324"/>
      <c r="D249" s="324"/>
      <c r="E249" s="324"/>
      <c r="F249" s="324"/>
      <c r="G249" s="324"/>
      <c r="H249" s="1140"/>
    </row>
    <row r="250" spans="1:8" ht="30" x14ac:dyDescent="0.2">
      <c r="A250" s="550">
        <f t="shared" si="3"/>
        <v>233</v>
      </c>
      <c r="B250" s="567" t="s">
        <v>1372</v>
      </c>
      <c r="C250" s="553"/>
      <c r="D250" s="553"/>
      <c r="E250" s="553"/>
      <c r="F250" s="553"/>
      <c r="G250" s="553"/>
      <c r="H250" s="1141"/>
    </row>
    <row r="251" spans="1:8" ht="15" x14ac:dyDescent="0.2">
      <c r="A251" s="550">
        <f t="shared" si="3"/>
        <v>234</v>
      </c>
      <c r="B251" s="279" t="s">
        <v>1371</v>
      </c>
      <c r="C251" s="388"/>
      <c r="D251" s="388"/>
      <c r="E251" s="388"/>
      <c r="F251" s="388"/>
      <c r="G251" s="388"/>
      <c r="H251" s="1139"/>
    </row>
    <row r="252" spans="1:8" ht="30" x14ac:dyDescent="0.2">
      <c r="A252" s="550">
        <f t="shared" si="3"/>
        <v>235</v>
      </c>
      <c r="B252" s="408" t="s">
        <v>1370</v>
      </c>
      <c r="C252" s="288"/>
      <c r="D252" s="288"/>
      <c r="E252" s="288"/>
      <c r="F252" s="288"/>
      <c r="G252" s="288"/>
      <c r="H252" s="1141"/>
    </row>
    <row r="253" spans="1:8" ht="45" x14ac:dyDescent="0.2">
      <c r="A253" s="550">
        <f t="shared" si="3"/>
        <v>236</v>
      </c>
      <c r="B253" s="521" t="s">
        <v>1369</v>
      </c>
      <c r="C253" s="288"/>
      <c r="D253" s="288"/>
      <c r="E253" s="288"/>
      <c r="F253" s="288"/>
      <c r="G253" s="288"/>
      <c r="H253" s="1141"/>
    </row>
    <row r="254" spans="1:8" ht="45" x14ac:dyDescent="0.2">
      <c r="A254" s="550">
        <f t="shared" si="3"/>
        <v>237</v>
      </c>
      <c r="B254" s="521" t="s">
        <v>1368</v>
      </c>
      <c r="C254" s="288"/>
      <c r="D254" s="288"/>
      <c r="E254" s="288"/>
      <c r="F254" s="288"/>
      <c r="G254" s="288"/>
      <c r="H254" s="1141"/>
    </row>
    <row r="255" spans="1:8" s="1128" customFormat="1" ht="45" x14ac:dyDescent="0.2">
      <c r="A255" s="550">
        <f t="shared" si="3"/>
        <v>238</v>
      </c>
      <c r="B255" s="559" t="s">
        <v>1367</v>
      </c>
      <c r="C255" s="324"/>
      <c r="D255" s="324"/>
      <c r="E255" s="324"/>
      <c r="F255" s="324"/>
      <c r="G255" s="324"/>
      <c r="H255" s="1141"/>
    </row>
    <row r="256" spans="1:8" s="1128" customFormat="1" ht="75" x14ac:dyDescent="0.2">
      <c r="A256" s="550">
        <f t="shared" si="3"/>
        <v>239</v>
      </c>
      <c r="B256" s="559" t="s">
        <v>1366</v>
      </c>
      <c r="C256" s="324"/>
      <c r="D256" s="324"/>
      <c r="E256" s="324"/>
      <c r="F256" s="324"/>
      <c r="G256" s="324"/>
      <c r="H256" s="1141"/>
    </row>
    <row r="257" spans="1:59" s="1128" customFormat="1" ht="30" x14ac:dyDescent="0.2">
      <c r="A257" s="550">
        <f t="shared" si="3"/>
        <v>240</v>
      </c>
      <c r="B257" s="521" t="s">
        <v>1365</v>
      </c>
      <c r="C257" s="324"/>
      <c r="D257" s="324"/>
      <c r="E257" s="324"/>
      <c r="F257" s="324"/>
      <c r="G257" s="324"/>
      <c r="H257" s="1141"/>
    </row>
    <row r="258" spans="1:59" ht="15" x14ac:dyDescent="0.2">
      <c r="A258" s="550">
        <f t="shared" si="3"/>
        <v>241</v>
      </c>
      <c r="B258" s="279" t="s">
        <v>1364</v>
      </c>
      <c r="C258" s="388"/>
      <c r="D258" s="388"/>
      <c r="E258" s="388"/>
      <c r="F258" s="388"/>
      <c r="G258" s="388"/>
      <c r="H258" s="1139"/>
    </row>
    <row r="259" spans="1:59" ht="45" x14ac:dyDescent="0.2">
      <c r="A259" s="550">
        <f t="shared" si="3"/>
        <v>242</v>
      </c>
      <c r="B259" s="350" t="s">
        <v>1363</v>
      </c>
      <c r="C259" s="288"/>
      <c r="D259" s="288"/>
      <c r="E259" s="288"/>
      <c r="F259" s="288"/>
      <c r="G259" s="288"/>
      <c r="H259" s="1141"/>
    </row>
    <row r="260" spans="1:59" ht="30" x14ac:dyDescent="0.2">
      <c r="A260" s="550">
        <f t="shared" si="3"/>
        <v>243</v>
      </c>
      <c r="B260" s="521" t="s">
        <v>1362</v>
      </c>
      <c r="C260" s="288"/>
      <c r="D260" s="288"/>
      <c r="E260" s="288"/>
      <c r="F260" s="288"/>
      <c r="G260" s="288"/>
      <c r="H260" s="1141"/>
    </row>
    <row r="261" spans="1:59" s="556" customFormat="1" ht="51.75" customHeight="1" x14ac:dyDescent="0.2">
      <c r="A261" s="550">
        <f t="shared" si="3"/>
        <v>244</v>
      </c>
      <c r="B261" s="521" t="s">
        <v>1361</v>
      </c>
      <c r="C261" s="324"/>
      <c r="D261" s="324"/>
      <c r="E261" s="324"/>
      <c r="F261" s="324"/>
      <c r="G261" s="324"/>
      <c r="H261" s="1141"/>
      <c r="I261" s="1128"/>
      <c r="J261" s="1128"/>
      <c r="K261" s="1128"/>
      <c r="L261" s="1128"/>
      <c r="M261" s="1128"/>
      <c r="N261" s="1128"/>
      <c r="O261" s="1128"/>
      <c r="P261" s="1128"/>
      <c r="Q261" s="1128"/>
      <c r="R261" s="1128"/>
      <c r="S261" s="1128"/>
      <c r="T261" s="1128"/>
      <c r="U261" s="1128"/>
      <c r="V261" s="1128"/>
      <c r="W261" s="1128"/>
      <c r="X261" s="1128"/>
      <c r="Y261" s="1128"/>
      <c r="Z261" s="1128"/>
      <c r="AA261" s="1128"/>
      <c r="AB261" s="1128"/>
      <c r="AC261" s="1128"/>
      <c r="AD261" s="1128"/>
      <c r="AE261" s="1128"/>
      <c r="AF261" s="1128"/>
      <c r="AG261" s="1128"/>
      <c r="AH261" s="1128"/>
      <c r="AI261" s="1128"/>
      <c r="AJ261" s="1128"/>
      <c r="AK261" s="1128"/>
      <c r="AL261" s="1128"/>
      <c r="AM261" s="1128"/>
      <c r="AN261" s="1128"/>
      <c r="AO261" s="1128"/>
      <c r="AP261" s="1128"/>
      <c r="AQ261" s="1128"/>
      <c r="AR261" s="1128"/>
      <c r="AS261" s="1128"/>
      <c r="AT261" s="1128"/>
      <c r="AU261" s="1128"/>
      <c r="AV261" s="1128"/>
      <c r="AW261" s="1128"/>
      <c r="AX261" s="1128"/>
      <c r="AY261" s="1128"/>
      <c r="AZ261" s="1128"/>
      <c r="BA261" s="1128"/>
      <c r="BB261" s="1128"/>
      <c r="BC261" s="1128"/>
      <c r="BD261" s="1128"/>
      <c r="BE261" s="1128"/>
      <c r="BF261" s="1128"/>
      <c r="BG261" s="1128"/>
    </row>
    <row r="262" spans="1:59" ht="30" x14ac:dyDescent="0.2">
      <c r="A262" s="550">
        <f t="shared" si="3"/>
        <v>245</v>
      </c>
      <c r="B262" s="570" t="s">
        <v>1360</v>
      </c>
      <c r="C262" s="324"/>
      <c r="D262" s="324"/>
      <c r="E262" s="324"/>
      <c r="F262" s="324"/>
      <c r="G262" s="324"/>
      <c r="H262" s="1141"/>
    </row>
    <row r="263" spans="1:59" s="1128" customFormat="1" ht="30" x14ac:dyDescent="0.2">
      <c r="A263" s="550">
        <f t="shared" si="3"/>
        <v>246</v>
      </c>
      <c r="B263" s="570" t="s">
        <v>1359</v>
      </c>
      <c r="C263" s="324"/>
      <c r="D263" s="324"/>
      <c r="E263" s="324"/>
      <c r="F263" s="324"/>
      <c r="G263" s="324"/>
      <c r="H263" s="1141"/>
    </row>
    <row r="264" spans="1:59" s="1128" customFormat="1" ht="30" x14ac:dyDescent="0.2">
      <c r="A264" s="550">
        <f t="shared" si="3"/>
        <v>247</v>
      </c>
      <c r="B264" s="570" t="s">
        <v>1358</v>
      </c>
      <c r="C264" s="324"/>
      <c r="D264" s="324"/>
      <c r="E264" s="324"/>
      <c r="F264" s="324"/>
      <c r="G264" s="324"/>
      <c r="H264" s="1141"/>
    </row>
    <row r="265" spans="1:59" ht="30" x14ac:dyDescent="0.2">
      <c r="A265" s="550">
        <f t="shared" si="3"/>
        <v>248</v>
      </c>
      <c r="B265" s="569" t="s">
        <v>1357</v>
      </c>
      <c r="C265" s="324"/>
      <c r="D265" s="324"/>
      <c r="E265" s="324"/>
      <c r="F265" s="324"/>
      <c r="G265" s="324"/>
      <c r="H265" s="1140"/>
    </row>
    <row r="266" spans="1:59" ht="30" x14ac:dyDescent="0.2">
      <c r="A266" s="550">
        <f t="shared" si="3"/>
        <v>249</v>
      </c>
      <c r="B266" s="378" t="s">
        <v>1356</v>
      </c>
      <c r="C266" s="334"/>
      <c r="D266" s="334"/>
      <c r="E266" s="334"/>
      <c r="F266" s="334"/>
      <c r="G266" s="334"/>
      <c r="H266" s="378"/>
    </row>
    <row r="267" spans="1:59" ht="15" x14ac:dyDescent="0.2">
      <c r="A267" s="550">
        <f t="shared" si="3"/>
        <v>250</v>
      </c>
      <c r="B267" s="279" t="s">
        <v>1355</v>
      </c>
      <c r="C267" s="388"/>
      <c r="D267" s="388"/>
      <c r="E267" s="388"/>
      <c r="F267" s="388"/>
      <c r="G267" s="388"/>
      <c r="H267" s="1139"/>
    </row>
    <row r="268" spans="1:59" ht="30" x14ac:dyDescent="0.2">
      <c r="A268" s="550">
        <f t="shared" si="3"/>
        <v>251</v>
      </c>
      <c r="B268" s="409" t="s">
        <v>1354</v>
      </c>
      <c r="C268" s="558"/>
      <c r="D268" s="558"/>
      <c r="E268" s="558"/>
      <c r="F268" s="558"/>
      <c r="G268" s="558"/>
      <c r="H268" s="1140"/>
    </row>
    <row r="269" spans="1:59" ht="15" x14ac:dyDescent="0.2">
      <c r="A269" s="550">
        <f t="shared" si="3"/>
        <v>252</v>
      </c>
      <c r="B269" s="554" t="s">
        <v>1353</v>
      </c>
      <c r="C269" s="566"/>
      <c r="D269" s="566"/>
      <c r="E269" s="566"/>
      <c r="F269" s="566"/>
      <c r="G269" s="566"/>
      <c r="H269" s="1140"/>
    </row>
    <row r="270" spans="1:59" s="1128" customFormat="1" ht="15" x14ac:dyDescent="0.2">
      <c r="A270" s="550">
        <f t="shared" si="3"/>
        <v>253</v>
      </c>
      <c r="B270" s="555" t="s">
        <v>1352</v>
      </c>
      <c r="C270" s="324"/>
      <c r="D270" s="324"/>
      <c r="E270" s="324"/>
      <c r="F270" s="324"/>
      <c r="G270" s="324"/>
      <c r="H270" s="1140"/>
    </row>
    <row r="271" spans="1:59" s="1128" customFormat="1" ht="30" x14ac:dyDescent="0.2">
      <c r="A271" s="550">
        <f t="shared" si="3"/>
        <v>254</v>
      </c>
      <c r="B271" s="555" t="s">
        <v>1351</v>
      </c>
      <c r="C271" s="324"/>
      <c r="D271" s="324"/>
      <c r="E271" s="324"/>
      <c r="F271" s="324"/>
      <c r="G271" s="324"/>
      <c r="H271" s="1140"/>
    </row>
    <row r="272" spans="1:59" s="1128" customFormat="1" ht="15" x14ac:dyDescent="0.2">
      <c r="A272" s="550">
        <f t="shared" si="3"/>
        <v>255</v>
      </c>
      <c r="B272" s="555" t="s">
        <v>1350</v>
      </c>
      <c r="C272" s="324"/>
      <c r="D272" s="324"/>
      <c r="E272" s="324"/>
      <c r="F272" s="324"/>
      <c r="G272" s="324"/>
      <c r="H272" s="1140"/>
    </row>
    <row r="273" spans="1:8" s="1128" customFormat="1" ht="15" x14ac:dyDescent="0.2">
      <c r="A273" s="550">
        <f t="shared" si="3"/>
        <v>256</v>
      </c>
      <c r="B273" s="521" t="s">
        <v>1349</v>
      </c>
      <c r="C273" s="324"/>
      <c r="D273" s="324"/>
      <c r="E273" s="324"/>
      <c r="F273" s="324"/>
      <c r="G273" s="324"/>
      <c r="H273" s="1140"/>
    </row>
    <row r="274" spans="1:8" s="1128" customFormat="1" ht="45" x14ac:dyDescent="0.2">
      <c r="A274" s="550">
        <f t="shared" si="3"/>
        <v>257</v>
      </c>
      <c r="B274" s="521" t="s">
        <v>1348</v>
      </c>
      <c r="C274" s="324"/>
      <c r="D274" s="324"/>
      <c r="E274" s="324"/>
      <c r="F274" s="324"/>
      <c r="G274" s="324"/>
      <c r="H274" s="1140"/>
    </row>
    <row r="275" spans="1:8" s="1128" customFormat="1" ht="15" x14ac:dyDescent="0.25">
      <c r="A275" s="550">
        <f t="shared" si="3"/>
        <v>258</v>
      </c>
      <c r="B275" s="568" t="s">
        <v>1347</v>
      </c>
      <c r="C275" s="568"/>
      <c r="D275" s="568"/>
      <c r="E275" s="568"/>
      <c r="F275" s="568"/>
      <c r="G275" s="568"/>
      <c r="H275" s="1145"/>
    </row>
    <row r="276" spans="1:8" s="1128" customFormat="1" ht="45" x14ac:dyDescent="0.2">
      <c r="A276" s="550">
        <f t="shared" ref="A276:A339" si="4">A275+1</f>
        <v>259</v>
      </c>
      <c r="B276" s="559" t="s">
        <v>1346</v>
      </c>
      <c r="C276" s="324"/>
      <c r="D276" s="324"/>
      <c r="E276" s="324"/>
      <c r="F276" s="324"/>
      <c r="G276" s="324"/>
      <c r="H276" s="1140"/>
    </row>
    <row r="277" spans="1:8" s="1128" customFormat="1" ht="30" x14ac:dyDescent="0.2">
      <c r="A277" s="550">
        <f t="shared" si="4"/>
        <v>260</v>
      </c>
      <c r="B277" s="559" t="s">
        <v>1345</v>
      </c>
      <c r="C277" s="324"/>
      <c r="D277" s="324"/>
      <c r="E277" s="324"/>
      <c r="F277" s="324"/>
      <c r="G277" s="324"/>
      <c r="H277" s="1140"/>
    </row>
    <row r="278" spans="1:8" s="1128" customFormat="1" ht="30" x14ac:dyDescent="0.2">
      <c r="A278" s="550">
        <f t="shared" si="4"/>
        <v>261</v>
      </c>
      <c r="B278" s="559" t="s">
        <v>1344</v>
      </c>
      <c r="C278" s="324"/>
      <c r="D278" s="324"/>
      <c r="E278" s="324"/>
      <c r="F278" s="324"/>
      <c r="G278" s="324"/>
      <c r="H278" s="1140"/>
    </row>
    <row r="279" spans="1:8" ht="15" x14ac:dyDescent="0.2">
      <c r="A279" s="550">
        <f t="shared" si="4"/>
        <v>262</v>
      </c>
      <c r="B279" s="279" t="s">
        <v>690</v>
      </c>
      <c r="C279" s="388"/>
      <c r="D279" s="388"/>
      <c r="E279" s="388"/>
      <c r="F279" s="388"/>
      <c r="G279" s="388"/>
      <c r="H279" s="1139"/>
    </row>
    <row r="280" spans="1:8" ht="15" x14ac:dyDescent="0.25">
      <c r="A280" s="550">
        <f t="shared" si="4"/>
        <v>263</v>
      </c>
      <c r="B280" s="567" t="s">
        <v>1343</v>
      </c>
      <c r="C280" s="531"/>
      <c r="D280" s="531"/>
      <c r="E280" s="531"/>
      <c r="F280" s="531"/>
      <c r="G280" s="531"/>
      <c r="H280" s="1143"/>
    </row>
    <row r="281" spans="1:8" ht="30" x14ac:dyDescent="0.25">
      <c r="A281" s="550">
        <f t="shared" si="4"/>
        <v>264</v>
      </c>
      <c r="B281" s="567" t="s">
        <v>1342</v>
      </c>
      <c r="C281" s="531"/>
      <c r="D281" s="531"/>
      <c r="E281" s="531"/>
      <c r="F281" s="531"/>
      <c r="G281" s="531"/>
      <c r="H281" s="1143"/>
    </row>
    <row r="282" spans="1:8" s="1128" customFormat="1" ht="45" x14ac:dyDescent="0.25">
      <c r="A282" s="550">
        <f t="shared" si="4"/>
        <v>265</v>
      </c>
      <c r="B282" s="559" t="s">
        <v>1341</v>
      </c>
      <c r="C282" s="324"/>
      <c r="D282" s="324"/>
      <c r="E282" s="324"/>
      <c r="F282" s="324"/>
      <c r="G282" s="324"/>
      <c r="H282" s="1143"/>
    </row>
    <row r="283" spans="1:8" ht="15" x14ac:dyDescent="0.25">
      <c r="A283" s="550">
        <f t="shared" si="4"/>
        <v>266</v>
      </c>
      <c r="B283" s="409" t="s">
        <v>1340</v>
      </c>
      <c r="C283" s="566"/>
      <c r="D283" s="566"/>
      <c r="E283" s="566"/>
      <c r="F283" s="566"/>
      <c r="G283" s="566"/>
      <c r="H283" s="1143"/>
    </row>
    <row r="284" spans="1:8" s="1128" customFormat="1" ht="15" x14ac:dyDescent="0.25">
      <c r="A284" s="550">
        <f t="shared" si="4"/>
        <v>267</v>
      </c>
      <c r="B284" s="559" t="s">
        <v>1339</v>
      </c>
      <c r="C284" s="324"/>
      <c r="D284" s="324"/>
      <c r="E284" s="324"/>
      <c r="F284" s="324"/>
      <c r="G284" s="324"/>
      <c r="H284" s="1143"/>
    </row>
    <row r="285" spans="1:8" ht="30" x14ac:dyDescent="0.25">
      <c r="A285" s="550">
        <f t="shared" si="4"/>
        <v>268</v>
      </c>
      <c r="B285" s="432" t="s">
        <v>1338</v>
      </c>
      <c r="C285" s="566"/>
      <c r="D285" s="566"/>
      <c r="E285" s="566"/>
      <c r="F285" s="566"/>
      <c r="G285" s="566"/>
      <c r="H285" s="1143"/>
    </row>
    <row r="286" spans="1:8" s="1128" customFormat="1" ht="30" x14ac:dyDescent="0.25">
      <c r="A286" s="550">
        <f t="shared" si="4"/>
        <v>269</v>
      </c>
      <c r="B286" s="432" t="s">
        <v>1337</v>
      </c>
      <c r="C286" s="324"/>
      <c r="D286" s="324"/>
      <c r="E286" s="324"/>
      <c r="F286" s="324"/>
      <c r="G286" s="324"/>
      <c r="H286" s="1143"/>
    </row>
    <row r="287" spans="1:8" ht="15" x14ac:dyDescent="0.25">
      <c r="A287" s="550">
        <f t="shared" si="4"/>
        <v>270</v>
      </c>
      <c r="B287" s="565" t="s">
        <v>1336</v>
      </c>
      <c r="C287" s="565"/>
      <c r="D287" s="565"/>
      <c r="E287" s="565"/>
      <c r="F287" s="565"/>
      <c r="G287" s="565"/>
      <c r="H287" s="1144"/>
    </row>
    <row r="288" spans="1:8" ht="15" x14ac:dyDescent="0.2">
      <c r="A288" s="550">
        <f t="shared" si="4"/>
        <v>271</v>
      </c>
      <c r="B288" s="279" t="s">
        <v>1335</v>
      </c>
      <c r="C288" s="388"/>
      <c r="D288" s="388"/>
      <c r="E288" s="388"/>
      <c r="F288" s="388"/>
      <c r="G288" s="388"/>
      <c r="H288" s="1139"/>
    </row>
    <row r="289" spans="1:9" s="1128" customFormat="1" ht="75" x14ac:dyDescent="0.2">
      <c r="A289" s="550">
        <f t="shared" si="4"/>
        <v>272</v>
      </c>
      <c r="B289" s="381" t="s">
        <v>3388</v>
      </c>
      <c r="C289" s="558"/>
      <c r="D289" s="558"/>
      <c r="E289" s="558"/>
      <c r="F289" s="558"/>
      <c r="G289" s="558"/>
      <c r="H289" s="318"/>
    </row>
    <row r="290" spans="1:9" ht="15" x14ac:dyDescent="0.2">
      <c r="A290" s="550">
        <f t="shared" si="4"/>
        <v>273</v>
      </c>
      <c r="B290" s="564" t="s">
        <v>1334</v>
      </c>
      <c r="C290" s="288"/>
      <c r="D290" s="288"/>
      <c r="E290" s="288"/>
      <c r="F290" s="288"/>
      <c r="G290" s="288"/>
      <c r="H290" s="408"/>
    </row>
    <row r="291" spans="1:9" ht="15" x14ac:dyDescent="0.2">
      <c r="A291" s="550">
        <f t="shared" si="4"/>
        <v>274</v>
      </c>
      <c r="B291" s="382" t="s">
        <v>1333</v>
      </c>
      <c r="C291" s="561"/>
      <c r="D291" s="561"/>
      <c r="E291" s="561"/>
      <c r="F291" s="561"/>
      <c r="G291" s="561"/>
      <c r="H291" s="559"/>
    </row>
    <row r="292" spans="1:9" ht="15" x14ac:dyDescent="0.2">
      <c r="A292" s="550">
        <f t="shared" si="4"/>
        <v>275</v>
      </c>
      <c r="B292" s="376" t="s">
        <v>1332</v>
      </c>
      <c r="C292" s="288"/>
      <c r="D292" s="288"/>
      <c r="E292" s="288"/>
      <c r="F292" s="288"/>
      <c r="G292" s="288"/>
      <c r="H292" s="408"/>
    </row>
    <row r="293" spans="1:9" ht="15" x14ac:dyDescent="0.2">
      <c r="A293" s="550">
        <f t="shared" si="4"/>
        <v>276</v>
      </c>
      <c r="B293" s="376" t="s">
        <v>1331</v>
      </c>
      <c r="C293" s="288"/>
      <c r="D293" s="288"/>
      <c r="E293" s="288"/>
      <c r="F293" s="288"/>
      <c r="G293" s="288"/>
      <c r="H293" s="408"/>
    </row>
    <row r="294" spans="1:9" s="1128" customFormat="1" ht="15" x14ac:dyDescent="0.2">
      <c r="A294" s="550">
        <f t="shared" si="4"/>
        <v>277</v>
      </c>
      <c r="B294" s="382" t="s">
        <v>1330</v>
      </c>
      <c r="C294" s="324"/>
      <c r="D294" s="324"/>
      <c r="E294" s="324"/>
      <c r="F294" s="324"/>
      <c r="G294" s="324"/>
      <c r="H294" s="559"/>
    </row>
    <row r="295" spans="1:9" ht="15" x14ac:dyDescent="0.2">
      <c r="A295" s="550">
        <f t="shared" si="4"/>
        <v>278</v>
      </c>
      <c r="B295" s="376" t="s">
        <v>1329</v>
      </c>
      <c r="C295" s="288"/>
      <c r="D295" s="288"/>
      <c r="E295" s="288"/>
      <c r="F295" s="288"/>
      <c r="G295" s="288"/>
      <c r="H295" s="408"/>
    </row>
    <row r="296" spans="1:9" ht="30" x14ac:dyDescent="0.2">
      <c r="A296" s="550">
        <f t="shared" si="4"/>
        <v>279</v>
      </c>
      <c r="B296" s="409" t="s">
        <v>1328</v>
      </c>
      <c r="C296" s="288"/>
      <c r="D296" s="288"/>
      <c r="E296" s="288"/>
      <c r="F296" s="288"/>
      <c r="G296" s="288"/>
      <c r="H296" s="408"/>
    </row>
    <row r="297" spans="1:9" s="1128" customFormat="1" ht="15" x14ac:dyDescent="0.2">
      <c r="A297" s="550">
        <f t="shared" si="4"/>
        <v>280</v>
      </c>
      <c r="B297" s="521" t="s">
        <v>1327</v>
      </c>
      <c r="C297" s="324"/>
      <c r="D297" s="324"/>
      <c r="E297" s="324"/>
      <c r="F297" s="324"/>
      <c r="G297" s="324"/>
      <c r="H297" s="408"/>
    </row>
    <row r="298" spans="1:9" ht="30" x14ac:dyDescent="0.2">
      <c r="A298" s="550">
        <f t="shared" si="4"/>
        <v>281</v>
      </c>
      <c r="B298" s="409" t="s">
        <v>1326</v>
      </c>
      <c r="C298" s="561"/>
      <c r="D298" s="561"/>
      <c r="E298" s="561"/>
      <c r="F298" s="561"/>
      <c r="G298" s="561"/>
      <c r="H298" s="408"/>
    </row>
    <row r="299" spans="1:9" ht="15" x14ac:dyDescent="0.2">
      <c r="A299" s="550">
        <f t="shared" si="4"/>
        <v>282</v>
      </c>
      <c r="B299" s="408" t="s">
        <v>1325</v>
      </c>
      <c r="C299" s="288"/>
      <c r="D299" s="288"/>
      <c r="E299" s="288"/>
      <c r="F299" s="288"/>
      <c r="G299" s="288"/>
      <c r="H299" s="408"/>
    </row>
    <row r="300" spans="1:9" ht="15" x14ac:dyDescent="0.2">
      <c r="A300" s="550">
        <f t="shared" si="4"/>
        <v>283</v>
      </c>
      <c r="B300" s="409" t="s">
        <v>1324</v>
      </c>
      <c r="C300" s="288"/>
      <c r="D300" s="288"/>
      <c r="E300" s="288"/>
      <c r="F300" s="288"/>
      <c r="G300" s="288"/>
      <c r="H300" s="408"/>
    </row>
    <row r="301" spans="1:9" ht="30" x14ac:dyDescent="0.2">
      <c r="A301" s="550">
        <f t="shared" si="4"/>
        <v>284</v>
      </c>
      <c r="B301" s="409" t="s">
        <v>1323</v>
      </c>
      <c r="C301" s="558"/>
      <c r="D301" s="558"/>
      <c r="E301" s="558"/>
      <c r="F301" s="558"/>
      <c r="G301" s="558"/>
      <c r="H301" s="408"/>
    </row>
    <row r="302" spans="1:9" ht="15" x14ac:dyDescent="0.2">
      <c r="A302" s="550">
        <f t="shared" si="4"/>
        <v>285</v>
      </c>
      <c r="B302" s="532" t="s">
        <v>1322</v>
      </c>
      <c r="C302" s="288"/>
      <c r="D302" s="288"/>
      <c r="E302" s="288"/>
      <c r="F302" s="288"/>
      <c r="G302" s="288"/>
      <c r="H302" s="408"/>
    </row>
    <row r="303" spans="1:9" ht="15" x14ac:dyDescent="0.2">
      <c r="A303" s="550">
        <f t="shared" si="4"/>
        <v>286</v>
      </c>
      <c r="B303" s="563" t="s">
        <v>1321</v>
      </c>
      <c r="C303" s="561"/>
      <c r="D303" s="561"/>
      <c r="E303" s="561"/>
      <c r="F303" s="561"/>
      <c r="G303" s="561"/>
      <c r="H303" s="408"/>
    </row>
    <row r="304" spans="1:9" ht="15" x14ac:dyDescent="0.2">
      <c r="A304" s="550">
        <f t="shared" si="4"/>
        <v>287</v>
      </c>
      <c r="B304" s="560" t="s">
        <v>1320</v>
      </c>
      <c r="C304" s="561"/>
      <c r="D304" s="561"/>
      <c r="E304" s="561"/>
      <c r="F304" s="561"/>
      <c r="G304" s="561"/>
      <c r="H304" s="408"/>
      <c r="I304" s="562"/>
    </row>
    <row r="305" spans="1:9" ht="15" x14ac:dyDescent="0.2">
      <c r="A305" s="550">
        <f t="shared" si="4"/>
        <v>288</v>
      </c>
      <c r="B305" s="554" t="s">
        <v>1058</v>
      </c>
      <c r="C305" s="561"/>
      <c r="D305" s="561"/>
      <c r="E305" s="561"/>
      <c r="F305" s="561"/>
      <c r="G305" s="561"/>
      <c r="H305" s="408"/>
      <c r="I305" s="415"/>
    </row>
    <row r="306" spans="1:9" s="1128" customFormat="1" ht="15" x14ac:dyDescent="0.2">
      <c r="A306" s="550">
        <f t="shared" si="4"/>
        <v>289</v>
      </c>
      <c r="B306" s="555" t="s">
        <v>537</v>
      </c>
      <c r="C306" s="324"/>
      <c r="D306" s="324"/>
      <c r="E306" s="324"/>
      <c r="F306" s="324"/>
      <c r="G306" s="324"/>
      <c r="H306" s="408"/>
    </row>
    <row r="307" spans="1:9" ht="15" x14ac:dyDescent="0.2">
      <c r="A307" s="550">
        <f t="shared" si="4"/>
        <v>290</v>
      </c>
      <c r="B307" s="560" t="s">
        <v>1319</v>
      </c>
      <c r="C307" s="288"/>
      <c r="D307" s="288"/>
      <c r="E307" s="288"/>
      <c r="F307" s="288"/>
      <c r="G307" s="288"/>
      <c r="H307" s="408"/>
    </row>
    <row r="308" spans="1:9" ht="15" x14ac:dyDescent="0.2">
      <c r="A308" s="550">
        <f t="shared" si="4"/>
        <v>291</v>
      </c>
      <c r="B308" s="554" t="s">
        <v>1318</v>
      </c>
      <c r="C308" s="288"/>
      <c r="D308" s="288"/>
      <c r="E308" s="288"/>
      <c r="F308" s="288"/>
      <c r="G308" s="288"/>
      <c r="H308" s="408"/>
    </row>
    <row r="309" spans="1:9" ht="15" x14ac:dyDescent="0.2">
      <c r="A309" s="550">
        <f t="shared" si="4"/>
        <v>292</v>
      </c>
      <c r="B309" s="554" t="s">
        <v>1317</v>
      </c>
      <c r="C309" s="288"/>
      <c r="D309" s="288"/>
      <c r="E309" s="288"/>
      <c r="F309" s="288"/>
      <c r="G309" s="288"/>
      <c r="H309" s="408"/>
    </row>
    <row r="310" spans="1:9" ht="15" x14ac:dyDescent="0.2">
      <c r="A310" s="550">
        <f t="shared" si="4"/>
        <v>293</v>
      </c>
      <c r="B310" s="554" t="s">
        <v>1316</v>
      </c>
      <c r="C310" s="288"/>
      <c r="D310" s="288"/>
      <c r="E310" s="288"/>
      <c r="F310" s="288"/>
      <c r="G310" s="288"/>
      <c r="H310" s="408"/>
    </row>
    <row r="311" spans="1:9" ht="15" x14ac:dyDescent="0.2">
      <c r="A311" s="550">
        <f t="shared" si="4"/>
        <v>294</v>
      </c>
      <c r="B311" s="554" t="s">
        <v>1315</v>
      </c>
      <c r="C311" s="288"/>
      <c r="D311" s="288"/>
      <c r="E311" s="288"/>
      <c r="F311" s="288"/>
      <c r="G311" s="288"/>
      <c r="H311" s="408"/>
    </row>
    <row r="312" spans="1:9" ht="15" x14ac:dyDescent="0.2">
      <c r="A312" s="550">
        <f t="shared" si="4"/>
        <v>295</v>
      </c>
      <c r="B312" s="554" t="s">
        <v>1314</v>
      </c>
      <c r="C312" s="288"/>
      <c r="D312" s="288"/>
      <c r="E312" s="288"/>
      <c r="F312" s="288"/>
      <c r="G312" s="288"/>
      <c r="H312" s="408"/>
    </row>
    <row r="313" spans="1:9" ht="15" x14ac:dyDescent="0.2">
      <c r="A313" s="550">
        <f t="shared" si="4"/>
        <v>296</v>
      </c>
      <c r="B313" s="554" t="s">
        <v>1313</v>
      </c>
      <c r="C313" s="288"/>
      <c r="D313" s="288"/>
      <c r="E313" s="288"/>
      <c r="F313" s="288"/>
      <c r="G313" s="288"/>
      <c r="H313" s="408"/>
    </row>
    <row r="314" spans="1:9" ht="15" x14ac:dyDescent="0.2">
      <c r="A314" s="550">
        <f t="shared" si="4"/>
        <v>297</v>
      </c>
      <c r="B314" s="554" t="s">
        <v>376</v>
      </c>
      <c r="C314" s="288"/>
      <c r="D314" s="288"/>
      <c r="E314" s="288"/>
      <c r="F314" s="288"/>
      <c r="G314" s="288"/>
      <c r="H314" s="408"/>
    </row>
    <row r="315" spans="1:9" ht="15" x14ac:dyDescent="0.2">
      <c r="A315" s="550">
        <f t="shared" si="4"/>
        <v>298</v>
      </c>
      <c r="B315" s="409" t="s">
        <v>1312</v>
      </c>
      <c r="C315" s="558"/>
      <c r="D315" s="558"/>
      <c r="E315" s="558"/>
      <c r="F315" s="558"/>
      <c r="G315" s="558"/>
      <c r="H315" s="408"/>
    </row>
    <row r="316" spans="1:9" ht="15" x14ac:dyDescent="0.2">
      <c r="A316" s="550">
        <f t="shared" si="4"/>
        <v>299</v>
      </c>
      <c r="B316" s="554" t="s">
        <v>930</v>
      </c>
      <c r="C316" s="288"/>
      <c r="D316" s="288"/>
      <c r="E316" s="288"/>
      <c r="F316" s="288"/>
      <c r="G316" s="288"/>
      <c r="H316" s="408"/>
    </row>
    <row r="317" spans="1:9" ht="15" x14ac:dyDescent="0.2">
      <c r="A317" s="550">
        <f t="shared" si="4"/>
        <v>300</v>
      </c>
      <c r="B317" s="554" t="s">
        <v>1135</v>
      </c>
      <c r="C317" s="288"/>
      <c r="D317" s="288"/>
      <c r="E317" s="288"/>
      <c r="F317" s="288"/>
      <c r="G317" s="288"/>
      <c r="H317" s="408"/>
    </row>
    <row r="318" spans="1:9" ht="15" x14ac:dyDescent="0.2">
      <c r="A318" s="550">
        <f t="shared" si="4"/>
        <v>301</v>
      </c>
      <c r="B318" s="554" t="s">
        <v>1311</v>
      </c>
      <c r="C318" s="288"/>
      <c r="D318" s="288"/>
      <c r="E318" s="288"/>
      <c r="F318" s="288"/>
      <c r="G318" s="288"/>
      <c r="H318" s="408"/>
    </row>
    <row r="319" spans="1:9" ht="15" x14ac:dyDescent="0.2">
      <c r="A319" s="550">
        <f t="shared" si="4"/>
        <v>302</v>
      </c>
      <c r="B319" s="279" t="s">
        <v>1310</v>
      </c>
      <c r="C319" s="388"/>
      <c r="D319" s="388"/>
      <c r="E319" s="388"/>
      <c r="F319" s="388"/>
      <c r="G319" s="388"/>
      <c r="H319" s="1139"/>
    </row>
    <row r="320" spans="1:9" ht="15" x14ac:dyDescent="0.2">
      <c r="A320" s="550">
        <f t="shared" si="4"/>
        <v>303</v>
      </c>
      <c r="B320" s="408" t="s">
        <v>1309</v>
      </c>
      <c r="C320" s="558"/>
      <c r="D320" s="558"/>
      <c r="E320" s="558"/>
      <c r="F320" s="558"/>
      <c r="G320" s="558"/>
      <c r="H320" s="408"/>
    </row>
    <row r="321" spans="1:8" ht="15" x14ac:dyDescent="0.2">
      <c r="A321" s="550">
        <f t="shared" si="4"/>
        <v>304</v>
      </c>
      <c r="B321" s="554" t="s">
        <v>1308</v>
      </c>
      <c r="C321" s="288"/>
      <c r="D321" s="288"/>
      <c r="E321" s="288"/>
      <c r="F321" s="288"/>
      <c r="G321" s="288"/>
      <c r="H321" s="408"/>
    </row>
    <row r="322" spans="1:8" s="1128" customFormat="1" ht="15" x14ac:dyDescent="0.2">
      <c r="A322" s="550">
        <f t="shared" si="4"/>
        <v>305</v>
      </c>
      <c r="B322" s="555" t="s">
        <v>111</v>
      </c>
      <c r="C322" s="324"/>
      <c r="D322" s="324"/>
      <c r="E322" s="324"/>
      <c r="F322" s="324"/>
      <c r="G322" s="324"/>
      <c r="H322" s="408"/>
    </row>
    <row r="323" spans="1:8" s="411" customFormat="1" ht="15" x14ac:dyDescent="0.2">
      <c r="A323" s="550">
        <f t="shared" si="4"/>
        <v>306</v>
      </c>
      <c r="B323" s="554" t="s">
        <v>1302</v>
      </c>
      <c r="C323" s="288"/>
      <c r="D323" s="288"/>
      <c r="E323" s="288"/>
      <c r="F323" s="288"/>
      <c r="G323" s="288"/>
      <c r="H323" s="408"/>
    </row>
    <row r="324" spans="1:8" s="1128" customFormat="1" ht="15" x14ac:dyDescent="0.2">
      <c r="A324" s="550">
        <f t="shared" si="4"/>
        <v>307</v>
      </c>
      <c r="B324" s="555" t="s">
        <v>1297</v>
      </c>
      <c r="C324" s="324"/>
      <c r="D324" s="324"/>
      <c r="E324" s="324"/>
      <c r="F324" s="324"/>
      <c r="G324" s="324"/>
      <c r="H324" s="408"/>
    </row>
    <row r="325" spans="1:8" s="1128" customFormat="1" ht="15" x14ac:dyDescent="0.2">
      <c r="A325" s="550">
        <f t="shared" si="4"/>
        <v>308</v>
      </c>
      <c r="B325" s="555" t="s">
        <v>514</v>
      </c>
      <c r="C325" s="324"/>
      <c r="D325" s="324"/>
      <c r="E325" s="324"/>
      <c r="F325" s="324"/>
      <c r="G325" s="324"/>
      <c r="H325" s="408"/>
    </row>
    <row r="326" spans="1:8" s="1128" customFormat="1" ht="15" x14ac:dyDescent="0.2">
      <c r="A326" s="550">
        <f t="shared" si="4"/>
        <v>309</v>
      </c>
      <c r="B326" s="555" t="s">
        <v>1307</v>
      </c>
      <c r="C326" s="324"/>
      <c r="D326" s="324"/>
      <c r="E326" s="324"/>
      <c r="F326" s="324"/>
      <c r="G326" s="324"/>
      <c r="H326" s="408"/>
    </row>
    <row r="327" spans="1:8" s="1128" customFormat="1" ht="15" x14ac:dyDescent="0.2">
      <c r="A327" s="550">
        <f t="shared" si="4"/>
        <v>310</v>
      </c>
      <c r="B327" s="555" t="s">
        <v>512</v>
      </c>
      <c r="C327" s="324"/>
      <c r="D327" s="324"/>
      <c r="E327" s="324"/>
      <c r="F327" s="324"/>
      <c r="G327" s="324"/>
      <c r="H327" s="408"/>
    </row>
    <row r="328" spans="1:8" ht="15" x14ac:dyDescent="0.2">
      <c r="A328" s="550">
        <f t="shared" si="4"/>
        <v>311</v>
      </c>
      <c r="B328" s="279" t="s">
        <v>1306</v>
      </c>
      <c r="C328" s="388"/>
      <c r="D328" s="388"/>
      <c r="E328" s="388"/>
      <c r="F328" s="388"/>
      <c r="G328" s="388"/>
      <c r="H328" s="1139"/>
    </row>
    <row r="329" spans="1:8" ht="30" x14ac:dyDescent="0.2">
      <c r="A329" s="550">
        <f t="shared" si="4"/>
        <v>312</v>
      </c>
      <c r="B329" s="559" t="s">
        <v>1305</v>
      </c>
      <c r="C329" s="558"/>
      <c r="D329" s="558"/>
      <c r="E329" s="558"/>
      <c r="F329" s="558"/>
      <c r="G329" s="558"/>
      <c r="H329" s="408"/>
    </row>
    <row r="330" spans="1:8" ht="15" x14ac:dyDescent="0.2">
      <c r="A330" s="550">
        <f t="shared" si="4"/>
        <v>313</v>
      </c>
      <c r="B330" s="554" t="s">
        <v>1304</v>
      </c>
      <c r="C330" s="288"/>
      <c r="D330" s="288"/>
      <c r="E330" s="288"/>
      <c r="F330" s="288"/>
      <c r="G330" s="288"/>
      <c r="H330" s="408"/>
    </row>
    <row r="331" spans="1:8" ht="15" x14ac:dyDescent="0.2">
      <c r="A331" s="550">
        <f t="shared" si="4"/>
        <v>314</v>
      </c>
      <c r="B331" s="554" t="s">
        <v>1303</v>
      </c>
      <c r="C331" s="288"/>
      <c r="D331" s="288"/>
      <c r="E331" s="288"/>
      <c r="F331" s="288"/>
      <c r="G331" s="288"/>
      <c r="H331" s="408"/>
    </row>
    <row r="332" spans="1:8" s="1128" customFormat="1" ht="15" x14ac:dyDescent="0.2">
      <c r="A332" s="550">
        <f t="shared" si="4"/>
        <v>315</v>
      </c>
      <c r="B332" s="555" t="s">
        <v>111</v>
      </c>
      <c r="C332" s="324"/>
      <c r="D332" s="324"/>
      <c r="E332" s="324"/>
      <c r="F332" s="324"/>
      <c r="G332" s="324"/>
      <c r="H332" s="408"/>
    </row>
    <row r="333" spans="1:8" s="1128" customFormat="1" ht="15" x14ac:dyDescent="0.2">
      <c r="A333" s="550">
        <f t="shared" si="4"/>
        <v>316</v>
      </c>
      <c r="B333" s="555" t="s">
        <v>1302</v>
      </c>
      <c r="C333" s="324"/>
      <c r="D333" s="324"/>
      <c r="E333" s="324"/>
      <c r="F333" s="324"/>
      <c r="G333" s="324"/>
      <c r="H333" s="408"/>
    </row>
    <row r="334" spans="1:8" s="1128" customFormat="1" ht="15" x14ac:dyDescent="0.2">
      <c r="A334" s="550">
        <f t="shared" si="4"/>
        <v>317</v>
      </c>
      <c r="B334" s="555" t="s">
        <v>1301</v>
      </c>
      <c r="C334" s="324"/>
      <c r="D334" s="324"/>
      <c r="E334" s="324"/>
      <c r="F334" s="324"/>
      <c r="G334" s="324"/>
      <c r="H334" s="408"/>
    </row>
    <row r="335" spans="1:8" s="1128" customFormat="1" ht="15" x14ac:dyDescent="0.2">
      <c r="A335" s="550">
        <f t="shared" si="4"/>
        <v>318</v>
      </c>
      <c r="B335" s="555" t="s">
        <v>627</v>
      </c>
      <c r="C335" s="324"/>
      <c r="D335" s="324"/>
      <c r="E335" s="324"/>
      <c r="F335" s="324"/>
      <c r="G335" s="324"/>
      <c r="H335" s="408"/>
    </row>
    <row r="336" spans="1:8" s="1128" customFormat="1" ht="15" x14ac:dyDescent="0.2">
      <c r="A336" s="550">
        <f t="shared" si="4"/>
        <v>319</v>
      </c>
      <c r="B336" s="555" t="s">
        <v>1300</v>
      </c>
      <c r="C336" s="324"/>
      <c r="D336" s="324"/>
      <c r="E336" s="324"/>
      <c r="F336" s="324"/>
      <c r="G336" s="324"/>
      <c r="H336" s="408"/>
    </row>
    <row r="337" spans="1:8" s="1128" customFormat="1" ht="30" x14ac:dyDescent="0.25">
      <c r="A337" s="550">
        <f t="shared" si="4"/>
        <v>320</v>
      </c>
      <c r="B337" s="557" t="s">
        <v>1299</v>
      </c>
      <c r="C337" s="324"/>
      <c r="D337" s="324"/>
      <c r="E337" s="324"/>
      <c r="F337" s="324"/>
      <c r="G337" s="324"/>
      <c r="H337" s="408"/>
    </row>
    <row r="338" spans="1:8" s="1128" customFormat="1" ht="15" x14ac:dyDescent="0.25">
      <c r="A338" s="550">
        <f t="shared" si="4"/>
        <v>321</v>
      </c>
      <c r="B338" s="557" t="s">
        <v>1298</v>
      </c>
      <c r="C338" s="324"/>
      <c r="D338" s="324"/>
      <c r="E338" s="324"/>
      <c r="F338" s="324"/>
      <c r="G338" s="324"/>
      <c r="H338" s="408"/>
    </row>
    <row r="339" spans="1:8" s="1128" customFormat="1" ht="15" x14ac:dyDescent="0.2">
      <c r="A339" s="550">
        <f t="shared" si="4"/>
        <v>322</v>
      </c>
      <c r="B339" s="555" t="s">
        <v>512</v>
      </c>
      <c r="C339" s="324"/>
      <c r="D339" s="324"/>
      <c r="E339" s="324"/>
      <c r="F339" s="324"/>
      <c r="G339" s="324"/>
      <c r="H339" s="408"/>
    </row>
    <row r="340" spans="1:8" s="1128" customFormat="1" ht="15" x14ac:dyDescent="0.2">
      <c r="A340" s="550">
        <f t="shared" ref="A340:A362" si="5">A339+1</f>
        <v>323</v>
      </c>
      <c r="B340" s="555" t="s">
        <v>1297</v>
      </c>
      <c r="C340" s="324"/>
      <c r="D340" s="324"/>
      <c r="E340" s="324"/>
      <c r="F340" s="324"/>
      <c r="G340" s="324"/>
      <c r="H340" s="408"/>
    </row>
    <row r="341" spans="1:8" s="1128" customFormat="1" ht="15" x14ac:dyDescent="0.2">
      <c r="A341" s="550">
        <f t="shared" si="5"/>
        <v>324</v>
      </c>
      <c r="B341" s="555" t="s">
        <v>514</v>
      </c>
      <c r="C341" s="324"/>
      <c r="D341" s="324"/>
      <c r="E341" s="324"/>
      <c r="F341" s="324"/>
      <c r="G341" s="324"/>
      <c r="H341" s="408"/>
    </row>
    <row r="342" spans="1:8" s="1128" customFormat="1" ht="15" x14ac:dyDescent="0.2">
      <c r="A342" s="550">
        <f t="shared" si="5"/>
        <v>325</v>
      </c>
      <c r="B342" s="555" t="s">
        <v>1296</v>
      </c>
      <c r="C342" s="324"/>
      <c r="D342" s="324"/>
      <c r="E342" s="324"/>
      <c r="F342" s="324"/>
      <c r="G342" s="324"/>
      <c r="H342" s="408"/>
    </row>
    <row r="343" spans="1:8" s="1128" customFormat="1" ht="15" x14ac:dyDescent="0.2">
      <c r="A343" s="550">
        <f t="shared" si="5"/>
        <v>326</v>
      </c>
      <c r="B343" s="555" t="s">
        <v>190</v>
      </c>
      <c r="C343" s="324"/>
      <c r="D343" s="324"/>
      <c r="E343" s="324"/>
      <c r="F343" s="324"/>
      <c r="G343" s="324"/>
      <c r="H343" s="408"/>
    </row>
    <row r="344" spans="1:8" s="1128" customFormat="1" ht="15" x14ac:dyDescent="0.2">
      <c r="A344" s="550">
        <f t="shared" si="5"/>
        <v>327</v>
      </c>
      <c r="B344" s="555" t="s">
        <v>1295</v>
      </c>
      <c r="C344" s="324"/>
      <c r="D344" s="324"/>
      <c r="E344" s="324"/>
      <c r="F344" s="324"/>
      <c r="G344" s="324"/>
      <c r="H344" s="408"/>
    </row>
    <row r="345" spans="1:8" s="1128" customFormat="1" ht="15" x14ac:dyDescent="0.2">
      <c r="A345" s="550">
        <f t="shared" si="5"/>
        <v>328</v>
      </c>
      <c r="B345" s="555" t="s">
        <v>302</v>
      </c>
      <c r="C345" s="324"/>
      <c r="D345" s="324"/>
      <c r="E345" s="324"/>
      <c r="F345" s="324"/>
      <c r="G345" s="324"/>
      <c r="H345" s="408"/>
    </row>
    <row r="346" spans="1:8" s="1128" customFormat="1" ht="15" x14ac:dyDescent="0.2">
      <c r="A346" s="550">
        <f t="shared" si="5"/>
        <v>329</v>
      </c>
      <c r="B346" s="555" t="s">
        <v>533</v>
      </c>
      <c r="C346" s="324"/>
      <c r="D346" s="324"/>
      <c r="E346" s="324"/>
      <c r="F346" s="324"/>
      <c r="G346" s="324"/>
      <c r="H346" s="408"/>
    </row>
    <row r="347" spans="1:8" s="1128" customFormat="1" ht="15" x14ac:dyDescent="0.2">
      <c r="A347" s="550">
        <f t="shared" si="5"/>
        <v>330</v>
      </c>
      <c r="B347" s="555" t="s">
        <v>1294</v>
      </c>
      <c r="C347" s="324"/>
      <c r="D347" s="324"/>
      <c r="E347" s="324"/>
      <c r="F347" s="324"/>
      <c r="G347" s="324"/>
      <c r="H347" s="408"/>
    </row>
    <row r="348" spans="1:8" s="1128" customFormat="1" ht="15" x14ac:dyDescent="0.2">
      <c r="A348" s="550">
        <f t="shared" si="5"/>
        <v>331</v>
      </c>
      <c r="B348" s="555" t="s">
        <v>1293</v>
      </c>
      <c r="C348" s="324"/>
      <c r="D348" s="324"/>
      <c r="E348" s="324"/>
      <c r="F348" s="324"/>
      <c r="G348" s="324"/>
      <c r="H348" s="408"/>
    </row>
    <row r="349" spans="1:8" s="1128" customFormat="1" ht="30" x14ac:dyDescent="0.2">
      <c r="A349" s="550">
        <f t="shared" si="5"/>
        <v>332</v>
      </c>
      <c r="B349" s="559" t="s">
        <v>1292</v>
      </c>
      <c r="C349" s="324"/>
      <c r="D349" s="324"/>
      <c r="E349" s="324"/>
      <c r="F349" s="324"/>
      <c r="G349" s="324"/>
      <c r="H349" s="408"/>
    </row>
    <row r="350" spans="1:8" ht="15" x14ac:dyDescent="0.2">
      <c r="A350" s="550">
        <f t="shared" si="5"/>
        <v>333</v>
      </c>
      <c r="B350" s="279" t="s">
        <v>1291</v>
      </c>
      <c r="C350" s="388"/>
      <c r="D350" s="388"/>
      <c r="E350" s="388"/>
      <c r="F350" s="388"/>
      <c r="G350" s="388"/>
      <c r="H350" s="1139"/>
    </row>
    <row r="351" spans="1:8" ht="45" x14ac:dyDescent="0.25">
      <c r="A351" s="550">
        <f t="shared" si="5"/>
        <v>334</v>
      </c>
      <c r="B351" s="430" t="s">
        <v>1290</v>
      </c>
      <c r="C351" s="553"/>
      <c r="D351" s="553"/>
      <c r="E351" s="553"/>
      <c r="F351" s="553"/>
      <c r="G351" s="553"/>
      <c r="H351" s="1142"/>
    </row>
    <row r="352" spans="1:8" ht="30" x14ac:dyDescent="0.25">
      <c r="A352" s="550">
        <f t="shared" si="5"/>
        <v>335</v>
      </c>
      <c r="B352" s="378" t="s">
        <v>1289</v>
      </c>
      <c r="C352" s="553"/>
      <c r="D352" s="553"/>
      <c r="E352" s="553"/>
      <c r="F352" s="553"/>
      <c r="G352" s="553"/>
      <c r="H352" s="1142"/>
    </row>
    <row r="353" spans="1:59" ht="30" x14ac:dyDescent="0.25">
      <c r="A353" s="550">
        <f t="shared" si="5"/>
        <v>336</v>
      </c>
      <c r="B353" s="378" t="s">
        <v>1288</v>
      </c>
      <c r="C353" s="553"/>
      <c r="D353" s="553"/>
      <c r="E353" s="553"/>
      <c r="F353" s="553"/>
      <c r="G353" s="553"/>
      <c r="H353" s="1142"/>
    </row>
    <row r="354" spans="1:59" ht="45" x14ac:dyDescent="0.25">
      <c r="A354" s="550">
        <f t="shared" si="5"/>
        <v>337</v>
      </c>
      <c r="B354" s="378" t="s">
        <v>1287</v>
      </c>
      <c r="C354" s="553"/>
      <c r="D354" s="553"/>
      <c r="E354" s="553"/>
      <c r="F354" s="553"/>
      <c r="G354" s="553"/>
      <c r="H354" s="1142"/>
    </row>
    <row r="355" spans="1:59" s="1128" customFormat="1" ht="30" x14ac:dyDescent="0.25">
      <c r="A355" s="550">
        <f t="shared" si="5"/>
        <v>338</v>
      </c>
      <c r="B355" s="521" t="s">
        <v>1286</v>
      </c>
      <c r="C355" s="324"/>
      <c r="D355" s="324"/>
      <c r="E355" s="324"/>
      <c r="F355" s="324"/>
      <c r="G355" s="324"/>
      <c r="H355" s="1142"/>
    </row>
    <row r="356" spans="1:59" s="1128" customFormat="1" ht="30" x14ac:dyDescent="0.25">
      <c r="A356" s="550">
        <f t="shared" si="5"/>
        <v>339</v>
      </c>
      <c r="B356" s="521" t="s">
        <v>1285</v>
      </c>
      <c r="C356" s="324"/>
      <c r="D356" s="324"/>
      <c r="E356" s="324"/>
      <c r="F356" s="324"/>
      <c r="G356" s="324"/>
      <c r="H356" s="1142"/>
    </row>
    <row r="357" spans="1:59" ht="15" x14ac:dyDescent="0.2">
      <c r="A357" s="550">
        <f t="shared" si="5"/>
        <v>340</v>
      </c>
      <c r="B357" s="279" t="s">
        <v>1284</v>
      </c>
      <c r="C357" s="388"/>
      <c r="D357" s="388"/>
      <c r="E357" s="388"/>
      <c r="F357" s="388"/>
      <c r="G357" s="388"/>
      <c r="H357" s="1139"/>
    </row>
    <row r="358" spans="1:59" s="552" customFormat="1" ht="15" x14ac:dyDescent="0.2">
      <c r="A358" s="550">
        <f t="shared" si="5"/>
        <v>341</v>
      </c>
      <c r="B358" s="350" t="s">
        <v>1283</v>
      </c>
      <c r="C358" s="349"/>
      <c r="D358" s="349"/>
      <c r="E358" s="349"/>
      <c r="F358" s="349"/>
      <c r="G358" s="349"/>
      <c r="H358" s="1140"/>
      <c r="I358" s="1128"/>
      <c r="J358" s="1128"/>
      <c r="K358" s="1128"/>
      <c r="L358" s="1128"/>
      <c r="M358" s="1128"/>
      <c r="N358" s="1128"/>
      <c r="O358" s="1128"/>
      <c r="P358" s="1128"/>
      <c r="Q358" s="1128"/>
      <c r="R358" s="1128"/>
      <c r="S358" s="1128"/>
      <c r="T358" s="1128"/>
      <c r="U358" s="1128"/>
      <c r="V358" s="1128"/>
      <c r="W358" s="1128"/>
      <c r="X358" s="1128"/>
      <c r="Y358" s="1128"/>
      <c r="Z358" s="1128"/>
      <c r="AA358" s="1128"/>
      <c r="AB358" s="1128"/>
      <c r="AC358" s="1128"/>
      <c r="AD358" s="1128"/>
      <c r="AE358" s="1128"/>
      <c r="AF358" s="1128"/>
      <c r="AG358" s="1128"/>
      <c r="AH358" s="1128"/>
      <c r="AI358" s="1128"/>
      <c r="AJ358" s="1128"/>
      <c r="AK358" s="1128"/>
      <c r="AL358" s="1128"/>
      <c r="AM358" s="1128"/>
      <c r="AN358" s="1128"/>
      <c r="AO358" s="1128"/>
      <c r="AP358" s="1128"/>
      <c r="AQ358" s="1128"/>
      <c r="AR358" s="1128"/>
      <c r="AS358" s="1128"/>
      <c r="AT358" s="1128"/>
      <c r="AU358" s="1128"/>
      <c r="AV358" s="1128"/>
      <c r="AW358" s="1128"/>
      <c r="AX358" s="1128"/>
      <c r="AY358" s="1128"/>
      <c r="AZ358" s="1128"/>
      <c r="BA358" s="1128"/>
      <c r="BB358" s="1128"/>
      <c r="BC358" s="1128"/>
      <c r="BD358" s="1128"/>
      <c r="BE358" s="1128"/>
      <c r="BF358" s="1128"/>
      <c r="BG358" s="1128"/>
    </row>
    <row r="359" spans="1:59" s="552" customFormat="1" ht="45" x14ac:dyDescent="0.2">
      <c r="A359" s="550">
        <f t="shared" si="5"/>
        <v>342</v>
      </c>
      <c r="B359" s="350" t="s">
        <v>1282</v>
      </c>
      <c r="C359" s="349"/>
      <c r="D359" s="349"/>
      <c r="E359" s="349"/>
      <c r="F359" s="349"/>
      <c r="G359" s="349"/>
      <c r="H359" s="1140"/>
      <c r="I359" s="1128"/>
      <c r="J359" s="1128"/>
      <c r="K359" s="1128"/>
      <c r="L359" s="1128"/>
      <c r="M359" s="1128"/>
      <c r="N359" s="1128"/>
      <c r="O359" s="1128"/>
      <c r="P359" s="1128"/>
      <c r="Q359" s="1128"/>
      <c r="R359" s="1128"/>
      <c r="S359" s="1128"/>
      <c r="T359" s="1128"/>
      <c r="U359" s="1128"/>
      <c r="V359" s="1128"/>
      <c r="W359" s="1128"/>
      <c r="X359" s="1128"/>
      <c r="Y359" s="1128"/>
      <c r="Z359" s="1128"/>
      <c r="AA359" s="1128"/>
      <c r="AB359" s="1128"/>
      <c r="AC359" s="1128"/>
      <c r="AD359" s="1128"/>
      <c r="AE359" s="1128"/>
      <c r="AF359" s="1128"/>
      <c r="AG359" s="1128"/>
      <c r="AH359" s="1128"/>
      <c r="AI359" s="1128"/>
      <c r="AJ359" s="1128"/>
      <c r="AK359" s="1128"/>
      <c r="AL359" s="1128"/>
      <c r="AM359" s="1128"/>
      <c r="AN359" s="1128"/>
      <c r="AO359" s="1128"/>
      <c r="AP359" s="1128"/>
      <c r="AQ359" s="1128"/>
      <c r="AR359" s="1128"/>
      <c r="AS359" s="1128"/>
      <c r="AT359" s="1128"/>
      <c r="AU359" s="1128"/>
      <c r="AV359" s="1128"/>
      <c r="AW359" s="1128"/>
      <c r="AX359" s="1128"/>
      <c r="AY359" s="1128"/>
      <c r="AZ359" s="1128"/>
      <c r="BA359" s="1128"/>
      <c r="BB359" s="1128"/>
      <c r="BC359" s="1128"/>
      <c r="BD359" s="1128"/>
      <c r="BE359" s="1128"/>
      <c r="BF359" s="1128"/>
      <c r="BG359" s="1128"/>
    </row>
    <row r="360" spans="1:59" ht="30" x14ac:dyDescent="0.2">
      <c r="A360" s="550">
        <f t="shared" si="5"/>
        <v>343</v>
      </c>
      <c r="B360" s="354" t="s">
        <v>1281</v>
      </c>
      <c r="C360" s="334"/>
      <c r="D360" s="334"/>
      <c r="E360" s="334"/>
      <c r="F360" s="334"/>
      <c r="G360" s="334"/>
      <c r="H360" s="1140"/>
    </row>
    <row r="361" spans="1:59" ht="45" x14ac:dyDescent="0.2">
      <c r="A361" s="550">
        <f t="shared" si="5"/>
        <v>344</v>
      </c>
      <c r="B361" s="551" t="s">
        <v>1280</v>
      </c>
      <c r="C361" s="288"/>
      <c r="D361" s="288"/>
      <c r="E361" s="288"/>
      <c r="F361" s="288"/>
      <c r="G361" s="288"/>
      <c r="H361" s="1140"/>
    </row>
    <row r="362" spans="1:59" ht="15" x14ac:dyDescent="0.2">
      <c r="A362" s="550">
        <f t="shared" si="5"/>
        <v>345</v>
      </c>
      <c r="B362" s="408" t="s">
        <v>1279</v>
      </c>
      <c r="C362" s="288"/>
      <c r="D362" s="288"/>
      <c r="E362" s="288"/>
      <c r="F362" s="288"/>
      <c r="G362" s="288"/>
      <c r="H362" s="1140"/>
    </row>
  </sheetData>
  <mergeCells count="7">
    <mergeCell ref="A1:H1"/>
    <mergeCell ref="A2:H2"/>
    <mergeCell ref="A3:H3"/>
    <mergeCell ref="A4:H4"/>
    <mergeCell ref="B5:C5"/>
    <mergeCell ref="D5:E5"/>
    <mergeCell ref="F5:H5"/>
  </mergeCells>
  <hyperlinks>
    <hyperlink ref="B6" location="General__Mobile_Data_Computing_Features" display="General__Mobile_Data_Computing_Features"/>
    <hyperlink ref="B7" location="Mobile_Application_User_Interface" display="Mobile_Application_User_Interface"/>
    <hyperlink ref="B8" location="Function_Keys_Commands" display="Function_Keys_Commands"/>
    <hyperlink ref="B9" location="Emergency_Key_Functionality" display="Emergency_Key_Functionality"/>
    <hyperlink ref="B10" location="Mobile_Security" display="Mobile_Security"/>
    <hyperlink ref="B11" location="Mobile_Application_Integration" display="Mobile_Application_Integration"/>
    <hyperlink ref="B12" location="Mobile_Mobile_Mapping" display="Mobile_Mobile_Mapping"/>
    <hyperlink ref="B13" location="Status_Views" display="Status Views"/>
    <hyperlink ref="B14" location="Mobile_Dispatch_Operations" display="Mobile_Dispatch_Operations"/>
    <hyperlink ref="B15" location="Queries" display="Queries"/>
  </hyperlinks>
  <pageMargins left="0.75" right="0.75" top="1" bottom="1" header="0.5" footer="0.5"/>
  <pageSetup scale="62" fitToHeight="51" orientation="landscape" r:id="rId1"/>
  <headerFooter alignWithMargins="0">
    <oddFooter>&amp;LATTACHMENT  F  -  Spokane County RFP No. P8705&amp;RPage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H1902"/>
  <sheetViews>
    <sheetView showGridLines="0" view="pageLayout" topLeftCell="A50" zoomScaleNormal="70" zoomScaleSheetLayoutView="100" workbookViewId="0">
      <selection activeCell="B5" sqref="B5"/>
    </sheetView>
  </sheetViews>
  <sheetFormatPr defaultRowHeight="12.75" x14ac:dyDescent="0.2"/>
  <cols>
    <col min="1" max="1" width="6.7109375" style="345" customWidth="1"/>
    <col min="2" max="2" width="55.7109375" style="345" customWidth="1"/>
    <col min="3" max="3" width="11.140625" style="345" bestFit="1" customWidth="1"/>
    <col min="4" max="4" width="14.85546875" style="345" bestFit="1" customWidth="1"/>
    <col min="5" max="5" width="25.5703125" style="345" bestFit="1" customWidth="1"/>
    <col min="6" max="6" width="16.28515625" style="345" bestFit="1" customWidth="1"/>
    <col min="7" max="7" width="21" style="345" bestFit="1" customWidth="1"/>
    <col min="8" max="8" width="40.7109375" style="1118" customWidth="1"/>
    <col min="9" max="31" width="9.140625" style="347"/>
    <col min="32" max="16384" width="9.140625" style="345"/>
  </cols>
  <sheetData>
    <row r="1" spans="1:31" ht="15.75" x14ac:dyDescent="0.25">
      <c r="A1" s="1223" t="s">
        <v>3605</v>
      </c>
      <c r="B1" s="1223"/>
      <c r="C1" s="1223"/>
      <c r="D1" s="1223"/>
      <c r="E1" s="1223"/>
      <c r="F1" s="1223"/>
      <c r="G1" s="1223"/>
      <c r="H1" s="1223"/>
      <c r="I1" s="681"/>
    </row>
    <row r="2" spans="1:31" ht="15.75" x14ac:dyDescent="0.25">
      <c r="A2" s="1223" t="s">
        <v>258</v>
      </c>
      <c r="B2" s="1223"/>
      <c r="C2" s="1223"/>
      <c r="D2" s="1223"/>
      <c r="E2" s="1223"/>
      <c r="F2" s="1223"/>
      <c r="G2" s="1223"/>
      <c r="H2" s="1223"/>
      <c r="I2" s="681"/>
    </row>
    <row r="3" spans="1:31" ht="15.75" x14ac:dyDescent="0.25">
      <c r="A3" s="678"/>
      <c r="B3" s="681"/>
      <c r="C3" s="681"/>
      <c r="D3" s="681"/>
      <c r="E3" s="681"/>
      <c r="F3" s="681"/>
      <c r="G3" s="681"/>
      <c r="H3" s="1022"/>
      <c r="I3" s="681"/>
    </row>
    <row r="4" spans="1:31" ht="18" x14ac:dyDescent="0.2">
      <c r="A4" s="1226" t="s">
        <v>3394</v>
      </c>
      <c r="B4" s="1226"/>
      <c r="C4" s="1226"/>
      <c r="D4" s="1226"/>
      <c r="E4" s="1226"/>
      <c r="F4" s="1226"/>
      <c r="G4" s="1226"/>
      <c r="H4" s="1226"/>
      <c r="I4" s="680"/>
    </row>
    <row r="5" spans="1:31" x14ac:dyDescent="0.2">
      <c r="A5" s="679"/>
      <c r="B5" s="678"/>
      <c r="C5" s="678"/>
      <c r="D5" s="678"/>
      <c r="E5" s="678"/>
      <c r="F5" s="678"/>
      <c r="G5" s="678"/>
      <c r="H5" s="1044"/>
      <c r="I5" s="677"/>
    </row>
    <row r="6" spans="1:31" x14ac:dyDescent="0.2">
      <c r="A6" s="679">
        <f>A31</f>
        <v>1</v>
      </c>
      <c r="B6" s="1013" t="str">
        <f>RMS_General_Requirements</f>
        <v>General RMS Requirements</v>
      </c>
      <c r="C6" s="678"/>
      <c r="D6" s="678"/>
      <c r="E6" s="678"/>
      <c r="F6" s="678"/>
      <c r="G6" s="678"/>
      <c r="H6" s="1044"/>
      <c r="I6" s="677"/>
      <c r="J6" s="598"/>
      <c r="K6" s="598"/>
      <c r="L6" s="598"/>
      <c r="M6" s="598"/>
      <c r="N6" s="598"/>
      <c r="O6" s="598"/>
      <c r="P6" s="598"/>
      <c r="Q6" s="598"/>
      <c r="R6" s="598"/>
      <c r="S6" s="598"/>
      <c r="T6" s="598"/>
      <c r="U6" s="598"/>
      <c r="V6" s="598"/>
      <c r="W6" s="598"/>
      <c r="X6" s="598"/>
      <c r="Y6" s="598"/>
      <c r="Z6" s="598"/>
      <c r="AA6" s="598"/>
      <c r="AB6" s="598"/>
      <c r="AC6" s="598"/>
      <c r="AD6" s="598"/>
      <c r="AE6" s="598"/>
    </row>
    <row r="7" spans="1:31" x14ac:dyDescent="0.2">
      <c r="A7" s="679">
        <f>A114</f>
        <v>84</v>
      </c>
      <c r="B7" s="1013" t="str">
        <f>B114</f>
        <v>Master Indices</v>
      </c>
      <c r="C7" s="678"/>
      <c r="D7" s="678"/>
      <c r="E7" s="678"/>
      <c r="F7" s="678"/>
      <c r="G7" s="678"/>
      <c r="H7" s="1044"/>
      <c r="I7" s="677"/>
      <c r="J7" s="598"/>
      <c r="K7" s="598"/>
      <c r="L7" s="598"/>
      <c r="M7" s="598"/>
      <c r="N7" s="598"/>
      <c r="O7" s="598"/>
      <c r="P7" s="598"/>
      <c r="Q7" s="598"/>
      <c r="R7" s="598"/>
      <c r="S7" s="598"/>
      <c r="T7" s="598"/>
      <c r="U7" s="598"/>
      <c r="V7" s="598"/>
      <c r="W7" s="598"/>
      <c r="X7" s="598"/>
      <c r="Y7" s="598"/>
      <c r="Z7" s="598"/>
      <c r="AA7" s="598"/>
      <c r="AB7" s="598"/>
      <c r="AC7" s="598"/>
      <c r="AD7" s="598"/>
      <c r="AE7" s="598"/>
    </row>
    <row r="8" spans="1:31" x14ac:dyDescent="0.2">
      <c r="A8" s="679">
        <f>A411</f>
        <v>381</v>
      </c>
      <c r="B8" s="1013" t="str">
        <f>B411</f>
        <v>Calls for Service</v>
      </c>
      <c r="C8" s="678"/>
      <c r="D8" s="678"/>
      <c r="E8" s="678"/>
      <c r="F8" s="678"/>
      <c r="G8" s="678"/>
      <c r="H8" s="1044"/>
      <c r="I8" s="677"/>
      <c r="J8" s="598"/>
      <c r="K8" s="598"/>
      <c r="L8" s="598"/>
      <c r="M8" s="598"/>
      <c r="N8" s="598"/>
      <c r="O8" s="598"/>
      <c r="P8" s="598"/>
      <c r="Q8" s="598"/>
      <c r="R8" s="598"/>
      <c r="S8" s="598"/>
      <c r="T8" s="598"/>
      <c r="U8" s="598"/>
      <c r="V8" s="598"/>
      <c r="W8" s="598"/>
      <c r="X8" s="598"/>
      <c r="Y8" s="598"/>
      <c r="Z8" s="598"/>
      <c r="AA8" s="598"/>
      <c r="AB8" s="598"/>
      <c r="AC8" s="598"/>
      <c r="AD8" s="598"/>
      <c r="AE8" s="598"/>
    </row>
    <row r="9" spans="1:31" x14ac:dyDescent="0.2">
      <c r="A9" s="679">
        <f>A446</f>
        <v>416</v>
      </c>
      <c r="B9" s="1013" t="str">
        <f>B446</f>
        <v>Data Analysis</v>
      </c>
      <c r="C9" s="678"/>
      <c r="D9" s="678"/>
      <c r="E9" s="678"/>
      <c r="F9" s="678"/>
      <c r="G9" s="678"/>
      <c r="H9" s="1044"/>
      <c r="I9" s="677"/>
      <c r="J9" s="598"/>
      <c r="K9" s="598"/>
      <c r="L9" s="598"/>
      <c r="M9" s="598"/>
      <c r="N9" s="598"/>
      <c r="O9" s="598"/>
      <c r="P9" s="598"/>
      <c r="Q9" s="598"/>
      <c r="R9" s="598"/>
      <c r="S9" s="598"/>
      <c r="T9" s="598"/>
      <c r="U9" s="598"/>
      <c r="V9" s="598"/>
      <c r="W9" s="598"/>
      <c r="X9" s="598"/>
      <c r="Y9" s="598"/>
      <c r="Z9" s="598"/>
      <c r="AA9" s="598"/>
      <c r="AB9" s="598"/>
      <c r="AC9" s="598"/>
      <c r="AD9" s="598"/>
      <c r="AE9" s="598"/>
    </row>
    <row r="10" spans="1:31" x14ac:dyDescent="0.2">
      <c r="A10" s="679">
        <f>A556</f>
        <v>526</v>
      </c>
      <c r="B10" s="1013" t="str">
        <f>B556</f>
        <v>Warrants</v>
      </c>
      <c r="C10" s="678"/>
      <c r="D10" s="678"/>
      <c r="E10" s="678"/>
      <c r="F10" s="678"/>
      <c r="G10" s="678"/>
      <c r="H10" s="1044"/>
      <c r="I10" s="677"/>
      <c r="J10" s="598"/>
      <c r="K10" s="598"/>
      <c r="L10" s="598"/>
      <c r="M10" s="598"/>
      <c r="N10" s="598"/>
      <c r="O10" s="598"/>
      <c r="P10" s="598"/>
      <c r="Q10" s="598"/>
      <c r="R10" s="598"/>
      <c r="S10" s="598"/>
      <c r="T10" s="598"/>
      <c r="U10" s="598"/>
      <c r="V10" s="598"/>
      <c r="W10" s="598"/>
      <c r="X10" s="598"/>
      <c r="Y10" s="598"/>
      <c r="Z10" s="598"/>
      <c r="AA10" s="598"/>
      <c r="AB10" s="598"/>
      <c r="AC10" s="598"/>
      <c r="AD10" s="598"/>
      <c r="AE10" s="598"/>
    </row>
    <row r="11" spans="1:31" x14ac:dyDescent="0.2">
      <c r="A11" s="679">
        <f>A604</f>
        <v>574</v>
      </c>
      <c r="B11" s="1013" t="str">
        <f>B604</f>
        <v>Personnel Activity</v>
      </c>
      <c r="C11" s="678"/>
      <c r="D11" s="678"/>
      <c r="E11" s="678"/>
      <c r="F11" s="678"/>
      <c r="G11" s="678"/>
      <c r="H11" s="1044"/>
      <c r="I11" s="677"/>
      <c r="J11" s="598"/>
      <c r="K11" s="598"/>
      <c r="L11" s="598"/>
      <c r="M11" s="598"/>
      <c r="N11" s="598"/>
      <c r="O11" s="598"/>
      <c r="P11" s="598"/>
      <c r="Q11" s="598"/>
      <c r="R11" s="598"/>
      <c r="S11" s="598"/>
      <c r="T11" s="598"/>
      <c r="U11" s="598"/>
      <c r="V11" s="598"/>
      <c r="W11" s="598"/>
      <c r="X11" s="598"/>
      <c r="Y11" s="598"/>
      <c r="Z11" s="598"/>
      <c r="AA11" s="598"/>
      <c r="AB11" s="598"/>
      <c r="AC11" s="598"/>
      <c r="AD11" s="598"/>
      <c r="AE11" s="598"/>
    </row>
    <row r="12" spans="1:31" x14ac:dyDescent="0.2">
      <c r="A12" s="679">
        <f>A692</f>
        <v>662</v>
      </c>
      <c r="B12" s="1013" t="str">
        <f>B692</f>
        <v>Personnel</v>
      </c>
      <c r="C12" s="678"/>
      <c r="D12" s="678"/>
      <c r="E12" s="678"/>
      <c r="F12" s="678"/>
      <c r="G12" s="678"/>
      <c r="H12" s="1044"/>
      <c r="I12" s="677"/>
      <c r="J12" s="598"/>
      <c r="K12" s="598"/>
      <c r="L12" s="598"/>
      <c r="M12" s="598"/>
      <c r="N12" s="598"/>
      <c r="O12" s="598"/>
      <c r="P12" s="598"/>
      <c r="Q12" s="598"/>
      <c r="R12" s="598"/>
      <c r="S12" s="598"/>
      <c r="T12" s="598"/>
      <c r="U12" s="598"/>
      <c r="V12" s="598"/>
      <c r="W12" s="598"/>
      <c r="X12" s="598"/>
      <c r="Y12" s="598"/>
      <c r="Z12" s="598"/>
      <c r="AA12" s="598"/>
      <c r="AB12" s="598"/>
      <c r="AC12" s="598"/>
      <c r="AD12" s="598"/>
      <c r="AE12" s="598"/>
    </row>
    <row r="13" spans="1:31" x14ac:dyDescent="0.2">
      <c r="A13" s="679">
        <f>A747</f>
        <v>717</v>
      </c>
      <c r="B13" s="1013" t="str">
        <f>B747</f>
        <v>Training</v>
      </c>
      <c r="C13" s="678"/>
      <c r="D13" s="678"/>
      <c r="E13" s="678"/>
      <c r="F13" s="678"/>
      <c r="G13" s="678"/>
      <c r="H13" s="1044"/>
      <c r="I13" s="677"/>
      <c r="J13" s="598"/>
      <c r="K13" s="598"/>
      <c r="L13" s="598"/>
      <c r="M13" s="598"/>
      <c r="N13" s="598"/>
      <c r="O13" s="598"/>
      <c r="P13" s="598"/>
      <c r="Q13" s="598"/>
      <c r="R13" s="598"/>
      <c r="S13" s="598"/>
      <c r="T13" s="598"/>
      <c r="U13" s="598"/>
      <c r="V13" s="598"/>
      <c r="W13" s="598"/>
      <c r="X13" s="598"/>
      <c r="Y13" s="598"/>
      <c r="Z13" s="598"/>
      <c r="AA13" s="598"/>
      <c r="AB13" s="598"/>
      <c r="AC13" s="598"/>
      <c r="AD13" s="598"/>
      <c r="AE13" s="598"/>
    </row>
    <row r="14" spans="1:31" x14ac:dyDescent="0.2">
      <c r="A14" s="679">
        <f>A877</f>
        <v>847</v>
      </c>
      <c r="B14" s="1013" t="str">
        <f>B877</f>
        <v>Citations and Crash Reporting</v>
      </c>
      <c r="C14" s="678"/>
      <c r="D14" s="678"/>
      <c r="E14" s="678"/>
      <c r="F14" s="678"/>
      <c r="G14" s="678"/>
      <c r="H14" s="1044"/>
      <c r="I14" s="677"/>
      <c r="J14" s="598"/>
      <c r="K14" s="598"/>
      <c r="L14" s="598"/>
      <c r="M14" s="598"/>
      <c r="N14" s="598"/>
      <c r="O14" s="598"/>
      <c r="P14" s="598"/>
      <c r="Q14" s="598"/>
      <c r="R14" s="598"/>
      <c r="S14" s="598"/>
      <c r="T14" s="598"/>
      <c r="U14" s="598"/>
      <c r="V14" s="598"/>
      <c r="W14" s="598"/>
      <c r="X14" s="598"/>
      <c r="Y14" s="598"/>
      <c r="Z14" s="598"/>
      <c r="AA14" s="598"/>
      <c r="AB14" s="598"/>
      <c r="AC14" s="598"/>
      <c r="AD14" s="598"/>
      <c r="AE14" s="598"/>
    </row>
    <row r="15" spans="1:31" x14ac:dyDescent="0.2">
      <c r="A15" s="679">
        <f>A892</f>
        <v>862</v>
      </c>
      <c r="B15" s="1013" t="str">
        <f>B892</f>
        <v>Towed Vehicles</v>
      </c>
      <c r="C15" s="678"/>
      <c r="D15" s="678"/>
      <c r="E15" s="678"/>
      <c r="F15" s="678"/>
      <c r="G15" s="678"/>
      <c r="H15" s="1044"/>
      <c r="I15" s="677"/>
      <c r="J15" s="598"/>
      <c r="K15" s="598"/>
      <c r="L15" s="598"/>
      <c r="M15" s="598"/>
      <c r="N15" s="598"/>
      <c r="O15" s="598"/>
      <c r="P15" s="598"/>
      <c r="Q15" s="598"/>
      <c r="R15" s="598"/>
      <c r="S15" s="598"/>
      <c r="T15" s="598"/>
      <c r="U15" s="598"/>
      <c r="V15" s="598"/>
      <c r="W15" s="598"/>
      <c r="X15" s="598"/>
      <c r="Y15" s="598"/>
      <c r="Z15" s="598"/>
      <c r="AA15" s="598"/>
      <c r="AB15" s="598"/>
      <c r="AC15" s="598"/>
      <c r="AD15" s="598"/>
      <c r="AE15" s="598"/>
    </row>
    <row r="16" spans="1:31" x14ac:dyDescent="0.2">
      <c r="A16" s="679">
        <f>A903</f>
        <v>873</v>
      </c>
      <c r="B16" s="1013" t="str">
        <f>B903</f>
        <v>Case Management</v>
      </c>
      <c r="C16" s="678"/>
      <c r="D16" s="678"/>
      <c r="E16" s="678"/>
      <c r="F16" s="678"/>
      <c r="G16" s="678"/>
      <c r="H16" s="1044"/>
      <c r="I16" s="677"/>
      <c r="J16" s="598"/>
      <c r="K16" s="598"/>
      <c r="L16" s="598"/>
      <c r="M16" s="598"/>
      <c r="N16" s="598"/>
      <c r="O16" s="598"/>
      <c r="P16" s="598"/>
      <c r="Q16" s="598"/>
      <c r="R16" s="598"/>
      <c r="S16" s="598"/>
      <c r="T16" s="598"/>
      <c r="U16" s="598"/>
      <c r="V16" s="598"/>
      <c r="W16" s="598"/>
      <c r="X16" s="598"/>
      <c r="Y16" s="598"/>
      <c r="Z16" s="598"/>
      <c r="AA16" s="598"/>
      <c r="AB16" s="598"/>
      <c r="AC16" s="598"/>
      <c r="AD16" s="598"/>
      <c r="AE16" s="598"/>
    </row>
    <row r="17" spans="1:31" x14ac:dyDescent="0.2">
      <c r="A17" s="679">
        <f>A1131</f>
        <v>1101</v>
      </c>
      <c r="B17" s="1013" t="str">
        <f>B1131</f>
        <v>Juvenile</v>
      </c>
      <c r="C17" s="678"/>
      <c r="D17" s="678"/>
      <c r="E17" s="678"/>
      <c r="F17" s="678"/>
      <c r="G17" s="678"/>
      <c r="H17" s="1044"/>
      <c r="I17" s="677"/>
      <c r="J17" s="598"/>
      <c r="K17" s="598"/>
      <c r="L17" s="598"/>
      <c r="M17" s="598"/>
      <c r="N17" s="598"/>
      <c r="O17" s="598"/>
      <c r="P17" s="598"/>
      <c r="Q17" s="598"/>
      <c r="R17" s="598"/>
      <c r="S17" s="598"/>
      <c r="T17" s="598"/>
      <c r="U17" s="598"/>
      <c r="V17" s="598"/>
      <c r="W17" s="598"/>
      <c r="X17" s="598"/>
      <c r="Y17" s="598"/>
      <c r="Z17" s="598"/>
      <c r="AA17" s="598"/>
      <c r="AB17" s="598"/>
      <c r="AC17" s="598"/>
      <c r="AD17" s="598"/>
      <c r="AE17" s="598"/>
    </row>
    <row r="18" spans="1:31" x14ac:dyDescent="0.2">
      <c r="A18" s="679">
        <f>A1221</f>
        <v>1191</v>
      </c>
      <c r="B18" s="1013" t="str">
        <f>B1221</f>
        <v>Intelligence</v>
      </c>
      <c r="C18" s="678"/>
      <c r="D18" s="678"/>
      <c r="E18" s="678"/>
      <c r="F18" s="678"/>
      <c r="G18" s="678"/>
      <c r="H18" s="1044"/>
      <c r="I18" s="677"/>
      <c r="J18" s="598"/>
      <c r="K18" s="598"/>
      <c r="L18" s="598"/>
      <c r="M18" s="598"/>
      <c r="N18" s="598"/>
      <c r="O18" s="598"/>
      <c r="P18" s="598"/>
      <c r="Q18" s="598"/>
      <c r="R18" s="598"/>
      <c r="S18" s="598"/>
      <c r="T18" s="598"/>
      <c r="U18" s="598"/>
      <c r="V18" s="598"/>
      <c r="W18" s="598"/>
      <c r="X18" s="598"/>
      <c r="Y18" s="598"/>
      <c r="Z18" s="598"/>
      <c r="AA18" s="598"/>
      <c r="AB18" s="598"/>
      <c r="AC18" s="598"/>
      <c r="AD18" s="598"/>
      <c r="AE18" s="598"/>
    </row>
    <row r="19" spans="1:31" x14ac:dyDescent="0.2">
      <c r="A19" s="679">
        <f>A1343</f>
        <v>1313</v>
      </c>
      <c r="B19" s="1013" t="str">
        <f>B1343</f>
        <v>Property and Evidence</v>
      </c>
      <c r="C19" s="678"/>
      <c r="D19" s="678"/>
      <c r="E19" s="678"/>
      <c r="F19" s="678"/>
      <c r="G19" s="678"/>
      <c r="H19" s="1044"/>
      <c r="I19" s="677"/>
      <c r="J19" s="598"/>
      <c r="K19" s="598"/>
      <c r="L19" s="598"/>
      <c r="M19" s="598"/>
      <c r="N19" s="598"/>
      <c r="O19" s="598"/>
      <c r="P19" s="598"/>
      <c r="Q19" s="598"/>
      <c r="R19" s="598"/>
      <c r="S19" s="598"/>
      <c r="T19" s="598"/>
      <c r="U19" s="598"/>
      <c r="V19" s="598"/>
      <c r="W19" s="598"/>
      <c r="X19" s="598"/>
      <c r="Y19" s="598"/>
      <c r="Z19" s="598"/>
      <c r="AA19" s="598"/>
      <c r="AB19" s="598"/>
      <c r="AC19" s="598"/>
      <c r="AD19" s="598"/>
      <c r="AE19" s="598"/>
    </row>
    <row r="20" spans="1:31" x14ac:dyDescent="0.2">
      <c r="A20" s="679">
        <f>A1538</f>
        <v>1508</v>
      </c>
      <c r="B20" s="1013" t="str">
        <f>B1538</f>
        <v>Asset and Supply Management</v>
      </c>
      <c r="C20" s="678"/>
      <c r="D20" s="678"/>
      <c r="E20" s="678"/>
      <c r="F20" s="678"/>
      <c r="G20" s="678"/>
      <c r="H20" s="1044"/>
      <c r="I20" s="677"/>
      <c r="J20" s="598"/>
      <c r="K20" s="598"/>
      <c r="L20" s="598"/>
      <c r="M20" s="598"/>
      <c r="N20" s="598"/>
      <c r="O20" s="598"/>
      <c r="P20" s="598"/>
      <c r="Q20" s="598"/>
      <c r="R20" s="598"/>
      <c r="S20" s="598"/>
      <c r="T20" s="598"/>
      <c r="U20" s="598"/>
      <c r="V20" s="598"/>
      <c r="W20" s="598"/>
      <c r="X20" s="598"/>
      <c r="Y20" s="598"/>
      <c r="Z20" s="598"/>
      <c r="AA20" s="598"/>
      <c r="AB20" s="598"/>
      <c r="AC20" s="598"/>
      <c r="AD20" s="598"/>
      <c r="AE20" s="598"/>
    </row>
    <row r="21" spans="1:31" x14ac:dyDescent="0.2">
      <c r="A21" s="679">
        <f>A1675</f>
        <v>1645</v>
      </c>
      <c r="B21" s="1013" t="str">
        <f>B1675</f>
        <v>Offender Registration</v>
      </c>
      <c r="C21" s="678"/>
      <c r="D21" s="678"/>
      <c r="E21" s="678"/>
      <c r="F21" s="678"/>
      <c r="G21" s="678"/>
      <c r="H21" s="1044"/>
      <c r="I21" s="677"/>
      <c r="J21" s="598"/>
      <c r="K21" s="598"/>
      <c r="L21" s="598"/>
      <c r="M21" s="598"/>
      <c r="N21" s="598"/>
      <c r="O21" s="598"/>
      <c r="P21" s="598"/>
      <c r="Q21" s="598"/>
      <c r="R21" s="598"/>
      <c r="S21" s="598"/>
      <c r="T21" s="598"/>
      <c r="U21" s="598"/>
      <c r="V21" s="598"/>
      <c r="W21" s="598"/>
      <c r="X21" s="598"/>
      <c r="Y21" s="598"/>
      <c r="Z21" s="598"/>
      <c r="AA21" s="598"/>
      <c r="AB21" s="598"/>
      <c r="AC21" s="598"/>
      <c r="AD21" s="598"/>
      <c r="AE21" s="598"/>
    </row>
    <row r="22" spans="1:31" x14ac:dyDescent="0.2">
      <c r="A22" s="679">
        <f>A1723</f>
        <v>1693</v>
      </c>
      <c r="B22" s="1013" t="str">
        <f>B1723</f>
        <v>Civil Service</v>
      </c>
      <c r="C22" s="678"/>
      <c r="D22" s="678"/>
      <c r="E22" s="678"/>
      <c r="F22" s="678"/>
      <c r="G22" s="678"/>
      <c r="H22" s="1044"/>
      <c r="I22" s="677"/>
      <c r="J22" s="598"/>
      <c r="K22" s="598"/>
      <c r="L22" s="598"/>
      <c r="M22" s="598"/>
      <c r="N22" s="598"/>
      <c r="O22" s="598"/>
      <c r="P22" s="598"/>
      <c r="Q22" s="598"/>
      <c r="R22" s="598"/>
      <c r="S22" s="598"/>
      <c r="T22" s="598"/>
      <c r="U22" s="598"/>
      <c r="V22" s="598"/>
      <c r="W22" s="598"/>
      <c r="X22" s="598"/>
      <c r="Y22" s="598"/>
      <c r="Z22" s="598"/>
      <c r="AA22" s="598"/>
      <c r="AB22" s="598"/>
      <c r="AC22" s="598"/>
      <c r="AD22" s="598"/>
      <c r="AE22" s="598"/>
    </row>
    <row r="23" spans="1:31" x14ac:dyDescent="0.2">
      <c r="A23" s="679">
        <f>A1840</f>
        <v>1810</v>
      </c>
      <c r="B23" s="1013" t="str">
        <f>B1840</f>
        <v>Expungements and Redactions</v>
      </c>
      <c r="C23" s="678"/>
      <c r="D23" s="678"/>
      <c r="E23" s="678"/>
      <c r="F23" s="678"/>
      <c r="G23" s="678"/>
      <c r="H23" s="1044"/>
      <c r="I23" s="677"/>
      <c r="J23" s="598"/>
      <c r="K23" s="598"/>
      <c r="L23" s="598"/>
      <c r="M23" s="598"/>
      <c r="N23" s="598"/>
      <c r="O23" s="598"/>
      <c r="P23" s="598"/>
      <c r="Q23" s="598"/>
      <c r="R23" s="598"/>
      <c r="S23" s="598"/>
      <c r="T23" s="598"/>
      <c r="U23" s="598"/>
      <c r="V23" s="598"/>
      <c r="W23" s="598"/>
      <c r="X23" s="598"/>
      <c r="Y23" s="598"/>
      <c r="Z23" s="598"/>
      <c r="AA23" s="598"/>
      <c r="AB23" s="598"/>
      <c r="AC23" s="598"/>
      <c r="AD23" s="598"/>
      <c r="AE23" s="598"/>
    </row>
    <row r="24" spans="1:31" x14ac:dyDescent="0.2">
      <c r="A24" s="679"/>
      <c r="B24" s="678"/>
      <c r="C24" s="678"/>
      <c r="D24" s="678"/>
      <c r="E24" s="678"/>
      <c r="F24" s="678"/>
      <c r="G24" s="678"/>
      <c r="H24" s="1044"/>
      <c r="I24" s="677"/>
      <c r="J24" s="598"/>
      <c r="K24" s="598"/>
      <c r="L24" s="598"/>
      <c r="M24" s="598"/>
      <c r="N24" s="598"/>
      <c r="O24" s="598"/>
      <c r="P24" s="598"/>
      <c r="Q24" s="598"/>
      <c r="R24" s="598"/>
      <c r="S24" s="598"/>
      <c r="T24" s="598"/>
      <c r="U24" s="598"/>
      <c r="V24" s="598"/>
      <c r="W24" s="598"/>
      <c r="X24" s="598"/>
      <c r="Y24" s="598"/>
      <c r="Z24" s="598"/>
      <c r="AA24" s="598"/>
      <c r="AB24" s="598"/>
      <c r="AC24" s="598"/>
      <c r="AD24" s="598"/>
      <c r="AE24" s="598"/>
    </row>
    <row r="25" spans="1:31" x14ac:dyDescent="0.2">
      <c r="A25" s="679"/>
      <c r="B25" s="678"/>
      <c r="C25" s="678"/>
      <c r="D25" s="678"/>
      <c r="E25" s="678"/>
      <c r="F25" s="678"/>
      <c r="G25" s="678"/>
      <c r="H25" s="1044"/>
      <c r="I25" s="677"/>
      <c r="J25" s="598"/>
      <c r="K25" s="598"/>
      <c r="L25" s="598"/>
      <c r="M25" s="598"/>
      <c r="N25" s="598"/>
      <c r="O25" s="598"/>
      <c r="P25" s="598"/>
      <c r="Q25" s="598"/>
      <c r="R25" s="598"/>
      <c r="S25" s="598"/>
      <c r="T25" s="598"/>
      <c r="U25" s="598"/>
      <c r="V25" s="598"/>
      <c r="W25" s="598"/>
      <c r="X25" s="598"/>
      <c r="Y25" s="598"/>
      <c r="Z25" s="598"/>
      <c r="AA25" s="598"/>
      <c r="AB25" s="598"/>
      <c r="AC25" s="598"/>
      <c r="AD25" s="598"/>
      <c r="AE25" s="598"/>
    </row>
    <row r="26" spans="1:31" x14ac:dyDescent="0.2">
      <c r="A26" s="679"/>
      <c r="B26" s="678"/>
      <c r="C26" s="678"/>
      <c r="D26" s="678"/>
      <c r="E26" s="678"/>
      <c r="F26" s="678"/>
      <c r="G26" s="678"/>
      <c r="H26" s="1044"/>
      <c r="I26" s="677"/>
      <c r="J26" s="598"/>
      <c r="K26" s="598"/>
      <c r="L26" s="598"/>
      <c r="M26" s="598"/>
      <c r="N26" s="598"/>
      <c r="O26" s="598"/>
      <c r="P26" s="598"/>
      <c r="Q26" s="598"/>
      <c r="R26" s="598"/>
      <c r="S26" s="598"/>
      <c r="T26" s="598"/>
      <c r="U26" s="598"/>
      <c r="V26" s="598"/>
      <c r="W26" s="598"/>
      <c r="X26" s="598"/>
      <c r="Y26" s="598"/>
      <c r="Z26" s="598"/>
      <c r="AA26" s="598"/>
      <c r="AB26" s="598"/>
      <c r="AC26" s="598"/>
      <c r="AD26" s="598"/>
      <c r="AE26" s="598"/>
    </row>
    <row r="27" spans="1:31" x14ac:dyDescent="0.2">
      <c r="A27" s="679"/>
      <c r="B27" s="678"/>
      <c r="C27" s="678"/>
      <c r="D27" s="678"/>
      <c r="E27" s="678"/>
      <c r="F27" s="678"/>
      <c r="G27" s="678"/>
      <c r="H27" s="1044"/>
      <c r="I27" s="677"/>
      <c r="J27" s="598"/>
      <c r="K27" s="598"/>
      <c r="L27" s="598"/>
      <c r="M27" s="598"/>
      <c r="N27" s="598"/>
      <c r="O27" s="598"/>
      <c r="P27" s="598"/>
      <c r="Q27" s="598"/>
      <c r="R27" s="598"/>
      <c r="S27" s="598"/>
      <c r="T27" s="598"/>
      <c r="U27" s="598"/>
      <c r="V27" s="598"/>
      <c r="W27" s="598"/>
      <c r="X27" s="598"/>
      <c r="Y27" s="598"/>
      <c r="Z27" s="598"/>
      <c r="AA27" s="598"/>
      <c r="AB27" s="598"/>
      <c r="AC27" s="598"/>
      <c r="AD27" s="598"/>
      <c r="AE27" s="598"/>
    </row>
    <row r="28" spans="1:31" x14ac:dyDescent="0.2">
      <c r="A28" s="679"/>
      <c r="B28" s="678"/>
      <c r="C28" s="678"/>
      <c r="D28" s="678"/>
      <c r="E28" s="678"/>
      <c r="F28" s="678"/>
      <c r="G28" s="678"/>
      <c r="H28" s="1044"/>
      <c r="I28" s="677"/>
      <c r="J28" s="598"/>
      <c r="K28" s="598"/>
      <c r="L28" s="598"/>
      <c r="M28" s="598"/>
      <c r="N28" s="598"/>
      <c r="O28" s="598"/>
      <c r="P28" s="598"/>
      <c r="Q28" s="598"/>
      <c r="R28" s="598"/>
      <c r="S28" s="598"/>
      <c r="T28" s="598"/>
      <c r="U28" s="598"/>
      <c r="V28" s="598"/>
      <c r="W28" s="598"/>
      <c r="X28" s="598"/>
      <c r="Y28" s="598"/>
      <c r="Z28" s="598"/>
      <c r="AA28" s="598"/>
      <c r="AB28" s="598"/>
      <c r="AC28" s="598"/>
      <c r="AD28" s="598"/>
      <c r="AE28" s="598"/>
    </row>
    <row r="29" spans="1:31" x14ac:dyDescent="0.2">
      <c r="A29" s="679"/>
      <c r="B29" s="678"/>
      <c r="C29" s="678"/>
      <c r="D29" s="678"/>
      <c r="E29" s="678"/>
      <c r="F29" s="678"/>
      <c r="G29" s="678"/>
      <c r="H29" s="1044"/>
      <c r="I29" s="677"/>
      <c r="J29" s="598"/>
      <c r="K29" s="598"/>
      <c r="L29" s="598"/>
      <c r="M29" s="598"/>
      <c r="N29" s="598"/>
      <c r="O29" s="598"/>
      <c r="P29" s="598"/>
      <c r="Q29" s="598"/>
      <c r="R29" s="598"/>
      <c r="S29" s="598"/>
      <c r="T29" s="598"/>
      <c r="U29" s="598"/>
      <c r="V29" s="598"/>
      <c r="W29" s="598"/>
      <c r="X29" s="598"/>
      <c r="Y29" s="598"/>
      <c r="Z29" s="598"/>
      <c r="AA29" s="598"/>
      <c r="AB29" s="598"/>
      <c r="AC29" s="598"/>
      <c r="AD29" s="598"/>
      <c r="AE29" s="598"/>
    </row>
    <row r="30" spans="1:31" ht="15" x14ac:dyDescent="0.25">
      <c r="A30" s="675" t="s">
        <v>155</v>
      </c>
      <c r="B30" s="676" t="s">
        <v>1720</v>
      </c>
      <c r="C30" s="1166" t="s">
        <v>3560</v>
      </c>
      <c r="D30" s="1166" t="s">
        <v>3559</v>
      </c>
      <c r="E30" s="1166" t="s">
        <v>3561</v>
      </c>
      <c r="F30" s="1166" t="s">
        <v>3563</v>
      </c>
      <c r="G30" s="1166" t="s">
        <v>3565</v>
      </c>
      <c r="H30" s="675" t="s">
        <v>149</v>
      </c>
    </row>
    <row r="31" spans="1:31" ht="30" x14ac:dyDescent="0.25">
      <c r="A31" s="605">
        <v>1</v>
      </c>
      <c r="B31" s="669" t="s">
        <v>1719</v>
      </c>
      <c r="C31" s="672"/>
      <c r="D31" s="672"/>
      <c r="E31" s="672"/>
      <c r="F31" s="672"/>
      <c r="G31" s="672"/>
      <c r="H31" s="1045"/>
    </row>
    <row r="32" spans="1:31" s="598" customFormat="1" ht="15" x14ac:dyDescent="0.25">
      <c r="A32" s="605">
        <v>2</v>
      </c>
      <c r="B32" s="674" t="s">
        <v>1718</v>
      </c>
      <c r="C32" s="672"/>
      <c r="D32" s="672"/>
      <c r="E32" s="672"/>
      <c r="F32" s="672"/>
      <c r="G32" s="672"/>
      <c r="H32" s="1046"/>
    </row>
    <row r="33" spans="1:8" s="598" customFormat="1" ht="15" x14ac:dyDescent="0.25">
      <c r="A33" s="605">
        <v>3</v>
      </c>
      <c r="B33" s="674" t="s">
        <v>1717</v>
      </c>
      <c r="C33" s="672"/>
      <c r="D33" s="672"/>
      <c r="E33" s="672"/>
      <c r="F33" s="672"/>
      <c r="G33" s="672"/>
      <c r="H33" s="1046"/>
    </row>
    <row r="34" spans="1:8" s="598" customFormat="1" ht="30" x14ac:dyDescent="0.25">
      <c r="A34" s="605">
        <v>4</v>
      </c>
      <c r="B34" s="674" t="s">
        <v>1716</v>
      </c>
      <c r="C34" s="672"/>
      <c r="D34" s="672"/>
      <c r="E34" s="672"/>
      <c r="F34" s="672"/>
      <c r="G34" s="672"/>
      <c r="H34" s="1046"/>
    </row>
    <row r="35" spans="1:8" s="598" customFormat="1" ht="15" x14ac:dyDescent="0.25">
      <c r="A35" s="605">
        <v>5</v>
      </c>
      <c r="B35" s="674" t="s">
        <v>1715</v>
      </c>
      <c r="C35" s="672"/>
      <c r="D35" s="672"/>
      <c r="E35" s="672"/>
      <c r="F35" s="672"/>
      <c r="G35" s="672"/>
      <c r="H35" s="1046"/>
    </row>
    <row r="36" spans="1:8" s="598" customFormat="1" ht="15" x14ac:dyDescent="0.25">
      <c r="A36" s="605">
        <v>6</v>
      </c>
      <c r="B36" s="674" t="s">
        <v>1714</v>
      </c>
      <c r="C36" s="672"/>
      <c r="D36" s="672"/>
      <c r="E36" s="672"/>
      <c r="F36" s="672"/>
      <c r="G36" s="672"/>
      <c r="H36" s="1046"/>
    </row>
    <row r="37" spans="1:8" s="598" customFormat="1" ht="15" x14ac:dyDescent="0.25">
      <c r="A37" s="605">
        <v>7</v>
      </c>
      <c r="B37" s="674" t="s">
        <v>1713</v>
      </c>
      <c r="C37" s="672"/>
      <c r="D37" s="672"/>
      <c r="E37" s="672"/>
      <c r="F37" s="672"/>
      <c r="G37" s="672"/>
      <c r="H37" s="1046"/>
    </row>
    <row r="38" spans="1:8" s="598" customFormat="1" ht="15" x14ac:dyDescent="0.25">
      <c r="A38" s="605">
        <v>8</v>
      </c>
      <c r="B38" s="674" t="s">
        <v>1712</v>
      </c>
      <c r="C38" s="672"/>
      <c r="D38" s="672"/>
      <c r="E38" s="672"/>
      <c r="F38" s="672"/>
      <c r="G38" s="672"/>
      <c r="H38" s="1046"/>
    </row>
    <row r="39" spans="1:8" s="598" customFormat="1" ht="15" x14ac:dyDescent="0.25">
      <c r="A39" s="605">
        <v>9</v>
      </c>
      <c r="B39" s="674" t="s">
        <v>1711</v>
      </c>
      <c r="C39" s="672"/>
      <c r="D39" s="672"/>
      <c r="E39" s="672"/>
      <c r="F39" s="672"/>
      <c r="G39" s="672"/>
      <c r="H39" s="1046"/>
    </row>
    <row r="40" spans="1:8" s="598" customFormat="1" ht="30" x14ac:dyDescent="0.25">
      <c r="A40" s="605">
        <v>10</v>
      </c>
      <c r="B40" s="674" t="s">
        <v>1710</v>
      </c>
      <c r="C40" s="672"/>
      <c r="D40" s="672"/>
      <c r="E40" s="672"/>
      <c r="F40" s="672"/>
      <c r="G40" s="672"/>
      <c r="H40" s="1046"/>
    </row>
    <row r="41" spans="1:8" s="598" customFormat="1" ht="30" x14ac:dyDescent="0.25">
      <c r="A41" s="605">
        <v>11</v>
      </c>
      <c r="B41" s="674" t="s">
        <v>1709</v>
      </c>
      <c r="C41" s="672"/>
      <c r="D41" s="672"/>
      <c r="E41" s="672"/>
      <c r="F41" s="672"/>
      <c r="G41" s="672"/>
      <c r="H41" s="1046"/>
    </row>
    <row r="42" spans="1:8" s="598" customFormat="1" ht="15" x14ac:dyDescent="0.25">
      <c r="A42" s="605">
        <v>12</v>
      </c>
      <c r="B42" s="674" t="s">
        <v>1708</v>
      </c>
      <c r="C42" s="672"/>
      <c r="D42" s="672"/>
      <c r="E42" s="672"/>
      <c r="F42" s="672"/>
      <c r="G42" s="672"/>
      <c r="H42" s="1046"/>
    </row>
    <row r="43" spans="1:8" ht="15" x14ac:dyDescent="0.25">
      <c r="A43" s="605">
        <v>13</v>
      </c>
      <c r="B43" s="674" t="s">
        <v>1707</v>
      </c>
      <c r="C43" s="672"/>
      <c r="D43" s="672"/>
      <c r="E43" s="672"/>
      <c r="F43" s="672"/>
      <c r="G43" s="672"/>
      <c r="H43" s="1046"/>
    </row>
    <row r="44" spans="1:8" ht="30" x14ac:dyDescent="0.25">
      <c r="A44" s="605">
        <v>14</v>
      </c>
      <c r="B44" s="674" t="s">
        <v>1706</v>
      </c>
      <c r="C44" s="667"/>
      <c r="D44" s="666"/>
      <c r="E44" s="666"/>
      <c r="F44" s="666"/>
      <c r="G44" s="666"/>
      <c r="H44" s="1046"/>
    </row>
    <row r="45" spans="1:8" ht="15" x14ac:dyDescent="0.25">
      <c r="A45" s="605">
        <v>15</v>
      </c>
      <c r="B45" s="673" t="s">
        <v>1705</v>
      </c>
      <c r="C45" s="672"/>
      <c r="D45" s="672"/>
      <c r="E45" s="672"/>
      <c r="F45" s="672"/>
      <c r="G45" s="672"/>
      <c r="H45" s="1046"/>
    </row>
    <row r="46" spans="1:8" ht="15" x14ac:dyDescent="0.25">
      <c r="A46" s="605">
        <v>16</v>
      </c>
      <c r="B46" s="673" t="s">
        <v>1704</v>
      </c>
      <c r="C46" s="672"/>
      <c r="D46" s="672"/>
      <c r="E46" s="672"/>
      <c r="F46" s="672"/>
      <c r="G46" s="672"/>
      <c r="H46" s="1046"/>
    </row>
    <row r="47" spans="1:8" s="598" customFormat="1" ht="15" x14ac:dyDescent="0.25">
      <c r="A47" s="605">
        <v>17</v>
      </c>
      <c r="B47" s="673" t="s">
        <v>1703</v>
      </c>
      <c r="C47" s="672"/>
      <c r="D47" s="672"/>
      <c r="E47" s="672"/>
      <c r="F47" s="672"/>
      <c r="G47" s="672"/>
      <c r="H47" s="1046"/>
    </row>
    <row r="48" spans="1:8" ht="15" x14ac:dyDescent="0.25">
      <c r="A48" s="605">
        <v>18</v>
      </c>
      <c r="B48" s="673" t="s">
        <v>1702</v>
      </c>
      <c r="C48" s="672"/>
      <c r="D48" s="672"/>
      <c r="E48" s="672"/>
      <c r="F48" s="672"/>
      <c r="G48" s="672"/>
      <c r="H48" s="1046"/>
    </row>
    <row r="49" spans="1:8" ht="15" x14ac:dyDescent="0.25">
      <c r="A49" s="605">
        <v>19</v>
      </c>
      <c r="B49" s="671" t="s">
        <v>1701</v>
      </c>
      <c r="C49" s="670"/>
      <c r="D49" s="670"/>
      <c r="E49" s="670"/>
      <c r="F49" s="670"/>
      <c r="G49" s="670"/>
      <c r="H49" s="1047"/>
    </row>
    <row r="50" spans="1:8" ht="45" x14ac:dyDescent="0.25">
      <c r="A50" s="605">
        <v>20</v>
      </c>
      <c r="B50" s="669" t="s">
        <v>1700</v>
      </c>
      <c r="C50" s="668"/>
      <c r="D50" s="668"/>
      <c r="E50" s="668"/>
      <c r="F50" s="668"/>
      <c r="G50" s="668"/>
      <c r="H50" s="1045"/>
    </row>
    <row r="51" spans="1:8" ht="30" x14ac:dyDescent="0.25">
      <c r="A51" s="605">
        <v>21</v>
      </c>
      <c r="B51" s="669" t="s">
        <v>1699</v>
      </c>
      <c r="C51" s="668"/>
      <c r="D51" s="668"/>
      <c r="E51" s="668"/>
      <c r="F51" s="668"/>
      <c r="G51" s="668"/>
      <c r="H51" s="1045"/>
    </row>
    <row r="52" spans="1:8" s="598" customFormat="1" ht="45" x14ac:dyDescent="0.25">
      <c r="A52" s="605">
        <v>22</v>
      </c>
      <c r="B52" s="674" t="s">
        <v>1698</v>
      </c>
      <c r="C52" s="672"/>
      <c r="D52" s="672"/>
      <c r="E52" s="672"/>
      <c r="F52" s="672"/>
      <c r="G52" s="672"/>
      <c r="H52" s="1046"/>
    </row>
    <row r="53" spans="1:8" ht="45" x14ac:dyDescent="0.2">
      <c r="A53" s="605">
        <v>23</v>
      </c>
      <c r="B53" s="658" t="s">
        <v>1697</v>
      </c>
      <c r="C53" s="647"/>
      <c r="D53" s="657"/>
      <c r="E53" s="657"/>
      <c r="F53" s="657"/>
      <c r="G53" s="657"/>
      <c r="H53" s="1048"/>
    </row>
    <row r="54" spans="1:8" ht="30" x14ac:dyDescent="0.2">
      <c r="A54" s="605">
        <v>24</v>
      </c>
      <c r="B54" s="656" t="s">
        <v>1696</v>
      </c>
      <c r="C54" s="667"/>
      <c r="D54" s="666"/>
      <c r="E54" s="666"/>
      <c r="F54" s="666"/>
      <c r="G54" s="666"/>
      <c r="H54" s="1049"/>
    </row>
    <row r="55" spans="1:8" ht="15" x14ac:dyDescent="0.2">
      <c r="A55" s="605">
        <v>25</v>
      </c>
      <c r="B55" s="664" t="s">
        <v>1695</v>
      </c>
      <c r="C55" s="655"/>
      <c r="D55" s="654"/>
      <c r="E55" s="654"/>
      <c r="F55" s="654"/>
      <c r="G55" s="654"/>
      <c r="H55" s="1049"/>
    </row>
    <row r="56" spans="1:8" ht="15" x14ac:dyDescent="0.2">
      <c r="A56" s="605">
        <v>26</v>
      </c>
      <c r="B56" s="664" t="s">
        <v>1694</v>
      </c>
      <c r="C56" s="655"/>
      <c r="D56" s="654"/>
      <c r="E56" s="654"/>
      <c r="F56" s="654"/>
      <c r="G56" s="654"/>
      <c r="H56" s="1049"/>
    </row>
    <row r="57" spans="1:8" ht="15" x14ac:dyDescent="0.2">
      <c r="A57" s="605">
        <v>27</v>
      </c>
      <c r="B57" s="664" t="s">
        <v>1693</v>
      </c>
      <c r="C57" s="655"/>
      <c r="D57" s="654"/>
      <c r="E57" s="654"/>
      <c r="F57" s="654"/>
      <c r="G57" s="654"/>
      <c r="H57" s="1049"/>
    </row>
    <row r="58" spans="1:8" ht="15" x14ac:dyDescent="0.2">
      <c r="A58" s="605">
        <v>28</v>
      </c>
      <c r="B58" s="664" t="s">
        <v>1692</v>
      </c>
      <c r="C58" s="655"/>
      <c r="D58" s="654"/>
      <c r="E58" s="654"/>
      <c r="F58" s="654"/>
      <c r="G58" s="654"/>
      <c r="H58" s="1049"/>
    </row>
    <row r="59" spans="1:8" ht="15" x14ac:dyDescent="0.2">
      <c r="A59" s="605">
        <v>29</v>
      </c>
      <c r="B59" s="664" t="s">
        <v>1691</v>
      </c>
      <c r="C59" s="655"/>
      <c r="D59" s="654"/>
      <c r="E59" s="654"/>
      <c r="F59" s="654"/>
      <c r="G59" s="654"/>
      <c r="H59" s="1049"/>
    </row>
    <row r="60" spans="1:8" s="598" customFormat="1" ht="15" x14ac:dyDescent="0.2">
      <c r="A60" s="605">
        <v>30</v>
      </c>
      <c r="B60" s="980" t="s">
        <v>1690</v>
      </c>
      <c r="C60" s="655"/>
      <c r="D60" s="654"/>
      <c r="E60" s="654"/>
      <c r="F60" s="654"/>
      <c r="G60" s="654"/>
      <c r="H60" s="1049"/>
    </row>
    <row r="61" spans="1:8" s="598" customFormat="1" ht="30" x14ac:dyDescent="0.2">
      <c r="A61" s="605">
        <v>31</v>
      </c>
      <c r="B61" s="656" t="s">
        <v>1689</v>
      </c>
      <c r="C61" s="655"/>
      <c r="D61" s="655"/>
      <c r="E61" s="655"/>
      <c r="F61" s="655"/>
      <c r="G61" s="655"/>
      <c r="H61" s="1050"/>
    </row>
    <row r="62" spans="1:8" s="598" customFormat="1" ht="15" x14ac:dyDescent="0.2">
      <c r="A62" s="605">
        <v>32</v>
      </c>
      <c r="B62" s="980" t="s">
        <v>1688</v>
      </c>
      <c r="C62" s="655"/>
      <c r="D62" s="655"/>
      <c r="E62" s="655"/>
      <c r="F62" s="655"/>
      <c r="G62" s="655"/>
      <c r="H62" s="1051"/>
    </row>
    <row r="63" spans="1:8" s="598" customFormat="1" ht="30" x14ac:dyDescent="0.2">
      <c r="A63" s="605">
        <v>33</v>
      </c>
      <c r="B63" s="980" t="s">
        <v>1687</v>
      </c>
      <c r="C63" s="655"/>
      <c r="D63" s="655"/>
      <c r="E63" s="655"/>
      <c r="F63" s="655"/>
      <c r="G63" s="655"/>
      <c r="H63" s="1051"/>
    </row>
    <row r="64" spans="1:8" ht="30" x14ac:dyDescent="0.2">
      <c r="A64" s="605">
        <v>34</v>
      </c>
      <c r="B64" s="648" t="s">
        <v>1686</v>
      </c>
      <c r="C64" s="647"/>
      <c r="D64" s="646"/>
      <c r="E64" s="646"/>
      <c r="F64" s="646"/>
      <c r="G64" s="646"/>
      <c r="H64" s="1052"/>
    </row>
    <row r="65" spans="1:8" ht="30" x14ac:dyDescent="0.2">
      <c r="A65" s="605">
        <v>35</v>
      </c>
      <c r="B65" s="663" t="s">
        <v>1685</v>
      </c>
      <c r="C65" s="662"/>
      <c r="D65" s="662"/>
      <c r="E65" s="662"/>
      <c r="F65" s="662"/>
      <c r="G65" s="662"/>
      <c r="H65" s="1053"/>
    </row>
    <row r="66" spans="1:8" ht="15" x14ac:dyDescent="0.2">
      <c r="A66" s="605">
        <v>36</v>
      </c>
      <c r="B66" s="643" t="s">
        <v>1684</v>
      </c>
      <c r="C66" s="642"/>
      <c r="D66" s="642"/>
      <c r="E66" s="642"/>
      <c r="F66" s="641"/>
      <c r="G66" s="641"/>
      <c r="H66" s="1054"/>
    </row>
    <row r="67" spans="1:8" ht="15" x14ac:dyDescent="0.2">
      <c r="A67" s="605">
        <v>37</v>
      </c>
      <c r="B67" s="604" t="s">
        <v>1683</v>
      </c>
      <c r="C67" s="603"/>
      <c r="D67" s="603"/>
      <c r="E67" s="603"/>
      <c r="F67" s="603"/>
      <c r="G67" s="603"/>
      <c r="H67" s="1055"/>
    </row>
    <row r="68" spans="1:8" ht="30" x14ac:dyDescent="0.2">
      <c r="A68" s="605">
        <v>38</v>
      </c>
      <c r="B68" s="648" t="s">
        <v>1682</v>
      </c>
      <c r="C68" s="647"/>
      <c r="D68" s="647"/>
      <c r="E68" s="647"/>
      <c r="F68" s="647"/>
      <c r="G68" s="647"/>
      <c r="H68" s="1056"/>
    </row>
    <row r="69" spans="1:8" s="598" customFormat="1" ht="15" x14ac:dyDescent="0.2">
      <c r="A69" s="605">
        <v>39</v>
      </c>
      <c r="B69" s="980" t="s">
        <v>1681</v>
      </c>
      <c r="C69" s="655"/>
      <c r="D69" s="655"/>
      <c r="E69" s="655"/>
      <c r="F69" s="655"/>
      <c r="G69" s="655"/>
      <c r="H69" s="1051"/>
    </row>
    <row r="70" spans="1:8" s="598" customFormat="1" ht="30" x14ac:dyDescent="0.2">
      <c r="A70" s="605">
        <v>40</v>
      </c>
      <c r="B70" s="980" t="s">
        <v>1680</v>
      </c>
      <c r="C70" s="655"/>
      <c r="D70" s="655"/>
      <c r="E70" s="655"/>
      <c r="F70" s="655"/>
      <c r="G70" s="655"/>
      <c r="H70" s="1051"/>
    </row>
    <row r="71" spans="1:8" ht="30" x14ac:dyDescent="0.2">
      <c r="A71" s="605">
        <v>41</v>
      </c>
      <c r="B71" s="661" t="s">
        <v>1679</v>
      </c>
      <c r="C71" s="660"/>
      <c r="D71" s="660"/>
      <c r="E71" s="660"/>
      <c r="F71" s="660"/>
      <c r="G71" s="660"/>
      <c r="H71" s="1057"/>
    </row>
    <row r="72" spans="1:8" ht="30" x14ac:dyDescent="0.2">
      <c r="A72" s="605">
        <v>42</v>
      </c>
      <c r="B72" s="658" t="s">
        <v>1678</v>
      </c>
      <c r="C72" s="647"/>
      <c r="D72" s="657"/>
      <c r="E72" s="657"/>
      <c r="F72" s="657"/>
      <c r="G72" s="657"/>
      <c r="H72" s="1048"/>
    </row>
    <row r="73" spans="1:8" s="598" customFormat="1" ht="15" x14ac:dyDescent="0.2">
      <c r="A73" s="605">
        <v>43</v>
      </c>
      <c r="B73" s="656" t="s">
        <v>1677</v>
      </c>
      <c r="C73" s="655"/>
      <c r="D73" s="654"/>
      <c r="E73" s="654"/>
      <c r="F73" s="654"/>
      <c r="G73" s="654"/>
      <c r="H73" s="1049"/>
    </row>
    <row r="74" spans="1:8" ht="30" x14ac:dyDescent="0.2">
      <c r="A74" s="605">
        <v>44</v>
      </c>
      <c r="B74" s="659" t="s">
        <v>1676</v>
      </c>
      <c r="C74" s="647"/>
      <c r="D74" s="657"/>
      <c r="E74" s="657"/>
      <c r="F74" s="657"/>
      <c r="G74" s="657"/>
      <c r="H74" s="1048"/>
    </row>
    <row r="75" spans="1:8" ht="30" x14ac:dyDescent="0.2">
      <c r="A75" s="605">
        <v>45</v>
      </c>
      <c r="B75" s="658" t="s">
        <v>1675</v>
      </c>
      <c r="C75" s="647"/>
      <c r="D75" s="657"/>
      <c r="E75" s="657"/>
      <c r="F75" s="657"/>
      <c r="G75" s="657"/>
      <c r="H75" s="1048"/>
    </row>
    <row r="76" spans="1:8" ht="30" x14ac:dyDescent="0.2">
      <c r="A76" s="605">
        <v>46</v>
      </c>
      <c r="B76" s="656" t="s">
        <v>1674</v>
      </c>
      <c r="C76" s="655"/>
      <c r="D76" s="654"/>
      <c r="E76" s="654"/>
      <c r="F76" s="654"/>
      <c r="G76" s="654"/>
      <c r="H76" s="1049"/>
    </row>
    <row r="77" spans="1:8" ht="30" x14ac:dyDescent="0.25">
      <c r="A77" s="605">
        <v>47</v>
      </c>
      <c r="B77" s="631" t="s">
        <v>1673</v>
      </c>
      <c r="C77" s="652"/>
      <c r="D77" s="652"/>
      <c r="E77" s="652"/>
      <c r="F77" s="651"/>
      <c r="G77" s="651"/>
      <c r="H77" s="1058"/>
    </row>
    <row r="78" spans="1:8" ht="30" x14ac:dyDescent="0.2">
      <c r="A78" s="605">
        <v>48</v>
      </c>
      <c r="B78" s="650" t="s">
        <v>1672</v>
      </c>
      <c r="C78" s="642"/>
      <c r="D78" s="642"/>
      <c r="E78" s="642"/>
      <c r="F78" s="649"/>
      <c r="G78" s="649"/>
      <c r="H78" s="1059"/>
    </row>
    <row r="79" spans="1:8" ht="30" x14ac:dyDescent="0.2">
      <c r="A79" s="605">
        <v>49</v>
      </c>
      <c r="B79" s="650" t="s">
        <v>1671</v>
      </c>
      <c r="C79" s="642"/>
      <c r="D79" s="642"/>
      <c r="E79" s="642"/>
      <c r="F79" s="649"/>
      <c r="G79" s="649"/>
      <c r="H79" s="1059"/>
    </row>
    <row r="80" spans="1:8" ht="30" x14ac:dyDescent="0.2">
      <c r="A80" s="605">
        <v>50</v>
      </c>
      <c r="B80" s="650" t="s">
        <v>1670</v>
      </c>
      <c r="C80" s="642"/>
      <c r="D80" s="642"/>
      <c r="E80" s="642"/>
      <c r="F80" s="649"/>
      <c r="G80" s="649"/>
      <c r="H80" s="1059"/>
    </row>
    <row r="81" spans="1:8" ht="30" x14ac:dyDescent="0.2">
      <c r="A81" s="605">
        <v>51</v>
      </c>
      <c r="B81" s="648" t="s">
        <v>1669</v>
      </c>
      <c r="C81" s="647"/>
      <c r="D81" s="646"/>
      <c r="E81" s="646"/>
      <c r="F81" s="646"/>
      <c r="G81" s="646"/>
      <c r="H81" s="1052"/>
    </row>
    <row r="82" spans="1:8" ht="15" x14ac:dyDescent="0.2">
      <c r="A82" s="605">
        <v>52</v>
      </c>
      <c r="B82" s="648" t="s">
        <v>1668</v>
      </c>
      <c r="C82" s="647"/>
      <c r="D82" s="646"/>
      <c r="E82" s="646"/>
      <c r="F82" s="646"/>
      <c r="G82" s="646"/>
      <c r="H82" s="1052"/>
    </row>
    <row r="83" spans="1:8" ht="15" x14ac:dyDescent="0.2">
      <c r="A83" s="605">
        <v>53</v>
      </c>
      <c r="B83" s="648" t="s">
        <v>1667</v>
      </c>
      <c r="C83" s="647"/>
      <c r="D83" s="646"/>
      <c r="E83" s="646"/>
      <c r="F83" s="646"/>
      <c r="G83" s="646"/>
      <c r="H83" s="1060"/>
    </row>
    <row r="84" spans="1:8" ht="30" x14ac:dyDescent="0.2">
      <c r="A84" s="605">
        <v>54</v>
      </c>
      <c r="B84" s="645" t="s">
        <v>1666</v>
      </c>
      <c r="C84" s="644"/>
      <c r="D84" s="644"/>
      <c r="E84" s="644"/>
      <c r="F84" s="644"/>
      <c r="G84" s="644"/>
      <c r="H84" s="1061"/>
    </row>
    <row r="85" spans="1:8" ht="15" x14ac:dyDescent="0.2">
      <c r="A85" s="605">
        <v>55</v>
      </c>
      <c r="B85" s="643" t="s">
        <v>1665</v>
      </c>
      <c r="C85" s="642"/>
      <c r="D85" s="642"/>
      <c r="E85" s="642"/>
      <c r="F85" s="641"/>
      <c r="G85" s="641"/>
      <c r="H85" s="1054"/>
    </row>
    <row r="86" spans="1:8" ht="15" x14ac:dyDescent="0.2">
      <c r="A86" s="605">
        <v>56</v>
      </c>
      <c r="B86" s="643" t="s">
        <v>1664</v>
      </c>
      <c r="C86" s="642"/>
      <c r="D86" s="642"/>
      <c r="E86" s="642"/>
      <c r="F86" s="641"/>
      <c r="G86" s="641"/>
      <c r="H86" s="1054"/>
    </row>
    <row r="87" spans="1:8" ht="15" x14ac:dyDescent="0.2">
      <c r="A87" s="605">
        <v>57</v>
      </c>
      <c r="B87" s="604" t="s">
        <v>1663</v>
      </c>
      <c r="C87" s="603"/>
      <c r="D87" s="603"/>
      <c r="E87" s="603"/>
      <c r="F87" s="603"/>
      <c r="G87" s="603"/>
      <c r="H87" s="1055"/>
    </row>
    <row r="88" spans="1:8" s="347" customFormat="1" ht="45" x14ac:dyDescent="0.2">
      <c r="A88" s="605">
        <v>58</v>
      </c>
      <c r="B88" s="640" t="s">
        <v>1662</v>
      </c>
      <c r="C88" s="640"/>
      <c r="D88" s="640"/>
      <c r="E88" s="640"/>
      <c r="F88" s="640"/>
      <c r="G88" s="640"/>
      <c r="H88" s="1062"/>
    </row>
    <row r="89" spans="1:8" s="347" customFormat="1" ht="30" x14ac:dyDescent="0.25">
      <c r="A89" s="605">
        <v>59</v>
      </c>
      <c r="B89" s="639" t="s">
        <v>1661</v>
      </c>
      <c r="C89" s="638"/>
      <c r="D89" s="637"/>
      <c r="E89" s="637"/>
      <c r="F89" s="637"/>
      <c r="G89" s="637"/>
      <c r="H89" s="1063"/>
    </row>
    <row r="90" spans="1:8" ht="30" x14ac:dyDescent="0.2">
      <c r="A90" s="605">
        <v>60</v>
      </c>
      <c r="B90" s="520" t="s">
        <v>1660</v>
      </c>
      <c r="C90" s="520"/>
      <c r="D90" s="520"/>
      <c r="E90" s="520"/>
      <c r="F90" s="520"/>
      <c r="G90" s="520"/>
      <c r="H90" s="1064"/>
    </row>
    <row r="91" spans="1:8" ht="30" x14ac:dyDescent="0.2">
      <c r="A91" s="605">
        <v>61</v>
      </c>
      <c r="B91" s="520" t="s">
        <v>1659</v>
      </c>
      <c r="C91" s="520"/>
      <c r="D91" s="520"/>
      <c r="E91" s="520"/>
      <c r="F91" s="520"/>
      <c r="G91" s="520"/>
      <c r="H91" s="1064"/>
    </row>
    <row r="92" spans="1:8" ht="30" x14ac:dyDescent="0.25">
      <c r="A92" s="605">
        <v>62</v>
      </c>
      <c r="B92" s="639" t="s">
        <v>1658</v>
      </c>
      <c r="C92" s="638"/>
      <c r="D92" s="637"/>
      <c r="E92" s="637"/>
      <c r="F92" s="637"/>
      <c r="G92" s="637"/>
      <c r="H92" s="1063"/>
    </row>
    <row r="93" spans="1:8" ht="15" x14ac:dyDescent="0.25">
      <c r="A93" s="605">
        <v>63</v>
      </c>
      <c r="B93" s="636" t="s">
        <v>1657</v>
      </c>
      <c r="C93" s="635"/>
      <c r="D93" s="634"/>
      <c r="E93" s="634"/>
      <c r="F93" s="634"/>
      <c r="G93" s="634"/>
      <c r="H93" s="1034"/>
    </row>
    <row r="94" spans="1:8" ht="60" x14ac:dyDescent="0.25">
      <c r="A94" s="605">
        <v>64</v>
      </c>
      <c r="B94" s="636" t="s">
        <v>1656</v>
      </c>
      <c r="C94" s="635"/>
      <c r="D94" s="634"/>
      <c r="E94" s="634"/>
      <c r="F94" s="634"/>
      <c r="G94" s="634"/>
      <c r="H94" s="1034"/>
    </row>
    <row r="95" spans="1:8" s="598" customFormat="1" ht="15" x14ac:dyDescent="0.25">
      <c r="A95" s="605">
        <v>65</v>
      </c>
      <c r="B95" s="636" t="s">
        <v>1655</v>
      </c>
      <c r="C95" s="635"/>
      <c r="D95" s="634"/>
      <c r="E95" s="634"/>
      <c r="F95" s="634"/>
      <c r="G95" s="634"/>
      <c r="H95" s="1034"/>
    </row>
    <row r="96" spans="1:8" s="598" customFormat="1" ht="30" x14ac:dyDescent="0.25">
      <c r="A96" s="605">
        <v>66</v>
      </c>
      <c r="B96" s="636" t="s">
        <v>1654</v>
      </c>
      <c r="C96" s="635"/>
      <c r="D96" s="634"/>
      <c r="E96" s="634"/>
      <c r="F96" s="634"/>
      <c r="G96" s="634"/>
      <c r="H96" s="1034"/>
    </row>
    <row r="97" spans="1:31" s="598" customFormat="1" ht="15" x14ac:dyDescent="0.25">
      <c r="A97" s="605">
        <v>67</v>
      </c>
      <c r="B97" s="636" t="s">
        <v>1653</v>
      </c>
      <c r="C97" s="635"/>
      <c r="D97" s="634"/>
      <c r="E97" s="634"/>
      <c r="F97" s="634"/>
      <c r="G97" s="634"/>
      <c r="H97" s="1034"/>
    </row>
    <row r="98" spans="1:31" s="598" customFormat="1" ht="15" x14ac:dyDescent="0.25">
      <c r="A98" s="605">
        <v>68</v>
      </c>
      <c r="B98" s="636" t="s">
        <v>1652</v>
      </c>
      <c r="C98" s="635"/>
      <c r="D98" s="634"/>
      <c r="E98" s="634"/>
      <c r="F98" s="634"/>
      <c r="G98" s="634"/>
      <c r="H98" s="1034"/>
    </row>
    <row r="99" spans="1:31" ht="30" x14ac:dyDescent="0.25">
      <c r="A99" s="605">
        <v>69</v>
      </c>
      <c r="B99" s="636" t="s">
        <v>1651</v>
      </c>
      <c r="C99" s="635"/>
      <c r="D99" s="634"/>
      <c r="E99" s="634"/>
      <c r="F99" s="634"/>
      <c r="G99" s="634"/>
      <c r="H99" s="1034"/>
      <c r="AD99" s="345"/>
      <c r="AE99" s="345"/>
    </row>
    <row r="100" spans="1:31" ht="15" x14ac:dyDescent="0.2">
      <c r="A100" s="605">
        <v>70</v>
      </c>
      <c r="B100" s="604" t="s">
        <v>1650</v>
      </c>
      <c r="C100" s="603"/>
      <c r="D100" s="603"/>
      <c r="E100" s="603"/>
      <c r="F100" s="603"/>
      <c r="G100" s="603"/>
      <c r="H100" s="1055"/>
      <c r="AD100" s="345"/>
      <c r="AE100" s="345"/>
    </row>
    <row r="101" spans="1:31" ht="30" x14ac:dyDescent="0.25">
      <c r="A101" s="605">
        <v>71</v>
      </c>
      <c r="B101" s="628" t="s">
        <v>1649</v>
      </c>
      <c r="C101" s="633"/>
      <c r="D101" s="633"/>
      <c r="E101" s="633"/>
      <c r="F101" s="633"/>
      <c r="G101" s="633"/>
      <c r="H101" s="1065"/>
      <c r="AD101" s="345"/>
      <c r="AE101" s="345"/>
    </row>
    <row r="102" spans="1:31" ht="15" x14ac:dyDescent="0.2">
      <c r="A102" s="605">
        <v>72</v>
      </c>
      <c r="B102" s="632" t="s">
        <v>144</v>
      </c>
      <c r="C102" s="627"/>
      <c r="D102" s="627"/>
      <c r="E102" s="627"/>
      <c r="F102" s="627"/>
      <c r="G102" s="627"/>
      <c r="H102" s="1065"/>
      <c r="AD102" s="345"/>
      <c r="AE102" s="345"/>
    </row>
    <row r="103" spans="1:31" ht="15" x14ac:dyDescent="0.2">
      <c r="A103" s="605">
        <v>73</v>
      </c>
      <c r="B103" s="632" t="s">
        <v>1648</v>
      </c>
      <c r="C103" s="627"/>
      <c r="D103" s="627"/>
      <c r="E103" s="627"/>
      <c r="F103" s="627"/>
      <c r="G103" s="627"/>
      <c r="H103" s="1065"/>
      <c r="AD103" s="345"/>
      <c r="AE103" s="345"/>
    </row>
    <row r="104" spans="1:31" ht="30" x14ac:dyDescent="0.2">
      <c r="A104" s="605">
        <v>74</v>
      </c>
      <c r="B104" s="630" t="s">
        <v>1647</v>
      </c>
      <c r="C104" s="629"/>
      <c r="D104" s="629"/>
      <c r="E104" s="629"/>
      <c r="F104" s="629"/>
      <c r="G104" s="629"/>
      <c r="H104" s="1066"/>
      <c r="AD104" s="345"/>
      <c r="AE104" s="345"/>
    </row>
    <row r="105" spans="1:31" s="347" customFormat="1" ht="15" x14ac:dyDescent="0.2">
      <c r="A105" s="605">
        <v>75</v>
      </c>
      <c r="B105" s="539" t="s">
        <v>1646</v>
      </c>
      <c r="C105" s="286"/>
      <c r="D105" s="286"/>
      <c r="E105" s="286"/>
      <c r="F105" s="286"/>
      <c r="G105" s="286"/>
      <c r="H105" s="1054"/>
    </row>
    <row r="106" spans="1:31" s="598" customFormat="1" ht="15" x14ac:dyDescent="0.2">
      <c r="A106" s="605">
        <v>76</v>
      </c>
      <c r="B106" s="541" t="s">
        <v>1645</v>
      </c>
      <c r="C106" s="538"/>
      <c r="D106" s="538"/>
      <c r="E106" s="538"/>
      <c r="F106" s="538"/>
      <c r="G106" s="538"/>
      <c r="H106" s="1054"/>
    </row>
    <row r="107" spans="1:31" s="598" customFormat="1" ht="15" x14ac:dyDescent="0.2">
      <c r="A107" s="605">
        <v>77</v>
      </c>
      <c r="B107" s="541" t="s">
        <v>1644</v>
      </c>
      <c r="C107" s="538"/>
      <c r="D107" s="538"/>
      <c r="E107" s="538"/>
      <c r="F107" s="538"/>
      <c r="G107" s="538"/>
      <c r="H107" s="1054"/>
    </row>
    <row r="108" spans="1:31" ht="15" x14ac:dyDescent="0.2">
      <c r="A108" s="605">
        <v>78</v>
      </c>
      <c r="B108" s="630" t="s">
        <v>1643</v>
      </c>
      <c r="C108" s="629"/>
      <c r="D108" s="629"/>
      <c r="E108" s="629"/>
      <c r="F108" s="629"/>
      <c r="G108" s="629"/>
      <c r="H108" s="1066"/>
      <c r="AD108" s="345"/>
      <c r="AE108" s="345"/>
    </row>
    <row r="109" spans="1:31" ht="30" x14ac:dyDescent="0.2">
      <c r="A109" s="605">
        <v>79</v>
      </c>
      <c r="B109" s="628" t="s">
        <v>1642</v>
      </c>
      <c r="C109" s="627"/>
      <c r="D109" s="627"/>
      <c r="E109" s="627"/>
      <c r="F109" s="627"/>
      <c r="G109" s="627"/>
      <c r="H109" s="1065"/>
      <c r="AD109" s="345"/>
      <c r="AE109" s="345"/>
    </row>
    <row r="110" spans="1:31" ht="15" x14ac:dyDescent="0.2">
      <c r="A110" s="605">
        <v>80</v>
      </c>
      <c r="B110" s="628" t="s">
        <v>1641</v>
      </c>
      <c r="C110" s="627"/>
      <c r="D110" s="627"/>
      <c r="E110" s="627"/>
      <c r="F110" s="627"/>
      <c r="G110" s="627"/>
      <c r="H110" s="1065"/>
      <c r="AD110" s="345"/>
      <c r="AE110" s="345"/>
    </row>
    <row r="111" spans="1:31" ht="30" x14ac:dyDescent="0.2">
      <c r="A111" s="605">
        <v>81</v>
      </c>
      <c r="B111" s="628" t="s">
        <v>1640</v>
      </c>
      <c r="C111" s="627"/>
      <c r="D111" s="627"/>
      <c r="E111" s="627"/>
      <c r="F111" s="627"/>
      <c r="G111" s="627"/>
      <c r="H111" s="1065"/>
      <c r="AD111" s="345"/>
      <c r="AE111" s="345"/>
    </row>
    <row r="112" spans="1:31" ht="30" x14ac:dyDescent="0.2">
      <c r="A112" s="605">
        <v>82</v>
      </c>
      <c r="B112" s="628" t="s">
        <v>1639</v>
      </c>
      <c r="C112" s="627"/>
      <c r="D112" s="627"/>
      <c r="E112" s="627"/>
      <c r="F112" s="627"/>
      <c r="G112" s="627"/>
      <c r="H112" s="1065"/>
      <c r="AD112" s="345"/>
      <c r="AE112" s="345"/>
    </row>
    <row r="113" spans="1:31" ht="60" x14ac:dyDescent="0.2">
      <c r="A113" s="605">
        <v>83</v>
      </c>
      <c r="B113" s="628" t="s">
        <v>1638</v>
      </c>
      <c r="C113" s="627"/>
      <c r="D113" s="627"/>
      <c r="E113" s="627"/>
      <c r="F113" s="627"/>
      <c r="G113" s="627"/>
      <c r="H113" s="1065"/>
      <c r="AD113" s="345"/>
      <c r="AE113" s="345"/>
    </row>
    <row r="114" spans="1:31" ht="15" x14ac:dyDescent="0.25">
      <c r="A114" s="605">
        <v>84</v>
      </c>
      <c r="B114" s="676" t="s">
        <v>1950</v>
      </c>
      <c r="C114" s="675"/>
      <c r="D114" s="675"/>
      <c r="E114" s="675"/>
      <c r="F114" s="675"/>
      <c r="G114" s="675"/>
      <c r="H114" s="1023"/>
      <c r="AD114" s="345"/>
      <c r="AE114" s="345"/>
    </row>
    <row r="115" spans="1:31" ht="15" x14ac:dyDescent="0.2">
      <c r="A115" s="605">
        <v>85</v>
      </c>
      <c r="B115" s="604" t="s">
        <v>1949</v>
      </c>
      <c r="C115" s="603"/>
      <c r="D115" s="603"/>
      <c r="E115" s="603"/>
      <c r="F115" s="603"/>
      <c r="G115" s="603"/>
      <c r="H115" s="1055"/>
      <c r="AD115" s="345"/>
      <c r="AE115" s="345"/>
    </row>
    <row r="116" spans="1:31" ht="15" x14ac:dyDescent="0.25">
      <c r="A116" s="605">
        <v>86</v>
      </c>
      <c r="B116" s="669" t="s">
        <v>1948</v>
      </c>
      <c r="C116" s="667"/>
      <c r="D116" s="667"/>
      <c r="E116" s="667"/>
      <c r="F116" s="667"/>
      <c r="G116" s="667"/>
      <c r="H116" s="1045"/>
      <c r="AD116" s="345"/>
      <c r="AE116" s="345"/>
    </row>
    <row r="117" spans="1:31" ht="15" x14ac:dyDescent="0.25">
      <c r="A117" s="605">
        <v>87</v>
      </c>
      <c r="B117" s="686" t="s">
        <v>1939</v>
      </c>
      <c r="C117" s="685"/>
      <c r="D117" s="685"/>
      <c r="E117" s="685"/>
      <c r="F117" s="685"/>
      <c r="G117" s="685"/>
      <c r="H117" s="1067"/>
      <c r="AD117" s="345"/>
      <c r="AE117" s="345"/>
    </row>
    <row r="118" spans="1:31" ht="15" x14ac:dyDescent="0.25">
      <c r="A118" s="605">
        <v>88</v>
      </c>
      <c r="B118" s="684" t="s">
        <v>1938</v>
      </c>
      <c r="C118" s="668"/>
      <c r="D118" s="668"/>
      <c r="E118" s="668"/>
      <c r="F118" s="668"/>
      <c r="G118" s="668"/>
      <c r="H118" s="1045"/>
      <c r="AD118" s="345"/>
      <c r="AE118" s="345"/>
    </row>
    <row r="119" spans="1:31" ht="15" x14ac:dyDescent="0.25">
      <c r="A119" s="605">
        <v>89</v>
      </c>
      <c r="B119" s="684" t="s">
        <v>1936</v>
      </c>
      <c r="C119" s="668"/>
      <c r="D119" s="668"/>
      <c r="E119" s="668"/>
      <c r="F119" s="668"/>
      <c r="G119" s="668"/>
      <c r="H119" s="1045"/>
      <c r="AD119" s="345"/>
      <c r="AE119" s="345"/>
    </row>
    <row r="120" spans="1:31" ht="15" x14ac:dyDescent="0.25">
      <c r="A120" s="605">
        <v>90</v>
      </c>
      <c r="B120" s="684" t="s">
        <v>376</v>
      </c>
      <c r="C120" s="668"/>
      <c r="D120" s="668"/>
      <c r="E120" s="668"/>
      <c r="F120" s="668"/>
      <c r="G120" s="668"/>
      <c r="H120" s="1045"/>
      <c r="AD120" s="345"/>
      <c r="AE120" s="345"/>
    </row>
    <row r="121" spans="1:31" s="598" customFormat="1" ht="15" x14ac:dyDescent="0.25">
      <c r="A121" s="605">
        <v>91</v>
      </c>
      <c r="B121" s="673" t="s">
        <v>1947</v>
      </c>
      <c r="C121" s="672"/>
      <c r="D121" s="672"/>
      <c r="E121" s="672"/>
      <c r="F121" s="672"/>
      <c r="G121" s="672"/>
      <c r="H121" s="1046"/>
    </row>
    <row r="122" spans="1:31" ht="15" x14ac:dyDescent="0.25">
      <c r="A122" s="605">
        <v>92</v>
      </c>
      <c r="B122" s="684" t="s">
        <v>1946</v>
      </c>
      <c r="C122" s="668"/>
      <c r="D122" s="668"/>
      <c r="E122" s="668"/>
      <c r="F122" s="668"/>
      <c r="G122" s="668"/>
      <c r="H122" s="1045"/>
      <c r="AD122" s="345"/>
      <c r="AE122" s="345"/>
    </row>
    <row r="123" spans="1:31" ht="30" x14ac:dyDescent="0.25">
      <c r="A123" s="605">
        <v>93</v>
      </c>
      <c r="B123" s="669" t="s">
        <v>1945</v>
      </c>
      <c r="C123" s="668"/>
      <c r="D123" s="668"/>
      <c r="E123" s="668"/>
      <c r="F123" s="668"/>
      <c r="G123" s="668"/>
      <c r="H123" s="1045"/>
      <c r="AD123" s="345"/>
      <c r="AE123" s="345"/>
    </row>
    <row r="124" spans="1:31" ht="30" x14ac:dyDescent="0.25">
      <c r="A124" s="605">
        <v>94</v>
      </c>
      <c r="B124" s="669" t="s">
        <v>1944</v>
      </c>
      <c r="C124" s="668"/>
      <c r="D124" s="668"/>
      <c r="E124" s="668"/>
      <c r="F124" s="668"/>
      <c r="G124" s="668"/>
      <c r="H124" s="1045"/>
      <c r="AD124" s="345"/>
      <c r="AE124" s="345"/>
    </row>
    <row r="125" spans="1:31" ht="45" x14ac:dyDescent="0.25">
      <c r="A125" s="605">
        <v>95</v>
      </c>
      <c r="B125" s="708" t="s">
        <v>1943</v>
      </c>
      <c r="C125" s="685"/>
      <c r="D125" s="685"/>
      <c r="E125" s="685"/>
      <c r="F125" s="685"/>
      <c r="G125" s="685"/>
      <c r="H125" s="1067"/>
      <c r="AD125" s="345"/>
      <c r="AE125" s="345"/>
    </row>
    <row r="126" spans="1:31" s="598" customFormat="1" ht="45" x14ac:dyDescent="0.25">
      <c r="A126" s="605">
        <v>96</v>
      </c>
      <c r="B126" s="579" t="s">
        <v>1942</v>
      </c>
      <c r="C126" s="672"/>
      <c r="D126" s="672"/>
      <c r="E126" s="672"/>
      <c r="F126" s="672"/>
      <c r="G126" s="672"/>
      <c r="H126" s="1046"/>
    </row>
    <row r="127" spans="1:31" ht="15" x14ac:dyDescent="0.25">
      <c r="A127" s="605">
        <v>97</v>
      </c>
      <c r="B127" s="628" t="s">
        <v>1941</v>
      </c>
      <c r="C127" s="685"/>
      <c r="D127" s="685"/>
      <c r="E127" s="685"/>
      <c r="F127" s="685"/>
      <c r="G127" s="685"/>
      <c r="H127" s="1045"/>
      <c r="AD127" s="345"/>
      <c r="AE127" s="345"/>
    </row>
    <row r="128" spans="1:31" ht="15" x14ac:dyDescent="0.25">
      <c r="A128" s="605">
        <v>98</v>
      </c>
      <c r="B128" s="669" t="s">
        <v>1940</v>
      </c>
      <c r="C128" s="667"/>
      <c r="D128" s="667"/>
      <c r="E128" s="667"/>
      <c r="F128" s="667"/>
      <c r="G128" s="667"/>
      <c r="H128" s="1045"/>
      <c r="AD128" s="345"/>
      <c r="AE128" s="345"/>
    </row>
    <row r="129" spans="1:31" ht="15" x14ac:dyDescent="0.25">
      <c r="A129" s="605">
        <v>99</v>
      </c>
      <c r="B129" s="684" t="s">
        <v>1939</v>
      </c>
      <c r="C129" s="668"/>
      <c r="D129" s="668"/>
      <c r="E129" s="668"/>
      <c r="F129" s="668"/>
      <c r="G129" s="668"/>
      <c r="H129" s="1045"/>
      <c r="AD129" s="345"/>
      <c r="AE129" s="345"/>
    </row>
    <row r="130" spans="1:31" ht="15" x14ac:dyDescent="0.25">
      <c r="A130" s="605">
        <v>100</v>
      </c>
      <c r="B130" s="684" t="s">
        <v>1938</v>
      </c>
      <c r="C130" s="668"/>
      <c r="D130" s="668"/>
      <c r="E130" s="668"/>
      <c r="F130" s="668"/>
      <c r="G130" s="668"/>
      <c r="H130" s="1045"/>
      <c r="AD130" s="345"/>
      <c r="AE130" s="345"/>
    </row>
    <row r="131" spans="1:31" ht="15" x14ac:dyDescent="0.25">
      <c r="A131" s="605">
        <v>101</v>
      </c>
      <c r="B131" s="684" t="s">
        <v>1937</v>
      </c>
      <c r="C131" s="668"/>
      <c r="D131" s="668"/>
      <c r="E131" s="668"/>
      <c r="F131" s="668"/>
      <c r="G131" s="668"/>
      <c r="H131" s="1045"/>
      <c r="AD131" s="345"/>
      <c r="AE131" s="345"/>
    </row>
    <row r="132" spans="1:31" s="598" customFormat="1" ht="15" x14ac:dyDescent="0.25">
      <c r="A132" s="605">
        <v>102</v>
      </c>
      <c r="B132" s="673" t="s">
        <v>1936</v>
      </c>
      <c r="C132" s="672"/>
      <c r="D132" s="672"/>
      <c r="E132" s="672"/>
      <c r="F132" s="672"/>
      <c r="G132" s="672"/>
      <c r="H132" s="1046"/>
    </row>
    <row r="133" spans="1:31" s="598" customFormat="1" ht="15" x14ac:dyDescent="0.25">
      <c r="A133" s="605">
        <v>103</v>
      </c>
      <c r="B133" s="673" t="s">
        <v>376</v>
      </c>
      <c r="C133" s="672"/>
      <c r="D133" s="672"/>
      <c r="E133" s="672"/>
      <c r="F133" s="672"/>
      <c r="G133" s="672"/>
      <c r="H133" s="1046"/>
    </row>
    <row r="134" spans="1:31" ht="30" x14ac:dyDescent="0.25">
      <c r="A134" s="605">
        <v>104</v>
      </c>
      <c r="B134" s="674" t="s">
        <v>1935</v>
      </c>
      <c r="C134" s="633"/>
      <c r="D134" s="633"/>
      <c r="E134" s="633"/>
      <c r="F134" s="633"/>
      <c r="G134" s="633"/>
      <c r="H134" s="1046"/>
      <c r="AD134" s="345"/>
      <c r="AE134" s="345"/>
    </row>
    <row r="135" spans="1:31" ht="15" x14ac:dyDescent="0.25">
      <c r="A135" s="605">
        <v>105</v>
      </c>
      <c r="B135" s="673" t="s">
        <v>1934</v>
      </c>
      <c r="C135" s="672"/>
      <c r="D135" s="672"/>
      <c r="E135" s="672"/>
      <c r="F135" s="672"/>
      <c r="G135" s="672"/>
      <c r="H135" s="1046"/>
      <c r="AD135" s="345"/>
      <c r="AE135" s="345"/>
    </row>
    <row r="136" spans="1:31" ht="15" x14ac:dyDescent="0.25">
      <c r="A136" s="605">
        <v>106</v>
      </c>
      <c r="B136" s="673" t="s">
        <v>1933</v>
      </c>
      <c r="C136" s="672"/>
      <c r="D136" s="672"/>
      <c r="E136" s="672"/>
      <c r="F136" s="672"/>
      <c r="G136" s="672"/>
      <c r="H136" s="1046"/>
      <c r="AD136" s="345"/>
      <c r="AE136" s="345"/>
    </row>
    <row r="137" spans="1:31" ht="15" x14ac:dyDescent="0.25">
      <c r="A137" s="605">
        <v>107</v>
      </c>
      <c r="B137" s="673" t="s">
        <v>1932</v>
      </c>
      <c r="C137" s="672"/>
      <c r="D137" s="672"/>
      <c r="E137" s="672"/>
      <c r="F137" s="672"/>
      <c r="G137" s="672"/>
      <c r="H137" s="1046"/>
      <c r="AD137" s="345"/>
      <c r="AE137" s="345"/>
    </row>
    <row r="138" spans="1:31" ht="15" x14ac:dyDescent="0.25">
      <c r="A138" s="605">
        <v>108</v>
      </c>
      <c r="B138" s="673" t="s">
        <v>120</v>
      </c>
      <c r="C138" s="672"/>
      <c r="D138" s="672"/>
      <c r="E138" s="672"/>
      <c r="F138" s="672"/>
      <c r="G138" s="672"/>
      <c r="H138" s="1046"/>
      <c r="AD138" s="345"/>
      <c r="AE138" s="345"/>
    </row>
    <row r="139" spans="1:31" ht="15" x14ac:dyDescent="0.2">
      <c r="A139" s="605">
        <v>109</v>
      </c>
      <c r="B139" s="604" t="s">
        <v>1931</v>
      </c>
      <c r="C139" s="603"/>
      <c r="D139" s="603"/>
      <c r="E139" s="603"/>
      <c r="F139" s="603"/>
      <c r="G139" s="603"/>
      <c r="H139" s="1055"/>
      <c r="AD139" s="345"/>
      <c r="AE139" s="345"/>
    </row>
    <row r="140" spans="1:31" ht="30" x14ac:dyDescent="0.25">
      <c r="A140" s="605">
        <v>110</v>
      </c>
      <c r="B140" s="669" t="s">
        <v>1930</v>
      </c>
      <c r="C140" s="668"/>
      <c r="D140" s="668"/>
      <c r="E140" s="668"/>
      <c r="F140" s="668"/>
      <c r="G140" s="668"/>
      <c r="H140" s="1045"/>
      <c r="AD140" s="345"/>
      <c r="AE140" s="345"/>
    </row>
    <row r="141" spans="1:31" ht="30" x14ac:dyDescent="0.25">
      <c r="A141" s="605">
        <v>111</v>
      </c>
      <c r="B141" s="669" t="s">
        <v>1929</v>
      </c>
      <c r="C141" s="668"/>
      <c r="D141" s="668"/>
      <c r="E141" s="668"/>
      <c r="F141" s="668"/>
      <c r="G141" s="668"/>
      <c r="H141" s="1045"/>
      <c r="AD141" s="345"/>
      <c r="AE141" s="345"/>
    </row>
    <row r="142" spans="1:31" ht="30" x14ac:dyDescent="0.25">
      <c r="A142" s="605">
        <v>112</v>
      </c>
      <c r="B142" s="708" t="s">
        <v>1928</v>
      </c>
      <c r="C142" s="685"/>
      <c r="D142" s="685"/>
      <c r="E142" s="685"/>
      <c r="F142" s="685"/>
      <c r="G142" s="685"/>
      <c r="H142" s="1067"/>
      <c r="AD142" s="345"/>
      <c r="AE142" s="345"/>
    </row>
    <row r="143" spans="1:31" s="1190" customFormat="1" ht="30" x14ac:dyDescent="0.25">
      <c r="A143" s="605">
        <v>113</v>
      </c>
      <c r="B143" s="708" t="s">
        <v>3413</v>
      </c>
      <c r="C143" s="685"/>
      <c r="D143" s="685"/>
      <c r="E143" s="685"/>
      <c r="F143" s="685"/>
      <c r="G143" s="685"/>
      <c r="H143" s="685"/>
      <c r="I143" s="1189"/>
      <c r="J143" s="1189"/>
      <c r="K143" s="1189"/>
      <c r="L143" s="1189"/>
      <c r="M143" s="1189"/>
      <c r="N143" s="1189"/>
      <c r="O143" s="1189"/>
      <c r="P143" s="1189"/>
      <c r="Q143" s="1189"/>
      <c r="R143" s="1189"/>
      <c r="S143" s="1189"/>
      <c r="T143" s="1189"/>
      <c r="U143" s="1189"/>
      <c r="V143" s="1189"/>
      <c r="W143" s="1189"/>
      <c r="X143" s="1189"/>
      <c r="Y143" s="1189"/>
      <c r="Z143" s="1189"/>
      <c r="AA143" s="1189"/>
      <c r="AB143" s="1189"/>
      <c r="AC143" s="1189"/>
    </row>
    <row r="144" spans="1:31" ht="15" x14ac:dyDescent="0.25">
      <c r="A144" s="605">
        <v>114</v>
      </c>
      <c r="B144" s="708" t="s">
        <v>1927</v>
      </c>
      <c r="C144" s="667"/>
      <c r="D144" s="667"/>
      <c r="E144" s="667"/>
      <c r="F144" s="667"/>
      <c r="G144" s="667"/>
      <c r="H144" s="1067"/>
      <c r="AD144" s="345"/>
      <c r="AE144" s="345"/>
    </row>
    <row r="145" spans="1:31" ht="15" x14ac:dyDescent="0.25">
      <c r="A145" s="605">
        <v>115</v>
      </c>
      <c r="B145" s="686" t="s">
        <v>1926</v>
      </c>
      <c r="C145" s="685"/>
      <c r="D145" s="685"/>
      <c r="E145" s="685"/>
      <c r="F145" s="685"/>
      <c r="G145" s="685"/>
      <c r="H145" s="1067"/>
      <c r="AD145" s="345"/>
      <c r="AE145" s="345"/>
    </row>
    <row r="146" spans="1:31" ht="15" x14ac:dyDescent="0.25">
      <c r="A146" s="605">
        <v>116</v>
      </c>
      <c r="B146" s="673" t="s">
        <v>1925</v>
      </c>
      <c r="C146" s="672"/>
      <c r="D146" s="672"/>
      <c r="E146" s="672"/>
      <c r="F146" s="672"/>
      <c r="G146" s="672"/>
      <c r="H146" s="1046"/>
      <c r="AD146" s="345"/>
      <c r="AE146" s="345"/>
    </row>
    <row r="147" spans="1:31" ht="30" x14ac:dyDescent="0.25">
      <c r="A147" s="605">
        <v>117</v>
      </c>
      <c r="B147" s="686" t="s">
        <v>1924</v>
      </c>
      <c r="C147" s="685"/>
      <c r="D147" s="685"/>
      <c r="E147" s="685"/>
      <c r="F147" s="685"/>
      <c r="G147" s="685"/>
      <c r="H147" s="1067"/>
      <c r="AD147" s="345"/>
      <c r="AE147" s="345"/>
    </row>
    <row r="148" spans="1:31" ht="30" x14ac:dyDescent="0.25">
      <c r="A148" s="605">
        <v>118</v>
      </c>
      <c r="B148" s="669" t="s">
        <v>1923</v>
      </c>
      <c r="C148" s="668"/>
      <c r="D148" s="668"/>
      <c r="E148" s="668"/>
      <c r="F148" s="668"/>
      <c r="G148" s="668"/>
      <c r="H148" s="1045"/>
      <c r="AD148" s="345"/>
      <c r="AE148" s="345"/>
    </row>
    <row r="149" spans="1:31" s="598" customFormat="1" ht="30" x14ac:dyDescent="0.25">
      <c r="A149" s="605">
        <v>119</v>
      </c>
      <c r="B149" s="674" t="s">
        <v>1922</v>
      </c>
      <c r="C149" s="672"/>
      <c r="D149" s="672"/>
      <c r="E149" s="672"/>
      <c r="F149" s="672"/>
      <c r="G149" s="672"/>
      <c r="H149" s="1046"/>
    </row>
    <row r="150" spans="1:31" ht="45" x14ac:dyDescent="0.25">
      <c r="A150" s="605">
        <v>120</v>
      </c>
      <c r="B150" s="669" t="s">
        <v>1921</v>
      </c>
      <c r="C150" s="668"/>
      <c r="D150" s="668"/>
      <c r="E150" s="668"/>
      <c r="F150" s="668"/>
      <c r="G150" s="668"/>
      <c r="H150" s="1045"/>
      <c r="AD150" s="345"/>
      <c r="AE150" s="345"/>
    </row>
    <row r="151" spans="1:31" ht="45" x14ac:dyDescent="0.25">
      <c r="A151" s="605">
        <v>121</v>
      </c>
      <c r="B151" s="674" t="s">
        <v>1920</v>
      </c>
      <c r="C151" s="667"/>
      <c r="D151" s="667"/>
      <c r="E151" s="667"/>
      <c r="F151" s="667"/>
      <c r="G151" s="667"/>
      <c r="H151" s="1046"/>
      <c r="AD151" s="345"/>
      <c r="AE151" s="345"/>
    </row>
    <row r="152" spans="1:31" ht="15" x14ac:dyDescent="0.25">
      <c r="A152" s="605">
        <v>122</v>
      </c>
      <c r="B152" s="686" t="s">
        <v>1919</v>
      </c>
      <c r="C152" s="667"/>
      <c r="D152" s="667"/>
      <c r="E152" s="667"/>
      <c r="F152" s="667"/>
      <c r="G152" s="667"/>
      <c r="H152" s="1067"/>
      <c r="AD152" s="345"/>
      <c r="AE152" s="345"/>
    </row>
    <row r="153" spans="1:31" ht="15" x14ac:dyDescent="0.25">
      <c r="A153" s="605">
        <v>123</v>
      </c>
      <c r="B153" s="704" t="s">
        <v>1918</v>
      </c>
      <c r="C153" s="672"/>
      <c r="D153" s="672"/>
      <c r="E153" s="672"/>
      <c r="F153" s="672"/>
      <c r="G153" s="672"/>
      <c r="H153" s="1046"/>
      <c r="AD153" s="345"/>
      <c r="AE153" s="345"/>
    </row>
    <row r="154" spans="1:31" ht="15" x14ac:dyDescent="0.25">
      <c r="A154" s="605">
        <v>124</v>
      </c>
      <c r="B154" s="704" t="s">
        <v>1917</v>
      </c>
      <c r="C154" s="672"/>
      <c r="D154" s="672"/>
      <c r="E154" s="672"/>
      <c r="F154" s="672"/>
      <c r="G154" s="672"/>
      <c r="H154" s="1046"/>
      <c r="AD154" s="345"/>
      <c r="AE154" s="345"/>
    </row>
    <row r="155" spans="1:31" ht="15" x14ac:dyDescent="0.25">
      <c r="A155" s="605">
        <v>125</v>
      </c>
      <c r="B155" s="704" t="s">
        <v>625</v>
      </c>
      <c r="C155" s="672"/>
      <c r="D155" s="672"/>
      <c r="E155" s="672"/>
      <c r="F155" s="672"/>
      <c r="G155" s="672"/>
      <c r="H155" s="1046"/>
      <c r="AD155" s="345"/>
      <c r="AE155" s="345"/>
    </row>
    <row r="156" spans="1:31" s="598" customFormat="1" ht="15" x14ac:dyDescent="0.25">
      <c r="A156" s="605">
        <v>126</v>
      </c>
      <c r="B156" s="704" t="s">
        <v>1916</v>
      </c>
      <c r="C156" s="672"/>
      <c r="D156" s="672"/>
      <c r="E156" s="672"/>
      <c r="F156" s="672"/>
      <c r="G156" s="672"/>
      <c r="H156" s="1046"/>
    </row>
    <row r="157" spans="1:31" s="598" customFormat="1" ht="15" x14ac:dyDescent="0.25">
      <c r="A157" s="605">
        <v>127</v>
      </c>
      <c r="B157" s="704" t="s">
        <v>1915</v>
      </c>
      <c r="C157" s="672"/>
      <c r="D157" s="672"/>
      <c r="E157" s="672"/>
      <c r="F157" s="672"/>
      <c r="G157" s="672"/>
      <c r="H157" s="1046"/>
    </row>
    <row r="158" spans="1:31" s="598" customFormat="1" ht="15" x14ac:dyDescent="0.25">
      <c r="A158" s="605">
        <v>128</v>
      </c>
      <c r="B158" s="704" t="s">
        <v>1914</v>
      </c>
      <c r="C158" s="672"/>
      <c r="D158" s="672"/>
      <c r="E158" s="672"/>
      <c r="F158" s="672"/>
      <c r="G158" s="672"/>
      <c r="H158" s="1046"/>
    </row>
    <row r="159" spans="1:31" s="598" customFormat="1" ht="15" x14ac:dyDescent="0.25">
      <c r="A159" s="605">
        <v>129</v>
      </c>
      <c r="B159" s="704" t="s">
        <v>1877</v>
      </c>
      <c r="C159" s="672"/>
      <c r="D159" s="672"/>
      <c r="E159" s="672"/>
      <c r="F159" s="672"/>
      <c r="G159" s="672"/>
      <c r="H159" s="1046"/>
    </row>
    <row r="160" spans="1:31" s="598" customFormat="1" ht="15" x14ac:dyDescent="0.25">
      <c r="A160" s="605">
        <v>130</v>
      </c>
      <c r="B160" s="704" t="s">
        <v>1913</v>
      </c>
      <c r="C160" s="672"/>
      <c r="D160" s="672"/>
      <c r="E160" s="672"/>
      <c r="F160" s="672"/>
      <c r="G160" s="672"/>
      <c r="H160" s="1046"/>
    </row>
    <row r="161" spans="1:31" s="598" customFormat="1" ht="15" x14ac:dyDescent="0.25">
      <c r="A161" s="605">
        <v>131</v>
      </c>
      <c r="B161" s="704" t="s">
        <v>1912</v>
      </c>
      <c r="C161" s="672"/>
      <c r="D161" s="672"/>
      <c r="E161" s="672"/>
      <c r="F161" s="672"/>
      <c r="G161" s="672"/>
      <c r="H161" s="1046"/>
    </row>
    <row r="162" spans="1:31" ht="15" x14ac:dyDescent="0.25">
      <c r="A162" s="605">
        <v>132</v>
      </c>
      <c r="B162" s="704" t="s">
        <v>1911</v>
      </c>
      <c r="C162" s="672"/>
      <c r="D162" s="672"/>
      <c r="E162" s="672"/>
      <c r="F162" s="672"/>
      <c r="G162" s="672"/>
      <c r="H162" s="1046"/>
      <c r="AD162" s="345"/>
      <c r="AE162" s="345"/>
    </row>
    <row r="163" spans="1:31" ht="15" x14ac:dyDescent="0.25">
      <c r="A163" s="605">
        <v>133</v>
      </c>
      <c r="B163" s="704" t="s">
        <v>1910</v>
      </c>
      <c r="C163" s="672"/>
      <c r="D163" s="672"/>
      <c r="E163" s="672"/>
      <c r="F163" s="672"/>
      <c r="G163" s="672"/>
      <c r="H163" s="1046"/>
      <c r="AD163" s="345"/>
      <c r="AE163" s="345"/>
    </row>
    <row r="164" spans="1:31" s="598" customFormat="1" ht="15" x14ac:dyDescent="0.25">
      <c r="A164" s="605">
        <v>134</v>
      </c>
      <c r="B164" s="704" t="s">
        <v>1909</v>
      </c>
      <c r="C164" s="672"/>
      <c r="D164" s="672"/>
      <c r="E164" s="672"/>
      <c r="F164" s="672"/>
      <c r="G164" s="672"/>
      <c r="H164" s="1046"/>
    </row>
    <row r="165" spans="1:31" s="598" customFormat="1" ht="15" x14ac:dyDescent="0.25">
      <c r="A165" s="605">
        <v>135</v>
      </c>
      <c r="B165" s="704" t="s">
        <v>1908</v>
      </c>
      <c r="C165" s="672"/>
      <c r="D165" s="672"/>
      <c r="E165" s="672"/>
      <c r="F165" s="672"/>
      <c r="G165" s="672"/>
      <c r="H165" s="1046"/>
    </row>
    <row r="166" spans="1:31" s="598" customFormat="1" ht="15" x14ac:dyDescent="0.25">
      <c r="A166" s="605">
        <v>136</v>
      </c>
      <c r="B166" s="704" t="s">
        <v>1907</v>
      </c>
      <c r="C166" s="672"/>
      <c r="D166" s="672"/>
      <c r="E166" s="672"/>
      <c r="F166" s="672"/>
      <c r="G166" s="672"/>
      <c r="H166" s="1046"/>
    </row>
    <row r="167" spans="1:31" s="598" customFormat="1" ht="15" x14ac:dyDescent="0.25">
      <c r="A167" s="605">
        <v>137</v>
      </c>
      <c r="B167" s="704" t="s">
        <v>1906</v>
      </c>
      <c r="C167" s="672"/>
      <c r="D167" s="672"/>
      <c r="E167" s="672"/>
      <c r="F167" s="672"/>
      <c r="G167" s="672"/>
      <c r="H167" s="1046"/>
    </row>
    <row r="168" spans="1:31" s="598" customFormat="1" ht="15" x14ac:dyDescent="0.25">
      <c r="A168" s="605">
        <v>138</v>
      </c>
      <c r="B168" s="704" t="s">
        <v>1878</v>
      </c>
      <c r="C168" s="672"/>
      <c r="D168" s="672"/>
      <c r="E168" s="672"/>
      <c r="F168" s="672"/>
      <c r="G168" s="672"/>
      <c r="H168" s="1046"/>
    </row>
    <row r="169" spans="1:31" s="598" customFormat="1" ht="15" x14ac:dyDescent="0.25">
      <c r="A169" s="605">
        <v>139</v>
      </c>
      <c r="B169" s="704" t="s">
        <v>1905</v>
      </c>
      <c r="C169" s="672"/>
      <c r="D169" s="672"/>
      <c r="E169" s="672"/>
      <c r="F169" s="672"/>
      <c r="G169" s="672"/>
      <c r="H169" s="1046"/>
    </row>
    <row r="170" spans="1:31" s="598" customFormat="1" ht="15" x14ac:dyDescent="0.25">
      <c r="A170" s="605">
        <v>140</v>
      </c>
      <c r="B170" s="704" t="s">
        <v>1904</v>
      </c>
      <c r="C170" s="655"/>
      <c r="D170" s="655"/>
      <c r="E170" s="655"/>
      <c r="F170" s="655"/>
      <c r="G170" s="655"/>
      <c r="H170" s="1046"/>
    </row>
    <row r="171" spans="1:31" ht="15" x14ac:dyDescent="0.25">
      <c r="A171" s="605">
        <v>141</v>
      </c>
      <c r="B171" s="711" t="s">
        <v>1903</v>
      </c>
      <c r="C171" s="672"/>
      <c r="D171" s="672"/>
      <c r="E171" s="672"/>
      <c r="F171" s="672"/>
      <c r="G171" s="672"/>
      <c r="H171" s="1046"/>
      <c r="AD171" s="345"/>
      <c r="AE171" s="345"/>
    </row>
    <row r="172" spans="1:31" ht="15" x14ac:dyDescent="0.25">
      <c r="A172" s="605">
        <v>142</v>
      </c>
      <c r="B172" s="711" t="s">
        <v>537</v>
      </c>
      <c r="C172" s="672"/>
      <c r="D172" s="672"/>
      <c r="E172" s="672"/>
      <c r="F172" s="672"/>
      <c r="G172" s="672"/>
      <c r="H172" s="1046"/>
      <c r="AD172" s="345"/>
      <c r="AE172" s="345"/>
    </row>
    <row r="173" spans="1:31" ht="15" x14ac:dyDescent="0.25">
      <c r="A173" s="605">
        <v>143</v>
      </c>
      <c r="B173" s="711" t="s">
        <v>1383</v>
      </c>
      <c r="C173" s="672"/>
      <c r="D173" s="672"/>
      <c r="E173" s="672"/>
      <c r="F173" s="672"/>
      <c r="G173" s="672"/>
      <c r="H173" s="1046"/>
      <c r="AD173" s="345"/>
      <c r="AE173" s="345"/>
    </row>
    <row r="174" spans="1:31" ht="15" x14ac:dyDescent="0.25">
      <c r="A174" s="605">
        <v>144</v>
      </c>
      <c r="B174" s="673" t="s">
        <v>1902</v>
      </c>
      <c r="C174" s="672"/>
      <c r="D174" s="672"/>
      <c r="E174" s="672"/>
      <c r="F174" s="672"/>
      <c r="G174" s="672"/>
      <c r="H174" s="1046"/>
      <c r="AD174" s="345"/>
      <c r="AE174" s="345"/>
    </row>
    <row r="175" spans="1:31" s="347" customFormat="1" ht="15" x14ac:dyDescent="0.2">
      <c r="A175" s="605">
        <v>145</v>
      </c>
      <c r="B175" s="683" t="s">
        <v>1865</v>
      </c>
      <c r="C175" s="683"/>
      <c r="D175" s="683"/>
      <c r="E175" s="683"/>
      <c r="F175" s="683"/>
      <c r="G175" s="683"/>
      <c r="H175" s="1068"/>
    </row>
    <row r="176" spans="1:31" s="347" customFormat="1" ht="15" x14ac:dyDescent="0.25">
      <c r="A176" s="605">
        <v>146</v>
      </c>
      <c r="B176" s="673" t="s">
        <v>1901</v>
      </c>
      <c r="C176" s="672"/>
      <c r="D176" s="672"/>
      <c r="E176" s="672"/>
      <c r="F176" s="672"/>
      <c r="G176" s="672"/>
      <c r="H176" s="1046"/>
    </row>
    <row r="177" spans="1:31" s="347" customFormat="1" ht="15" x14ac:dyDescent="0.25">
      <c r="A177" s="605">
        <v>147</v>
      </c>
      <c r="B177" s="673" t="s">
        <v>100</v>
      </c>
      <c r="C177" s="672"/>
      <c r="D177" s="672"/>
      <c r="E177" s="672"/>
      <c r="F177" s="672"/>
      <c r="G177" s="672"/>
      <c r="H177" s="1046"/>
    </row>
    <row r="178" spans="1:31" s="347" customFormat="1" ht="15" x14ac:dyDescent="0.25">
      <c r="A178" s="605">
        <v>148</v>
      </c>
      <c r="B178" s="673" t="s">
        <v>1900</v>
      </c>
      <c r="C178" s="672"/>
      <c r="D178" s="672"/>
      <c r="E178" s="672"/>
      <c r="F178" s="672"/>
      <c r="G178" s="672"/>
      <c r="H178" s="1046"/>
    </row>
    <row r="179" spans="1:31" s="347" customFormat="1" ht="15" x14ac:dyDescent="0.25">
      <c r="A179" s="605">
        <v>149</v>
      </c>
      <c r="B179" s="673" t="s">
        <v>1899</v>
      </c>
      <c r="C179" s="672"/>
      <c r="D179" s="672"/>
      <c r="E179" s="672"/>
      <c r="F179" s="672"/>
      <c r="G179" s="672"/>
      <c r="H179" s="1046"/>
    </row>
    <row r="180" spans="1:31" s="598" customFormat="1" ht="15" x14ac:dyDescent="0.25">
      <c r="A180" s="605">
        <v>150</v>
      </c>
      <c r="B180" s="673" t="s">
        <v>1898</v>
      </c>
      <c r="C180" s="672"/>
      <c r="D180" s="672"/>
      <c r="E180" s="672"/>
      <c r="F180" s="672"/>
      <c r="G180" s="672"/>
      <c r="H180" s="1046"/>
    </row>
    <row r="181" spans="1:31" s="347" customFormat="1" ht="15" x14ac:dyDescent="0.25">
      <c r="A181" s="605">
        <v>151</v>
      </c>
      <c r="B181" s="673" t="s">
        <v>1897</v>
      </c>
      <c r="C181" s="672"/>
      <c r="D181" s="672"/>
      <c r="E181" s="672"/>
      <c r="F181" s="672"/>
      <c r="G181" s="672"/>
      <c r="H181" s="1046"/>
    </row>
    <row r="182" spans="1:31" s="347" customFormat="1" ht="15" x14ac:dyDescent="0.25">
      <c r="A182" s="605">
        <v>152</v>
      </c>
      <c r="B182" s="673" t="s">
        <v>1875</v>
      </c>
      <c r="C182" s="672"/>
      <c r="D182" s="672"/>
      <c r="E182" s="672"/>
      <c r="F182" s="672"/>
      <c r="G182" s="672"/>
      <c r="H182" s="1046"/>
    </row>
    <row r="183" spans="1:31" s="347" customFormat="1" ht="15" x14ac:dyDescent="0.25">
      <c r="A183" s="605">
        <v>153</v>
      </c>
      <c r="B183" s="673" t="s">
        <v>1896</v>
      </c>
      <c r="C183" s="672"/>
      <c r="D183" s="672"/>
      <c r="E183" s="672"/>
      <c r="F183" s="672"/>
      <c r="G183" s="672"/>
      <c r="H183" s="1046"/>
    </row>
    <row r="184" spans="1:31" s="347" customFormat="1" ht="15" x14ac:dyDescent="0.2">
      <c r="A184" s="605">
        <v>154</v>
      </c>
      <c r="B184" s="683" t="s">
        <v>1895</v>
      </c>
      <c r="C184" s="683"/>
      <c r="D184" s="683"/>
      <c r="E184" s="683"/>
      <c r="F184" s="683"/>
      <c r="G184" s="683"/>
      <c r="H184" s="1068"/>
    </row>
    <row r="185" spans="1:31" ht="15" x14ac:dyDescent="0.25">
      <c r="A185" s="605">
        <v>155</v>
      </c>
      <c r="B185" s="684" t="s">
        <v>1894</v>
      </c>
      <c r="C185" s="668"/>
      <c r="D185" s="668"/>
      <c r="E185" s="668"/>
      <c r="F185" s="668"/>
      <c r="G185" s="668"/>
      <c r="H185" s="1045"/>
      <c r="AD185" s="345"/>
      <c r="AE185" s="345"/>
    </row>
    <row r="186" spans="1:31" ht="15" x14ac:dyDescent="0.25">
      <c r="A186" s="605">
        <v>156</v>
      </c>
      <c r="B186" s="686" t="s">
        <v>1893</v>
      </c>
      <c r="C186" s="667"/>
      <c r="D186" s="667"/>
      <c r="E186" s="667"/>
      <c r="F186" s="667"/>
      <c r="G186" s="667"/>
      <c r="H186" s="1067"/>
      <c r="AD186" s="345"/>
      <c r="AE186" s="345"/>
    </row>
    <row r="187" spans="1:31" ht="30" x14ac:dyDescent="0.25">
      <c r="A187" s="605">
        <v>157</v>
      </c>
      <c r="B187" s="710" t="s">
        <v>1892</v>
      </c>
      <c r="C187" s="685"/>
      <c r="D187" s="685"/>
      <c r="E187" s="685"/>
      <c r="F187" s="685"/>
      <c r="G187" s="685"/>
      <c r="H187" s="1067"/>
      <c r="AD187" s="345"/>
      <c r="AE187" s="345"/>
    </row>
    <row r="188" spans="1:31" ht="30" x14ac:dyDescent="0.25">
      <c r="A188" s="605">
        <v>158</v>
      </c>
      <c r="B188" s="710" t="s">
        <v>1891</v>
      </c>
      <c r="C188" s="685"/>
      <c r="D188" s="685"/>
      <c r="E188" s="685"/>
      <c r="F188" s="685"/>
      <c r="G188" s="685"/>
      <c r="H188" s="1067"/>
      <c r="AD188" s="345"/>
      <c r="AE188" s="345"/>
    </row>
    <row r="189" spans="1:31" ht="15" x14ac:dyDescent="0.25">
      <c r="A189" s="605">
        <v>159</v>
      </c>
      <c r="B189" s="686" t="s">
        <v>1890</v>
      </c>
      <c r="C189" s="667"/>
      <c r="D189" s="667"/>
      <c r="E189" s="667"/>
      <c r="F189" s="667"/>
      <c r="G189" s="667"/>
      <c r="H189" s="1067"/>
      <c r="AD189" s="345"/>
      <c r="AE189" s="345"/>
    </row>
    <row r="190" spans="1:31" ht="15" x14ac:dyDescent="0.25">
      <c r="A190" s="605">
        <v>160</v>
      </c>
      <c r="B190" s="710" t="s">
        <v>1889</v>
      </c>
      <c r="C190" s="685"/>
      <c r="D190" s="685"/>
      <c r="E190" s="685"/>
      <c r="F190" s="685"/>
      <c r="G190" s="685"/>
      <c r="H190" s="1067"/>
      <c r="AD190" s="345"/>
      <c r="AE190" s="345"/>
    </row>
    <row r="191" spans="1:31" ht="30" x14ac:dyDescent="0.25">
      <c r="A191" s="605">
        <v>161</v>
      </c>
      <c r="B191" s="710" t="s">
        <v>1888</v>
      </c>
      <c r="C191" s="685"/>
      <c r="D191" s="685"/>
      <c r="E191" s="685"/>
      <c r="F191" s="685"/>
      <c r="G191" s="685"/>
      <c r="H191" s="1067"/>
      <c r="AD191" s="345"/>
      <c r="AE191" s="345"/>
    </row>
    <row r="192" spans="1:31" ht="15" x14ac:dyDescent="0.25">
      <c r="A192" s="605">
        <v>162</v>
      </c>
      <c r="B192" s="684" t="s">
        <v>1887</v>
      </c>
      <c r="C192" s="668"/>
      <c r="D192" s="668"/>
      <c r="E192" s="668"/>
      <c r="F192" s="668"/>
      <c r="G192" s="668"/>
      <c r="H192" s="1045"/>
      <c r="AD192" s="345"/>
      <c r="AE192" s="345"/>
    </row>
    <row r="193" spans="1:31" ht="15" x14ac:dyDescent="0.25">
      <c r="A193" s="605">
        <v>163</v>
      </c>
      <c r="B193" s="684" t="s">
        <v>1886</v>
      </c>
      <c r="C193" s="667"/>
      <c r="D193" s="667"/>
      <c r="E193" s="667"/>
      <c r="F193" s="667"/>
      <c r="G193" s="667"/>
      <c r="H193" s="1045"/>
      <c r="AD193" s="345"/>
      <c r="AE193" s="345"/>
    </row>
    <row r="194" spans="1:31" ht="15" x14ac:dyDescent="0.25">
      <c r="A194" s="605">
        <v>164</v>
      </c>
      <c r="B194" s="706" t="s">
        <v>1605</v>
      </c>
      <c r="C194" s="668"/>
      <c r="D194" s="668"/>
      <c r="E194" s="668"/>
      <c r="F194" s="668"/>
      <c r="G194" s="668"/>
      <c r="H194" s="1045"/>
      <c r="AD194" s="345"/>
      <c r="AE194" s="345"/>
    </row>
    <row r="195" spans="1:31" ht="15" x14ac:dyDescent="0.25">
      <c r="A195" s="605">
        <v>165</v>
      </c>
      <c r="B195" s="706" t="s">
        <v>1885</v>
      </c>
      <c r="C195" s="668"/>
      <c r="D195" s="668"/>
      <c r="E195" s="668"/>
      <c r="F195" s="668"/>
      <c r="G195" s="668"/>
      <c r="H195" s="1045"/>
      <c r="AD195" s="345"/>
      <c r="AE195" s="345"/>
    </row>
    <row r="196" spans="1:31" ht="15" x14ac:dyDescent="0.25">
      <c r="A196" s="605">
        <v>166</v>
      </c>
      <c r="B196" s="710" t="s">
        <v>1884</v>
      </c>
      <c r="C196" s="685"/>
      <c r="D196" s="685"/>
      <c r="E196" s="685"/>
      <c r="F196" s="685"/>
      <c r="G196" s="685"/>
      <c r="H196" s="1067"/>
      <c r="AD196" s="345"/>
      <c r="AE196" s="345"/>
    </row>
    <row r="197" spans="1:31" ht="15" x14ac:dyDescent="0.25">
      <c r="A197" s="605">
        <v>167</v>
      </c>
      <c r="B197" s="710" t="s">
        <v>1883</v>
      </c>
      <c r="C197" s="685"/>
      <c r="D197" s="685"/>
      <c r="E197" s="685"/>
      <c r="F197" s="685"/>
      <c r="G197" s="685"/>
      <c r="H197" s="1067"/>
      <c r="AD197" s="345"/>
      <c r="AE197" s="345"/>
    </row>
    <row r="198" spans="1:31" s="347" customFormat="1" ht="15" x14ac:dyDescent="0.2">
      <c r="A198" s="605">
        <v>168</v>
      </c>
      <c r="B198" s="709" t="s">
        <v>1882</v>
      </c>
      <c r="C198" s="683"/>
      <c r="D198" s="683"/>
      <c r="E198" s="683"/>
      <c r="F198" s="683"/>
      <c r="G198" s="683"/>
      <c r="H198" s="1068"/>
    </row>
    <row r="199" spans="1:31" s="347" customFormat="1" ht="15" x14ac:dyDescent="0.2">
      <c r="A199" s="605">
        <v>169</v>
      </c>
      <c r="B199" s="709" t="s">
        <v>1881</v>
      </c>
      <c r="C199" s="683"/>
      <c r="D199" s="683"/>
      <c r="E199" s="683"/>
      <c r="F199" s="683"/>
      <c r="G199" s="683"/>
      <c r="H199" s="1068"/>
    </row>
    <row r="200" spans="1:31" ht="30" x14ac:dyDescent="0.25">
      <c r="A200" s="605">
        <v>170</v>
      </c>
      <c r="B200" s="669" t="s">
        <v>1880</v>
      </c>
      <c r="C200" s="668"/>
      <c r="D200" s="668"/>
      <c r="E200" s="668"/>
      <c r="F200" s="668"/>
      <c r="G200" s="668"/>
      <c r="H200" s="1045"/>
      <c r="AD200" s="345"/>
      <c r="AE200" s="345"/>
    </row>
    <row r="201" spans="1:31" ht="45" x14ac:dyDescent="0.25">
      <c r="A201" s="605">
        <v>171</v>
      </c>
      <c r="B201" s="669" t="s">
        <v>1879</v>
      </c>
      <c r="C201" s="667"/>
      <c r="D201" s="667"/>
      <c r="E201" s="667"/>
      <c r="F201" s="667"/>
      <c r="G201" s="667"/>
      <c r="H201" s="1045"/>
      <c r="AD201" s="345"/>
      <c r="AE201" s="345"/>
    </row>
    <row r="202" spans="1:31" ht="15" x14ac:dyDescent="0.25">
      <c r="A202" s="605">
        <v>172</v>
      </c>
      <c r="B202" s="684" t="s">
        <v>1878</v>
      </c>
      <c r="C202" s="668"/>
      <c r="D202" s="668"/>
      <c r="E202" s="668"/>
      <c r="F202" s="668"/>
      <c r="G202" s="668"/>
      <c r="H202" s="1067"/>
      <c r="AD202" s="345"/>
      <c r="AE202" s="345"/>
    </row>
    <row r="203" spans="1:31" ht="15" x14ac:dyDescent="0.25">
      <c r="A203" s="605">
        <v>173</v>
      </c>
      <c r="B203" s="686" t="s">
        <v>1877</v>
      </c>
      <c r="C203" s="685"/>
      <c r="D203" s="685"/>
      <c r="E203" s="685"/>
      <c r="F203" s="685"/>
      <c r="G203" s="685"/>
      <c r="H203" s="1067"/>
      <c r="AD203" s="345"/>
      <c r="AE203" s="345"/>
    </row>
    <row r="204" spans="1:31" ht="15" x14ac:dyDescent="0.25">
      <c r="A204" s="605">
        <v>174</v>
      </c>
      <c r="B204" s="684" t="s">
        <v>100</v>
      </c>
      <c r="C204" s="668"/>
      <c r="D204" s="668"/>
      <c r="E204" s="668"/>
      <c r="F204" s="668"/>
      <c r="G204" s="668"/>
      <c r="H204" s="1045"/>
      <c r="AD204" s="345"/>
      <c r="AE204" s="345"/>
    </row>
    <row r="205" spans="1:31" s="598" customFormat="1" ht="15" x14ac:dyDescent="0.25">
      <c r="A205" s="605">
        <v>175</v>
      </c>
      <c r="B205" s="673" t="s">
        <v>1876</v>
      </c>
      <c r="C205" s="672"/>
      <c r="D205" s="672"/>
      <c r="E205" s="672"/>
      <c r="F205" s="672"/>
      <c r="G205" s="672"/>
      <c r="H205" s="1046"/>
    </row>
    <row r="206" spans="1:31" ht="15" x14ac:dyDescent="0.25">
      <c r="A206" s="605">
        <v>176</v>
      </c>
      <c r="B206" s="684" t="s">
        <v>1875</v>
      </c>
      <c r="C206" s="668"/>
      <c r="D206" s="668"/>
      <c r="E206" s="668"/>
      <c r="F206" s="668"/>
      <c r="G206" s="668"/>
      <c r="H206" s="1045"/>
      <c r="AD206" s="345"/>
      <c r="AE206" s="345"/>
    </row>
    <row r="207" spans="1:31" ht="15" x14ac:dyDescent="0.25">
      <c r="A207" s="605">
        <v>177</v>
      </c>
      <c r="B207" s="684" t="s">
        <v>304</v>
      </c>
      <c r="C207" s="668"/>
      <c r="D207" s="668"/>
      <c r="E207" s="668"/>
      <c r="F207" s="668"/>
      <c r="G207" s="668"/>
      <c r="H207" s="1045"/>
      <c r="AD207" s="345"/>
      <c r="AE207" s="345"/>
    </row>
    <row r="208" spans="1:31" ht="15" x14ac:dyDescent="0.25">
      <c r="A208" s="605">
        <v>178</v>
      </c>
      <c r="B208" s="684" t="s">
        <v>1874</v>
      </c>
      <c r="C208" s="668"/>
      <c r="D208" s="668"/>
      <c r="E208" s="668"/>
      <c r="F208" s="668"/>
      <c r="G208" s="668"/>
      <c r="H208" s="1045"/>
      <c r="AD208" s="345"/>
      <c r="AE208" s="345"/>
    </row>
    <row r="209" spans="1:31" ht="30" x14ac:dyDescent="0.25">
      <c r="A209" s="605">
        <v>179</v>
      </c>
      <c r="B209" s="669" t="s">
        <v>1873</v>
      </c>
      <c r="C209" s="667"/>
      <c r="D209" s="667"/>
      <c r="E209" s="667"/>
      <c r="F209" s="667"/>
      <c r="G209" s="667"/>
      <c r="H209" s="1045"/>
      <c r="AD209" s="345"/>
      <c r="AE209" s="345"/>
    </row>
    <row r="210" spans="1:31" ht="15" x14ac:dyDescent="0.25">
      <c r="A210" s="605">
        <v>180</v>
      </c>
      <c r="B210" s="684" t="s">
        <v>1872</v>
      </c>
      <c r="C210" s="668"/>
      <c r="D210" s="668"/>
      <c r="E210" s="668"/>
      <c r="F210" s="668"/>
      <c r="G210" s="668"/>
      <c r="H210" s="1045"/>
      <c r="AD210" s="345"/>
      <c r="AE210" s="345"/>
    </row>
    <row r="211" spans="1:31" ht="15" x14ac:dyDescent="0.25">
      <c r="A211" s="605">
        <v>181</v>
      </c>
      <c r="B211" s="686" t="s">
        <v>1871</v>
      </c>
      <c r="C211" s="668"/>
      <c r="D211" s="668"/>
      <c r="E211" s="668"/>
      <c r="F211" s="668"/>
      <c r="G211" s="668"/>
      <c r="H211" s="1045"/>
      <c r="AD211" s="345"/>
      <c r="AE211" s="345"/>
    </row>
    <row r="212" spans="1:31" ht="15" x14ac:dyDescent="0.25">
      <c r="A212" s="605">
        <v>182</v>
      </c>
      <c r="B212" s="684" t="s">
        <v>1870</v>
      </c>
      <c r="C212" s="668"/>
      <c r="D212" s="668"/>
      <c r="E212" s="668"/>
      <c r="F212" s="668"/>
      <c r="G212" s="668"/>
      <c r="H212" s="1045"/>
      <c r="AD212" s="345"/>
      <c r="AE212" s="345"/>
    </row>
    <row r="213" spans="1:31" ht="15" x14ac:dyDescent="0.25">
      <c r="A213" s="605">
        <v>183</v>
      </c>
      <c r="B213" s="684" t="s">
        <v>1869</v>
      </c>
      <c r="C213" s="668"/>
      <c r="D213" s="668"/>
      <c r="E213" s="668"/>
      <c r="F213" s="668"/>
      <c r="G213" s="668"/>
      <c r="H213" s="1045"/>
      <c r="AD213" s="345"/>
      <c r="AE213" s="345"/>
    </row>
    <row r="214" spans="1:31" ht="15" x14ac:dyDescent="0.25">
      <c r="A214" s="605">
        <v>184</v>
      </c>
      <c r="B214" s="684" t="s">
        <v>1605</v>
      </c>
      <c r="C214" s="668"/>
      <c r="D214" s="668"/>
      <c r="E214" s="668"/>
      <c r="F214" s="668"/>
      <c r="G214" s="668"/>
      <c r="H214" s="1045"/>
      <c r="AD214" s="345"/>
      <c r="AE214" s="345"/>
    </row>
    <row r="215" spans="1:31" s="1190" customFormat="1" ht="15" x14ac:dyDescent="0.25">
      <c r="A215" s="605">
        <v>185</v>
      </c>
      <c r="B215" s="684" t="s">
        <v>3414</v>
      </c>
      <c r="C215" s="668"/>
      <c r="D215" s="668"/>
      <c r="E215" s="668"/>
      <c r="F215" s="668"/>
      <c r="G215" s="668"/>
      <c r="H215" s="668"/>
      <c r="I215" s="1189"/>
      <c r="J215" s="1189"/>
      <c r="K215" s="1189"/>
      <c r="L215" s="1189"/>
      <c r="M215" s="1189"/>
      <c r="N215" s="1189"/>
      <c r="O215" s="1189"/>
      <c r="P215" s="1189"/>
      <c r="Q215" s="1189"/>
      <c r="R215" s="1189"/>
      <c r="S215" s="1189"/>
      <c r="T215" s="1189"/>
      <c r="U215" s="1189"/>
      <c r="V215" s="1189"/>
      <c r="W215" s="1189"/>
      <c r="X215" s="1189"/>
      <c r="Y215" s="1189"/>
      <c r="Z215" s="1189"/>
      <c r="AA215" s="1189"/>
      <c r="AB215" s="1189"/>
      <c r="AC215" s="1189"/>
    </row>
    <row r="216" spans="1:31" ht="15" x14ac:dyDescent="0.25">
      <c r="A216" s="605">
        <v>186</v>
      </c>
      <c r="B216" s="684" t="s">
        <v>1604</v>
      </c>
      <c r="C216" s="668"/>
      <c r="D216" s="668"/>
      <c r="E216" s="668"/>
      <c r="F216" s="668"/>
      <c r="G216" s="668"/>
      <c r="H216" s="1045"/>
      <c r="AD216" s="345"/>
      <c r="AE216" s="345"/>
    </row>
    <row r="217" spans="1:31" ht="45" x14ac:dyDescent="0.25">
      <c r="A217" s="605">
        <v>187</v>
      </c>
      <c r="B217" s="669" t="s">
        <v>1868</v>
      </c>
      <c r="C217" s="667"/>
      <c r="D217" s="667"/>
      <c r="E217" s="667"/>
      <c r="F217" s="667"/>
      <c r="G217" s="667"/>
      <c r="H217" s="1045"/>
      <c r="AD217" s="345"/>
      <c r="AE217" s="345"/>
    </row>
    <row r="218" spans="1:31" ht="15" x14ac:dyDescent="0.25">
      <c r="A218" s="605">
        <v>188</v>
      </c>
      <c r="B218" s="686" t="s">
        <v>1867</v>
      </c>
      <c r="C218" s="685"/>
      <c r="D218" s="685"/>
      <c r="E218" s="685"/>
      <c r="F218" s="685"/>
      <c r="G218" s="685"/>
      <c r="H218" s="1067"/>
      <c r="AD218" s="345"/>
      <c r="AE218" s="345"/>
    </row>
    <row r="219" spans="1:31" ht="15" x14ac:dyDescent="0.25">
      <c r="A219" s="605">
        <v>189</v>
      </c>
      <c r="B219" s="673" t="s">
        <v>1610</v>
      </c>
      <c r="C219" s="672"/>
      <c r="D219" s="672"/>
      <c r="E219" s="672"/>
      <c r="F219" s="672"/>
      <c r="G219" s="672"/>
      <c r="H219" s="1046"/>
      <c r="AD219" s="345"/>
      <c r="AE219" s="345"/>
    </row>
    <row r="220" spans="1:31" ht="15" x14ac:dyDescent="0.25">
      <c r="A220" s="605">
        <v>190</v>
      </c>
      <c r="B220" s="684" t="s">
        <v>1609</v>
      </c>
      <c r="C220" s="668"/>
      <c r="D220" s="668"/>
      <c r="E220" s="668"/>
      <c r="F220" s="668"/>
      <c r="G220" s="668"/>
      <c r="H220" s="1045"/>
      <c r="AD220" s="345"/>
      <c r="AE220" s="345"/>
    </row>
    <row r="221" spans="1:31" ht="15" x14ac:dyDescent="0.25">
      <c r="A221" s="605">
        <v>191</v>
      </c>
      <c r="B221" s="684" t="s">
        <v>1607</v>
      </c>
      <c r="C221" s="668"/>
      <c r="D221" s="668"/>
      <c r="E221" s="668"/>
      <c r="F221" s="668"/>
      <c r="G221" s="668"/>
      <c r="H221" s="1045"/>
      <c r="AD221" s="345"/>
      <c r="AE221" s="345"/>
    </row>
    <row r="222" spans="1:31" ht="15" x14ac:dyDescent="0.25">
      <c r="A222" s="605">
        <v>192</v>
      </c>
      <c r="B222" s="684" t="s">
        <v>1606</v>
      </c>
      <c r="C222" s="668"/>
      <c r="D222" s="668"/>
      <c r="E222" s="668"/>
      <c r="F222" s="668"/>
      <c r="G222" s="668"/>
      <c r="H222" s="1045"/>
      <c r="AD222" s="345"/>
      <c r="AE222" s="345"/>
    </row>
    <row r="223" spans="1:31" ht="15" x14ac:dyDescent="0.25">
      <c r="A223" s="605">
        <v>193</v>
      </c>
      <c r="B223" s="684" t="s">
        <v>1605</v>
      </c>
      <c r="C223" s="668"/>
      <c r="D223" s="668"/>
      <c r="E223" s="668"/>
      <c r="F223" s="668"/>
      <c r="G223" s="668"/>
      <c r="H223" s="1045"/>
      <c r="AD223" s="345"/>
      <c r="AE223" s="345"/>
    </row>
    <row r="224" spans="1:31" s="598" customFormat="1" ht="15" x14ac:dyDescent="0.25">
      <c r="A224" s="605">
        <v>194</v>
      </c>
      <c r="B224" s="673" t="s">
        <v>1866</v>
      </c>
      <c r="C224" s="672"/>
      <c r="D224" s="672"/>
      <c r="E224" s="672"/>
      <c r="F224" s="672"/>
      <c r="G224" s="672"/>
      <c r="H224" s="1046"/>
    </row>
    <row r="225" spans="1:31" s="598" customFormat="1" ht="15" x14ac:dyDescent="0.25">
      <c r="A225" s="605">
        <v>195</v>
      </c>
      <c r="B225" s="673" t="s">
        <v>625</v>
      </c>
      <c r="C225" s="672"/>
      <c r="D225" s="672"/>
      <c r="E225" s="672"/>
      <c r="F225" s="672"/>
      <c r="G225" s="672"/>
      <c r="H225" s="1046"/>
    </row>
    <row r="226" spans="1:31" s="598" customFormat="1" ht="15" x14ac:dyDescent="0.25">
      <c r="A226" s="605">
        <v>196</v>
      </c>
      <c r="B226" s="673" t="s">
        <v>1865</v>
      </c>
      <c r="C226" s="672"/>
      <c r="D226" s="672"/>
      <c r="E226" s="672"/>
      <c r="F226" s="672"/>
      <c r="G226" s="672"/>
      <c r="H226" s="1046"/>
    </row>
    <row r="227" spans="1:31" ht="15" x14ac:dyDescent="0.25">
      <c r="A227" s="605">
        <v>197</v>
      </c>
      <c r="B227" s="684" t="s">
        <v>1604</v>
      </c>
      <c r="C227" s="668"/>
      <c r="D227" s="668"/>
      <c r="E227" s="668"/>
      <c r="F227" s="668"/>
      <c r="G227" s="668"/>
      <c r="H227" s="1045"/>
      <c r="AD227" s="345"/>
      <c r="AE227" s="345"/>
    </row>
    <row r="228" spans="1:31" ht="45" x14ac:dyDescent="0.25">
      <c r="A228" s="605">
        <v>198</v>
      </c>
      <c r="B228" s="708" t="s">
        <v>1864</v>
      </c>
      <c r="C228" s="685"/>
      <c r="D228" s="685"/>
      <c r="E228" s="685"/>
      <c r="F228" s="685"/>
      <c r="G228" s="685"/>
      <c r="H228" s="1067"/>
      <c r="AD228" s="345"/>
      <c r="AE228" s="345"/>
    </row>
    <row r="229" spans="1:31" ht="15" x14ac:dyDescent="0.25">
      <c r="A229" s="605">
        <v>199</v>
      </c>
      <c r="B229" s="669" t="s">
        <v>1863</v>
      </c>
      <c r="C229" s="668"/>
      <c r="D229" s="668"/>
      <c r="E229" s="668"/>
      <c r="F229" s="668"/>
      <c r="G229" s="668"/>
      <c r="H229" s="1045"/>
      <c r="AD229" s="345"/>
      <c r="AE229" s="345"/>
    </row>
    <row r="230" spans="1:31" ht="30" x14ac:dyDescent="0.25">
      <c r="A230" s="605">
        <v>200</v>
      </c>
      <c r="B230" s="669" t="s">
        <v>1862</v>
      </c>
      <c r="C230" s="668"/>
      <c r="D230" s="668"/>
      <c r="E230" s="668"/>
      <c r="F230" s="668"/>
      <c r="G230" s="668"/>
      <c r="H230" s="1045"/>
      <c r="AD230" s="345"/>
      <c r="AE230" s="345"/>
    </row>
    <row r="231" spans="1:31" ht="30" x14ac:dyDescent="0.25">
      <c r="A231" s="605">
        <v>201</v>
      </c>
      <c r="B231" s="669" t="s">
        <v>1861</v>
      </c>
      <c r="C231" s="668"/>
      <c r="D231" s="668"/>
      <c r="E231" s="668"/>
      <c r="F231" s="668"/>
      <c r="G231" s="668"/>
      <c r="H231" s="1045"/>
      <c r="AD231" s="345"/>
      <c r="AE231" s="345"/>
    </row>
    <row r="232" spans="1:31" ht="15" x14ac:dyDescent="0.25">
      <c r="A232" s="605">
        <v>202</v>
      </c>
      <c r="B232" s="669" t="s">
        <v>1860</v>
      </c>
      <c r="C232" s="668"/>
      <c r="D232" s="668"/>
      <c r="E232" s="668"/>
      <c r="F232" s="668"/>
      <c r="G232" s="668"/>
      <c r="H232" s="1045"/>
      <c r="AD232" s="345"/>
      <c r="AE232" s="345"/>
    </row>
    <row r="233" spans="1:31" ht="15" x14ac:dyDescent="0.25">
      <c r="A233" s="605">
        <v>203</v>
      </c>
      <c r="B233" s="669" t="s">
        <v>1859</v>
      </c>
      <c r="C233" s="668"/>
      <c r="D233" s="668"/>
      <c r="E233" s="668"/>
      <c r="F233" s="668"/>
      <c r="G233" s="668"/>
      <c r="H233" s="1045"/>
      <c r="AD233" s="345"/>
      <c r="AE233" s="345"/>
    </row>
    <row r="234" spans="1:31" ht="30" x14ac:dyDescent="0.25">
      <c r="A234" s="605">
        <v>204</v>
      </c>
      <c r="B234" s="669" t="s">
        <v>1858</v>
      </c>
      <c r="C234" s="668"/>
      <c r="D234" s="668"/>
      <c r="E234" s="668"/>
      <c r="F234" s="668"/>
      <c r="G234" s="668"/>
      <c r="H234" s="1045"/>
      <c r="AD234" s="345"/>
      <c r="AE234" s="345"/>
    </row>
    <row r="235" spans="1:31" ht="15" x14ac:dyDescent="0.2">
      <c r="A235" s="605">
        <v>205</v>
      </c>
      <c r="B235" s="604" t="s">
        <v>1857</v>
      </c>
      <c r="C235" s="603"/>
      <c r="D235" s="603"/>
      <c r="E235" s="603"/>
      <c r="F235" s="603"/>
      <c r="G235" s="603"/>
      <c r="H235" s="1055"/>
      <c r="AD235" s="345"/>
      <c r="AE235" s="345"/>
    </row>
    <row r="236" spans="1:31" ht="30" x14ac:dyDescent="0.25">
      <c r="A236" s="605">
        <v>206</v>
      </c>
      <c r="B236" s="674" t="s">
        <v>1856</v>
      </c>
      <c r="C236" s="672"/>
      <c r="D236" s="672"/>
      <c r="E236" s="672"/>
      <c r="F236" s="672"/>
      <c r="G236" s="672"/>
      <c r="H236" s="1069"/>
      <c r="AD236" s="345"/>
      <c r="AE236" s="345"/>
    </row>
    <row r="237" spans="1:31" ht="30" x14ac:dyDescent="0.25">
      <c r="A237" s="605">
        <v>207</v>
      </c>
      <c r="B237" s="628" t="s">
        <v>1855</v>
      </c>
      <c r="C237" s="668"/>
      <c r="D237" s="668"/>
      <c r="E237" s="668"/>
      <c r="F237" s="668"/>
      <c r="G237" s="668"/>
      <c r="H237" s="1045"/>
      <c r="AD237" s="345"/>
      <c r="AE237" s="345"/>
    </row>
    <row r="238" spans="1:31" ht="30" x14ac:dyDescent="0.25">
      <c r="A238" s="605">
        <v>208</v>
      </c>
      <c r="B238" s="628" t="s">
        <v>1854</v>
      </c>
      <c r="C238" s="668"/>
      <c r="D238" s="668"/>
      <c r="E238" s="668"/>
      <c r="F238" s="668"/>
      <c r="G238" s="668"/>
      <c r="H238" s="1045"/>
      <c r="AD238" s="345"/>
      <c r="AE238" s="345"/>
    </row>
    <row r="239" spans="1:31" ht="45" x14ac:dyDescent="0.25">
      <c r="A239" s="605">
        <v>209</v>
      </c>
      <c r="B239" s="669" t="s">
        <v>1853</v>
      </c>
      <c r="C239" s="667"/>
      <c r="D239" s="667"/>
      <c r="E239" s="667"/>
      <c r="F239" s="667"/>
      <c r="G239" s="667"/>
      <c r="H239" s="1045"/>
      <c r="AD239" s="345"/>
      <c r="AE239" s="345"/>
    </row>
    <row r="240" spans="1:31" ht="15" x14ac:dyDescent="0.25">
      <c r="A240" s="605">
        <v>210</v>
      </c>
      <c r="B240" s="684" t="s">
        <v>241</v>
      </c>
      <c r="C240" s="668"/>
      <c r="D240" s="668"/>
      <c r="E240" s="668"/>
      <c r="F240" s="668"/>
      <c r="G240" s="668"/>
      <c r="H240" s="1045"/>
      <c r="AD240" s="345"/>
      <c r="AE240" s="345"/>
    </row>
    <row r="241" spans="1:31" ht="15" x14ac:dyDescent="0.25">
      <c r="A241" s="605">
        <v>211</v>
      </c>
      <c r="B241" s="684" t="s">
        <v>242</v>
      </c>
      <c r="C241" s="668"/>
      <c r="D241" s="668"/>
      <c r="E241" s="668"/>
      <c r="F241" s="668"/>
      <c r="G241" s="668"/>
      <c r="H241" s="1045"/>
      <c r="AD241" s="345"/>
      <c r="AE241" s="345"/>
    </row>
    <row r="242" spans="1:31" ht="15" x14ac:dyDescent="0.25">
      <c r="A242" s="605">
        <v>212</v>
      </c>
      <c r="B242" s="684" t="s">
        <v>1852</v>
      </c>
      <c r="C242" s="668"/>
      <c r="D242" s="668"/>
      <c r="E242" s="668"/>
      <c r="F242" s="668"/>
      <c r="G242" s="668"/>
      <c r="H242" s="1045"/>
      <c r="AD242" s="345"/>
      <c r="AE242" s="345"/>
    </row>
    <row r="243" spans="1:31" ht="15" x14ac:dyDescent="0.25">
      <c r="A243" s="605">
        <v>213</v>
      </c>
      <c r="B243" s="684" t="s">
        <v>1851</v>
      </c>
      <c r="C243" s="668"/>
      <c r="D243" s="668"/>
      <c r="E243" s="668"/>
      <c r="F243" s="668"/>
      <c r="G243" s="668"/>
      <c r="H243" s="1045"/>
      <c r="AD243" s="345"/>
      <c r="AE243" s="345"/>
    </row>
    <row r="244" spans="1:31" ht="15" x14ac:dyDescent="0.25">
      <c r="A244" s="605">
        <v>214</v>
      </c>
      <c r="B244" s="684" t="s">
        <v>1850</v>
      </c>
      <c r="C244" s="668"/>
      <c r="D244" s="668"/>
      <c r="E244" s="668"/>
      <c r="F244" s="668"/>
      <c r="G244" s="668"/>
      <c r="H244" s="1045"/>
      <c r="AD244" s="345"/>
      <c r="AE244" s="345"/>
    </row>
    <row r="245" spans="1:31" ht="15" x14ac:dyDescent="0.25">
      <c r="A245" s="605">
        <v>215</v>
      </c>
      <c r="B245" s="684" t="s">
        <v>3406</v>
      </c>
      <c r="C245" s="668"/>
      <c r="D245" s="668"/>
      <c r="E245" s="668"/>
      <c r="F245" s="668"/>
      <c r="G245" s="668"/>
      <c r="H245" s="1045"/>
      <c r="I245" s="1019"/>
      <c r="J245" s="1019"/>
      <c r="K245" s="1019"/>
      <c r="L245" s="1019"/>
      <c r="M245" s="1019"/>
      <c r="N245" s="1019"/>
      <c r="O245" s="1019"/>
      <c r="P245" s="1019"/>
      <c r="Q245" s="1019"/>
      <c r="R245" s="1019"/>
      <c r="S245" s="1019"/>
      <c r="T245" s="1019"/>
      <c r="U245" s="1019"/>
      <c r="V245" s="1019"/>
      <c r="W245" s="1019"/>
      <c r="X245" s="1019"/>
      <c r="Y245" s="1019"/>
      <c r="Z245" s="1019"/>
      <c r="AA245" s="1019"/>
      <c r="AB245" s="1019"/>
      <c r="AC245" s="1019"/>
      <c r="AD245" s="345"/>
      <c r="AE245" s="345"/>
    </row>
    <row r="246" spans="1:31" ht="15" x14ac:dyDescent="0.25">
      <c r="A246" s="605">
        <v>216</v>
      </c>
      <c r="B246" s="684" t="s">
        <v>1849</v>
      </c>
      <c r="C246" s="667"/>
      <c r="D246" s="667"/>
      <c r="E246" s="667"/>
      <c r="F246" s="667"/>
      <c r="G246" s="667"/>
      <c r="H246" s="1045"/>
      <c r="AD246" s="345"/>
      <c r="AE246" s="345"/>
    </row>
    <row r="247" spans="1:31" ht="15" x14ac:dyDescent="0.25">
      <c r="A247" s="605">
        <v>217</v>
      </c>
      <c r="B247" s="706" t="s">
        <v>995</v>
      </c>
      <c r="C247" s="668"/>
      <c r="D247" s="668"/>
      <c r="E247" s="668"/>
      <c r="F247" s="668"/>
      <c r="G247" s="668"/>
      <c r="H247" s="1045"/>
      <c r="AD247" s="345"/>
      <c r="AE247" s="345"/>
    </row>
    <row r="248" spans="1:31" ht="15" x14ac:dyDescent="0.25">
      <c r="A248" s="605">
        <v>218</v>
      </c>
      <c r="B248" s="706" t="s">
        <v>1791</v>
      </c>
      <c r="C248" s="668"/>
      <c r="D248" s="668"/>
      <c r="E248" s="668"/>
      <c r="F248" s="668"/>
      <c r="G248" s="668"/>
      <c r="H248" s="1045"/>
      <c r="AD248" s="345"/>
      <c r="AE248" s="345"/>
    </row>
    <row r="249" spans="1:31" ht="15" x14ac:dyDescent="0.25">
      <c r="A249" s="605">
        <v>219</v>
      </c>
      <c r="B249" s="706" t="s">
        <v>295</v>
      </c>
      <c r="C249" s="668"/>
      <c r="D249" s="668"/>
      <c r="E249" s="668"/>
      <c r="F249" s="668"/>
      <c r="G249" s="668"/>
      <c r="H249" s="1045"/>
      <c r="AD249" s="345"/>
      <c r="AE249" s="345"/>
    </row>
    <row r="250" spans="1:31" ht="15" x14ac:dyDescent="0.25">
      <c r="A250" s="605">
        <v>220</v>
      </c>
      <c r="B250" s="706" t="s">
        <v>1848</v>
      </c>
      <c r="C250" s="668"/>
      <c r="D250" s="668"/>
      <c r="E250" s="668"/>
      <c r="F250" s="668"/>
      <c r="G250" s="668"/>
      <c r="H250" s="1045"/>
      <c r="AD250" s="345"/>
      <c r="AE250" s="345"/>
    </row>
    <row r="251" spans="1:31" ht="15" x14ac:dyDescent="0.25">
      <c r="A251" s="605">
        <v>221</v>
      </c>
      <c r="B251" s="706" t="s">
        <v>1847</v>
      </c>
      <c r="C251" s="668"/>
      <c r="D251" s="668"/>
      <c r="E251" s="668"/>
      <c r="F251" s="668"/>
      <c r="G251" s="668"/>
      <c r="H251" s="1045"/>
      <c r="AD251" s="345"/>
      <c r="AE251" s="345"/>
    </row>
    <row r="252" spans="1:31" ht="30" x14ac:dyDescent="0.25">
      <c r="A252" s="605">
        <v>222</v>
      </c>
      <c r="B252" s="705" t="s">
        <v>1846</v>
      </c>
      <c r="C252" s="672"/>
      <c r="D252" s="672"/>
      <c r="E252" s="672"/>
      <c r="F252" s="672"/>
      <c r="G252" s="672"/>
      <c r="H252" s="1046"/>
      <c r="AD252" s="345"/>
      <c r="AE252" s="345"/>
    </row>
    <row r="253" spans="1:31" ht="15" x14ac:dyDescent="0.25">
      <c r="A253" s="605">
        <v>223</v>
      </c>
      <c r="B253" s="704" t="s">
        <v>296</v>
      </c>
      <c r="C253" s="668"/>
      <c r="D253" s="668"/>
      <c r="E253" s="668"/>
      <c r="F253" s="668"/>
      <c r="G253" s="668"/>
      <c r="H253" s="1046"/>
      <c r="AD253" s="345"/>
      <c r="AE253" s="345"/>
    </row>
    <row r="254" spans="1:31" ht="30" x14ac:dyDescent="0.25">
      <c r="A254" s="605">
        <v>224</v>
      </c>
      <c r="B254" s="704" t="s">
        <v>3407</v>
      </c>
      <c r="C254" s="668"/>
      <c r="D254" s="668"/>
      <c r="E254" s="668"/>
      <c r="F254" s="668"/>
      <c r="G254" s="668"/>
      <c r="H254" s="1045"/>
      <c r="I254" s="1019"/>
      <c r="J254" s="1019"/>
      <c r="K254" s="1019"/>
      <c r="L254" s="1019"/>
      <c r="M254" s="1019"/>
      <c r="N254" s="1019"/>
      <c r="O254" s="1019"/>
      <c r="P254" s="1019"/>
      <c r="Q254" s="1019"/>
      <c r="R254" s="1019"/>
      <c r="S254" s="1019"/>
      <c r="T254" s="1019"/>
      <c r="U254" s="1019"/>
      <c r="V254" s="1019"/>
      <c r="W254" s="1019"/>
      <c r="X254" s="1019"/>
      <c r="Y254" s="1019"/>
      <c r="Z254" s="1019"/>
      <c r="AA254" s="1019"/>
      <c r="AB254" s="1019"/>
      <c r="AC254" s="1019"/>
      <c r="AD254" s="345"/>
      <c r="AE254" s="345"/>
    </row>
    <row r="255" spans="1:31" s="598" customFormat="1" ht="15" x14ac:dyDescent="0.25">
      <c r="A255" s="605">
        <v>225</v>
      </c>
      <c r="B255" s="674" t="s">
        <v>1845</v>
      </c>
      <c r="C255" s="672"/>
      <c r="D255" s="672"/>
      <c r="E255" s="672"/>
      <c r="F255" s="672"/>
      <c r="G255" s="672"/>
      <c r="H255" s="1046"/>
    </row>
    <row r="256" spans="1:31" s="598" customFormat="1" ht="15" x14ac:dyDescent="0.25">
      <c r="A256" s="605">
        <v>226</v>
      </c>
      <c r="B256" s="674" t="s">
        <v>1844</v>
      </c>
      <c r="C256" s="672"/>
      <c r="D256" s="672"/>
      <c r="E256" s="672"/>
      <c r="F256" s="672"/>
      <c r="G256" s="672"/>
      <c r="H256" s="1046"/>
    </row>
    <row r="257" spans="1:31" s="598" customFormat="1" ht="15" x14ac:dyDescent="0.25">
      <c r="A257" s="605">
        <v>227</v>
      </c>
      <c r="B257" s="674" t="s">
        <v>1843</v>
      </c>
      <c r="C257" s="672"/>
      <c r="D257" s="672"/>
      <c r="E257" s="672"/>
      <c r="F257" s="672"/>
      <c r="G257" s="672"/>
      <c r="H257" s="1046"/>
    </row>
    <row r="258" spans="1:31" s="598" customFormat="1" ht="15" x14ac:dyDescent="0.25">
      <c r="A258" s="605">
        <v>228</v>
      </c>
      <c r="B258" s="674" t="s">
        <v>1842</v>
      </c>
      <c r="C258" s="672"/>
      <c r="D258" s="672"/>
      <c r="E258" s="672"/>
      <c r="F258" s="672"/>
      <c r="G258" s="672"/>
      <c r="H258" s="1046"/>
    </row>
    <row r="259" spans="1:31" ht="30" x14ac:dyDescent="0.25">
      <c r="A259" s="605">
        <v>229</v>
      </c>
      <c r="B259" s="628" t="s">
        <v>1841</v>
      </c>
      <c r="C259" s="668"/>
      <c r="D259" s="668"/>
      <c r="E259" s="668"/>
      <c r="F259" s="668"/>
      <c r="G259" s="668"/>
      <c r="H259" s="1045"/>
      <c r="AD259" s="345"/>
      <c r="AE259" s="345"/>
    </row>
    <row r="260" spans="1:31" ht="30" x14ac:dyDescent="0.25">
      <c r="A260" s="605">
        <v>230</v>
      </c>
      <c r="B260" s="669" t="s">
        <v>1840</v>
      </c>
      <c r="C260" s="668"/>
      <c r="D260" s="668"/>
      <c r="E260" s="668"/>
      <c r="F260" s="668"/>
      <c r="G260" s="668"/>
      <c r="H260" s="1045"/>
      <c r="AD260" s="345"/>
      <c r="AE260" s="345"/>
    </row>
    <row r="261" spans="1:31" ht="45" x14ac:dyDescent="0.25">
      <c r="A261" s="605">
        <v>231</v>
      </c>
      <c r="B261" s="628" t="s">
        <v>1839</v>
      </c>
      <c r="C261" s="668"/>
      <c r="D261" s="668"/>
      <c r="E261" s="668"/>
      <c r="F261" s="668"/>
      <c r="G261" s="668"/>
      <c r="H261" s="1045"/>
      <c r="AD261" s="345"/>
      <c r="AE261" s="345"/>
    </row>
    <row r="262" spans="1:31" ht="45" x14ac:dyDescent="0.25">
      <c r="A262" s="605">
        <v>232</v>
      </c>
      <c r="B262" s="669" t="s">
        <v>1838</v>
      </c>
      <c r="C262" s="667"/>
      <c r="D262" s="667"/>
      <c r="E262" s="667"/>
      <c r="F262" s="667"/>
      <c r="G262" s="667"/>
      <c r="H262" s="1045"/>
      <c r="AD262" s="345"/>
      <c r="AE262" s="345"/>
    </row>
    <row r="263" spans="1:31" ht="15" x14ac:dyDescent="0.25">
      <c r="A263" s="605">
        <v>233</v>
      </c>
      <c r="B263" s="684" t="s">
        <v>623</v>
      </c>
      <c r="C263" s="668"/>
      <c r="D263" s="668"/>
      <c r="E263" s="668"/>
      <c r="F263" s="668"/>
      <c r="G263" s="668"/>
      <c r="H263" s="1045"/>
      <c r="AD263" s="345"/>
      <c r="AE263" s="345"/>
    </row>
    <row r="264" spans="1:31" ht="15" x14ac:dyDescent="0.25">
      <c r="A264" s="605">
        <v>234</v>
      </c>
      <c r="B264" s="684" t="s">
        <v>1837</v>
      </c>
      <c r="C264" s="668"/>
      <c r="D264" s="668"/>
      <c r="E264" s="668"/>
      <c r="F264" s="668"/>
      <c r="G264" s="668"/>
      <c r="H264" s="1045"/>
      <c r="AD264" s="345"/>
      <c r="AE264" s="345"/>
    </row>
    <row r="265" spans="1:31" s="347" customFormat="1" ht="15" x14ac:dyDescent="0.2">
      <c r="A265" s="605">
        <v>235</v>
      </c>
      <c r="B265" s="683" t="s">
        <v>1836</v>
      </c>
      <c r="C265" s="683"/>
      <c r="D265" s="683"/>
      <c r="E265" s="683"/>
      <c r="F265" s="683"/>
      <c r="G265" s="683"/>
      <c r="H265" s="1068"/>
    </row>
    <row r="266" spans="1:31" ht="15" x14ac:dyDescent="0.25">
      <c r="A266" s="605">
        <v>236</v>
      </c>
      <c r="B266" s="684" t="s">
        <v>1835</v>
      </c>
      <c r="C266" s="668"/>
      <c r="D266" s="668"/>
      <c r="E266" s="668"/>
      <c r="F266" s="668"/>
      <c r="G266" s="668"/>
      <c r="H266" s="1045"/>
      <c r="AD266" s="345"/>
      <c r="AE266" s="345"/>
    </row>
    <row r="267" spans="1:31" ht="45" x14ac:dyDescent="0.25">
      <c r="A267" s="605">
        <v>237</v>
      </c>
      <c r="B267" s="669" t="s">
        <v>1834</v>
      </c>
      <c r="C267" s="668"/>
      <c r="D267" s="668"/>
      <c r="E267" s="668"/>
      <c r="F267" s="668"/>
      <c r="G267" s="668"/>
      <c r="H267" s="1045"/>
      <c r="AD267" s="345"/>
      <c r="AE267" s="345"/>
    </row>
    <row r="268" spans="1:31" ht="30" x14ac:dyDescent="0.25">
      <c r="A268" s="605">
        <v>238</v>
      </c>
      <c r="B268" s="669" t="s">
        <v>1833</v>
      </c>
      <c r="C268" s="668"/>
      <c r="D268" s="668"/>
      <c r="E268" s="668"/>
      <c r="F268" s="668"/>
      <c r="G268" s="668"/>
      <c r="H268" s="1045"/>
      <c r="AD268" s="345"/>
      <c r="AE268" s="345"/>
    </row>
    <row r="269" spans="1:31" ht="15" x14ac:dyDescent="0.25">
      <c r="A269" s="605">
        <v>239</v>
      </c>
      <c r="B269" s="669" t="s">
        <v>1832</v>
      </c>
      <c r="C269" s="668"/>
      <c r="D269" s="668"/>
      <c r="E269" s="668"/>
      <c r="F269" s="668"/>
      <c r="G269" s="668"/>
      <c r="H269" s="1045"/>
      <c r="AD269" s="345"/>
      <c r="AE269" s="345"/>
    </row>
    <row r="270" spans="1:31" ht="30" x14ac:dyDescent="0.25">
      <c r="A270" s="605">
        <v>240</v>
      </c>
      <c r="B270" s="669" t="s">
        <v>1831</v>
      </c>
      <c r="C270" s="668"/>
      <c r="D270" s="668"/>
      <c r="E270" s="668"/>
      <c r="F270" s="668"/>
      <c r="G270" s="668"/>
      <c r="H270" s="1045"/>
      <c r="AD270" s="345"/>
      <c r="AE270" s="345"/>
    </row>
    <row r="271" spans="1:31" ht="30" x14ac:dyDescent="0.25">
      <c r="A271" s="605">
        <v>241</v>
      </c>
      <c r="B271" s="669" t="s">
        <v>1830</v>
      </c>
      <c r="C271" s="668"/>
      <c r="D271" s="668"/>
      <c r="E271" s="668"/>
      <c r="F271" s="668"/>
      <c r="G271" s="668"/>
      <c r="H271" s="1045"/>
      <c r="AD271" s="345"/>
      <c r="AE271" s="345"/>
    </row>
    <row r="272" spans="1:31" ht="30" x14ac:dyDescent="0.25">
      <c r="A272" s="605">
        <v>242</v>
      </c>
      <c r="B272" s="669" t="s">
        <v>1829</v>
      </c>
      <c r="C272" s="668"/>
      <c r="D272" s="668"/>
      <c r="E272" s="668"/>
      <c r="F272" s="668"/>
      <c r="G272" s="668"/>
      <c r="H272" s="1045"/>
      <c r="AD272" s="345"/>
      <c r="AE272" s="345"/>
    </row>
    <row r="273" spans="1:31" ht="30" x14ac:dyDescent="0.25">
      <c r="A273" s="605">
        <v>243</v>
      </c>
      <c r="B273" s="669" t="s">
        <v>1828</v>
      </c>
      <c r="C273" s="668"/>
      <c r="D273" s="668"/>
      <c r="E273" s="668"/>
      <c r="F273" s="668"/>
      <c r="G273" s="668"/>
      <c r="H273" s="1045"/>
      <c r="AD273" s="345"/>
      <c r="AE273" s="345"/>
    </row>
    <row r="274" spans="1:31" ht="15" x14ac:dyDescent="0.25">
      <c r="A274" s="605">
        <v>244</v>
      </c>
      <c r="B274" s="669" t="s">
        <v>1827</v>
      </c>
      <c r="C274" s="668"/>
      <c r="D274" s="668"/>
      <c r="E274" s="668"/>
      <c r="F274" s="668"/>
      <c r="G274" s="668"/>
      <c r="H274" s="1045"/>
      <c r="AD274" s="345"/>
      <c r="AE274" s="345"/>
    </row>
    <row r="275" spans="1:31" ht="30" x14ac:dyDescent="0.25">
      <c r="A275" s="605">
        <v>245</v>
      </c>
      <c r="B275" s="669" t="s">
        <v>1826</v>
      </c>
      <c r="C275" s="668"/>
      <c r="D275" s="668"/>
      <c r="E275" s="668"/>
      <c r="F275" s="668"/>
      <c r="G275" s="668"/>
      <c r="H275" s="1045"/>
      <c r="AD275" s="345"/>
      <c r="AE275" s="345"/>
    </row>
    <row r="276" spans="1:31" ht="15" x14ac:dyDescent="0.2">
      <c r="A276" s="605">
        <v>246</v>
      </c>
      <c r="B276" s="604" t="s">
        <v>1825</v>
      </c>
      <c r="C276" s="603"/>
      <c r="D276" s="603"/>
      <c r="E276" s="603"/>
      <c r="F276" s="603"/>
      <c r="G276" s="603"/>
      <c r="H276" s="1055"/>
      <c r="AD276" s="345"/>
      <c r="AE276" s="345"/>
    </row>
    <row r="277" spans="1:31" s="347" customFormat="1" ht="30" x14ac:dyDescent="0.25">
      <c r="A277" s="605">
        <v>247</v>
      </c>
      <c r="B277" s="674" t="s">
        <v>1824</v>
      </c>
      <c r="C277" s="672"/>
      <c r="D277" s="672"/>
      <c r="E277" s="672"/>
      <c r="F277" s="672"/>
      <c r="G277" s="672"/>
      <c r="H277" s="1046"/>
    </row>
    <row r="278" spans="1:31" ht="30" x14ac:dyDescent="0.25">
      <c r="A278" s="605">
        <v>248</v>
      </c>
      <c r="B278" s="669" t="s">
        <v>1823</v>
      </c>
      <c r="C278" s="668"/>
      <c r="D278" s="668"/>
      <c r="E278" s="668"/>
      <c r="F278" s="668"/>
      <c r="G278" s="668"/>
      <c r="H278" s="1045"/>
      <c r="AD278" s="345"/>
      <c r="AE278" s="345"/>
    </row>
    <row r="279" spans="1:31" ht="30" x14ac:dyDescent="0.25">
      <c r="A279" s="605">
        <v>249</v>
      </c>
      <c r="B279" s="669" t="s">
        <v>1822</v>
      </c>
      <c r="C279" s="668"/>
      <c r="D279" s="668"/>
      <c r="E279" s="668"/>
      <c r="F279" s="668"/>
      <c r="G279" s="668"/>
      <c r="H279" s="1045"/>
      <c r="AD279" s="345"/>
      <c r="AE279" s="345"/>
    </row>
    <row r="280" spans="1:31" ht="30" x14ac:dyDescent="0.2">
      <c r="A280" s="605">
        <v>250</v>
      </c>
      <c r="B280" s="520" t="s">
        <v>1821</v>
      </c>
      <c r="C280" s="683"/>
      <c r="D280" s="683"/>
      <c r="E280" s="683"/>
      <c r="F280" s="683"/>
      <c r="G280" s="683"/>
      <c r="H280" s="1068"/>
      <c r="AD280" s="345"/>
      <c r="AE280" s="345"/>
    </row>
    <row r="281" spans="1:31" ht="45" x14ac:dyDescent="0.25">
      <c r="A281" s="605">
        <v>251</v>
      </c>
      <c r="B281" s="703" t="s">
        <v>1820</v>
      </c>
      <c r="C281" s="667"/>
      <c r="D281" s="667"/>
      <c r="E281" s="667"/>
      <c r="F281" s="667"/>
      <c r="G281" s="667"/>
      <c r="H281" s="1046"/>
      <c r="AD281" s="345"/>
      <c r="AE281" s="345"/>
    </row>
    <row r="282" spans="1:31" s="697" customFormat="1" ht="15" x14ac:dyDescent="0.25">
      <c r="A282" s="605">
        <v>252</v>
      </c>
      <c r="B282" s="700" t="s">
        <v>111</v>
      </c>
      <c r="C282" s="698"/>
      <c r="D282" s="698"/>
      <c r="E282" s="698"/>
      <c r="F282" s="698"/>
      <c r="G282" s="698"/>
      <c r="H282" s="1070"/>
      <c r="I282" s="690"/>
      <c r="J282" s="689" t="str">
        <f t="shared" ref="J282:J307" si="0">IF(C282="x","C","")</f>
        <v/>
      </c>
      <c r="K282" s="689" t="str">
        <f t="shared" ref="K282:K307" si="1">IF(D282="x","N","")</f>
        <v/>
      </c>
      <c r="L282" s="689" t="str">
        <f t="shared" ref="L282:L307" si="2">IF(E282="x","A","")</f>
        <v/>
      </c>
      <c r="M282" s="689" t="str">
        <f t="shared" ref="M282:M307" si="3">IF(F282="x","M","")</f>
        <v/>
      </c>
      <c r="N282" s="688"/>
      <c r="O282" s="688"/>
      <c r="P282" s="688"/>
      <c r="Q282" s="688"/>
      <c r="R282" s="687"/>
      <c r="S282" s="687"/>
      <c r="T282" s="687"/>
      <c r="U282" s="687"/>
      <c r="V282" s="687"/>
      <c r="W282" s="687"/>
      <c r="X282" s="687"/>
      <c r="Y282" s="687"/>
      <c r="Z282" s="687"/>
      <c r="AA282" s="687"/>
      <c r="AB282" s="687"/>
    </row>
    <row r="283" spans="1:31" s="697" customFormat="1" ht="15" x14ac:dyDescent="0.25">
      <c r="A283" s="605">
        <v>253</v>
      </c>
      <c r="B283" s="700" t="s">
        <v>1819</v>
      </c>
      <c r="C283" s="698"/>
      <c r="D283" s="698"/>
      <c r="E283" s="698"/>
      <c r="F283" s="698"/>
      <c r="G283" s="698"/>
      <c r="H283" s="1070"/>
      <c r="I283" s="690"/>
      <c r="J283" s="689" t="str">
        <f t="shared" si="0"/>
        <v/>
      </c>
      <c r="K283" s="689" t="str">
        <f t="shared" si="1"/>
        <v/>
      </c>
      <c r="L283" s="689" t="str">
        <f t="shared" si="2"/>
        <v/>
      </c>
      <c r="M283" s="689" t="str">
        <f t="shared" si="3"/>
        <v/>
      </c>
      <c r="N283" s="688"/>
      <c r="O283" s="688"/>
      <c r="P283" s="688"/>
      <c r="Q283" s="688"/>
      <c r="R283" s="687"/>
      <c r="S283" s="687"/>
      <c r="T283" s="687"/>
      <c r="U283" s="687"/>
      <c r="V283" s="687"/>
      <c r="W283" s="687"/>
      <c r="X283" s="687"/>
      <c r="Y283" s="687"/>
      <c r="Z283" s="687"/>
      <c r="AA283" s="687"/>
      <c r="AB283" s="687"/>
    </row>
    <row r="284" spans="1:31" s="697" customFormat="1" ht="15" x14ac:dyDescent="0.25">
      <c r="A284" s="605">
        <v>254</v>
      </c>
      <c r="B284" s="700" t="s">
        <v>1818</v>
      </c>
      <c r="C284" s="692"/>
      <c r="D284" s="692"/>
      <c r="E284" s="692"/>
      <c r="F284" s="692"/>
      <c r="G284" s="692"/>
      <c r="H284" s="1070"/>
      <c r="I284" s="690"/>
      <c r="J284" s="689" t="str">
        <f t="shared" si="0"/>
        <v/>
      </c>
      <c r="K284" s="689" t="str">
        <f t="shared" si="1"/>
        <v/>
      </c>
      <c r="L284" s="689" t="str">
        <f t="shared" si="2"/>
        <v/>
      </c>
      <c r="M284" s="689" t="str">
        <f t="shared" si="3"/>
        <v/>
      </c>
      <c r="N284" s="688"/>
      <c r="O284" s="688"/>
      <c r="P284" s="688"/>
      <c r="Q284" s="688"/>
      <c r="R284" s="687"/>
      <c r="S284" s="687"/>
      <c r="T284" s="687"/>
      <c r="U284" s="687"/>
      <c r="V284" s="687"/>
      <c r="W284" s="687"/>
      <c r="X284" s="687"/>
      <c r="Y284" s="687"/>
      <c r="Z284" s="687"/>
      <c r="AA284" s="687"/>
      <c r="AB284" s="687"/>
    </row>
    <row r="285" spans="1:31" s="697" customFormat="1" ht="33.75" x14ac:dyDescent="0.25">
      <c r="A285" s="605">
        <v>255</v>
      </c>
      <c r="B285" s="696" t="s">
        <v>190</v>
      </c>
      <c r="C285" s="698"/>
      <c r="D285" s="698"/>
      <c r="E285" s="698"/>
      <c r="F285" s="698"/>
      <c r="G285" s="698"/>
      <c r="H285" s="1191" t="s">
        <v>3596</v>
      </c>
      <c r="I285" s="690"/>
      <c r="J285" s="689" t="str">
        <f t="shared" si="0"/>
        <v/>
      </c>
      <c r="K285" s="689" t="str">
        <f t="shared" si="1"/>
        <v/>
      </c>
      <c r="L285" s="689" t="str">
        <f t="shared" si="2"/>
        <v/>
      </c>
      <c r="M285" s="689" t="str">
        <f t="shared" si="3"/>
        <v/>
      </c>
      <c r="N285" s="688"/>
      <c r="O285" s="688"/>
      <c r="P285" s="688"/>
      <c r="Q285" s="688"/>
      <c r="R285" s="687"/>
      <c r="S285" s="687"/>
      <c r="T285" s="687"/>
      <c r="U285" s="687"/>
      <c r="V285" s="687"/>
      <c r="W285" s="687"/>
      <c r="X285" s="687"/>
      <c r="Y285" s="687"/>
      <c r="Z285" s="687"/>
      <c r="AA285" s="687"/>
      <c r="AB285" s="687"/>
    </row>
    <row r="286" spans="1:31" s="697" customFormat="1" ht="15" x14ac:dyDescent="0.25">
      <c r="A286" s="605">
        <v>256</v>
      </c>
      <c r="B286" s="696" t="s">
        <v>47</v>
      </c>
      <c r="C286" s="698"/>
      <c r="D286" s="698"/>
      <c r="E286" s="698"/>
      <c r="F286" s="698"/>
      <c r="G286" s="698"/>
      <c r="H286" s="1070"/>
      <c r="I286" s="690"/>
      <c r="J286" s="689" t="str">
        <f t="shared" si="0"/>
        <v/>
      </c>
      <c r="K286" s="689" t="str">
        <f t="shared" si="1"/>
        <v/>
      </c>
      <c r="L286" s="689" t="str">
        <f t="shared" si="2"/>
        <v/>
      </c>
      <c r="M286" s="689" t="str">
        <f t="shared" si="3"/>
        <v/>
      </c>
      <c r="N286" s="688"/>
      <c r="O286" s="688"/>
      <c r="P286" s="688"/>
      <c r="Q286" s="688"/>
      <c r="R286" s="687"/>
      <c r="S286" s="687"/>
      <c r="T286" s="687"/>
      <c r="U286" s="687"/>
      <c r="V286" s="687"/>
      <c r="W286" s="687"/>
      <c r="X286" s="687"/>
      <c r="Y286" s="687"/>
      <c r="Z286" s="687"/>
      <c r="AA286" s="687"/>
      <c r="AB286" s="687"/>
    </row>
    <row r="287" spans="1:31" s="697" customFormat="1" ht="15" x14ac:dyDescent="0.25">
      <c r="A287" s="605">
        <v>257</v>
      </c>
      <c r="B287" s="696" t="s">
        <v>537</v>
      </c>
      <c r="C287" s="698"/>
      <c r="D287" s="698"/>
      <c r="E287" s="698"/>
      <c r="F287" s="698"/>
      <c r="G287" s="698"/>
      <c r="H287" s="1070"/>
      <c r="I287" s="690"/>
      <c r="J287" s="689" t="str">
        <f t="shared" si="0"/>
        <v/>
      </c>
      <c r="K287" s="689" t="str">
        <f t="shared" si="1"/>
        <v/>
      </c>
      <c r="L287" s="689" t="str">
        <f t="shared" si="2"/>
        <v/>
      </c>
      <c r="M287" s="689" t="str">
        <f t="shared" si="3"/>
        <v/>
      </c>
      <c r="N287" s="688"/>
      <c r="O287" s="688"/>
      <c r="P287" s="688"/>
      <c r="Q287" s="688"/>
      <c r="R287" s="687"/>
      <c r="S287" s="687"/>
      <c r="T287" s="687"/>
      <c r="U287" s="687"/>
      <c r="V287" s="687"/>
      <c r="W287" s="687"/>
      <c r="X287" s="687"/>
      <c r="Y287" s="687"/>
      <c r="Z287" s="687"/>
      <c r="AA287" s="687"/>
      <c r="AB287" s="687"/>
    </row>
    <row r="288" spans="1:31" s="697" customFormat="1" ht="30" x14ac:dyDescent="0.25">
      <c r="A288" s="605">
        <v>258</v>
      </c>
      <c r="B288" s="700" t="s">
        <v>1817</v>
      </c>
      <c r="C288" s="698"/>
      <c r="D288" s="698"/>
      <c r="E288" s="698"/>
      <c r="F288" s="698"/>
      <c r="G288" s="698"/>
      <c r="H288" s="1070"/>
      <c r="I288" s="690"/>
      <c r="J288" s="689" t="str">
        <f t="shared" si="0"/>
        <v/>
      </c>
      <c r="K288" s="689" t="str">
        <f t="shared" si="1"/>
        <v/>
      </c>
      <c r="L288" s="689" t="str">
        <f t="shared" si="2"/>
        <v/>
      </c>
      <c r="M288" s="689" t="str">
        <f t="shared" si="3"/>
        <v/>
      </c>
      <c r="N288" s="688"/>
      <c r="O288" s="688"/>
      <c r="P288" s="688"/>
      <c r="Q288" s="688"/>
      <c r="R288" s="687"/>
      <c r="S288" s="687"/>
      <c r="T288" s="687"/>
      <c r="U288" s="687"/>
      <c r="V288" s="687"/>
      <c r="W288" s="687"/>
      <c r="X288" s="687"/>
      <c r="Y288" s="687"/>
      <c r="Z288" s="687"/>
      <c r="AA288" s="687"/>
      <c r="AB288" s="687"/>
    </row>
    <row r="289" spans="1:28" s="697" customFormat="1" ht="15" x14ac:dyDescent="0.25">
      <c r="A289" s="605">
        <v>259</v>
      </c>
      <c r="B289" s="700" t="s">
        <v>1816</v>
      </c>
      <c r="C289" s="692"/>
      <c r="D289" s="692"/>
      <c r="E289" s="692"/>
      <c r="F289" s="692"/>
      <c r="G289" s="692"/>
      <c r="H289" s="1070"/>
      <c r="I289" s="690"/>
      <c r="J289" s="689" t="str">
        <f t="shared" si="0"/>
        <v/>
      </c>
      <c r="K289" s="689" t="str">
        <f t="shared" si="1"/>
        <v/>
      </c>
      <c r="L289" s="689" t="str">
        <f t="shared" si="2"/>
        <v/>
      </c>
      <c r="M289" s="689" t="str">
        <f t="shared" si="3"/>
        <v/>
      </c>
      <c r="N289" s="688"/>
      <c r="O289" s="688"/>
      <c r="P289" s="688"/>
      <c r="Q289" s="688"/>
      <c r="R289" s="687"/>
      <c r="S289" s="687"/>
      <c r="T289" s="687"/>
      <c r="U289" s="687"/>
      <c r="V289" s="687"/>
      <c r="W289" s="687"/>
      <c r="X289" s="687"/>
      <c r="Y289" s="687"/>
      <c r="Z289" s="687"/>
      <c r="AA289" s="687"/>
      <c r="AB289" s="687"/>
    </row>
    <row r="290" spans="1:28" s="693" customFormat="1" ht="15" x14ac:dyDescent="0.25">
      <c r="A290" s="605">
        <v>260</v>
      </c>
      <c r="B290" s="696" t="s">
        <v>1815</v>
      </c>
      <c r="C290" s="695"/>
      <c r="D290" s="695"/>
      <c r="E290" s="695"/>
      <c r="F290" s="695"/>
      <c r="G290" s="695"/>
      <c r="H290" s="1071"/>
      <c r="I290" s="690"/>
      <c r="J290" s="689" t="str">
        <f t="shared" si="0"/>
        <v/>
      </c>
      <c r="K290" s="689" t="str">
        <f t="shared" si="1"/>
        <v/>
      </c>
      <c r="L290" s="689" t="str">
        <f t="shared" si="2"/>
        <v/>
      </c>
      <c r="M290" s="689" t="str">
        <f t="shared" si="3"/>
        <v/>
      </c>
      <c r="N290" s="688"/>
      <c r="O290" s="688"/>
      <c r="P290" s="688"/>
      <c r="Q290" s="688"/>
      <c r="R290" s="687"/>
      <c r="S290" s="687"/>
      <c r="T290" s="687"/>
      <c r="U290" s="687"/>
      <c r="V290" s="687"/>
      <c r="W290" s="687"/>
      <c r="X290" s="687"/>
      <c r="Y290" s="687"/>
      <c r="Z290" s="687"/>
      <c r="AA290" s="687"/>
      <c r="AB290" s="687"/>
    </row>
    <row r="291" spans="1:28" s="693" customFormat="1" ht="15" x14ac:dyDescent="0.25">
      <c r="A291" s="605">
        <v>261</v>
      </c>
      <c r="B291" s="696" t="s">
        <v>1814</v>
      </c>
      <c r="C291" s="695"/>
      <c r="D291" s="695"/>
      <c r="E291" s="695"/>
      <c r="F291" s="695"/>
      <c r="G291" s="695"/>
      <c r="H291" s="1071"/>
      <c r="I291" s="690"/>
      <c r="J291" s="689" t="str">
        <f t="shared" si="0"/>
        <v/>
      </c>
      <c r="K291" s="689" t="str">
        <f t="shared" si="1"/>
        <v/>
      </c>
      <c r="L291" s="689" t="str">
        <f t="shared" si="2"/>
        <v/>
      </c>
      <c r="M291" s="689" t="str">
        <f t="shared" si="3"/>
        <v/>
      </c>
      <c r="N291" s="688"/>
      <c r="O291" s="688"/>
      <c r="P291" s="688"/>
      <c r="Q291" s="688"/>
      <c r="R291" s="687"/>
      <c r="S291" s="687"/>
      <c r="T291" s="687"/>
      <c r="U291" s="687"/>
      <c r="V291" s="687"/>
      <c r="W291" s="687"/>
      <c r="X291" s="687"/>
      <c r="Y291" s="687"/>
      <c r="Z291" s="687"/>
      <c r="AA291" s="687"/>
      <c r="AB291" s="687"/>
    </row>
    <row r="292" spans="1:28" s="693" customFormat="1" ht="15" x14ac:dyDescent="0.25">
      <c r="A292" s="605">
        <v>262</v>
      </c>
      <c r="B292" s="696" t="s">
        <v>296</v>
      </c>
      <c r="C292" s="695"/>
      <c r="D292" s="695"/>
      <c r="E292" s="695"/>
      <c r="F292" s="695"/>
      <c r="G292" s="695"/>
      <c r="H292" s="1071"/>
      <c r="I292" s="690"/>
      <c r="J292" s="689" t="str">
        <f t="shared" si="0"/>
        <v/>
      </c>
      <c r="K292" s="689" t="str">
        <f t="shared" si="1"/>
        <v/>
      </c>
      <c r="L292" s="689" t="str">
        <f t="shared" si="2"/>
        <v/>
      </c>
      <c r="M292" s="689" t="str">
        <f t="shared" si="3"/>
        <v/>
      </c>
      <c r="N292" s="688"/>
      <c r="O292" s="688"/>
      <c r="P292" s="688"/>
      <c r="Q292" s="688"/>
      <c r="R292" s="687"/>
      <c r="S292" s="687"/>
      <c r="T292" s="687"/>
      <c r="U292" s="687"/>
      <c r="V292" s="687"/>
      <c r="W292" s="687"/>
      <c r="X292" s="687"/>
      <c r="Y292" s="687"/>
      <c r="Z292" s="687"/>
      <c r="AA292" s="687"/>
      <c r="AB292" s="687"/>
    </row>
    <row r="293" spans="1:28" s="693" customFormat="1" ht="15" x14ac:dyDescent="0.25">
      <c r="A293" s="605">
        <v>263</v>
      </c>
      <c r="B293" s="696" t="s">
        <v>149</v>
      </c>
      <c r="C293" s="695"/>
      <c r="D293" s="695"/>
      <c r="E293" s="695"/>
      <c r="F293" s="695"/>
      <c r="G293" s="695"/>
      <c r="H293" s="1071"/>
      <c r="I293" s="690"/>
      <c r="J293" s="689" t="str">
        <f t="shared" si="0"/>
        <v/>
      </c>
      <c r="K293" s="689" t="str">
        <f t="shared" si="1"/>
        <v/>
      </c>
      <c r="L293" s="689" t="str">
        <f t="shared" si="2"/>
        <v/>
      </c>
      <c r="M293" s="689" t="str">
        <f t="shared" si="3"/>
        <v/>
      </c>
      <c r="N293" s="688"/>
      <c r="O293" s="688"/>
      <c r="P293" s="688"/>
      <c r="Q293" s="688"/>
      <c r="R293" s="687"/>
      <c r="S293" s="687"/>
      <c r="T293" s="687"/>
      <c r="U293" s="687"/>
      <c r="V293" s="687"/>
      <c r="W293" s="687"/>
      <c r="X293" s="687"/>
      <c r="Y293" s="687"/>
      <c r="Z293" s="687"/>
      <c r="AA293" s="687"/>
      <c r="AB293" s="687"/>
    </row>
    <row r="294" spans="1:28" s="693" customFormat="1" ht="15" x14ac:dyDescent="0.25">
      <c r="A294" s="605">
        <v>264</v>
      </c>
      <c r="B294" s="696" t="s">
        <v>1813</v>
      </c>
      <c r="C294" s="695"/>
      <c r="D294" s="695"/>
      <c r="E294" s="695"/>
      <c r="F294" s="695"/>
      <c r="G294" s="695"/>
      <c r="H294" s="1071"/>
      <c r="I294" s="690"/>
      <c r="J294" s="689" t="str">
        <f t="shared" si="0"/>
        <v/>
      </c>
      <c r="K294" s="689" t="str">
        <f t="shared" si="1"/>
        <v/>
      </c>
      <c r="L294" s="689" t="str">
        <f t="shared" si="2"/>
        <v/>
      </c>
      <c r="M294" s="689" t="str">
        <f t="shared" si="3"/>
        <v/>
      </c>
      <c r="N294" s="688"/>
      <c r="O294" s="688"/>
      <c r="P294" s="688"/>
      <c r="Q294" s="688"/>
      <c r="R294" s="687"/>
      <c r="S294" s="687"/>
      <c r="T294" s="687"/>
      <c r="U294" s="687"/>
      <c r="V294" s="687"/>
      <c r="W294" s="687"/>
      <c r="X294" s="687"/>
      <c r="Y294" s="687"/>
      <c r="Z294" s="687"/>
      <c r="AA294" s="687"/>
      <c r="AB294" s="687"/>
    </row>
    <row r="295" spans="1:28" s="693" customFormat="1" ht="15" x14ac:dyDescent="0.25">
      <c r="A295" s="605">
        <v>265</v>
      </c>
      <c r="B295" s="696" t="s">
        <v>1383</v>
      </c>
      <c r="C295" s="695"/>
      <c r="D295" s="695"/>
      <c r="E295" s="695"/>
      <c r="F295" s="695"/>
      <c r="G295" s="695"/>
      <c r="H295" s="1071"/>
      <c r="I295" s="690"/>
      <c r="J295" s="689" t="str">
        <f t="shared" si="0"/>
        <v/>
      </c>
      <c r="K295" s="689" t="str">
        <f t="shared" si="1"/>
        <v/>
      </c>
      <c r="L295" s="689" t="str">
        <f t="shared" si="2"/>
        <v/>
      </c>
      <c r="M295" s="689" t="str">
        <f t="shared" si="3"/>
        <v/>
      </c>
      <c r="N295" s="688"/>
      <c r="O295" s="688"/>
      <c r="P295" s="688"/>
      <c r="Q295" s="688"/>
      <c r="R295" s="687"/>
      <c r="S295" s="687"/>
      <c r="T295" s="687"/>
      <c r="U295" s="687"/>
      <c r="V295" s="687"/>
      <c r="W295" s="687"/>
      <c r="X295" s="687"/>
      <c r="Y295" s="687"/>
      <c r="Z295" s="687"/>
      <c r="AA295" s="687"/>
      <c r="AB295" s="687"/>
    </row>
    <row r="296" spans="1:28" s="693" customFormat="1" ht="15" x14ac:dyDescent="0.25">
      <c r="A296" s="605">
        <v>266</v>
      </c>
      <c r="B296" s="696" t="s">
        <v>1791</v>
      </c>
      <c r="C296" s="695"/>
      <c r="D296" s="695"/>
      <c r="E296" s="695"/>
      <c r="F296" s="695"/>
      <c r="G296" s="695"/>
      <c r="H296" s="1071"/>
      <c r="I296" s="690"/>
      <c r="J296" s="689" t="str">
        <f t="shared" si="0"/>
        <v/>
      </c>
      <c r="K296" s="689" t="str">
        <f t="shared" si="1"/>
        <v/>
      </c>
      <c r="L296" s="689" t="str">
        <f t="shared" si="2"/>
        <v/>
      </c>
      <c r="M296" s="689" t="str">
        <f t="shared" si="3"/>
        <v/>
      </c>
      <c r="N296" s="688"/>
      <c r="O296" s="688"/>
      <c r="P296" s="688"/>
      <c r="Q296" s="688"/>
      <c r="R296" s="687"/>
      <c r="S296" s="687"/>
      <c r="T296" s="687"/>
      <c r="U296" s="687"/>
      <c r="V296" s="687"/>
      <c r="W296" s="687"/>
      <c r="X296" s="687"/>
      <c r="Y296" s="687"/>
      <c r="Z296" s="687"/>
      <c r="AA296" s="687"/>
      <c r="AB296" s="687"/>
    </row>
    <row r="297" spans="1:28" s="693" customFormat="1" ht="15" x14ac:dyDescent="0.25">
      <c r="A297" s="605">
        <v>267</v>
      </c>
      <c r="B297" s="696" t="s">
        <v>1812</v>
      </c>
      <c r="C297" s="695"/>
      <c r="D297" s="695"/>
      <c r="E297" s="695"/>
      <c r="F297" s="695"/>
      <c r="G297" s="695"/>
      <c r="H297" s="1071"/>
      <c r="I297" s="690"/>
      <c r="J297" s="689" t="str">
        <f t="shared" si="0"/>
        <v/>
      </c>
      <c r="K297" s="689" t="str">
        <f t="shared" si="1"/>
        <v/>
      </c>
      <c r="L297" s="689" t="str">
        <f t="shared" si="2"/>
        <v/>
      </c>
      <c r="M297" s="689" t="str">
        <f t="shared" si="3"/>
        <v/>
      </c>
      <c r="N297" s="688"/>
      <c r="O297" s="688"/>
      <c r="P297" s="688"/>
      <c r="Q297" s="688"/>
      <c r="R297" s="687"/>
      <c r="S297" s="687"/>
      <c r="T297" s="687"/>
      <c r="U297" s="687"/>
      <c r="V297" s="687"/>
      <c r="W297" s="687"/>
      <c r="X297" s="687"/>
      <c r="Y297" s="687"/>
      <c r="Z297" s="687"/>
      <c r="AA297" s="687"/>
      <c r="AB297" s="687"/>
    </row>
    <row r="298" spans="1:28" s="693" customFormat="1" ht="15" x14ac:dyDescent="0.25">
      <c r="A298" s="605">
        <v>268</v>
      </c>
      <c r="B298" s="696" t="s">
        <v>1811</v>
      </c>
      <c r="C298" s="695"/>
      <c r="D298" s="695"/>
      <c r="E298" s="695"/>
      <c r="F298" s="695"/>
      <c r="G298" s="695"/>
      <c r="H298" s="1071"/>
      <c r="I298" s="690"/>
      <c r="J298" s="689" t="str">
        <f t="shared" si="0"/>
        <v/>
      </c>
      <c r="K298" s="689" t="str">
        <f t="shared" si="1"/>
        <v/>
      </c>
      <c r="L298" s="689" t="str">
        <f t="shared" si="2"/>
        <v/>
      </c>
      <c r="M298" s="689" t="str">
        <f t="shared" si="3"/>
        <v/>
      </c>
      <c r="N298" s="688"/>
      <c r="O298" s="688"/>
      <c r="P298" s="688"/>
      <c r="Q298" s="688"/>
      <c r="R298" s="687"/>
      <c r="S298" s="687"/>
      <c r="T298" s="687"/>
      <c r="U298" s="687"/>
      <c r="V298" s="687"/>
      <c r="W298" s="687"/>
      <c r="X298" s="687"/>
      <c r="Y298" s="687"/>
      <c r="Z298" s="687"/>
      <c r="AA298" s="687"/>
      <c r="AB298" s="687"/>
    </row>
    <row r="299" spans="1:28" s="693" customFormat="1" ht="15" x14ac:dyDescent="0.25">
      <c r="A299" s="605">
        <v>269</v>
      </c>
      <c r="B299" s="696" t="s">
        <v>1810</v>
      </c>
      <c r="C299" s="695"/>
      <c r="D299" s="695"/>
      <c r="E299" s="695"/>
      <c r="F299" s="695"/>
      <c r="G299" s="695"/>
      <c r="H299" s="1071"/>
      <c r="I299" s="690"/>
      <c r="J299" s="689" t="str">
        <f t="shared" si="0"/>
        <v/>
      </c>
      <c r="K299" s="689" t="str">
        <f t="shared" si="1"/>
        <v/>
      </c>
      <c r="L299" s="689" t="str">
        <f t="shared" si="2"/>
        <v/>
      </c>
      <c r="M299" s="689" t="str">
        <f t="shared" si="3"/>
        <v/>
      </c>
      <c r="N299" s="688"/>
      <c r="O299" s="688"/>
      <c r="P299" s="688"/>
      <c r="Q299" s="688"/>
      <c r="R299" s="687"/>
      <c r="S299" s="687"/>
      <c r="T299" s="687"/>
      <c r="U299" s="687"/>
      <c r="V299" s="687"/>
      <c r="W299" s="687"/>
      <c r="X299" s="687"/>
      <c r="Y299" s="687"/>
      <c r="Z299" s="687"/>
      <c r="AA299" s="687"/>
      <c r="AB299" s="687"/>
    </row>
    <row r="300" spans="1:28" s="693" customFormat="1" ht="15" x14ac:dyDescent="0.25">
      <c r="A300" s="605">
        <v>270</v>
      </c>
      <c r="B300" s="696" t="s">
        <v>1788</v>
      </c>
      <c r="C300" s="695"/>
      <c r="D300" s="695"/>
      <c r="E300" s="695"/>
      <c r="F300" s="695"/>
      <c r="G300" s="695"/>
      <c r="H300" s="1071"/>
      <c r="I300" s="690"/>
      <c r="J300" s="689" t="str">
        <f t="shared" si="0"/>
        <v/>
      </c>
      <c r="K300" s="689" t="str">
        <f t="shared" si="1"/>
        <v/>
      </c>
      <c r="L300" s="689" t="str">
        <f t="shared" si="2"/>
        <v/>
      </c>
      <c r="M300" s="689" t="str">
        <f t="shared" si="3"/>
        <v/>
      </c>
      <c r="N300" s="688"/>
      <c r="O300" s="688"/>
      <c r="P300" s="688"/>
      <c r="Q300" s="688"/>
      <c r="R300" s="687"/>
      <c r="S300" s="687"/>
      <c r="T300" s="687"/>
      <c r="U300" s="687"/>
      <c r="V300" s="687"/>
      <c r="W300" s="687"/>
      <c r="X300" s="687"/>
      <c r="Y300" s="687"/>
      <c r="Z300" s="687"/>
      <c r="AA300" s="687"/>
      <c r="AB300" s="687"/>
    </row>
    <row r="301" spans="1:28" s="693" customFormat="1" ht="15" x14ac:dyDescent="0.25">
      <c r="A301" s="605">
        <v>271</v>
      </c>
      <c r="B301" s="696" t="s">
        <v>1809</v>
      </c>
      <c r="C301" s="695"/>
      <c r="D301" s="695"/>
      <c r="E301" s="695"/>
      <c r="F301" s="695"/>
      <c r="G301" s="695"/>
      <c r="H301" s="1071"/>
      <c r="I301" s="690"/>
      <c r="J301" s="689" t="str">
        <f t="shared" si="0"/>
        <v/>
      </c>
      <c r="K301" s="689" t="str">
        <f t="shared" si="1"/>
        <v/>
      </c>
      <c r="L301" s="689" t="str">
        <f t="shared" si="2"/>
        <v/>
      </c>
      <c r="M301" s="689" t="str">
        <f t="shared" si="3"/>
        <v/>
      </c>
      <c r="N301" s="688"/>
      <c r="O301" s="688"/>
      <c r="P301" s="688"/>
      <c r="Q301" s="688"/>
      <c r="R301" s="687"/>
      <c r="S301" s="687"/>
      <c r="T301" s="687"/>
      <c r="U301" s="687"/>
      <c r="V301" s="687"/>
      <c r="W301" s="687"/>
      <c r="X301" s="687"/>
      <c r="Y301" s="687"/>
      <c r="Z301" s="687"/>
      <c r="AA301" s="687"/>
      <c r="AB301" s="687"/>
    </row>
    <row r="302" spans="1:28" s="693" customFormat="1" ht="15" x14ac:dyDescent="0.25">
      <c r="A302" s="605">
        <v>272</v>
      </c>
      <c r="B302" s="696" t="s">
        <v>1769</v>
      </c>
      <c r="C302" s="695"/>
      <c r="D302" s="695"/>
      <c r="E302" s="695"/>
      <c r="F302" s="695"/>
      <c r="G302" s="695"/>
      <c r="H302" s="1071"/>
      <c r="I302" s="690"/>
      <c r="J302" s="689" t="str">
        <f t="shared" si="0"/>
        <v/>
      </c>
      <c r="K302" s="689" t="str">
        <f t="shared" si="1"/>
        <v/>
      </c>
      <c r="L302" s="689" t="str">
        <f t="shared" si="2"/>
        <v/>
      </c>
      <c r="M302" s="689" t="str">
        <f t="shared" si="3"/>
        <v/>
      </c>
      <c r="N302" s="688"/>
      <c r="O302" s="688"/>
      <c r="P302" s="688"/>
      <c r="Q302" s="688"/>
      <c r="R302" s="687"/>
      <c r="S302" s="687"/>
      <c r="T302" s="687"/>
      <c r="U302" s="687"/>
      <c r="V302" s="687"/>
      <c r="W302" s="687"/>
      <c r="X302" s="687"/>
      <c r="Y302" s="687"/>
      <c r="Z302" s="687"/>
      <c r="AA302" s="687"/>
      <c r="AB302" s="687"/>
    </row>
    <row r="303" spans="1:28" s="693" customFormat="1" ht="15" x14ac:dyDescent="0.25">
      <c r="A303" s="605">
        <v>273</v>
      </c>
      <c r="B303" s="696" t="s">
        <v>1787</v>
      </c>
      <c r="C303" s="695"/>
      <c r="D303" s="695"/>
      <c r="E303" s="695"/>
      <c r="F303" s="695"/>
      <c r="G303" s="695"/>
      <c r="H303" s="1071"/>
      <c r="I303" s="690"/>
      <c r="J303" s="689" t="str">
        <f t="shared" si="0"/>
        <v/>
      </c>
      <c r="K303" s="689" t="str">
        <f t="shared" si="1"/>
        <v/>
      </c>
      <c r="L303" s="689" t="str">
        <f t="shared" si="2"/>
        <v/>
      </c>
      <c r="M303" s="689" t="str">
        <f t="shared" si="3"/>
        <v/>
      </c>
      <c r="N303" s="688"/>
      <c r="O303" s="688"/>
      <c r="P303" s="688"/>
      <c r="Q303" s="688"/>
      <c r="R303" s="687"/>
      <c r="S303" s="687"/>
      <c r="T303" s="687"/>
      <c r="U303" s="687"/>
      <c r="V303" s="687"/>
      <c r="W303" s="687"/>
      <c r="X303" s="687"/>
      <c r="Y303" s="687"/>
      <c r="Z303" s="687"/>
      <c r="AA303" s="687"/>
      <c r="AB303" s="687"/>
    </row>
    <row r="304" spans="1:28" s="693" customFormat="1" ht="15" x14ac:dyDescent="0.25">
      <c r="A304" s="605">
        <v>274</v>
      </c>
      <c r="B304" s="696" t="s">
        <v>1808</v>
      </c>
      <c r="C304" s="695"/>
      <c r="D304" s="695"/>
      <c r="E304" s="695"/>
      <c r="F304" s="695"/>
      <c r="G304" s="695"/>
      <c r="H304" s="1071"/>
      <c r="I304" s="690"/>
      <c r="J304" s="689" t="str">
        <f t="shared" si="0"/>
        <v/>
      </c>
      <c r="K304" s="689" t="str">
        <f t="shared" si="1"/>
        <v/>
      </c>
      <c r="L304" s="689" t="str">
        <f t="shared" si="2"/>
        <v/>
      </c>
      <c r="M304" s="689" t="str">
        <f t="shared" si="3"/>
        <v/>
      </c>
      <c r="N304" s="688"/>
      <c r="O304" s="688"/>
      <c r="P304" s="688"/>
      <c r="Q304" s="688"/>
      <c r="R304" s="687"/>
      <c r="S304" s="687"/>
      <c r="T304" s="687"/>
      <c r="U304" s="687"/>
      <c r="V304" s="687"/>
      <c r="W304" s="687"/>
      <c r="X304" s="687"/>
      <c r="Y304" s="687"/>
      <c r="Z304" s="687"/>
      <c r="AA304" s="687"/>
      <c r="AB304" s="687"/>
    </row>
    <row r="305" spans="1:28" s="693" customFormat="1" ht="15" x14ac:dyDescent="0.25">
      <c r="A305" s="605">
        <v>275</v>
      </c>
      <c r="B305" s="696" t="s">
        <v>1807</v>
      </c>
      <c r="C305" s="695"/>
      <c r="D305" s="695"/>
      <c r="E305" s="695"/>
      <c r="F305" s="695"/>
      <c r="G305" s="695"/>
      <c r="H305" s="1071"/>
      <c r="I305" s="690"/>
      <c r="J305" s="689" t="str">
        <f t="shared" si="0"/>
        <v/>
      </c>
      <c r="K305" s="689" t="str">
        <f t="shared" si="1"/>
        <v/>
      </c>
      <c r="L305" s="689" t="str">
        <f t="shared" si="2"/>
        <v/>
      </c>
      <c r="M305" s="689" t="str">
        <f t="shared" si="3"/>
        <v/>
      </c>
      <c r="N305" s="688"/>
      <c r="O305" s="688"/>
      <c r="P305" s="688"/>
      <c r="Q305" s="688"/>
      <c r="R305" s="687"/>
      <c r="S305" s="687"/>
      <c r="T305" s="687"/>
      <c r="U305" s="687"/>
      <c r="V305" s="687"/>
      <c r="W305" s="687"/>
      <c r="X305" s="687"/>
      <c r="Y305" s="687"/>
      <c r="Z305" s="687"/>
      <c r="AA305" s="687"/>
      <c r="AB305" s="687"/>
    </row>
    <row r="306" spans="1:28" s="693" customFormat="1" ht="30" x14ac:dyDescent="0.25">
      <c r="A306" s="605">
        <v>276</v>
      </c>
      <c r="B306" s="696" t="s">
        <v>1806</v>
      </c>
      <c r="C306" s="695"/>
      <c r="D306" s="695"/>
      <c r="E306" s="695"/>
      <c r="F306" s="695"/>
      <c r="G306" s="695"/>
      <c r="H306" s="1071"/>
      <c r="I306" s="690"/>
      <c r="J306" s="689" t="str">
        <f t="shared" si="0"/>
        <v/>
      </c>
      <c r="K306" s="689" t="str">
        <f t="shared" si="1"/>
        <v/>
      </c>
      <c r="L306" s="689" t="str">
        <f t="shared" si="2"/>
        <v/>
      </c>
      <c r="M306" s="689" t="str">
        <f t="shared" si="3"/>
        <v/>
      </c>
      <c r="N306" s="688"/>
      <c r="O306" s="688"/>
      <c r="P306" s="688"/>
      <c r="Q306" s="688"/>
      <c r="R306" s="687"/>
      <c r="S306" s="687"/>
      <c r="T306" s="687"/>
      <c r="U306" s="687"/>
      <c r="V306" s="687"/>
      <c r="W306" s="687"/>
      <c r="X306" s="687"/>
      <c r="Y306" s="687"/>
      <c r="Z306" s="687"/>
      <c r="AA306" s="687"/>
      <c r="AB306" s="687"/>
    </row>
    <row r="307" spans="1:28" s="693" customFormat="1" ht="15" x14ac:dyDescent="0.25">
      <c r="A307" s="605">
        <v>277</v>
      </c>
      <c r="B307" s="700" t="s">
        <v>1805</v>
      </c>
      <c r="C307" s="695"/>
      <c r="D307" s="695"/>
      <c r="E307" s="695"/>
      <c r="F307" s="695"/>
      <c r="G307" s="695"/>
      <c r="H307" s="1071"/>
      <c r="I307" s="690"/>
      <c r="J307" s="689" t="str">
        <f t="shared" si="0"/>
        <v/>
      </c>
      <c r="K307" s="689" t="str">
        <f t="shared" si="1"/>
        <v/>
      </c>
      <c r="L307" s="689" t="str">
        <f t="shared" si="2"/>
        <v/>
      </c>
      <c r="M307" s="689" t="str">
        <f t="shared" si="3"/>
        <v/>
      </c>
      <c r="N307" s="688"/>
      <c r="O307" s="688"/>
      <c r="P307" s="688"/>
      <c r="Q307" s="688"/>
      <c r="R307" s="687"/>
      <c r="S307" s="687"/>
      <c r="T307" s="687"/>
      <c r="U307" s="687"/>
      <c r="V307" s="687"/>
      <c r="W307" s="687"/>
      <c r="X307" s="687"/>
      <c r="Y307" s="687"/>
      <c r="Z307" s="687"/>
      <c r="AA307" s="687"/>
      <c r="AB307" s="687"/>
    </row>
    <row r="308" spans="1:28" s="687" customFormat="1" ht="15" x14ac:dyDescent="0.25">
      <c r="A308" s="605">
        <v>278</v>
      </c>
      <c r="B308" s="981" t="s">
        <v>1804</v>
      </c>
      <c r="C308" s="982"/>
      <c r="D308" s="982"/>
      <c r="E308" s="982"/>
      <c r="F308" s="982"/>
      <c r="G308" s="982"/>
      <c r="H308" s="1072"/>
      <c r="I308" s="690"/>
      <c r="J308" s="689"/>
      <c r="K308" s="689"/>
      <c r="L308" s="689"/>
      <c r="M308" s="689"/>
      <c r="N308" s="688"/>
      <c r="O308" s="688"/>
      <c r="P308" s="688"/>
      <c r="Q308" s="688"/>
    </row>
    <row r="309" spans="1:28" s="693" customFormat="1" ht="15" x14ac:dyDescent="0.25">
      <c r="A309" s="605">
        <v>279</v>
      </c>
      <c r="B309" s="700" t="s">
        <v>1803</v>
      </c>
      <c r="C309" s="692"/>
      <c r="D309" s="692"/>
      <c r="E309" s="692"/>
      <c r="F309" s="692"/>
      <c r="G309" s="692"/>
      <c r="H309" s="1071"/>
      <c r="I309" s="690"/>
      <c r="J309" s="689"/>
      <c r="K309" s="689"/>
      <c r="L309" s="689"/>
      <c r="M309" s="689"/>
      <c r="N309" s="688"/>
      <c r="O309" s="688"/>
      <c r="P309" s="688"/>
      <c r="Q309" s="688"/>
      <c r="R309" s="687"/>
      <c r="S309" s="687"/>
      <c r="T309" s="687"/>
      <c r="U309" s="687"/>
      <c r="V309" s="687"/>
      <c r="W309" s="687"/>
      <c r="X309" s="687"/>
      <c r="Y309" s="687"/>
      <c r="Z309" s="687"/>
      <c r="AA309" s="687"/>
      <c r="AB309" s="687"/>
    </row>
    <row r="310" spans="1:28" s="693" customFormat="1" ht="15" x14ac:dyDescent="0.25">
      <c r="A310" s="605">
        <v>280</v>
      </c>
      <c r="B310" s="696" t="s">
        <v>299</v>
      </c>
      <c r="C310" s="695"/>
      <c r="D310" s="695"/>
      <c r="E310" s="695"/>
      <c r="F310" s="695"/>
      <c r="G310" s="695"/>
      <c r="H310" s="1071"/>
      <c r="I310" s="690"/>
      <c r="J310" s="689"/>
      <c r="K310" s="689"/>
      <c r="L310" s="689"/>
      <c r="M310" s="689"/>
      <c r="N310" s="688"/>
      <c r="O310" s="688"/>
      <c r="P310" s="688"/>
      <c r="Q310" s="688"/>
      <c r="R310" s="687"/>
      <c r="S310" s="687"/>
      <c r="T310" s="687"/>
      <c r="U310" s="687"/>
      <c r="V310" s="687"/>
      <c r="W310" s="687"/>
      <c r="X310" s="687"/>
      <c r="Y310" s="687"/>
      <c r="Z310" s="687"/>
      <c r="AA310" s="687"/>
      <c r="AB310" s="687"/>
    </row>
    <row r="311" spans="1:28" s="693" customFormat="1" ht="15" x14ac:dyDescent="0.25">
      <c r="A311" s="605">
        <v>281</v>
      </c>
      <c r="B311" s="696" t="s">
        <v>537</v>
      </c>
      <c r="C311" s="695"/>
      <c r="D311" s="695"/>
      <c r="E311" s="695"/>
      <c r="F311" s="695"/>
      <c r="G311" s="695"/>
      <c r="H311" s="1071"/>
      <c r="I311" s="690"/>
      <c r="J311" s="689"/>
      <c r="K311" s="689"/>
      <c r="L311" s="689"/>
      <c r="M311" s="689"/>
      <c r="N311" s="688"/>
      <c r="O311" s="688"/>
      <c r="P311" s="688"/>
      <c r="Q311" s="688"/>
      <c r="R311" s="687"/>
      <c r="S311" s="687"/>
      <c r="T311" s="687"/>
      <c r="U311" s="687"/>
      <c r="V311" s="687"/>
      <c r="W311" s="687"/>
      <c r="X311" s="687"/>
      <c r="Y311" s="687"/>
      <c r="Z311" s="687"/>
      <c r="AA311" s="687"/>
      <c r="AB311" s="687"/>
    </row>
    <row r="312" spans="1:28" s="687" customFormat="1" ht="15" x14ac:dyDescent="0.25">
      <c r="A312" s="605">
        <v>282</v>
      </c>
      <c r="B312" s="983" t="s">
        <v>1802</v>
      </c>
      <c r="C312" s="982"/>
      <c r="D312" s="982"/>
      <c r="E312" s="982"/>
      <c r="F312" s="982"/>
      <c r="G312" s="982"/>
      <c r="H312" s="1072"/>
      <c r="I312" s="690"/>
      <c r="J312" s="689"/>
      <c r="K312" s="689"/>
      <c r="L312" s="689"/>
      <c r="M312" s="689"/>
      <c r="N312" s="688"/>
      <c r="O312" s="688"/>
      <c r="P312" s="688"/>
      <c r="Q312" s="688"/>
    </row>
    <row r="313" spans="1:28" s="687" customFormat="1" ht="15" x14ac:dyDescent="0.25">
      <c r="A313" s="605">
        <v>283</v>
      </c>
      <c r="B313" s="983" t="s">
        <v>1801</v>
      </c>
      <c r="C313" s="982"/>
      <c r="D313" s="982"/>
      <c r="E313" s="982"/>
      <c r="F313" s="982"/>
      <c r="G313" s="982"/>
      <c r="H313" s="1072"/>
      <c r="I313" s="690"/>
      <c r="J313" s="689"/>
      <c r="K313" s="689"/>
      <c r="L313" s="689"/>
      <c r="M313" s="689"/>
      <c r="N313" s="688"/>
      <c r="O313" s="688"/>
      <c r="P313" s="688"/>
      <c r="Q313" s="688"/>
    </row>
    <row r="314" spans="1:28" s="697" customFormat="1" ht="15" x14ac:dyDescent="0.25">
      <c r="A314" s="605">
        <v>284</v>
      </c>
      <c r="B314" s="702" t="s">
        <v>1800</v>
      </c>
      <c r="C314" s="692"/>
      <c r="D314" s="692"/>
      <c r="E314" s="692"/>
      <c r="F314" s="692"/>
      <c r="G314" s="692"/>
      <c r="H314" s="1070"/>
      <c r="I314" s="690"/>
      <c r="J314" s="689" t="str">
        <f t="shared" ref="J314:J329" si="4">IF(C314="x","C","")</f>
        <v/>
      </c>
      <c r="K314" s="689" t="str">
        <f t="shared" ref="K314:K329" si="5">IF(D314="x","N","")</f>
        <v/>
      </c>
      <c r="L314" s="689" t="str">
        <f t="shared" ref="L314:L329" si="6">IF(E314="x","A","")</f>
        <v/>
      </c>
      <c r="M314" s="689" t="str">
        <f t="shared" ref="M314:M329" si="7">IF(F314="x","M","")</f>
        <v/>
      </c>
      <c r="N314" s="688"/>
      <c r="O314" s="688"/>
      <c r="P314" s="688"/>
      <c r="Q314" s="688"/>
      <c r="R314" s="687"/>
      <c r="S314" s="687"/>
      <c r="T314" s="687"/>
      <c r="U314" s="687"/>
      <c r="V314" s="687"/>
      <c r="W314" s="687"/>
      <c r="X314" s="687"/>
      <c r="Y314" s="687"/>
      <c r="Z314" s="687"/>
      <c r="AA314" s="687"/>
      <c r="AB314" s="687"/>
    </row>
    <row r="315" spans="1:28" s="697" customFormat="1" ht="15" x14ac:dyDescent="0.25">
      <c r="A315" s="605">
        <v>285</v>
      </c>
      <c r="B315" s="699" t="s">
        <v>1799</v>
      </c>
      <c r="C315" s="695"/>
      <c r="D315" s="695"/>
      <c r="E315" s="695"/>
      <c r="F315" s="695"/>
      <c r="G315" s="695"/>
      <c r="H315" s="1070"/>
      <c r="I315" s="690"/>
      <c r="J315" s="689" t="str">
        <f t="shared" si="4"/>
        <v/>
      </c>
      <c r="K315" s="689" t="str">
        <f t="shared" si="5"/>
        <v/>
      </c>
      <c r="L315" s="689" t="str">
        <f t="shared" si="6"/>
        <v/>
      </c>
      <c r="M315" s="689" t="str">
        <f t="shared" si="7"/>
        <v/>
      </c>
      <c r="N315" s="688"/>
      <c r="O315" s="688"/>
      <c r="P315" s="688"/>
      <c r="Q315" s="688"/>
      <c r="R315" s="687"/>
      <c r="S315" s="687"/>
      <c r="T315" s="687"/>
      <c r="U315" s="687"/>
      <c r="V315" s="687"/>
      <c r="W315" s="687"/>
      <c r="X315" s="687"/>
      <c r="Y315" s="687"/>
      <c r="Z315" s="687"/>
      <c r="AA315" s="687"/>
      <c r="AB315" s="687"/>
    </row>
    <row r="316" spans="1:28" s="693" customFormat="1" ht="15" x14ac:dyDescent="0.25">
      <c r="A316" s="605">
        <v>286</v>
      </c>
      <c r="B316" s="696" t="s">
        <v>1798</v>
      </c>
      <c r="C316" s="695"/>
      <c r="D316" s="695"/>
      <c r="E316" s="695"/>
      <c r="F316" s="695"/>
      <c r="G316" s="695"/>
      <c r="H316" s="1071"/>
      <c r="I316" s="690"/>
      <c r="J316" s="689" t="str">
        <f t="shared" si="4"/>
        <v/>
      </c>
      <c r="K316" s="689" t="str">
        <f t="shared" si="5"/>
        <v/>
      </c>
      <c r="L316" s="689" t="str">
        <f t="shared" si="6"/>
        <v/>
      </c>
      <c r="M316" s="689" t="str">
        <f t="shared" si="7"/>
        <v/>
      </c>
      <c r="N316" s="688"/>
      <c r="O316" s="688"/>
      <c r="P316" s="688"/>
      <c r="Q316" s="688"/>
      <c r="R316" s="687"/>
      <c r="S316" s="687"/>
      <c r="T316" s="687"/>
      <c r="U316" s="687"/>
      <c r="V316" s="687"/>
      <c r="W316" s="687"/>
      <c r="X316" s="687"/>
      <c r="Y316" s="687"/>
      <c r="Z316" s="687"/>
      <c r="AA316" s="687"/>
      <c r="AB316" s="687"/>
    </row>
    <row r="317" spans="1:28" s="697" customFormat="1" ht="15" x14ac:dyDescent="0.25">
      <c r="A317" s="605">
        <v>287</v>
      </c>
      <c r="B317" s="699" t="s">
        <v>1797</v>
      </c>
      <c r="C317" s="698"/>
      <c r="D317" s="698"/>
      <c r="E317" s="698"/>
      <c r="F317" s="698"/>
      <c r="G317" s="698"/>
      <c r="H317" s="1070"/>
      <c r="I317" s="690"/>
      <c r="J317" s="689" t="str">
        <f t="shared" si="4"/>
        <v/>
      </c>
      <c r="K317" s="689" t="str">
        <f t="shared" si="5"/>
        <v/>
      </c>
      <c r="L317" s="689" t="str">
        <f t="shared" si="6"/>
        <v/>
      </c>
      <c r="M317" s="689" t="str">
        <f t="shared" si="7"/>
        <v/>
      </c>
      <c r="N317" s="688"/>
      <c r="O317" s="688"/>
      <c r="P317" s="688"/>
      <c r="Q317" s="688"/>
      <c r="R317" s="687"/>
      <c r="S317" s="687"/>
      <c r="T317" s="687"/>
      <c r="U317" s="687"/>
      <c r="V317" s="687"/>
      <c r="W317" s="687"/>
      <c r="X317" s="687"/>
      <c r="Y317" s="687"/>
      <c r="Z317" s="687"/>
      <c r="AA317" s="687"/>
      <c r="AB317" s="687"/>
    </row>
    <row r="318" spans="1:28" s="697" customFormat="1" ht="15" x14ac:dyDescent="0.25">
      <c r="A318" s="605">
        <v>288</v>
      </c>
      <c r="B318" s="699" t="s">
        <v>1796</v>
      </c>
      <c r="C318" s="698"/>
      <c r="D318" s="698"/>
      <c r="E318" s="698"/>
      <c r="F318" s="698"/>
      <c r="G318" s="698"/>
      <c r="H318" s="1070"/>
      <c r="I318" s="690"/>
      <c r="J318" s="689" t="str">
        <f t="shared" si="4"/>
        <v/>
      </c>
      <c r="K318" s="689" t="str">
        <f t="shared" si="5"/>
        <v/>
      </c>
      <c r="L318" s="689" t="str">
        <f t="shared" si="6"/>
        <v/>
      </c>
      <c r="M318" s="689" t="str">
        <f t="shared" si="7"/>
        <v/>
      </c>
      <c r="N318" s="688"/>
      <c r="O318" s="688"/>
      <c r="P318" s="688"/>
      <c r="Q318" s="688"/>
      <c r="R318" s="687"/>
      <c r="S318" s="687"/>
      <c r="T318" s="687"/>
      <c r="U318" s="687"/>
      <c r="V318" s="687"/>
      <c r="W318" s="687"/>
      <c r="X318" s="687"/>
      <c r="Y318" s="687"/>
      <c r="Z318" s="687"/>
      <c r="AA318" s="687"/>
      <c r="AB318" s="687"/>
    </row>
    <row r="319" spans="1:28" s="693" customFormat="1" ht="15" x14ac:dyDescent="0.25">
      <c r="A319" s="605">
        <v>289</v>
      </c>
      <c r="B319" s="696" t="s">
        <v>1795</v>
      </c>
      <c r="C319" s="695"/>
      <c r="D319" s="695"/>
      <c r="E319" s="695"/>
      <c r="F319" s="695"/>
      <c r="G319" s="695"/>
      <c r="H319" s="1071"/>
      <c r="I319" s="690"/>
      <c r="J319" s="689" t="str">
        <f t="shared" si="4"/>
        <v/>
      </c>
      <c r="K319" s="689" t="str">
        <f t="shared" si="5"/>
        <v/>
      </c>
      <c r="L319" s="689" t="str">
        <f t="shared" si="6"/>
        <v/>
      </c>
      <c r="M319" s="689" t="str">
        <f t="shared" si="7"/>
        <v/>
      </c>
      <c r="N319" s="688"/>
      <c r="O319" s="688"/>
      <c r="P319" s="688"/>
      <c r="Q319" s="688"/>
      <c r="R319" s="687"/>
      <c r="S319" s="687"/>
      <c r="T319" s="687"/>
      <c r="U319" s="687"/>
      <c r="V319" s="687"/>
      <c r="W319" s="687"/>
      <c r="X319" s="687"/>
      <c r="Y319" s="687"/>
      <c r="Z319" s="687"/>
      <c r="AA319" s="687"/>
      <c r="AB319" s="687"/>
    </row>
    <row r="320" spans="1:28" s="697" customFormat="1" ht="15" x14ac:dyDescent="0.25">
      <c r="A320" s="605">
        <v>290</v>
      </c>
      <c r="B320" s="699" t="s">
        <v>1794</v>
      </c>
      <c r="C320" s="698"/>
      <c r="D320" s="698"/>
      <c r="E320" s="698"/>
      <c r="F320" s="698"/>
      <c r="G320" s="698"/>
      <c r="H320" s="1070"/>
      <c r="I320" s="690"/>
      <c r="J320" s="689" t="str">
        <f t="shared" si="4"/>
        <v/>
      </c>
      <c r="K320" s="689" t="str">
        <f t="shared" si="5"/>
        <v/>
      </c>
      <c r="L320" s="689" t="str">
        <f t="shared" si="6"/>
        <v/>
      </c>
      <c r="M320" s="689" t="str">
        <f t="shared" si="7"/>
        <v/>
      </c>
      <c r="N320" s="688"/>
      <c r="O320" s="688"/>
      <c r="P320" s="688"/>
      <c r="Q320" s="688"/>
      <c r="R320" s="687"/>
      <c r="S320" s="687"/>
      <c r="T320" s="687"/>
      <c r="U320" s="687"/>
      <c r="V320" s="687"/>
      <c r="W320" s="687"/>
      <c r="X320" s="687"/>
      <c r="Y320" s="687"/>
      <c r="Z320" s="687"/>
      <c r="AA320" s="687"/>
      <c r="AB320" s="687"/>
    </row>
    <row r="321" spans="1:28" s="697" customFormat="1" ht="15" x14ac:dyDescent="0.25">
      <c r="A321" s="605">
        <v>291</v>
      </c>
      <c r="B321" s="699" t="s">
        <v>1793</v>
      </c>
      <c r="C321" s="698"/>
      <c r="D321" s="698"/>
      <c r="E321" s="698"/>
      <c r="F321" s="698"/>
      <c r="G321" s="698"/>
      <c r="H321" s="1070"/>
      <c r="I321" s="690"/>
      <c r="J321" s="689" t="str">
        <f t="shared" si="4"/>
        <v/>
      </c>
      <c r="K321" s="689" t="str">
        <f t="shared" si="5"/>
        <v/>
      </c>
      <c r="L321" s="689" t="str">
        <f t="shared" si="6"/>
        <v/>
      </c>
      <c r="M321" s="689" t="str">
        <f t="shared" si="7"/>
        <v/>
      </c>
      <c r="N321" s="688"/>
      <c r="O321" s="688"/>
      <c r="P321" s="688"/>
      <c r="Q321" s="688"/>
      <c r="R321" s="687"/>
      <c r="S321" s="687"/>
      <c r="T321" s="687"/>
      <c r="U321" s="687"/>
      <c r="V321" s="687"/>
      <c r="W321" s="687"/>
      <c r="X321" s="687"/>
      <c r="Y321" s="687"/>
      <c r="Z321" s="687"/>
      <c r="AA321" s="687"/>
      <c r="AB321" s="687"/>
    </row>
    <row r="322" spans="1:28" s="697" customFormat="1" ht="15" x14ac:dyDescent="0.25">
      <c r="A322" s="605">
        <v>292</v>
      </c>
      <c r="B322" s="702" t="s">
        <v>1792</v>
      </c>
      <c r="C322" s="692"/>
      <c r="D322" s="692"/>
      <c r="E322" s="692"/>
      <c r="F322" s="692"/>
      <c r="G322" s="692"/>
      <c r="H322" s="1070"/>
      <c r="I322" s="690"/>
      <c r="J322" s="689" t="str">
        <f t="shared" si="4"/>
        <v/>
      </c>
      <c r="K322" s="689" t="str">
        <f t="shared" si="5"/>
        <v/>
      </c>
      <c r="L322" s="689" t="str">
        <f t="shared" si="6"/>
        <v/>
      </c>
      <c r="M322" s="689" t="str">
        <f t="shared" si="7"/>
        <v/>
      </c>
      <c r="N322" s="688"/>
      <c r="O322" s="688"/>
      <c r="P322" s="688"/>
      <c r="Q322" s="688"/>
      <c r="R322" s="687"/>
      <c r="S322" s="687"/>
      <c r="T322" s="687"/>
      <c r="U322" s="687"/>
      <c r="V322" s="687"/>
      <c r="W322" s="687"/>
      <c r="X322" s="687"/>
      <c r="Y322" s="687"/>
      <c r="Z322" s="687"/>
      <c r="AA322" s="687"/>
      <c r="AB322" s="687"/>
    </row>
    <row r="323" spans="1:28" s="693" customFormat="1" ht="15" x14ac:dyDescent="0.25">
      <c r="A323" s="605">
        <v>293</v>
      </c>
      <c r="B323" s="696" t="s">
        <v>1791</v>
      </c>
      <c r="C323" s="695"/>
      <c r="D323" s="695"/>
      <c r="E323" s="695"/>
      <c r="F323" s="695"/>
      <c r="G323" s="695"/>
      <c r="H323" s="1071"/>
      <c r="I323" s="690"/>
      <c r="J323" s="689" t="str">
        <f t="shared" si="4"/>
        <v/>
      </c>
      <c r="K323" s="689" t="str">
        <f t="shared" si="5"/>
        <v/>
      </c>
      <c r="L323" s="689" t="str">
        <f t="shared" si="6"/>
        <v/>
      </c>
      <c r="M323" s="689" t="str">
        <f t="shared" si="7"/>
        <v/>
      </c>
      <c r="N323" s="688"/>
      <c r="O323" s="688"/>
      <c r="P323" s="688"/>
      <c r="Q323" s="688"/>
      <c r="R323" s="687"/>
      <c r="S323" s="687"/>
      <c r="T323" s="687"/>
      <c r="U323" s="687"/>
      <c r="V323" s="687"/>
      <c r="W323" s="687"/>
      <c r="X323" s="687"/>
      <c r="Y323" s="687"/>
      <c r="Z323" s="687"/>
      <c r="AA323" s="687"/>
      <c r="AB323" s="687"/>
    </row>
    <row r="324" spans="1:28" s="693" customFormat="1" ht="15" x14ac:dyDescent="0.25">
      <c r="A324" s="605">
        <v>294</v>
      </c>
      <c r="B324" s="696" t="s">
        <v>995</v>
      </c>
      <c r="C324" s="695"/>
      <c r="D324" s="695"/>
      <c r="E324" s="695"/>
      <c r="F324" s="695"/>
      <c r="G324" s="695"/>
      <c r="H324" s="1071"/>
      <c r="I324" s="690"/>
      <c r="J324" s="689" t="str">
        <f t="shared" si="4"/>
        <v/>
      </c>
      <c r="K324" s="689" t="str">
        <f t="shared" si="5"/>
        <v/>
      </c>
      <c r="L324" s="689" t="str">
        <f t="shared" si="6"/>
        <v/>
      </c>
      <c r="M324" s="689" t="str">
        <f t="shared" si="7"/>
        <v/>
      </c>
      <c r="N324" s="688"/>
      <c r="O324" s="688"/>
      <c r="P324" s="688"/>
      <c r="Q324" s="688"/>
      <c r="R324" s="687"/>
      <c r="S324" s="687"/>
      <c r="T324" s="687"/>
      <c r="U324" s="687"/>
      <c r="V324" s="687"/>
      <c r="W324" s="687"/>
      <c r="X324" s="687"/>
      <c r="Y324" s="687"/>
      <c r="Z324" s="687"/>
      <c r="AA324" s="687"/>
      <c r="AB324" s="687"/>
    </row>
    <row r="325" spans="1:28" s="687" customFormat="1" ht="15" x14ac:dyDescent="0.25">
      <c r="A325" s="605">
        <v>295</v>
      </c>
      <c r="B325" s="983" t="s">
        <v>1790</v>
      </c>
      <c r="C325" s="982"/>
      <c r="D325" s="982"/>
      <c r="E325" s="982"/>
      <c r="F325" s="982"/>
      <c r="G325" s="982"/>
      <c r="H325" s="1072"/>
      <c r="I325" s="690"/>
      <c r="J325" s="689" t="str">
        <f t="shared" si="4"/>
        <v/>
      </c>
      <c r="K325" s="689" t="str">
        <f t="shared" si="5"/>
        <v/>
      </c>
      <c r="L325" s="689" t="str">
        <f t="shared" si="6"/>
        <v/>
      </c>
      <c r="M325" s="689" t="str">
        <f t="shared" si="7"/>
        <v/>
      </c>
      <c r="N325" s="688"/>
      <c r="O325" s="688"/>
      <c r="P325" s="688"/>
      <c r="Q325" s="688"/>
    </row>
    <row r="326" spans="1:28" s="687" customFormat="1" ht="15" x14ac:dyDescent="0.25">
      <c r="A326" s="605">
        <v>296</v>
      </c>
      <c r="B326" s="983" t="s">
        <v>1789</v>
      </c>
      <c r="C326" s="982"/>
      <c r="D326" s="982"/>
      <c r="E326" s="982"/>
      <c r="F326" s="982"/>
      <c r="G326" s="982"/>
      <c r="H326" s="1072"/>
      <c r="I326" s="690"/>
      <c r="J326" s="689" t="str">
        <f t="shared" si="4"/>
        <v/>
      </c>
      <c r="K326" s="689" t="str">
        <f t="shared" si="5"/>
        <v/>
      </c>
      <c r="L326" s="689" t="str">
        <f t="shared" si="6"/>
        <v/>
      </c>
      <c r="M326" s="689" t="str">
        <f t="shared" si="7"/>
        <v/>
      </c>
      <c r="N326" s="688"/>
      <c r="O326" s="688"/>
      <c r="P326" s="688"/>
      <c r="Q326" s="688"/>
    </row>
    <row r="327" spans="1:28" s="687" customFormat="1" ht="15" x14ac:dyDescent="0.25">
      <c r="A327" s="605">
        <v>297</v>
      </c>
      <c r="B327" s="983" t="s">
        <v>295</v>
      </c>
      <c r="C327" s="982"/>
      <c r="D327" s="982"/>
      <c r="E327" s="982"/>
      <c r="F327" s="982"/>
      <c r="G327" s="982"/>
      <c r="H327" s="1072"/>
      <c r="I327" s="690"/>
      <c r="J327" s="689" t="str">
        <f t="shared" si="4"/>
        <v/>
      </c>
      <c r="K327" s="689" t="str">
        <f t="shared" si="5"/>
        <v/>
      </c>
      <c r="L327" s="689" t="str">
        <f t="shared" si="6"/>
        <v/>
      </c>
      <c r="M327" s="689" t="str">
        <f t="shared" si="7"/>
        <v/>
      </c>
      <c r="N327" s="688"/>
      <c r="O327" s="688"/>
      <c r="P327" s="688"/>
      <c r="Q327" s="688"/>
    </row>
    <row r="328" spans="1:28" s="687" customFormat="1" ht="15" x14ac:dyDescent="0.25">
      <c r="A328" s="605">
        <v>298</v>
      </c>
      <c r="B328" s="983" t="s">
        <v>1788</v>
      </c>
      <c r="C328" s="982"/>
      <c r="D328" s="982"/>
      <c r="E328" s="982"/>
      <c r="F328" s="982"/>
      <c r="G328" s="982"/>
      <c r="H328" s="1072"/>
      <c r="I328" s="690"/>
      <c r="J328" s="689" t="str">
        <f t="shared" si="4"/>
        <v/>
      </c>
      <c r="K328" s="689" t="str">
        <f t="shared" si="5"/>
        <v/>
      </c>
      <c r="L328" s="689" t="str">
        <f t="shared" si="6"/>
        <v/>
      </c>
      <c r="M328" s="689" t="str">
        <f t="shared" si="7"/>
        <v/>
      </c>
      <c r="N328" s="688"/>
      <c r="O328" s="688"/>
      <c r="P328" s="688"/>
      <c r="Q328" s="688"/>
    </row>
    <row r="329" spans="1:28" s="687" customFormat="1" ht="15" x14ac:dyDescent="0.25">
      <c r="A329" s="605">
        <v>299</v>
      </c>
      <c r="B329" s="983" t="s">
        <v>1787</v>
      </c>
      <c r="C329" s="982"/>
      <c r="D329" s="982"/>
      <c r="E329" s="982"/>
      <c r="F329" s="982"/>
      <c r="G329" s="982"/>
      <c r="H329" s="1072"/>
      <c r="I329" s="690"/>
      <c r="J329" s="689" t="str">
        <f t="shared" si="4"/>
        <v/>
      </c>
      <c r="K329" s="689" t="str">
        <f t="shared" si="5"/>
        <v/>
      </c>
      <c r="L329" s="689" t="str">
        <f t="shared" si="6"/>
        <v/>
      </c>
      <c r="M329" s="689" t="str">
        <f t="shared" si="7"/>
        <v/>
      </c>
      <c r="N329" s="688"/>
      <c r="O329" s="688"/>
      <c r="P329" s="688"/>
      <c r="Q329" s="688"/>
    </row>
    <row r="330" spans="1:28" s="687" customFormat="1" ht="15" x14ac:dyDescent="0.25">
      <c r="A330" s="605">
        <v>300</v>
      </c>
      <c r="B330" s="983" t="s">
        <v>1786</v>
      </c>
      <c r="C330" s="982"/>
      <c r="D330" s="982"/>
      <c r="E330" s="982"/>
      <c r="F330" s="982"/>
      <c r="G330" s="982"/>
      <c r="H330" s="1072"/>
      <c r="I330" s="690"/>
      <c r="J330" s="689"/>
      <c r="K330" s="689"/>
      <c r="L330" s="689"/>
      <c r="M330" s="689"/>
      <c r="N330" s="688"/>
      <c r="O330" s="688"/>
      <c r="P330" s="688"/>
      <c r="Q330" s="688"/>
    </row>
    <row r="331" spans="1:28" s="687" customFormat="1" ht="15" x14ac:dyDescent="0.25">
      <c r="A331" s="605">
        <v>301</v>
      </c>
      <c r="B331" s="983" t="s">
        <v>1785</v>
      </c>
      <c r="C331" s="982"/>
      <c r="D331" s="982"/>
      <c r="E331" s="982"/>
      <c r="F331" s="982"/>
      <c r="G331" s="982"/>
      <c r="H331" s="1072"/>
      <c r="I331" s="690"/>
      <c r="J331" s="689"/>
      <c r="K331" s="689"/>
      <c r="L331" s="689"/>
      <c r="M331" s="689"/>
      <c r="N331" s="688"/>
      <c r="O331" s="688"/>
      <c r="P331" s="688"/>
      <c r="Q331" s="688"/>
    </row>
    <row r="332" spans="1:28" s="693" customFormat="1" ht="15" x14ac:dyDescent="0.25">
      <c r="A332" s="605">
        <v>302</v>
      </c>
      <c r="B332" s="696" t="s">
        <v>1784</v>
      </c>
      <c r="C332" s="695"/>
      <c r="D332" s="695"/>
      <c r="E332" s="695"/>
      <c r="F332" s="695"/>
      <c r="G332" s="695"/>
      <c r="H332" s="1071"/>
      <c r="I332" s="690"/>
      <c r="J332" s="689" t="str">
        <f t="shared" ref="J332:J345" si="8">IF(C332="x","C","")</f>
        <v/>
      </c>
      <c r="K332" s="689" t="str">
        <f t="shared" ref="K332:K345" si="9">IF(D332="x","N","")</f>
        <v/>
      </c>
      <c r="L332" s="689" t="str">
        <f t="shared" ref="L332:L345" si="10">IF(E332="x","A","")</f>
        <v/>
      </c>
      <c r="M332" s="689" t="str">
        <f t="shared" ref="M332:M345" si="11">IF(F332="x","M","")</f>
        <v/>
      </c>
      <c r="N332" s="688"/>
      <c r="O332" s="688"/>
      <c r="P332" s="688"/>
      <c r="Q332" s="688"/>
      <c r="R332" s="687"/>
      <c r="S332" s="687"/>
      <c r="T332" s="687"/>
      <c r="U332" s="687"/>
      <c r="V332" s="687"/>
      <c r="W332" s="687"/>
      <c r="X332" s="687"/>
      <c r="Y332" s="687"/>
      <c r="Z332" s="687"/>
      <c r="AA332" s="687"/>
      <c r="AB332" s="687"/>
    </row>
    <row r="333" spans="1:28" s="693" customFormat="1" ht="15" x14ac:dyDescent="0.25">
      <c r="A333" s="605">
        <v>303</v>
      </c>
      <c r="B333" s="701" t="s">
        <v>1783</v>
      </c>
      <c r="C333" s="695"/>
      <c r="D333" s="695"/>
      <c r="E333" s="695"/>
      <c r="F333" s="695"/>
      <c r="G333" s="695"/>
      <c r="H333" s="1071"/>
      <c r="I333" s="690"/>
      <c r="J333" s="689" t="str">
        <f t="shared" si="8"/>
        <v/>
      </c>
      <c r="K333" s="689" t="str">
        <f t="shared" si="9"/>
        <v/>
      </c>
      <c r="L333" s="689" t="str">
        <f t="shared" si="10"/>
        <v/>
      </c>
      <c r="M333" s="689" t="str">
        <f t="shared" si="11"/>
        <v/>
      </c>
      <c r="N333" s="688"/>
      <c r="O333" s="688"/>
      <c r="P333" s="688"/>
      <c r="Q333" s="688"/>
      <c r="R333" s="687"/>
      <c r="S333" s="687"/>
      <c r="T333" s="687"/>
      <c r="U333" s="687"/>
      <c r="V333" s="687"/>
      <c r="W333" s="687"/>
      <c r="X333" s="687"/>
      <c r="Y333" s="687"/>
      <c r="Z333" s="687"/>
      <c r="AA333" s="687"/>
      <c r="AB333" s="687"/>
    </row>
    <row r="334" spans="1:28" s="693" customFormat="1" ht="15" x14ac:dyDescent="0.25">
      <c r="A334" s="605">
        <v>304</v>
      </c>
      <c r="B334" s="701" t="s">
        <v>1782</v>
      </c>
      <c r="C334" s="695"/>
      <c r="D334" s="695"/>
      <c r="E334" s="695"/>
      <c r="F334" s="695"/>
      <c r="G334" s="695"/>
      <c r="H334" s="1071"/>
      <c r="I334" s="690"/>
      <c r="J334" s="689" t="str">
        <f t="shared" si="8"/>
        <v/>
      </c>
      <c r="K334" s="689" t="str">
        <f t="shared" si="9"/>
        <v/>
      </c>
      <c r="L334" s="689" t="str">
        <f t="shared" si="10"/>
        <v/>
      </c>
      <c r="M334" s="689" t="str">
        <f t="shared" si="11"/>
        <v/>
      </c>
      <c r="N334" s="688"/>
      <c r="O334" s="688"/>
      <c r="P334" s="688"/>
      <c r="Q334" s="688"/>
      <c r="R334" s="687"/>
      <c r="S334" s="687"/>
      <c r="T334" s="687"/>
      <c r="U334" s="687"/>
      <c r="V334" s="687"/>
      <c r="W334" s="687"/>
      <c r="X334" s="687"/>
      <c r="Y334" s="687"/>
      <c r="Z334" s="687"/>
      <c r="AA334" s="687"/>
      <c r="AB334" s="687"/>
    </row>
    <row r="335" spans="1:28" s="693" customFormat="1" ht="15" x14ac:dyDescent="0.25">
      <c r="A335" s="605">
        <v>305</v>
      </c>
      <c r="B335" s="701" t="s">
        <v>1781</v>
      </c>
      <c r="C335" s="695"/>
      <c r="D335" s="695"/>
      <c r="E335" s="695"/>
      <c r="F335" s="695"/>
      <c r="G335" s="695"/>
      <c r="H335" s="1071"/>
      <c r="I335" s="690"/>
      <c r="J335" s="689" t="str">
        <f t="shared" si="8"/>
        <v/>
      </c>
      <c r="K335" s="689" t="str">
        <f t="shared" si="9"/>
        <v/>
      </c>
      <c r="L335" s="689" t="str">
        <f t="shared" si="10"/>
        <v/>
      </c>
      <c r="M335" s="689" t="str">
        <f t="shared" si="11"/>
        <v/>
      </c>
      <c r="N335" s="688"/>
      <c r="O335" s="688"/>
      <c r="P335" s="688"/>
      <c r="Q335" s="688"/>
      <c r="R335" s="687"/>
      <c r="S335" s="687"/>
      <c r="T335" s="687"/>
      <c r="U335" s="687"/>
      <c r="V335" s="687"/>
      <c r="W335" s="687"/>
      <c r="X335" s="687"/>
      <c r="Y335" s="687"/>
      <c r="Z335" s="687"/>
      <c r="AA335" s="687"/>
      <c r="AB335" s="687"/>
    </row>
    <row r="336" spans="1:28" s="693" customFormat="1" ht="15" x14ac:dyDescent="0.25">
      <c r="A336" s="605">
        <v>306</v>
      </c>
      <c r="B336" s="700" t="s">
        <v>1780</v>
      </c>
      <c r="C336" s="692"/>
      <c r="D336" s="692"/>
      <c r="E336" s="692"/>
      <c r="F336" s="692"/>
      <c r="G336" s="692"/>
      <c r="H336" s="1071"/>
      <c r="I336" s="690"/>
      <c r="J336" s="689" t="str">
        <f t="shared" si="8"/>
        <v/>
      </c>
      <c r="K336" s="689" t="str">
        <f t="shared" si="9"/>
        <v/>
      </c>
      <c r="L336" s="689" t="str">
        <f t="shared" si="10"/>
        <v/>
      </c>
      <c r="M336" s="689" t="str">
        <f t="shared" si="11"/>
        <v/>
      </c>
      <c r="N336" s="688"/>
      <c r="O336" s="688"/>
      <c r="P336" s="688"/>
      <c r="Q336" s="688"/>
      <c r="R336" s="687"/>
      <c r="S336" s="687"/>
      <c r="T336" s="687"/>
      <c r="U336" s="687"/>
      <c r="V336" s="687"/>
      <c r="W336" s="687"/>
      <c r="X336" s="687"/>
      <c r="Y336" s="687"/>
      <c r="Z336" s="687"/>
      <c r="AA336" s="687"/>
      <c r="AB336" s="687"/>
    </row>
    <row r="337" spans="1:31" s="697" customFormat="1" ht="15" x14ac:dyDescent="0.25">
      <c r="A337" s="605">
        <v>307</v>
      </c>
      <c r="B337" s="699" t="s">
        <v>1779</v>
      </c>
      <c r="C337" s="698"/>
      <c r="D337" s="698"/>
      <c r="E337" s="698"/>
      <c r="F337" s="698"/>
      <c r="G337" s="698"/>
      <c r="H337" s="1070"/>
      <c r="I337" s="690"/>
      <c r="J337" s="689" t="str">
        <f t="shared" si="8"/>
        <v/>
      </c>
      <c r="K337" s="689" t="str">
        <f t="shared" si="9"/>
        <v/>
      </c>
      <c r="L337" s="689" t="str">
        <f t="shared" si="10"/>
        <v/>
      </c>
      <c r="M337" s="689" t="str">
        <f t="shared" si="11"/>
        <v/>
      </c>
      <c r="N337" s="688"/>
      <c r="O337" s="688"/>
      <c r="P337" s="688"/>
      <c r="Q337" s="688"/>
      <c r="R337" s="687"/>
      <c r="S337" s="687"/>
      <c r="T337" s="687"/>
      <c r="U337" s="687"/>
      <c r="V337" s="687"/>
      <c r="W337" s="687"/>
      <c r="X337" s="687"/>
      <c r="Y337" s="687"/>
      <c r="Z337" s="687"/>
      <c r="AA337" s="687"/>
      <c r="AB337" s="687"/>
    </row>
    <row r="338" spans="1:31" s="697" customFormat="1" ht="15" x14ac:dyDescent="0.25">
      <c r="A338" s="605">
        <v>308</v>
      </c>
      <c r="B338" s="699" t="s">
        <v>1778</v>
      </c>
      <c r="C338" s="698"/>
      <c r="D338" s="698"/>
      <c r="E338" s="698"/>
      <c r="F338" s="698"/>
      <c r="G338" s="698"/>
      <c r="H338" s="1070"/>
      <c r="I338" s="690"/>
      <c r="J338" s="689" t="str">
        <f t="shared" si="8"/>
        <v/>
      </c>
      <c r="K338" s="689" t="str">
        <f t="shared" si="9"/>
        <v/>
      </c>
      <c r="L338" s="689" t="str">
        <f t="shared" si="10"/>
        <v/>
      </c>
      <c r="M338" s="689" t="str">
        <f t="shared" si="11"/>
        <v/>
      </c>
      <c r="N338" s="688"/>
      <c r="O338" s="688"/>
      <c r="P338" s="688"/>
      <c r="Q338" s="688"/>
      <c r="R338" s="687"/>
      <c r="S338" s="687"/>
      <c r="T338" s="687"/>
      <c r="U338" s="687"/>
      <c r="V338" s="687"/>
      <c r="W338" s="687"/>
      <c r="X338" s="687"/>
      <c r="Y338" s="687"/>
      <c r="Z338" s="687"/>
      <c r="AA338" s="687"/>
      <c r="AB338" s="687"/>
    </row>
    <row r="339" spans="1:31" s="697" customFormat="1" ht="15" x14ac:dyDescent="0.25">
      <c r="A339" s="605">
        <v>309</v>
      </c>
      <c r="B339" s="696" t="s">
        <v>1777</v>
      </c>
      <c r="C339" s="698"/>
      <c r="D339" s="698"/>
      <c r="E339" s="698"/>
      <c r="F339" s="698"/>
      <c r="G339" s="698"/>
      <c r="H339" s="1070"/>
      <c r="I339" s="690"/>
      <c r="J339" s="689" t="str">
        <f t="shared" si="8"/>
        <v/>
      </c>
      <c r="K339" s="689" t="str">
        <f t="shared" si="9"/>
        <v/>
      </c>
      <c r="L339" s="689" t="str">
        <f t="shared" si="10"/>
        <v/>
      </c>
      <c r="M339" s="689" t="str">
        <f t="shared" si="11"/>
        <v/>
      </c>
      <c r="N339" s="688"/>
      <c r="O339" s="688"/>
      <c r="P339" s="688"/>
      <c r="Q339" s="688"/>
      <c r="R339" s="687"/>
      <c r="S339" s="687"/>
      <c r="T339" s="687"/>
      <c r="U339" s="687"/>
      <c r="V339" s="687"/>
      <c r="W339" s="687"/>
      <c r="X339" s="687"/>
      <c r="Y339" s="687"/>
      <c r="Z339" s="687"/>
      <c r="AA339" s="687"/>
      <c r="AB339" s="687"/>
    </row>
    <row r="340" spans="1:31" s="697" customFormat="1" ht="15" x14ac:dyDescent="0.25">
      <c r="A340" s="605">
        <v>310</v>
      </c>
      <c r="B340" s="699" t="s">
        <v>1776</v>
      </c>
      <c r="C340" s="698"/>
      <c r="D340" s="698"/>
      <c r="E340" s="698"/>
      <c r="F340" s="698"/>
      <c r="G340" s="698"/>
      <c r="H340" s="1070"/>
      <c r="I340" s="690"/>
      <c r="J340" s="689" t="str">
        <f t="shared" si="8"/>
        <v/>
      </c>
      <c r="K340" s="689" t="str">
        <f t="shared" si="9"/>
        <v/>
      </c>
      <c r="L340" s="689" t="str">
        <f t="shared" si="10"/>
        <v/>
      </c>
      <c r="M340" s="689" t="str">
        <f t="shared" si="11"/>
        <v/>
      </c>
      <c r="N340" s="688"/>
      <c r="O340" s="688"/>
      <c r="P340" s="688"/>
      <c r="Q340" s="688"/>
      <c r="R340" s="687"/>
      <c r="S340" s="687"/>
      <c r="T340" s="687"/>
      <c r="U340" s="687"/>
      <c r="V340" s="687"/>
      <c r="W340" s="687"/>
      <c r="X340" s="687"/>
      <c r="Y340" s="687"/>
      <c r="Z340" s="687"/>
      <c r="AA340" s="687"/>
      <c r="AB340" s="687"/>
    </row>
    <row r="341" spans="1:31" s="697" customFormat="1" ht="15" x14ac:dyDescent="0.25">
      <c r="A341" s="605">
        <v>311</v>
      </c>
      <c r="B341" s="699" t="s">
        <v>1775</v>
      </c>
      <c r="C341" s="698"/>
      <c r="D341" s="698"/>
      <c r="E341" s="698"/>
      <c r="F341" s="698"/>
      <c r="G341" s="698"/>
      <c r="H341" s="1070"/>
      <c r="I341" s="690"/>
      <c r="J341" s="689" t="str">
        <f t="shared" si="8"/>
        <v/>
      </c>
      <c r="K341" s="689" t="str">
        <f t="shared" si="9"/>
        <v/>
      </c>
      <c r="L341" s="689" t="str">
        <f t="shared" si="10"/>
        <v/>
      </c>
      <c r="M341" s="689" t="str">
        <f t="shared" si="11"/>
        <v/>
      </c>
      <c r="N341" s="688"/>
      <c r="O341" s="688"/>
      <c r="P341" s="688"/>
      <c r="Q341" s="688"/>
      <c r="R341" s="687"/>
      <c r="S341" s="687"/>
      <c r="T341" s="687"/>
      <c r="U341" s="687"/>
      <c r="V341" s="687"/>
      <c r="W341" s="687"/>
      <c r="X341" s="687"/>
      <c r="Y341" s="687"/>
      <c r="Z341" s="687"/>
      <c r="AA341" s="687"/>
      <c r="AB341" s="687"/>
    </row>
    <row r="342" spans="1:31" s="693" customFormat="1" ht="15" x14ac:dyDescent="0.25">
      <c r="A342" s="605">
        <v>312</v>
      </c>
      <c r="B342" s="696" t="s">
        <v>1774</v>
      </c>
      <c r="C342" s="695"/>
      <c r="D342" s="695"/>
      <c r="E342" s="695"/>
      <c r="F342" s="695"/>
      <c r="G342" s="695"/>
      <c r="H342" s="1071"/>
      <c r="I342" s="690"/>
      <c r="J342" s="689" t="str">
        <f t="shared" si="8"/>
        <v/>
      </c>
      <c r="K342" s="689" t="str">
        <f t="shared" si="9"/>
        <v/>
      </c>
      <c r="L342" s="689" t="str">
        <f t="shared" si="10"/>
        <v/>
      </c>
      <c r="M342" s="689" t="str">
        <f t="shared" si="11"/>
        <v/>
      </c>
      <c r="N342" s="688"/>
      <c r="O342" s="688"/>
      <c r="P342" s="688"/>
      <c r="Q342" s="688"/>
      <c r="R342" s="687"/>
      <c r="S342" s="687"/>
      <c r="T342" s="687"/>
      <c r="U342" s="687"/>
      <c r="V342" s="687"/>
      <c r="W342" s="687"/>
      <c r="X342" s="687"/>
      <c r="Y342" s="687"/>
      <c r="Z342" s="687"/>
      <c r="AA342" s="687"/>
      <c r="AB342" s="687"/>
    </row>
    <row r="343" spans="1:31" s="693" customFormat="1" ht="15" x14ac:dyDescent="0.25">
      <c r="A343" s="605">
        <v>313</v>
      </c>
      <c r="B343" s="696" t="s">
        <v>1773</v>
      </c>
      <c r="C343" s="695"/>
      <c r="D343" s="695"/>
      <c r="E343" s="695"/>
      <c r="F343" s="695"/>
      <c r="G343" s="695"/>
      <c r="H343" s="1071"/>
      <c r="I343" s="690"/>
      <c r="J343" s="689" t="str">
        <f t="shared" si="8"/>
        <v/>
      </c>
      <c r="K343" s="689" t="str">
        <f t="shared" si="9"/>
        <v/>
      </c>
      <c r="L343" s="689" t="str">
        <f t="shared" si="10"/>
        <v/>
      </c>
      <c r="M343" s="689" t="str">
        <f t="shared" si="11"/>
        <v/>
      </c>
      <c r="N343" s="688"/>
      <c r="O343" s="688"/>
      <c r="P343" s="688"/>
      <c r="Q343" s="688"/>
      <c r="R343" s="687"/>
      <c r="S343" s="687"/>
      <c r="T343" s="687"/>
      <c r="U343" s="687"/>
      <c r="V343" s="687"/>
      <c r="W343" s="687"/>
      <c r="X343" s="687"/>
      <c r="Y343" s="687"/>
      <c r="Z343" s="687"/>
      <c r="AA343" s="687"/>
      <c r="AB343" s="687"/>
    </row>
    <row r="344" spans="1:31" s="693" customFormat="1" ht="15" x14ac:dyDescent="0.25">
      <c r="A344" s="605">
        <v>314</v>
      </c>
      <c r="B344" s="983" t="s">
        <v>1772</v>
      </c>
      <c r="C344" s="695"/>
      <c r="D344" s="695"/>
      <c r="E344" s="695"/>
      <c r="F344" s="695"/>
      <c r="G344" s="695"/>
      <c r="H344" s="1071"/>
      <c r="I344" s="690"/>
      <c r="J344" s="689" t="str">
        <f t="shared" si="8"/>
        <v/>
      </c>
      <c r="K344" s="689" t="str">
        <f t="shared" si="9"/>
        <v/>
      </c>
      <c r="L344" s="689" t="str">
        <f t="shared" si="10"/>
        <v/>
      </c>
      <c r="M344" s="689" t="str">
        <f t="shared" si="11"/>
        <v/>
      </c>
      <c r="N344" s="688"/>
      <c r="O344" s="688"/>
      <c r="P344" s="688"/>
      <c r="Q344" s="688"/>
      <c r="R344" s="687"/>
      <c r="S344" s="687"/>
      <c r="T344" s="687"/>
      <c r="U344" s="687"/>
      <c r="V344" s="687"/>
      <c r="W344" s="687"/>
      <c r="X344" s="687"/>
      <c r="Y344" s="687"/>
      <c r="Z344" s="687"/>
      <c r="AA344" s="687"/>
      <c r="AB344" s="687"/>
    </row>
    <row r="345" spans="1:31" s="693" customFormat="1" ht="15" x14ac:dyDescent="0.25">
      <c r="A345" s="605">
        <v>315</v>
      </c>
      <c r="B345" s="983" t="s">
        <v>1771</v>
      </c>
      <c r="C345" s="695"/>
      <c r="D345" s="695"/>
      <c r="E345" s="695"/>
      <c r="F345" s="695"/>
      <c r="G345" s="695"/>
      <c r="H345" s="1071"/>
      <c r="I345" s="690"/>
      <c r="J345" s="689" t="str">
        <f t="shared" si="8"/>
        <v/>
      </c>
      <c r="K345" s="689" t="str">
        <f t="shared" si="9"/>
        <v/>
      </c>
      <c r="L345" s="689" t="str">
        <f t="shared" si="10"/>
        <v/>
      </c>
      <c r="M345" s="689" t="str">
        <f t="shared" si="11"/>
        <v/>
      </c>
      <c r="N345" s="688"/>
      <c r="O345" s="688"/>
      <c r="P345" s="688"/>
      <c r="Q345" s="688"/>
      <c r="R345" s="687"/>
      <c r="S345" s="687"/>
      <c r="T345" s="687"/>
      <c r="U345" s="687"/>
      <c r="V345" s="687"/>
      <c r="W345" s="687"/>
      <c r="X345" s="687"/>
      <c r="Y345" s="687"/>
      <c r="Z345" s="687"/>
      <c r="AA345" s="687"/>
      <c r="AB345" s="687"/>
    </row>
    <row r="346" spans="1:31" s="687" customFormat="1" ht="15" x14ac:dyDescent="0.25">
      <c r="A346" s="605">
        <v>316</v>
      </c>
      <c r="B346" s="981" t="s">
        <v>1770</v>
      </c>
      <c r="C346" s="692"/>
      <c r="D346" s="692"/>
      <c r="E346" s="692"/>
      <c r="F346" s="692"/>
      <c r="G346" s="692"/>
      <c r="H346" s="1072"/>
      <c r="I346" s="690"/>
      <c r="J346" s="689"/>
      <c r="K346" s="689"/>
      <c r="L346" s="689"/>
      <c r="M346" s="689"/>
      <c r="N346" s="688"/>
      <c r="O346" s="688"/>
      <c r="P346" s="688"/>
      <c r="Q346" s="688"/>
    </row>
    <row r="347" spans="1:31" s="687" customFormat="1" ht="15" x14ac:dyDescent="0.25">
      <c r="A347" s="605">
        <v>317</v>
      </c>
      <c r="B347" s="983" t="s">
        <v>1769</v>
      </c>
      <c r="C347" s="982"/>
      <c r="D347" s="982"/>
      <c r="E347" s="982"/>
      <c r="F347" s="982"/>
      <c r="G347" s="982"/>
      <c r="H347" s="1072"/>
      <c r="I347" s="690"/>
      <c r="J347" s="689"/>
      <c r="K347" s="689"/>
      <c r="L347" s="689"/>
      <c r="M347" s="689"/>
      <c r="N347" s="688"/>
      <c r="O347" s="688"/>
      <c r="P347" s="688"/>
      <c r="Q347" s="688"/>
    </row>
    <row r="348" spans="1:31" s="687" customFormat="1" ht="15" x14ac:dyDescent="0.25">
      <c r="A348" s="605">
        <v>318</v>
      </c>
      <c r="B348" s="983" t="s">
        <v>995</v>
      </c>
      <c r="C348" s="982"/>
      <c r="D348" s="982"/>
      <c r="E348" s="982"/>
      <c r="F348" s="982"/>
      <c r="G348" s="982"/>
      <c r="H348" s="1072"/>
      <c r="I348" s="690"/>
      <c r="J348" s="689"/>
      <c r="K348" s="689"/>
      <c r="L348" s="689"/>
      <c r="M348" s="689"/>
      <c r="N348" s="688"/>
      <c r="O348" s="688"/>
      <c r="P348" s="688"/>
      <c r="Q348" s="688"/>
    </row>
    <row r="349" spans="1:31" s="1193" customFormat="1" ht="15" x14ac:dyDescent="0.25">
      <c r="A349" s="605">
        <v>319</v>
      </c>
      <c r="B349" s="1194" t="s">
        <v>3415</v>
      </c>
      <c r="C349" s="1192"/>
      <c r="D349" s="1192"/>
      <c r="E349" s="1192"/>
      <c r="F349" s="1192"/>
      <c r="G349" s="1192"/>
      <c r="H349" s="1195"/>
      <c r="I349" s="690"/>
      <c r="J349" s="689"/>
      <c r="K349" s="689"/>
      <c r="L349" s="689"/>
      <c r="M349" s="689"/>
      <c r="N349" s="688"/>
      <c r="O349" s="688"/>
      <c r="P349" s="688"/>
      <c r="Q349" s="688"/>
    </row>
    <row r="350" spans="1:31" ht="45" x14ac:dyDescent="0.25">
      <c r="A350" s="605">
        <v>320</v>
      </c>
      <c r="B350" s="669" t="s">
        <v>1768</v>
      </c>
      <c r="C350" s="668"/>
      <c r="D350" s="668"/>
      <c r="E350" s="668"/>
      <c r="F350" s="668"/>
      <c r="G350" s="668"/>
      <c r="H350" s="1045"/>
      <c r="AD350" s="345"/>
      <c r="AE350" s="345"/>
    </row>
    <row r="351" spans="1:31" ht="15" x14ac:dyDescent="0.2">
      <c r="A351" s="605">
        <v>321</v>
      </c>
      <c r="B351" s="604" t="s">
        <v>1767</v>
      </c>
      <c r="C351" s="603"/>
      <c r="D351" s="603"/>
      <c r="E351" s="603"/>
      <c r="F351" s="603"/>
      <c r="G351" s="603"/>
      <c r="H351" s="1055"/>
      <c r="AD351" s="345"/>
      <c r="AE351" s="345"/>
    </row>
    <row r="352" spans="1:31" ht="30" x14ac:dyDescent="0.25">
      <c r="A352" s="605">
        <v>322</v>
      </c>
      <c r="B352" s="669" t="s">
        <v>1766</v>
      </c>
      <c r="C352" s="667"/>
      <c r="D352" s="667"/>
      <c r="E352" s="667"/>
      <c r="F352" s="667"/>
      <c r="G352" s="667"/>
      <c r="H352" s="1045"/>
      <c r="AD352" s="345"/>
      <c r="AE352" s="345"/>
    </row>
    <row r="353" spans="1:31" ht="15" x14ac:dyDescent="0.25">
      <c r="A353" s="605">
        <v>323</v>
      </c>
      <c r="B353" s="684" t="s">
        <v>1765</v>
      </c>
      <c r="C353" s="668"/>
      <c r="D353" s="668"/>
      <c r="E353" s="668"/>
      <c r="F353" s="668"/>
      <c r="G353" s="668"/>
      <c r="H353" s="1045"/>
      <c r="AD353" s="345"/>
      <c r="AE353" s="345"/>
    </row>
    <row r="354" spans="1:31" ht="15" x14ac:dyDescent="0.25">
      <c r="A354" s="605">
        <v>324</v>
      </c>
      <c r="B354" s="684" t="s">
        <v>284</v>
      </c>
      <c r="C354" s="668"/>
      <c r="D354" s="668"/>
      <c r="E354" s="668"/>
      <c r="F354" s="668"/>
      <c r="G354" s="668"/>
      <c r="H354" s="1045"/>
      <c r="AD354" s="345"/>
      <c r="AE354" s="345"/>
    </row>
    <row r="355" spans="1:31" ht="15" x14ac:dyDescent="0.25">
      <c r="A355" s="605">
        <v>325</v>
      </c>
      <c r="B355" s="684" t="s">
        <v>1764</v>
      </c>
      <c r="C355" s="668"/>
      <c r="D355" s="668"/>
      <c r="E355" s="668"/>
      <c r="F355" s="668"/>
      <c r="G355" s="668"/>
      <c r="H355" s="1045"/>
      <c r="AD355" s="345"/>
      <c r="AE355" s="345"/>
    </row>
    <row r="356" spans="1:31" ht="15" x14ac:dyDescent="0.25">
      <c r="A356" s="605">
        <v>326</v>
      </c>
      <c r="B356" s="684" t="s">
        <v>1763</v>
      </c>
      <c r="C356" s="668"/>
      <c r="D356" s="668"/>
      <c r="E356" s="668"/>
      <c r="F356" s="668"/>
      <c r="G356" s="668"/>
      <c r="H356" s="1045"/>
      <c r="AD356" s="345"/>
      <c r="AE356" s="345"/>
    </row>
    <row r="357" spans="1:31" s="347" customFormat="1" ht="15" x14ac:dyDescent="0.2">
      <c r="A357" s="605">
        <v>327</v>
      </c>
      <c r="B357" s="683" t="s">
        <v>1762</v>
      </c>
      <c r="C357" s="683"/>
      <c r="D357" s="683"/>
      <c r="E357" s="683"/>
      <c r="F357" s="683"/>
      <c r="G357" s="683"/>
      <c r="H357" s="1068"/>
    </row>
    <row r="358" spans="1:31" ht="30" x14ac:dyDescent="0.25">
      <c r="A358" s="605">
        <v>328</v>
      </c>
      <c r="B358" s="669" t="s">
        <v>1761</v>
      </c>
      <c r="C358" s="668"/>
      <c r="D358" s="668"/>
      <c r="E358" s="668"/>
      <c r="F358" s="668"/>
      <c r="G358" s="668"/>
      <c r="H358" s="1045"/>
      <c r="AD358" s="345"/>
      <c r="AE358" s="345"/>
    </row>
    <row r="359" spans="1:31" ht="30" x14ac:dyDescent="0.25">
      <c r="A359" s="605">
        <v>329</v>
      </c>
      <c r="B359" s="628" t="s">
        <v>1760</v>
      </c>
      <c r="C359" s="668"/>
      <c r="D359" s="668"/>
      <c r="E359" s="668"/>
      <c r="F359" s="668"/>
      <c r="G359" s="668"/>
      <c r="H359" s="1045"/>
      <c r="AD359" s="345"/>
      <c r="AE359" s="345"/>
    </row>
    <row r="360" spans="1:31" ht="30" x14ac:dyDescent="0.25">
      <c r="A360" s="605">
        <v>330</v>
      </c>
      <c r="B360" s="628" t="s">
        <v>1759</v>
      </c>
      <c r="C360" s="668"/>
      <c r="D360" s="668"/>
      <c r="E360" s="668"/>
      <c r="F360" s="668"/>
      <c r="G360" s="668"/>
      <c r="H360" s="1045"/>
      <c r="AD360" s="345"/>
      <c r="AE360" s="345"/>
    </row>
    <row r="361" spans="1:31" ht="30" x14ac:dyDescent="0.25">
      <c r="A361" s="605">
        <v>331</v>
      </c>
      <c r="B361" s="669" t="s">
        <v>1758</v>
      </c>
      <c r="C361" s="667"/>
      <c r="D361" s="667"/>
      <c r="E361" s="667"/>
      <c r="F361" s="667"/>
      <c r="G361" s="667"/>
      <c r="H361" s="1045"/>
      <c r="AD361" s="345"/>
      <c r="AE361" s="345"/>
    </row>
    <row r="362" spans="1:31" ht="15" x14ac:dyDescent="0.25">
      <c r="A362" s="605">
        <v>332</v>
      </c>
      <c r="B362" s="684" t="s">
        <v>1757</v>
      </c>
      <c r="C362" s="668"/>
      <c r="D362" s="668"/>
      <c r="E362" s="668"/>
      <c r="F362" s="668"/>
      <c r="G362" s="668"/>
      <c r="H362" s="1045"/>
      <c r="AD362" s="345"/>
      <c r="AE362" s="345"/>
    </row>
    <row r="363" spans="1:31" ht="15" x14ac:dyDescent="0.25">
      <c r="A363" s="605">
        <v>333</v>
      </c>
      <c r="B363" s="684" t="s">
        <v>1756</v>
      </c>
      <c r="C363" s="668"/>
      <c r="D363" s="668"/>
      <c r="E363" s="668"/>
      <c r="F363" s="668"/>
      <c r="G363" s="668"/>
      <c r="H363" s="1045"/>
      <c r="AD363" s="345"/>
      <c r="AE363" s="345"/>
    </row>
    <row r="364" spans="1:31" ht="15" x14ac:dyDescent="0.25">
      <c r="A364" s="605">
        <v>334</v>
      </c>
      <c r="B364" s="684" t="s">
        <v>1755</v>
      </c>
      <c r="C364" s="668"/>
      <c r="D364" s="668"/>
      <c r="E364" s="668"/>
      <c r="F364" s="668"/>
      <c r="G364" s="668"/>
      <c r="H364" s="1045"/>
      <c r="AD364" s="345"/>
      <c r="AE364" s="345"/>
    </row>
    <row r="365" spans="1:31" ht="15" x14ac:dyDescent="0.25">
      <c r="A365" s="605">
        <v>335</v>
      </c>
      <c r="B365" s="684" t="s">
        <v>1754</v>
      </c>
      <c r="C365" s="668"/>
      <c r="D365" s="668"/>
      <c r="E365" s="668"/>
      <c r="F365" s="668"/>
      <c r="G365" s="668"/>
      <c r="H365" s="1046"/>
      <c r="AD365" s="345"/>
      <c r="AE365" s="345"/>
    </row>
    <row r="366" spans="1:31" ht="15" x14ac:dyDescent="0.25">
      <c r="A366" s="605">
        <v>336</v>
      </c>
      <c r="B366" s="684" t="s">
        <v>88</v>
      </c>
      <c r="C366" s="668"/>
      <c r="D366" s="668"/>
      <c r="E366" s="668"/>
      <c r="F366" s="668"/>
      <c r="G366" s="668"/>
      <c r="H366" s="1045"/>
      <c r="AD366" s="345"/>
      <c r="AE366" s="345"/>
    </row>
    <row r="367" spans="1:31" ht="15" x14ac:dyDescent="0.25">
      <c r="A367" s="605">
        <v>337</v>
      </c>
      <c r="B367" s="686" t="s">
        <v>1753</v>
      </c>
      <c r="C367" s="685"/>
      <c r="D367" s="685"/>
      <c r="E367" s="685"/>
      <c r="F367" s="685"/>
      <c r="G367" s="685"/>
      <c r="H367" s="1067"/>
      <c r="AD367" s="345"/>
      <c r="AE367" s="345"/>
    </row>
    <row r="368" spans="1:31" ht="30" x14ac:dyDescent="0.25">
      <c r="A368" s="605">
        <v>338</v>
      </c>
      <c r="B368" s="669" t="s">
        <v>1752</v>
      </c>
      <c r="C368" s="668"/>
      <c r="D368" s="668"/>
      <c r="E368" s="668"/>
      <c r="F368" s="668"/>
      <c r="G368" s="668"/>
      <c r="H368" s="1045"/>
      <c r="AD368" s="345"/>
      <c r="AE368" s="345"/>
    </row>
    <row r="369" spans="1:31" ht="15" x14ac:dyDescent="0.25">
      <c r="A369" s="605">
        <v>339</v>
      </c>
      <c r="B369" s="669" t="s">
        <v>1751</v>
      </c>
      <c r="C369" s="667"/>
      <c r="D369" s="667"/>
      <c r="E369" s="667"/>
      <c r="F369" s="667"/>
      <c r="G369" s="667"/>
      <c r="H369" s="1045"/>
      <c r="AD369" s="345"/>
      <c r="AE369" s="345"/>
    </row>
    <row r="370" spans="1:31" ht="15" x14ac:dyDescent="0.25">
      <c r="A370" s="605">
        <v>340</v>
      </c>
      <c r="B370" s="673" t="s">
        <v>1750</v>
      </c>
      <c r="C370" s="672"/>
      <c r="D370" s="672"/>
      <c r="E370" s="672"/>
      <c r="F370" s="672"/>
      <c r="G370" s="672"/>
      <c r="H370" s="1046"/>
      <c r="AD370" s="345"/>
      <c r="AE370" s="345"/>
    </row>
    <row r="371" spans="1:31" ht="15" x14ac:dyDescent="0.25">
      <c r="A371" s="605">
        <v>341</v>
      </c>
      <c r="B371" s="684" t="s">
        <v>239</v>
      </c>
      <c r="C371" s="668"/>
      <c r="D371" s="668"/>
      <c r="E371" s="668"/>
      <c r="F371" s="668"/>
      <c r="G371" s="668"/>
      <c r="H371" s="1045"/>
      <c r="AD371" s="345"/>
      <c r="AE371" s="345"/>
    </row>
    <row r="372" spans="1:31" ht="15" x14ac:dyDescent="0.25">
      <c r="A372" s="605">
        <v>342</v>
      </c>
      <c r="B372" s="684" t="s">
        <v>80</v>
      </c>
      <c r="C372" s="668"/>
      <c r="D372" s="668"/>
      <c r="E372" s="668"/>
      <c r="F372" s="668"/>
      <c r="G372" s="668"/>
      <c r="H372" s="1045"/>
      <c r="AD372" s="345"/>
      <c r="AE372" s="345"/>
    </row>
    <row r="373" spans="1:31" ht="15" x14ac:dyDescent="0.25">
      <c r="A373" s="605">
        <v>343</v>
      </c>
      <c r="B373" s="684" t="s">
        <v>1749</v>
      </c>
      <c r="C373" s="668"/>
      <c r="D373" s="668"/>
      <c r="E373" s="668"/>
      <c r="F373" s="668"/>
      <c r="G373" s="668"/>
      <c r="H373" s="1045"/>
      <c r="AD373" s="345"/>
      <c r="AE373" s="345"/>
    </row>
    <row r="374" spans="1:31" ht="15" x14ac:dyDescent="0.25">
      <c r="A374" s="605">
        <v>344</v>
      </c>
      <c r="B374" s="684" t="s">
        <v>1748</v>
      </c>
      <c r="C374" s="668"/>
      <c r="D374" s="668"/>
      <c r="E374" s="668"/>
      <c r="F374" s="668"/>
      <c r="G374" s="668"/>
      <c r="H374" s="1045"/>
      <c r="AD374" s="345"/>
      <c r="AE374" s="345"/>
    </row>
    <row r="375" spans="1:31" ht="15" x14ac:dyDescent="0.25">
      <c r="A375" s="605">
        <v>345</v>
      </c>
      <c r="B375" s="684" t="s">
        <v>1747</v>
      </c>
      <c r="C375" s="668"/>
      <c r="D375" s="668"/>
      <c r="E375" s="668"/>
      <c r="F375" s="668"/>
      <c r="G375" s="668"/>
      <c r="H375" s="1045"/>
      <c r="AD375" s="345"/>
      <c r="AE375" s="345"/>
    </row>
    <row r="376" spans="1:31" ht="15" x14ac:dyDescent="0.25">
      <c r="A376" s="605">
        <v>346</v>
      </c>
      <c r="B376" s="684" t="s">
        <v>90</v>
      </c>
      <c r="C376" s="668"/>
      <c r="D376" s="668"/>
      <c r="E376" s="668"/>
      <c r="F376" s="668"/>
      <c r="G376" s="668"/>
      <c r="H376" s="1045"/>
      <c r="AD376" s="345"/>
      <c r="AE376" s="345"/>
    </row>
    <row r="377" spans="1:31" ht="15" x14ac:dyDescent="0.25">
      <c r="A377" s="605">
        <v>347</v>
      </c>
      <c r="B377" s="684" t="s">
        <v>1124</v>
      </c>
      <c r="C377" s="668"/>
      <c r="D377" s="668"/>
      <c r="E377" s="668"/>
      <c r="F377" s="668"/>
      <c r="G377" s="668"/>
      <c r="H377" s="1045"/>
      <c r="AD377" s="345"/>
      <c r="AE377" s="345"/>
    </row>
    <row r="378" spans="1:31" ht="15" x14ac:dyDescent="0.25">
      <c r="A378" s="605">
        <v>348</v>
      </c>
      <c r="B378" s="684" t="s">
        <v>1746</v>
      </c>
      <c r="C378" s="668"/>
      <c r="D378" s="668"/>
      <c r="E378" s="668"/>
      <c r="F378" s="668"/>
      <c r="G378" s="668"/>
      <c r="H378" s="1045"/>
      <c r="AD378" s="345"/>
      <c r="AE378" s="345"/>
    </row>
    <row r="379" spans="1:31" ht="15" x14ac:dyDescent="0.25">
      <c r="A379" s="605">
        <v>349</v>
      </c>
      <c r="B379" s="673" t="s">
        <v>87</v>
      </c>
      <c r="C379" s="672"/>
      <c r="D379" s="672"/>
      <c r="E379" s="672"/>
      <c r="F379" s="672"/>
      <c r="G379" s="672"/>
      <c r="H379" s="1046"/>
      <c r="AD379" s="345"/>
      <c r="AE379" s="345"/>
    </row>
    <row r="380" spans="1:31" ht="45" x14ac:dyDescent="0.25">
      <c r="A380" s="605">
        <v>350</v>
      </c>
      <c r="B380" s="628" t="s">
        <v>1745</v>
      </c>
      <c r="C380" s="668"/>
      <c r="D380" s="668"/>
      <c r="E380" s="668"/>
      <c r="F380" s="668"/>
      <c r="G380" s="668"/>
      <c r="H380" s="1045"/>
      <c r="AD380" s="345"/>
      <c r="AE380" s="345"/>
    </row>
    <row r="381" spans="1:31" ht="15" x14ac:dyDescent="0.25">
      <c r="A381" s="605">
        <v>351</v>
      </c>
      <c r="B381" s="628" t="s">
        <v>1744</v>
      </c>
      <c r="C381" s="668"/>
      <c r="D381" s="668"/>
      <c r="E381" s="668"/>
      <c r="F381" s="668"/>
      <c r="G381" s="668"/>
      <c r="H381" s="1045"/>
      <c r="AD381" s="345"/>
      <c r="AE381" s="345"/>
    </row>
    <row r="382" spans="1:31" ht="30" x14ac:dyDescent="0.25">
      <c r="A382" s="605">
        <v>352</v>
      </c>
      <c r="B382" s="628" t="s">
        <v>1743</v>
      </c>
      <c r="C382" s="668"/>
      <c r="D382" s="668"/>
      <c r="E382" s="668"/>
      <c r="F382" s="668"/>
      <c r="G382" s="668"/>
      <c r="H382" s="1045"/>
      <c r="AD382" s="345"/>
      <c r="AE382" s="345"/>
    </row>
    <row r="383" spans="1:31" ht="45" x14ac:dyDescent="0.25">
      <c r="A383" s="605">
        <v>353</v>
      </c>
      <c r="B383" s="628" t="s">
        <v>1742</v>
      </c>
      <c r="C383" s="668"/>
      <c r="D383" s="668"/>
      <c r="E383" s="668"/>
      <c r="F383" s="668"/>
      <c r="G383" s="668"/>
      <c r="H383" s="1045"/>
      <c r="AD383" s="345"/>
      <c r="AE383" s="345"/>
    </row>
    <row r="384" spans="1:31" ht="15" x14ac:dyDescent="0.25">
      <c r="A384" s="605">
        <v>354</v>
      </c>
      <c r="B384" s="628" t="s">
        <v>1741</v>
      </c>
      <c r="C384" s="668"/>
      <c r="D384" s="668"/>
      <c r="E384" s="668"/>
      <c r="F384" s="668"/>
      <c r="G384" s="668"/>
      <c r="H384" s="1045"/>
      <c r="AD384" s="345"/>
      <c r="AE384" s="345"/>
    </row>
    <row r="385" spans="1:31" ht="15" x14ac:dyDescent="0.25">
      <c r="A385" s="605">
        <v>355</v>
      </c>
      <c r="B385" s="628" t="s">
        <v>1740</v>
      </c>
      <c r="C385" s="668"/>
      <c r="D385" s="668"/>
      <c r="E385" s="668"/>
      <c r="F385" s="668"/>
      <c r="G385" s="668"/>
      <c r="H385" s="1045"/>
      <c r="AD385" s="345"/>
      <c r="AE385" s="345"/>
    </row>
    <row r="386" spans="1:31" ht="30" x14ac:dyDescent="0.25">
      <c r="A386" s="605">
        <v>356</v>
      </c>
      <c r="B386" s="669" t="s">
        <v>1739</v>
      </c>
      <c r="C386" s="668"/>
      <c r="D386" s="668"/>
      <c r="E386" s="668"/>
      <c r="F386" s="668"/>
      <c r="G386" s="668"/>
      <c r="H386" s="1045"/>
      <c r="AD386" s="345"/>
      <c r="AE386" s="345"/>
    </row>
    <row r="387" spans="1:31" ht="15" x14ac:dyDescent="0.25">
      <c r="A387" s="605">
        <v>357</v>
      </c>
      <c r="B387" s="669" t="s">
        <v>1738</v>
      </c>
      <c r="C387" s="668"/>
      <c r="D387" s="668"/>
      <c r="E387" s="668"/>
      <c r="F387" s="668"/>
      <c r="G387" s="668"/>
      <c r="H387" s="1045"/>
      <c r="AD387" s="345"/>
      <c r="AE387" s="345"/>
    </row>
    <row r="388" spans="1:31" s="1190" customFormat="1" ht="30" x14ac:dyDescent="0.25">
      <c r="A388" s="605">
        <v>358</v>
      </c>
      <c r="B388" s="669" t="s">
        <v>3597</v>
      </c>
      <c r="C388" s="668"/>
      <c r="D388" s="668"/>
      <c r="E388" s="668"/>
      <c r="F388" s="668"/>
      <c r="G388" s="668"/>
      <c r="H388" s="668"/>
      <c r="I388" s="1189"/>
      <c r="J388" s="1189"/>
      <c r="K388" s="1189"/>
      <c r="L388" s="1189"/>
      <c r="M388" s="1189"/>
      <c r="N388" s="1189"/>
      <c r="O388" s="1189"/>
      <c r="P388" s="1189"/>
      <c r="Q388" s="1189"/>
      <c r="R388" s="1189"/>
      <c r="S388" s="1189"/>
      <c r="T388" s="1189"/>
      <c r="U388" s="1189"/>
      <c r="V388" s="1189"/>
      <c r="W388" s="1189"/>
      <c r="X388" s="1189"/>
      <c r="Y388" s="1189"/>
      <c r="Z388" s="1189"/>
      <c r="AA388" s="1189"/>
      <c r="AB388" s="1189"/>
      <c r="AC388" s="1189"/>
    </row>
    <row r="389" spans="1:31" s="1190" customFormat="1" ht="30" x14ac:dyDescent="0.25">
      <c r="A389" s="605">
        <v>359</v>
      </c>
      <c r="B389" s="1196" t="s">
        <v>3598</v>
      </c>
      <c r="C389" s="668"/>
      <c r="D389" s="668"/>
      <c r="E389" s="668"/>
      <c r="F389" s="668"/>
      <c r="G389" s="668"/>
      <c r="H389" s="668"/>
      <c r="I389" s="1189"/>
      <c r="J389" s="1189"/>
      <c r="K389" s="1189"/>
      <c r="L389" s="1189"/>
      <c r="M389" s="1189"/>
      <c r="N389" s="1189"/>
      <c r="O389" s="1189"/>
      <c r="P389" s="1189"/>
      <c r="Q389" s="1189"/>
      <c r="R389" s="1189"/>
      <c r="S389" s="1189"/>
      <c r="T389" s="1189"/>
      <c r="U389" s="1189"/>
      <c r="V389" s="1189"/>
      <c r="W389" s="1189"/>
      <c r="X389" s="1189"/>
      <c r="Y389" s="1189"/>
      <c r="Z389" s="1189"/>
      <c r="AA389" s="1189"/>
      <c r="AB389" s="1189"/>
      <c r="AC389" s="1189"/>
    </row>
    <row r="390" spans="1:31" ht="15" x14ac:dyDescent="0.2">
      <c r="A390" s="605">
        <v>360</v>
      </c>
      <c r="B390" s="604" t="s">
        <v>1737</v>
      </c>
      <c r="C390" s="603"/>
      <c r="D390" s="603"/>
      <c r="E390" s="603"/>
      <c r="F390" s="603"/>
      <c r="G390" s="603"/>
      <c r="H390" s="1055"/>
      <c r="AD390" s="345"/>
      <c r="AE390" s="345"/>
    </row>
    <row r="391" spans="1:31" ht="30" x14ac:dyDescent="0.25">
      <c r="A391" s="605">
        <v>361</v>
      </c>
      <c r="B391" s="628" t="s">
        <v>1736</v>
      </c>
      <c r="C391" s="668"/>
      <c r="D391" s="668"/>
      <c r="E391" s="668"/>
      <c r="F391" s="668"/>
      <c r="G391" s="668"/>
      <c r="H391" s="1045"/>
      <c r="AD391" s="345"/>
      <c r="AE391" s="345"/>
    </row>
    <row r="392" spans="1:31" ht="30" x14ac:dyDescent="0.25">
      <c r="A392" s="605">
        <v>362</v>
      </c>
      <c r="B392" s="628" t="s">
        <v>1735</v>
      </c>
      <c r="C392" s="668"/>
      <c r="D392" s="668"/>
      <c r="E392" s="668"/>
      <c r="F392" s="668"/>
      <c r="G392" s="668"/>
      <c r="H392" s="1045"/>
      <c r="AD392" s="345"/>
      <c r="AE392" s="345"/>
    </row>
    <row r="393" spans="1:31" ht="30" x14ac:dyDescent="0.25">
      <c r="A393" s="605">
        <v>363</v>
      </c>
      <c r="B393" s="628" t="s">
        <v>1734</v>
      </c>
      <c r="C393" s="668"/>
      <c r="D393" s="668"/>
      <c r="E393" s="668"/>
      <c r="F393" s="668"/>
      <c r="G393" s="668"/>
      <c r="H393" s="1045"/>
      <c r="AD393" s="345"/>
      <c r="AE393" s="345"/>
    </row>
    <row r="394" spans="1:31" ht="45" x14ac:dyDescent="0.25">
      <c r="A394" s="605">
        <v>364</v>
      </c>
      <c r="B394" s="628" t="s">
        <v>1733</v>
      </c>
      <c r="C394" s="668"/>
      <c r="D394" s="668"/>
      <c r="E394" s="668"/>
      <c r="F394" s="668"/>
      <c r="G394" s="668"/>
      <c r="H394" s="1045"/>
      <c r="AD394" s="345"/>
      <c r="AE394" s="345"/>
    </row>
    <row r="395" spans="1:31" ht="30" x14ac:dyDescent="0.25">
      <c r="A395" s="605">
        <v>365</v>
      </c>
      <c r="B395" s="628" t="s">
        <v>1732</v>
      </c>
      <c r="C395" s="667"/>
      <c r="D395" s="667"/>
      <c r="E395" s="667"/>
      <c r="F395" s="667"/>
      <c r="G395" s="667"/>
      <c r="H395" s="1045"/>
      <c r="AD395" s="345"/>
      <c r="AE395" s="345"/>
    </row>
    <row r="396" spans="1:31" ht="15" x14ac:dyDescent="0.25">
      <c r="A396" s="605">
        <v>366</v>
      </c>
      <c r="B396" s="682" t="s">
        <v>1731</v>
      </c>
      <c r="C396" s="655"/>
      <c r="D396" s="655"/>
      <c r="E396" s="655"/>
      <c r="F396" s="655"/>
      <c r="G396" s="655"/>
      <c r="H396" s="1046"/>
      <c r="AD396" s="345"/>
      <c r="AE396" s="345"/>
    </row>
    <row r="397" spans="1:31" ht="15" x14ac:dyDescent="0.25">
      <c r="A397" s="605">
        <v>367</v>
      </c>
      <c r="B397" s="632" t="s">
        <v>995</v>
      </c>
      <c r="C397" s="668"/>
      <c r="D397" s="668"/>
      <c r="E397" s="668"/>
      <c r="F397" s="668"/>
      <c r="G397" s="668"/>
      <c r="H397" s="1045"/>
      <c r="AD397" s="345"/>
      <c r="AE397" s="345"/>
    </row>
    <row r="398" spans="1:31" ht="15" x14ac:dyDescent="0.25">
      <c r="A398" s="605">
        <v>368</v>
      </c>
      <c r="B398" s="632" t="s">
        <v>236</v>
      </c>
      <c r="C398" s="668"/>
      <c r="D398" s="668"/>
      <c r="E398" s="668"/>
      <c r="F398" s="668"/>
      <c r="G398" s="668"/>
      <c r="H398" s="1045"/>
      <c r="AD398" s="345"/>
      <c r="AE398" s="345"/>
    </row>
    <row r="399" spans="1:31" ht="15" x14ac:dyDescent="0.25">
      <c r="A399" s="605">
        <v>369</v>
      </c>
      <c r="B399" s="632" t="s">
        <v>1730</v>
      </c>
      <c r="C399" s="668"/>
      <c r="D399" s="668"/>
      <c r="E399" s="668"/>
      <c r="F399" s="668"/>
      <c r="G399" s="668"/>
      <c r="H399" s="1045"/>
      <c r="AD399" s="345"/>
      <c r="AE399" s="345"/>
    </row>
    <row r="400" spans="1:31" s="360" customFormat="1" ht="15" x14ac:dyDescent="0.2">
      <c r="A400" s="605">
        <v>370</v>
      </c>
      <c r="B400" s="683" t="s">
        <v>1729</v>
      </c>
      <c r="C400" s="683"/>
      <c r="D400" s="683"/>
      <c r="E400" s="683"/>
      <c r="F400" s="683"/>
      <c r="G400" s="683"/>
      <c r="H400" s="1068"/>
      <c r="I400" s="347"/>
      <c r="J400" s="347"/>
      <c r="K400" s="347"/>
      <c r="L400" s="347"/>
      <c r="M400" s="347"/>
      <c r="N400" s="347"/>
      <c r="O400" s="347"/>
      <c r="P400" s="347"/>
      <c r="Q400" s="347"/>
      <c r="R400" s="347"/>
      <c r="S400" s="347"/>
      <c r="T400" s="347"/>
      <c r="U400" s="347"/>
      <c r="V400" s="347"/>
      <c r="W400" s="347"/>
      <c r="X400" s="347"/>
      <c r="Y400" s="347"/>
      <c r="Z400" s="347"/>
      <c r="AA400" s="347"/>
      <c r="AB400" s="347"/>
      <c r="AC400" s="347"/>
    </row>
    <row r="401" spans="1:31" ht="15" x14ac:dyDescent="0.25">
      <c r="A401" s="605">
        <v>371</v>
      </c>
      <c r="B401" s="682" t="s">
        <v>1728</v>
      </c>
      <c r="C401" s="672"/>
      <c r="D401" s="672"/>
      <c r="E401" s="672"/>
      <c r="F401" s="672"/>
      <c r="G401" s="672"/>
      <c r="H401" s="1046"/>
      <c r="AD401" s="345"/>
      <c r="AE401" s="345"/>
    </row>
    <row r="402" spans="1:31" ht="15" x14ac:dyDescent="0.25">
      <c r="A402" s="605">
        <v>372</v>
      </c>
      <c r="B402" s="632" t="s">
        <v>537</v>
      </c>
      <c r="C402" s="668"/>
      <c r="D402" s="668"/>
      <c r="E402" s="668"/>
      <c r="F402" s="668"/>
      <c r="G402" s="668"/>
      <c r="H402" s="1045"/>
      <c r="AD402" s="345"/>
      <c r="AE402" s="345"/>
    </row>
    <row r="403" spans="1:31" ht="15" x14ac:dyDescent="0.25">
      <c r="A403" s="605">
        <v>373</v>
      </c>
      <c r="B403" s="632" t="s">
        <v>1727</v>
      </c>
      <c r="C403" s="668"/>
      <c r="D403" s="668"/>
      <c r="E403" s="668"/>
      <c r="F403" s="668"/>
      <c r="G403" s="668"/>
      <c r="H403" s="1045"/>
      <c r="AD403" s="345"/>
      <c r="AE403" s="345"/>
    </row>
    <row r="404" spans="1:31" ht="30" x14ac:dyDescent="0.25">
      <c r="A404" s="605">
        <v>374</v>
      </c>
      <c r="B404" s="628" t="s">
        <v>1726</v>
      </c>
      <c r="C404" s="668"/>
      <c r="D404" s="668"/>
      <c r="E404" s="668"/>
      <c r="F404" s="668"/>
      <c r="G404" s="668"/>
      <c r="H404" s="1045"/>
      <c r="AD404" s="345"/>
      <c r="AE404" s="345"/>
    </row>
    <row r="405" spans="1:31" s="598" customFormat="1" ht="15" x14ac:dyDescent="0.25">
      <c r="A405" s="605">
        <v>375</v>
      </c>
      <c r="B405" s="703" t="s">
        <v>1725</v>
      </c>
      <c r="C405" s="672"/>
      <c r="D405" s="672"/>
      <c r="E405" s="672"/>
      <c r="F405" s="672"/>
      <c r="G405" s="672"/>
      <c r="H405" s="1046"/>
    </row>
    <row r="406" spans="1:31" s="598" customFormat="1" ht="30" x14ac:dyDescent="0.25">
      <c r="A406" s="605">
        <v>376</v>
      </c>
      <c r="B406" s="1016" t="s">
        <v>3401</v>
      </c>
      <c r="C406" s="672"/>
      <c r="D406" s="672"/>
      <c r="E406" s="672"/>
      <c r="F406" s="672"/>
      <c r="G406" s="672"/>
      <c r="H406" s="1046"/>
    </row>
    <row r="407" spans="1:31" ht="15" x14ac:dyDescent="0.2">
      <c r="A407" s="605">
        <v>377</v>
      </c>
      <c r="B407" s="604" t="s">
        <v>1724</v>
      </c>
      <c r="C407" s="603"/>
      <c r="D407" s="603"/>
      <c r="E407" s="603"/>
      <c r="F407" s="603"/>
      <c r="G407" s="603"/>
      <c r="H407" s="1055"/>
      <c r="AD407" s="345"/>
      <c r="AE407" s="345"/>
    </row>
    <row r="408" spans="1:31" ht="30" x14ac:dyDescent="0.25">
      <c r="A408" s="605">
        <v>378</v>
      </c>
      <c r="B408" s="669" t="s">
        <v>1723</v>
      </c>
      <c r="C408" s="668"/>
      <c r="D408" s="668"/>
      <c r="E408" s="668"/>
      <c r="F408" s="668"/>
      <c r="G408" s="668"/>
      <c r="H408" s="1045"/>
      <c r="AD408" s="345"/>
      <c r="AE408" s="345"/>
    </row>
    <row r="409" spans="1:31" ht="15" x14ac:dyDescent="0.25">
      <c r="A409" s="605">
        <v>379</v>
      </c>
      <c r="B409" s="669" t="s">
        <v>1722</v>
      </c>
      <c r="C409" s="668"/>
      <c r="D409" s="668"/>
      <c r="E409" s="668"/>
      <c r="F409" s="668"/>
      <c r="G409" s="668"/>
      <c r="H409" s="1045"/>
      <c r="AD409" s="345"/>
      <c r="AE409" s="345"/>
    </row>
    <row r="410" spans="1:31" ht="30" x14ac:dyDescent="0.25">
      <c r="A410" s="605">
        <v>380</v>
      </c>
      <c r="B410" s="669" t="s">
        <v>1721</v>
      </c>
      <c r="C410" s="668"/>
      <c r="D410" s="668"/>
      <c r="E410" s="668"/>
      <c r="F410" s="668"/>
      <c r="G410" s="668"/>
      <c r="H410" s="1045"/>
      <c r="AD410" s="345"/>
      <c r="AE410" s="345"/>
    </row>
    <row r="411" spans="1:31" ht="15" x14ac:dyDescent="0.25">
      <c r="A411" s="605">
        <v>381</v>
      </c>
      <c r="B411" s="969" t="s">
        <v>3387</v>
      </c>
      <c r="C411" s="927"/>
      <c r="D411" s="927"/>
      <c r="E411" s="927"/>
      <c r="F411" s="927"/>
      <c r="G411" s="927"/>
      <c r="H411" s="1024"/>
      <c r="Z411" s="345"/>
      <c r="AA411" s="345"/>
      <c r="AB411" s="345"/>
      <c r="AC411" s="345"/>
      <c r="AD411" s="345"/>
      <c r="AE411" s="345"/>
    </row>
    <row r="412" spans="1:31" s="791" customFormat="1" ht="15" x14ac:dyDescent="0.25">
      <c r="A412" s="605">
        <v>382</v>
      </c>
      <c r="B412" s="855" t="s">
        <v>3386</v>
      </c>
      <c r="C412" s="855"/>
      <c r="D412" s="855"/>
      <c r="E412" s="855"/>
      <c r="F412" s="855"/>
      <c r="G412" s="855"/>
      <c r="H412" s="1025"/>
      <c r="I412" s="347"/>
      <c r="J412" s="792"/>
      <c r="K412" s="792"/>
      <c r="L412" s="792"/>
      <c r="M412" s="792"/>
      <c r="N412" s="792"/>
      <c r="O412" s="792"/>
      <c r="P412" s="792"/>
      <c r="Q412" s="792"/>
      <c r="R412" s="792"/>
      <c r="S412" s="792"/>
      <c r="T412" s="792"/>
      <c r="U412" s="792"/>
      <c r="V412" s="792"/>
      <c r="W412" s="792"/>
      <c r="X412" s="792"/>
      <c r="Y412" s="792"/>
    </row>
    <row r="413" spans="1:31" s="598" customFormat="1" ht="30" x14ac:dyDescent="0.2">
      <c r="A413" s="605">
        <v>383</v>
      </c>
      <c r="B413" s="984" t="s">
        <v>3385</v>
      </c>
      <c r="C413" s="727"/>
      <c r="D413" s="727"/>
      <c r="E413" s="727"/>
      <c r="F413" s="727"/>
      <c r="G413" s="727"/>
      <c r="H413" s="1073"/>
    </row>
    <row r="414" spans="1:31" ht="15" x14ac:dyDescent="0.2">
      <c r="A414" s="605">
        <v>384</v>
      </c>
      <c r="B414" s="968" t="s">
        <v>3384</v>
      </c>
      <c r="C414" s="966"/>
      <c r="D414" s="966"/>
      <c r="E414" s="966"/>
      <c r="F414" s="966"/>
      <c r="G414" s="966"/>
      <c r="H414" s="1074"/>
      <c r="Z414" s="345"/>
      <c r="AA414" s="345"/>
      <c r="AB414" s="345"/>
      <c r="AC414" s="345"/>
      <c r="AD414" s="345"/>
      <c r="AE414" s="345"/>
    </row>
    <row r="415" spans="1:31" ht="15" x14ac:dyDescent="0.2">
      <c r="A415" s="605">
        <v>385</v>
      </c>
      <c r="B415" s="967" t="s">
        <v>3383</v>
      </c>
      <c r="C415" s="963"/>
      <c r="D415" s="963"/>
      <c r="E415" s="963"/>
      <c r="F415" s="458"/>
      <c r="G415" s="458"/>
      <c r="H415" s="1074"/>
      <c r="Z415" s="345"/>
      <c r="AA415" s="345"/>
      <c r="AB415" s="345"/>
      <c r="AC415" s="345"/>
      <c r="AD415" s="345"/>
      <c r="AE415" s="345"/>
    </row>
    <row r="416" spans="1:31" ht="15" x14ac:dyDescent="0.2">
      <c r="A416" s="605">
        <v>386</v>
      </c>
      <c r="B416" s="967" t="s">
        <v>3382</v>
      </c>
      <c r="C416" s="963"/>
      <c r="D416" s="963"/>
      <c r="E416" s="963"/>
      <c r="F416" s="458"/>
      <c r="G416" s="458"/>
      <c r="H416" s="1074"/>
      <c r="Z416" s="345"/>
      <c r="AA416" s="345"/>
      <c r="AB416" s="345"/>
      <c r="AC416" s="345"/>
      <c r="AD416" s="345"/>
      <c r="AE416" s="345"/>
    </row>
    <row r="417" spans="1:31" ht="15" x14ac:dyDescent="0.2">
      <c r="A417" s="605">
        <v>387</v>
      </c>
      <c r="B417" s="967" t="s">
        <v>3381</v>
      </c>
      <c r="C417" s="963"/>
      <c r="D417" s="963"/>
      <c r="E417" s="963"/>
      <c r="F417" s="458"/>
      <c r="G417" s="458"/>
      <c r="H417" s="1074"/>
      <c r="Z417" s="345"/>
      <c r="AA417" s="345"/>
      <c r="AB417" s="345"/>
      <c r="AC417" s="345"/>
      <c r="AD417" s="345"/>
      <c r="AE417" s="345"/>
    </row>
    <row r="418" spans="1:31" s="598" customFormat="1" ht="15" x14ac:dyDescent="0.2">
      <c r="A418" s="605">
        <v>388</v>
      </c>
      <c r="B418" s="611" t="s">
        <v>3380</v>
      </c>
      <c r="C418" s="727"/>
      <c r="D418" s="727"/>
      <c r="E418" s="727"/>
      <c r="F418" s="727"/>
      <c r="G418" s="727"/>
      <c r="H418" s="1073"/>
    </row>
    <row r="419" spans="1:31" s="598" customFormat="1" ht="15" x14ac:dyDescent="0.2">
      <c r="A419" s="605">
        <v>389</v>
      </c>
      <c r="B419" s="611" t="s">
        <v>100</v>
      </c>
      <c r="C419" s="727"/>
      <c r="D419" s="727"/>
      <c r="E419" s="727"/>
      <c r="F419" s="727"/>
      <c r="G419" s="727"/>
      <c r="H419" s="1073"/>
    </row>
    <row r="420" spans="1:31" s="598" customFormat="1" ht="15" x14ac:dyDescent="0.2">
      <c r="A420" s="605">
        <v>390</v>
      </c>
      <c r="B420" s="611" t="s">
        <v>3379</v>
      </c>
      <c r="C420" s="727"/>
      <c r="D420" s="727"/>
      <c r="E420" s="727"/>
      <c r="F420" s="727"/>
      <c r="G420" s="727"/>
      <c r="H420" s="1073"/>
    </row>
    <row r="421" spans="1:31" s="598" customFormat="1" ht="15" x14ac:dyDescent="0.2">
      <c r="A421" s="605">
        <v>391</v>
      </c>
      <c r="B421" s="611" t="s">
        <v>3378</v>
      </c>
      <c r="C421" s="727"/>
      <c r="D421" s="727"/>
      <c r="E421" s="727"/>
      <c r="F421" s="727"/>
      <c r="G421" s="727"/>
      <c r="H421" s="1073"/>
    </row>
    <row r="422" spans="1:31" s="598" customFormat="1" ht="15" x14ac:dyDescent="0.2">
      <c r="A422" s="605">
        <v>392</v>
      </c>
      <c r="B422" s="611" t="s">
        <v>3377</v>
      </c>
      <c r="C422" s="727"/>
      <c r="D422" s="727"/>
      <c r="E422" s="727"/>
      <c r="F422" s="727"/>
      <c r="G422" s="727"/>
      <c r="H422" s="1073"/>
    </row>
    <row r="423" spans="1:31" s="598" customFormat="1" ht="30" x14ac:dyDescent="0.2">
      <c r="A423" s="605">
        <v>393</v>
      </c>
      <c r="B423" s="610" t="s">
        <v>3376</v>
      </c>
      <c r="C423" s="727"/>
      <c r="D423" s="727"/>
      <c r="E423" s="727"/>
      <c r="F423" s="727"/>
      <c r="G423" s="727"/>
      <c r="H423" s="1073"/>
    </row>
    <row r="424" spans="1:31" s="598" customFormat="1" ht="30" x14ac:dyDescent="0.2">
      <c r="A424" s="605">
        <v>394</v>
      </c>
      <c r="B424" s="610" t="s">
        <v>3375</v>
      </c>
      <c r="C424" s="727"/>
      <c r="D424" s="727"/>
      <c r="E424" s="727"/>
      <c r="F424" s="727"/>
      <c r="G424" s="727"/>
      <c r="H424" s="1073"/>
    </row>
    <row r="425" spans="1:31" s="791" customFormat="1" ht="15" x14ac:dyDescent="0.25">
      <c r="A425" s="605">
        <v>395</v>
      </c>
      <c r="B425" s="855" t="s">
        <v>3374</v>
      </c>
      <c r="C425" s="855"/>
      <c r="D425" s="855"/>
      <c r="E425" s="855"/>
      <c r="F425" s="855"/>
      <c r="G425" s="855"/>
      <c r="H425" s="1025"/>
      <c r="I425" s="347"/>
      <c r="J425" s="792"/>
      <c r="K425" s="792"/>
      <c r="L425" s="792"/>
      <c r="M425" s="792"/>
      <c r="N425" s="792"/>
      <c r="O425" s="792"/>
      <c r="P425" s="792"/>
      <c r="Q425" s="792"/>
      <c r="R425" s="792"/>
      <c r="S425" s="792"/>
      <c r="T425" s="792"/>
      <c r="U425" s="792"/>
      <c r="V425" s="792"/>
      <c r="W425" s="792"/>
      <c r="X425" s="792"/>
      <c r="Y425" s="792"/>
    </row>
    <row r="426" spans="1:31" s="411" customFormat="1" ht="15" x14ac:dyDescent="0.25">
      <c r="A426" s="605">
        <v>396</v>
      </c>
      <c r="B426" s="775" t="s">
        <v>2889</v>
      </c>
      <c r="C426" s="966"/>
      <c r="D426" s="966"/>
      <c r="E426" s="966"/>
      <c r="F426" s="966"/>
      <c r="G426" s="966"/>
      <c r="H426" s="1075"/>
      <c r="I426" s="347"/>
      <c r="J426" s="347"/>
      <c r="K426" s="347"/>
      <c r="L426" s="347"/>
      <c r="M426" s="347"/>
      <c r="N426" s="347"/>
      <c r="O426" s="347"/>
      <c r="P426" s="347"/>
      <c r="Q426" s="347"/>
      <c r="R426" s="347"/>
      <c r="S426" s="347"/>
      <c r="T426" s="347"/>
      <c r="U426" s="347"/>
      <c r="V426" s="347"/>
      <c r="W426" s="347"/>
      <c r="X426" s="347"/>
      <c r="Y426" s="347"/>
    </row>
    <row r="427" spans="1:31" s="411" customFormat="1" ht="15" x14ac:dyDescent="0.2">
      <c r="A427" s="605">
        <v>397</v>
      </c>
      <c r="B427" s="930" t="s">
        <v>3373</v>
      </c>
      <c r="C427" s="963"/>
      <c r="D427" s="963"/>
      <c r="E427" s="963"/>
      <c r="F427" s="963"/>
      <c r="G427" s="963"/>
      <c r="H427" s="1074"/>
      <c r="I427" s="347"/>
      <c r="J427" s="347"/>
      <c r="K427" s="347"/>
      <c r="L427" s="347"/>
      <c r="M427" s="347"/>
      <c r="N427" s="347"/>
      <c r="O427" s="347"/>
      <c r="P427" s="347"/>
      <c r="Q427" s="347"/>
      <c r="R427" s="347"/>
      <c r="S427" s="347"/>
      <c r="T427" s="347"/>
      <c r="U427" s="347"/>
      <c r="V427" s="347"/>
      <c r="W427" s="347"/>
      <c r="X427" s="347"/>
      <c r="Y427" s="347"/>
    </row>
    <row r="428" spans="1:31" s="411" customFormat="1" ht="30" x14ac:dyDescent="0.2">
      <c r="A428" s="605">
        <v>398</v>
      </c>
      <c r="B428" s="930" t="s">
        <v>3372</v>
      </c>
      <c r="C428" s="963"/>
      <c r="D428" s="963"/>
      <c r="E428" s="963"/>
      <c r="F428" s="963"/>
      <c r="G428" s="963"/>
      <c r="H428" s="1074"/>
      <c r="I428" s="347"/>
      <c r="J428" s="347"/>
      <c r="K428" s="347"/>
      <c r="L428" s="347"/>
      <c r="M428" s="347"/>
      <c r="N428" s="347"/>
      <c r="O428" s="347"/>
      <c r="P428" s="347"/>
      <c r="Q428" s="347"/>
      <c r="R428" s="347"/>
      <c r="S428" s="347"/>
      <c r="T428" s="347"/>
      <c r="U428" s="347"/>
      <c r="V428" s="347"/>
      <c r="W428" s="347"/>
      <c r="X428" s="347"/>
      <c r="Y428" s="347"/>
    </row>
    <row r="429" spans="1:31" s="411" customFormat="1" ht="30" x14ac:dyDescent="0.2">
      <c r="A429" s="605">
        <v>399</v>
      </c>
      <c r="B429" s="930" t="s">
        <v>3524</v>
      </c>
      <c r="C429" s="963"/>
      <c r="D429" s="963"/>
      <c r="E429" s="963"/>
      <c r="F429" s="963"/>
      <c r="G429" s="963"/>
      <c r="H429" s="1074"/>
      <c r="I429" s="1146"/>
      <c r="J429" s="1146"/>
      <c r="K429" s="1146"/>
      <c r="L429" s="1146"/>
      <c r="M429" s="1146"/>
      <c r="N429" s="1146"/>
      <c r="O429" s="1146"/>
      <c r="P429" s="1146"/>
      <c r="Q429" s="1146"/>
      <c r="R429" s="1146"/>
      <c r="S429" s="1146"/>
      <c r="T429" s="1146"/>
      <c r="U429" s="1146"/>
      <c r="V429" s="1146"/>
      <c r="W429" s="1146"/>
      <c r="X429" s="1146"/>
      <c r="Y429" s="1146"/>
    </row>
    <row r="430" spans="1:31" s="411" customFormat="1" ht="15" x14ac:dyDescent="0.25">
      <c r="A430" s="605">
        <v>400</v>
      </c>
      <c r="B430" s="779" t="s">
        <v>3371</v>
      </c>
      <c r="C430" s="965"/>
      <c r="D430" s="965"/>
      <c r="E430" s="965"/>
      <c r="F430" s="965"/>
      <c r="G430" s="965"/>
      <c r="H430" s="1074"/>
      <c r="I430" s="347"/>
      <c r="J430" s="347"/>
      <c r="K430" s="347"/>
      <c r="L430" s="347"/>
      <c r="M430" s="347"/>
      <c r="N430" s="347"/>
      <c r="O430" s="347"/>
      <c r="P430" s="347"/>
      <c r="Q430" s="347"/>
      <c r="R430" s="347"/>
      <c r="S430" s="347"/>
      <c r="T430" s="347"/>
      <c r="U430" s="347"/>
      <c r="V430" s="347"/>
      <c r="W430" s="347"/>
      <c r="X430" s="347"/>
      <c r="Y430" s="347"/>
    </row>
    <row r="431" spans="1:31" s="411" customFormat="1" ht="15" x14ac:dyDescent="0.25">
      <c r="A431" s="605">
        <v>401</v>
      </c>
      <c r="B431" s="964" t="s">
        <v>3366</v>
      </c>
      <c r="C431" s="963"/>
      <c r="D431" s="963"/>
      <c r="E431" s="963"/>
      <c r="F431" s="963"/>
      <c r="G431" s="963"/>
      <c r="H431" s="1074"/>
      <c r="I431" s="347"/>
      <c r="J431" s="347"/>
      <c r="K431" s="347"/>
      <c r="L431" s="347"/>
      <c r="M431" s="347"/>
      <c r="N431" s="347"/>
      <c r="O431" s="347"/>
      <c r="P431" s="347"/>
      <c r="Q431" s="347"/>
      <c r="R431" s="347"/>
      <c r="S431" s="347"/>
      <c r="T431" s="347"/>
      <c r="U431" s="347"/>
      <c r="V431" s="347"/>
      <c r="W431" s="347"/>
      <c r="X431" s="347"/>
      <c r="Y431" s="347"/>
    </row>
    <row r="432" spans="1:31" s="411" customFormat="1" ht="15" x14ac:dyDescent="0.25">
      <c r="A432" s="605">
        <v>402</v>
      </c>
      <c r="B432" s="964" t="s">
        <v>3363</v>
      </c>
      <c r="C432" s="963"/>
      <c r="D432" s="963"/>
      <c r="E432" s="963"/>
      <c r="F432" s="963"/>
      <c r="G432" s="963"/>
      <c r="H432" s="1074"/>
      <c r="I432" s="347"/>
      <c r="J432" s="347"/>
      <c r="K432" s="347"/>
      <c r="L432" s="347"/>
      <c r="M432" s="347"/>
      <c r="N432" s="347"/>
      <c r="O432" s="347"/>
      <c r="P432" s="347"/>
      <c r="Q432" s="347"/>
      <c r="R432" s="347"/>
      <c r="S432" s="347"/>
      <c r="T432" s="347"/>
      <c r="U432" s="347"/>
      <c r="V432" s="347"/>
      <c r="W432" s="347"/>
      <c r="X432" s="347"/>
      <c r="Y432" s="347"/>
    </row>
    <row r="433" spans="1:25" s="411" customFormat="1" ht="15" x14ac:dyDescent="0.25">
      <c r="A433" s="605">
        <v>403</v>
      </c>
      <c r="B433" s="964" t="s">
        <v>3334</v>
      </c>
      <c r="C433" s="963"/>
      <c r="D433" s="963"/>
      <c r="E433" s="963"/>
      <c r="F433" s="963"/>
      <c r="G433" s="963"/>
      <c r="H433" s="1074"/>
      <c r="I433" s="347"/>
      <c r="J433" s="347"/>
      <c r="K433" s="347"/>
      <c r="L433" s="347"/>
      <c r="M433" s="347"/>
      <c r="N433" s="347"/>
      <c r="O433" s="347"/>
      <c r="P433" s="347"/>
      <c r="Q433" s="347"/>
      <c r="R433" s="347"/>
      <c r="S433" s="347"/>
      <c r="T433" s="347"/>
      <c r="U433" s="347"/>
      <c r="V433" s="347"/>
      <c r="W433" s="347"/>
      <c r="X433" s="347"/>
      <c r="Y433" s="347"/>
    </row>
    <row r="434" spans="1:25" s="411" customFormat="1" ht="15" x14ac:dyDescent="0.25">
      <c r="A434" s="605">
        <v>404</v>
      </c>
      <c r="B434" s="964" t="s">
        <v>3370</v>
      </c>
      <c r="C434" s="963"/>
      <c r="D434" s="963"/>
      <c r="E434" s="963"/>
      <c r="F434" s="963"/>
      <c r="G434" s="963"/>
      <c r="H434" s="1074"/>
      <c r="I434" s="347"/>
      <c r="J434" s="347"/>
      <c r="K434" s="347"/>
      <c r="L434" s="347"/>
      <c r="M434" s="347"/>
      <c r="N434" s="347"/>
      <c r="O434" s="347"/>
      <c r="P434" s="347"/>
      <c r="Q434" s="347"/>
      <c r="R434" s="347"/>
      <c r="S434" s="347"/>
      <c r="T434" s="347"/>
      <c r="U434" s="347"/>
      <c r="V434" s="347"/>
      <c r="W434" s="347"/>
      <c r="X434" s="347"/>
      <c r="Y434" s="347"/>
    </row>
    <row r="435" spans="1:25" s="411" customFormat="1" ht="15" x14ac:dyDescent="0.25">
      <c r="A435" s="605">
        <v>405</v>
      </c>
      <c r="B435" s="964" t="s">
        <v>3369</v>
      </c>
      <c r="C435" s="963"/>
      <c r="D435" s="963"/>
      <c r="E435" s="963"/>
      <c r="F435" s="963"/>
      <c r="G435" s="963"/>
      <c r="H435" s="1074"/>
      <c r="I435" s="347"/>
      <c r="J435" s="347"/>
      <c r="K435" s="347"/>
      <c r="L435" s="347"/>
      <c r="M435" s="347"/>
      <c r="N435" s="347"/>
      <c r="O435" s="347"/>
      <c r="P435" s="347"/>
      <c r="Q435" s="347"/>
      <c r="R435" s="347"/>
      <c r="S435" s="347"/>
      <c r="T435" s="347"/>
      <c r="U435" s="347"/>
      <c r="V435" s="347"/>
      <c r="W435" s="347"/>
      <c r="X435" s="347"/>
      <c r="Y435" s="347"/>
    </row>
    <row r="436" spans="1:25" s="598" customFormat="1" ht="15" x14ac:dyDescent="0.25">
      <c r="A436" s="605">
        <v>406</v>
      </c>
      <c r="B436" s="985" t="s">
        <v>3368</v>
      </c>
      <c r="C436" s="727"/>
      <c r="D436" s="727"/>
      <c r="E436" s="727"/>
      <c r="F436" s="727"/>
      <c r="G436" s="727"/>
      <c r="H436" s="1073"/>
    </row>
    <row r="437" spans="1:25" s="411" customFormat="1" ht="15" x14ac:dyDescent="0.25">
      <c r="A437" s="605">
        <v>407</v>
      </c>
      <c r="B437" s="779" t="s">
        <v>3367</v>
      </c>
      <c r="C437" s="965"/>
      <c r="D437" s="965"/>
      <c r="E437" s="965"/>
      <c r="F437" s="965"/>
      <c r="G437" s="965"/>
      <c r="H437" s="1074"/>
      <c r="I437" s="347"/>
      <c r="J437" s="347"/>
      <c r="K437" s="347"/>
      <c r="L437" s="347"/>
      <c r="M437" s="347"/>
      <c r="N437" s="347"/>
      <c r="O437" s="347"/>
      <c r="P437" s="347"/>
      <c r="Q437" s="347"/>
      <c r="R437" s="347"/>
      <c r="S437" s="347"/>
      <c r="T437" s="347"/>
      <c r="U437" s="347"/>
      <c r="V437" s="347"/>
      <c r="W437" s="347"/>
      <c r="X437" s="347"/>
      <c r="Y437" s="347"/>
    </row>
    <row r="438" spans="1:25" s="411" customFormat="1" ht="15" x14ac:dyDescent="0.25">
      <c r="A438" s="605">
        <v>408</v>
      </c>
      <c r="B438" s="964" t="s">
        <v>3366</v>
      </c>
      <c r="C438" s="963"/>
      <c r="D438" s="963"/>
      <c r="E438" s="963"/>
      <c r="F438" s="963"/>
      <c r="G438" s="963"/>
      <c r="H438" s="1074"/>
      <c r="I438" s="347"/>
      <c r="J438" s="347"/>
      <c r="K438" s="347"/>
      <c r="L438" s="347"/>
      <c r="M438" s="347"/>
      <c r="N438" s="347"/>
      <c r="O438" s="347"/>
      <c r="P438" s="347"/>
      <c r="Q438" s="347"/>
      <c r="R438" s="347"/>
      <c r="S438" s="347"/>
      <c r="T438" s="347"/>
      <c r="U438" s="347"/>
      <c r="V438" s="347"/>
      <c r="W438" s="347"/>
      <c r="X438" s="347"/>
      <c r="Y438" s="347"/>
    </row>
    <row r="439" spans="1:25" s="411" customFormat="1" ht="15" x14ac:dyDescent="0.25">
      <c r="A439" s="605">
        <v>409</v>
      </c>
      <c r="B439" s="964" t="s">
        <v>3363</v>
      </c>
      <c r="C439" s="963"/>
      <c r="D439" s="963"/>
      <c r="E439" s="963"/>
      <c r="F439" s="963"/>
      <c r="G439" s="963"/>
      <c r="H439" s="1074"/>
      <c r="I439" s="347"/>
      <c r="J439" s="347"/>
      <c r="K439" s="347"/>
      <c r="L439" s="347"/>
      <c r="M439" s="347"/>
      <c r="N439" s="347"/>
      <c r="O439" s="347"/>
      <c r="P439" s="347"/>
      <c r="Q439" s="347"/>
      <c r="R439" s="347"/>
      <c r="S439" s="347"/>
      <c r="T439" s="347"/>
      <c r="U439" s="347"/>
      <c r="V439" s="347"/>
      <c r="W439" s="347"/>
      <c r="X439" s="347"/>
      <c r="Y439" s="347"/>
    </row>
    <row r="440" spans="1:25" s="411" customFormat="1" ht="15" x14ac:dyDescent="0.25">
      <c r="A440" s="605">
        <v>410</v>
      </c>
      <c r="B440" s="964" t="s">
        <v>402</v>
      </c>
      <c r="C440" s="963"/>
      <c r="D440" s="963"/>
      <c r="E440" s="963"/>
      <c r="F440" s="963"/>
      <c r="G440" s="963"/>
      <c r="H440" s="1074"/>
      <c r="I440" s="347"/>
      <c r="J440" s="347"/>
      <c r="K440" s="347"/>
      <c r="L440" s="347"/>
      <c r="M440" s="347"/>
      <c r="N440" s="347"/>
      <c r="O440" s="347"/>
      <c r="P440" s="347"/>
      <c r="Q440" s="347"/>
      <c r="R440" s="347"/>
      <c r="S440" s="347"/>
      <c r="T440" s="347"/>
      <c r="U440" s="347"/>
      <c r="V440" s="347"/>
      <c r="W440" s="347"/>
      <c r="X440" s="347"/>
      <c r="Y440" s="347"/>
    </row>
    <row r="441" spans="1:25" s="411" customFormat="1" ht="15" x14ac:dyDescent="0.25">
      <c r="A441" s="605">
        <v>411</v>
      </c>
      <c r="B441" s="779" t="s">
        <v>3365</v>
      </c>
      <c r="C441" s="965"/>
      <c r="D441" s="965"/>
      <c r="E441" s="965"/>
      <c r="F441" s="965"/>
      <c r="G441" s="965"/>
      <c r="H441" s="1074"/>
      <c r="I441" s="347"/>
      <c r="J441" s="347"/>
      <c r="K441" s="347"/>
      <c r="L441" s="347"/>
      <c r="M441" s="347"/>
      <c r="N441" s="347"/>
      <c r="O441" s="347"/>
      <c r="P441" s="347"/>
      <c r="Q441" s="347"/>
      <c r="R441" s="347"/>
      <c r="S441" s="347"/>
      <c r="T441" s="347"/>
      <c r="U441" s="347"/>
      <c r="V441" s="347"/>
      <c r="W441" s="347"/>
      <c r="X441" s="347"/>
      <c r="Y441" s="347"/>
    </row>
    <row r="442" spans="1:25" s="411" customFormat="1" ht="15" x14ac:dyDescent="0.25">
      <c r="A442" s="605">
        <v>412</v>
      </c>
      <c r="B442" s="964" t="s">
        <v>3364</v>
      </c>
      <c r="C442" s="963"/>
      <c r="D442" s="963"/>
      <c r="E442" s="963"/>
      <c r="F442" s="963"/>
      <c r="G442" s="963"/>
      <c r="H442" s="1074"/>
      <c r="I442" s="347"/>
      <c r="J442" s="347"/>
      <c r="K442" s="347"/>
      <c r="L442" s="347"/>
      <c r="M442" s="347"/>
      <c r="N442" s="347"/>
      <c r="O442" s="347"/>
      <c r="P442" s="347"/>
      <c r="Q442" s="347"/>
      <c r="R442" s="347"/>
      <c r="S442" s="347"/>
      <c r="T442" s="347"/>
      <c r="U442" s="347"/>
      <c r="V442" s="347"/>
      <c r="W442" s="347"/>
      <c r="X442" s="347"/>
      <c r="Y442" s="347"/>
    </row>
    <row r="443" spans="1:25" s="411" customFormat="1" ht="15" x14ac:dyDescent="0.25">
      <c r="A443" s="605">
        <v>413</v>
      </c>
      <c r="B443" s="964" t="s">
        <v>3363</v>
      </c>
      <c r="C443" s="963"/>
      <c r="D443" s="963"/>
      <c r="E443" s="963"/>
      <c r="F443" s="963"/>
      <c r="G443" s="963"/>
      <c r="H443" s="1074"/>
      <c r="I443" s="347"/>
      <c r="J443" s="347"/>
      <c r="K443" s="347"/>
      <c r="L443" s="347"/>
      <c r="M443" s="347"/>
      <c r="N443" s="347"/>
      <c r="O443" s="347"/>
      <c r="P443" s="347"/>
      <c r="Q443" s="347"/>
      <c r="R443" s="347"/>
      <c r="S443" s="347"/>
      <c r="T443" s="347"/>
      <c r="U443" s="347"/>
      <c r="V443" s="347"/>
      <c r="W443" s="347"/>
      <c r="X443" s="347"/>
      <c r="Y443" s="347"/>
    </row>
    <row r="444" spans="1:25" s="411" customFormat="1" ht="15" x14ac:dyDescent="0.25">
      <c r="A444" s="605">
        <v>414</v>
      </c>
      <c r="B444" s="964" t="s">
        <v>3028</v>
      </c>
      <c r="C444" s="963"/>
      <c r="D444" s="963"/>
      <c r="E444" s="963"/>
      <c r="F444" s="963"/>
      <c r="G444" s="963"/>
      <c r="H444" s="1074"/>
      <c r="I444" s="1146"/>
      <c r="J444" s="1146"/>
      <c r="K444" s="1146"/>
      <c r="L444" s="1146"/>
      <c r="M444" s="1146"/>
      <c r="N444" s="1146"/>
      <c r="O444" s="1146"/>
      <c r="P444" s="1146"/>
      <c r="Q444" s="1146"/>
      <c r="R444" s="1146"/>
      <c r="S444" s="1146"/>
      <c r="T444" s="1146"/>
      <c r="U444" s="1146"/>
      <c r="V444" s="1146"/>
      <c r="W444" s="1146"/>
      <c r="X444" s="1146"/>
      <c r="Y444" s="1146"/>
    </row>
    <row r="445" spans="1:25" s="411" customFormat="1" ht="15" x14ac:dyDescent="0.2">
      <c r="A445" s="605">
        <v>415</v>
      </c>
      <c r="B445" s="1156" t="s">
        <v>1138</v>
      </c>
      <c r="C445" s="963"/>
      <c r="D445" s="963"/>
      <c r="E445" s="963"/>
      <c r="F445" s="963"/>
      <c r="G445" s="963"/>
      <c r="H445" s="1074"/>
      <c r="I445" s="347"/>
      <c r="J445" s="347"/>
      <c r="K445" s="347"/>
      <c r="L445" s="347"/>
      <c r="M445" s="347"/>
      <c r="N445" s="347"/>
      <c r="O445" s="347"/>
      <c r="P445" s="347"/>
      <c r="Q445" s="347"/>
      <c r="R445" s="347"/>
      <c r="S445" s="347"/>
      <c r="T445" s="347"/>
      <c r="U445" s="347"/>
      <c r="V445" s="347"/>
      <c r="W445" s="347"/>
      <c r="X445" s="347"/>
      <c r="Y445" s="347"/>
    </row>
    <row r="446" spans="1:25" s="347" customFormat="1" ht="15" x14ac:dyDescent="0.25">
      <c r="A446" s="605">
        <v>416</v>
      </c>
      <c r="B446" s="962" t="s">
        <v>3362</v>
      </c>
      <c r="C446" s="961"/>
      <c r="D446" s="961"/>
      <c r="E446" s="961"/>
      <c r="F446" s="961"/>
      <c r="G446" s="961"/>
      <c r="H446" s="1026"/>
    </row>
    <row r="447" spans="1:25" s="347" customFormat="1" ht="15" x14ac:dyDescent="0.2">
      <c r="A447" s="605">
        <v>417</v>
      </c>
      <c r="B447" s="925" t="s">
        <v>978</v>
      </c>
      <c r="C447" s="934"/>
      <c r="D447" s="934"/>
      <c r="E447" s="934"/>
      <c r="F447" s="934"/>
      <c r="G447" s="934"/>
      <c r="H447" s="1076"/>
    </row>
    <row r="448" spans="1:25" s="347" customFormat="1" ht="30" x14ac:dyDescent="0.2">
      <c r="A448" s="605">
        <v>418</v>
      </c>
      <c r="B448" s="936" t="s">
        <v>3361</v>
      </c>
      <c r="C448" s="958"/>
      <c r="D448" s="958"/>
      <c r="E448" s="958"/>
      <c r="F448" s="958"/>
      <c r="G448" s="958"/>
      <c r="H448" s="1077"/>
    </row>
    <row r="449" spans="1:31" s="347" customFormat="1" ht="30" x14ac:dyDescent="0.2">
      <c r="A449" s="605">
        <v>419</v>
      </c>
      <c r="B449" s="960" t="s">
        <v>3360</v>
      </c>
      <c r="C449" s="959"/>
      <c r="D449" s="959"/>
      <c r="E449" s="959"/>
      <c r="F449" s="959"/>
      <c r="G449" s="959"/>
      <c r="H449" s="1077"/>
    </row>
    <row r="450" spans="1:31" s="347" customFormat="1" ht="30" x14ac:dyDescent="0.2">
      <c r="A450" s="605">
        <v>420</v>
      </c>
      <c r="B450" s="960" t="s">
        <v>3359</v>
      </c>
      <c r="C450" s="959"/>
      <c r="D450" s="959"/>
      <c r="E450" s="959"/>
      <c r="F450" s="959"/>
      <c r="G450" s="959"/>
      <c r="H450" s="1077"/>
    </row>
    <row r="451" spans="1:31" s="347" customFormat="1" ht="15" x14ac:dyDescent="0.2">
      <c r="A451" s="605">
        <v>421</v>
      </c>
      <c r="B451" s="960" t="s">
        <v>3358</v>
      </c>
      <c r="C451" s="959"/>
      <c r="D451" s="959"/>
      <c r="E451" s="959"/>
      <c r="F451" s="959"/>
      <c r="G451" s="959"/>
      <c r="H451" s="1077"/>
    </row>
    <row r="452" spans="1:31" s="347" customFormat="1" ht="30" x14ac:dyDescent="0.2">
      <c r="A452" s="605">
        <v>422</v>
      </c>
      <c r="B452" s="960" t="s">
        <v>3357</v>
      </c>
      <c r="C452" s="959"/>
      <c r="D452" s="959"/>
      <c r="E452" s="959"/>
      <c r="F452" s="959"/>
      <c r="G452" s="959"/>
      <c r="H452" s="1077"/>
    </row>
    <row r="453" spans="1:31" s="347" customFormat="1" ht="15" x14ac:dyDescent="0.2">
      <c r="A453" s="605">
        <v>423</v>
      </c>
      <c r="B453" s="960" t="s">
        <v>3356</v>
      </c>
      <c r="C453" s="959"/>
      <c r="D453" s="959"/>
      <c r="E453" s="959"/>
      <c r="F453" s="959"/>
      <c r="G453" s="959"/>
      <c r="H453" s="1077"/>
    </row>
    <row r="454" spans="1:31" s="347" customFormat="1" ht="30" x14ac:dyDescent="0.2">
      <c r="A454" s="605">
        <v>424</v>
      </c>
      <c r="B454" s="960" t="s">
        <v>3355</v>
      </c>
      <c r="C454" s="959"/>
      <c r="D454" s="959"/>
      <c r="E454" s="959"/>
      <c r="F454" s="959"/>
      <c r="G454" s="959"/>
      <c r="H454" s="1077"/>
    </row>
    <row r="455" spans="1:31" s="347" customFormat="1" ht="30" x14ac:dyDescent="0.2">
      <c r="A455" s="605">
        <v>425</v>
      </c>
      <c r="B455" s="960" t="s">
        <v>3354</v>
      </c>
      <c r="C455" s="959"/>
      <c r="D455" s="959"/>
      <c r="E455" s="959"/>
      <c r="F455" s="959"/>
      <c r="G455" s="959"/>
      <c r="H455" s="1077"/>
    </row>
    <row r="456" spans="1:31" s="347" customFormat="1" ht="30" x14ac:dyDescent="0.25">
      <c r="A456" s="605">
        <v>426</v>
      </c>
      <c r="B456" s="943" t="s">
        <v>3353</v>
      </c>
      <c r="C456" s="958"/>
      <c r="D456" s="958"/>
      <c r="E456" s="958"/>
      <c r="F456" s="958"/>
      <c r="G456" s="958"/>
      <c r="H456" s="1078"/>
    </row>
    <row r="457" spans="1:31" s="347" customFormat="1" ht="15" x14ac:dyDescent="0.25">
      <c r="A457" s="605">
        <v>427</v>
      </c>
      <c r="B457" s="956" t="s">
        <v>3352</v>
      </c>
      <c r="C457" s="939"/>
      <c r="D457" s="939"/>
      <c r="E457" s="939"/>
      <c r="F457" s="939"/>
      <c r="G457" s="939"/>
      <c r="H457" s="1078"/>
    </row>
    <row r="458" spans="1:31" s="347" customFormat="1" ht="15" x14ac:dyDescent="0.25">
      <c r="A458" s="605">
        <v>428</v>
      </c>
      <c r="B458" s="956" t="s">
        <v>3351</v>
      </c>
      <c r="C458" s="939"/>
      <c r="D458" s="939"/>
      <c r="E458" s="939"/>
      <c r="F458" s="939"/>
      <c r="G458" s="939"/>
      <c r="H458" s="1078"/>
    </row>
    <row r="459" spans="1:31" s="347" customFormat="1" ht="15" x14ac:dyDescent="0.25">
      <c r="A459" s="605">
        <v>429</v>
      </c>
      <c r="B459" s="956" t="s">
        <v>3350</v>
      </c>
      <c r="C459" s="939"/>
      <c r="D459" s="939"/>
      <c r="E459" s="939"/>
      <c r="F459" s="939"/>
      <c r="G459" s="939"/>
      <c r="H459" s="1078"/>
    </row>
    <row r="460" spans="1:31" s="347" customFormat="1" ht="15" x14ac:dyDescent="0.25">
      <c r="A460" s="605">
        <v>430</v>
      </c>
      <c r="B460" s="956" t="s">
        <v>3349</v>
      </c>
      <c r="C460" s="939"/>
      <c r="D460" s="939"/>
      <c r="E460" s="939"/>
      <c r="F460" s="939"/>
      <c r="G460" s="939"/>
      <c r="H460" s="1078"/>
    </row>
    <row r="461" spans="1:31" ht="15" x14ac:dyDescent="0.25">
      <c r="A461" s="605">
        <v>431</v>
      </c>
      <c r="B461" s="956" t="s">
        <v>3348</v>
      </c>
      <c r="C461" s="939"/>
      <c r="D461" s="939"/>
      <c r="E461" s="939"/>
      <c r="F461" s="939"/>
      <c r="G461" s="939"/>
      <c r="H461" s="1078"/>
      <c r="Z461" s="345"/>
      <c r="AA461" s="345"/>
      <c r="AB461" s="345"/>
      <c r="AC461" s="345"/>
      <c r="AD461" s="345"/>
      <c r="AE461" s="345"/>
    </row>
    <row r="462" spans="1:31" ht="30" x14ac:dyDescent="0.25">
      <c r="A462" s="605">
        <v>432</v>
      </c>
      <c r="B462" s="943" t="s">
        <v>3347</v>
      </c>
      <c r="C462" s="939"/>
      <c r="D462" s="939"/>
      <c r="E462" s="939"/>
      <c r="F462" s="939"/>
      <c r="G462" s="939"/>
      <c r="H462" s="1078"/>
      <c r="Z462" s="345"/>
      <c r="AA462" s="345"/>
      <c r="AB462" s="345"/>
      <c r="AC462" s="345"/>
      <c r="AD462" s="345"/>
      <c r="AE462" s="345"/>
    </row>
    <row r="463" spans="1:31" ht="30" x14ac:dyDescent="0.25">
      <c r="A463" s="605">
        <v>433</v>
      </c>
      <c r="B463" s="943" t="s">
        <v>3346</v>
      </c>
      <c r="C463" s="939"/>
      <c r="D463" s="939"/>
      <c r="E463" s="939"/>
      <c r="F463" s="939"/>
      <c r="G463" s="939"/>
      <c r="H463" s="1078"/>
      <c r="Z463" s="345"/>
      <c r="AA463" s="345"/>
      <c r="AB463" s="345"/>
      <c r="AC463" s="345"/>
      <c r="AD463" s="345"/>
      <c r="AE463" s="345"/>
    </row>
    <row r="464" spans="1:31" s="1153" customFormat="1" ht="15" x14ac:dyDescent="0.25">
      <c r="A464" s="605">
        <v>434</v>
      </c>
      <c r="B464" s="1157" t="s">
        <v>3544</v>
      </c>
      <c r="C464" s="1158"/>
      <c r="D464" s="1158"/>
      <c r="E464" s="1158"/>
      <c r="F464" s="1158"/>
      <c r="G464" s="1158"/>
      <c r="H464" s="1159"/>
    </row>
    <row r="465" spans="1:31" ht="15" x14ac:dyDescent="0.25">
      <c r="A465" s="605">
        <v>435</v>
      </c>
      <c r="B465" s="943" t="s">
        <v>3538</v>
      </c>
      <c r="C465" s="939"/>
      <c r="D465" s="939"/>
      <c r="E465" s="939"/>
      <c r="F465" s="939"/>
      <c r="G465" s="939"/>
      <c r="H465" s="1078"/>
      <c r="I465" s="1146"/>
      <c r="J465" s="1146"/>
      <c r="K465" s="1146"/>
      <c r="L465" s="1146"/>
      <c r="M465" s="1146"/>
      <c r="N465" s="1146"/>
      <c r="O465" s="1146"/>
      <c r="P465" s="1146"/>
      <c r="Q465" s="1146"/>
      <c r="R465" s="1146"/>
      <c r="S465" s="1146"/>
      <c r="T465" s="1146"/>
      <c r="U465" s="1146"/>
      <c r="V465" s="1146"/>
      <c r="W465" s="1146"/>
      <c r="X465" s="1146"/>
      <c r="Y465" s="1146"/>
      <c r="Z465" s="345"/>
      <c r="AA465" s="345"/>
      <c r="AB465" s="345"/>
      <c r="AC465" s="345"/>
      <c r="AD465" s="345"/>
      <c r="AE465" s="345"/>
    </row>
    <row r="466" spans="1:31" ht="15" x14ac:dyDescent="0.25">
      <c r="A466" s="605">
        <v>436</v>
      </c>
      <c r="B466" s="956" t="s">
        <v>3539</v>
      </c>
      <c r="C466" s="939"/>
      <c r="D466" s="939"/>
      <c r="E466" s="939"/>
      <c r="F466" s="939"/>
      <c r="G466" s="939"/>
      <c r="H466" s="1078"/>
      <c r="I466" s="1146"/>
      <c r="J466" s="1146"/>
      <c r="K466" s="1146"/>
      <c r="L466" s="1146"/>
      <c r="M466" s="1146"/>
      <c r="N466" s="1146"/>
      <c r="O466" s="1146"/>
      <c r="P466" s="1146"/>
      <c r="Q466" s="1146"/>
      <c r="R466" s="1146"/>
      <c r="S466" s="1146"/>
      <c r="T466" s="1146"/>
      <c r="U466" s="1146"/>
      <c r="V466" s="1146"/>
      <c r="W466" s="1146"/>
      <c r="X466" s="1146"/>
      <c r="Y466" s="1146"/>
      <c r="Z466" s="345"/>
      <c r="AA466" s="345"/>
      <c r="AB466" s="345"/>
      <c r="AC466" s="345"/>
      <c r="AD466" s="345"/>
      <c r="AE466" s="345"/>
    </row>
    <row r="467" spans="1:31" ht="15" x14ac:dyDescent="0.25">
      <c r="A467" s="605">
        <v>437</v>
      </c>
      <c r="B467" s="956" t="s">
        <v>3540</v>
      </c>
      <c r="C467" s="939"/>
      <c r="D467" s="939"/>
      <c r="E467" s="939"/>
      <c r="F467" s="939"/>
      <c r="G467" s="939"/>
      <c r="H467" s="1078"/>
      <c r="I467" s="1146"/>
      <c r="J467" s="1146"/>
      <c r="K467" s="1146"/>
      <c r="L467" s="1146"/>
      <c r="M467" s="1146"/>
      <c r="N467" s="1146"/>
      <c r="O467" s="1146"/>
      <c r="P467" s="1146"/>
      <c r="Q467" s="1146"/>
      <c r="R467" s="1146"/>
      <c r="S467" s="1146"/>
      <c r="T467" s="1146"/>
      <c r="U467" s="1146"/>
      <c r="V467" s="1146"/>
      <c r="W467" s="1146"/>
      <c r="X467" s="1146"/>
      <c r="Y467" s="1146"/>
      <c r="Z467" s="345"/>
      <c r="AA467" s="345"/>
      <c r="AB467" s="345"/>
      <c r="AC467" s="345"/>
      <c r="AD467" s="345"/>
      <c r="AE467" s="345"/>
    </row>
    <row r="468" spans="1:31" ht="15" x14ac:dyDescent="0.25">
      <c r="A468" s="605">
        <v>438</v>
      </c>
      <c r="B468" s="956" t="s">
        <v>1936</v>
      </c>
      <c r="C468" s="939"/>
      <c r="D468" s="939"/>
      <c r="E468" s="939"/>
      <c r="F468" s="939"/>
      <c r="G468" s="939"/>
      <c r="H468" s="1078"/>
      <c r="I468" s="1146"/>
      <c r="J468" s="1146"/>
      <c r="K468" s="1146"/>
      <c r="L468" s="1146"/>
      <c r="M468" s="1146"/>
      <c r="N468" s="1146"/>
      <c r="O468" s="1146"/>
      <c r="P468" s="1146"/>
      <c r="Q468" s="1146"/>
      <c r="R468" s="1146"/>
      <c r="S468" s="1146"/>
      <c r="T468" s="1146"/>
      <c r="U468" s="1146"/>
      <c r="V468" s="1146"/>
      <c r="W468" s="1146"/>
      <c r="X468" s="1146"/>
      <c r="Y468" s="1146"/>
      <c r="Z468" s="345"/>
      <c r="AA468" s="345"/>
      <c r="AB468" s="345"/>
      <c r="AC468" s="345"/>
      <c r="AD468" s="345"/>
      <c r="AE468" s="345"/>
    </row>
    <row r="469" spans="1:31" ht="15" x14ac:dyDescent="0.25">
      <c r="A469" s="605">
        <v>439</v>
      </c>
      <c r="B469" s="956" t="s">
        <v>3541</v>
      </c>
      <c r="C469" s="939"/>
      <c r="D469" s="939"/>
      <c r="E469" s="939"/>
      <c r="F469" s="939"/>
      <c r="G469" s="939"/>
      <c r="H469" s="1078"/>
      <c r="I469" s="1146"/>
      <c r="J469" s="1146"/>
      <c r="K469" s="1146"/>
      <c r="L469" s="1146"/>
      <c r="M469" s="1146"/>
      <c r="N469" s="1146"/>
      <c r="O469" s="1146"/>
      <c r="P469" s="1146"/>
      <c r="Q469" s="1146"/>
      <c r="R469" s="1146"/>
      <c r="S469" s="1146"/>
      <c r="T469" s="1146"/>
      <c r="U469" s="1146"/>
      <c r="V469" s="1146"/>
      <c r="W469" s="1146"/>
      <c r="X469" s="1146"/>
      <c r="Y469" s="1146"/>
      <c r="Z469" s="345"/>
      <c r="AA469" s="345"/>
      <c r="AB469" s="345"/>
      <c r="AC469" s="345"/>
      <c r="AD469" s="345"/>
      <c r="AE469" s="345"/>
    </row>
    <row r="470" spans="1:31" ht="15" x14ac:dyDescent="0.25">
      <c r="A470" s="605">
        <v>440</v>
      </c>
      <c r="B470" s="956" t="s">
        <v>2762</v>
      </c>
      <c r="C470" s="939"/>
      <c r="D470" s="939"/>
      <c r="E470" s="939"/>
      <c r="F470" s="939"/>
      <c r="G470" s="939"/>
      <c r="H470" s="1078"/>
      <c r="I470" s="1146"/>
      <c r="J470" s="1146"/>
      <c r="K470" s="1146"/>
      <c r="L470" s="1146"/>
      <c r="M470" s="1146"/>
      <c r="N470" s="1146"/>
      <c r="O470" s="1146"/>
      <c r="P470" s="1146"/>
      <c r="Q470" s="1146"/>
      <c r="R470" s="1146"/>
      <c r="S470" s="1146"/>
      <c r="T470" s="1146"/>
      <c r="U470" s="1146"/>
      <c r="V470" s="1146"/>
      <c r="W470" s="1146"/>
      <c r="X470" s="1146"/>
      <c r="Y470" s="1146"/>
      <c r="Z470" s="345"/>
      <c r="AA470" s="345"/>
      <c r="AB470" s="345"/>
      <c r="AC470" s="345"/>
      <c r="AD470" s="345"/>
      <c r="AE470" s="345"/>
    </row>
    <row r="471" spans="1:31" ht="15" x14ac:dyDescent="0.25">
      <c r="A471" s="605">
        <v>441</v>
      </c>
      <c r="B471" s="943" t="s">
        <v>3542</v>
      </c>
      <c r="C471" s="939"/>
      <c r="D471" s="939"/>
      <c r="E471" s="939"/>
      <c r="F471" s="939"/>
      <c r="G471" s="939"/>
      <c r="H471" s="1078"/>
      <c r="I471" s="1146"/>
      <c r="J471" s="1146"/>
      <c r="K471" s="1146"/>
      <c r="L471" s="1146"/>
      <c r="M471" s="1146"/>
      <c r="N471" s="1146"/>
      <c r="O471" s="1146"/>
      <c r="P471" s="1146"/>
      <c r="Q471" s="1146"/>
      <c r="R471" s="1146"/>
      <c r="S471" s="1146"/>
      <c r="T471" s="1146"/>
      <c r="U471" s="1146"/>
      <c r="V471" s="1146"/>
      <c r="W471" s="1146"/>
      <c r="X471" s="1146"/>
      <c r="Y471" s="1146"/>
      <c r="Z471" s="345"/>
      <c r="AA471" s="345"/>
      <c r="AB471" s="345"/>
      <c r="AC471" s="345"/>
      <c r="AD471" s="345"/>
      <c r="AE471" s="345"/>
    </row>
    <row r="472" spans="1:31" ht="15" x14ac:dyDescent="0.25">
      <c r="A472" s="605">
        <v>442</v>
      </c>
      <c r="B472" s="956" t="s">
        <v>190</v>
      </c>
      <c r="C472" s="939"/>
      <c r="D472" s="939"/>
      <c r="E472" s="939"/>
      <c r="F472" s="939"/>
      <c r="G472" s="939"/>
      <c r="H472" s="1078"/>
      <c r="I472" s="1146"/>
      <c r="J472" s="1146"/>
      <c r="K472" s="1146"/>
      <c r="L472" s="1146"/>
      <c r="M472" s="1146"/>
      <c r="N472" s="1146"/>
      <c r="O472" s="1146"/>
      <c r="P472" s="1146"/>
      <c r="Q472" s="1146"/>
      <c r="R472" s="1146"/>
      <c r="S472" s="1146"/>
      <c r="T472" s="1146"/>
      <c r="U472" s="1146"/>
      <c r="V472" s="1146"/>
      <c r="W472" s="1146"/>
      <c r="X472" s="1146"/>
      <c r="Y472" s="1146"/>
      <c r="Z472" s="345"/>
      <c r="AA472" s="345"/>
      <c r="AB472" s="345"/>
      <c r="AC472" s="345"/>
      <c r="AD472" s="345"/>
      <c r="AE472" s="345"/>
    </row>
    <row r="473" spans="1:31" ht="15" x14ac:dyDescent="0.25">
      <c r="A473" s="605">
        <v>443</v>
      </c>
      <c r="B473" s="956" t="s">
        <v>1138</v>
      </c>
      <c r="C473" s="939"/>
      <c r="D473" s="939"/>
      <c r="E473" s="939"/>
      <c r="F473" s="939"/>
      <c r="G473" s="939"/>
      <c r="H473" s="1078"/>
      <c r="I473" s="1146"/>
      <c r="J473" s="1146"/>
      <c r="K473" s="1146"/>
      <c r="L473" s="1146"/>
      <c r="M473" s="1146"/>
      <c r="N473" s="1146"/>
      <c r="O473" s="1146"/>
      <c r="P473" s="1146"/>
      <c r="Q473" s="1146"/>
      <c r="R473" s="1146"/>
      <c r="S473" s="1146"/>
      <c r="T473" s="1146"/>
      <c r="U473" s="1146"/>
      <c r="V473" s="1146"/>
      <c r="W473" s="1146"/>
      <c r="X473" s="1146"/>
      <c r="Y473" s="1146"/>
      <c r="Z473" s="345"/>
      <c r="AA473" s="345"/>
      <c r="AB473" s="345"/>
      <c r="AC473" s="345"/>
      <c r="AD473" s="345"/>
      <c r="AE473" s="345"/>
    </row>
    <row r="474" spans="1:31" ht="15" x14ac:dyDescent="0.25">
      <c r="A474" s="605">
        <v>444</v>
      </c>
      <c r="B474" s="956" t="s">
        <v>3543</v>
      </c>
      <c r="C474" s="939"/>
      <c r="D474" s="939"/>
      <c r="E474" s="939"/>
      <c r="F474" s="939"/>
      <c r="G474" s="939"/>
      <c r="H474" s="1078"/>
      <c r="I474" s="1146"/>
      <c r="J474" s="1146"/>
      <c r="K474" s="1146"/>
      <c r="L474" s="1146"/>
      <c r="M474" s="1146"/>
      <c r="N474" s="1146"/>
      <c r="O474" s="1146"/>
      <c r="P474" s="1146"/>
      <c r="Q474" s="1146"/>
      <c r="R474" s="1146"/>
      <c r="S474" s="1146"/>
      <c r="T474" s="1146"/>
      <c r="U474" s="1146"/>
      <c r="V474" s="1146"/>
      <c r="W474" s="1146"/>
      <c r="X474" s="1146"/>
      <c r="Y474" s="1146"/>
      <c r="Z474" s="345"/>
      <c r="AA474" s="345"/>
      <c r="AB474" s="345"/>
      <c r="AC474" s="345"/>
      <c r="AD474" s="345"/>
      <c r="AE474" s="345"/>
    </row>
    <row r="475" spans="1:31" ht="30" x14ac:dyDescent="0.25">
      <c r="A475" s="605">
        <v>445</v>
      </c>
      <c r="B475" s="943" t="s">
        <v>3545</v>
      </c>
      <c r="C475" s="939"/>
      <c r="D475" s="939"/>
      <c r="E475" s="939"/>
      <c r="F475" s="939"/>
      <c r="G475" s="939"/>
      <c r="H475" s="1078"/>
      <c r="I475" s="1146"/>
      <c r="J475" s="1146"/>
      <c r="K475" s="1146"/>
      <c r="L475" s="1146"/>
      <c r="M475" s="1146"/>
      <c r="N475" s="1146"/>
      <c r="O475" s="1146"/>
      <c r="P475" s="1146"/>
      <c r="Q475" s="1146"/>
      <c r="R475" s="1146"/>
      <c r="S475" s="1146"/>
      <c r="T475" s="1146"/>
      <c r="U475" s="1146"/>
      <c r="V475" s="1146"/>
      <c r="W475" s="1146"/>
      <c r="X475" s="1146"/>
      <c r="Y475" s="1146"/>
      <c r="Z475" s="345"/>
      <c r="AA475" s="345"/>
      <c r="AB475" s="345"/>
      <c r="AC475" s="345"/>
      <c r="AD475" s="345"/>
      <c r="AE475" s="345"/>
    </row>
    <row r="476" spans="1:31" ht="15" x14ac:dyDescent="0.25">
      <c r="A476" s="605">
        <v>446</v>
      </c>
      <c r="B476" s="956" t="s">
        <v>3546</v>
      </c>
      <c r="C476" s="939"/>
      <c r="D476" s="939"/>
      <c r="E476" s="939"/>
      <c r="F476" s="939"/>
      <c r="G476" s="939"/>
      <c r="H476" s="1078"/>
      <c r="I476" s="1146"/>
      <c r="J476" s="1146"/>
      <c r="K476" s="1146"/>
      <c r="L476" s="1146"/>
      <c r="M476" s="1146"/>
      <c r="N476" s="1146"/>
      <c r="O476" s="1146"/>
      <c r="P476" s="1146"/>
      <c r="Q476" s="1146"/>
      <c r="R476" s="1146"/>
      <c r="S476" s="1146"/>
      <c r="T476" s="1146"/>
      <c r="U476" s="1146"/>
      <c r="V476" s="1146"/>
      <c r="W476" s="1146"/>
      <c r="X476" s="1146"/>
      <c r="Y476" s="1146"/>
      <c r="Z476" s="345"/>
      <c r="AA476" s="345"/>
      <c r="AB476" s="345"/>
      <c r="AC476" s="345"/>
      <c r="AD476" s="345"/>
      <c r="AE476" s="345"/>
    </row>
    <row r="477" spans="1:31" ht="15" x14ac:dyDescent="0.25">
      <c r="A477" s="605">
        <v>447</v>
      </c>
      <c r="B477" s="956" t="s">
        <v>3547</v>
      </c>
      <c r="C477" s="939"/>
      <c r="D477" s="939"/>
      <c r="E477" s="939"/>
      <c r="F477" s="939"/>
      <c r="G477" s="939"/>
      <c r="H477" s="1078"/>
      <c r="I477" s="1146"/>
      <c r="J477" s="1146"/>
      <c r="K477" s="1146"/>
      <c r="L477" s="1146"/>
      <c r="M477" s="1146"/>
      <c r="N477" s="1146"/>
      <c r="O477" s="1146"/>
      <c r="P477" s="1146"/>
      <c r="Q477" s="1146"/>
      <c r="R477" s="1146"/>
      <c r="S477" s="1146"/>
      <c r="T477" s="1146"/>
      <c r="U477" s="1146"/>
      <c r="V477" s="1146"/>
      <c r="W477" s="1146"/>
      <c r="X477" s="1146"/>
      <c r="Y477" s="1146"/>
      <c r="Z477" s="345"/>
      <c r="AA477" s="345"/>
      <c r="AB477" s="345"/>
      <c r="AC477" s="345"/>
      <c r="AD477" s="345"/>
      <c r="AE477" s="345"/>
    </row>
    <row r="478" spans="1:31" ht="15" x14ac:dyDescent="0.25">
      <c r="A478" s="605">
        <v>448</v>
      </c>
      <c r="B478" s="956" t="s">
        <v>3548</v>
      </c>
      <c r="C478" s="939"/>
      <c r="D478" s="939"/>
      <c r="E478" s="939"/>
      <c r="F478" s="939"/>
      <c r="G478" s="939"/>
      <c r="H478" s="1078"/>
      <c r="I478" s="1146"/>
      <c r="J478" s="1146"/>
      <c r="K478" s="1146"/>
      <c r="L478" s="1146"/>
      <c r="M478" s="1146"/>
      <c r="N478" s="1146"/>
      <c r="O478" s="1146"/>
      <c r="P478" s="1146"/>
      <c r="Q478" s="1146"/>
      <c r="R478" s="1146"/>
      <c r="S478" s="1146"/>
      <c r="T478" s="1146"/>
      <c r="U478" s="1146"/>
      <c r="V478" s="1146"/>
      <c r="W478" s="1146"/>
      <c r="X478" s="1146"/>
      <c r="Y478" s="1146"/>
      <c r="Z478" s="345"/>
      <c r="AA478" s="345"/>
      <c r="AB478" s="345"/>
      <c r="AC478" s="345"/>
      <c r="AD478" s="345"/>
      <c r="AE478" s="345"/>
    </row>
    <row r="479" spans="1:31" ht="15" x14ac:dyDescent="0.25">
      <c r="A479" s="605">
        <v>449</v>
      </c>
      <c r="B479" s="956" t="s">
        <v>3552</v>
      </c>
      <c r="C479" s="939"/>
      <c r="D479" s="939"/>
      <c r="E479" s="939"/>
      <c r="F479" s="939"/>
      <c r="G479" s="939"/>
      <c r="H479" s="1078"/>
      <c r="I479" s="1146"/>
      <c r="J479" s="1146"/>
      <c r="K479" s="1146"/>
      <c r="L479" s="1146"/>
      <c r="M479" s="1146"/>
      <c r="N479" s="1146"/>
      <c r="O479" s="1146"/>
      <c r="P479" s="1146"/>
      <c r="Q479" s="1146"/>
      <c r="R479" s="1146"/>
      <c r="S479" s="1146"/>
      <c r="T479" s="1146"/>
      <c r="U479" s="1146"/>
      <c r="V479" s="1146"/>
      <c r="W479" s="1146"/>
      <c r="X479" s="1146"/>
      <c r="Y479" s="1146"/>
      <c r="Z479" s="345"/>
      <c r="AA479" s="345"/>
      <c r="AB479" s="345"/>
      <c r="AC479" s="345"/>
      <c r="AD479" s="345"/>
      <c r="AE479" s="345"/>
    </row>
    <row r="480" spans="1:31" ht="15" x14ac:dyDescent="0.25">
      <c r="A480" s="605">
        <v>450</v>
      </c>
      <c r="B480" s="956" t="s">
        <v>3550</v>
      </c>
      <c r="C480" s="939"/>
      <c r="D480" s="939"/>
      <c r="E480" s="939"/>
      <c r="F480" s="939"/>
      <c r="G480" s="939"/>
      <c r="H480" s="1078"/>
      <c r="I480" s="1146"/>
      <c r="J480" s="1146"/>
      <c r="K480" s="1146"/>
      <c r="L480" s="1146"/>
      <c r="M480" s="1146"/>
      <c r="N480" s="1146"/>
      <c r="O480" s="1146"/>
      <c r="P480" s="1146"/>
      <c r="Q480" s="1146"/>
      <c r="R480" s="1146"/>
      <c r="S480" s="1146"/>
      <c r="T480" s="1146"/>
      <c r="U480" s="1146"/>
      <c r="V480" s="1146"/>
      <c r="W480" s="1146"/>
      <c r="X480" s="1146"/>
      <c r="Y480" s="1146"/>
      <c r="Z480" s="345"/>
      <c r="AA480" s="345"/>
      <c r="AB480" s="345"/>
      <c r="AC480" s="345"/>
      <c r="AD480" s="345"/>
      <c r="AE480" s="345"/>
    </row>
    <row r="481" spans="1:31" ht="15" x14ac:dyDescent="0.25">
      <c r="A481" s="605">
        <v>451</v>
      </c>
      <c r="B481" s="1160" t="s">
        <v>3551</v>
      </c>
      <c r="C481" s="939"/>
      <c r="D481" s="939"/>
      <c r="E481" s="939"/>
      <c r="F481" s="939"/>
      <c r="G481" s="939"/>
      <c r="H481" s="1078"/>
      <c r="I481" s="1146"/>
      <c r="J481" s="1146"/>
      <c r="K481" s="1146"/>
      <c r="L481" s="1146"/>
      <c r="M481" s="1146"/>
      <c r="N481" s="1146"/>
      <c r="O481" s="1146"/>
      <c r="P481" s="1146"/>
      <c r="Q481" s="1146"/>
      <c r="R481" s="1146"/>
      <c r="S481" s="1146"/>
      <c r="T481" s="1146"/>
      <c r="U481" s="1146"/>
      <c r="V481" s="1146"/>
      <c r="W481" s="1146"/>
      <c r="X481" s="1146"/>
      <c r="Y481" s="1146"/>
      <c r="Z481" s="345"/>
      <c r="AA481" s="345"/>
      <c r="AB481" s="345"/>
      <c r="AC481" s="345"/>
      <c r="AD481" s="345"/>
      <c r="AE481" s="345"/>
    </row>
    <row r="482" spans="1:31" ht="15" x14ac:dyDescent="0.2">
      <c r="A482" s="605">
        <v>452</v>
      </c>
      <c r="B482" s="1161" t="s">
        <v>3549</v>
      </c>
      <c r="C482" s="939"/>
      <c r="D482" s="939"/>
      <c r="E482" s="939"/>
      <c r="F482" s="939"/>
      <c r="G482" s="939"/>
      <c r="H482" s="1078"/>
      <c r="I482" s="1146"/>
      <c r="J482" s="1146"/>
      <c r="K482" s="1146"/>
      <c r="L482" s="1146"/>
      <c r="M482" s="1146"/>
      <c r="N482" s="1146"/>
      <c r="O482" s="1146"/>
      <c r="P482" s="1146"/>
      <c r="Q482" s="1146"/>
      <c r="R482" s="1146"/>
      <c r="S482" s="1146"/>
      <c r="T482" s="1146"/>
      <c r="U482" s="1146"/>
      <c r="V482" s="1146"/>
      <c r="W482" s="1146"/>
      <c r="X482" s="1146"/>
      <c r="Y482" s="1146"/>
      <c r="Z482" s="345"/>
      <c r="AA482" s="345"/>
      <c r="AB482" s="345"/>
      <c r="AC482" s="345"/>
      <c r="AD482" s="345"/>
      <c r="AE482" s="345"/>
    </row>
    <row r="483" spans="1:31" ht="15" x14ac:dyDescent="0.2">
      <c r="A483" s="605">
        <v>453</v>
      </c>
      <c r="B483" s="925" t="s">
        <v>3345</v>
      </c>
      <c r="C483" s="934"/>
      <c r="D483" s="934"/>
      <c r="E483" s="934"/>
      <c r="F483" s="934"/>
      <c r="G483" s="934"/>
      <c r="H483" s="1076"/>
      <c r="Z483" s="345"/>
      <c r="AA483" s="345"/>
      <c r="AB483" s="345"/>
      <c r="AC483" s="345"/>
      <c r="AD483" s="345"/>
      <c r="AE483" s="345"/>
    </row>
    <row r="484" spans="1:31" ht="15" x14ac:dyDescent="0.2">
      <c r="A484" s="605">
        <v>454</v>
      </c>
      <c r="B484" s="941" t="s">
        <v>3344</v>
      </c>
      <c r="C484" s="958"/>
      <c r="D484" s="958"/>
      <c r="E484" s="958"/>
      <c r="F484" s="958"/>
      <c r="G484" s="958"/>
      <c r="H484" s="1078"/>
      <c r="Z484" s="345"/>
      <c r="AA484" s="345"/>
      <c r="AB484" s="345"/>
      <c r="AC484" s="345"/>
      <c r="AD484" s="345"/>
      <c r="AE484" s="345"/>
    </row>
    <row r="485" spans="1:31" ht="15" x14ac:dyDescent="0.25">
      <c r="A485" s="605">
        <v>455</v>
      </c>
      <c r="B485" s="956" t="s">
        <v>537</v>
      </c>
      <c r="C485" s="939"/>
      <c r="D485" s="939"/>
      <c r="E485" s="939"/>
      <c r="F485" s="957"/>
      <c r="G485" s="957"/>
      <c r="H485" s="1078"/>
      <c r="Z485" s="345"/>
      <c r="AA485" s="345"/>
      <c r="AB485" s="345"/>
      <c r="AC485" s="345"/>
      <c r="AD485" s="345"/>
      <c r="AE485" s="345"/>
    </row>
    <row r="486" spans="1:31" ht="15" x14ac:dyDescent="0.25">
      <c r="A486" s="605">
        <v>456</v>
      </c>
      <c r="B486" s="956" t="s">
        <v>3333</v>
      </c>
      <c r="C486" s="939"/>
      <c r="D486" s="939"/>
      <c r="E486" s="939"/>
      <c r="F486" s="957"/>
      <c r="G486" s="957"/>
      <c r="H486" s="1078"/>
      <c r="Z486" s="345"/>
      <c r="AA486" s="345"/>
      <c r="AB486" s="345"/>
      <c r="AC486" s="345"/>
      <c r="AD486" s="345"/>
      <c r="AE486" s="345"/>
    </row>
    <row r="487" spans="1:31" ht="15" x14ac:dyDescent="0.25">
      <c r="A487" s="605">
        <v>457</v>
      </c>
      <c r="B487" s="956" t="s">
        <v>3343</v>
      </c>
      <c r="C487" s="939"/>
      <c r="D487" s="939"/>
      <c r="E487" s="939"/>
      <c r="F487" s="957"/>
      <c r="G487" s="957"/>
      <c r="H487" s="1078"/>
      <c r="Z487" s="345"/>
      <c r="AA487" s="345"/>
      <c r="AB487" s="345"/>
      <c r="AC487" s="345"/>
      <c r="AD487" s="345"/>
      <c r="AE487" s="345"/>
    </row>
    <row r="488" spans="1:31" ht="15" x14ac:dyDescent="0.25">
      <c r="A488" s="605">
        <v>458</v>
      </c>
      <c r="B488" s="956" t="s">
        <v>3261</v>
      </c>
      <c r="C488" s="939"/>
      <c r="D488" s="939"/>
      <c r="E488" s="939"/>
      <c r="F488" s="957"/>
      <c r="G488" s="957"/>
      <c r="H488" s="1078"/>
      <c r="Z488" s="345"/>
      <c r="AA488" s="345"/>
      <c r="AB488" s="345"/>
      <c r="AC488" s="345"/>
      <c r="AD488" s="345"/>
      <c r="AE488" s="345"/>
    </row>
    <row r="489" spans="1:31" ht="15" x14ac:dyDescent="0.25">
      <c r="A489" s="605">
        <v>459</v>
      </c>
      <c r="B489" s="956" t="s">
        <v>1887</v>
      </c>
      <c r="C489" s="939"/>
      <c r="D489" s="939"/>
      <c r="E489" s="939"/>
      <c r="F489" s="957"/>
      <c r="G489" s="957"/>
      <c r="H489" s="1078"/>
      <c r="Z489" s="345"/>
      <c r="AA489" s="345"/>
      <c r="AB489" s="345"/>
      <c r="AC489" s="345"/>
      <c r="AD489" s="345"/>
      <c r="AE489" s="345"/>
    </row>
    <row r="490" spans="1:31" ht="15" x14ac:dyDescent="0.25">
      <c r="A490" s="605">
        <v>460</v>
      </c>
      <c r="B490" s="956" t="s">
        <v>111</v>
      </c>
      <c r="C490" s="939"/>
      <c r="D490" s="939"/>
      <c r="E490" s="939"/>
      <c r="F490" s="944"/>
      <c r="G490" s="944"/>
      <c r="H490" s="1078"/>
      <c r="Z490" s="345"/>
      <c r="AA490" s="345"/>
      <c r="AB490" s="345"/>
      <c r="AC490" s="345"/>
      <c r="AD490" s="345"/>
      <c r="AE490" s="345"/>
    </row>
    <row r="491" spans="1:31" ht="15" x14ac:dyDescent="0.25">
      <c r="A491" s="605">
        <v>461</v>
      </c>
      <c r="B491" s="956" t="s">
        <v>3342</v>
      </c>
      <c r="C491" s="939"/>
      <c r="D491" s="939"/>
      <c r="E491" s="939"/>
      <c r="F491" s="957"/>
      <c r="G491" s="957"/>
      <c r="H491" s="1078"/>
      <c r="Z491" s="345"/>
      <c r="AA491" s="345"/>
      <c r="AB491" s="345"/>
      <c r="AC491" s="345"/>
      <c r="AD491" s="345"/>
      <c r="AE491" s="345"/>
    </row>
    <row r="492" spans="1:31" ht="15" x14ac:dyDescent="0.25">
      <c r="A492" s="605">
        <v>462</v>
      </c>
      <c r="B492" s="956" t="s">
        <v>3341</v>
      </c>
      <c r="C492" s="939"/>
      <c r="D492" s="939"/>
      <c r="E492" s="939"/>
      <c r="F492" s="944"/>
      <c r="G492" s="944"/>
      <c r="H492" s="1078"/>
      <c r="Z492" s="345"/>
      <c r="AA492" s="345"/>
      <c r="AB492" s="345"/>
      <c r="AC492" s="345"/>
      <c r="AD492" s="345"/>
      <c r="AE492" s="345"/>
    </row>
    <row r="493" spans="1:31" ht="30" x14ac:dyDescent="0.25">
      <c r="A493" s="605">
        <v>463</v>
      </c>
      <c r="B493" s="955" t="s">
        <v>3340</v>
      </c>
      <c r="C493" s="278"/>
      <c r="D493" s="278"/>
      <c r="E493" s="278"/>
      <c r="F493" s="278"/>
      <c r="G493" s="278"/>
      <c r="H493" s="1079"/>
      <c r="Z493" s="345"/>
      <c r="AA493" s="345"/>
      <c r="AB493" s="345"/>
      <c r="AC493" s="345"/>
      <c r="AD493" s="345"/>
      <c r="AE493" s="345"/>
    </row>
    <row r="494" spans="1:31" ht="15" x14ac:dyDescent="0.25">
      <c r="A494" s="605">
        <v>464</v>
      </c>
      <c r="B494" s="954" t="s">
        <v>302</v>
      </c>
      <c r="C494" s="944"/>
      <c r="D494" s="944"/>
      <c r="E494" s="944"/>
      <c r="F494" s="944"/>
      <c r="G494" s="944"/>
      <c r="H494" s="1079"/>
      <c r="Z494" s="345"/>
      <c r="AA494" s="345"/>
      <c r="AB494" s="345"/>
      <c r="AC494" s="345"/>
      <c r="AD494" s="345"/>
      <c r="AE494" s="345"/>
    </row>
    <row r="495" spans="1:31" ht="15" x14ac:dyDescent="0.2">
      <c r="A495" s="605">
        <v>465</v>
      </c>
      <c r="B495" s="733" t="s">
        <v>3339</v>
      </c>
      <c r="C495" s="944"/>
      <c r="D495" s="944"/>
      <c r="E495" s="944"/>
      <c r="F495" s="944"/>
      <c r="G495" s="944"/>
      <c r="H495" s="1079"/>
      <c r="Z495" s="345"/>
      <c r="AA495" s="345"/>
      <c r="AB495" s="345"/>
      <c r="AC495" s="345"/>
      <c r="AD495" s="345"/>
      <c r="AE495" s="345"/>
    </row>
    <row r="496" spans="1:31" ht="15" x14ac:dyDescent="0.2">
      <c r="A496" s="605">
        <v>466</v>
      </c>
      <c r="B496" s="733" t="s">
        <v>3338</v>
      </c>
      <c r="C496" s="944"/>
      <c r="D496" s="944"/>
      <c r="E496" s="944"/>
      <c r="F496" s="944"/>
      <c r="G496" s="944"/>
      <c r="H496" s="1079"/>
      <c r="Z496" s="345"/>
      <c r="AA496" s="345"/>
      <c r="AB496" s="345"/>
      <c r="AC496" s="345"/>
      <c r="AD496" s="345"/>
      <c r="AE496" s="345"/>
    </row>
    <row r="497" spans="1:31" ht="30" x14ac:dyDescent="0.2">
      <c r="A497" s="605">
        <v>467</v>
      </c>
      <c r="B497" s="953" t="s">
        <v>3537</v>
      </c>
      <c r="C497" s="944"/>
      <c r="D497" s="944"/>
      <c r="E497" s="944"/>
      <c r="F497" s="944"/>
      <c r="G497" s="944"/>
      <c r="H497" s="1079"/>
      <c r="Z497" s="345"/>
      <c r="AA497" s="345"/>
      <c r="AB497" s="345"/>
      <c r="AC497" s="345"/>
      <c r="AD497" s="345"/>
      <c r="AE497" s="345"/>
    </row>
    <row r="498" spans="1:31" ht="60" x14ac:dyDescent="0.2">
      <c r="A498" s="605">
        <v>468</v>
      </c>
      <c r="B498" s="953" t="s">
        <v>3337</v>
      </c>
      <c r="C498" s="944"/>
      <c r="D498" s="944"/>
      <c r="E498" s="944"/>
      <c r="F498" s="944"/>
      <c r="G498" s="944"/>
      <c r="H498" s="1079"/>
      <c r="Z498" s="345"/>
      <c r="AA498" s="345"/>
      <c r="AB498" s="345"/>
      <c r="AC498" s="345"/>
      <c r="AD498" s="345"/>
      <c r="AE498" s="345"/>
    </row>
    <row r="499" spans="1:31" ht="15" x14ac:dyDescent="0.2">
      <c r="A499" s="605">
        <v>469</v>
      </c>
      <c r="B499" s="925" t="s">
        <v>3336</v>
      </c>
      <c r="C499" s="934"/>
      <c r="D499" s="934"/>
      <c r="E499" s="934"/>
      <c r="F499" s="934"/>
      <c r="G499" s="934"/>
      <c r="H499" s="1076"/>
      <c r="Z499" s="345"/>
      <c r="AA499" s="345"/>
      <c r="AB499" s="345"/>
      <c r="AC499" s="345"/>
      <c r="AD499" s="345"/>
      <c r="AE499" s="345"/>
    </row>
    <row r="500" spans="1:31" ht="15" x14ac:dyDescent="0.2">
      <c r="A500" s="605">
        <v>470</v>
      </c>
      <c r="B500" s="730" t="s">
        <v>3335</v>
      </c>
      <c r="C500" s="278"/>
      <c r="D500" s="278"/>
      <c r="E500" s="278"/>
      <c r="F500" s="278"/>
      <c r="G500" s="278"/>
      <c r="H500" s="1080"/>
      <c r="Z500" s="345"/>
      <c r="AA500" s="345"/>
      <c r="AB500" s="345"/>
      <c r="AC500" s="345"/>
      <c r="AD500" s="345"/>
      <c r="AE500" s="345"/>
    </row>
    <row r="501" spans="1:31" ht="15" x14ac:dyDescent="0.2">
      <c r="A501" s="605">
        <v>471</v>
      </c>
      <c r="B501" s="922" t="s">
        <v>539</v>
      </c>
      <c r="C501" s="534"/>
      <c r="D501" s="534"/>
      <c r="E501" s="534"/>
      <c r="F501" s="534"/>
      <c r="G501" s="534"/>
      <c r="H501" s="1080"/>
      <c r="Z501" s="345"/>
      <c r="AA501" s="345"/>
      <c r="AB501" s="345"/>
      <c r="AC501" s="345"/>
      <c r="AD501" s="345"/>
      <c r="AE501" s="345"/>
    </row>
    <row r="502" spans="1:31" ht="15" x14ac:dyDescent="0.2">
      <c r="A502" s="605">
        <v>472</v>
      </c>
      <c r="B502" s="922" t="s">
        <v>404</v>
      </c>
      <c r="C502" s="534"/>
      <c r="D502" s="534"/>
      <c r="E502" s="534"/>
      <c r="F502" s="534"/>
      <c r="G502" s="534"/>
      <c r="H502" s="1080"/>
      <c r="Z502" s="345"/>
      <c r="AA502" s="345"/>
      <c r="AB502" s="345"/>
      <c r="AC502" s="345"/>
      <c r="AD502" s="345"/>
      <c r="AE502" s="345"/>
    </row>
    <row r="503" spans="1:31" ht="15" x14ac:dyDescent="0.2">
      <c r="A503" s="605">
        <v>473</v>
      </c>
      <c r="B503" s="922" t="s">
        <v>3334</v>
      </c>
      <c r="C503" s="534"/>
      <c r="D503" s="534"/>
      <c r="E503" s="534"/>
      <c r="F503" s="534"/>
      <c r="G503" s="534"/>
      <c r="H503" s="1080"/>
      <c r="Z503" s="345"/>
      <c r="AA503" s="345"/>
      <c r="AB503" s="345"/>
      <c r="AC503" s="345"/>
      <c r="AD503" s="345"/>
      <c r="AE503" s="345"/>
    </row>
    <row r="504" spans="1:31" ht="15" x14ac:dyDescent="0.2">
      <c r="A504" s="605">
        <v>474</v>
      </c>
      <c r="B504" s="922" t="s">
        <v>3333</v>
      </c>
      <c r="C504" s="534"/>
      <c r="D504" s="534"/>
      <c r="E504" s="534"/>
      <c r="F504" s="534"/>
      <c r="G504" s="534"/>
      <c r="H504" s="1080"/>
      <c r="Z504" s="345"/>
      <c r="AA504" s="345"/>
      <c r="AB504" s="345"/>
      <c r="AC504" s="345"/>
      <c r="AD504" s="345"/>
      <c r="AE504" s="345"/>
    </row>
    <row r="505" spans="1:31" ht="15" x14ac:dyDescent="0.2">
      <c r="A505" s="605">
        <v>475</v>
      </c>
      <c r="B505" s="922" t="s">
        <v>3332</v>
      </c>
      <c r="C505" s="534"/>
      <c r="D505" s="534"/>
      <c r="E505" s="534"/>
      <c r="F505" s="534"/>
      <c r="G505" s="534"/>
      <c r="H505" s="1080"/>
      <c r="Z505" s="345"/>
      <c r="AA505" s="345"/>
      <c r="AB505" s="345"/>
      <c r="AC505" s="345"/>
      <c r="AD505" s="345"/>
      <c r="AE505" s="345"/>
    </row>
    <row r="506" spans="1:31" ht="15" x14ac:dyDescent="0.2">
      <c r="A506" s="605">
        <v>476</v>
      </c>
      <c r="B506" s="922" t="s">
        <v>3030</v>
      </c>
      <c r="C506" s="534"/>
      <c r="D506" s="534"/>
      <c r="E506" s="534"/>
      <c r="F506" s="534"/>
      <c r="G506" s="534"/>
      <c r="H506" s="1080"/>
      <c r="Z506" s="345"/>
      <c r="AA506" s="345"/>
      <c r="AB506" s="345"/>
      <c r="AC506" s="345"/>
      <c r="AD506" s="345"/>
      <c r="AE506" s="345"/>
    </row>
    <row r="507" spans="1:31" ht="15" x14ac:dyDescent="0.2">
      <c r="A507" s="605">
        <v>477</v>
      </c>
      <c r="B507" s="922" t="s">
        <v>111</v>
      </c>
      <c r="C507" s="534"/>
      <c r="D507" s="534"/>
      <c r="E507" s="534"/>
      <c r="F507" s="534"/>
      <c r="G507" s="534"/>
      <c r="H507" s="1080"/>
      <c r="Z507" s="345"/>
      <c r="AA507" s="345"/>
      <c r="AB507" s="345"/>
      <c r="AC507" s="345"/>
      <c r="AD507" s="345"/>
      <c r="AE507" s="345"/>
    </row>
    <row r="508" spans="1:31" ht="15" x14ac:dyDescent="0.2">
      <c r="A508" s="605">
        <v>478</v>
      </c>
      <c r="B508" s="952" t="s">
        <v>3331</v>
      </c>
      <c r="C508" s="951"/>
      <c r="D508" s="951"/>
      <c r="E508" s="951"/>
      <c r="F508" s="951"/>
      <c r="G508" s="951"/>
      <c r="H508" s="1027"/>
      <c r="Z508" s="345"/>
      <c r="AA508" s="345"/>
      <c r="AB508" s="345"/>
      <c r="AC508" s="345"/>
      <c r="AD508" s="345"/>
      <c r="AE508" s="345"/>
    </row>
    <row r="509" spans="1:31" ht="30" x14ac:dyDescent="0.2">
      <c r="A509" s="605">
        <v>479</v>
      </c>
      <c r="B509" s="950" t="s">
        <v>3330</v>
      </c>
      <c r="C509" s="949"/>
      <c r="D509" s="949"/>
      <c r="E509" s="949"/>
      <c r="F509" s="949"/>
      <c r="G509" s="949"/>
      <c r="H509" s="1027"/>
      <c r="Z509" s="345"/>
      <c r="AA509" s="345"/>
      <c r="AB509" s="345"/>
      <c r="AC509" s="345"/>
      <c r="AD509" s="345"/>
      <c r="AE509" s="345"/>
    </row>
    <row r="510" spans="1:31" ht="45" x14ac:dyDescent="0.2">
      <c r="A510" s="605">
        <v>480</v>
      </c>
      <c r="B510" s="950" t="s">
        <v>3329</v>
      </c>
      <c r="C510" s="949"/>
      <c r="D510" s="949"/>
      <c r="E510" s="949"/>
      <c r="F510" s="949"/>
      <c r="G510" s="949"/>
      <c r="H510" s="1027"/>
      <c r="Z510" s="345"/>
      <c r="AA510" s="345"/>
      <c r="AB510" s="345"/>
      <c r="AC510" s="345"/>
      <c r="AD510" s="345"/>
      <c r="AE510" s="345"/>
    </row>
    <row r="511" spans="1:31" ht="30" x14ac:dyDescent="0.2">
      <c r="A511" s="605">
        <v>481</v>
      </c>
      <c r="B511" s="950" t="s">
        <v>3328</v>
      </c>
      <c r="C511" s="949"/>
      <c r="D511" s="949"/>
      <c r="E511" s="949"/>
      <c r="F511" s="949"/>
      <c r="G511" s="949"/>
      <c r="H511" s="1027"/>
      <c r="Z511" s="345"/>
      <c r="AA511" s="345"/>
      <c r="AB511" s="345"/>
      <c r="AC511" s="345"/>
      <c r="AD511" s="345"/>
      <c r="AE511" s="345"/>
    </row>
    <row r="512" spans="1:31" ht="45" x14ac:dyDescent="0.2">
      <c r="A512" s="605">
        <v>482</v>
      </c>
      <c r="B512" s="950" t="s">
        <v>3327</v>
      </c>
      <c r="C512" s="949"/>
      <c r="D512" s="949"/>
      <c r="E512" s="949"/>
      <c r="F512" s="949"/>
      <c r="G512" s="949"/>
      <c r="H512" s="1027"/>
      <c r="Z512" s="345"/>
      <c r="AA512" s="345"/>
      <c r="AB512" s="345"/>
      <c r="AC512" s="345"/>
      <c r="AD512" s="345"/>
      <c r="AE512" s="345"/>
    </row>
    <row r="513" spans="1:31" ht="30" x14ac:dyDescent="0.2">
      <c r="A513" s="605">
        <v>483</v>
      </c>
      <c r="B513" s="948" t="s">
        <v>3326</v>
      </c>
      <c r="C513" s="947"/>
      <c r="D513" s="947"/>
      <c r="E513" s="947"/>
      <c r="F513" s="947"/>
      <c r="G513" s="947"/>
      <c r="H513" s="1028"/>
      <c r="Z513" s="345"/>
      <c r="AA513" s="345"/>
      <c r="AB513" s="345"/>
      <c r="AC513" s="345"/>
      <c r="AD513" s="345"/>
      <c r="AE513" s="345"/>
    </row>
    <row r="514" spans="1:31" ht="15" x14ac:dyDescent="0.2">
      <c r="A514" s="605">
        <v>484</v>
      </c>
      <c r="B514" s="925" t="s">
        <v>3325</v>
      </c>
      <c r="C514" s="934"/>
      <c r="D514" s="934"/>
      <c r="E514" s="934"/>
      <c r="F514" s="934"/>
      <c r="G514" s="934"/>
      <c r="H514" s="1076"/>
      <c r="Z514" s="345"/>
      <c r="AA514" s="345"/>
      <c r="AB514" s="345"/>
      <c r="AC514" s="345"/>
      <c r="AD514" s="345"/>
      <c r="AE514" s="345"/>
    </row>
    <row r="515" spans="1:31" ht="15" x14ac:dyDescent="0.25">
      <c r="A515" s="605">
        <v>485</v>
      </c>
      <c r="B515" s="946" t="s">
        <v>3324</v>
      </c>
      <c r="C515" s="939"/>
      <c r="D515" s="939"/>
      <c r="E515" s="939"/>
      <c r="F515" s="939"/>
      <c r="G515" s="939"/>
      <c r="H515" s="1078"/>
      <c r="Z515" s="345"/>
      <c r="AA515" s="345"/>
      <c r="AB515" s="345"/>
      <c r="AC515" s="345"/>
      <c r="AD515" s="345"/>
      <c r="AE515" s="345"/>
    </row>
    <row r="516" spans="1:31" ht="15" x14ac:dyDescent="0.25">
      <c r="A516" s="605">
        <v>486</v>
      </c>
      <c r="B516" s="946" t="s">
        <v>3323</v>
      </c>
      <c r="C516" s="939"/>
      <c r="D516" s="939"/>
      <c r="E516" s="939"/>
      <c r="F516" s="939"/>
      <c r="G516" s="939"/>
      <c r="H516" s="1078"/>
      <c r="Z516" s="345"/>
      <c r="AA516" s="345"/>
      <c r="AB516" s="345"/>
      <c r="AC516" s="345"/>
      <c r="AD516" s="345"/>
      <c r="AE516" s="345"/>
    </row>
    <row r="517" spans="1:31" ht="15" x14ac:dyDescent="0.25">
      <c r="A517" s="605">
        <v>487</v>
      </c>
      <c r="B517" s="946" t="s">
        <v>3322</v>
      </c>
      <c r="C517" s="939"/>
      <c r="D517" s="939"/>
      <c r="E517" s="939"/>
      <c r="F517" s="939"/>
      <c r="G517" s="939"/>
      <c r="H517" s="1078"/>
      <c r="Z517" s="345"/>
      <c r="AA517" s="345"/>
      <c r="AB517" s="345"/>
      <c r="AC517" s="345"/>
      <c r="AD517" s="345"/>
      <c r="AE517" s="345"/>
    </row>
    <row r="518" spans="1:31" ht="30" x14ac:dyDescent="0.25">
      <c r="A518" s="605">
        <v>488</v>
      </c>
      <c r="B518" s="946" t="s">
        <v>3321</v>
      </c>
      <c r="C518" s="945"/>
      <c r="D518" s="945"/>
      <c r="E518" s="945"/>
      <c r="F518" s="945"/>
      <c r="G518" s="945"/>
      <c r="H518" s="1081"/>
      <c r="Z518" s="345"/>
      <c r="AA518" s="345"/>
      <c r="AB518" s="345"/>
      <c r="AC518" s="345"/>
      <c r="AD518" s="345"/>
      <c r="AE518" s="345"/>
    </row>
    <row r="519" spans="1:31" ht="15" x14ac:dyDescent="0.25">
      <c r="A519" s="605">
        <v>489</v>
      </c>
      <c r="B519" s="946" t="s">
        <v>3320</v>
      </c>
      <c r="C519" s="945"/>
      <c r="D519" s="945"/>
      <c r="E519" s="945"/>
      <c r="F519" s="945"/>
      <c r="G519" s="945"/>
      <c r="H519" s="1081"/>
      <c r="Z519" s="345"/>
      <c r="AA519" s="345"/>
      <c r="AB519" s="345"/>
      <c r="AC519" s="345"/>
      <c r="AD519" s="345"/>
      <c r="AE519" s="345"/>
    </row>
    <row r="520" spans="1:31" ht="30" x14ac:dyDescent="0.25">
      <c r="A520" s="605">
        <v>490</v>
      </c>
      <c r="B520" s="943" t="s">
        <v>3319</v>
      </c>
      <c r="C520" s="939"/>
      <c r="D520" s="939"/>
      <c r="E520" s="939"/>
      <c r="F520" s="939"/>
      <c r="G520" s="939"/>
      <c r="H520" s="1078"/>
      <c r="Z520" s="345"/>
      <c r="AA520" s="345"/>
      <c r="AB520" s="345"/>
      <c r="AC520" s="345"/>
      <c r="AD520" s="345"/>
      <c r="AE520" s="345"/>
    </row>
    <row r="521" spans="1:31" ht="15" x14ac:dyDescent="0.25">
      <c r="A521" s="605">
        <v>491</v>
      </c>
      <c r="B521" s="943" t="s">
        <v>3318</v>
      </c>
      <c r="C521" s="939"/>
      <c r="D521" s="939"/>
      <c r="E521" s="939"/>
      <c r="F521" s="939"/>
      <c r="G521" s="939"/>
      <c r="H521" s="1078"/>
      <c r="Z521" s="345"/>
      <c r="AA521" s="345"/>
      <c r="AB521" s="345"/>
      <c r="AC521" s="345"/>
      <c r="AD521" s="345"/>
      <c r="AE521" s="345"/>
    </row>
    <row r="522" spans="1:31" ht="15" x14ac:dyDescent="0.25">
      <c r="A522" s="605">
        <v>492</v>
      </c>
      <c r="B522" s="491" t="s">
        <v>3317</v>
      </c>
      <c r="C522" s="944"/>
      <c r="D522" s="944"/>
      <c r="E522" s="944"/>
      <c r="F522" s="944"/>
      <c r="G522" s="944"/>
      <c r="H522" s="1079"/>
      <c r="Z522" s="345"/>
      <c r="AA522" s="345"/>
      <c r="AB522" s="345"/>
      <c r="AC522" s="345"/>
      <c r="AD522" s="345"/>
      <c r="AE522" s="345"/>
    </row>
    <row r="523" spans="1:31" ht="30" x14ac:dyDescent="0.25">
      <c r="A523" s="605">
        <v>493</v>
      </c>
      <c r="B523" s="943" t="s">
        <v>3316</v>
      </c>
      <c r="C523" s="942"/>
      <c r="D523" s="942"/>
      <c r="E523" s="942"/>
      <c r="F523" s="942"/>
      <c r="G523" s="942"/>
      <c r="H523" s="1082"/>
      <c r="Z523" s="345"/>
      <c r="AA523" s="345"/>
      <c r="AB523" s="345"/>
      <c r="AC523" s="345"/>
      <c r="AD523" s="345"/>
      <c r="AE523" s="345"/>
    </row>
    <row r="524" spans="1:31" ht="15" x14ac:dyDescent="0.2">
      <c r="A524" s="605">
        <v>494</v>
      </c>
      <c r="B524" s="941" t="s">
        <v>3315</v>
      </c>
      <c r="C524" s="939"/>
      <c r="D524" s="939"/>
      <c r="E524" s="939"/>
      <c r="F524" s="939"/>
      <c r="G524" s="939"/>
      <c r="H524" s="1078"/>
      <c r="Z524" s="345"/>
      <c r="AA524" s="345"/>
      <c r="AB524" s="345"/>
      <c r="AC524" s="345"/>
      <c r="AD524" s="345"/>
      <c r="AE524" s="345"/>
    </row>
    <row r="525" spans="1:31" ht="30" x14ac:dyDescent="0.2">
      <c r="A525" s="605">
        <v>495</v>
      </c>
      <c r="B525" s="533" t="s">
        <v>3314</v>
      </c>
      <c r="C525" s="939"/>
      <c r="D525" s="939"/>
      <c r="E525" s="939"/>
      <c r="F525" s="939"/>
      <c r="G525" s="939"/>
      <c r="H525" s="1078"/>
      <c r="Z525" s="345"/>
      <c r="AA525" s="345"/>
      <c r="AB525" s="345"/>
      <c r="AC525" s="345"/>
      <c r="AD525" s="345"/>
      <c r="AE525" s="345"/>
    </row>
    <row r="526" spans="1:31" ht="30" x14ac:dyDescent="0.2">
      <c r="A526" s="605">
        <v>496</v>
      </c>
      <c r="B526" s="533" t="s">
        <v>3313</v>
      </c>
      <c r="C526" s="939"/>
      <c r="D526" s="939"/>
      <c r="E526" s="939"/>
      <c r="F526" s="939"/>
      <c r="G526" s="939"/>
      <c r="H526" s="1078"/>
      <c r="Z526" s="345"/>
      <c r="AA526" s="345"/>
      <c r="AB526" s="345"/>
      <c r="AC526" s="345"/>
      <c r="AD526" s="345"/>
      <c r="AE526" s="345"/>
    </row>
    <row r="527" spans="1:31" ht="45" x14ac:dyDescent="0.2">
      <c r="A527" s="605">
        <v>497</v>
      </c>
      <c r="B527" s="535" t="s">
        <v>3312</v>
      </c>
      <c r="C527" s="939"/>
      <c r="D527" s="939"/>
      <c r="E527" s="939"/>
      <c r="F527" s="939"/>
      <c r="G527" s="939"/>
      <c r="H527" s="1078"/>
      <c r="Z527" s="345"/>
      <c r="AA527" s="345"/>
      <c r="AB527" s="345"/>
      <c r="AC527" s="345"/>
      <c r="AD527" s="345"/>
      <c r="AE527" s="345"/>
    </row>
    <row r="528" spans="1:31" ht="30" x14ac:dyDescent="0.25">
      <c r="A528" s="605">
        <v>498</v>
      </c>
      <c r="B528" s="940" t="s">
        <v>3311</v>
      </c>
      <c r="C528" s="939"/>
      <c r="D528" s="939"/>
      <c r="E528" s="939"/>
      <c r="F528" s="939"/>
      <c r="G528" s="939"/>
      <c r="H528" s="1078"/>
      <c r="Z528" s="345"/>
      <c r="AA528" s="345"/>
      <c r="AB528" s="345"/>
      <c r="AC528" s="345"/>
      <c r="AD528" s="345"/>
      <c r="AE528" s="345"/>
    </row>
    <row r="529" spans="1:31" ht="15" x14ac:dyDescent="0.2">
      <c r="A529" s="605">
        <v>499</v>
      </c>
      <c r="B529" s="925" t="s">
        <v>3310</v>
      </c>
      <c r="C529" s="934"/>
      <c r="D529" s="934"/>
      <c r="E529" s="934"/>
      <c r="F529" s="934"/>
      <c r="G529" s="934"/>
      <c r="H529" s="1076"/>
      <c r="Z529" s="345"/>
      <c r="AA529" s="345"/>
      <c r="AB529" s="345"/>
      <c r="AC529" s="345"/>
      <c r="AD529" s="345"/>
      <c r="AE529" s="345"/>
    </row>
    <row r="530" spans="1:31" ht="30" x14ac:dyDescent="0.2">
      <c r="A530" s="605">
        <v>500</v>
      </c>
      <c r="B530" s="938" t="s">
        <v>3309</v>
      </c>
      <c r="C530" s="286"/>
      <c r="D530" s="286"/>
      <c r="E530" s="286"/>
      <c r="F530" s="286"/>
      <c r="G530" s="286"/>
      <c r="H530" s="1083"/>
      <c r="Z530" s="345"/>
      <c r="AA530" s="345"/>
      <c r="AB530" s="345"/>
      <c r="AC530" s="345"/>
      <c r="AD530" s="345"/>
      <c r="AE530" s="345"/>
    </row>
    <row r="531" spans="1:31" ht="15" x14ac:dyDescent="0.2">
      <c r="A531" s="605">
        <v>501</v>
      </c>
      <c r="B531" s="937" t="s">
        <v>379</v>
      </c>
      <c r="C531" s="780"/>
      <c r="D531" s="780"/>
      <c r="E531" s="780"/>
      <c r="F531" s="780"/>
      <c r="G531" s="780"/>
      <c r="H531" s="1083"/>
      <c r="Z531" s="345"/>
      <c r="AA531" s="345"/>
      <c r="AB531" s="345"/>
      <c r="AC531" s="345"/>
      <c r="AD531" s="345"/>
      <c r="AE531" s="345"/>
    </row>
    <row r="532" spans="1:31" ht="15" x14ac:dyDescent="0.2">
      <c r="A532" s="605">
        <v>502</v>
      </c>
      <c r="B532" s="937" t="s">
        <v>3308</v>
      </c>
      <c r="C532" s="780"/>
      <c r="D532" s="780"/>
      <c r="E532" s="780"/>
      <c r="F532" s="780"/>
      <c r="G532" s="780"/>
      <c r="H532" s="1083"/>
      <c r="Z532" s="345"/>
      <c r="AA532" s="345"/>
      <c r="AB532" s="345"/>
      <c r="AC532" s="345"/>
      <c r="AD532" s="345"/>
      <c r="AE532" s="345"/>
    </row>
    <row r="533" spans="1:31" ht="15" x14ac:dyDescent="0.2">
      <c r="A533" s="605">
        <v>503</v>
      </c>
      <c r="B533" s="937" t="s">
        <v>376</v>
      </c>
      <c r="C533" s="780"/>
      <c r="D533" s="780"/>
      <c r="E533" s="780"/>
      <c r="F533" s="780"/>
      <c r="G533" s="780"/>
      <c r="H533" s="1083"/>
      <c r="Z533" s="345"/>
      <c r="AA533" s="345"/>
      <c r="AB533" s="345"/>
      <c r="AC533" s="345"/>
      <c r="AD533" s="345"/>
      <c r="AE533" s="345"/>
    </row>
    <row r="534" spans="1:31" ht="15" x14ac:dyDescent="0.2">
      <c r="A534" s="605">
        <v>504</v>
      </c>
      <c r="B534" s="937" t="s">
        <v>1936</v>
      </c>
      <c r="C534" s="780"/>
      <c r="D534" s="780"/>
      <c r="E534" s="780"/>
      <c r="F534" s="780"/>
      <c r="G534" s="780"/>
      <c r="H534" s="1083"/>
      <c r="Z534" s="345"/>
      <c r="AA534" s="345"/>
      <c r="AB534" s="345"/>
      <c r="AC534" s="345"/>
      <c r="AD534" s="345"/>
      <c r="AE534" s="345"/>
    </row>
    <row r="535" spans="1:31" ht="15" x14ac:dyDescent="0.2">
      <c r="A535" s="605">
        <v>505</v>
      </c>
      <c r="B535" s="937" t="s">
        <v>3307</v>
      </c>
      <c r="C535" s="780"/>
      <c r="D535" s="780"/>
      <c r="E535" s="780"/>
      <c r="F535" s="780"/>
      <c r="G535" s="780"/>
      <c r="H535" s="1083"/>
      <c r="Z535" s="345"/>
      <c r="AA535" s="345"/>
      <c r="AB535" s="345"/>
      <c r="AC535" s="345"/>
      <c r="AD535" s="345"/>
      <c r="AE535" s="345"/>
    </row>
    <row r="536" spans="1:31" ht="15" x14ac:dyDescent="0.2">
      <c r="A536" s="605">
        <v>506</v>
      </c>
      <c r="B536" s="937" t="s">
        <v>1938</v>
      </c>
      <c r="C536" s="780"/>
      <c r="D536" s="780"/>
      <c r="E536" s="780"/>
      <c r="F536" s="780"/>
      <c r="G536" s="780"/>
      <c r="H536" s="1083"/>
      <c r="Z536" s="345"/>
      <c r="AA536" s="345"/>
      <c r="AB536" s="345"/>
      <c r="AC536" s="345"/>
      <c r="AD536" s="345"/>
      <c r="AE536" s="345"/>
    </row>
    <row r="537" spans="1:31" ht="30" x14ac:dyDescent="0.2">
      <c r="A537" s="605">
        <v>507</v>
      </c>
      <c r="B537" s="936" t="s">
        <v>3306</v>
      </c>
      <c r="C537" s="780"/>
      <c r="D537" s="780"/>
      <c r="E537" s="780"/>
      <c r="F537" s="780"/>
      <c r="G537" s="780"/>
      <c r="H537" s="1083"/>
      <c r="Z537" s="345"/>
      <c r="AA537" s="345"/>
      <c r="AB537" s="345"/>
      <c r="AC537" s="345"/>
      <c r="AD537" s="345"/>
      <c r="AE537" s="345"/>
    </row>
    <row r="538" spans="1:31" ht="45" x14ac:dyDescent="0.2">
      <c r="A538" s="605">
        <v>508</v>
      </c>
      <c r="B538" s="936" t="s">
        <v>3305</v>
      </c>
      <c r="C538" s="780"/>
      <c r="D538" s="780"/>
      <c r="E538" s="780"/>
      <c r="F538" s="780"/>
      <c r="G538" s="780"/>
      <c r="H538" s="1083"/>
      <c r="Z538" s="345"/>
      <c r="AA538" s="345"/>
      <c r="AB538" s="345"/>
      <c r="AC538" s="345"/>
      <c r="AD538" s="345"/>
      <c r="AE538" s="345"/>
    </row>
    <row r="539" spans="1:31" ht="30" x14ac:dyDescent="0.2">
      <c r="A539" s="605">
        <v>509</v>
      </c>
      <c r="B539" s="936" t="s">
        <v>3304</v>
      </c>
      <c r="C539" s="780"/>
      <c r="D539" s="780"/>
      <c r="E539" s="780"/>
      <c r="F539" s="780"/>
      <c r="G539" s="780"/>
      <c r="H539" s="1083"/>
      <c r="Z539" s="345"/>
      <c r="AA539" s="345"/>
      <c r="AB539" s="345"/>
      <c r="AC539" s="345"/>
      <c r="AD539" s="345"/>
      <c r="AE539" s="345"/>
    </row>
    <row r="540" spans="1:31" ht="30" x14ac:dyDescent="0.2">
      <c r="A540" s="605">
        <v>510</v>
      </c>
      <c r="B540" s="533" t="s">
        <v>3303</v>
      </c>
      <c r="C540" s="534"/>
      <c r="D540" s="534"/>
      <c r="E540" s="534"/>
      <c r="F540" s="534"/>
      <c r="G540" s="534"/>
      <c r="H540" s="1080"/>
      <c r="Z540" s="345"/>
      <c r="AA540" s="345"/>
      <c r="AB540" s="345"/>
      <c r="AC540" s="345"/>
      <c r="AD540" s="345"/>
      <c r="AE540" s="345"/>
    </row>
    <row r="541" spans="1:31" ht="60" x14ac:dyDescent="0.2">
      <c r="A541" s="605">
        <v>511</v>
      </c>
      <c r="B541" s="533" t="s">
        <v>3302</v>
      </c>
      <c r="C541" s="286"/>
      <c r="D541" s="286"/>
      <c r="E541" s="286"/>
      <c r="F541" s="286"/>
      <c r="G541" s="286"/>
      <c r="H541" s="1080"/>
      <c r="Z541" s="345"/>
      <c r="AA541" s="345"/>
      <c r="AB541" s="345"/>
      <c r="AC541" s="345"/>
      <c r="AD541" s="345"/>
      <c r="AE541" s="345"/>
    </row>
    <row r="542" spans="1:31" ht="15" x14ac:dyDescent="0.25">
      <c r="A542" s="605">
        <v>512</v>
      </c>
      <c r="B542" s="935" t="s">
        <v>3301</v>
      </c>
      <c r="C542" s="534"/>
      <c r="D542" s="534"/>
      <c r="E542" s="534"/>
      <c r="F542" s="534"/>
      <c r="G542" s="534"/>
      <c r="H542" s="1080"/>
      <c r="Z542" s="345"/>
      <c r="AA542" s="345"/>
      <c r="AB542" s="345"/>
      <c r="AC542" s="345"/>
      <c r="AD542" s="345"/>
      <c r="AE542" s="345"/>
    </row>
    <row r="543" spans="1:31" ht="15" x14ac:dyDescent="0.25">
      <c r="A543" s="605">
        <v>513</v>
      </c>
      <c r="B543" s="935" t="s">
        <v>1887</v>
      </c>
      <c r="C543" s="534"/>
      <c r="D543" s="534"/>
      <c r="E543" s="534"/>
      <c r="F543" s="534"/>
      <c r="G543" s="534"/>
      <c r="H543" s="1080"/>
      <c r="Z543" s="345"/>
      <c r="AA543" s="345"/>
      <c r="AB543" s="345"/>
      <c r="AC543" s="345"/>
      <c r="AD543" s="345"/>
      <c r="AE543" s="345"/>
    </row>
    <row r="544" spans="1:31" ht="15" x14ac:dyDescent="0.25">
      <c r="A544" s="605">
        <v>514</v>
      </c>
      <c r="B544" s="935" t="s">
        <v>3300</v>
      </c>
      <c r="C544" s="534"/>
      <c r="D544" s="534"/>
      <c r="E544" s="534"/>
      <c r="F544" s="534"/>
      <c r="G544" s="534"/>
      <c r="H544" s="1080"/>
      <c r="Z544" s="345"/>
      <c r="AA544" s="345"/>
      <c r="AB544" s="345"/>
      <c r="AC544" s="345"/>
      <c r="AD544" s="345"/>
      <c r="AE544" s="345"/>
    </row>
    <row r="545" spans="1:31" ht="15" x14ac:dyDescent="0.2">
      <c r="A545" s="605">
        <v>515</v>
      </c>
      <c r="B545" s="925" t="s">
        <v>3299</v>
      </c>
      <c r="C545" s="934"/>
      <c r="D545" s="934"/>
      <c r="E545" s="934"/>
      <c r="F545" s="934"/>
      <c r="G545" s="934"/>
      <c r="H545" s="1076"/>
      <c r="Z545" s="345"/>
      <c r="AA545" s="345"/>
      <c r="AB545" s="345"/>
      <c r="AC545" s="345"/>
      <c r="AD545" s="345"/>
      <c r="AE545" s="345"/>
    </row>
    <row r="546" spans="1:31" ht="15" x14ac:dyDescent="0.25">
      <c r="A546" s="605">
        <v>516</v>
      </c>
      <c r="B546" s="533" t="s">
        <v>3298</v>
      </c>
      <c r="C546" s="285"/>
      <c r="D546" s="285"/>
      <c r="E546" s="285"/>
      <c r="F546" s="285"/>
      <c r="G546" s="285"/>
      <c r="H546" s="1084"/>
      <c r="Z546" s="345"/>
      <c r="AA546" s="345"/>
      <c r="AB546" s="345"/>
      <c r="AC546" s="345"/>
      <c r="AD546" s="345"/>
      <c r="AE546" s="345"/>
    </row>
    <row r="547" spans="1:31" ht="15" x14ac:dyDescent="0.25">
      <c r="A547" s="605">
        <v>517</v>
      </c>
      <c r="B547" s="533" t="s">
        <v>3297</v>
      </c>
      <c r="C547" s="285"/>
      <c r="D547" s="285"/>
      <c r="E547" s="285"/>
      <c r="F547" s="285"/>
      <c r="G547" s="285"/>
      <c r="H547" s="1084"/>
      <c r="Z547" s="345"/>
      <c r="AA547" s="345"/>
      <c r="AB547" s="345"/>
      <c r="AC547" s="345"/>
      <c r="AD547" s="345"/>
      <c r="AE547" s="345"/>
    </row>
    <row r="548" spans="1:31" ht="15" x14ac:dyDescent="0.2">
      <c r="A548" s="605">
        <v>518</v>
      </c>
      <c r="B548" s="533" t="s">
        <v>3296</v>
      </c>
      <c r="C548" s="933"/>
      <c r="D548" s="933"/>
      <c r="E548" s="933"/>
      <c r="F548" s="933"/>
      <c r="G548" s="933"/>
      <c r="H548" s="1085"/>
      <c r="Z548" s="345"/>
      <c r="AA548" s="345"/>
      <c r="AB548" s="345"/>
      <c r="AC548" s="345"/>
      <c r="AD548" s="345"/>
      <c r="AE548" s="345"/>
    </row>
    <row r="549" spans="1:31" ht="15" x14ac:dyDescent="0.2">
      <c r="A549" s="605">
        <v>519</v>
      </c>
      <c r="B549" s="734" t="s">
        <v>3295</v>
      </c>
      <c r="C549" s="931"/>
      <c r="D549" s="931"/>
      <c r="E549" s="931"/>
      <c r="F549" s="931"/>
      <c r="G549" s="931"/>
      <c r="H549" s="1085"/>
      <c r="Z549" s="345"/>
      <c r="AA549" s="345"/>
      <c r="AB549" s="345"/>
      <c r="AC549" s="345"/>
      <c r="AD549" s="345"/>
      <c r="AE549" s="345"/>
    </row>
    <row r="550" spans="1:31" ht="15" x14ac:dyDescent="0.2">
      <c r="A550" s="605">
        <v>520</v>
      </c>
      <c r="B550" s="734" t="s">
        <v>254</v>
      </c>
      <c r="C550" s="932"/>
      <c r="D550" s="932"/>
      <c r="E550" s="932"/>
      <c r="F550" s="932"/>
      <c r="G550" s="932"/>
      <c r="H550" s="1086"/>
      <c r="Z550" s="345"/>
      <c r="AA550" s="345"/>
      <c r="AB550" s="345"/>
      <c r="AC550" s="345"/>
      <c r="AD550" s="345"/>
      <c r="AE550" s="345"/>
    </row>
    <row r="551" spans="1:31" ht="15" x14ac:dyDescent="0.2">
      <c r="A551" s="605">
        <v>521</v>
      </c>
      <c r="B551" s="734" t="s">
        <v>234</v>
      </c>
      <c r="C551" s="931"/>
      <c r="D551" s="931"/>
      <c r="E551" s="931"/>
      <c r="F551" s="931"/>
      <c r="G551" s="931"/>
      <c r="H551" s="1085"/>
      <c r="Z551" s="345"/>
      <c r="AA551" s="345"/>
      <c r="AB551" s="345"/>
      <c r="AC551" s="345"/>
      <c r="AD551" s="345"/>
      <c r="AE551" s="345"/>
    </row>
    <row r="552" spans="1:31" ht="15" x14ac:dyDescent="0.25">
      <c r="A552" s="605">
        <v>522</v>
      </c>
      <c r="B552" s="734" t="s">
        <v>3294</v>
      </c>
      <c r="C552" s="931"/>
      <c r="D552" s="931"/>
      <c r="E552" s="931"/>
      <c r="F552" s="931"/>
      <c r="G552" s="931"/>
      <c r="H552" s="1087"/>
      <c r="Z552" s="345"/>
      <c r="AA552" s="345"/>
      <c r="AB552" s="345"/>
      <c r="AC552" s="345"/>
      <c r="AD552" s="345"/>
      <c r="AE552" s="345"/>
    </row>
    <row r="553" spans="1:31" ht="15" x14ac:dyDescent="0.25">
      <c r="A553" s="605">
        <v>523</v>
      </c>
      <c r="B553" s="734" t="s">
        <v>3293</v>
      </c>
      <c r="C553" s="931"/>
      <c r="D553" s="931"/>
      <c r="E553" s="931"/>
      <c r="F553" s="931"/>
      <c r="G553" s="931"/>
      <c r="H553" s="1087"/>
      <c r="Z553" s="345"/>
      <c r="AA553" s="345"/>
      <c r="AB553" s="345"/>
      <c r="AC553" s="345"/>
      <c r="AD553" s="345"/>
      <c r="AE553" s="345"/>
    </row>
    <row r="554" spans="1:31" ht="15" x14ac:dyDescent="0.25">
      <c r="A554" s="605">
        <v>524</v>
      </c>
      <c r="B554" s="734" t="s">
        <v>3402</v>
      </c>
      <c r="C554" s="931"/>
      <c r="D554" s="931"/>
      <c r="E554" s="931"/>
      <c r="F554" s="931"/>
      <c r="G554" s="931"/>
      <c r="H554" s="1087"/>
      <c r="Z554" s="345"/>
      <c r="AA554" s="345"/>
      <c r="AB554" s="345"/>
      <c r="AC554" s="345"/>
      <c r="AD554" s="345"/>
      <c r="AE554" s="345"/>
    </row>
    <row r="555" spans="1:31" ht="15" x14ac:dyDescent="0.2">
      <c r="A555" s="605">
        <v>525</v>
      </c>
      <c r="B555" s="734" t="s">
        <v>3292</v>
      </c>
      <c r="C555" s="931"/>
      <c r="D555" s="931"/>
      <c r="E555" s="931"/>
      <c r="F555" s="931"/>
      <c r="G555" s="931"/>
      <c r="H555" s="1085"/>
      <c r="Z555" s="345"/>
      <c r="AA555" s="345"/>
      <c r="AB555" s="345"/>
      <c r="AC555" s="345"/>
      <c r="AD555" s="345"/>
      <c r="AE555" s="345"/>
    </row>
    <row r="556" spans="1:31" ht="15" x14ac:dyDescent="0.25">
      <c r="A556" s="605">
        <v>526</v>
      </c>
      <c r="B556" s="852" t="s">
        <v>3291</v>
      </c>
      <c r="C556" s="845"/>
      <c r="D556" s="845"/>
      <c r="E556" s="845"/>
      <c r="F556" s="845"/>
      <c r="G556" s="845"/>
      <c r="H556" s="1029"/>
      <c r="Z556" s="345"/>
      <c r="AA556" s="345"/>
      <c r="AB556" s="345"/>
      <c r="AC556" s="345"/>
      <c r="AD556" s="345"/>
      <c r="AE556" s="345"/>
    </row>
    <row r="557" spans="1:31" ht="15" x14ac:dyDescent="0.2">
      <c r="A557" s="605">
        <v>527</v>
      </c>
      <c r="B557" s="777" t="s">
        <v>3290</v>
      </c>
      <c r="C557" s="777"/>
      <c r="D557" s="777"/>
      <c r="E557" s="777"/>
      <c r="F557" s="777"/>
      <c r="G557" s="777"/>
      <c r="H557" s="1030"/>
      <c r="Z557" s="345"/>
      <c r="AA557" s="345"/>
      <c r="AB557" s="345"/>
      <c r="AC557" s="345"/>
      <c r="AD557" s="345"/>
      <c r="AE557" s="345"/>
    </row>
    <row r="558" spans="1:31" ht="45" x14ac:dyDescent="0.25">
      <c r="A558" s="605">
        <v>528</v>
      </c>
      <c r="B558" s="929" t="s">
        <v>3289</v>
      </c>
      <c r="C558" s="580"/>
      <c r="D558" s="928"/>
      <c r="E558" s="928"/>
      <c r="F558" s="928"/>
      <c r="G558" s="928"/>
      <c r="H558" s="1040"/>
      <c r="Z558" s="345"/>
      <c r="AA558" s="345"/>
      <c r="AB558" s="345"/>
      <c r="AC558" s="345"/>
      <c r="AD558" s="345"/>
      <c r="AE558" s="345"/>
    </row>
    <row r="559" spans="1:31" ht="30" x14ac:dyDescent="0.2">
      <c r="A559" s="605">
        <v>529</v>
      </c>
      <c r="B559" s="774" t="s">
        <v>3288</v>
      </c>
      <c r="C559" s="774"/>
      <c r="D559" s="774"/>
      <c r="E559" s="774"/>
      <c r="F559" s="774"/>
      <c r="G559" s="774"/>
      <c r="H559" s="1035"/>
      <c r="Z559" s="345"/>
      <c r="AA559" s="345"/>
      <c r="AB559" s="345"/>
      <c r="AC559" s="345"/>
      <c r="AD559" s="345"/>
      <c r="AE559" s="345"/>
    </row>
    <row r="560" spans="1:31" ht="15" x14ac:dyDescent="0.25">
      <c r="A560" s="605">
        <v>530</v>
      </c>
      <c r="B560" s="611" t="s">
        <v>3287</v>
      </c>
      <c r="C560" s="579"/>
      <c r="D560" s="832"/>
      <c r="E560" s="832"/>
      <c r="F560" s="832"/>
      <c r="G560" s="832"/>
      <c r="H560" s="1088"/>
      <c r="Z560" s="345"/>
      <c r="AA560" s="345"/>
      <c r="AB560" s="345"/>
      <c r="AC560" s="345"/>
      <c r="AD560" s="345"/>
      <c r="AE560" s="345"/>
    </row>
    <row r="561" spans="1:31" ht="15" x14ac:dyDescent="0.25">
      <c r="A561" s="605">
        <v>531</v>
      </c>
      <c r="B561" s="611" t="s">
        <v>3286</v>
      </c>
      <c r="C561" s="579"/>
      <c r="D561" s="832"/>
      <c r="E561" s="832"/>
      <c r="F561" s="832"/>
      <c r="G561" s="832"/>
      <c r="H561" s="1088"/>
      <c r="Z561" s="345"/>
      <c r="AA561" s="345"/>
      <c r="AB561" s="345"/>
      <c r="AC561" s="345"/>
      <c r="AD561" s="345"/>
      <c r="AE561" s="345"/>
    </row>
    <row r="562" spans="1:31" ht="15" x14ac:dyDescent="0.25">
      <c r="A562" s="605">
        <v>532</v>
      </c>
      <c r="B562" s="611" t="s">
        <v>3285</v>
      </c>
      <c r="C562" s="579"/>
      <c r="D562" s="832"/>
      <c r="E562" s="832"/>
      <c r="F562" s="832"/>
      <c r="G562" s="832"/>
      <c r="H562" s="1088"/>
      <c r="Z562" s="345"/>
      <c r="AA562" s="345"/>
      <c r="AB562" s="345"/>
      <c r="AC562" s="345"/>
      <c r="AD562" s="345"/>
      <c r="AE562" s="345"/>
    </row>
    <row r="563" spans="1:31" s="598" customFormat="1" ht="15" x14ac:dyDescent="0.25">
      <c r="A563" s="605">
        <v>533</v>
      </c>
      <c r="B563" s="611" t="s">
        <v>3284</v>
      </c>
      <c r="C563" s="579"/>
      <c r="D563" s="832"/>
      <c r="E563" s="832"/>
      <c r="F563" s="832"/>
      <c r="G563" s="832"/>
      <c r="H563" s="1088"/>
    </row>
    <row r="564" spans="1:31" s="598" customFormat="1" ht="15" x14ac:dyDescent="0.25">
      <c r="A564" s="605">
        <v>534</v>
      </c>
      <c r="B564" s="611" t="s">
        <v>3283</v>
      </c>
      <c r="C564" s="579"/>
      <c r="D564" s="832"/>
      <c r="E564" s="832"/>
      <c r="F564" s="832"/>
      <c r="G564" s="832"/>
      <c r="H564" s="1088"/>
    </row>
    <row r="565" spans="1:31" s="598" customFormat="1" ht="15" x14ac:dyDescent="0.25">
      <c r="A565" s="605">
        <v>535</v>
      </c>
      <c r="B565" s="611" t="s">
        <v>3282</v>
      </c>
      <c r="C565" s="579"/>
      <c r="D565" s="832"/>
      <c r="E565" s="832"/>
      <c r="F565" s="832"/>
      <c r="G565" s="832"/>
      <c r="H565" s="1088"/>
    </row>
    <row r="566" spans="1:31" s="598" customFormat="1" ht="15" x14ac:dyDescent="0.25">
      <c r="A566" s="605">
        <v>536</v>
      </c>
      <c r="B566" s="611" t="s">
        <v>3281</v>
      </c>
      <c r="C566" s="579"/>
      <c r="D566" s="832"/>
      <c r="E566" s="832"/>
      <c r="F566" s="832"/>
      <c r="G566" s="832"/>
      <c r="H566" s="1088"/>
    </row>
    <row r="567" spans="1:31" s="598" customFormat="1" ht="15" x14ac:dyDescent="0.25">
      <c r="A567" s="605">
        <v>537</v>
      </c>
      <c r="B567" s="611" t="s">
        <v>3280</v>
      </c>
      <c r="C567" s="579"/>
      <c r="D567" s="832"/>
      <c r="E567" s="832"/>
      <c r="F567" s="832"/>
      <c r="G567" s="832"/>
      <c r="H567" s="1088"/>
    </row>
    <row r="568" spans="1:31" s="598" customFormat="1" ht="15" x14ac:dyDescent="0.25">
      <c r="A568" s="605">
        <v>538</v>
      </c>
      <c r="B568" s="611" t="s">
        <v>2325</v>
      </c>
      <c r="C568" s="579"/>
      <c r="D568" s="832"/>
      <c r="E568" s="832"/>
      <c r="F568" s="832"/>
      <c r="G568" s="832"/>
      <c r="H568" s="1088"/>
    </row>
    <row r="569" spans="1:31" s="598" customFormat="1" ht="15" x14ac:dyDescent="0.25">
      <c r="A569" s="605">
        <v>539</v>
      </c>
      <c r="B569" s="611" t="s">
        <v>2294</v>
      </c>
      <c r="C569" s="579"/>
      <c r="D569" s="832"/>
      <c r="E569" s="832"/>
      <c r="F569" s="832"/>
      <c r="G569" s="832"/>
      <c r="H569" s="1088"/>
    </row>
    <row r="570" spans="1:31" s="598" customFormat="1" ht="15" x14ac:dyDescent="0.25">
      <c r="A570" s="605">
        <v>540</v>
      </c>
      <c r="B570" s="611" t="s">
        <v>3279</v>
      </c>
      <c r="C570" s="579"/>
      <c r="D570" s="832"/>
      <c r="E570" s="832"/>
      <c r="F570" s="832"/>
      <c r="G570" s="832"/>
      <c r="H570" s="1088"/>
    </row>
    <row r="571" spans="1:31" s="598" customFormat="1" ht="15" x14ac:dyDescent="0.25">
      <c r="A571" s="605">
        <v>541</v>
      </c>
      <c r="B571" s="611" t="s">
        <v>1513</v>
      </c>
      <c r="C571" s="579"/>
      <c r="D571" s="832"/>
      <c r="E571" s="832"/>
      <c r="F571" s="832"/>
      <c r="G571" s="832"/>
      <c r="H571" s="1088"/>
    </row>
    <row r="572" spans="1:31" s="598" customFormat="1" ht="15" x14ac:dyDescent="0.25">
      <c r="A572" s="605">
        <v>542</v>
      </c>
      <c r="B572" s="611" t="s">
        <v>3278</v>
      </c>
      <c r="C572" s="579"/>
      <c r="D572" s="832"/>
      <c r="E572" s="832"/>
      <c r="F572" s="832"/>
      <c r="G572" s="832"/>
      <c r="H572" s="1088"/>
    </row>
    <row r="573" spans="1:31" s="598" customFormat="1" ht="15" x14ac:dyDescent="0.25">
      <c r="A573" s="605">
        <v>543</v>
      </c>
      <c r="B573" s="611" t="s">
        <v>2324</v>
      </c>
      <c r="C573" s="579"/>
      <c r="D573" s="832"/>
      <c r="E573" s="832"/>
      <c r="F573" s="832"/>
      <c r="G573" s="832"/>
      <c r="H573" s="1088"/>
    </row>
    <row r="574" spans="1:31" s="598" customFormat="1" ht="30" x14ac:dyDescent="0.25">
      <c r="A574" s="605">
        <v>544</v>
      </c>
      <c r="B574" s="718" t="s">
        <v>3277</v>
      </c>
      <c r="C574" s="579"/>
      <c r="D574" s="832"/>
      <c r="E574" s="832"/>
      <c r="F574" s="832"/>
      <c r="G574" s="832"/>
      <c r="H574" s="1088"/>
    </row>
    <row r="575" spans="1:31" s="1019" customFormat="1" ht="45" x14ac:dyDescent="0.25">
      <c r="A575" s="605">
        <v>545</v>
      </c>
      <c r="B575" s="718" t="s">
        <v>3408</v>
      </c>
      <c r="C575" s="579"/>
      <c r="D575" s="832"/>
      <c r="E575" s="832"/>
      <c r="F575" s="832"/>
      <c r="G575" s="832"/>
      <c r="H575" s="1045"/>
    </row>
    <row r="576" spans="1:31" s="598" customFormat="1" ht="45" x14ac:dyDescent="0.2">
      <c r="A576" s="605">
        <v>546</v>
      </c>
      <c r="B576" s="953" t="s">
        <v>3276</v>
      </c>
      <c r="C576" s="944"/>
      <c r="D576" s="944"/>
      <c r="E576" s="944"/>
      <c r="F576" s="944"/>
      <c r="G576" s="944"/>
      <c r="H576" s="1079"/>
    </row>
    <row r="577" spans="1:31" s="1019" customFormat="1" ht="45" x14ac:dyDescent="0.25">
      <c r="A577" s="605">
        <v>547</v>
      </c>
      <c r="B577" s="718" t="s">
        <v>3409</v>
      </c>
      <c r="C577" s="944"/>
      <c r="D577" s="944"/>
      <c r="E577" s="944"/>
      <c r="F577" s="944"/>
      <c r="G577" s="944"/>
      <c r="H577" s="1045"/>
    </row>
    <row r="578" spans="1:31" ht="15" x14ac:dyDescent="0.2">
      <c r="A578" s="605">
        <v>548</v>
      </c>
      <c r="B578" s="777" t="s">
        <v>3275</v>
      </c>
      <c r="C578" s="777"/>
      <c r="D578" s="777"/>
      <c r="E578" s="777"/>
      <c r="F578" s="777"/>
      <c r="G578" s="777"/>
      <c r="H578" s="1030"/>
      <c r="Z578" s="345"/>
      <c r="AA578" s="345"/>
      <c r="AB578" s="345"/>
      <c r="AC578" s="345"/>
      <c r="AD578" s="345"/>
      <c r="AE578" s="345"/>
    </row>
    <row r="579" spans="1:31" ht="45" x14ac:dyDescent="0.25">
      <c r="A579" s="605">
        <v>549</v>
      </c>
      <c r="B579" s="775" t="s">
        <v>3274</v>
      </c>
      <c r="C579" s="580"/>
      <c r="D579" s="928"/>
      <c r="E579" s="928"/>
      <c r="F579" s="928"/>
      <c r="G579" s="928"/>
      <c r="H579" s="1040"/>
      <c r="Z579" s="345"/>
      <c r="AA579" s="345"/>
      <c r="AB579" s="345"/>
      <c r="AC579" s="345"/>
      <c r="AD579" s="345"/>
      <c r="AE579" s="345"/>
    </row>
    <row r="580" spans="1:31" ht="15" x14ac:dyDescent="0.25">
      <c r="A580" s="605">
        <v>550</v>
      </c>
      <c r="B580" s="775" t="s">
        <v>3273</v>
      </c>
      <c r="C580" s="580"/>
      <c r="D580" s="928"/>
      <c r="E580" s="928"/>
      <c r="F580" s="928"/>
      <c r="G580" s="928"/>
      <c r="H580" s="1040"/>
      <c r="Z580" s="345"/>
      <c r="AA580" s="345"/>
      <c r="AB580" s="345"/>
      <c r="AC580" s="345"/>
      <c r="AD580" s="345"/>
      <c r="AE580" s="345"/>
    </row>
    <row r="581" spans="1:31" ht="30" x14ac:dyDescent="0.25">
      <c r="A581" s="605">
        <v>551</v>
      </c>
      <c r="B581" s="775" t="s">
        <v>3272</v>
      </c>
      <c r="C581" s="278"/>
      <c r="D581" s="278"/>
      <c r="E581" s="278"/>
      <c r="F581" s="278"/>
      <c r="G581" s="278"/>
      <c r="H581" s="1040"/>
      <c r="Z581" s="345"/>
      <c r="AA581" s="345"/>
      <c r="AB581" s="345"/>
      <c r="AC581" s="345"/>
      <c r="AD581" s="345"/>
      <c r="AE581" s="345"/>
    </row>
    <row r="582" spans="1:31" ht="15" x14ac:dyDescent="0.25">
      <c r="A582" s="605">
        <v>552</v>
      </c>
      <c r="B582" s="930" t="s">
        <v>3271</v>
      </c>
      <c r="C582" s="580"/>
      <c r="D582" s="928"/>
      <c r="E582" s="928"/>
      <c r="F582" s="928"/>
      <c r="G582" s="928"/>
      <c r="H582" s="1040"/>
      <c r="Z582" s="345"/>
      <c r="AA582" s="345"/>
      <c r="AB582" s="345"/>
      <c r="AC582" s="345"/>
      <c r="AD582" s="345"/>
      <c r="AE582" s="345"/>
    </row>
    <row r="583" spans="1:31" ht="15" x14ac:dyDescent="0.25">
      <c r="A583" s="605">
        <v>553</v>
      </c>
      <c r="B583" s="930" t="s">
        <v>3270</v>
      </c>
      <c r="C583" s="580"/>
      <c r="D583" s="928"/>
      <c r="E583" s="928"/>
      <c r="F583" s="928"/>
      <c r="G583" s="928"/>
      <c r="H583" s="1040"/>
      <c r="Z583" s="345"/>
      <c r="AA583" s="345"/>
      <c r="AB583" s="345"/>
      <c r="AC583" s="345"/>
      <c r="AD583" s="345"/>
      <c r="AE583" s="345"/>
    </row>
    <row r="584" spans="1:31" ht="15" x14ac:dyDescent="0.25">
      <c r="A584" s="605">
        <v>554</v>
      </c>
      <c r="B584" s="929" t="s">
        <v>3269</v>
      </c>
      <c r="C584" s="580"/>
      <c r="D584" s="928"/>
      <c r="E584" s="928"/>
      <c r="F584" s="928"/>
      <c r="G584" s="928"/>
      <c r="H584" s="1040"/>
      <c r="Z584" s="345"/>
      <c r="AA584" s="345"/>
      <c r="AB584" s="345"/>
      <c r="AC584" s="345"/>
      <c r="AD584" s="345"/>
      <c r="AE584" s="345"/>
    </row>
    <row r="585" spans="1:31" ht="15" x14ac:dyDescent="0.25">
      <c r="A585" s="605">
        <v>555</v>
      </c>
      <c r="B585" s="929" t="s">
        <v>3268</v>
      </c>
      <c r="C585" s="580"/>
      <c r="D585" s="928"/>
      <c r="E585" s="928"/>
      <c r="F585" s="928"/>
      <c r="G585" s="928"/>
      <c r="H585" s="1040"/>
      <c r="Z585" s="345"/>
      <c r="AA585" s="345"/>
      <c r="AB585" s="345"/>
      <c r="AC585" s="345"/>
      <c r="AD585" s="345"/>
      <c r="AE585" s="345"/>
    </row>
    <row r="586" spans="1:31" ht="15" x14ac:dyDescent="0.25">
      <c r="A586" s="605">
        <v>556</v>
      </c>
      <c r="B586" s="929" t="s">
        <v>3267</v>
      </c>
      <c r="C586" s="580"/>
      <c r="D586" s="928"/>
      <c r="E586" s="928"/>
      <c r="F586" s="928"/>
      <c r="G586" s="928"/>
      <c r="H586" s="1040"/>
      <c r="Z586" s="345"/>
      <c r="AA586" s="345"/>
      <c r="AB586" s="345"/>
      <c r="AC586" s="345"/>
      <c r="AD586" s="345"/>
      <c r="AE586" s="345"/>
    </row>
    <row r="587" spans="1:31" ht="15" x14ac:dyDescent="0.2">
      <c r="A587" s="605">
        <v>557</v>
      </c>
      <c r="B587" s="777" t="s">
        <v>3266</v>
      </c>
      <c r="C587" s="777"/>
      <c r="D587" s="777"/>
      <c r="E587" s="777"/>
      <c r="F587" s="777"/>
      <c r="G587" s="777"/>
      <c r="H587" s="1030"/>
      <c r="Z587" s="345"/>
      <c r="AA587" s="345"/>
      <c r="AB587" s="345"/>
      <c r="AC587" s="345"/>
      <c r="AD587" s="345"/>
      <c r="AE587" s="345"/>
    </row>
    <row r="588" spans="1:31" ht="15" x14ac:dyDescent="0.25">
      <c r="A588" s="605">
        <v>558</v>
      </c>
      <c r="B588" s="929" t="s">
        <v>3265</v>
      </c>
      <c r="C588" s="580"/>
      <c r="D588" s="928"/>
      <c r="E588" s="928"/>
      <c r="F588" s="928"/>
      <c r="G588" s="928"/>
      <c r="H588" s="1040"/>
      <c r="Z588" s="345"/>
      <c r="AA588" s="345"/>
      <c r="AB588" s="345"/>
      <c r="AC588" s="345"/>
      <c r="AD588" s="345"/>
      <c r="AE588" s="345"/>
    </row>
    <row r="589" spans="1:31" ht="30" x14ac:dyDescent="0.25">
      <c r="A589" s="605">
        <v>559</v>
      </c>
      <c r="B589" s="929" t="s">
        <v>3264</v>
      </c>
      <c r="C589" s="278"/>
      <c r="D589" s="278"/>
      <c r="E589" s="278"/>
      <c r="F589" s="278"/>
      <c r="G589" s="278"/>
      <c r="H589" s="1040"/>
      <c r="Z589" s="345"/>
      <c r="AA589" s="345"/>
      <c r="AB589" s="345"/>
      <c r="AC589" s="345"/>
      <c r="AD589" s="345"/>
      <c r="AE589" s="345"/>
    </row>
    <row r="590" spans="1:31" ht="15" x14ac:dyDescent="0.25">
      <c r="A590" s="605">
        <v>560</v>
      </c>
      <c r="B590" s="930" t="s">
        <v>3263</v>
      </c>
      <c r="C590" s="580"/>
      <c r="D590" s="928"/>
      <c r="E590" s="928"/>
      <c r="F590" s="928"/>
      <c r="G590" s="928"/>
      <c r="H590" s="1040"/>
      <c r="Z590" s="345"/>
      <c r="AA590" s="345"/>
      <c r="AB590" s="345"/>
      <c r="AC590" s="345"/>
      <c r="AD590" s="345"/>
      <c r="AE590" s="345"/>
    </row>
    <row r="591" spans="1:31" s="598" customFormat="1" ht="15" x14ac:dyDescent="0.25">
      <c r="A591" s="605">
        <v>561</v>
      </c>
      <c r="B591" s="611" t="s">
        <v>3262</v>
      </c>
      <c r="C591" s="579"/>
      <c r="D591" s="832"/>
      <c r="E591" s="832"/>
      <c r="F591" s="832"/>
      <c r="G591" s="832"/>
      <c r="H591" s="1088"/>
    </row>
    <row r="592" spans="1:31" s="598" customFormat="1" ht="15" x14ac:dyDescent="0.25">
      <c r="A592" s="605">
        <v>562</v>
      </c>
      <c r="B592" s="611" t="s">
        <v>3261</v>
      </c>
      <c r="C592" s="579"/>
      <c r="D592" s="832"/>
      <c r="E592" s="832"/>
      <c r="F592" s="832"/>
      <c r="G592" s="832"/>
      <c r="H592" s="1088"/>
    </row>
    <row r="593" spans="1:112" s="598" customFormat="1" ht="15" x14ac:dyDescent="0.25">
      <c r="A593" s="605">
        <v>563</v>
      </c>
      <c r="B593" s="611" t="s">
        <v>3260</v>
      </c>
      <c r="C593" s="579"/>
      <c r="D593" s="832"/>
      <c r="E593" s="832"/>
      <c r="F593" s="832"/>
      <c r="G593" s="832"/>
      <c r="H593" s="1088"/>
    </row>
    <row r="594" spans="1:112" ht="15" x14ac:dyDescent="0.25">
      <c r="A594" s="605">
        <v>564</v>
      </c>
      <c r="B594" s="930" t="s">
        <v>3259</v>
      </c>
      <c r="C594" s="580"/>
      <c r="D594" s="928"/>
      <c r="E594" s="928"/>
      <c r="F594" s="928"/>
      <c r="G594" s="928"/>
      <c r="H594" s="1040"/>
      <c r="Z594" s="345"/>
      <c r="AA594" s="345"/>
      <c r="AB594" s="345"/>
      <c r="AC594" s="345"/>
      <c r="AD594" s="345"/>
      <c r="AE594" s="345"/>
    </row>
    <row r="595" spans="1:112" ht="15" x14ac:dyDescent="0.25">
      <c r="A595" s="605">
        <v>565</v>
      </c>
      <c r="B595" s="930" t="s">
        <v>3258</v>
      </c>
      <c r="C595" s="580"/>
      <c r="D595" s="928"/>
      <c r="E595" s="928"/>
      <c r="F595" s="928"/>
      <c r="G595" s="928"/>
      <c r="H595" s="1040"/>
      <c r="Z595" s="345"/>
      <c r="AA595" s="345"/>
      <c r="AB595" s="345"/>
      <c r="AC595" s="345"/>
      <c r="AD595" s="345"/>
      <c r="AE595" s="345"/>
    </row>
    <row r="596" spans="1:112" ht="15" x14ac:dyDescent="0.25">
      <c r="A596" s="605">
        <v>566</v>
      </c>
      <c r="B596" s="930" t="s">
        <v>3257</v>
      </c>
      <c r="C596" s="580"/>
      <c r="D596" s="928"/>
      <c r="E596" s="928"/>
      <c r="F596" s="928"/>
      <c r="G596" s="928"/>
      <c r="H596" s="1040"/>
      <c r="Z596" s="345"/>
      <c r="AA596" s="345"/>
      <c r="AB596" s="345"/>
      <c r="AC596" s="345"/>
      <c r="AD596" s="345"/>
      <c r="AE596" s="345"/>
    </row>
    <row r="597" spans="1:112" ht="15" x14ac:dyDescent="0.25">
      <c r="A597" s="605">
        <v>567</v>
      </c>
      <c r="B597" s="930" t="s">
        <v>3256</v>
      </c>
      <c r="C597" s="580"/>
      <c r="D597" s="928"/>
      <c r="E597" s="928"/>
      <c r="F597" s="928"/>
      <c r="G597" s="928"/>
      <c r="H597" s="1040"/>
      <c r="Z597" s="345"/>
      <c r="AA597" s="345"/>
      <c r="AB597" s="345"/>
      <c r="AC597" s="345"/>
      <c r="AD597" s="345"/>
      <c r="AE597" s="345"/>
    </row>
    <row r="598" spans="1:112" ht="15" x14ac:dyDescent="0.25">
      <c r="A598" s="605">
        <v>568</v>
      </c>
      <c r="B598" s="929" t="s">
        <v>3255</v>
      </c>
      <c r="C598" s="580"/>
      <c r="D598" s="928"/>
      <c r="E598" s="928"/>
      <c r="F598" s="928"/>
      <c r="G598" s="928"/>
      <c r="H598" s="1040"/>
      <c r="Z598" s="345"/>
      <c r="AA598" s="345"/>
      <c r="AB598" s="345"/>
      <c r="AC598" s="345"/>
      <c r="AD598" s="345"/>
      <c r="AE598" s="345"/>
    </row>
    <row r="599" spans="1:112" ht="30" x14ac:dyDescent="0.25">
      <c r="A599" s="605">
        <v>569</v>
      </c>
      <c r="B599" s="623" t="s">
        <v>3254</v>
      </c>
      <c r="C599" s="580"/>
      <c r="D599" s="928"/>
      <c r="E599" s="928"/>
      <c r="F599" s="928"/>
      <c r="G599" s="928"/>
      <c r="H599" s="1040"/>
      <c r="Z599" s="345"/>
      <c r="AA599" s="345"/>
      <c r="AB599" s="345"/>
      <c r="AC599" s="345"/>
      <c r="AD599" s="345"/>
      <c r="AE599" s="345"/>
    </row>
    <row r="600" spans="1:112" ht="30" x14ac:dyDescent="0.25">
      <c r="A600" s="605">
        <v>570</v>
      </c>
      <c r="B600" s="623" t="s">
        <v>3253</v>
      </c>
      <c r="C600" s="580"/>
      <c r="D600" s="928"/>
      <c r="E600" s="928"/>
      <c r="F600" s="928"/>
      <c r="G600" s="928"/>
      <c r="H600" s="1040"/>
      <c r="Z600" s="345"/>
      <c r="AA600" s="345"/>
      <c r="AB600" s="345"/>
      <c r="AC600" s="345"/>
      <c r="AD600" s="345"/>
      <c r="AE600" s="345"/>
    </row>
    <row r="601" spans="1:112" ht="15" x14ac:dyDescent="0.25">
      <c r="A601" s="605">
        <v>571</v>
      </c>
      <c r="B601" s="929" t="s">
        <v>3252</v>
      </c>
      <c r="C601" s="580"/>
      <c r="D601" s="928"/>
      <c r="E601" s="928"/>
      <c r="F601" s="928"/>
      <c r="G601" s="928"/>
      <c r="H601" s="1040"/>
      <c r="Z601" s="345"/>
      <c r="AA601" s="345"/>
      <c r="AB601" s="345"/>
      <c r="AC601" s="345"/>
      <c r="AD601" s="345"/>
      <c r="AE601" s="345"/>
    </row>
    <row r="602" spans="1:112" ht="30" x14ac:dyDescent="0.25">
      <c r="A602" s="605">
        <v>572</v>
      </c>
      <c r="B602" s="929" t="s">
        <v>3251</v>
      </c>
      <c r="C602" s="580"/>
      <c r="D602" s="928"/>
      <c r="E602" s="928"/>
      <c r="F602" s="928"/>
      <c r="G602" s="928"/>
      <c r="H602" s="1040"/>
      <c r="Z602" s="345"/>
      <c r="AA602" s="345"/>
      <c r="AB602" s="345"/>
      <c r="AC602" s="345"/>
      <c r="AD602" s="345"/>
      <c r="AE602" s="345"/>
    </row>
    <row r="603" spans="1:112" s="598" customFormat="1" ht="30" x14ac:dyDescent="0.2">
      <c r="A603" s="605">
        <v>573</v>
      </c>
      <c r="B603" s="718" t="s">
        <v>3250</v>
      </c>
      <c r="C603" s="727"/>
      <c r="D603" s="727"/>
      <c r="E603" s="727"/>
      <c r="F603" s="727"/>
      <c r="G603" s="727"/>
      <c r="H603" s="1089"/>
    </row>
    <row r="604" spans="1:112" ht="15" x14ac:dyDescent="0.25">
      <c r="A604" s="605">
        <v>574</v>
      </c>
      <c r="B604" s="835" t="s">
        <v>3222</v>
      </c>
      <c r="C604" s="927"/>
      <c r="D604" s="927"/>
      <c r="E604" s="927"/>
      <c r="F604" s="927"/>
      <c r="G604" s="927"/>
      <c r="H604" s="1024"/>
      <c r="AF604" s="347"/>
      <c r="AG604" s="347"/>
      <c r="AH604" s="347"/>
      <c r="AI604" s="347"/>
      <c r="AJ604" s="347"/>
      <c r="AK604" s="347"/>
      <c r="AL604" s="347"/>
      <c r="AM604" s="347"/>
      <c r="AN604" s="347"/>
      <c r="AO604" s="347"/>
      <c r="AP604" s="347"/>
      <c r="AQ604" s="347"/>
      <c r="AR604" s="347"/>
      <c r="AS604" s="347"/>
      <c r="AT604" s="347"/>
      <c r="AU604" s="347"/>
      <c r="AV604" s="347"/>
      <c r="AW604" s="347"/>
      <c r="AX604" s="347"/>
      <c r="AY604" s="347"/>
      <c r="AZ604" s="347"/>
      <c r="BA604" s="347"/>
      <c r="BB604" s="347"/>
      <c r="BC604" s="347"/>
      <c r="BD604" s="347"/>
      <c r="BE604" s="347"/>
    </row>
    <row r="605" spans="1:112" s="791" customFormat="1" ht="15" x14ac:dyDescent="0.25">
      <c r="A605" s="605">
        <v>575</v>
      </c>
      <c r="B605" s="925" t="s">
        <v>3249</v>
      </c>
      <c r="C605" s="925"/>
      <c r="D605" s="925"/>
      <c r="E605" s="925"/>
      <c r="F605" s="925"/>
      <c r="G605" s="925"/>
      <c r="H605" s="1031"/>
      <c r="I605" s="792"/>
      <c r="J605" s="792"/>
      <c r="K605" s="792"/>
      <c r="L605" s="792"/>
      <c r="M605" s="792"/>
      <c r="N605" s="792"/>
      <c r="O605" s="792"/>
      <c r="P605" s="792"/>
      <c r="Q605" s="792"/>
      <c r="R605" s="792"/>
      <c r="S605" s="792"/>
      <c r="T605" s="792"/>
      <c r="U605" s="792"/>
      <c r="V605" s="792"/>
      <c r="W605" s="792"/>
      <c r="X605" s="792"/>
      <c r="Y605" s="792"/>
      <c r="Z605" s="792"/>
      <c r="AA605" s="792"/>
      <c r="AB605" s="792"/>
      <c r="AC605" s="792"/>
      <c r="AD605" s="792"/>
      <c r="AE605" s="792"/>
      <c r="AF605" s="792"/>
      <c r="AG605" s="792"/>
      <c r="AH605" s="792"/>
      <c r="AI605" s="792"/>
      <c r="AJ605" s="792"/>
      <c r="AK605" s="792"/>
      <c r="AL605" s="792"/>
      <c r="AM605" s="792"/>
      <c r="AN605" s="792"/>
      <c r="AO605" s="792"/>
      <c r="AP605" s="792"/>
      <c r="AQ605" s="792"/>
      <c r="AR605" s="792"/>
      <c r="AS605" s="792"/>
      <c r="AT605" s="792"/>
      <c r="AU605" s="792"/>
      <c r="AV605" s="792"/>
      <c r="AW605" s="792"/>
      <c r="AX605" s="792"/>
      <c r="AY605" s="792"/>
      <c r="AZ605" s="792"/>
      <c r="BA605" s="792"/>
      <c r="BB605" s="792"/>
      <c r="BC605" s="792"/>
      <c r="BD605" s="792"/>
      <c r="BE605" s="792"/>
    </row>
    <row r="606" spans="1:112" ht="30" x14ac:dyDescent="0.25">
      <c r="A606" s="605">
        <v>576</v>
      </c>
      <c r="B606" s="730" t="s">
        <v>3248</v>
      </c>
      <c r="C606" s="278"/>
      <c r="D606" s="278"/>
      <c r="E606" s="278"/>
      <c r="F606" s="278"/>
      <c r="G606" s="278"/>
      <c r="H606" s="1090"/>
      <c r="I606" s="921"/>
      <c r="J606" s="921"/>
      <c r="K606" s="921"/>
      <c r="L606" s="921"/>
      <c r="M606" s="921"/>
      <c r="N606" s="921"/>
      <c r="O606" s="921"/>
      <c r="P606" s="921"/>
      <c r="Q606" s="921"/>
      <c r="R606" s="921"/>
      <c r="S606" s="921"/>
      <c r="T606" s="921"/>
      <c r="U606" s="921"/>
      <c r="V606" s="921"/>
      <c r="W606" s="921"/>
      <c r="X606" s="921"/>
      <c r="Y606" s="921"/>
      <c r="Z606" s="921"/>
      <c r="AA606" s="921"/>
      <c r="AB606" s="921"/>
      <c r="AC606" s="921"/>
      <c r="AD606" s="921"/>
      <c r="AE606" s="921"/>
      <c r="AF606" s="921"/>
      <c r="AG606" s="921"/>
      <c r="AH606" s="921"/>
      <c r="AI606" s="921"/>
      <c r="AJ606" s="921"/>
      <c r="AK606" s="921"/>
      <c r="AL606" s="921"/>
      <c r="AM606" s="921"/>
      <c r="AN606" s="921"/>
      <c r="AO606" s="921"/>
      <c r="AP606" s="921"/>
      <c r="AQ606" s="921"/>
      <c r="AR606" s="921"/>
      <c r="AS606" s="921"/>
      <c r="AT606" s="921"/>
      <c r="AU606" s="921"/>
      <c r="AV606" s="921"/>
      <c r="AW606" s="921"/>
      <c r="AX606" s="921"/>
      <c r="AY606" s="921"/>
      <c r="AZ606" s="921"/>
      <c r="BA606" s="921"/>
      <c r="BB606" s="921"/>
      <c r="BC606" s="921"/>
      <c r="BD606" s="921"/>
      <c r="BE606" s="921"/>
      <c r="BF606" s="920"/>
      <c r="BG606" s="920"/>
      <c r="BH606" s="920"/>
      <c r="BI606" s="920"/>
      <c r="BJ606" s="920"/>
      <c r="BK606" s="920"/>
      <c r="BL606" s="920"/>
      <c r="BM606" s="920"/>
      <c r="BN606" s="920"/>
      <c r="BO606" s="920"/>
      <c r="BP606" s="920"/>
      <c r="BQ606" s="920"/>
      <c r="BR606" s="920"/>
      <c r="BS606" s="920"/>
      <c r="BT606" s="920"/>
      <c r="BU606" s="920"/>
      <c r="BV606" s="920"/>
      <c r="BW606" s="920"/>
      <c r="BX606" s="920"/>
      <c r="BY606" s="920"/>
      <c r="BZ606" s="920"/>
      <c r="CA606" s="920"/>
      <c r="CB606" s="920"/>
      <c r="CC606" s="920"/>
      <c r="CD606" s="920"/>
      <c r="CE606" s="920"/>
      <c r="CF606" s="920"/>
      <c r="CG606" s="920"/>
      <c r="CH606" s="920"/>
      <c r="CI606" s="920"/>
      <c r="CJ606" s="920"/>
      <c r="CK606" s="920"/>
      <c r="CL606" s="920"/>
      <c r="CM606" s="920"/>
      <c r="CN606" s="920"/>
      <c r="CO606" s="920"/>
      <c r="CP606" s="920"/>
      <c r="CQ606" s="920"/>
      <c r="CR606" s="920"/>
      <c r="CS606" s="920"/>
      <c r="CT606" s="920"/>
      <c r="CU606" s="920"/>
      <c r="CV606" s="920"/>
      <c r="CW606" s="920"/>
      <c r="CX606" s="920"/>
      <c r="CY606" s="920"/>
      <c r="CZ606" s="920"/>
      <c r="DA606" s="920"/>
      <c r="DB606" s="920"/>
      <c r="DC606" s="920"/>
      <c r="DD606" s="920"/>
      <c r="DE606" s="920"/>
      <c r="DF606" s="920"/>
      <c r="DG606" s="920"/>
      <c r="DH606" s="920"/>
    </row>
    <row r="607" spans="1:112" ht="15" x14ac:dyDescent="0.25">
      <c r="A607" s="605">
        <v>577</v>
      </c>
      <c r="B607" s="922" t="s">
        <v>3247</v>
      </c>
      <c r="C607" s="278"/>
      <c r="D607" s="278"/>
      <c r="E607" s="278"/>
      <c r="F607" s="278"/>
      <c r="G607" s="278"/>
      <c r="H607" s="1090"/>
      <c r="I607" s="921"/>
      <c r="J607" s="921"/>
      <c r="K607" s="921"/>
      <c r="L607" s="921"/>
      <c r="M607" s="921"/>
      <c r="N607" s="921"/>
      <c r="O607" s="921"/>
      <c r="P607" s="921"/>
      <c r="Q607" s="921"/>
      <c r="R607" s="921"/>
      <c r="S607" s="921"/>
      <c r="T607" s="921"/>
      <c r="U607" s="921"/>
      <c r="V607" s="921"/>
      <c r="W607" s="921"/>
      <c r="X607" s="921"/>
      <c r="Y607" s="921"/>
      <c r="Z607" s="921"/>
      <c r="AA607" s="921"/>
      <c r="AB607" s="921"/>
      <c r="AC607" s="921"/>
      <c r="AD607" s="921"/>
      <c r="AE607" s="921"/>
      <c r="AF607" s="921"/>
      <c r="AG607" s="921"/>
      <c r="AH607" s="921"/>
      <c r="AI607" s="921"/>
      <c r="AJ607" s="921"/>
      <c r="AK607" s="921"/>
      <c r="AL607" s="921"/>
      <c r="AM607" s="921"/>
      <c r="AN607" s="921"/>
      <c r="AO607" s="921"/>
      <c r="AP607" s="921"/>
      <c r="AQ607" s="921"/>
      <c r="AR607" s="921"/>
      <c r="AS607" s="921"/>
      <c r="AT607" s="921"/>
      <c r="AU607" s="921"/>
      <c r="AV607" s="921"/>
      <c r="AW607" s="921"/>
      <c r="AX607" s="921"/>
      <c r="AY607" s="921"/>
      <c r="AZ607" s="921"/>
      <c r="BA607" s="921"/>
      <c r="BB607" s="921"/>
      <c r="BC607" s="921"/>
      <c r="BD607" s="921"/>
      <c r="BE607" s="921"/>
      <c r="BF607" s="920"/>
      <c r="BG607" s="920"/>
      <c r="BH607" s="920"/>
      <c r="BI607" s="920"/>
      <c r="BJ607" s="920"/>
      <c r="BK607" s="920"/>
      <c r="BL607" s="920"/>
      <c r="BM607" s="920"/>
      <c r="BN607" s="920"/>
      <c r="BO607" s="920"/>
      <c r="BP607" s="920"/>
      <c r="BQ607" s="920"/>
      <c r="BR607" s="920"/>
      <c r="BS607" s="920"/>
      <c r="BT607" s="920"/>
      <c r="BU607" s="920"/>
      <c r="BV607" s="920"/>
      <c r="BW607" s="920"/>
      <c r="BX607" s="920"/>
      <c r="BY607" s="920"/>
      <c r="BZ607" s="920"/>
      <c r="CA607" s="920"/>
      <c r="CB607" s="920"/>
      <c r="CC607" s="920"/>
      <c r="CD607" s="920"/>
      <c r="CE607" s="920"/>
      <c r="CF607" s="920"/>
      <c r="CG607" s="920"/>
      <c r="CH607" s="920"/>
      <c r="CI607" s="920"/>
      <c r="CJ607" s="920"/>
      <c r="CK607" s="920"/>
      <c r="CL607" s="920"/>
      <c r="CM607" s="920"/>
      <c r="CN607" s="920"/>
      <c r="CO607" s="920"/>
      <c r="CP607" s="920"/>
      <c r="CQ607" s="920"/>
      <c r="CR607" s="920"/>
      <c r="CS607" s="920"/>
      <c r="CT607" s="920"/>
      <c r="CU607" s="920"/>
      <c r="CV607" s="920"/>
      <c r="CW607" s="920"/>
      <c r="CX607" s="920"/>
      <c r="CY607" s="920"/>
      <c r="CZ607" s="920"/>
      <c r="DA607" s="920"/>
      <c r="DB607" s="920"/>
      <c r="DC607" s="920"/>
      <c r="DD607" s="920"/>
      <c r="DE607" s="920"/>
      <c r="DF607" s="920"/>
      <c r="DG607" s="920"/>
      <c r="DH607" s="920"/>
    </row>
    <row r="608" spans="1:112" ht="15" x14ac:dyDescent="0.25">
      <c r="A608" s="605">
        <v>578</v>
      </c>
      <c r="B608" s="926" t="s">
        <v>3246</v>
      </c>
      <c r="C608" s="534"/>
      <c r="D608" s="534"/>
      <c r="E608" s="534"/>
      <c r="F608" s="534"/>
      <c r="G608" s="534"/>
      <c r="H608" s="1090"/>
      <c r="I608" s="921"/>
      <c r="J608" s="921"/>
      <c r="K608" s="921"/>
      <c r="L608" s="921"/>
      <c r="M608" s="921"/>
      <c r="N608" s="921"/>
      <c r="O608" s="921"/>
      <c r="P608" s="921"/>
      <c r="Q608" s="921"/>
      <c r="R608" s="921"/>
      <c r="S608" s="921"/>
      <c r="T608" s="921"/>
      <c r="U608" s="921"/>
      <c r="V608" s="921"/>
      <c r="W608" s="921"/>
      <c r="X608" s="921"/>
      <c r="Y608" s="921"/>
      <c r="Z608" s="921"/>
      <c r="AA608" s="921"/>
      <c r="AB608" s="921"/>
      <c r="AC608" s="921"/>
      <c r="AD608" s="921"/>
      <c r="AE608" s="921"/>
      <c r="AF608" s="921"/>
      <c r="AG608" s="921"/>
      <c r="AH608" s="921"/>
      <c r="AI608" s="921"/>
      <c r="AJ608" s="921"/>
      <c r="AK608" s="921"/>
      <c r="AL608" s="921"/>
      <c r="AM608" s="921"/>
      <c r="AN608" s="921"/>
      <c r="AO608" s="921"/>
      <c r="AP608" s="921"/>
      <c r="AQ608" s="921"/>
      <c r="AR608" s="921"/>
      <c r="AS608" s="921"/>
      <c r="AT608" s="921"/>
      <c r="AU608" s="921"/>
      <c r="AV608" s="921"/>
      <c r="AW608" s="921"/>
      <c r="AX608" s="921"/>
      <c r="AY608" s="921"/>
      <c r="AZ608" s="921"/>
      <c r="BA608" s="921"/>
      <c r="BB608" s="921"/>
      <c r="BC608" s="921"/>
      <c r="BD608" s="921"/>
      <c r="BE608" s="921"/>
      <c r="BF608" s="920"/>
      <c r="BG608" s="920"/>
      <c r="BH608" s="920"/>
      <c r="BI608" s="920"/>
      <c r="BJ608" s="920"/>
      <c r="BK608" s="920"/>
      <c r="BL608" s="920"/>
      <c r="BM608" s="920"/>
      <c r="BN608" s="920"/>
      <c r="BO608" s="920"/>
      <c r="BP608" s="920"/>
      <c r="BQ608" s="920"/>
      <c r="BR608" s="920"/>
      <c r="BS608" s="920"/>
      <c r="BT608" s="920"/>
      <c r="BU608" s="920"/>
      <c r="BV608" s="920"/>
      <c r="BW608" s="920"/>
      <c r="BX608" s="920"/>
      <c r="BY608" s="920"/>
      <c r="BZ608" s="920"/>
      <c r="CA608" s="920"/>
      <c r="CB608" s="920"/>
      <c r="CC608" s="920"/>
      <c r="CD608" s="920"/>
      <c r="CE608" s="920"/>
      <c r="CF608" s="920"/>
      <c r="CG608" s="920"/>
      <c r="CH608" s="920"/>
      <c r="CI608" s="920"/>
      <c r="CJ608" s="920"/>
      <c r="CK608" s="920"/>
      <c r="CL608" s="920"/>
      <c r="CM608" s="920"/>
      <c r="CN608" s="920"/>
      <c r="CO608" s="920"/>
      <c r="CP608" s="920"/>
      <c r="CQ608" s="920"/>
      <c r="CR608" s="920"/>
      <c r="CS608" s="920"/>
      <c r="CT608" s="920"/>
      <c r="CU608" s="920"/>
      <c r="CV608" s="920"/>
      <c r="CW608" s="920"/>
      <c r="CX608" s="920"/>
      <c r="CY608" s="920"/>
      <c r="CZ608" s="920"/>
      <c r="DA608" s="920"/>
      <c r="DB608" s="920"/>
      <c r="DC608" s="920"/>
      <c r="DD608" s="920"/>
      <c r="DE608" s="920"/>
      <c r="DF608" s="920"/>
      <c r="DG608" s="920"/>
      <c r="DH608" s="920"/>
    </row>
    <row r="609" spans="1:112" ht="15" x14ac:dyDescent="0.25">
      <c r="A609" s="605">
        <v>579</v>
      </c>
      <c r="B609" s="926" t="s">
        <v>3242</v>
      </c>
      <c r="C609" s="534"/>
      <c r="D609" s="534"/>
      <c r="E609" s="534"/>
      <c r="F609" s="534"/>
      <c r="G609" s="534"/>
      <c r="H609" s="1090"/>
      <c r="I609" s="921"/>
      <c r="J609" s="921"/>
      <c r="K609" s="921"/>
      <c r="L609" s="921"/>
      <c r="M609" s="921"/>
      <c r="N609" s="921"/>
      <c r="O609" s="921"/>
      <c r="P609" s="921"/>
      <c r="Q609" s="921"/>
      <c r="R609" s="921"/>
      <c r="S609" s="921"/>
      <c r="T609" s="921"/>
      <c r="U609" s="921"/>
      <c r="V609" s="921"/>
      <c r="W609" s="921"/>
      <c r="X609" s="921"/>
      <c r="Y609" s="921"/>
      <c r="Z609" s="921"/>
      <c r="AA609" s="921"/>
      <c r="AB609" s="921"/>
      <c r="AC609" s="921"/>
      <c r="AD609" s="921"/>
      <c r="AE609" s="921"/>
      <c r="AF609" s="921"/>
      <c r="AG609" s="921"/>
      <c r="AH609" s="921"/>
      <c r="AI609" s="921"/>
      <c r="AJ609" s="921"/>
      <c r="AK609" s="921"/>
      <c r="AL609" s="921"/>
      <c r="AM609" s="921"/>
      <c r="AN609" s="921"/>
      <c r="AO609" s="921"/>
      <c r="AP609" s="921"/>
      <c r="AQ609" s="921"/>
      <c r="AR609" s="921"/>
      <c r="AS609" s="921"/>
      <c r="AT609" s="921"/>
      <c r="AU609" s="921"/>
      <c r="AV609" s="921"/>
      <c r="AW609" s="921"/>
      <c r="AX609" s="921"/>
      <c r="AY609" s="921"/>
      <c r="AZ609" s="921"/>
      <c r="BA609" s="921"/>
      <c r="BB609" s="921"/>
      <c r="BC609" s="921"/>
      <c r="BD609" s="921"/>
      <c r="BE609" s="921"/>
      <c r="BF609" s="920"/>
      <c r="BG609" s="920"/>
      <c r="BH609" s="920"/>
      <c r="BI609" s="920"/>
      <c r="BJ609" s="920"/>
      <c r="BK609" s="920"/>
      <c r="BL609" s="920"/>
      <c r="BM609" s="920"/>
      <c r="BN609" s="920"/>
      <c r="BO609" s="920"/>
      <c r="BP609" s="920"/>
      <c r="BQ609" s="920"/>
      <c r="BR609" s="920"/>
      <c r="BS609" s="920"/>
      <c r="BT609" s="920"/>
      <c r="BU609" s="920"/>
      <c r="BV609" s="920"/>
      <c r="BW609" s="920"/>
      <c r="BX609" s="920"/>
      <c r="BY609" s="920"/>
      <c r="BZ609" s="920"/>
      <c r="CA609" s="920"/>
      <c r="CB609" s="920"/>
      <c r="CC609" s="920"/>
      <c r="CD609" s="920"/>
      <c r="CE609" s="920"/>
      <c r="CF609" s="920"/>
      <c r="CG609" s="920"/>
      <c r="CH609" s="920"/>
      <c r="CI609" s="920"/>
      <c r="CJ609" s="920"/>
      <c r="CK609" s="920"/>
      <c r="CL609" s="920"/>
      <c r="CM609" s="920"/>
      <c r="CN609" s="920"/>
      <c r="CO609" s="920"/>
      <c r="CP609" s="920"/>
      <c r="CQ609" s="920"/>
      <c r="CR609" s="920"/>
      <c r="CS609" s="920"/>
      <c r="CT609" s="920"/>
      <c r="CU609" s="920"/>
      <c r="CV609" s="920"/>
      <c r="CW609" s="920"/>
      <c r="CX609" s="920"/>
      <c r="CY609" s="920"/>
      <c r="CZ609" s="920"/>
      <c r="DA609" s="920"/>
      <c r="DB609" s="920"/>
      <c r="DC609" s="920"/>
      <c r="DD609" s="920"/>
      <c r="DE609" s="920"/>
      <c r="DF609" s="920"/>
      <c r="DG609" s="920"/>
      <c r="DH609" s="920"/>
    </row>
    <row r="610" spans="1:112" ht="15" x14ac:dyDescent="0.25">
      <c r="A610" s="605">
        <v>580</v>
      </c>
      <c r="B610" s="922" t="s">
        <v>3245</v>
      </c>
      <c r="C610" s="278"/>
      <c r="D610" s="278"/>
      <c r="E610" s="278"/>
      <c r="F610" s="278"/>
      <c r="G610" s="278"/>
      <c r="H610" s="1090"/>
      <c r="I610" s="921"/>
      <c r="J610" s="921"/>
      <c r="K610" s="921"/>
      <c r="L610" s="921"/>
      <c r="M610" s="921"/>
      <c r="N610" s="921"/>
      <c r="O610" s="921"/>
      <c r="P610" s="921"/>
      <c r="Q610" s="921"/>
      <c r="R610" s="921"/>
      <c r="S610" s="921"/>
      <c r="T610" s="921"/>
      <c r="U610" s="921"/>
      <c r="V610" s="921"/>
      <c r="W610" s="921"/>
      <c r="X610" s="921"/>
      <c r="Y610" s="921"/>
      <c r="Z610" s="921"/>
      <c r="AA610" s="921"/>
      <c r="AB610" s="921"/>
      <c r="AC610" s="921"/>
      <c r="AD610" s="921"/>
      <c r="AE610" s="921"/>
      <c r="AF610" s="921"/>
      <c r="AG610" s="921"/>
      <c r="AH610" s="921"/>
      <c r="AI610" s="921"/>
      <c r="AJ610" s="921"/>
      <c r="AK610" s="921"/>
      <c r="AL610" s="921"/>
      <c r="AM610" s="921"/>
      <c r="AN610" s="921"/>
      <c r="AO610" s="921"/>
      <c r="AP610" s="921"/>
      <c r="AQ610" s="921"/>
      <c r="AR610" s="921"/>
      <c r="AS610" s="921"/>
      <c r="AT610" s="921"/>
      <c r="AU610" s="921"/>
      <c r="AV610" s="921"/>
      <c r="AW610" s="921"/>
      <c r="AX610" s="921"/>
      <c r="AY610" s="921"/>
      <c r="AZ610" s="921"/>
      <c r="BA610" s="921"/>
      <c r="BB610" s="921"/>
      <c r="BC610" s="921"/>
      <c r="BD610" s="921"/>
      <c r="BE610" s="921"/>
      <c r="BF610" s="920"/>
      <c r="BG610" s="920"/>
      <c r="BH610" s="920"/>
      <c r="BI610" s="920"/>
      <c r="BJ610" s="920"/>
      <c r="BK610" s="920"/>
      <c r="BL610" s="920"/>
      <c r="BM610" s="920"/>
      <c r="BN610" s="920"/>
      <c r="BO610" s="920"/>
      <c r="BP610" s="920"/>
      <c r="BQ610" s="920"/>
      <c r="BR610" s="920"/>
      <c r="BS610" s="920"/>
      <c r="BT610" s="920"/>
      <c r="BU610" s="920"/>
      <c r="BV610" s="920"/>
      <c r="BW610" s="920"/>
      <c r="BX610" s="920"/>
      <c r="BY610" s="920"/>
      <c r="BZ610" s="920"/>
      <c r="CA610" s="920"/>
      <c r="CB610" s="920"/>
      <c r="CC610" s="920"/>
      <c r="CD610" s="920"/>
      <c r="CE610" s="920"/>
      <c r="CF610" s="920"/>
      <c r="CG610" s="920"/>
      <c r="CH610" s="920"/>
      <c r="CI610" s="920"/>
      <c r="CJ610" s="920"/>
      <c r="CK610" s="920"/>
      <c r="CL610" s="920"/>
      <c r="CM610" s="920"/>
      <c r="CN610" s="920"/>
      <c r="CO610" s="920"/>
      <c r="CP610" s="920"/>
      <c r="CQ610" s="920"/>
      <c r="CR610" s="920"/>
      <c r="CS610" s="920"/>
      <c r="CT610" s="920"/>
      <c r="CU610" s="920"/>
      <c r="CV610" s="920"/>
      <c r="CW610" s="920"/>
      <c r="CX610" s="920"/>
      <c r="CY610" s="920"/>
      <c r="CZ610" s="920"/>
      <c r="DA610" s="920"/>
      <c r="DB610" s="920"/>
      <c r="DC610" s="920"/>
      <c r="DD610" s="920"/>
      <c r="DE610" s="920"/>
      <c r="DF610" s="920"/>
      <c r="DG610" s="920"/>
      <c r="DH610" s="920"/>
    </row>
    <row r="611" spans="1:112" ht="15" x14ac:dyDescent="0.25">
      <c r="A611" s="605">
        <v>581</v>
      </c>
      <c r="B611" s="926" t="s">
        <v>963</v>
      </c>
      <c r="C611" s="534"/>
      <c r="D611" s="534"/>
      <c r="E611" s="534"/>
      <c r="F611" s="534"/>
      <c r="G611" s="534"/>
      <c r="H611" s="1090"/>
      <c r="I611" s="921"/>
      <c r="J611" s="921"/>
      <c r="K611" s="921"/>
      <c r="L611" s="921"/>
      <c r="M611" s="921"/>
      <c r="N611" s="921"/>
      <c r="O611" s="921"/>
      <c r="P611" s="921"/>
      <c r="Q611" s="921"/>
      <c r="R611" s="921"/>
      <c r="S611" s="921"/>
      <c r="T611" s="921"/>
      <c r="U611" s="921"/>
      <c r="V611" s="921"/>
      <c r="W611" s="921"/>
      <c r="X611" s="921"/>
      <c r="Y611" s="921"/>
      <c r="Z611" s="921"/>
      <c r="AA611" s="921"/>
      <c r="AB611" s="921"/>
      <c r="AC611" s="921"/>
      <c r="AD611" s="921"/>
      <c r="AE611" s="921"/>
      <c r="AF611" s="921"/>
      <c r="AG611" s="921"/>
      <c r="AH611" s="921"/>
      <c r="AI611" s="921"/>
      <c r="AJ611" s="921"/>
      <c r="AK611" s="921"/>
      <c r="AL611" s="921"/>
      <c r="AM611" s="921"/>
      <c r="AN611" s="921"/>
      <c r="AO611" s="921"/>
      <c r="AP611" s="921"/>
      <c r="AQ611" s="921"/>
      <c r="AR611" s="921"/>
      <c r="AS611" s="921"/>
      <c r="AT611" s="921"/>
      <c r="AU611" s="921"/>
      <c r="AV611" s="921"/>
      <c r="AW611" s="921"/>
      <c r="AX611" s="921"/>
      <c r="AY611" s="921"/>
      <c r="AZ611" s="921"/>
      <c r="BA611" s="921"/>
      <c r="BB611" s="921"/>
      <c r="BC611" s="921"/>
      <c r="BD611" s="921"/>
      <c r="BE611" s="921"/>
      <c r="BF611" s="920"/>
      <c r="BG611" s="920"/>
      <c r="BH611" s="920"/>
      <c r="BI611" s="920"/>
      <c r="BJ611" s="920"/>
      <c r="BK611" s="920"/>
      <c r="BL611" s="920"/>
      <c r="BM611" s="920"/>
      <c r="BN611" s="920"/>
      <c r="BO611" s="920"/>
      <c r="BP611" s="920"/>
      <c r="BQ611" s="920"/>
      <c r="BR611" s="920"/>
      <c r="BS611" s="920"/>
      <c r="BT611" s="920"/>
      <c r="BU611" s="920"/>
      <c r="BV611" s="920"/>
      <c r="BW611" s="920"/>
      <c r="BX611" s="920"/>
      <c r="BY611" s="920"/>
      <c r="BZ611" s="920"/>
      <c r="CA611" s="920"/>
      <c r="CB611" s="920"/>
      <c r="CC611" s="920"/>
      <c r="CD611" s="920"/>
      <c r="CE611" s="920"/>
      <c r="CF611" s="920"/>
      <c r="CG611" s="920"/>
      <c r="CH611" s="920"/>
      <c r="CI611" s="920"/>
      <c r="CJ611" s="920"/>
      <c r="CK611" s="920"/>
      <c r="CL611" s="920"/>
      <c r="CM611" s="920"/>
      <c r="CN611" s="920"/>
      <c r="CO611" s="920"/>
      <c r="CP611" s="920"/>
      <c r="CQ611" s="920"/>
      <c r="CR611" s="920"/>
      <c r="CS611" s="920"/>
      <c r="CT611" s="920"/>
      <c r="CU611" s="920"/>
      <c r="CV611" s="920"/>
      <c r="CW611" s="920"/>
      <c r="CX611" s="920"/>
      <c r="CY611" s="920"/>
      <c r="CZ611" s="920"/>
      <c r="DA611" s="920"/>
      <c r="DB611" s="920"/>
      <c r="DC611" s="920"/>
      <c r="DD611" s="920"/>
      <c r="DE611" s="920"/>
      <c r="DF611" s="920"/>
      <c r="DG611" s="920"/>
      <c r="DH611" s="920"/>
    </row>
    <row r="612" spans="1:112" ht="15" x14ac:dyDescent="0.25">
      <c r="A612" s="605">
        <v>582</v>
      </c>
      <c r="B612" s="926" t="s">
        <v>3244</v>
      </c>
      <c r="C612" s="534"/>
      <c r="D612" s="534"/>
      <c r="E612" s="534"/>
      <c r="F612" s="534"/>
      <c r="G612" s="534"/>
      <c r="H612" s="1090"/>
      <c r="I612" s="921"/>
      <c r="J612" s="921"/>
      <c r="K612" s="921"/>
      <c r="L612" s="921"/>
      <c r="M612" s="921"/>
      <c r="N612" s="921"/>
      <c r="O612" s="921"/>
      <c r="P612" s="921"/>
      <c r="Q612" s="921"/>
      <c r="R612" s="921"/>
      <c r="S612" s="921"/>
      <c r="T612" s="921"/>
      <c r="U612" s="921"/>
      <c r="V612" s="921"/>
      <c r="W612" s="921"/>
      <c r="X612" s="921"/>
      <c r="Y612" s="921"/>
      <c r="Z612" s="921"/>
      <c r="AA612" s="921"/>
      <c r="AB612" s="921"/>
      <c r="AC612" s="921"/>
      <c r="AD612" s="921"/>
      <c r="AE612" s="921"/>
      <c r="AF612" s="921"/>
      <c r="AG612" s="921"/>
      <c r="AH612" s="921"/>
      <c r="AI612" s="921"/>
      <c r="AJ612" s="921"/>
      <c r="AK612" s="921"/>
      <c r="AL612" s="921"/>
      <c r="AM612" s="921"/>
      <c r="AN612" s="921"/>
      <c r="AO612" s="921"/>
      <c r="AP612" s="921"/>
      <c r="AQ612" s="921"/>
      <c r="AR612" s="921"/>
      <c r="AS612" s="921"/>
      <c r="AT612" s="921"/>
      <c r="AU612" s="921"/>
      <c r="AV612" s="921"/>
      <c r="AW612" s="921"/>
      <c r="AX612" s="921"/>
      <c r="AY612" s="921"/>
      <c r="AZ612" s="921"/>
      <c r="BA612" s="921"/>
      <c r="BB612" s="921"/>
      <c r="BC612" s="921"/>
      <c r="BD612" s="921"/>
      <c r="BE612" s="921"/>
      <c r="BF612" s="920"/>
      <c r="BG612" s="920"/>
      <c r="BH612" s="920"/>
      <c r="BI612" s="920"/>
      <c r="BJ612" s="920"/>
      <c r="BK612" s="920"/>
      <c r="BL612" s="920"/>
      <c r="BM612" s="920"/>
      <c r="BN612" s="920"/>
      <c r="BO612" s="920"/>
      <c r="BP612" s="920"/>
      <c r="BQ612" s="920"/>
      <c r="BR612" s="920"/>
      <c r="BS612" s="920"/>
      <c r="BT612" s="920"/>
      <c r="BU612" s="920"/>
      <c r="BV612" s="920"/>
      <c r="BW612" s="920"/>
      <c r="BX612" s="920"/>
      <c r="BY612" s="920"/>
      <c r="BZ612" s="920"/>
      <c r="CA612" s="920"/>
      <c r="CB612" s="920"/>
      <c r="CC612" s="920"/>
      <c r="CD612" s="920"/>
      <c r="CE612" s="920"/>
      <c r="CF612" s="920"/>
      <c r="CG612" s="920"/>
      <c r="CH612" s="920"/>
      <c r="CI612" s="920"/>
      <c r="CJ612" s="920"/>
      <c r="CK612" s="920"/>
      <c r="CL612" s="920"/>
      <c r="CM612" s="920"/>
      <c r="CN612" s="920"/>
      <c r="CO612" s="920"/>
      <c r="CP612" s="920"/>
      <c r="CQ612" s="920"/>
      <c r="CR612" s="920"/>
      <c r="CS612" s="920"/>
      <c r="CT612" s="920"/>
      <c r="CU612" s="920"/>
      <c r="CV612" s="920"/>
      <c r="CW612" s="920"/>
      <c r="CX612" s="920"/>
      <c r="CY612" s="920"/>
      <c r="CZ612" s="920"/>
      <c r="DA612" s="920"/>
      <c r="DB612" s="920"/>
      <c r="DC612" s="920"/>
      <c r="DD612" s="920"/>
      <c r="DE612" s="920"/>
      <c r="DF612" s="920"/>
      <c r="DG612" s="920"/>
      <c r="DH612" s="920"/>
    </row>
    <row r="613" spans="1:112" ht="15" x14ac:dyDescent="0.25">
      <c r="A613" s="605">
        <v>583</v>
      </c>
      <c r="B613" s="926" t="s">
        <v>3243</v>
      </c>
      <c r="C613" s="534"/>
      <c r="D613" s="534"/>
      <c r="E613" s="534"/>
      <c r="F613" s="534"/>
      <c r="G613" s="534"/>
      <c r="H613" s="1090"/>
      <c r="I613" s="921"/>
      <c r="J613" s="921"/>
      <c r="K613" s="921"/>
      <c r="L613" s="921"/>
      <c r="M613" s="921"/>
      <c r="N613" s="921"/>
      <c r="O613" s="921"/>
      <c r="P613" s="921"/>
      <c r="Q613" s="921"/>
      <c r="R613" s="921"/>
      <c r="S613" s="921"/>
      <c r="T613" s="921"/>
      <c r="U613" s="921"/>
      <c r="V613" s="921"/>
      <c r="W613" s="921"/>
      <c r="X613" s="921"/>
      <c r="Y613" s="921"/>
      <c r="Z613" s="921"/>
      <c r="AA613" s="921"/>
      <c r="AB613" s="921"/>
      <c r="AC613" s="921"/>
      <c r="AD613" s="921"/>
      <c r="AE613" s="921"/>
      <c r="AF613" s="921"/>
      <c r="AG613" s="921"/>
      <c r="AH613" s="921"/>
      <c r="AI613" s="921"/>
      <c r="AJ613" s="921"/>
      <c r="AK613" s="921"/>
      <c r="AL613" s="921"/>
      <c r="AM613" s="921"/>
      <c r="AN613" s="921"/>
      <c r="AO613" s="921"/>
      <c r="AP613" s="921"/>
      <c r="AQ613" s="921"/>
      <c r="AR613" s="921"/>
      <c r="AS613" s="921"/>
      <c r="AT613" s="921"/>
      <c r="AU613" s="921"/>
      <c r="AV613" s="921"/>
      <c r="AW613" s="921"/>
      <c r="AX613" s="921"/>
      <c r="AY613" s="921"/>
      <c r="AZ613" s="921"/>
      <c r="BA613" s="921"/>
      <c r="BB613" s="921"/>
      <c r="BC613" s="921"/>
      <c r="BD613" s="921"/>
      <c r="BE613" s="921"/>
      <c r="BF613" s="920"/>
      <c r="BG613" s="920"/>
      <c r="BH613" s="920"/>
      <c r="BI613" s="920"/>
      <c r="BJ613" s="920"/>
      <c r="BK613" s="920"/>
      <c r="BL613" s="920"/>
      <c r="BM613" s="920"/>
      <c r="BN613" s="920"/>
      <c r="BO613" s="920"/>
      <c r="BP613" s="920"/>
      <c r="BQ613" s="920"/>
      <c r="BR613" s="920"/>
      <c r="BS613" s="920"/>
      <c r="BT613" s="920"/>
      <c r="BU613" s="920"/>
      <c r="BV613" s="920"/>
      <c r="BW613" s="920"/>
      <c r="BX613" s="920"/>
      <c r="BY613" s="920"/>
      <c r="BZ613" s="920"/>
      <c r="CA613" s="920"/>
      <c r="CB613" s="920"/>
      <c r="CC613" s="920"/>
      <c r="CD613" s="920"/>
      <c r="CE613" s="920"/>
      <c r="CF613" s="920"/>
      <c r="CG613" s="920"/>
      <c r="CH613" s="920"/>
      <c r="CI613" s="920"/>
      <c r="CJ613" s="920"/>
      <c r="CK613" s="920"/>
      <c r="CL613" s="920"/>
      <c r="CM613" s="920"/>
      <c r="CN613" s="920"/>
      <c r="CO613" s="920"/>
      <c r="CP613" s="920"/>
      <c r="CQ613" s="920"/>
      <c r="CR613" s="920"/>
      <c r="CS613" s="920"/>
      <c r="CT613" s="920"/>
      <c r="CU613" s="920"/>
      <c r="CV613" s="920"/>
      <c r="CW613" s="920"/>
      <c r="CX613" s="920"/>
      <c r="CY613" s="920"/>
      <c r="CZ613" s="920"/>
      <c r="DA613" s="920"/>
      <c r="DB613" s="920"/>
      <c r="DC613" s="920"/>
      <c r="DD613" s="920"/>
      <c r="DE613" s="920"/>
      <c r="DF613" s="920"/>
      <c r="DG613" s="920"/>
      <c r="DH613" s="920"/>
    </row>
    <row r="614" spans="1:112" ht="15" x14ac:dyDescent="0.25">
      <c r="A614" s="605">
        <v>584</v>
      </c>
      <c r="B614" s="926" t="s">
        <v>3242</v>
      </c>
      <c r="C614" s="534"/>
      <c r="D614" s="534"/>
      <c r="E614" s="534"/>
      <c r="F614" s="534"/>
      <c r="G614" s="534"/>
      <c r="H614" s="1090"/>
      <c r="I614" s="921"/>
      <c r="J614" s="921"/>
      <c r="K614" s="921"/>
      <c r="L614" s="921"/>
      <c r="M614" s="921"/>
      <c r="N614" s="921"/>
      <c r="O614" s="921"/>
      <c r="P614" s="921"/>
      <c r="Q614" s="921"/>
      <c r="R614" s="921"/>
      <c r="S614" s="921"/>
      <c r="T614" s="921"/>
      <c r="U614" s="921"/>
      <c r="V614" s="921"/>
      <c r="W614" s="921"/>
      <c r="X614" s="921"/>
      <c r="Y614" s="921"/>
      <c r="Z614" s="921"/>
      <c r="AA614" s="921"/>
      <c r="AB614" s="921"/>
      <c r="AC614" s="921"/>
      <c r="AD614" s="921"/>
      <c r="AE614" s="921"/>
      <c r="AF614" s="921"/>
      <c r="AG614" s="921"/>
      <c r="AH614" s="921"/>
      <c r="AI614" s="921"/>
      <c r="AJ614" s="921"/>
      <c r="AK614" s="921"/>
      <c r="AL614" s="921"/>
      <c r="AM614" s="921"/>
      <c r="AN614" s="921"/>
      <c r="AO614" s="921"/>
      <c r="AP614" s="921"/>
      <c r="AQ614" s="921"/>
      <c r="AR614" s="921"/>
      <c r="AS614" s="921"/>
      <c r="AT614" s="921"/>
      <c r="AU614" s="921"/>
      <c r="AV614" s="921"/>
      <c r="AW614" s="921"/>
      <c r="AX614" s="921"/>
      <c r="AY614" s="921"/>
      <c r="AZ614" s="921"/>
      <c r="BA614" s="921"/>
      <c r="BB614" s="921"/>
      <c r="BC614" s="921"/>
      <c r="BD614" s="921"/>
      <c r="BE614" s="921"/>
      <c r="BF614" s="920"/>
      <c r="BG614" s="920"/>
      <c r="BH614" s="920"/>
      <c r="BI614" s="920"/>
      <c r="BJ614" s="920"/>
      <c r="BK614" s="920"/>
      <c r="BL614" s="920"/>
      <c r="BM614" s="920"/>
      <c r="BN614" s="920"/>
      <c r="BO614" s="920"/>
      <c r="BP614" s="920"/>
      <c r="BQ614" s="920"/>
      <c r="BR614" s="920"/>
      <c r="BS614" s="920"/>
      <c r="BT614" s="920"/>
      <c r="BU614" s="920"/>
      <c r="BV614" s="920"/>
      <c r="BW614" s="920"/>
      <c r="BX614" s="920"/>
      <c r="BY614" s="920"/>
      <c r="BZ614" s="920"/>
      <c r="CA614" s="920"/>
      <c r="CB614" s="920"/>
      <c r="CC614" s="920"/>
      <c r="CD614" s="920"/>
      <c r="CE614" s="920"/>
      <c r="CF614" s="920"/>
      <c r="CG614" s="920"/>
      <c r="CH614" s="920"/>
      <c r="CI614" s="920"/>
      <c r="CJ614" s="920"/>
      <c r="CK614" s="920"/>
      <c r="CL614" s="920"/>
      <c r="CM614" s="920"/>
      <c r="CN614" s="920"/>
      <c r="CO614" s="920"/>
      <c r="CP614" s="920"/>
      <c r="CQ614" s="920"/>
      <c r="CR614" s="920"/>
      <c r="CS614" s="920"/>
      <c r="CT614" s="920"/>
      <c r="CU614" s="920"/>
      <c r="CV614" s="920"/>
      <c r="CW614" s="920"/>
      <c r="CX614" s="920"/>
      <c r="CY614" s="920"/>
      <c r="CZ614" s="920"/>
      <c r="DA614" s="920"/>
      <c r="DB614" s="920"/>
      <c r="DC614" s="920"/>
      <c r="DD614" s="920"/>
      <c r="DE614" s="920"/>
      <c r="DF614" s="920"/>
      <c r="DG614" s="920"/>
      <c r="DH614" s="920"/>
    </row>
    <row r="615" spans="1:112" ht="15" x14ac:dyDescent="0.25">
      <c r="A615" s="605">
        <v>585</v>
      </c>
      <c r="B615" s="922" t="s">
        <v>3204</v>
      </c>
      <c r="C615" s="534"/>
      <c r="D615" s="534"/>
      <c r="E615" s="534"/>
      <c r="F615" s="534"/>
      <c r="G615" s="534"/>
      <c r="H615" s="1090"/>
      <c r="I615" s="921"/>
      <c r="J615" s="921"/>
      <c r="K615" s="921"/>
      <c r="L615" s="921"/>
      <c r="M615" s="921"/>
      <c r="N615" s="921"/>
      <c r="O615" s="921"/>
      <c r="P615" s="921"/>
      <c r="Q615" s="921"/>
      <c r="R615" s="921"/>
      <c r="S615" s="921"/>
      <c r="T615" s="921"/>
      <c r="U615" s="921"/>
      <c r="V615" s="921"/>
      <c r="W615" s="921"/>
      <c r="X615" s="921"/>
      <c r="Y615" s="921"/>
      <c r="Z615" s="921"/>
      <c r="AA615" s="921"/>
      <c r="AB615" s="921"/>
      <c r="AC615" s="921"/>
      <c r="AD615" s="921"/>
      <c r="AE615" s="921"/>
      <c r="AF615" s="921"/>
      <c r="AG615" s="921"/>
      <c r="AH615" s="921"/>
      <c r="AI615" s="921"/>
      <c r="AJ615" s="921"/>
      <c r="AK615" s="921"/>
      <c r="AL615" s="921"/>
      <c r="AM615" s="921"/>
      <c r="AN615" s="921"/>
      <c r="AO615" s="921"/>
      <c r="AP615" s="921"/>
      <c r="AQ615" s="921"/>
      <c r="AR615" s="921"/>
      <c r="AS615" s="921"/>
      <c r="AT615" s="921"/>
      <c r="AU615" s="921"/>
      <c r="AV615" s="921"/>
      <c r="AW615" s="921"/>
      <c r="AX615" s="921"/>
      <c r="AY615" s="921"/>
      <c r="AZ615" s="921"/>
      <c r="BA615" s="921"/>
      <c r="BB615" s="921"/>
      <c r="BC615" s="921"/>
      <c r="BD615" s="921"/>
      <c r="BE615" s="921"/>
      <c r="BF615" s="920"/>
      <c r="BG615" s="920"/>
      <c r="BH615" s="920"/>
      <c r="BI615" s="920"/>
      <c r="BJ615" s="920"/>
      <c r="BK615" s="920"/>
      <c r="BL615" s="920"/>
      <c r="BM615" s="920"/>
      <c r="BN615" s="920"/>
      <c r="BO615" s="920"/>
      <c r="BP615" s="920"/>
      <c r="BQ615" s="920"/>
      <c r="BR615" s="920"/>
      <c r="BS615" s="920"/>
      <c r="BT615" s="920"/>
      <c r="BU615" s="920"/>
      <c r="BV615" s="920"/>
      <c r="BW615" s="920"/>
      <c r="BX615" s="920"/>
      <c r="BY615" s="920"/>
      <c r="BZ615" s="920"/>
      <c r="CA615" s="920"/>
      <c r="CB615" s="920"/>
      <c r="CC615" s="920"/>
      <c r="CD615" s="920"/>
      <c r="CE615" s="920"/>
      <c r="CF615" s="920"/>
      <c r="CG615" s="920"/>
      <c r="CH615" s="920"/>
      <c r="CI615" s="920"/>
      <c r="CJ615" s="920"/>
      <c r="CK615" s="920"/>
      <c r="CL615" s="920"/>
      <c r="CM615" s="920"/>
      <c r="CN615" s="920"/>
      <c r="CO615" s="920"/>
      <c r="CP615" s="920"/>
      <c r="CQ615" s="920"/>
      <c r="CR615" s="920"/>
      <c r="CS615" s="920"/>
      <c r="CT615" s="920"/>
      <c r="CU615" s="920"/>
      <c r="CV615" s="920"/>
      <c r="CW615" s="920"/>
      <c r="CX615" s="920"/>
      <c r="CY615" s="920"/>
      <c r="CZ615" s="920"/>
      <c r="DA615" s="920"/>
      <c r="DB615" s="920"/>
      <c r="DC615" s="920"/>
      <c r="DD615" s="920"/>
      <c r="DE615" s="920"/>
      <c r="DF615" s="920"/>
      <c r="DG615" s="920"/>
      <c r="DH615" s="920"/>
    </row>
    <row r="616" spans="1:112" ht="15" x14ac:dyDescent="0.25">
      <c r="A616" s="605">
        <v>586</v>
      </c>
      <c r="B616" s="922" t="s">
        <v>3203</v>
      </c>
      <c r="C616" s="534"/>
      <c r="D616" s="534"/>
      <c r="E616" s="534"/>
      <c r="F616" s="534"/>
      <c r="G616" s="534"/>
      <c r="H616" s="1090"/>
      <c r="I616" s="921"/>
      <c r="J616" s="921"/>
      <c r="K616" s="921"/>
      <c r="L616" s="921"/>
      <c r="M616" s="921"/>
      <c r="N616" s="921"/>
      <c r="O616" s="921"/>
      <c r="P616" s="921"/>
      <c r="Q616" s="921"/>
      <c r="R616" s="921"/>
      <c r="S616" s="921"/>
      <c r="T616" s="921"/>
      <c r="U616" s="921"/>
      <c r="V616" s="921"/>
      <c r="W616" s="921"/>
      <c r="X616" s="921"/>
      <c r="Y616" s="921"/>
      <c r="Z616" s="921"/>
      <c r="AA616" s="921"/>
      <c r="AB616" s="921"/>
      <c r="AC616" s="921"/>
      <c r="AD616" s="921"/>
      <c r="AE616" s="921"/>
      <c r="AF616" s="921"/>
      <c r="AG616" s="921"/>
      <c r="AH616" s="921"/>
      <c r="AI616" s="921"/>
      <c r="AJ616" s="921"/>
      <c r="AK616" s="921"/>
      <c r="AL616" s="921"/>
      <c r="AM616" s="921"/>
      <c r="AN616" s="921"/>
      <c r="AO616" s="921"/>
      <c r="AP616" s="921"/>
      <c r="AQ616" s="921"/>
      <c r="AR616" s="921"/>
      <c r="AS616" s="921"/>
      <c r="AT616" s="921"/>
      <c r="AU616" s="921"/>
      <c r="AV616" s="921"/>
      <c r="AW616" s="921"/>
      <c r="AX616" s="921"/>
      <c r="AY616" s="921"/>
      <c r="AZ616" s="921"/>
      <c r="BA616" s="921"/>
      <c r="BB616" s="921"/>
      <c r="BC616" s="921"/>
      <c r="BD616" s="921"/>
      <c r="BE616" s="921"/>
      <c r="BF616" s="920"/>
      <c r="BG616" s="920"/>
      <c r="BH616" s="920"/>
      <c r="BI616" s="920"/>
      <c r="BJ616" s="920"/>
      <c r="BK616" s="920"/>
      <c r="BL616" s="920"/>
      <c r="BM616" s="920"/>
      <c r="BN616" s="920"/>
      <c r="BO616" s="920"/>
      <c r="BP616" s="920"/>
      <c r="BQ616" s="920"/>
      <c r="BR616" s="920"/>
      <c r="BS616" s="920"/>
      <c r="BT616" s="920"/>
      <c r="BU616" s="920"/>
      <c r="BV616" s="920"/>
      <c r="BW616" s="920"/>
      <c r="BX616" s="920"/>
      <c r="BY616" s="920"/>
      <c r="BZ616" s="920"/>
      <c r="CA616" s="920"/>
      <c r="CB616" s="920"/>
      <c r="CC616" s="920"/>
      <c r="CD616" s="920"/>
      <c r="CE616" s="920"/>
      <c r="CF616" s="920"/>
      <c r="CG616" s="920"/>
      <c r="CH616" s="920"/>
      <c r="CI616" s="920"/>
      <c r="CJ616" s="920"/>
      <c r="CK616" s="920"/>
      <c r="CL616" s="920"/>
      <c r="CM616" s="920"/>
      <c r="CN616" s="920"/>
      <c r="CO616" s="920"/>
      <c r="CP616" s="920"/>
      <c r="CQ616" s="920"/>
      <c r="CR616" s="920"/>
      <c r="CS616" s="920"/>
      <c r="CT616" s="920"/>
      <c r="CU616" s="920"/>
      <c r="CV616" s="920"/>
      <c r="CW616" s="920"/>
      <c r="CX616" s="920"/>
      <c r="CY616" s="920"/>
      <c r="CZ616" s="920"/>
      <c r="DA616" s="920"/>
      <c r="DB616" s="920"/>
      <c r="DC616" s="920"/>
      <c r="DD616" s="920"/>
      <c r="DE616" s="920"/>
      <c r="DF616" s="920"/>
      <c r="DG616" s="920"/>
      <c r="DH616" s="920"/>
    </row>
    <row r="617" spans="1:112" ht="15" x14ac:dyDescent="0.25">
      <c r="A617" s="605">
        <v>587</v>
      </c>
      <c r="B617" s="922" t="s">
        <v>3202</v>
      </c>
      <c r="C617" s="534"/>
      <c r="D617" s="534"/>
      <c r="E617" s="534"/>
      <c r="F617" s="534"/>
      <c r="G617" s="534"/>
      <c r="H617" s="1090"/>
      <c r="I617" s="921"/>
      <c r="J617" s="921"/>
      <c r="K617" s="921"/>
      <c r="L617" s="921"/>
      <c r="M617" s="921"/>
      <c r="N617" s="921"/>
      <c r="O617" s="921"/>
      <c r="P617" s="921"/>
      <c r="Q617" s="921"/>
      <c r="R617" s="921"/>
      <c r="S617" s="921"/>
      <c r="T617" s="921"/>
      <c r="U617" s="921"/>
      <c r="V617" s="921"/>
      <c r="W617" s="921"/>
      <c r="X617" s="921"/>
      <c r="Y617" s="921"/>
      <c r="Z617" s="921"/>
      <c r="AA617" s="921"/>
      <c r="AB617" s="921"/>
      <c r="AC617" s="921"/>
      <c r="AD617" s="921"/>
      <c r="AE617" s="921"/>
      <c r="AF617" s="921"/>
      <c r="AG617" s="921"/>
      <c r="AH617" s="921"/>
      <c r="AI617" s="921"/>
      <c r="AJ617" s="921"/>
      <c r="AK617" s="921"/>
      <c r="AL617" s="921"/>
      <c r="AM617" s="921"/>
      <c r="AN617" s="921"/>
      <c r="AO617" s="921"/>
      <c r="AP617" s="921"/>
      <c r="AQ617" s="921"/>
      <c r="AR617" s="921"/>
      <c r="AS617" s="921"/>
      <c r="AT617" s="921"/>
      <c r="AU617" s="921"/>
      <c r="AV617" s="921"/>
      <c r="AW617" s="921"/>
      <c r="AX617" s="921"/>
      <c r="AY617" s="921"/>
      <c r="AZ617" s="921"/>
      <c r="BA617" s="921"/>
      <c r="BB617" s="921"/>
      <c r="BC617" s="921"/>
      <c r="BD617" s="921"/>
      <c r="BE617" s="921"/>
      <c r="BF617" s="920"/>
      <c r="BG617" s="920"/>
      <c r="BH617" s="920"/>
      <c r="BI617" s="920"/>
      <c r="BJ617" s="920"/>
      <c r="BK617" s="920"/>
      <c r="BL617" s="920"/>
      <c r="BM617" s="920"/>
      <c r="BN617" s="920"/>
      <c r="BO617" s="920"/>
      <c r="BP617" s="920"/>
      <c r="BQ617" s="920"/>
      <c r="BR617" s="920"/>
      <c r="BS617" s="920"/>
      <c r="BT617" s="920"/>
      <c r="BU617" s="920"/>
      <c r="BV617" s="920"/>
      <c r="BW617" s="920"/>
      <c r="BX617" s="920"/>
      <c r="BY617" s="920"/>
      <c r="BZ617" s="920"/>
      <c r="CA617" s="920"/>
      <c r="CB617" s="920"/>
      <c r="CC617" s="920"/>
      <c r="CD617" s="920"/>
      <c r="CE617" s="920"/>
      <c r="CF617" s="920"/>
      <c r="CG617" s="920"/>
      <c r="CH617" s="920"/>
      <c r="CI617" s="920"/>
      <c r="CJ617" s="920"/>
      <c r="CK617" s="920"/>
      <c r="CL617" s="920"/>
      <c r="CM617" s="920"/>
      <c r="CN617" s="920"/>
      <c r="CO617" s="920"/>
      <c r="CP617" s="920"/>
      <c r="CQ617" s="920"/>
      <c r="CR617" s="920"/>
      <c r="CS617" s="920"/>
      <c r="CT617" s="920"/>
      <c r="CU617" s="920"/>
      <c r="CV617" s="920"/>
      <c r="CW617" s="920"/>
      <c r="CX617" s="920"/>
      <c r="CY617" s="920"/>
      <c r="CZ617" s="920"/>
      <c r="DA617" s="920"/>
      <c r="DB617" s="920"/>
      <c r="DC617" s="920"/>
      <c r="DD617" s="920"/>
      <c r="DE617" s="920"/>
      <c r="DF617" s="920"/>
      <c r="DG617" s="920"/>
      <c r="DH617" s="920"/>
    </row>
    <row r="618" spans="1:112" s="598" customFormat="1" ht="15" x14ac:dyDescent="0.25">
      <c r="A618" s="605">
        <v>588</v>
      </c>
      <c r="B618" s="733" t="s">
        <v>3241</v>
      </c>
      <c r="C618" s="538"/>
      <c r="D618" s="538"/>
      <c r="E618" s="538"/>
      <c r="F618" s="538"/>
      <c r="G618" s="538"/>
      <c r="H618" s="1091"/>
      <c r="I618" s="921"/>
      <c r="J618" s="921"/>
      <c r="K618" s="921"/>
      <c r="L618" s="921"/>
      <c r="M618" s="921"/>
      <c r="N618" s="921"/>
      <c r="O618" s="921"/>
      <c r="P618" s="921"/>
      <c r="Q618" s="921"/>
      <c r="R618" s="921"/>
      <c r="S618" s="921"/>
      <c r="T618" s="921"/>
      <c r="U618" s="921"/>
      <c r="V618" s="921"/>
      <c r="W618" s="921"/>
      <c r="X618" s="921"/>
      <c r="Y618" s="921"/>
      <c r="Z618" s="921"/>
      <c r="AA618" s="921"/>
      <c r="AB618" s="921"/>
      <c r="AC618" s="921"/>
      <c r="AD618" s="921"/>
      <c r="AE618" s="921"/>
      <c r="AF618" s="921"/>
      <c r="AG618" s="921"/>
      <c r="AH618" s="921"/>
      <c r="AI618" s="921"/>
      <c r="AJ618" s="921"/>
      <c r="AK618" s="921"/>
      <c r="AL618" s="921"/>
      <c r="AM618" s="921"/>
      <c r="AN618" s="921"/>
      <c r="AO618" s="921"/>
      <c r="AP618" s="921"/>
      <c r="AQ618" s="921"/>
      <c r="AR618" s="921"/>
      <c r="AS618" s="921"/>
      <c r="AT618" s="921"/>
      <c r="AU618" s="921"/>
      <c r="AV618" s="921"/>
      <c r="AW618" s="921"/>
      <c r="AX618" s="921"/>
      <c r="AY618" s="921"/>
      <c r="AZ618" s="921"/>
      <c r="BA618" s="921"/>
      <c r="BB618" s="921"/>
      <c r="BC618" s="921"/>
      <c r="BD618" s="921"/>
      <c r="BE618" s="921"/>
      <c r="BF618" s="921"/>
      <c r="BG618" s="921"/>
      <c r="BH618" s="921"/>
      <c r="BI618" s="921"/>
      <c r="BJ618" s="921"/>
      <c r="BK618" s="921"/>
      <c r="BL618" s="921"/>
      <c r="BM618" s="921"/>
      <c r="BN618" s="921"/>
      <c r="BO618" s="921"/>
      <c r="BP618" s="921"/>
      <c r="BQ618" s="921"/>
      <c r="BR618" s="921"/>
      <c r="BS618" s="921"/>
      <c r="BT618" s="921"/>
      <c r="BU618" s="921"/>
      <c r="BV618" s="921"/>
      <c r="BW618" s="921"/>
      <c r="BX618" s="921"/>
      <c r="BY618" s="921"/>
      <c r="BZ618" s="921"/>
      <c r="CA618" s="921"/>
      <c r="CB618" s="921"/>
      <c r="CC618" s="921"/>
      <c r="CD618" s="921"/>
      <c r="CE618" s="921"/>
      <c r="CF618" s="921"/>
      <c r="CG618" s="921"/>
      <c r="CH618" s="921"/>
      <c r="CI618" s="921"/>
      <c r="CJ618" s="921"/>
      <c r="CK618" s="921"/>
      <c r="CL618" s="921"/>
      <c r="CM618" s="921"/>
      <c r="CN618" s="921"/>
      <c r="CO618" s="921"/>
      <c r="CP618" s="921"/>
      <c r="CQ618" s="921"/>
      <c r="CR618" s="921"/>
      <c r="CS618" s="921"/>
      <c r="CT618" s="921"/>
      <c r="CU618" s="921"/>
      <c r="CV618" s="921"/>
      <c r="CW618" s="921"/>
      <c r="CX618" s="921"/>
      <c r="CY618" s="921"/>
      <c r="CZ618" s="921"/>
      <c r="DA618" s="921"/>
      <c r="DB618" s="921"/>
      <c r="DC618" s="921"/>
      <c r="DD618" s="921"/>
      <c r="DE618" s="921"/>
      <c r="DF618" s="921"/>
      <c r="DG618" s="921"/>
      <c r="DH618" s="921"/>
    </row>
    <row r="619" spans="1:112" s="598" customFormat="1" ht="15" x14ac:dyDescent="0.25">
      <c r="A619" s="605">
        <v>589</v>
      </c>
      <c r="B619" s="733" t="s">
        <v>3240</v>
      </c>
      <c r="C619" s="538"/>
      <c r="D619" s="538"/>
      <c r="E619" s="538"/>
      <c r="F619" s="538"/>
      <c r="G619" s="538"/>
      <c r="H619" s="1091"/>
      <c r="I619" s="921"/>
      <c r="J619" s="921"/>
      <c r="K619" s="921"/>
      <c r="L619" s="921"/>
      <c r="M619" s="921"/>
      <c r="N619" s="921"/>
      <c r="O619" s="921"/>
      <c r="P619" s="921"/>
      <c r="Q619" s="921"/>
      <c r="R619" s="921"/>
      <c r="S619" s="921"/>
      <c r="T619" s="921"/>
      <c r="U619" s="921"/>
      <c r="V619" s="921"/>
      <c r="W619" s="921"/>
      <c r="X619" s="921"/>
      <c r="Y619" s="921"/>
      <c r="Z619" s="921"/>
      <c r="AA619" s="921"/>
      <c r="AB619" s="921"/>
      <c r="AC619" s="921"/>
      <c r="AD619" s="921"/>
      <c r="AE619" s="921"/>
      <c r="AF619" s="921"/>
      <c r="AG619" s="921"/>
      <c r="AH619" s="921"/>
      <c r="AI619" s="921"/>
      <c r="AJ619" s="921"/>
      <c r="AK619" s="921"/>
      <c r="AL619" s="921"/>
      <c r="AM619" s="921"/>
      <c r="AN619" s="921"/>
      <c r="AO619" s="921"/>
      <c r="AP619" s="921"/>
      <c r="AQ619" s="921"/>
      <c r="AR619" s="921"/>
      <c r="AS619" s="921"/>
      <c r="AT619" s="921"/>
      <c r="AU619" s="921"/>
      <c r="AV619" s="921"/>
      <c r="AW619" s="921"/>
      <c r="AX619" s="921"/>
      <c r="AY619" s="921"/>
      <c r="AZ619" s="921"/>
      <c r="BA619" s="921"/>
      <c r="BB619" s="921"/>
      <c r="BC619" s="921"/>
      <c r="BD619" s="921"/>
      <c r="BE619" s="921"/>
      <c r="BF619" s="921"/>
      <c r="BG619" s="921"/>
      <c r="BH619" s="921"/>
      <c r="BI619" s="921"/>
      <c r="BJ619" s="921"/>
      <c r="BK619" s="921"/>
      <c r="BL619" s="921"/>
      <c r="BM619" s="921"/>
      <c r="BN619" s="921"/>
      <c r="BO619" s="921"/>
      <c r="BP619" s="921"/>
      <c r="BQ619" s="921"/>
      <c r="BR619" s="921"/>
      <c r="BS619" s="921"/>
      <c r="BT619" s="921"/>
      <c r="BU619" s="921"/>
      <c r="BV619" s="921"/>
      <c r="BW619" s="921"/>
      <c r="BX619" s="921"/>
      <c r="BY619" s="921"/>
      <c r="BZ619" s="921"/>
      <c r="CA619" s="921"/>
      <c r="CB619" s="921"/>
      <c r="CC619" s="921"/>
      <c r="CD619" s="921"/>
      <c r="CE619" s="921"/>
      <c r="CF619" s="921"/>
      <c r="CG619" s="921"/>
      <c r="CH619" s="921"/>
      <c r="CI619" s="921"/>
      <c r="CJ619" s="921"/>
      <c r="CK619" s="921"/>
      <c r="CL619" s="921"/>
      <c r="CM619" s="921"/>
      <c r="CN619" s="921"/>
      <c r="CO619" s="921"/>
      <c r="CP619" s="921"/>
      <c r="CQ619" s="921"/>
      <c r="CR619" s="921"/>
      <c r="CS619" s="921"/>
      <c r="CT619" s="921"/>
      <c r="CU619" s="921"/>
      <c r="CV619" s="921"/>
      <c r="CW619" s="921"/>
      <c r="CX619" s="921"/>
      <c r="CY619" s="921"/>
      <c r="CZ619" s="921"/>
      <c r="DA619" s="921"/>
      <c r="DB619" s="921"/>
      <c r="DC619" s="921"/>
      <c r="DD619" s="921"/>
      <c r="DE619" s="921"/>
      <c r="DF619" s="921"/>
      <c r="DG619" s="921"/>
      <c r="DH619" s="921"/>
    </row>
    <row r="620" spans="1:112" s="598" customFormat="1" ht="15" x14ac:dyDescent="0.25">
      <c r="A620" s="605">
        <v>590</v>
      </c>
      <c r="B620" s="733" t="s">
        <v>3239</v>
      </c>
      <c r="C620" s="538"/>
      <c r="D620" s="538"/>
      <c r="E620" s="538"/>
      <c r="F620" s="538"/>
      <c r="G620" s="538"/>
      <c r="H620" s="1091"/>
      <c r="I620" s="921"/>
      <c r="J620" s="921"/>
      <c r="K620" s="921"/>
      <c r="L620" s="921"/>
      <c r="M620" s="921"/>
      <c r="N620" s="921"/>
      <c r="O620" s="921"/>
      <c r="P620" s="921"/>
      <c r="Q620" s="921"/>
      <c r="R620" s="921"/>
      <c r="S620" s="921"/>
      <c r="T620" s="921"/>
      <c r="U620" s="921"/>
      <c r="V620" s="921"/>
      <c r="W620" s="921"/>
      <c r="X620" s="921"/>
      <c r="Y620" s="921"/>
      <c r="Z620" s="921"/>
      <c r="AA620" s="921"/>
      <c r="AB620" s="921"/>
      <c r="AC620" s="921"/>
      <c r="AD620" s="921"/>
      <c r="AE620" s="921"/>
      <c r="AF620" s="921"/>
      <c r="AG620" s="921"/>
      <c r="AH620" s="921"/>
      <c r="AI620" s="921"/>
      <c r="AJ620" s="921"/>
      <c r="AK620" s="921"/>
      <c r="AL620" s="921"/>
      <c r="AM620" s="921"/>
      <c r="AN620" s="921"/>
      <c r="AO620" s="921"/>
      <c r="AP620" s="921"/>
      <c r="AQ620" s="921"/>
      <c r="AR620" s="921"/>
      <c r="AS620" s="921"/>
      <c r="AT620" s="921"/>
      <c r="AU620" s="921"/>
      <c r="AV620" s="921"/>
      <c r="AW620" s="921"/>
      <c r="AX620" s="921"/>
      <c r="AY620" s="921"/>
      <c r="AZ620" s="921"/>
      <c r="BA620" s="921"/>
      <c r="BB620" s="921"/>
      <c r="BC620" s="921"/>
      <c r="BD620" s="921"/>
      <c r="BE620" s="921"/>
      <c r="BF620" s="921"/>
      <c r="BG620" s="921"/>
      <c r="BH620" s="921"/>
      <c r="BI620" s="921"/>
      <c r="BJ620" s="921"/>
      <c r="BK620" s="921"/>
      <c r="BL620" s="921"/>
      <c r="BM620" s="921"/>
      <c r="BN620" s="921"/>
      <c r="BO620" s="921"/>
      <c r="BP620" s="921"/>
      <c r="BQ620" s="921"/>
      <c r="BR620" s="921"/>
      <c r="BS620" s="921"/>
      <c r="BT620" s="921"/>
      <c r="BU620" s="921"/>
      <c r="BV620" s="921"/>
      <c r="BW620" s="921"/>
      <c r="BX620" s="921"/>
      <c r="BY620" s="921"/>
      <c r="BZ620" s="921"/>
      <c r="CA620" s="921"/>
      <c r="CB620" s="921"/>
      <c r="CC620" s="921"/>
      <c r="CD620" s="921"/>
      <c r="CE620" s="921"/>
      <c r="CF620" s="921"/>
      <c r="CG620" s="921"/>
      <c r="CH620" s="921"/>
      <c r="CI620" s="921"/>
      <c r="CJ620" s="921"/>
      <c r="CK620" s="921"/>
      <c r="CL620" s="921"/>
      <c r="CM620" s="921"/>
      <c r="CN620" s="921"/>
      <c r="CO620" s="921"/>
      <c r="CP620" s="921"/>
      <c r="CQ620" s="921"/>
      <c r="CR620" s="921"/>
      <c r="CS620" s="921"/>
      <c r="CT620" s="921"/>
      <c r="CU620" s="921"/>
      <c r="CV620" s="921"/>
      <c r="CW620" s="921"/>
      <c r="CX620" s="921"/>
      <c r="CY620" s="921"/>
      <c r="CZ620" s="921"/>
      <c r="DA620" s="921"/>
      <c r="DB620" s="921"/>
      <c r="DC620" s="921"/>
      <c r="DD620" s="921"/>
      <c r="DE620" s="921"/>
      <c r="DF620" s="921"/>
      <c r="DG620" s="921"/>
      <c r="DH620" s="921"/>
    </row>
    <row r="621" spans="1:112" s="598" customFormat="1" ht="15" x14ac:dyDescent="0.25">
      <c r="A621" s="605">
        <v>591</v>
      </c>
      <c r="B621" s="733" t="s">
        <v>3238</v>
      </c>
      <c r="C621" s="538"/>
      <c r="D621" s="538"/>
      <c r="E621" s="538"/>
      <c r="F621" s="538"/>
      <c r="G621" s="538"/>
      <c r="H621" s="1091"/>
      <c r="I621" s="921"/>
      <c r="J621" s="921"/>
      <c r="K621" s="921"/>
      <c r="L621" s="921"/>
      <c r="M621" s="921"/>
      <c r="N621" s="921"/>
      <c r="O621" s="921"/>
      <c r="P621" s="921"/>
      <c r="Q621" s="921"/>
      <c r="R621" s="921"/>
      <c r="S621" s="921"/>
      <c r="T621" s="921"/>
      <c r="U621" s="921"/>
      <c r="V621" s="921"/>
      <c r="W621" s="921"/>
      <c r="X621" s="921"/>
      <c r="Y621" s="921"/>
      <c r="Z621" s="921"/>
      <c r="AA621" s="921"/>
      <c r="AB621" s="921"/>
      <c r="AC621" s="921"/>
      <c r="AD621" s="921"/>
      <c r="AE621" s="921"/>
      <c r="AF621" s="921"/>
      <c r="AG621" s="921"/>
      <c r="AH621" s="921"/>
      <c r="AI621" s="921"/>
      <c r="AJ621" s="921"/>
      <c r="AK621" s="921"/>
      <c r="AL621" s="921"/>
      <c r="AM621" s="921"/>
      <c r="AN621" s="921"/>
      <c r="AO621" s="921"/>
      <c r="AP621" s="921"/>
      <c r="AQ621" s="921"/>
      <c r="AR621" s="921"/>
      <c r="AS621" s="921"/>
      <c r="AT621" s="921"/>
      <c r="AU621" s="921"/>
      <c r="AV621" s="921"/>
      <c r="AW621" s="921"/>
      <c r="AX621" s="921"/>
      <c r="AY621" s="921"/>
      <c r="AZ621" s="921"/>
      <c r="BA621" s="921"/>
      <c r="BB621" s="921"/>
      <c r="BC621" s="921"/>
      <c r="BD621" s="921"/>
      <c r="BE621" s="921"/>
      <c r="BF621" s="921"/>
      <c r="BG621" s="921"/>
      <c r="BH621" s="921"/>
      <c r="BI621" s="921"/>
      <c r="BJ621" s="921"/>
      <c r="BK621" s="921"/>
      <c r="BL621" s="921"/>
      <c r="BM621" s="921"/>
      <c r="BN621" s="921"/>
      <c r="BO621" s="921"/>
      <c r="BP621" s="921"/>
      <c r="BQ621" s="921"/>
      <c r="BR621" s="921"/>
      <c r="BS621" s="921"/>
      <c r="BT621" s="921"/>
      <c r="BU621" s="921"/>
      <c r="BV621" s="921"/>
      <c r="BW621" s="921"/>
      <c r="BX621" s="921"/>
      <c r="BY621" s="921"/>
      <c r="BZ621" s="921"/>
      <c r="CA621" s="921"/>
      <c r="CB621" s="921"/>
      <c r="CC621" s="921"/>
      <c r="CD621" s="921"/>
      <c r="CE621" s="921"/>
      <c r="CF621" s="921"/>
      <c r="CG621" s="921"/>
      <c r="CH621" s="921"/>
      <c r="CI621" s="921"/>
      <c r="CJ621" s="921"/>
      <c r="CK621" s="921"/>
      <c r="CL621" s="921"/>
      <c r="CM621" s="921"/>
      <c r="CN621" s="921"/>
      <c r="CO621" s="921"/>
      <c r="CP621" s="921"/>
      <c r="CQ621" s="921"/>
      <c r="CR621" s="921"/>
      <c r="CS621" s="921"/>
      <c r="CT621" s="921"/>
      <c r="CU621" s="921"/>
      <c r="CV621" s="921"/>
      <c r="CW621" s="921"/>
      <c r="CX621" s="921"/>
      <c r="CY621" s="921"/>
      <c r="CZ621" s="921"/>
      <c r="DA621" s="921"/>
      <c r="DB621" s="921"/>
      <c r="DC621" s="921"/>
      <c r="DD621" s="921"/>
      <c r="DE621" s="921"/>
      <c r="DF621" s="921"/>
      <c r="DG621" s="921"/>
      <c r="DH621" s="921"/>
    </row>
    <row r="622" spans="1:112" s="598" customFormat="1" ht="15" x14ac:dyDescent="0.25">
      <c r="A622" s="605">
        <v>592</v>
      </c>
      <c r="B622" s="733" t="s">
        <v>3237</v>
      </c>
      <c r="C622" s="538"/>
      <c r="D622" s="538"/>
      <c r="E622" s="538"/>
      <c r="F622" s="538"/>
      <c r="G622" s="538"/>
      <c r="H622" s="1091"/>
      <c r="I622" s="921"/>
      <c r="J622" s="921"/>
      <c r="K622" s="921"/>
      <c r="L622" s="921"/>
      <c r="M622" s="921"/>
      <c r="N622" s="921"/>
      <c r="O622" s="921"/>
      <c r="P622" s="921"/>
      <c r="Q622" s="921"/>
      <c r="R622" s="921"/>
      <c r="S622" s="921"/>
      <c r="T622" s="921"/>
      <c r="U622" s="921"/>
      <c r="V622" s="921"/>
      <c r="W622" s="921"/>
      <c r="X622" s="921"/>
      <c r="Y622" s="921"/>
      <c r="Z622" s="921"/>
      <c r="AA622" s="921"/>
      <c r="AB622" s="921"/>
      <c r="AC622" s="921"/>
      <c r="AD622" s="921"/>
      <c r="AE622" s="921"/>
      <c r="AF622" s="921"/>
      <c r="AG622" s="921"/>
      <c r="AH622" s="921"/>
      <c r="AI622" s="921"/>
      <c r="AJ622" s="921"/>
      <c r="AK622" s="921"/>
      <c r="AL622" s="921"/>
      <c r="AM622" s="921"/>
      <c r="AN622" s="921"/>
      <c r="AO622" s="921"/>
      <c r="AP622" s="921"/>
      <c r="AQ622" s="921"/>
      <c r="AR622" s="921"/>
      <c r="AS622" s="921"/>
      <c r="AT622" s="921"/>
      <c r="AU622" s="921"/>
      <c r="AV622" s="921"/>
      <c r="AW622" s="921"/>
      <c r="AX622" s="921"/>
      <c r="AY622" s="921"/>
      <c r="AZ622" s="921"/>
      <c r="BA622" s="921"/>
      <c r="BB622" s="921"/>
      <c r="BC622" s="921"/>
      <c r="BD622" s="921"/>
      <c r="BE622" s="921"/>
      <c r="BF622" s="921"/>
      <c r="BG622" s="921"/>
      <c r="BH622" s="921"/>
      <c r="BI622" s="921"/>
      <c r="BJ622" s="921"/>
      <c r="BK622" s="921"/>
      <c r="BL622" s="921"/>
      <c r="BM622" s="921"/>
      <c r="BN622" s="921"/>
      <c r="BO622" s="921"/>
      <c r="BP622" s="921"/>
      <c r="BQ622" s="921"/>
      <c r="BR622" s="921"/>
      <c r="BS622" s="921"/>
      <c r="BT622" s="921"/>
      <c r="BU622" s="921"/>
      <c r="BV622" s="921"/>
      <c r="BW622" s="921"/>
      <c r="BX622" s="921"/>
      <c r="BY622" s="921"/>
      <c r="BZ622" s="921"/>
      <c r="CA622" s="921"/>
      <c r="CB622" s="921"/>
      <c r="CC622" s="921"/>
      <c r="CD622" s="921"/>
      <c r="CE622" s="921"/>
      <c r="CF622" s="921"/>
      <c r="CG622" s="921"/>
      <c r="CH622" s="921"/>
      <c r="CI622" s="921"/>
      <c r="CJ622" s="921"/>
      <c r="CK622" s="921"/>
      <c r="CL622" s="921"/>
      <c r="CM622" s="921"/>
      <c r="CN622" s="921"/>
      <c r="CO622" s="921"/>
      <c r="CP622" s="921"/>
      <c r="CQ622" s="921"/>
      <c r="CR622" s="921"/>
      <c r="CS622" s="921"/>
      <c r="CT622" s="921"/>
      <c r="CU622" s="921"/>
      <c r="CV622" s="921"/>
      <c r="CW622" s="921"/>
      <c r="CX622" s="921"/>
      <c r="CY622" s="921"/>
      <c r="CZ622" s="921"/>
      <c r="DA622" s="921"/>
      <c r="DB622" s="921"/>
      <c r="DC622" s="921"/>
      <c r="DD622" s="921"/>
      <c r="DE622" s="921"/>
      <c r="DF622" s="921"/>
      <c r="DG622" s="921"/>
      <c r="DH622" s="921"/>
    </row>
    <row r="623" spans="1:112" s="598" customFormat="1" ht="15" x14ac:dyDescent="0.25">
      <c r="A623" s="605">
        <v>593</v>
      </c>
      <c r="B623" s="733" t="s">
        <v>3236</v>
      </c>
      <c r="C623" s="538"/>
      <c r="D623" s="538"/>
      <c r="E623" s="538"/>
      <c r="F623" s="538"/>
      <c r="G623" s="538"/>
      <c r="H623" s="1091"/>
      <c r="I623" s="921"/>
      <c r="J623" s="921"/>
      <c r="K623" s="921"/>
      <c r="L623" s="921"/>
      <c r="M623" s="921"/>
      <c r="N623" s="921"/>
      <c r="O623" s="921"/>
      <c r="P623" s="921"/>
      <c r="Q623" s="921"/>
      <c r="R623" s="921"/>
      <c r="S623" s="921"/>
      <c r="T623" s="921"/>
      <c r="U623" s="921"/>
      <c r="V623" s="921"/>
      <c r="W623" s="921"/>
      <c r="X623" s="921"/>
      <c r="Y623" s="921"/>
      <c r="Z623" s="921"/>
      <c r="AA623" s="921"/>
      <c r="AB623" s="921"/>
      <c r="AC623" s="921"/>
      <c r="AD623" s="921"/>
      <c r="AE623" s="921"/>
      <c r="AF623" s="921"/>
      <c r="AG623" s="921"/>
      <c r="AH623" s="921"/>
      <c r="AI623" s="921"/>
      <c r="AJ623" s="921"/>
      <c r="AK623" s="921"/>
      <c r="AL623" s="921"/>
      <c r="AM623" s="921"/>
      <c r="AN623" s="921"/>
      <c r="AO623" s="921"/>
      <c r="AP623" s="921"/>
      <c r="AQ623" s="921"/>
      <c r="AR623" s="921"/>
      <c r="AS623" s="921"/>
      <c r="AT623" s="921"/>
      <c r="AU623" s="921"/>
      <c r="AV623" s="921"/>
      <c r="AW623" s="921"/>
      <c r="AX623" s="921"/>
      <c r="AY623" s="921"/>
      <c r="AZ623" s="921"/>
      <c r="BA623" s="921"/>
      <c r="BB623" s="921"/>
      <c r="BC623" s="921"/>
      <c r="BD623" s="921"/>
      <c r="BE623" s="921"/>
      <c r="BF623" s="921"/>
      <c r="BG623" s="921"/>
      <c r="BH623" s="921"/>
      <c r="BI623" s="921"/>
      <c r="BJ623" s="921"/>
      <c r="BK623" s="921"/>
      <c r="BL623" s="921"/>
      <c r="BM623" s="921"/>
      <c r="BN623" s="921"/>
      <c r="BO623" s="921"/>
      <c r="BP623" s="921"/>
      <c r="BQ623" s="921"/>
      <c r="BR623" s="921"/>
      <c r="BS623" s="921"/>
      <c r="BT623" s="921"/>
      <c r="BU623" s="921"/>
      <c r="BV623" s="921"/>
      <c r="BW623" s="921"/>
      <c r="BX623" s="921"/>
      <c r="BY623" s="921"/>
      <c r="BZ623" s="921"/>
      <c r="CA623" s="921"/>
      <c r="CB623" s="921"/>
      <c r="CC623" s="921"/>
      <c r="CD623" s="921"/>
      <c r="CE623" s="921"/>
      <c r="CF623" s="921"/>
      <c r="CG623" s="921"/>
      <c r="CH623" s="921"/>
      <c r="CI623" s="921"/>
      <c r="CJ623" s="921"/>
      <c r="CK623" s="921"/>
      <c r="CL623" s="921"/>
      <c r="CM623" s="921"/>
      <c r="CN623" s="921"/>
      <c r="CO623" s="921"/>
      <c r="CP623" s="921"/>
      <c r="CQ623" s="921"/>
      <c r="CR623" s="921"/>
      <c r="CS623" s="921"/>
      <c r="CT623" s="921"/>
      <c r="CU623" s="921"/>
      <c r="CV623" s="921"/>
      <c r="CW623" s="921"/>
      <c r="CX623" s="921"/>
      <c r="CY623" s="921"/>
      <c r="CZ623" s="921"/>
      <c r="DA623" s="921"/>
      <c r="DB623" s="921"/>
      <c r="DC623" s="921"/>
      <c r="DD623" s="921"/>
      <c r="DE623" s="921"/>
      <c r="DF623" s="921"/>
      <c r="DG623" s="921"/>
      <c r="DH623" s="921"/>
    </row>
    <row r="624" spans="1:112" ht="15" x14ac:dyDescent="0.25">
      <c r="A624" s="605">
        <v>594</v>
      </c>
      <c r="B624" s="922" t="s">
        <v>3201</v>
      </c>
      <c r="C624" s="534"/>
      <c r="D624" s="534"/>
      <c r="E624" s="534"/>
      <c r="F624" s="534"/>
      <c r="G624" s="534"/>
      <c r="H624" s="1090"/>
      <c r="I624" s="921"/>
      <c r="J624" s="921"/>
      <c r="K624" s="921"/>
      <c r="L624" s="921"/>
      <c r="M624" s="921"/>
      <c r="N624" s="921"/>
      <c r="O624" s="921"/>
      <c r="P624" s="921"/>
      <c r="Q624" s="921"/>
      <c r="R624" s="921"/>
      <c r="S624" s="921"/>
      <c r="T624" s="921"/>
      <c r="U624" s="921"/>
      <c r="V624" s="921"/>
      <c r="W624" s="921"/>
      <c r="X624" s="921"/>
      <c r="Y624" s="921"/>
      <c r="Z624" s="921"/>
      <c r="AA624" s="921"/>
      <c r="AB624" s="921"/>
      <c r="AC624" s="921"/>
      <c r="AD624" s="921"/>
      <c r="AE624" s="921"/>
      <c r="AF624" s="921"/>
      <c r="AG624" s="921"/>
      <c r="AH624" s="921"/>
      <c r="AI624" s="921"/>
      <c r="AJ624" s="921"/>
      <c r="AK624" s="921"/>
      <c r="AL624" s="921"/>
      <c r="AM624" s="921"/>
      <c r="AN624" s="921"/>
      <c r="AO624" s="921"/>
      <c r="AP624" s="921"/>
      <c r="AQ624" s="921"/>
      <c r="AR624" s="921"/>
      <c r="AS624" s="921"/>
      <c r="AT624" s="921"/>
      <c r="AU624" s="921"/>
      <c r="AV624" s="921"/>
      <c r="AW624" s="921"/>
      <c r="AX624" s="921"/>
      <c r="AY624" s="921"/>
      <c r="AZ624" s="921"/>
      <c r="BA624" s="921"/>
      <c r="BB624" s="921"/>
      <c r="BC624" s="921"/>
      <c r="BD624" s="921"/>
      <c r="BE624" s="921"/>
      <c r="BF624" s="920"/>
      <c r="BG624" s="920"/>
      <c r="BH624" s="920"/>
      <c r="BI624" s="920"/>
      <c r="BJ624" s="920"/>
      <c r="BK624" s="920"/>
      <c r="BL624" s="920"/>
      <c r="BM624" s="920"/>
      <c r="BN624" s="920"/>
      <c r="BO624" s="920"/>
      <c r="BP624" s="920"/>
      <c r="BQ624" s="920"/>
      <c r="BR624" s="920"/>
      <c r="BS624" s="920"/>
      <c r="BT624" s="920"/>
      <c r="BU624" s="920"/>
      <c r="BV624" s="920"/>
      <c r="BW624" s="920"/>
      <c r="BX624" s="920"/>
      <c r="BY624" s="920"/>
      <c r="BZ624" s="920"/>
      <c r="CA624" s="920"/>
      <c r="CB624" s="920"/>
      <c r="CC624" s="920"/>
      <c r="CD624" s="920"/>
      <c r="CE624" s="920"/>
      <c r="CF624" s="920"/>
      <c r="CG624" s="920"/>
      <c r="CH624" s="920"/>
      <c r="CI624" s="920"/>
      <c r="CJ624" s="920"/>
      <c r="CK624" s="920"/>
      <c r="CL624" s="920"/>
      <c r="CM624" s="920"/>
      <c r="CN624" s="920"/>
      <c r="CO624" s="920"/>
      <c r="CP624" s="920"/>
      <c r="CQ624" s="920"/>
      <c r="CR624" s="920"/>
      <c r="CS624" s="920"/>
      <c r="CT624" s="920"/>
      <c r="CU624" s="920"/>
      <c r="CV624" s="920"/>
      <c r="CW624" s="920"/>
      <c r="CX624" s="920"/>
      <c r="CY624" s="920"/>
      <c r="CZ624" s="920"/>
      <c r="DA624" s="920"/>
      <c r="DB624" s="920"/>
      <c r="DC624" s="920"/>
      <c r="DD624" s="920"/>
      <c r="DE624" s="920"/>
      <c r="DF624" s="920"/>
      <c r="DG624" s="920"/>
      <c r="DH624" s="920"/>
    </row>
    <row r="625" spans="1:112" ht="15" x14ac:dyDescent="0.25">
      <c r="A625" s="605">
        <v>595</v>
      </c>
      <c r="B625" s="922" t="s">
        <v>3200</v>
      </c>
      <c r="C625" s="534"/>
      <c r="D625" s="534"/>
      <c r="E625" s="534"/>
      <c r="F625" s="534"/>
      <c r="G625" s="534"/>
      <c r="H625" s="1090"/>
      <c r="I625" s="921"/>
      <c r="J625" s="921"/>
      <c r="K625" s="921"/>
      <c r="L625" s="921"/>
      <c r="M625" s="921"/>
      <c r="N625" s="921"/>
      <c r="O625" s="921"/>
      <c r="P625" s="921"/>
      <c r="Q625" s="921"/>
      <c r="R625" s="921"/>
      <c r="S625" s="921"/>
      <c r="T625" s="921"/>
      <c r="U625" s="921"/>
      <c r="V625" s="921"/>
      <c r="W625" s="921"/>
      <c r="X625" s="921"/>
      <c r="Y625" s="921"/>
      <c r="Z625" s="921"/>
      <c r="AA625" s="921"/>
      <c r="AB625" s="921"/>
      <c r="AC625" s="921"/>
      <c r="AD625" s="921"/>
      <c r="AE625" s="921"/>
      <c r="AF625" s="921"/>
      <c r="AG625" s="921"/>
      <c r="AH625" s="921"/>
      <c r="AI625" s="921"/>
      <c r="AJ625" s="921"/>
      <c r="AK625" s="921"/>
      <c r="AL625" s="921"/>
      <c r="AM625" s="921"/>
      <c r="AN625" s="921"/>
      <c r="AO625" s="921"/>
      <c r="AP625" s="921"/>
      <c r="AQ625" s="921"/>
      <c r="AR625" s="921"/>
      <c r="AS625" s="921"/>
      <c r="AT625" s="921"/>
      <c r="AU625" s="921"/>
      <c r="AV625" s="921"/>
      <c r="AW625" s="921"/>
      <c r="AX625" s="921"/>
      <c r="AY625" s="921"/>
      <c r="AZ625" s="921"/>
      <c r="BA625" s="921"/>
      <c r="BB625" s="921"/>
      <c r="BC625" s="921"/>
      <c r="BD625" s="921"/>
      <c r="BE625" s="921"/>
      <c r="BF625" s="920"/>
      <c r="BG625" s="920"/>
      <c r="BH625" s="920"/>
      <c r="BI625" s="920"/>
      <c r="BJ625" s="920"/>
      <c r="BK625" s="920"/>
      <c r="BL625" s="920"/>
      <c r="BM625" s="920"/>
      <c r="BN625" s="920"/>
      <c r="BO625" s="920"/>
      <c r="BP625" s="920"/>
      <c r="BQ625" s="920"/>
      <c r="BR625" s="920"/>
      <c r="BS625" s="920"/>
      <c r="BT625" s="920"/>
      <c r="BU625" s="920"/>
      <c r="BV625" s="920"/>
      <c r="BW625" s="920"/>
      <c r="BX625" s="920"/>
      <c r="BY625" s="920"/>
      <c r="BZ625" s="920"/>
      <c r="CA625" s="920"/>
      <c r="CB625" s="920"/>
      <c r="CC625" s="920"/>
      <c r="CD625" s="920"/>
      <c r="CE625" s="920"/>
      <c r="CF625" s="920"/>
      <c r="CG625" s="920"/>
      <c r="CH625" s="920"/>
      <c r="CI625" s="920"/>
      <c r="CJ625" s="920"/>
      <c r="CK625" s="920"/>
      <c r="CL625" s="920"/>
      <c r="CM625" s="920"/>
      <c r="CN625" s="920"/>
      <c r="CO625" s="920"/>
      <c r="CP625" s="920"/>
      <c r="CQ625" s="920"/>
      <c r="CR625" s="920"/>
      <c r="CS625" s="920"/>
      <c r="CT625" s="920"/>
      <c r="CU625" s="920"/>
      <c r="CV625" s="920"/>
      <c r="CW625" s="920"/>
      <c r="CX625" s="920"/>
      <c r="CY625" s="920"/>
      <c r="CZ625" s="920"/>
      <c r="DA625" s="920"/>
      <c r="DB625" s="920"/>
      <c r="DC625" s="920"/>
      <c r="DD625" s="920"/>
      <c r="DE625" s="920"/>
      <c r="DF625" s="920"/>
      <c r="DG625" s="920"/>
      <c r="DH625" s="920"/>
    </row>
    <row r="626" spans="1:112" s="347" customFormat="1" ht="15" x14ac:dyDescent="0.25">
      <c r="A626" s="605">
        <v>596</v>
      </c>
      <c r="B626" s="733" t="s">
        <v>3199</v>
      </c>
      <c r="C626" s="538"/>
      <c r="D626" s="538"/>
      <c r="E626" s="538"/>
      <c r="F626" s="538"/>
      <c r="G626" s="538"/>
      <c r="H626" s="1091"/>
      <c r="I626" s="921"/>
      <c r="J626" s="921"/>
      <c r="K626" s="921"/>
      <c r="L626" s="921"/>
      <c r="M626" s="921"/>
      <c r="N626" s="921"/>
      <c r="O626" s="921"/>
      <c r="P626" s="921"/>
      <c r="Q626" s="921"/>
      <c r="R626" s="921"/>
      <c r="S626" s="921"/>
      <c r="T626" s="921"/>
      <c r="U626" s="921"/>
      <c r="V626" s="921"/>
      <c r="W626" s="921"/>
      <c r="X626" s="921"/>
      <c r="Y626" s="921"/>
      <c r="Z626" s="921"/>
      <c r="AA626" s="921"/>
      <c r="AB626" s="921"/>
      <c r="AC626" s="921"/>
      <c r="AD626" s="921"/>
      <c r="AE626" s="921"/>
      <c r="AF626" s="921"/>
      <c r="AG626" s="921"/>
      <c r="AH626" s="921"/>
      <c r="AI626" s="921"/>
      <c r="AJ626" s="921"/>
      <c r="AK626" s="921"/>
      <c r="AL626" s="921"/>
      <c r="AM626" s="921"/>
      <c r="AN626" s="921"/>
      <c r="AO626" s="921"/>
      <c r="AP626" s="921"/>
      <c r="AQ626" s="921"/>
      <c r="AR626" s="921"/>
      <c r="AS626" s="921"/>
      <c r="AT626" s="921"/>
      <c r="AU626" s="921"/>
      <c r="AV626" s="921"/>
      <c r="AW626" s="921"/>
      <c r="AX626" s="921"/>
      <c r="AY626" s="921"/>
      <c r="AZ626" s="921"/>
      <c r="BA626" s="921"/>
      <c r="BB626" s="921"/>
      <c r="BC626" s="921"/>
      <c r="BD626" s="921"/>
      <c r="BE626" s="921"/>
      <c r="BF626" s="921"/>
      <c r="BG626" s="921"/>
      <c r="BH626" s="921"/>
      <c r="BI626" s="921"/>
      <c r="BJ626" s="921"/>
      <c r="BK626" s="921"/>
      <c r="BL626" s="921"/>
      <c r="BM626" s="921"/>
      <c r="BN626" s="921"/>
      <c r="BO626" s="921"/>
      <c r="BP626" s="921"/>
      <c r="BQ626" s="921"/>
      <c r="BR626" s="921"/>
      <c r="BS626" s="921"/>
      <c r="BT626" s="921"/>
      <c r="BU626" s="921"/>
      <c r="BV626" s="921"/>
      <c r="BW626" s="921"/>
      <c r="BX626" s="921"/>
      <c r="BY626" s="921"/>
      <c r="BZ626" s="921"/>
      <c r="CA626" s="921"/>
      <c r="CB626" s="921"/>
      <c r="CC626" s="921"/>
      <c r="CD626" s="921"/>
      <c r="CE626" s="921"/>
      <c r="CF626" s="921"/>
      <c r="CG626" s="921"/>
      <c r="CH626" s="921"/>
      <c r="CI626" s="921"/>
      <c r="CJ626" s="921"/>
      <c r="CK626" s="921"/>
      <c r="CL626" s="921"/>
      <c r="CM626" s="921"/>
      <c r="CN626" s="921"/>
      <c r="CO626" s="921"/>
      <c r="CP626" s="921"/>
      <c r="CQ626" s="921"/>
      <c r="CR626" s="921"/>
      <c r="CS626" s="921"/>
      <c r="CT626" s="921"/>
      <c r="CU626" s="921"/>
      <c r="CV626" s="921"/>
      <c r="CW626" s="921"/>
      <c r="CX626" s="921"/>
      <c r="CY626" s="921"/>
      <c r="CZ626" s="921"/>
      <c r="DA626" s="921"/>
      <c r="DB626" s="921"/>
      <c r="DC626" s="921"/>
      <c r="DD626" s="921"/>
      <c r="DE626" s="921"/>
      <c r="DF626" s="921"/>
      <c r="DG626" s="921"/>
      <c r="DH626" s="921"/>
    </row>
    <row r="627" spans="1:112" s="347" customFormat="1" ht="15" x14ac:dyDescent="0.25">
      <c r="A627" s="605">
        <v>597</v>
      </c>
      <c r="B627" s="733" t="s">
        <v>3198</v>
      </c>
      <c r="C627" s="538"/>
      <c r="D627" s="538"/>
      <c r="E627" s="538"/>
      <c r="F627" s="538"/>
      <c r="G627" s="538"/>
      <c r="H627" s="1091"/>
      <c r="I627" s="921"/>
      <c r="J627" s="921"/>
      <c r="K627" s="921"/>
      <c r="L627" s="921"/>
      <c r="M627" s="921"/>
      <c r="N627" s="921"/>
      <c r="O627" s="921"/>
      <c r="P627" s="921"/>
      <c r="Q627" s="921"/>
      <c r="R627" s="921"/>
      <c r="S627" s="921"/>
      <c r="T627" s="921"/>
      <c r="U627" s="921"/>
      <c r="V627" s="921"/>
      <c r="W627" s="921"/>
      <c r="X627" s="921"/>
      <c r="Y627" s="921"/>
      <c r="Z627" s="921"/>
      <c r="AA627" s="921"/>
      <c r="AB627" s="921"/>
      <c r="AC627" s="921"/>
      <c r="AD627" s="921"/>
      <c r="AE627" s="921"/>
      <c r="AF627" s="921"/>
      <c r="AG627" s="921"/>
      <c r="AH627" s="921"/>
      <c r="AI627" s="921"/>
      <c r="AJ627" s="921"/>
      <c r="AK627" s="921"/>
      <c r="AL627" s="921"/>
      <c r="AM627" s="921"/>
      <c r="AN627" s="921"/>
      <c r="AO627" s="921"/>
      <c r="AP627" s="921"/>
      <c r="AQ627" s="921"/>
      <c r="AR627" s="921"/>
      <c r="AS627" s="921"/>
      <c r="AT627" s="921"/>
      <c r="AU627" s="921"/>
      <c r="AV627" s="921"/>
      <c r="AW627" s="921"/>
      <c r="AX627" s="921"/>
      <c r="AY627" s="921"/>
      <c r="AZ627" s="921"/>
      <c r="BA627" s="921"/>
      <c r="BB627" s="921"/>
      <c r="BC627" s="921"/>
      <c r="BD627" s="921"/>
      <c r="BE627" s="921"/>
      <c r="BF627" s="921"/>
      <c r="BG627" s="921"/>
      <c r="BH627" s="921"/>
      <c r="BI627" s="921"/>
      <c r="BJ627" s="921"/>
      <c r="BK627" s="921"/>
      <c r="BL627" s="921"/>
      <c r="BM627" s="921"/>
      <c r="BN627" s="921"/>
      <c r="BO627" s="921"/>
      <c r="BP627" s="921"/>
      <c r="BQ627" s="921"/>
      <c r="BR627" s="921"/>
      <c r="BS627" s="921"/>
      <c r="BT627" s="921"/>
      <c r="BU627" s="921"/>
      <c r="BV627" s="921"/>
      <c r="BW627" s="921"/>
      <c r="BX627" s="921"/>
      <c r="BY627" s="921"/>
      <c r="BZ627" s="921"/>
      <c r="CA627" s="921"/>
      <c r="CB627" s="921"/>
      <c r="CC627" s="921"/>
      <c r="CD627" s="921"/>
      <c r="CE627" s="921"/>
      <c r="CF627" s="921"/>
      <c r="CG627" s="921"/>
      <c r="CH627" s="921"/>
      <c r="CI627" s="921"/>
      <c r="CJ627" s="921"/>
      <c r="CK627" s="921"/>
      <c r="CL627" s="921"/>
      <c r="CM627" s="921"/>
      <c r="CN627" s="921"/>
      <c r="CO627" s="921"/>
      <c r="CP627" s="921"/>
      <c r="CQ627" s="921"/>
      <c r="CR627" s="921"/>
      <c r="CS627" s="921"/>
      <c r="CT627" s="921"/>
      <c r="CU627" s="921"/>
      <c r="CV627" s="921"/>
      <c r="CW627" s="921"/>
      <c r="CX627" s="921"/>
      <c r="CY627" s="921"/>
      <c r="CZ627" s="921"/>
      <c r="DA627" s="921"/>
      <c r="DB627" s="921"/>
      <c r="DC627" s="921"/>
      <c r="DD627" s="921"/>
      <c r="DE627" s="921"/>
      <c r="DF627" s="921"/>
      <c r="DG627" s="921"/>
      <c r="DH627" s="921"/>
    </row>
    <row r="628" spans="1:112" s="347" customFormat="1" ht="15" x14ac:dyDescent="0.25">
      <c r="A628" s="605">
        <v>598</v>
      </c>
      <c r="B628" s="733" t="s">
        <v>3197</v>
      </c>
      <c r="C628" s="538"/>
      <c r="D628" s="538"/>
      <c r="E628" s="538"/>
      <c r="F628" s="538"/>
      <c r="G628" s="538"/>
      <c r="H628" s="1091"/>
      <c r="I628" s="921"/>
      <c r="J628" s="921"/>
      <c r="K628" s="921"/>
      <c r="L628" s="921"/>
      <c r="M628" s="921"/>
      <c r="N628" s="921"/>
      <c r="O628" s="921"/>
      <c r="P628" s="921"/>
      <c r="Q628" s="921"/>
      <c r="R628" s="921"/>
      <c r="S628" s="921"/>
      <c r="T628" s="921"/>
      <c r="U628" s="921"/>
      <c r="V628" s="921"/>
      <c r="W628" s="921"/>
      <c r="X628" s="921"/>
      <c r="Y628" s="921"/>
      <c r="Z628" s="921"/>
      <c r="AA628" s="921"/>
      <c r="AB628" s="921"/>
      <c r="AC628" s="921"/>
      <c r="AD628" s="921"/>
      <c r="AE628" s="921"/>
      <c r="AF628" s="921"/>
      <c r="AG628" s="921"/>
      <c r="AH628" s="921"/>
      <c r="AI628" s="921"/>
      <c r="AJ628" s="921"/>
      <c r="AK628" s="921"/>
      <c r="AL628" s="921"/>
      <c r="AM628" s="921"/>
      <c r="AN628" s="921"/>
      <c r="AO628" s="921"/>
      <c r="AP628" s="921"/>
      <c r="AQ628" s="921"/>
      <c r="AR628" s="921"/>
      <c r="AS628" s="921"/>
      <c r="AT628" s="921"/>
      <c r="AU628" s="921"/>
      <c r="AV628" s="921"/>
      <c r="AW628" s="921"/>
      <c r="AX628" s="921"/>
      <c r="AY628" s="921"/>
      <c r="AZ628" s="921"/>
      <c r="BA628" s="921"/>
      <c r="BB628" s="921"/>
      <c r="BC628" s="921"/>
      <c r="BD628" s="921"/>
      <c r="BE628" s="921"/>
      <c r="BF628" s="921"/>
      <c r="BG628" s="921"/>
      <c r="BH628" s="921"/>
      <c r="BI628" s="921"/>
      <c r="BJ628" s="921"/>
      <c r="BK628" s="921"/>
      <c r="BL628" s="921"/>
      <c r="BM628" s="921"/>
      <c r="BN628" s="921"/>
      <c r="BO628" s="921"/>
      <c r="BP628" s="921"/>
      <c r="BQ628" s="921"/>
      <c r="BR628" s="921"/>
      <c r="BS628" s="921"/>
      <c r="BT628" s="921"/>
      <c r="BU628" s="921"/>
      <c r="BV628" s="921"/>
      <c r="BW628" s="921"/>
      <c r="BX628" s="921"/>
      <c r="BY628" s="921"/>
      <c r="BZ628" s="921"/>
      <c r="CA628" s="921"/>
      <c r="CB628" s="921"/>
      <c r="CC628" s="921"/>
      <c r="CD628" s="921"/>
      <c r="CE628" s="921"/>
      <c r="CF628" s="921"/>
      <c r="CG628" s="921"/>
      <c r="CH628" s="921"/>
      <c r="CI628" s="921"/>
      <c r="CJ628" s="921"/>
      <c r="CK628" s="921"/>
      <c r="CL628" s="921"/>
      <c r="CM628" s="921"/>
      <c r="CN628" s="921"/>
      <c r="CO628" s="921"/>
      <c r="CP628" s="921"/>
      <c r="CQ628" s="921"/>
      <c r="CR628" s="921"/>
      <c r="CS628" s="921"/>
      <c r="CT628" s="921"/>
      <c r="CU628" s="921"/>
      <c r="CV628" s="921"/>
      <c r="CW628" s="921"/>
      <c r="CX628" s="921"/>
      <c r="CY628" s="921"/>
      <c r="CZ628" s="921"/>
      <c r="DA628" s="921"/>
      <c r="DB628" s="921"/>
      <c r="DC628" s="921"/>
      <c r="DD628" s="921"/>
      <c r="DE628" s="921"/>
      <c r="DF628" s="921"/>
      <c r="DG628" s="921"/>
      <c r="DH628" s="921"/>
    </row>
    <row r="629" spans="1:112" s="347" customFormat="1" ht="15" x14ac:dyDescent="0.25">
      <c r="A629" s="605">
        <v>599</v>
      </c>
      <c r="B629" s="733" t="s">
        <v>3196</v>
      </c>
      <c r="C629" s="538"/>
      <c r="D629" s="538"/>
      <c r="E629" s="538"/>
      <c r="F629" s="538"/>
      <c r="G629" s="538"/>
      <c r="H629" s="1091"/>
      <c r="I629" s="921"/>
      <c r="J629" s="921"/>
      <c r="K629" s="921"/>
      <c r="L629" s="921"/>
      <c r="M629" s="921"/>
      <c r="N629" s="921"/>
      <c r="O629" s="921"/>
      <c r="P629" s="921"/>
      <c r="Q629" s="921"/>
      <c r="R629" s="921"/>
      <c r="S629" s="921"/>
      <c r="T629" s="921"/>
      <c r="U629" s="921"/>
      <c r="V629" s="921"/>
      <c r="W629" s="921"/>
      <c r="X629" s="921"/>
      <c r="Y629" s="921"/>
      <c r="Z629" s="921"/>
      <c r="AA629" s="921"/>
      <c r="AB629" s="921"/>
      <c r="AC629" s="921"/>
      <c r="AD629" s="921"/>
      <c r="AE629" s="921"/>
      <c r="AF629" s="921"/>
      <c r="AG629" s="921"/>
      <c r="AH629" s="921"/>
      <c r="AI629" s="921"/>
      <c r="AJ629" s="921"/>
      <c r="AK629" s="921"/>
      <c r="AL629" s="921"/>
      <c r="AM629" s="921"/>
      <c r="AN629" s="921"/>
      <c r="AO629" s="921"/>
      <c r="AP629" s="921"/>
      <c r="AQ629" s="921"/>
      <c r="AR629" s="921"/>
      <c r="AS629" s="921"/>
      <c r="AT629" s="921"/>
      <c r="AU629" s="921"/>
      <c r="AV629" s="921"/>
      <c r="AW629" s="921"/>
      <c r="AX629" s="921"/>
      <c r="AY629" s="921"/>
      <c r="AZ629" s="921"/>
      <c r="BA629" s="921"/>
      <c r="BB629" s="921"/>
      <c r="BC629" s="921"/>
      <c r="BD629" s="921"/>
      <c r="BE629" s="921"/>
      <c r="BF629" s="921"/>
      <c r="BG629" s="921"/>
      <c r="BH629" s="921"/>
      <c r="BI629" s="921"/>
      <c r="BJ629" s="921"/>
      <c r="BK629" s="921"/>
      <c r="BL629" s="921"/>
      <c r="BM629" s="921"/>
      <c r="BN629" s="921"/>
      <c r="BO629" s="921"/>
      <c r="BP629" s="921"/>
      <c r="BQ629" s="921"/>
      <c r="BR629" s="921"/>
      <c r="BS629" s="921"/>
      <c r="BT629" s="921"/>
      <c r="BU629" s="921"/>
      <c r="BV629" s="921"/>
      <c r="BW629" s="921"/>
      <c r="BX629" s="921"/>
      <c r="BY629" s="921"/>
      <c r="BZ629" s="921"/>
      <c r="CA629" s="921"/>
      <c r="CB629" s="921"/>
      <c r="CC629" s="921"/>
      <c r="CD629" s="921"/>
      <c r="CE629" s="921"/>
      <c r="CF629" s="921"/>
      <c r="CG629" s="921"/>
      <c r="CH629" s="921"/>
      <c r="CI629" s="921"/>
      <c r="CJ629" s="921"/>
      <c r="CK629" s="921"/>
      <c r="CL629" s="921"/>
      <c r="CM629" s="921"/>
      <c r="CN629" s="921"/>
      <c r="CO629" s="921"/>
      <c r="CP629" s="921"/>
      <c r="CQ629" s="921"/>
      <c r="CR629" s="921"/>
      <c r="CS629" s="921"/>
      <c r="CT629" s="921"/>
      <c r="CU629" s="921"/>
      <c r="CV629" s="921"/>
      <c r="CW629" s="921"/>
      <c r="CX629" s="921"/>
      <c r="CY629" s="921"/>
      <c r="CZ629" s="921"/>
      <c r="DA629" s="921"/>
      <c r="DB629" s="921"/>
      <c r="DC629" s="921"/>
      <c r="DD629" s="921"/>
      <c r="DE629" s="921"/>
      <c r="DF629" s="921"/>
      <c r="DG629" s="921"/>
      <c r="DH629" s="921"/>
    </row>
    <row r="630" spans="1:112" ht="15" x14ac:dyDescent="0.25">
      <c r="A630" s="605">
        <v>600</v>
      </c>
      <c r="B630" s="922" t="s">
        <v>3195</v>
      </c>
      <c r="C630" s="534"/>
      <c r="D630" s="534"/>
      <c r="E630" s="534"/>
      <c r="F630" s="534"/>
      <c r="G630" s="534"/>
      <c r="H630" s="1090"/>
      <c r="I630" s="921"/>
      <c r="J630" s="921"/>
      <c r="K630" s="921"/>
      <c r="L630" s="921"/>
      <c r="M630" s="921"/>
      <c r="N630" s="921"/>
      <c r="O630" s="921"/>
      <c r="P630" s="921"/>
      <c r="Q630" s="921"/>
      <c r="R630" s="921"/>
      <c r="S630" s="921"/>
      <c r="T630" s="921"/>
      <c r="U630" s="921"/>
      <c r="V630" s="921"/>
      <c r="W630" s="921"/>
      <c r="X630" s="921"/>
      <c r="Y630" s="921"/>
      <c r="Z630" s="921"/>
      <c r="AA630" s="921"/>
      <c r="AB630" s="921"/>
      <c r="AC630" s="921"/>
      <c r="AD630" s="921"/>
      <c r="AE630" s="921"/>
      <c r="AF630" s="921"/>
      <c r="AG630" s="921"/>
      <c r="AH630" s="921"/>
      <c r="AI630" s="921"/>
      <c r="AJ630" s="921"/>
      <c r="AK630" s="921"/>
      <c r="AL630" s="921"/>
      <c r="AM630" s="921"/>
      <c r="AN630" s="921"/>
      <c r="AO630" s="921"/>
      <c r="AP630" s="921"/>
      <c r="AQ630" s="921"/>
      <c r="AR630" s="921"/>
      <c r="AS630" s="921"/>
      <c r="AT630" s="921"/>
      <c r="AU630" s="921"/>
      <c r="AV630" s="921"/>
      <c r="AW630" s="921"/>
      <c r="AX630" s="921"/>
      <c r="AY630" s="921"/>
      <c r="AZ630" s="921"/>
      <c r="BA630" s="921"/>
      <c r="BB630" s="921"/>
      <c r="BC630" s="921"/>
      <c r="BD630" s="921"/>
      <c r="BE630" s="921"/>
      <c r="BF630" s="920"/>
      <c r="BG630" s="920"/>
      <c r="BH630" s="920"/>
      <c r="BI630" s="920"/>
      <c r="BJ630" s="920"/>
      <c r="BK630" s="920"/>
      <c r="BL630" s="920"/>
      <c r="BM630" s="920"/>
      <c r="BN630" s="920"/>
      <c r="BO630" s="920"/>
      <c r="BP630" s="920"/>
      <c r="BQ630" s="920"/>
      <c r="BR630" s="920"/>
      <c r="BS630" s="920"/>
      <c r="BT630" s="920"/>
      <c r="BU630" s="920"/>
      <c r="BV630" s="920"/>
      <c r="BW630" s="920"/>
      <c r="BX630" s="920"/>
      <c r="BY630" s="920"/>
      <c r="BZ630" s="920"/>
      <c r="CA630" s="920"/>
      <c r="CB630" s="920"/>
      <c r="CC630" s="920"/>
      <c r="CD630" s="920"/>
      <c r="CE630" s="920"/>
      <c r="CF630" s="920"/>
      <c r="CG630" s="920"/>
      <c r="CH630" s="920"/>
      <c r="CI630" s="920"/>
      <c r="CJ630" s="920"/>
      <c r="CK630" s="920"/>
      <c r="CL630" s="920"/>
      <c r="CM630" s="920"/>
      <c r="CN630" s="920"/>
      <c r="CO630" s="920"/>
      <c r="CP630" s="920"/>
      <c r="CQ630" s="920"/>
      <c r="CR630" s="920"/>
      <c r="CS630" s="920"/>
      <c r="CT630" s="920"/>
      <c r="CU630" s="920"/>
      <c r="CV630" s="920"/>
      <c r="CW630" s="920"/>
      <c r="CX630" s="920"/>
      <c r="CY630" s="920"/>
      <c r="CZ630" s="920"/>
      <c r="DA630" s="920"/>
      <c r="DB630" s="920"/>
      <c r="DC630" s="920"/>
      <c r="DD630" s="920"/>
      <c r="DE630" s="920"/>
      <c r="DF630" s="920"/>
      <c r="DG630" s="920"/>
      <c r="DH630" s="920"/>
    </row>
    <row r="631" spans="1:112" ht="15" x14ac:dyDescent="0.25">
      <c r="A631" s="605">
        <v>601</v>
      </c>
      <c r="B631" s="922" t="s">
        <v>3194</v>
      </c>
      <c r="C631" s="534"/>
      <c r="D631" s="534"/>
      <c r="E631" s="534"/>
      <c r="F631" s="534"/>
      <c r="G631" s="534"/>
      <c r="H631" s="1090"/>
      <c r="I631" s="921"/>
      <c r="J631" s="921"/>
      <c r="K631" s="921"/>
      <c r="L631" s="921"/>
      <c r="M631" s="921"/>
      <c r="N631" s="921"/>
      <c r="O631" s="921"/>
      <c r="P631" s="921"/>
      <c r="Q631" s="921"/>
      <c r="R631" s="921"/>
      <c r="S631" s="921"/>
      <c r="T631" s="921"/>
      <c r="U631" s="921"/>
      <c r="V631" s="921"/>
      <c r="W631" s="921"/>
      <c r="X631" s="921"/>
      <c r="Y631" s="921"/>
      <c r="Z631" s="921"/>
      <c r="AA631" s="921"/>
      <c r="AB631" s="921"/>
      <c r="AC631" s="921"/>
      <c r="AD631" s="921"/>
      <c r="AE631" s="921"/>
      <c r="AF631" s="921"/>
      <c r="AG631" s="921"/>
      <c r="AH631" s="921"/>
      <c r="AI631" s="921"/>
      <c r="AJ631" s="921"/>
      <c r="AK631" s="921"/>
      <c r="AL631" s="921"/>
      <c r="AM631" s="921"/>
      <c r="AN631" s="921"/>
      <c r="AO631" s="921"/>
      <c r="AP631" s="921"/>
      <c r="AQ631" s="921"/>
      <c r="AR631" s="921"/>
      <c r="AS631" s="921"/>
      <c r="AT631" s="921"/>
      <c r="AU631" s="921"/>
      <c r="AV631" s="921"/>
      <c r="AW631" s="921"/>
      <c r="AX631" s="921"/>
      <c r="AY631" s="921"/>
      <c r="AZ631" s="921"/>
      <c r="BA631" s="921"/>
      <c r="BB631" s="921"/>
      <c r="BC631" s="921"/>
      <c r="BD631" s="921"/>
      <c r="BE631" s="921"/>
      <c r="BF631" s="920"/>
      <c r="BG631" s="920"/>
      <c r="BH631" s="920"/>
      <c r="BI631" s="920"/>
      <c r="BJ631" s="920"/>
      <c r="BK631" s="920"/>
      <c r="BL631" s="920"/>
      <c r="BM631" s="920"/>
      <c r="BN631" s="920"/>
      <c r="BO631" s="920"/>
      <c r="BP631" s="920"/>
      <c r="BQ631" s="920"/>
      <c r="BR631" s="920"/>
      <c r="BS631" s="920"/>
      <c r="BT631" s="920"/>
      <c r="BU631" s="920"/>
      <c r="BV631" s="920"/>
      <c r="BW631" s="920"/>
      <c r="BX631" s="920"/>
      <c r="BY631" s="920"/>
      <c r="BZ631" s="920"/>
      <c r="CA631" s="920"/>
      <c r="CB631" s="920"/>
      <c r="CC631" s="920"/>
      <c r="CD631" s="920"/>
      <c r="CE631" s="920"/>
      <c r="CF631" s="920"/>
      <c r="CG631" s="920"/>
      <c r="CH631" s="920"/>
      <c r="CI631" s="920"/>
      <c r="CJ631" s="920"/>
      <c r="CK631" s="920"/>
      <c r="CL631" s="920"/>
      <c r="CM631" s="920"/>
      <c r="CN631" s="920"/>
      <c r="CO631" s="920"/>
      <c r="CP631" s="920"/>
      <c r="CQ631" s="920"/>
      <c r="CR631" s="920"/>
      <c r="CS631" s="920"/>
      <c r="CT631" s="920"/>
      <c r="CU631" s="920"/>
      <c r="CV631" s="920"/>
      <c r="CW631" s="920"/>
      <c r="CX631" s="920"/>
      <c r="CY631" s="920"/>
      <c r="CZ631" s="920"/>
      <c r="DA631" s="920"/>
      <c r="DB631" s="920"/>
      <c r="DC631" s="920"/>
      <c r="DD631" s="920"/>
      <c r="DE631" s="920"/>
      <c r="DF631" s="920"/>
      <c r="DG631" s="920"/>
      <c r="DH631" s="920"/>
    </row>
    <row r="632" spans="1:112" ht="15" x14ac:dyDescent="0.25">
      <c r="A632" s="605">
        <v>602</v>
      </c>
      <c r="B632" s="922" t="s">
        <v>3193</v>
      </c>
      <c r="C632" s="534"/>
      <c r="D632" s="534"/>
      <c r="E632" s="534"/>
      <c r="F632" s="534"/>
      <c r="G632" s="534"/>
      <c r="H632" s="1090"/>
      <c r="I632" s="921"/>
      <c r="J632" s="921"/>
      <c r="K632" s="921"/>
      <c r="L632" s="921"/>
      <c r="M632" s="921"/>
      <c r="N632" s="921"/>
      <c r="O632" s="921"/>
      <c r="P632" s="921"/>
      <c r="Q632" s="921"/>
      <c r="R632" s="921"/>
      <c r="S632" s="921"/>
      <c r="T632" s="921"/>
      <c r="U632" s="921"/>
      <c r="V632" s="921"/>
      <c r="W632" s="921"/>
      <c r="X632" s="921"/>
      <c r="Y632" s="921"/>
      <c r="Z632" s="921"/>
      <c r="AA632" s="921"/>
      <c r="AB632" s="921"/>
      <c r="AC632" s="921"/>
      <c r="AD632" s="921"/>
      <c r="AE632" s="921"/>
      <c r="AF632" s="921"/>
      <c r="AG632" s="921"/>
      <c r="AH632" s="921"/>
      <c r="AI632" s="921"/>
      <c r="AJ632" s="921"/>
      <c r="AK632" s="921"/>
      <c r="AL632" s="921"/>
      <c r="AM632" s="921"/>
      <c r="AN632" s="921"/>
      <c r="AO632" s="921"/>
      <c r="AP632" s="921"/>
      <c r="AQ632" s="921"/>
      <c r="AR632" s="921"/>
      <c r="AS632" s="921"/>
      <c r="AT632" s="921"/>
      <c r="AU632" s="921"/>
      <c r="AV632" s="921"/>
      <c r="AW632" s="921"/>
      <c r="AX632" s="921"/>
      <c r="AY632" s="921"/>
      <c r="AZ632" s="921"/>
      <c r="BA632" s="921"/>
      <c r="BB632" s="921"/>
      <c r="BC632" s="921"/>
      <c r="BD632" s="921"/>
      <c r="BE632" s="921"/>
      <c r="BF632" s="920"/>
      <c r="BG632" s="920"/>
      <c r="BH632" s="920"/>
      <c r="BI632" s="920"/>
      <c r="BJ632" s="920"/>
      <c r="BK632" s="920"/>
      <c r="BL632" s="920"/>
      <c r="BM632" s="920"/>
      <c r="BN632" s="920"/>
      <c r="BO632" s="920"/>
      <c r="BP632" s="920"/>
      <c r="BQ632" s="920"/>
      <c r="BR632" s="920"/>
      <c r="BS632" s="920"/>
      <c r="BT632" s="920"/>
      <c r="BU632" s="920"/>
      <c r="BV632" s="920"/>
      <c r="BW632" s="920"/>
      <c r="BX632" s="920"/>
      <c r="BY632" s="920"/>
      <c r="BZ632" s="920"/>
      <c r="CA632" s="920"/>
      <c r="CB632" s="920"/>
      <c r="CC632" s="920"/>
      <c r="CD632" s="920"/>
      <c r="CE632" s="920"/>
      <c r="CF632" s="920"/>
      <c r="CG632" s="920"/>
      <c r="CH632" s="920"/>
      <c r="CI632" s="920"/>
      <c r="CJ632" s="920"/>
      <c r="CK632" s="920"/>
      <c r="CL632" s="920"/>
      <c r="CM632" s="920"/>
      <c r="CN632" s="920"/>
      <c r="CO632" s="920"/>
      <c r="CP632" s="920"/>
      <c r="CQ632" s="920"/>
      <c r="CR632" s="920"/>
      <c r="CS632" s="920"/>
      <c r="CT632" s="920"/>
      <c r="CU632" s="920"/>
      <c r="CV632" s="920"/>
      <c r="CW632" s="920"/>
      <c r="CX632" s="920"/>
      <c r="CY632" s="920"/>
      <c r="CZ632" s="920"/>
      <c r="DA632" s="920"/>
      <c r="DB632" s="920"/>
      <c r="DC632" s="920"/>
      <c r="DD632" s="920"/>
      <c r="DE632" s="920"/>
      <c r="DF632" s="920"/>
      <c r="DG632" s="920"/>
      <c r="DH632" s="920"/>
    </row>
    <row r="633" spans="1:112" s="347" customFormat="1" ht="30" x14ac:dyDescent="0.25">
      <c r="A633" s="605">
        <v>603</v>
      </c>
      <c r="B633" s="733" t="s">
        <v>3235</v>
      </c>
      <c r="C633" s="773"/>
      <c r="D633" s="773"/>
      <c r="E633" s="773"/>
      <c r="F633" s="773"/>
      <c r="G633" s="773"/>
      <c r="H633" s="1091"/>
      <c r="I633" s="921"/>
      <c r="J633" s="921"/>
      <c r="K633" s="921"/>
      <c r="L633" s="921"/>
      <c r="M633" s="921"/>
      <c r="N633" s="921"/>
      <c r="O633" s="921"/>
      <c r="P633" s="921"/>
      <c r="Q633" s="921"/>
      <c r="R633" s="921"/>
      <c r="S633" s="921"/>
      <c r="T633" s="921"/>
      <c r="U633" s="921"/>
      <c r="V633" s="921"/>
      <c r="W633" s="921"/>
      <c r="X633" s="921"/>
      <c r="Y633" s="921"/>
      <c r="Z633" s="921"/>
      <c r="AA633" s="921"/>
      <c r="AB633" s="921"/>
      <c r="AC633" s="921"/>
      <c r="AD633" s="921"/>
      <c r="AE633" s="921"/>
      <c r="AF633" s="921"/>
      <c r="AG633" s="921"/>
      <c r="AH633" s="921"/>
      <c r="AI633" s="921"/>
      <c r="AJ633" s="921"/>
      <c r="AK633" s="921"/>
      <c r="AL633" s="921"/>
      <c r="AM633" s="921"/>
      <c r="AN633" s="921"/>
      <c r="AO633" s="921"/>
      <c r="AP633" s="921"/>
      <c r="AQ633" s="921"/>
      <c r="AR633" s="921"/>
      <c r="AS633" s="921"/>
      <c r="AT633" s="921"/>
      <c r="AU633" s="921"/>
      <c r="AV633" s="921"/>
      <c r="AW633" s="921"/>
      <c r="AX633" s="921"/>
      <c r="AY633" s="921"/>
      <c r="AZ633" s="921"/>
      <c r="BA633" s="921"/>
      <c r="BB633" s="921"/>
      <c r="BC633" s="921"/>
      <c r="BD633" s="921"/>
      <c r="BE633" s="921"/>
      <c r="BF633" s="921"/>
      <c r="BG633" s="921"/>
      <c r="BH633" s="921"/>
      <c r="BI633" s="921"/>
      <c r="BJ633" s="921"/>
      <c r="BK633" s="921"/>
      <c r="BL633" s="921"/>
      <c r="BM633" s="921"/>
      <c r="BN633" s="921"/>
      <c r="BO633" s="921"/>
      <c r="BP633" s="921"/>
      <c r="BQ633" s="921"/>
      <c r="BR633" s="921"/>
      <c r="BS633" s="921"/>
      <c r="BT633" s="921"/>
      <c r="BU633" s="921"/>
      <c r="BV633" s="921"/>
      <c r="BW633" s="921"/>
      <c r="BX633" s="921"/>
      <c r="BY633" s="921"/>
      <c r="BZ633" s="921"/>
      <c r="CA633" s="921"/>
      <c r="CB633" s="921"/>
      <c r="CC633" s="921"/>
      <c r="CD633" s="921"/>
      <c r="CE633" s="921"/>
      <c r="CF633" s="921"/>
      <c r="CG633" s="921"/>
      <c r="CH633" s="921"/>
      <c r="CI633" s="921"/>
      <c r="CJ633" s="921"/>
      <c r="CK633" s="921"/>
      <c r="CL633" s="921"/>
      <c r="CM633" s="921"/>
      <c r="CN633" s="921"/>
      <c r="CO633" s="921"/>
      <c r="CP633" s="921"/>
      <c r="CQ633" s="921"/>
      <c r="CR633" s="921"/>
      <c r="CS633" s="921"/>
      <c r="CT633" s="921"/>
      <c r="CU633" s="921"/>
      <c r="CV633" s="921"/>
      <c r="CW633" s="921"/>
      <c r="CX633" s="921"/>
      <c r="CY633" s="921"/>
      <c r="CZ633" s="921"/>
      <c r="DA633" s="921"/>
      <c r="DB633" s="921"/>
      <c r="DC633" s="921"/>
      <c r="DD633" s="921"/>
      <c r="DE633" s="921"/>
      <c r="DF633" s="921"/>
      <c r="DG633" s="921"/>
      <c r="DH633" s="921"/>
    </row>
    <row r="634" spans="1:112" s="347" customFormat="1" ht="15" x14ac:dyDescent="0.25">
      <c r="A634" s="605">
        <v>604</v>
      </c>
      <c r="B634" s="733" t="s">
        <v>3218</v>
      </c>
      <c r="C634" s="773"/>
      <c r="D634" s="773"/>
      <c r="E634" s="773"/>
      <c r="F634" s="773"/>
      <c r="G634" s="773"/>
      <c r="H634" s="1091"/>
      <c r="I634" s="921"/>
      <c r="J634" s="921"/>
      <c r="K634" s="921"/>
      <c r="L634" s="921"/>
      <c r="M634" s="921"/>
      <c r="N634" s="921"/>
      <c r="O634" s="921"/>
      <c r="P634" s="921"/>
      <c r="Q634" s="921"/>
      <c r="R634" s="921"/>
      <c r="S634" s="921"/>
      <c r="T634" s="921"/>
      <c r="U634" s="921"/>
      <c r="V634" s="921"/>
      <c r="W634" s="921"/>
      <c r="X634" s="921"/>
      <c r="Y634" s="921"/>
      <c r="Z634" s="921"/>
      <c r="AA634" s="921"/>
      <c r="AB634" s="921"/>
      <c r="AC634" s="921"/>
      <c r="AD634" s="921"/>
      <c r="AE634" s="921"/>
      <c r="AF634" s="921"/>
      <c r="AG634" s="921"/>
      <c r="AH634" s="921"/>
      <c r="AI634" s="921"/>
      <c r="AJ634" s="921"/>
      <c r="AK634" s="921"/>
      <c r="AL634" s="921"/>
      <c r="AM634" s="921"/>
      <c r="AN634" s="921"/>
      <c r="AO634" s="921"/>
      <c r="AP634" s="921"/>
      <c r="AQ634" s="921"/>
      <c r="AR634" s="921"/>
      <c r="AS634" s="921"/>
      <c r="AT634" s="921"/>
      <c r="AU634" s="921"/>
      <c r="AV634" s="921"/>
      <c r="AW634" s="921"/>
      <c r="AX634" s="921"/>
      <c r="AY634" s="921"/>
      <c r="AZ634" s="921"/>
      <c r="BA634" s="921"/>
      <c r="BB634" s="921"/>
      <c r="BC634" s="921"/>
      <c r="BD634" s="921"/>
      <c r="BE634" s="921"/>
      <c r="BF634" s="921"/>
      <c r="BG634" s="921"/>
      <c r="BH634" s="921"/>
      <c r="BI634" s="921"/>
      <c r="BJ634" s="921"/>
      <c r="BK634" s="921"/>
      <c r="BL634" s="921"/>
      <c r="BM634" s="921"/>
      <c r="BN634" s="921"/>
      <c r="BO634" s="921"/>
      <c r="BP634" s="921"/>
      <c r="BQ634" s="921"/>
      <c r="BR634" s="921"/>
      <c r="BS634" s="921"/>
      <c r="BT634" s="921"/>
      <c r="BU634" s="921"/>
      <c r="BV634" s="921"/>
      <c r="BW634" s="921"/>
      <c r="BX634" s="921"/>
      <c r="BY634" s="921"/>
      <c r="BZ634" s="921"/>
      <c r="CA634" s="921"/>
      <c r="CB634" s="921"/>
      <c r="CC634" s="921"/>
      <c r="CD634" s="921"/>
      <c r="CE634" s="921"/>
      <c r="CF634" s="921"/>
      <c r="CG634" s="921"/>
      <c r="CH634" s="921"/>
      <c r="CI634" s="921"/>
      <c r="CJ634" s="921"/>
      <c r="CK634" s="921"/>
      <c r="CL634" s="921"/>
      <c r="CM634" s="921"/>
      <c r="CN634" s="921"/>
      <c r="CO634" s="921"/>
      <c r="CP634" s="921"/>
      <c r="CQ634" s="921"/>
      <c r="CR634" s="921"/>
      <c r="CS634" s="921"/>
      <c r="CT634" s="921"/>
      <c r="CU634" s="921"/>
      <c r="CV634" s="921"/>
      <c r="CW634" s="921"/>
      <c r="CX634" s="921"/>
      <c r="CY634" s="921"/>
      <c r="CZ634" s="921"/>
      <c r="DA634" s="921"/>
      <c r="DB634" s="921"/>
      <c r="DC634" s="921"/>
      <c r="DD634" s="921"/>
      <c r="DE634" s="921"/>
      <c r="DF634" s="921"/>
      <c r="DG634" s="921"/>
      <c r="DH634" s="921"/>
    </row>
    <row r="635" spans="1:112" s="347" customFormat="1" ht="15" x14ac:dyDescent="0.25">
      <c r="A635" s="605">
        <v>605</v>
      </c>
      <c r="B635" s="733" t="s">
        <v>3234</v>
      </c>
      <c r="C635" s="773"/>
      <c r="D635" s="773"/>
      <c r="E635" s="773"/>
      <c r="F635" s="773"/>
      <c r="G635" s="773"/>
      <c r="H635" s="1091"/>
      <c r="I635" s="921"/>
      <c r="J635" s="921"/>
      <c r="K635" s="921"/>
      <c r="L635" s="921"/>
      <c r="M635" s="921"/>
      <c r="N635" s="921"/>
      <c r="O635" s="921"/>
      <c r="P635" s="921"/>
      <c r="Q635" s="921"/>
      <c r="R635" s="921"/>
      <c r="S635" s="921"/>
      <c r="T635" s="921"/>
      <c r="U635" s="921"/>
      <c r="V635" s="921"/>
      <c r="W635" s="921"/>
      <c r="X635" s="921"/>
      <c r="Y635" s="921"/>
      <c r="Z635" s="921"/>
      <c r="AA635" s="921"/>
      <c r="AB635" s="921"/>
      <c r="AC635" s="921"/>
      <c r="AD635" s="921"/>
      <c r="AE635" s="921"/>
      <c r="AF635" s="921"/>
      <c r="AG635" s="921"/>
      <c r="AH635" s="921"/>
      <c r="AI635" s="921"/>
      <c r="AJ635" s="921"/>
      <c r="AK635" s="921"/>
      <c r="AL635" s="921"/>
      <c r="AM635" s="921"/>
      <c r="AN635" s="921"/>
      <c r="AO635" s="921"/>
      <c r="AP635" s="921"/>
      <c r="AQ635" s="921"/>
      <c r="AR635" s="921"/>
      <c r="AS635" s="921"/>
      <c r="AT635" s="921"/>
      <c r="AU635" s="921"/>
      <c r="AV635" s="921"/>
      <c r="AW635" s="921"/>
      <c r="AX635" s="921"/>
      <c r="AY635" s="921"/>
      <c r="AZ635" s="921"/>
      <c r="BA635" s="921"/>
      <c r="BB635" s="921"/>
      <c r="BC635" s="921"/>
      <c r="BD635" s="921"/>
      <c r="BE635" s="921"/>
      <c r="BF635" s="921"/>
      <c r="BG635" s="921"/>
      <c r="BH635" s="921"/>
      <c r="BI635" s="921"/>
      <c r="BJ635" s="921"/>
      <c r="BK635" s="921"/>
      <c r="BL635" s="921"/>
      <c r="BM635" s="921"/>
      <c r="BN635" s="921"/>
      <c r="BO635" s="921"/>
      <c r="BP635" s="921"/>
      <c r="BQ635" s="921"/>
      <c r="BR635" s="921"/>
      <c r="BS635" s="921"/>
      <c r="BT635" s="921"/>
      <c r="BU635" s="921"/>
      <c r="BV635" s="921"/>
      <c r="BW635" s="921"/>
      <c r="BX635" s="921"/>
      <c r="BY635" s="921"/>
      <c r="BZ635" s="921"/>
      <c r="CA635" s="921"/>
      <c r="CB635" s="921"/>
      <c r="CC635" s="921"/>
      <c r="CD635" s="921"/>
      <c r="CE635" s="921"/>
      <c r="CF635" s="921"/>
      <c r="CG635" s="921"/>
      <c r="CH635" s="921"/>
      <c r="CI635" s="921"/>
      <c r="CJ635" s="921"/>
      <c r="CK635" s="921"/>
      <c r="CL635" s="921"/>
      <c r="CM635" s="921"/>
      <c r="CN635" s="921"/>
      <c r="CO635" s="921"/>
      <c r="CP635" s="921"/>
      <c r="CQ635" s="921"/>
      <c r="CR635" s="921"/>
      <c r="CS635" s="921"/>
      <c r="CT635" s="921"/>
      <c r="CU635" s="921"/>
      <c r="CV635" s="921"/>
      <c r="CW635" s="921"/>
      <c r="CX635" s="921"/>
      <c r="CY635" s="921"/>
      <c r="CZ635" s="921"/>
      <c r="DA635" s="921"/>
      <c r="DB635" s="921"/>
      <c r="DC635" s="921"/>
      <c r="DD635" s="921"/>
      <c r="DE635" s="921"/>
      <c r="DF635" s="921"/>
      <c r="DG635" s="921"/>
      <c r="DH635" s="921"/>
    </row>
    <row r="636" spans="1:112" s="347" customFormat="1" ht="15" x14ac:dyDescent="0.25">
      <c r="A636" s="605">
        <v>606</v>
      </c>
      <c r="B636" s="733" t="s">
        <v>3217</v>
      </c>
      <c r="C636" s="773"/>
      <c r="D636" s="773"/>
      <c r="E636" s="773"/>
      <c r="F636" s="773"/>
      <c r="G636" s="773"/>
      <c r="H636" s="1091"/>
      <c r="I636" s="921"/>
      <c r="J636" s="921"/>
      <c r="K636" s="921"/>
      <c r="L636" s="921"/>
      <c r="M636" s="921"/>
      <c r="N636" s="921"/>
      <c r="O636" s="921"/>
      <c r="P636" s="921"/>
      <c r="Q636" s="921"/>
      <c r="R636" s="921"/>
      <c r="S636" s="921"/>
      <c r="T636" s="921"/>
      <c r="U636" s="921"/>
      <c r="V636" s="921"/>
      <c r="W636" s="921"/>
      <c r="X636" s="921"/>
      <c r="Y636" s="921"/>
      <c r="Z636" s="921"/>
      <c r="AA636" s="921"/>
      <c r="AB636" s="921"/>
      <c r="AC636" s="921"/>
      <c r="AD636" s="921"/>
      <c r="AE636" s="921"/>
      <c r="AF636" s="921"/>
      <c r="AG636" s="921"/>
      <c r="AH636" s="921"/>
      <c r="AI636" s="921"/>
      <c r="AJ636" s="921"/>
      <c r="AK636" s="921"/>
      <c r="AL636" s="921"/>
      <c r="AM636" s="921"/>
      <c r="AN636" s="921"/>
      <c r="AO636" s="921"/>
      <c r="AP636" s="921"/>
      <c r="AQ636" s="921"/>
      <c r="AR636" s="921"/>
      <c r="AS636" s="921"/>
      <c r="AT636" s="921"/>
      <c r="AU636" s="921"/>
      <c r="AV636" s="921"/>
      <c r="AW636" s="921"/>
      <c r="AX636" s="921"/>
      <c r="AY636" s="921"/>
      <c r="AZ636" s="921"/>
      <c r="BA636" s="921"/>
      <c r="BB636" s="921"/>
      <c r="BC636" s="921"/>
      <c r="BD636" s="921"/>
      <c r="BE636" s="921"/>
      <c r="BF636" s="921"/>
      <c r="BG636" s="921"/>
      <c r="BH636" s="921"/>
      <c r="BI636" s="921"/>
      <c r="BJ636" s="921"/>
      <c r="BK636" s="921"/>
      <c r="BL636" s="921"/>
      <c r="BM636" s="921"/>
      <c r="BN636" s="921"/>
      <c r="BO636" s="921"/>
      <c r="BP636" s="921"/>
      <c r="BQ636" s="921"/>
      <c r="BR636" s="921"/>
      <c r="BS636" s="921"/>
      <c r="BT636" s="921"/>
      <c r="BU636" s="921"/>
      <c r="BV636" s="921"/>
      <c r="BW636" s="921"/>
      <c r="BX636" s="921"/>
      <c r="BY636" s="921"/>
      <c r="BZ636" s="921"/>
      <c r="CA636" s="921"/>
      <c r="CB636" s="921"/>
      <c r="CC636" s="921"/>
      <c r="CD636" s="921"/>
      <c r="CE636" s="921"/>
      <c r="CF636" s="921"/>
      <c r="CG636" s="921"/>
      <c r="CH636" s="921"/>
      <c r="CI636" s="921"/>
      <c r="CJ636" s="921"/>
      <c r="CK636" s="921"/>
      <c r="CL636" s="921"/>
      <c r="CM636" s="921"/>
      <c r="CN636" s="921"/>
      <c r="CO636" s="921"/>
      <c r="CP636" s="921"/>
      <c r="CQ636" s="921"/>
      <c r="CR636" s="921"/>
      <c r="CS636" s="921"/>
      <c r="CT636" s="921"/>
      <c r="CU636" s="921"/>
      <c r="CV636" s="921"/>
      <c r="CW636" s="921"/>
      <c r="CX636" s="921"/>
      <c r="CY636" s="921"/>
      <c r="CZ636" s="921"/>
      <c r="DA636" s="921"/>
      <c r="DB636" s="921"/>
      <c r="DC636" s="921"/>
      <c r="DD636" s="921"/>
      <c r="DE636" s="921"/>
      <c r="DF636" s="921"/>
      <c r="DG636" s="921"/>
      <c r="DH636" s="921"/>
    </row>
    <row r="637" spans="1:112" ht="15" x14ac:dyDescent="0.25">
      <c r="A637" s="605">
        <v>607</v>
      </c>
      <c r="B637" s="730" t="s">
        <v>3233</v>
      </c>
      <c r="C637" s="278"/>
      <c r="D637" s="278"/>
      <c r="E637" s="278"/>
      <c r="F637" s="278"/>
      <c r="G637" s="278"/>
      <c r="H637" s="1090"/>
      <c r="I637" s="921"/>
      <c r="J637" s="921"/>
      <c r="K637" s="921"/>
      <c r="L637" s="921"/>
      <c r="M637" s="921"/>
      <c r="N637" s="921"/>
      <c r="O637" s="921"/>
      <c r="P637" s="921"/>
      <c r="Q637" s="921"/>
      <c r="R637" s="921"/>
      <c r="S637" s="921"/>
      <c r="T637" s="921"/>
      <c r="U637" s="921"/>
      <c r="V637" s="921"/>
      <c r="W637" s="921"/>
      <c r="X637" s="921"/>
      <c r="Y637" s="921"/>
      <c r="Z637" s="921"/>
      <c r="AA637" s="921"/>
      <c r="AB637" s="921"/>
      <c r="AC637" s="921"/>
      <c r="AD637" s="921"/>
      <c r="AE637" s="921"/>
      <c r="AF637" s="921"/>
      <c r="AG637" s="921"/>
      <c r="AH637" s="921"/>
      <c r="AI637" s="921"/>
      <c r="AJ637" s="921"/>
      <c r="AK637" s="921"/>
      <c r="AL637" s="921"/>
      <c r="AM637" s="921"/>
      <c r="AN637" s="921"/>
      <c r="AO637" s="921"/>
      <c r="AP637" s="921"/>
      <c r="AQ637" s="921"/>
      <c r="AR637" s="921"/>
      <c r="AS637" s="921"/>
      <c r="AT637" s="921"/>
      <c r="AU637" s="921"/>
      <c r="AV637" s="921"/>
      <c r="AW637" s="921"/>
      <c r="AX637" s="921"/>
      <c r="AY637" s="921"/>
      <c r="AZ637" s="921"/>
      <c r="BA637" s="921"/>
      <c r="BB637" s="921"/>
      <c r="BC637" s="921"/>
      <c r="BD637" s="921"/>
      <c r="BE637" s="921"/>
      <c r="BF637" s="920"/>
      <c r="BG637" s="920"/>
      <c r="BH637" s="920"/>
      <c r="BI637" s="920"/>
      <c r="BJ637" s="920"/>
      <c r="BK637" s="920"/>
      <c r="BL637" s="920"/>
      <c r="BM637" s="920"/>
      <c r="BN637" s="920"/>
      <c r="BO637" s="920"/>
      <c r="BP637" s="920"/>
      <c r="BQ637" s="920"/>
      <c r="BR637" s="920"/>
      <c r="BS637" s="920"/>
      <c r="BT637" s="920"/>
      <c r="BU637" s="920"/>
      <c r="BV637" s="920"/>
      <c r="BW637" s="920"/>
      <c r="BX637" s="920"/>
      <c r="BY637" s="920"/>
      <c r="BZ637" s="920"/>
      <c r="CA637" s="920"/>
      <c r="CB637" s="920"/>
      <c r="CC637" s="920"/>
      <c r="CD637" s="920"/>
      <c r="CE637" s="920"/>
      <c r="CF637" s="920"/>
      <c r="CG637" s="920"/>
      <c r="CH637" s="920"/>
      <c r="CI637" s="920"/>
      <c r="CJ637" s="920"/>
      <c r="CK637" s="920"/>
      <c r="CL637" s="920"/>
      <c r="CM637" s="920"/>
      <c r="CN637" s="920"/>
      <c r="CO637" s="920"/>
      <c r="CP637" s="920"/>
      <c r="CQ637" s="920"/>
      <c r="CR637" s="920"/>
      <c r="CS637" s="920"/>
      <c r="CT637" s="920"/>
      <c r="CU637" s="920"/>
      <c r="CV637" s="920"/>
      <c r="CW637" s="920"/>
      <c r="CX637" s="920"/>
      <c r="CY637" s="920"/>
      <c r="CZ637" s="920"/>
      <c r="DA637" s="920"/>
      <c r="DB637" s="920"/>
      <c r="DC637" s="920"/>
      <c r="DD637" s="920"/>
      <c r="DE637" s="920"/>
      <c r="DF637" s="920"/>
      <c r="DG637" s="920"/>
      <c r="DH637" s="920"/>
    </row>
    <row r="638" spans="1:112" ht="15" x14ac:dyDescent="0.25">
      <c r="A638" s="605">
        <v>608</v>
      </c>
      <c r="B638" s="922" t="s">
        <v>402</v>
      </c>
      <c r="C638" s="534"/>
      <c r="D638" s="534"/>
      <c r="E638" s="534"/>
      <c r="F638" s="534"/>
      <c r="G638" s="534"/>
      <c r="H638" s="1090"/>
      <c r="I638" s="921"/>
      <c r="J638" s="921"/>
      <c r="K638" s="921"/>
      <c r="L638" s="921"/>
      <c r="M638" s="921"/>
      <c r="N638" s="921"/>
      <c r="O638" s="921"/>
      <c r="P638" s="921"/>
      <c r="Q638" s="921"/>
      <c r="R638" s="921"/>
      <c r="S638" s="921"/>
      <c r="T638" s="921"/>
      <c r="U638" s="921"/>
      <c r="V638" s="921"/>
      <c r="W638" s="921"/>
      <c r="X638" s="921"/>
      <c r="Y638" s="921"/>
      <c r="Z638" s="921"/>
      <c r="AA638" s="921"/>
      <c r="AB638" s="921"/>
      <c r="AC638" s="921"/>
      <c r="AD638" s="921"/>
      <c r="AE638" s="921"/>
      <c r="AF638" s="921"/>
      <c r="AG638" s="921"/>
      <c r="AH638" s="921"/>
      <c r="AI638" s="921"/>
      <c r="AJ638" s="921"/>
      <c r="AK638" s="921"/>
      <c r="AL638" s="921"/>
      <c r="AM638" s="921"/>
      <c r="AN638" s="921"/>
      <c r="AO638" s="921"/>
      <c r="AP638" s="921"/>
      <c r="AQ638" s="921"/>
      <c r="AR638" s="921"/>
      <c r="AS638" s="921"/>
      <c r="AT638" s="921"/>
      <c r="AU638" s="921"/>
      <c r="AV638" s="921"/>
      <c r="AW638" s="921"/>
      <c r="AX638" s="921"/>
      <c r="AY638" s="921"/>
      <c r="AZ638" s="921"/>
      <c r="BA638" s="921"/>
      <c r="BB638" s="921"/>
      <c r="BC638" s="921"/>
      <c r="BD638" s="921"/>
      <c r="BE638" s="921"/>
      <c r="BF638" s="920"/>
      <c r="BG638" s="920"/>
      <c r="BH638" s="920"/>
      <c r="BI638" s="920"/>
      <c r="BJ638" s="920"/>
      <c r="BK638" s="920"/>
      <c r="BL638" s="920"/>
      <c r="BM638" s="920"/>
      <c r="BN638" s="920"/>
      <c r="BO638" s="920"/>
      <c r="BP638" s="920"/>
      <c r="BQ638" s="920"/>
      <c r="BR638" s="920"/>
      <c r="BS638" s="920"/>
      <c r="BT638" s="920"/>
      <c r="BU638" s="920"/>
      <c r="BV638" s="920"/>
      <c r="BW638" s="920"/>
      <c r="BX638" s="920"/>
      <c r="BY638" s="920"/>
      <c r="BZ638" s="920"/>
      <c r="CA638" s="920"/>
      <c r="CB638" s="920"/>
      <c r="CC638" s="920"/>
      <c r="CD638" s="920"/>
      <c r="CE638" s="920"/>
      <c r="CF638" s="920"/>
      <c r="CG638" s="920"/>
      <c r="CH638" s="920"/>
      <c r="CI638" s="920"/>
      <c r="CJ638" s="920"/>
      <c r="CK638" s="920"/>
      <c r="CL638" s="920"/>
      <c r="CM638" s="920"/>
      <c r="CN638" s="920"/>
      <c r="CO638" s="920"/>
      <c r="CP638" s="920"/>
      <c r="CQ638" s="920"/>
      <c r="CR638" s="920"/>
      <c r="CS638" s="920"/>
      <c r="CT638" s="920"/>
      <c r="CU638" s="920"/>
      <c r="CV638" s="920"/>
      <c r="CW638" s="920"/>
      <c r="CX638" s="920"/>
      <c r="CY638" s="920"/>
      <c r="CZ638" s="920"/>
      <c r="DA638" s="920"/>
      <c r="DB638" s="920"/>
      <c r="DC638" s="920"/>
      <c r="DD638" s="920"/>
      <c r="DE638" s="920"/>
      <c r="DF638" s="920"/>
      <c r="DG638" s="920"/>
      <c r="DH638" s="920"/>
    </row>
    <row r="639" spans="1:112" s="598" customFormat="1" ht="15" x14ac:dyDescent="0.25">
      <c r="A639" s="605">
        <v>609</v>
      </c>
      <c r="B639" s="733" t="s">
        <v>3232</v>
      </c>
      <c r="C639" s="538"/>
      <c r="D639" s="538"/>
      <c r="E639" s="538"/>
      <c r="F639" s="538"/>
      <c r="G639" s="538"/>
      <c r="H639" s="1091"/>
      <c r="I639" s="921"/>
      <c r="J639" s="921"/>
      <c r="K639" s="921"/>
      <c r="L639" s="921"/>
      <c r="M639" s="921"/>
      <c r="N639" s="921"/>
      <c r="O639" s="921"/>
      <c r="P639" s="921"/>
      <c r="Q639" s="921"/>
      <c r="R639" s="921"/>
      <c r="S639" s="921"/>
      <c r="T639" s="921"/>
      <c r="U639" s="921"/>
      <c r="V639" s="921"/>
      <c r="W639" s="921"/>
      <c r="X639" s="921"/>
      <c r="Y639" s="921"/>
      <c r="Z639" s="921"/>
      <c r="AA639" s="921"/>
      <c r="AB639" s="921"/>
      <c r="AC639" s="921"/>
      <c r="AD639" s="921"/>
      <c r="AE639" s="921"/>
      <c r="AF639" s="921"/>
      <c r="AG639" s="921"/>
      <c r="AH639" s="921"/>
      <c r="AI639" s="921"/>
      <c r="AJ639" s="921"/>
      <c r="AK639" s="921"/>
      <c r="AL639" s="921"/>
      <c r="AM639" s="921"/>
      <c r="AN639" s="921"/>
      <c r="AO639" s="921"/>
      <c r="AP639" s="921"/>
      <c r="AQ639" s="921"/>
      <c r="AR639" s="921"/>
      <c r="AS639" s="921"/>
      <c r="AT639" s="921"/>
      <c r="AU639" s="921"/>
      <c r="AV639" s="921"/>
      <c r="AW639" s="921"/>
      <c r="AX639" s="921"/>
      <c r="AY639" s="921"/>
      <c r="AZ639" s="921"/>
      <c r="BA639" s="921"/>
      <c r="BB639" s="921"/>
      <c r="BC639" s="921"/>
      <c r="BD639" s="921"/>
      <c r="BE639" s="921"/>
      <c r="BF639" s="921"/>
      <c r="BG639" s="921"/>
      <c r="BH639" s="921"/>
      <c r="BI639" s="921"/>
      <c r="BJ639" s="921"/>
      <c r="BK639" s="921"/>
      <c r="BL639" s="921"/>
      <c r="BM639" s="921"/>
      <c r="BN639" s="921"/>
      <c r="BO639" s="921"/>
      <c r="BP639" s="921"/>
      <c r="BQ639" s="921"/>
      <c r="BR639" s="921"/>
      <c r="BS639" s="921"/>
      <c r="BT639" s="921"/>
      <c r="BU639" s="921"/>
      <c r="BV639" s="921"/>
      <c r="BW639" s="921"/>
      <c r="BX639" s="921"/>
      <c r="BY639" s="921"/>
      <c r="BZ639" s="921"/>
      <c r="CA639" s="921"/>
      <c r="CB639" s="921"/>
      <c r="CC639" s="921"/>
      <c r="CD639" s="921"/>
      <c r="CE639" s="921"/>
      <c r="CF639" s="921"/>
      <c r="CG639" s="921"/>
      <c r="CH639" s="921"/>
      <c r="CI639" s="921"/>
      <c r="CJ639" s="921"/>
      <c r="CK639" s="921"/>
      <c r="CL639" s="921"/>
      <c r="CM639" s="921"/>
      <c r="CN639" s="921"/>
      <c r="CO639" s="921"/>
      <c r="CP639" s="921"/>
      <c r="CQ639" s="921"/>
      <c r="CR639" s="921"/>
      <c r="CS639" s="921"/>
      <c r="CT639" s="921"/>
      <c r="CU639" s="921"/>
      <c r="CV639" s="921"/>
      <c r="CW639" s="921"/>
      <c r="CX639" s="921"/>
      <c r="CY639" s="921"/>
      <c r="CZ639" s="921"/>
      <c r="DA639" s="921"/>
      <c r="DB639" s="921"/>
      <c r="DC639" s="921"/>
      <c r="DD639" s="921"/>
      <c r="DE639" s="921"/>
      <c r="DF639" s="921"/>
      <c r="DG639" s="921"/>
      <c r="DH639" s="921"/>
    </row>
    <row r="640" spans="1:112" s="598" customFormat="1" ht="15" x14ac:dyDescent="0.25">
      <c r="A640" s="605">
        <v>610</v>
      </c>
      <c r="B640" s="733" t="s">
        <v>3231</v>
      </c>
      <c r="C640" s="538"/>
      <c r="D640" s="538"/>
      <c r="E640" s="538"/>
      <c r="F640" s="538"/>
      <c r="G640" s="538"/>
      <c r="H640" s="1091"/>
      <c r="I640" s="921"/>
      <c r="J640" s="921"/>
      <c r="K640" s="921"/>
      <c r="L640" s="921"/>
      <c r="M640" s="921"/>
      <c r="N640" s="921"/>
      <c r="O640" s="921"/>
      <c r="P640" s="921"/>
      <c r="Q640" s="921"/>
      <c r="R640" s="921"/>
      <c r="S640" s="921"/>
      <c r="T640" s="921"/>
      <c r="U640" s="921"/>
      <c r="V640" s="921"/>
      <c r="W640" s="921"/>
      <c r="X640" s="921"/>
      <c r="Y640" s="921"/>
      <c r="Z640" s="921"/>
      <c r="AA640" s="921"/>
      <c r="AB640" s="921"/>
      <c r="AC640" s="921"/>
      <c r="AD640" s="921"/>
      <c r="AE640" s="921"/>
      <c r="AF640" s="921"/>
      <c r="AG640" s="921"/>
      <c r="AH640" s="921"/>
      <c r="AI640" s="921"/>
      <c r="AJ640" s="921"/>
      <c r="AK640" s="921"/>
      <c r="AL640" s="921"/>
      <c r="AM640" s="921"/>
      <c r="AN640" s="921"/>
      <c r="AO640" s="921"/>
      <c r="AP640" s="921"/>
      <c r="AQ640" s="921"/>
      <c r="AR640" s="921"/>
      <c r="AS640" s="921"/>
      <c r="AT640" s="921"/>
      <c r="AU640" s="921"/>
      <c r="AV640" s="921"/>
      <c r="AW640" s="921"/>
      <c r="AX640" s="921"/>
      <c r="AY640" s="921"/>
      <c r="AZ640" s="921"/>
      <c r="BA640" s="921"/>
      <c r="BB640" s="921"/>
      <c r="BC640" s="921"/>
      <c r="BD640" s="921"/>
      <c r="BE640" s="921"/>
      <c r="BF640" s="921"/>
      <c r="BG640" s="921"/>
      <c r="BH640" s="921"/>
      <c r="BI640" s="921"/>
      <c r="BJ640" s="921"/>
      <c r="BK640" s="921"/>
      <c r="BL640" s="921"/>
      <c r="BM640" s="921"/>
      <c r="BN640" s="921"/>
      <c r="BO640" s="921"/>
      <c r="BP640" s="921"/>
      <c r="BQ640" s="921"/>
      <c r="BR640" s="921"/>
      <c r="BS640" s="921"/>
      <c r="BT640" s="921"/>
      <c r="BU640" s="921"/>
      <c r="BV640" s="921"/>
      <c r="BW640" s="921"/>
      <c r="BX640" s="921"/>
      <c r="BY640" s="921"/>
      <c r="BZ640" s="921"/>
      <c r="CA640" s="921"/>
      <c r="CB640" s="921"/>
      <c r="CC640" s="921"/>
      <c r="CD640" s="921"/>
      <c r="CE640" s="921"/>
      <c r="CF640" s="921"/>
      <c r="CG640" s="921"/>
      <c r="CH640" s="921"/>
      <c r="CI640" s="921"/>
      <c r="CJ640" s="921"/>
      <c r="CK640" s="921"/>
      <c r="CL640" s="921"/>
      <c r="CM640" s="921"/>
      <c r="CN640" s="921"/>
      <c r="CO640" s="921"/>
      <c r="CP640" s="921"/>
      <c r="CQ640" s="921"/>
      <c r="CR640" s="921"/>
      <c r="CS640" s="921"/>
      <c r="CT640" s="921"/>
      <c r="CU640" s="921"/>
      <c r="CV640" s="921"/>
      <c r="CW640" s="921"/>
      <c r="CX640" s="921"/>
      <c r="CY640" s="921"/>
      <c r="CZ640" s="921"/>
      <c r="DA640" s="921"/>
      <c r="DB640" s="921"/>
      <c r="DC640" s="921"/>
      <c r="DD640" s="921"/>
      <c r="DE640" s="921"/>
      <c r="DF640" s="921"/>
      <c r="DG640" s="921"/>
      <c r="DH640" s="921"/>
    </row>
    <row r="641" spans="1:112" ht="15" x14ac:dyDescent="0.25">
      <c r="A641" s="605">
        <v>611</v>
      </c>
      <c r="B641" s="922" t="s">
        <v>3230</v>
      </c>
      <c r="C641" s="534"/>
      <c r="D641" s="534"/>
      <c r="E641" s="534"/>
      <c r="F641" s="534"/>
      <c r="G641" s="534"/>
      <c r="H641" s="1090"/>
      <c r="I641" s="921"/>
      <c r="J641" s="921"/>
      <c r="K641" s="921"/>
      <c r="L641" s="921"/>
      <c r="M641" s="921"/>
      <c r="N641" s="921"/>
      <c r="O641" s="921"/>
      <c r="P641" s="921"/>
      <c r="Q641" s="921"/>
      <c r="R641" s="921"/>
      <c r="S641" s="921"/>
      <c r="T641" s="921"/>
      <c r="U641" s="921"/>
      <c r="V641" s="921"/>
      <c r="W641" s="921"/>
      <c r="X641" s="921"/>
      <c r="Y641" s="921"/>
      <c r="Z641" s="921"/>
      <c r="AA641" s="921"/>
      <c r="AB641" s="921"/>
      <c r="AC641" s="921"/>
      <c r="AD641" s="921"/>
      <c r="AE641" s="921"/>
      <c r="AF641" s="921"/>
      <c r="AG641" s="921"/>
      <c r="AH641" s="921"/>
      <c r="AI641" s="921"/>
      <c r="AJ641" s="921"/>
      <c r="AK641" s="921"/>
      <c r="AL641" s="921"/>
      <c r="AM641" s="921"/>
      <c r="AN641" s="921"/>
      <c r="AO641" s="921"/>
      <c r="AP641" s="921"/>
      <c r="AQ641" s="921"/>
      <c r="AR641" s="921"/>
      <c r="AS641" s="921"/>
      <c r="AT641" s="921"/>
      <c r="AU641" s="921"/>
      <c r="AV641" s="921"/>
      <c r="AW641" s="921"/>
      <c r="AX641" s="921"/>
      <c r="AY641" s="921"/>
      <c r="AZ641" s="921"/>
      <c r="BA641" s="921"/>
      <c r="BB641" s="921"/>
      <c r="BC641" s="921"/>
      <c r="BD641" s="921"/>
      <c r="BE641" s="921"/>
      <c r="BF641" s="920"/>
      <c r="BG641" s="920"/>
      <c r="BH641" s="920"/>
      <c r="BI641" s="920"/>
      <c r="BJ641" s="920"/>
      <c r="BK641" s="920"/>
      <c r="BL641" s="920"/>
      <c r="BM641" s="920"/>
      <c r="BN641" s="920"/>
      <c r="BO641" s="920"/>
      <c r="BP641" s="920"/>
      <c r="BQ641" s="920"/>
      <c r="BR641" s="920"/>
      <c r="BS641" s="920"/>
      <c r="BT641" s="920"/>
      <c r="BU641" s="920"/>
      <c r="BV641" s="920"/>
      <c r="BW641" s="920"/>
      <c r="BX641" s="920"/>
      <c r="BY641" s="920"/>
      <c r="BZ641" s="920"/>
      <c r="CA641" s="920"/>
      <c r="CB641" s="920"/>
      <c r="CC641" s="920"/>
      <c r="CD641" s="920"/>
      <c r="CE641" s="920"/>
      <c r="CF641" s="920"/>
      <c r="CG641" s="920"/>
      <c r="CH641" s="920"/>
      <c r="CI641" s="920"/>
      <c r="CJ641" s="920"/>
      <c r="CK641" s="920"/>
      <c r="CL641" s="920"/>
      <c r="CM641" s="920"/>
      <c r="CN641" s="920"/>
      <c r="CO641" s="920"/>
      <c r="CP641" s="920"/>
      <c r="CQ641" s="920"/>
      <c r="CR641" s="920"/>
      <c r="CS641" s="920"/>
      <c r="CT641" s="920"/>
      <c r="CU641" s="920"/>
      <c r="CV641" s="920"/>
      <c r="CW641" s="920"/>
      <c r="CX641" s="920"/>
      <c r="CY641" s="920"/>
      <c r="CZ641" s="920"/>
      <c r="DA641" s="920"/>
      <c r="DB641" s="920"/>
      <c r="DC641" s="920"/>
      <c r="DD641" s="920"/>
      <c r="DE641" s="920"/>
      <c r="DF641" s="920"/>
      <c r="DG641" s="920"/>
      <c r="DH641" s="920"/>
    </row>
    <row r="642" spans="1:112" ht="15" x14ac:dyDescent="0.25">
      <c r="A642" s="605">
        <v>612</v>
      </c>
      <c r="B642" s="922" t="s">
        <v>3229</v>
      </c>
      <c r="C642" s="534"/>
      <c r="D642" s="534"/>
      <c r="E642" s="534"/>
      <c r="F642" s="534"/>
      <c r="G642" s="534"/>
      <c r="H642" s="1090"/>
      <c r="I642" s="921"/>
      <c r="J642" s="921"/>
      <c r="K642" s="921"/>
      <c r="L642" s="921"/>
      <c r="M642" s="921"/>
      <c r="N642" s="921"/>
      <c r="O642" s="921"/>
      <c r="P642" s="921"/>
      <c r="Q642" s="921"/>
      <c r="R642" s="921"/>
      <c r="S642" s="921"/>
      <c r="T642" s="921"/>
      <c r="U642" s="921"/>
      <c r="V642" s="921"/>
      <c r="W642" s="921"/>
      <c r="X642" s="921"/>
      <c r="Y642" s="921"/>
      <c r="Z642" s="921"/>
      <c r="AA642" s="921"/>
      <c r="AB642" s="921"/>
      <c r="AC642" s="921"/>
      <c r="AD642" s="921"/>
      <c r="AE642" s="921"/>
      <c r="AF642" s="921"/>
      <c r="AG642" s="921"/>
      <c r="AH642" s="921"/>
      <c r="AI642" s="921"/>
      <c r="AJ642" s="921"/>
      <c r="AK642" s="921"/>
      <c r="AL642" s="921"/>
      <c r="AM642" s="921"/>
      <c r="AN642" s="921"/>
      <c r="AO642" s="921"/>
      <c r="AP642" s="921"/>
      <c r="AQ642" s="921"/>
      <c r="AR642" s="921"/>
      <c r="AS642" s="921"/>
      <c r="AT642" s="921"/>
      <c r="AU642" s="921"/>
      <c r="AV642" s="921"/>
      <c r="AW642" s="921"/>
      <c r="AX642" s="921"/>
      <c r="AY642" s="921"/>
      <c r="AZ642" s="921"/>
      <c r="BA642" s="921"/>
      <c r="BB642" s="921"/>
      <c r="BC642" s="921"/>
      <c r="BD642" s="921"/>
      <c r="BE642" s="921"/>
      <c r="BF642" s="920"/>
      <c r="BG642" s="920"/>
      <c r="BH642" s="920"/>
      <c r="BI642" s="920"/>
      <c r="BJ642" s="920"/>
      <c r="BK642" s="920"/>
      <c r="BL642" s="920"/>
      <c r="BM642" s="920"/>
      <c r="BN642" s="920"/>
      <c r="BO642" s="920"/>
      <c r="BP642" s="920"/>
      <c r="BQ642" s="920"/>
      <c r="BR642" s="920"/>
      <c r="BS642" s="920"/>
      <c r="BT642" s="920"/>
      <c r="BU642" s="920"/>
      <c r="BV642" s="920"/>
      <c r="BW642" s="920"/>
      <c r="BX642" s="920"/>
      <c r="BY642" s="920"/>
      <c r="BZ642" s="920"/>
      <c r="CA642" s="920"/>
      <c r="CB642" s="920"/>
      <c r="CC642" s="920"/>
      <c r="CD642" s="920"/>
      <c r="CE642" s="920"/>
      <c r="CF642" s="920"/>
      <c r="CG642" s="920"/>
      <c r="CH642" s="920"/>
      <c r="CI642" s="920"/>
      <c r="CJ642" s="920"/>
      <c r="CK642" s="920"/>
      <c r="CL642" s="920"/>
      <c r="CM642" s="920"/>
      <c r="CN642" s="920"/>
      <c r="CO642" s="920"/>
      <c r="CP642" s="920"/>
      <c r="CQ642" s="920"/>
      <c r="CR642" s="920"/>
      <c r="CS642" s="920"/>
      <c r="CT642" s="920"/>
      <c r="CU642" s="920"/>
      <c r="CV642" s="920"/>
      <c r="CW642" s="920"/>
      <c r="CX642" s="920"/>
      <c r="CY642" s="920"/>
      <c r="CZ642" s="920"/>
      <c r="DA642" s="920"/>
      <c r="DB642" s="920"/>
      <c r="DC642" s="920"/>
      <c r="DD642" s="920"/>
      <c r="DE642" s="920"/>
      <c r="DF642" s="920"/>
      <c r="DG642" s="920"/>
      <c r="DH642" s="920"/>
    </row>
    <row r="643" spans="1:112" ht="15" x14ac:dyDescent="0.25">
      <c r="A643" s="605">
        <v>613</v>
      </c>
      <c r="B643" s="922" t="s">
        <v>366</v>
      </c>
      <c r="C643" s="534"/>
      <c r="D643" s="534"/>
      <c r="E643" s="534"/>
      <c r="F643" s="534"/>
      <c r="G643" s="534"/>
      <c r="H643" s="1090"/>
      <c r="I643" s="921"/>
      <c r="J643" s="921"/>
      <c r="K643" s="921"/>
      <c r="L643" s="921"/>
      <c r="M643" s="921"/>
      <c r="N643" s="921"/>
      <c r="O643" s="921"/>
      <c r="P643" s="921"/>
      <c r="Q643" s="921"/>
      <c r="R643" s="921"/>
      <c r="S643" s="921"/>
      <c r="T643" s="921"/>
      <c r="U643" s="921"/>
      <c r="V643" s="921"/>
      <c r="W643" s="921"/>
      <c r="X643" s="921"/>
      <c r="Y643" s="921"/>
      <c r="Z643" s="921"/>
      <c r="AA643" s="921"/>
      <c r="AB643" s="921"/>
      <c r="AC643" s="921"/>
      <c r="AD643" s="921"/>
      <c r="AE643" s="921"/>
      <c r="AF643" s="921"/>
      <c r="AG643" s="921"/>
      <c r="AH643" s="921"/>
      <c r="AI643" s="921"/>
      <c r="AJ643" s="921"/>
      <c r="AK643" s="921"/>
      <c r="AL643" s="921"/>
      <c r="AM643" s="921"/>
      <c r="AN643" s="921"/>
      <c r="AO643" s="921"/>
      <c r="AP643" s="921"/>
      <c r="AQ643" s="921"/>
      <c r="AR643" s="921"/>
      <c r="AS643" s="921"/>
      <c r="AT643" s="921"/>
      <c r="AU643" s="921"/>
      <c r="AV643" s="921"/>
      <c r="AW643" s="921"/>
      <c r="AX643" s="921"/>
      <c r="AY643" s="921"/>
      <c r="AZ643" s="921"/>
      <c r="BA643" s="921"/>
      <c r="BB643" s="921"/>
      <c r="BC643" s="921"/>
      <c r="BD643" s="921"/>
      <c r="BE643" s="921"/>
      <c r="BF643" s="920"/>
      <c r="BG643" s="920"/>
      <c r="BH643" s="920"/>
      <c r="BI643" s="920"/>
      <c r="BJ643" s="920"/>
      <c r="BK643" s="920"/>
      <c r="BL643" s="920"/>
      <c r="BM643" s="920"/>
      <c r="BN643" s="920"/>
      <c r="BO643" s="920"/>
      <c r="BP643" s="920"/>
      <c r="BQ643" s="920"/>
      <c r="BR643" s="920"/>
      <c r="BS643" s="920"/>
      <c r="BT643" s="920"/>
      <c r="BU643" s="920"/>
      <c r="BV643" s="920"/>
      <c r="BW643" s="920"/>
      <c r="BX643" s="920"/>
      <c r="BY643" s="920"/>
      <c r="BZ643" s="920"/>
      <c r="CA643" s="920"/>
      <c r="CB643" s="920"/>
      <c r="CC643" s="920"/>
      <c r="CD643" s="920"/>
      <c r="CE643" s="920"/>
      <c r="CF643" s="920"/>
      <c r="CG643" s="920"/>
      <c r="CH643" s="920"/>
      <c r="CI643" s="920"/>
      <c r="CJ643" s="920"/>
      <c r="CK643" s="920"/>
      <c r="CL643" s="920"/>
      <c r="CM643" s="920"/>
      <c r="CN643" s="920"/>
      <c r="CO643" s="920"/>
      <c r="CP643" s="920"/>
      <c r="CQ643" s="920"/>
      <c r="CR643" s="920"/>
      <c r="CS643" s="920"/>
      <c r="CT643" s="920"/>
      <c r="CU643" s="920"/>
      <c r="CV643" s="920"/>
      <c r="CW643" s="920"/>
      <c r="CX643" s="920"/>
      <c r="CY643" s="920"/>
      <c r="CZ643" s="920"/>
      <c r="DA643" s="920"/>
      <c r="DB643" s="920"/>
      <c r="DC643" s="920"/>
      <c r="DD643" s="920"/>
      <c r="DE643" s="920"/>
      <c r="DF643" s="920"/>
      <c r="DG643" s="920"/>
      <c r="DH643" s="920"/>
    </row>
    <row r="644" spans="1:112" ht="30" x14ac:dyDescent="0.25">
      <c r="A644" s="605">
        <v>614</v>
      </c>
      <c r="B644" s="730" t="s">
        <v>3228</v>
      </c>
      <c r="C644" s="534"/>
      <c r="D644" s="534"/>
      <c r="E644" s="534"/>
      <c r="F644" s="534"/>
      <c r="G644" s="534"/>
      <c r="H644" s="1090"/>
      <c r="I644" s="921"/>
      <c r="J644" s="921"/>
      <c r="K644" s="921"/>
      <c r="L644" s="921"/>
      <c r="M644" s="921"/>
      <c r="N644" s="921"/>
      <c r="O644" s="921"/>
      <c r="P644" s="921"/>
      <c r="Q644" s="921"/>
      <c r="R644" s="921"/>
      <c r="S644" s="921"/>
      <c r="T644" s="921"/>
      <c r="U644" s="921"/>
      <c r="V644" s="921"/>
      <c r="W644" s="921"/>
      <c r="X644" s="921"/>
      <c r="Y644" s="921"/>
      <c r="Z644" s="921"/>
      <c r="AA644" s="921"/>
      <c r="AB644" s="921"/>
      <c r="AC644" s="921"/>
      <c r="AD644" s="921"/>
      <c r="AE644" s="921"/>
      <c r="AF644" s="921"/>
      <c r="AG644" s="921"/>
      <c r="AH644" s="921"/>
      <c r="AI644" s="921"/>
      <c r="AJ644" s="921"/>
      <c r="AK644" s="921"/>
      <c r="AL644" s="921"/>
      <c r="AM644" s="921"/>
      <c r="AN644" s="921"/>
      <c r="AO644" s="921"/>
      <c r="AP644" s="921"/>
      <c r="AQ644" s="921"/>
      <c r="AR644" s="921"/>
      <c r="AS644" s="921"/>
      <c r="AT644" s="921"/>
      <c r="AU644" s="921"/>
      <c r="AV644" s="921"/>
      <c r="AW644" s="921"/>
      <c r="AX644" s="921"/>
      <c r="AY644" s="921"/>
      <c r="AZ644" s="921"/>
      <c r="BA644" s="921"/>
      <c r="BB644" s="921"/>
      <c r="BC644" s="921"/>
      <c r="BD644" s="921"/>
      <c r="BE644" s="921"/>
      <c r="BF644" s="920"/>
      <c r="BG644" s="920"/>
      <c r="BH644" s="920"/>
      <c r="BI644" s="920"/>
      <c r="BJ644" s="920"/>
      <c r="BK644" s="920"/>
      <c r="BL644" s="920"/>
      <c r="BM644" s="920"/>
      <c r="BN644" s="920"/>
      <c r="BO644" s="920"/>
      <c r="BP644" s="920"/>
      <c r="BQ644" s="920"/>
      <c r="BR644" s="920"/>
      <c r="BS644" s="920"/>
      <c r="BT644" s="920"/>
      <c r="BU644" s="920"/>
      <c r="BV644" s="920"/>
      <c r="BW644" s="920"/>
      <c r="BX644" s="920"/>
      <c r="BY644" s="920"/>
      <c r="BZ644" s="920"/>
      <c r="CA644" s="920"/>
      <c r="CB644" s="920"/>
      <c r="CC644" s="920"/>
      <c r="CD644" s="920"/>
      <c r="CE644" s="920"/>
      <c r="CF644" s="920"/>
      <c r="CG644" s="920"/>
      <c r="CH644" s="920"/>
      <c r="CI644" s="920"/>
      <c r="CJ644" s="920"/>
      <c r="CK644" s="920"/>
      <c r="CL644" s="920"/>
      <c r="CM644" s="920"/>
      <c r="CN644" s="920"/>
      <c r="CO644" s="920"/>
      <c r="CP644" s="920"/>
      <c r="CQ644" s="920"/>
      <c r="CR644" s="920"/>
      <c r="CS644" s="920"/>
      <c r="CT644" s="920"/>
      <c r="CU644" s="920"/>
      <c r="CV644" s="920"/>
      <c r="CW644" s="920"/>
      <c r="CX644" s="920"/>
      <c r="CY644" s="920"/>
      <c r="CZ644" s="920"/>
      <c r="DA644" s="920"/>
      <c r="DB644" s="920"/>
      <c r="DC644" s="920"/>
      <c r="DD644" s="920"/>
      <c r="DE644" s="920"/>
      <c r="DF644" s="920"/>
      <c r="DG644" s="920"/>
      <c r="DH644" s="920"/>
    </row>
    <row r="645" spans="1:112" ht="30" x14ac:dyDescent="0.25">
      <c r="A645" s="605">
        <v>615</v>
      </c>
      <c r="B645" s="730" t="s">
        <v>3227</v>
      </c>
      <c r="C645" s="534"/>
      <c r="D645" s="534"/>
      <c r="E645" s="534"/>
      <c r="F645" s="534"/>
      <c r="G645" s="534"/>
      <c r="H645" s="1090"/>
      <c r="I645" s="921"/>
      <c r="J645" s="921"/>
      <c r="K645" s="921"/>
      <c r="L645" s="921"/>
      <c r="M645" s="921"/>
      <c r="N645" s="921"/>
      <c r="O645" s="921"/>
      <c r="P645" s="921"/>
      <c r="Q645" s="921"/>
      <c r="R645" s="921"/>
      <c r="S645" s="921"/>
      <c r="T645" s="921"/>
      <c r="U645" s="921"/>
      <c r="V645" s="921"/>
      <c r="W645" s="921"/>
      <c r="X645" s="921"/>
      <c r="Y645" s="921"/>
      <c r="Z645" s="921"/>
      <c r="AA645" s="921"/>
      <c r="AB645" s="921"/>
      <c r="AC645" s="921"/>
      <c r="AD645" s="921"/>
      <c r="AE645" s="921"/>
      <c r="AF645" s="921"/>
      <c r="AG645" s="921"/>
      <c r="AH645" s="921"/>
      <c r="AI645" s="921"/>
      <c r="AJ645" s="921"/>
      <c r="AK645" s="921"/>
      <c r="AL645" s="921"/>
      <c r="AM645" s="921"/>
      <c r="AN645" s="921"/>
      <c r="AO645" s="921"/>
      <c r="AP645" s="921"/>
      <c r="AQ645" s="921"/>
      <c r="AR645" s="921"/>
      <c r="AS645" s="921"/>
      <c r="AT645" s="921"/>
      <c r="AU645" s="921"/>
      <c r="AV645" s="921"/>
      <c r="AW645" s="921"/>
      <c r="AX645" s="921"/>
      <c r="AY645" s="921"/>
      <c r="AZ645" s="921"/>
      <c r="BA645" s="921"/>
      <c r="BB645" s="921"/>
      <c r="BC645" s="921"/>
      <c r="BD645" s="921"/>
      <c r="BE645" s="921"/>
      <c r="BF645" s="920"/>
      <c r="BG645" s="920"/>
      <c r="BH645" s="920"/>
      <c r="BI645" s="920"/>
      <c r="BJ645" s="920"/>
      <c r="BK645" s="920"/>
      <c r="BL645" s="920"/>
      <c r="BM645" s="920"/>
      <c r="BN645" s="920"/>
      <c r="BO645" s="920"/>
      <c r="BP645" s="920"/>
      <c r="BQ645" s="920"/>
      <c r="BR645" s="920"/>
      <c r="BS645" s="920"/>
      <c r="BT645" s="920"/>
      <c r="BU645" s="920"/>
      <c r="BV645" s="920"/>
      <c r="BW645" s="920"/>
      <c r="BX645" s="920"/>
      <c r="BY645" s="920"/>
      <c r="BZ645" s="920"/>
      <c r="CA645" s="920"/>
      <c r="CB645" s="920"/>
      <c r="CC645" s="920"/>
      <c r="CD645" s="920"/>
      <c r="CE645" s="920"/>
      <c r="CF645" s="920"/>
      <c r="CG645" s="920"/>
      <c r="CH645" s="920"/>
      <c r="CI645" s="920"/>
      <c r="CJ645" s="920"/>
      <c r="CK645" s="920"/>
      <c r="CL645" s="920"/>
      <c r="CM645" s="920"/>
      <c r="CN645" s="920"/>
      <c r="CO645" s="920"/>
      <c r="CP645" s="920"/>
      <c r="CQ645" s="920"/>
      <c r="CR645" s="920"/>
      <c r="CS645" s="920"/>
      <c r="CT645" s="920"/>
      <c r="CU645" s="920"/>
      <c r="CV645" s="920"/>
      <c r="CW645" s="920"/>
      <c r="CX645" s="920"/>
      <c r="CY645" s="920"/>
      <c r="CZ645" s="920"/>
      <c r="DA645" s="920"/>
      <c r="DB645" s="920"/>
      <c r="DC645" s="920"/>
      <c r="DD645" s="920"/>
      <c r="DE645" s="920"/>
      <c r="DF645" s="920"/>
      <c r="DG645" s="920"/>
      <c r="DH645" s="920"/>
    </row>
    <row r="646" spans="1:112" ht="30" x14ac:dyDescent="0.25">
      <c r="A646" s="605">
        <v>616</v>
      </c>
      <c r="B646" s="924" t="s">
        <v>3226</v>
      </c>
      <c r="C646" s="534"/>
      <c r="D646" s="534"/>
      <c r="E646" s="534"/>
      <c r="F646" s="534"/>
      <c r="G646" s="534"/>
      <c r="H646" s="1090"/>
      <c r="I646" s="921"/>
      <c r="J646" s="921"/>
      <c r="K646" s="921"/>
      <c r="L646" s="921"/>
      <c r="M646" s="921"/>
      <c r="N646" s="921"/>
      <c r="O646" s="921"/>
      <c r="P646" s="921"/>
      <c r="Q646" s="921"/>
      <c r="R646" s="921"/>
      <c r="S646" s="921"/>
      <c r="T646" s="921"/>
      <c r="U646" s="921"/>
      <c r="V646" s="921"/>
      <c r="W646" s="921"/>
      <c r="X646" s="921"/>
      <c r="Y646" s="921"/>
      <c r="Z646" s="921"/>
      <c r="AA646" s="921"/>
      <c r="AB646" s="921"/>
      <c r="AC646" s="921"/>
      <c r="AD646" s="921"/>
      <c r="AE646" s="921"/>
      <c r="AF646" s="921"/>
      <c r="AG646" s="921"/>
      <c r="AH646" s="921"/>
      <c r="AI646" s="921"/>
      <c r="AJ646" s="921"/>
      <c r="AK646" s="921"/>
      <c r="AL646" s="921"/>
      <c r="AM646" s="921"/>
      <c r="AN646" s="921"/>
      <c r="AO646" s="921"/>
      <c r="AP646" s="921"/>
      <c r="AQ646" s="921"/>
      <c r="AR646" s="921"/>
      <c r="AS646" s="921"/>
      <c r="AT646" s="921"/>
      <c r="AU646" s="921"/>
      <c r="AV646" s="921"/>
      <c r="AW646" s="921"/>
      <c r="AX646" s="921"/>
      <c r="AY646" s="921"/>
      <c r="AZ646" s="921"/>
      <c r="BA646" s="921"/>
      <c r="BB646" s="921"/>
      <c r="BC646" s="921"/>
      <c r="BD646" s="921"/>
      <c r="BE646" s="921"/>
      <c r="BF646" s="920"/>
      <c r="BG646" s="920"/>
      <c r="BH646" s="920"/>
      <c r="BI646" s="920"/>
      <c r="BJ646" s="920"/>
      <c r="BK646" s="920"/>
      <c r="BL646" s="920"/>
      <c r="BM646" s="920"/>
      <c r="BN646" s="920"/>
      <c r="BO646" s="920"/>
      <c r="BP646" s="920"/>
      <c r="BQ646" s="920"/>
      <c r="BR646" s="920"/>
      <c r="BS646" s="920"/>
      <c r="BT646" s="920"/>
      <c r="BU646" s="920"/>
      <c r="BV646" s="920"/>
      <c r="BW646" s="920"/>
      <c r="BX646" s="920"/>
      <c r="BY646" s="920"/>
      <c r="BZ646" s="920"/>
      <c r="CA646" s="920"/>
      <c r="CB646" s="920"/>
      <c r="CC646" s="920"/>
      <c r="CD646" s="920"/>
      <c r="CE646" s="920"/>
      <c r="CF646" s="920"/>
      <c r="CG646" s="920"/>
      <c r="CH646" s="920"/>
      <c r="CI646" s="920"/>
      <c r="CJ646" s="920"/>
      <c r="CK646" s="920"/>
      <c r="CL646" s="920"/>
      <c r="CM646" s="920"/>
      <c r="CN646" s="920"/>
      <c r="CO646" s="920"/>
      <c r="CP646" s="920"/>
      <c r="CQ646" s="920"/>
      <c r="CR646" s="920"/>
      <c r="CS646" s="920"/>
      <c r="CT646" s="920"/>
      <c r="CU646" s="920"/>
      <c r="CV646" s="920"/>
      <c r="CW646" s="920"/>
      <c r="CX646" s="920"/>
      <c r="CY646" s="920"/>
      <c r="CZ646" s="920"/>
      <c r="DA646" s="920"/>
      <c r="DB646" s="920"/>
      <c r="DC646" s="920"/>
      <c r="DD646" s="920"/>
      <c r="DE646" s="920"/>
      <c r="DF646" s="920"/>
      <c r="DG646" s="920"/>
      <c r="DH646" s="920"/>
    </row>
    <row r="647" spans="1:112" s="791" customFormat="1" ht="15" x14ac:dyDescent="0.25">
      <c r="A647" s="605">
        <v>617</v>
      </c>
      <c r="B647" s="925" t="s">
        <v>3225</v>
      </c>
      <c r="C647" s="925"/>
      <c r="D647" s="925"/>
      <c r="E647" s="925"/>
      <c r="F647" s="925"/>
      <c r="G647" s="925"/>
      <c r="H647" s="1031"/>
      <c r="I647" s="792"/>
      <c r="J647" s="792"/>
      <c r="K647" s="792"/>
      <c r="L647" s="792"/>
      <c r="M647" s="792"/>
      <c r="N647" s="792"/>
      <c r="O647" s="792"/>
      <c r="P647" s="792"/>
      <c r="Q647" s="792"/>
      <c r="R647" s="792"/>
      <c r="S647" s="792"/>
      <c r="T647" s="792"/>
      <c r="U647" s="792"/>
      <c r="V647" s="792"/>
      <c r="W647" s="792"/>
      <c r="X647" s="792"/>
      <c r="Y647" s="792"/>
      <c r="Z647" s="792"/>
      <c r="AA647" s="792"/>
      <c r="AB647" s="792"/>
      <c r="AC647" s="792"/>
      <c r="AD647" s="792"/>
      <c r="AE647" s="792"/>
      <c r="AF647" s="792"/>
      <c r="AG647" s="792"/>
      <c r="AH647" s="792"/>
      <c r="AI647" s="792"/>
      <c r="AJ647" s="792"/>
      <c r="AK647" s="792"/>
      <c r="AL647" s="792"/>
      <c r="AM647" s="792"/>
      <c r="AN647" s="792"/>
      <c r="AO647" s="792"/>
      <c r="AP647" s="792"/>
      <c r="AQ647" s="792"/>
      <c r="AR647" s="792"/>
      <c r="AS647" s="792"/>
      <c r="AT647" s="792"/>
      <c r="AU647" s="792"/>
      <c r="AV647" s="792"/>
      <c r="AW647" s="792"/>
      <c r="AX647" s="792"/>
      <c r="AY647" s="792"/>
      <c r="AZ647" s="792"/>
      <c r="BA647" s="792"/>
      <c r="BB647" s="792"/>
      <c r="BC647" s="792"/>
      <c r="BD647" s="792"/>
      <c r="BE647" s="792"/>
    </row>
    <row r="648" spans="1:112" ht="15" x14ac:dyDescent="0.25">
      <c r="A648" s="605">
        <v>618</v>
      </c>
      <c r="B648" s="730" t="s">
        <v>3224</v>
      </c>
      <c r="C648" s="278"/>
      <c r="D648" s="278"/>
      <c r="E648" s="278"/>
      <c r="F648" s="278"/>
      <c r="G648" s="278"/>
      <c r="H648" s="1090"/>
      <c r="I648" s="921"/>
      <c r="J648" s="921"/>
      <c r="K648" s="921"/>
      <c r="L648" s="921"/>
      <c r="M648" s="921"/>
      <c r="N648" s="921"/>
      <c r="O648" s="921"/>
      <c r="P648" s="921"/>
      <c r="Q648" s="921"/>
      <c r="R648" s="921"/>
      <c r="S648" s="921"/>
      <c r="T648" s="921"/>
      <c r="U648" s="921"/>
      <c r="V648" s="921"/>
      <c r="W648" s="921"/>
      <c r="X648" s="921"/>
      <c r="Y648" s="921"/>
      <c r="Z648" s="921"/>
      <c r="AA648" s="921"/>
      <c r="AB648" s="921"/>
      <c r="AC648" s="921"/>
      <c r="AD648" s="921"/>
      <c r="AE648" s="921"/>
      <c r="AF648" s="921"/>
      <c r="AG648" s="921"/>
      <c r="AH648" s="921"/>
      <c r="AI648" s="921"/>
      <c r="AJ648" s="921"/>
      <c r="AK648" s="921"/>
      <c r="AL648" s="921"/>
      <c r="AM648" s="921"/>
      <c r="AN648" s="921"/>
      <c r="AO648" s="921"/>
      <c r="AP648" s="921"/>
      <c r="AQ648" s="921"/>
      <c r="AR648" s="921"/>
      <c r="AS648" s="921"/>
      <c r="AT648" s="921"/>
      <c r="AU648" s="921"/>
      <c r="AV648" s="921"/>
      <c r="AW648" s="921"/>
      <c r="AX648" s="921"/>
      <c r="AY648" s="921"/>
      <c r="AZ648" s="921"/>
      <c r="BA648" s="921"/>
      <c r="BB648" s="921"/>
      <c r="BC648" s="921"/>
      <c r="BD648" s="921"/>
      <c r="BE648" s="921"/>
      <c r="BF648" s="920"/>
      <c r="BG648" s="920"/>
      <c r="BH648" s="920"/>
      <c r="BI648" s="920"/>
      <c r="BJ648" s="920"/>
      <c r="BK648" s="920"/>
      <c r="BL648" s="920"/>
      <c r="BM648" s="920"/>
      <c r="BN648" s="920"/>
      <c r="BO648" s="920"/>
      <c r="BP648" s="920"/>
      <c r="BQ648" s="920"/>
      <c r="BR648" s="920"/>
      <c r="BS648" s="920"/>
      <c r="BT648" s="920"/>
      <c r="BU648" s="920"/>
      <c r="BV648" s="920"/>
      <c r="BW648" s="920"/>
      <c r="BX648" s="920"/>
      <c r="BY648" s="920"/>
      <c r="BZ648" s="920"/>
      <c r="CA648" s="920"/>
      <c r="CB648" s="920"/>
      <c r="CC648" s="920"/>
      <c r="CD648" s="920"/>
      <c r="CE648" s="920"/>
      <c r="CF648" s="920"/>
      <c r="CG648" s="920"/>
      <c r="CH648" s="920"/>
      <c r="CI648" s="920"/>
      <c r="CJ648" s="920"/>
      <c r="CK648" s="920"/>
      <c r="CL648" s="920"/>
      <c r="CM648" s="920"/>
      <c r="CN648" s="920"/>
      <c r="CO648" s="920"/>
      <c r="CP648" s="920"/>
      <c r="CQ648" s="920"/>
      <c r="CR648" s="920"/>
      <c r="CS648" s="920"/>
      <c r="CT648" s="920"/>
      <c r="CU648" s="920"/>
      <c r="CV648" s="920"/>
      <c r="CW648" s="920"/>
      <c r="CX648" s="920"/>
      <c r="CY648" s="920"/>
      <c r="CZ648" s="920"/>
      <c r="DA648" s="920"/>
      <c r="DB648" s="920"/>
      <c r="DC648" s="920"/>
      <c r="DD648" s="920"/>
      <c r="DE648" s="920"/>
      <c r="DF648" s="920"/>
      <c r="DG648" s="920"/>
      <c r="DH648" s="920"/>
    </row>
    <row r="649" spans="1:112" ht="15" x14ac:dyDescent="0.25">
      <c r="A649" s="605">
        <v>619</v>
      </c>
      <c r="B649" s="922" t="s">
        <v>36</v>
      </c>
      <c r="C649" s="534"/>
      <c r="D649" s="534"/>
      <c r="E649" s="534"/>
      <c r="F649" s="534"/>
      <c r="G649" s="534"/>
      <c r="H649" s="1090"/>
      <c r="I649" s="921"/>
      <c r="J649" s="921"/>
      <c r="K649" s="921"/>
      <c r="L649" s="921"/>
      <c r="M649" s="921"/>
      <c r="N649" s="921"/>
      <c r="O649" s="921"/>
      <c r="P649" s="921"/>
      <c r="Q649" s="921"/>
      <c r="R649" s="921"/>
      <c r="S649" s="921"/>
      <c r="T649" s="921"/>
      <c r="U649" s="921"/>
      <c r="V649" s="921"/>
      <c r="W649" s="921"/>
      <c r="X649" s="921"/>
      <c r="Y649" s="921"/>
      <c r="Z649" s="921"/>
      <c r="AA649" s="921"/>
      <c r="AB649" s="921"/>
      <c r="AC649" s="921"/>
      <c r="AD649" s="921"/>
      <c r="AE649" s="921"/>
      <c r="AF649" s="921"/>
      <c r="AG649" s="921"/>
      <c r="AH649" s="921"/>
      <c r="AI649" s="921"/>
      <c r="AJ649" s="921"/>
      <c r="AK649" s="921"/>
      <c r="AL649" s="921"/>
      <c r="AM649" s="921"/>
      <c r="AN649" s="921"/>
      <c r="AO649" s="921"/>
      <c r="AP649" s="921"/>
      <c r="AQ649" s="921"/>
      <c r="AR649" s="921"/>
      <c r="AS649" s="921"/>
      <c r="AT649" s="921"/>
      <c r="AU649" s="921"/>
      <c r="AV649" s="921"/>
      <c r="AW649" s="921"/>
      <c r="AX649" s="921"/>
      <c r="AY649" s="921"/>
      <c r="AZ649" s="921"/>
      <c r="BA649" s="921"/>
      <c r="BB649" s="921"/>
      <c r="BC649" s="921"/>
      <c r="BD649" s="921"/>
      <c r="BE649" s="921"/>
      <c r="BF649" s="920"/>
      <c r="BG649" s="920"/>
      <c r="BH649" s="920"/>
      <c r="BI649" s="920"/>
      <c r="BJ649" s="920"/>
      <c r="BK649" s="920"/>
      <c r="BL649" s="920"/>
      <c r="BM649" s="920"/>
      <c r="BN649" s="920"/>
      <c r="BO649" s="920"/>
      <c r="BP649" s="920"/>
      <c r="BQ649" s="920"/>
      <c r="BR649" s="920"/>
      <c r="BS649" s="920"/>
      <c r="BT649" s="920"/>
      <c r="BU649" s="920"/>
      <c r="BV649" s="920"/>
      <c r="BW649" s="920"/>
      <c r="BX649" s="920"/>
      <c r="BY649" s="920"/>
      <c r="BZ649" s="920"/>
      <c r="CA649" s="920"/>
      <c r="CB649" s="920"/>
      <c r="CC649" s="920"/>
      <c r="CD649" s="920"/>
      <c r="CE649" s="920"/>
      <c r="CF649" s="920"/>
      <c r="CG649" s="920"/>
      <c r="CH649" s="920"/>
      <c r="CI649" s="920"/>
      <c r="CJ649" s="920"/>
      <c r="CK649" s="920"/>
      <c r="CL649" s="920"/>
      <c r="CM649" s="920"/>
      <c r="CN649" s="920"/>
      <c r="CO649" s="920"/>
      <c r="CP649" s="920"/>
      <c r="CQ649" s="920"/>
      <c r="CR649" s="920"/>
      <c r="CS649" s="920"/>
      <c r="CT649" s="920"/>
      <c r="CU649" s="920"/>
      <c r="CV649" s="920"/>
      <c r="CW649" s="920"/>
      <c r="CX649" s="920"/>
      <c r="CY649" s="920"/>
      <c r="CZ649" s="920"/>
      <c r="DA649" s="920"/>
      <c r="DB649" s="920"/>
      <c r="DC649" s="920"/>
      <c r="DD649" s="920"/>
      <c r="DE649" s="920"/>
      <c r="DF649" s="920"/>
      <c r="DG649" s="920"/>
      <c r="DH649" s="920"/>
    </row>
    <row r="650" spans="1:112" ht="15" x14ac:dyDescent="0.25">
      <c r="A650" s="605">
        <v>620</v>
      </c>
      <c r="B650" s="922" t="s">
        <v>810</v>
      </c>
      <c r="C650" s="534"/>
      <c r="D650" s="534"/>
      <c r="E650" s="534"/>
      <c r="F650" s="534"/>
      <c r="G650" s="534"/>
      <c r="H650" s="1090"/>
      <c r="I650" s="921"/>
      <c r="J650" s="921"/>
      <c r="K650" s="921"/>
      <c r="L650" s="921"/>
      <c r="M650" s="921"/>
      <c r="N650" s="921"/>
      <c r="O650" s="921"/>
      <c r="P650" s="921"/>
      <c r="Q650" s="921"/>
      <c r="R650" s="921"/>
      <c r="S650" s="921"/>
      <c r="T650" s="921"/>
      <c r="U650" s="921"/>
      <c r="V650" s="921"/>
      <c r="W650" s="921"/>
      <c r="X650" s="921"/>
      <c r="Y650" s="921"/>
      <c r="Z650" s="921"/>
      <c r="AA650" s="921"/>
      <c r="AB650" s="921"/>
      <c r="AC650" s="921"/>
      <c r="AD650" s="921"/>
      <c r="AE650" s="921"/>
      <c r="AF650" s="921"/>
      <c r="AG650" s="921"/>
      <c r="AH650" s="921"/>
      <c r="AI650" s="921"/>
      <c r="AJ650" s="921"/>
      <c r="AK650" s="921"/>
      <c r="AL650" s="921"/>
      <c r="AM650" s="921"/>
      <c r="AN650" s="921"/>
      <c r="AO650" s="921"/>
      <c r="AP650" s="921"/>
      <c r="AQ650" s="921"/>
      <c r="AR650" s="921"/>
      <c r="AS650" s="921"/>
      <c r="AT650" s="921"/>
      <c r="AU650" s="921"/>
      <c r="AV650" s="921"/>
      <c r="AW650" s="921"/>
      <c r="AX650" s="921"/>
      <c r="AY650" s="921"/>
      <c r="AZ650" s="921"/>
      <c r="BA650" s="921"/>
      <c r="BB650" s="921"/>
      <c r="BC650" s="921"/>
      <c r="BD650" s="921"/>
      <c r="BE650" s="921"/>
      <c r="BF650" s="920"/>
      <c r="BG650" s="920"/>
      <c r="BH650" s="920"/>
      <c r="BI650" s="920"/>
      <c r="BJ650" s="920"/>
      <c r="BK650" s="920"/>
      <c r="BL650" s="920"/>
      <c r="BM650" s="920"/>
      <c r="BN650" s="920"/>
      <c r="BO650" s="920"/>
      <c r="BP650" s="920"/>
      <c r="BQ650" s="920"/>
      <c r="BR650" s="920"/>
      <c r="BS650" s="920"/>
      <c r="BT650" s="920"/>
      <c r="BU650" s="920"/>
      <c r="BV650" s="920"/>
      <c r="BW650" s="920"/>
      <c r="BX650" s="920"/>
      <c r="BY650" s="920"/>
      <c r="BZ650" s="920"/>
      <c r="CA650" s="920"/>
      <c r="CB650" s="920"/>
      <c r="CC650" s="920"/>
      <c r="CD650" s="920"/>
      <c r="CE650" s="920"/>
      <c r="CF650" s="920"/>
      <c r="CG650" s="920"/>
      <c r="CH650" s="920"/>
      <c r="CI650" s="920"/>
      <c r="CJ650" s="920"/>
      <c r="CK650" s="920"/>
      <c r="CL650" s="920"/>
      <c r="CM650" s="920"/>
      <c r="CN650" s="920"/>
      <c r="CO650" s="920"/>
      <c r="CP650" s="920"/>
      <c r="CQ650" s="920"/>
      <c r="CR650" s="920"/>
      <c r="CS650" s="920"/>
      <c r="CT650" s="920"/>
      <c r="CU650" s="920"/>
      <c r="CV650" s="920"/>
      <c r="CW650" s="920"/>
      <c r="CX650" s="920"/>
      <c r="CY650" s="920"/>
      <c r="CZ650" s="920"/>
      <c r="DA650" s="920"/>
      <c r="DB650" s="920"/>
      <c r="DC650" s="920"/>
      <c r="DD650" s="920"/>
      <c r="DE650" s="920"/>
      <c r="DF650" s="920"/>
      <c r="DG650" s="920"/>
      <c r="DH650" s="920"/>
    </row>
    <row r="651" spans="1:112" s="598" customFormat="1" ht="15" x14ac:dyDescent="0.25">
      <c r="A651" s="605">
        <v>621</v>
      </c>
      <c r="B651" s="733" t="s">
        <v>111</v>
      </c>
      <c r="C651" s="538"/>
      <c r="D651" s="538"/>
      <c r="E651" s="538"/>
      <c r="F651" s="538"/>
      <c r="G651" s="538"/>
      <c r="H651" s="1091"/>
      <c r="I651" s="921"/>
      <c r="J651" s="921"/>
      <c r="K651" s="921"/>
      <c r="L651" s="921"/>
      <c r="M651" s="921"/>
      <c r="N651" s="921"/>
      <c r="O651" s="921"/>
      <c r="P651" s="921"/>
      <c r="Q651" s="921"/>
      <c r="R651" s="921"/>
      <c r="S651" s="921"/>
      <c r="T651" s="921"/>
      <c r="U651" s="921"/>
      <c r="V651" s="921"/>
      <c r="W651" s="921"/>
      <c r="X651" s="921"/>
      <c r="Y651" s="921"/>
      <c r="Z651" s="921"/>
      <c r="AA651" s="921"/>
      <c r="AB651" s="921"/>
      <c r="AC651" s="921"/>
      <c r="AD651" s="921"/>
      <c r="AE651" s="921"/>
      <c r="AF651" s="921"/>
      <c r="AG651" s="921"/>
      <c r="AH651" s="921"/>
      <c r="AI651" s="921"/>
      <c r="AJ651" s="921"/>
      <c r="AK651" s="921"/>
      <c r="AL651" s="921"/>
      <c r="AM651" s="921"/>
      <c r="AN651" s="921"/>
      <c r="AO651" s="921"/>
      <c r="AP651" s="921"/>
      <c r="AQ651" s="921"/>
      <c r="AR651" s="921"/>
      <c r="AS651" s="921"/>
      <c r="AT651" s="921"/>
      <c r="AU651" s="921"/>
      <c r="AV651" s="921"/>
      <c r="AW651" s="921"/>
      <c r="AX651" s="921"/>
      <c r="AY651" s="921"/>
      <c r="AZ651" s="921"/>
      <c r="BA651" s="921"/>
      <c r="BB651" s="921"/>
      <c r="BC651" s="921"/>
      <c r="BD651" s="921"/>
      <c r="BE651" s="921"/>
      <c r="BF651" s="921"/>
      <c r="BG651" s="921"/>
      <c r="BH651" s="921"/>
      <c r="BI651" s="921"/>
      <c r="BJ651" s="921"/>
      <c r="BK651" s="921"/>
      <c r="BL651" s="921"/>
      <c r="BM651" s="921"/>
      <c r="BN651" s="921"/>
      <c r="BO651" s="921"/>
      <c r="BP651" s="921"/>
      <c r="BQ651" s="921"/>
      <c r="BR651" s="921"/>
      <c r="BS651" s="921"/>
      <c r="BT651" s="921"/>
      <c r="BU651" s="921"/>
      <c r="BV651" s="921"/>
      <c r="BW651" s="921"/>
      <c r="BX651" s="921"/>
      <c r="BY651" s="921"/>
      <c r="BZ651" s="921"/>
      <c r="CA651" s="921"/>
      <c r="CB651" s="921"/>
      <c r="CC651" s="921"/>
      <c r="CD651" s="921"/>
      <c r="CE651" s="921"/>
      <c r="CF651" s="921"/>
      <c r="CG651" s="921"/>
      <c r="CH651" s="921"/>
      <c r="CI651" s="921"/>
      <c r="CJ651" s="921"/>
      <c r="CK651" s="921"/>
      <c r="CL651" s="921"/>
      <c r="CM651" s="921"/>
      <c r="CN651" s="921"/>
      <c r="CO651" s="921"/>
      <c r="CP651" s="921"/>
      <c r="CQ651" s="921"/>
      <c r="CR651" s="921"/>
      <c r="CS651" s="921"/>
      <c r="CT651" s="921"/>
      <c r="CU651" s="921"/>
      <c r="CV651" s="921"/>
      <c r="CW651" s="921"/>
      <c r="CX651" s="921"/>
      <c r="CY651" s="921"/>
      <c r="CZ651" s="921"/>
      <c r="DA651" s="921"/>
      <c r="DB651" s="921"/>
      <c r="DC651" s="921"/>
      <c r="DD651" s="921"/>
      <c r="DE651" s="921"/>
      <c r="DF651" s="921"/>
      <c r="DG651" s="921"/>
      <c r="DH651" s="921"/>
    </row>
    <row r="652" spans="1:112" s="598" customFormat="1" ht="15" x14ac:dyDescent="0.25">
      <c r="A652" s="605">
        <v>622</v>
      </c>
      <c r="B652" s="733" t="s">
        <v>3223</v>
      </c>
      <c r="C652" s="538"/>
      <c r="D652" s="538"/>
      <c r="E652" s="538"/>
      <c r="F652" s="538"/>
      <c r="G652" s="538"/>
      <c r="H652" s="1091"/>
      <c r="I652" s="921"/>
      <c r="J652" s="921"/>
      <c r="K652" s="921"/>
      <c r="L652" s="921"/>
      <c r="M652" s="921"/>
      <c r="N652" s="921"/>
      <c r="O652" s="921"/>
      <c r="P652" s="921"/>
      <c r="Q652" s="921"/>
      <c r="R652" s="921"/>
      <c r="S652" s="921"/>
      <c r="T652" s="921"/>
      <c r="U652" s="921"/>
      <c r="V652" s="921"/>
      <c r="W652" s="921"/>
      <c r="X652" s="921"/>
      <c r="Y652" s="921"/>
      <c r="Z652" s="921"/>
      <c r="AA652" s="921"/>
      <c r="AB652" s="921"/>
      <c r="AC652" s="921"/>
      <c r="AD652" s="921"/>
      <c r="AE652" s="921"/>
      <c r="AF652" s="921"/>
      <c r="AG652" s="921"/>
      <c r="AH652" s="921"/>
      <c r="AI652" s="921"/>
      <c r="AJ652" s="921"/>
      <c r="AK652" s="921"/>
      <c r="AL652" s="921"/>
      <c r="AM652" s="921"/>
      <c r="AN652" s="921"/>
      <c r="AO652" s="921"/>
      <c r="AP652" s="921"/>
      <c r="AQ652" s="921"/>
      <c r="AR652" s="921"/>
      <c r="AS652" s="921"/>
      <c r="AT652" s="921"/>
      <c r="AU652" s="921"/>
      <c r="AV652" s="921"/>
      <c r="AW652" s="921"/>
      <c r="AX652" s="921"/>
      <c r="AY652" s="921"/>
      <c r="AZ652" s="921"/>
      <c r="BA652" s="921"/>
      <c r="BB652" s="921"/>
      <c r="BC652" s="921"/>
      <c r="BD652" s="921"/>
      <c r="BE652" s="921"/>
      <c r="BF652" s="921"/>
      <c r="BG652" s="921"/>
      <c r="BH652" s="921"/>
      <c r="BI652" s="921"/>
      <c r="BJ652" s="921"/>
      <c r="BK652" s="921"/>
      <c r="BL652" s="921"/>
      <c r="BM652" s="921"/>
      <c r="BN652" s="921"/>
      <c r="BO652" s="921"/>
      <c r="BP652" s="921"/>
      <c r="BQ652" s="921"/>
      <c r="BR652" s="921"/>
      <c r="BS652" s="921"/>
      <c r="BT652" s="921"/>
      <c r="BU652" s="921"/>
      <c r="BV652" s="921"/>
      <c r="BW652" s="921"/>
      <c r="BX652" s="921"/>
      <c r="BY652" s="921"/>
      <c r="BZ652" s="921"/>
      <c r="CA652" s="921"/>
      <c r="CB652" s="921"/>
      <c r="CC652" s="921"/>
      <c r="CD652" s="921"/>
      <c r="CE652" s="921"/>
      <c r="CF652" s="921"/>
      <c r="CG652" s="921"/>
      <c r="CH652" s="921"/>
      <c r="CI652" s="921"/>
      <c r="CJ652" s="921"/>
      <c r="CK652" s="921"/>
      <c r="CL652" s="921"/>
      <c r="CM652" s="921"/>
      <c r="CN652" s="921"/>
      <c r="CO652" s="921"/>
      <c r="CP652" s="921"/>
      <c r="CQ652" s="921"/>
      <c r="CR652" s="921"/>
      <c r="CS652" s="921"/>
      <c r="CT652" s="921"/>
      <c r="CU652" s="921"/>
      <c r="CV652" s="921"/>
      <c r="CW652" s="921"/>
      <c r="CX652" s="921"/>
      <c r="CY652" s="921"/>
      <c r="CZ652" s="921"/>
      <c r="DA652" s="921"/>
      <c r="DB652" s="921"/>
      <c r="DC652" s="921"/>
      <c r="DD652" s="921"/>
      <c r="DE652" s="921"/>
      <c r="DF652" s="921"/>
      <c r="DG652" s="921"/>
      <c r="DH652" s="921"/>
    </row>
    <row r="653" spans="1:112" s="598" customFormat="1" ht="15" x14ac:dyDescent="0.25">
      <c r="A653" s="605">
        <v>623</v>
      </c>
      <c r="B653" s="733" t="s">
        <v>2870</v>
      </c>
      <c r="C653" s="538"/>
      <c r="D653" s="538"/>
      <c r="E653" s="538"/>
      <c r="F653" s="538"/>
      <c r="G653" s="538"/>
      <c r="H653" s="1091"/>
      <c r="I653" s="921"/>
      <c r="J653" s="921"/>
      <c r="K653" s="921"/>
      <c r="L653" s="921"/>
      <c r="M653" s="921"/>
      <c r="N653" s="921"/>
      <c r="O653" s="921"/>
      <c r="P653" s="921"/>
      <c r="Q653" s="921"/>
      <c r="R653" s="921"/>
      <c r="S653" s="921"/>
      <c r="T653" s="921"/>
      <c r="U653" s="921"/>
      <c r="V653" s="921"/>
      <c r="W653" s="921"/>
      <c r="X653" s="921"/>
      <c r="Y653" s="921"/>
      <c r="Z653" s="921"/>
      <c r="AA653" s="921"/>
      <c r="AB653" s="921"/>
      <c r="AC653" s="921"/>
      <c r="AD653" s="921"/>
      <c r="AE653" s="921"/>
      <c r="AF653" s="921"/>
      <c r="AG653" s="921"/>
      <c r="AH653" s="921"/>
      <c r="AI653" s="921"/>
      <c r="AJ653" s="921"/>
      <c r="AK653" s="921"/>
      <c r="AL653" s="921"/>
      <c r="AM653" s="921"/>
      <c r="AN653" s="921"/>
      <c r="AO653" s="921"/>
      <c r="AP653" s="921"/>
      <c r="AQ653" s="921"/>
      <c r="AR653" s="921"/>
      <c r="AS653" s="921"/>
      <c r="AT653" s="921"/>
      <c r="AU653" s="921"/>
      <c r="AV653" s="921"/>
      <c r="AW653" s="921"/>
      <c r="AX653" s="921"/>
      <c r="AY653" s="921"/>
      <c r="AZ653" s="921"/>
      <c r="BA653" s="921"/>
      <c r="BB653" s="921"/>
      <c r="BC653" s="921"/>
      <c r="BD653" s="921"/>
      <c r="BE653" s="921"/>
      <c r="BF653" s="921"/>
      <c r="BG653" s="921"/>
      <c r="BH653" s="921"/>
      <c r="BI653" s="921"/>
      <c r="BJ653" s="921"/>
      <c r="BK653" s="921"/>
      <c r="BL653" s="921"/>
      <c r="BM653" s="921"/>
      <c r="BN653" s="921"/>
      <c r="BO653" s="921"/>
      <c r="BP653" s="921"/>
      <c r="BQ653" s="921"/>
      <c r="BR653" s="921"/>
      <c r="BS653" s="921"/>
      <c r="BT653" s="921"/>
      <c r="BU653" s="921"/>
      <c r="BV653" s="921"/>
      <c r="BW653" s="921"/>
      <c r="BX653" s="921"/>
      <c r="BY653" s="921"/>
      <c r="BZ653" s="921"/>
      <c r="CA653" s="921"/>
      <c r="CB653" s="921"/>
      <c r="CC653" s="921"/>
      <c r="CD653" s="921"/>
      <c r="CE653" s="921"/>
      <c r="CF653" s="921"/>
      <c r="CG653" s="921"/>
      <c r="CH653" s="921"/>
      <c r="CI653" s="921"/>
      <c r="CJ653" s="921"/>
      <c r="CK653" s="921"/>
      <c r="CL653" s="921"/>
      <c r="CM653" s="921"/>
      <c r="CN653" s="921"/>
      <c r="CO653" s="921"/>
      <c r="CP653" s="921"/>
      <c r="CQ653" s="921"/>
      <c r="CR653" s="921"/>
      <c r="CS653" s="921"/>
      <c r="CT653" s="921"/>
      <c r="CU653" s="921"/>
      <c r="CV653" s="921"/>
      <c r="CW653" s="921"/>
      <c r="CX653" s="921"/>
      <c r="CY653" s="921"/>
      <c r="CZ653" s="921"/>
      <c r="DA653" s="921"/>
      <c r="DB653" s="921"/>
      <c r="DC653" s="921"/>
      <c r="DD653" s="921"/>
      <c r="DE653" s="921"/>
      <c r="DF653" s="921"/>
      <c r="DG653" s="921"/>
      <c r="DH653" s="921"/>
    </row>
    <row r="654" spans="1:112" ht="15" x14ac:dyDescent="0.25">
      <c r="A654" s="605">
        <v>624</v>
      </c>
      <c r="B654" s="922" t="s">
        <v>3207</v>
      </c>
      <c r="C654" s="534"/>
      <c r="D654" s="534"/>
      <c r="E654" s="534"/>
      <c r="F654" s="534"/>
      <c r="G654" s="534"/>
      <c r="H654" s="1090"/>
      <c r="I654" s="921"/>
      <c r="J654" s="921"/>
      <c r="K654" s="921"/>
      <c r="L654" s="921"/>
      <c r="M654" s="921"/>
      <c r="N654" s="921"/>
      <c r="O654" s="921"/>
      <c r="P654" s="921"/>
      <c r="Q654" s="921"/>
      <c r="R654" s="921"/>
      <c r="S654" s="921"/>
      <c r="T654" s="921"/>
      <c r="U654" s="921"/>
      <c r="V654" s="921"/>
      <c r="W654" s="921"/>
      <c r="X654" s="921"/>
      <c r="Y654" s="921"/>
      <c r="Z654" s="921"/>
      <c r="AA654" s="921"/>
      <c r="AB654" s="921"/>
      <c r="AC654" s="921"/>
      <c r="AD654" s="921"/>
      <c r="AE654" s="921"/>
      <c r="AF654" s="921"/>
      <c r="AG654" s="921"/>
      <c r="AH654" s="921"/>
      <c r="AI654" s="921"/>
      <c r="AJ654" s="921"/>
      <c r="AK654" s="921"/>
      <c r="AL654" s="921"/>
      <c r="AM654" s="921"/>
      <c r="AN654" s="921"/>
      <c r="AO654" s="921"/>
      <c r="AP654" s="921"/>
      <c r="AQ654" s="921"/>
      <c r="AR654" s="921"/>
      <c r="AS654" s="921"/>
      <c r="AT654" s="921"/>
      <c r="AU654" s="921"/>
      <c r="AV654" s="921"/>
      <c r="AW654" s="921"/>
      <c r="AX654" s="921"/>
      <c r="AY654" s="921"/>
      <c r="AZ654" s="921"/>
      <c r="BA654" s="921"/>
      <c r="BB654" s="921"/>
      <c r="BC654" s="921"/>
      <c r="BD654" s="921"/>
      <c r="BE654" s="921"/>
      <c r="BF654" s="920"/>
      <c r="BG654" s="920"/>
      <c r="BH654" s="920"/>
      <c r="BI654" s="920"/>
      <c r="BJ654" s="920"/>
      <c r="BK654" s="920"/>
      <c r="BL654" s="920"/>
      <c r="BM654" s="920"/>
      <c r="BN654" s="920"/>
      <c r="BO654" s="920"/>
      <c r="BP654" s="920"/>
      <c r="BQ654" s="920"/>
      <c r="BR654" s="920"/>
      <c r="BS654" s="920"/>
      <c r="BT654" s="920"/>
      <c r="BU654" s="920"/>
      <c r="BV654" s="920"/>
      <c r="BW654" s="920"/>
      <c r="BX654" s="920"/>
      <c r="BY654" s="920"/>
      <c r="BZ654" s="920"/>
      <c r="CA654" s="920"/>
      <c r="CB654" s="920"/>
      <c r="CC654" s="920"/>
      <c r="CD654" s="920"/>
      <c r="CE654" s="920"/>
      <c r="CF654" s="920"/>
      <c r="CG654" s="920"/>
      <c r="CH654" s="920"/>
      <c r="CI654" s="920"/>
      <c r="CJ654" s="920"/>
      <c r="CK654" s="920"/>
      <c r="CL654" s="920"/>
      <c r="CM654" s="920"/>
      <c r="CN654" s="920"/>
      <c r="CO654" s="920"/>
      <c r="CP654" s="920"/>
      <c r="CQ654" s="920"/>
      <c r="CR654" s="920"/>
      <c r="CS654" s="920"/>
      <c r="CT654" s="920"/>
      <c r="CU654" s="920"/>
      <c r="CV654" s="920"/>
      <c r="CW654" s="920"/>
      <c r="CX654" s="920"/>
      <c r="CY654" s="920"/>
      <c r="CZ654" s="920"/>
      <c r="DA654" s="920"/>
      <c r="DB654" s="920"/>
      <c r="DC654" s="920"/>
      <c r="DD654" s="920"/>
      <c r="DE654" s="920"/>
      <c r="DF654" s="920"/>
      <c r="DG654" s="920"/>
      <c r="DH654" s="920"/>
    </row>
    <row r="655" spans="1:112" ht="15" x14ac:dyDescent="0.25">
      <c r="A655" s="605">
        <v>625</v>
      </c>
      <c r="B655" s="922" t="s">
        <v>3030</v>
      </c>
      <c r="C655" s="534"/>
      <c r="D655" s="534"/>
      <c r="E655" s="534"/>
      <c r="F655" s="534"/>
      <c r="G655" s="534"/>
      <c r="H655" s="1090"/>
      <c r="I655" s="921"/>
      <c r="J655" s="921"/>
      <c r="K655" s="921"/>
      <c r="L655" s="921"/>
      <c r="M655" s="921"/>
      <c r="N655" s="921"/>
      <c r="O655" s="921"/>
      <c r="P655" s="921"/>
      <c r="Q655" s="921"/>
      <c r="R655" s="921"/>
      <c r="S655" s="921"/>
      <c r="T655" s="921"/>
      <c r="U655" s="921"/>
      <c r="V655" s="921"/>
      <c r="W655" s="921"/>
      <c r="X655" s="921"/>
      <c r="Y655" s="921"/>
      <c r="Z655" s="921"/>
      <c r="AA655" s="921"/>
      <c r="AB655" s="921"/>
      <c r="AC655" s="921"/>
      <c r="AD655" s="921"/>
      <c r="AE655" s="921"/>
      <c r="AF655" s="921"/>
      <c r="AG655" s="921"/>
      <c r="AH655" s="921"/>
      <c r="AI655" s="921"/>
      <c r="AJ655" s="921"/>
      <c r="AK655" s="921"/>
      <c r="AL655" s="921"/>
      <c r="AM655" s="921"/>
      <c r="AN655" s="921"/>
      <c r="AO655" s="921"/>
      <c r="AP655" s="921"/>
      <c r="AQ655" s="921"/>
      <c r="AR655" s="921"/>
      <c r="AS655" s="921"/>
      <c r="AT655" s="921"/>
      <c r="AU655" s="921"/>
      <c r="AV655" s="921"/>
      <c r="AW655" s="921"/>
      <c r="AX655" s="921"/>
      <c r="AY655" s="921"/>
      <c r="AZ655" s="921"/>
      <c r="BA655" s="921"/>
      <c r="BB655" s="921"/>
      <c r="BC655" s="921"/>
      <c r="BD655" s="921"/>
      <c r="BE655" s="921"/>
      <c r="BF655" s="920"/>
      <c r="BG655" s="920"/>
      <c r="BH655" s="920"/>
      <c r="BI655" s="920"/>
      <c r="BJ655" s="920"/>
      <c r="BK655" s="920"/>
      <c r="BL655" s="920"/>
      <c r="BM655" s="920"/>
      <c r="BN655" s="920"/>
      <c r="BO655" s="920"/>
      <c r="BP655" s="920"/>
      <c r="BQ655" s="920"/>
      <c r="BR655" s="920"/>
      <c r="BS655" s="920"/>
      <c r="BT655" s="920"/>
      <c r="BU655" s="920"/>
      <c r="BV655" s="920"/>
      <c r="BW655" s="920"/>
      <c r="BX655" s="920"/>
      <c r="BY655" s="920"/>
      <c r="BZ655" s="920"/>
      <c r="CA655" s="920"/>
      <c r="CB655" s="920"/>
      <c r="CC655" s="920"/>
      <c r="CD655" s="920"/>
      <c r="CE655" s="920"/>
      <c r="CF655" s="920"/>
      <c r="CG655" s="920"/>
      <c r="CH655" s="920"/>
      <c r="CI655" s="920"/>
      <c r="CJ655" s="920"/>
      <c r="CK655" s="920"/>
      <c r="CL655" s="920"/>
      <c r="CM655" s="920"/>
      <c r="CN655" s="920"/>
      <c r="CO655" s="920"/>
      <c r="CP655" s="920"/>
      <c r="CQ655" s="920"/>
      <c r="CR655" s="920"/>
      <c r="CS655" s="920"/>
      <c r="CT655" s="920"/>
      <c r="CU655" s="920"/>
      <c r="CV655" s="920"/>
      <c r="CW655" s="920"/>
      <c r="CX655" s="920"/>
      <c r="CY655" s="920"/>
      <c r="CZ655" s="920"/>
      <c r="DA655" s="920"/>
      <c r="DB655" s="920"/>
      <c r="DC655" s="920"/>
      <c r="DD655" s="920"/>
      <c r="DE655" s="920"/>
      <c r="DF655" s="920"/>
      <c r="DG655" s="920"/>
      <c r="DH655" s="920"/>
    </row>
    <row r="656" spans="1:112" ht="15" x14ac:dyDescent="0.25">
      <c r="A656" s="605">
        <v>626</v>
      </c>
      <c r="B656" s="922" t="s">
        <v>3222</v>
      </c>
      <c r="C656" s="534"/>
      <c r="D656" s="534"/>
      <c r="E656" s="534"/>
      <c r="F656" s="534"/>
      <c r="G656" s="534"/>
      <c r="H656" s="1090"/>
      <c r="I656" s="921"/>
      <c r="J656" s="921"/>
      <c r="K656" s="921"/>
      <c r="L656" s="921"/>
      <c r="M656" s="921"/>
      <c r="N656" s="921"/>
      <c r="O656" s="921"/>
      <c r="P656" s="921"/>
      <c r="Q656" s="921"/>
      <c r="R656" s="921"/>
      <c r="S656" s="921"/>
      <c r="T656" s="921"/>
      <c r="U656" s="921"/>
      <c r="V656" s="921"/>
      <c r="W656" s="921"/>
      <c r="X656" s="921"/>
      <c r="Y656" s="921"/>
      <c r="Z656" s="921"/>
      <c r="AA656" s="921"/>
      <c r="AB656" s="921"/>
      <c r="AC656" s="921"/>
      <c r="AD656" s="921"/>
      <c r="AE656" s="921"/>
      <c r="AF656" s="921"/>
      <c r="AG656" s="921"/>
      <c r="AH656" s="921"/>
      <c r="AI656" s="921"/>
      <c r="AJ656" s="921"/>
      <c r="AK656" s="921"/>
      <c r="AL656" s="921"/>
      <c r="AM656" s="921"/>
      <c r="AN656" s="921"/>
      <c r="AO656" s="921"/>
      <c r="AP656" s="921"/>
      <c r="AQ656" s="921"/>
      <c r="AR656" s="921"/>
      <c r="AS656" s="921"/>
      <c r="AT656" s="921"/>
      <c r="AU656" s="921"/>
      <c r="AV656" s="921"/>
      <c r="AW656" s="921"/>
      <c r="AX656" s="921"/>
      <c r="AY656" s="921"/>
      <c r="AZ656" s="921"/>
      <c r="BA656" s="921"/>
      <c r="BB656" s="921"/>
      <c r="BC656" s="921"/>
      <c r="BD656" s="921"/>
      <c r="BE656" s="921"/>
      <c r="BF656" s="920"/>
      <c r="BG656" s="920"/>
      <c r="BH656" s="920"/>
      <c r="BI656" s="920"/>
      <c r="BJ656" s="920"/>
      <c r="BK656" s="920"/>
      <c r="BL656" s="920"/>
      <c r="BM656" s="920"/>
      <c r="BN656" s="920"/>
      <c r="BO656" s="920"/>
      <c r="BP656" s="920"/>
      <c r="BQ656" s="920"/>
      <c r="BR656" s="920"/>
      <c r="BS656" s="920"/>
      <c r="BT656" s="920"/>
      <c r="BU656" s="920"/>
      <c r="BV656" s="920"/>
      <c r="BW656" s="920"/>
      <c r="BX656" s="920"/>
      <c r="BY656" s="920"/>
      <c r="BZ656" s="920"/>
      <c r="CA656" s="920"/>
      <c r="CB656" s="920"/>
      <c r="CC656" s="920"/>
      <c r="CD656" s="920"/>
      <c r="CE656" s="920"/>
      <c r="CF656" s="920"/>
      <c r="CG656" s="920"/>
      <c r="CH656" s="920"/>
      <c r="CI656" s="920"/>
      <c r="CJ656" s="920"/>
      <c r="CK656" s="920"/>
      <c r="CL656" s="920"/>
      <c r="CM656" s="920"/>
      <c r="CN656" s="920"/>
      <c r="CO656" s="920"/>
      <c r="CP656" s="920"/>
      <c r="CQ656" s="920"/>
      <c r="CR656" s="920"/>
      <c r="CS656" s="920"/>
      <c r="CT656" s="920"/>
      <c r="CU656" s="920"/>
      <c r="CV656" s="920"/>
      <c r="CW656" s="920"/>
      <c r="CX656" s="920"/>
      <c r="CY656" s="920"/>
      <c r="CZ656" s="920"/>
      <c r="DA656" s="920"/>
      <c r="DB656" s="920"/>
      <c r="DC656" s="920"/>
      <c r="DD656" s="920"/>
      <c r="DE656" s="920"/>
      <c r="DF656" s="920"/>
      <c r="DG656" s="920"/>
      <c r="DH656" s="920"/>
    </row>
    <row r="657" spans="1:112" ht="15" x14ac:dyDescent="0.25">
      <c r="A657" s="605">
        <v>627</v>
      </c>
      <c r="B657" s="922" t="s">
        <v>3221</v>
      </c>
      <c r="C657" s="534"/>
      <c r="D657" s="534"/>
      <c r="E657" s="534"/>
      <c r="F657" s="534"/>
      <c r="G657" s="534"/>
      <c r="H657" s="1090"/>
      <c r="I657" s="921"/>
      <c r="J657" s="921"/>
      <c r="K657" s="921"/>
      <c r="L657" s="921"/>
      <c r="M657" s="921"/>
      <c r="N657" s="921"/>
      <c r="O657" s="921"/>
      <c r="P657" s="921"/>
      <c r="Q657" s="921"/>
      <c r="R657" s="921"/>
      <c r="S657" s="921"/>
      <c r="T657" s="921"/>
      <c r="U657" s="921"/>
      <c r="V657" s="921"/>
      <c r="W657" s="921"/>
      <c r="X657" s="921"/>
      <c r="Y657" s="921"/>
      <c r="Z657" s="921"/>
      <c r="AA657" s="921"/>
      <c r="AB657" s="921"/>
      <c r="AC657" s="921"/>
      <c r="AD657" s="921"/>
      <c r="AE657" s="921"/>
      <c r="AF657" s="921"/>
      <c r="AG657" s="921"/>
      <c r="AH657" s="921"/>
      <c r="AI657" s="921"/>
      <c r="AJ657" s="921"/>
      <c r="AK657" s="921"/>
      <c r="AL657" s="921"/>
      <c r="AM657" s="921"/>
      <c r="AN657" s="921"/>
      <c r="AO657" s="921"/>
      <c r="AP657" s="921"/>
      <c r="AQ657" s="921"/>
      <c r="AR657" s="921"/>
      <c r="AS657" s="921"/>
      <c r="AT657" s="921"/>
      <c r="AU657" s="921"/>
      <c r="AV657" s="921"/>
      <c r="AW657" s="921"/>
      <c r="AX657" s="921"/>
      <c r="AY657" s="921"/>
      <c r="AZ657" s="921"/>
      <c r="BA657" s="921"/>
      <c r="BB657" s="921"/>
      <c r="BC657" s="921"/>
      <c r="BD657" s="921"/>
      <c r="BE657" s="921"/>
      <c r="BF657" s="920"/>
      <c r="BG657" s="920"/>
      <c r="BH657" s="920"/>
      <c r="BI657" s="920"/>
      <c r="BJ657" s="920"/>
      <c r="BK657" s="920"/>
      <c r="BL657" s="920"/>
      <c r="BM657" s="920"/>
      <c r="BN657" s="920"/>
      <c r="BO657" s="920"/>
      <c r="BP657" s="920"/>
      <c r="BQ657" s="920"/>
      <c r="BR657" s="920"/>
      <c r="BS657" s="920"/>
      <c r="BT657" s="920"/>
      <c r="BU657" s="920"/>
      <c r="BV657" s="920"/>
      <c r="BW657" s="920"/>
      <c r="BX657" s="920"/>
      <c r="BY657" s="920"/>
      <c r="BZ657" s="920"/>
      <c r="CA657" s="920"/>
      <c r="CB657" s="920"/>
      <c r="CC657" s="920"/>
      <c r="CD657" s="920"/>
      <c r="CE657" s="920"/>
      <c r="CF657" s="920"/>
      <c r="CG657" s="920"/>
      <c r="CH657" s="920"/>
      <c r="CI657" s="920"/>
      <c r="CJ657" s="920"/>
      <c r="CK657" s="920"/>
      <c r="CL657" s="920"/>
      <c r="CM657" s="920"/>
      <c r="CN657" s="920"/>
      <c r="CO657" s="920"/>
      <c r="CP657" s="920"/>
      <c r="CQ657" s="920"/>
      <c r="CR657" s="920"/>
      <c r="CS657" s="920"/>
      <c r="CT657" s="920"/>
      <c r="CU657" s="920"/>
      <c r="CV657" s="920"/>
      <c r="CW657" s="920"/>
      <c r="CX657" s="920"/>
      <c r="CY657" s="920"/>
      <c r="CZ657" s="920"/>
      <c r="DA657" s="920"/>
      <c r="DB657" s="920"/>
      <c r="DC657" s="920"/>
      <c r="DD657" s="920"/>
      <c r="DE657" s="920"/>
      <c r="DF657" s="920"/>
      <c r="DG657" s="920"/>
      <c r="DH657" s="920"/>
    </row>
    <row r="658" spans="1:112" ht="15" x14ac:dyDescent="0.25">
      <c r="A658" s="605">
        <v>628</v>
      </c>
      <c r="B658" s="922" t="s">
        <v>539</v>
      </c>
      <c r="C658" s="534"/>
      <c r="D658" s="534"/>
      <c r="E658" s="534"/>
      <c r="F658" s="534"/>
      <c r="G658" s="534"/>
      <c r="H658" s="1090"/>
      <c r="I658" s="921"/>
      <c r="J658" s="921"/>
      <c r="K658" s="921"/>
      <c r="L658" s="921"/>
      <c r="M658" s="921"/>
      <c r="N658" s="921"/>
      <c r="O658" s="921"/>
      <c r="P658" s="921"/>
      <c r="Q658" s="921"/>
      <c r="R658" s="921"/>
      <c r="S658" s="921"/>
      <c r="T658" s="921"/>
      <c r="U658" s="921"/>
      <c r="V658" s="921"/>
      <c r="W658" s="921"/>
      <c r="X658" s="921"/>
      <c r="Y658" s="921"/>
      <c r="Z658" s="921"/>
      <c r="AA658" s="921"/>
      <c r="AB658" s="921"/>
      <c r="AC658" s="921"/>
      <c r="AD658" s="921"/>
      <c r="AE658" s="921"/>
      <c r="AF658" s="921"/>
      <c r="AG658" s="921"/>
      <c r="AH658" s="921"/>
      <c r="AI658" s="921"/>
      <c r="AJ658" s="921"/>
      <c r="AK658" s="921"/>
      <c r="AL658" s="921"/>
      <c r="AM658" s="921"/>
      <c r="AN658" s="921"/>
      <c r="AO658" s="921"/>
      <c r="AP658" s="921"/>
      <c r="AQ658" s="921"/>
      <c r="AR658" s="921"/>
      <c r="AS658" s="921"/>
      <c r="AT658" s="921"/>
      <c r="AU658" s="921"/>
      <c r="AV658" s="921"/>
      <c r="AW658" s="921"/>
      <c r="AX658" s="921"/>
      <c r="AY658" s="921"/>
      <c r="AZ658" s="921"/>
      <c r="BA658" s="921"/>
      <c r="BB658" s="921"/>
      <c r="BC658" s="921"/>
      <c r="BD658" s="921"/>
      <c r="BE658" s="921"/>
      <c r="BF658" s="920"/>
      <c r="BG658" s="920"/>
      <c r="BH658" s="920"/>
      <c r="BI658" s="920"/>
      <c r="BJ658" s="920"/>
      <c r="BK658" s="920"/>
      <c r="BL658" s="920"/>
      <c r="BM658" s="920"/>
      <c r="BN658" s="920"/>
      <c r="BO658" s="920"/>
      <c r="BP658" s="920"/>
      <c r="BQ658" s="920"/>
      <c r="BR658" s="920"/>
      <c r="BS658" s="920"/>
      <c r="BT658" s="920"/>
      <c r="BU658" s="920"/>
      <c r="BV658" s="920"/>
      <c r="BW658" s="920"/>
      <c r="BX658" s="920"/>
      <c r="BY658" s="920"/>
      <c r="BZ658" s="920"/>
      <c r="CA658" s="920"/>
      <c r="CB658" s="920"/>
      <c r="CC658" s="920"/>
      <c r="CD658" s="920"/>
      <c r="CE658" s="920"/>
      <c r="CF658" s="920"/>
      <c r="CG658" s="920"/>
      <c r="CH658" s="920"/>
      <c r="CI658" s="920"/>
      <c r="CJ658" s="920"/>
      <c r="CK658" s="920"/>
      <c r="CL658" s="920"/>
      <c r="CM658" s="920"/>
      <c r="CN658" s="920"/>
      <c r="CO658" s="920"/>
      <c r="CP658" s="920"/>
      <c r="CQ658" s="920"/>
      <c r="CR658" s="920"/>
      <c r="CS658" s="920"/>
      <c r="CT658" s="920"/>
      <c r="CU658" s="920"/>
      <c r="CV658" s="920"/>
      <c r="CW658" s="920"/>
      <c r="CX658" s="920"/>
      <c r="CY658" s="920"/>
      <c r="CZ658" s="920"/>
      <c r="DA658" s="920"/>
      <c r="DB658" s="920"/>
      <c r="DC658" s="920"/>
      <c r="DD658" s="920"/>
      <c r="DE658" s="920"/>
      <c r="DF658" s="920"/>
      <c r="DG658" s="920"/>
      <c r="DH658" s="920"/>
    </row>
    <row r="659" spans="1:112" ht="15" x14ac:dyDescent="0.25">
      <c r="A659" s="605">
        <v>629</v>
      </c>
      <c r="B659" s="922" t="s">
        <v>3220</v>
      </c>
      <c r="C659" s="534"/>
      <c r="D659" s="534"/>
      <c r="E659" s="534"/>
      <c r="F659" s="534"/>
      <c r="G659" s="534"/>
      <c r="H659" s="1090"/>
      <c r="I659" s="921"/>
      <c r="J659" s="921"/>
      <c r="K659" s="921"/>
      <c r="L659" s="921"/>
      <c r="M659" s="921"/>
      <c r="N659" s="921"/>
      <c r="O659" s="921"/>
      <c r="P659" s="921"/>
      <c r="Q659" s="921"/>
      <c r="R659" s="921"/>
      <c r="S659" s="921"/>
      <c r="T659" s="921"/>
      <c r="U659" s="921"/>
      <c r="V659" s="921"/>
      <c r="W659" s="921"/>
      <c r="X659" s="921"/>
      <c r="Y659" s="921"/>
      <c r="Z659" s="921"/>
      <c r="AA659" s="921"/>
      <c r="AB659" s="921"/>
      <c r="AC659" s="921"/>
      <c r="AD659" s="921"/>
      <c r="AE659" s="921"/>
      <c r="AF659" s="921"/>
      <c r="AG659" s="921"/>
      <c r="AH659" s="921"/>
      <c r="AI659" s="921"/>
      <c r="AJ659" s="921"/>
      <c r="AK659" s="921"/>
      <c r="AL659" s="921"/>
      <c r="AM659" s="921"/>
      <c r="AN659" s="921"/>
      <c r="AO659" s="921"/>
      <c r="AP659" s="921"/>
      <c r="AQ659" s="921"/>
      <c r="AR659" s="921"/>
      <c r="AS659" s="921"/>
      <c r="AT659" s="921"/>
      <c r="AU659" s="921"/>
      <c r="AV659" s="921"/>
      <c r="AW659" s="921"/>
      <c r="AX659" s="921"/>
      <c r="AY659" s="921"/>
      <c r="AZ659" s="921"/>
      <c r="BA659" s="921"/>
      <c r="BB659" s="921"/>
      <c r="BC659" s="921"/>
      <c r="BD659" s="921"/>
      <c r="BE659" s="921"/>
      <c r="BF659" s="920"/>
      <c r="BG659" s="920"/>
      <c r="BH659" s="920"/>
      <c r="BI659" s="920"/>
      <c r="BJ659" s="920"/>
      <c r="BK659" s="920"/>
      <c r="BL659" s="920"/>
      <c r="BM659" s="920"/>
      <c r="BN659" s="920"/>
      <c r="BO659" s="920"/>
      <c r="BP659" s="920"/>
      <c r="BQ659" s="920"/>
      <c r="BR659" s="920"/>
      <c r="BS659" s="920"/>
      <c r="BT659" s="920"/>
      <c r="BU659" s="920"/>
      <c r="BV659" s="920"/>
      <c r="BW659" s="920"/>
      <c r="BX659" s="920"/>
      <c r="BY659" s="920"/>
      <c r="BZ659" s="920"/>
      <c r="CA659" s="920"/>
      <c r="CB659" s="920"/>
      <c r="CC659" s="920"/>
      <c r="CD659" s="920"/>
      <c r="CE659" s="920"/>
      <c r="CF659" s="920"/>
      <c r="CG659" s="920"/>
      <c r="CH659" s="920"/>
      <c r="CI659" s="920"/>
      <c r="CJ659" s="920"/>
      <c r="CK659" s="920"/>
      <c r="CL659" s="920"/>
      <c r="CM659" s="920"/>
      <c r="CN659" s="920"/>
      <c r="CO659" s="920"/>
      <c r="CP659" s="920"/>
      <c r="CQ659" s="920"/>
      <c r="CR659" s="920"/>
      <c r="CS659" s="920"/>
      <c r="CT659" s="920"/>
      <c r="CU659" s="920"/>
      <c r="CV659" s="920"/>
      <c r="CW659" s="920"/>
      <c r="CX659" s="920"/>
      <c r="CY659" s="920"/>
      <c r="CZ659" s="920"/>
      <c r="DA659" s="920"/>
      <c r="DB659" s="920"/>
      <c r="DC659" s="920"/>
      <c r="DD659" s="920"/>
      <c r="DE659" s="920"/>
      <c r="DF659" s="920"/>
      <c r="DG659" s="920"/>
      <c r="DH659" s="920"/>
    </row>
    <row r="660" spans="1:112" ht="15" x14ac:dyDescent="0.25">
      <c r="A660" s="605">
        <v>630</v>
      </c>
      <c r="B660" s="730" t="s">
        <v>3219</v>
      </c>
      <c r="C660" s="278"/>
      <c r="D660" s="278"/>
      <c r="E660" s="278"/>
      <c r="F660" s="278"/>
      <c r="G660" s="278"/>
      <c r="H660" s="1090"/>
      <c r="I660" s="921"/>
      <c r="J660" s="921"/>
      <c r="K660" s="921"/>
      <c r="L660" s="921"/>
      <c r="M660" s="921"/>
      <c r="N660" s="921"/>
      <c r="O660" s="921"/>
      <c r="P660" s="921"/>
      <c r="Q660" s="921"/>
      <c r="R660" s="921"/>
      <c r="S660" s="921"/>
      <c r="T660" s="921"/>
      <c r="U660" s="921"/>
      <c r="V660" s="921"/>
      <c r="W660" s="921"/>
      <c r="X660" s="921"/>
      <c r="Y660" s="921"/>
      <c r="Z660" s="921"/>
      <c r="AA660" s="921"/>
      <c r="AB660" s="921"/>
      <c r="AC660" s="921"/>
      <c r="AD660" s="921"/>
      <c r="AE660" s="921"/>
      <c r="AF660" s="921"/>
      <c r="AG660" s="921"/>
      <c r="AH660" s="921"/>
      <c r="AI660" s="921"/>
      <c r="AJ660" s="921"/>
      <c r="AK660" s="921"/>
      <c r="AL660" s="921"/>
      <c r="AM660" s="921"/>
      <c r="AN660" s="921"/>
      <c r="AO660" s="921"/>
      <c r="AP660" s="921"/>
      <c r="AQ660" s="921"/>
      <c r="AR660" s="921"/>
      <c r="AS660" s="921"/>
      <c r="AT660" s="921"/>
      <c r="AU660" s="921"/>
      <c r="AV660" s="921"/>
      <c r="AW660" s="921"/>
      <c r="AX660" s="921"/>
      <c r="AY660" s="921"/>
      <c r="AZ660" s="921"/>
      <c r="BA660" s="921"/>
      <c r="BB660" s="921"/>
      <c r="BC660" s="921"/>
      <c r="BD660" s="921"/>
      <c r="BE660" s="921"/>
      <c r="BF660" s="920"/>
      <c r="BG660" s="920"/>
      <c r="BH660" s="920"/>
      <c r="BI660" s="920"/>
      <c r="BJ660" s="920"/>
      <c r="BK660" s="920"/>
      <c r="BL660" s="920"/>
      <c r="BM660" s="920"/>
      <c r="BN660" s="920"/>
      <c r="BO660" s="920"/>
      <c r="BP660" s="920"/>
      <c r="BQ660" s="920"/>
      <c r="BR660" s="920"/>
      <c r="BS660" s="920"/>
      <c r="BT660" s="920"/>
      <c r="BU660" s="920"/>
      <c r="BV660" s="920"/>
      <c r="BW660" s="920"/>
      <c r="BX660" s="920"/>
      <c r="BY660" s="920"/>
      <c r="BZ660" s="920"/>
      <c r="CA660" s="920"/>
      <c r="CB660" s="920"/>
      <c r="CC660" s="920"/>
      <c r="CD660" s="920"/>
      <c r="CE660" s="920"/>
      <c r="CF660" s="920"/>
      <c r="CG660" s="920"/>
      <c r="CH660" s="920"/>
      <c r="CI660" s="920"/>
      <c r="CJ660" s="920"/>
      <c r="CK660" s="920"/>
      <c r="CL660" s="920"/>
      <c r="CM660" s="920"/>
      <c r="CN660" s="920"/>
      <c r="CO660" s="920"/>
      <c r="CP660" s="920"/>
      <c r="CQ660" s="920"/>
      <c r="CR660" s="920"/>
      <c r="CS660" s="920"/>
      <c r="CT660" s="920"/>
      <c r="CU660" s="920"/>
      <c r="CV660" s="920"/>
      <c r="CW660" s="920"/>
      <c r="CX660" s="920"/>
      <c r="CY660" s="920"/>
      <c r="CZ660" s="920"/>
      <c r="DA660" s="920"/>
      <c r="DB660" s="920"/>
      <c r="DC660" s="920"/>
      <c r="DD660" s="920"/>
      <c r="DE660" s="920"/>
      <c r="DF660" s="920"/>
      <c r="DG660" s="920"/>
      <c r="DH660" s="920"/>
    </row>
    <row r="661" spans="1:112" ht="15" x14ac:dyDescent="0.25">
      <c r="A661" s="605">
        <v>631</v>
      </c>
      <c r="B661" s="922" t="s">
        <v>3218</v>
      </c>
      <c r="C661" s="534"/>
      <c r="D661" s="534"/>
      <c r="E661" s="534"/>
      <c r="F661" s="534"/>
      <c r="G661" s="534"/>
      <c r="H661" s="1090"/>
      <c r="I661" s="921"/>
      <c r="J661" s="921"/>
      <c r="K661" s="921"/>
      <c r="L661" s="921"/>
      <c r="M661" s="921"/>
      <c r="N661" s="921"/>
      <c r="O661" s="921"/>
      <c r="P661" s="921"/>
      <c r="Q661" s="921"/>
      <c r="R661" s="921"/>
      <c r="S661" s="921"/>
      <c r="T661" s="921"/>
      <c r="U661" s="921"/>
      <c r="V661" s="921"/>
      <c r="W661" s="921"/>
      <c r="X661" s="921"/>
      <c r="Y661" s="921"/>
      <c r="Z661" s="921"/>
      <c r="AA661" s="921"/>
      <c r="AB661" s="921"/>
      <c r="AC661" s="921"/>
      <c r="AD661" s="921"/>
      <c r="AE661" s="921"/>
      <c r="AF661" s="921"/>
      <c r="AG661" s="921"/>
      <c r="AH661" s="921"/>
      <c r="AI661" s="921"/>
      <c r="AJ661" s="921"/>
      <c r="AK661" s="921"/>
      <c r="AL661" s="921"/>
      <c r="AM661" s="921"/>
      <c r="AN661" s="921"/>
      <c r="AO661" s="921"/>
      <c r="AP661" s="921"/>
      <c r="AQ661" s="921"/>
      <c r="AR661" s="921"/>
      <c r="AS661" s="921"/>
      <c r="AT661" s="921"/>
      <c r="AU661" s="921"/>
      <c r="AV661" s="921"/>
      <c r="AW661" s="921"/>
      <c r="AX661" s="921"/>
      <c r="AY661" s="921"/>
      <c r="AZ661" s="921"/>
      <c r="BA661" s="921"/>
      <c r="BB661" s="921"/>
      <c r="BC661" s="921"/>
      <c r="BD661" s="921"/>
      <c r="BE661" s="921"/>
      <c r="BF661" s="920"/>
      <c r="BG661" s="920"/>
      <c r="BH661" s="920"/>
      <c r="BI661" s="920"/>
      <c r="BJ661" s="920"/>
      <c r="BK661" s="920"/>
      <c r="BL661" s="920"/>
      <c r="BM661" s="920"/>
      <c r="BN661" s="920"/>
      <c r="BO661" s="920"/>
      <c r="BP661" s="920"/>
      <c r="BQ661" s="920"/>
      <c r="BR661" s="920"/>
      <c r="BS661" s="920"/>
      <c r="BT661" s="920"/>
      <c r="BU661" s="920"/>
      <c r="BV661" s="920"/>
      <c r="BW661" s="920"/>
      <c r="BX661" s="920"/>
      <c r="BY661" s="920"/>
      <c r="BZ661" s="920"/>
      <c r="CA661" s="920"/>
      <c r="CB661" s="920"/>
      <c r="CC661" s="920"/>
      <c r="CD661" s="920"/>
      <c r="CE661" s="920"/>
      <c r="CF661" s="920"/>
      <c r="CG661" s="920"/>
      <c r="CH661" s="920"/>
      <c r="CI661" s="920"/>
      <c r="CJ661" s="920"/>
      <c r="CK661" s="920"/>
      <c r="CL661" s="920"/>
      <c r="CM661" s="920"/>
      <c r="CN661" s="920"/>
      <c r="CO661" s="920"/>
      <c r="CP661" s="920"/>
      <c r="CQ661" s="920"/>
      <c r="CR661" s="920"/>
      <c r="CS661" s="920"/>
      <c r="CT661" s="920"/>
      <c r="CU661" s="920"/>
      <c r="CV661" s="920"/>
      <c r="CW661" s="920"/>
      <c r="CX661" s="920"/>
      <c r="CY661" s="920"/>
      <c r="CZ661" s="920"/>
      <c r="DA661" s="920"/>
      <c r="DB661" s="920"/>
      <c r="DC661" s="920"/>
      <c r="DD661" s="920"/>
      <c r="DE661" s="920"/>
      <c r="DF661" s="920"/>
      <c r="DG661" s="920"/>
      <c r="DH661" s="920"/>
    </row>
    <row r="662" spans="1:112" ht="15" x14ac:dyDescent="0.25">
      <c r="A662" s="605">
        <v>632</v>
      </c>
      <c r="B662" s="922" t="s">
        <v>3217</v>
      </c>
      <c r="C662" s="534"/>
      <c r="D662" s="534"/>
      <c r="E662" s="534"/>
      <c r="F662" s="534"/>
      <c r="G662" s="534"/>
      <c r="H662" s="1090"/>
      <c r="I662" s="921"/>
      <c r="J662" s="921"/>
      <c r="K662" s="921"/>
      <c r="L662" s="921"/>
      <c r="M662" s="921"/>
      <c r="N662" s="921"/>
      <c r="O662" s="921"/>
      <c r="P662" s="921"/>
      <c r="Q662" s="921"/>
      <c r="R662" s="921"/>
      <c r="S662" s="921"/>
      <c r="T662" s="921"/>
      <c r="U662" s="921"/>
      <c r="V662" s="921"/>
      <c r="W662" s="921"/>
      <c r="X662" s="921"/>
      <c r="Y662" s="921"/>
      <c r="Z662" s="921"/>
      <c r="AA662" s="921"/>
      <c r="AB662" s="921"/>
      <c r="AC662" s="921"/>
      <c r="AD662" s="921"/>
      <c r="AE662" s="921"/>
      <c r="AF662" s="921"/>
      <c r="AG662" s="921"/>
      <c r="AH662" s="921"/>
      <c r="AI662" s="921"/>
      <c r="AJ662" s="921"/>
      <c r="AK662" s="921"/>
      <c r="AL662" s="921"/>
      <c r="AM662" s="921"/>
      <c r="AN662" s="921"/>
      <c r="AO662" s="921"/>
      <c r="AP662" s="921"/>
      <c r="AQ662" s="921"/>
      <c r="AR662" s="921"/>
      <c r="AS662" s="921"/>
      <c r="AT662" s="921"/>
      <c r="AU662" s="921"/>
      <c r="AV662" s="921"/>
      <c r="AW662" s="921"/>
      <c r="AX662" s="921"/>
      <c r="AY662" s="921"/>
      <c r="AZ662" s="921"/>
      <c r="BA662" s="921"/>
      <c r="BB662" s="921"/>
      <c r="BC662" s="921"/>
      <c r="BD662" s="921"/>
      <c r="BE662" s="921"/>
      <c r="BF662" s="920"/>
      <c r="BG662" s="920"/>
      <c r="BH662" s="920"/>
      <c r="BI662" s="920"/>
      <c r="BJ662" s="920"/>
      <c r="BK662" s="920"/>
      <c r="BL662" s="920"/>
      <c r="BM662" s="920"/>
      <c r="BN662" s="920"/>
      <c r="BO662" s="920"/>
      <c r="BP662" s="920"/>
      <c r="BQ662" s="920"/>
      <c r="BR662" s="920"/>
      <c r="BS662" s="920"/>
      <c r="BT662" s="920"/>
      <c r="BU662" s="920"/>
      <c r="BV662" s="920"/>
      <c r="BW662" s="920"/>
      <c r="BX662" s="920"/>
      <c r="BY662" s="920"/>
      <c r="BZ662" s="920"/>
      <c r="CA662" s="920"/>
      <c r="CB662" s="920"/>
      <c r="CC662" s="920"/>
      <c r="CD662" s="920"/>
      <c r="CE662" s="920"/>
      <c r="CF662" s="920"/>
      <c r="CG662" s="920"/>
      <c r="CH662" s="920"/>
      <c r="CI662" s="920"/>
      <c r="CJ662" s="920"/>
      <c r="CK662" s="920"/>
      <c r="CL662" s="920"/>
      <c r="CM662" s="920"/>
      <c r="CN662" s="920"/>
      <c r="CO662" s="920"/>
      <c r="CP662" s="920"/>
      <c r="CQ662" s="920"/>
      <c r="CR662" s="920"/>
      <c r="CS662" s="920"/>
      <c r="CT662" s="920"/>
      <c r="CU662" s="920"/>
      <c r="CV662" s="920"/>
      <c r="CW662" s="920"/>
      <c r="CX662" s="920"/>
      <c r="CY662" s="920"/>
      <c r="CZ662" s="920"/>
      <c r="DA662" s="920"/>
      <c r="DB662" s="920"/>
      <c r="DC662" s="920"/>
      <c r="DD662" s="920"/>
      <c r="DE662" s="920"/>
      <c r="DF662" s="920"/>
      <c r="DG662" s="920"/>
      <c r="DH662" s="920"/>
    </row>
    <row r="663" spans="1:112" ht="30" x14ac:dyDescent="0.25">
      <c r="A663" s="605">
        <v>633</v>
      </c>
      <c r="B663" s="924" t="s">
        <v>3216</v>
      </c>
      <c r="C663" s="534"/>
      <c r="D663" s="534"/>
      <c r="E663" s="534"/>
      <c r="F663" s="534"/>
      <c r="G663" s="534"/>
      <c r="H663" s="1090"/>
      <c r="I663" s="921"/>
      <c r="J663" s="921"/>
      <c r="K663" s="921"/>
      <c r="L663" s="921"/>
      <c r="M663" s="921"/>
      <c r="N663" s="921"/>
      <c r="O663" s="921"/>
      <c r="P663" s="921"/>
      <c r="Q663" s="921"/>
      <c r="R663" s="921"/>
      <c r="S663" s="921"/>
      <c r="T663" s="921"/>
      <c r="U663" s="921"/>
      <c r="V663" s="921"/>
      <c r="W663" s="921"/>
      <c r="X663" s="921"/>
      <c r="Y663" s="921"/>
      <c r="Z663" s="921"/>
      <c r="AA663" s="921"/>
      <c r="AB663" s="921"/>
      <c r="AC663" s="921"/>
      <c r="AD663" s="921"/>
      <c r="AE663" s="921"/>
      <c r="AF663" s="921"/>
      <c r="AG663" s="921"/>
      <c r="AH663" s="921"/>
      <c r="AI663" s="921"/>
      <c r="AJ663" s="921"/>
      <c r="AK663" s="921"/>
      <c r="AL663" s="921"/>
      <c r="AM663" s="921"/>
      <c r="AN663" s="921"/>
      <c r="AO663" s="921"/>
      <c r="AP663" s="921"/>
      <c r="AQ663" s="921"/>
      <c r="AR663" s="921"/>
      <c r="AS663" s="921"/>
      <c r="AT663" s="921"/>
      <c r="AU663" s="921"/>
      <c r="AV663" s="921"/>
      <c r="AW663" s="921"/>
      <c r="AX663" s="921"/>
      <c r="AY663" s="921"/>
      <c r="AZ663" s="921"/>
      <c r="BA663" s="921"/>
      <c r="BB663" s="921"/>
      <c r="BC663" s="921"/>
      <c r="BD663" s="921"/>
      <c r="BE663" s="921"/>
      <c r="BF663" s="920"/>
      <c r="BG663" s="920"/>
      <c r="BH663" s="920"/>
      <c r="BI663" s="920"/>
      <c r="BJ663" s="920"/>
      <c r="BK663" s="920"/>
      <c r="BL663" s="920"/>
      <c r="BM663" s="920"/>
      <c r="BN663" s="920"/>
      <c r="BO663" s="920"/>
      <c r="BP663" s="920"/>
      <c r="BQ663" s="920"/>
      <c r="BR663" s="920"/>
      <c r="BS663" s="920"/>
      <c r="BT663" s="920"/>
      <c r="BU663" s="920"/>
      <c r="BV663" s="920"/>
      <c r="BW663" s="920"/>
      <c r="BX663" s="920"/>
      <c r="BY663" s="920"/>
      <c r="BZ663" s="920"/>
      <c r="CA663" s="920"/>
      <c r="CB663" s="920"/>
      <c r="CC663" s="920"/>
      <c r="CD663" s="920"/>
      <c r="CE663" s="920"/>
      <c r="CF663" s="920"/>
      <c r="CG663" s="920"/>
      <c r="CH663" s="920"/>
      <c r="CI663" s="920"/>
      <c r="CJ663" s="920"/>
      <c r="CK663" s="920"/>
      <c r="CL663" s="920"/>
      <c r="CM663" s="920"/>
      <c r="CN663" s="920"/>
      <c r="CO663" s="920"/>
      <c r="CP663" s="920"/>
      <c r="CQ663" s="920"/>
      <c r="CR663" s="920"/>
      <c r="CS663" s="920"/>
      <c r="CT663" s="920"/>
      <c r="CU663" s="920"/>
      <c r="CV663" s="920"/>
      <c r="CW663" s="920"/>
      <c r="CX663" s="920"/>
      <c r="CY663" s="920"/>
      <c r="CZ663" s="920"/>
      <c r="DA663" s="920"/>
      <c r="DB663" s="920"/>
      <c r="DC663" s="920"/>
      <c r="DD663" s="920"/>
      <c r="DE663" s="920"/>
      <c r="DF663" s="920"/>
      <c r="DG663" s="920"/>
      <c r="DH663" s="920"/>
    </row>
    <row r="664" spans="1:112" ht="15" x14ac:dyDescent="0.25">
      <c r="A664" s="605">
        <v>634</v>
      </c>
      <c r="B664" s="730" t="s">
        <v>3215</v>
      </c>
      <c r="C664" s="278"/>
      <c r="D664" s="278"/>
      <c r="E664" s="278"/>
      <c r="F664" s="278"/>
      <c r="G664" s="278"/>
      <c r="H664" s="1090"/>
      <c r="I664" s="921"/>
      <c r="J664" s="921"/>
      <c r="K664" s="921"/>
      <c r="L664" s="921"/>
      <c r="M664" s="921"/>
      <c r="N664" s="921"/>
      <c r="O664" s="921"/>
      <c r="P664" s="921"/>
      <c r="Q664" s="921"/>
      <c r="R664" s="921"/>
      <c r="S664" s="921"/>
      <c r="T664" s="921"/>
      <c r="U664" s="921"/>
      <c r="V664" s="921"/>
      <c r="W664" s="921"/>
      <c r="X664" s="921"/>
      <c r="Y664" s="921"/>
      <c r="Z664" s="921"/>
      <c r="AA664" s="921"/>
      <c r="AB664" s="921"/>
      <c r="AC664" s="921"/>
      <c r="AD664" s="921"/>
      <c r="AE664" s="921"/>
      <c r="AF664" s="921"/>
      <c r="AG664" s="921"/>
      <c r="AH664" s="921"/>
      <c r="AI664" s="921"/>
      <c r="AJ664" s="921"/>
      <c r="AK664" s="921"/>
      <c r="AL664" s="921"/>
      <c r="AM664" s="921"/>
      <c r="AN664" s="921"/>
      <c r="AO664" s="921"/>
      <c r="AP664" s="921"/>
      <c r="AQ664" s="921"/>
      <c r="AR664" s="921"/>
      <c r="AS664" s="921"/>
      <c r="AT664" s="921"/>
      <c r="AU664" s="921"/>
      <c r="AV664" s="921"/>
      <c r="AW664" s="921"/>
      <c r="AX664" s="921"/>
      <c r="AY664" s="921"/>
      <c r="AZ664" s="921"/>
      <c r="BA664" s="921"/>
      <c r="BB664" s="921"/>
      <c r="BC664" s="921"/>
      <c r="BD664" s="921"/>
      <c r="BE664" s="921"/>
      <c r="BF664" s="920"/>
      <c r="BG664" s="920"/>
      <c r="BH664" s="920"/>
      <c r="BI664" s="920"/>
      <c r="BJ664" s="920"/>
      <c r="BK664" s="920"/>
      <c r="BL664" s="920"/>
      <c r="BM664" s="920"/>
      <c r="BN664" s="920"/>
      <c r="BO664" s="920"/>
      <c r="BP664" s="920"/>
      <c r="BQ664" s="920"/>
      <c r="BR664" s="920"/>
      <c r="BS664" s="920"/>
      <c r="BT664" s="920"/>
      <c r="BU664" s="920"/>
      <c r="BV664" s="920"/>
      <c r="BW664" s="920"/>
      <c r="BX664" s="920"/>
      <c r="BY664" s="920"/>
      <c r="BZ664" s="920"/>
      <c r="CA664" s="920"/>
      <c r="CB664" s="920"/>
      <c r="CC664" s="920"/>
      <c r="CD664" s="920"/>
      <c r="CE664" s="920"/>
      <c r="CF664" s="920"/>
      <c r="CG664" s="920"/>
      <c r="CH664" s="920"/>
      <c r="CI664" s="920"/>
      <c r="CJ664" s="920"/>
      <c r="CK664" s="920"/>
      <c r="CL664" s="920"/>
      <c r="CM664" s="920"/>
      <c r="CN664" s="920"/>
      <c r="CO664" s="920"/>
      <c r="CP664" s="920"/>
      <c r="CQ664" s="920"/>
      <c r="CR664" s="920"/>
      <c r="CS664" s="920"/>
      <c r="CT664" s="920"/>
      <c r="CU664" s="920"/>
      <c r="CV664" s="920"/>
      <c r="CW664" s="920"/>
      <c r="CX664" s="920"/>
      <c r="CY664" s="920"/>
      <c r="CZ664" s="920"/>
      <c r="DA664" s="920"/>
      <c r="DB664" s="920"/>
      <c r="DC664" s="920"/>
      <c r="DD664" s="920"/>
      <c r="DE664" s="920"/>
      <c r="DF664" s="920"/>
      <c r="DG664" s="920"/>
      <c r="DH664" s="920"/>
    </row>
    <row r="665" spans="1:112" ht="15" x14ac:dyDescent="0.25">
      <c r="A665" s="605">
        <v>635</v>
      </c>
      <c r="B665" s="734" t="s">
        <v>3214</v>
      </c>
      <c r="C665" s="534"/>
      <c r="D665" s="534"/>
      <c r="E665" s="534"/>
      <c r="F665" s="534"/>
      <c r="G665" s="534"/>
      <c r="H665" s="1090"/>
      <c r="I665" s="921"/>
      <c r="J665" s="921"/>
      <c r="K665" s="921"/>
      <c r="L665" s="921"/>
      <c r="M665" s="921"/>
      <c r="N665" s="921"/>
      <c r="O665" s="921"/>
      <c r="P665" s="921"/>
      <c r="Q665" s="921"/>
      <c r="R665" s="921"/>
      <c r="S665" s="921"/>
      <c r="T665" s="921"/>
      <c r="U665" s="921"/>
      <c r="V665" s="921"/>
      <c r="W665" s="921"/>
      <c r="X665" s="921"/>
      <c r="Y665" s="921"/>
      <c r="Z665" s="921"/>
      <c r="AA665" s="921"/>
      <c r="AB665" s="921"/>
      <c r="AC665" s="921"/>
      <c r="AD665" s="921"/>
      <c r="AE665" s="921"/>
      <c r="AF665" s="921"/>
      <c r="AG665" s="921"/>
      <c r="AH665" s="921"/>
      <c r="AI665" s="921"/>
      <c r="AJ665" s="921"/>
      <c r="AK665" s="921"/>
      <c r="AL665" s="921"/>
      <c r="AM665" s="921"/>
      <c r="AN665" s="921"/>
      <c r="AO665" s="921"/>
      <c r="AP665" s="921"/>
      <c r="AQ665" s="921"/>
      <c r="AR665" s="921"/>
      <c r="AS665" s="921"/>
      <c r="AT665" s="921"/>
      <c r="AU665" s="921"/>
      <c r="AV665" s="921"/>
      <c r="AW665" s="921"/>
      <c r="AX665" s="921"/>
      <c r="AY665" s="921"/>
      <c r="AZ665" s="921"/>
      <c r="BA665" s="921"/>
      <c r="BB665" s="921"/>
      <c r="BC665" s="921"/>
      <c r="BD665" s="921"/>
      <c r="BE665" s="921"/>
      <c r="BF665" s="920"/>
      <c r="BG665" s="920"/>
      <c r="BH665" s="920"/>
      <c r="BI665" s="920"/>
      <c r="BJ665" s="920"/>
      <c r="BK665" s="920"/>
      <c r="BL665" s="920"/>
      <c r="BM665" s="920"/>
      <c r="BN665" s="920"/>
      <c r="BO665" s="920"/>
      <c r="BP665" s="920"/>
      <c r="BQ665" s="920"/>
      <c r="BR665" s="920"/>
      <c r="BS665" s="920"/>
      <c r="BT665" s="920"/>
      <c r="BU665" s="920"/>
      <c r="BV665" s="920"/>
      <c r="BW665" s="920"/>
      <c r="BX665" s="920"/>
      <c r="BY665" s="920"/>
      <c r="BZ665" s="920"/>
      <c r="CA665" s="920"/>
      <c r="CB665" s="920"/>
      <c r="CC665" s="920"/>
      <c r="CD665" s="920"/>
      <c r="CE665" s="920"/>
      <c r="CF665" s="920"/>
      <c r="CG665" s="920"/>
      <c r="CH665" s="920"/>
      <c r="CI665" s="920"/>
      <c r="CJ665" s="920"/>
      <c r="CK665" s="920"/>
      <c r="CL665" s="920"/>
      <c r="CM665" s="920"/>
      <c r="CN665" s="920"/>
      <c r="CO665" s="920"/>
      <c r="CP665" s="920"/>
      <c r="CQ665" s="920"/>
      <c r="CR665" s="920"/>
      <c r="CS665" s="920"/>
      <c r="CT665" s="920"/>
      <c r="CU665" s="920"/>
      <c r="CV665" s="920"/>
      <c r="CW665" s="920"/>
      <c r="CX665" s="920"/>
      <c r="CY665" s="920"/>
      <c r="CZ665" s="920"/>
      <c r="DA665" s="920"/>
      <c r="DB665" s="920"/>
      <c r="DC665" s="920"/>
      <c r="DD665" s="920"/>
      <c r="DE665" s="920"/>
      <c r="DF665" s="920"/>
      <c r="DG665" s="920"/>
      <c r="DH665" s="920"/>
    </row>
    <row r="666" spans="1:112" ht="15" x14ac:dyDescent="0.25">
      <c r="A666" s="605">
        <v>636</v>
      </c>
      <c r="B666" s="734" t="s">
        <v>539</v>
      </c>
      <c r="C666" s="534"/>
      <c r="D666" s="534"/>
      <c r="E666" s="534"/>
      <c r="F666" s="534"/>
      <c r="G666" s="534"/>
      <c r="H666" s="1090"/>
      <c r="I666" s="921"/>
      <c r="J666" s="921"/>
      <c r="K666" s="921"/>
      <c r="L666" s="921"/>
      <c r="M666" s="921"/>
      <c r="N666" s="921"/>
      <c r="O666" s="921"/>
      <c r="P666" s="921"/>
      <c r="Q666" s="921"/>
      <c r="R666" s="921"/>
      <c r="S666" s="921"/>
      <c r="T666" s="921"/>
      <c r="U666" s="921"/>
      <c r="V666" s="921"/>
      <c r="W666" s="921"/>
      <c r="X666" s="921"/>
      <c r="Y666" s="921"/>
      <c r="Z666" s="921"/>
      <c r="AA666" s="921"/>
      <c r="AB666" s="921"/>
      <c r="AC666" s="921"/>
      <c r="AD666" s="921"/>
      <c r="AE666" s="921"/>
      <c r="AF666" s="921"/>
      <c r="AG666" s="921"/>
      <c r="AH666" s="921"/>
      <c r="AI666" s="921"/>
      <c r="AJ666" s="921"/>
      <c r="AK666" s="921"/>
      <c r="AL666" s="921"/>
      <c r="AM666" s="921"/>
      <c r="AN666" s="921"/>
      <c r="AO666" s="921"/>
      <c r="AP666" s="921"/>
      <c r="AQ666" s="921"/>
      <c r="AR666" s="921"/>
      <c r="AS666" s="921"/>
      <c r="AT666" s="921"/>
      <c r="AU666" s="921"/>
      <c r="AV666" s="921"/>
      <c r="AW666" s="921"/>
      <c r="AX666" s="921"/>
      <c r="AY666" s="921"/>
      <c r="AZ666" s="921"/>
      <c r="BA666" s="921"/>
      <c r="BB666" s="921"/>
      <c r="BC666" s="921"/>
      <c r="BD666" s="921"/>
      <c r="BE666" s="921"/>
      <c r="BF666" s="920"/>
      <c r="BG666" s="920"/>
      <c r="BH666" s="920"/>
      <c r="BI666" s="920"/>
      <c r="BJ666" s="920"/>
      <c r="BK666" s="920"/>
      <c r="BL666" s="920"/>
      <c r="BM666" s="920"/>
      <c r="BN666" s="920"/>
      <c r="BO666" s="920"/>
      <c r="BP666" s="920"/>
      <c r="BQ666" s="920"/>
      <c r="BR666" s="920"/>
      <c r="BS666" s="920"/>
      <c r="BT666" s="920"/>
      <c r="BU666" s="920"/>
      <c r="BV666" s="920"/>
      <c r="BW666" s="920"/>
      <c r="BX666" s="920"/>
      <c r="BY666" s="920"/>
      <c r="BZ666" s="920"/>
      <c r="CA666" s="920"/>
      <c r="CB666" s="920"/>
      <c r="CC666" s="920"/>
      <c r="CD666" s="920"/>
      <c r="CE666" s="920"/>
      <c r="CF666" s="920"/>
      <c r="CG666" s="920"/>
      <c r="CH666" s="920"/>
      <c r="CI666" s="920"/>
      <c r="CJ666" s="920"/>
      <c r="CK666" s="920"/>
      <c r="CL666" s="920"/>
      <c r="CM666" s="920"/>
      <c r="CN666" s="920"/>
      <c r="CO666" s="920"/>
      <c r="CP666" s="920"/>
      <c r="CQ666" s="920"/>
      <c r="CR666" s="920"/>
      <c r="CS666" s="920"/>
      <c r="CT666" s="920"/>
      <c r="CU666" s="920"/>
      <c r="CV666" s="920"/>
      <c r="CW666" s="920"/>
      <c r="CX666" s="920"/>
      <c r="CY666" s="920"/>
      <c r="CZ666" s="920"/>
      <c r="DA666" s="920"/>
      <c r="DB666" s="920"/>
      <c r="DC666" s="920"/>
      <c r="DD666" s="920"/>
      <c r="DE666" s="920"/>
      <c r="DF666" s="920"/>
      <c r="DG666" s="920"/>
      <c r="DH666" s="920"/>
    </row>
    <row r="667" spans="1:112" ht="30" x14ac:dyDescent="0.25">
      <c r="A667" s="605">
        <v>637</v>
      </c>
      <c r="B667" s="734" t="s">
        <v>3213</v>
      </c>
      <c r="C667" s="534"/>
      <c r="D667" s="534"/>
      <c r="E667" s="534"/>
      <c r="F667" s="534"/>
      <c r="G667" s="534"/>
      <c r="H667" s="1090"/>
      <c r="I667" s="923"/>
      <c r="J667" s="921"/>
      <c r="K667" s="921"/>
      <c r="L667" s="921"/>
      <c r="M667" s="921"/>
      <c r="N667" s="921"/>
      <c r="O667" s="921"/>
      <c r="P667" s="921"/>
      <c r="Q667" s="921"/>
      <c r="R667" s="921"/>
      <c r="S667" s="921"/>
      <c r="T667" s="921"/>
      <c r="U667" s="921"/>
      <c r="V667" s="921"/>
      <c r="W667" s="921"/>
      <c r="X667" s="921"/>
      <c r="Y667" s="921"/>
      <c r="Z667" s="921"/>
      <c r="AA667" s="921"/>
      <c r="AB667" s="921"/>
      <c r="AC667" s="921"/>
      <c r="AD667" s="921"/>
      <c r="AE667" s="921"/>
      <c r="AF667" s="921"/>
      <c r="AG667" s="921"/>
      <c r="AH667" s="921"/>
      <c r="AI667" s="921"/>
      <c r="AJ667" s="921"/>
      <c r="AK667" s="921"/>
      <c r="AL667" s="921"/>
      <c r="AM667" s="921"/>
      <c r="AN667" s="921"/>
      <c r="AO667" s="921"/>
      <c r="AP667" s="921"/>
      <c r="AQ667" s="921"/>
      <c r="AR667" s="921"/>
      <c r="AS667" s="921"/>
      <c r="AT667" s="921"/>
      <c r="AU667" s="921"/>
      <c r="AV667" s="921"/>
      <c r="AW667" s="921"/>
      <c r="AX667" s="921"/>
      <c r="AY667" s="921"/>
      <c r="AZ667" s="921"/>
      <c r="BA667" s="921"/>
      <c r="BB667" s="921"/>
      <c r="BC667" s="921"/>
      <c r="BD667" s="921"/>
      <c r="BE667" s="921"/>
      <c r="BF667" s="920"/>
      <c r="BG667" s="920"/>
      <c r="BH667" s="920"/>
      <c r="BI667" s="920"/>
      <c r="BJ667" s="920"/>
      <c r="BK667" s="920"/>
      <c r="BL667" s="920"/>
      <c r="BM667" s="920"/>
      <c r="BN667" s="920"/>
      <c r="BO667" s="920"/>
      <c r="BP667" s="920"/>
      <c r="BQ667" s="920"/>
      <c r="BR667" s="920"/>
      <c r="BS667" s="920"/>
      <c r="BT667" s="920"/>
      <c r="BU667" s="920"/>
      <c r="BV667" s="920"/>
      <c r="BW667" s="920"/>
      <c r="BX667" s="920"/>
      <c r="BY667" s="920"/>
      <c r="BZ667" s="920"/>
      <c r="CA667" s="920"/>
      <c r="CB667" s="920"/>
      <c r="CC667" s="920"/>
      <c r="CD667" s="920"/>
      <c r="CE667" s="920"/>
      <c r="CF667" s="920"/>
      <c r="CG667" s="920"/>
      <c r="CH667" s="920"/>
      <c r="CI667" s="920"/>
      <c r="CJ667" s="920"/>
      <c r="CK667" s="920"/>
      <c r="CL667" s="920"/>
      <c r="CM667" s="920"/>
      <c r="CN667" s="920"/>
      <c r="CO667" s="920"/>
      <c r="CP667" s="920"/>
      <c r="CQ667" s="920"/>
      <c r="CR667" s="920"/>
      <c r="CS667" s="920"/>
      <c r="CT667" s="920"/>
      <c r="CU667" s="920"/>
      <c r="CV667" s="920"/>
      <c r="CW667" s="920"/>
      <c r="CX667" s="920"/>
      <c r="CY667" s="920"/>
      <c r="CZ667" s="920"/>
      <c r="DA667" s="920"/>
      <c r="DB667" s="920"/>
      <c r="DC667" s="920"/>
      <c r="DD667" s="920"/>
      <c r="DE667" s="920"/>
      <c r="DF667" s="920"/>
      <c r="DG667" s="920"/>
      <c r="DH667" s="920"/>
    </row>
    <row r="668" spans="1:112" ht="15" x14ac:dyDescent="0.25">
      <c r="A668" s="605">
        <v>638</v>
      </c>
      <c r="B668" s="730" t="s">
        <v>3212</v>
      </c>
      <c r="C668" s="278"/>
      <c r="D668" s="278"/>
      <c r="E668" s="278"/>
      <c r="F668" s="278"/>
      <c r="G668" s="278"/>
      <c r="H668" s="1090"/>
      <c r="I668" s="921"/>
      <c r="J668" s="921"/>
      <c r="K668" s="921"/>
      <c r="L668" s="921"/>
      <c r="M668" s="921"/>
      <c r="N668" s="921"/>
      <c r="O668" s="921"/>
      <c r="P668" s="921"/>
      <c r="Q668" s="921"/>
      <c r="R668" s="921"/>
      <c r="S668" s="921"/>
      <c r="T668" s="921"/>
      <c r="U668" s="921"/>
      <c r="V668" s="921"/>
      <c r="W668" s="921"/>
      <c r="X668" s="921"/>
      <c r="Y668" s="921"/>
      <c r="Z668" s="921"/>
      <c r="AA668" s="921"/>
      <c r="AB668" s="921"/>
      <c r="AC668" s="921"/>
      <c r="AD668" s="921"/>
      <c r="AE668" s="921"/>
      <c r="AF668" s="921"/>
      <c r="AG668" s="921"/>
      <c r="AH668" s="921"/>
      <c r="AI668" s="921"/>
      <c r="AJ668" s="921"/>
      <c r="AK668" s="921"/>
      <c r="AL668" s="921"/>
      <c r="AM668" s="921"/>
      <c r="AN668" s="921"/>
      <c r="AO668" s="921"/>
      <c r="AP668" s="921"/>
      <c r="AQ668" s="921"/>
      <c r="AR668" s="921"/>
      <c r="AS668" s="921"/>
      <c r="AT668" s="921"/>
      <c r="AU668" s="921"/>
      <c r="AV668" s="921"/>
      <c r="AW668" s="921"/>
      <c r="AX668" s="921"/>
      <c r="AY668" s="921"/>
      <c r="AZ668" s="921"/>
      <c r="BA668" s="921"/>
      <c r="BB668" s="921"/>
      <c r="BC668" s="921"/>
      <c r="BD668" s="921"/>
      <c r="BE668" s="921"/>
      <c r="BF668" s="920"/>
      <c r="BG668" s="920"/>
      <c r="BH668" s="920"/>
      <c r="BI668" s="920"/>
      <c r="BJ668" s="920"/>
      <c r="BK668" s="920"/>
      <c r="BL668" s="920"/>
      <c r="BM668" s="920"/>
      <c r="BN668" s="920"/>
      <c r="BO668" s="920"/>
      <c r="BP668" s="920"/>
      <c r="BQ668" s="920"/>
      <c r="BR668" s="920"/>
      <c r="BS668" s="920"/>
      <c r="BT668" s="920"/>
      <c r="BU668" s="920"/>
      <c r="BV668" s="920"/>
      <c r="BW668" s="920"/>
      <c r="BX668" s="920"/>
      <c r="BY668" s="920"/>
      <c r="BZ668" s="920"/>
      <c r="CA668" s="920"/>
      <c r="CB668" s="920"/>
      <c r="CC668" s="920"/>
      <c r="CD668" s="920"/>
      <c r="CE668" s="920"/>
      <c r="CF668" s="920"/>
      <c r="CG668" s="920"/>
      <c r="CH668" s="920"/>
      <c r="CI668" s="920"/>
      <c r="CJ668" s="920"/>
      <c r="CK668" s="920"/>
      <c r="CL668" s="920"/>
      <c r="CM668" s="920"/>
      <c r="CN668" s="920"/>
      <c r="CO668" s="920"/>
      <c r="CP668" s="920"/>
      <c r="CQ668" s="920"/>
      <c r="CR668" s="920"/>
      <c r="CS668" s="920"/>
      <c r="CT668" s="920"/>
      <c r="CU668" s="920"/>
      <c r="CV668" s="920"/>
      <c r="CW668" s="920"/>
      <c r="CX668" s="920"/>
      <c r="CY668" s="920"/>
      <c r="CZ668" s="920"/>
      <c r="DA668" s="920"/>
      <c r="DB668" s="920"/>
      <c r="DC668" s="920"/>
      <c r="DD668" s="920"/>
      <c r="DE668" s="920"/>
      <c r="DF668" s="920"/>
      <c r="DG668" s="920"/>
      <c r="DH668" s="920"/>
    </row>
    <row r="669" spans="1:112" ht="15" x14ac:dyDescent="0.25">
      <c r="A669" s="605">
        <v>639</v>
      </c>
      <c r="B669" s="734" t="s">
        <v>3211</v>
      </c>
      <c r="C669" s="534"/>
      <c r="D669" s="534"/>
      <c r="E669" s="534"/>
      <c r="F669" s="534"/>
      <c r="G669" s="534"/>
      <c r="H669" s="1090"/>
      <c r="I669" s="921"/>
      <c r="J669" s="921"/>
      <c r="K669" s="921"/>
      <c r="L669" s="921"/>
      <c r="M669" s="921"/>
      <c r="N669" s="921"/>
      <c r="O669" s="921"/>
      <c r="P669" s="921"/>
      <c r="Q669" s="921"/>
      <c r="R669" s="921"/>
      <c r="S669" s="921"/>
      <c r="T669" s="921"/>
      <c r="U669" s="921"/>
      <c r="V669" s="921"/>
      <c r="W669" s="921"/>
      <c r="X669" s="921"/>
      <c r="Y669" s="921"/>
      <c r="Z669" s="921"/>
      <c r="AA669" s="921"/>
      <c r="AB669" s="921"/>
      <c r="AC669" s="921"/>
      <c r="AD669" s="921"/>
      <c r="AE669" s="921"/>
      <c r="AF669" s="921"/>
      <c r="AG669" s="921"/>
      <c r="AH669" s="921"/>
      <c r="AI669" s="921"/>
      <c r="AJ669" s="921"/>
      <c r="AK669" s="921"/>
      <c r="AL669" s="921"/>
      <c r="AM669" s="921"/>
      <c r="AN669" s="921"/>
      <c r="AO669" s="921"/>
      <c r="AP669" s="921"/>
      <c r="AQ669" s="921"/>
      <c r="AR669" s="921"/>
      <c r="AS669" s="921"/>
      <c r="AT669" s="921"/>
      <c r="AU669" s="921"/>
      <c r="AV669" s="921"/>
      <c r="AW669" s="921"/>
      <c r="AX669" s="921"/>
      <c r="AY669" s="921"/>
      <c r="AZ669" s="921"/>
      <c r="BA669" s="921"/>
      <c r="BB669" s="921"/>
      <c r="BC669" s="921"/>
      <c r="BD669" s="921"/>
      <c r="BE669" s="921"/>
      <c r="BF669" s="920"/>
      <c r="BG669" s="920"/>
      <c r="BH669" s="920"/>
      <c r="BI669" s="920"/>
      <c r="BJ669" s="920"/>
      <c r="BK669" s="920"/>
      <c r="BL669" s="920"/>
      <c r="BM669" s="920"/>
      <c r="BN669" s="920"/>
      <c r="BO669" s="920"/>
      <c r="BP669" s="920"/>
      <c r="BQ669" s="920"/>
      <c r="BR669" s="920"/>
      <c r="BS669" s="920"/>
      <c r="BT669" s="920"/>
      <c r="BU669" s="920"/>
      <c r="BV669" s="920"/>
      <c r="BW669" s="920"/>
      <c r="BX669" s="920"/>
      <c r="BY669" s="920"/>
      <c r="BZ669" s="920"/>
      <c r="CA669" s="920"/>
      <c r="CB669" s="920"/>
      <c r="CC669" s="920"/>
      <c r="CD669" s="920"/>
      <c r="CE669" s="920"/>
      <c r="CF669" s="920"/>
      <c r="CG669" s="920"/>
      <c r="CH669" s="920"/>
      <c r="CI669" s="920"/>
      <c r="CJ669" s="920"/>
      <c r="CK669" s="920"/>
      <c r="CL669" s="920"/>
      <c r="CM669" s="920"/>
      <c r="CN669" s="920"/>
      <c r="CO669" s="920"/>
      <c r="CP669" s="920"/>
      <c r="CQ669" s="920"/>
      <c r="CR669" s="920"/>
      <c r="CS669" s="920"/>
      <c r="CT669" s="920"/>
      <c r="CU669" s="920"/>
      <c r="CV669" s="920"/>
      <c r="CW669" s="920"/>
      <c r="CX669" s="920"/>
      <c r="CY669" s="920"/>
      <c r="CZ669" s="920"/>
      <c r="DA669" s="920"/>
      <c r="DB669" s="920"/>
      <c r="DC669" s="920"/>
      <c r="DD669" s="920"/>
      <c r="DE669" s="920"/>
      <c r="DF669" s="920"/>
      <c r="DG669" s="920"/>
      <c r="DH669" s="920"/>
    </row>
    <row r="670" spans="1:112" s="347" customFormat="1" ht="15" x14ac:dyDescent="0.25">
      <c r="A670" s="605">
        <v>640</v>
      </c>
      <c r="B670" s="733" t="s">
        <v>3210</v>
      </c>
      <c r="C670" s="538"/>
      <c r="D670" s="538"/>
      <c r="E670" s="538"/>
      <c r="F670" s="538"/>
      <c r="G670" s="538"/>
      <c r="H670" s="1091"/>
      <c r="I670" s="921"/>
      <c r="J670" s="921"/>
      <c r="K670" s="921"/>
      <c r="L670" s="921"/>
      <c r="M670" s="921"/>
      <c r="N670" s="921"/>
      <c r="O670" s="921"/>
      <c r="P670" s="921"/>
      <c r="Q670" s="921"/>
      <c r="R670" s="921"/>
      <c r="S670" s="921"/>
      <c r="T670" s="921"/>
      <c r="U670" s="921"/>
      <c r="V670" s="921"/>
      <c r="W670" s="921"/>
      <c r="X670" s="921"/>
      <c r="Y670" s="921"/>
      <c r="Z670" s="921"/>
      <c r="AA670" s="921"/>
      <c r="AB670" s="921"/>
      <c r="AC670" s="921"/>
      <c r="AD670" s="921"/>
      <c r="AE670" s="921"/>
      <c r="AF670" s="921"/>
      <c r="AG670" s="921"/>
      <c r="AH670" s="921"/>
      <c r="AI670" s="921"/>
      <c r="AJ670" s="921"/>
      <c r="AK670" s="921"/>
      <c r="AL670" s="921"/>
      <c r="AM670" s="921"/>
      <c r="AN670" s="921"/>
      <c r="AO670" s="921"/>
      <c r="AP670" s="921"/>
      <c r="AQ670" s="921"/>
      <c r="AR670" s="921"/>
      <c r="AS670" s="921"/>
      <c r="AT670" s="921"/>
      <c r="AU670" s="921"/>
      <c r="AV670" s="921"/>
      <c r="AW670" s="921"/>
      <c r="AX670" s="921"/>
      <c r="AY670" s="921"/>
      <c r="AZ670" s="921"/>
      <c r="BA670" s="921"/>
      <c r="BB670" s="921"/>
      <c r="BC670" s="921"/>
      <c r="BD670" s="921"/>
      <c r="BE670" s="921"/>
      <c r="BF670" s="921"/>
      <c r="BG670" s="921"/>
      <c r="BH670" s="921"/>
      <c r="BI670" s="921"/>
      <c r="BJ670" s="921"/>
      <c r="BK670" s="921"/>
      <c r="BL670" s="921"/>
      <c r="BM670" s="921"/>
      <c r="BN670" s="921"/>
      <c r="BO670" s="921"/>
      <c r="BP670" s="921"/>
      <c r="BQ670" s="921"/>
      <c r="BR670" s="921"/>
      <c r="BS670" s="921"/>
      <c r="BT670" s="921"/>
      <c r="BU670" s="921"/>
      <c r="BV670" s="921"/>
      <c r="BW670" s="921"/>
      <c r="BX670" s="921"/>
      <c r="BY670" s="921"/>
      <c r="BZ670" s="921"/>
      <c r="CA670" s="921"/>
      <c r="CB670" s="921"/>
      <c r="CC670" s="921"/>
      <c r="CD670" s="921"/>
      <c r="CE670" s="921"/>
      <c r="CF670" s="921"/>
      <c r="CG670" s="921"/>
      <c r="CH670" s="921"/>
      <c r="CI670" s="921"/>
      <c r="CJ670" s="921"/>
      <c r="CK670" s="921"/>
      <c r="CL670" s="921"/>
      <c r="CM670" s="921"/>
      <c r="CN670" s="921"/>
      <c r="CO670" s="921"/>
      <c r="CP670" s="921"/>
      <c r="CQ670" s="921"/>
      <c r="CR670" s="921"/>
      <c r="CS670" s="921"/>
      <c r="CT670" s="921"/>
      <c r="CU670" s="921"/>
      <c r="CV670" s="921"/>
      <c r="CW670" s="921"/>
      <c r="CX670" s="921"/>
      <c r="CY670" s="921"/>
      <c r="CZ670" s="921"/>
      <c r="DA670" s="921"/>
      <c r="DB670" s="921"/>
      <c r="DC670" s="921"/>
      <c r="DD670" s="921"/>
      <c r="DE670" s="921"/>
      <c r="DF670" s="921"/>
      <c r="DG670" s="921"/>
      <c r="DH670" s="921"/>
    </row>
    <row r="671" spans="1:112" ht="15" x14ac:dyDescent="0.25">
      <c r="A671" s="605">
        <v>641</v>
      </c>
      <c r="B671" s="734" t="s">
        <v>514</v>
      </c>
      <c r="C671" s="534"/>
      <c r="D671" s="534"/>
      <c r="E671" s="534"/>
      <c r="F671" s="534"/>
      <c r="G671" s="534"/>
      <c r="H671" s="1090"/>
      <c r="I671" s="921"/>
      <c r="J671" s="921"/>
      <c r="K671" s="921"/>
      <c r="L671" s="921"/>
      <c r="M671" s="921"/>
      <c r="N671" s="921"/>
      <c r="O671" s="921"/>
      <c r="P671" s="921"/>
      <c r="Q671" s="921"/>
      <c r="R671" s="921"/>
      <c r="S671" s="921"/>
      <c r="T671" s="921"/>
      <c r="U671" s="921"/>
      <c r="V671" s="921"/>
      <c r="W671" s="921"/>
      <c r="X671" s="921"/>
      <c r="Y671" s="921"/>
      <c r="Z671" s="921"/>
      <c r="AA671" s="921"/>
      <c r="AB671" s="921"/>
      <c r="AC671" s="921"/>
      <c r="AD671" s="921"/>
      <c r="AE671" s="921"/>
      <c r="AF671" s="921"/>
      <c r="AG671" s="921"/>
      <c r="AH671" s="921"/>
      <c r="AI671" s="921"/>
      <c r="AJ671" s="921"/>
      <c r="AK671" s="921"/>
      <c r="AL671" s="921"/>
      <c r="AM671" s="921"/>
      <c r="AN671" s="921"/>
      <c r="AO671" s="921"/>
      <c r="AP671" s="921"/>
      <c r="AQ671" s="921"/>
      <c r="AR671" s="921"/>
      <c r="AS671" s="921"/>
      <c r="AT671" s="921"/>
      <c r="AU671" s="921"/>
      <c r="AV671" s="921"/>
      <c r="AW671" s="921"/>
      <c r="AX671" s="921"/>
      <c r="AY671" s="921"/>
      <c r="AZ671" s="921"/>
      <c r="BA671" s="921"/>
      <c r="BB671" s="921"/>
      <c r="BC671" s="921"/>
      <c r="BD671" s="921"/>
      <c r="BE671" s="921"/>
      <c r="BF671" s="920"/>
      <c r="BG671" s="920"/>
      <c r="BH671" s="920"/>
      <c r="BI671" s="920"/>
      <c r="BJ671" s="920"/>
      <c r="BK671" s="920"/>
      <c r="BL671" s="920"/>
      <c r="BM671" s="920"/>
      <c r="BN671" s="920"/>
      <c r="BO671" s="920"/>
      <c r="BP671" s="920"/>
      <c r="BQ671" s="920"/>
      <c r="BR671" s="920"/>
      <c r="BS671" s="920"/>
      <c r="BT671" s="920"/>
      <c r="BU671" s="920"/>
      <c r="BV671" s="920"/>
      <c r="BW671" s="920"/>
      <c r="BX671" s="920"/>
      <c r="BY671" s="920"/>
      <c r="BZ671" s="920"/>
      <c r="CA671" s="920"/>
      <c r="CB671" s="920"/>
      <c r="CC671" s="920"/>
      <c r="CD671" s="920"/>
      <c r="CE671" s="920"/>
      <c r="CF671" s="920"/>
      <c r="CG671" s="920"/>
      <c r="CH671" s="920"/>
      <c r="CI671" s="920"/>
      <c r="CJ671" s="920"/>
      <c r="CK671" s="920"/>
      <c r="CL671" s="920"/>
      <c r="CM671" s="920"/>
      <c r="CN671" s="920"/>
      <c r="CO671" s="920"/>
      <c r="CP671" s="920"/>
      <c r="CQ671" s="920"/>
      <c r="CR671" s="920"/>
      <c r="CS671" s="920"/>
      <c r="CT671" s="920"/>
      <c r="CU671" s="920"/>
      <c r="CV671" s="920"/>
      <c r="CW671" s="920"/>
      <c r="CX671" s="920"/>
      <c r="CY671" s="920"/>
      <c r="CZ671" s="920"/>
      <c r="DA671" s="920"/>
      <c r="DB671" s="920"/>
      <c r="DC671" s="920"/>
      <c r="DD671" s="920"/>
      <c r="DE671" s="920"/>
      <c r="DF671" s="920"/>
      <c r="DG671" s="920"/>
      <c r="DH671" s="920"/>
    </row>
    <row r="672" spans="1:112" ht="15" x14ac:dyDescent="0.25">
      <c r="A672" s="605">
        <v>642</v>
      </c>
      <c r="B672" s="734" t="s">
        <v>3209</v>
      </c>
      <c r="C672" s="534"/>
      <c r="D672" s="534"/>
      <c r="E672" s="534"/>
      <c r="F672" s="534"/>
      <c r="G672" s="534"/>
      <c r="H672" s="1090"/>
      <c r="I672" s="921"/>
      <c r="J672" s="921"/>
      <c r="K672" s="921"/>
      <c r="L672" s="921"/>
      <c r="M672" s="921"/>
      <c r="N672" s="921"/>
      <c r="O672" s="921"/>
      <c r="P672" s="921"/>
      <c r="Q672" s="921"/>
      <c r="R672" s="921"/>
      <c r="S672" s="921"/>
      <c r="T672" s="921"/>
      <c r="U672" s="921"/>
      <c r="V672" s="921"/>
      <c r="W672" s="921"/>
      <c r="X672" s="921"/>
      <c r="Y672" s="921"/>
      <c r="Z672" s="921"/>
      <c r="AA672" s="921"/>
      <c r="AB672" s="921"/>
      <c r="AC672" s="921"/>
      <c r="AD672" s="921"/>
      <c r="AE672" s="921"/>
      <c r="AF672" s="921"/>
      <c r="AG672" s="921"/>
      <c r="AH672" s="921"/>
      <c r="AI672" s="921"/>
      <c r="AJ672" s="921"/>
      <c r="AK672" s="921"/>
      <c r="AL672" s="921"/>
      <c r="AM672" s="921"/>
      <c r="AN672" s="921"/>
      <c r="AO672" s="921"/>
      <c r="AP672" s="921"/>
      <c r="AQ672" s="921"/>
      <c r="AR672" s="921"/>
      <c r="AS672" s="921"/>
      <c r="AT672" s="921"/>
      <c r="AU672" s="921"/>
      <c r="AV672" s="921"/>
      <c r="AW672" s="921"/>
      <c r="AX672" s="921"/>
      <c r="AY672" s="921"/>
      <c r="AZ672" s="921"/>
      <c r="BA672" s="921"/>
      <c r="BB672" s="921"/>
      <c r="BC672" s="921"/>
      <c r="BD672" s="921"/>
      <c r="BE672" s="921"/>
      <c r="BF672" s="920"/>
      <c r="BG672" s="920"/>
      <c r="BH672" s="920"/>
      <c r="BI672" s="920"/>
      <c r="BJ672" s="920"/>
      <c r="BK672" s="920"/>
      <c r="BL672" s="920"/>
      <c r="BM672" s="920"/>
      <c r="BN672" s="920"/>
      <c r="BO672" s="920"/>
      <c r="BP672" s="920"/>
      <c r="BQ672" s="920"/>
      <c r="BR672" s="920"/>
      <c r="BS672" s="920"/>
      <c r="BT672" s="920"/>
      <c r="BU672" s="920"/>
      <c r="BV672" s="920"/>
      <c r="BW672" s="920"/>
      <c r="BX672" s="920"/>
      <c r="BY672" s="920"/>
      <c r="BZ672" s="920"/>
      <c r="CA672" s="920"/>
      <c r="CB672" s="920"/>
      <c r="CC672" s="920"/>
      <c r="CD672" s="920"/>
      <c r="CE672" s="920"/>
      <c r="CF672" s="920"/>
      <c r="CG672" s="920"/>
      <c r="CH672" s="920"/>
      <c r="CI672" s="920"/>
      <c r="CJ672" s="920"/>
      <c r="CK672" s="920"/>
      <c r="CL672" s="920"/>
      <c r="CM672" s="920"/>
      <c r="CN672" s="920"/>
      <c r="CO672" s="920"/>
      <c r="CP672" s="920"/>
      <c r="CQ672" s="920"/>
      <c r="CR672" s="920"/>
      <c r="CS672" s="920"/>
      <c r="CT672" s="920"/>
      <c r="CU672" s="920"/>
      <c r="CV672" s="920"/>
      <c r="CW672" s="920"/>
      <c r="CX672" s="920"/>
      <c r="CY672" s="920"/>
      <c r="CZ672" s="920"/>
      <c r="DA672" s="920"/>
      <c r="DB672" s="920"/>
      <c r="DC672" s="920"/>
      <c r="DD672" s="920"/>
      <c r="DE672" s="920"/>
      <c r="DF672" s="920"/>
      <c r="DG672" s="920"/>
      <c r="DH672" s="920"/>
    </row>
    <row r="673" spans="1:112" ht="15" x14ac:dyDescent="0.25">
      <c r="A673" s="605">
        <v>643</v>
      </c>
      <c r="B673" s="734" t="s">
        <v>3208</v>
      </c>
      <c r="C673" s="534"/>
      <c r="D673" s="534"/>
      <c r="E673" s="534"/>
      <c r="F673" s="534"/>
      <c r="G673" s="534"/>
      <c r="H673" s="1090"/>
      <c r="I673" s="921"/>
      <c r="J673" s="921"/>
      <c r="K673" s="921"/>
      <c r="L673" s="921"/>
      <c r="M673" s="921"/>
      <c r="N673" s="921"/>
      <c r="O673" s="921"/>
      <c r="P673" s="921"/>
      <c r="Q673" s="921"/>
      <c r="R673" s="921"/>
      <c r="S673" s="921"/>
      <c r="T673" s="921"/>
      <c r="U673" s="921"/>
      <c r="V673" s="921"/>
      <c r="W673" s="921"/>
      <c r="X673" s="921"/>
      <c r="Y673" s="921"/>
      <c r="Z673" s="921"/>
      <c r="AA673" s="921"/>
      <c r="AB673" s="921"/>
      <c r="AC673" s="921"/>
      <c r="AD673" s="921"/>
      <c r="AE673" s="921"/>
      <c r="AF673" s="921"/>
      <c r="AG673" s="921"/>
      <c r="AH673" s="921"/>
      <c r="AI673" s="921"/>
      <c r="AJ673" s="921"/>
      <c r="AK673" s="921"/>
      <c r="AL673" s="921"/>
      <c r="AM673" s="921"/>
      <c r="AN673" s="921"/>
      <c r="AO673" s="921"/>
      <c r="AP673" s="921"/>
      <c r="AQ673" s="921"/>
      <c r="AR673" s="921"/>
      <c r="AS673" s="921"/>
      <c r="AT673" s="921"/>
      <c r="AU673" s="921"/>
      <c r="AV673" s="921"/>
      <c r="AW673" s="921"/>
      <c r="AX673" s="921"/>
      <c r="AY673" s="921"/>
      <c r="AZ673" s="921"/>
      <c r="BA673" s="921"/>
      <c r="BB673" s="921"/>
      <c r="BC673" s="921"/>
      <c r="BD673" s="921"/>
      <c r="BE673" s="921"/>
      <c r="BF673" s="920"/>
      <c r="BG673" s="920"/>
      <c r="BH673" s="920"/>
      <c r="BI673" s="920"/>
      <c r="BJ673" s="920"/>
      <c r="BK673" s="920"/>
      <c r="BL673" s="920"/>
      <c r="BM673" s="920"/>
      <c r="BN673" s="920"/>
      <c r="BO673" s="920"/>
      <c r="BP673" s="920"/>
      <c r="BQ673" s="920"/>
      <c r="BR673" s="920"/>
      <c r="BS673" s="920"/>
      <c r="BT673" s="920"/>
      <c r="BU673" s="920"/>
      <c r="BV673" s="920"/>
      <c r="BW673" s="920"/>
      <c r="BX673" s="920"/>
      <c r="BY673" s="920"/>
      <c r="BZ673" s="920"/>
      <c r="CA673" s="920"/>
      <c r="CB673" s="920"/>
      <c r="CC673" s="920"/>
      <c r="CD673" s="920"/>
      <c r="CE673" s="920"/>
      <c r="CF673" s="920"/>
      <c r="CG673" s="920"/>
      <c r="CH673" s="920"/>
      <c r="CI673" s="920"/>
      <c r="CJ673" s="920"/>
      <c r="CK673" s="920"/>
      <c r="CL673" s="920"/>
      <c r="CM673" s="920"/>
      <c r="CN673" s="920"/>
      <c r="CO673" s="920"/>
      <c r="CP673" s="920"/>
      <c r="CQ673" s="920"/>
      <c r="CR673" s="920"/>
      <c r="CS673" s="920"/>
      <c r="CT673" s="920"/>
      <c r="CU673" s="920"/>
      <c r="CV673" s="920"/>
      <c r="CW673" s="920"/>
      <c r="CX673" s="920"/>
      <c r="CY673" s="920"/>
      <c r="CZ673" s="920"/>
      <c r="DA673" s="920"/>
      <c r="DB673" s="920"/>
      <c r="DC673" s="920"/>
      <c r="DD673" s="920"/>
      <c r="DE673" s="920"/>
      <c r="DF673" s="920"/>
      <c r="DG673" s="920"/>
      <c r="DH673" s="920"/>
    </row>
    <row r="674" spans="1:112" ht="15" x14ac:dyDescent="0.25">
      <c r="A674" s="605">
        <v>644</v>
      </c>
      <c r="B674" s="734" t="s">
        <v>302</v>
      </c>
      <c r="C674" s="534"/>
      <c r="D674" s="534"/>
      <c r="E674" s="534"/>
      <c r="F674" s="534"/>
      <c r="G674" s="534"/>
      <c r="H674" s="1090"/>
      <c r="I674" s="921"/>
      <c r="J674" s="921"/>
      <c r="K674" s="921"/>
      <c r="L674" s="921"/>
      <c r="M674" s="921"/>
      <c r="N674" s="921"/>
      <c r="O674" s="921"/>
      <c r="P674" s="921"/>
      <c r="Q674" s="921"/>
      <c r="R674" s="921"/>
      <c r="S674" s="921"/>
      <c r="T674" s="921"/>
      <c r="U674" s="921"/>
      <c r="V674" s="921"/>
      <c r="W674" s="921"/>
      <c r="X674" s="921"/>
      <c r="Y674" s="921"/>
      <c r="Z674" s="921"/>
      <c r="AA674" s="921"/>
      <c r="AB674" s="921"/>
      <c r="AC674" s="921"/>
      <c r="AD674" s="921"/>
      <c r="AE674" s="921"/>
      <c r="AF674" s="921"/>
      <c r="AG674" s="921"/>
      <c r="AH674" s="921"/>
      <c r="AI674" s="921"/>
      <c r="AJ674" s="921"/>
      <c r="AK674" s="921"/>
      <c r="AL674" s="921"/>
      <c r="AM674" s="921"/>
      <c r="AN674" s="921"/>
      <c r="AO674" s="921"/>
      <c r="AP674" s="921"/>
      <c r="AQ674" s="921"/>
      <c r="AR674" s="921"/>
      <c r="AS674" s="921"/>
      <c r="AT674" s="921"/>
      <c r="AU674" s="921"/>
      <c r="AV674" s="921"/>
      <c r="AW674" s="921"/>
      <c r="AX674" s="921"/>
      <c r="AY674" s="921"/>
      <c r="AZ674" s="921"/>
      <c r="BA674" s="921"/>
      <c r="BB674" s="921"/>
      <c r="BC674" s="921"/>
      <c r="BD674" s="921"/>
      <c r="BE674" s="921"/>
      <c r="BF674" s="920"/>
      <c r="BG674" s="920"/>
      <c r="BH674" s="920"/>
      <c r="BI674" s="920"/>
      <c r="BJ674" s="920"/>
      <c r="BK674" s="920"/>
      <c r="BL674" s="920"/>
      <c r="BM674" s="920"/>
      <c r="BN674" s="920"/>
      <c r="BO674" s="920"/>
      <c r="BP674" s="920"/>
      <c r="BQ674" s="920"/>
      <c r="BR674" s="920"/>
      <c r="BS674" s="920"/>
      <c r="BT674" s="920"/>
      <c r="BU674" s="920"/>
      <c r="BV674" s="920"/>
      <c r="BW674" s="920"/>
      <c r="BX674" s="920"/>
      <c r="BY674" s="920"/>
      <c r="BZ674" s="920"/>
      <c r="CA674" s="920"/>
      <c r="CB674" s="920"/>
      <c r="CC674" s="920"/>
      <c r="CD674" s="920"/>
      <c r="CE674" s="920"/>
      <c r="CF674" s="920"/>
      <c r="CG674" s="920"/>
      <c r="CH674" s="920"/>
      <c r="CI674" s="920"/>
      <c r="CJ674" s="920"/>
      <c r="CK674" s="920"/>
      <c r="CL674" s="920"/>
      <c r="CM674" s="920"/>
      <c r="CN674" s="920"/>
      <c r="CO674" s="920"/>
      <c r="CP674" s="920"/>
      <c r="CQ674" s="920"/>
      <c r="CR674" s="920"/>
      <c r="CS674" s="920"/>
      <c r="CT674" s="920"/>
      <c r="CU674" s="920"/>
      <c r="CV674" s="920"/>
      <c r="CW674" s="920"/>
      <c r="CX674" s="920"/>
      <c r="CY674" s="920"/>
      <c r="CZ674" s="920"/>
      <c r="DA674" s="920"/>
      <c r="DB674" s="920"/>
      <c r="DC674" s="920"/>
      <c r="DD674" s="920"/>
      <c r="DE674" s="920"/>
      <c r="DF674" s="920"/>
      <c r="DG674" s="920"/>
      <c r="DH674" s="920"/>
    </row>
    <row r="675" spans="1:112" ht="15" x14ac:dyDescent="0.25">
      <c r="A675" s="605">
        <v>645</v>
      </c>
      <c r="B675" s="922" t="s">
        <v>3030</v>
      </c>
      <c r="C675" s="534"/>
      <c r="D675" s="534"/>
      <c r="E675" s="534"/>
      <c r="F675" s="534"/>
      <c r="G675" s="534"/>
      <c r="H675" s="1090"/>
      <c r="I675" s="921"/>
      <c r="J675" s="921"/>
      <c r="K675" s="921"/>
      <c r="L675" s="921"/>
      <c r="M675" s="921"/>
      <c r="N675" s="921"/>
      <c r="O675" s="921"/>
      <c r="P675" s="921"/>
      <c r="Q675" s="921"/>
      <c r="R675" s="921"/>
      <c r="S675" s="921"/>
      <c r="T675" s="921"/>
      <c r="U675" s="921"/>
      <c r="V675" s="921"/>
      <c r="W675" s="921"/>
      <c r="X675" s="921"/>
      <c r="Y675" s="921"/>
      <c r="Z675" s="921"/>
      <c r="AA675" s="921"/>
      <c r="AB675" s="921"/>
      <c r="AC675" s="921"/>
      <c r="AD675" s="921"/>
      <c r="AE675" s="921"/>
      <c r="AF675" s="921"/>
      <c r="AG675" s="921"/>
      <c r="AH675" s="921"/>
      <c r="AI675" s="921"/>
      <c r="AJ675" s="921"/>
      <c r="AK675" s="921"/>
      <c r="AL675" s="921"/>
      <c r="AM675" s="921"/>
      <c r="AN675" s="921"/>
      <c r="AO675" s="921"/>
      <c r="AP675" s="921"/>
      <c r="AQ675" s="921"/>
      <c r="AR675" s="921"/>
      <c r="AS675" s="921"/>
      <c r="AT675" s="921"/>
      <c r="AU675" s="921"/>
      <c r="AV675" s="921"/>
      <c r="AW675" s="921"/>
      <c r="AX675" s="921"/>
      <c r="AY675" s="921"/>
      <c r="AZ675" s="921"/>
      <c r="BA675" s="921"/>
      <c r="BB675" s="921"/>
      <c r="BC675" s="921"/>
      <c r="BD675" s="921"/>
      <c r="BE675" s="921"/>
      <c r="BF675" s="920"/>
      <c r="BG675" s="920"/>
      <c r="BH675" s="920"/>
      <c r="BI675" s="920"/>
      <c r="BJ675" s="920"/>
      <c r="BK675" s="920"/>
      <c r="BL675" s="920"/>
      <c r="BM675" s="920"/>
      <c r="BN675" s="920"/>
      <c r="BO675" s="920"/>
      <c r="BP675" s="920"/>
      <c r="BQ675" s="920"/>
      <c r="BR675" s="920"/>
      <c r="BS675" s="920"/>
      <c r="BT675" s="920"/>
      <c r="BU675" s="920"/>
      <c r="BV675" s="920"/>
      <c r="BW675" s="920"/>
      <c r="BX675" s="920"/>
      <c r="BY675" s="920"/>
      <c r="BZ675" s="920"/>
      <c r="CA675" s="920"/>
      <c r="CB675" s="920"/>
      <c r="CC675" s="920"/>
      <c r="CD675" s="920"/>
      <c r="CE675" s="920"/>
      <c r="CF675" s="920"/>
      <c r="CG675" s="920"/>
      <c r="CH675" s="920"/>
      <c r="CI675" s="920"/>
      <c r="CJ675" s="920"/>
      <c r="CK675" s="920"/>
      <c r="CL675" s="920"/>
      <c r="CM675" s="920"/>
      <c r="CN675" s="920"/>
      <c r="CO675" s="920"/>
      <c r="CP675" s="920"/>
      <c r="CQ675" s="920"/>
      <c r="CR675" s="920"/>
      <c r="CS675" s="920"/>
      <c r="CT675" s="920"/>
      <c r="CU675" s="920"/>
      <c r="CV675" s="920"/>
      <c r="CW675" s="920"/>
      <c r="CX675" s="920"/>
      <c r="CY675" s="920"/>
      <c r="CZ675" s="920"/>
      <c r="DA675" s="920"/>
      <c r="DB675" s="920"/>
      <c r="DC675" s="920"/>
      <c r="DD675" s="920"/>
      <c r="DE675" s="920"/>
      <c r="DF675" s="920"/>
      <c r="DG675" s="920"/>
      <c r="DH675" s="920"/>
    </row>
    <row r="676" spans="1:112" ht="15" x14ac:dyDescent="0.25">
      <c r="A676" s="605">
        <v>646</v>
      </c>
      <c r="B676" s="922" t="s">
        <v>3207</v>
      </c>
      <c r="C676" s="534"/>
      <c r="D676" s="534"/>
      <c r="E676" s="534"/>
      <c r="F676" s="534"/>
      <c r="G676" s="534"/>
      <c r="H676" s="1090"/>
      <c r="I676" s="921"/>
      <c r="J676" s="921"/>
      <c r="K676" s="921"/>
      <c r="L676" s="921"/>
      <c r="M676" s="921"/>
      <c r="N676" s="921"/>
      <c r="O676" s="921"/>
      <c r="P676" s="921"/>
      <c r="Q676" s="921"/>
      <c r="R676" s="921"/>
      <c r="S676" s="921"/>
      <c r="T676" s="921"/>
      <c r="U676" s="921"/>
      <c r="V676" s="921"/>
      <c r="W676" s="921"/>
      <c r="X676" s="921"/>
      <c r="Y676" s="921"/>
      <c r="Z676" s="921"/>
      <c r="AA676" s="921"/>
      <c r="AB676" s="921"/>
      <c r="AC676" s="921"/>
      <c r="AD676" s="921"/>
      <c r="AE676" s="921"/>
      <c r="AF676" s="921"/>
      <c r="AG676" s="921"/>
      <c r="AH676" s="921"/>
      <c r="AI676" s="921"/>
      <c r="AJ676" s="921"/>
      <c r="AK676" s="921"/>
      <c r="AL676" s="921"/>
      <c r="AM676" s="921"/>
      <c r="AN676" s="921"/>
      <c r="AO676" s="921"/>
      <c r="AP676" s="921"/>
      <c r="AQ676" s="921"/>
      <c r="AR676" s="921"/>
      <c r="AS676" s="921"/>
      <c r="AT676" s="921"/>
      <c r="AU676" s="921"/>
      <c r="AV676" s="921"/>
      <c r="AW676" s="921"/>
      <c r="AX676" s="921"/>
      <c r="AY676" s="921"/>
      <c r="AZ676" s="921"/>
      <c r="BA676" s="921"/>
      <c r="BB676" s="921"/>
      <c r="BC676" s="921"/>
      <c r="BD676" s="921"/>
      <c r="BE676" s="921"/>
      <c r="BF676" s="920"/>
      <c r="BG676" s="920"/>
      <c r="BH676" s="920"/>
      <c r="BI676" s="920"/>
      <c r="BJ676" s="920"/>
      <c r="BK676" s="920"/>
      <c r="BL676" s="920"/>
      <c r="BM676" s="920"/>
      <c r="BN676" s="920"/>
      <c r="BO676" s="920"/>
      <c r="BP676" s="920"/>
      <c r="BQ676" s="920"/>
      <c r="BR676" s="920"/>
      <c r="BS676" s="920"/>
      <c r="BT676" s="920"/>
      <c r="BU676" s="920"/>
      <c r="BV676" s="920"/>
      <c r="BW676" s="920"/>
      <c r="BX676" s="920"/>
      <c r="BY676" s="920"/>
      <c r="BZ676" s="920"/>
      <c r="CA676" s="920"/>
      <c r="CB676" s="920"/>
      <c r="CC676" s="920"/>
      <c r="CD676" s="920"/>
      <c r="CE676" s="920"/>
      <c r="CF676" s="920"/>
      <c r="CG676" s="920"/>
      <c r="CH676" s="920"/>
      <c r="CI676" s="920"/>
      <c r="CJ676" s="920"/>
      <c r="CK676" s="920"/>
      <c r="CL676" s="920"/>
      <c r="CM676" s="920"/>
      <c r="CN676" s="920"/>
      <c r="CO676" s="920"/>
      <c r="CP676" s="920"/>
      <c r="CQ676" s="920"/>
      <c r="CR676" s="920"/>
      <c r="CS676" s="920"/>
      <c r="CT676" s="920"/>
      <c r="CU676" s="920"/>
      <c r="CV676" s="920"/>
      <c r="CW676" s="920"/>
      <c r="CX676" s="920"/>
      <c r="CY676" s="920"/>
      <c r="CZ676" s="920"/>
      <c r="DA676" s="920"/>
      <c r="DB676" s="920"/>
      <c r="DC676" s="920"/>
      <c r="DD676" s="920"/>
      <c r="DE676" s="920"/>
      <c r="DF676" s="920"/>
      <c r="DG676" s="920"/>
      <c r="DH676" s="920"/>
    </row>
    <row r="677" spans="1:112" ht="45" x14ac:dyDescent="0.25">
      <c r="A677" s="605">
        <v>647</v>
      </c>
      <c r="B677" s="730" t="s">
        <v>3206</v>
      </c>
      <c r="C677" s="278"/>
      <c r="D677" s="278"/>
      <c r="E677" s="278"/>
      <c r="F677" s="278"/>
      <c r="G677" s="278"/>
      <c r="H677" s="1090"/>
      <c r="I677" s="921"/>
      <c r="J677" s="921"/>
      <c r="K677" s="921"/>
      <c r="L677" s="921"/>
      <c r="M677" s="921"/>
      <c r="N677" s="921"/>
      <c r="O677" s="921"/>
      <c r="P677" s="921"/>
      <c r="Q677" s="921"/>
      <c r="R677" s="921"/>
      <c r="S677" s="921"/>
      <c r="T677" s="921"/>
      <c r="U677" s="921"/>
      <c r="V677" s="921"/>
      <c r="W677" s="921"/>
      <c r="X677" s="921"/>
      <c r="Y677" s="921"/>
      <c r="Z677" s="921"/>
      <c r="AA677" s="921"/>
      <c r="AB677" s="921"/>
      <c r="AC677" s="921"/>
      <c r="AD677" s="921"/>
      <c r="AE677" s="921"/>
      <c r="AF677" s="921"/>
      <c r="AG677" s="921"/>
      <c r="AH677" s="921"/>
      <c r="AI677" s="921"/>
      <c r="AJ677" s="921"/>
      <c r="AK677" s="921"/>
      <c r="AL677" s="921"/>
      <c r="AM677" s="921"/>
      <c r="AN677" s="921"/>
      <c r="AO677" s="921"/>
      <c r="AP677" s="921"/>
      <c r="AQ677" s="921"/>
      <c r="AR677" s="921"/>
      <c r="AS677" s="921"/>
      <c r="AT677" s="921"/>
      <c r="AU677" s="921"/>
      <c r="AV677" s="921"/>
      <c r="AW677" s="921"/>
      <c r="AX677" s="921"/>
      <c r="AY677" s="921"/>
      <c r="AZ677" s="921"/>
      <c r="BA677" s="921"/>
      <c r="BB677" s="921"/>
      <c r="BC677" s="921"/>
      <c r="BD677" s="921"/>
      <c r="BE677" s="921"/>
      <c r="BF677" s="920"/>
      <c r="BG677" s="920"/>
      <c r="BH677" s="920"/>
      <c r="BI677" s="920"/>
      <c r="BJ677" s="920"/>
      <c r="BK677" s="920"/>
      <c r="BL677" s="920"/>
      <c r="BM677" s="920"/>
      <c r="BN677" s="920"/>
      <c r="BO677" s="920"/>
      <c r="BP677" s="920"/>
      <c r="BQ677" s="920"/>
      <c r="BR677" s="920"/>
      <c r="BS677" s="920"/>
      <c r="BT677" s="920"/>
      <c r="BU677" s="920"/>
      <c r="BV677" s="920"/>
      <c r="BW677" s="920"/>
      <c r="BX677" s="920"/>
      <c r="BY677" s="920"/>
      <c r="BZ677" s="920"/>
      <c r="CA677" s="920"/>
      <c r="CB677" s="920"/>
      <c r="CC677" s="920"/>
      <c r="CD677" s="920"/>
      <c r="CE677" s="920"/>
      <c r="CF677" s="920"/>
      <c r="CG677" s="920"/>
      <c r="CH677" s="920"/>
      <c r="CI677" s="920"/>
      <c r="CJ677" s="920"/>
      <c r="CK677" s="920"/>
      <c r="CL677" s="920"/>
      <c r="CM677" s="920"/>
      <c r="CN677" s="920"/>
      <c r="CO677" s="920"/>
      <c r="CP677" s="920"/>
      <c r="CQ677" s="920"/>
      <c r="CR677" s="920"/>
      <c r="CS677" s="920"/>
      <c r="CT677" s="920"/>
      <c r="CU677" s="920"/>
      <c r="CV677" s="920"/>
      <c r="CW677" s="920"/>
      <c r="CX677" s="920"/>
      <c r="CY677" s="920"/>
      <c r="CZ677" s="920"/>
      <c r="DA677" s="920"/>
      <c r="DB677" s="920"/>
      <c r="DC677" s="920"/>
      <c r="DD677" s="920"/>
      <c r="DE677" s="920"/>
      <c r="DF677" s="920"/>
      <c r="DG677" s="920"/>
      <c r="DH677" s="920"/>
    </row>
    <row r="678" spans="1:112" ht="15" x14ac:dyDescent="0.25">
      <c r="A678" s="605">
        <v>648</v>
      </c>
      <c r="B678" s="922" t="s">
        <v>3205</v>
      </c>
      <c r="C678" s="534"/>
      <c r="D678" s="534"/>
      <c r="E678" s="534"/>
      <c r="F678" s="534"/>
      <c r="G678" s="534"/>
      <c r="H678" s="1090"/>
      <c r="I678" s="921"/>
      <c r="J678" s="921"/>
      <c r="K678" s="921"/>
      <c r="L678" s="921"/>
      <c r="M678" s="921"/>
      <c r="N678" s="921"/>
      <c r="O678" s="921"/>
      <c r="P678" s="921"/>
      <c r="Q678" s="921"/>
      <c r="R678" s="921"/>
      <c r="S678" s="921"/>
      <c r="T678" s="921"/>
      <c r="U678" s="921"/>
      <c r="V678" s="921"/>
      <c r="W678" s="921"/>
      <c r="X678" s="921"/>
      <c r="Y678" s="921"/>
      <c r="Z678" s="921"/>
      <c r="AA678" s="921"/>
      <c r="AB678" s="921"/>
      <c r="AC678" s="921"/>
      <c r="AD678" s="921"/>
      <c r="AE678" s="921"/>
      <c r="AF678" s="921"/>
      <c r="AG678" s="921"/>
      <c r="AH678" s="921"/>
      <c r="AI678" s="921"/>
      <c r="AJ678" s="921"/>
      <c r="AK678" s="921"/>
      <c r="AL678" s="921"/>
      <c r="AM678" s="921"/>
      <c r="AN678" s="921"/>
      <c r="AO678" s="921"/>
      <c r="AP678" s="921"/>
      <c r="AQ678" s="921"/>
      <c r="AR678" s="921"/>
      <c r="AS678" s="921"/>
      <c r="AT678" s="921"/>
      <c r="AU678" s="921"/>
      <c r="AV678" s="921"/>
      <c r="AW678" s="921"/>
      <c r="AX678" s="921"/>
      <c r="AY678" s="921"/>
      <c r="AZ678" s="921"/>
      <c r="BA678" s="921"/>
      <c r="BB678" s="921"/>
      <c r="BC678" s="921"/>
      <c r="BD678" s="921"/>
      <c r="BE678" s="921"/>
      <c r="BF678" s="920"/>
      <c r="BG678" s="920"/>
      <c r="BH678" s="920"/>
      <c r="BI678" s="920"/>
      <c r="BJ678" s="920"/>
      <c r="BK678" s="920"/>
      <c r="BL678" s="920"/>
      <c r="BM678" s="920"/>
      <c r="BN678" s="920"/>
      <c r="BO678" s="920"/>
      <c r="BP678" s="920"/>
      <c r="BQ678" s="920"/>
      <c r="BR678" s="920"/>
      <c r="BS678" s="920"/>
      <c r="BT678" s="920"/>
      <c r="BU678" s="920"/>
      <c r="BV678" s="920"/>
      <c r="BW678" s="920"/>
      <c r="BX678" s="920"/>
      <c r="BY678" s="920"/>
      <c r="BZ678" s="920"/>
      <c r="CA678" s="920"/>
      <c r="CB678" s="920"/>
      <c r="CC678" s="920"/>
      <c r="CD678" s="920"/>
      <c r="CE678" s="920"/>
      <c r="CF678" s="920"/>
      <c r="CG678" s="920"/>
      <c r="CH678" s="920"/>
      <c r="CI678" s="920"/>
      <c r="CJ678" s="920"/>
      <c r="CK678" s="920"/>
      <c r="CL678" s="920"/>
      <c r="CM678" s="920"/>
      <c r="CN678" s="920"/>
      <c r="CO678" s="920"/>
      <c r="CP678" s="920"/>
      <c r="CQ678" s="920"/>
      <c r="CR678" s="920"/>
      <c r="CS678" s="920"/>
      <c r="CT678" s="920"/>
      <c r="CU678" s="920"/>
      <c r="CV678" s="920"/>
      <c r="CW678" s="920"/>
      <c r="CX678" s="920"/>
      <c r="CY678" s="920"/>
      <c r="CZ678" s="920"/>
      <c r="DA678" s="920"/>
      <c r="DB678" s="920"/>
      <c r="DC678" s="920"/>
      <c r="DD678" s="920"/>
      <c r="DE678" s="920"/>
      <c r="DF678" s="920"/>
      <c r="DG678" s="920"/>
      <c r="DH678" s="920"/>
    </row>
    <row r="679" spans="1:112" ht="15" x14ac:dyDescent="0.25">
      <c r="A679" s="605">
        <v>649</v>
      </c>
      <c r="B679" s="922" t="s">
        <v>2312</v>
      </c>
      <c r="C679" s="534"/>
      <c r="D679" s="534"/>
      <c r="E679" s="534"/>
      <c r="F679" s="534"/>
      <c r="G679" s="534"/>
      <c r="H679" s="1090"/>
      <c r="I679" s="921"/>
      <c r="J679" s="921"/>
      <c r="K679" s="921"/>
      <c r="L679" s="921"/>
      <c r="M679" s="921"/>
      <c r="N679" s="921"/>
      <c r="O679" s="921"/>
      <c r="P679" s="921"/>
      <c r="Q679" s="921"/>
      <c r="R679" s="921"/>
      <c r="S679" s="921"/>
      <c r="T679" s="921"/>
      <c r="U679" s="921"/>
      <c r="V679" s="921"/>
      <c r="W679" s="921"/>
      <c r="X679" s="921"/>
      <c r="Y679" s="921"/>
      <c r="Z679" s="921"/>
      <c r="AA679" s="921"/>
      <c r="AB679" s="921"/>
      <c r="AC679" s="921"/>
      <c r="AD679" s="921"/>
      <c r="AE679" s="921"/>
      <c r="AF679" s="921"/>
      <c r="AG679" s="921"/>
      <c r="AH679" s="921"/>
      <c r="AI679" s="921"/>
      <c r="AJ679" s="921"/>
      <c r="AK679" s="921"/>
      <c r="AL679" s="921"/>
      <c r="AM679" s="921"/>
      <c r="AN679" s="921"/>
      <c r="AO679" s="921"/>
      <c r="AP679" s="921"/>
      <c r="AQ679" s="921"/>
      <c r="AR679" s="921"/>
      <c r="AS679" s="921"/>
      <c r="AT679" s="921"/>
      <c r="AU679" s="921"/>
      <c r="AV679" s="921"/>
      <c r="AW679" s="921"/>
      <c r="AX679" s="921"/>
      <c r="AY679" s="921"/>
      <c r="AZ679" s="921"/>
      <c r="BA679" s="921"/>
      <c r="BB679" s="921"/>
      <c r="BC679" s="921"/>
      <c r="BD679" s="921"/>
      <c r="BE679" s="921"/>
      <c r="BF679" s="920"/>
      <c r="BG679" s="920"/>
      <c r="BH679" s="920"/>
      <c r="BI679" s="920"/>
      <c r="BJ679" s="920"/>
      <c r="BK679" s="920"/>
      <c r="BL679" s="920"/>
      <c r="BM679" s="920"/>
      <c r="BN679" s="920"/>
      <c r="BO679" s="920"/>
      <c r="BP679" s="920"/>
      <c r="BQ679" s="920"/>
      <c r="BR679" s="920"/>
      <c r="BS679" s="920"/>
      <c r="BT679" s="920"/>
      <c r="BU679" s="920"/>
      <c r="BV679" s="920"/>
      <c r="BW679" s="920"/>
      <c r="BX679" s="920"/>
      <c r="BY679" s="920"/>
      <c r="BZ679" s="920"/>
      <c r="CA679" s="920"/>
      <c r="CB679" s="920"/>
      <c r="CC679" s="920"/>
      <c r="CD679" s="920"/>
      <c r="CE679" s="920"/>
      <c r="CF679" s="920"/>
      <c r="CG679" s="920"/>
      <c r="CH679" s="920"/>
      <c r="CI679" s="920"/>
      <c r="CJ679" s="920"/>
      <c r="CK679" s="920"/>
      <c r="CL679" s="920"/>
      <c r="CM679" s="920"/>
      <c r="CN679" s="920"/>
      <c r="CO679" s="920"/>
      <c r="CP679" s="920"/>
      <c r="CQ679" s="920"/>
      <c r="CR679" s="920"/>
      <c r="CS679" s="920"/>
      <c r="CT679" s="920"/>
      <c r="CU679" s="920"/>
      <c r="CV679" s="920"/>
      <c r="CW679" s="920"/>
      <c r="CX679" s="920"/>
      <c r="CY679" s="920"/>
      <c r="CZ679" s="920"/>
      <c r="DA679" s="920"/>
      <c r="DB679" s="920"/>
      <c r="DC679" s="920"/>
      <c r="DD679" s="920"/>
      <c r="DE679" s="920"/>
      <c r="DF679" s="920"/>
      <c r="DG679" s="920"/>
      <c r="DH679" s="920"/>
    </row>
    <row r="680" spans="1:112" ht="15" x14ac:dyDescent="0.25">
      <c r="A680" s="605">
        <v>650</v>
      </c>
      <c r="B680" s="922" t="s">
        <v>3204</v>
      </c>
      <c r="C680" s="534"/>
      <c r="D680" s="534"/>
      <c r="E680" s="534"/>
      <c r="F680" s="534"/>
      <c r="G680" s="534"/>
      <c r="H680" s="1090"/>
      <c r="I680" s="921"/>
      <c r="J680" s="921"/>
      <c r="K680" s="921"/>
      <c r="L680" s="921"/>
      <c r="M680" s="921"/>
      <c r="N680" s="921"/>
      <c r="O680" s="921"/>
      <c r="P680" s="921"/>
      <c r="Q680" s="921"/>
      <c r="R680" s="921"/>
      <c r="S680" s="921"/>
      <c r="T680" s="921"/>
      <c r="U680" s="921"/>
      <c r="V680" s="921"/>
      <c r="W680" s="921"/>
      <c r="X680" s="921"/>
      <c r="Y680" s="921"/>
      <c r="Z680" s="921"/>
      <c r="AA680" s="921"/>
      <c r="AB680" s="921"/>
      <c r="AC680" s="921"/>
      <c r="AD680" s="921"/>
      <c r="AE680" s="921"/>
      <c r="AF680" s="921"/>
      <c r="AG680" s="921"/>
      <c r="AH680" s="921"/>
      <c r="AI680" s="921"/>
      <c r="AJ680" s="921"/>
      <c r="AK680" s="921"/>
      <c r="AL680" s="921"/>
      <c r="AM680" s="921"/>
      <c r="AN680" s="921"/>
      <c r="AO680" s="921"/>
      <c r="AP680" s="921"/>
      <c r="AQ680" s="921"/>
      <c r="AR680" s="921"/>
      <c r="AS680" s="921"/>
      <c r="AT680" s="921"/>
      <c r="AU680" s="921"/>
      <c r="AV680" s="921"/>
      <c r="AW680" s="921"/>
      <c r="AX680" s="921"/>
      <c r="AY680" s="921"/>
      <c r="AZ680" s="921"/>
      <c r="BA680" s="921"/>
      <c r="BB680" s="921"/>
      <c r="BC680" s="921"/>
      <c r="BD680" s="921"/>
      <c r="BE680" s="921"/>
      <c r="BF680" s="920"/>
      <c r="BG680" s="920"/>
      <c r="BH680" s="920"/>
      <c r="BI680" s="920"/>
      <c r="BJ680" s="920"/>
      <c r="BK680" s="920"/>
      <c r="BL680" s="920"/>
      <c r="BM680" s="920"/>
      <c r="BN680" s="920"/>
      <c r="BO680" s="920"/>
      <c r="BP680" s="920"/>
      <c r="BQ680" s="920"/>
      <c r="BR680" s="920"/>
      <c r="BS680" s="920"/>
      <c r="BT680" s="920"/>
      <c r="BU680" s="920"/>
      <c r="BV680" s="920"/>
      <c r="BW680" s="920"/>
      <c r="BX680" s="920"/>
      <c r="BY680" s="920"/>
      <c r="BZ680" s="920"/>
      <c r="CA680" s="920"/>
      <c r="CB680" s="920"/>
      <c r="CC680" s="920"/>
      <c r="CD680" s="920"/>
      <c r="CE680" s="920"/>
      <c r="CF680" s="920"/>
      <c r="CG680" s="920"/>
      <c r="CH680" s="920"/>
      <c r="CI680" s="920"/>
      <c r="CJ680" s="920"/>
      <c r="CK680" s="920"/>
      <c r="CL680" s="920"/>
      <c r="CM680" s="920"/>
      <c r="CN680" s="920"/>
      <c r="CO680" s="920"/>
      <c r="CP680" s="920"/>
      <c r="CQ680" s="920"/>
      <c r="CR680" s="920"/>
      <c r="CS680" s="920"/>
      <c r="CT680" s="920"/>
      <c r="CU680" s="920"/>
      <c r="CV680" s="920"/>
      <c r="CW680" s="920"/>
      <c r="CX680" s="920"/>
      <c r="CY680" s="920"/>
      <c r="CZ680" s="920"/>
      <c r="DA680" s="920"/>
      <c r="DB680" s="920"/>
      <c r="DC680" s="920"/>
      <c r="DD680" s="920"/>
      <c r="DE680" s="920"/>
      <c r="DF680" s="920"/>
      <c r="DG680" s="920"/>
      <c r="DH680" s="920"/>
    </row>
    <row r="681" spans="1:112" ht="15" x14ac:dyDescent="0.25">
      <c r="A681" s="605">
        <v>651</v>
      </c>
      <c r="B681" s="922" t="s">
        <v>3203</v>
      </c>
      <c r="C681" s="534"/>
      <c r="D681" s="534"/>
      <c r="E681" s="534"/>
      <c r="F681" s="534"/>
      <c r="G681" s="534"/>
      <c r="H681" s="1090"/>
      <c r="I681" s="921"/>
      <c r="J681" s="921"/>
      <c r="K681" s="921"/>
      <c r="L681" s="921"/>
      <c r="M681" s="921"/>
      <c r="N681" s="921"/>
      <c r="O681" s="921"/>
      <c r="P681" s="921"/>
      <c r="Q681" s="921"/>
      <c r="R681" s="921"/>
      <c r="S681" s="921"/>
      <c r="T681" s="921"/>
      <c r="U681" s="921"/>
      <c r="V681" s="921"/>
      <c r="W681" s="921"/>
      <c r="X681" s="921"/>
      <c r="Y681" s="921"/>
      <c r="Z681" s="921"/>
      <c r="AA681" s="921"/>
      <c r="AB681" s="921"/>
      <c r="AC681" s="921"/>
      <c r="AD681" s="921"/>
      <c r="AE681" s="921"/>
      <c r="AF681" s="921"/>
      <c r="AG681" s="921"/>
      <c r="AH681" s="921"/>
      <c r="AI681" s="921"/>
      <c r="AJ681" s="921"/>
      <c r="AK681" s="921"/>
      <c r="AL681" s="921"/>
      <c r="AM681" s="921"/>
      <c r="AN681" s="921"/>
      <c r="AO681" s="921"/>
      <c r="AP681" s="921"/>
      <c r="AQ681" s="921"/>
      <c r="AR681" s="921"/>
      <c r="AS681" s="921"/>
      <c r="AT681" s="921"/>
      <c r="AU681" s="921"/>
      <c r="AV681" s="921"/>
      <c r="AW681" s="921"/>
      <c r="AX681" s="921"/>
      <c r="AY681" s="921"/>
      <c r="AZ681" s="921"/>
      <c r="BA681" s="921"/>
      <c r="BB681" s="921"/>
      <c r="BC681" s="921"/>
      <c r="BD681" s="921"/>
      <c r="BE681" s="921"/>
      <c r="BF681" s="920"/>
      <c r="BG681" s="920"/>
      <c r="BH681" s="920"/>
      <c r="BI681" s="920"/>
      <c r="BJ681" s="920"/>
      <c r="BK681" s="920"/>
      <c r="BL681" s="920"/>
      <c r="BM681" s="920"/>
      <c r="BN681" s="920"/>
      <c r="BO681" s="920"/>
      <c r="BP681" s="920"/>
      <c r="BQ681" s="920"/>
      <c r="BR681" s="920"/>
      <c r="BS681" s="920"/>
      <c r="BT681" s="920"/>
      <c r="BU681" s="920"/>
      <c r="BV681" s="920"/>
      <c r="BW681" s="920"/>
      <c r="BX681" s="920"/>
      <c r="BY681" s="920"/>
      <c r="BZ681" s="920"/>
      <c r="CA681" s="920"/>
      <c r="CB681" s="920"/>
      <c r="CC681" s="920"/>
      <c r="CD681" s="920"/>
      <c r="CE681" s="920"/>
      <c r="CF681" s="920"/>
      <c r="CG681" s="920"/>
      <c r="CH681" s="920"/>
      <c r="CI681" s="920"/>
      <c r="CJ681" s="920"/>
      <c r="CK681" s="920"/>
      <c r="CL681" s="920"/>
      <c r="CM681" s="920"/>
      <c r="CN681" s="920"/>
      <c r="CO681" s="920"/>
      <c r="CP681" s="920"/>
      <c r="CQ681" s="920"/>
      <c r="CR681" s="920"/>
      <c r="CS681" s="920"/>
      <c r="CT681" s="920"/>
      <c r="CU681" s="920"/>
      <c r="CV681" s="920"/>
      <c r="CW681" s="920"/>
      <c r="CX681" s="920"/>
      <c r="CY681" s="920"/>
      <c r="CZ681" s="920"/>
      <c r="DA681" s="920"/>
      <c r="DB681" s="920"/>
      <c r="DC681" s="920"/>
      <c r="DD681" s="920"/>
      <c r="DE681" s="920"/>
      <c r="DF681" s="920"/>
      <c r="DG681" s="920"/>
      <c r="DH681" s="920"/>
    </row>
    <row r="682" spans="1:112" ht="15" x14ac:dyDescent="0.25">
      <c r="A682" s="605">
        <v>652</v>
      </c>
      <c r="B682" s="922" t="s">
        <v>3202</v>
      </c>
      <c r="C682" s="534"/>
      <c r="D682" s="534"/>
      <c r="E682" s="534"/>
      <c r="F682" s="534"/>
      <c r="G682" s="534"/>
      <c r="H682" s="1090"/>
      <c r="I682" s="921"/>
      <c r="J682" s="921"/>
      <c r="K682" s="921"/>
      <c r="L682" s="921"/>
      <c r="M682" s="921"/>
      <c r="N682" s="921"/>
      <c r="O682" s="921"/>
      <c r="P682" s="921"/>
      <c r="Q682" s="921"/>
      <c r="R682" s="921"/>
      <c r="S682" s="921"/>
      <c r="T682" s="921"/>
      <c r="U682" s="921"/>
      <c r="V682" s="921"/>
      <c r="W682" s="921"/>
      <c r="X682" s="921"/>
      <c r="Y682" s="921"/>
      <c r="Z682" s="921"/>
      <c r="AA682" s="921"/>
      <c r="AB682" s="921"/>
      <c r="AC682" s="921"/>
      <c r="AD682" s="921"/>
      <c r="AE682" s="921"/>
      <c r="AF682" s="921"/>
      <c r="AG682" s="921"/>
      <c r="AH682" s="921"/>
      <c r="AI682" s="921"/>
      <c r="AJ682" s="921"/>
      <c r="AK682" s="921"/>
      <c r="AL682" s="921"/>
      <c r="AM682" s="921"/>
      <c r="AN682" s="921"/>
      <c r="AO682" s="921"/>
      <c r="AP682" s="921"/>
      <c r="AQ682" s="921"/>
      <c r="AR682" s="921"/>
      <c r="AS682" s="921"/>
      <c r="AT682" s="921"/>
      <c r="AU682" s="921"/>
      <c r="AV682" s="921"/>
      <c r="AW682" s="921"/>
      <c r="AX682" s="921"/>
      <c r="AY682" s="921"/>
      <c r="AZ682" s="921"/>
      <c r="BA682" s="921"/>
      <c r="BB682" s="921"/>
      <c r="BC682" s="921"/>
      <c r="BD682" s="921"/>
      <c r="BE682" s="921"/>
      <c r="BF682" s="920"/>
      <c r="BG682" s="920"/>
      <c r="BH682" s="920"/>
      <c r="BI682" s="920"/>
      <c r="BJ682" s="920"/>
      <c r="BK682" s="920"/>
      <c r="BL682" s="920"/>
      <c r="BM682" s="920"/>
      <c r="BN682" s="920"/>
      <c r="BO682" s="920"/>
      <c r="BP682" s="920"/>
      <c r="BQ682" s="920"/>
      <c r="BR682" s="920"/>
      <c r="BS682" s="920"/>
      <c r="BT682" s="920"/>
      <c r="BU682" s="920"/>
      <c r="BV682" s="920"/>
      <c r="BW682" s="920"/>
      <c r="BX682" s="920"/>
      <c r="BY682" s="920"/>
      <c r="BZ682" s="920"/>
      <c r="CA682" s="920"/>
      <c r="CB682" s="920"/>
      <c r="CC682" s="920"/>
      <c r="CD682" s="920"/>
      <c r="CE682" s="920"/>
      <c r="CF682" s="920"/>
      <c r="CG682" s="920"/>
      <c r="CH682" s="920"/>
      <c r="CI682" s="920"/>
      <c r="CJ682" s="920"/>
      <c r="CK682" s="920"/>
      <c r="CL682" s="920"/>
      <c r="CM682" s="920"/>
      <c r="CN682" s="920"/>
      <c r="CO682" s="920"/>
      <c r="CP682" s="920"/>
      <c r="CQ682" s="920"/>
      <c r="CR682" s="920"/>
      <c r="CS682" s="920"/>
      <c r="CT682" s="920"/>
      <c r="CU682" s="920"/>
      <c r="CV682" s="920"/>
      <c r="CW682" s="920"/>
      <c r="CX682" s="920"/>
      <c r="CY682" s="920"/>
      <c r="CZ682" s="920"/>
      <c r="DA682" s="920"/>
      <c r="DB682" s="920"/>
      <c r="DC682" s="920"/>
      <c r="DD682" s="920"/>
      <c r="DE682" s="920"/>
      <c r="DF682" s="920"/>
      <c r="DG682" s="920"/>
      <c r="DH682" s="920"/>
    </row>
    <row r="683" spans="1:112" ht="15" x14ac:dyDescent="0.25">
      <c r="A683" s="605">
        <v>653</v>
      </c>
      <c r="B683" s="922" t="s">
        <v>3201</v>
      </c>
      <c r="C683" s="534"/>
      <c r="D683" s="534"/>
      <c r="E683" s="534"/>
      <c r="F683" s="534"/>
      <c r="G683" s="534"/>
      <c r="H683" s="1090"/>
      <c r="I683" s="921"/>
      <c r="J683" s="921"/>
      <c r="K683" s="921"/>
      <c r="L683" s="921"/>
      <c r="M683" s="921"/>
      <c r="N683" s="921"/>
      <c r="O683" s="921"/>
      <c r="P683" s="921"/>
      <c r="Q683" s="921"/>
      <c r="R683" s="921"/>
      <c r="S683" s="921"/>
      <c r="T683" s="921"/>
      <c r="U683" s="921"/>
      <c r="V683" s="921"/>
      <c r="W683" s="921"/>
      <c r="X683" s="921"/>
      <c r="Y683" s="921"/>
      <c r="Z683" s="921"/>
      <c r="AA683" s="921"/>
      <c r="AB683" s="921"/>
      <c r="AC683" s="921"/>
      <c r="AD683" s="921"/>
      <c r="AE683" s="921"/>
      <c r="AF683" s="921"/>
      <c r="AG683" s="921"/>
      <c r="AH683" s="921"/>
      <c r="AI683" s="921"/>
      <c r="AJ683" s="921"/>
      <c r="AK683" s="921"/>
      <c r="AL683" s="921"/>
      <c r="AM683" s="921"/>
      <c r="AN683" s="921"/>
      <c r="AO683" s="921"/>
      <c r="AP683" s="921"/>
      <c r="AQ683" s="921"/>
      <c r="AR683" s="921"/>
      <c r="AS683" s="921"/>
      <c r="AT683" s="921"/>
      <c r="AU683" s="921"/>
      <c r="AV683" s="921"/>
      <c r="AW683" s="921"/>
      <c r="AX683" s="921"/>
      <c r="AY683" s="921"/>
      <c r="AZ683" s="921"/>
      <c r="BA683" s="921"/>
      <c r="BB683" s="921"/>
      <c r="BC683" s="921"/>
      <c r="BD683" s="921"/>
      <c r="BE683" s="921"/>
      <c r="BF683" s="920"/>
      <c r="BG683" s="920"/>
      <c r="BH683" s="920"/>
      <c r="BI683" s="920"/>
      <c r="BJ683" s="920"/>
      <c r="BK683" s="920"/>
      <c r="BL683" s="920"/>
      <c r="BM683" s="920"/>
      <c r="BN683" s="920"/>
      <c r="BO683" s="920"/>
      <c r="BP683" s="920"/>
      <c r="BQ683" s="920"/>
      <c r="BR683" s="920"/>
      <c r="BS683" s="920"/>
      <c r="BT683" s="920"/>
      <c r="BU683" s="920"/>
      <c r="BV683" s="920"/>
      <c r="BW683" s="920"/>
      <c r="BX683" s="920"/>
      <c r="BY683" s="920"/>
      <c r="BZ683" s="920"/>
      <c r="CA683" s="920"/>
      <c r="CB683" s="920"/>
      <c r="CC683" s="920"/>
      <c r="CD683" s="920"/>
      <c r="CE683" s="920"/>
      <c r="CF683" s="920"/>
      <c r="CG683" s="920"/>
      <c r="CH683" s="920"/>
      <c r="CI683" s="920"/>
      <c r="CJ683" s="920"/>
      <c r="CK683" s="920"/>
      <c r="CL683" s="920"/>
      <c r="CM683" s="920"/>
      <c r="CN683" s="920"/>
      <c r="CO683" s="920"/>
      <c r="CP683" s="920"/>
      <c r="CQ683" s="920"/>
      <c r="CR683" s="920"/>
      <c r="CS683" s="920"/>
      <c r="CT683" s="920"/>
      <c r="CU683" s="920"/>
      <c r="CV683" s="920"/>
      <c r="CW683" s="920"/>
      <c r="CX683" s="920"/>
      <c r="CY683" s="920"/>
      <c r="CZ683" s="920"/>
      <c r="DA683" s="920"/>
      <c r="DB683" s="920"/>
      <c r="DC683" s="920"/>
      <c r="DD683" s="920"/>
      <c r="DE683" s="920"/>
      <c r="DF683" s="920"/>
      <c r="DG683" s="920"/>
      <c r="DH683" s="920"/>
    </row>
    <row r="684" spans="1:112" ht="15" x14ac:dyDescent="0.25">
      <c r="A684" s="605">
        <v>654</v>
      </c>
      <c r="B684" s="922" t="s">
        <v>3200</v>
      </c>
      <c r="C684" s="534"/>
      <c r="D684" s="534"/>
      <c r="E684" s="534"/>
      <c r="F684" s="534"/>
      <c r="G684" s="534"/>
      <c r="H684" s="1090"/>
      <c r="I684" s="921"/>
      <c r="J684" s="921"/>
      <c r="K684" s="921"/>
      <c r="L684" s="921"/>
      <c r="M684" s="921"/>
      <c r="N684" s="921"/>
      <c r="O684" s="921"/>
      <c r="P684" s="921"/>
      <c r="Q684" s="921"/>
      <c r="R684" s="921"/>
      <c r="S684" s="921"/>
      <c r="T684" s="921"/>
      <c r="U684" s="921"/>
      <c r="V684" s="921"/>
      <c r="W684" s="921"/>
      <c r="X684" s="921"/>
      <c r="Y684" s="921"/>
      <c r="Z684" s="921"/>
      <c r="AA684" s="921"/>
      <c r="AB684" s="921"/>
      <c r="AC684" s="921"/>
      <c r="AD684" s="921"/>
      <c r="AE684" s="921"/>
      <c r="AF684" s="921"/>
      <c r="AG684" s="921"/>
      <c r="AH684" s="921"/>
      <c r="AI684" s="921"/>
      <c r="AJ684" s="921"/>
      <c r="AK684" s="921"/>
      <c r="AL684" s="921"/>
      <c r="AM684" s="921"/>
      <c r="AN684" s="921"/>
      <c r="AO684" s="921"/>
      <c r="AP684" s="921"/>
      <c r="AQ684" s="921"/>
      <c r="AR684" s="921"/>
      <c r="AS684" s="921"/>
      <c r="AT684" s="921"/>
      <c r="AU684" s="921"/>
      <c r="AV684" s="921"/>
      <c r="AW684" s="921"/>
      <c r="AX684" s="921"/>
      <c r="AY684" s="921"/>
      <c r="AZ684" s="921"/>
      <c r="BA684" s="921"/>
      <c r="BB684" s="921"/>
      <c r="BC684" s="921"/>
      <c r="BD684" s="921"/>
      <c r="BE684" s="921"/>
      <c r="BF684" s="920"/>
      <c r="BG684" s="920"/>
      <c r="BH684" s="920"/>
      <c r="BI684" s="920"/>
      <c r="BJ684" s="920"/>
      <c r="BK684" s="920"/>
      <c r="BL684" s="920"/>
      <c r="BM684" s="920"/>
      <c r="BN684" s="920"/>
      <c r="BO684" s="920"/>
      <c r="BP684" s="920"/>
      <c r="BQ684" s="920"/>
      <c r="BR684" s="920"/>
      <c r="BS684" s="920"/>
      <c r="BT684" s="920"/>
      <c r="BU684" s="920"/>
      <c r="BV684" s="920"/>
      <c r="BW684" s="920"/>
      <c r="BX684" s="920"/>
      <c r="BY684" s="920"/>
      <c r="BZ684" s="920"/>
      <c r="CA684" s="920"/>
      <c r="CB684" s="920"/>
      <c r="CC684" s="920"/>
      <c r="CD684" s="920"/>
      <c r="CE684" s="920"/>
      <c r="CF684" s="920"/>
      <c r="CG684" s="920"/>
      <c r="CH684" s="920"/>
      <c r="CI684" s="920"/>
      <c r="CJ684" s="920"/>
      <c r="CK684" s="920"/>
      <c r="CL684" s="920"/>
      <c r="CM684" s="920"/>
      <c r="CN684" s="920"/>
      <c r="CO684" s="920"/>
      <c r="CP684" s="920"/>
      <c r="CQ684" s="920"/>
      <c r="CR684" s="920"/>
      <c r="CS684" s="920"/>
      <c r="CT684" s="920"/>
      <c r="CU684" s="920"/>
      <c r="CV684" s="920"/>
      <c r="CW684" s="920"/>
      <c r="CX684" s="920"/>
      <c r="CY684" s="920"/>
      <c r="CZ684" s="920"/>
      <c r="DA684" s="920"/>
      <c r="DB684" s="920"/>
      <c r="DC684" s="920"/>
      <c r="DD684" s="920"/>
      <c r="DE684" s="920"/>
      <c r="DF684" s="920"/>
      <c r="DG684" s="920"/>
      <c r="DH684" s="920"/>
    </row>
    <row r="685" spans="1:112" s="347" customFormat="1" ht="15" x14ac:dyDescent="0.25">
      <c r="A685" s="605">
        <v>655</v>
      </c>
      <c r="B685" s="733" t="s">
        <v>3199</v>
      </c>
      <c r="C685" s="538"/>
      <c r="D685" s="538"/>
      <c r="E685" s="538"/>
      <c r="F685" s="538"/>
      <c r="G685" s="538"/>
      <c r="H685" s="1091"/>
      <c r="I685" s="921"/>
      <c r="J685" s="921"/>
      <c r="K685" s="921"/>
      <c r="L685" s="921"/>
      <c r="M685" s="921"/>
      <c r="N685" s="921"/>
      <c r="O685" s="921"/>
      <c r="P685" s="921"/>
      <c r="Q685" s="921"/>
      <c r="R685" s="921"/>
      <c r="S685" s="921"/>
      <c r="T685" s="921"/>
      <c r="U685" s="921"/>
      <c r="V685" s="921"/>
      <c r="W685" s="921"/>
      <c r="X685" s="921"/>
      <c r="Y685" s="921"/>
      <c r="Z685" s="921"/>
      <c r="AA685" s="921"/>
      <c r="AB685" s="921"/>
      <c r="AC685" s="921"/>
      <c r="AD685" s="921"/>
      <c r="AE685" s="921"/>
      <c r="AF685" s="921"/>
      <c r="AG685" s="921"/>
      <c r="AH685" s="921"/>
      <c r="AI685" s="921"/>
      <c r="AJ685" s="921"/>
      <c r="AK685" s="921"/>
      <c r="AL685" s="921"/>
      <c r="AM685" s="921"/>
      <c r="AN685" s="921"/>
      <c r="AO685" s="921"/>
      <c r="AP685" s="921"/>
      <c r="AQ685" s="921"/>
      <c r="AR685" s="921"/>
      <c r="AS685" s="921"/>
      <c r="AT685" s="921"/>
      <c r="AU685" s="921"/>
      <c r="AV685" s="921"/>
      <c r="AW685" s="921"/>
      <c r="AX685" s="921"/>
      <c r="AY685" s="921"/>
      <c r="AZ685" s="921"/>
      <c r="BA685" s="921"/>
      <c r="BB685" s="921"/>
      <c r="BC685" s="921"/>
      <c r="BD685" s="921"/>
      <c r="BE685" s="921"/>
      <c r="BF685" s="921"/>
      <c r="BG685" s="921"/>
      <c r="BH685" s="921"/>
      <c r="BI685" s="921"/>
      <c r="BJ685" s="921"/>
      <c r="BK685" s="921"/>
      <c r="BL685" s="921"/>
      <c r="BM685" s="921"/>
      <c r="BN685" s="921"/>
      <c r="BO685" s="921"/>
      <c r="BP685" s="921"/>
      <c r="BQ685" s="921"/>
      <c r="BR685" s="921"/>
      <c r="BS685" s="921"/>
      <c r="BT685" s="921"/>
      <c r="BU685" s="921"/>
      <c r="BV685" s="921"/>
      <c r="BW685" s="921"/>
      <c r="BX685" s="921"/>
      <c r="BY685" s="921"/>
      <c r="BZ685" s="921"/>
      <c r="CA685" s="921"/>
      <c r="CB685" s="921"/>
      <c r="CC685" s="921"/>
      <c r="CD685" s="921"/>
      <c r="CE685" s="921"/>
      <c r="CF685" s="921"/>
      <c r="CG685" s="921"/>
      <c r="CH685" s="921"/>
      <c r="CI685" s="921"/>
      <c r="CJ685" s="921"/>
      <c r="CK685" s="921"/>
      <c r="CL685" s="921"/>
      <c r="CM685" s="921"/>
      <c r="CN685" s="921"/>
      <c r="CO685" s="921"/>
      <c r="CP685" s="921"/>
      <c r="CQ685" s="921"/>
      <c r="CR685" s="921"/>
      <c r="CS685" s="921"/>
      <c r="CT685" s="921"/>
      <c r="CU685" s="921"/>
      <c r="CV685" s="921"/>
      <c r="CW685" s="921"/>
      <c r="CX685" s="921"/>
      <c r="CY685" s="921"/>
      <c r="CZ685" s="921"/>
      <c r="DA685" s="921"/>
      <c r="DB685" s="921"/>
      <c r="DC685" s="921"/>
      <c r="DD685" s="921"/>
      <c r="DE685" s="921"/>
      <c r="DF685" s="921"/>
      <c r="DG685" s="921"/>
      <c r="DH685" s="921"/>
    </row>
    <row r="686" spans="1:112" s="347" customFormat="1" ht="15" x14ac:dyDescent="0.25">
      <c r="A686" s="605">
        <v>656</v>
      </c>
      <c r="B686" s="733" t="s">
        <v>3198</v>
      </c>
      <c r="C686" s="538"/>
      <c r="D686" s="538"/>
      <c r="E686" s="538"/>
      <c r="F686" s="538"/>
      <c r="G686" s="538"/>
      <c r="H686" s="1091"/>
      <c r="I686" s="921"/>
      <c r="J686" s="921"/>
      <c r="K686" s="921"/>
      <c r="L686" s="921"/>
      <c r="M686" s="921"/>
      <c r="N686" s="921"/>
      <c r="O686" s="921"/>
      <c r="P686" s="921"/>
      <c r="Q686" s="921"/>
      <c r="R686" s="921"/>
      <c r="S686" s="921"/>
      <c r="T686" s="921"/>
      <c r="U686" s="921"/>
      <c r="V686" s="921"/>
      <c r="W686" s="921"/>
      <c r="X686" s="921"/>
      <c r="Y686" s="921"/>
      <c r="Z686" s="921"/>
      <c r="AA686" s="921"/>
      <c r="AB686" s="921"/>
      <c r="AC686" s="921"/>
      <c r="AD686" s="921"/>
      <c r="AE686" s="921"/>
      <c r="AF686" s="921"/>
      <c r="AG686" s="921"/>
      <c r="AH686" s="921"/>
      <c r="AI686" s="921"/>
      <c r="AJ686" s="921"/>
      <c r="AK686" s="921"/>
      <c r="AL686" s="921"/>
      <c r="AM686" s="921"/>
      <c r="AN686" s="921"/>
      <c r="AO686" s="921"/>
      <c r="AP686" s="921"/>
      <c r="AQ686" s="921"/>
      <c r="AR686" s="921"/>
      <c r="AS686" s="921"/>
      <c r="AT686" s="921"/>
      <c r="AU686" s="921"/>
      <c r="AV686" s="921"/>
      <c r="AW686" s="921"/>
      <c r="AX686" s="921"/>
      <c r="AY686" s="921"/>
      <c r="AZ686" s="921"/>
      <c r="BA686" s="921"/>
      <c r="BB686" s="921"/>
      <c r="BC686" s="921"/>
      <c r="BD686" s="921"/>
      <c r="BE686" s="921"/>
      <c r="BF686" s="921"/>
      <c r="BG686" s="921"/>
      <c r="BH686" s="921"/>
      <c r="BI686" s="921"/>
      <c r="BJ686" s="921"/>
      <c r="BK686" s="921"/>
      <c r="BL686" s="921"/>
      <c r="BM686" s="921"/>
      <c r="BN686" s="921"/>
      <c r="BO686" s="921"/>
      <c r="BP686" s="921"/>
      <c r="BQ686" s="921"/>
      <c r="BR686" s="921"/>
      <c r="BS686" s="921"/>
      <c r="BT686" s="921"/>
      <c r="BU686" s="921"/>
      <c r="BV686" s="921"/>
      <c r="BW686" s="921"/>
      <c r="BX686" s="921"/>
      <c r="BY686" s="921"/>
      <c r="BZ686" s="921"/>
      <c r="CA686" s="921"/>
      <c r="CB686" s="921"/>
      <c r="CC686" s="921"/>
      <c r="CD686" s="921"/>
      <c r="CE686" s="921"/>
      <c r="CF686" s="921"/>
      <c r="CG686" s="921"/>
      <c r="CH686" s="921"/>
      <c r="CI686" s="921"/>
      <c r="CJ686" s="921"/>
      <c r="CK686" s="921"/>
      <c r="CL686" s="921"/>
      <c r="CM686" s="921"/>
      <c r="CN686" s="921"/>
      <c r="CO686" s="921"/>
      <c r="CP686" s="921"/>
      <c r="CQ686" s="921"/>
      <c r="CR686" s="921"/>
      <c r="CS686" s="921"/>
      <c r="CT686" s="921"/>
      <c r="CU686" s="921"/>
      <c r="CV686" s="921"/>
      <c r="CW686" s="921"/>
      <c r="CX686" s="921"/>
      <c r="CY686" s="921"/>
      <c r="CZ686" s="921"/>
      <c r="DA686" s="921"/>
      <c r="DB686" s="921"/>
      <c r="DC686" s="921"/>
      <c r="DD686" s="921"/>
      <c r="DE686" s="921"/>
      <c r="DF686" s="921"/>
      <c r="DG686" s="921"/>
      <c r="DH686" s="921"/>
    </row>
    <row r="687" spans="1:112" s="347" customFormat="1" ht="15" x14ac:dyDescent="0.25">
      <c r="A687" s="605">
        <v>657</v>
      </c>
      <c r="B687" s="733" t="s">
        <v>3197</v>
      </c>
      <c r="C687" s="538"/>
      <c r="D687" s="538"/>
      <c r="E687" s="538"/>
      <c r="F687" s="538"/>
      <c r="G687" s="538"/>
      <c r="H687" s="1091"/>
      <c r="I687" s="921"/>
      <c r="J687" s="921"/>
      <c r="K687" s="921"/>
      <c r="L687" s="921"/>
      <c r="M687" s="921"/>
      <c r="N687" s="921"/>
      <c r="O687" s="921"/>
      <c r="P687" s="921"/>
      <c r="Q687" s="921"/>
      <c r="R687" s="921"/>
      <c r="S687" s="921"/>
      <c r="T687" s="921"/>
      <c r="U687" s="921"/>
      <c r="V687" s="921"/>
      <c r="W687" s="921"/>
      <c r="X687" s="921"/>
      <c r="Y687" s="921"/>
      <c r="Z687" s="921"/>
      <c r="AA687" s="921"/>
      <c r="AB687" s="921"/>
      <c r="AC687" s="921"/>
      <c r="AD687" s="921"/>
      <c r="AE687" s="921"/>
      <c r="AF687" s="921"/>
      <c r="AG687" s="921"/>
      <c r="AH687" s="921"/>
      <c r="AI687" s="921"/>
      <c r="AJ687" s="921"/>
      <c r="AK687" s="921"/>
      <c r="AL687" s="921"/>
      <c r="AM687" s="921"/>
      <c r="AN687" s="921"/>
      <c r="AO687" s="921"/>
      <c r="AP687" s="921"/>
      <c r="AQ687" s="921"/>
      <c r="AR687" s="921"/>
      <c r="AS687" s="921"/>
      <c r="AT687" s="921"/>
      <c r="AU687" s="921"/>
      <c r="AV687" s="921"/>
      <c r="AW687" s="921"/>
      <c r="AX687" s="921"/>
      <c r="AY687" s="921"/>
      <c r="AZ687" s="921"/>
      <c r="BA687" s="921"/>
      <c r="BB687" s="921"/>
      <c r="BC687" s="921"/>
      <c r="BD687" s="921"/>
      <c r="BE687" s="921"/>
      <c r="BF687" s="921"/>
      <c r="BG687" s="921"/>
      <c r="BH687" s="921"/>
      <c r="BI687" s="921"/>
      <c r="BJ687" s="921"/>
      <c r="BK687" s="921"/>
      <c r="BL687" s="921"/>
      <c r="BM687" s="921"/>
      <c r="BN687" s="921"/>
      <c r="BO687" s="921"/>
      <c r="BP687" s="921"/>
      <c r="BQ687" s="921"/>
      <c r="BR687" s="921"/>
      <c r="BS687" s="921"/>
      <c r="BT687" s="921"/>
      <c r="BU687" s="921"/>
      <c r="BV687" s="921"/>
      <c r="BW687" s="921"/>
      <c r="BX687" s="921"/>
      <c r="BY687" s="921"/>
      <c r="BZ687" s="921"/>
      <c r="CA687" s="921"/>
      <c r="CB687" s="921"/>
      <c r="CC687" s="921"/>
      <c r="CD687" s="921"/>
      <c r="CE687" s="921"/>
      <c r="CF687" s="921"/>
      <c r="CG687" s="921"/>
      <c r="CH687" s="921"/>
      <c r="CI687" s="921"/>
      <c r="CJ687" s="921"/>
      <c r="CK687" s="921"/>
      <c r="CL687" s="921"/>
      <c r="CM687" s="921"/>
      <c r="CN687" s="921"/>
      <c r="CO687" s="921"/>
      <c r="CP687" s="921"/>
      <c r="CQ687" s="921"/>
      <c r="CR687" s="921"/>
      <c r="CS687" s="921"/>
      <c r="CT687" s="921"/>
      <c r="CU687" s="921"/>
      <c r="CV687" s="921"/>
      <c r="CW687" s="921"/>
      <c r="CX687" s="921"/>
      <c r="CY687" s="921"/>
      <c r="CZ687" s="921"/>
      <c r="DA687" s="921"/>
      <c r="DB687" s="921"/>
      <c r="DC687" s="921"/>
      <c r="DD687" s="921"/>
      <c r="DE687" s="921"/>
      <c r="DF687" s="921"/>
      <c r="DG687" s="921"/>
      <c r="DH687" s="921"/>
    </row>
    <row r="688" spans="1:112" s="347" customFormat="1" ht="15" x14ac:dyDescent="0.25">
      <c r="A688" s="605">
        <v>658</v>
      </c>
      <c r="B688" s="733" t="s">
        <v>3196</v>
      </c>
      <c r="C688" s="538"/>
      <c r="D688" s="538"/>
      <c r="E688" s="538"/>
      <c r="F688" s="538"/>
      <c r="G688" s="538"/>
      <c r="H688" s="1091"/>
      <c r="I688" s="921"/>
      <c r="J688" s="921"/>
      <c r="K688" s="921"/>
      <c r="L688" s="921"/>
      <c r="M688" s="921"/>
      <c r="N688" s="921"/>
      <c r="O688" s="921"/>
      <c r="P688" s="921"/>
      <c r="Q688" s="921"/>
      <c r="R688" s="921"/>
      <c r="S688" s="921"/>
      <c r="T688" s="921"/>
      <c r="U688" s="921"/>
      <c r="V688" s="921"/>
      <c r="W688" s="921"/>
      <c r="X688" s="921"/>
      <c r="Y688" s="921"/>
      <c r="Z688" s="921"/>
      <c r="AA688" s="921"/>
      <c r="AB688" s="921"/>
      <c r="AC688" s="921"/>
      <c r="AD688" s="921"/>
      <c r="AE688" s="921"/>
      <c r="AF688" s="921"/>
      <c r="AG688" s="921"/>
      <c r="AH688" s="921"/>
      <c r="AI688" s="921"/>
      <c r="AJ688" s="921"/>
      <c r="AK688" s="921"/>
      <c r="AL688" s="921"/>
      <c r="AM688" s="921"/>
      <c r="AN688" s="921"/>
      <c r="AO688" s="921"/>
      <c r="AP688" s="921"/>
      <c r="AQ688" s="921"/>
      <c r="AR688" s="921"/>
      <c r="AS688" s="921"/>
      <c r="AT688" s="921"/>
      <c r="AU688" s="921"/>
      <c r="AV688" s="921"/>
      <c r="AW688" s="921"/>
      <c r="AX688" s="921"/>
      <c r="AY688" s="921"/>
      <c r="AZ688" s="921"/>
      <c r="BA688" s="921"/>
      <c r="BB688" s="921"/>
      <c r="BC688" s="921"/>
      <c r="BD688" s="921"/>
      <c r="BE688" s="921"/>
      <c r="BF688" s="921"/>
      <c r="BG688" s="921"/>
      <c r="BH688" s="921"/>
      <c r="BI688" s="921"/>
      <c r="BJ688" s="921"/>
      <c r="BK688" s="921"/>
      <c r="BL688" s="921"/>
      <c r="BM688" s="921"/>
      <c r="BN688" s="921"/>
      <c r="BO688" s="921"/>
      <c r="BP688" s="921"/>
      <c r="BQ688" s="921"/>
      <c r="BR688" s="921"/>
      <c r="BS688" s="921"/>
      <c r="BT688" s="921"/>
      <c r="BU688" s="921"/>
      <c r="BV688" s="921"/>
      <c r="BW688" s="921"/>
      <c r="BX688" s="921"/>
      <c r="BY688" s="921"/>
      <c r="BZ688" s="921"/>
      <c r="CA688" s="921"/>
      <c r="CB688" s="921"/>
      <c r="CC688" s="921"/>
      <c r="CD688" s="921"/>
      <c r="CE688" s="921"/>
      <c r="CF688" s="921"/>
      <c r="CG688" s="921"/>
      <c r="CH688" s="921"/>
      <c r="CI688" s="921"/>
      <c r="CJ688" s="921"/>
      <c r="CK688" s="921"/>
      <c r="CL688" s="921"/>
      <c r="CM688" s="921"/>
      <c r="CN688" s="921"/>
      <c r="CO688" s="921"/>
      <c r="CP688" s="921"/>
      <c r="CQ688" s="921"/>
      <c r="CR688" s="921"/>
      <c r="CS688" s="921"/>
      <c r="CT688" s="921"/>
      <c r="CU688" s="921"/>
      <c r="CV688" s="921"/>
      <c r="CW688" s="921"/>
      <c r="CX688" s="921"/>
      <c r="CY688" s="921"/>
      <c r="CZ688" s="921"/>
      <c r="DA688" s="921"/>
      <c r="DB688" s="921"/>
      <c r="DC688" s="921"/>
      <c r="DD688" s="921"/>
      <c r="DE688" s="921"/>
      <c r="DF688" s="921"/>
      <c r="DG688" s="921"/>
      <c r="DH688" s="921"/>
    </row>
    <row r="689" spans="1:112" ht="15" x14ac:dyDescent="0.25">
      <c r="A689" s="605">
        <v>659</v>
      </c>
      <c r="B689" s="922" t="s">
        <v>3195</v>
      </c>
      <c r="C689" s="534"/>
      <c r="D689" s="534"/>
      <c r="E689" s="534"/>
      <c r="F689" s="534"/>
      <c r="G689" s="534"/>
      <c r="H689" s="1090"/>
      <c r="I689" s="921"/>
      <c r="J689" s="921"/>
      <c r="K689" s="921"/>
      <c r="L689" s="921"/>
      <c r="M689" s="921"/>
      <c r="N689" s="921"/>
      <c r="O689" s="921"/>
      <c r="P689" s="921"/>
      <c r="Q689" s="921"/>
      <c r="R689" s="921"/>
      <c r="S689" s="921"/>
      <c r="T689" s="921"/>
      <c r="U689" s="921"/>
      <c r="V689" s="921"/>
      <c r="W689" s="921"/>
      <c r="X689" s="921"/>
      <c r="Y689" s="921"/>
      <c r="Z689" s="921"/>
      <c r="AA689" s="921"/>
      <c r="AB689" s="921"/>
      <c r="AC689" s="921"/>
      <c r="AD689" s="921"/>
      <c r="AE689" s="921"/>
      <c r="AF689" s="921"/>
      <c r="AG689" s="921"/>
      <c r="AH689" s="921"/>
      <c r="AI689" s="921"/>
      <c r="AJ689" s="921"/>
      <c r="AK689" s="921"/>
      <c r="AL689" s="921"/>
      <c r="AM689" s="921"/>
      <c r="AN689" s="921"/>
      <c r="AO689" s="921"/>
      <c r="AP689" s="921"/>
      <c r="AQ689" s="921"/>
      <c r="AR689" s="921"/>
      <c r="AS689" s="921"/>
      <c r="AT689" s="921"/>
      <c r="AU689" s="921"/>
      <c r="AV689" s="921"/>
      <c r="AW689" s="921"/>
      <c r="AX689" s="921"/>
      <c r="AY689" s="921"/>
      <c r="AZ689" s="921"/>
      <c r="BA689" s="921"/>
      <c r="BB689" s="921"/>
      <c r="BC689" s="921"/>
      <c r="BD689" s="921"/>
      <c r="BE689" s="921"/>
      <c r="BF689" s="920"/>
      <c r="BG689" s="920"/>
      <c r="BH689" s="920"/>
      <c r="BI689" s="920"/>
      <c r="BJ689" s="920"/>
      <c r="BK689" s="920"/>
      <c r="BL689" s="920"/>
      <c r="BM689" s="920"/>
      <c r="BN689" s="920"/>
      <c r="BO689" s="920"/>
      <c r="BP689" s="920"/>
      <c r="BQ689" s="920"/>
      <c r="BR689" s="920"/>
      <c r="BS689" s="920"/>
      <c r="BT689" s="920"/>
      <c r="BU689" s="920"/>
      <c r="BV689" s="920"/>
      <c r="BW689" s="920"/>
      <c r="BX689" s="920"/>
      <c r="BY689" s="920"/>
      <c r="BZ689" s="920"/>
      <c r="CA689" s="920"/>
      <c r="CB689" s="920"/>
      <c r="CC689" s="920"/>
      <c r="CD689" s="920"/>
      <c r="CE689" s="920"/>
      <c r="CF689" s="920"/>
      <c r="CG689" s="920"/>
      <c r="CH689" s="920"/>
      <c r="CI689" s="920"/>
      <c r="CJ689" s="920"/>
      <c r="CK689" s="920"/>
      <c r="CL689" s="920"/>
      <c r="CM689" s="920"/>
      <c r="CN689" s="920"/>
      <c r="CO689" s="920"/>
      <c r="CP689" s="920"/>
      <c r="CQ689" s="920"/>
      <c r="CR689" s="920"/>
      <c r="CS689" s="920"/>
      <c r="CT689" s="920"/>
      <c r="CU689" s="920"/>
      <c r="CV689" s="920"/>
      <c r="CW689" s="920"/>
      <c r="CX689" s="920"/>
      <c r="CY689" s="920"/>
      <c r="CZ689" s="920"/>
      <c r="DA689" s="920"/>
      <c r="DB689" s="920"/>
      <c r="DC689" s="920"/>
      <c r="DD689" s="920"/>
      <c r="DE689" s="920"/>
      <c r="DF689" s="920"/>
      <c r="DG689" s="920"/>
      <c r="DH689" s="920"/>
    </row>
    <row r="690" spans="1:112" ht="15" x14ac:dyDescent="0.25">
      <c r="A690" s="605">
        <v>660</v>
      </c>
      <c r="B690" s="922" t="s">
        <v>3194</v>
      </c>
      <c r="C690" s="534"/>
      <c r="D690" s="534"/>
      <c r="E690" s="534"/>
      <c r="F690" s="534"/>
      <c r="G690" s="534"/>
      <c r="H690" s="1090"/>
      <c r="I690" s="921"/>
      <c r="J690" s="921"/>
      <c r="K690" s="921"/>
      <c r="L690" s="921"/>
      <c r="M690" s="921"/>
      <c r="N690" s="921"/>
      <c r="O690" s="921"/>
      <c r="P690" s="921"/>
      <c r="Q690" s="921"/>
      <c r="R690" s="921"/>
      <c r="S690" s="921"/>
      <c r="T690" s="921"/>
      <c r="U690" s="921"/>
      <c r="V690" s="921"/>
      <c r="W690" s="921"/>
      <c r="X690" s="921"/>
      <c r="Y690" s="921"/>
      <c r="Z690" s="921"/>
      <c r="AA690" s="921"/>
      <c r="AB690" s="921"/>
      <c r="AC690" s="921"/>
      <c r="AD690" s="921"/>
      <c r="AE690" s="921"/>
      <c r="AF690" s="921"/>
      <c r="AG690" s="921"/>
      <c r="AH690" s="921"/>
      <c r="AI690" s="921"/>
      <c r="AJ690" s="921"/>
      <c r="AK690" s="921"/>
      <c r="AL690" s="921"/>
      <c r="AM690" s="921"/>
      <c r="AN690" s="921"/>
      <c r="AO690" s="921"/>
      <c r="AP690" s="921"/>
      <c r="AQ690" s="921"/>
      <c r="AR690" s="921"/>
      <c r="AS690" s="921"/>
      <c r="AT690" s="921"/>
      <c r="AU690" s="921"/>
      <c r="AV690" s="921"/>
      <c r="AW690" s="921"/>
      <c r="AX690" s="921"/>
      <c r="AY690" s="921"/>
      <c r="AZ690" s="921"/>
      <c r="BA690" s="921"/>
      <c r="BB690" s="921"/>
      <c r="BC690" s="921"/>
      <c r="BD690" s="921"/>
      <c r="BE690" s="921"/>
      <c r="BF690" s="920"/>
      <c r="BG690" s="920"/>
      <c r="BH690" s="920"/>
      <c r="BI690" s="920"/>
      <c r="BJ690" s="920"/>
      <c r="BK690" s="920"/>
      <c r="BL690" s="920"/>
      <c r="BM690" s="920"/>
      <c r="BN690" s="920"/>
      <c r="BO690" s="920"/>
      <c r="BP690" s="920"/>
      <c r="BQ690" s="920"/>
      <c r="BR690" s="920"/>
      <c r="BS690" s="920"/>
      <c r="BT690" s="920"/>
      <c r="BU690" s="920"/>
      <c r="BV690" s="920"/>
      <c r="BW690" s="920"/>
      <c r="BX690" s="920"/>
      <c r="BY690" s="920"/>
      <c r="BZ690" s="920"/>
      <c r="CA690" s="920"/>
      <c r="CB690" s="920"/>
      <c r="CC690" s="920"/>
      <c r="CD690" s="920"/>
      <c r="CE690" s="920"/>
      <c r="CF690" s="920"/>
      <c r="CG690" s="920"/>
      <c r="CH690" s="920"/>
      <c r="CI690" s="920"/>
      <c r="CJ690" s="920"/>
      <c r="CK690" s="920"/>
      <c r="CL690" s="920"/>
      <c r="CM690" s="920"/>
      <c r="CN690" s="920"/>
      <c r="CO690" s="920"/>
      <c r="CP690" s="920"/>
      <c r="CQ690" s="920"/>
      <c r="CR690" s="920"/>
      <c r="CS690" s="920"/>
      <c r="CT690" s="920"/>
      <c r="CU690" s="920"/>
      <c r="CV690" s="920"/>
      <c r="CW690" s="920"/>
      <c r="CX690" s="920"/>
      <c r="CY690" s="920"/>
      <c r="CZ690" s="920"/>
      <c r="DA690" s="920"/>
      <c r="DB690" s="920"/>
      <c r="DC690" s="920"/>
      <c r="DD690" s="920"/>
      <c r="DE690" s="920"/>
      <c r="DF690" s="920"/>
      <c r="DG690" s="920"/>
      <c r="DH690" s="920"/>
    </row>
    <row r="691" spans="1:112" ht="15" x14ac:dyDescent="0.25">
      <c r="A691" s="605">
        <v>661</v>
      </c>
      <c r="B691" s="922" t="s">
        <v>3193</v>
      </c>
      <c r="C691" s="534"/>
      <c r="D691" s="534"/>
      <c r="E691" s="534"/>
      <c r="F691" s="534"/>
      <c r="G691" s="534"/>
      <c r="H691" s="1090"/>
      <c r="I691" s="921"/>
      <c r="J691" s="921"/>
      <c r="K691" s="921"/>
      <c r="L691" s="921"/>
      <c r="M691" s="921"/>
      <c r="N691" s="921"/>
      <c r="O691" s="921"/>
      <c r="P691" s="921"/>
      <c r="Q691" s="921"/>
      <c r="R691" s="921"/>
      <c r="S691" s="921"/>
      <c r="T691" s="921"/>
      <c r="U691" s="921"/>
      <c r="V691" s="921"/>
      <c r="W691" s="921"/>
      <c r="X691" s="921"/>
      <c r="Y691" s="921"/>
      <c r="Z691" s="921"/>
      <c r="AA691" s="921"/>
      <c r="AB691" s="921"/>
      <c r="AC691" s="921"/>
      <c r="AD691" s="921"/>
      <c r="AE691" s="921"/>
      <c r="AF691" s="921"/>
      <c r="AG691" s="921"/>
      <c r="AH691" s="921"/>
      <c r="AI691" s="921"/>
      <c r="AJ691" s="921"/>
      <c r="AK691" s="921"/>
      <c r="AL691" s="921"/>
      <c r="AM691" s="921"/>
      <c r="AN691" s="921"/>
      <c r="AO691" s="921"/>
      <c r="AP691" s="921"/>
      <c r="AQ691" s="921"/>
      <c r="AR691" s="921"/>
      <c r="AS691" s="921"/>
      <c r="AT691" s="921"/>
      <c r="AU691" s="921"/>
      <c r="AV691" s="921"/>
      <c r="AW691" s="921"/>
      <c r="AX691" s="921"/>
      <c r="AY691" s="921"/>
      <c r="AZ691" s="921"/>
      <c r="BA691" s="921"/>
      <c r="BB691" s="921"/>
      <c r="BC691" s="921"/>
      <c r="BD691" s="921"/>
      <c r="BE691" s="921"/>
      <c r="BF691" s="920"/>
      <c r="BG691" s="920"/>
      <c r="BH691" s="920"/>
      <c r="BI691" s="920"/>
      <c r="BJ691" s="920"/>
      <c r="BK691" s="920"/>
      <c r="BL691" s="920"/>
      <c r="BM691" s="920"/>
      <c r="BN691" s="920"/>
      <c r="BO691" s="920"/>
      <c r="BP691" s="920"/>
      <c r="BQ691" s="920"/>
      <c r="BR691" s="920"/>
      <c r="BS691" s="920"/>
      <c r="BT691" s="920"/>
      <c r="BU691" s="920"/>
      <c r="BV691" s="920"/>
      <c r="BW691" s="920"/>
      <c r="BX691" s="920"/>
      <c r="BY691" s="920"/>
      <c r="BZ691" s="920"/>
      <c r="CA691" s="920"/>
      <c r="CB691" s="920"/>
      <c r="CC691" s="920"/>
      <c r="CD691" s="920"/>
      <c r="CE691" s="920"/>
      <c r="CF691" s="920"/>
      <c r="CG691" s="920"/>
      <c r="CH691" s="920"/>
      <c r="CI691" s="920"/>
      <c r="CJ691" s="920"/>
      <c r="CK691" s="920"/>
      <c r="CL691" s="920"/>
      <c r="CM691" s="920"/>
      <c r="CN691" s="920"/>
      <c r="CO691" s="920"/>
      <c r="CP691" s="920"/>
      <c r="CQ691" s="920"/>
      <c r="CR691" s="920"/>
      <c r="CS691" s="920"/>
      <c r="CT691" s="920"/>
      <c r="CU691" s="920"/>
      <c r="CV691" s="920"/>
      <c r="CW691" s="920"/>
      <c r="CX691" s="920"/>
      <c r="CY691" s="920"/>
      <c r="CZ691" s="920"/>
      <c r="DA691" s="920"/>
      <c r="DB691" s="920"/>
      <c r="DC691" s="920"/>
      <c r="DD691" s="920"/>
      <c r="DE691" s="920"/>
      <c r="DF691" s="920"/>
      <c r="DG691" s="920"/>
      <c r="DH691" s="920"/>
    </row>
    <row r="692" spans="1:112" ht="15" x14ac:dyDescent="0.25">
      <c r="A692" s="605">
        <v>662</v>
      </c>
      <c r="B692" s="852" t="s">
        <v>3192</v>
      </c>
      <c r="C692" s="845"/>
      <c r="D692" s="845"/>
      <c r="E692" s="845"/>
      <c r="F692" s="845"/>
      <c r="G692" s="845"/>
      <c r="H692" s="1029"/>
      <c r="AF692" s="347"/>
      <c r="AG692" s="347"/>
      <c r="AH692" s="347"/>
      <c r="AI692" s="347"/>
      <c r="AJ692" s="347"/>
      <c r="AK692" s="347"/>
      <c r="AL692" s="347"/>
      <c r="AM692" s="347"/>
      <c r="AN692" s="347"/>
      <c r="AO692" s="347"/>
      <c r="AP692" s="347"/>
      <c r="AQ692" s="347"/>
      <c r="AR692" s="347"/>
      <c r="AS692" s="347"/>
      <c r="AT692" s="347"/>
      <c r="AU692" s="347"/>
      <c r="AV692" s="347"/>
      <c r="AW692" s="347"/>
      <c r="AX692" s="347"/>
      <c r="AY692" s="347"/>
    </row>
    <row r="693" spans="1:112" ht="15" x14ac:dyDescent="0.2">
      <c r="A693" s="605">
        <v>663</v>
      </c>
      <c r="B693" s="777" t="s">
        <v>3191</v>
      </c>
      <c r="C693" s="777"/>
      <c r="D693" s="777"/>
      <c r="E693" s="777"/>
      <c r="F693" s="777"/>
      <c r="G693" s="777"/>
      <c r="H693" s="1030"/>
      <c r="AF693" s="347"/>
      <c r="AG693" s="347"/>
      <c r="AH693" s="347"/>
      <c r="AI693" s="347"/>
      <c r="AJ693" s="347"/>
      <c r="AK693" s="347"/>
      <c r="AL693" s="347"/>
      <c r="AM693" s="347"/>
      <c r="AN693" s="347"/>
      <c r="AO693" s="347"/>
      <c r="AP693" s="347"/>
      <c r="AQ693" s="347"/>
      <c r="AR693" s="347"/>
      <c r="AS693" s="347"/>
      <c r="AT693" s="347"/>
      <c r="AU693" s="347"/>
      <c r="AV693" s="347"/>
      <c r="AW693" s="347"/>
      <c r="AX693" s="347"/>
      <c r="AY693" s="347"/>
    </row>
    <row r="694" spans="1:112" ht="30" x14ac:dyDescent="0.25">
      <c r="A694" s="605">
        <v>664</v>
      </c>
      <c r="B694" s="808" t="s">
        <v>3190</v>
      </c>
      <c r="C694" s="278"/>
      <c r="D694" s="278"/>
      <c r="E694" s="278"/>
      <c r="F694" s="278"/>
      <c r="G694" s="278"/>
      <c r="H694" s="1092"/>
      <c r="AF694" s="347"/>
      <c r="AG694" s="347"/>
      <c r="AH694" s="347"/>
      <c r="AI694" s="347"/>
      <c r="AJ694" s="347"/>
      <c r="AK694" s="347"/>
      <c r="AL694" s="347"/>
      <c r="AM694" s="347"/>
      <c r="AN694" s="347"/>
      <c r="AO694" s="347"/>
      <c r="AP694" s="347"/>
      <c r="AQ694" s="347"/>
      <c r="AR694" s="347"/>
      <c r="AS694" s="347"/>
      <c r="AT694" s="347"/>
      <c r="AU694" s="347"/>
      <c r="AV694" s="347"/>
      <c r="AW694" s="347"/>
      <c r="AX694" s="347"/>
      <c r="AY694" s="347"/>
    </row>
    <row r="695" spans="1:112" ht="15" x14ac:dyDescent="0.25">
      <c r="A695" s="605">
        <v>665</v>
      </c>
      <c r="B695" s="919" t="s">
        <v>236</v>
      </c>
      <c r="C695" s="773"/>
      <c r="D695" s="773"/>
      <c r="E695" s="773"/>
      <c r="F695" s="773"/>
      <c r="G695" s="773"/>
      <c r="H695" s="1092"/>
      <c r="AF695" s="347"/>
      <c r="AG695" s="347"/>
      <c r="AH695" s="347"/>
      <c r="AI695" s="347"/>
      <c r="AJ695" s="347"/>
      <c r="AK695" s="347"/>
      <c r="AL695" s="347"/>
      <c r="AM695" s="347"/>
      <c r="AN695" s="347"/>
      <c r="AO695" s="347"/>
      <c r="AP695" s="347"/>
      <c r="AQ695" s="347"/>
      <c r="AR695" s="347"/>
      <c r="AS695" s="347"/>
      <c r="AT695" s="347"/>
      <c r="AU695" s="347"/>
      <c r="AV695" s="347"/>
      <c r="AW695" s="347"/>
      <c r="AX695" s="347"/>
      <c r="AY695" s="347"/>
    </row>
    <row r="696" spans="1:112" ht="15" x14ac:dyDescent="0.25">
      <c r="A696" s="605">
        <v>666</v>
      </c>
      <c r="B696" s="919" t="s">
        <v>100</v>
      </c>
      <c r="C696" s="773"/>
      <c r="D696" s="773"/>
      <c r="E696" s="773"/>
      <c r="F696" s="773"/>
      <c r="G696" s="773"/>
      <c r="H696" s="1092"/>
      <c r="AF696" s="347"/>
      <c r="AG696" s="347"/>
      <c r="AH696" s="347"/>
      <c r="AI696" s="347"/>
      <c r="AJ696" s="347"/>
      <c r="AK696" s="347"/>
      <c r="AL696" s="347"/>
      <c r="AM696" s="347"/>
      <c r="AN696" s="347"/>
      <c r="AO696" s="347"/>
      <c r="AP696" s="347"/>
      <c r="AQ696" s="347"/>
      <c r="AR696" s="347"/>
      <c r="AS696" s="347"/>
      <c r="AT696" s="347"/>
      <c r="AU696" s="347"/>
      <c r="AV696" s="347"/>
      <c r="AW696" s="347"/>
      <c r="AX696" s="347"/>
      <c r="AY696" s="347"/>
    </row>
    <row r="697" spans="1:112" s="347" customFormat="1" ht="15" x14ac:dyDescent="0.25">
      <c r="A697" s="605">
        <v>667</v>
      </c>
      <c r="B697" s="807" t="s">
        <v>1895</v>
      </c>
      <c r="C697" s="773"/>
      <c r="D697" s="773"/>
      <c r="E697" s="773"/>
      <c r="F697" s="773"/>
      <c r="G697" s="773"/>
      <c r="H697" s="1093"/>
    </row>
    <row r="698" spans="1:112" ht="15" x14ac:dyDescent="0.25">
      <c r="A698" s="605">
        <v>668</v>
      </c>
      <c r="B698" s="807" t="s">
        <v>1908</v>
      </c>
      <c r="C698" s="773"/>
      <c r="D698" s="773"/>
      <c r="E698" s="773"/>
      <c r="F698" s="773"/>
      <c r="G698" s="773"/>
      <c r="H698" s="1093"/>
      <c r="AF698" s="347"/>
      <c r="AG698" s="347"/>
      <c r="AH698" s="347"/>
      <c r="AI698" s="347"/>
      <c r="AJ698" s="347"/>
      <c r="AK698" s="347"/>
      <c r="AL698" s="347"/>
      <c r="AM698" s="347"/>
      <c r="AN698" s="347"/>
      <c r="AO698" s="347"/>
      <c r="AP698" s="347"/>
      <c r="AQ698" s="347"/>
      <c r="AR698" s="347"/>
      <c r="AS698" s="347"/>
      <c r="AT698" s="347"/>
      <c r="AU698" s="347"/>
      <c r="AV698" s="347"/>
      <c r="AW698" s="347"/>
      <c r="AX698" s="347"/>
      <c r="AY698" s="347"/>
    </row>
    <row r="699" spans="1:112" ht="15" x14ac:dyDescent="0.25">
      <c r="A699" s="605">
        <v>669</v>
      </c>
      <c r="B699" s="807" t="s">
        <v>1915</v>
      </c>
      <c r="C699" s="773"/>
      <c r="D699" s="773"/>
      <c r="E699" s="773"/>
      <c r="F699" s="773"/>
      <c r="G699" s="773"/>
      <c r="H699" s="1093"/>
      <c r="AF699" s="347"/>
      <c r="AG699" s="347"/>
      <c r="AH699" s="347"/>
      <c r="AI699" s="347"/>
      <c r="AJ699" s="347"/>
      <c r="AK699" s="347"/>
      <c r="AL699" s="347"/>
      <c r="AM699" s="347"/>
      <c r="AN699" s="347"/>
      <c r="AO699" s="347"/>
      <c r="AP699" s="347"/>
      <c r="AQ699" s="347"/>
      <c r="AR699" s="347"/>
      <c r="AS699" s="347"/>
      <c r="AT699" s="347"/>
      <c r="AU699" s="347"/>
      <c r="AV699" s="347"/>
      <c r="AW699" s="347"/>
      <c r="AX699" s="347"/>
      <c r="AY699" s="347"/>
    </row>
    <row r="700" spans="1:112" ht="15" x14ac:dyDescent="0.25">
      <c r="A700" s="605">
        <v>670</v>
      </c>
      <c r="B700" s="807" t="s">
        <v>1907</v>
      </c>
      <c r="C700" s="773"/>
      <c r="D700" s="773"/>
      <c r="E700" s="773"/>
      <c r="F700" s="773"/>
      <c r="G700" s="773"/>
      <c r="H700" s="1093"/>
      <c r="AF700" s="347"/>
      <c r="AG700" s="347"/>
      <c r="AH700" s="347"/>
      <c r="AI700" s="347"/>
      <c r="AJ700" s="347"/>
      <c r="AK700" s="347"/>
      <c r="AL700" s="347"/>
      <c r="AM700" s="347"/>
      <c r="AN700" s="347"/>
      <c r="AO700" s="347"/>
      <c r="AP700" s="347"/>
      <c r="AQ700" s="347"/>
      <c r="AR700" s="347"/>
      <c r="AS700" s="347"/>
      <c r="AT700" s="347"/>
      <c r="AU700" s="347"/>
      <c r="AV700" s="347"/>
      <c r="AW700" s="347"/>
      <c r="AX700" s="347"/>
      <c r="AY700" s="347"/>
    </row>
    <row r="701" spans="1:112" ht="15" x14ac:dyDescent="0.25">
      <c r="A701" s="605">
        <v>671</v>
      </c>
      <c r="B701" s="807" t="s">
        <v>625</v>
      </c>
      <c r="C701" s="773"/>
      <c r="D701" s="773"/>
      <c r="E701" s="773"/>
      <c r="F701" s="773"/>
      <c r="G701" s="773"/>
      <c r="H701" s="1093"/>
      <c r="AF701" s="347"/>
      <c r="AG701" s="347"/>
      <c r="AH701" s="347"/>
      <c r="AI701" s="347"/>
      <c r="AJ701" s="347"/>
      <c r="AK701" s="347"/>
      <c r="AL701" s="347"/>
      <c r="AM701" s="347"/>
      <c r="AN701" s="347"/>
      <c r="AO701" s="347"/>
      <c r="AP701" s="347"/>
      <c r="AQ701" s="347"/>
      <c r="AR701" s="347"/>
      <c r="AS701" s="347"/>
      <c r="AT701" s="347"/>
      <c r="AU701" s="347"/>
      <c r="AV701" s="347"/>
      <c r="AW701" s="347"/>
      <c r="AX701" s="347"/>
      <c r="AY701" s="347"/>
    </row>
    <row r="702" spans="1:112" ht="15" x14ac:dyDescent="0.25">
      <c r="A702" s="605">
        <v>672</v>
      </c>
      <c r="B702" s="807" t="s">
        <v>3189</v>
      </c>
      <c r="C702" s="773"/>
      <c r="D702" s="773"/>
      <c r="E702" s="773"/>
      <c r="F702" s="773"/>
      <c r="G702" s="773"/>
      <c r="H702" s="1093"/>
      <c r="AF702" s="347"/>
      <c r="AG702" s="347"/>
      <c r="AH702" s="347"/>
      <c r="AI702" s="347"/>
      <c r="AJ702" s="347"/>
      <c r="AK702" s="347"/>
      <c r="AL702" s="347"/>
      <c r="AM702" s="347"/>
      <c r="AN702" s="347"/>
      <c r="AO702" s="347"/>
      <c r="AP702" s="347"/>
      <c r="AQ702" s="347"/>
      <c r="AR702" s="347"/>
      <c r="AS702" s="347"/>
      <c r="AT702" s="347"/>
      <c r="AU702" s="347"/>
      <c r="AV702" s="347"/>
      <c r="AW702" s="347"/>
      <c r="AX702" s="347"/>
      <c r="AY702" s="347"/>
    </row>
    <row r="703" spans="1:112" ht="15" x14ac:dyDescent="0.25">
      <c r="A703" s="605">
        <v>673</v>
      </c>
      <c r="B703" s="807" t="s">
        <v>1605</v>
      </c>
      <c r="C703" s="773"/>
      <c r="D703" s="773"/>
      <c r="E703" s="773"/>
      <c r="F703" s="773"/>
      <c r="G703" s="773"/>
      <c r="H703" s="1093"/>
      <c r="AF703" s="347"/>
      <c r="AG703" s="347"/>
      <c r="AH703" s="347"/>
      <c r="AI703" s="347"/>
      <c r="AJ703" s="347"/>
      <c r="AK703" s="347"/>
      <c r="AL703" s="347"/>
      <c r="AM703" s="347"/>
      <c r="AN703" s="347"/>
      <c r="AO703" s="347"/>
      <c r="AP703" s="347"/>
      <c r="AQ703" s="347"/>
      <c r="AR703" s="347"/>
      <c r="AS703" s="347"/>
      <c r="AT703" s="347"/>
      <c r="AU703" s="347"/>
      <c r="AV703" s="347"/>
      <c r="AW703" s="347"/>
      <c r="AX703" s="347"/>
      <c r="AY703" s="347"/>
    </row>
    <row r="704" spans="1:112" ht="15" x14ac:dyDescent="0.25">
      <c r="A704" s="605">
        <v>674</v>
      </c>
      <c r="B704" s="807" t="s">
        <v>3188</v>
      </c>
      <c r="C704" s="278"/>
      <c r="D704" s="278"/>
      <c r="E704" s="278"/>
      <c r="F704" s="278"/>
      <c r="G704" s="278"/>
      <c r="H704" s="1093"/>
      <c r="AF704" s="347"/>
      <c r="AG704" s="347"/>
      <c r="AH704" s="347"/>
      <c r="AI704" s="347"/>
      <c r="AJ704" s="347"/>
      <c r="AK704" s="347"/>
      <c r="AL704" s="347"/>
      <c r="AM704" s="347"/>
      <c r="AN704" s="347"/>
      <c r="AO704" s="347"/>
      <c r="AP704" s="347"/>
      <c r="AQ704" s="347"/>
      <c r="AR704" s="347"/>
      <c r="AS704" s="347"/>
      <c r="AT704" s="347"/>
      <c r="AU704" s="347"/>
      <c r="AV704" s="347"/>
      <c r="AW704" s="347"/>
      <c r="AX704" s="347"/>
      <c r="AY704" s="347"/>
    </row>
    <row r="705" spans="1:51" ht="15" x14ac:dyDescent="0.25">
      <c r="A705" s="605">
        <v>675</v>
      </c>
      <c r="B705" s="911" t="s">
        <v>236</v>
      </c>
      <c r="C705" s="773"/>
      <c r="D705" s="773"/>
      <c r="E705" s="773"/>
      <c r="F705" s="773"/>
      <c r="G705" s="773"/>
      <c r="H705" s="1093"/>
      <c r="AF705" s="347"/>
      <c r="AG705" s="347"/>
      <c r="AH705" s="347"/>
      <c r="AI705" s="347"/>
      <c r="AJ705" s="347"/>
      <c r="AK705" s="347"/>
      <c r="AL705" s="347"/>
      <c r="AM705" s="347"/>
      <c r="AN705" s="347"/>
      <c r="AO705" s="347"/>
      <c r="AP705" s="347"/>
      <c r="AQ705" s="347"/>
      <c r="AR705" s="347"/>
      <c r="AS705" s="347"/>
      <c r="AT705" s="347"/>
      <c r="AU705" s="347"/>
      <c r="AV705" s="347"/>
      <c r="AW705" s="347"/>
      <c r="AX705" s="347"/>
      <c r="AY705" s="347"/>
    </row>
    <row r="706" spans="1:51" ht="15" x14ac:dyDescent="0.25">
      <c r="A706" s="605">
        <v>676</v>
      </c>
      <c r="B706" s="911" t="s">
        <v>100</v>
      </c>
      <c r="C706" s="773"/>
      <c r="D706" s="773"/>
      <c r="E706" s="773"/>
      <c r="F706" s="773"/>
      <c r="G706" s="773"/>
      <c r="H706" s="1093"/>
      <c r="AF706" s="347"/>
      <c r="AG706" s="347"/>
      <c r="AH706" s="347"/>
      <c r="AI706" s="347"/>
      <c r="AJ706" s="347"/>
      <c r="AK706" s="347"/>
      <c r="AL706" s="347"/>
      <c r="AM706" s="347"/>
      <c r="AN706" s="347"/>
      <c r="AO706" s="347"/>
      <c r="AP706" s="347"/>
      <c r="AQ706" s="347"/>
      <c r="AR706" s="347"/>
      <c r="AS706" s="347"/>
      <c r="AT706" s="347"/>
      <c r="AU706" s="347"/>
      <c r="AV706" s="347"/>
      <c r="AW706" s="347"/>
      <c r="AX706" s="347"/>
      <c r="AY706" s="347"/>
    </row>
    <row r="707" spans="1:51" ht="15" x14ac:dyDescent="0.25">
      <c r="A707" s="605">
        <v>677</v>
      </c>
      <c r="B707" s="911" t="s">
        <v>2953</v>
      </c>
      <c r="C707" s="773"/>
      <c r="D707" s="773"/>
      <c r="E707" s="773"/>
      <c r="F707" s="773"/>
      <c r="G707" s="773"/>
      <c r="H707" s="1093"/>
      <c r="AF707" s="347"/>
      <c r="AG707" s="347"/>
      <c r="AH707" s="347"/>
      <c r="AI707" s="347"/>
      <c r="AJ707" s="347"/>
      <c r="AK707" s="347"/>
      <c r="AL707" s="347"/>
      <c r="AM707" s="347"/>
      <c r="AN707" s="347"/>
      <c r="AO707" s="347"/>
      <c r="AP707" s="347"/>
      <c r="AQ707" s="347"/>
      <c r="AR707" s="347"/>
      <c r="AS707" s="347"/>
      <c r="AT707" s="347"/>
      <c r="AU707" s="347"/>
      <c r="AV707" s="347"/>
      <c r="AW707" s="347"/>
      <c r="AX707" s="347"/>
      <c r="AY707" s="347"/>
    </row>
    <row r="708" spans="1:51" ht="15" x14ac:dyDescent="0.25">
      <c r="A708" s="605">
        <v>678</v>
      </c>
      <c r="B708" s="911" t="s">
        <v>1728</v>
      </c>
      <c r="C708" s="773"/>
      <c r="D708" s="773"/>
      <c r="E708" s="773"/>
      <c r="F708" s="773"/>
      <c r="G708" s="773"/>
      <c r="H708" s="1093"/>
      <c r="AF708" s="347"/>
      <c r="AG708" s="347"/>
      <c r="AH708" s="347"/>
      <c r="AI708" s="347"/>
      <c r="AJ708" s="347"/>
      <c r="AK708" s="347"/>
      <c r="AL708" s="347"/>
      <c r="AM708" s="347"/>
      <c r="AN708" s="347"/>
      <c r="AO708" s="347"/>
      <c r="AP708" s="347"/>
      <c r="AQ708" s="347"/>
      <c r="AR708" s="347"/>
      <c r="AS708" s="347"/>
      <c r="AT708" s="347"/>
      <c r="AU708" s="347"/>
      <c r="AV708" s="347"/>
      <c r="AW708" s="347"/>
      <c r="AX708" s="347"/>
      <c r="AY708" s="347"/>
    </row>
    <row r="709" spans="1:51" ht="15" x14ac:dyDescent="0.25">
      <c r="A709" s="605">
        <v>679</v>
      </c>
      <c r="B709" s="911" t="s">
        <v>2308</v>
      </c>
      <c r="C709" s="773"/>
      <c r="D709" s="773"/>
      <c r="E709" s="773"/>
      <c r="F709" s="773"/>
      <c r="G709" s="773"/>
      <c r="H709" s="1093"/>
      <c r="AF709" s="347"/>
      <c r="AG709" s="347"/>
      <c r="AH709" s="347"/>
      <c r="AI709" s="347"/>
      <c r="AJ709" s="347"/>
      <c r="AK709" s="347"/>
      <c r="AL709" s="347"/>
      <c r="AM709" s="347"/>
      <c r="AN709" s="347"/>
      <c r="AO709" s="347"/>
      <c r="AP709" s="347"/>
      <c r="AQ709" s="347"/>
      <c r="AR709" s="347"/>
      <c r="AS709" s="347"/>
      <c r="AT709" s="347"/>
      <c r="AU709" s="347"/>
      <c r="AV709" s="347"/>
      <c r="AW709" s="347"/>
      <c r="AX709" s="347"/>
      <c r="AY709" s="347"/>
    </row>
    <row r="710" spans="1:51" ht="15" x14ac:dyDescent="0.25">
      <c r="A710" s="605">
        <v>680</v>
      </c>
      <c r="B710" s="807" t="s">
        <v>3187</v>
      </c>
      <c r="C710" s="773"/>
      <c r="D710" s="773"/>
      <c r="E710" s="773"/>
      <c r="F710" s="773"/>
      <c r="G710" s="773"/>
      <c r="H710" s="1093"/>
      <c r="AF710" s="347"/>
      <c r="AG710" s="347"/>
      <c r="AH710" s="347"/>
      <c r="AI710" s="347"/>
      <c r="AJ710" s="347"/>
      <c r="AK710" s="347"/>
      <c r="AL710" s="347"/>
      <c r="AM710" s="347"/>
      <c r="AN710" s="347"/>
      <c r="AO710" s="347"/>
      <c r="AP710" s="347"/>
      <c r="AQ710" s="347"/>
      <c r="AR710" s="347"/>
      <c r="AS710" s="347"/>
      <c r="AT710" s="347"/>
      <c r="AU710" s="347"/>
      <c r="AV710" s="347"/>
      <c r="AW710" s="347"/>
      <c r="AX710" s="347"/>
      <c r="AY710" s="347"/>
    </row>
    <row r="711" spans="1:51" ht="15" x14ac:dyDescent="0.25">
      <c r="A711" s="605">
        <v>681</v>
      </c>
      <c r="B711" s="807" t="s">
        <v>3186</v>
      </c>
      <c r="C711" s="773"/>
      <c r="D711" s="773"/>
      <c r="E711" s="773"/>
      <c r="F711" s="773"/>
      <c r="G711" s="773"/>
      <c r="H711" s="1093"/>
      <c r="AF711" s="347"/>
      <c r="AG711" s="347"/>
      <c r="AH711" s="347"/>
      <c r="AI711" s="347"/>
      <c r="AJ711" s="347"/>
      <c r="AK711" s="347"/>
      <c r="AL711" s="347"/>
      <c r="AM711" s="347"/>
      <c r="AN711" s="347"/>
      <c r="AO711" s="347"/>
      <c r="AP711" s="347"/>
      <c r="AQ711" s="347"/>
      <c r="AR711" s="347"/>
      <c r="AS711" s="347"/>
      <c r="AT711" s="347"/>
      <c r="AU711" s="347"/>
      <c r="AV711" s="347"/>
      <c r="AW711" s="347"/>
      <c r="AX711" s="347"/>
      <c r="AY711" s="347"/>
    </row>
    <row r="712" spans="1:51" s="598" customFormat="1" ht="15" x14ac:dyDescent="0.25">
      <c r="A712" s="605">
        <v>682</v>
      </c>
      <c r="B712" s="807" t="s">
        <v>3185</v>
      </c>
      <c r="C712" s="773"/>
      <c r="D712" s="773"/>
      <c r="E712" s="773"/>
      <c r="F712" s="773"/>
      <c r="G712" s="773"/>
      <c r="H712" s="1093"/>
    </row>
    <row r="713" spans="1:51" s="598" customFormat="1" ht="15" x14ac:dyDescent="0.25">
      <c r="A713" s="605">
        <v>683</v>
      </c>
      <c r="B713" s="807" t="s">
        <v>3184</v>
      </c>
      <c r="C713" s="773"/>
      <c r="D713" s="773"/>
      <c r="E713" s="773"/>
      <c r="F713" s="773"/>
      <c r="G713" s="773"/>
      <c r="H713" s="1093"/>
    </row>
    <row r="714" spans="1:51" s="598" customFormat="1" ht="15" x14ac:dyDescent="0.25">
      <c r="A714" s="605">
        <v>684</v>
      </c>
      <c r="B714" s="807" t="s">
        <v>3183</v>
      </c>
      <c r="C714" s="773"/>
      <c r="D714" s="773"/>
      <c r="E714" s="773"/>
      <c r="F714" s="773"/>
      <c r="G714" s="773"/>
      <c r="H714" s="1093"/>
    </row>
    <row r="715" spans="1:51" s="598" customFormat="1" ht="15" x14ac:dyDescent="0.25">
      <c r="A715" s="605">
        <v>685</v>
      </c>
      <c r="B715" s="807" t="s">
        <v>3182</v>
      </c>
      <c r="C715" s="773"/>
      <c r="D715" s="773"/>
      <c r="E715" s="773"/>
      <c r="F715" s="773"/>
      <c r="G715" s="773"/>
      <c r="H715" s="1093"/>
    </row>
    <row r="716" spans="1:51" s="598" customFormat="1" ht="15" x14ac:dyDescent="0.25">
      <c r="A716" s="605">
        <v>686</v>
      </c>
      <c r="B716" s="807" t="s">
        <v>3181</v>
      </c>
      <c r="C716" s="773"/>
      <c r="D716" s="773"/>
      <c r="E716" s="773"/>
      <c r="F716" s="773"/>
      <c r="G716" s="773"/>
      <c r="H716" s="1093"/>
    </row>
    <row r="717" spans="1:51" s="598" customFormat="1" ht="15" x14ac:dyDescent="0.25">
      <c r="A717" s="605">
        <v>687</v>
      </c>
      <c r="B717" s="807" t="s">
        <v>3180</v>
      </c>
      <c r="C717" s="773"/>
      <c r="D717" s="773"/>
      <c r="E717" s="773"/>
      <c r="F717" s="773"/>
      <c r="G717" s="773"/>
      <c r="H717" s="1093"/>
    </row>
    <row r="718" spans="1:51" s="598" customFormat="1" ht="15" x14ac:dyDescent="0.2">
      <c r="A718" s="605">
        <v>688</v>
      </c>
      <c r="B718" s="541" t="s">
        <v>3179</v>
      </c>
      <c r="C718" s="538"/>
      <c r="D718" s="538"/>
      <c r="E718" s="538"/>
      <c r="F718" s="538"/>
      <c r="G718" s="538"/>
      <c r="H718" s="1054"/>
    </row>
    <row r="719" spans="1:51" s="598" customFormat="1" ht="15" x14ac:dyDescent="0.2">
      <c r="A719" s="605">
        <v>689</v>
      </c>
      <c r="B719" s="541" t="s">
        <v>3178</v>
      </c>
      <c r="C719" s="538"/>
      <c r="D719" s="538"/>
      <c r="E719" s="538"/>
      <c r="F719" s="538"/>
      <c r="G719" s="538"/>
      <c r="H719" s="1054"/>
    </row>
    <row r="720" spans="1:51" s="598" customFormat="1" ht="15" x14ac:dyDescent="0.2">
      <c r="A720" s="605">
        <v>690</v>
      </c>
      <c r="B720" s="541" t="s">
        <v>3177</v>
      </c>
      <c r="C720" s="538"/>
      <c r="D720" s="538"/>
      <c r="E720" s="538"/>
      <c r="F720" s="538"/>
      <c r="G720" s="538"/>
      <c r="H720" s="1054"/>
    </row>
    <row r="721" spans="1:8" s="598" customFormat="1" ht="15" x14ac:dyDescent="0.25">
      <c r="A721" s="605">
        <v>691</v>
      </c>
      <c r="B721" s="807" t="s">
        <v>3176</v>
      </c>
      <c r="C721" s="773"/>
      <c r="D721" s="773"/>
      <c r="E721" s="773"/>
      <c r="F721" s="773"/>
      <c r="G721" s="773"/>
      <c r="H721" s="1093"/>
    </row>
    <row r="722" spans="1:8" s="598" customFormat="1" ht="15" x14ac:dyDescent="0.25">
      <c r="A722" s="605">
        <v>692</v>
      </c>
      <c r="B722" s="807" t="s">
        <v>3175</v>
      </c>
      <c r="C722" s="773"/>
      <c r="D722" s="773"/>
      <c r="E722" s="773"/>
      <c r="F722" s="773"/>
      <c r="G722" s="773"/>
      <c r="H722" s="1093"/>
    </row>
    <row r="723" spans="1:8" s="598" customFormat="1" ht="15" x14ac:dyDescent="0.25">
      <c r="A723" s="605">
        <v>693</v>
      </c>
      <c r="B723" s="807" t="s">
        <v>3174</v>
      </c>
      <c r="C723" s="773"/>
      <c r="D723" s="773"/>
      <c r="E723" s="773"/>
      <c r="F723" s="773"/>
      <c r="G723" s="773"/>
      <c r="H723" s="1093"/>
    </row>
    <row r="724" spans="1:8" s="598" customFormat="1" ht="15" x14ac:dyDescent="0.25">
      <c r="A724" s="605">
        <v>694</v>
      </c>
      <c r="B724" s="807" t="s">
        <v>3173</v>
      </c>
      <c r="C724" s="773"/>
      <c r="D724" s="773"/>
      <c r="E724" s="773"/>
      <c r="F724" s="773"/>
      <c r="G724" s="773"/>
      <c r="H724" s="1093"/>
    </row>
    <row r="725" spans="1:8" s="598" customFormat="1" ht="15" x14ac:dyDescent="0.25">
      <c r="A725" s="605">
        <v>695</v>
      </c>
      <c r="B725" s="807" t="s">
        <v>3172</v>
      </c>
      <c r="C725" s="773"/>
      <c r="D725" s="773"/>
      <c r="E725" s="773"/>
      <c r="F725" s="773"/>
      <c r="G725" s="773"/>
      <c r="H725" s="1093"/>
    </row>
    <row r="726" spans="1:8" s="598" customFormat="1" ht="15" x14ac:dyDescent="0.25">
      <c r="A726" s="605">
        <v>696</v>
      </c>
      <c r="B726" s="807" t="s">
        <v>3074</v>
      </c>
      <c r="C726" s="773"/>
      <c r="D726" s="773"/>
      <c r="E726" s="773"/>
      <c r="F726" s="773"/>
      <c r="G726" s="773"/>
      <c r="H726" s="1093"/>
    </row>
    <row r="727" spans="1:8" s="598" customFormat="1" ht="15" x14ac:dyDescent="0.25">
      <c r="A727" s="605">
        <v>697</v>
      </c>
      <c r="B727" s="807" t="s">
        <v>3171</v>
      </c>
      <c r="C727" s="773"/>
      <c r="D727" s="773"/>
      <c r="E727" s="773"/>
      <c r="F727" s="773"/>
      <c r="G727" s="773"/>
      <c r="H727" s="1093"/>
    </row>
    <row r="728" spans="1:8" s="598" customFormat="1" ht="15" x14ac:dyDescent="0.25">
      <c r="A728" s="605">
        <v>698</v>
      </c>
      <c r="B728" s="807" t="s">
        <v>3170</v>
      </c>
      <c r="C728" s="773"/>
      <c r="D728" s="773"/>
      <c r="E728" s="773"/>
      <c r="F728" s="773"/>
      <c r="G728" s="773"/>
      <c r="H728" s="1093"/>
    </row>
    <row r="729" spans="1:8" s="598" customFormat="1" ht="15" x14ac:dyDescent="0.25">
      <c r="A729" s="605">
        <v>699</v>
      </c>
      <c r="B729" s="807" t="s">
        <v>519</v>
      </c>
      <c r="C729" s="773"/>
      <c r="D729" s="773"/>
      <c r="E729" s="773"/>
      <c r="F729" s="773"/>
      <c r="G729" s="773"/>
      <c r="H729" s="1093"/>
    </row>
    <row r="730" spans="1:8" s="598" customFormat="1" ht="15" x14ac:dyDescent="0.25">
      <c r="A730" s="605">
        <v>700</v>
      </c>
      <c r="B730" s="807" t="s">
        <v>3169</v>
      </c>
      <c r="C730" s="773"/>
      <c r="D730" s="773"/>
      <c r="E730" s="773"/>
      <c r="F730" s="773"/>
      <c r="G730" s="773"/>
      <c r="H730" s="1093"/>
    </row>
    <row r="731" spans="1:8" s="598" customFormat="1" ht="15" x14ac:dyDescent="0.2">
      <c r="A731" s="605">
        <v>701</v>
      </c>
      <c r="B731" s="541" t="s">
        <v>3168</v>
      </c>
      <c r="C731" s="773"/>
      <c r="D731" s="773"/>
      <c r="E731" s="773"/>
      <c r="F731" s="773"/>
      <c r="G731" s="773"/>
      <c r="H731" s="1054"/>
    </row>
    <row r="732" spans="1:8" s="598" customFormat="1" ht="15" x14ac:dyDescent="0.2">
      <c r="A732" s="605">
        <v>702</v>
      </c>
      <c r="B732" s="541" t="s">
        <v>3167</v>
      </c>
      <c r="C732" s="538"/>
      <c r="D732" s="538"/>
      <c r="E732" s="538"/>
      <c r="F732" s="538"/>
      <c r="G732" s="538"/>
      <c r="H732" s="1054"/>
    </row>
    <row r="733" spans="1:8" s="598" customFormat="1" ht="15" x14ac:dyDescent="0.2">
      <c r="A733" s="605">
        <v>703</v>
      </c>
      <c r="B733" s="541" t="s">
        <v>3166</v>
      </c>
      <c r="C733" s="538"/>
      <c r="D733" s="538"/>
      <c r="E733" s="538"/>
      <c r="F733" s="538"/>
      <c r="G733" s="538"/>
      <c r="H733" s="1054"/>
    </row>
    <row r="734" spans="1:8" s="598" customFormat="1" ht="15" x14ac:dyDescent="0.2">
      <c r="A734" s="605">
        <v>704</v>
      </c>
      <c r="B734" s="541" t="s">
        <v>3165</v>
      </c>
      <c r="C734" s="538"/>
      <c r="D734" s="538"/>
      <c r="E734" s="538"/>
      <c r="F734" s="538"/>
      <c r="G734" s="538"/>
      <c r="H734" s="1054"/>
    </row>
    <row r="735" spans="1:8" s="598" customFormat="1" ht="15" x14ac:dyDescent="0.2">
      <c r="A735" s="605">
        <v>705</v>
      </c>
      <c r="B735" s="541" t="s">
        <v>3164</v>
      </c>
      <c r="C735" s="538"/>
      <c r="D735" s="538"/>
      <c r="E735" s="538"/>
      <c r="F735" s="538"/>
      <c r="G735" s="538"/>
      <c r="H735" s="1054"/>
    </row>
    <row r="736" spans="1:8" s="598" customFormat="1" ht="30" x14ac:dyDescent="0.2">
      <c r="A736" s="605">
        <v>706</v>
      </c>
      <c r="B736" s="539" t="s">
        <v>3163</v>
      </c>
      <c r="C736" s="538"/>
      <c r="D736" s="538"/>
      <c r="E736" s="538"/>
      <c r="F736" s="538"/>
      <c r="G736" s="538"/>
      <c r="H736" s="1054"/>
    </row>
    <row r="737" spans="1:51" ht="30" x14ac:dyDescent="0.2">
      <c r="A737" s="605">
        <v>707</v>
      </c>
      <c r="B737" s="539" t="s">
        <v>3162</v>
      </c>
      <c r="C737" s="843"/>
      <c r="D737" s="843"/>
      <c r="E737" s="843"/>
      <c r="F737" s="843"/>
      <c r="G737" s="843"/>
      <c r="H737" s="1054"/>
      <c r="AF737" s="347"/>
      <c r="AG737" s="347"/>
      <c r="AH737" s="347"/>
      <c r="AI737" s="347"/>
      <c r="AJ737" s="347"/>
      <c r="AK737" s="347"/>
      <c r="AL737" s="347"/>
      <c r="AM737" s="347"/>
      <c r="AN737" s="347"/>
      <c r="AO737" s="347"/>
      <c r="AP737" s="347"/>
      <c r="AQ737" s="347"/>
      <c r="AR737" s="347"/>
      <c r="AS737" s="347"/>
      <c r="AT737" s="347"/>
      <c r="AU737" s="347"/>
      <c r="AV737" s="347"/>
      <c r="AW737" s="347"/>
      <c r="AX737" s="347"/>
      <c r="AY737" s="347"/>
    </row>
    <row r="738" spans="1:51" ht="15" x14ac:dyDescent="0.2">
      <c r="A738" s="605">
        <v>708</v>
      </c>
      <c r="B738" s="541" t="s">
        <v>3161</v>
      </c>
      <c r="C738" s="538"/>
      <c r="D738" s="538"/>
      <c r="E738" s="538"/>
      <c r="F738" s="538"/>
      <c r="G738" s="538"/>
      <c r="H738" s="1054"/>
      <c r="AF738" s="347"/>
      <c r="AG738" s="347"/>
      <c r="AH738" s="347"/>
      <c r="AI738" s="347"/>
      <c r="AJ738" s="347"/>
      <c r="AK738" s="347"/>
      <c r="AL738" s="347"/>
      <c r="AM738" s="347"/>
      <c r="AN738" s="347"/>
      <c r="AO738" s="347"/>
      <c r="AP738" s="347"/>
      <c r="AQ738" s="347"/>
      <c r="AR738" s="347"/>
      <c r="AS738" s="347"/>
      <c r="AT738" s="347"/>
      <c r="AU738" s="347"/>
      <c r="AV738" s="347"/>
      <c r="AW738" s="347"/>
      <c r="AX738" s="347"/>
      <c r="AY738" s="347"/>
    </row>
    <row r="739" spans="1:51" ht="15" x14ac:dyDescent="0.2">
      <c r="A739" s="605">
        <v>709</v>
      </c>
      <c r="B739" s="541" t="s">
        <v>3160</v>
      </c>
      <c r="C739" s="538"/>
      <c r="D739" s="538"/>
      <c r="E739" s="538"/>
      <c r="F739" s="538"/>
      <c r="G739" s="538"/>
      <c r="H739" s="1054"/>
      <c r="AF739" s="347"/>
      <c r="AG739" s="347"/>
      <c r="AH739" s="347"/>
      <c r="AI739" s="347"/>
      <c r="AJ739" s="347"/>
      <c r="AK739" s="347"/>
      <c r="AL739" s="347"/>
      <c r="AM739" s="347"/>
      <c r="AN739" s="347"/>
      <c r="AO739" s="347"/>
      <c r="AP739" s="347"/>
      <c r="AQ739" s="347"/>
      <c r="AR739" s="347"/>
      <c r="AS739" s="347"/>
      <c r="AT739" s="347"/>
      <c r="AU739" s="347"/>
      <c r="AV739" s="347"/>
      <c r="AW739" s="347"/>
      <c r="AX739" s="347"/>
      <c r="AY739" s="347"/>
    </row>
    <row r="740" spans="1:51" ht="15" x14ac:dyDescent="0.2">
      <c r="A740" s="605">
        <v>710</v>
      </c>
      <c r="B740" s="541" t="s">
        <v>3159</v>
      </c>
      <c r="C740" s="538"/>
      <c r="D740" s="538"/>
      <c r="E740" s="538"/>
      <c r="F740" s="538"/>
      <c r="G740" s="538"/>
      <c r="H740" s="1054"/>
      <c r="AF740" s="347"/>
      <c r="AG740" s="347"/>
      <c r="AH740" s="347"/>
      <c r="AI740" s="347"/>
      <c r="AJ740" s="347"/>
      <c r="AK740" s="347"/>
      <c r="AL740" s="347"/>
      <c r="AM740" s="347"/>
      <c r="AN740" s="347"/>
      <c r="AO740" s="347"/>
      <c r="AP740" s="347"/>
      <c r="AQ740" s="347"/>
      <c r="AR740" s="347"/>
      <c r="AS740" s="347"/>
      <c r="AT740" s="347"/>
      <c r="AU740" s="347"/>
      <c r="AV740" s="347"/>
      <c r="AW740" s="347"/>
      <c r="AX740" s="347"/>
      <c r="AY740" s="347"/>
    </row>
    <row r="741" spans="1:51" ht="15" x14ac:dyDescent="0.2">
      <c r="A741" s="605">
        <v>711</v>
      </c>
      <c r="B741" s="539" t="s">
        <v>3158</v>
      </c>
      <c r="C741" s="538"/>
      <c r="D741" s="538"/>
      <c r="E741" s="538"/>
      <c r="F741" s="538"/>
      <c r="G741" s="538"/>
      <c r="H741" s="1054"/>
      <c r="AF741" s="347"/>
      <c r="AG741" s="347"/>
      <c r="AH741" s="347"/>
      <c r="AI741" s="347"/>
      <c r="AJ741" s="347"/>
      <c r="AK741" s="347"/>
      <c r="AL741" s="347"/>
      <c r="AM741" s="347"/>
      <c r="AN741" s="347"/>
      <c r="AO741" s="347"/>
      <c r="AP741" s="347"/>
      <c r="AQ741" s="347"/>
      <c r="AR741" s="347"/>
      <c r="AS741" s="347"/>
      <c r="AT741" s="347"/>
      <c r="AU741" s="347"/>
      <c r="AV741" s="347"/>
      <c r="AW741" s="347"/>
      <c r="AX741" s="347"/>
      <c r="AY741" s="347"/>
    </row>
    <row r="742" spans="1:51" ht="15" x14ac:dyDescent="0.2">
      <c r="A742" s="605">
        <v>712</v>
      </c>
      <c r="B742" s="777" t="s">
        <v>3157</v>
      </c>
      <c r="C742" s="918"/>
      <c r="D742" s="918"/>
      <c r="E742" s="918"/>
      <c r="F742" s="918"/>
      <c r="G742" s="918"/>
      <c r="H742" s="1030"/>
      <c r="AF742" s="347"/>
      <c r="AG742" s="347"/>
      <c r="AH742" s="347"/>
      <c r="AI742" s="347"/>
      <c r="AJ742" s="347"/>
      <c r="AK742" s="347"/>
      <c r="AL742" s="347"/>
      <c r="AM742" s="347"/>
      <c r="AN742" s="347"/>
      <c r="AO742" s="347"/>
      <c r="AP742" s="347"/>
      <c r="AQ742" s="347"/>
      <c r="AR742" s="347"/>
      <c r="AS742" s="347"/>
      <c r="AT742" s="347"/>
      <c r="AU742" s="347"/>
      <c r="AV742" s="347"/>
      <c r="AW742" s="347"/>
      <c r="AX742" s="347"/>
      <c r="AY742" s="347"/>
    </row>
    <row r="743" spans="1:51" ht="30" x14ac:dyDescent="0.25">
      <c r="A743" s="605">
        <v>713</v>
      </c>
      <c r="B743" s="533" t="s">
        <v>3156</v>
      </c>
      <c r="C743" s="867"/>
      <c r="D743" s="867"/>
      <c r="E743" s="867"/>
      <c r="F743" s="867"/>
      <c r="G743" s="867"/>
      <c r="H743" s="1094"/>
      <c r="AF743" s="347"/>
      <c r="AG743" s="347"/>
      <c r="AH743" s="347"/>
      <c r="AI743" s="347"/>
      <c r="AJ743" s="347"/>
      <c r="AK743" s="347"/>
      <c r="AL743" s="347"/>
      <c r="AM743" s="347"/>
      <c r="AN743" s="347"/>
      <c r="AO743" s="347"/>
      <c r="AP743" s="347"/>
      <c r="AQ743" s="347"/>
      <c r="AR743" s="347"/>
      <c r="AS743" s="347"/>
      <c r="AT743" s="347"/>
      <c r="AU743" s="347"/>
      <c r="AV743" s="347"/>
      <c r="AW743" s="347"/>
      <c r="AX743" s="347"/>
      <c r="AY743" s="347"/>
    </row>
    <row r="744" spans="1:51" ht="15" x14ac:dyDescent="0.25">
      <c r="A744" s="605">
        <v>714</v>
      </c>
      <c r="B744" s="533" t="s">
        <v>3155</v>
      </c>
      <c r="C744" s="867"/>
      <c r="D744" s="867"/>
      <c r="E744" s="867"/>
      <c r="F744" s="867"/>
      <c r="G744" s="867"/>
      <c r="H744" s="1094"/>
      <c r="AF744" s="347"/>
      <c r="AG744" s="347"/>
      <c r="AH744" s="347"/>
      <c r="AI744" s="347"/>
      <c r="AJ744" s="347"/>
      <c r="AK744" s="347"/>
      <c r="AL744" s="347"/>
      <c r="AM744" s="347"/>
      <c r="AN744" s="347"/>
      <c r="AO744" s="347"/>
      <c r="AP744" s="347"/>
      <c r="AQ744" s="347"/>
      <c r="AR744" s="347"/>
      <c r="AS744" s="347"/>
      <c r="AT744" s="347"/>
      <c r="AU744" s="347"/>
      <c r="AV744" s="347"/>
      <c r="AW744" s="347"/>
      <c r="AX744" s="347"/>
      <c r="AY744" s="347"/>
    </row>
    <row r="745" spans="1:51" ht="15" x14ac:dyDescent="0.25">
      <c r="A745" s="605">
        <v>715</v>
      </c>
      <c r="B745" s="533" t="s">
        <v>3154</v>
      </c>
      <c r="C745" s="867"/>
      <c r="D745" s="867"/>
      <c r="E745" s="867"/>
      <c r="F745" s="867"/>
      <c r="G745" s="867"/>
      <c r="H745" s="1094"/>
      <c r="AF745" s="347"/>
      <c r="AG745" s="347"/>
      <c r="AH745" s="347"/>
      <c r="AI745" s="347"/>
      <c r="AJ745" s="347"/>
      <c r="AK745" s="347"/>
      <c r="AL745" s="347"/>
      <c r="AM745" s="347"/>
      <c r="AN745" s="347"/>
      <c r="AO745" s="347"/>
      <c r="AP745" s="347"/>
      <c r="AQ745" s="347"/>
      <c r="AR745" s="347"/>
      <c r="AS745" s="347"/>
      <c r="AT745" s="347"/>
      <c r="AU745" s="347"/>
      <c r="AV745" s="347"/>
      <c r="AW745" s="347"/>
      <c r="AX745" s="347"/>
      <c r="AY745" s="347"/>
    </row>
    <row r="746" spans="1:51" ht="15" x14ac:dyDescent="0.25">
      <c r="A746" s="605">
        <v>716</v>
      </c>
      <c r="B746" s="533" t="s">
        <v>3153</v>
      </c>
      <c r="C746" s="867"/>
      <c r="D746" s="867"/>
      <c r="E746" s="867"/>
      <c r="F746" s="867"/>
      <c r="G746" s="867"/>
      <c r="H746" s="1094"/>
      <c r="AF746" s="347"/>
      <c r="AG746" s="347"/>
      <c r="AH746" s="347"/>
      <c r="AI746" s="347"/>
      <c r="AJ746" s="347"/>
      <c r="AK746" s="347"/>
      <c r="AL746" s="347"/>
      <c r="AM746" s="347"/>
      <c r="AN746" s="347"/>
      <c r="AO746" s="347"/>
      <c r="AP746" s="347"/>
      <c r="AQ746" s="347"/>
      <c r="AR746" s="347"/>
      <c r="AS746" s="347"/>
      <c r="AT746" s="347"/>
      <c r="AU746" s="347"/>
      <c r="AV746" s="347"/>
      <c r="AW746" s="347"/>
      <c r="AX746" s="347"/>
      <c r="AY746" s="347"/>
    </row>
    <row r="747" spans="1:51" ht="15" x14ac:dyDescent="0.25">
      <c r="A747" s="605">
        <v>717</v>
      </c>
      <c r="B747" s="852" t="s">
        <v>3152</v>
      </c>
      <c r="C747" s="845"/>
      <c r="D747" s="845"/>
      <c r="E747" s="845"/>
      <c r="F747" s="845"/>
      <c r="G747" s="845"/>
      <c r="H747" s="1029"/>
      <c r="U747" s="345"/>
      <c r="V747" s="345"/>
      <c r="W747" s="345"/>
      <c r="X747" s="345"/>
      <c r="Y747" s="345"/>
      <c r="Z747" s="345"/>
      <c r="AA747" s="345"/>
      <c r="AB747" s="345"/>
      <c r="AC747" s="345"/>
      <c r="AD747" s="345"/>
      <c r="AE747" s="345"/>
    </row>
    <row r="748" spans="1:51" ht="15" x14ac:dyDescent="0.2">
      <c r="A748" s="605">
        <v>718</v>
      </c>
      <c r="B748" s="855" t="s">
        <v>3151</v>
      </c>
      <c r="C748" s="855"/>
      <c r="D748" s="855"/>
      <c r="E748" s="855"/>
      <c r="F748" s="855"/>
      <c r="G748" s="855"/>
      <c r="H748" s="1025"/>
      <c r="U748" s="345"/>
      <c r="V748" s="345"/>
      <c r="W748" s="345"/>
      <c r="X748" s="345"/>
      <c r="Y748" s="345"/>
      <c r="Z748" s="345"/>
      <c r="AA748" s="345"/>
      <c r="AB748" s="345"/>
      <c r="AC748" s="345"/>
      <c r="AD748" s="345"/>
      <c r="AE748" s="345"/>
    </row>
    <row r="749" spans="1:51" ht="15" x14ac:dyDescent="0.2">
      <c r="A749" s="605">
        <v>719</v>
      </c>
      <c r="B749" s="889" t="s">
        <v>3150</v>
      </c>
      <c r="C749" s="888"/>
      <c r="D749" s="888"/>
      <c r="E749" s="888"/>
      <c r="F749" s="888"/>
      <c r="G749" s="888"/>
      <c r="H749" s="1032"/>
      <c r="U749" s="345"/>
      <c r="V749" s="345"/>
      <c r="W749" s="345"/>
      <c r="X749" s="345"/>
      <c r="Y749" s="345"/>
      <c r="Z749" s="345"/>
      <c r="AA749" s="345"/>
      <c r="AB749" s="345"/>
      <c r="AC749" s="345"/>
      <c r="AD749" s="345"/>
      <c r="AE749" s="345"/>
    </row>
    <row r="750" spans="1:51" s="598" customFormat="1" ht="15" x14ac:dyDescent="0.2">
      <c r="A750" s="605">
        <v>720</v>
      </c>
      <c r="B750" s="887" t="s">
        <v>3149</v>
      </c>
      <c r="C750" s="917"/>
      <c r="D750" s="917"/>
      <c r="E750" s="917"/>
      <c r="F750" s="917"/>
      <c r="G750" s="917"/>
      <c r="H750" s="1033"/>
    </row>
    <row r="751" spans="1:51" ht="30" x14ac:dyDescent="0.2">
      <c r="A751" s="605">
        <v>721</v>
      </c>
      <c r="B751" s="889" t="s">
        <v>3148</v>
      </c>
      <c r="C751" s="891"/>
      <c r="D751" s="891"/>
      <c r="E751" s="891"/>
      <c r="F751" s="891"/>
      <c r="G751" s="891"/>
      <c r="H751" s="1032"/>
      <c r="U751" s="345"/>
      <c r="V751" s="345"/>
      <c r="W751" s="345"/>
      <c r="X751" s="345"/>
      <c r="Y751" s="345"/>
      <c r="Z751" s="345"/>
      <c r="AA751" s="345"/>
      <c r="AB751" s="345"/>
      <c r="AC751" s="345"/>
      <c r="AD751" s="345"/>
      <c r="AE751" s="345"/>
    </row>
    <row r="752" spans="1:51" ht="15" x14ac:dyDescent="0.2">
      <c r="A752" s="605">
        <v>722</v>
      </c>
      <c r="B752" s="890" t="s">
        <v>3147</v>
      </c>
      <c r="C752" s="888"/>
      <c r="D752" s="888"/>
      <c r="E752" s="888"/>
      <c r="F752" s="888"/>
      <c r="G752" s="888"/>
      <c r="H752" s="1032"/>
      <c r="U752" s="345"/>
      <c r="V752" s="345"/>
      <c r="W752" s="345"/>
      <c r="X752" s="345"/>
      <c r="Y752" s="345"/>
      <c r="Z752" s="345"/>
      <c r="AA752" s="345"/>
      <c r="AB752" s="345"/>
      <c r="AC752" s="345"/>
      <c r="AD752" s="345"/>
      <c r="AE752" s="345"/>
    </row>
    <row r="753" spans="1:31" ht="15" x14ac:dyDescent="0.2">
      <c r="A753" s="605">
        <v>723</v>
      </c>
      <c r="B753" s="890" t="s">
        <v>3146</v>
      </c>
      <c r="C753" s="888"/>
      <c r="D753" s="888"/>
      <c r="E753" s="888"/>
      <c r="F753" s="888"/>
      <c r="G753" s="888"/>
      <c r="H753" s="1032"/>
      <c r="U753" s="345"/>
      <c r="V753" s="345"/>
      <c r="W753" s="345"/>
      <c r="X753" s="345"/>
      <c r="Y753" s="345"/>
      <c r="Z753" s="345"/>
      <c r="AA753" s="345"/>
      <c r="AB753" s="345"/>
      <c r="AC753" s="345"/>
      <c r="AD753" s="345"/>
      <c r="AE753" s="345"/>
    </row>
    <row r="754" spans="1:31" ht="15" x14ac:dyDescent="0.2">
      <c r="A754" s="605">
        <v>724</v>
      </c>
      <c r="B754" s="890" t="s">
        <v>3145</v>
      </c>
      <c r="C754" s="888"/>
      <c r="D754" s="888"/>
      <c r="E754" s="888"/>
      <c r="F754" s="888"/>
      <c r="G754" s="888"/>
      <c r="H754" s="1032"/>
      <c r="U754" s="345"/>
      <c r="V754" s="345"/>
      <c r="W754" s="345"/>
      <c r="X754" s="345"/>
      <c r="Y754" s="345"/>
      <c r="Z754" s="345"/>
      <c r="AA754" s="345"/>
      <c r="AB754" s="345"/>
      <c r="AC754" s="345"/>
      <c r="AD754" s="345"/>
      <c r="AE754" s="345"/>
    </row>
    <row r="755" spans="1:31" ht="15" x14ac:dyDescent="0.2">
      <c r="A755" s="605">
        <v>725</v>
      </c>
      <c r="B755" s="890" t="s">
        <v>3144</v>
      </c>
      <c r="C755" s="888"/>
      <c r="D755" s="888"/>
      <c r="E755" s="888"/>
      <c r="F755" s="888"/>
      <c r="G755" s="888"/>
      <c r="H755" s="1032"/>
      <c r="U755" s="345"/>
      <c r="V755" s="345"/>
      <c r="W755" s="345"/>
      <c r="X755" s="345"/>
      <c r="Y755" s="345"/>
      <c r="Z755" s="345"/>
      <c r="AA755" s="345"/>
      <c r="AB755" s="345"/>
      <c r="AC755" s="345"/>
      <c r="AD755" s="345"/>
      <c r="AE755" s="345"/>
    </row>
    <row r="756" spans="1:31" s="347" customFormat="1" ht="15" x14ac:dyDescent="0.2">
      <c r="A756" s="605">
        <v>726</v>
      </c>
      <c r="B756" s="850" t="s">
        <v>3143</v>
      </c>
      <c r="C756" s="917"/>
      <c r="D756" s="917"/>
      <c r="E756" s="917"/>
      <c r="F756" s="917"/>
      <c r="G756" s="917"/>
      <c r="H756" s="1033"/>
    </row>
    <row r="757" spans="1:31" ht="15" x14ac:dyDescent="0.2">
      <c r="A757" s="605">
        <v>727</v>
      </c>
      <c r="B757" s="889" t="s">
        <v>3142</v>
      </c>
      <c r="C757" s="888"/>
      <c r="D757" s="888"/>
      <c r="E757" s="888"/>
      <c r="F757" s="888"/>
      <c r="G757" s="888"/>
      <c r="H757" s="1032"/>
      <c r="U757" s="345"/>
      <c r="V757" s="345"/>
      <c r="W757" s="345"/>
      <c r="X757" s="345"/>
      <c r="Y757" s="345"/>
      <c r="Z757" s="345"/>
      <c r="AA757" s="345"/>
      <c r="AB757" s="345"/>
      <c r="AC757" s="345"/>
      <c r="AD757" s="345"/>
      <c r="AE757" s="345"/>
    </row>
    <row r="758" spans="1:31" s="598" customFormat="1" ht="30" x14ac:dyDescent="0.2">
      <c r="A758" s="605">
        <v>728</v>
      </c>
      <c r="B758" s="887" t="s">
        <v>3141</v>
      </c>
      <c r="C758" s="917"/>
      <c r="D758" s="917"/>
      <c r="E758" s="917"/>
      <c r="F758" s="917"/>
      <c r="G758" s="917"/>
      <c r="H758" s="1033"/>
    </row>
    <row r="759" spans="1:31" ht="30" x14ac:dyDescent="0.2">
      <c r="A759" s="605">
        <v>729</v>
      </c>
      <c r="B759" s="889" t="s">
        <v>3140</v>
      </c>
      <c r="C759" s="888"/>
      <c r="D759" s="888"/>
      <c r="E759" s="888"/>
      <c r="F759" s="888"/>
      <c r="G759" s="888"/>
      <c r="H759" s="1032"/>
      <c r="U759" s="345"/>
      <c r="V759" s="345"/>
      <c r="W759" s="345"/>
      <c r="X759" s="345"/>
      <c r="Y759" s="345"/>
      <c r="Z759" s="345"/>
      <c r="AA759" s="345"/>
      <c r="AB759" s="345"/>
      <c r="AC759" s="345"/>
      <c r="AD759" s="345"/>
      <c r="AE759" s="345"/>
    </row>
    <row r="760" spans="1:31" ht="30" x14ac:dyDescent="0.2">
      <c r="A760" s="605">
        <v>730</v>
      </c>
      <c r="B760" s="889" t="s">
        <v>3139</v>
      </c>
      <c r="C760" s="888"/>
      <c r="D760" s="888"/>
      <c r="E760" s="888"/>
      <c r="F760" s="888"/>
      <c r="G760" s="888"/>
      <c r="H760" s="1032"/>
      <c r="U760" s="345"/>
      <c r="V760" s="345"/>
      <c r="W760" s="345"/>
      <c r="X760" s="345"/>
      <c r="Y760" s="345"/>
      <c r="Z760" s="345"/>
      <c r="AA760" s="345"/>
      <c r="AB760" s="345"/>
      <c r="AC760" s="345"/>
      <c r="AD760" s="345"/>
      <c r="AE760" s="345"/>
    </row>
    <row r="761" spans="1:31" ht="30" x14ac:dyDescent="0.2">
      <c r="A761" s="605">
        <v>731</v>
      </c>
      <c r="B761" s="889" t="s">
        <v>3138</v>
      </c>
      <c r="C761" s="888"/>
      <c r="D761" s="888"/>
      <c r="E761" s="888"/>
      <c r="F761" s="888"/>
      <c r="G761" s="888"/>
      <c r="H761" s="1032"/>
      <c r="U761" s="345"/>
      <c r="V761" s="345"/>
      <c r="W761" s="345"/>
      <c r="X761" s="345"/>
      <c r="Y761" s="345"/>
      <c r="Z761" s="345"/>
      <c r="AA761" s="345"/>
      <c r="AB761" s="345"/>
      <c r="AC761" s="345"/>
      <c r="AD761" s="345"/>
      <c r="AE761" s="345"/>
    </row>
    <row r="762" spans="1:31" ht="15" x14ac:dyDescent="0.2">
      <c r="A762" s="605">
        <v>732</v>
      </c>
      <c r="B762" s="855" t="s">
        <v>3137</v>
      </c>
      <c r="C762" s="866"/>
      <c r="D762" s="866"/>
      <c r="E762" s="866"/>
      <c r="F762" s="866"/>
      <c r="G762" s="866"/>
      <c r="H762" s="1025"/>
      <c r="U762" s="345"/>
      <c r="V762" s="345"/>
      <c r="W762" s="345"/>
      <c r="X762" s="345"/>
      <c r="Y762" s="345"/>
      <c r="Z762" s="345"/>
      <c r="AA762" s="345"/>
      <c r="AB762" s="345"/>
      <c r="AC762" s="345"/>
      <c r="AD762" s="345"/>
      <c r="AE762" s="345"/>
    </row>
    <row r="763" spans="1:31" s="347" customFormat="1" ht="30" x14ac:dyDescent="0.2">
      <c r="A763" s="605">
        <v>733</v>
      </c>
      <c r="B763" s="916" t="s">
        <v>3136</v>
      </c>
      <c r="C763" s="278"/>
      <c r="D763" s="278"/>
      <c r="E763" s="278"/>
      <c r="F763" s="278"/>
      <c r="G763" s="278"/>
      <c r="H763" s="1033"/>
    </row>
    <row r="764" spans="1:31" ht="15" x14ac:dyDescent="0.25">
      <c r="A764" s="605">
        <v>734</v>
      </c>
      <c r="B764" s="901" t="s">
        <v>3081</v>
      </c>
      <c r="C764" s="892"/>
      <c r="D764" s="892"/>
      <c r="E764" s="892"/>
      <c r="F764" s="892"/>
      <c r="G764" s="892"/>
      <c r="H764" s="1095"/>
      <c r="U764" s="345"/>
      <c r="V764" s="345"/>
      <c r="W764" s="345"/>
      <c r="X764" s="345"/>
      <c r="Y764" s="345"/>
      <c r="Z764" s="345"/>
      <c r="AA764" s="345"/>
      <c r="AB764" s="345"/>
      <c r="AC764" s="345"/>
      <c r="AD764" s="345"/>
      <c r="AE764" s="345"/>
    </row>
    <row r="765" spans="1:31" ht="15" x14ac:dyDescent="0.25">
      <c r="A765" s="605">
        <v>735</v>
      </c>
      <c r="B765" s="901" t="s">
        <v>3080</v>
      </c>
      <c r="C765" s="892"/>
      <c r="D765" s="892"/>
      <c r="E765" s="892"/>
      <c r="F765" s="892"/>
      <c r="G765" s="892"/>
      <c r="H765" s="1095"/>
      <c r="U765" s="345"/>
      <c r="V765" s="345"/>
      <c r="W765" s="345"/>
      <c r="X765" s="345"/>
      <c r="Y765" s="345"/>
      <c r="Z765" s="345"/>
      <c r="AA765" s="345"/>
      <c r="AB765" s="345"/>
      <c r="AC765" s="345"/>
      <c r="AD765" s="345"/>
      <c r="AE765" s="345"/>
    </row>
    <row r="766" spans="1:31" s="598" customFormat="1" ht="15" x14ac:dyDescent="0.25">
      <c r="A766" s="605">
        <v>736</v>
      </c>
      <c r="B766" s="905" t="s">
        <v>2487</v>
      </c>
      <c r="C766" s="895"/>
      <c r="D766" s="895"/>
      <c r="E766" s="895"/>
      <c r="F766" s="895"/>
      <c r="G766" s="895"/>
      <c r="H766" s="1096"/>
    </row>
    <row r="767" spans="1:31" ht="15" x14ac:dyDescent="0.25">
      <c r="A767" s="605">
        <v>737</v>
      </c>
      <c r="B767" s="901" t="s">
        <v>111</v>
      </c>
      <c r="C767" s="892"/>
      <c r="D767" s="892"/>
      <c r="E767" s="892"/>
      <c r="F767" s="892"/>
      <c r="G767" s="892"/>
      <c r="H767" s="1095"/>
      <c r="U767" s="345"/>
      <c r="V767" s="345"/>
      <c r="W767" s="345"/>
      <c r="X767" s="345"/>
      <c r="Y767" s="345"/>
      <c r="Z767" s="345"/>
      <c r="AA767" s="345"/>
      <c r="AB767" s="345"/>
      <c r="AC767" s="345"/>
      <c r="AD767" s="345"/>
      <c r="AE767" s="345"/>
    </row>
    <row r="768" spans="1:31" ht="15" x14ac:dyDescent="0.2">
      <c r="A768" s="605">
        <v>738</v>
      </c>
      <c r="B768" s="914" t="s">
        <v>3135</v>
      </c>
      <c r="C768" s="534"/>
      <c r="D768" s="534"/>
      <c r="E768" s="534"/>
      <c r="F768" s="534"/>
      <c r="G768" s="534"/>
      <c r="H768" s="1092"/>
      <c r="U768" s="345"/>
      <c r="V768" s="345"/>
      <c r="W768" s="345"/>
      <c r="X768" s="345"/>
      <c r="Y768" s="345"/>
      <c r="Z768" s="345"/>
      <c r="AA768" s="345"/>
      <c r="AB768" s="345"/>
      <c r="AC768" s="345"/>
      <c r="AD768" s="345"/>
      <c r="AE768" s="345"/>
    </row>
    <row r="769" spans="1:31" ht="15" x14ac:dyDescent="0.25">
      <c r="A769" s="605">
        <v>739</v>
      </c>
      <c r="B769" s="901" t="s">
        <v>3134</v>
      </c>
      <c r="C769" s="278"/>
      <c r="D769" s="278"/>
      <c r="E769" s="278"/>
      <c r="F769" s="278"/>
      <c r="G769" s="278"/>
      <c r="H769" s="1095"/>
      <c r="U769" s="345"/>
      <c r="V769" s="345"/>
      <c r="W769" s="345"/>
      <c r="X769" s="345"/>
      <c r="Y769" s="345"/>
      <c r="Z769" s="345"/>
      <c r="AA769" s="345"/>
      <c r="AB769" s="345"/>
      <c r="AC769" s="345"/>
      <c r="AD769" s="345"/>
      <c r="AE769" s="345"/>
    </row>
    <row r="770" spans="1:31" ht="15" x14ac:dyDescent="0.2">
      <c r="A770" s="605">
        <v>740</v>
      </c>
      <c r="B770" s="913" t="s">
        <v>3133</v>
      </c>
      <c r="C770" s="534"/>
      <c r="D770" s="534"/>
      <c r="E770" s="534"/>
      <c r="F770" s="534"/>
      <c r="G770" s="534"/>
      <c r="H770" s="1092"/>
      <c r="U770" s="345"/>
      <c r="V770" s="345"/>
      <c r="W770" s="345"/>
      <c r="X770" s="345"/>
      <c r="Y770" s="345"/>
      <c r="Z770" s="345"/>
      <c r="AA770" s="345"/>
      <c r="AB770" s="345"/>
      <c r="AC770" s="345"/>
      <c r="AD770" s="345"/>
      <c r="AE770" s="345"/>
    </row>
    <row r="771" spans="1:31" ht="15" x14ac:dyDescent="0.2">
      <c r="A771" s="605">
        <v>741</v>
      </c>
      <c r="B771" s="913" t="s">
        <v>3132</v>
      </c>
      <c r="C771" s="534"/>
      <c r="D771" s="534"/>
      <c r="E771" s="534"/>
      <c r="F771" s="534"/>
      <c r="G771" s="534"/>
      <c r="H771" s="1092"/>
      <c r="U771" s="345"/>
      <c r="V771" s="345"/>
      <c r="W771" s="345"/>
      <c r="X771" s="345"/>
      <c r="Y771" s="345"/>
      <c r="Z771" s="345"/>
      <c r="AA771" s="345"/>
      <c r="AB771" s="345"/>
      <c r="AC771" s="345"/>
      <c r="AD771" s="345"/>
      <c r="AE771" s="345"/>
    </row>
    <row r="772" spans="1:31" ht="15" x14ac:dyDescent="0.2">
      <c r="A772" s="605">
        <v>742</v>
      </c>
      <c r="B772" s="913" t="s">
        <v>3131</v>
      </c>
      <c r="C772" s="534"/>
      <c r="D772" s="534"/>
      <c r="E772" s="534"/>
      <c r="F772" s="534"/>
      <c r="G772" s="534"/>
      <c r="H772" s="1092"/>
      <c r="U772" s="345"/>
      <c r="V772" s="345"/>
      <c r="W772" s="345"/>
      <c r="X772" s="345"/>
      <c r="Y772" s="345"/>
      <c r="Z772" s="345"/>
      <c r="AA772" s="345"/>
      <c r="AB772" s="345"/>
      <c r="AC772" s="345"/>
      <c r="AD772" s="345"/>
      <c r="AE772" s="345"/>
    </row>
    <row r="773" spans="1:31" ht="15" x14ac:dyDescent="0.2">
      <c r="A773" s="605">
        <v>743</v>
      </c>
      <c r="B773" s="913" t="s">
        <v>3130</v>
      </c>
      <c r="C773" s="534"/>
      <c r="D773" s="534"/>
      <c r="E773" s="534"/>
      <c r="F773" s="534"/>
      <c r="G773" s="534"/>
      <c r="H773" s="1092"/>
      <c r="U773" s="345"/>
      <c r="V773" s="345"/>
      <c r="W773" s="345"/>
      <c r="X773" s="345"/>
      <c r="Y773" s="345"/>
      <c r="Z773" s="345"/>
      <c r="AA773" s="345"/>
      <c r="AB773" s="345"/>
      <c r="AC773" s="345"/>
      <c r="AD773" s="345"/>
      <c r="AE773" s="345"/>
    </row>
    <row r="774" spans="1:31" ht="15" x14ac:dyDescent="0.25">
      <c r="A774" s="605">
        <v>744</v>
      </c>
      <c r="B774" s="901" t="s">
        <v>3129</v>
      </c>
      <c r="C774" s="892"/>
      <c r="D774" s="892"/>
      <c r="E774" s="892"/>
      <c r="F774" s="892"/>
      <c r="G774" s="892"/>
      <c r="H774" s="1096"/>
      <c r="U774" s="345"/>
      <c r="V774" s="345"/>
      <c r="W774" s="345"/>
      <c r="X774" s="345"/>
      <c r="Y774" s="345"/>
      <c r="Z774" s="345"/>
      <c r="AA774" s="345"/>
      <c r="AB774" s="345"/>
      <c r="AC774" s="345"/>
      <c r="AD774" s="345"/>
      <c r="AE774" s="345"/>
    </row>
    <row r="775" spans="1:31" ht="15" x14ac:dyDescent="0.25">
      <c r="A775" s="605">
        <v>745</v>
      </c>
      <c r="B775" s="901" t="s">
        <v>3128</v>
      </c>
      <c r="C775" s="278"/>
      <c r="D775" s="278"/>
      <c r="E775" s="278"/>
      <c r="F775" s="278"/>
      <c r="G775" s="278"/>
      <c r="H775" s="1095"/>
      <c r="U775" s="345"/>
      <c r="V775" s="345"/>
      <c r="W775" s="345"/>
      <c r="X775" s="345"/>
      <c r="Y775" s="345"/>
      <c r="Z775" s="345"/>
      <c r="AA775" s="345"/>
      <c r="AB775" s="345"/>
      <c r="AC775" s="345"/>
      <c r="AD775" s="345"/>
      <c r="AE775" s="345"/>
    </row>
    <row r="776" spans="1:31" ht="15" x14ac:dyDescent="0.25">
      <c r="A776" s="605">
        <v>746</v>
      </c>
      <c r="B776" s="915" t="s">
        <v>3127</v>
      </c>
      <c r="C776" s="892"/>
      <c r="D776" s="892"/>
      <c r="E776" s="892"/>
      <c r="F776" s="892"/>
      <c r="G776" s="892"/>
      <c r="H776" s="1095"/>
      <c r="U776" s="345"/>
      <c r="V776" s="345"/>
      <c r="W776" s="345"/>
      <c r="X776" s="345"/>
      <c r="Y776" s="345"/>
      <c r="Z776" s="345"/>
      <c r="AA776" s="345"/>
      <c r="AB776" s="345"/>
      <c r="AC776" s="345"/>
      <c r="AD776" s="345"/>
      <c r="AE776" s="345"/>
    </row>
    <row r="777" spans="1:31" ht="15" x14ac:dyDescent="0.25">
      <c r="A777" s="605">
        <v>747</v>
      </c>
      <c r="B777" s="915" t="s">
        <v>3126</v>
      </c>
      <c r="C777" s="892"/>
      <c r="D777" s="892"/>
      <c r="E777" s="892"/>
      <c r="F777" s="892"/>
      <c r="G777" s="892"/>
      <c r="H777" s="1095"/>
      <c r="U777" s="345"/>
      <c r="V777" s="345"/>
      <c r="W777" s="345"/>
      <c r="X777" s="345"/>
      <c r="Y777" s="345"/>
      <c r="Z777" s="345"/>
      <c r="AA777" s="345"/>
      <c r="AB777" s="345"/>
      <c r="AC777" s="345"/>
      <c r="AD777" s="345"/>
      <c r="AE777" s="345"/>
    </row>
    <row r="778" spans="1:31" ht="15" x14ac:dyDescent="0.25">
      <c r="A778" s="605">
        <v>748</v>
      </c>
      <c r="B778" s="915" t="s">
        <v>3125</v>
      </c>
      <c r="C778" s="892"/>
      <c r="D778" s="892"/>
      <c r="E778" s="892"/>
      <c r="F778" s="892"/>
      <c r="G778" s="892"/>
      <c r="H778" s="1095"/>
      <c r="U778" s="345"/>
      <c r="V778" s="345"/>
      <c r="W778" s="345"/>
      <c r="X778" s="345"/>
      <c r="Y778" s="345"/>
      <c r="Z778" s="345"/>
      <c r="AA778" s="345"/>
      <c r="AB778" s="345"/>
      <c r="AC778" s="345"/>
      <c r="AD778" s="345"/>
      <c r="AE778" s="345"/>
    </row>
    <row r="779" spans="1:31" ht="15" x14ac:dyDescent="0.25">
      <c r="A779" s="605">
        <v>749</v>
      </c>
      <c r="B779" s="915" t="s">
        <v>3124</v>
      </c>
      <c r="C779" s="892"/>
      <c r="D779" s="892"/>
      <c r="E779" s="892"/>
      <c r="F779" s="892"/>
      <c r="G779" s="892"/>
      <c r="H779" s="1095"/>
      <c r="U779" s="345"/>
      <c r="V779" s="345"/>
      <c r="W779" s="345"/>
      <c r="X779" s="345"/>
      <c r="Y779" s="345"/>
      <c r="Z779" s="345"/>
      <c r="AA779" s="345"/>
      <c r="AB779" s="345"/>
      <c r="AC779" s="345"/>
      <c r="AD779" s="345"/>
      <c r="AE779" s="345"/>
    </row>
    <row r="780" spans="1:31" ht="15" x14ac:dyDescent="0.25">
      <c r="A780" s="605">
        <v>750</v>
      </c>
      <c r="B780" s="915" t="s">
        <v>3123</v>
      </c>
      <c r="C780" s="892"/>
      <c r="D780" s="892"/>
      <c r="E780" s="892"/>
      <c r="F780" s="892"/>
      <c r="G780" s="892"/>
      <c r="H780" s="1097"/>
      <c r="U780" s="345"/>
      <c r="V780" s="345"/>
      <c r="W780" s="345"/>
      <c r="X780" s="345"/>
      <c r="Y780" s="345"/>
      <c r="Z780" s="345"/>
      <c r="AA780" s="345"/>
      <c r="AB780" s="345"/>
      <c r="AC780" s="345"/>
      <c r="AD780" s="345"/>
      <c r="AE780" s="345"/>
    </row>
    <row r="781" spans="1:31" ht="15" x14ac:dyDescent="0.2">
      <c r="A781" s="605">
        <v>751</v>
      </c>
      <c r="B781" s="914" t="s">
        <v>3122</v>
      </c>
      <c r="C781" s="278"/>
      <c r="D781" s="278"/>
      <c r="E781" s="278"/>
      <c r="F781" s="278"/>
      <c r="G781" s="278"/>
      <c r="H781" s="1098"/>
      <c r="U781" s="345"/>
      <c r="V781" s="345"/>
      <c r="W781" s="345"/>
      <c r="X781" s="345"/>
      <c r="Y781" s="345"/>
      <c r="Z781" s="345"/>
      <c r="AA781" s="345"/>
      <c r="AB781" s="345"/>
      <c r="AC781" s="345"/>
      <c r="AD781" s="345"/>
      <c r="AE781" s="345"/>
    </row>
    <row r="782" spans="1:31" ht="15" x14ac:dyDescent="0.2">
      <c r="A782" s="605">
        <v>752</v>
      </c>
      <c r="B782" s="913" t="s">
        <v>3121</v>
      </c>
      <c r="C782" s="534"/>
      <c r="D782" s="534"/>
      <c r="E782" s="534"/>
      <c r="F782" s="534"/>
      <c r="G782" s="534"/>
      <c r="H782" s="1098"/>
      <c r="U782" s="345"/>
      <c r="V782" s="345"/>
      <c r="W782" s="345"/>
      <c r="X782" s="345"/>
      <c r="Y782" s="345"/>
      <c r="Z782" s="345"/>
      <c r="AA782" s="345"/>
      <c r="AB782" s="345"/>
      <c r="AC782" s="345"/>
      <c r="AD782" s="345"/>
      <c r="AE782" s="345"/>
    </row>
    <row r="783" spans="1:31" ht="15" x14ac:dyDescent="0.2">
      <c r="A783" s="605">
        <v>753</v>
      </c>
      <c r="B783" s="913" t="s">
        <v>3120</v>
      </c>
      <c r="C783" s="534"/>
      <c r="D783" s="534"/>
      <c r="E783" s="534"/>
      <c r="F783" s="534"/>
      <c r="G783" s="534"/>
      <c r="H783" s="1092"/>
      <c r="U783" s="345"/>
      <c r="V783" s="345"/>
      <c r="W783" s="345"/>
      <c r="X783" s="345"/>
      <c r="Y783" s="345"/>
      <c r="Z783" s="345"/>
      <c r="AA783" s="345"/>
      <c r="AB783" s="345"/>
      <c r="AC783" s="345"/>
      <c r="AD783" s="345"/>
      <c r="AE783" s="345"/>
    </row>
    <row r="784" spans="1:31" ht="15" x14ac:dyDescent="0.25">
      <c r="A784" s="605">
        <v>754</v>
      </c>
      <c r="B784" s="912" t="s">
        <v>3119</v>
      </c>
      <c r="C784" s="534"/>
      <c r="D784" s="534"/>
      <c r="E784" s="534"/>
      <c r="F784" s="534"/>
      <c r="G784" s="534"/>
      <c r="H784" s="1092"/>
      <c r="U784" s="345"/>
      <c r="V784" s="345"/>
      <c r="W784" s="345"/>
      <c r="X784" s="345"/>
      <c r="Y784" s="345"/>
      <c r="Z784" s="345"/>
      <c r="AA784" s="345"/>
      <c r="AB784" s="345"/>
      <c r="AC784" s="345"/>
      <c r="AD784" s="345"/>
      <c r="AE784" s="345"/>
    </row>
    <row r="785" spans="1:31" ht="15" x14ac:dyDescent="0.25">
      <c r="A785" s="605">
        <v>755</v>
      </c>
      <c r="B785" s="911" t="s">
        <v>3118</v>
      </c>
      <c r="C785" s="538"/>
      <c r="D785" s="538"/>
      <c r="E785" s="538"/>
      <c r="F785" s="538"/>
      <c r="G785" s="538"/>
      <c r="H785" s="1093"/>
      <c r="U785" s="345"/>
      <c r="V785" s="345"/>
      <c r="W785" s="345"/>
      <c r="X785" s="345"/>
      <c r="Y785" s="345"/>
      <c r="Z785" s="345"/>
      <c r="AA785" s="345"/>
      <c r="AB785" s="345"/>
      <c r="AC785" s="345"/>
      <c r="AD785" s="345"/>
      <c r="AE785" s="345"/>
    </row>
    <row r="786" spans="1:31" ht="15" x14ac:dyDescent="0.25">
      <c r="A786" s="605">
        <v>756</v>
      </c>
      <c r="B786" s="909" t="s">
        <v>3117</v>
      </c>
      <c r="C786" s="895"/>
      <c r="D786" s="895"/>
      <c r="E786" s="895"/>
      <c r="F786" s="895"/>
      <c r="G786" s="895"/>
      <c r="H786" s="1096"/>
      <c r="U786" s="345"/>
      <c r="V786" s="345"/>
      <c r="W786" s="345"/>
      <c r="X786" s="345"/>
      <c r="Y786" s="345"/>
      <c r="Z786" s="345"/>
      <c r="AA786" s="345"/>
      <c r="AB786" s="345"/>
      <c r="AC786" s="345"/>
      <c r="AD786" s="345"/>
      <c r="AE786" s="345"/>
    </row>
    <row r="787" spans="1:31" ht="15" x14ac:dyDescent="0.25">
      <c r="A787" s="605">
        <v>757</v>
      </c>
      <c r="B787" s="909" t="s">
        <v>3116</v>
      </c>
      <c r="C787" s="895"/>
      <c r="D787" s="895"/>
      <c r="E787" s="895"/>
      <c r="F787" s="895"/>
      <c r="G787" s="895"/>
      <c r="H787" s="1096"/>
      <c r="U787" s="345"/>
      <c r="V787" s="345"/>
      <c r="W787" s="345"/>
      <c r="X787" s="345"/>
      <c r="Y787" s="345"/>
      <c r="Z787" s="345"/>
      <c r="AA787" s="345"/>
      <c r="AB787" s="345"/>
      <c r="AC787" s="345"/>
      <c r="AD787" s="345"/>
      <c r="AE787" s="345"/>
    </row>
    <row r="788" spans="1:31" ht="15" x14ac:dyDescent="0.2">
      <c r="A788" s="605">
        <v>758</v>
      </c>
      <c r="B788" s="910" t="s">
        <v>3115</v>
      </c>
      <c r="C788" s="538"/>
      <c r="D788" s="538"/>
      <c r="E788" s="538"/>
      <c r="F788" s="538"/>
      <c r="G788" s="538"/>
      <c r="H788" s="1093"/>
      <c r="U788" s="345"/>
      <c r="V788" s="345"/>
      <c r="W788" s="345"/>
      <c r="X788" s="345"/>
      <c r="Y788" s="345"/>
      <c r="Z788" s="345"/>
      <c r="AA788" s="345"/>
      <c r="AB788" s="345"/>
      <c r="AC788" s="345"/>
      <c r="AD788" s="345"/>
      <c r="AE788" s="345"/>
    </row>
    <row r="789" spans="1:31" ht="15" x14ac:dyDescent="0.25">
      <c r="A789" s="605">
        <v>759</v>
      </c>
      <c r="B789" s="909" t="s">
        <v>3114</v>
      </c>
      <c r="C789" s="895"/>
      <c r="D789" s="895"/>
      <c r="E789" s="895"/>
      <c r="F789" s="895"/>
      <c r="G789" s="895"/>
      <c r="H789" s="1096"/>
      <c r="U789" s="345"/>
      <c r="V789" s="345"/>
      <c r="W789" s="345"/>
      <c r="X789" s="345"/>
      <c r="Y789" s="345"/>
      <c r="Z789" s="345"/>
      <c r="AA789" s="345"/>
      <c r="AB789" s="345"/>
      <c r="AC789" s="345"/>
      <c r="AD789" s="345"/>
      <c r="AE789" s="345"/>
    </row>
    <row r="790" spans="1:31" ht="15" x14ac:dyDescent="0.25">
      <c r="A790" s="605">
        <v>760</v>
      </c>
      <c r="B790" s="909" t="s">
        <v>3078</v>
      </c>
      <c r="C790" s="895"/>
      <c r="D790" s="895"/>
      <c r="E790" s="895"/>
      <c r="F790" s="895"/>
      <c r="G790" s="895"/>
      <c r="H790" s="1096"/>
      <c r="U790" s="345"/>
      <c r="V790" s="345"/>
      <c r="W790" s="345"/>
      <c r="X790" s="345"/>
      <c r="Y790" s="345"/>
      <c r="Z790" s="345"/>
      <c r="AA790" s="345"/>
      <c r="AB790" s="345"/>
      <c r="AC790" s="345"/>
      <c r="AD790" s="345"/>
      <c r="AE790" s="345"/>
    </row>
    <row r="791" spans="1:31" s="347" customFormat="1" ht="15" x14ac:dyDescent="0.25">
      <c r="A791" s="605">
        <v>761</v>
      </c>
      <c r="B791" s="909" t="s">
        <v>3113</v>
      </c>
      <c r="C791" s="895"/>
      <c r="D791" s="895"/>
      <c r="E791" s="895"/>
      <c r="F791" s="895"/>
      <c r="G791" s="895"/>
      <c r="H791" s="1096"/>
    </row>
    <row r="792" spans="1:31" ht="15" x14ac:dyDescent="0.2">
      <c r="A792" s="605">
        <v>762</v>
      </c>
      <c r="B792" s="910" t="s">
        <v>3112</v>
      </c>
      <c r="C792" s="538"/>
      <c r="D792" s="538"/>
      <c r="E792" s="538"/>
      <c r="F792" s="538"/>
      <c r="G792" s="538"/>
      <c r="H792" s="1093"/>
      <c r="U792" s="345"/>
      <c r="V792" s="345"/>
      <c r="W792" s="345"/>
      <c r="X792" s="345"/>
      <c r="Y792" s="345"/>
      <c r="Z792" s="345"/>
      <c r="AA792" s="345"/>
      <c r="AB792" s="345"/>
      <c r="AC792" s="345"/>
      <c r="AD792" s="345"/>
      <c r="AE792" s="345"/>
    </row>
    <row r="793" spans="1:31" ht="15" x14ac:dyDescent="0.2">
      <c r="A793" s="605">
        <v>763</v>
      </c>
      <c r="B793" s="910" t="s">
        <v>3111</v>
      </c>
      <c r="C793" s="538"/>
      <c r="D793" s="538"/>
      <c r="E793" s="538"/>
      <c r="F793" s="538"/>
      <c r="G793" s="538"/>
      <c r="H793" s="1093"/>
      <c r="U793" s="345"/>
      <c r="V793" s="345"/>
      <c r="W793" s="345"/>
      <c r="X793" s="345"/>
      <c r="Y793" s="345"/>
      <c r="Z793" s="345"/>
      <c r="AA793" s="345"/>
      <c r="AB793" s="345"/>
      <c r="AC793" s="345"/>
      <c r="AD793" s="345"/>
      <c r="AE793" s="345"/>
    </row>
    <row r="794" spans="1:31" ht="15" x14ac:dyDescent="0.25">
      <c r="A794" s="605">
        <v>764</v>
      </c>
      <c r="B794" s="909" t="s">
        <v>3110</v>
      </c>
      <c r="C794" s="895"/>
      <c r="D794" s="895"/>
      <c r="E794" s="895"/>
      <c r="F794" s="895"/>
      <c r="G794" s="895"/>
      <c r="H794" s="1096"/>
      <c r="U794" s="345"/>
      <c r="V794" s="345"/>
      <c r="W794" s="345"/>
      <c r="X794" s="345"/>
      <c r="Y794" s="345"/>
      <c r="Z794" s="345"/>
      <c r="AA794" s="345"/>
      <c r="AB794" s="345"/>
      <c r="AC794" s="345"/>
      <c r="AD794" s="345"/>
      <c r="AE794" s="345"/>
    </row>
    <row r="795" spans="1:31" ht="15" x14ac:dyDescent="0.25">
      <c r="A795" s="605">
        <v>765</v>
      </c>
      <c r="B795" s="909" t="s">
        <v>3109</v>
      </c>
      <c r="C795" s="895"/>
      <c r="D795" s="895"/>
      <c r="E795" s="895"/>
      <c r="F795" s="895"/>
      <c r="G795" s="895"/>
      <c r="H795" s="1096"/>
      <c r="U795" s="345"/>
      <c r="V795" s="345"/>
      <c r="W795" s="345"/>
      <c r="X795" s="345"/>
      <c r="Y795" s="345"/>
      <c r="Z795" s="345"/>
      <c r="AA795" s="345"/>
      <c r="AB795" s="345"/>
      <c r="AC795" s="345"/>
      <c r="AD795" s="345"/>
      <c r="AE795" s="345"/>
    </row>
    <row r="796" spans="1:31" ht="15" x14ac:dyDescent="0.25">
      <c r="A796" s="605">
        <v>766</v>
      </c>
      <c r="B796" s="909" t="s">
        <v>3108</v>
      </c>
      <c r="C796" s="895"/>
      <c r="D796" s="895"/>
      <c r="E796" s="895"/>
      <c r="F796" s="895"/>
      <c r="G796" s="895"/>
      <c r="H796" s="1096"/>
      <c r="U796" s="345"/>
      <c r="V796" s="345"/>
      <c r="W796" s="345"/>
      <c r="X796" s="345"/>
      <c r="Y796" s="345"/>
      <c r="Z796" s="345"/>
      <c r="AA796" s="345"/>
      <c r="AB796" s="345"/>
      <c r="AC796" s="345"/>
      <c r="AD796" s="345"/>
      <c r="AE796" s="345"/>
    </row>
    <row r="797" spans="1:31" s="1190" customFormat="1" ht="15" x14ac:dyDescent="0.25">
      <c r="A797" s="605">
        <v>767</v>
      </c>
      <c r="B797" s="1200" t="s">
        <v>3418</v>
      </c>
      <c r="C797" s="1197"/>
      <c r="D797" s="1197"/>
      <c r="E797" s="1197"/>
      <c r="F797" s="1197"/>
      <c r="G797" s="1197"/>
      <c r="H797" s="1205"/>
      <c r="I797" s="1189"/>
      <c r="J797" s="1189"/>
      <c r="K797" s="1189"/>
      <c r="L797" s="1189"/>
      <c r="M797" s="1189"/>
      <c r="N797" s="1189"/>
      <c r="O797" s="1189"/>
      <c r="P797" s="1189"/>
      <c r="Q797" s="1189"/>
      <c r="R797" s="1189"/>
      <c r="S797" s="1189"/>
      <c r="T797" s="1189"/>
    </row>
    <row r="798" spans="1:31" s="1190" customFormat="1" ht="15" x14ac:dyDescent="0.25">
      <c r="A798" s="605">
        <v>768</v>
      </c>
      <c r="B798" s="1198" t="s">
        <v>3107</v>
      </c>
      <c r="C798" s="1199"/>
      <c r="D798" s="1199"/>
      <c r="E798" s="1199"/>
      <c r="F798" s="1199"/>
      <c r="G798" s="1199"/>
      <c r="H798" s="1205"/>
      <c r="I798" s="1189"/>
      <c r="J798" s="1189"/>
      <c r="K798" s="1189"/>
      <c r="L798" s="1189"/>
      <c r="M798" s="1189"/>
      <c r="N798" s="1189"/>
      <c r="O798" s="1189"/>
      <c r="P798" s="1189"/>
      <c r="Q798" s="1189"/>
      <c r="R798" s="1189"/>
      <c r="S798" s="1189"/>
      <c r="T798" s="1189"/>
    </row>
    <row r="799" spans="1:31" s="1189" customFormat="1" ht="15" x14ac:dyDescent="0.25">
      <c r="A799" s="605">
        <v>769</v>
      </c>
      <c r="B799" s="1200" t="s">
        <v>3106</v>
      </c>
      <c r="C799" s="1197"/>
      <c r="D799" s="1197"/>
      <c r="E799" s="1197"/>
      <c r="F799" s="1197"/>
      <c r="G799" s="1197"/>
      <c r="H799" s="1205"/>
    </row>
    <row r="800" spans="1:31" s="1189" customFormat="1" ht="15" x14ac:dyDescent="0.25">
      <c r="A800" s="605">
        <v>770</v>
      </c>
      <c r="B800" s="1200" t="s">
        <v>3105</v>
      </c>
      <c r="C800" s="1197"/>
      <c r="D800" s="1197"/>
      <c r="E800" s="1197"/>
      <c r="F800" s="1197"/>
      <c r="G800" s="1197"/>
      <c r="H800" s="1205"/>
    </row>
    <row r="801" spans="1:31" s="1189" customFormat="1" ht="15" x14ac:dyDescent="0.25">
      <c r="A801" s="605">
        <v>771</v>
      </c>
      <c r="B801" s="1198" t="s">
        <v>3104</v>
      </c>
      <c r="C801" s="1199"/>
      <c r="D801" s="1199"/>
      <c r="E801" s="1199"/>
      <c r="F801" s="1199"/>
      <c r="G801" s="1199"/>
      <c r="H801" s="1206"/>
    </row>
    <row r="802" spans="1:31" s="1189" customFormat="1" ht="15" x14ac:dyDescent="0.25">
      <c r="A802" s="605">
        <v>772</v>
      </c>
      <c r="B802" s="1200" t="s">
        <v>3103</v>
      </c>
      <c r="C802" s="1197"/>
      <c r="D802" s="1197"/>
      <c r="E802" s="1197"/>
      <c r="F802" s="1197"/>
      <c r="G802" s="1197"/>
      <c r="H802" s="1206"/>
    </row>
    <row r="803" spans="1:31" s="1189" customFormat="1" ht="15" x14ac:dyDescent="0.25">
      <c r="A803" s="605">
        <v>773</v>
      </c>
      <c r="B803" s="1200" t="s">
        <v>3102</v>
      </c>
      <c r="C803" s="1197"/>
      <c r="D803" s="1197"/>
      <c r="E803" s="1197"/>
      <c r="F803" s="1197"/>
      <c r="G803" s="1197"/>
      <c r="H803" s="1206"/>
    </row>
    <row r="804" spans="1:31" s="1190" customFormat="1" ht="15" x14ac:dyDescent="0.2">
      <c r="A804" s="605">
        <v>774</v>
      </c>
      <c r="B804" s="1201" t="s">
        <v>3101</v>
      </c>
      <c r="C804" s="1202"/>
      <c r="D804" s="1202"/>
      <c r="E804" s="1202"/>
      <c r="F804" s="1202"/>
      <c r="G804" s="1202"/>
      <c r="H804" s="1207"/>
      <c r="I804" s="1189"/>
      <c r="J804" s="1189"/>
      <c r="K804" s="1189"/>
      <c r="L804" s="1189"/>
      <c r="M804" s="1189"/>
      <c r="N804" s="1189"/>
      <c r="O804" s="1189"/>
      <c r="P804" s="1189"/>
      <c r="Q804" s="1189"/>
      <c r="R804" s="1189"/>
      <c r="S804" s="1189"/>
      <c r="T804" s="1189"/>
    </row>
    <row r="805" spans="1:31" s="1190" customFormat="1" ht="30" x14ac:dyDescent="0.2">
      <c r="A805" s="605">
        <v>775</v>
      </c>
      <c r="B805" s="1201" t="s">
        <v>3416</v>
      </c>
      <c r="C805" s="1202"/>
      <c r="D805" s="1202"/>
      <c r="E805" s="1202"/>
      <c r="F805" s="1202"/>
      <c r="G805" s="1202"/>
      <c r="H805" s="1207"/>
      <c r="I805" s="1189"/>
      <c r="J805" s="1189"/>
      <c r="K805" s="1189"/>
      <c r="L805" s="1189"/>
      <c r="M805" s="1189"/>
      <c r="N805" s="1189"/>
      <c r="O805" s="1189"/>
      <c r="P805" s="1189"/>
      <c r="Q805" s="1189"/>
      <c r="R805" s="1189"/>
      <c r="S805" s="1189"/>
      <c r="T805" s="1189"/>
    </row>
    <row r="806" spans="1:31" s="1190" customFormat="1" ht="30" x14ac:dyDescent="0.2">
      <c r="A806" s="605">
        <v>776</v>
      </c>
      <c r="B806" s="1201" t="s">
        <v>3417</v>
      </c>
      <c r="C806" s="1202"/>
      <c r="D806" s="1202"/>
      <c r="E806" s="1202"/>
      <c r="F806" s="1202"/>
      <c r="G806" s="1202"/>
      <c r="H806" s="1207"/>
      <c r="I806" s="1189"/>
      <c r="J806" s="1189"/>
      <c r="K806" s="1189"/>
      <c r="L806" s="1189"/>
      <c r="M806" s="1189"/>
      <c r="N806" s="1189"/>
      <c r="O806" s="1189"/>
      <c r="P806" s="1189"/>
      <c r="Q806" s="1189"/>
      <c r="R806" s="1189"/>
      <c r="S806" s="1189"/>
      <c r="T806" s="1189"/>
    </row>
    <row r="807" spans="1:31" s="1189" customFormat="1" ht="15" x14ac:dyDescent="0.2">
      <c r="A807" s="605">
        <v>777</v>
      </c>
      <c r="B807" s="1203" t="s">
        <v>3100</v>
      </c>
      <c r="C807" s="1204"/>
      <c r="D807" s="1204"/>
      <c r="E807" s="1204"/>
      <c r="F807" s="1204"/>
      <c r="G807" s="1204"/>
      <c r="H807" s="1208"/>
    </row>
    <row r="808" spans="1:31" s="347" customFormat="1" ht="15" x14ac:dyDescent="0.2">
      <c r="A808" s="605">
        <v>778</v>
      </c>
      <c r="B808" s="904" t="s">
        <v>3099</v>
      </c>
      <c r="C808" s="538"/>
      <c r="D808" s="538"/>
      <c r="E808" s="538"/>
      <c r="F808" s="538"/>
      <c r="G808" s="538"/>
      <c r="H808" s="1093"/>
    </row>
    <row r="809" spans="1:31" s="347" customFormat="1" ht="30" x14ac:dyDescent="0.2">
      <c r="A809" s="605">
        <v>779</v>
      </c>
      <c r="B809" s="904" t="s">
        <v>3098</v>
      </c>
      <c r="C809" s="538"/>
      <c r="D809" s="538"/>
      <c r="E809" s="538"/>
      <c r="F809" s="538"/>
      <c r="G809" s="538"/>
      <c r="H809" s="1093"/>
    </row>
    <row r="810" spans="1:31" s="598" customFormat="1" ht="30" x14ac:dyDescent="0.2">
      <c r="A810" s="605">
        <v>780</v>
      </c>
      <c r="B810" s="904" t="s">
        <v>3097</v>
      </c>
      <c r="C810" s="538"/>
      <c r="D810" s="538"/>
      <c r="E810" s="538"/>
      <c r="F810" s="538"/>
      <c r="G810" s="538"/>
      <c r="H810" s="1093"/>
    </row>
    <row r="811" spans="1:31" ht="15" x14ac:dyDescent="0.2">
      <c r="A811" s="605">
        <v>781</v>
      </c>
      <c r="B811" s="855" t="s">
        <v>3096</v>
      </c>
      <c r="C811" s="866"/>
      <c r="D811" s="866"/>
      <c r="E811" s="866"/>
      <c r="F811" s="866"/>
      <c r="G811" s="866"/>
      <c r="H811" s="1025"/>
      <c r="U811" s="345"/>
      <c r="V811" s="345"/>
      <c r="W811" s="345"/>
      <c r="X811" s="345"/>
      <c r="Y811" s="345"/>
      <c r="Z811" s="345"/>
      <c r="AA811" s="345"/>
      <c r="AB811" s="345"/>
      <c r="AC811" s="345"/>
      <c r="AD811" s="345"/>
      <c r="AE811" s="345"/>
    </row>
    <row r="812" spans="1:31" ht="30" x14ac:dyDescent="0.2">
      <c r="A812" s="605">
        <v>782</v>
      </c>
      <c r="B812" s="908" t="s">
        <v>3095</v>
      </c>
      <c r="C812" s="892"/>
      <c r="D812" s="892"/>
      <c r="E812" s="892"/>
      <c r="F812" s="892"/>
      <c r="G812" s="892"/>
      <c r="H812" s="1095"/>
      <c r="U812" s="345"/>
      <c r="V812" s="345"/>
      <c r="W812" s="345"/>
      <c r="X812" s="345"/>
      <c r="Y812" s="345"/>
      <c r="Z812" s="345"/>
      <c r="AA812" s="345"/>
      <c r="AB812" s="345"/>
      <c r="AC812" s="345"/>
      <c r="AD812" s="345"/>
      <c r="AE812" s="345"/>
    </row>
    <row r="813" spans="1:31" ht="15" x14ac:dyDescent="0.2">
      <c r="A813" s="605">
        <v>783</v>
      </c>
      <c r="B813" s="908" t="s">
        <v>3094</v>
      </c>
      <c r="C813" s="892"/>
      <c r="D813" s="892"/>
      <c r="E813" s="892"/>
      <c r="F813" s="892"/>
      <c r="G813" s="892"/>
      <c r="H813" s="1095"/>
      <c r="U813" s="345"/>
      <c r="V813" s="345"/>
      <c r="W813" s="345"/>
      <c r="X813" s="345"/>
      <c r="Y813" s="345"/>
      <c r="Z813" s="345"/>
      <c r="AA813" s="345"/>
      <c r="AB813" s="345"/>
      <c r="AC813" s="345"/>
      <c r="AD813" s="345"/>
      <c r="AE813" s="345"/>
    </row>
    <row r="814" spans="1:31" ht="30" x14ac:dyDescent="0.2">
      <c r="A814" s="605">
        <v>784</v>
      </c>
      <c r="B814" s="908" t="s">
        <v>3093</v>
      </c>
      <c r="C814" s="892"/>
      <c r="D814" s="892"/>
      <c r="E814" s="892"/>
      <c r="F814" s="892"/>
      <c r="G814" s="892"/>
      <c r="H814" s="1095"/>
      <c r="U814" s="345"/>
      <c r="V814" s="345"/>
      <c r="W814" s="345"/>
      <c r="X814" s="345"/>
      <c r="Y814" s="345"/>
      <c r="Z814" s="345"/>
      <c r="AA814" s="345"/>
      <c r="AB814" s="345"/>
      <c r="AC814" s="345"/>
      <c r="AD814" s="345"/>
      <c r="AE814" s="345"/>
    </row>
    <row r="815" spans="1:31" ht="45" x14ac:dyDescent="0.2">
      <c r="A815" s="605">
        <v>785</v>
      </c>
      <c r="B815" s="907" t="s">
        <v>3092</v>
      </c>
      <c r="C815" s="898"/>
      <c r="D815" s="897"/>
      <c r="E815" s="897"/>
      <c r="F815" s="897"/>
      <c r="G815" s="897"/>
      <c r="H815" s="1099"/>
      <c r="U815" s="345"/>
      <c r="V815" s="345"/>
      <c r="W815" s="345"/>
      <c r="X815" s="345"/>
      <c r="Y815" s="345"/>
      <c r="Z815" s="345"/>
      <c r="AA815" s="345"/>
      <c r="AB815" s="345"/>
      <c r="AC815" s="345"/>
      <c r="AD815" s="345"/>
      <c r="AE815" s="345"/>
    </row>
    <row r="816" spans="1:31" ht="30" x14ac:dyDescent="0.2">
      <c r="A816" s="605">
        <v>786</v>
      </c>
      <c r="B816" s="533" t="s">
        <v>3091</v>
      </c>
      <c r="C816" s="534"/>
      <c r="D816" s="534"/>
      <c r="E816" s="534"/>
      <c r="F816" s="534"/>
      <c r="G816" s="534"/>
      <c r="H816" s="1092"/>
      <c r="U816" s="345"/>
      <c r="V816" s="345"/>
      <c r="W816" s="345"/>
      <c r="X816" s="345"/>
      <c r="Y816" s="345"/>
      <c r="Z816" s="345"/>
      <c r="AA816" s="345"/>
      <c r="AB816" s="345"/>
      <c r="AC816" s="345"/>
      <c r="AD816" s="345"/>
      <c r="AE816" s="345"/>
    </row>
    <row r="817" spans="1:31" ht="30" x14ac:dyDescent="0.2">
      <c r="A817" s="605">
        <v>787</v>
      </c>
      <c r="B817" s="902" t="s">
        <v>3090</v>
      </c>
      <c r="C817" s="534"/>
      <c r="D817" s="534"/>
      <c r="E817" s="534"/>
      <c r="F817" s="534"/>
      <c r="G817" s="534"/>
      <c r="H817" s="1092"/>
      <c r="U817" s="345"/>
      <c r="V817" s="345"/>
      <c r="W817" s="345"/>
      <c r="X817" s="345"/>
      <c r="Y817" s="345"/>
      <c r="Z817" s="345"/>
      <c r="AA817" s="345"/>
      <c r="AB817" s="345"/>
      <c r="AC817" s="345"/>
      <c r="AD817" s="345"/>
      <c r="AE817" s="345"/>
    </row>
    <row r="818" spans="1:31" ht="45" x14ac:dyDescent="0.2">
      <c r="A818" s="605">
        <v>788</v>
      </c>
      <c r="B818" s="902" t="s">
        <v>3089</v>
      </c>
      <c r="C818" s="534"/>
      <c r="D818" s="534"/>
      <c r="E818" s="534"/>
      <c r="F818" s="534"/>
      <c r="G818" s="534"/>
      <c r="H818" s="1093"/>
      <c r="U818" s="345"/>
      <c r="V818" s="345"/>
      <c r="W818" s="345"/>
      <c r="X818" s="345"/>
      <c r="Y818" s="345"/>
      <c r="Z818" s="345"/>
      <c r="AA818" s="345"/>
      <c r="AB818" s="345"/>
      <c r="AC818" s="345"/>
      <c r="AD818" s="345"/>
      <c r="AE818" s="345"/>
    </row>
    <row r="819" spans="1:31" ht="30" x14ac:dyDescent="0.2">
      <c r="A819" s="605">
        <v>789</v>
      </c>
      <c r="B819" s="902" t="s">
        <v>3088</v>
      </c>
      <c r="C819" s="534"/>
      <c r="D819" s="534"/>
      <c r="E819" s="534"/>
      <c r="F819" s="534"/>
      <c r="G819" s="534"/>
      <c r="H819" s="1093"/>
      <c r="U819" s="345"/>
      <c r="V819" s="345"/>
      <c r="W819" s="345"/>
      <c r="X819" s="345"/>
      <c r="Y819" s="345"/>
      <c r="Z819" s="345"/>
      <c r="AA819" s="345"/>
      <c r="AB819" s="345"/>
      <c r="AC819" s="345"/>
      <c r="AD819" s="345"/>
      <c r="AE819" s="345"/>
    </row>
    <row r="820" spans="1:31" ht="30" x14ac:dyDescent="0.2">
      <c r="A820" s="605">
        <v>790</v>
      </c>
      <c r="B820" s="904" t="s">
        <v>3087</v>
      </c>
      <c r="C820" s="538"/>
      <c r="D820" s="538"/>
      <c r="E820" s="538"/>
      <c r="F820" s="538"/>
      <c r="G820" s="538"/>
      <c r="H820" s="1093"/>
      <c r="U820" s="345"/>
      <c r="V820" s="345"/>
      <c r="W820" s="345"/>
      <c r="X820" s="345"/>
      <c r="Y820" s="345"/>
      <c r="Z820" s="345"/>
      <c r="AA820" s="345"/>
      <c r="AB820" s="345"/>
      <c r="AC820" s="345"/>
      <c r="AD820" s="345"/>
      <c r="AE820" s="345"/>
    </row>
    <row r="821" spans="1:31" s="347" customFormat="1" ht="15" x14ac:dyDescent="0.2">
      <c r="A821" s="605">
        <v>791</v>
      </c>
      <c r="B821" s="904" t="s">
        <v>3086</v>
      </c>
      <c r="C821" s="538"/>
      <c r="D821" s="538"/>
      <c r="E821" s="538"/>
      <c r="F821" s="538"/>
      <c r="G821" s="538"/>
      <c r="H821" s="1093"/>
    </row>
    <row r="822" spans="1:31" s="347" customFormat="1" ht="30" x14ac:dyDescent="0.2">
      <c r="A822" s="605">
        <v>792</v>
      </c>
      <c r="B822" s="904" t="s">
        <v>3085</v>
      </c>
      <c r="C822" s="538"/>
      <c r="D822" s="538"/>
      <c r="E822" s="538"/>
      <c r="F822" s="538"/>
      <c r="G822" s="538"/>
      <c r="H822" s="1093"/>
    </row>
    <row r="823" spans="1:31" ht="15" x14ac:dyDescent="0.2">
      <c r="A823" s="605">
        <v>793</v>
      </c>
      <c r="B823" s="855" t="s">
        <v>3084</v>
      </c>
      <c r="C823" s="866"/>
      <c r="D823" s="866"/>
      <c r="E823" s="866"/>
      <c r="F823" s="866"/>
      <c r="G823" s="866"/>
      <c r="H823" s="1025"/>
      <c r="U823" s="345"/>
      <c r="V823" s="345"/>
      <c r="W823" s="345"/>
      <c r="X823" s="345"/>
      <c r="Y823" s="345"/>
      <c r="Z823" s="345"/>
      <c r="AA823" s="345"/>
      <c r="AB823" s="345"/>
      <c r="AC823" s="345"/>
      <c r="AD823" s="345"/>
      <c r="AE823" s="345"/>
    </row>
    <row r="824" spans="1:31" ht="30" x14ac:dyDescent="0.25">
      <c r="A824" s="605">
        <v>794</v>
      </c>
      <c r="B824" s="906" t="s">
        <v>3083</v>
      </c>
      <c r="C824" s="892"/>
      <c r="D824" s="892"/>
      <c r="E824" s="892"/>
      <c r="F824" s="892"/>
      <c r="G824" s="892"/>
      <c r="H824" s="1096"/>
      <c r="U824" s="345"/>
      <c r="V824" s="345"/>
      <c r="W824" s="345"/>
      <c r="X824" s="345"/>
      <c r="Y824" s="345"/>
      <c r="Z824" s="345"/>
      <c r="AA824" s="345"/>
      <c r="AB824" s="345"/>
      <c r="AC824" s="345"/>
      <c r="AD824" s="345"/>
      <c r="AE824" s="345"/>
    </row>
    <row r="825" spans="1:31" ht="15" x14ac:dyDescent="0.25">
      <c r="A825" s="605">
        <v>795</v>
      </c>
      <c r="B825" s="894" t="s">
        <v>3082</v>
      </c>
      <c r="C825" s="278"/>
      <c r="D825" s="278"/>
      <c r="E825" s="278"/>
      <c r="F825" s="278"/>
      <c r="G825" s="278"/>
      <c r="H825" s="1096"/>
      <c r="U825" s="345"/>
      <c r="V825" s="345"/>
      <c r="W825" s="345"/>
      <c r="X825" s="345"/>
      <c r="Y825" s="345"/>
      <c r="Z825" s="345"/>
      <c r="AA825" s="345"/>
      <c r="AB825" s="345"/>
      <c r="AC825" s="345"/>
      <c r="AD825" s="345"/>
      <c r="AE825" s="345"/>
    </row>
    <row r="826" spans="1:31" s="347" customFormat="1" ht="15" x14ac:dyDescent="0.25">
      <c r="A826" s="605">
        <v>796</v>
      </c>
      <c r="B826" s="905" t="s">
        <v>3081</v>
      </c>
      <c r="C826" s="773"/>
      <c r="D826" s="773"/>
      <c r="E826" s="773"/>
      <c r="F826" s="773"/>
      <c r="G826" s="773"/>
      <c r="H826" s="1096"/>
    </row>
    <row r="827" spans="1:31" ht="15" x14ac:dyDescent="0.25">
      <c r="A827" s="605">
        <v>797</v>
      </c>
      <c r="B827" s="901" t="s">
        <v>3080</v>
      </c>
      <c r="C827" s="892"/>
      <c r="D827" s="892"/>
      <c r="E827" s="892"/>
      <c r="F827" s="892"/>
      <c r="G827" s="892"/>
      <c r="H827" s="1096"/>
      <c r="U827" s="345"/>
      <c r="V827" s="345"/>
      <c r="W827" s="345"/>
      <c r="X827" s="345"/>
      <c r="Y827" s="345"/>
      <c r="Z827" s="345"/>
      <c r="AA827" s="345"/>
      <c r="AB827" s="345"/>
      <c r="AC827" s="345"/>
      <c r="AD827" s="345"/>
      <c r="AE827" s="345"/>
    </row>
    <row r="828" spans="1:31" s="598" customFormat="1" ht="15" x14ac:dyDescent="0.25">
      <c r="A828" s="605">
        <v>798</v>
      </c>
      <c r="B828" s="905" t="s">
        <v>2487</v>
      </c>
      <c r="C828" s="895"/>
      <c r="D828" s="895"/>
      <c r="E828" s="895"/>
      <c r="F828" s="895"/>
      <c r="G828" s="895"/>
      <c r="H828" s="1096"/>
    </row>
    <row r="829" spans="1:31" ht="15" x14ac:dyDescent="0.25">
      <c r="A829" s="605">
        <v>799</v>
      </c>
      <c r="B829" s="901" t="s">
        <v>3079</v>
      </c>
      <c r="C829" s="892"/>
      <c r="D829" s="892"/>
      <c r="E829" s="892"/>
      <c r="F829" s="892"/>
      <c r="G829" s="892"/>
      <c r="H829" s="1095"/>
      <c r="U829" s="345"/>
      <c r="V829" s="345"/>
      <c r="W829" s="345"/>
      <c r="X829" s="345"/>
      <c r="Y829" s="345"/>
      <c r="Z829" s="345"/>
      <c r="AA829" s="345"/>
      <c r="AB829" s="345"/>
      <c r="AC829" s="345"/>
      <c r="AD829" s="345"/>
      <c r="AE829" s="345"/>
    </row>
    <row r="830" spans="1:31" ht="15" x14ac:dyDescent="0.25">
      <c r="A830" s="605">
        <v>800</v>
      </c>
      <c r="B830" s="901" t="s">
        <v>3078</v>
      </c>
      <c r="C830" s="892"/>
      <c r="D830" s="892"/>
      <c r="E830" s="892"/>
      <c r="F830" s="892"/>
      <c r="G830" s="892"/>
      <c r="H830" s="1095"/>
      <c r="U830" s="345"/>
      <c r="V830" s="345"/>
      <c r="W830" s="345"/>
      <c r="X830" s="345"/>
      <c r="Y830" s="345"/>
      <c r="Z830" s="345"/>
      <c r="AA830" s="345"/>
      <c r="AB830" s="345"/>
      <c r="AC830" s="345"/>
      <c r="AD830" s="345"/>
      <c r="AE830" s="345"/>
    </row>
    <row r="831" spans="1:31" ht="15" x14ac:dyDescent="0.25">
      <c r="A831" s="605">
        <v>801</v>
      </c>
      <c r="B831" s="905" t="s">
        <v>3077</v>
      </c>
      <c r="C831" s="895"/>
      <c r="D831" s="895"/>
      <c r="E831" s="895"/>
      <c r="F831" s="895"/>
      <c r="G831" s="895"/>
      <c r="H831" s="1096"/>
      <c r="U831" s="345"/>
      <c r="V831" s="345"/>
      <c r="W831" s="345"/>
      <c r="X831" s="345"/>
      <c r="Y831" s="345"/>
      <c r="Z831" s="345"/>
      <c r="AA831" s="345"/>
      <c r="AB831" s="345"/>
      <c r="AC831" s="345"/>
      <c r="AD831" s="345"/>
      <c r="AE831" s="345"/>
    </row>
    <row r="832" spans="1:31" ht="15" x14ac:dyDescent="0.25">
      <c r="A832" s="605">
        <v>802</v>
      </c>
      <c r="B832" s="901" t="s">
        <v>3076</v>
      </c>
      <c r="C832" s="892"/>
      <c r="D832" s="892"/>
      <c r="E832" s="892"/>
      <c r="F832" s="892"/>
      <c r="G832" s="892"/>
      <c r="H832" s="1095"/>
      <c r="U832" s="345"/>
      <c r="V832" s="345"/>
      <c r="W832" s="345"/>
      <c r="X832" s="345"/>
      <c r="Y832" s="345"/>
      <c r="Z832" s="345"/>
      <c r="AA832" s="345"/>
      <c r="AB832" s="345"/>
      <c r="AC832" s="345"/>
      <c r="AD832" s="345"/>
      <c r="AE832" s="345"/>
    </row>
    <row r="833" spans="1:31" ht="15" x14ac:dyDescent="0.25">
      <c r="A833" s="605">
        <v>803</v>
      </c>
      <c r="B833" s="1209" t="s">
        <v>3419</v>
      </c>
      <c r="C833" s="892"/>
      <c r="D833" s="892"/>
      <c r="E833" s="892"/>
      <c r="F833" s="892"/>
      <c r="G833" s="892"/>
      <c r="H833" s="1095"/>
      <c r="I833" s="1020"/>
      <c r="J833" s="1020"/>
      <c r="K833" s="1020"/>
      <c r="L833" s="1020"/>
      <c r="M833" s="1020"/>
      <c r="N833" s="1020"/>
      <c r="O833" s="1020"/>
      <c r="P833" s="1020"/>
      <c r="Q833" s="1020"/>
      <c r="R833" s="1020"/>
      <c r="S833" s="1020"/>
      <c r="T833" s="1020"/>
      <c r="U833" s="345"/>
      <c r="V833" s="345"/>
      <c r="W833" s="345"/>
      <c r="X833" s="345"/>
      <c r="Y833" s="345"/>
      <c r="Z833" s="345"/>
      <c r="AA833" s="345"/>
      <c r="AB833" s="345"/>
      <c r="AC833" s="345"/>
      <c r="AD833" s="345"/>
      <c r="AE833" s="345"/>
    </row>
    <row r="834" spans="1:31" ht="15" x14ac:dyDescent="0.25">
      <c r="A834" s="605">
        <v>804</v>
      </c>
      <c r="B834" s="901" t="s">
        <v>3075</v>
      </c>
      <c r="C834" s="892"/>
      <c r="D834" s="892"/>
      <c r="E834" s="892"/>
      <c r="F834" s="892"/>
      <c r="G834" s="892"/>
      <c r="H834" s="1095"/>
      <c r="U834" s="345"/>
      <c r="V834" s="345"/>
      <c r="W834" s="345"/>
      <c r="X834" s="345"/>
      <c r="Y834" s="345"/>
      <c r="Z834" s="345"/>
      <c r="AA834" s="345"/>
      <c r="AB834" s="345"/>
      <c r="AC834" s="345"/>
      <c r="AD834" s="345"/>
      <c r="AE834" s="345"/>
    </row>
    <row r="835" spans="1:31" ht="15" x14ac:dyDescent="0.25">
      <c r="A835" s="605">
        <v>805</v>
      </c>
      <c r="B835" s="901" t="s">
        <v>3074</v>
      </c>
      <c r="C835" s="892"/>
      <c r="D835" s="892"/>
      <c r="E835" s="892"/>
      <c r="F835" s="892"/>
      <c r="G835" s="892"/>
      <c r="H835" s="1095"/>
      <c r="U835" s="345"/>
      <c r="V835" s="345"/>
      <c r="W835" s="345"/>
      <c r="X835" s="345"/>
      <c r="Y835" s="345"/>
      <c r="Z835" s="345"/>
      <c r="AA835" s="345"/>
      <c r="AB835" s="345"/>
      <c r="AC835" s="345"/>
      <c r="AD835" s="345"/>
      <c r="AE835" s="345"/>
    </row>
    <row r="836" spans="1:31" ht="30" x14ac:dyDescent="0.2">
      <c r="A836" s="605">
        <v>806</v>
      </c>
      <c r="B836" s="902" t="s">
        <v>3073</v>
      </c>
      <c r="C836" s="534"/>
      <c r="D836" s="534"/>
      <c r="E836" s="534"/>
      <c r="F836" s="534"/>
      <c r="G836" s="534"/>
      <c r="H836" s="1092"/>
      <c r="U836" s="345"/>
      <c r="V836" s="345"/>
      <c r="W836" s="345"/>
      <c r="X836" s="345"/>
      <c r="Y836" s="345"/>
      <c r="Z836" s="345"/>
      <c r="AA836" s="345"/>
      <c r="AB836" s="345"/>
      <c r="AC836" s="345"/>
      <c r="AD836" s="345"/>
      <c r="AE836" s="345"/>
    </row>
    <row r="837" spans="1:31" s="347" customFormat="1" ht="15" x14ac:dyDescent="0.2">
      <c r="A837" s="605">
        <v>807</v>
      </c>
      <c r="B837" s="904" t="s">
        <v>3072</v>
      </c>
      <c r="C837" s="278"/>
      <c r="D837" s="278"/>
      <c r="E837" s="278"/>
      <c r="F837" s="278"/>
      <c r="G837" s="278"/>
      <c r="H837" s="1093"/>
    </row>
    <row r="838" spans="1:31" s="347" customFormat="1" ht="15" x14ac:dyDescent="0.25">
      <c r="A838" s="605">
        <v>808</v>
      </c>
      <c r="B838" s="903" t="s">
        <v>3071</v>
      </c>
      <c r="C838" s="538"/>
      <c r="D838" s="538"/>
      <c r="E838" s="538"/>
      <c r="F838" s="538"/>
      <c r="G838" s="538"/>
      <c r="H838" s="1093"/>
    </row>
    <row r="839" spans="1:31" s="347" customFormat="1" ht="15" x14ac:dyDescent="0.25">
      <c r="A839" s="605">
        <v>809</v>
      </c>
      <c r="B839" s="903" t="s">
        <v>3070</v>
      </c>
      <c r="C839" s="538"/>
      <c r="D839" s="538"/>
      <c r="E839" s="538"/>
      <c r="F839" s="538"/>
      <c r="G839" s="538"/>
      <c r="H839" s="1093"/>
    </row>
    <row r="840" spans="1:31" s="598" customFormat="1" ht="15" x14ac:dyDescent="0.25">
      <c r="A840" s="605">
        <v>810</v>
      </c>
      <c r="B840" s="903" t="s">
        <v>3069</v>
      </c>
      <c r="C840" s="538"/>
      <c r="D840" s="538"/>
      <c r="E840" s="538"/>
      <c r="F840" s="538"/>
      <c r="G840" s="538"/>
      <c r="H840" s="1093"/>
    </row>
    <row r="841" spans="1:31" s="598" customFormat="1" ht="15" x14ac:dyDescent="0.25">
      <c r="A841" s="605">
        <v>811</v>
      </c>
      <c r="B841" s="903" t="s">
        <v>3068</v>
      </c>
      <c r="C841" s="538"/>
      <c r="D841" s="538"/>
      <c r="E841" s="538"/>
      <c r="F841" s="538"/>
      <c r="G841" s="538"/>
      <c r="H841" s="1093"/>
    </row>
    <row r="842" spans="1:31" s="347" customFormat="1" ht="15" x14ac:dyDescent="0.25">
      <c r="A842" s="605">
        <v>812</v>
      </c>
      <c r="B842" s="903" t="s">
        <v>3067</v>
      </c>
      <c r="C842" s="538"/>
      <c r="D842" s="538"/>
      <c r="E842" s="538"/>
      <c r="F842" s="538"/>
      <c r="G842" s="538"/>
      <c r="H842" s="1093"/>
    </row>
    <row r="843" spans="1:31" ht="15" x14ac:dyDescent="0.2">
      <c r="A843" s="605">
        <v>813</v>
      </c>
      <c r="B843" s="902" t="s">
        <v>3066</v>
      </c>
      <c r="C843" s="278"/>
      <c r="D843" s="278"/>
      <c r="E843" s="278"/>
      <c r="F843" s="278"/>
      <c r="G843" s="278"/>
      <c r="H843" s="1095"/>
      <c r="U843" s="345"/>
      <c r="V843" s="345"/>
      <c r="W843" s="345"/>
      <c r="X843" s="345"/>
      <c r="Y843" s="345"/>
      <c r="Z843" s="345"/>
      <c r="AA843" s="345"/>
      <c r="AB843" s="345"/>
      <c r="AC843" s="345"/>
      <c r="AD843" s="345"/>
      <c r="AE843" s="345"/>
    </row>
    <row r="844" spans="1:31" ht="15" x14ac:dyDescent="0.25">
      <c r="A844" s="605">
        <v>814</v>
      </c>
      <c r="B844" s="901" t="s">
        <v>3065</v>
      </c>
      <c r="C844" s="892"/>
      <c r="D844" s="892"/>
      <c r="E844" s="892"/>
      <c r="F844" s="892"/>
      <c r="G844" s="892"/>
      <c r="H844" s="1095"/>
      <c r="U844" s="345"/>
      <c r="V844" s="345"/>
      <c r="W844" s="345"/>
      <c r="X844" s="345"/>
      <c r="Y844" s="345"/>
      <c r="Z844" s="345"/>
      <c r="AA844" s="345"/>
      <c r="AB844" s="345"/>
      <c r="AC844" s="345"/>
      <c r="AD844" s="345"/>
      <c r="AE844" s="345"/>
    </row>
    <row r="845" spans="1:31" ht="15" x14ac:dyDescent="0.25">
      <c r="A845" s="605">
        <v>815</v>
      </c>
      <c r="B845" s="901" t="s">
        <v>3064</v>
      </c>
      <c r="C845" s="892"/>
      <c r="D845" s="892"/>
      <c r="E845" s="892"/>
      <c r="F845" s="892"/>
      <c r="G845" s="892"/>
      <c r="H845" s="1095"/>
      <c r="U845" s="345"/>
      <c r="V845" s="345"/>
      <c r="W845" s="345"/>
      <c r="X845" s="345"/>
      <c r="Y845" s="345"/>
      <c r="Z845" s="345"/>
      <c r="AA845" s="345"/>
      <c r="AB845" s="345"/>
      <c r="AC845" s="345"/>
      <c r="AD845" s="345"/>
      <c r="AE845" s="345"/>
    </row>
    <row r="846" spans="1:31" ht="15" x14ac:dyDescent="0.25">
      <c r="A846" s="605">
        <v>816</v>
      </c>
      <c r="B846" s="901" t="s">
        <v>3063</v>
      </c>
      <c r="C846" s="892"/>
      <c r="D846" s="892"/>
      <c r="E846" s="892"/>
      <c r="F846" s="892"/>
      <c r="G846" s="892"/>
      <c r="H846" s="1095"/>
      <c r="U846" s="345"/>
      <c r="V846" s="345"/>
      <c r="W846" s="345"/>
      <c r="X846" s="345"/>
      <c r="Y846" s="345"/>
      <c r="Z846" s="345"/>
      <c r="AA846" s="345"/>
      <c r="AB846" s="345"/>
      <c r="AC846" s="345"/>
      <c r="AD846" s="345"/>
      <c r="AE846" s="345"/>
    </row>
    <row r="847" spans="1:31" ht="15" x14ac:dyDescent="0.25">
      <c r="A847" s="605">
        <v>817</v>
      </c>
      <c r="B847" s="901" t="s">
        <v>3062</v>
      </c>
      <c r="C847" s="892"/>
      <c r="D847" s="892"/>
      <c r="E847" s="892"/>
      <c r="F847" s="892"/>
      <c r="G847" s="892"/>
      <c r="H847" s="1095"/>
      <c r="U847" s="345"/>
      <c r="V847" s="345"/>
      <c r="W847" s="345"/>
      <c r="X847" s="345"/>
      <c r="Y847" s="345"/>
      <c r="Z847" s="345"/>
      <c r="AA847" s="345"/>
      <c r="AB847" s="345"/>
      <c r="AC847" s="345"/>
      <c r="AD847" s="345"/>
      <c r="AE847" s="345"/>
    </row>
    <row r="848" spans="1:31" ht="15" x14ac:dyDescent="0.25">
      <c r="A848" s="605">
        <v>818</v>
      </c>
      <c r="B848" s="894" t="s">
        <v>3061</v>
      </c>
      <c r="C848" s="278"/>
      <c r="D848" s="278"/>
      <c r="E848" s="278"/>
      <c r="F848" s="278"/>
      <c r="G848" s="278"/>
      <c r="H848" s="1095"/>
      <c r="U848" s="345"/>
      <c r="V848" s="345"/>
      <c r="W848" s="345"/>
      <c r="X848" s="345"/>
      <c r="Y848" s="345"/>
      <c r="Z848" s="345"/>
      <c r="AA848" s="345"/>
      <c r="AB848" s="345"/>
      <c r="AC848" s="345"/>
      <c r="AD848" s="345"/>
      <c r="AE848" s="345"/>
    </row>
    <row r="849" spans="1:31" ht="15" x14ac:dyDescent="0.25">
      <c r="A849" s="605">
        <v>819</v>
      </c>
      <c r="B849" s="901" t="s">
        <v>3060</v>
      </c>
      <c r="C849" s="892"/>
      <c r="D849" s="892"/>
      <c r="E849" s="892"/>
      <c r="F849" s="892"/>
      <c r="G849" s="892"/>
      <c r="H849" s="1095"/>
      <c r="U849" s="345"/>
      <c r="V849" s="345"/>
      <c r="W849" s="345"/>
      <c r="X849" s="345"/>
      <c r="Y849" s="345"/>
      <c r="Z849" s="345"/>
      <c r="AA849" s="345"/>
      <c r="AB849" s="345"/>
      <c r="AC849" s="345"/>
      <c r="AD849" s="345"/>
      <c r="AE849" s="345"/>
    </row>
    <row r="850" spans="1:31" ht="15" x14ac:dyDescent="0.25">
      <c r="A850" s="605">
        <v>820</v>
      </c>
      <c r="B850" s="901" t="s">
        <v>3059</v>
      </c>
      <c r="C850" s="892"/>
      <c r="D850" s="892"/>
      <c r="E850" s="892"/>
      <c r="F850" s="892"/>
      <c r="G850" s="892"/>
      <c r="H850" s="1095"/>
      <c r="U850" s="345"/>
      <c r="V850" s="345"/>
      <c r="W850" s="345"/>
      <c r="X850" s="345"/>
      <c r="Y850" s="345"/>
      <c r="Z850" s="345"/>
      <c r="AA850" s="345"/>
      <c r="AB850" s="345"/>
      <c r="AC850" s="345"/>
      <c r="AD850" s="345"/>
      <c r="AE850" s="345"/>
    </row>
    <row r="851" spans="1:31" ht="15" x14ac:dyDescent="0.25">
      <c r="A851" s="605">
        <v>821</v>
      </c>
      <c r="B851" s="900" t="s">
        <v>3058</v>
      </c>
      <c r="C851" s="278"/>
      <c r="D851" s="278"/>
      <c r="E851" s="278"/>
      <c r="F851" s="278"/>
      <c r="G851" s="278"/>
      <c r="H851" s="1099"/>
      <c r="U851" s="345"/>
      <c r="V851" s="345"/>
      <c r="W851" s="345"/>
      <c r="X851" s="345"/>
      <c r="Y851" s="345"/>
      <c r="Z851" s="345"/>
      <c r="AA851" s="345"/>
      <c r="AB851" s="345"/>
      <c r="AC851" s="345"/>
      <c r="AD851" s="345"/>
      <c r="AE851" s="345"/>
    </row>
    <row r="852" spans="1:31" ht="15" x14ac:dyDescent="0.25">
      <c r="A852" s="605">
        <v>822</v>
      </c>
      <c r="B852" s="899" t="s">
        <v>36</v>
      </c>
      <c r="C852" s="898"/>
      <c r="D852" s="897"/>
      <c r="E852" s="897"/>
      <c r="F852" s="897"/>
      <c r="G852" s="897"/>
      <c r="H852" s="1099"/>
      <c r="U852" s="345"/>
      <c r="V852" s="345"/>
      <c r="W852" s="345"/>
      <c r="X852" s="345"/>
      <c r="Y852" s="345"/>
      <c r="Z852" s="345"/>
      <c r="AA852" s="345"/>
      <c r="AB852" s="345"/>
      <c r="AC852" s="345"/>
      <c r="AD852" s="345"/>
      <c r="AE852" s="345"/>
    </row>
    <row r="853" spans="1:31" ht="15" x14ac:dyDescent="0.25">
      <c r="A853" s="605">
        <v>823</v>
      </c>
      <c r="B853" s="899" t="s">
        <v>3057</v>
      </c>
      <c r="C853" s="898"/>
      <c r="D853" s="897"/>
      <c r="E853" s="897"/>
      <c r="F853" s="897"/>
      <c r="G853" s="897"/>
      <c r="H853" s="1099"/>
      <c r="U853" s="345"/>
      <c r="V853" s="345"/>
      <c r="W853" s="345"/>
      <c r="X853" s="345"/>
      <c r="Y853" s="345"/>
      <c r="Z853" s="345"/>
      <c r="AA853" s="345"/>
      <c r="AB853" s="345"/>
      <c r="AC853" s="345"/>
      <c r="AD853" s="345"/>
      <c r="AE853" s="345"/>
    </row>
    <row r="854" spans="1:31" s="347" customFormat="1" ht="15" x14ac:dyDescent="0.25">
      <c r="A854" s="605">
        <v>824</v>
      </c>
      <c r="B854" s="896" t="s">
        <v>3056</v>
      </c>
      <c r="C854" s="895"/>
      <c r="D854" s="895"/>
      <c r="E854" s="895"/>
      <c r="F854" s="895"/>
      <c r="G854" s="895"/>
      <c r="H854" s="1096"/>
    </row>
    <row r="855" spans="1:31" s="347" customFormat="1" ht="15" x14ac:dyDescent="0.25">
      <c r="A855" s="605">
        <v>825</v>
      </c>
      <c r="B855" s="896" t="s">
        <v>3055</v>
      </c>
      <c r="C855" s="895"/>
      <c r="D855" s="895"/>
      <c r="E855" s="895"/>
      <c r="F855" s="895"/>
      <c r="G855" s="895"/>
      <c r="H855" s="1096"/>
    </row>
    <row r="856" spans="1:31" ht="15" x14ac:dyDescent="0.25">
      <c r="A856" s="605">
        <v>826</v>
      </c>
      <c r="B856" s="894" t="s">
        <v>3054</v>
      </c>
      <c r="C856" s="278"/>
      <c r="D856" s="278"/>
      <c r="E856" s="278"/>
      <c r="F856" s="278"/>
      <c r="G856" s="278"/>
      <c r="H856" s="1095"/>
      <c r="U856" s="345"/>
      <c r="V856" s="345"/>
      <c r="W856" s="345"/>
      <c r="X856" s="345"/>
      <c r="Y856" s="345"/>
      <c r="Z856" s="345"/>
      <c r="AA856" s="345"/>
      <c r="AB856" s="345"/>
      <c r="AC856" s="345"/>
      <c r="AD856" s="345"/>
      <c r="AE856" s="345"/>
    </row>
    <row r="857" spans="1:31" ht="15" x14ac:dyDescent="0.2">
      <c r="A857" s="605">
        <v>827</v>
      </c>
      <c r="B857" s="893" t="s">
        <v>3053</v>
      </c>
      <c r="C857" s="892"/>
      <c r="D857" s="892"/>
      <c r="E857" s="892"/>
      <c r="F857" s="892"/>
      <c r="G857" s="892"/>
      <c r="H857" s="1095"/>
      <c r="U857" s="345"/>
      <c r="V857" s="345"/>
      <c r="W857" s="345"/>
      <c r="X857" s="345"/>
      <c r="Y857" s="345"/>
      <c r="Z857" s="345"/>
      <c r="AA857" s="345"/>
      <c r="AB857" s="345"/>
      <c r="AC857" s="345"/>
      <c r="AD857" s="345"/>
      <c r="AE857" s="345"/>
    </row>
    <row r="858" spans="1:31" ht="15" x14ac:dyDescent="0.2">
      <c r="A858" s="605">
        <v>828</v>
      </c>
      <c r="B858" s="893" t="s">
        <v>3052</v>
      </c>
      <c r="C858" s="892"/>
      <c r="D858" s="892"/>
      <c r="E858" s="892"/>
      <c r="F858" s="892"/>
      <c r="G858" s="892"/>
      <c r="H858" s="1095"/>
      <c r="U858" s="345"/>
      <c r="V858" s="345"/>
      <c r="W858" s="345"/>
      <c r="X858" s="345"/>
      <c r="Y858" s="345"/>
      <c r="Z858" s="345"/>
      <c r="AA858" s="345"/>
      <c r="AB858" s="345"/>
      <c r="AC858" s="345"/>
      <c r="AD858" s="345"/>
      <c r="AE858" s="345"/>
    </row>
    <row r="859" spans="1:31" ht="15" x14ac:dyDescent="0.2">
      <c r="A859" s="605">
        <v>829</v>
      </c>
      <c r="B859" s="893" t="s">
        <v>3051</v>
      </c>
      <c r="C859" s="892"/>
      <c r="D859" s="892"/>
      <c r="E859" s="892"/>
      <c r="F859" s="892"/>
      <c r="G859" s="892"/>
      <c r="H859" s="1095"/>
      <c r="U859" s="345"/>
      <c r="V859" s="345"/>
      <c r="W859" s="345"/>
      <c r="X859" s="345"/>
      <c r="Y859" s="345"/>
      <c r="Z859" s="345"/>
      <c r="AA859" s="345"/>
      <c r="AB859" s="345"/>
      <c r="AC859" s="345"/>
      <c r="AD859" s="345"/>
      <c r="AE859" s="345"/>
    </row>
    <row r="860" spans="1:31" ht="30" x14ac:dyDescent="0.2">
      <c r="A860" s="605">
        <v>830</v>
      </c>
      <c r="B860" s="734" t="s">
        <v>3050</v>
      </c>
      <c r="C860" s="534"/>
      <c r="D860" s="534"/>
      <c r="E860" s="534"/>
      <c r="F860" s="534"/>
      <c r="G860" s="534"/>
      <c r="H860" s="1092"/>
      <c r="U860" s="345"/>
      <c r="V860" s="345"/>
      <c r="W860" s="345"/>
      <c r="X860" s="345"/>
      <c r="Y860" s="345"/>
      <c r="Z860" s="345"/>
      <c r="AA860" s="345"/>
      <c r="AB860" s="345"/>
      <c r="AC860" s="345"/>
      <c r="AD860" s="345"/>
      <c r="AE860" s="345"/>
    </row>
    <row r="861" spans="1:31" ht="45" x14ac:dyDescent="0.2">
      <c r="A861" s="605">
        <v>831</v>
      </c>
      <c r="B861" s="533" t="s">
        <v>3049</v>
      </c>
      <c r="C861" s="534"/>
      <c r="D861" s="534"/>
      <c r="E861" s="534"/>
      <c r="F861" s="534"/>
      <c r="G861" s="534"/>
      <c r="H861" s="1092"/>
      <c r="U861" s="345"/>
      <c r="V861" s="345"/>
      <c r="W861" s="345"/>
      <c r="X861" s="345"/>
      <c r="Y861" s="345"/>
      <c r="Z861" s="345"/>
      <c r="AA861" s="345"/>
      <c r="AB861" s="345"/>
      <c r="AC861" s="345"/>
      <c r="AD861" s="345"/>
      <c r="AE861" s="345"/>
    </row>
    <row r="862" spans="1:31" s="598" customFormat="1" ht="15" x14ac:dyDescent="0.2">
      <c r="A862" s="605">
        <v>832</v>
      </c>
      <c r="B862" s="855" t="s">
        <v>3048</v>
      </c>
      <c r="C862" s="866"/>
      <c r="D862" s="866"/>
      <c r="E862" s="866"/>
      <c r="F862" s="866"/>
      <c r="G862" s="866"/>
      <c r="H862" s="1025"/>
    </row>
    <row r="863" spans="1:31" ht="30" x14ac:dyDescent="0.2">
      <c r="A863" s="605">
        <v>833</v>
      </c>
      <c r="B863" s="889" t="s">
        <v>3047</v>
      </c>
      <c r="C863" s="888"/>
      <c r="D863" s="888"/>
      <c r="E863" s="888"/>
      <c r="F863" s="888"/>
      <c r="G863" s="888"/>
      <c r="H863" s="1032"/>
      <c r="U863" s="345"/>
      <c r="V863" s="345"/>
      <c r="W863" s="345"/>
      <c r="X863" s="345"/>
      <c r="Y863" s="345"/>
      <c r="Z863" s="345"/>
      <c r="AA863" s="345"/>
      <c r="AB863" s="345"/>
      <c r="AC863" s="345"/>
      <c r="AD863" s="345"/>
      <c r="AE863" s="345"/>
    </row>
    <row r="864" spans="1:31" s="1190" customFormat="1" ht="30" x14ac:dyDescent="0.2">
      <c r="A864" s="605">
        <v>834</v>
      </c>
      <c r="B864" s="1211" t="s">
        <v>3420</v>
      </c>
      <c r="C864" s="1210"/>
      <c r="D864" s="1210"/>
      <c r="E864" s="1210"/>
      <c r="F864" s="1210"/>
      <c r="G864" s="1210"/>
      <c r="H864" s="1212"/>
      <c r="I864" s="1189"/>
      <c r="J864" s="1189"/>
      <c r="K864" s="1189"/>
      <c r="L864" s="1189"/>
      <c r="M864" s="1189"/>
      <c r="N864" s="1189"/>
      <c r="O864" s="1189"/>
      <c r="P864" s="1189"/>
      <c r="Q864" s="1189"/>
      <c r="R864" s="1189"/>
      <c r="S864" s="1189"/>
      <c r="T864" s="1189"/>
    </row>
    <row r="865" spans="1:43" s="1190" customFormat="1" ht="30" x14ac:dyDescent="0.2">
      <c r="A865" s="605">
        <v>835</v>
      </c>
      <c r="B865" s="1211" t="s">
        <v>3423</v>
      </c>
      <c r="C865" s="1210"/>
      <c r="D865" s="1210"/>
      <c r="E865" s="1210"/>
      <c r="F865" s="1210"/>
      <c r="G865" s="1210"/>
      <c r="H865" s="1212"/>
      <c r="I865" s="1189"/>
      <c r="J865" s="1189"/>
      <c r="K865" s="1189"/>
      <c r="L865" s="1189"/>
      <c r="M865" s="1189"/>
      <c r="N865" s="1189"/>
      <c r="O865" s="1189"/>
      <c r="P865" s="1189"/>
      <c r="Q865" s="1189"/>
      <c r="R865" s="1189"/>
      <c r="S865" s="1189"/>
      <c r="T865" s="1189"/>
    </row>
    <row r="866" spans="1:43" s="1190" customFormat="1" ht="15" x14ac:dyDescent="0.2">
      <c r="A866" s="605">
        <v>836</v>
      </c>
      <c r="B866" s="1211" t="s">
        <v>3421</v>
      </c>
      <c r="C866" s="1210"/>
      <c r="D866" s="1210"/>
      <c r="E866" s="1210"/>
      <c r="F866" s="1210"/>
      <c r="G866" s="1210"/>
      <c r="H866" s="1212"/>
      <c r="I866" s="1189"/>
      <c r="J866" s="1189"/>
      <c r="K866" s="1189"/>
      <c r="L866" s="1189"/>
      <c r="M866" s="1189"/>
      <c r="N866" s="1189"/>
      <c r="O866" s="1189"/>
      <c r="P866" s="1189"/>
      <c r="Q866" s="1189"/>
      <c r="R866" s="1189"/>
      <c r="S866" s="1189"/>
      <c r="T866" s="1189"/>
    </row>
    <row r="867" spans="1:43" s="1190" customFormat="1" ht="30" x14ac:dyDescent="0.2">
      <c r="A867" s="605">
        <v>837</v>
      </c>
      <c r="B867" s="1211" t="s">
        <v>3422</v>
      </c>
      <c r="C867" s="1210"/>
      <c r="D867" s="1210"/>
      <c r="E867" s="1210"/>
      <c r="F867" s="1210"/>
      <c r="G867" s="1210"/>
      <c r="H867" s="1212"/>
      <c r="I867" s="1189"/>
      <c r="J867" s="1189"/>
      <c r="K867" s="1189"/>
      <c r="L867" s="1189"/>
      <c r="M867" s="1189"/>
      <c r="N867" s="1189"/>
      <c r="O867" s="1189"/>
      <c r="P867" s="1189"/>
      <c r="Q867" s="1189"/>
      <c r="R867" s="1189"/>
      <c r="S867" s="1189"/>
      <c r="T867" s="1189"/>
    </row>
    <row r="868" spans="1:43" ht="30" x14ac:dyDescent="0.2">
      <c r="A868" s="605">
        <v>838</v>
      </c>
      <c r="B868" s="889" t="s">
        <v>3046</v>
      </c>
      <c r="C868" s="891"/>
      <c r="D868" s="891"/>
      <c r="E868" s="891"/>
      <c r="F868" s="891"/>
      <c r="G868" s="891"/>
      <c r="H868" s="1033"/>
      <c r="U868" s="345"/>
      <c r="V868" s="345"/>
      <c r="W868" s="345"/>
      <c r="X868" s="345"/>
      <c r="Y868" s="345"/>
      <c r="Z868" s="345"/>
      <c r="AA868" s="345"/>
      <c r="AB868" s="345"/>
      <c r="AC868" s="345"/>
      <c r="AD868" s="345"/>
      <c r="AE868" s="345"/>
    </row>
    <row r="869" spans="1:43" ht="15" x14ac:dyDescent="0.2">
      <c r="A869" s="605">
        <v>839</v>
      </c>
      <c r="B869" s="890" t="s">
        <v>3045</v>
      </c>
      <c r="C869" s="888"/>
      <c r="D869" s="888"/>
      <c r="E869" s="888"/>
      <c r="F869" s="888"/>
      <c r="G869" s="888"/>
      <c r="H869" s="1032"/>
      <c r="U869" s="345"/>
      <c r="V869" s="345"/>
      <c r="W869" s="345"/>
      <c r="X869" s="345"/>
      <c r="Y869" s="345"/>
      <c r="Z869" s="345"/>
      <c r="AA869" s="345"/>
      <c r="AB869" s="345"/>
      <c r="AC869" s="345"/>
      <c r="AD869" s="345"/>
      <c r="AE869" s="345"/>
    </row>
    <row r="870" spans="1:43" ht="15" x14ac:dyDescent="0.2">
      <c r="A870" s="605">
        <v>840</v>
      </c>
      <c r="B870" s="890" t="s">
        <v>3044</v>
      </c>
      <c r="C870" s="888"/>
      <c r="D870" s="888"/>
      <c r="E870" s="888"/>
      <c r="F870" s="888"/>
      <c r="G870" s="888"/>
      <c r="H870" s="1032"/>
      <c r="U870" s="345"/>
      <c r="V870" s="345"/>
      <c r="W870" s="345"/>
      <c r="X870" s="345"/>
      <c r="Y870" s="345"/>
      <c r="Z870" s="345"/>
      <c r="AA870" s="345"/>
      <c r="AB870" s="345"/>
      <c r="AC870" s="345"/>
      <c r="AD870" s="345"/>
      <c r="AE870" s="345"/>
    </row>
    <row r="871" spans="1:43" ht="15" x14ac:dyDescent="0.2">
      <c r="A871" s="605">
        <v>841</v>
      </c>
      <c r="B871" s="890" t="s">
        <v>3043</v>
      </c>
      <c r="C871" s="888"/>
      <c r="D871" s="888"/>
      <c r="E871" s="888"/>
      <c r="F871" s="888"/>
      <c r="G871" s="888"/>
      <c r="H871" s="1032"/>
      <c r="U871" s="345"/>
      <c r="V871" s="345"/>
      <c r="W871" s="345"/>
      <c r="X871" s="345"/>
      <c r="Y871" s="345"/>
      <c r="Z871" s="345"/>
      <c r="AA871" s="345"/>
      <c r="AB871" s="345"/>
      <c r="AC871" s="345"/>
      <c r="AD871" s="345"/>
      <c r="AE871" s="345"/>
    </row>
    <row r="872" spans="1:43" ht="15" x14ac:dyDescent="0.2">
      <c r="A872" s="605">
        <v>842</v>
      </c>
      <c r="B872" s="890" t="s">
        <v>3042</v>
      </c>
      <c r="C872" s="888"/>
      <c r="D872" s="888"/>
      <c r="E872" s="888"/>
      <c r="F872" s="888"/>
      <c r="G872" s="888"/>
      <c r="H872" s="1032"/>
      <c r="U872" s="345"/>
      <c r="V872" s="345"/>
      <c r="W872" s="345"/>
      <c r="X872" s="345"/>
      <c r="Y872" s="345"/>
      <c r="Z872" s="345"/>
      <c r="AA872" s="345"/>
      <c r="AB872" s="345"/>
      <c r="AC872" s="345"/>
      <c r="AD872" s="345"/>
      <c r="AE872" s="345"/>
    </row>
    <row r="873" spans="1:43" ht="30" x14ac:dyDescent="0.2">
      <c r="A873" s="605">
        <v>843</v>
      </c>
      <c r="B873" s="889" t="s">
        <v>3041</v>
      </c>
      <c r="C873" s="888"/>
      <c r="D873" s="888"/>
      <c r="E873" s="888"/>
      <c r="F873" s="888"/>
      <c r="G873" s="888"/>
      <c r="H873" s="1032"/>
      <c r="U873" s="345"/>
      <c r="V873" s="345"/>
      <c r="W873" s="345"/>
      <c r="X873" s="345"/>
      <c r="Y873" s="345"/>
      <c r="Z873" s="345"/>
      <c r="AA873" s="345"/>
      <c r="AB873" s="345"/>
      <c r="AC873" s="345"/>
      <c r="AD873" s="345"/>
      <c r="AE873" s="345"/>
    </row>
    <row r="874" spans="1:43" ht="30" x14ac:dyDescent="0.2">
      <c r="A874" s="605">
        <v>844</v>
      </c>
      <c r="B874" s="889" t="s">
        <v>3040</v>
      </c>
      <c r="C874" s="888"/>
      <c r="D874" s="888"/>
      <c r="E874" s="888"/>
      <c r="F874" s="888"/>
      <c r="G874" s="888"/>
      <c r="H874" s="1032"/>
      <c r="U874" s="345"/>
      <c r="V874" s="345"/>
      <c r="W874" s="345"/>
      <c r="X874" s="345"/>
      <c r="Y874" s="345"/>
      <c r="Z874" s="345"/>
      <c r="AA874" s="345"/>
      <c r="AB874" s="345"/>
      <c r="AC874" s="345"/>
      <c r="AD874" s="345"/>
      <c r="AE874" s="345"/>
    </row>
    <row r="875" spans="1:43" ht="30" x14ac:dyDescent="0.2">
      <c r="A875" s="605">
        <v>845</v>
      </c>
      <c r="B875" s="889" t="s">
        <v>3039</v>
      </c>
      <c r="C875" s="888"/>
      <c r="D875" s="888"/>
      <c r="E875" s="888"/>
      <c r="F875" s="888"/>
      <c r="G875" s="888"/>
      <c r="H875" s="1032"/>
      <c r="U875" s="345"/>
      <c r="V875" s="345"/>
      <c r="W875" s="345"/>
      <c r="X875" s="345"/>
      <c r="Y875" s="345"/>
      <c r="Z875" s="345"/>
      <c r="AA875" s="345"/>
      <c r="AB875" s="345"/>
      <c r="AC875" s="345"/>
      <c r="AD875" s="345"/>
      <c r="AE875" s="345"/>
    </row>
    <row r="876" spans="1:43" s="347" customFormat="1" ht="15" x14ac:dyDescent="0.2">
      <c r="A876" s="605">
        <v>846</v>
      </c>
      <c r="B876" s="887" t="s">
        <v>3038</v>
      </c>
      <c r="C876" s="727"/>
      <c r="D876" s="727"/>
      <c r="E876" s="727"/>
      <c r="F876" s="727"/>
      <c r="G876" s="727"/>
      <c r="H876" s="1089"/>
    </row>
    <row r="877" spans="1:43" ht="15" x14ac:dyDescent="0.25">
      <c r="A877" s="605">
        <v>847</v>
      </c>
      <c r="B877" s="852" t="s">
        <v>3037</v>
      </c>
      <c r="C877" s="845"/>
      <c r="D877" s="845"/>
      <c r="E877" s="845"/>
      <c r="F877" s="845"/>
      <c r="G877" s="845"/>
      <c r="H877" s="1029"/>
      <c r="AF877" s="347"/>
      <c r="AG877" s="347"/>
      <c r="AH877" s="347"/>
      <c r="AI877" s="347"/>
      <c r="AJ877" s="347"/>
      <c r="AK877" s="347"/>
      <c r="AL877" s="347"/>
      <c r="AM877" s="347"/>
      <c r="AN877" s="347"/>
      <c r="AO877" s="347"/>
      <c r="AP877" s="347"/>
      <c r="AQ877" s="347"/>
    </row>
    <row r="878" spans="1:43" ht="15" x14ac:dyDescent="0.2">
      <c r="A878" s="605">
        <v>848</v>
      </c>
      <c r="B878" s="777" t="s">
        <v>3036</v>
      </c>
      <c r="C878" s="777"/>
      <c r="D878" s="777"/>
      <c r="E878" s="777"/>
      <c r="F878" s="777"/>
      <c r="G878" s="777"/>
      <c r="H878" s="1030"/>
      <c r="AF878" s="347"/>
      <c r="AG878" s="347"/>
      <c r="AH878" s="347"/>
      <c r="AI878" s="347"/>
      <c r="AJ878" s="347"/>
      <c r="AK878" s="347"/>
      <c r="AL878" s="347"/>
      <c r="AM878" s="347"/>
      <c r="AN878" s="347"/>
      <c r="AO878" s="347"/>
      <c r="AP878" s="347"/>
      <c r="AQ878" s="347"/>
    </row>
    <row r="879" spans="1:43" ht="45" x14ac:dyDescent="0.25">
      <c r="A879" s="605">
        <v>849</v>
      </c>
      <c r="B879" s="799" t="s">
        <v>3035</v>
      </c>
      <c r="C879" s="773"/>
      <c r="D879" s="773"/>
      <c r="E879" s="773"/>
      <c r="F879" s="773"/>
      <c r="G879" s="773"/>
      <c r="H879" s="1100"/>
      <c r="AF879" s="347"/>
      <c r="AG879" s="347"/>
      <c r="AH879" s="347"/>
      <c r="AI879" s="347"/>
      <c r="AJ879" s="347"/>
      <c r="AK879" s="347"/>
      <c r="AL879" s="347"/>
      <c r="AM879" s="347"/>
      <c r="AN879" s="347"/>
      <c r="AO879" s="347"/>
      <c r="AP879" s="347"/>
      <c r="AQ879" s="347"/>
    </row>
    <row r="880" spans="1:43" ht="15" x14ac:dyDescent="0.25">
      <c r="A880" s="605">
        <v>850</v>
      </c>
      <c r="B880" s="631" t="s">
        <v>3034</v>
      </c>
      <c r="C880" s="886"/>
      <c r="D880" s="886"/>
      <c r="E880" s="886"/>
      <c r="F880" s="886"/>
      <c r="G880" s="886"/>
      <c r="H880" s="1101"/>
      <c r="AF880" s="347"/>
      <c r="AG880" s="347"/>
      <c r="AH880" s="347"/>
      <c r="AI880" s="347"/>
      <c r="AJ880" s="347"/>
      <c r="AK880" s="347"/>
      <c r="AL880" s="347"/>
      <c r="AM880" s="347"/>
      <c r="AN880" s="347"/>
      <c r="AO880" s="347"/>
      <c r="AP880" s="347"/>
      <c r="AQ880" s="347"/>
    </row>
    <row r="881" spans="1:43" ht="15" x14ac:dyDescent="0.2">
      <c r="A881" s="605">
        <v>851</v>
      </c>
      <c r="B881" s="777" t="s">
        <v>3033</v>
      </c>
      <c r="C881" s="777"/>
      <c r="D881" s="777"/>
      <c r="E881" s="777"/>
      <c r="F881" s="777"/>
      <c r="G881" s="777"/>
      <c r="H881" s="1030"/>
      <c r="AF881" s="347"/>
      <c r="AG881" s="347"/>
      <c r="AH881" s="347"/>
      <c r="AI881" s="347"/>
      <c r="AJ881" s="347"/>
      <c r="AK881" s="347"/>
      <c r="AL881" s="347"/>
      <c r="AM881" s="347"/>
      <c r="AN881" s="347"/>
      <c r="AO881" s="347"/>
      <c r="AP881" s="347"/>
      <c r="AQ881" s="347"/>
    </row>
    <row r="882" spans="1:43" ht="15" x14ac:dyDescent="0.25">
      <c r="A882" s="605">
        <v>852</v>
      </c>
      <c r="B882" s="638" t="s">
        <v>3032</v>
      </c>
      <c r="C882" s="278"/>
      <c r="D882" s="278"/>
      <c r="E882" s="278"/>
      <c r="F882" s="278"/>
      <c r="G882" s="278"/>
      <c r="H882" s="1063"/>
      <c r="AF882" s="347"/>
      <c r="AG882" s="347"/>
      <c r="AH882" s="347"/>
      <c r="AI882" s="347"/>
      <c r="AJ882" s="347"/>
      <c r="AK882" s="347"/>
      <c r="AL882" s="347"/>
      <c r="AM882" s="347"/>
      <c r="AN882" s="347"/>
      <c r="AO882" s="347"/>
      <c r="AP882" s="347"/>
      <c r="AQ882" s="347"/>
    </row>
    <row r="883" spans="1:43" ht="15" x14ac:dyDescent="0.25">
      <c r="A883" s="605">
        <v>853</v>
      </c>
      <c r="B883" s="858" t="s">
        <v>2002</v>
      </c>
      <c r="C883" s="857"/>
      <c r="D883" s="857"/>
      <c r="E883" s="857"/>
      <c r="F883" s="857"/>
      <c r="G883" s="857"/>
      <c r="H883" s="1034"/>
      <c r="AF883" s="347"/>
      <c r="AG883" s="347"/>
      <c r="AH883" s="347"/>
      <c r="AI883" s="347"/>
      <c r="AJ883" s="347"/>
      <c r="AK883" s="347"/>
      <c r="AL883" s="347"/>
      <c r="AM883" s="347"/>
      <c r="AN883" s="347"/>
      <c r="AO883" s="347"/>
      <c r="AP883" s="347"/>
      <c r="AQ883" s="347"/>
    </row>
    <row r="884" spans="1:43" ht="15" x14ac:dyDescent="0.25">
      <c r="A884" s="605">
        <v>854</v>
      </c>
      <c r="B884" s="858" t="s">
        <v>3031</v>
      </c>
      <c r="C884" s="857"/>
      <c r="D884" s="857"/>
      <c r="E884" s="857"/>
      <c r="F884" s="857"/>
      <c r="G884" s="857"/>
      <c r="H884" s="1034"/>
      <c r="AF884" s="347"/>
      <c r="AG884" s="347"/>
      <c r="AH884" s="347"/>
      <c r="AI884" s="347"/>
      <c r="AJ884" s="347"/>
      <c r="AK884" s="347"/>
      <c r="AL884" s="347"/>
      <c r="AM884" s="347"/>
      <c r="AN884" s="347"/>
      <c r="AO884" s="347"/>
      <c r="AP884" s="347"/>
      <c r="AQ884" s="347"/>
    </row>
    <row r="885" spans="1:43" ht="15" x14ac:dyDescent="0.25">
      <c r="A885" s="605">
        <v>855</v>
      </c>
      <c r="B885" s="858" t="s">
        <v>299</v>
      </c>
      <c r="C885" s="857"/>
      <c r="D885" s="857"/>
      <c r="E885" s="857"/>
      <c r="F885" s="857"/>
      <c r="G885" s="857"/>
      <c r="H885" s="1034"/>
      <c r="AF885" s="347"/>
      <c r="AG885" s="347"/>
      <c r="AH885" s="347"/>
      <c r="AI885" s="347"/>
      <c r="AJ885" s="347"/>
      <c r="AK885" s="347"/>
      <c r="AL885" s="347"/>
      <c r="AM885" s="347"/>
      <c r="AN885" s="347"/>
      <c r="AO885" s="347"/>
      <c r="AP885" s="347"/>
      <c r="AQ885" s="347"/>
    </row>
    <row r="886" spans="1:43" ht="15" x14ac:dyDescent="0.25">
      <c r="A886" s="605">
        <v>856</v>
      </c>
      <c r="B886" s="858" t="s">
        <v>2075</v>
      </c>
      <c r="C886" s="857"/>
      <c r="D886" s="857"/>
      <c r="E886" s="857"/>
      <c r="F886" s="857"/>
      <c r="G886" s="857"/>
      <c r="H886" s="1034"/>
      <c r="AF886" s="347"/>
      <c r="AG886" s="347"/>
      <c r="AH886" s="347"/>
      <c r="AI886" s="347"/>
      <c r="AJ886" s="347"/>
      <c r="AK886" s="347"/>
      <c r="AL886" s="347"/>
      <c r="AM886" s="347"/>
      <c r="AN886" s="347"/>
      <c r="AO886" s="347"/>
      <c r="AP886" s="347"/>
      <c r="AQ886" s="347"/>
    </row>
    <row r="887" spans="1:43" ht="15" x14ac:dyDescent="0.25">
      <c r="A887" s="605">
        <v>857</v>
      </c>
      <c r="B887" s="858" t="s">
        <v>3030</v>
      </c>
      <c r="C887" s="857"/>
      <c r="D887" s="857"/>
      <c r="E887" s="857"/>
      <c r="F887" s="857"/>
      <c r="G887" s="857"/>
      <c r="H887" s="1034"/>
      <c r="AF887" s="347"/>
      <c r="AG887" s="347"/>
      <c r="AH887" s="347"/>
      <c r="AI887" s="347"/>
      <c r="AJ887" s="347"/>
      <c r="AK887" s="347"/>
      <c r="AL887" s="347"/>
      <c r="AM887" s="347"/>
      <c r="AN887" s="347"/>
      <c r="AO887" s="347"/>
      <c r="AP887" s="347"/>
      <c r="AQ887" s="347"/>
    </row>
    <row r="888" spans="1:43" ht="15" x14ac:dyDescent="0.25">
      <c r="A888" s="605">
        <v>858</v>
      </c>
      <c r="B888" s="860" t="s">
        <v>3029</v>
      </c>
      <c r="C888" s="856"/>
      <c r="D888" s="856"/>
      <c r="E888" s="856"/>
      <c r="F888" s="856"/>
      <c r="G888" s="856"/>
      <c r="H888" s="1063"/>
      <c r="AF888" s="347"/>
      <c r="AG888" s="347"/>
      <c r="AH888" s="347"/>
      <c r="AI888" s="347"/>
      <c r="AJ888" s="347"/>
      <c r="AK888" s="347"/>
      <c r="AL888" s="347"/>
      <c r="AM888" s="347"/>
      <c r="AN888" s="347"/>
      <c r="AO888" s="347"/>
      <c r="AP888" s="347"/>
      <c r="AQ888" s="347"/>
    </row>
    <row r="889" spans="1:43" ht="15" x14ac:dyDescent="0.25">
      <c r="A889" s="605">
        <v>859</v>
      </c>
      <c r="B889" s="860" t="s">
        <v>3028</v>
      </c>
      <c r="C889" s="856"/>
      <c r="D889" s="856"/>
      <c r="E889" s="856"/>
      <c r="F889" s="856"/>
      <c r="G889" s="856"/>
      <c r="H889" s="1063"/>
      <c r="AF889" s="347"/>
      <c r="AG889" s="347"/>
      <c r="AH889" s="347"/>
      <c r="AI889" s="347"/>
      <c r="AJ889" s="347"/>
      <c r="AK889" s="347"/>
      <c r="AL889" s="347"/>
      <c r="AM889" s="347"/>
      <c r="AN889" s="347"/>
      <c r="AO889" s="347"/>
      <c r="AP889" s="347"/>
      <c r="AQ889" s="347"/>
    </row>
    <row r="890" spans="1:43" s="598" customFormat="1" ht="15" x14ac:dyDescent="0.25">
      <c r="A890" s="605">
        <v>860</v>
      </c>
      <c r="B890" s="858" t="s">
        <v>3027</v>
      </c>
      <c r="C890" s="857"/>
      <c r="D890" s="857"/>
      <c r="E890" s="857"/>
      <c r="F890" s="857"/>
      <c r="G890" s="857"/>
      <c r="H890" s="1034"/>
    </row>
    <row r="891" spans="1:43" ht="15" x14ac:dyDescent="0.25">
      <c r="A891" s="605">
        <v>861</v>
      </c>
      <c r="B891" s="860" t="s">
        <v>539</v>
      </c>
      <c r="C891" s="856"/>
      <c r="D891" s="856"/>
      <c r="E891" s="856"/>
      <c r="F891" s="856"/>
      <c r="G891" s="856"/>
      <c r="H891" s="1063"/>
      <c r="AF891" s="347"/>
      <c r="AG891" s="347"/>
      <c r="AH891" s="347"/>
      <c r="AI891" s="347"/>
      <c r="AJ891" s="347"/>
      <c r="AK891" s="347"/>
      <c r="AL891" s="347"/>
      <c r="AM891" s="347"/>
      <c r="AN891" s="347"/>
      <c r="AO891" s="347"/>
      <c r="AP891" s="347"/>
      <c r="AQ891" s="347"/>
    </row>
    <row r="892" spans="1:43" ht="15" x14ac:dyDescent="0.25">
      <c r="A892" s="605">
        <v>862</v>
      </c>
      <c r="B892" s="885" t="s">
        <v>719</v>
      </c>
      <c r="C892" s="845"/>
      <c r="D892" s="845"/>
      <c r="E892" s="845"/>
      <c r="F892" s="845"/>
      <c r="G892" s="845"/>
      <c r="H892" s="1029"/>
      <c r="U892" s="345"/>
      <c r="V892" s="345"/>
      <c r="W892" s="345"/>
      <c r="X892" s="345"/>
      <c r="Y892" s="345"/>
      <c r="Z892" s="345"/>
      <c r="AA892" s="345"/>
      <c r="AB892" s="345"/>
      <c r="AC892" s="345"/>
      <c r="AD892" s="345"/>
      <c r="AE892" s="345"/>
    </row>
    <row r="893" spans="1:43" ht="15" x14ac:dyDescent="0.2">
      <c r="A893" s="605">
        <v>863</v>
      </c>
      <c r="B893" s="604" t="s">
        <v>3026</v>
      </c>
      <c r="C893" s="603"/>
      <c r="D893" s="603"/>
      <c r="E893" s="603"/>
      <c r="F893" s="603"/>
      <c r="G893" s="603"/>
      <c r="H893" s="1055"/>
      <c r="U893" s="345"/>
      <c r="V893" s="345"/>
      <c r="W893" s="345"/>
      <c r="X893" s="345"/>
      <c r="Y893" s="345"/>
      <c r="Z893" s="345"/>
      <c r="AA893" s="345"/>
      <c r="AB893" s="345"/>
      <c r="AC893" s="345"/>
      <c r="AD893" s="345"/>
      <c r="AE893" s="345"/>
    </row>
    <row r="894" spans="1:43" ht="75" x14ac:dyDescent="0.25">
      <c r="A894" s="605">
        <v>864</v>
      </c>
      <c r="B894" s="703" t="s">
        <v>3025</v>
      </c>
      <c r="C894" s="707"/>
      <c r="D894" s="707"/>
      <c r="E894" s="707"/>
      <c r="F894" s="707"/>
      <c r="G894" s="707"/>
      <c r="H894" s="1069"/>
      <c r="U894" s="345"/>
      <c r="V894" s="345"/>
      <c r="W894" s="345"/>
      <c r="X894" s="345"/>
      <c r="Y894" s="345"/>
      <c r="Z894" s="345"/>
      <c r="AA894" s="345"/>
      <c r="AB894" s="345"/>
      <c r="AC894" s="345"/>
      <c r="AD894" s="345"/>
      <c r="AE894" s="345"/>
    </row>
    <row r="895" spans="1:43" ht="15" x14ac:dyDescent="0.2">
      <c r="A895" s="605">
        <v>865</v>
      </c>
      <c r="B895" s="800" t="s">
        <v>3024</v>
      </c>
      <c r="C895" s="773"/>
      <c r="D895" s="773"/>
      <c r="E895" s="773"/>
      <c r="F895" s="773"/>
      <c r="G895" s="773"/>
      <c r="H895" s="1054"/>
      <c r="U895" s="345"/>
      <c r="V895" s="345"/>
      <c r="W895" s="345"/>
      <c r="X895" s="345"/>
      <c r="Y895" s="345"/>
      <c r="Z895" s="345"/>
      <c r="AA895" s="345"/>
      <c r="AB895" s="345"/>
      <c r="AC895" s="345"/>
      <c r="AD895" s="345"/>
      <c r="AE895" s="345"/>
    </row>
    <row r="896" spans="1:43" ht="45" x14ac:dyDescent="0.2">
      <c r="A896" s="605">
        <v>866</v>
      </c>
      <c r="B896" s="799" t="s">
        <v>3023</v>
      </c>
      <c r="C896" s="844"/>
      <c r="D896" s="844"/>
      <c r="E896" s="844"/>
      <c r="F896" s="844"/>
      <c r="G896" s="844"/>
      <c r="H896" s="1061"/>
      <c r="U896" s="345"/>
      <c r="V896" s="345"/>
      <c r="W896" s="345"/>
      <c r="X896" s="345"/>
      <c r="Y896" s="345"/>
      <c r="Z896" s="345"/>
      <c r="AA896" s="345"/>
      <c r="AB896" s="345"/>
      <c r="AC896" s="345"/>
      <c r="AD896" s="345"/>
      <c r="AE896" s="345"/>
    </row>
    <row r="897" spans="1:32" s="598" customFormat="1" ht="30" x14ac:dyDescent="0.2">
      <c r="A897" s="605">
        <v>867</v>
      </c>
      <c r="B897" s="800" t="s">
        <v>3022</v>
      </c>
      <c r="C897" s="773"/>
      <c r="D897" s="773"/>
      <c r="E897" s="773"/>
      <c r="F897" s="773"/>
      <c r="G897" s="773"/>
      <c r="H897" s="1054"/>
    </row>
    <row r="898" spans="1:32" ht="15" x14ac:dyDescent="0.2">
      <c r="A898" s="605">
        <v>868</v>
      </c>
      <c r="B898" s="604" t="s">
        <v>3021</v>
      </c>
      <c r="C898" s="603"/>
      <c r="D898" s="603"/>
      <c r="E898" s="603"/>
      <c r="F898" s="603"/>
      <c r="G898" s="603"/>
      <c r="H898" s="1055"/>
      <c r="U898" s="345"/>
      <c r="V898" s="345"/>
      <c r="W898" s="345"/>
      <c r="X898" s="345"/>
      <c r="Y898" s="345"/>
      <c r="Z898" s="345"/>
      <c r="AA898" s="345"/>
      <c r="AB898" s="345"/>
      <c r="AC898" s="345"/>
      <c r="AD898" s="345"/>
      <c r="AE898" s="345"/>
    </row>
    <row r="899" spans="1:32" ht="30" x14ac:dyDescent="0.25">
      <c r="A899" s="605">
        <v>869</v>
      </c>
      <c r="B899" s="703" t="s">
        <v>3020</v>
      </c>
      <c r="C899" s="773"/>
      <c r="D899" s="773"/>
      <c r="E899" s="773"/>
      <c r="F899" s="773"/>
      <c r="G899" s="773"/>
      <c r="H899" s="1069"/>
      <c r="U899" s="345"/>
      <c r="V899" s="345"/>
      <c r="W899" s="345"/>
      <c r="X899" s="345"/>
      <c r="Y899" s="345"/>
      <c r="Z899" s="345"/>
      <c r="AA899" s="345"/>
      <c r="AB899" s="345"/>
      <c r="AC899" s="345"/>
      <c r="AD899" s="345"/>
      <c r="AE899" s="345"/>
    </row>
    <row r="900" spans="1:32" ht="30" x14ac:dyDescent="0.25">
      <c r="A900" s="605">
        <v>870</v>
      </c>
      <c r="B900" s="703" t="s">
        <v>3019</v>
      </c>
      <c r="C900" s="707"/>
      <c r="D900" s="707"/>
      <c r="E900" s="707"/>
      <c r="F900" s="707"/>
      <c r="G900" s="707"/>
      <c r="H900" s="1069"/>
      <c r="U900" s="345"/>
      <c r="V900" s="345"/>
      <c r="W900" s="345"/>
      <c r="X900" s="345"/>
      <c r="Y900" s="345"/>
      <c r="Z900" s="345"/>
      <c r="AA900" s="345"/>
      <c r="AB900" s="345"/>
      <c r="AC900" s="345"/>
      <c r="AD900" s="345"/>
      <c r="AE900" s="345"/>
    </row>
    <row r="901" spans="1:32" ht="30" x14ac:dyDescent="0.25">
      <c r="A901" s="605">
        <v>871</v>
      </c>
      <c r="B901" s="703" t="s">
        <v>3018</v>
      </c>
      <c r="C901" s="707"/>
      <c r="D901" s="707"/>
      <c r="E901" s="707"/>
      <c r="F901" s="707"/>
      <c r="G901" s="707"/>
      <c r="H901" s="1069"/>
      <c r="U901" s="345"/>
      <c r="V901" s="345"/>
      <c r="W901" s="345"/>
      <c r="X901" s="345"/>
      <c r="Y901" s="345"/>
      <c r="Z901" s="345"/>
      <c r="AA901" s="345"/>
      <c r="AB901" s="345"/>
      <c r="AC901" s="345"/>
      <c r="AD901" s="345"/>
      <c r="AE901" s="345"/>
    </row>
    <row r="902" spans="1:32" ht="30" x14ac:dyDescent="0.25">
      <c r="A902" s="605">
        <v>872</v>
      </c>
      <c r="B902" s="703" t="s">
        <v>3017</v>
      </c>
      <c r="C902" s="707"/>
      <c r="D902" s="707"/>
      <c r="E902" s="707"/>
      <c r="F902" s="707"/>
      <c r="G902" s="707"/>
      <c r="H902" s="1069"/>
      <c r="U902" s="345"/>
      <c r="V902" s="345"/>
      <c r="W902" s="345"/>
      <c r="X902" s="345"/>
      <c r="Y902" s="345"/>
      <c r="Z902" s="345"/>
      <c r="AA902" s="345"/>
      <c r="AB902" s="345"/>
      <c r="AC902" s="345"/>
      <c r="AD902" s="345"/>
      <c r="AE902" s="345"/>
    </row>
    <row r="903" spans="1:32" ht="15" x14ac:dyDescent="0.25">
      <c r="A903" s="605">
        <v>873</v>
      </c>
      <c r="B903" s="852" t="s">
        <v>3016</v>
      </c>
      <c r="C903" s="845"/>
      <c r="D903" s="845"/>
      <c r="E903" s="845"/>
      <c r="F903" s="845"/>
      <c r="G903" s="845"/>
      <c r="H903" s="1029"/>
      <c r="AF903" s="347"/>
    </row>
    <row r="904" spans="1:32" ht="15" x14ac:dyDescent="0.2">
      <c r="A904" s="605">
        <v>874</v>
      </c>
      <c r="B904" s="777" t="s">
        <v>3015</v>
      </c>
      <c r="C904" s="777"/>
      <c r="D904" s="777"/>
      <c r="E904" s="777"/>
      <c r="F904" s="777"/>
      <c r="G904" s="777"/>
      <c r="H904" s="1030"/>
      <c r="AF904" s="347"/>
    </row>
    <row r="905" spans="1:32" s="882" customFormat="1" ht="15" x14ac:dyDescent="0.2">
      <c r="A905" s="605">
        <v>875</v>
      </c>
      <c r="B905" s="640" t="s">
        <v>3014</v>
      </c>
      <c r="C905" s="884"/>
      <c r="D905" s="884"/>
      <c r="E905" s="884"/>
      <c r="F905" s="884"/>
      <c r="G905" s="884"/>
      <c r="H905" s="1062"/>
      <c r="I905" s="415"/>
      <c r="J905" s="415"/>
      <c r="K905" s="415"/>
      <c r="L905" s="415"/>
      <c r="M905" s="415"/>
      <c r="N905" s="415"/>
      <c r="O905" s="415"/>
      <c r="P905" s="415"/>
      <c r="Q905" s="415"/>
      <c r="R905" s="415"/>
      <c r="S905" s="415"/>
      <c r="T905" s="415"/>
      <c r="U905" s="415"/>
      <c r="V905" s="415"/>
      <c r="W905" s="415"/>
      <c r="X905" s="415"/>
      <c r="Y905" s="415"/>
      <c r="Z905" s="415"/>
      <c r="AA905" s="415"/>
      <c r="AB905" s="415"/>
      <c r="AC905" s="415"/>
      <c r="AD905" s="415"/>
      <c r="AE905" s="415"/>
      <c r="AF905" s="415"/>
    </row>
    <row r="906" spans="1:32" s="882" customFormat="1" ht="30" x14ac:dyDescent="0.2">
      <c r="A906" s="605">
        <v>876</v>
      </c>
      <c r="B906" s="883" t="s">
        <v>3013</v>
      </c>
      <c r="C906" s="640"/>
      <c r="D906" s="640"/>
      <c r="E906" s="640"/>
      <c r="F906" s="640"/>
      <c r="G906" s="640"/>
      <c r="H906" s="1062"/>
      <c r="I906" s="415"/>
      <c r="J906" s="415"/>
      <c r="K906" s="415"/>
      <c r="L906" s="415"/>
      <c r="M906" s="415"/>
      <c r="N906" s="415"/>
      <c r="O906" s="415"/>
      <c r="P906" s="415"/>
      <c r="Q906" s="415"/>
      <c r="R906" s="415"/>
      <c r="S906" s="415"/>
      <c r="T906" s="415"/>
      <c r="U906" s="415"/>
      <c r="V906" s="415"/>
      <c r="W906" s="415"/>
      <c r="X906" s="415"/>
      <c r="Y906" s="415"/>
      <c r="Z906" s="415"/>
      <c r="AA906" s="415"/>
      <c r="AB906" s="415"/>
      <c r="AC906" s="415"/>
      <c r="AD906" s="415"/>
      <c r="AE906" s="415"/>
      <c r="AF906" s="415"/>
    </row>
    <row r="907" spans="1:32" s="415" customFormat="1" ht="30" x14ac:dyDescent="0.2">
      <c r="A907" s="605">
        <v>877</v>
      </c>
      <c r="B907" s="986" t="s">
        <v>3012</v>
      </c>
      <c r="C907" s="774"/>
      <c r="D907" s="774"/>
      <c r="E907" s="774"/>
      <c r="F907" s="774"/>
      <c r="G907" s="774"/>
      <c r="H907" s="1035"/>
    </row>
    <row r="908" spans="1:32" s="415" customFormat="1" ht="30" x14ac:dyDescent="0.2">
      <c r="A908" s="605">
        <v>878</v>
      </c>
      <c r="B908" s="986" t="s">
        <v>3599</v>
      </c>
      <c r="C908" s="774"/>
      <c r="D908" s="774"/>
      <c r="E908" s="774"/>
      <c r="F908" s="774"/>
      <c r="G908" s="774"/>
      <c r="H908" s="1035"/>
    </row>
    <row r="909" spans="1:32" s="415" customFormat="1" ht="30" x14ac:dyDescent="0.2">
      <c r="A909" s="605">
        <v>879</v>
      </c>
      <c r="B909" s="986" t="s">
        <v>3011</v>
      </c>
      <c r="C909" s="774"/>
      <c r="D909" s="774"/>
      <c r="E909" s="774"/>
      <c r="F909" s="774"/>
      <c r="G909" s="774"/>
      <c r="H909" s="1035"/>
    </row>
    <row r="910" spans="1:32" s="415" customFormat="1" ht="30" x14ac:dyDescent="0.2">
      <c r="A910" s="605">
        <v>880</v>
      </c>
      <c r="B910" s="986" t="s">
        <v>3010</v>
      </c>
      <c r="C910" s="774"/>
      <c r="D910" s="774"/>
      <c r="E910" s="774"/>
      <c r="F910" s="774"/>
      <c r="G910" s="774"/>
      <c r="H910" s="1035"/>
    </row>
    <row r="911" spans="1:32" s="415" customFormat="1" ht="15" x14ac:dyDescent="0.2">
      <c r="A911" s="605">
        <v>881</v>
      </c>
      <c r="B911" s="986" t="s">
        <v>3009</v>
      </c>
      <c r="C911" s="774"/>
      <c r="D911" s="774"/>
      <c r="E911" s="774"/>
      <c r="F911" s="774"/>
      <c r="G911" s="774"/>
      <c r="H911" s="1035"/>
    </row>
    <row r="912" spans="1:32" s="598" customFormat="1" ht="30" x14ac:dyDescent="0.25">
      <c r="A912" s="605">
        <v>882</v>
      </c>
      <c r="B912" s="858" t="s">
        <v>3008</v>
      </c>
      <c r="C912" s="881"/>
      <c r="D912" s="881"/>
      <c r="E912" s="881"/>
      <c r="F912" s="881"/>
      <c r="G912" s="881"/>
      <c r="H912" s="1034"/>
    </row>
    <row r="913" spans="1:8" s="598" customFormat="1" ht="45" x14ac:dyDescent="0.25">
      <c r="A913" s="605">
        <v>883</v>
      </c>
      <c r="B913" s="858" t="s">
        <v>3007</v>
      </c>
      <c r="C913" s="881"/>
      <c r="D913" s="881"/>
      <c r="E913" s="881"/>
      <c r="F913" s="881"/>
      <c r="G913" s="881"/>
      <c r="H913" s="1034"/>
    </row>
    <row r="914" spans="1:8" s="598" customFormat="1" ht="30" x14ac:dyDescent="0.25">
      <c r="A914" s="605">
        <v>884</v>
      </c>
      <c r="B914" s="877" t="s">
        <v>3006</v>
      </c>
      <c r="C914" s="857"/>
      <c r="D914" s="857"/>
      <c r="E914" s="857"/>
      <c r="F914" s="857"/>
      <c r="G914" s="857"/>
      <c r="H914" s="1034"/>
    </row>
    <row r="915" spans="1:8" s="598" customFormat="1" ht="15" x14ac:dyDescent="0.25">
      <c r="A915" s="605">
        <v>885</v>
      </c>
      <c r="B915" s="877" t="s">
        <v>3005</v>
      </c>
      <c r="C915" s="857"/>
      <c r="D915" s="857"/>
      <c r="E915" s="857"/>
      <c r="F915" s="857"/>
      <c r="G915" s="857"/>
      <c r="H915" s="1034"/>
    </row>
    <row r="916" spans="1:8" s="598" customFormat="1" ht="15" x14ac:dyDescent="0.25">
      <c r="A916" s="605">
        <v>886</v>
      </c>
      <c r="B916" s="877" t="s">
        <v>3004</v>
      </c>
      <c r="C916" s="857"/>
      <c r="D916" s="857"/>
      <c r="E916" s="857"/>
      <c r="F916" s="857"/>
      <c r="G916" s="857"/>
      <c r="H916" s="1034"/>
    </row>
    <row r="917" spans="1:8" s="1127" customFormat="1" ht="30" x14ac:dyDescent="0.25">
      <c r="A917" s="605">
        <v>887</v>
      </c>
      <c r="B917" s="1129" t="s">
        <v>3436</v>
      </c>
      <c r="C917" s="869"/>
      <c r="D917" s="869"/>
      <c r="E917" s="869"/>
      <c r="F917" s="869"/>
      <c r="G917" s="869"/>
      <c r="H917" s="1034"/>
    </row>
    <row r="918" spans="1:8" s="1127" customFormat="1" ht="30" x14ac:dyDescent="0.25">
      <c r="A918" s="605">
        <v>888</v>
      </c>
      <c r="B918" s="1130" t="s">
        <v>3437</v>
      </c>
      <c r="C918" s="857"/>
      <c r="D918" s="857"/>
      <c r="E918" s="857"/>
      <c r="F918" s="857"/>
      <c r="G918" s="857"/>
      <c r="H918" s="1034"/>
    </row>
    <row r="919" spans="1:8" s="1127" customFormat="1" ht="30" x14ac:dyDescent="0.25">
      <c r="A919" s="605">
        <v>889</v>
      </c>
      <c r="B919" s="1130" t="s">
        <v>3438</v>
      </c>
      <c r="C919" s="857"/>
      <c r="D919" s="857"/>
      <c r="E919" s="857"/>
      <c r="F919" s="857"/>
      <c r="G919" s="857"/>
      <c r="H919" s="1034"/>
    </row>
    <row r="920" spans="1:8" s="1127" customFormat="1" ht="15" x14ac:dyDescent="0.25">
      <c r="A920" s="605">
        <v>890</v>
      </c>
      <c r="B920" s="1129" t="s">
        <v>3439</v>
      </c>
      <c r="C920" s="857"/>
      <c r="D920" s="857"/>
      <c r="E920" s="857"/>
      <c r="F920" s="857"/>
      <c r="G920" s="857"/>
      <c r="H920" s="1034"/>
    </row>
    <row r="921" spans="1:8" s="1127" customFormat="1" ht="15" x14ac:dyDescent="0.25">
      <c r="A921" s="605">
        <v>891</v>
      </c>
      <c r="B921" s="1129" t="s">
        <v>3440</v>
      </c>
      <c r="C921" s="857"/>
      <c r="D921" s="857"/>
      <c r="E921" s="857"/>
      <c r="F921" s="857"/>
      <c r="G921" s="857"/>
      <c r="H921" s="1034"/>
    </row>
    <row r="922" spans="1:8" s="1127" customFormat="1" ht="15" x14ac:dyDescent="0.25">
      <c r="A922" s="605">
        <v>892</v>
      </c>
      <c r="B922" s="1129" t="s">
        <v>3442</v>
      </c>
      <c r="C922" s="857"/>
      <c r="D922" s="857"/>
      <c r="E922" s="857"/>
      <c r="F922" s="857"/>
      <c r="G922" s="857"/>
      <c r="H922" s="1034"/>
    </row>
    <row r="923" spans="1:8" s="1127" customFormat="1" ht="15" x14ac:dyDescent="0.25">
      <c r="A923" s="605">
        <v>893</v>
      </c>
      <c r="B923" s="1129" t="s">
        <v>3443</v>
      </c>
      <c r="C923" s="869"/>
      <c r="D923" s="869"/>
      <c r="E923" s="869"/>
      <c r="F923" s="869"/>
      <c r="G923" s="869"/>
      <c r="H923" s="1034"/>
    </row>
    <row r="924" spans="1:8" s="1127" customFormat="1" ht="15" x14ac:dyDescent="0.25">
      <c r="A924" s="605">
        <v>894</v>
      </c>
      <c r="B924" s="1130" t="s">
        <v>3444</v>
      </c>
      <c r="C924" s="857"/>
      <c r="D924" s="857"/>
      <c r="E924" s="857"/>
      <c r="F924" s="857"/>
      <c r="G924" s="857"/>
      <c r="H924" s="1034"/>
    </row>
    <row r="925" spans="1:8" s="1127" customFormat="1" ht="15" x14ac:dyDescent="0.25">
      <c r="A925" s="605">
        <v>895</v>
      </c>
      <c r="B925" s="1130" t="s">
        <v>3445</v>
      </c>
      <c r="C925" s="857"/>
      <c r="D925" s="857"/>
      <c r="E925" s="857"/>
      <c r="F925" s="857"/>
      <c r="G925" s="857"/>
      <c r="H925" s="1034"/>
    </row>
    <row r="926" spans="1:8" s="1127" customFormat="1" ht="15" x14ac:dyDescent="0.25">
      <c r="A926" s="605">
        <v>896</v>
      </c>
      <c r="B926" s="1130" t="s">
        <v>3446</v>
      </c>
      <c r="C926" s="857"/>
      <c r="D926" s="857"/>
      <c r="E926" s="857"/>
      <c r="F926" s="857"/>
      <c r="G926" s="857"/>
      <c r="H926" s="1034"/>
    </row>
    <row r="927" spans="1:8" s="1127" customFormat="1" ht="15" x14ac:dyDescent="0.25">
      <c r="A927" s="605">
        <v>897</v>
      </c>
      <c r="B927" s="1130" t="s">
        <v>2868</v>
      </c>
      <c r="C927" s="857"/>
      <c r="D927" s="857"/>
      <c r="E927" s="857"/>
      <c r="F927" s="857"/>
      <c r="G927" s="857"/>
      <c r="H927" s="1034"/>
    </row>
    <row r="928" spans="1:8" s="1127" customFormat="1" ht="15" x14ac:dyDescent="0.25">
      <c r="A928" s="605">
        <v>898</v>
      </c>
      <c r="B928" s="1130" t="s">
        <v>3447</v>
      </c>
      <c r="C928" s="857"/>
      <c r="D928" s="857"/>
      <c r="E928" s="857"/>
      <c r="F928" s="857"/>
      <c r="G928" s="857"/>
      <c r="H928" s="1034"/>
    </row>
    <row r="929" spans="1:8" s="1127" customFormat="1" ht="15" x14ac:dyDescent="0.25">
      <c r="A929" s="605">
        <v>899</v>
      </c>
      <c r="B929" s="1130" t="s">
        <v>3448</v>
      </c>
      <c r="C929" s="857"/>
      <c r="D929" s="857"/>
      <c r="E929" s="857"/>
      <c r="F929" s="857"/>
      <c r="G929" s="857"/>
      <c r="H929" s="1034"/>
    </row>
    <row r="930" spans="1:8" s="1127" customFormat="1" ht="15" x14ac:dyDescent="0.25">
      <c r="A930" s="605">
        <v>900</v>
      </c>
      <c r="B930" s="1130" t="s">
        <v>3449</v>
      </c>
      <c r="C930" s="857"/>
      <c r="D930" s="857"/>
      <c r="E930" s="857"/>
      <c r="F930" s="857"/>
      <c r="G930" s="857"/>
      <c r="H930" s="1034"/>
    </row>
    <row r="931" spans="1:8" s="1127" customFormat="1" ht="15" x14ac:dyDescent="0.25">
      <c r="A931" s="605">
        <v>901</v>
      </c>
      <c r="B931" s="1130" t="s">
        <v>3450</v>
      </c>
      <c r="C931" s="857"/>
      <c r="D931" s="857"/>
      <c r="E931" s="857"/>
      <c r="F931" s="857"/>
      <c r="G931" s="857"/>
      <c r="H931" s="1034"/>
    </row>
    <row r="932" spans="1:8" s="1127" customFormat="1" ht="15" x14ac:dyDescent="0.25">
      <c r="A932" s="605">
        <v>902</v>
      </c>
      <c r="B932" s="1130" t="s">
        <v>3451</v>
      </c>
      <c r="C932" s="857"/>
      <c r="D932" s="857"/>
      <c r="E932" s="857"/>
      <c r="F932" s="857"/>
      <c r="G932" s="857"/>
      <c r="H932" s="1034"/>
    </row>
    <row r="933" spans="1:8" s="1127" customFormat="1" ht="15" x14ac:dyDescent="0.25">
      <c r="A933" s="605">
        <v>903</v>
      </c>
      <c r="B933" s="1130" t="s">
        <v>3452</v>
      </c>
      <c r="C933" s="857"/>
      <c r="D933" s="857"/>
      <c r="E933" s="857"/>
      <c r="F933" s="857"/>
      <c r="G933" s="857"/>
      <c r="H933" s="1034"/>
    </row>
    <row r="934" spans="1:8" s="1127" customFormat="1" ht="15" x14ac:dyDescent="0.25">
      <c r="A934" s="605">
        <v>904</v>
      </c>
      <c r="B934" s="1130" t="s">
        <v>3453</v>
      </c>
      <c r="C934" s="857"/>
      <c r="D934" s="857"/>
      <c r="E934" s="857"/>
      <c r="F934" s="857"/>
      <c r="G934" s="857"/>
      <c r="H934" s="1034"/>
    </row>
    <row r="935" spans="1:8" s="1127" customFormat="1" ht="15" x14ac:dyDescent="0.25">
      <c r="A935" s="605">
        <v>905</v>
      </c>
      <c r="B935" s="1130" t="s">
        <v>3454</v>
      </c>
      <c r="C935" s="857"/>
      <c r="D935" s="857"/>
      <c r="E935" s="857"/>
      <c r="F935" s="857"/>
      <c r="G935" s="857"/>
      <c r="H935" s="1034"/>
    </row>
    <row r="936" spans="1:8" s="1127" customFormat="1" ht="15" x14ac:dyDescent="0.25">
      <c r="A936" s="605">
        <v>906</v>
      </c>
      <c r="B936" s="1130" t="s">
        <v>3455</v>
      </c>
      <c r="C936" s="857"/>
      <c r="D936" s="857"/>
      <c r="E936" s="857"/>
      <c r="F936" s="857"/>
      <c r="G936" s="857"/>
      <c r="H936" s="1034"/>
    </row>
    <row r="937" spans="1:8" s="1127" customFormat="1" ht="15" x14ac:dyDescent="0.25">
      <c r="A937" s="605">
        <v>907</v>
      </c>
      <c r="B937" s="1131" t="s">
        <v>3456</v>
      </c>
      <c r="C937" s="857"/>
      <c r="D937" s="857"/>
      <c r="E937" s="857"/>
      <c r="F937" s="857"/>
      <c r="G937" s="857"/>
      <c r="H937" s="1034"/>
    </row>
    <row r="938" spans="1:8" s="1127" customFormat="1" ht="15" x14ac:dyDescent="0.25">
      <c r="A938" s="605">
        <v>908</v>
      </c>
      <c r="B938" s="1131" t="s">
        <v>3457</v>
      </c>
      <c r="C938" s="857"/>
      <c r="D938" s="857"/>
      <c r="E938" s="857"/>
      <c r="F938" s="857"/>
      <c r="G938" s="857"/>
      <c r="H938" s="1034"/>
    </row>
    <row r="939" spans="1:8" s="1127" customFormat="1" ht="15" x14ac:dyDescent="0.25">
      <c r="A939" s="605">
        <v>909</v>
      </c>
      <c r="B939" s="1131" t="s">
        <v>3458</v>
      </c>
      <c r="C939" s="857"/>
      <c r="D939" s="857"/>
      <c r="E939" s="857"/>
      <c r="F939" s="857"/>
      <c r="G939" s="857"/>
      <c r="H939" s="1034"/>
    </row>
    <row r="940" spans="1:8" s="1127" customFormat="1" ht="15" x14ac:dyDescent="0.25">
      <c r="A940" s="605">
        <v>910</v>
      </c>
      <c r="B940" s="1131" t="s">
        <v>3459</v>
      </c>
      <c r="C940" s="857"/>
      <c r="D940" s="857"/>
      <c r="E940" s="857"/>
      <c r="F940" s="857"/>
      <c r="G940" s="857"/>
      <c r="H940" s="1034"/>
    </row>
    <row r="941" spans="1:8" s="1127" customFormat="1" ht="30" x14ac:dyDescent="0.25">
      <c r="A941" s="605">
        <v>911</v>
      </c>
      <c r="B941" s="1131" t="s">
        <v>3460</v>
      </c>
      <c r="C941" s="857"/>
      <c r="D941" s="857"/>
      <c r="E941" s="857"/>
      <c r="F941" s="857"/>
      <c r="G941" s="857"/>
      <c r="H941" s="1034"/>
    </row>
    <row r="942" spans="1:8" s="1127" customFormat="1" ht="30" x14ac:dyDescent="0.25">
      <c r="A942" s="605">
        <v>912</v>
      </c>
      <c r="B942" s="1131" t="s">
        <v>3461</v>
      </c>
      <c r="C942" s="857"/>
      <c r="D942" s="857"/>
      <c r="E942" s="857"/>
      <c r="F942" s="857"/>
      <c r="G942" s="857"/>
      <c r="H942" s="1034"/>
    </row>
    <row r="943" spans="1:8" s="1127" customFormat="1" ht="30" x14ac:dyDescent="0.25">
      <c r="A943" s="605">
        <v>913</v>
      </c>
      <c r="B943" s="1131" t="s">
        <v>3462</v>
      </c>
      <c r="C943" s="857"/>
      <c r="D943" s="857"/>
      <c r="E943" s="857"/>
      <c r="F943" s="857"/>
      <c r="G943" s="857"/>
      <c r="H943" s="1034"/>
    </row>
    <row r="944" spans="1:8" s="598" customFormat="1" ht="30" x14ac:dyDescent="0.25">
      <c r="A944" s="605">
        <v>914</v>
      </c>
      <c r="B944" s="877" t="s">
        <v>3003</v>
      </c>
      <c r="C944" s="857"/>
      <c r="D944" s="857"/>
      <c r="E944" s="857"/>
      <c r="F944" s="857"/>
      <c r="G944" s="857"/>
      <c r="H944" s="1034"/>
    </row>
    <row r="945" spans="1:32" s="598" customFormat="1" ht="45" x14ac:dyDescent="0.25">
      <c r="A945" s="605">
        <v>915</v>
      </c>
      <c r="B945" s="877" t="s">
        <v>3002</v>
      </c>
      <c r="C945" s="857"/>
      <c r="D945" s="857"/>
      <c r="E945" s="857"/>
      <c r="F945" s="857"/>
      <c r="G945" s="857"/>
      <c r="H945" s="1034"/>
    </row>
    <row r="946" spans="1:32" s="598" customFormat="1" ht="30" x14ac:dyDescent="0.25">
      <c r="A946" s="605">
        <v>916</v>
      </c>
      <c r="B946" s="877" t="s">
        <v>3001</v>
      </c>
      <c r="C946" s="857"/>
      <c r="D946" s="857"/>
      <c r="E946" s="857"/>
      <c r="F946" s="857"/>
      <c r="G946" s="857"/>
      <c r="H946" s="1034"/>
    </row>
    <row r="947" spans="1:32" ht="30" x14ac:dyDescent="0.25">
      <c r="A947" s="605">
        <v>917</v>
      </c>
      <c r="B947" s="876" t="s">
        <v>3000</v>
      </c>
      <c r="C947" s="856"/>
      <c r="D947" s="856"/>
      <c r="E947" s="856"/>
      <c r="F947" s="856"/>
      <c r="G947" s="856"/>
      <c r="H947" s="1063"/>
      <c r="AF947" s="347"/>
    </row>
    <row r="948" spans="1:32" ht="30" x14ac:dyDescent="0.25">
      <c r="A948" s="605">
        <v>918</v>
      </c>
      <c r="B948" s="865" t="s">
        <v>2999</v>
      </c>
      <c r="C948" s="863"/>
      <c r="D948" s="856"/>
      <c r="E948" s="856"/>
      <c r="F948" s="856"/>
      <c r="G948" s="856"/>
      <c r="H948" s="1063"/>
      <c r="AF948" s="347"/>
    </row>
    <row r="949" spans="1:32" ht="15" x14ac:dyDescent="0.25">
      <c r="A949" s="605">
        <v>919</v>
      </c>
      <c r="B949" s="876" t="s">
        <v>2998</v>
      </c>
      <c r="C949" s="856"/>
      <c r="D949" s="856"/>
      <c r="E949" s="856"/>
      <c r="F949" s="856"/>
      <c r="G949" s="856"/>
      <c r="H949" s="1063"/>
      <c r="AF949" s="347"/>
    </row>
    <row r="950" spans="1:32" ht="30" x14ac:dyDescent="0.25">
      <c r="A950" s="605">
        <v>920</v>
      </c>
      <c r="B950" s="876" t="s">
        <v>2997</v>
      </c>
      <c r="C950" s="869"/>
      <c r="D950" s="869"/>
      <c r="E950" s="869"/>
      <c r="F950" s="869"/>
      <c r="G950" s="869"/>
      <c r="H950" s="1063"/>
      <c r="AF950" s="347"/>
    </row>
    <row r="951" spans="1:32" ht="15" x14ac:dyDescent="0.25">
      <c r="A951" s="605">
        <v>921</v>
      </c>
      <c r="B951" s="860" t="s">
        <v>2996</v>
      </c>
      <c r="C951" s="856"/>
      <c r="D951" s="856"/>
      <c r="E951" s="856"/>
      <c r="F951" s="856"/>
      <c r="G951" s="856"/>
      <c r="H951" s="1063"/>
      <c r="AF951" s="347"/>
    </row>
    <row r="952" spans="1:32" ht="15" x14ac:dyDescent="0.25">
      <c r="A952" s="605">
        <v>922</v>
      </c>
      <c r="B952" s="880" t="s">
        <v>2995</v>
      </c>
      <c r="C952" s="863"/>
      <c r="D952" s="856"/>
      <c r="E952" s="856"/>
      <c r="F952" s="856"/>
      <c r="G952" s="856"/>
      <c r="H952" s="1063"/>
      <c r="AF952" s="347"/>
    </row>
    <row r="953" spans="1:32" ht="15" x14ac:dyDescent="0.25">
      <c r="A953" s="605">
        <v>923</v>
      </c>
      <c r="B953" s="880" t="s">
        <v>2994</v>
      </c>
      <c r="C953" s="863"/>
      <c r="D953" s="856"/>
      <c r="E953" s="856"/>
      <c r="F953" s="856"/>
      <c r="G953" s="856"/>
      <c r="H953" s="1063"/>
      <c r="AF953" s="347"/>
    </row>
    <row r="954" spans="1:32" ht="15" x14ac:dyDescent="0.25">
      <c r="A954" s="605">
        <v>924</v>
      </c>
      <c r="B954" s="880" t="s">
        <v>2993</v>
      </c>
      <c r="C954" s="863"/>
      <c r="D954" s="856"/>
      <c r="E954" s="856"/>
      <c r="F954" s="856"/>
      <c r="G954" s="856"/>
      <c r="H954" s="1063"/>
      <c r="AF954" s="347"/>
    </row>
    <row r="955" spans="1:32" ht="15" x14ac:dyDescent="0.25">
      <c r="A955" s="605">
        <v>925</v>
      </c>
      <c r="B955" s="880" t="s">
        <v>2992</v>
      </c>
      <c r="C955" s="863"/>
      <c r="D955" s="856"/>
      <c r="E955" s="856"/>
      <c r="F955" s="856"/>
      <c r="G955" s="856"/>
      <c r="H955" s="1063"/>
      <c r="AF955" s="347"/>
    </row>
    <row r="956" spans="1:32" ht="15" x14ac:dyDescent="0.25">
      <c r="A956" s="605">
        <v>926</v>
      </c>
      <c r="B956" s="880" t="s">
        <v>2931</v>
      </c>
      <c r="C956" s="863"/>
      <c r="D956" s="856"/>
      <c r="E956" s="856"/>
      <c r="F956" s="856"/>
      <c r="G956" s="856"/>
      <c r="H956" s="1063"/>
      <c r="AF956" s="347"/>
    </row>
    <row r="957" spans="1:32" ht="15" x14ac:dyDescent="0.25">
      <c r="A957" s="605">
        <v>927</v>
      </c>
      <c r="B957" s="880" t="s">
        <v>2991</v>
      </c>
      <c r="C957" s="863"/>
      <c r="D957" s="856"/>
      <c r="E957" s="856"/>
      <c r="F957" s="856"/>
      <c r="G957" s="856"/>
      <c r="H957" s="1063"/>
      <c r="AF957" s="347"/>
    </row>
    <row r="958" spans="1:32" ht="15" x14ac:dyDescent="0.25">
      <c r="A958" s="605">
        <v>928</v>
      </c>
      <c r="B958" s="880" t="s">
        <v>2930</v>
      </c>
      <c r="C958" s="863"/>
      <c r="D958" s="856"/>
      <c r="E958" s="856"/>
      <c r="F958" s="856"/>
      <c r="G958" s="856"/>
      <c r="H958" s="1063"/>
      <c r="AF958" s="347"/>
    </row>
    <row r="959" spans="1:32" ht="30" x14ac:dyDescent="0.25">
      <c r="A959" s="605">
        <v>929</v>
      </c>
      <c r="B959" s="639" t="s">
        <v>2990</v>
      </c>
      <c r="C959" s="863"/>
      <c r="D959" s="856"/>
      <c r="E959" s="856"/>
      <c r="F959" s="856"/>
      <c r="G959" s="856"/>
      <c r="H959" s="1063"/>
      <c r="AF959" s="347"/>
    </row>
    <row r="960" spans="1:32" ht="30" x14ac:dyDescent="0.25">
      <c r="A960" s="605">
        <v>930</v>
      </c>
      <c r="B960" s="639" t="s">
        <v>2989</v>
      </c>
      <c r="C960" s="863"/>
      <c r="D960" s="856"/>
      <c r="E960" s="856"/>
      <c r="F960" s="856"/>
      <c r="G960" s="856"/>
      <c r="H960" s="1063"/>
      <c r="AF960" s="347"/>
    </row>
    <row r="961" spans="1:32" ht="30" x14ac:dyDescent="0.25">
      <c r="A961" s="605">
        <v>931</v>
      </c>
      <c r="B961" s="775" t="s">
        <v>2988</v>
      </c>
      <c r="C961" s="863"/>
      <c r="D961" s="856"/>
      <c r="E961" s="856"/>
      <c r="F961" s="856"/>
      <c r="G961" s="856"/>
      <c r="H961" s="1063"/>
      <c r="AF961" s="347"/>
    </row>
    <row r="962" spans="1:32" ht="30" x14ac:dyDescent="0.25">
      <c r="A962" s="605">
        <v>932</v>
      </c>
      <c r="B962" s="639" t="s">
        <v>2987</v>
      </c>
      <c r="C962" s="879"/>
      <c r="D962" s="878"/>
      <c r="E962" s="878"/>
      <c r="F962" s="878"/>
      <c r="G962" s="878"/>
      <c r="H962" s="1063"/>
      <c r="AF962" s="347"/>
    </row>
    <row r="963" spans="1:32" ht="15" x14ac:dyDescent="0.25">
      <c r="A963" s="605">
        <v>933</v>
      </c>
      <c r="B963" s="779" t="s">
        <v>2986</v>
      </c>
      <c r="C963" s="863"/>
      <c r="D963" s="856"/>
      <c r="E963" s="856"/>
      <c r="F963" s="856"/>
      <c r="G963" s="856"/>
      <c r="H963" s="1063"/>
      <c r="AF963" s="347"/>
    </row>
    <row r="964" spans="1:32" ht="15" x14ac:dyDescent="0.25">
      <c r="A964" s="605">
        <v>934</v>
      </c>
      <c r="B964" s="779" t="s">
        <v>2985</v>
      </c>
      <c r="C964" s="863"/>
      <c r="D964" s="856"/>
      <c r="E964" s="856"/>
      <c r="F964" s="856"/>
      <c r="G964" s="856"/>
      <c r="H964" s="1063"/>
      <c r="AF964" s="347"/>
    </row>
    <row r="965" spans="1:32" ht="15" x14ac:dyDescent="0.25">
      <c r="A965" s="605">
        <v>935</v>
      </c>
      <c r="B965" s="779" t="s">
        <v>2984</v>
      </c>
      <c r="C965" s="863"/>
      <c r="D965" s="856"/>
      <c r="E965" s="856"/>
      <c r="F965" s="856"/>
      <c r="G965" s="856"/>
      <c r="H965" s="1063"/>
      <c r="AF965" s="347"/>
    </row>
    <row r="966" spans="1:32" ht="30" x14ac:dyDescent="0.25">
      <c r="A966" s="605">
        <v>936</v>
      </c>
      <c r="B966" s="636" t="s">
        <v>2983</v>
      </c>
      <c r="C966" s="864"/>
      <c r="D966" s="857"/>
      <c r="E966" s="857"/>
      <c r="F966" s="857"/>
      <c r="G966" s="857"/>
      <c r="H966" s="1034"/>
      <c r="AF966" s="347"/>
    </row>
    <row r="967" spans="1:32" ht="15" x14ac:dyDescent="0.2">
      <c r="A967" s="605">
        <v>937</v>
      </c>
      <c r="B967" s="777" t="s">
        <v>2982</v>
      </c>
      <c r="C967" s="777"/>
      <c r="D967" s="777"/>
      <c r="E967" s="777"/>
      <c r="F967" s="777"/>
      <c r="G967" s="777"/>
      <c r="H967" s="1030"/>
      <c r="AF967" s="347"/>
    </row>
    <row r="968" spans="1:32" ht="30" x14ac:dyDescent="0.25">
      <c r="A968" s="605">
        <v>938</v>
      </c>
      <c r="B968" s="638" t="s">
        <v>2981</v>
      </c>
      <c r="C968" s="863"/>
      <c r="D968" s="856"/>
      <c r="E968" s="856"/>
      <c r="F968" s="856"/>
      <c r="G968" s="856"/>
      <c r="H968" s="1063"/>
      <c r="AF968" s="347"/>
    </row>
    <row r="969" spans="1:32" ht="30" x14ac:dyDescent="0.25">
      <c r="A969" s="605">
        <v>939</v>
      </c>
      <c r="B969" s="638" t="s">
        <v>2980</v>
      </c>
      <c r="C969" s="863"/>
      <c r="D969" s="856"/>
      <c r="E969" s="856"/>
      <c r="F969" s="856"/>
      <c r="G969" s="856"/>
      <c r="H969" s="1063"/>
      <c r="AF969" s="347"/>
    </row>
    <row r="970" spans="1:32" s="411" customFormat="1" ht="30" x14ac:dyDescent="0.25">
      <c r="A970" s="605">
        <v>940</v>
      </c>
      <c r="B970" s="638" t="s">
        <v>2979</v>
      </c>
      <c r="C970" s="863"/>
      <c r="D970" s="856"/>
      <c r="E970" s="856"/>
      <c r="F970" s="856"/>
      <c r="G970" s="856"/>
      <c r="H970" s="1063"/>
      <c r="I970" s="347"/>
      <c r="J970" s="347"/>
      <c r="K970" s="347"/>
      <c r="L970" s="347"/>
      <c r="M970" s="347"/>
      <c r="N970" s="347"/>
      <c r="O970" s="347"/>
      <c r="P970" s="347"/>
      <c r="Q970" s="347"/>
      <c r="R970" s="347"/>
      <c r="S970" s="347"/>
      <c r="T970" s="347"/>
      <c r="U970" s="347"/>
      <c r="V970" s="347"/>
      <c r="W970" s="347"/>
      <c r="X970" s="347"/>
      <c r="Y970" s="347"/>
      <c r="Z970" s="347"/>
      <c r="AA970" s="347"/>
      <c r="AB970" s="347"/>
      <c r="AC970" s="347"/>
      <c r="AD970" s="347"/>
      <c r="AE970" s="347"/>
      <c r="AF970" s="347"/>
    </row>
    <row r="971" spans="1:32" s="1127" customFormat="1" ht="30" x14ac:dyDescent="0.25">
      <c r="A971" s="605">
        <v>941</v>
      </c>
      <c r="B971" s="1129" t="s">
        <v>3433</v>
      </c>
      <c r="C971" s="869"/>
      <c r="D971" s="869"/>
      <c r="E971" s="869"/>
      <c r="F971" s="869"/>
      <c r="G971" s="869"/>
      <c r="H971" s="1034"/>
    </row>
    <row r="972" spans="1:32" s="1127" customFormat="1" ht="15" x14ac:dyDescent="0.25">
      <c r="A972" s="605">
        <v>942</v>
      </c>
      <c r="B972" s="1130" t="s">
        <v>3432</v>
      </c>
      <c r="C972" s="857"/>
      <c r="D972" s="857"/>
      <c r="E972" s="857"/>
      <c r="F972" s="857"/>
      <c r="G972" s="857"/>
      <c r="H972" s="1034"/>
    </row>
    <row r="973" spans="1:32" s="1127" customFormat="1" ht="15" x14ac:dyDescent="0.25">
      <c r="A973" s="605">
        <v>943</v>
      </c>
      <c r="B973" s="1130" t="s">
        <v>3434</v>
      </c>
      <c r="C973" s="857"/>
      <c r="D973" s="857"/>
      <c r="E973" s="857"/>
      <c r="F973" s="857"/>
      <c r="G973" s="857"/>
      <c r="H973" s="1034"/>
    </row>
    <row r="974" spans="1:32" s="1127" customFormat="1" ht="15" x14ac:dyDescent="0.25">
      <c r="A974" s="605">
        <v>944</v>
      </c>
      <c r="B974" s="1130" t="s">
        <v>3435</v>
      </c>
      <c r="C974" s="857"/>
      <c r="D974" s="857"/>
      <c r="E974" s="857"/>
      <c r="F974" s="857"/>
      <c r="G974" s="857"/>
      <c r="H974" s="1034"/>
    </row>
    <row r="975" spans="1:32" ht="45" x14ac:dyDescent="0.25">
      <c r="A975" s="605">
        <v>945</v>
      </c>
      <c r="B975" s="636" t="s">
        <v>2978</v>
      </c>
      <c r="C975" s="875"/>
      <c r="D975" s="859"/>
      <c r="E975" s="859"/>
      <c r="F975" s="859"/>
      <c r="G975" s="859"/>
      <c r="H975" s="1034"/>
      <c r="AF975" s="347"/>
    </row>
    <row r="976" spans="1:32" ht="15" x14ac:dyDescent="0.25">
      <c r="A976" s="605">
        <v>946</v>
      </c>
      <c r="B976" s="858" t="s">
        <v>2953</v>
      </c>
      <c r="C976" s="864"/>
      <c r="D976" s="857"/>
      <c r="E976" s="857"/>
      <c r="F976" s="857"/>
      <c r="G976" s="857"/>
      <c r="H976" s="1034"/>
      <c r="AF976" s="347"/>
    </row>
    <row r="977" spans="1:32" ht="15" x14ac:dyDescent="0.25">
      <c r="A977" s="605">
        <v>947</v>
      </c>
      <c r="B977" s="858" t="s">
        <v>2952</v>
      </c>
      <c r="C977" s="864"/>
      <c r="D977" s="857"/>
      <c r="E977" s="857"/>
      <c r="F977" s="857"/>
      <c r="G977" s="857"/>
      <c r="H977" s="1034"/>
      <c r="AF977" s="347"/>
    </row>
    <row r="978" spans="1:32" ht="30" x14ac:dyDescent="0.25">
      <c r="A978" s="605">
        <v>948</v>
      </c>
      <c r="B978" s="775" t="s">
        <v>2977</v>
      </c>
      <c r="C978" s="864"/>
      <c r="D978" s="857"/>
      <c r="E978" s="857"/>
      <c r="F978" s="857"/>
      <c r="G978" s="857"/>
      <c r="H978" s="1034"/>
      <c r="AF978" s="347"/>
    </row>
    <row r="979" spans="1:32" s="411" customFormat="1" ht="15" x14ac:dyDescent="0.25">
      <c r="A979" s="605">
        <v>949</v>
      </c>
      <c r="B979" s="775" t="s">
        <v>2976</v>
      </c>
      <c r="C979" s="875"/>
      <c r="D979" s="859"/>
      <c r="E979" s="859"/>
      <c r="F979" s="859"/>
      <c r="G979" s="859"/>
      <c r="H979" s="1063"/>
      <c r="I979" s="347"/>
      <c r="J979" s="347"/>
      <c r="K979" s="347"/>
      <c r="L979" s="347"/>
      <c r="M979" s="347"/>
      <c r="N979" s="347"/>
      <c r="O979" s="347"/>
      <c r="P979" s="347"/>
      <c r="Q979" s="347"/>
      <c r="R979" s="347"/>
      <c r="S979" s="347"/>
      <c r="T979" s="347"/>
      <c r="U979" s="347"/>
      <c r="V979" s="347"/>
      <c r="W979" s="347"/>
      <c r="X979" s="347"/>
      <c r="Y979" s="347"/>
      <c r="Z979" s="347"/>
      <c r="AA979" s="347"/>
      <c r="AB979" s="347"/>
      <c r="AC979" s="347"/>
      <c r="AD979" s="347"/>
      <c r="AE979" s="347"/>
      <c r="AF979" s="347"/>
    </row>
    <row r="980" spans="1:32" s="411" customFormat="1" ht="15" x14ac:dyDescent="0.25">
      <c r="A980" s="605">
        <v>950</v>
      </c>
      <c r="B980" s="779" t="s">
        <v>2975</v>
      </c>
      <c r="C980" s="863"/>
      <c r="D980" s="856"/>
      <c r="E980" s="856"/>
      <c r="F980" s="856"/>
      <c r="G980" s="856"/>
      <c r="H980" s="1063"/>
      <c r="I980" s="347"/>
      <c r="J980" s="347"/>
      <c r="K980" s="347"/>
      <c r="L980" s="347"/>
      <c r="M980" s="347"/>
      <c r="N980" s="347"/>
      <c r="O980" s="347"/>
      <c r="P980" s="347"/>
      <c r="Q980" s="347"/>
      <c r="R980" s="347"/>
      <c r="S980" s="347"/>
      <c r="T980" s="347"/>
      <c r="U980" s="347"/>
      <c r="V980" s="347"/>
      <c r="W980" s="347"/>
      <c r="X980" s="347"/>
      <c r="Y980" s="347"/>
      <c r="Z980" s="347"/>
      <c r="AA980" s="347"/>
      <c r="AB980" s="347"/>
      <c r="AC980" s="347"/>
      <c r="AD980" s="347"/>
      <c r="AE980" s="347"/>
      <c r="AF980" s="347"/>
    </row>
    <row r="981" spans="1:32" s="411" customFormat="1" ht="15" x14ac:dyDescent="0.25">
      <c r="A981" s="605">
        <v>951</v>
      </c>
      <c r="B981" s="779" t="s">
        <v>2974</v>
      </c>
      <c r="C981" s="863"/>
      <c r="D981" s="856"/>
      <c r="E981" s="856"/>
      <c r="F981" s="856"/>
      <c r="G981" s="856"/>
      <c r="H981" s="1063"/>
      <c r="I981" s="347"/>
      <c r="J981" s="347"/>
      <c r="K981" s="347"/>
      <c r="L981" s="347"/>
      <c r="M981" s="347"/>
      <c r="N981" s="347"/>
      <c r="O981" s="347"/>
      <c r="P981" s="347"/>
      <c r="Q981" s="347"/>
      <c r="R981" s="347"/>
      <c r="S981" s="347"/>
      <c r="T981" s="347"/>
      <c r="U981" s="347"/>
      <c r="V981" s="347"/>
      <c r="W981" s="347"/>
      <c r="X981" s="347"/>
      <c r="Y981" s="347"/>
      <c r="Z981" s="347"/>
      <c r="AA981" s="347"/>
      <c r="AB981" s="347"/>
      <c r="AC981" s="347"/>
      <c r="AD981" s="347"/>
      <c r="AE981" s="347"/>
      <c r="AF981" s="347"/>
    </row>
    <row r="982" spans="1:32" s="411" customFormat="1" ht="15" x14ac:dyDescent="0.25">
      <c r="A982" s="605">
        <v>952</v>
      </c>
      <c r="B982" s="775" t="s">
        <v>2973</v>
      </c>
      <c r="C982" s="863"/>
      <c r="D982" s="856"/>
      <c r="E982" s="856"/>
      <c r="F982" s="856"/>
      <c r="G982" s="856"/>
      <c r="H982" s="1063"/>
      <c r="I982" s="347"/>
      <c r="J982" s="347"/>
      <c r="K982" s="347"/>
      <c r="L982" s="347"/>
      <c r="M982" s="347"/>
      <c r="N982" s="347"/>
      <c r="O982" s="347"/>
      <c r="P982" s="347"/>
      <c r="Q982" s="347"/>
      <c r="R982" s="347"/>
      <c r="S982" s="347"/>
      <c r="T982" s="347"/>
      <c r="U982" s="347"/>
      <c r="V982" s="347"/>
      <c r="W982" s="347"/>
      <c r="X982" s="347"/>
      <c r="Y982" s="347"/>
      <c r="Z982" s="347"/>
      <c r="AA982" s="347"/>
      <c r="AB982" s="347"/>
      <c r="AC982" s="347"/>
      <c r="AD982" s="347"/>
      <c r="AE982" s="347"/>
      <c r="AF982" s="347"/>
    </row>
    <row r="983" spans="1:32" s="411" customFormat="1" ht="30" x14ac:dyDescent="0.25">
      <c r="A983" s="605">
        <v>953</v>
      </c>
      <c r="B983" s="775" t="s">
        <v>2972</v>
      </c>
      <c r="C983" s="863"/>
      <c r="D983" s="856"/>
      <c r="E983" s="856"/>
      <c r="F983" s="856"/>
      <c r="G983" s="856"/>
      <c r="H983" s="1063"/>
      <c r="I983" s="347"/>
      <c r="J983" s="347"/>
      <c r="K983" s="347"/>
      <c r="L983" s="347"/>
      <c r="M983" s="347"/>
      <c r="N983" s="347"/>
      <c r="O983" s="347"/>
      <c r="P983" s="347"/>
      <c r="Q983" s="347"/>
      <c r="R983" s="347"/>
      <c r="S983" s="347"/>
      <c r="T983" s="347"/>
      <c r="U983" s="347"/>
      <c r="V983" s="347"/>
      <c r="W983" s="347"/>
      <c r="X983" s="347"/>
      <c r="Y983" s="347"/>
      <c r="Z983" s="347"/>
      <c r="AA983" s="347"/>
      <c r="AB983" s="347"/>
      <c r="AC983" s="347"/>
      <c r="AD983" s="347"/>
      <c r="AE983" s="347"/>
      <c r="AF983" s="347"/>
    </row>
    <row r="984" spans="1:32" s="411" customFormat="1" ht="15" x14ac:dyDescent="0.25">
      <c r="A984" s="605">
        <v>954</v>
      </c>
      <c r="B984" s="775" t="s">
        <v>2971</v>
      </c>
      <c r="C984" s="863"/>
      <c r="D984" s="856"/>
      <c r="E984" s="856"/>
      <c r="F984" s="856"/>
      <c r="G984" s="856"/>
      <c r="H984" s="1063"/>
      <c r="I984" s="347"/>
      <c r="J984" s="347"/>
      <c r="K984" s="347"/>
      <c r="L984" s="347"/>
      <c r="M984" s="347"/>
      <c r="N984" s="347"/>
      <c r="O984" s="347"/>
      <c r="P984" s="347"/>
      <c r="Q984" s="347"/>
      <c r="R984" s="347"/>
      <c r="S984" s="347"/>
      <c r="T984" s="347"/>
      <c r="U984" s="347"/>
      <c r="V984" s="347"/>
      <c r="W984" s="347"/>
      <c r="X984" s="347"/>
      <c r="Y984" s="347"/>
      <c r="Z984" s="347"/>
      <c r="AA984" s="347"/>
      <c r="AB984" s="347"/>
      <c r="AC984" s="347"/>
      <c r="AD984" s="347"/>
      <c r="AE984" s="347"/>
      <c r="AF984" s="347"/>
    </row>
    <row r="985" spans="1:32" s="411" customFormat="1" ht="30" x14ac:dyDescent="0.25">
      <c r="A985" s="605">
        <v>955</v>
      </c>
      <c r="B985" s="775" t="s">
        <v>2970</v>
      </c>
      <c r="C985" s="863"/>
      <c r="D985" s="856"/>
      <c r="E985" s="856"/>
      <c r="F985" s="856"/>
      <c r="G985" s="856"/>
      <c r="H985" s="1063"/>
      <c r="I985" s="347"/>
      <c r="J985" s="347"/>
      <c r="K985" s="347"/>
      <c r="L985" s="347"/>
      <c r="M985" s="347"/>
      <c r="N985" s="347"/>
      <c r="O985" s="347"/>
      <c r="P985" s="347"/>
      <c r="Q985" s="347"/>
      <c r="R985" s="347"/>
      <c r="S985" s="347"/>
      <c r="T985" s="347"/>
      <c r="U985" s="347"/>
      <c r="V985" s="347"/>
      <c r="W985" s="347"/>
      <c r="X985" s="347"/>
      <c r="Y985" s="347"/>
      <c r="Z985" s="347"/>
      <c r="AA985" s="347"/>
      <c r="AB985" s="347"/>
      <c r="AC985" s="347"/>
      <c r="AD985" s="347"/>
      <c r="AE985" s="347"/>
      <c r="AF985" s="347"/>
    </row>
    <row r="986" spans="1:32" s="411" customFormat="1" ht="45" x14ac:dyDescent="0.25">
      <c r="A986" s="605">
        <v>956</v>
      </c>
      <c r="B986" s="775" t="s">
        <v>2969</v>
      </c>
      <c r="C986" s="863"/>
      <c r="D986" s="856"/>
      <c r="E986" s="856"/>
      <c r="F986" s="856"/>
      <c r="G986" s="856"/>
      <c r="H986" s="1063"/>
      <c r="I986" s="347"/>
      <c r="J986" s="347"/>
      <c r="K986" s="347"/>
      <c r="L986" s="347"/>
      <c r="M986" s="347"/>
      <c r="N986" s="347"/>
      <c r="O986" s="347"/>
      <c r="P986" s="347"/>
      <c r="Q986" s="347"/>
      <c r="R986" s="347"/>
      <c r="S986" s="347"/>
      <c r="T986" s="347"/>
      <c r="U986" s="347"/>
      <c r="V986" s="347"/>
      <c r="W986" s="347"/>
      <c r="X986" s="347"/>
      <c r="Y986" s="347"/>
      <c r="Z986" s="347"/>
      <c r="AA986" s="347"/>
      <c r="AB986" s="347"/>
      <c r="AC986" s="347"/>
      <c r="AD986" s="347"/>
      <c r="AE986" s="347"/>
      <c r="AF986" s="347"/>
    </row>
    <row r="987" spans="1:32" ht="15" x14ac:dyDescent="0.2">
      <c r="A987" s="605">
        <v>957</v>
      </c>
      <c r="B987" s="777" t="s">
        <v>2968</v>
      </c>
      <c r="C987" s="777"/>
      <c r="D987" s="777"/>
      <c r="E987" s="777"/>
      <c r="F987" s="777"/>
      <c r="G987" s="777"/>
      <c r="H987" s="1030"/>
      <c r="AF987" s="347"/>
    </row>
    <row r="988" spans="1:32" ht="30" x14ac:dyDescent="0.25">
      <c r="A988" s="605">
        <v>958</v>
      </c>
      <c r="B988" s="635" t="s">
        <v>2967</v>
      </c>
      <c r="C988" s="875"/>
      <c r="D988" s="859"/>
      <c r="E988" s="859"/>
      <c r="F988" s="859"/>
      <c r="G988" s="859"/>
      <c r="H988" s="1034"/>
      <c r="AF988" s="347"/>
    </row>
    <row r="989" spans="1:32" ht="15" x14ac:dyDescent="0.25">
      <c r="A989" s="605">
        <v>959</v>
      </c>
      <c r="B989" s="860" t="s">
        <v>2966</v>
      </c>
      <c r="C989" s="863"/>
      <c r="D989" s="856"/>
      <c r="E989" s="856"/>
      <c r="F989" s="856"/>
      <c r="G989" s="856"/>
      <c r="H989" s="1063"/>
      <c r="AF989" s="347"/>
    </row>
    <row r="990" spans="1:32" ht="15" x14ac:dyDescent="0.25">
      <c r="A990" s="605">
        <v>960</v>
      </c>
      <c r="B990" s="860" t="s">
        <v>2965</v>
      </c>
      <c r="C990" s="863"/>
      <c r="D990" s="856"/>
      <c r="E990" s="856"/>
      <c r="F990" s="856"/>
      <c r="G990" s="856"/>
      <c r="H990" s="1063"/>
      <c r="AF990" s="347"/>
    </row>
    <row r="991" spans="1:32" ht="15" x14ac:dyDescent="0.25">
      <c r="A991" s="605">
        <v>961</v>
      </c>
      <c r="B991" s="860" t="s">
        <v>2964</v>
      </c>
      <c r="C991" s="863"/>
      <c r="D991" s="856"/>
      <c r="E991" s="856"/>
      <c r="F991" s="856"/>
      <c r="G991" s="856"/>
      <c r="H991" s="1063"/>
      <c r="AF991" s="347"/>
    </row>
    <row r="992" spans="1:32" ht="15" x14ac:dyDescent="0.25">
      <c r="A992" s="605">
        <v>962</v>
      </c>
      <c r="B992" s="860" t="s">
        <v>2963</v>
      </c>
      <c r="C992" s="863"/>
      <c r="D992" s="856"/>
      <c r="E992" s="856"/>
      <c r="F992" s="856"/>
      <c r="G992" s="856"/>
      <c r="H992" s="1063"/>
      <c r="AF992" s="347"/>
    </row>
    <row r="993" spans="1:32" ht="30" x14ac:dyDescent="0.25">
      <c r="A993" s="605">
        <v>963</v>
      </c>
      <c r="B993" s="639" t="s">
        <v>2962</v>
      </c>
      <c r="C993" s="863"/>
      <c r="D993" s="856"/>
      <c r="E993" s="856"/>
      <c r="F993" s="856"/>
      <c r="G993" s="856"/>
      <c r="H993" s="1063"/>
      <c r="AF993" s="347"/>
    </row>
    <row r="994" spans="1:32" s="411" customFormat="1" ht="30" x14ac:dyDescent="0.25">
      <c r="A994" s="605">
        <v>964</v>
      </c>
      <c r="B994" s="639" t="s">
        <v>2961</v>
      </c>
      <c r="C994" s="863"/>
      <c r="D994" s="856"/>
      <c r="E994" s="856"/>
      <c r="F994" s="856"/>
      <c r="G994" s="856"/>
      <c r="H994" s="1063"/>
      <c r="I994" s="347"/>
      <c r="J994" s="347"/>
      <c r="K994" s="347"/>
      <c r="L994" s="347"/>
      <c r="M994" s="347"/>
      <c r="N994" s="347"/>
      <c r="O994" s="347"/>
      <c r="P994" s="347"/>
      <c r="Q994" s="347"/>
      <c r="R994" s="347"/>
      <c r="S994" s="347"/>
      <c r="T994" s="347"/>
      <c r="U994" s="347"/>
      <c r="V994" s="347"/>
      <c r="W994" s="347"/>
      <c r="X994" s="347"/>
      <c r="Y994" s="347"/>
      <c r="Z994" s="347"/>
      <c r="AA994" s="347"/>
      <c r="AB994" s="347"/>
      <c r="AC994" s="347"/>
      <c r="AD994" s="347"/>
      <c r="AE994" s="347"/>
      <c r="AF994" s="347"/>
    </row>
    <row r="995" spans="1:32" s="598" customFormat="1" ht="45" x14ac:dyDescent="0.25">
      <c r="A995" s="605">
        <v>965</v>
      </c>
      <c r="B995" s="636" t="s">
        <v>2960</v>
      </c>
      <c r="C995" s="864"/>
      <c r="D995" s="857"/>
      <c r="E995" s="857"/>
      <c r="F995" s="857"/>
      <c r="G995" s="857"/>
      <c r="H995" s="1034"/>
    </row>
    <row r="996" spans="1:32" s="598" customFormat="1" ht="15" x14ac:dyDescent="0.25">
      <c r="A996" s="605">
        <v>966</v>
      </c>
      <c r="B996" s="636" t="s">
        <v>2959</v>
      </c>
      <c r="C996" s="864"/>
      <c r="D996" s="857"/>
      <c r="E996" s="857"/>
      <c r="F996" s="857"/>
      <c r="G996" s="857"/>
      <c r="H996" s="1034"/>
    </row>
    <row r="997" spans="1:32" s="598" customFormat="1" ht="30" x14ac:dyDescent="0.25">
      <c r="A997" s="605">
        <v>967</v>
      </c>
      <c r="B997" s="636" t="s">
        <v>2958</v>
      </c>
      <c r="C997" s="864"/>
      <c r="D997" s="857"/>
      <c r="E997" s="857"/>
      <c r="F997" s="857"/>
      <c r="G997" s="857"/>
      <c r="H997" s="1034"/>
    </row>
    <row r="998" spans="1:32" s="598" customFormat="1" ht="30" x14ac:dyDescent="0.25">
      <c r="A998" s="605">
        <v>968</v>
      </c>
      <c r="B998" s="636" t="s">
        <v>2957</v>
      </c>
      <c r="C998" s="864"/>
      <c r="D998" s="857"/>
      <c r="E998" s="857"/>
      <c r="F998" s="857"/>
      <c r="G998" s="857"/>
      <c r="H998" s="1034"/>
    </row>
    <row r="999" spans="1:32" ht="30" x14ac:dyDescent="0.25">
      <c r="A999" s="605">
        <v>969</v>
      </c>
      <c r="B999" s="865" t="s">
        <v>2956</v>
      </c>
      <c r="C999" s="863"/>
      <c r="D999" s="856"/>
      <c r="E999" s="856"/>
      <c r="F999" s="856"/>
      <c r="G999" s="856"/>
      <c r="H999" s="1063"/>
      <c r="AF999" s="347"/>
    </row>
    <row r="1000" spans="1:32" ht="30" x14ac:dyDescent="0.25">
      <c r="A1000" s="605">
        <v>970</v>
      </c>
      <c r="B1000" s="876" t="s">
        <v>2955</v>
      </c>
      <c r="C1000" s="863"/>
      <c r="D1000" s="856"/>
      <c r="E1000" s="856"/>
      <c r="F1000" s="856"/>
      <c r="G1000" s="856"/>
      <c r="H1000" s="1063"/>
      <c r="AF1000" s="347"/>
    </row>
    <row r="1001" spans="1:32" ht="30" x14ac:dyDescent="0.25">
      <c r="A1001" s="605">
        <v>971</v>
      </c>
      <c r="B1001" s="876" t="s">
        <v>2954</v>
      </c>
      <c r="C1001" s="875"/>
      <c r="D1001" s="859"/>
      <c r="E1001" s="859"/>
      <c r="F1001" s="859"/>
      <c r="G1001" s="859"/>
      <c r="H1001" s="1063"/>
      <c r="AF1001" s="347"/>
    </row>
    <row r="1002" spans="1:32" ht="15" x14ac:dyDescent="0.25">
      <c r="A1002" s="605">
        <v>972</v>
      </c>
      <c r="B1002" s="873" t="s">
        <v>2953</v>
      </c>
      <c r="C1002" s="863"/>
      <c r="D1002" s="856"/>
      <c r="E1002" s="856"/>
      <c r="F1002" s="856"/>
      <c r="G1002" s="856"/>
      <c r="H1002" s="1063"/>
      <c r="AF1002" s="347"/>
    </row>
    <row r="1003" spans="1:32" ht="15" x14ac:dyDescent="0.25">
      <c r="A1003" s="605">
        <v>973</v>
      </c>
      <c r="B1003" s="873" t="s">
        <v>2952</v>
      </c>
      <c r="C1003" s="863"/>
      <c r="D1003" s="856"/>
      <c r="E1003" s="856"/>
      <c r="F1003" s="856"/>
      <c r="G1003" s="856"/>
      <c r="H1003" s="1063"/>
      <c r="AF1003" s="347"/>
    </row>
    <row r="1004" spans="1:32" ht="30" x14ac:dyDescent="0.25">
      <c r="A1004" s="605">
        <v>974</v>
      </c>
      <c r="B1004" s="877" t="s">
        <v>2951</v>
      </c>
      <c r="C1004" s="864"/>
      <c r="D1004" s="857"/>
      <c r="E1004" s="857"/>
      <c r="F1004" s="857"/>
      <c r="G1004" s="857"/>
      <c r="H1004" s="1034"/>
      <c r="AF1004" s="347"/>
    </row>
    <row r="1005" spans="1:32" ht="30" x14ac:dyDescent="0.25">
      <c r="A1005" s="605">
        <v>975</v>
      </c>
      <c r="B1005" s="876" t="s">
        <v>2950</v>
      </c>
      <c r="C1005" s="870"/>
      <c r="D1005" s="869"/>
      <c r="E1005" s="869"/>
      <c r="F1005" s="869"/>
      <c r="G1005" s="869"/>
      <c r="H1005" s="1063"/>
      <c r="AF1005" s="347"/>
    </row>
    <row r="1006" spans="1:32" s="411" customFormat="1" ht="15" x14ac:dyDescent="0.25">
      <c r="A1006" s="605">
        <v>976</v>
      </c>
      <c r="B1006" s="873" t="s">
        <v>2949</v>
      </c>
      <c r="C1006" s="863"/>
      <c r="D1006" s="856"/>
      <c r="E1006" s="856"/>
      <c r="F1006" s="856"/>
      <c r="G1006" s="856"/>
      <c r="H1006" s="1102"/>
      <c r="I1006" s="347"/>
      <c r="J1006" s="347"/>
      <c r="K1006" s="347"/>
      <c r="L1006" s="347"/>
      <c r="M1006" s="347"/>
      <c r="N1006" s="347"/>
      <c r="O1006" s="347"/>
      <c r="P1006" s="347"/>
      <c r="Q1006" s="347"/>
      <c r="R1006" s="347"/>
      <c r="S1006" s="347"/>
      <c r="T1006" s="347"/>
      <c r="U1006" s="347"/>
      <c r="V1006" s="347"/>
      <c r="W1006" s="347"/>
      <c r="X1006" s="347"/>
      <c r="Y1006" s="347"/>
      <c r="Z1006" s="347"/>
      <c r="AA1006" s="347"/>
      <c r="AB1006" s="347"/>
      <c r="AC1006" s="347"/>
      <c r="AD1006" s="347"/>
      <c r="AE1006" s="347"/>
      <c r="AF1006" s="347"/>
    </row>
    <row r="1007" spans="1:32" ht="15" x14ac:dyDescent="0.25">
      <c r="A1007" s="605">
        <v>977</v>
      </c>
      <c r="B1007" s="873" t="s">
        <v>2871</v>
      </c>
      <c r="C1007" s="863"/>
      <c r="D1007" s="856"/>
      <c r="E1007" s="856"/>
      <c r="F1007" s="856"/>
      <c r="G1007" s="856"/>
      <c r="H1007" s="1063"/>
      <c r="AF1007" s="347"/>
    </row>
    <row r="1008" spans="1:32" ht="15" x14ac:dyDescent="0.25">
      <c r="A1008" s="605">
        <v>978</v>
      </c>
      <c r="B1008" s="874" t="s">
        <v>2948</v>
      </c>
      <c r="C1008" s="864"/>
      <c r="D1008" s="857"/>
      <c r="E1008" s="857"/>
      <c r="F1008" s="857"/>
      <c r="G1008" s="857"/>
      <c r="H1008" s="1034"/>
      <c r="AF1008" s="347"/>
    </row>
    <row r="1009" spans="1:32" ht="15" x14ac:dyDescent="0.25">
      <c r="A1009" s="605">
        <v>979</v>
      </c>
      <c r="B1009" s="874" t="s">
        <v>2947</v>
      </c>
      <c r="C1009" s="864"/>
      <c r="D1009" s="857"/>
      <c r="E1009" s="857"/>
      <c r="F1009" s="857"/>
      <c r="G1009" s="857"/>
      <c r="H1009" s="1034"/>
      <c r="AF1009" s="347"/>
    </row>
    <row r="1010" spans="1:32" ht="15" x14ac:dyDescent="0.25">
      <c r="A1010" s="605">
        <v>980</v>
      </c>
      <c r="B1010" s="873" t="s">
        <v>2886</v>
      </c>
      <c r="C1010" s="863"/>
      <c r="D1010" s="856"/>
      <c r="E1010" s="856"/>
      <c r="F1010" s="856"/>
      <c r="G1010" s="856"/>
      <c r="H1010" s="1063"/>
      <c r="AF1010" s="347"/>
    </row>
    <row r="1011" spans="1:32" s="598" customFormat="1" ht="15" x14ac:dyDescent="0.25">
      <c r="A1011" s="605">
        <v>981</v>
      </c>
      <c r="B1011" s="874" t="s">
        <v>2946</v>
      </c>
      <c r="C1011" s="864"/>
      <c r="D1011" s="857"/>
      <c r="E1011" s="857"/>
      <c r="F1011" s="857"/>
      <c r="G1011" s="857"/>
      <c r="H1011" s="1034"/>
    </row>
    <row r="1012" spans="1:32" s="598" customFormat="1" ht="15" x14ac:dyDescent="0.25">
      <c r="A1012" s="605">
        <v>982</v>
      </c>
      <c r="B1012" s="874" t="s">
        <v>2945</v>
      </c>
      <c r="C1012" s="864"/>
      <c r="D1012" s="857"/>
      <c r="E1012" s="857"/>
      <c r="F1012" s="857"/>
      <c r="G1012" s="857"/>
      <c r="H1012" s="1034"/>
    </row>
    <row r="1013" spans="1:32" s="598" customFormat="1" ht="15" x14ac:dyDescent="0.25">
      <c r="A1013" s="605">
        <v>983</v>
      </c>
      <c r="B1013" s="874" t="s">
        <v>2944</v>
      </c>
      <c r="C1013" s="857"/>
      <c r="D1013" s="857"/>
      <c r="E1013" s="857"/>
      <c r="F1013" s="857"/>
      <c r="G1013" s="857"/>
      <c r="H1013" s="1034"/>
    </row>
    <row r="1014" spans="1:32" s="598" customFormat="1" ht="15" x14ac:dyDescent="0.25">
      <c r="A1014" s="605">
        <v>984</v>
      </c>
      <c r="B1014" s="874" t="s">
        <v>2943</v>
      </c>
      <c r="C1014" s="857"/>
      <c r="D1014" s="857"/>
      <c r="E1014" s="857"/>
      <c r="F1014" s="857"/>
      <c r="G1014" s="857"/>
      <c r="H1014" s="1034"/>
    </row>
    <row r="1015" spans="1:32" s="598" customFormat="1" ht="15" x14ac:dyDescent="0.25">
      <c r="A1015" s="605">
        <v>985</v>
      </c>
      <c r="B1015" s="874" t="s">
        <v>2929</v>
      </c>
      <c r="C1015" s="864"/>
      <c r="D1015" s="857"/>
      <c r="E1015" s="857"/>
      <c r="F1015" s="857"/>
      <c r="G1015" s="857"/>
      <c r="H1015" s="1034"/>
    </row>
    <row r="1016" spans="1:32" s="598" customFormat="1" ht="15" x14ac:dyDescent="0.25">
      <c r="A1016" s="605">
        <v>986</v>
      </c>
      <c r="B1016" s="874" t="s">
        <v>2879</v>
      </c>
      <c r="C1016" s="864"/>
      <c r="D1016" s="857"/>
      <c r="E1016" s="857"/>
      <c r="F1016" s="857"/>
      <c r="G1016" s="857"/>
      <c r="H1016" s="1034"/>
    </row>
    <row r="1017" spans="1:32" s="598" customFormat="1" ht="15" x14ac:dyDescent="0.25">
      <c r="A1017" s="605">
        <v>987</v>
      </c>
      <c r="B1017" s="874" t="s">
        <v>2942</v>
      </c>
      <c r="C1017" s="864"/>
      <c r="D1017" s="857"/>
      <c r="E1017" s="857"/>
      <c r="F1017" s="857"/>
      <c r="G1017" s="857"/>
      <c r="H1017" s="1034"/>
    </row>
    <row r="1018" spans="1:32" ht="15" x14ac:dyDescent="0.2">
      <c r="A1018" s="605">
        <v>988</v>
      </c>
      <c r="B1018" s="851" t="s">
        <v>2941</v>
      </c>
      <c r="C1018" s="777"/>
      <c r="D1018" s="777"/>
      <c r="E1018" s="777"/>
      <c r="F1018" s="777"/>
      <c r="G1018" s="777"/>
      <c r="H1018" s="1030"/>
      <c r="AF1018" s="347"/>
    </row>
    <row r="1019" spans="1:32" ht="30" x14ac:dyDescent="0.25">
      <c r="A1019" s="605">
        <v>989</v>
      </c>
      <c r="B1019" s="636" t="s">
        <v>2940</v>
      </c>
      <c r="C1019" s="875"/>
      <c r="D1019" s="859"/>
      <c r="E1019" s="859"/>
      <c r="F1019" s="859"/>
      <c r="G1019" s="859"/>
      <c r="H1019" s="1034"/>
      <c r="AF1019" s="347"/>
    </row>
    <row r="1020" spans="1:32" ht="15" x14ac:dyDescent="0.25">
      <c r="A1020" s="605">
        <v>990</v>
      </c>
      <c r="B1020" s="874" t="s">
        <v>2939</v>
      </c>
      <c r="C1020" s="864"/>
      <c r="D1020" s="857"/>
      <c r="E1020" s="857"/>
      <c r="F1020" s="857"/>
      <c r="G1020" s="857"/>
      <c r="H1020" s="1034"/>
      <c r="AF1020" s="347"/>
    </row>
    <row r="1021" spans="1:32" ht="15" x14ac:dyDescent="0.25">
      <c r="A1021" s="605">
        <v>991</v>
      </c>
      <c r="B1021" s="874" t="s">
        <v>2938</v>
      </c>
      <c r="C1021" s="864"/>
      <c r="D1021" s="857"/>
      <c r="E1021" s="857"/>
      <c r="F1021" s="857"/>
      <c r="G1021" s="857"/>
      <c r="H1021" s="1034"/>
      <c r="AF1021" s="347"/>
    </row>
    <row r="1022" spans="1:32" ht="15" x14ac:dyDescent="0.25">
      <c r="A1022" s="605">
        <v>992</v>
      </c>
      <c r="B1022" s="873" t="s">
        <v>2937</v>
      </c>
      <c r="C1022" s="863"/>
      <c r="D1022" s="856"/>
      <c r="E1022" s="856"/>
      <c r="F1022" s="856"/>
      <c r="G1022" s="856"/>
      <c r="H1022" s="1063"/>
      <c r="AF1022" s="347"/>
    </row>
    <row r="1023" spans="1:32" ht="15" x14ac:dyDescent="0.25">
      <c r="A1023" s="605">
        <v>993</v>
      </c>
      <c r="B1023" s="873" t="s">
        <v>2936</v>
      </c>
      <c r="C1023" s="863"/>
      <c r="D1023" s="856"/>
      <c r="E1023" s="856"/>
      <c r="F1023" s="856"/>
      <c r="G1023" s="856"/>
      <c r="H1023" s="1063"/>
      <c r="AF1023" s="347"/>
    </row>
    <row r="1024" spans="1:32" ht="15" x14ac:dyDescent="0.25">
      <c r="A1024" s="605">
        <v>994</v>
      </c>
      <c r="B1024" s="873" t="s">
        <v>2935</v>
      </c>
      <c r="C1024" s="863"/>
      <c r="D1024" s="856"/>
      <c r="E1024" s="856"/>
      <c r="F1024" s="856"/>
      <c r="G1024" s="856"/>
      <c r="H1024" s="1063"/>
      <c r="AF1024" s="347"/>
    </row>
    <row r="1025" spans="1:32" ht="15" x14ac:dyDescent="0.25">
      <c r="A1025" s="605">
        <v>995</v>
      </c>
      <c r="B1025" s="873" t="s">
        <v>2934</v>
      </c>
      <c r="C1025" s="863"/>
      <c r="D1025" s="856"/>
      <c r="E1025" s="856"/>
      <c r="F1025" s="856"/>
      <c r="G1025" s="856"/>
      <c r="H1025" s="1063"/>
      <c r="AF1025" s="347"/>
    </row>
    <row r="1026" spans="1:32" ht="15" x14ac:dyDescent="0.25">
      <c r="A1026" s="605">
        <v>996</v>
      </c>
      <c r="B1026" s="873" t="s">
        <v>2933</v>
      </c>
      <c r="C1026" s="863"/>
      <c r="D1026" s="856"/>
      <c r="E1026" s="856"/>
      <c r="F1026" s="856"/>
      <c r="G1026" s="856"/>
      <c r="H1026" s="1063"/>
      <c r="AF1026" s="347"/>
    </row>
    <row r="1027" spans="1:32" ht="15" x14ac:dyDescent="0.25">
      <c r="A1027" s="605">
        <v>997</v>
      </c>
      <c r="B1027" s="873" t="s">
        <v>2932</v>
      </c>
      <c r="C1027" s="863"/>
      <c r="D1027" s="856"/>
      <c r="E1027" s="856"/>
      <c r="F1027" s="856"/>
      <c r="G1027" s="856"/>
      <c r="H1027" s="1063"/>
      <c r="AF1027" s="347"/>
    </row>
    <row r="1028" spans="1:32" ht="15" x14ac:dyDescent="0.25">
      <c r="A1028" s="605">
        <v>998</v>
      </c>
      <c r="B1028" s="873" t="s">
        <v>2931</v>
      </c>
      <c r="C1028" s="863"/>
      <c r="D1028" s="856"/>
      <c r="E1028" s="856"/>
      <c r="F1028" s="856"/>
      <c r="G1028" s="856"/>
      <c r="H1028" s="1063"/>
      <c r="AF1028" s="347"/>
    </row>
    <row r="1029" spans="1:32" ht="15" x14ac:dyDescent="0.25">
      <c r="A1029" s="605">
        <v>999</v>
      </c>
      <c r="B1029" s="873" t="s">
        <v>2930</v>
      </c>
      <c r="C1029" s="863"/>
      <c r="D1029" s="856"/>
      <c r="E1029" s="856"/>
      <c r="F1029" s="856"/>
      <c r="G1029" s="856"/>
      <c r="H1029" s="1063"/>
      <c r="AF1029" s="347"/>
    </row>
    <row r="1030" spans="1:32" ht="15" x14ac:dyDescent="0.25">
      <c r="A1030" s="605">
        <v>1000</v>
      </c>
      <c r="B1030" s="873" t="s">
        <v>2929</v>
      </c>
      <c r="C1030" s="856"/>
      <c r="D1030" s="856"/>
      <c r="E1030" s="856"/>
      <c r="F1030" s="856"/>
      <c r="G1030" s="856"/>
      <c r="H1030" s="1063"/>
      <c r="AF1030" s="347"/>
    </row>
    <row r="1031" spans="1:32" ht="15" x14ac:dyDescent="0.25">
      <c r="A1031" s="605">
        <v>1001</v>
      </c>
      <c r="B1031" s="872" t="s">
        <v>2879</v>
      </c>
      <c r="C1031" s="863"/>
      <c r="D1031" s="856"/>
      <c r="E1031" s="856"/>
      <c r="F1031" s="856"/>
      <c r="G1031" s="856"/>
      <c r="H1031" s="1063"/>
      <c r="AF1031" s="347"/>
    </row>
    <row r="1032" spans="1:32" ht="15" x14ac:dyDescent="0.25">
      <c r="A1032" s="605">
        <v>1002</v>
      </c>
      <c r="B1032" s="872" t="s">
        <v>2928</v>
      </c>
      <c r="C1032" s="863"/>
      <c r="D1032" s="856"/>
      <c r="E1032" s="856"/>
      <c r="F1032" s="856"/>
      <c r="G1032" s="856"/>
      <c r="H1032" s="1063"/>
      <c r="AF1032" s="347"/>
    </row>
    <row r="1033" spans="1:32" s="598" customFormat="1" ht="15" x14ac:dyDescent="0.25">
      <c r="A1033" s="605">
        <v>1003</v>
      </c>
      <c r="B1033" s="987" t="s">
        <v>2927</v>
      </c>
      <c r="C1033" s="864"/>
      <c r="D1033" s="857"/>
      <c r="E1033" s="857"/>
      <c r="F1033" s="857"/>
      <c r="G1033" s="857"/>
      <c r="H1033" s="1034"/>
    </row>
    <row r="1034" spans="1:32" s="598" customFormat="1" ht="15" x14ac:dyDescent="0.25">
      <c r="A1034" s="605">
        <v>1004</v>
      </c>
      <c r="B1034" s="987" t="s">
        <v>2926</v>
      </c>
      <c r="C1034" s="864"/>
      <c r="D1034" s="857"/>
      <c r="E1034" s="857"/>
      <c r="F1034" s="857"/>
      <c r="G1034" s="857"/>
      <c r="H1034" s="1034"/>
    </row>
    <row r="1035" spans="1:32" ht="30" x14ac:dyDescent="0.25">
      <c r="A1035" s="605">
        <v>1005</v>
      </c>
      <c r="B1035" s="868" t="s">
        <v>2925</v>
      </c>
      <c r="C1035" s="864"/>
      <c r="D1035" s="857"/>
      <c r="E1035" s="857"/>
      <c r="F1035" s="857"/>
      <c r="G1035" s="857"/>
      <c r="H1035" s="1034"/>
      <c r="AF1035" s="347"/>
    </row>
    <row r="1036" spans="1:32" ht="30" x14ac:dyDescent="0.25">
      <c r="A1036" s="605">
        <v>1006</v>
      </c>
      <c r="B1036" s="868" t="s">
        <v>2924</v>
      </c>
      <c r="C1036" s="864"/>
      <c r="D1036" s="857"/>
      <c r="E1036" s="857"/>
      <c r="F1036" s="857"/>
      <c r="G1036" s="857"/>
      <c r="H1036" s="1034"/>
      <c r="AF1036" s="347"/>
    </row>
    <row r="1037" spans="1:32" s="411" customFormat="1" ht="15" x14ac:dyDescent="0.2">
      <c r="A1037" s="605">
        <v>1007</v>
      </c>
      <c r="B1037" s="659" t="s">
        <v>2923</v>
      </c>
      <c r="C1037" s="843"/>
      <c r="D1037" s="843"/>
      <c r="E1037" s="843"/>
      <c r="F1037" s="843"/>
      <c r="G1037" s="843"/>
      <c r="H1037" s="1103"/>
      <c r="I1037" s="347"/>
      <c r="J1037" s="347"/>
      <c r="K1037" s="347"/>
      <c r="L1037" s="347"/>
      <c r="M1037" s="347"/>
      <c r="N1037" s="347"/>
      <c r="O1037" s="347"/>
      <c r="P1037" s="347"/>
      <c r="Q1037" s="347"/>
      <c r="R1037" s="347"/>
      <c r="S1037" s="347"/>
      <c r="T1037" s="347"/>
      <c r="U1037" s="347"/>
      <c r="V1037" s="347"/>
      <c r="W1037" s="347"/>
      <c r="X1037" s="347"/>
      <c r="Y1037" s="347"/>
      <c r="Z1037" s="347"/>
      <c r="AA1037" s="347"/>
      <c r="AB1037" s="347"/>
      <c r="AC1037" s="347"/>
      <c r="AD1037" s="347"/>
      <c r="AE1037" s="347"/>
      <c r="AF1037" s="347"/>
    </row>
    <row r="1038" spans="1:32" s="411" customFormat="1" ht="30" x14ac:dyDescent="0.2">
      <c r="A1038" s="605">
        <v>1008</v>
      </c>
      <c r="B1038" s="734" t="s">
        <v>2922</v>
      </c>
      <c r="C1038" s="534"/>
      <c r="D1038" s="534"/>
      <c r="E1038" s="534"/>
      <c r="F1038" s="534"/>
      <c r="G1038" s="534"/>
      <c r="H1038" s="1103"/>
      <c r="I1038" s="347"/>
      <c r="J1038" s="347"/>
      <c r="K1038" s="347"/>
      <c r="L1038" s="347"/>
      <c r="M1038" s="347"/>
      <c r="N1038" s="347"/>
      <c r="O1038" s="347"/>
      <c r="P1038" s="347"/>
      <c r="Q1038" s="347"/>
      <c r="R1038" s="347"/>
      <c r="S1038" s="347"/>
      <c r="T1038" s="347"/>
      <c r="U1038" s="347"/>
      <c r="V1038" s="347"/>
      <c r="W1038" s="347"/>
      <c r="X1038" s="347"/>
      <c r="Y1038" s="347"/>
      <c r="Z1038" s="347"/>
      <c r="AA1038" s="347"/>
      <c r="AB1038" s="347"/>
      <c r="AC1038" s="347"/>
      <c r="AD1038" s="347"/>
      <c r="AE1038" s="347"/>
      <c r="AF1038" s="347"/>
    </row>
    <row r="1039" spans="1:32" s="411" customFormat="1" ht="45" x14ac:dyDescent="0.2">
      <c r="A1039" s="605">
        <v>1009</v>
      </c>
      <c r="B1039" s="734" t="s">
        <v>2921</v>
      </c>
      <c r="C1039" s="534"/>
      <c r="D1039" s="534"/>
      <c r="E1039" s="534"/>
      <c r="F1039" s="534"/>
      <c r="G1039" s="534"/>
      <c r="H1039" s="1103"/>
      <c r="I1039" s="347"/>
      <c r="J1039" s="347"/>
      <c r="K1039" s="347"/>
      <c r="L1039" s="347"/>
      <c r="M1039" s="347"/>
      <c r="N1039" s="347"/>
      <c r="O1039" s="347"/>
      <c r="P1039" s="347"/>
      <c r="Q1039" s="347"/>
      <c r="R1039" s="347"/>
      <c r="S1039" s="347"/>
      <c r="T1039" s="347"/>
      <c r="U1039" s="347"/>
      <c r="V1039" s="347"/>
      <c r="W1039" s="347"/>
      <c r="X1039" s="347"/>
      <c r="Y1039" s="347"/>
      <c r="Z1039" s="347"/>
      <c r="AA1039" s="347"/>
      <c r="AB1039" s="347"/>
      <c r="AC1039" s="347"/>
      <c r="AD1039" s="347"/>
      <c r="AE1039" s="347"/>
      <c r="AF1039" s="347"/>
    </row>
    <row r="1040" spans="1:32" s="411" customFormat="1" ht="30" x14ac:dyDescent="0.2">
      <c r="A1040" s="605">
        <v>1010</v>
      </c>
      <c r="B1040" s="734" t="s">
        <v>2920</v>
      </c>
      <c r="C1040" s="534"/>
      <c r="D1040" s="534"/>
      <c r="E1040" s="534"/>
      <c r="F1040" s="534"/>
      <c r="G1040" s="534"/>
      <c r="H1040" s="1103"/>
      <c r="I1040" s="347"/>
      <c r="J1040" s="347"/>
      <c r="K1040" s="347"/>
      <c r="L1040" s="347"/>
      <c r="M1040" s="347"/>
      <c r="N1040" s="347"/>
      <c r="O1040" s="347"/>
      <c r="P1040" s="347"/>
      <c r="Q1040" s="347"/>
      <c r="R1040" s="347"/>
      <c r="S1040" s="347"/>
      <c r="T1040" s="347"/>
      <c r="U1040" s="347"/>
      <c r="V1040" s="347"/>
      <c r="W1040" s="347"/>
      <c r="X1040" s="347"/>
      <c r="Y1040" s="347"/>
      <c r="Z1040" s="347"/>
      <c r="AA1040" s="347"/>
      <c r="AB1040" s="347"/>
      <c r="AC1040" s="347"/>
      <c r="AD1040" s="347"/>
      <c r="AE1040" s="347"/>
      <c r="AF1040" s="347"/>
    </row>
    <row r="1041" spans="1:32" s="411" customFormat="1" ht="30" x14ac:dyDescent="0.2">
      <c r="A1041" s="605">
        <v>1011</v>
      </c>
      <c r="B1041" s="734" t="s">
        <v>2919</v>
      </c>
      <c r="C1041" s="534"/>
      <c r="D1041" s="534"/>
      <c r="E1041" s="534"/>
      <c r="F1041" s="534"/>
      <c r="G1041" s="534"/>
      <c r="H1041" s="1103"/>
      <c r="I1041" s="347"/>
      <c r="J1041" s="347"/>
      <c r="K1041" s="347"/>
      <c r="L1041" s="347"/>
      <c r="M1041" s="347"/>
      <c r="N1041" s="347"/>
      <c r="O1041" s="347"/>
      <c r="P1041" s="347"/>
      <c r="Q1041" s="347"/>
      <c r="R1041" s="347"/>
      <c r="S1041" s="347"/>
      <c r="T1041" s="347"/>
      <c r="U1041" s="347"/>
      <c r="V1041" s="347"/>
      <c r="W1041" s="347"/>
      <c r="X1041" s="347"/>
      <c r="Y1041" s="347"/>
      <c r="Z1041" s="347"/>
      <c r="AA1041" s="347"/>
      <c r="AB1041" s="347"/>
      <c r="AC1041" s="347"/>
      <c r="AD1041" s="347"/>
      <c r="AE1041" s="347"/>
      <c r="AF1041" s="347"/>
    </row>
    <row r="1042" spans="1:32" ht="45" x14ac:dyDescent="0.2">
      <c r="A1042" s="605">
        <v>1012</v>
      </c>
      <c r="B1042" s="631" t="s">
        <v>2918</v>
      </c>
      <c r="C1042" s="538"/>
      <c r="D1042" s="538"/>
      <c r="E1042" s="538"/>
      <c r="F1042" s="538"/>
      <c r="G1042" s="538"/>
      <c r="H1042" s="1054"/>
      <c r="AF1042" s="347"/>
    </row>
    <row r="1043" spans="1:32" ht="45" x14ac:dyDescent="0.2">
      <c r="A1043" s="605">
        <v>1013</v>
      </c>
      <c r="B1043" s="631" t="s">
        <v>2917</v>
      </c>
      <c r="C1043" s="538"/>
      <c r="D1043" s="538"/>
      <c r="E1043" s="538"/>
      <c r="F1043" s="538"/>
      <c r="G1043" s="538"/>
      <c r="H1043" s="1054"/>
      <c r="AF1043" s="347"/>
    </row>
    <row r="1044" spans="1:32" ht="15" x14ac:dyDescent="0.2">
      <c r="A1044" s="605">
        <v>1014</v>
      </c>
      <c r="B1044" s="777" t="s">
        <v>2916</v>
      </c>
      <c r="C1044" s="777"/>
      <c r="D1044" s="777"/>
      <c r="E1044" s="777"/>
      <c r="F1044" s="777"/>
      <c r="G1044" s="777"/>
      <c r="H1044" s="1030"/>
      <c r="AF1044" s="347"/>
    </row>
    <row r="1045" spans="1:32" ht="15" x14ac:dyDescent="0.25">
      <c r="A1045" s="605">
        <v>1015</v>
      </c>
      <c r="B1045" s="580" t="s">
        <v>2915</v>
      </c>
      <c r="C1045" s="863"/>
      <c r="D1045" s="856"/>
      <c r="E1045" s="856"/>
      <c r="F1045" s="856"/>
      <c r="G1045" s="856"/>
      <c r="H1045" s="1063"/>
      <c r="AF1045" s="347"/>
    </row>
    <row r="1046" spans="1:32" ht="15" x14ac:dyDescent="0.25">
      <c r="A1046" s="605">
        <v>1016</v>
      </c>
      <c r="B1046" s="580" t="s">
        <v>2914</v>
      </c>
      <c r="C1046" s="717"/>
      <c r="D1046" s="716"/>
      <c r="E1046" s="716"/>
      <c r="F1046" s="716"/>
      <c r="G1046" s="716"/>
      <c r="H1046" s="1063"/>
      <c r="AF1046" s="347"/>
    </row>
    <row r="1047" spans="1:32" ht="15" x14ac:dyDescent="0.25">
      <c r="A1047" s="605">
        <v>1017</v>
      </c>
      <c r="B1047" s="779" t="s">
        <v>2913</v>
      </c>
      <c r="C1047" s="863"/>
      <c r="D1047" s="856"/>
      <c r="E1047" s="856"/>
      <c r="F1047" s="856"/>
      <c r="G1047" s="856"/>
      <c r="H1047" s="1063"/>
      <c r="AF1047" s="347"/>
    </row>
    <row r="1048" spans="1:32" ht="15" x14ac:dyDescent="0.25">
      <c r="A1048" s="605">
        <v>1018</v>
      </c>
      <c r="B1048" s="779" t="s">
        <v>2912</v>
      </c>
      <c r="C1048" s="863"/>
      <c r="D1048" s="856"/>
      <c r="E1048" s="856"/>
      <c r="F1048" s="856"/>
      <c r="G1048" s="856"/>
      <c r="H1048" s="1063"/>
      <c r="AF1048" s="347"/>
    </row>
    <row r="1049" spans="1:32" ht="15" x14ac:dyDescent="0.25">
      <c r="A1049" s="605">
        <v>1019</v>
      </c>
      <c r="B1049" s="779" t="s">
        <v>2911</v>
      </c>
      <c r="C1049" s="863"/>
      <c r="D1049" s="856"/>
      <c r="E1049" s="856"/>
      <c r="F1049" s="856"/>
      <c r="G1049" s="856"/>
      <c r="H1049" s="1063"/>
      <c r="AF1049" s="347"/>
    </row>
    <row r="1050" spans="1:32" ht="30" x14ac:dyDescent="0.25">
      <c r="A1050" s="605">
        <v>1020</v>
      </c>
      <c r="B1050" s="580" t="s">
        <v>2910</v>
      </c>
      <c r="C1050" s="863"/>
      <c r="D1050" s="856"/>
      <c r="E1050" s="856"/>
      <c r="F1050" s="856"/>
      <c r="G1050" s="856"/>
      <c r="H1050" s="1063"/>
      <c r="AF1050" s="347"/>
    </row>
    <row r="1051" spans="1:32" ht="45" x14ac:dyDescent="0.25">
      <c r="A1051" s="605">
        <v>1021</v>
      </c>
      <c r="B1051" s="1213" t="s">
        <v>3424</v>
      </c>
      <c r="C1051" s="638"/>
      <c r="D1051" s="637"/>
      <c r="E1051" s="637"/>
      <c r="F1051" s="637"/>
      <c r="G1051" s="637"/>
      <c r="H1051" s="637"/>
      <c r="I1051" s="1020"/>
      <c r="J1051" s="1020"/>
      <c r="K1051" s="1020"/>
      <c r="L1051" s="1020"/>
      <c r="M1051" s="1020"/>
      <c r="N1051" s="1020"/>
      <c r="O1051" s="1020"/>
      <c r="P1051" s="1020"/>
      <c r="Q1051" s="1020"/>
      <c r="R1051" s="1020"/>
      <c r="S1051" s="1020"/>
      <c r="T1051" s="1020"/>
      <c r="U1051" s="1020"/>
      <c r="V1051" s="1020"/>
      <c r="W1051" s="1020"/>
      <c r="X1051" s="1020"/>
      <c r="Y1051" s="1020"/>
      <c r="Z1051" s="1020"/>
      <c r="AA1051" s="1020"/>
      <c r="AB1051" s="1020"/>
      <c r="AC1051" s="1020"/>
      <c r="AD1051" s="1020"/>
      <c r="AE1051" s="1020"/>
      <c r="AF1051" s="1020"/>
    </row>
    <row r="1052" spans="1:32" s="598" customFormat="1" ht="15" x14ac:dyDescent="0.25">
      <c r="A1052" s="605">
        <v>1022</v>
      </c>
      <c r="B1052" s="579" t="s">
        <v>2909</v>
      </c>
      <c r="C1052" s="864"/>
      <c r="D1052" s="857"/>
      <c r="E1052" s="857"/>
      <c r="F1052" s="857"/>
      <c r="G1052" s="857"/>
      <c r="H1052" s="1034"/>
    </row>
    <row r="1053" spans="1:32" ht="30" x14ac:dyDescent="0.25">
      <c r="A1053" s="605">
        <v>1023</v>
      </c>
      <c r="B1053" s="580" t="s">
        <v>2908</v>
      </c>
      <c r="C1053" s="863"/>
      <c r="D1053" s="856"/>
      <c r="E1053" s="856"/>
      <c r="F1053" s="856"/>
      <c r="G1053" s="856"/>
      <c r="H1053" s="1063"/>
      <c r="AF1053" s="347"/>
    </row>
    <row r="1054" spans="1:32" ht="15" x14ac:dyDescent="0.25">
      <c r="A1054" s="605">
        <v>1024</v>
      </c>
      <c r="B1054" s="580" t="s">
        <v>2907</v>
      </c>
      <c r="C1054" s="863"/>
      <c r="D1054" s="856"/>
      <c r="E1054" s="856"/>
      <c r="F1054" s="856"/>
      <c r="G1054" s="856"/>
      <c r="H1054" s="1063"/>
      <c r="AF1054" s="347"/>
    </row>
    <row r="1055" spans="1:32" ht="30" x14ac:dyDescent="0.25">
      <c r="A1055" s="605">
        <v>1025</v>
      </c>
      <c r="B1055" s="580" t="s">
        <v>3441</v>
      </c>
      <c r="C1055" s="863"/>
      <c r="D1055" s="856"/>
      <c r="E1055" s="856"/>
      <c r="F1055" s="856"/>
      <c r="G1055" s="856"/>
      <c r="H1055" s="1063"/>
      <c r="I1055" s="1127"/>
      <c r="J1055" s="1127"/>
      <c r="K1055" s="1127"/>
      <c r="L1055" s="1127"/>
      <c r="M1055" s="1127"/>
      <c r="N1055" s="1127"/>
      <c r="O1055" s="1127"/>
      <c r="P1055" s="1127"/>
      <c r="Q1055" s="1127"/>
      <c r="R1055" s="1127"/>
      <c r="S1055" s="1127"/>
      <c r="T1055" s="1127"/>
      <c r="U1055" s="1127"/>
      <c r="V1055" s="1127"/>
      <c r="W1055" s="1127"/>
      <c r="X1055" s="1127"/>
      <c r="Y1055" s="1127"/>
      <c r="Z1055" s="1127"/>
      <c r="AA1055" s="1127"/>
      <c r="AB1055" s="1127"/>
      <c r="AC1055" s="1127"/>
      <c r="AD1055" s="1127"/>
      <c r="AE1055" s="1127"/>
      <c r="AF1055" s="1127"/>
    </row>
    <row r="1056" spans="1:32" ht="15" x14ac:dyDescent="0.2">
      <c r="A1056" s="605">
        <v>1026</v>
      </c>
      <c r="B1056" s="777" t="s">
        <v>2906</v>
      </c>
      <c r="C1056" s="777"/>
      <c r="D1056" s="777"/>
      <c r="E1056" s="777"/>
      <c r="F1056" s="777"/>
      <c r="G1056" s="777"/>
      <c r="H1056" s="1030"/>
      <c r="AF1056" s="347"/>
    </row>
    <row r="1057" spans="1:32" ht="30" x14ac:dyDescent="0.25">
      <c r="A1057" s="605">
        <v>1027</v>
      </c>
      <c r="B1057" s="580" t="s">
        <v>2905</v>
      </c>
      <c r="C1057" s="717"/>
      <c r="D1057" s="716"/>
      <c r="E1057" s="716"/>
      <c r="F1057" s="716"/>
      <c r="G1057" s="716"/>
      <c r="H1057" s="1063"/>
      <c r="AF1057" s="347"/>
    </row>
    <row r="1058" spans="1:32" ht="15" x14ac:dyDescent="0.25">
      <c r="A1058" s="605">
        <v>1028</v>
      </c>
      <c r="B1058" s="779" t="s">
        <v>2904</v>
      </c>
      <c r="C1058" s="863"/>
      <c r="D1058" s="856"/>
      <c r="E1058" s="856"/>
      <c r="F1058" s="856"/>
      <c r="G1058" s="856"/>
      <c r="H1058" s="1063"/>
      <c r="AF1058" s="347"/>
    </row>
    <row r="1059" spans="1:32" ht="15" x14ac:dyDescent="0.25">
      <c r="A1059" s="605">
        <v>1029</v>
      </c>
      <c r="B1059" s="779" t="s">
        <v>2903</v>
      </c>
      <c r="C1059" s="863"/>
      <c r="D1059" s="856"/>
      <c r="E1059" s="856"/>
      <c r="F1059" s="856"/>
      <c r="G1059" s="856"/>
      <c r="H1059" s="1063"/>
      <c r="AF1059" s="347"/>
    </row>
    <row r="1060" spans="1:32" s="598" customFormat="1" ht="15" x14ac:dyDescent="0.25">
      <c r="A1060" s="605">
        <v>1030</v>
      </c>
      <c r="B1060" s="577" t="s">
        <v>1784</v>
      </c>
      <c r="C1060" s="864"/>
      <c r="D1060" s="857"/>
      <c r="E1060" s="857"/>
      <c r="F1060" s="857"/>
      <c r="G1060" s="857"/>
      <c r="H1060" s="1034"/>
    </row>
    <row r="1061" spans="1:32" ht="30" x14ac:dyDescent="0.25">
      <c r="A1061" s="605">
        <v>1031</v>
      </c>
      <c r="B1061" s="580" t="s">
        <v>2902</v>
      </c>
      <c r="C1061" s="717"/>
      <c r="D1061" s="716"/>
      <c r="E1061" s="716"/>
      <c r="F1061" s="716"/>
      <c r="G1061" s="716"/>
      <c r="H1061" s="1063"/>
      <c r="AF1061" s="347"/>
    </row>
    <row r="1062" spans="1:32" ht="15" x14ac:dyDescent="0.25">
      <c r="A1062" s="605">
        <v>1032</v>
      </c>
      <c r="B1062" s="779" t="s">
        <v>2901</v>
      </c>
      <c r="C1062" s="863"/>
      <c r="D1062" s="856"/>
      <c r="E1062" s="856"/>
      <c r="F1062" s="856"/>
      <c r="G1062" s="856"/>
      <c r="H1062" s="1063"/>
      <c r="AF1062" s="347"/>
    </row>
    <row r="1063" spans="1:32" ht="15" x14ac:dyDescent="0.25">
      <c r="A1063" s="605">
        <v>1033</v>
      </c>
      <c r="B1063" s="779" t="s">
        <v>2900</v>
      </c>
      <c r="C1063" s="863"/>
      <c r="D1063" s="856"/>
      <c r="E1063" s="856"/>
      <c r="F1063" s="856"/>
      <c r="G1063" s="856"/>
      <c r="H1063" s="1063"/>
      <c r="AF1063" s="347"/>
    </row>
    <row r="1064" spans="1:32" ht="15" x14ac:dyDescent="0.25">
      <c r="A1064" s="605">
        <v>1034</v>
      </c>
      <c r="B1064" s="779" t="s">
        <v>2899</v>
      </c>
      <c r="C1064" s="863"/>
      <c r="D1064" s="856"/>
      <c r="E1064" s="856"/>
      <c r="F1064" s="856"/>
      <c r="G1064" s="856"/>
      <c r="H1064" s="1063"/>
      <c r="AF1064" s="347"/>
    </row>
    <row r="1065" spans="1:32" s="598" customFormat="1" ht="15" x14ac:dyDescent="0.25">
      <c r="A1065" s="605">
        <v>1035</v>
      </c>
      <c r="B1065" s="617" t="s">
        <v>2898</v>
      </c>
      <c r="C1065" s="864"/>
      <c r="D1065" s="857"/>
      <c r="E1065" s="857"/>
      <c r="F1065" s="857"/>
      <c r="G1065" s="857"/>
      <c r="H1065" s="1034"/>
    </row>
    <row r="1066" spans="1:32" s="598" customFormat="1" ht="15" x14ac:dyDescent="0.25">
      <c r="A1066" s="605">
        <v>1036</v>
      </c>
      <c r="B1066" s="617" t="s">
        <v>2897</v>
      </c>
      <c r="C1066" s="864"/>
      <c r="D1066" s="857"/>
      <c r="E1066" s="857"/>
      <c r="F1066" s="857"/>
      <c r="G1066" s="857"/>
      <c r="H1066" s="1034"/>
    </row>
    <row r="1067" spans="1:32" ht="60" x14ac:dyDescent="0.25">
      <c r="A1067" s="605">
        <v>1037</v>
      </c>
      <c r="B1067" s="580" t="s">
        <v>2896</v>
      </c>
      <c r="C1067" s="863"/>
      <c r="D1067" s="856"/>
      <c r="E1067" s="856"/>
      <c r="F1067" s="856"/>
      <c r="G1067" s="856"/>
      <c r="H1067" s="1063"/>
      <c r="AF1067" s="347"/>
    </row>
    <row r="1068" spans="1:32" ht="15" x14ac:dyDescent="0.2">
      <c r="A1068" s="605">
        <v>1038</v>
      </c>
      <c r="B1068" s="777" t="s">
        <v>2895</v>
      </c>
      <c r="C1068" s="777"/>
      <c r="D1068" s="777"/>
      <c r="E1068" s="777"/>
      <c r="F1068" s="777"/>
      <c r="G1068" s="777"/>
      <c r="H1068" s="1030"/>
      <c r="AF1068" s="347"/>
    </row>
    <row r="1069" spans="1:32" ht="30" x14ac:dyDescent="0.25">
      <c r="A1069" s="605">
        <v>1039</v>
      </c>
      <c r="B1069" s="638" t="s">
        <v>2894</v>
      </c>
      <c r="C1069" s="863"/>
      <c r="D1069" s="856"/>
      <c r="E1069" s="856"/>
      <c r="F1069" s="856"/>
      <c r="G1069" s="856"/>
      <c r="H1069" s="1063"/>
      <c r="AF1069" s="347"/>
    </row>
    <row r="1070" spans="1:32" ht="30" x14ac:dyDescent="0.25">
      <c r="A1070" s="605">
        <v>1040</v>
      </c>
      <c r="B1070" s="638" t="s">
        <v>2893</v>
      </c>
      <c r="C1070" s="863"/>
      <c r="D1070" s="856"/>
      <c r="E1070" s="856"/>
      <c r="F1070" s="856"/>
      <c r="G1070" s="856"/>
      <c r="H1070" s="1063"/>
      <c r="AF1070" s="347"/>
    </row>
    <row r="1071" spans="1:32" s="598" customFormat="1" ht="30" x14ac:dyDescent="0.25">
      <c r="A1071" s="605">
        <v>1041</v>
      </c>
      <c r="B1071" s="635" t="s">
        <v>2892</v>
      </c>
      <c r="C1071" s="864"/>
      <c r="D1071" s="857"/>
      <c r="E1071" s="857"/>
      <c r="F1071" s="857"/>
      <c r="G1071" s="857"/>
      <c r="H1071" s="1034"/>
    </row>
    <row r="1072" spans="1:32" ht="15" x14ac:dyDescent="0.25">
      <c r="A1072" s="605">
        <v>1042</v>
      </c>
      <c r="B1072" s="638" t="s">
        <v>2891</v>
      </c>
      <c r="C1072" s="863"/>
      <c r="D1072" s="856"/>
      <c r="E1072" s="856"/>
      <c r="F1072" s="856"/>
      <c r="G1072" s="856"/>
      <c r="H1072" s="1063"/>
      <c r="AF1072" s="347"/>
    </row>
    <row r="1073" spans="1:32" ht="15" x14ac:dyDescent="0.2">
      <c r="A1073" s="605">
        <v>1043</v>
      </c>
      <c r="B1073" s="851" t="s">
        <v>2890</v>
      </c>
      <c r="C1073" s="777"/>
      <c r="D1073" s="777"/>
      <c r="E1073" s="777"/>
      <c r="F1073" s="777"/>
      <c r="G1073" s="777"/>
      <c r="H1073" s="1030"/>
      <c r="AF1073" s="347"/>
    </row>
    <row r="1074" spans="1:32" ht="15" x14ac:dyDescent="0.25">
      <c r="A1074" s="605">
        <v>1044</v>
      </c>
      <c r="B1074" s="638" t="s">
        <v>2889</v>
      </c>
      <c r="C1074" s="717"/>
      <c r="D1074" s="716"/>
      <c r="E1074" s="716"/>
      <c r="F1074" s="716"/>
      <c r="G1074" s="716"/>
      <c r="H1074" s="1063"/>
      <c r="AF1074" s="347"/>
    </row>
    <row r="1075" spans="1:32" ht="15" x14ac:dyDescent="0.25">
      <c r="A1075" s="605">
        <v>1045</v>
      </c>
      <c r="B1075" s="860" t="s">
        <v>2888</v>
      </c>
      <c r="C1075" s="856"/>
      <c r="D1075" s="856"/>
      <c r="E1075" s="856"/>
      <c r="F1075" s="856"/>
      <c r="G1075" s="856"/>
      <c r="H1075" s="1063"/>
      <c r="AF1075" s="347"/>
    </row>
    <row r="1076" spans="1:32" ht="15" x14ac:dyDescent="0.25">
      <c r="A1076" s="605">
        <v>1046</v>
      </c>
      <c r="B1076" s="860" t="s">
        <v>2887</v>
      </c>
      <c r="C1076" s="856"/>
      <c r="D1076" s="856"/>
      <c r="E1076" s="856"/>
      <c r="F1076" s="856"/>
      <c r="G1076" s="856"/>
      <c r="H1076" s="1063"/>
      <c r="AF1076" s="347"/>
    </row>
    <row r="1077" spans="1:32" ht="15" x14ac:dyDescent="0.25">
      <c r="A1077" s="605">
        <v>1047</v>
      </c>
      <c r="B1077" s="860" t="s">
        <v>2886</v>
      </c>
      <c r="C1077" s="856"/>
      <c r="D1077" s="856"/>
      <c r="E1077" s="856"/>
      <c r="F1077" s="856"/>
      <c r="G1077" s="856"/>
      <c r="H1077" s="1063"/>
      <c r="AF1077" s="347"/>
    </row>
    <row r="1078" spans="1:32" ht="15" x14ac:dyDescent="0.25">
      <c r="A1078" s="605">
        <v>1048</v>
      </c>
      <c r="B1078" s="860" t="s">
        <v>2885</v>
      </c>
      <c r="C1078" s="863"/>
      <c r="D1078" s="856"/>
      <c r="E1078" s="856"/>
      <c r="F1078" s="856"/>
      <c r="G1078" s="856"/>
      <c r="H1078" s="1063"/>
      <c r="AF1078" s="347"/>
    </row>
    <row r="1079" spans="1:32" ht="15" x14ac:dyDescent="0.25">
      <c r="A1079" s="605">
        <v>1049</v>
      </c>
      <c r="B1079" s="860" t="s">
        <v>2884</v>
      </c>
      <c r="C1079" s="863"/>
      <c r="D1079" s="856"/>
      <c r="E1079" s="856"/>
      <c r="F1079" s="856"/>
      <c r="G1079" s="856"/>
      <c r="H1079" s="1063"/>
      <c r="AF1079" s="347"/>
    </row>
    <row r="1080" spans="1:32" ht="15" x14ac:dyDescent="0.25">
      <c r="A1080" s="605">
        <v>1050</v>
      </c>
      <c r="B1080" s="860" t="s">
        <v>2883</v>
      </c>
      <c r="C1080" s="870"/>
      <c r="D1080" s="869"/>
      <c r="E1080" s="869"/>
      <c r="F1080" s="869"/>
      <c r="G1080" s="869"/>
      <c r="H1080" s="1063"/>
      <c r="AF1080" s="347"/>
    </row>
    <row r="1081" spans="1:32" ht="15" x14ac:dyDescent="0.25">
      <c r="A1081" s="605">
        <v>1051</v>
      </c>
      <c r="B1081" s="871" t="s">
        <v>2882</v>
      </c>
      <c r="C1081" s="863"/>
      <c r="D1081" s="856"/>
      <c r="E1081" s="856"/>
      <c r="F1081" s="856"/>
      <c r="G1081" s="856"/>
      <c r="H1081" s="1063"/>
      <c r="AF1081" s="347"/>
    </row>
    <row r="1082" spans="1:32" ht="15" x14ac:dyDescent="0.25">
      <c r="A1082" s="605">
        <v>1052</v>
      </c>
      <c r="B1082" s="871" t="s">
        <v>2881</v>
      </c>
      <c r="C1082" s="863"/>
      <c r="D1082" s="856"/>
      <c r="E1082" s="856"/>
      <c r="F1082" s="856"/>
      <c r="G1082" s="856"/>
      <c r="H1082" s="1063"/>
      <c r="AF1082" s="347"/>
    </row>
    <row r="1083" spans="1:32" ht="15" x14ac:dyDescent="0.25">
      <c r="A1083" s="605">
        <v>1053</v>
      </c>
      <c r="B1083" s="1214" t="s">
        <v>3600</v>
      </c>
      <c r="C1083" s="863"/>
      <c r="D1083" s="856"/>
      <c r="E1083" s="856"/>
      <c r="F1083" s="856"/>
      <c r="G1083" s="856"/>
      <c r="H1083" s="1063"/>
      <c r="AF1083" s="347"/>
    </row>
    <row r="1084" spans="1:32" ht="15" x14ac:dyDescent="0.25">
      <c r="A1084" s="605">
        <v>1054</v>
      </c>
      <c r="B1084" s="779" t="s">
        <v>2880</v>
      </c>
      <c r="C1084" s="863"/>
      <c r="D1084" s="856"/>
      <c r="E1084" s="856"/>
      <c r="F1084" s="856"/>
      <c r="G1084" s="856"/>
      <c r="H1084" s="1063"/>
      <c r="AF1084" s="347"/>
    </row>
    <row r="1085" spans="1:32" ht="15" x14ac:dyDescent="0.25">
      <c r="A1085" s="605">
        <v>1055</v>
      </c>
      <c r="B1085" s="779" t="s">
        <v>2879</v>
      </c>
      <c r="C1085" s="863"/>
      <c r="D1085" s="856"/>
      <c r="E1085" s="856"/>
      <c r="F1085" s="856"/>
      <c r="G1085" s="856"/>
      <c r="H1085" s="1063"/>
      <c r="AF1085" s="347"/>
    </row>
    <row r="1086" spans="1:32" ht="30" x14ac:dyDescent="0.25">
      <c r="A1086" s="605">
        <v>1056</v>
      </c>
      <c r="B1086" s="775" t="s">
        <v>2878</v>
      </c>
      <c r="C1086" s="870"/>
      <c r="D1086" s="869"/>
      <c r="E1086" s="869"/>
      <c r="F1086" s="869"/>
      <c r="G1086" s="869"/>
      <c r="H1086" s="1063"/>
      <c r="AF1086" s="347"/>
    </row>
    <row r="1087" spans="1:32" ht="15" x14ac:dyDescent="0.25">
      <c r="A1087" s="605">
        <v>1057</v>
      </c>
      <c r="B1087" s="779" t="s">
        <v>2877</v>
      </c>
      <c r="C1087" s="869"/>
      <c r="D1087" s="869"/>
      <c r="E1087" s="869"/>
      <c r="F1087" s="869"/>
      <c r="G1087" s="869"/>
      <c r="H1087" s="1063"/>
      <c r="AF1087" s="347"/>
    </row>
    <row r="1088" spans="1:32" s="598" customFormat="1" ht="15" x14ac:dyDescent="0.25">
      <c r="A1088" s="605">
        <v>1058</v>
      </c>
      <c r="B1088" s="985" t="s">
        <v>3601</v>
      </c>
      <c r="C1088" s="864"/>
      <c r="D1088" s="857"/>
      <c r="E1088" s="857"/>
      <c r="F1088" s="857"/>
      <c r="G1088" s="857"/>
      <c r="H1088" s="1034"/>
    </row>
    <row r="1089" spans="1:32" s="598" customFormat="1" ht="15" x14ac:dyDescent="0.25">
      <c r="A1089" s="605">
        <v>1059</v>
      </c>
      <c r="B1089" s="985" t="s">
        <v>2875</v>
      </c>
      <c r="C1089" s="864"/>
      <c r="D1089" s="857"/>
      <c r="E1089" s="857"/>
      <c r="F1089" s="857"/>
      <c r="G1089" s="857"/>
      <c r="H1089" s="1034"/>
    </row>
    <row r="1090" spans="1:32" s="598" customFormat="1" ht="15" x14ac:dyDescent="0.25">
      <c r="A1090" s="605">
        <v>1060</v>
      </c>
      <c r="B1090" s="985" t="s">
        <v>2874</v>
      </c>
      <c r="C1090" s="864"/>
      <c r="D1090" s="857"/>
      <c r="E1090" s="857"/>
      <c r="F1090" s="857"/>
      <c r="G1090" s="857"/>
      <c r="H1090" s="1034"/>
    </row>
    <row r="1091" spans="1:32" s="598" customFormat="1" ht="15" x14ac:dyDescent="0.25">
      <c r="A1091" s="605">
        <v>1061</v>
      </c>
      <c r="B1091" s="985" t="s">
        <v>2873</v>
      </c>
      <c r="C1091" s="864"/>
      <c r="D1091" s="857"/>
      <c r="E1091" s="857"/>
      <c r="F1091" s="857"/>
      <c r="G1091" s="857"/>
      <c r="H1091" s="1034"/>
    </row>
    <row r="1092" spans="1:32" ht="15" x14ac:dyDescent="0.25">
      <c r="A1092" s="605">
        <v>1062</v>
      </c>
      <c r="B1092" s="779" t="s">
        <v>2876</v>
      </c>
      <c r="C1092" s="869"/>
      <c r="D1092" s="869"/>
      <c r="E1092" s="869"/>
      <c r="F1092" s="869"/>
      <c r="G1092" s="869"/>
      <c r="H1092" s="1063"/>
      <c r="AF1092" s="347"/>
    </row>
    <row r="1093" spans="1:32" s="598" customFormat="1" ht="15" x14ac:dyDescent="0.25">
      <c r="A1093" s="605">
        <v>1063</v>
      </c>
      <c r="B1093" s="985" t="s">
        <v>3601</v>
      </c>
      <c r="C1093" s="864"/>
      <c r="D1093" s="857"/>
      <c r="E1093" s="857"/>
      <c r="F1093" s="857"/>
      <c r="G1093" s="857"/>
      <c r="H1093" s="1034"/>
    </row>
    <row r="1094" spans="1:32" s="598" customFormat="1" ht="15" x14ac:dyDescent="0.25">
      <c r="A1094" s="605">
        <v>1064</v>
      </c>
      <c r="B1094" s="985" t="s">
        <v>2875</v>
      </c>
      <c r="C1094" s="864"/>
      <c r="D1094" s="857"/>
      <c r="E1094" s="857"/>
      <c r="F1094" s="857"/>
      <c r="G1094" s="857"/>
      <c r="H1094" s="1034"/>
    </row>
    <row r="1095" spans="1:32" s="598" customFormat="1" ht="15" x14ac:dyDescent="0.25">
      <c r="A1095" s="605">
        <v>1065</v>
      </c>
      <c r="B1095" s="985" t="s">
        <v>2874</v>
      </c>
      <c r="C1095" s="864"/>
      <c r="D1095" s="857"/>
      <c r="E1095" s="857"/>
      <c r="F1095" s="857"/>
      <c r="G1095" s="857"/>
      <c r="H1095" s="1034"/>
    </row>
    <row r="1096" spans="1:32" s="598" customFormat="1" ht="15" x14ac:dyDescent="0.25">
      <c r="A1096" s="605">
        <v>1066</v>
      </c>
      <c r="B1096" s="985" t="s">
        <v>2873</v>
      </c>
      <c r="C1096" s="864"/>
      <c r="D1096" s="857"/>
      <c r="E1096" s="857"/>
      <c r="F1096" s="857"/>
      <c r="G1096" s="857"/>
      <c r="H1096" s="1034"/>
    </row>
    <row r="1097" spans="1:32" s="347" customFormat="1" ht="15" x14ac:dyDescent="0.25">
      <c r="A1097" s="605">
        <v>1067</v>
      </c>
      <c r="B1097" s="617" t="s">
        <v>3403</v>
      </c>
      <c r="C1097" s="869"/>
      <c r="D1097" s="869"/>
      <c r="E1097" s="869"/>
      <c r="F1097" s="869"/>
      <c r="G1097" s="869"/>
      <c r="H1097" s="1034"/>
    </row>
    <row r="1098" spans="1:32" s="598" customFormat="1" ht="15" x14ac:dyDescent="0.25">
      <c r="A1098" s="605">
        <v>1068</v>
      </c>
      <c r="B1098" s="985" t="s">
        <v>2872</v>
      </c>
      <c r="C1098" s="864"/>
      <c r="D1098" s="857"/>
      <c r="E1098" s="857"/>
      <c r="F1098" s="857"/>
      <c r="G1098" s="857"/>
      <c r="H1098" s="1034"/>
    </row>
    <row r="1099" spans="1:32" s="598" customFormat="1" ht="15" x14ac:dyDescent="0.25">
      <c r="A1099" s="605">
        <v>1069</v>
      </c>
      <c r="B1099" s="985" t="s">
        <v>2871</v>
      </c>
      <c r="C1099" s="864"/>
      <c r="D1099" s="857"/>
      <c r="E1099" s="857"/>
      <c r="F1099" s="857"/>
      <c r="G1099" s="857"/>
      <c r="H1099" s="1034"/>
    </row>
    <row r="1100" spans="1:32" s="598" customFormat="1" ht="15" x14ac:dyDescent="0.25">
      <c r="A1100" s="605">
        <v>1070</v>
      </c>
      <c r="B1100" s="985" t="s">
        <v>2870</v>
      </c>
      <c r="C1100" s="864"/>
      <c r="D1100" s="857"/>
      <c r="E1100" s="857"/>
      <c r="F1100" s="857"/>
      <c r="G1100" s="857"/>
      <c r="H1100" s="1034"/>
    </row>
    <row r="1101" spans="1:32" s="598" customFormat="1" ht="15" x14ac:dyDescent="0.25">
      <c r="A1101" s="605">
        <v>1071</v>
      </c>
      <c r="B1101" s="985" t="s">
        <v>2869</v>
      </c>
      <c r="C1101" s="864"/>
      <c r="D1101" s="857"/>
      <c r="E1101" s="857"/>
      <c r="F1101" s="857"/>
      <c r="G1101" s="857"/>
      <c r="H1101" s="1034"/>
    </row>
    <row r="1102" spans="1:32" s="1127" customFormat="1" ht="30" x14ac:dyDescent="0.25">
      <c r="A1102" s="605">
        <v>1072</v>
      </c>
      <c r="B1102" s="617" t="s">
        <v>3463</v>
      </c>
      <c r="C1102" s="869"/>
      <c r="D1102" s="869"/>
      <c r="E1102" s="869"/>
      <c r="F1102" s="869"/>
      <c r="G1102" s="869"/>
      <c r="H1102" s="1034"/>
    </row>
    <row r="1103" spans="1:32" s="1127" customFormat="1" ht="15" x14ac:dyDescent="0.25">
      <c r="A1103" s="605">
        <v>1073</v>
      </c>
      <c r="B1103" s="577" t="s">
        <v>3464</v>
      </c>
      <c r="C1103" s="869"/>
      <c r="D1103" s="869"/>
      <c r="E1103" s="869"/>
      <c r="F1103" s="869"/>
      <c r="G1103" s="869"/>
      <c r="H1103" s="1034"/>
    </row>
    <row r="1104" spans="1:32" s="1127" customFormat="1" ht="15" x14ac:dyDescent="0.25">
      <c r="A1104" s="605">
        <v>1074</v>
      </c>
      <c r="B1104" s="985" t="s">
        <v>3465</v>
      </c>
      <c r="C1104" s="864"/>
      <c r="D1104" s="857"/>
      <c r="E1104" s="857"/>
      <c r="F1104" s="857"/>
      <c r="G1104" s="857"/>
      <c r="H1104" s="1034"/>
    </row>
    <row r="1105" spans="1:8" s="1127" customFormat="1" ht="15" x14ac:dyDescent="0.25">
      <c r="A1105" s="605">
        <v>1075</v>
      </c>
      <c r="B1105" s="985" t="s">
        <v>3466</v>
      </c>
      <c r="C1105" s="864"/>
      <c r="D1105" s="857"/>
      <c r="E1105" s="857"/>
      <c r="F1105" s="857"/>
      <c r="G1105" s="857"/>
      <c r="H1105" s="1034"/>
    </row>
    <row r="1106" spans="1:8" s="1127" customFormat="1" ht="15" x14ac:dyDescent="0.25">
      <c r="A1106" s="605">
        <v>1076</v>
      </c>
      <c r="B1106" s="985" t="s">
        <v>3467</v>
      </c>
      <c r="C1106" s="864"/>
      <c r="D1106" s="857"/>
      <c r="E1106" s="857"/>
      <c r="F1106" s="857"/>
      <c r="G1106" s="857"/>
      <c r="H1106" s="1034"/>
    </row>
    <row r="1107" spans="1:8" s="1127" customFormat="1" ht="15" x14ac:dyDescent="0.25">
      <c r="A1107" s="605">
        <v>1077</v>
      </c>
      <c r="B1107" s="985" t="s">
        <v>3468</v>
      </c>
      <c r="C1107" s="864"/>
      <c r="D1107" s="857"/>
      <c r="E1107" s="857"/>
      <c r="F1107" s="857"/>
      <c r="G1107" s="857"/>
      <c r="H1107" s="1034"/>
    </row>
    <row r="1108" spans="1:8" s="1127" customFormat="1" ht="15" x14ac:dyDescent="0.25">
      <c r="A1108" s="605">
        <v>1078</v>
      </c>
      <c r="B1108" s="985" t="s">
        <v>3469</v>
      </c>
      <c r="C1108" s="864"/>
      <c r="D1108" s="857"/>
      <c r="E1108" s="857"/>
      <c r="F1108" s="857"/>
      <c r="G1108" s="857"/>
      <c r="H1108" s="1034"/>
    </row>
    <row r="1109" spans="1:8" s="1127" customFormat="1" ht="15" x14ac:dyDescent="0.25">
      <c r="A1109" s="605">
        <v>1079</v>
      </c>
      <c r="B1109" s="577" t="s">
        <v>3470</v>
      </c>
      <c r="C1109" s="869"/>
      <c r="D1109" s="869"/>
      <c r="E1109" s="869"/>
      <c r="F1109" s="869"/>
      <c r="G1109" s="869"/>
      <c r="H1109" s="1034"/>
    </row>
    <row r="1110" spans="1:8" s="1127" customFormat="1" ht="15" x14ac:dyDescent="0.25">
      <c r="A1110" s="605">
        <v>1080</v>
      </c>
      <c r="B1110" s="985" t="s">
        <v>3471</v>
      </c>
      <c r="C1110" s="864"/>
      <c r="D1110" s="857"/>
      <c r="E1110" s="857"/>
      <c r="F1110" s="857"/>
      <c r="G1110" s="857"/>
      <c r="H1110" s="1034"/>
    </row>
    <row r="1111" spans="1:8" s="1127" customFormat="1" ht="15" x14ac:dyDescent="0.25">
      <c r="A1111" s="605">
        <v>1081</v>
      </c>
      <c r="B1111" s="985" t="s">
        <v>3472</v>
      </c>
      <c r="C1111" s="864"/>
      <c r="D1111" s="857"/>
      <c r="E1111" s="857"/>
      <c r="F1111" s="857"/>
      <c r="G1111" s="857"/>
      <c r="H1111" s="1034"/>
    </row>
    <row r="1112" spans="1:8" s="1127" customFormat="1" ht="15" x14ac:dyDescent="0.25">
      <c r="A1112" s="605">
        <v>1082</v>
      </c>
      <c r="B1112" s="985" t="s">
        <v>3473</v>
      </c>
      <c r="C1112" s="864"/>
      <c r="D1112" s="857"/>
      <c r="E1112" s="857"/>
      <c r="F1112" s="857"/>
      <c r="G1112" s="857"/>
      <c r="H1112" s="1034"/>
    </row>
    <row r="1113" spans="1:8" s="1127" customFormat="1" ht="15" x14ac:dyDescent="0.25">
      <c r="A1113" s="605">
        <v>1083</v>
      </c>
      <c r="B1113" s="985" t="s">
        <v>3474</v>
      </c>
      <c r="C1113" s="864"/>
      <c r="D1113" s="857"/>
      <c r="E1113" s="857"/>
      <c r="F1113" s="857"/>
      <c r="G1113" s="857"/>
      <c r="H1113" s="1034"/>
    </row>
    <row r="1114" spans="1:8" s="1127" customFormat="1" ht="15" x14ac:dyDescent="0.25">
      <c r="A1114" s="605">
        <v>1084</v>
      </c>
      <c r="B1114" s="985" t="s">
        <v>3475</v>
      </c>
      <c r="C1114" s="864"/>
      <c r="D1114" s="857"/>
      <c r="E1114" s="857"/>
      <c r="F1114" s="857"/>
      <c r="G1114" s="857"/>
      <c r="H1114" s="1034"/>
    </row>
    <row r="1115" spans="1:8" s="1127" customFormat="1" ht="30" x14ac:dyDescent="0.25">
      <c r="A1115" s="605">
        <v>1085</v>
      </c>
      <c r="B1115" s="617" t="s">
        <v>3476</v>
      </c>
      <c r="C1115" s="869"/>
      <c r="D1115" s="869"/>
      <c r="E1115" s="869"/>
      <c r="F1115" s="869"/>
      <c r="G1115" s="869"/>
      <c r="H1115" s="1034"/>
    </row>
    <row r="1116" spans="1:8" s="1127" customFormat="1" ht="15" x14ac:dyDescent="0.25">
      <c r="A1116" s="605">
        <v>1086</v>
      </c>
      <c r="B1116" s="577" t="s">
        <v>3477</v>
      </c>
      <c r="C1116" s="864"/>
      <c r="D1116" s="857"/>
      <c r="E1116" s="857"/>
      <c r="F1116" s="857"/>
      <c r="G1116" s="857"/>
      <c r="H1116" s="1034"/>
    </row>
    <row r="1117" spans="1:8" s="1127" customFormat="1" ht="15" x14ac:dyDescent="0.25">
      <c r="A1117" s="605">
        <v>1087</v>
      </c>
      <c r="B1117" s="577" t="s">
        <v>3478</v>
      </c>
      <c r="C1117" s="864"/>
      <c r="D1117" s="857"/>
      <c r="E1117" s="857"/>
      <c r="F1117" s="857"/>
      <c r="G1117" s="857"/>
      <c r="H1117" s="1034"/>
    </row>
    <row r="1118" spans="1:8" s="1127" customFormat="1" ht="15" x14ac:dyDescent="0.25">
      <c r="A1118" s="605">
        <v>1088</v>
      </c>
      <c r="B1118" s="577" t="s">
        <v>3479</v>
      </c>
      <c r="C1118" s="864"/>
      <c r="D1118" s="857"/>
      <c r="E1118" s="857"/>
      <c r="F1118" s="857"/>
      <c r="G1118" s="857"/>
      <c r="H1118" s="1034"/>
    </row>
    <row r="1119" spans="1:8" s="1127" customFormat="1" ht="15" x14ac:dyDescent="0.25">
      <c r="A1119" s="605">
        <v>1089</v>
      </c>
      <c r="B1119" s="577" t="s">
        <v>3480</v>
      </c>
      <c r="C1119" s="864"/>
      <c r="D1119" s="857"/>
      <c r="E1119" s="857"/>
      <c r="F1119" s="857"/>
      <c r="G1119" s="857"/>
      <c r="H1119" s="1034"/>
    </row>
    <row r="1120" spans="1:8" s="1127" customFormat="1" ht="15" x14ac:dyDescent="0.25">
      <c r="A1120" s="605">
        <v>1090</v>
      </c>
      <c r="B1120" s="577" t="s">
        <v>3481</v>
      </c>
      <c r="C1120" s="864"/>
      <c r="D1120" s="857"/>
      <c r="E1120" s="857"/>
      <c r="F1120" s="857"/>
      <c r="G1120" s="857"/>
      <c r="H1120" s="1034"/>
    </row>
    <row r="1121" spans="1:36" s="1127" customFormat="1" ht="15" x14ac:dyDescent="0.25">
      <c r="A1121" s="605">
        <v>1091</v>
      </c>
      <c r="B1121" s="577" t="s">
        <v>3482</v>
      </c>
      <c r="C1121" s="864"/>
      <c r="D1121" s="857"/>
      <c r="E1121" s="857"/>
      <c r="F1121" s="857"/>
      <c r="G1121" s="857"/>
      <c r="H1121" s="1034"/>
    </row>
    <row r="1122" spans="1:36" s="1127" customFormat="1" ht="15" x14ac:dyDescent="0.25">
      <c r="A1122" s="605">
        <v>1092</v>
      </c>
      <c r="B1122" s="577" t="s">
        <v>3483</v>
      </c>
      <c r="C1122" s="864"/>
      <c r="D1122" s="857"/>
      <c r="E1122" s="857"/>
      <c r="F1122" s="857"/>
      <c r="G1122" s="857"/>
      <c r="H1122" s="1034"/>
    </row>
    <row r="1123" spans="1:36" s="1127" customFormat="1" ht="15" x14ac:dyDescent="0.25">
      <c r="A1123" s="605">
        <v>1093</v>
      </c>
      <c r="B1123" s="577" t="s">
        <v>3484</v>
      </c>
      <c r="C1123" s="864"/>
      <c r="D1123" s="857"/>
      <c r="E1123" s="857"/>
      <c r="F1123" s="857"/>
      <c r="G1123" s="857"/>
      <c r="H1123" s="1034"/>
    </row>
    <row r="1124" spans="1:36" s="1127" customFormat="1" ht="30" x14ac:dyDescent="0.25">
      <c r="A1124" s="605">
        <v>1094</v>
      </c>
      <c r="B1124" s="617" t="s">
        <v>3485</v>
      </c>
      <c r="C1124" s="864"/>
      <c r="D1124" s="857"/>
      <c r="E1124" s="857"/>
      <c r="F1124" s="857"/>
      <c r="G1124" s="857"/>
      <c r="H1124" s="1034"/>
    </row>
    <row r="1125" spans="1:36" s="1127" customFormat="1" ht="15" x14ac:dyDescent="0.25">
      <c r="A1125" s="605">
        <v>1095</v>
      </c>
      <c r="B1125" s="577" t="s">
        <v>3486</v>
      </c>
      <c r="C1125" s="864"/>
      <c r="D1125" s="857"/>
      <c r="E1125" s="857"/>
      <c r="F1125" s="857"/>
      <c r="G1125" s="857"/>
      <c r="H1125" s="1034"/>
    </row>
    <row r="1126" spans="1:36" s="1127" customFormat="1" ht="15" x14ac:dyDescent="0.25">
      <c r="A1126" s="605">
        <v>1096</v>
      </c>
      <c r="B1126" s="577" t="s">
        <v>3487</v>
      </c>
      <c r="C1126" s="864"/>
      <c r="D1126" s="857"/>
      <c r="E1126" s="857"/>
      <c r="F1126" s="857"/>
      <c r="G1126" s="857"/>
      <c r="H1126" s="1034"/>
    </row>
    <row r="1127" spans="1:36" s="1127" customFormat="1" ht="15" x14ac:dyDescent="0.25">
      <c r="A1127" s="605">
        <v>1097</v>
      </c>
      <c r="B1127" s="577" t="s">
        <v>3488</v>
      </c>
      <c r="C1127" s="864"/>
      <c r="D1127" s="857"/>
      <c r="E1127" s="857"/>
      <c r="F1127" s="857"/>
      <c r="G1127" s="857"/>
      <c r="H1127" s="1034"/>
    </row>
    <row r="1128" spans="1:36" s="1127" customFormat="1" ht="15" x14ac:dyDescent="0.25">
      <c r="A1128" s="605">
        <v>1098</v>
      </c>
      <c r="B1128" s="577" t="s">
        <v>3489</v>
      </c>
      <c r="C1128" s="864"/>
      <c r="D1128" s="857"/>
      <c r="E1128" s="857"/>
      <c r="F1128" s="857"/>
      <c r="G1128" s="857"/>
      <c r="H1128" s="1034"/>
    </row>
    <row r="1129" spans="1:36" s="1127" customFormat="1" ht="30" x14ac:dyDescent="0.25">
      <c r="A1129" s="605">
        <v>1099</v>
      </c>
      <c r="B1129" s="577" t="s">
        <v>3490</v>
      </c>
      <c r="C1129" s="864"/>
      <c r="D1129" s="857"/>
      <c r="E1129" s="857"/>
      <c r="F1129" s="857"/>
      <c r="G1129" s="857"/>
      <c r="H1129" s="1034"/>
    </row>
    <row r="1130" spans="1:36" s="1127" customFormat="1" ht="15" x14ac:dyDescent="0.25">
      <c r="A1130" s="605">
        <v>1100</v>
      </c>
      <c r="B1130" s="577" t="s">
        <v>3491</v>
      </c>
      <c r="C1130" s="864"/>
      <c r="D1130" s="857"/>
      <c r="E1130" s="857"/>
      <c r="F1130" s="857"/>
      <c r="G1130" s="857"/>
      <c r="H1130" s="1034"/>
    </row>
    <row r="1131" spans="1:36" ht="15" x14ac:dyDescent="0.25">
      <c r="A1131" s="605">
        <v>1101</v>
      </c>
      <c r="B1131" s="852" t="s">
        <v>2868</v>
      </c>
      <c r="C1131" s="845"/>
      <c r="D1131" s="845"/>
      <c r="E1131" s="845"/>
      <c r="F1131" s="845"/>
      <c r="G1131" s="845"/>
      <c r="H1131" s="1029"/>
      <c r="AF1131" s="347"/>
      <c r="AG1131" s="347"/>
      <c r="AH1131" s="347"/>
      <c r="AI1131" s="347"/>
      <c r="AJ1131" s="347"/>
    </row>
    <row r="1132" spans="1:36" ht="15" x14ac:dyDescent="0.2">
      <c r="A1132" s="605">
        <v>1102</v>
      </c>
      <c r="B1132" s="855" t="s">
        <v>2867</v>
      </c>
      <c r="C1132" s="855"/>
      <c r="D1132" s="855"/>
      <c r="E1132" s="855"/>
      <c r="F1132" s="855"/>
      <c r="G1132" s="855"/>
      <c r="H1132" s="1025"/>
      <c r="AF1132" s="347"/>
      <c r="AG1132" s="347"/>
      <c r="AH1132" s="347"/>
      <c r="AI1132" s="347"/>
      <c r="AJ1132" s="347"/>
    </row>
    <row r="1133" spans="1:36" ht="15" x14ac:dyDescent="0.25">
      <c r="A1133" s="605">
        <v>1103</v>
      </c>
      <c r="B1133" s="868" t="s">
        <v>2866</v>
      </c>
      <c r="C1133" s="864"/>
      <c r="D1133" s="857"/>
      <c r="E1133" s="857"/>
      <c r="F1133" s="857"/>
      <c r="G1133" s="857"/>
      <c r="H1133" s="1034"/>
      <c r="AF1133" s="347"/>
      <c r="AG1133" s="347"/>
      <c r="AH1133" s="347"/>
      <c r="AI1133" s="347"/>
      <c r="AJ1133" s="347"/>
    </row>
    <row r="1134" spans="1:36" ht="30" x14ac:dyDescent="0.25">
      <c r="A1134" s="605">
        <v>1104</v>
      </c>
      <c r="B1134" s="868" t="s">
        <v>2865</v>
      </c>
      <c r="C1134" s="864"/>
      <c r="D1134" s="857"/>
      <c r="E1134" s="857"/>
      <c r="F1134" s="857"/>
      <c r="G1134" s="857"/>
      <c r="H1134" s="1034"/>
      <c r="AF1134" s="347"/>
      <c r="AG1134" s="347"/>
      <c r="AH1134" s="347"/>
      <c r="AI1134" s="347"/>
      <c r="AJ1134" s="347"/>
    </row>
    <row r="1135" spans="1:36" ht="30" x14ac:dyDescent="0.25">
      <c r="A1135" s="605">
        <v>1105</v>
      </c>
      <c r="B1135" s="868" t="s">
        <v>2864</v>
      </c>
      <c r="C1135" s="864"/>
      <c r="D1135" s="857"/>
      <c r="E1135" s="857"/>
      <c r="F1135" s="857"/>
      <c r="G1135" s="857"/>
      <c r="H1135" s="1034"/>
      <c r="AF1135" s="347"/>
      <c r="AG1135" s="347"/>
      <c r="AH1135" s="347"/>
      <c r="AI1135" s="347"/>
      <c r="AJ1135" s="347"/>
    </row>
    <row r="1136" spans="1:36" ht="30" x14ac:dyDescent="0.25">
      <c r="A1136" s="605">
        <v>1106</v>
      </c>
      <c r="B1136" s="868" t="s">
        <v>2863</v>
      </c>
      <c r="C1136" s="864"/>
      <c r="D1136" s="857"/>
      <c r="E1136" s="857"/>
      <c r="F1136" s="857"/>
      <c r="G1136" s="857"/>
      <c r="H1136" s="1034"/>
      <c r="AF1136" s="347"/>
      <c r="AG1136" s="347"/>
      <c r="AH1136" s="347"/>
      <c r="AI1136" s="347"/>
      <c r="AJ1136" s="347"/>
    </row>
    <row r="1137" spans="1:36" ht="45" x14ac:dyDescent="0.25">
      <c r="A1137" s="605">
        <v>1107</v>
      </c>
      <c r="B1137" s="868" t="s">
        <v>2862</v>
      </c>
      <c r="C1137" s="857"/>
      <c r="D1137" s="857"/>
      <c r="E1137" s="857"/>
      <c r="F1137" s="857"/>
      <c r="G1137" s="857"/>
      <c r="H1137" s="1034"/>
      <c r="AF1137" s="347"/>
      <c r="AG1137" s="347"/>
      <c r="AH1137" s="347"/>
      <c r="AI1137" s="347"/>
      <c r="AJ1137" s="347"/>
    </row>
    <row r="1138" spans="1:36" ht="30" x14ac:dyDescent="0.25">
      <c r="A1138" s="605">
        <v>1108</v>
      </c>
      <c r="B1138" s="865" t="s">
        <v>2861</v>
      </c>
      <c r="C1138" s="867"/>
      <c r="D1138" s="867"/>
      <c r="E1138" s="867"/>
      <c r="F1138" s="867"/>
      <c r="G1138" s="867"/>
      <c r="H1138" s="1094"/>
      <c r="AF1138" s="347"/>
      <c r="AG1138" s="347"/>
      <c r="AH1138" s="347"/>
      <c r="AI1138" s="347"/>
      <c r="AJ1138" s="347"/>
    </row>
    <row r="1139" spans="1:36" ht="15" x14ac:dyDescent="0.2">
      <c r="A1139" s="605">
        <v>1109</v>
      </c>
      <c r="B1139" s="855" t="s">
        <v>2860</v>
      </c>
      <c r="C1139" s="855"/>
      <c r="D1139" s="855"/>
      <c r="E1139" s="855"/>
      <c r="F1139" s="855"/>
      <c r="G1139" s="855"/>
      <c r="H1139" s="1025"/>
      <c r="AF1139" s="347"/>
      <c r="AG1139" s="347"/>
      <c r="AH1139" s="347"/>
      <c r="AI1139" s="347"/>
      <c r="AJ1139" s="347"/>
    </row>
    <row r="1140" spans="1:36" ht="45" x14ac:dyDescent="0.25">
      <c r="A1140" s="605">
        <v>1110</v>
      </c>
      <c r="B1140" s="1017" t="s">
        <v>3404</v>
      </c>
      <c r="C1140" s="278"/>
      <c r="D1140" s="278"/>
      <c r="E1140" s="278"/>
      <c r="F1140" s="278"/>
      <c r="G1140" s="278"/>
      <c r="H1140" s="1063"/>
      <c r="AF1140" s="347"/>
      <c r="AG1140" s="347"/>
      <c r="AH1140" s="347"/>
      <c r="AI1140" s="347"/>
      <c r="AJ1140" s="347"/>
    </row>
    <row r="1141" spans="1:36" s="598" customFormat="1" ht="15" x14ac:dyDescent="0.25">
      <c r="A1141" s="605">
        <v>1111</v>
      </c>
      <c r="B1141" s="874" t="s">
        <v>2859</v>
      </c>
      <c r="C1141" s="278"/>
      <c r="D1141" s="278"/>
      <c r="E1141" s="278"/>
      <c r="F1141" s="278"/>
      <c r="G1141" s="278"/>
      <c r="H1141" s="1034"/>
    </row>
    <row r="1142" spans="1:36" s="598" customFormat="1" ht="15" x14ac:dyDescent="0.25">
      <c r="A1142" s="605">
        <v>1112</v>
      </c>
      <c r="B1142" s="988" t="s">
        <v>236</v>
      </c>
      <c r="C1142" s="857"/>
      <c r="D1142" s="857"/>
      <c r="E1142" s="857"/>
      <c r="F1142" s="857"/>
      <c r="G1142" s="857"/>
      <c r="H1142" s="1034"/>
    </row>
    <row r="1143" spans="1:36" s="598" customFormat="1" ht="15" x14ac:dyDescent="0.25">
      <c r="A1143" s="605">
        <v>1113</v>
      </c>
      <c r="B1143" s="988" t="s">
        <v>2858</v>
      </c>
      <c r="C1143" s="857"/>
      <c r="D1143" s="857"/>
      <c r="E1143" s="857"/>
      <c r="F1143" s="857"/>
      <c r="G1143" s="857"/>
      <c r="H1143" s="1034"/>
    </row>
    <row r="1144" spans="1:36" s="598" customFormat="1" ht="15" x14ac:dyDescent="0.25">
      <c r="A1144" s="605">
        <v>1114</v>
      </c>
      <c r="B1144" s="988" t="s">
        <v>1908</v>
      </c>
      <c r="C1144" s="857"/>
      <c r="D1144" s="857"/>
      <c r="E1144" s="857"/>
      <c r="F1144" s="857"/>
      <c r="G1144" s="857"/>
      <c r="H1144" s="1034"/>
    </row>
    <row r="1145" spans="1:36" s="598" customFormat="1" ht="15" x14ac:dyDescent="0.25">
      <c r="A1145" s="605">
        <v>1115</v>
      </c>
      <c r="B1145" s="988" t="s">
        <v>1915</v>
      </c>
      <c r="C1145" s="857"/>
      <c r="D1145" s="857"/>
      <c r="E1145" s="857"/>
      <c r="F1145" s="857"/>
      <c r="G1145" s="857"/>
      <c r="H1145" s="1034"/>
    </row>
    <row r="1146" spans="1:36" s="598" customFormat="1" ht="15" x14ac:dyDescent="0.25">
      <c r="A1146" s="605">
        <v>1116</v>
      </c>
      <c r="B1146" s="988" t="s">
        <v>1793</v>
      </c>
      <c r="C1146" s="857"/>
      <c r="D1146" s="857"/>
      <c r="E1146" s="857"/>
      <c r="F1146" s="857"/>
      <c r="G1146" s="857"/>
      <c r="H1146" s="1034"/>
    </row>
    <row r="1147" spans="1:36" s="598" customFormat="1" ht="15" x14ac:dyDescent="0.25">
      <c r="A1147" s="605">
        <v>1117</v>
      </c>
      <c r="B1147" s="988" t="s">
        <v>2307</v>
      </c>
      <c r="C1147" s="857"/>
      <c r="D1147" s="857"/>
      <c r="E1147" s="857"/>
      <c r="F1147" s="857"/>
      <c r="G1147" s="857"/>
      <c r="H1147" s="1034"/>
    </row>
    <row r="1148" spans="1:36" s="598" customFormat="1" ht="15" x14ac:dyDescent="0.25">
      <c r="A1148" s="605">
        <v>1118</v>
      </c>
      <c r="B1148" s="988" t="s">
        <v>1910</v>
      </c>
      <c r="C1148" s="857"/>
      <c r="D1148" s="857"/>
      <c r="E1148" s="857"/>
      <c r="F1148" s="857"/>
      <c r="G1148" s="857"/>
      <c r="H1148" s="1034"/>
    </row>
    <row r="1149" spans="1:36" s="598" customFormat="1" ht="15" x14ac:dyDescent="0.25">
      <c r="A1149" s="605">
        <v>1119</v>
      </c>
      <c r="B1149" s="988" t="s">
        <v>1878</v>
      </c>
      <c r="C1149" s="857"/>
      <c r="D1149" s="857"/>
      <c r="E1149" s="857"/>
      <c r="F1149" s="857"/>
      <c r="G1149" s="857"/>
      <c r="H1149" s="1034"/>
    </row>
    <row r="1150" spans="1:36" s="598" customFormat="1" ht="15" x14ac:dyDescent="0.25">
      <c r="A1150" s="605">
        <v>1120</v>
      </c>
      <c r="B1150" s="988" t="s">
        <v>2857</v>
      </c>
      <c r="C1150" s="857"/>
      <c r="D1150" s="857"/>
      <c r="E1150" s="857"/>
      <c r="F1150" s="857"/>
      <c r="G1150" s="857"/>
      <c r="H1150" s="1034"/>
    </row>
    <row r="1151" spans="1:36" s="598" customFormat="1" ht="15" x14ac:dyDescent="0.25">
      <c r="A1151" s="605">
        <v>1121</v>
      </c>
      <c r="B1151" s="988" t="s">
        <v>2856</v>
      </c>
      <c r="C1151" s="857"/>
      <c r="D1151" s="857"/>
      <c r="E1151" s="857"/>
      <c r="F1151" s="857"/>
      <c r="G1151" s="857"/>
      <c r="H1151" s="1034"/>
    </row>
    <row r="1152" spans="1:36" s="598" customFormat="1" ht="15" x14ac:dyDescent="0.25">
      <c r="A1152" s="605">
        <v>1122</v>
      </c>
      <c r="B1152" s="988" t="s">
        <v>2105</v>
      </c>
      <c r="C1152" s="857"/>
      <c r="D1152" s="857"/>
      <c r="E1152" s="857"/>
      <c r="F1152" s="857"/>
      <c r="G1152" s="857"/>
      <c r="H1152" s="1034"/>
    </row>
    <row r="1153" spans="1:8" s="598" customFormat="1" ht="15" x14ac:dyDescent="0.25">
      <c r="A1153" s="605">
        <v>1123</v>
      </c>
      <c r="B1153" s="988" t="s">
        <v>100</v>
      </c>
      <c r="C1153" s="857"/>
      <c r="D1153" s="857"/>
      <c r="E1153" s="857"/>
      <c r="F1153" s="857"/>
      <c r="G1153" s="857"/>
      <c r="H1153" s="1034"/>
    </row>
    <row r="1154" spans="1:8" s="598" customFormat="1" ht="15" x14ac:dyDescent="0.25">
      <c r="A1154" s="605">
        <v>1124</v>
      </c>
      <c r="B1154" s="988" t="s">
        <v>2855</v>
      </c>
      <c r="C1154" s="857"/>
      <c r="D1154" s="857"/>
      <c r="E1154" s="857"/>
      <c r="F1154" s="857"/>
      <c r="G1154" s="857"/>
      <c r="H1154" s="1034"/>
    </row>
    <row r="1155" spans="1:8" s="598" customFormat="1" ht="15" x14ac:dyDescent="0.25">
      <c r="A1155" s="605">
        <v>1125</v>
      </c>
      <c r="B1155" s="988" t="s">
        <v>2854</v>
      </c>
      <c r="C1155" s="857"/>
      <c r="D1155" s="857"/>
      <c r="E1155" s="857"/>
      <c r="F1155" s="857"/>
      <c r="G1155" s="857"/>
      <c r="H1155" s="1034"/>
    </row>
    <row r="1156" spans="1:8" s="598" customFormat="1" ht="15" x14ac:dyDescent="0.25">
      <c r="A1156" s="605">
        <v>1126</v>
      </c>
      <c r="B1156" s="988" t="s">
        <v>2853</v>
      </c>
      <c r="C1156" s="857"/>
      <c r="D1156" s="857"/>
      <c r="E1156" s="857"/>
      <c r="F1156" s="857"/>
      <c r="G1156" s="857"/>
      <c r="H1156" s="1034"/>
    </row>
    <row r="1157" spans="1:8" s="598" customFormat="1" ht="15" x14ac:dyDescent="0.25">
      <c r="A1157" s="605">
        <v>1127</v>
      </c>
      <c r="B1157" s="988" t="s">
        <v>2309</v>
      </c>
      <c r="C1157" s="857"/>
      <c r="D1157" s="857"/>
      <c r="E1157" s="857"/>
      <c r="F1157" s="857"/>
      <c r="G1157" s="857"/>
      <c r="H1157" s="1034"/>
    </row>
    <row r="1158" spans="1:8" s="598" customFormat="1" ht="15" x14ac:dyDescent="0.25">
      <c r="A1158" s="605">
        <v>1128</v>
      </c>
      <c r="B1158" s="988" t="s">
        <v>2852</v>
      </c>
      <c r="C1158" s="857"/>
      <c r="D1158" s="857"/>
      <c r="E1158" s="857"/>
      <c r="F1158" s="857"/>
      <c r="G1158" s="857"/>
      <c r="H1158" s="1034"/>
    </row>
    <row r="1159" spans="1:8" s="598" customFormat="1" ht="15" x14ac:dyDescent="0.25">
      <c r="A1159" s="605">
        <v>1129</v>
      </c>
      <c r="B1159" s="988" t="s">
        <v>2851</v>
      </c>
      <c r="C1159" s="857"/>
      <c r="D1159" s="857"/>
      <c r="E1159" s="857"/>
      <c r="F1159" s="857"/>
      <c r="G1159" s="857"/>
      <c r="H1159" s="1034"/>
    </row>
    <row r="1160" spans="1:8" s="598" customFormat="1" ht="15" x14ac:dyDescent="0.25">
      <c r="A1160" s="605">
        <v>1130</v>
      </c>
      <c r="B1160" s="988" t="s">
        <v>2850</v>
      </c>
      <c r="C1160" s="857"/>
      <c r="D1160" s="857"/>
      <c r="E1160" s="857"/>
      <c r="F1160" s="857"/>
      <c r="G1160" s="857"/>
      <c r="H1160" s="1034"/>
    </row>
    <row r="1161" spans="1:8" s="598" customFormat="1" ht="15" x14ac:dyDescent="0.25">
      <c r="A1161" s="605">
        <v>1131</v>
      </c>
      <c r="B1161" s="988" t="s">
        <v>2849</v>
      </c>
      <c r="C1161" s="857"/>
      <c r="D1161" s="857"/>
      <c r="E1161" s="857"/>
      <c r="F1161" s="857"/>
      <c r="G1161" s="857"/>
      <c r="H1161" s="1034"/>
    </row>
    <row r="1162" spans="1:8" s="598" customFormat="1" ht="15" x14ac:dyDescent="0.25">
      <c r="A1162" s="605">
        <v>1132</v>
      </c>
      <c r="B1162" s="988" t="s">
        <v>2848</v>
      </c>
      <c r="C1162" s="857"/>
      <c r="D1162" s="857"/>
      <c r="E1162" s="857"/>
      <c r="F1162" s="857"/>
      <c r="G1162" s="857"/>
      <c r="H1162" s="1034"/>
    </row>
    <row r="1163" spans="1:8" s="598" customFormat="1" ht="15" x14ac:dyDescent="0.25">
      <c r="A1163" s="605">
        <v>1133</v>
      </c>
      <c r="B1163" s="868" t="s">
        <v>2847</v>
      </c>
      <c r="C1163" s="278"/>
      <c r="D1163" s="278"/>
      <c r="E1163" s="278"/>
      <c r="F1163" s="278"/>
      <c r="G1163" s="278"/>
      <c r="H1163" s="1034"/>
    </row>
    <row r="1164" spans="1:8" s="598" customFormat="1" ht="15" x14ac:dyDescent="0.25">
      <c r="A1164" s="605">
        <v>1134</v>
      </c>
      <c r="B1164" s="874" t="s">
        <v>2846</v>
      </c>
      <c r="C1164" s="857"/>
      <c r="D1164" s="857"/>
      <c r="E1164" s="857"/>
      <c r="F1164" s="857"/>
      <c r="G1164" s="857"/>
      <c r="H1164" s="1034"/>
    </row>
    <row r="1165" spans="1:8" s="598" customFormat="1" ht="15" x14ac:dyDescent="0.25">
      <c r="A1165" s="605">
        <v>1135</v>
      </c>
      <c r="B1165" s="874" t="s">
        <v>2845</v>
      </c>
      <c r="C1165" s="857"/>
      <c r="D1165" s="857"/>
      <c r="E1165" s="857"/>
      <c r="F1165" s="857"/>
      <c r="G1165" s="857"/>
      <c r="H1165" s="1034"/>
    </row>
    <row r="1166" spans="1:8" s="598" customFormat="1" ht="15" x14ac:dyDescent="0.25">
      <c r="A1166" s="605">
        <v>1136</v>
      </c>
      <c r="B1166" s="874" t="s">
        <v>2844</v>
      </c>
      <c r="C1166" s="857"/>
      <c r="D1166" s="857"/>
      <c r="E1166" s="857"/>
      <c r="F1166" s="857"/>
      <c r="G1166" s="857"/>
      <c r="H1166" s="1034"/>
    </row>
    <row r="1167" spans="1:8" s="598" customFormat="1" ht="30" x14ac:dyDescent="0.25">
      <c r="A1167" s="605">
        <v>1137</v>
      </c>
      <c r="B1167" s="868" t="s">
        <v>2843</v>
      </c>
      <c r="C1167" s="278"/>
      <c r="D1167" s="278"/>
      <c r="E1167" s="278"/>
      <c r="F1167" s="278"/>
      <c r="G1167" s="278"/>
      <c r="H1167" s="1034"/>
    </row>
    <row r="1168" spans="1:8" s="598" customFormat="1" ht="15" x14ac:dyDescent="0.25">
      <c r="A1168" s="605">
        <v>1138</v>
      </c>
      <c r="B1168" s="874" t="s">
        <v>236</v>
      </c>
      <c r="C1168" s="857"/>
      <c r="D1168" s="857"/>
      <c r="E1168" s="857"/>
      <c r="F1168" s="857"/>
      <c r="G1168" s="857"/>
      <c r="H1168" s="1034"/>
    </row>
    <row r="1169" spans="1:36" s="1180" customFormat="1" ht="15" x14ac:dyDescent="0.25">
      <c r="A1169" s="605">
        <v>1139</v>
      </c>
      <c r="B1169" s="1130" t="s">
        <v>3332</v>
      </c>
      <c r="C1169" s="857"/>
      <c r="D1169" s="857"/>
      <c r="E1169" s="857"/>
      <c r="F1169" s="857"/>
      <c r="G1169" s="857"/>
      <c r="H1169" s="1034"/>
    </row>
    <row r="1170" spans="1:36" s="598" customFormat="1" ht="15" x14ac:dyDescent="0.25">
      <c r="A1170" s="605">
        <v>1140</v>
      </c>
      <c r="B1170" s="874" t="s">
        <v>512</v>
      </c>
      <c r="C1170" s="857"/>
      <c r="D1170" s="857"/>
      <c r="E1170" s="857"/>
      <c r="F1170" s="857"/>
      <c r="G1170" s="857"/>
      <c r="H1170" s="1034"/>
    </row>
    <row r="1171" spans="1:36" s="598" customFormat="1" ht="15" x14ac:dyDescent="0.25">
      <c r="A1171" s="605">
        <v>1141</v>
      </c>
      <c r="B1171" s="874" t="s">
        <v>299</v>
      </c>
      <c r="C1171" s="857"/>
      <c r="D1171" s="857"/>
      <c r="E1171" s="857"/>
      <c r="F1171" s="857"/>
      <c r="G1171" s="857"/>
      <c r="H1171" s="1034"/>
    </row>
    <row r="1172" spans="1:36" s="598" customFormat="1" ht="30" x14ac:dyDescent="0.25">
      <c r="A1172" s="605">
        <v>1142</v>
      </c>
      <c r="B1172" s="868" t="s">
        <v>2842</v>
      </c>
      <c r="C1172" s="857"/>
      <c r="D1172" s="857"/>
      <c r="E1172" s="857"/>
      <c r="F1172" s="857"/>
      <c r="G1172" s="857"/>
      <c r="H1172" s="1034"/>
    </row>
    <row r="1173" spans="1:36" ht="15" x14ac:dyDescent="0.2">
      <c r="A1173" s="605">
        <v>1143</v>
      </c>
      <c r="B1173" s="855" t="s">
        <v>2841</v>
      </c>
      <c r="C1173" s="855"/>
      <c r="D1173" s="855"/>
      <c r="E1173" s="855"/>
      <c r="F1173" s="855"/>
      <c r="G1173" s="855"/>
      <c r="H1173" s="1025"/>
      <c r="AF1173" s="347"/>
      <c r="AG1173" s="347"/>
      <c r="AH1173" s="347"/>
      <c r="AI1173" s="347"/>
      <c r="AJ1173" s="347"/>
    </row>
    <row r="1174" spans="1:36" ht="30" x14ac:dyDescent="0.25">
      <c r="A1174" s="605">
        <v>1144</v>
      </c>
      <c r="B1174" s="865" t="s">
        <v>2840</v>
      </c>
      <c r="C1174" s="278"/>
      <c r="D1174" s="278"/>
      <c r="E1174" s="278"/>
      <c r="F1174" s="278"/>
      <c r="G1174" s="278"/>
      <c r="H1174" s="1063"/>
      <c r="AF1174" s="347"/>
      <c r="AG1174" s="347"/>
      <c r="AH1174" s="347"/>
      <c r="AI1174" s="347"/>
      <c r="AJ1174" s="347"/>
    </row>
    <row r="1175" spans="1:36" ht="15" x14ac:dyDescent="0.25">
      <c r="A1175" s="605">
        <v>1145</v>
      </c>
      <c r="B1175" s="860" t="s">
        <v>2839</v>
      </c>
      <c r="C1175" s="863"/>
      <c r="D1175" s="856"/>
      <c r="E1175" s="856"/>
      <c r="F1175" s="856"/>
      <c r="G1175" s="856"/>
      <c r="H1175" s="1063"/>
      <c r="AF1175" s="347"/>
      <c r="AG1175" s="347"/>
      <c r="AH1175" s="347"/>
      <c r="AI1175" s="347"/>
      <c r="AJ1175" s="347"/>
    </row>
    <row r="1176" spans="1:36" ht="15" x14ac:dyDescent="0.25">
      <c r="A1176" s="605">
        <v>1146</v>
      </c>
      <c r="B1176" s="858" t="s">
        <v>2838</v>
      </c>
      <c r="C1176" s="864"/>
      <c r="D1176" s="857"/>
      <c r="E1176" s="857"/>
      <c r="F1176" s="857"/>
      <c r="G1176" s="857"/>
      <c r="H1176" s="1034"/>
      <c r="AF1176" s="347"/>
      <c r="AG1176" s="347"/>
      <c r="AH1176" s="347"/>
      <c r="AI1176" s="347"/>
      <c r="AJ1176" s="347"/>
    </row>
    <row r="1177" spans="1:36" ht="15" x14ac:dyDescent="0.25">
      <c r="A1177" s="605">
        <v>1147</v>
      </c>
      <c r="B1177" s="858" t="s">
        <v>2837</v>
      </c>
      <c r="C1177" s="864"/>
      <c r="D1177" s="857"/>
      <c r="E1177" s="857"/>
      <c r="F1177" s="857"/>
      <c r="G1177" s="857"/>
      <c r="H1177" s="1034"/>
      <c r="AF1177" s="347"/>
      <c r="AG1177" s="347"/>
      <c r="AH1177" s="347"/>
      <c r="AI1177" s="347"/>
      <c r="AJ1177" s="347"/>
    </row>
    <row r="1178" spans="1:36" ht="15" x14ac:dyDescent="0.25">
      <c r="A1178" s="605">
        <v>1148</v>
      </c>
      <c r="B1178" s="860" t="s">
        <v>2072</v>
      </c>
      <c r="C1178" s="863"/>
      <c r="D1178" s="856"/>
      <c r="E1178" s="856"/>
      <c r="F1178" s="856"/>
      <c r="G1178" s="856"/>
      <c r="H1178" s="1063"/>
      <c r="AF1178" s="347"/>
      <c r="AG1178" s="347"/>
      <c r="AH1178" s="347"/>
      <c r="AI1178" s="347"/>
      <c r="AJ1178" s="347"/>
    </row>
    <row r="1179" spans="1:36" s="677" customFormat="1" ht="30" x14ac:dyDescent="0.25">
      <c r="A1179" s="605">
        <v>1149</v>
      </c>
      <c r="B1179" s="635" t="s">
        <v>2836</v>
      </c>
      <c r="C1179" s="864"/>
      <c r="D1179" s="989"/>
      <c r="E1179" s="989"/>
      <c r="F1179" s="989"/>
      <c r="G1179" s="989"/>
      <c r="H1179" s="1104"/>
    </row>
    <row r="1180" spans="1:36" s="677" customFormat="1" ht="15" x14ac:dyDescent="0.25">
      <c r="A1180" s="605">
        <v>1150</v>
      </c>
      <c r="B1180" s="635" t="s">
        <v>2835</v>
      </c>
      <c r="C1180" s="864"/>
      <c r="D1180" s="989"/>
      <c r="E1180" s="989"/>
      <c r="F1180" s="989"/>
      <c r="G1180" s="989"/>
      <c r="H1180" s="1104"/>
    </row>
    <row r="1181" spans="1:36" s="677" customFormat="1" ht="45" x14ac:dyDescent="0.25">
      <c r="A1181" s="605">
        <v>1151</v>
      </c>
      <c r="B1181" s="635" t="s">
        <v>2834</v>
      </c>
      <c r="C1181" s="864"/>
      <c r="D1181" s="989"/>
      <c r="E1181" s="989"/>
      <c r="F1181" s="989"/>
      <c r="G1181" s="989"/>
      <c r="H1181" s="1104"/>
    </row>
    <row r="1182" spans="1:36" s="677" customFormat="1" ht="30" x14ac:dyDescent="0.25">
      <c r="A1182" s="605">
        <v>1152</v>
      </c>
      <c r="B1182" s="635" t="s">
        <v>2833</v>
      </c>
      <c r="C1182" s="864"/>
      <c r="D1182" s="989"/>
      <c r="E1182" s="989"/>
      <c r="F1182" s="989"/>
      <c r="G1182" s="989"/>
      <c r="H1182" s="1104"/>
    </row>
    <row r="1183" spans="1:36" s="347" customFormat="1" ht="30" x14ac:dyDescent="0.25">
      <c r="A1183" s="605">
        <v>1153</v>
      </c>
      <c r="B1183" s="800" t="s">
        <v>2832</v>
      </c>
      <c r="C1183" s="804"/>
      <c r="D1183" s="804"/>
      <c r="E1183" s="804"/>
      <c r="F1183" s="804"/>
      <c r="G1183" s="804"/>
      <c r="H1183" s="1100"/>
    </row>
    <row r="1184" spans="1:36" ht="15" x14ac:dyDescent="0.2">
      <c r="A1184" s="605">
        <v>1154</v>
      </c>
      <c r="B1184" s="803" t="s">
        <v>1819</v>
      </c>
      <c r="C1184" s="795"/>
      <c r="D1184" s="795"/>
      <c r="E1184" s="795"/>
      <c r="F1184" s="795"/>
      <c r="G1184" s="795"/>
      <c r="H1184" s="1105"/>
      <c r="AF1184" s="347"/>
      <c r="AG1184" s="347"/>
      <c r="AH1184" s="347"/>
      <c r="AI1184" s="347"/>
      <c r="AJ1184" s="347"/>
    </row>
    <row r="1185" spans="1:36" ht="15" x14ac:dyDescent="0.25">
      <c r="A1185" s="605">
        <v>1155</v>
      </c>
      <c r="B1185" s="858" t="s">
        <v>2831</v>
      </c>
      <c r="C1185" s="857"/>
      <c r="D1185" s="857"/>
      <c r="E1185" s="857"/>
      <c r="F1185" s="857"/>
      <c r="G1185" s="857"/>
      <c r="H1185" s="1034"/>
      <c r="AF1185" s="347"/>
      <c r="AG1185" s="347"/>
      <c r="AH1185" s="347"/>
      <c r="AI1185" s="347"/>
      <c r="AJ1185" s="347"/>
    </row>
    <row r="1186" spans="1:36" ht="15" x14ac:dyDescent="0.25">
      <c r="A1186" s="605">
        <v>1156</v>
      </c>
      <c r="B1186" s="858" t="s">
        <v>2830</v>
      </c>
      <c r="C1186" s="857"/>
      <c r="D1186" s="857"/>
      <c r="E1186" s="857"/>
      <c r="F1186" s="857"/>
      <c r="G1186" s="857"/>
      <c r="H1186" s="1034"/>
      <c r="AF1186" s="347"/>
      <c r="AG1186" s="347"/>
      <c r="AH1186" s="347"/>
      <c r="AI1186" s="347"/>
      <c r="AJ1186" s="347"/>
    </row>
    <row r="1187" spans="1:36" ht="15" x14ac:dyDescent="0.25">
      <c r="A1187" s="605">
        <v>1157</v>
      </c>
      <c r="B1187" s="858" t="s">
        <v>2829</v>
      </c>
      <c r="C1187" s="857"/>
      <c r="D1187" s="857"/>
      <c r="E1187" s="857"/>
      <c r="F1187" s="857"/>
      <c r="G1187" s="857"/>
      <c r="H1187" s="1034"/>
      <c r="AF1187" s="347"/>
      <c r="AG1187" s="347"/>
      <c r="AH1187" s="347"/>
      <c r="AI1187" s="347"/>
      <c r="AJ1187" s="347"/>
    </row>
    <row r="1188" spans="1:36" ht="15" x14ac:dyDescent="0.25">
      <c r="A1188" s="605">
        <v>1158</v>
      </c>
      <c r="B1188" s="858" t="s">
        <v>100</v>
      </c>
      <c r="C1188" s="857"/>
      <c r="D1188" s="857"/>
      <c r="E1188" s="857"/>
      <c r="F1188" s="857"/>
      <c r="G1188" s="857"/>
      <c r="H1188" s="1034"/>
      <c r="AF1188" s="347"/>
      <c r="AG1188" s="347"/>
      <c r="AH1188" s="347"/>
      <c r="AI1188" s="347"/>
      <c r="AJ1188" s="347"/>
    </row>
    <row r="1189" spans="1:36" ht="15" x14ac:dyDescent="0.25">
      <c r="A1189" s="605">
        <v>1159</v>
      </c>
      <c r="B1189" s="858" t="s">
        <v>2828</v>
      </c>
      <c r="C1189" s="857"/>
      <c r="D1189" s="857"/>
      <c r="E1189" s="857"/>
      <c r="F1189" s="857"/>
      <c r="G1189" s="857"/>
      <c r="H1189" s="1034"/>
      <c r="AF1189" s="347"/>
      <c r="AG1189" s="347"/>
      <c r="AH1189" s="347"/>
      <c r="AI1189" s="347"/>
      <c r="AJ1189" s="347"/>
    </row>
    <row r="1190" spans="1:36" ht="15" x14ac:dyDescent="0.25">
      <c r="A1190" s="605">
        <v>1160</v>
      </c>
      <c r="B1190" s="858" t="s">
        <v>2827</v>
      </c>
      <c r="C1190" s="857"/>
      <c r="D1190" s="857"/>
      <c r="E1190" s="857"/>
      <c r="F1190" s="857"/>
      <c r="G1190" s="857"/>
      <c r="H1190" s="1034"/>
      <c r="AF1190" s="347"/>
      <c r="AG1190" s="347"/>
      <c r="AH1190" s="347"/>
      <c r="AI1190" s="347"/>
      <c r="AJ1190" s="347"/>
    </row>
    <row r="1191" spans="1:36" ht="15" x14ac:dyDescent="0.25">
      <c r="A1191" s="605">
        <v>1161</v>
      </c>
      <c r="B1191" s="858" t="s">
        <v>814</v>
      </c>
      <c r="C1191" s="857"/>
      <c r="D1191" s="857"/>
      <c r="E1191" s="857"/>
      <c r="F1191" s="857"/>
      <c r="G1191" s="857"/>
      <c r="H1191" s="1034"/>
      <c r="AF1191" s="347"/>
      <c r="AG1191" s="347"/>
      <c r="AH1191" s="347"/>
      <c r="AI1191" s="347"/>
      <c r="AJ1191" s="347"/>
    </row>
    <row r="1192" spans="1:36" ht="15" x14ac:dyDescent="0.25">
      <c r="A1192" s="605">
        <v>1162</v>
      </c>
      <c r="B1192" s="858" t="s">
        <v>2826</v>
      </c>
      <c r="C1192" s="857"/>
      <c r="D1192" s="857"/>
      <c r="E1192" s="857"/>
      <c r="F1192" s="857"/>
      <c r="G1192" s="857"/>
      <c r="H1192" s="1034"/>
      <c r="AF1192" s="347"/>
      <c r="AG1192" s="347"/>
      <c r="AH1192" s="347"/>
      <c r="AI1192" s="347"/>
      <c r="AJ1192" s="347"/>
    </row>
    <row r="1193" spans="1:36" ht="15" x14ac:dyDescent="0.25">
      <c r="A1193" s="605">
        <v>1163</v>
      </c>
      <c r="B1193" s="858" t="s">
        <v>2825</v>
      </c>
      <c r="C1193" s="857"/>
      <c r="D1193" s="857"/>
      <c r="E1193" s="857"/>
      <c r="F1193" s="857"/>
      <c r="G1193" s="857"/>
      <c r="H1193" s="1034"/>
      <c r="AF1193" s="347"/>
      <c r="AG1193" s="347"/>
      <c r="AH1193" s="347"/>
      <c r="AI1193" s="347"/>
      <c r="AJ1193" s="347"/>
    </row>
    <row r="1194" spans="1:36" ht="15" x14ac:dyDescent="0.25">
      <c r="A1194" s="605">
        <v>1164</v>
      </c>
      <c r="B1194" s="858" t="s">
        <v>2824</v>
      </c>
      <c r="C1194" s="857"/>
      <c r="D1194" s="857"/>
      <c r="E1194" s="857"/>
      <c r="F1194" s="857"/>
      <c r="G1194" s="857"/>
      <c r="H1194" s="1034"/>
      <c r="AF1194" s="347"/>
      <c r="AG1194" s="347"/>
      <c r="AH1194" s="347"/>
      <c r="AI1194" s="347"/>
      <c r="AJ1194" s="347"/>
    </row>
    <row r="1195" spans="1:36" s="347" customFormat="1" ht="15" x14ac:dyDescent="0.2">
      <c r="A1195" s="605">
        <v>1165</v>
      </c>
      <c r="B1195" s="805" t="s">
        <v>2823</v>
      </c>
      <c r="C1195" s="797"/>
      <c r="D1195" s="797"/>
      <c r="E1195" s="797"/>
      <c r="F1195" s="797"/>
      <c r="G1195" s="797"/>
      <c r="H1195" s="1093"/>
    </row>
    <row r="1196" spans="1:36" s="347" customFormat="1" ht="15" x14ac:dyDescent="0.2">
      <c r="A1196" s="605">
        <v>1166</v>
      </c>
      <c r="B1196" s="805" t="s">
        <v>2822</v>
      </c>
      <c r="C1196" s="797"/>
      <c r="D1196" s="797"/>
      <c r="E1196" s="797"/>
      <c r="F1196" s="797"/>
      <c r="G1196" s="797"/>
      <c r="H1196" s="1093"/>
    </row>
    <row r="1197" spans="1:36" s="347" customFormat="1" ht="15" x14ac:dyDescent="0.2">
      <c r="A1197" s="605">
        <v>1167</v>
      </c>
      <c r="B1197" s="805" t="s">
        <v>2821</v>
      </c>
      <c r="C1197" s="797"/>
      <c r="D1197" s="797"/>
      <c r="E1197" s="797"/>
      <c r="F1197" s="797"/>
      <c r="G1197" s="797"/>
      <c r="H1197" s="1093"/>
    </row>
    <row r="1198" spans="1:36" s="598" customFormat="1" ht="15" x14ac:dyDescent="0.2">
      <c r="A1198" s="605">
        <v>1168</v>
      </c>
      <c r="B1198" s="805" t="s">
        <v>2820</v>
      </c>
      <c r="C1198" s="797"/>
      <c r="D1198" s="797"/>
      <c r="E1198" s="797"/>
      <c r="F1198" s="797"/>
      <c r="G1198" s="797"/>
      <c r="H1198" s="1093"/>
    </row>
    <row r="1199" spans="1:36" s="411" customFormat="1" ht="15" x14ac:dyDescent="0.2">
      <c r="A1199" s="605">
        <v>1169</v>
      </c>
      <c r="B1199" s="853" t="s">
        <v>2819</v>
      </c>
      <c r="C1199" s="804"/>
      <c r="D1199" s="804"/>
      <c r="E1199" s="804"/>
      <c r="F1199" s="804"/>
      <c r="G1199" s="804"/>
      <c r="H1199" s="1092"/>
      <c r="I1199" s="347"/>
      <c r="J1199" s="347"/>
      <c r="K1199" s="347"/>
      <c r="L1199" s="347"/>
      <c r="M1199" s="347"/>
      <c r="N1199" s="347"/>
      <c r="O1199" s="347"/>
      <c r="P1199" s="347"/>
      <c r="Q1199" s="347"/>
      <c r="R1199" s="347"/>
      <c r="S1199" s="347"/>
      <c r="T1199" s="347"/>
      <c r="U1199" s="347"/>
      <c r="V1199" s="347"/>
      <c r="W1199" s="347"/>
      <c r="X1199" s="347"/>
      <c r="Y1199" s="347"/>
      <c r="Z1199" s="347"/>
      <c r="AA1199" s="347"/>
      <c r="AB1199" s="347"/>
      <c r="AC1199" s="347"/>
      <c r="AD1199" s="347"/>
      <c r="AE1199" s="347"/>
      <c r="AF1199" s="347"/>
      <c r="AG1199" s="347"/>
      <c r="AH1199" s="347"/>
      <c r="AI1199" s="347"/>
      <c r="AJ1199" s="347"/>
    </row>
    <row r="1200" spans="1:36" s="411" customFormat="1" ht="15" x14ac:dyDescent="0.2">
      <c r="A1200" s="605">
        <v>1170</v>
      </c>
      <c r="B1200" s="806" t="s">
        <v>2818</v>
      </c>
      <c r="C1200" s="840"/>
      <c r="D1200" s="840"/>
      <c r="E1200" s="840"/>
      <c r="F1200" s="840"/>
      <c r="G1200" s="840"/>
      <c r="H1200" s="1092"/>
      <c r="I1200" s="347"/>
      <c r="J1200" s="347"/>
      <c r="K1200" s="347"/>
      <c r="L1200" s="347"/>
      <c r="M1200" s="347"/>
      <c r="N1200" s="347"/>
      <c r="O1200" s="347"/>
      <c r="P1200" s="347"/>
      <c r="Q1200" s="347"/>
      <c r="R1200" s="347"/>
      <c r="S1200" s="347"/>
      <c r="T1200" s="347"/>
      <c r="U1200" s="347"/>
      <c r="V1200" s="347"/>
      <c r="W1200" s="347"/>
      <c r="X1200" s="347"/>
      <c r="Y1200" s="347"/>
      <c r="Z1200" s="347"/>
      <c r="AA1200" s="347"/>
      <c r="AB1200" s="347"/>
      <c r="AC1200" s="347"/>
      <c r="AD1200" s="347"/>
      <c r="AE1200" s="347"/>
      <c r="AF1200" s="347"/>
      <c r="AG1200" s="347"/>
      <c r="AH1200" s="347"/>
      <c r="AI1200" s="347"/>
      <c r="AJ1200" s="347"/>
    </row>
    <row r="1201" spans="1:36" s="411" customFormat="1" ht="30" x14ac:dyDescent="0.2">
      <c r="A1201" s="605">
        <v>1171</v>
      </c>
      <c r="B1201" s="806" t="s">
        <v>2817</v>
      </c>
      <c r="C1201" s="840"/>
      <c r="D1201" s="840"/>
      <c r="E1201" s="840"/>
      <c r="F1201" s="840"/>
      <c r="G1201" s="840"/>
      <c r="H1201" s="1092"/>
      <c r="I1201" s="347"/>
      <c r="J1201" s="347"/>
      <c r="K1201" s="347"/>
      <c r="L1201" s="347"/>
      <c r="M1201" s="347"/>
      <c r="N1201" s="347"/>
      <c r="O1201" s="347"/>
      <c r="P1201" s="347"/>
      <c r="Q1201" s="347"/>
      <c r="R1201" s="347"/>
      <c r="S1201" s="347"/>
      <c r="T1201" s="347"/>
      <c r="U1201" s="347"/>
      <c r="V1201" s="347"/>
      <c r="W1201" s="347"/>
      <c r="X1201" s="347"/>
      <c r="Y1201" s="347"/>
      <c r="Z1201" s="347"/>
      <c r="AA1201" s="347"/>
      <c r="AB1201" s="347"/>
      <c r="AC1201" s="347"/>
      <c r="AD1201" s="347"/>
      <c r="AE1201" s="347"/>
      <c r="AF1201" s="347"/>
      <c r="AG1201" s="347"/>
      <c r="AH1201" s="347"/>
      <c r="AI1201" s="347"/>
      <c r="AJ1201" s="347"/>
    </row>
    <row r="1202" spans="1:36" ht="15" x14ac:dyDescent="0.2">
      <c r="A1202" s="605">
        <v>1172</v>
      </c>
      <c r="B1202" s="801" t="s">
        <v>2816</v>
      </c>
      <c r="C1202" s="797"/>
      <c r="D1202" s="797"/>
      <c r="E1202" s="797"/>
      <c r="F1202" s="797"/>
      <c r="G1202" s="797"/>
      <c r="H1202" s="1093"/>
      <c r="AF1202" s="347"/>
      <c r="AG1202" s="347"/>
      <c r="AH1202" s="347"/>
      <c r="AI1202" s="347"/>
      <c r="AJ1202" s="347"/>
    </row>
    <row r="1203" spans="1:36" s="411" customFormat="1" ht="15" x14ac:dyDescent="0.2">
      <c r="A1203" s="605">
        <v>1173</v>
      </c>
      <c r="B1203" s="853" t="s">
        <v>2815</v>
      </c>
      <c r="C1203" s="804"/>
      <c r="D1203" s="804"/>
      <c r="E1203" s="804"/>
      <c r="F1203" s="804"/>
      <c r="G1203" s="804"/>
      <c r="H1203" s="1092"/>
      <c r="I1203" s="347"/>
      <c r="J1203" s="347"/>
      <c r="K1203" s="347"/>
      <c r="L1203" s="347"/>
      <c r="M1203" s="347"/>
      <c r="N1203" s="347"/>
      <c r="O1203" s="347"/>
      <c r="P1203" s="347"/>
      <c r="Q1203" s="347"/>
      <c r="R1203" s="347"/>
      <c r="S1203" s="347"/>
      <c r="T1203" s="347"/>
      <c r="U1203" s="347"/>
      <c r="V1203" s="347"/>
      <c r="W1203" s="347"/>
      <c r="X1203" s="347"/>
      <c r="Y1203" s="347"/>
      <c r="Z1203" s="347"/>
      <c r="AA1203" s="347"/>
      <c r="AB1203" s="347"/>
      <c r="AC1203" s="347"/>
      <c r="AD1203" s="347"/>
      <c r="AE1203" s="347"/>
      <c r="AF1203" s="347"/>
      <c r="AG1203" s="347"/>
      <c r="AH1203" s="347"/>
      <c r="AI1203" s="347"/>
      <c r="AJ1203" s="347"/>
    </row>
    <row r="1204" spans="1:36" s="411" customFormat="1" ht="30" x14ac:dyDescent="0.2">
      <c r="A1204" s="605">
        <v>1174</v>
      </c>
      <c r="B1204" s="806" t="s">
        <v>2814</v>
      </c>
      <c r="C1204" s="840"/>
      <c r="D1204" s="840"/>
      <c r="E1204" s="840"/>
      <c r="F1204" s="840"/>
      <c r="G1204" s="840"/>
      <c r="H1204" s="1092"/>
      <c r="I1204" s="347"/>
      <c r="J1204" s="347"/>
      <c r="K1204" s="347"/>
      <c r="L1204" s="347"/>
      <c r="M1204" s="347"/>
      <c r="N1204" s="347"/>
      <c r="O1204" s="347"/>
      <c r="P1204" s="347"/>
      <c r="Q1204" s="347"/>
      <c r="R1204" s="347"/>
      <c r="S1204" s="347"/>
      <c r="T1204" s="347"/>
      <c r="U1204" s="347"/>
      <c r="V1204" s="347"/>
      <c r="W1204" s="347"/>
      <c r="X1204" s="347"/>
      <c r="Y1204" s="347"/>
      <c r="Z1204" s="347"/>
      <c r="AA1204" s="347"/>
      <c r="AB1204" s="347"/>
      <c r="AC1204" s="347"/>
      <c r="AD1204" s="347"/>
      <c r="AE1204" s="347"/>
      <c r="AF1204" s="347"/>
      <c r="AG1204" s="347"/>
      <c r="AH1204" s="347"/>
      <c r="AI1204" s="347"/>
      <c r="AJ1204" s="347"/>
    </row>
    <row r="1205" spans="1:36" s="411" customFormat="1" ht="15" x14ac:dyDescent="0.25">
      <c r="A1205" s="605">
        <v>1175</v>
      </c>
      <c r="B1205" s="862" t="s">
        <v>236</v>
      </c>
      <c r="C1205" s="861"/>
      <c r="D1205" s="861"/>
      <c r="E1205" s="861"/>
      <c r="F1205" s="840"/>
      <c r="G1205" s="840"/>
      <c r="H1205" s="1092"/>
      <c r="I1205" s="347"/>
      <c r="J1205" s="347"/>
      <c r="K1205" s="347"/>
      <c r="L1205" s="347"/>
      <c r="M1205" s="347"/>
      <c r="N1205" s="347"/>
      <c r="O1205" s="347"/>
      <c r="P1205" s="347"/>
      <c r="Q1205" s="347"/>
      <c r="R1205" s="347"/>
      <c r="S1205" s="347"/>
      <c r="T1205" s="347"/>
      <c r="U1205" s="347"/>
      <c r="V1205" s="347"/>
      <c r="W1205" s="347"/>
      <c r="X1205" s="347"/>
      <c r="Y1205" s="347"/>
      <c r="Z1205" s="347"/>
      <c r="AA1205" s="347"/>
      <c r="AB1205" s="347"/>
      <c r="AC1205" s="347"/>
      <c r="AD1205" s="347"/>
      <c r="AE1205" s="347"/>
      <c r="AF1205" s="347"/>
      <c r="AG1205" s="347"/>
      <c r="AH1205" s="347"/>
      <c r="AI1205" s="347"/>
      <c r="AJ1205" s="347"/>
    </row>
    <row r="1206" spans="1:36" s="411" customFormat="1" ht="15" x14ac:dyDescent="0.2">
      <c r="A1206" s="605">
        <v>1176</v>
      </c>
      <c r="B1206" s="806" t="s">
        <v>100</v>
      </c>
      <c r="C1206" s="840"/>
      <c r="D1206" s="840"/>
      <c r="E1206" s="840"/>
      <c r="F1206" s="840"/>
      <c r="G1206" s="840"/>
      <c r="H1206" s="1092"/>
      <c r="I1206" s="347"/>
      <c r="J1206" s="347"/>
      <c r="K1206" s="347"/>
      <c r="L1206" s="347"/>
      <c r="M1206" s="347"/>
      <c r="N1206" s="347"/>
      <c r="O1206" s="347"/>
      <c r="P1206" s="347"/>
      <c r="Q1206" s="347"/>
      <c r="R1206" s="347"/>
      <c r="S1206" s="347"/>
      <c r="T1206" s="347"/>
      <c r="U1206" s="347"/>
      <c r="V1206" s="347"/>
      <c r="W1206" s="347"/>
      <c r="X1206" s="347"/>
      <c r="Y1206" s="347"/>
      <c r="Z1206" s="347"/>
      <c r="AA1206" s="347"/>
      <c r="AB1206" s="347"/>
      <c r="AC1206" s="347"/>
      <c r="AD1206" s="347"/>
      <c r="AE1206" s="347"/>
      <c r="AF1206" s="347"/>
      <c r="AG1206" s="347"/>
      <c r="AH1206" s="347"/>
      <c r="AI1206" s="347"/>
      <c r="AJ1206" s="347"/>
    </row>
    <row r="1207" spans="1:36" ht="30" x14ac:dyDescent="0.2">
      <c r="A1207" s="605">
        <v>1177</v>
      </c>
      <c r="B1207" s="805" t="s">
        <v>2813</v>
      </c>
      <c r="C1207" s="797"/>
      <c r="D1207" s="797"/>
      <c r="E1207" s="797"/>
      <c r="F1207" s="797"/>
      <c r="G1207" s="797"/>
      <c r="H1207" s="1093"/>
      <c r="AF1207" s="347"/>
      <c r="AG1207" s="347"/>
      <c r="AH1207" s="347"/>
      <c r="AI1207" s="347"/>
      <c r="AJ1207" s="347"/>
    </row>
    <row r="1208" spans="1:36" s="411" customFormat="1" ht="15" x14ac:dyDescent="0.25">
      <c r="A1208" s="605">
        <v>1178</v>
      </c>
      <c r="B1208" s="860" t="s">
        <v>2595</v>
      </c>
      <c r="C1208" s="856"/>
      <c r="D1208" s="856"/>
      <c r="E1208" s="856"/>
      <c r="F1208" s="856"/>
      <c r="G1208" s="856"/>
      <c r="H1208" s="1063"/>
      <c r="I1208" s="347"/>
      <c r="J1208" s="347"/>
      <c r="K1208" s="347"/>
      <c r="L1208" s="347"/>
      <c r="M1208" s="347"/>
      <c r="N1208" s="347"/>
      <c r="O1208" s="347"/>
      <c r="P1208" s="347"/>
      <c r="Q1208" s="347"/>
      <c r="R1208" s="347"/>
      <c r="S1208" s="347"/>
      <c r="T1208" s="347"/>
      <c r="U1208" s="347"/>
      <c r="V1208" s="347"/>
      <c r="W1208" s="347"/>
      <c r="X1208" s="347"/>
      <c r="Y1208" s="347"/>
      <c r="Z1208" s="347"/>
      <c r="AA1208" s="347"/>
      <c r="AB1208" s="347"/>
      <c r="AC1208" s="347"/>
      <c r="AD1208" s="347"/>
      <c r="AE1208" s="347"/>
      <c r="AF1208" s="347"/>
      <c r="AG1208" s="347"/>
      <c r="AH1208" s="347"/>
      <c r="AI1208" s="347"/>
      <c r="AJ1208" s="347"/>
    </row>
    <row r="1209" spans="1:36" ht="15" x14ac:dyDescent="0.25">
      <c r="A1209" s="605">
        <v>1179</v>
      </c>
      <c r="B1209" s="858" t="s">
        <v>2812</v>
      </c>
      <c r="C1209" s="856"/>
      <c r="D1209" s="856"/>
      <c r="E1209" s="856"/>
      <c r="F1209" s="856"/>
      <c r="G1209" s="856"/>
      <c r="H1209" s="1034"/>
      <c r="AF1209" s="347"/>
      <c r="AG1209" s="347"/>
      <c r="AH1209" s="347"/>
      <c r="AI1209" s="347"/>
      <c r="AJ1209" s="347"/>
    </row>
    <row r="1210" spans="1:36" ht="15" x14ac:dyDescent="0.2">
      <c r="A1210" s="605">
        <v>1180</v>
      </c>
      <c r="B1210" s="855" t="s">
        <v>2811</v>
      </c>
      <c r="C1210" s="855"/>
      <c r="D1210" s="855"/>
      <c r="E1210" s="855"/>
      <c r="F1210" s="855"/>
      <c r="G1210" s="855"/>
      <c r="H1210" s="1025"/>
      <c r="AF1210" s="347"/>
      <c r="AG1210" s="347"/>
      <c r="AH1210" s="347"/>
      <c r="AI1210" s="347"/>
      <c r="AJ1210" s="347"/>
    </row>
    <row r="1211" spans="1:36" ht="30" x14ac:dyDescent="0.25">
      <c r="A1211" s="605">
        <v>1181</v>
      </c>
      <c r="B1211" s="635" t="s">
        <v>2810</v>
      </c>
      <c r="C1211" s="857"/>
      <c r="D1211" s="857"/>
      <c r="E1211" s="857"/>
      <c r="F1211" s="857"/>
      <c r="G1211" s="857"/>
      <c r="H1211" s="1037"/>
      <c r="AF1211" s="347"/>
      <c r="AG1211" s="347"/>
      <c r="AH1211" s="347"/>
      <c r="AI1211" s="347"/>
      <c r="AJ1211" s="347"/>
    </row>
    <row r="1212" spans="1:36" ht="60" x14ac:dyDescent="0.25">
      <c r="A1212" s="605">
        <v>1182</v>
      </c>
      <c r="B1212" s="635" t="s">
        <v>2809</v>
      </c>
      <c r="C1212" s="859"/>
      <c r="D1212" s="859"/>
      <c r="E1212" s="859"/>
      <c r="F1212" s="859"/>
      <c r="G1212" s="859"/>
      <c r="H1212" s="1037"/>
      <c r="AF1212" s="347"/>
      <c r="AG1212" s="347"/>
      <c r="AH1212" s="347"/>
      <c r="AI1212" s="347"/>
      <c r="AJ1212" s="347"/>
    </row>
    <row r="1213" spans="1:36" ht="15" x14ac:dyDescent="0.25">
      <c r="A1213" s="605">
        <v>1183</v>
      </c>
      <c r="B1213" s="858" t="s">
        <v>1819</v>
      </c>
      <c r="C1213" s="857"/>
      <c r="D1213" s="857"/>
      <c r="E1213" s="857"/>
      <c r="F1213" s="857"/>
      <c r="G1213" s="857"/>
      <c r="H1213" s="1037"/>
      <c r="AF1213" s="347"/>
      <c r="AG1213" s="347"/>
      <c r="AH1213" s="347"/>
      <c r="AI1213" s="347"/>
      <c r="AJ1213" s="347"/>
    </row>
    <row r="1214" spans="1:36" ht="15" x14ac:dyDescent="0.25">
      <c r="A1214" s="605">
        <v>1184</v>
      </c>
      <c r="B1214" s="858" t="s">
        <v>236</v>
      </c>
      <c r="C1214" s="857"/>
      <c r="D1214" s="857"/>
      <c r="E1214" s="857"/>
      <c r="F1214" s="857"/>
      <c r="G1214" s="857"/>
      <c r="H1214" s="1037"/>
      <c r="AF1214" s="347"/>
      <c r="AG1214" s="347"/>
      <c r="AH1214" s="347"/>
      <c r="AI1214" s="347"/>
      <c r="AJ1214" s="347"/>
    </row>
    <row r="1215" spans="1:36" ht="15" x14ac:dyDescent="0.25">
      <c r="A1215" s="605">
        <v>1185</v>
      </c>
      <c r="B1215" s="858" t="s">
        <v>2808</v>
      </c>
      <c r="C1215" s="857"/>
      <c r="D1215" s="857"/>
      <c r="E1215" s="857"/>
      <c r="F1215" s="857"/>
      <c r="G1215" s="857"/>
      <c r="H1215" s="1037"/>
      <c r="AF1215" s="347"/>
      <c r="AG1215" s="347"/>
      <c r="AH1215" s="347"/>
      <c r="AI1215" s="347"/>
      <c r="AJ1215" s="347"/>
    </row>
    <row r="1216" spans="1:36" ht="15" x14ac:dyDescent="0.25">
      <c r="A1216" s="605">
        <v>1186</v>
      </c>
      <c r="B1216" s="858" t="s">
        <v>2807</v>
      </c>
      <c r="C1216" s="857"/>
      <c r="D1216" s="857"/>
      <c r="E1216" s="857"/>
      <c r="F1216" s="857"/>
      <c r="G1216" s="857"/>
      <c r="H1216" s="1037"/>
      <c r="AF1216" s="347"/>
      <c r="AG1216" s="347"/>
      <c r="AH1216" s="347"/>
      <c r="AI1216" s="347"/>
      <c r="AJ1216" s="347"/>
    </row>
    <row r="1217" spans="1:36" ht="15" x14ac:dyDescent="0.25">
      <c r="A1217" s="605">
        <v>1187</v>
      </c>
      <c r="B1217" s="858" t="s">
        <v>2806</v>
      </c>
      <c r="C1217" s="857"/>
      <c r="D1217" s="857"/>
      <c r="E1217" s="857"/>
      <c r="F1217" s="857"/>
      <c r="G1217" s="857"/>
      <c r="H1217" s="1037"/>
      <c r="AF1217" s="347"/>
      <c r="AG1217" s="347"/>
      <c r="AH1217" s="347"/>
      <c r="AI1217" s="347"/>
      <c r="AJ1217" s="347"/>
    </row>
    <row r="1218" spans="1:36" ht="15" x14ac:dyDescent="0.25">
      <c r="A1218" s="605">
        <v>1188</v>
      </c>
      <c r="B1218" s="858" t="s">
        <v>2805</v>
      </c>
      <c r="C1218" s="857"/>
      <c r="D1218" s="857"/>
      <c r="E1218" s="857"/>
      <c r="F1218" s="857"/>
      <c r="G1218" s="857"/>
      <c r="H1218" s="1037"/>
      <c r="AF1218" s="347"/>
      <c r="AG1218" s="347"/>
      <c r="AH1218" s="347"/>
      <c r="AI1218" s="347"/>
      <c r="AJ1218" s="347"/>
    </row>
    <row r="1219" spans="1:36" ht="30" x14ac:dyDescent="0.25">
      <c r="A1219" s="605">
        <v>1189</v>
      </c>
      <c r="B1219" s="638" t="s">
        <v>2804</v>
      </c>
      <c r="C1219" s="856"/>
      <c r="D1219" s="856"/>
      <c r="E1219" s="856"/>
      <c r="F1219" s="856"/>
      <c r="G1219" s="856"/>
      <c r="H1219" s="1063"/>
      <c r="AF1219" s="347"/>
      <c r="AG1219" s="347"/>
      <c r="AH1219" s="347"/>
      <c r="AI1219" s="347"/>
      <c r="AJ1219" s="347"/>
    </row>
    <row r="1220" spans="1:36" ht="30" x14ac:dyDescent="0.25">
      <c r="A1220" s="605">
        <v>1190</v>
      </c>
      <c r="B1220" s="1126" t="s">
        <v>3431</v>
      </c>
      <c r="C1220" s="856"/>
      <c r="D1220" s="856"/>
      <c r="E1220" s="856"/>
      <c r="F1220" s="856"/>
      <c r="G1220" s="856"/>
      <c r="H1220" s="1063" t="s">
        <v>3412</v>
      </c>
      <c r="I1220" s="1123"/>
      <c r="J1220" s="1123"/>
      <c r="K1220" s="1123"/>
      <c r="L1220" s="1123"/>
      <c r="M1220" s="1123"/>
      <c r="N1220" s="1123"/>
      <c r="O1220" s="1123"/>
      <c r="P1220" s="1123"/>
      <c r="Q1220" s="1123"/>
      <c r="R1220" s="1123"/>
      <c r="S1220" s="1123"/>
      <c r="T1220" s="1123"/>
      <c r="U1220" s="1123"/>
      <c r="V1220" s="1123"/>
      <c r="W1220" s="1123"/>
      <c r="X1220" s="1123"/>
      <c r="Y1220" s="1123"/>
      <c r="Z1220" s="1123"/>
      <c r="AA1220" s="1123"/>
      <c r="AB1220" s="1123"/>
      <c r="AC1220" s="1123"/>
      <c r="AD1220" s="1123"/>
      <c r="AE1220" s="1123"/>
      <c r="AF1220" s="1123"/>
      <c r="AG1220" s="1123"/>
      <c r="AH1220" s="1123"/>
      <c r="AI1220" s="1123"/>
      <c r="AJ1220" s="1123"/>
    </row>
    <row r="1221" spans="1:36" ht="15" x14ac:dyDescent="0.25">
      <c r="A1221" s="605">
        <v>1191</v>
      </c>
      <c r="B1221" s="852" t="s">
        <v>2803</v>
      </c>
      <c r="C1221" s="845"/>
      <c r="D1221" s="845"/>
      <c r="E1221" s="845"/>
      <c r="F1221" s="845"/>
      <c r="G1221" s="845"/>
      <c r="H1221" s="1029"/>
      <c r="U1221" s="345"/>
      <c r="V1221" s="345"/>
      <c r="W1221" s="345"/>
      <c r="X1221" s="345"/>
      <c r="Y1221" s="345"/>
      <c r="Z1221" s="345"/>
      <c r="AA1221" s="345"/>
      <c r="AB1221" s="345"/>
      <c r="AC1221" s="345"/>
      <c r="AD1221" s="345"/>
      <c r="AE1221" s="345"/>
    </row>
    <row r="1222" spans="1:36" ht="15" x14ac:dyDescent="0.2">
      <c r="A1222" s="605">
        <v>1192</v>
      </c>
      <c r="B1222" s="855" t="s">
        <v>2802</v>
      </c>
      <c r="C1222" s="855"/>
      <c r="D1222" s="855"/>
      <c r="E1222" s="855"/>
      <c r="F1222" s="855"/>
      <c r="G1222" s="855"/>
      <c r="H1222" s="1025"/>
      <c r="U1222" s="345"/>
      <c r="V1222" s="345"/>
      <c r="W1222" s="345"/>
      <c r="X1222" s="345"/>
      <c r="Y1222" s="345"/>
      <c r="Z1222" s="345"/>
      <c r="AA1222" s="345"/>
      <c r="AB1222" s="345"/>
      <c r="AC1222" s="345"/>
      <c r="AD1222" s="345"/>
      <c r="AE1222" s="345"/>
    </row>
    <row r="1223" spans="1:36" s="598" customFormat="1" ht="30" x14ac:dyDescent="0.2">
      <c r="A1223" s="605">
        <v>1193</v>
      </c>
      <c r="B1223" s="800" t="s">
        <v>2801</v>
      </c>
      <c r="C1223" s="797"/>
      <c r="D1223" s="797"/>
      <c r="E1223" s="797"/>
      <c r="F1223" s="797"/>
      <c r="G1223" s="797"/>
      <c r="H1223" s="1054"/>
    </row>
    <row r="1224" spans="1:36" ht="30" x14ac:dyDescent="0.2">
      <c r="A1224" s="605">
        <v>1194</v>
      </c>
      <c r="B1224" s="854" t="s">
        <v>2800</v>
      </c>
      <c r="C1224" s="840"/>
      <c r="D1224" s="840"/>
      <c r="E1224" s="840"/>
      <c r="F1224" s="840"/>
      <c r="G1224" s="840"/>
      <c r="H1224" s="1054"/>
      <c r="U1224" s="345"/>
      <c r="V1224" s="345"/>
      <c r="W1224" s="345"/>
      <c r="X1224" s="345"/>
      <c r="Y1224" s="345"/>
      <c r="Z1224" s="345"/>
      <c r="AA1224" s="345"/>
      <c r="AB1224" s="345"/>
      <c r="AC1224" s="345"/>
      <c r="AD1224" s="345"/>
      <c r="AE1224" s="345"/>
    </row>
    <row r="1225" spans="1:36" ht="30" x14ac:dyDescent="0.2">
      <c r="A1225" s="605">
        <v>1195</v>
      </c>
      <c r="B1225" s="854" t="s">
        <v>2799</v>
      </c>
      <c r="C1225" s="840"/>
      <c r="D1225" s="840"/>
      <c r="E1225" s="840"/>
      <c r="F1225" s="840"/>
      <c r="G1225" s="840"/>
      <c r="H1225" s="1054"/>
      <c r="U1225" s="345"/>
      <c r="V1225" s="345"/>
      <c r="W1225" s="345"/>
      <c r="X1225" s="345"/>
      <c r="Y1225" s="345"/>
      <c r="Z1225" s="345"/>
      <c r="AA1225" s="345"/>
      <c r="AB1225" s="345"/>
      <c r="AC1225" s="345"/>
      <c r="AD1225" s="345"/>
      <c r="AE1225" s="345"/>
    </row>
    <row r="1226" spans="1:36" ht="15" x14ac:dyDescent="0.2">
      <c r="A1226" s="605">
        <v>1196</v>
      </c>
      <c r="B1226" s="694" t="s">
        <v>2798</v>
      </c>
      <c r="C1226" s="840"/>
      <c r="D1226" s="840"/>
      <c r="E1226" s="840"/>
      <c r="F1226" s="840"/>
      <c r="G1226" s="840"/>
      <c r="H1226" s="1092"/>
      <c r="U1226" s="345"/>
      <c r="V1226" s="345"/>
      <c r="W1226" s="345"/>
      <c r="X1226" s="345"/>
      <c r="Y1226" s="345"/>
      <c r="Z1226" s="345"/>
      <c r="AA1226" s="345"/>
      <c r="AB1226" s="345"/>
      <c r="AC1226" s="345"/>
      <c r="AD1226" s="345"/>
      <c r="AE1226" s="345"/>
    </row>
    <row r="1227" spans="1:36" ht="15" x14ac:dyDescent="0.2">
      <c r="A1227" s="605">
        <v>1197</v>
      </c>
      <c r="B1227" s="694" t="s">
        <v>2797</v>
      </c>
      <c r="C1227" s="840"/>
      <c r="D1227" s="840"/>
      <c r="E1227" s="840"/>
      <c r="F1227" s="840"/>
      <c r="G1227" s="840"/>
      <c r="H1227" s="1092"/>
      <c r="U1227" s="345"/>
      <c r="V1227" s="345"/>
      <c r="W1227" s="345"/>
      <c r="X1227" s="345"/>
      <c r="Y1227" s="345"/>
      <c r="Z1227" s="345"/>
      <c r="AA1227" s="345"/>
      <c r="AB1227" s="345"/>
      <c r="AC1227" s="345"/>
      <c r="AD1227" s="345"/>
      <c r="AE1227" s="345"/>
    </row>
    <row r="1228" spans="1:36" s="347" customFormat="1" ht="30" x14ac:dyDescent="0.2">
      <c r="A1228" s="605">
        <v>1198</v>
      </c>
      <c r="B1228" s="800" t="s">
        <v>2796</v>
      </c>
      <c r="C1228" s="278"/>
      <c r="D1228" s="278"/>
      <c r="E1228" s="278"/>
      <c r="F1228" s="278"/>
      <c r="G1228" s="278"/>
      <c r="H1228" s="1054"/>
    </row>
    <row r="1229" spans="1:36" ht="15" x14ac:dyDescent="0.2">
      <c r="A1229" s="605">
        <v>1199</v>
      </c>
      <c r="B1229" s="805" t="s">
        <v>2795</v>
      </c>
      <c r="C1229" s="804"/>
      <c r="D1229" s="804"/>
      <c r="E1229" s="804"/>
      <c r="F1229" s="804"/>
      <c r="G1229" s="804"/>
      <c r="H1229" s="1093"/>
      <c r="U1229" s="345"/>
      <c r="V1229" s="345"/>
      <c r="W1229" s="345"/>
      <c r="X1229" s="345"/>
      <c r="Y1229" s="345"/>
      <c r="Z1229" s="345"/>
      <c r="AA1229" s="345"/>
      <c r="AB1229" s="345"/>
      <c r="AC1229" s="345"/>
      <c r="AD1229" s="345"/>
      <c r="AE1229" s="345"/>
    </row>
    <row r="1230" spans="1:36" ht="15" x14ac:dyDescent="0.2">
      <c r="A1230" s="605">
        <v>1200</v>
      </c>
      <c r="B1230" s="801" t="s">
        <v>299</v>
      </c>
      <c r="C1230" s="797"/>
      <c r="D1230" s="797"/>
      <c r="E1230" s="797"/>
      <c r="F1230" s="797"/>
      <c r="G1230" s="797"/>
      <c r="H1230" s="1093"/>
      <c r="U1230" s="345"/>
      <c r="V1230" s="345"/>
      <c r="W1230" s="345"/>
      <c r="X1230" s="345"/>
      <c r="Y1230" s="345"/>
      <c r="Z1230" s="345"/>
      <c r="AA1230" s="345"/>
      <c r="AB1230" s="345"/>
      <c r="AC1230" s="345"/>
      <c r="AD1230" s="345"/>
      <c r="AE1230" s="345"/>
    </row>
    <row r="1231" spans="1:36" s="347" customFormat="1" ht="15" x14ac:dyDescent="0.2">
      <c r="A1231" s="605">
        <v>1201</v>
      </c>
      <c r="B1231" s="801" t="s">
        <v>2794</v>
      </c>
      <c r="C1231" s="797"/>
      <c r="D1231" s="797"/>
      <c r="E1231" s="797"/>
      <c r="F1231" s="797"/>
      <c r="G1231" s="797"/>
      <c r="H1231" s="1093"/>
    </row>
    <row r="1232" spans="1:36" ht="15" x14ac:dyDescent="0.2">
      <c r="A1232" s="605">
        <v>1202</v>
      </c>
      <c r="B1232" s="801" t="s">
        <v>2793</v>
      </c>
      <c r="C1232" s="797"/>
      <c r="D1232" s="797"/>
      <c r="E1232" s="797"/>
      <c r="F1232" s="797"/>
      <c r="G1232" s="797"/>
      <c r="H1232" s="1093"/>
      <c r="U1232" s="345"/>
      <c r="V1232" s="345"/>
      <c r="W1232" s="345"/>
      <c r="X1232" s="345"/>
      <c r="Y1232" s="345"/>
      <c r="Z1232" s="345"/>
      <c r="AA1232" s="345"/>
      <c r="AB1232" s="345"/>
      <c r="AC1232" s="345"/>
      <c r="AD1232" s="345"/>
      <c r="AE1232" s="345"/>
    </row>
    <row r="1233" spans="1:31" ht="15" x14ac:dyDescent="0.2">
      <c r="A1233" s="605">
        <v>1203</v>
      </c>
      <c r="B1233" s="801" t="s">
        <v>1819</v>
      </c>
      <c r="C1233" s="797"/>
      <c r="D1233" s="797"/>
      <c r="E1233" s="797"/>
      <c r="F1233" s="797"/>
      <c r="G1233" s="797"/>
      <c r="H1233" s="1093"/>
      <c r="U1233" s="345"/>
      <c r="V1233" s="345"/>
      <c r="W1233" s="345"/>
      <c r="X1233" s="345"/>
      <c r="Y1233" s="345"/>
      <c r="Z1233" s="345"/>
      <c r="AA1233" s="345"/>
      <c r="AB1233" s="345"/>
      <c r="AC1233" s="345"/>
      <c r="AD1233" s="345"/>
      <c r="AE1233" s="345"/>
    </row>
    <row r="1234" spans="1:31" ht="15" x14ac:dyDescent="0.2">
      <c r="A1234" s="605">
        <v>1204</v>
      </c>
      <c r="B1234" s="801" t="s">
        <v>2792</v>
      </c>
      <c r="C1234" s="797"/>
      <c r="D1234" s="797"/>
      <c r="E1234" s="797"/>
      <c r="F1234" s="797"/>
      <c r="G1234" s="797"/>
      <c r="H1234" s="1093"/>
      <c r="U1234" s="345"/>
      <c r="V1234" s="345"/>
      <c r="W1234" s="345"/>
      <c r="X1234" s="345"/>
      <c r="Y1234" s="345"/>
      <c r="Z1234" s="345"/>
      <c r="AA1234" s="345"/>
      <c r="AB1234" s="345"/>
      <c r="AC1234" s="345"/>
      <c r="AD1234" s="345"/>
      <c r="AE1234" s="345"/>
    </row>
    <row r="1235" spans="1:31" ht="15" x14ac:dyDescent="0.2">
      <c r="A1235" s="605">
        <v>1205</v>
      </c>
      <c r="B1235" s="801" t="s">
        <v>2791</v>
      </c>
      <c r="C1235" s="797"/>
      <c r="D1235" s="797"/>
      <c r="E1235" s="797"/>
      <c r="F1235" s="797"/>
      <c r="G1235" s="797"/>
      <c r="H1235" s="1093"/>
      <c r="U1235" s="345"/>
      <c r="V1235" s="345"/>
      <c r="W1235" s="345"/>
      <c r="X1235" s="345"/>
      <c r="Y1235" s="345"/>
      <c r="Z1235" s="345"/>
      <c r="AA1235" s="345"/>
      <c r="AB1235" s="345"/>
      <c r="AC1235" s="345"/>
      <c r="AD1235" s="345"/>
      <c r="AE1235" s="345"/>
    </row>
    <row r="1236" spans="1:31" ht="15" x14ac:dyDescent="0.2">
      <c r="A1236" s="605">
        <v>1206</v>
      </c>
      <c r="B1236" s="805" t="s">
        <v>2790</v>
      </c>
      <c r="C1236" s="797"/>
      <c r="D1236" s="797"/>
      <c r="E1236" s="797"/>
      <c r="F1236" s="797"/>
      <c r="G1236" s="797"/>
      <c r="H1236" s="1093"/>
      <c r="U1236" s="345"/>
      <c r="V1236" s="345"/>
      <c r="W1236" s="345"/>
      <c r="X1236" s="345"/>
      <c r="Y1236" s="345"/>
      <c r="Z1236" s="345"/>
      <c r="AA1236" s="345"/>
      <c r="AB1236" s="345"/>
      <c r="AC1236" s="345"/>
      <c r="AD1236" s="345"/>
      <c r="AE1236" s="345"/>
    </row>
    <row r="1237" spans="1:31" ht="15" x14ac:dyDescent="0.2">
      <c r="A1237" s="605">
        <v>1207</v>
      </c>
      <c r="B1237" s="805" t="s">
        <v>2762</v>
      </c>
      <c r="C1237" s="797"/>
      <c r="D1237" s="797"/>
      <c r="E1237" s="797"/>
      <c r="F1237" s="797"/>
      <c r="G1237" s="797"/>
      <c r="H1237" s="1093"/>
      <c r="U1237" s="345"/>
      <c r="V1237" s="345"/>
      <c r="W1237" s="345"/>
      <c r="X1237" s="345"/>
      <c r="Y1237" s="345"/>
      <c r="Z1237" s="345"/>
      <c r="AA1237" s="345"/>
      <c r="AB1237" s="345"/>
      <c r="AC1237" s="345"/>
      <c r="AD1237" s="345"/>
      <c r="AE1237" s="345"/>
    </row>
    <row r="1238" spans="1:31" ht="30" x14ac:dyDescent="0.25">
      <c r="A1238" s="605">
        <v>1208</v>
      </c>
      <c r="B1238" s="800" t="s">
        <v>2789</v>
      </c>
      <c r="C1238" s="717"/>
      <c r="D1238" s="716"/>
      <c r="E1238" s="716"/>
      <c r="F1238" s="716"/>
      <c r="G1238" s="716"/>
      <c r="H1238" s="1093"/>
      <c r="U1238" s="345"/>
      <c r="V1238" s="345"/>
      <c r="W1238" s="345"/>
      <c r="X1238" s="345"/>
      <c r="Y1238" s="345"/>
      <c r="Z1238" s="345"/>
      <c r="AA1238" s="345"/>
      <c r="AB1238" s="345"/>
      <c r="AC1238" s="345"/>
      <c r="AD1238" s="345"/>
      <c r="AE1238" s="345"/>
    </row>
    <row r="1239" spans="1:31" ht="15" x14ac:dyDescent="0.2">
      <c r="A1239" s="605">
        <v>1209</v>
      </c>
      <c r="B1239" s="805" t="s">
        <v>2788</v>
      </c>
      <c r="C1239" s="797"/>
      <c r="D1239" s="797"/>
      <c r="E1239" s="797"/>
      <c r="F1239" s="797"/>
      <c r="G1239" s="797"/>
      <c r="H1239" s="1093"/>
      <c r="U1239" s="345"/>
      <c r="V1239" s="345"/>
      <c r="W1239" s="345"/>
      <c r="X1239" s="345"/>
      <c r="Y1239" s="345"/>
      <c r="Z1239" s="345"/>
      <c r="AA1239" s="345"/>
      <c r="AB1239" s="345"/>
      <c r="AC1239" s="345"/>
      <c r="AD1239" s="345"/>
      <c r="AE1239" s="345"/>
    </row>
    <row r="1240" spans="1:31" ht="15" x14ac:dyDescent="0.2">
      <c r="A1240" s="605">
        <v>1210</v>
      </c>
      <c r="B1240" s="805" t="s">
        <v>537</v>
      </c>
      <c r="C1240" s="797"/>
      <c r="D1240" s="797"/>
      <c r="E1240" s="797"/>
      <c r="F1240" s="797"/>
      <c r="G1240" s="797"/>
      <c r="H1240" s="1093"/>
      <c r="U1240" s="345"/>
      <c r="V1240" s="345"/>
      <c r="W1240" s="345"/>
      <c r="X1240" s="345"/>
      <c r="Y1240" s="345"/>
      <c r="Z1240" s="345"/>
      <c r="AA1240" s="345"/>
      <c r="AB1240" s="345"/>
      <c r="AC1240" s="345"/>
      <c r="AD1240" s="345"/>
      <c r="AE1240" s="345"/>
    </row>
    <row r="1241" spans="1:31" ht="15" x14ac:dyDescent="0.2">
      <c r="A1241" s="605">
        <v>1211</v>
      </c>
      <c r="B1241" s="805" t="s">
        <v>299</v>
      </c>
      <c r="C1241" s="797"/>
      <c r="D1241" s="797"/>
      <c r="E1241" s="797"/>
      <c r="F1241" s="797"/>
      <c r="G1241" s="797"/>
      <c r="H1241" s="1093"/>
      <c r="U1241" s="345"/>
      <c r="V1241" s="345"/>
      <c r="W1241" s="345"/>
      <c r="X1241" s="345"/>
      <c r="Y1241" s="345"/>
      <c r="Z1241" s="345"/>
      <c r="AA1241" s="345"/>
      <c r="AB1241" s="345"/>
      <c r="AC1241" s="345"/>
      <c r="AD1241" s="345"/>
      <c r="AE1241" s="345"/>
    </row>
    <row r="1242" spans="1:31" ht="15" x14ac:dyDescent="0.2">
      <c r="A1242" s="605">
        <v>1212</v>
      </c>
      <c r="B1242" s="805" t="s">
        <v>1819</v>
      </c>
      <c r="C1242" s="797"/>
      <c r="D1242" s="797"/>
      <c r="E1242" s="797"/>
      <c r="F1242" s="797"/>
      <c r="G1242" s="797"/>
      <c r="H1242" s="1093"/>
      <c r="U1242" s="345"/>
      <c r="V1242" s="345"/>
      <c r="W1242" s="345"/>
      <c r="X1242" s="345"/>
      <c r="Y1242" s="345"/>
      <c r="Z1242" s="345"/>
      <c r="AA1242" s="345"/>
      <c r="AB1242" s="345"/>
      <c r="AC1242" s="345"/>
      <c r="AD1242" s="345"/>
      <c r="AE1242" s="345"/>
    </row>
    <row r="1243" spans="1:31" ht="15" x14ac:dyDescent="0.2">
      <c r="A1243" s="605">
        <v>1213</v>
      </c>
      <c r="B1243" s="805" t="s">
        <v>2787</v>
      </c>
      <c r="C1243" s="797"/>
      <c r="D1243" s="797"/>
      <c r="E1243" s="797"/>
      <c r="F1243" s="797"/>
      <c r="G1243" s="797"/>
      <c r="H1243" s="1093"/>
      <c r="U1243" s="345"/>
      <c r="V1243" s="345"/>
      <c r="W1243" s="345"/>
      <c r="X1243" s="345"/>
      <c r="Y1243" s="345"/>
      <c r="Z1243" s="345"/>
      <c r="AA1243" s="345"/>
      <c r="AB1243" s="345"/>
      <c r="AC1243" s="345"/>
      <c r="AD1243" s="345"/>
      <c r="AE1243" s="345"/>
    </row>
    <row r="1244" spans="1:31" ht="15" x14ac:dyDescent="0.2">
      <c r="A1244" s="605">
        <v>1214</v>
      </c>
      <c r="B1244" s="805" t="s">
        <v>2786</v>
      </c>
      <c r="C1244" s="797"/>
      <c r="D1244" s="797"/>
      <c r="E1244" s="797"/>
      <c r="F1244" s="797"/>
      <c r="G1244" s="797"/>
      <c r="H1244" s="1093"/>
      <c r="U1244" s="345"/>
      <c r="V1244" s="345"/>
      <c r="W1244" s="345"/>
      <c r="X1244" s="345"/>
      <c r="Y1244" s="345"/>
      <c r="Z1244" s="345"/>
      <c r="AA1244" s="345"/>
      <c r="AB1244" s="345"/>
      <c r="AC1244" s="345"/>
      <c r="AD1244" s="345"/>
      <c r="AE1244" s="345"/>
    </row>
    <row r="1245" spans="1:31" ht="15" x14ac:dyDescent="0.2">
      <c r="A1245" s="605">
        <v>1215</v>
      </c>
      <c r="B1245" s="805" t="s">
        <v>2762</v>
      </c>
      <c r="C1245" s="797"/>
      <c r="D1245" s="797"/>
      <c r="E1245" s="797"/>
      <c r="F1245" s="797"/>
      <c r="G1245" s="797"/>
      <c r="H1245" s="1093"/>
      <c r="U1245" s="345"/>
      <c r="V1245" s="345"/>
      <c r="W1245" s="345"/>
      <c r="X1245" s="345"/>
      <c r="Y1245" s="345"/>
      <c r="Z1245" s="345"/>
      <c r="AA1245" s="345"/>
      <c r="AB1245" s="345"/>
      <c r="AC1245" s="345"/>
      <c r="AD1245" s="345"/>
      <c r="AE1245" s="345"/>
    </row>
    <row r="1246" spans="1:31" ht="15" x14ac:dyDescent="0.2">
      <c r="A1246" s="605">
        <v>1216</v>
      </c>
      <c r="B1246" s="805" t="s">
        <v>2759</v>
      </c>
      <c r="C1246" s="797"/>
      <c r="D1246" s="797"/>
      <c r="E1246" s="797"/>
      <c r="F1246" s="797"/>
      <c r="G1246" s="797"/>
      <c r="H1246" s="1093"/>
      <c r="U1246" s="345"/>
      <c r="V1246" s="345"/>
      <c r="W1246" s="345"/>
      <c r="X1246" s="345"/>
      <c r="Y1246" s="345"/>
      <c r="Z1246" s="345"/>
      <c r="AA1246" s="345"/>
      <c r="AB1246" s="345"/>
      <c r="AC1246" s="345"/>
      <c r="AD1246" s="345"/>
      <c r="AE1246" s="345"/>
    </row>
    <row r="1247" spans="1:31" ht="15" x14ac:dyDescent="0.2">
      <c r="A1247" s="605">
        <v>1217</v>
      </c>
      <c r="B1247" s="805" t="s">
        <v>2758</v>
      </c>
      <c r="C1247" s="797"/>
      <c r="D1247" s="797"/>
      <c r="E1247" s="797"/>
      <c r="F1247" s="797"/>
      <c r="G1247" s="797"/>
      <c r="H1247" s="1093"/>
      <c r="U1247" s="345"/>
      <c r="V1247" s="345"/>
      <c r="W1247" s="345"/>
      <c r="X1247" s="345"/>
      <c r="Y1247" s="345"/>
      <c r="Z1247" s="345"/>
      <c r="AA1247" s="345"/>
      <c r="AB1247" s="345"/>
      <c r="AC1247" s="345"/>
      <c r="AD1247" s="345"/>
      <c r="AE1247" s="345"/>
    </row>
    <row r="1248" spans="1:31" s="347" customFormat="1" ht="15" x14ac:dyDescent="0.2">
      <c r="A1248" s="605">
        <v>1218</v>
      </c>
      <c r="B1248" s="800" t="s">
        <v>2785</v>
      </c>
      <c r="C1248" s="797"/>
      <c r="D1248" s="797"/>
      <c r="E1248" s="797"/>
      <c r="F1248" s="797"/>
      <c r="G1248" s="797"/>
      <c r="H1248" s="1089"/>
    </row>
    <row r="1249" spans="1:31" s="598" customFormat="1" ht="30" x14ac:dyDescent="0.2">
      <c r="A1249" s="605">
        <v>1219</v>
      </c>
      <c r="B1249" s="800" t="s">
        <v>2784</v>
      </c>
      <c r="C1249" s="797"/>
      <c r="D1249" s="797"/>
      <c r="E1249" s="797"/>
      <c r="F1249" s="797"/>
      <c r="G1249" s="797"/>
      <c r="H1249" s="1089"/>
    </row>
    <row r="1250" spans="1:31" s="598" customFormat="1" ht="15" x14ac:dyDescent="0.2">
      <c r="A1250" s="605">
        <v>1220</v>
      </c>
      <c r="B1250" s="800" t="s">
        <v>2783</v>
      </c>
      <c r="C1250" s="797"/>
      <c r="D1250" s="797"/>
      <c r="E1250" s="797"/>
      <c r="F1250" s="797"/>
      <c r="G1250" s="797"/>
      <c r="H1250" s="1089"/>
    </row>
    <row r="1251" spans="1:31" s="598" customFormat="1" ht="15" x14ac:dyDescent="0.2">
      <c r="A1251" s="605">
        <v>1221</v>
      </c>
      <c r="B1251" s="800" t="s">
        <v>2782</v>
      </c>
      <c r="C1251" s="797"/>
      <c r="D1251" s="797"/>
      <c r="E1251" s="797"/>
      <c r="F1251" s="797"/>
      <c r="G1251" s="797"/>
      <c r="H1251" s="1089"/>
    </row>
    <row r="1252" spans="1:31" s="347" customFormat="1" ht="15" x14ac:dyDescent="0.2">
      <c r="A1252" s="605">
        <v>1222</v>
      </c>
      <c r="B1252" s="833" t="s">
        <v>2781</v>
      </c>
      <c r="C1252" s="797"/>
      <c r="D1252" s="797"/>
      <c r="E1252" s="797"/>
      <c r="F1252" s="797"/>
      <c r="G1252" s="797"/>
      <c r="H1252" s="1093"/>
    </row>
    <row r="1253" spans="1:31" ht="30" x14ac:dyDescent="0.2">
      <c r="A1253" s="605">
        <v>1223</v>
      </c>
      <c r="B1253" s="800" t="s">
        <v>2780</v>
      </c>
      <c r="C1253" s="797"/>
      <c r="D1253" s="797"/>
      <c r="E1253" s="797"/>
      <c r="F1253" s="797"/>
      <c r="G1253" s="797"/>
      <c r="H1253" s="1093"/>
      <c r="U1253" s="345"/>
      <c r="V1253" s="345"/>
      <c r="W1253" s="345"/>
      <c r="X1253" s="345"/>
      <c r="Y1253" s="345"/>
      <c r="Z1253" s="345"/>
      <c r="AA1253" s="345"/>
      <c r="AB1253" s="345"/>
      <c r="AC1253" s="345"/>
      <c r="AD1253" s="345"/>
      <c r="AE1253" s="345"/>
    </row>
    <row r="1254" spans="1:31" ht="30" x14ac:dyDescent="0.25">
      <c r="A1254" s="605">
        <v>1224</v>
      </c>
      <c r="B1254" s="800" t="s">
        <v>2779</v>
      </c>
      <c r="C1254" s="717"/>
      <c r="D1254" s="716"/>
      <c r="E1254" s="716"/>
      <c r="F1254" s="716"/>
      <c r="G1254" s="716"/>
      <c r="H1254" s="1093"/>
      <c r="U1254" s="345"/>
      <c r="V1254" s="345"/>
      <c r="W1254" s="345"/>
      <c r="X1254" s="345"/>
      <c r="Y1254" s="345"/>
      <c r="Z1254" s="345"/>
      <c r="AA1254" s="345"/>
      <c r="AB1254" s="345"/>
      <c r="AC1254" s="345"/>
      <c r="AD1254" s="345"/>
      <c r="AE1254" s="345"/>
    </row>
    <row r="1255" spans="1:31" ht="15" x14ac:dyDescent="0.2">
      <c r="A1255" s="605">
        <v>1225</v>
      </c>
      <c r="B1255" s="805" t="s">
        <v>299</v>
      </c>
      <c r="C1255" s="797"/>
      <c r="D1255" s="797"/>
      <c r="E1255" s="797"/>
      <c r="F1255" s="797"/>
      <c r="G1255" s="797"/>
      <c r="H1255" s="1093"/>
      <c r="U1255" s="345"/>
      <c r="V1255" s="345"/>
      <c r="W1255" s="345"/>
      <c r="X1255" s="345"/>
      <c r="Y1255" s="345"/>
      <c r="Z1255" s="345"/>
      <c r="AA1255" s="345"/>
      <c r="AB1255" s="345"/>
      <c r="AC1255" s="345"/>
      <c r="AD1255" s="345"/>
      <c r="AE1255" s="345"/>
    </row>
    <row r="1256" spans="1:31" ht="15" x14ac:dyDescent="0.2">
      <c r="A1256" s="605">
        <v>1226</v>
      </c>
      <c r="B1256" s="805" t="s">
        <v>2778</v>
      </c>
      <c r="C1256" s="797"/>
      <c r="D1256" s="797"/>
      <c r="E1256" s="797"/>
      <c r="F1256" s="797"/>
      <c r="G1256" s="797"/>
      <c r="H1256" s="1093"/>
      <c r="U1256" s="345"/>
      <c r="V1256" s="345"/>
      <c r="W1256" s="345"/>
      <c r="X1256" s="345"/>
      <c r="Y1256" s="345"/>
      <c r="Z1256" s="345"/>
      <c r="AA1256" s="345"/>
      <c r="AB1256" s="345"/>
      <c r="AC1256" s="345"/>
      <c r="AD1256" s="345"/>
      <c r="AE1256" s="345"/>
    </row>
    <row r="1257" spans="1:31" ht="15" x14ac:dyDescent="0.2">
      <c r="A1257" s="605">
        <v>1227</v>
      </c>
      <c r="B1257" s="805" t="s">
        <v>537</v>
      </c>
      <c r="C1257" s="797"/>
      <c r="D1257" s="797"/>
      <c r="E1257" s="797"/>
      <c r="F1257" s="797"/>
      <c r="G1257" s="797"/>
      <c r="H1257" s="1093"/>
      <c r="U1257" s="345"/>
      <c r="V1257" s="345"/>
      <c r="W1257" s="345"/>
      <c r="X1257" s="345"/>
      <c r="Y1257" s="345"/>
      <c r="Z1257" s="345"/>
      <c r="AA1257" s="345"/>
      <c r="AB1257" s="345"/>
      <c r="AC1257" s="345"/>
      <c r="AD1257" s="345"/>
      <c r="AE1257" s="345"/>
    </row>
    <row r="1258" spans="1:31" ht="15" x14ac:dyDescent="0.2">
      <c r="A1258" s="605">
        <v>1228</v>
      </c>
      <c r="B1258" s="805" t="s">
        <v>995</v>
      </c>
      <c r="C1258" s="797"/>
      <c r="D1258" s="797"/>
      <c r="E1258" s="797"/>
      <c r="F1258" s="797"/>
      <c r="G1258" s="797"/>
      <c r="H1258" s="1093"/>
      <c r="U1258" s="345"/>
      <c r="V1258" s="345"/>
      <c r="W1258" s="345"/>
      <c r="X1258" s="345"/>
      <c r="Y1258" s="345"/>
      <c r="Z1258" s="345"/>
      <c r="AA1258" s="345"/>
      <c r="AB1258" s="345"/>
      <c r="AC1258" s="345"/>
      <c r="AD1258" s="345"/>
      <c r="AE1258" s="345"/>
    </row>
    <row r="1259" spans="1:31" ht="15" x14ac:dyDescent="0.2">
      <c r="A1259" s="605">
        <v>1229</v>
      </c>
      <c r="B1259" s="805" t="s">
        <v>2777</v>
      </c>
      <c r="C1259" s="797"/>
      <c r="D1259" s="797"/>
      <c r="E1259" s="797"/>
      <c r="F1259" s="797"/>
      <c r="G1259" s="797"/>
      <c r="H1259" s="1093"/>
      <c r="U1259" s="345"/>
      <c r="V1259" s="345"/>
      <c r="W1259" s="345"/>
      <c r="X1259" s="345"/>
      <c r="Y1259" s="345"/>
      <c r="Z1259" s="345"/>
      <c r="AA1259" s="345"/>
      <c r="AB1259" s="345"/>
      <c r="AC1259" s="345"/>
      <c r="AD1259" s="345"/>
      <c r="AE1259" s="345"/>
    </row>
    <row r="1260" spans="1:31" ht="15" x14ac:dyDescent="0.2">
      <c r="A1260" s="605">
        <v>1230</v>
      </c>
      <c r="B1260" s="805" t="s">
        <v>2776</v>
      </c>
      <c r="C1260" s="797"/>
      <c r="D1260" s="797"/>
      <c r="E1260" s="797"/>
      <c r="F1260" s="797"/>
      <c r="G1260" s="797"/>
      <c r="H1260" s="1093"/>
      <c r="U1260" s="345"/>
      <c r="V1260" s="345"/>
      <c r="W1260" s="345"/>
      <c r="X1260" s="345"/>
      <c r="Y1260" s="345"/>
      <c r="Z1260" s="345"/>
      <c r="AA1260" s="345"/>
      <c r="AB1260" s="345"/>
      <c r="AC1260" s="345"/>
      <c r="AD1260" s="345"/>
      <c r="AE1260" s="345"/>
    </row>
    <row r="1261" spans="1:31" s="598" customFormat="1" ht="15" x14ac:dyDescent="0.2">
      <c r="A1261" s="605">
        <v>1231</v>
      </c>
      <c r="B1261" s="805" t="s">
        <v>2775</v>
      </c>
      <c r="C1261" s="797"/>
      <c r="D1261" s="797"/>
      <c r="E1261" s="797"/>
      <c r="F1261" s="797"/>
      <c r="G1261" s="797"/>
      <c r="H1261" s="1093"/>
    </row>
    <row r="1262" spans="1:31" s="598" customFormat="1" ht="15" x14ac:dyDescent="0.2">
      <c r="A1262" s="605">
        <v>1232</v>
      </c>
      <c r="B1262" s="805" t="s">
        <v>2774</v>
      </c>
      <c r="C1262" s="797"/>
      <c r="D1262" s="797"/>
      <c r="E1262" s="797"/>
      <c r="F1262" s="797"/>
      <c r="G1262" s="797"/>
      <c r="H1262" s="1093"/>
    </row>
    <row r="1263" spans="1:31" s="598" customFormat="1" ht="15" x14ac:dyDescent="0.2">
      <c r="A1263" s="605">
        <v>1233</v>
      </c>
      <c r="B1263" s="805" t="s">
        <v>366</v>
      </c>
      <c r="C1263" s="797"/>
      <c r="D1263" s="797"/>
      <c r="E1263" s="797"/>
      <c r="F1263" s="797"/>
      <c r="G1263" s="797"/>
      <c r="H1263" s="1093"/>
    </row>
    <row r="1264" spans="1:31" s="598" customFormat="1" ht="15" x14ac:dyDescent="0.2">
      <c r="A1264" s="605">
        <v>1234</v>
      </c>
      <c r="B1264" s="800" t="s">
        <v>2773</v>
      </c>
      <c r="C1264" s="797"/>
      <c r="D1264" s="797"/>
      <c r="E1264" s="797"/>
      <c r="F1264" s="797"/>
      <c r="G1264" s="797"/>
      <c r="H1264" s="1093"/>
    </row>
    <row r="1265" spans="1:31" s="347" customFormat="1" ht="30" x14ac:dyDescent="0.2">
      <c r="A1265" s="605">
        <v>1235</v>
      </c>
      <c r="B1265" s="800" t="s">
        <v>2772</v>
      </c>
      <c r="C1265" s="278"/>
      <c r="D1265" s="278"/>
      <c r="E1265" s="278"/>
      <c r="F1265" s="278"/>
      <c r="G1265" s="278"/>
      <c r="H1265" s="1093"/>
    </row>
    <row r="1266" spans="1:31" s="598" customFormat="1" ht="15" x14ac:dyDescent="0.2">
      <c r="A1266" s="605">
        <v>1236</v>
      </c>
      <c r="B1266" s="805" t="s">
        <v>2771</v>
      </c>
      <c r="C1266" s="797"/>
      <c r="D1266" s="797"/>
      <c r="E1266" s="797"/>
      <c r="F1266" s="797"/>
      <c r="G1266" s="797"/>
      <c r="H1266" s="1093"/>
    </row>
    <row r="1267" spans="1:31" s="598" customFormat="1" ht="15" x14ac:dyDescent="0.2">
      <c r="A1267" s="605">
        <v>1237</v>
      </c>
      <c r="B1267" s="805" t="s">
        <v>991</v>
      </c>
      <c r="C1267" s="797"/>
      <c r="D1267" s="797"/>
      <c r="E1267" s="797"/>
      <c r="F1267" s="797"/>
      <c r="G1267" s="797"/>
      <c r="H1267" s="1093"/>
    </row>
    <row r="1268" spans="1:31" s="598" customFormat="1" ht="15" x14ac:dyDescent="0.2">
      <c r="A1268" s="605">
        <v>1238</v>
      </c>
      <c r="B1268" s="805" t="s">
        <v>810</v>
      </c>
      <c r="C1268" s="797"/>
      <c r="D1268" s="797"/>
      <c r="E1268" s="797"/>
      <c r="F1268" s="797"/>
      <c r="G1268" s="797"/>
      <c r="H1268" s="1093"/>
    </row>
    <row r="1269" spans="1:31" s="598" customFormat="1" ht="15" x14ac:dyDescent="0.2">
      <c r="A1269" s="605">
        <v>1239</v>
      </c>
      <c r="B1269" s="800" t="s">
        <v>2770</v>
      </c>
      <c r="C1269" s="797"/>
      <c r="D1269" s="797"/>
      <c r="E1269" s="797"/>
      <c r="F1269" s="797"/>
      <c r="G1269" s="797"/>
      <c r="H1269" s="1093"/>
    </row>
    <row r="1270" spans="1:31" ht="15" x14ac:dyDescent="0.2">
      <c r="A1270" s="605">
        <v>1240</v>
      </c>
      <c r="B1270" s="855" t="s">
        <v>2769</v>
      </c>
      <c r="C1270" s="855"/>
      <c r="D1270" s="855"/>
      <c r="E1270" s="855"/>
      <c r="F1270" s="855"/>
      <c r="G1270" s="855"/>
      <c r="H1270" s="1025"/>
      <c r="U1270" s="345"/>
      <c r="V1270" s="345"/>
      <c r="W1270" s="345"/>
      <c r="X1270" s="345"/>
      <c r="Y1270" s="345"/>
      <c r="Z1270" s="345"/>
      <c r="AA1270" s="345"/>
      <c r="AB1270" s="345"/>
      <c r="AC1270" s="345"/>
      <c r="AD1270" s="345"/>
      <c r="AE1270" s="345"/>
    </row>
    <row r="1271" spans="1:31" ht="15" x14ac:dyDescent="0.2">
      <c r="A1271" s="605">
        <v>1241</v>
      </c>
      <c r="B1271" s="694" t="s">
        <v>2768</v>
      </c>
      <c r="C1271" s="840"/>
      <c r="D1271" s="840"/>
      <c r="E1271" s="840"/>
      <c r="F1271" s="840"/>
      <c r="G1271" s="840"/>
      <c r="H1271" s="1092"/>
      <c r="U1271" s="345"/>
      <c r="V1271" s="345"/>
      <c r="W1271" s="345"/>
      <c r="X1271" s="345"/>
      <c r="Y1271" s="345"/>
      <c r="Z1271" s="345"/>
      <c r="AA1271" s="345"/>
      <c r="AB1271" s="345"/>
      <c r="AC1271" s="345"/>
      <c r="AD1271" s="345"/>
      <c r="AE1271" s="345"/>
    </row>
    <row r="1272" spans="1:31" ht="30" x14ac:dyDescent="0.2">
      <c r="A1272" s="605">
        <v>1242</v>
      </c>
      <c r="B1272" s="854" t="s">
        <v>2767</v>
      </c>
      <c r="C1272" s="840"/>
      <c r="D1272" s="840"/>
      <c r="E1272" s="840"/>
      <c r="F1272" s="840"/>
      <c r="G1272" s="840"/>
      <c r="H1272" s="1080"/>
      <c r="U1272" s="345"/>
      <c r="V1272" s="345"/>
      <c r="W1272" s="345"/>
      <c r="X1272" s="345"/>
      <c r="Y1272" s="345"/>
      <c r="Z1272" s="345"/>
      <c r="AA1272" s="345"/>
      <c r="AB1272" s="345"/>
      <c r="AC1272" s="345"/>
      <c r="AD1272" s="345"/>
      <c r="AE1272" s="345"/>
    </row>
    <row r="1273" spans="1:31" ht="30" x14ac:dyDescent="0.2">
      <c r="A1273" s="605">
        <v>1243</v>
      </c>
      <c r="B1273" s="800" t="s">
        <v>2766</v>
      </c>
      <c r="C1273" s="278"/>
      <c r="D1273" s="278"/>
      <c r="E1273" s="278"/>
      <c r="F1273" s="278"/>
      <c r="G1273" s="278"/>
      <c r="H1273" s="1093"/>
      <c r="U1273" s="345"/>
      <c r="V1273" s="345"/>
      <c r="W1273" s="345"/>
      <c r="X1273" s="345"/>
      <c r="Y1273" s="345"/>
      <c r="Z1273" s="345"/>
      <c r="AA1273" s="345"/>
      <c r="AB1273" s="345"/>
      <c r="AC1273" s="345"/>
      <c r="AD1273" s="345"/>
      <c r="AE1273" s="345"/>
    </row>
    <row r="1274" spans="1:31" ht="15" x14ac:dyDescent="0.2">
      <c r="A1274" s="605">
        <v>1244</v>
      </c>
      <c r="B1274" s="805" t="s">
        <v>2370</v>
      </c>
      <c r="C1274" s="797"/>
      <c r="D1274" s="797"/>
      <c r="E1274" s="797"/>
      <c r="F1274" s="797"/>
      <c r="G1274" s="797"/>
      <c r="H1274" s="1093"/>
      <c r="U1274" s="345"/>
      <c r="V1274" s="345"/>
      <c r="W1274" s="345"/>
      <c r="X1274" s="345"/>
      <c r="Y1274" s="345"/>
      <c r="Z1274" s="345"/>
      <c r="AA1274" s="345"/>
      <c r="AB1274" s="345"/>
      <c r="AC1274" s="345"/>
      <c r="AD1274" s="345"/>
      <c r="AE1274" s="345"/>
    </row>
    <row r="1275" spans="1:31" ht="15" x14ac:dyDescent="0.2">
      <c r="A1275" s="605">
        <v>1245</v>
      </c>
      <c r="B1275" s="805" t="s">
        <v>2765</v>
      </c>
      <c r="C1275" s="797"/>
      <c r="D1275" s="797"/>
      <c r="E1275" s="797"/>
      <c r="F1275" s="797"/>
      <c r="G1275" s="797"/>
      <c r="H1275" s="1093"/>
      <c r="U1275" s="345"/>
      <c r="V1275" s="345"/>
      <c r="W1275" s="345"/>
      <c r="X1275" s="345"/>
      <c r="Y1275" s="345"/>
      <c r="Z1275" s="345"/>
      <c r="AA1275" s="345"/>
      <c r="AB1275" s="345"/>
      <c r="AC1275" s="345"/>
      <c r="AD1275" s="345"/>
      <c r="AE1275" s="345"/>
    </row>
    <row r="1276" spans="1:31" ht="15" x14ac:dyDescent="0.2">
      <c r="A1276" s="605">
        <v>1246</v>
      </c>
      <c r="B1276" s="805" t="s">
        <v>2764</v>
      </c>
      <c r="C1276" s="797"/>
      <c r="D1276" s="797"/>
      <c r="E1276" s="797"/>
      <c r="F1276" s="797"/>
      <c r="G1276" s="797"/>
      <c r="H1276" s="1093"/>
      <c r="U1276" s="345"/>
      <c r="V1276" s="345"/>
      <c r="W1276" s="345"/>
      <c r="X1276" s="345"/>
      <c r="Y1276" s="345"/>
      <c r="Z1276" s="345"/>
      <c r="AA1276" s="345"/>
      <c r="AB1276" s="345"/>
      <c r="AC1276" s="345"/>
      <c r="AD1276" s="345"/>
      <c r="AE1276" s="345"/>
    </row>
    <row r="1277" spans="1:31" ht="15" x14ac:dyDescent="0.2">
      <c r="A1277" s="605">
        <v>1247</v>
      </c>
      <c r="B1277" s="805" t="s">
        <v>100</v>
      </c>
      <c r="C1277" s="797"/>
      <c r="D1277" s="797"/>
      <c r="E1277" s="797"/>
      <c r="F1277" s="797"/>
      <c r="G1277" s="797"/>
      <c r="H1277" s="1093"/>
      <c r="U1277" s="345"/>
      <c r="V1277" s="345"/>
      <c r="W1277" s="345"/>
      <c r="X1277" s="345"/>
      <c r="Y1277" s="345"/>
      <c r="Z1277" s="345"/>
      <c r="AA1277" s="345"/>
      <c r="AB1277" s="345"/>
      <c r="AC1277" s="345"/>
      <c r="AD1277" s="345"/>
      <c r="AE1277" s="345"/>
    </row>
    <row r="1278" spans="1:31" ht="15" x14ac:dyDescent="0.2">
      <c r="A1278" s="605">
        <v>1248</v>
      </c>
      <c r="B1278" s="805" t="s">
        <v>2763</v>
      </c>
      <c r="C1278" s="797"/>
      <c r="D1278" s="797"/>
      <c r="E1278" s="797"/>
      <c r="F1278" s="797"/>
      <c r="G1278" s="797"/>
      <c r="H1278" s="1093"/>
      <c r="U1278" s="345"/>
      <c r="V1278" s="345"/>
      <c r="W1278" s="345"/>
      <c r="X1278" s="345"/>
      <c r="Y1278" s="345"/>
      <c r="Z1278" s="345"/>
      <c r="AA1278" s="345"/>
      <c r="AB1278" s="345"/>
      <c r="AC1278" s="345"/>
      <c r="AD1278" s="345"/>
      <c r="AE1278" s="345"/>
    </row>
    <row r="1279" spans="1:31" ht="15" x14ac:dyDescent="0.2">
      <c r="A1279" s="605">
        <v>1249</v>
      </c>
      <c r="B1279" s="805" t="s">
        <v>2762</v>
      </c>
      <c r="C1279" s="797"/>
      <c r="D1279" s="797"/>
      <c r="E1279" s="797"/>
      <c r="F1279" s="797"/>
      <c r="G1279" s="797"/>
      <c r="H1279" s="1093"/>
      <c r="U1279" s="345"/>
      <c r="V1279" s="345"/>
      <c r="W1279" s="345"/>
      <c r="X1279" s="345"/>
      <c r="Y1279" s="345"/>
      <c r="Z1279" s="345"/>
      <c r="AA1279" s="345"/>
      <c r="AB1279" s="345"/>
      <c r="AC1279" s="345"/>
      <c r="AD1279" s="345"/>
      <c r="AE1279" s="345"/>
    </row>
    <row r="1280" spans="1:31" ht="15" x14ac:dyDescent="0.2">
      <c r="A1280" s="605">
        <v>1250</v>
      </c>
      <c r="B1280" s="805" t="s">
        <v>2761</v>
      </c>
      <c r="C1280" s="797"/>
      <c r="D1280" s="797"/>
      <c r="E1280" s="797"/>
      <c r="F1280" s="797"/>
      <c r="G1280" s="797"/>
      <c r="H1280" s="1093"/>
      <c r="U1280" s="345"/>
      <c r="V1280" s="345"/>
      <c r="W1280" s="345"/>
      <c r="X1280" s="345"/>
      <c r="Y1280" s="345"/>
      <c r="Z1280" s="345"/>
      <c r="AA1280" s="345"/>
      <c r="AB1280" s="345"/>
      <c r="AC1280" s="345"/>
      <c r="AD1280" s="345"/>
      <c r="AE1280" s="345"/>
    </row>
    <row r="1281" spans="1:31" ht="15" x14ac:dyDescent="0.2">
      <c r="A1281" s="605">
        <v>1251</v>
      </c>
      <c r="B1281" s="805" t="s">
        <v>2760</v>
      </c>
      <c r="C1281" s="797"/>
      <c r="D1281" s="797"/>
      <c r="E1281" s="797"/>
      <c r="F1281" s="797"/>
      <c r="G1281" s="797"/>
      <c r="H1281" s="1093"/>
      <c r="U1281" s="345"/>
      <c r="V1281" s="345"/>
      <c r="W1281" s="345"/>
      <c r="X1281" s="345"/>
      <c r="Y1281" s="345"/>
      <c r="Z1281" s="345"/>
      <c r="AA1281" s="345"/>
      <c r="AB1281" s="345"/>
      <c r="AC1281" s="345"/>
      <c r="AD1281" s="345"/>
      <c r="AE1281" s="345"/>
    </row>
    <row r="1282" spans="1:31" ht="15" x14ac:dyDescent="0.2">
      <c r="A1282" s="605">
        <v>1252</v>
      </c>
      <c r="B1282" s="805" t="s">
        <v>366</v>
      </c>
      <c r="C1282" s="797"/>
      <c r="D1282" s="797"/>
      <c r="E1282" s="797"/>
      <c r="F1282" s="797"/>
      <c r="G1282" s="797"/>
      <c r="H1282" s="1093"/>
      <c r="U1282" s="345"/>
      <c r="V1282" s="345"/>
      <c r="W1282" s="345"/>
      <c r="X1282" s="345"/>
      <c r="Y1282" s="345"/>
      <c r="Z1282" s="345"/>
      <c r="AA1282" s="345"/>
      <c r="AB1282" s="345"/>
      <c r="AC1282" s="345"/>
      <c r="AD1282" s="345"/>
      <c r="AE1282" s="345"/>
    </row>
    <row r="1283" spans="1:31" ht="15" x14ac:dyDescent="0.2">
      <c r="A1283" s="605">
        <v>1253</v>
      </c>
      <c r="B1283" s="805" t="s">
        <v>1819</v>
      </c>
      <c r="C1283" s="797"/>
      <c r="D1283" s="797"/>
      <c r="E1283" s="797"/>
      <c r="F1283" s="797"/>
      <c r="G1283" s="797"/>
      <c r="H1283" s="1093"/>
      <c r="U1283" s="345"/>
      <c r="V1283" s="345"/>
      <c r="W1283" s="345"/>
      <c r="X1283" s="345"/>
      <c r="Y1283" s="345"/>
      <c r="Z1283" s="345"/>
      <c r="AA1283" s="345"/>
      <c r="AB1283" s="345"/>
      <c r="AC1283" s="345"/>
      <c r="AD1283" s="345"/>
      <c r="AE1283" s="345"/>
    </row>
    <row r="1284" spans="1:31" ht="15" x14ac:dyDescent="0.2">
      <c r="A1284" s="605">
        <v>1254</v>
      </c>
      <c r="B1284" s="805" t="s">
        <v>2759</v>
      </c>
      <c r="C1284" s="797"/>
      <c r="D1284" s="797"/>
      <c r="E1284" s="797"/>
      <c r="F1284" s="797"/>
      <c r="G1284" s="797"/>
      <c r="H1284" s="1093"/>
      <c r="U1284" s="345"/>
      <c r="V1284" s="345"/>
      <c r="W1284" s="345"/>
      <c r="X1284" s="345"/>
      <c r="Y1284" s="345"/>
      <c r="Z1284" s="345"/>
      <c r="AA1284" s="345"/>
      <c r="AB1284" s="345"/>
      <c r="AC1284" s="345"/>
      <c r="AD1284" s="345"/>
      <c r="AE1284" s="345"/>
    </row>
    <row r="1285" spans="1:31" ht="15" x14ac:dyDescent="0.2">
      <c r="A1285" s="605">
        <v>1255</v>
      </c>
      <c r="B1285" s="805" t="s">
        <v>2758</v>
      </c>
      <c r="C1285" s="797"/>
      <c r="D1285" s="797"/>
      <c r="E1285" s="797"/>
      <c r="F1285" s="797"/>
      <c r="G1285" s="797"/>
      <c r="H1285" s="1093"/>
      <c r="U1285" s="345"/>
      <c r="V1285" s="345"/>
      <c r="W1285" s="345"/>
      <c r="X1285" s="345"/>
      <c r="Y1285" s="345"/>
      <c r="Z1285" s="345"/>
      <c r="AA1285" s="345"/>
      <c r="AB1285" s="345"/>
      <c r="AC1285" s="345"/>
      <c r="AD1285" s="345"/>
      <c r="AE1285" s="345"/>
    </row>
    <row r="1286" spans="1:31" ht="45" x14ac:dyDescent="0.2">
      <c r="A1286" s="605">
        <v>1256</v>
      </c>
      <c r="B1286" s="800" t="s">
        <v>2757</v>
      </c>
      <c r="C1286" s="804"/>
      <c r="D1286" s="804"/>
      <c r="E1286" s="804"/>
      <c r="F1286" s="804"/>
      <c r="G1286" s="804"/>
      <c r="H1286" s="1093"/>
      <c r="U1286" s="345"/>
      <c r="V1286" s="345"/>
      <c r="W1286" s="345"/>
      <c r="X1286" s="345"/>
      <c r="Y1286" s="345"/>
      <c r="Z1286" s="345"/>
      <c r="AA1286" s="345"/>
      <c r="AB1286" s="345"/>
      <c r="AC1286" s="345"/>
      <c r="AD1286" s="345"/>
      <c r="AE1286" s="345"/>
    </row>
    <row r="1287" spans="1:31" ht="15" x14ac:dyDescent="0.2">
      <c r="A1287" s="605">
        <v>1257</v>
      </c>
      <c r="B1287" s="805" t="s">
        <v>2756</v>
      </c>
      <c r="C1287" s="804"/>
      <c r="D1287" s="804"/>
      <c r="E1287" s="804"/>
      <c r="F1287" s="804"/>
      <c r="G1287" s="804"/>
      <c r="H1287" s="1093"/>
      <c r="U1287" s="345"/>
      <c r="V1287" s="345"/>
      <c r="W1287" s="345"/>
      <c r="X1287" s="345"/>
      <c r="Y1287" s="345"/>
      <c r="Z1287" s="345"/>
      <c r="AA1287" s="345"/>
      <c r="AB1287" s="345"/>
      <c r="AC1287" s="345"/>
      <c r="AD1287" s="345"/>
      <c r="AE1287" s="345"/>
    </row>
    <row r="1288" spans="1:31" ht="15" x14ac:dyDescent="0.2">
      <c r="A1288" s="605">
        <v>1258</v>
      </c>
      <c r="B1288" s="801" t="s">
        <v>2755</v>
      </c>
      <c r="C1288" s="797"/>
      <c r="D1288" s="797"/>
      <c r="E1288" s="797"/>
      <c r="F1288" s="797"/>
      <c r="G1288" s="797"/>
      <c r="H1288" s="1093"/>
      <c r="U1288" s="345"/>
      <c r="V1288" s="345"/>
      <c r="W1288" s="345"/>
      <c r="X1288" s="345"/>
      <c r="Y1288" s="345"/>
      <c r="Z1288" s="345"/>
      <c r="AA1288" s="345"/>
      <c r="AB1288" s="345"/>
      <c r="AC1288" s="345"/>
      <c r="AD1288" s="345"/>
      <c r="AE1288" s="345"/>
    </row>
    <row r="1289" spans="1:31" ht="15" x14ac:dyDescent="0.2">
      <c r="A1289" s="605">
        <v>1259</v>
      </c>
      <c r="B1289" s="801" t="s">
        <v>2754</v>
      </c>
      <c r="C1289" s="797"/>
      <c r="D1289" s="797"/>
      <c r="E1289" s="797"/>
      <c r="F1289" s="797"/>
      <c r="G1289" s="797"/>
      <c r="H1289" s="1093"/>
      <c r="U1289" s="345"/>
      <c r="V1289" s="345"/>
      <c r="W1289" s="345"/>
      <c r="X1289" s="345"/>
      <c r="Y1289" s="345"/>
      <c r="Z1289" s="345"/>
      <c r="AA1289" s="345"/>
      <c r="AB1289" s="345"/>
      <c r="AC1289" s="345"/>
      <c r="AD1289" s="345"/>
      <c r="AE1289" s="345"/>
    </row>
    <row r="1290" spans="1:31" ht="15" x14ac:dyDescent="0.2">
      <c r="A1290" s="605">
        <v>1260</v>
      </c>
      <c r="B1290" s="801" t="s">
        <v>2753</v>
      </c>
      <c r="C1290" s="797"/>
      <c r="D1290" s="797"/>
      <c r="E1290" s="797"/>
      <c r="F1290" s="797"/>
      <c r="G1290" s="797"/>
      <c r="H1290" s="1093"/>
      <c r="U1290" s="345"/>
      <c r="V1290" s="345"/>
      <c r="W1290" s="345"/>
      <c r="X1290" s="345"/>
      <c r="Y1290" s="345"/>
      <c r="Z1290" s="345"/>
      <c r="AA1290" s="345"/>
      <c r="AB1290" s="345"/>
      <c r="AC1290" s="345"/>
      <c r="AD1290" s="345"/>
      <c r="AE1290" s="345"/>
    </row>
    <row r="1291" spans="1:31" ht="15" x14ac:dyDescent="0.2">
      <c r="A1291" s="605">
        <v>1261</v>
      </c>
      <c r="B1291" s="801" t="s">
        <v>2752</v>
      </c>
      <c r="C1291" s="797"/>
      <c r="D1291" s="797"/>
      <c r="E1291" s="797"/>
      <c r="F1291" s="797"/>
      <c r="G1291" s="797"/>
      <c r="H1291" s="1093"/>
      <c r="U1291" s="345"/>
      <c r="V1291" s="345"/>
      <c r="W1291" s="345"/>
      <c r="X1291" s="345"/>
      <c r="Y1291" s="345"/>
      <c r="Z1291" s="345"/>
      <c r="AA1291" s="345"/>
      <c r="AB1291" s="345"/>
      <c r="AC1291" s="345"/>
      <c r="AD1291" s="345"/>
      <c r="AE1291" s="345"/>
    </row>
    <row r="1292" spans="1:31" ht="15" x14ac:dyDescent="0.2">
      <c r="A1292" s="605">
        <v>1262</v>
      </c>
      <c r="B1292" s="801" t="s">
        <v>2745</v>
      </c>
      <c r="C1292" s="797"/>
      <c r="D1292" s="797"/>
      <c r="E1292" s="797"/>
      <c r="F1292" s="797"/>
      <c r="G1292" s="797"/>
      <c r="H1292" s="1093"/>
      <c r="U1292" s="345"/>
      <c r="V1292" s="345"/>
      <c r="W1292" s="345"/>
      <c r="X1292" s="345"/>
      <c r="Y1292" s="345"/>
      <c r="Z1292" s="345"/>
      <c r="AA1292" s="345"/>
      <c r="AB1292" s="345"/>
      <c r="AC1292" s="345"/>
      <c r="AD1292" s="345"/>
      <c r="AE1292" s="345"/>
    </row>
    <row r="1293" spans="1:31" ht="15" x14ac:dyDescent="0.2">
      <c r="A1293" s="605">
        <v>1263</v>
      </c>
      <c r="B1293" s="805" t="s">
        <v>2751</v>
      </c>
      <c r="C1293" s="804"/>
      <c r="D1293" s="804"/>
      <c r="E1293" s="804"/>
      <c r="F1293" s="804"/>
      <c r="G1293" s="804"/>
      <c r="H1293" s="1093"/>
      <c r="U1293" s="345"/>
      <c r="V1293" s="345"/>
      <c r="W1293" s="345"/>
      <c r="X1293" s="345"/>
      <c r="Y1293" s="345"/>
      <c r="Z1293" s="345"/>
      <c r="AA1293" s="345"/>
      <c r="AB1293" s="345"/>
      <c r="AC1293" s="345"/>
      <c r="AD1293" s="345"/>
      <c r="AE1293" s="345"/>
    </row>
    <row r="1294" spans="1:31" ht="15" x14ac:dyDescent="0.2">
      <c r="A1294" s="605">
        <v>1264</v>
      </c>
      <c r="B1294" s="801" t="s">
        <v>995</v>
      </c>
      <c r="C1294" s="797"/>
      <c r="D1294" s="797"/>
      <c r="E1294" s="797"/>
      <c r="F1294" s="797"/>
      <c r="G1294" s="797"/>
      <c r="H1294" s="1093"/>
      <c r="U1294" s="345"/>
      <c r="V1294" s="345"/>
      <c r="W1294" s="345"/>
      <c r="X1294" s="345"/>
      <c r="Y1294" s="345"/>
      <c r="Z1294" s="345"/>
      <c r="AA1294" s="345"/>
      <c r="AB1294" s="345"/>
      <c r="AC1294" s="345"/>
      <c r="AD1294" s="345"/>
      <c r="AE1294" s="345"/>
    </row>
    <row r="1295" spans="1:31" ht="15" x14ac:dyDescent="0.2">
      <c r="A1295" s="605">
        <v>1265</v>
      </c>
      <c r="B1295" s="801" t="s">
        <v>2528</v>
      </c>
      <c r="C1295" s="797"/>
      <c r="D1295" s="797"/>
      <c r="E1295" s="797"/>
      <c r="F1295" s="797"/>
      <c r="G1295" s="797"/>
      <c r="H1295" s="1093"/>
      <c r="U1295" s="345"/>
      <c r="V1295" s="345"/>
      <c r="W1295" s="345"/>
      <c r="X1295" s="345"/>
      <c r="Y1295" s="345"/>
      <c r="Z1295" s="345"/>
      <c r="AA1295" s="345"/>
      <c r="AB1295" s="345"/>
      <c r="AC1295" s="345"/>
      <c r="AD1295" s="345"/>
      <c r="AE1295" s="345"/>
    </row>
    <row r="1296" spans="1:31" ht="15" x14ac:dyDescent="0.2">
      <c r="A1296" s="605">
        <v>1266</v>
      </c>
      <c r="B1296" s="801" t="s">
        <v>2104</v>
      </c>
      <c r="C1296" s="797"/>
      <c r="D1296" s="797"/>
      <c r="E1296" s="797"/>
      <c r="F1296" s="797"/>
      <c r="G1296" s="797"/>
      <c r="H1296" s="1093"/>
      <c r="U1296" s="345"/>
      <c r="V1296" s="345"/>
      <c r="W1296" s="345"/>
      <c r="X1296" s="345"/>
      <c r="Y1296" s="345"/>
      <c r="Z1296" s="345"/>
      <c r="AA1296" s="345"/>
      <c r="AB1296" s="345"/>
      <c r="AC1296" s="345"/>
      <c r="AD1296" s="345"/>
      <c r="AE1296" s="345"/>
    </row>
    <row r="1297" spans="1:31" ht="15" x14ac:dyDescent="0.2">
      <c r="A1297" s="605">
        <v>1267</v>
      </c>
      <c r="B1297" s="801" t="s">
        <v>2745</v>
      </c>
      <c r="C1297" s="797"/>
      <c r="D1297" s="797"/>
      <c r="E1297" s="797"/>
      <c r="F1297" s="797"/>
      <c r="G1297" s="797"/>
      <c r="H1297" s="1093"/>
      <c r="U1297" s="345"/>
      <c r="V1297" s="345"/>
      <c r="W1297" s="345"/>
      <c r="X1297" s="345"/>
      <c r="Y1297" s="345"/>
      <c r="Z1297" s="345"/>
      <c r="AA1297" s="345"/>
      <c r="AB1297" s="345"/>
      <c r="AC1297" s="345"/>
      <c r="AD1297" s="345"/>
      <c r="AE1297" s="345"/>
    </row>
    <row r="1298" spans="1:31" ht="15" x14ac:dyDescent="0.2">
      <c r="A1298" s="605">
        <v>1268</v>
      </c>
      <c r="B1298" s="805" t="s">
        <v>2750</v>
      </c>
      <c r="C1298" s="804"/>
      <c r="D1298" s="804"/>
      <c r="E1298" s="804"/>
      <c r="F1298" s="804"/>
      <c r="G1298" s="804"/>
      <c r="H1298" s="1093"/>
      <c r="U1298" s="345"/>
      <c r="V1298" s="345"/>
      <c r="W1298" s="345"/>
      <c r="X1298" s="345"/>
      <c r="Y1298" s="345"/>
      <c r="Z1298" s="345"/>
      <c r="AA1298" s="345"/>
      <c r="AB1298" s="345"/>
      <c r="AC1298" s="345"/>
      <c r="AD1298" s="345"/>
      <c r="AE1298" s="345"/>
    </row>
    <row r="1299" spans="1:31" ht="15" x14ac:dyDescent="0.2">
      <c r="A1299" s="605">
        <v>1269</v>
      </c>
      <c r="B1299" s="801" t="s">
        <v>995</v>
      </c>
      <c r="C1299" s="797"/>
      <c r="D1299" s="797"/>
      <c r="E1299" s="797"/>
      <c r="F1299" s="797"/>
      <c r="G1299" s="797"/>
      <c r="H1299" s="1093"/>
      <c r="U1299" s="345"/>
      <c r="V1299" s="345"/>
      <c r="W1299" s="345"/>
      <c r="X1299" s="345"/>
      <c r="Y1299" s="345"/>
      <c r="Z1299" s="345"/>
      <c r="AA1299" s="345"/>
      <c r="AB1299" s="345"/>
      <c r="AC1299" s="345"/>
      <c r="AD1299" s="345"/>
      <c r="AE1299" s="345"/>
    </row>
    <row r="1300" spans="1:31" ht="15" x14ac:dyDescent="0.2">
      <c r="A1300" s="605">
        <v>1270</v>
      </c>
      <c r="B1300" s="801" t="s">
        <v>2528</v>
      </c>
      <c r="C1300" s="797"/>
      <c r="D1300" s="797"/>
      <c r="E1300" s="797"/>
      <c r="F1300" s="797"/>
      <c r="G1300" s="797"/>
      <c r="H1300" s="1093"/>
      <c r="U1300" s="345"/>
      <c r="V1300" s="345"/>
      <c r="W1300" s="345"/>
      <c r="X1300" s="345"/>
      <c r="Y1300" s="345"/>
      <c r="Z1300" s="345"/>
      <c r="AA1300" s="345"/>
      <c r="AB1300" s="345"/>
      <c r="AC1300" s="345"/>
      <c r="AD1300" s="345"/>
      <c r="AE1300" s="345"/>
    </row>
    <row r="1301" spans="1:31" ht="15" x14ac:dyDescent="0.2">
      <c r="A1301" s="605">
        <v>1271</v>
      </c>
      <c r="B1301" s="801" t="s">
        <v>2104</v>
      </c>
      <c r="C1301" s="797"/>
      <c r="D1301" s="797"/>
      <c r="E1301" s="797"/>
      <c r="F1301" s="797"/>
      <c r="G1301" s="797"/>
      <c r="H1301" s="1093"/>
      <c r="U1301" s="345"/>
      <c r="V1301" s="345"/>
      <c r="W1301" s="345"/>
      <c r="X1301" s="345"/>
      <c r="Y1301" s="345"/>
      <c r="Z1301" s="345"/>
      <c r="AA1301" s="345"/>
      <c r="AB1301" s="345"/>
      <c r="AC1301" s="345"/>
      <c r="AD1301" s="345"/>
      <c r="AE1301" s="345"/>
    </row>
    <row r="1302" spans="1:31" ht="15" x14ac:dyDescent="0.2">
      <c r="A1302" s="605">
        <v>1272</v>
      </c>
      <c r="B1302" s="805" t="s">
        <v>2749</v>
      </c>
      <c r="C1302" s="804"/>
      <c r="D1302" s="804"/>
      <c r="E1302" s="804"/>
      <c r="F1302" s="804"/>
      <c r="G1302" s="804"/>
      <c r="H1302" s="1093"/>
      <c r="U1302" s="345"/>
      <c r="V1302" s="345"/>
      <c r="W1302" s="345"/>
      <c r="X1302" s="345"/>
      <c r="Y1302" s="345"/>
      <c r="Z1302" s="345"/>
      <c r="AA1302" s="345"/>
      <c r="AB1302" s="345"/>
      <c r="AC1302" s="345"/>
      <c r="AD1302" s="345"/>
      <c r="AE1302" s="345"/>
    </row>
    <row r="1303" spans="1:31" ht="15" x14ac:dyDescent="0.2">
      <c r="A1303" s="605">
        <v>1273</v>
      </c>
      <c r="B1303" s="801" t="s">
        <v>2748</v>
      </c>
      <c r="C1303" s="797"/>
      <c r="D1303" s="797"/>
      <c r="E1303" s="797"/>
      <c r="F1303" s="797"/>
      <c r="G1303" s="797"/>
      <c r="H1303" s="1093"/>
      <c r="U1303" s="345"/>
      <c r="V1303" s="345"/>
      <c r="W1303" s="345"/>
      <c r="X1303" s="345"/>
      <c r="Y1303" s="345"/>
      <c r="Z1303" s="345"/>
      <c r="AA1303" s="345"/>
      <c r="AB1303" s="345"/>
      <c r="AC1303" s="345"/>
      <c r="AD1303" s="345"/>
      <c r="AE1303" s="345"/>
    </row>
    <row r="1304" spans="1:31" ht="15" x14ac:dyDescent="0.2">
      <c r="A1304" s="605">
        <v>1274</v>
      </c>
      <c r="B1304" s="801" t="s">
        <v>2747</v>
      </c>
      <c r="C1304" s="797"/>
      <c r="D1304" s="797"/>
      <c r="E1304" s="797"/>
      <c r="F1304" s="797"/>
      <c r="G1304" s="797"/>
      <c r="H1304" s="1093"/>
      <c r="U1304" s="345"/>
      <c r="V1304" s="345"/>
      <c r="W1304" s="345"/>
      <c r="X1304" s="345"/>
      <c r="Y1304" s="345"/>
      <c r="Z1304" s="345"/>
      <c r="AA1304" s="345"/>
      <c r="AB1304" s="345"/>
      <c r="AC1304" s="345"/>
      <c r="AD1304" s="345"/>
      <c r="AE1304" s="345"/>
    </row>
    <row r="1305" spans="1:31" ht="15" x14ac:dyDescent="0.2">
      <c r="A1305" s="605">
        <v>1275</v>
      </c>
      <c r="B1305" s="801" t="s">
        <v>2746</v>
      </c>
      <c r="C1305" s="797"/>
      <c r="D1305" s="797"/>
      <c r="E1305" s="797"/>
      <c r="F1305" s="797"/>
      <c r="G1305" s="797"/>
      <c r="H1305" s="1093"/>
      <c r="U1305" s="345"/>
      <c r="V1305" s="345"/>
      <c r="W1305" s="345"/>
      <c r="X1305" s="345"/>
      <c r="Y1305" s="345"/>
      <c r="Z1305" s="345"/>
      <c r="AA1305" s="345"/>
      <c r="AB1305" s="345"/>
      <c r="AC1305" s="345"/>
      <c r="AD1305" s="345"/>
      <c r="AE1305" s="345"/>
    </row>
    <row r="1306" spans="1:31" ht="15" x14ac:dyDescent="0.2">
      <c r="A1306" s="605">
        <v>1276</v>
      </c>
      <c r="B1306" s="801" t="s">
        <v>2745</v>
      </c>
      <c r="C1306" s="797"/>
      <c r="D1306" s="797"/>
      <c r="E1306" s="797"/>
      <c r="F1306" s="797"/>
      <c r="G1306" s="797"/>
      <c r="H1306" s="1093"/>
      <c r="U1306" s="345"/>
      <c r="V1306" s="345"/>
      <c r="W1306" s="345"/>
      <c r="X1306" s="345"/>
      <c r="Y1306" s="345"/>
      <c r="Z1306" s="345"/>
      <c r="AA1306" s="345"/>
      <c r="AB1306" s="345"/>
      <c r="AC1306" s="345"/>
      <c r="AD1306" s="345"/>
      <c r="AE1306" s="345"/>
    </row>
    <row r="1307" spans="1:31" s="347" customFormat="1" ht="15" x14ac:dyDescent="0.2">
      <c r="A1307" s="605">
        <v>1277</v>
      </c>
      <c r="B1307" s="777" t="s">
        <v>2744</v>
      </c>
      <c r="C1307" s="777"/>
      <c r="D1307" s="777"/>
      <c r="E1307" s="777"/>
      <c r="F1307" s="777"/>
      <c r="G1307" s="777"/>
      <c r="H1307" s="1030"/>
    </row>
    <row r="1308" spans="1:31" s="347" customFormat="1" ht="30" x14ac:dyDescent="0.2">
      <c r="A1308" s="605">
        <v>1278</v>
      </c>
      <c r="B1308" s="774" t="s">
        <v>2743</v>
      </c>
      <c r="C1308" s="772"/>
      <c r="D1308" s="772"/>
      <c r="E1308" s="772"/>
      <c r="F1308" s="772"/>
      <c r="G1308" s="772"/>
      <c r="H1308" s="1035"/>
    </row>
    <row r="1309" spans="1:31" s="347" customFormat="1" ht="30" x14ac:dyDescent="0.2">
      <c r="A1309" s="605">
        <v>1279</v>
      </c>
      <c r="B1309" s="774" t="s">
        <v>2742</v>
      </c>
      <c r="C1309" s="772"/>
      <c r="D1309" s="772"/>
      <c r="E1309" s="772"/>
      <c r="F1309" s="772"/>
      <c r="G1309" s="772"/>
      <c r="H1309" s="1035"/>
    </row>
    <row r="1310" spans="1:31" s="347" customFormat="1" ht="15" x14ac:dyDescent="0.2">
      <c r="A1310" s="605">
        <v>1280</v>
      </c>
      <c r="B1310" s="800" t="s">
        <v>2741</v>
      </c>
      <c r="C1310" s="804"/>
      <c r="D1310" s="804"/>
      <c r="E1310" s="804"/>
      <c r="F1310" s="804"/>
      <c r="G1310" s="804"/>
      <c r="H1310" s="1093"/>
    </row>
    <row r="1311" spans="1:31" s="347" customFormat="1" ht="15" x14ac:dyDescent="0.2">
      <c r="A1311" s="605">
        <v>1281</v>
      </c>
      <c r="B1311" s="805" t="s">
        <v>2740</v>
      </c>
      <c r="C1311" s="797"/>
      <c r="D1311" s="797"/>
      <c r="E1311" s="797"/>
      <c r="F1311" s="797"/>
      <c r="G1311" s="797"/>
      <c r="H1311" s="1093"/>
    </row>
    <row r="1312" spans="1:31" s="347" customFormat="1" ht="15" x14ac:dyDescent="0.2">
      <c r="A1312" s="605">
        <v>1282</v>
      </c>
      <c r="B1312" s="805" t="s">
        <v>2739</v>
      </c>
      <c r="C1312" s="797"/>
      <c r="D1312" s="797"/>
      <c r="E1312" s="797"/>
      <c r="F1312" s="797"/>
      <c r="G1312" s="797"/>
      <c r="H1312" s="1093"/>
    </row>
    <row r="1313" spans="1:8" s="347" customFormat="1" ht="30" x14ac:dyDescent="0.2">
      <c r="A1313" s="605">
        <v>1283</v>
      </c>
      <c r="B1313" s="800" t="s">
        <v>2738</v>
      </c>
      <c r="C1313" s="278"/>
      <c r="D1313" s="278"/>
      <c r="E1313" s="278"/>
      <c r="F1313" s="278"/>
      <c r="G1313" s="278"/>
      <c r="H1313" s="1093"/>
    </row>
    <row r="1314" spans="1:8" s="347" customFormat="1" ht="15" x14ac:dyDescent="0.2">
      <c r="A1314" s="605">
        <v>1284</v>
      </c>
      <c r="B1314" s="853" t="s">
        <v>2737</v>
      </c>
      <c r="C1314" s="795"/>
      <c r="D1314" s="795"/>
      <c r="E1314" s="795"/>
      <c r="F1314" s="795"/>
      <c r="G1314" s="795"/>
      <c r="H1314" s="1105"/>
    </row>
    <row r="1315" spans="1:8" s="347" customFormat="1" ht="15" x14ac:dyDescent="0.2">
      <c r="A1315" s="605">
        <v>1285</v>
      </c>
      <c r="B1315" s="805" t="s">
        <v>1908</v>
      </c>
      <c r="C1315" s="797"/>
      <c r="D1315" s="797"/>
      <c r="E1315" s="797"/>
      <c r="F1315" s="797"/>
      <c r="G1315" s="797"/>
      <c r="H1315" s="1093"/>
    </row>
    <row r="1316" spans="1:8" s="347" customFormat="1" ht="15" x14ac:dyDescent="0.2">
      <c r="A1316" s="605">
        <v>1286</v>
      </c>
      <c r="B1316" s="803" t="s">
        <v>1915</v>
      </c>
      <c r="C1316" s="795"/>
      <c r="D1316" s="795"/>
      <c r="E1316" s="795"/>
      <c r="F1316" s="795"/>
      <c r="G1316" s="795"/>
      <c r="H1316" s="1105"/>
    </row>
    <row r="1317" spans="1:8" s="347" customFormat="1" ht="15" x14ac:dyDescent="0.2">
      <c r="A1317" s="605">
        <v>1287</v>
      </c>
      <c r="B1317" s="803" t="s">
        <v>2736</v>
      </c>
      <c r="C1317" s="795"/>
      <c r="D1317" s="795"/>
      <c r="E1317" s="795"/>
      <c r="F1317" s="795"/>
      <c r="G1317" s="795"/>
      <c r="H1317" s="1105"/>
    </row>
    <row r="1318" spans="1:8" s="347" customFormat="1" ht="15" x14ac:dyDescent="0.2">
      <c r="A1318" s="605">
        <v>1288</v>
      </c>
      <c r="B1318" s="803" t="s">
        <v>1938</v>
      </c>
      <c r="C1318" s="795"/>
      <c r="D1318" s="795"/>
      <c r="E1318" s="795"/>
      <c r="F1318" s="795"/>
      <c r="G1318" s="795"/>
      <c r="H1318" s="1105"/>
    </row>
    <row r="1319" spans="1:8" s="347" customFormat="1" ht="15" x14ac:dyDescent="0.2">
      <c r="A1319" s="605">
        <v>1289</v>
      </c>
      <c r="B1319" s="805" t="s">
        <v>2735</v>
      </c>
      <c r="C1319" s="797"/>
      <c r="D1319" s="797"/>
      <c r="E1319" s="797"/>
      <c r="F1319" s="797"/>
      <c r="G1319" s="797"/>
      <c r="H1319" s="1093"/>
    </row>
    <row r="1320" spans="1:8" s="347" customFormat="1" ht="15" x14ac:dyDescent="0.2">
      <c r="A1320" s="605">
        <v>1290</v>
      </c>
      <c r="B1320" s="803" t="s">
        <v>2734</v>
      </c>
      <c r="C1320" s="795"/>
      <c r="D1320" s="795"/>
      <c r="E1320" s="795"/>
      <c r="F1320" s="795"/>
      <c r="G1320" s="795"/>
      <c r="H1320" s="1105"/>
    </row>
    <row r="1321" spans="1:8" s="347" customFormat="1" ht="15" x14ac:dyDescent="0.2">
      <c r="A1321" s="605">
        <v>1291</v>
      </c>
      <c r="B1321" s="803" t="s">
        <v>2733</v>
      </c>
      <c r="C1321" s="795"/>
      <c r="D1321" s="795"/>
      <c r="E1321" s="795"/>
      <c r="F1321" s="795"/>
      <c r="G1321" s="795"/>
      <c r="H1321" s="1105"/>
    </row>
    <row r="1322" spans="1:8" s="347" customFormat="1" ht="15" x14ac:dyDescent="0.2">
      <c r="A1322" s="605">
        <v>1292</v>
      </c>
      <c r="B1322" s="803" t="s">
        <v>2732</v>
      </c>
      <c r="C1322" s="795"/>
      <c r="D1322" s="795"/>
      <c r="E1322" s="795"/>
      <c r="F1322" s="795"/>
      <c r="G1322" s="795"/>
      <c r="H1322" s="1105"/>
    </row>
    <row r="1323" spans="1:8" s="347" customFormat="1" ht="15" x14ac:dyDescent="0.2">
      <c r="A1323" s="605">
        <v>1293</v>
      </c>
      <c r="B1323" s="803" t="s">
        <v>2731</v>
      </c>
      <c r="C1323" s="795"/>
      <c r="D1323" s="795"/>
      <c r="E1323" s="795"/>
      <c r="F1323" s="795"/>
      <c r="G1323" s="795"/>
      <c r="H1323" s="1105"/>
    </row>
    <row r="1324" spans="1:8" s="347" customFormat="1" ht="15" x14ac:dyDescent="0.2">
      <c r="A1324" s="605">
        <v>1294</v>
      </c>
      <c r="B1324" s="803" t="s">
        <v>2730</v>
      </c>
      <c r="C1324" s="795"/>
      <c r="D1324" s="795"/>
      <c r="E1324" s="795"/>
      <c r="F1324" s="795"/>
      <c r="G1324" s="795"/>
      <c r="H1324" s="1105"/>
    </row>
    <row r="1325" spans="1:8" s="347" customFormat="1" ht="15" x14ac:dyDescent="0.2">
      <c r="A1325" s="605">
        <v>1295</v>
      </c>
      <c r="B1325" s="803" t="s">
        <v>2729</v>
      </c>
      <c r="C1325" s="795"/>
      <c r="D1325" s="795"/>
      <c r="E1325" s="795"/>
      <c r="F1325" s="795"/>
      <c r="G1325" s="795"/>
      <c r="H1325" s="1105"/>
    </row>
    <row r="1326" spans="1:8" s="347" customFormat="1" ht="15" x14ac:dyDescent="0.2">
      <c r="A1326" s="605">
        <v>1296</v>
      </c>
      <c r="B1326" s="805" t="s">
        <v>1382</v>
      </c>
      <c r="C1326" s="797"/>
      <c r="D1326" s="797"/>
      <c r="E1326" s="797"/>
      <c r="F1326" s="797"/>
      <c r="G1326" s="797"/>
      <c r="H1326" s="1093"/>
    </row>
    <row r="1327" spans="1:8" s="347" customFormat="1" ht="15" x14ac:dyDescent="0.2">
      <c r="A1327" s="605">
        <v>1297</v>
      </c>
      <c r="B1327" s="803" t="s">
        <v>2728</v>
      </c>
      <c r="C1327" s="795"/>
      <c r="D1327" s="795"/>
      <c r="E1327" s="795"/>
      <c r="F1327" s="795"/>
      <c r="G1327" s="795"/>
      <c r="H1327" s="1105"/>
    </row>
    <row r="1328" spans="1:8" s="347" customFormat="1" ht="15" x14ac:dyDescent="0.2">
      <c r="A1328" s="605">
        <v>1298</v>
      </c>
      <c r="B1328" s="803" t="s">
        <v>2727</v>
      </c>
      <c r="C1328" s="795"/>
      <c r="D1328" s="795"/>
      <c r="E1328" s="795"/>
      <c r="F1328" s="795"/>
      <c r="G1328" s="795"/>
      <c r="H1328" s="1105"/>
    </row>
    <row r="1329" spans="1:38" s="347" customFormat="1" ht="15" x14ac:dyDescent="0.2">
      <c r="A1329" s="605">
        <v>1299</v>
      </c>
      <c r="B1329" s="803" t="s">
        <v>2726</v>
      </c>
      <c r="C1329" s="795"/>
      <c r="D1329" s="795"/>
      <c r="E1329" s="795"/>
      <c r="F1329" s="795"/>
      <c r="G1329" s="795"/>
      <c r="H1329" s="1105"/>
    </row>
    <row r="1330" spans="1:38" s="347" customFormat="1" ht="15" x14ac:dyDescent="0.2">
      <c r="A1330" s="605">
        <v>1300</v>
      </c>
      <c r="B1330" s="803" t="s">
        <v>2725</v>
      </c>
      <c r="C1330" s="795"/>
      <c r="D1330" s="795"/>
      <c r="E1330" s="795"/>
      <c r="F1330" s="795"/>
      <c r="G1330" s="795"/>
      <c r="H1330" s="1105"/>
    </row>
    <row r="1331" spans="1:38" s="347" customFormat="1" ht="15" x14ac:dyDescent="0.2">
      <c r="A1331" s="605">
        <v>1301</v>
      </c>
      <c r="B1331" s="803" t="s">
        <v>2724</v>
      </c>
      <c r="C1331" s="795"/>
      <c r="D1331" s="795"/>
      <c r="E1331" s="795"/>
      <c r="F1331" s="795"/>
      <c r="G1331" s="795"/>
      <c r="H1331" s="1105" t="s">
        <v>875</v>
      </c>
    </row>
    <row r="1332" spans="1:38" s="347" customFormat="1" ht="15" x14ac:dyDescent="0.2">
      <c r="A1332" s="605">
        <v>1302</v>
      </c>
      <c r="B1332" s="805" t="s">
        <v>2723</v>
      </c>
      <c r="C1332" s="797"/>
      <c r="D1332" s="797"/>
      <c r="E1332" s="797"/>
      <c r="F1332" s="797"/>
      <c r="G1332" s="797"/>
      <c r="H1332" s="1093"/>
    </row>
    <row r="1333" spans="1:38" s="347" customFormat="1" ht="30" x14ac:dyDescent="0.2">
      <c r="A1333" s="605">
        <v>1303</v>
      </c>
      <c r="B1333" s="805" t="s">
        <v>2722</v>
      </c>
      <c r="C1333" s="797"/>
      <c r="D1333" s="797"/>
      <c r="E1333" s="797"/>
      <c r="F1333" s="797"/>
      <c r="G1333" s="797"/>
      <c r="H1333" s="1093"/>
    </row>
    <row r="1334" spans="1:38" s="347" customFormat="1" ht="15" x14ac:dyDescent="0.2">
      <c r="A1334" s="605">
        <v>1304</v>
      </c>
      <c r="B1334" s="800" t="s">
        <v>2721</v>
      </c>
      <c r="C1334" s="797"/>
      <c r="D1334" s="797"/>
      <c r="E1334" s="797"/>
      <c r="F1334" s="797"/>
      <c r="G1334" s="797"/>
      <c r="H1334" s="1093"/>
    </row>
    <row r="1335" spans="1:38" s="347" customFormat="1" ht="30" x14ac:dyDescent="0.2">
      <c r="A1335" s="605">
        <v>1305</v>
      </c>
      <c r="B1335" s="800" t="s">
        <v>2720</v>
      </c>
      <c r="C1335" s="278"/>
      <c r="D1335" s="278"/>
      <c r="E1335" s="278"/>
      <c r="F1335" s="278"/>
      <c r="G1335" s="278"/>
      <c r="H1335" s="1093"/>
    </row>
    <row r="1336" spans="1:38" s="347" customFormat="1" ht="15" x14ac:dyDescent="0.2">
      <c r="A1336" s="605">
        <v>1306</v>
      </c>
      <c r="B1336" s="805" t="s">
        <v>36</v>
      </c>
      <c r="C1336" s="797"/>
      <c r="D1336" s="797"/>
      <c r="E1336" s="797"/>
      <c r="F1336" s="797"/>
      <c r="G1336" s="797"/>
      <c r="H1336" s="1093"/>
    </row>
    <row r="1337" spans="1:38" s="347" customFormat="1" ht="15" x14ac:dyDescent="0.2">
      <c r="A1337" s="605">
        <v>1307</v>
      </c>
      <c r="B1337" s="805" t="s">
        <v>2719</v>
      </c>
      <c r="C1337" s="797"/>
      <c r="D1337" s="797"/>
      <c r="E1337" s="797"/>
      <c r="F1337" s="797"/>
      <c r="G1337" s="797"/>
      <c r="H1337" s="1093"/>
    </row>
    <row r="1338" spans="1:38" s="347" customFormat="1" ht="15" x14ac:dyDescent="0.2">
      <c r="A1338" s="605">
        <v>1308</v>
      </c>
      <c r="B1338" s="805" t="s">
        <v>991</v>
      </c>
      <c r="C1338" s="797"/>
      <c r="D1338" s="797"/>
      <c r="E1338" s="797"/>
      <c r="F1338" s="797"/>
      <c r="G1338" s="797"/>
      <c r="H1338" s="1093"/>
    </row>
    <row r="1339" spans="1:38" s="347" customFormat="1" ht="15" x14ac:dyDescent="0.2">
      <c r="A1339" s="605">
        <v>1309</v>
      </c>
      <c r="B1339" s="800" t="s">
        <v>2718</v>
      </c>
      <c r="C1339" s="797"/>
      <c r="D1339" s="797"/>
      <c r="E1339" s="797"/>
      <c r="F1339" s="797"/>
      <c r="G1339" s="797"/>
      <c r="H1339" s="1093"/>
    </row>
    <row r="1340" spans="1:38" s="347" customFormat="1" ht="30" x14ac:dyDescent="0.2">
      <c r="A1340" s="605">
        <v>1310</v>
      </c>
      <c r="B1340" s="800" t="s">
        <v>2717</v>
      </c>
      <c r="C1340" s="797"/>
      <c r="D1340" s="797"/>
      <c r="E1340" s="797"/>
      <c r="F1340" s="797"/>
      <c r="G1340" s="797"/>
      <c r="H1340" s="1054"/>
    </row>
    <row r="1341" spans="1:38" s="347" customFormat="1" ht="30" x14ac:dyDescent="0.2">
      <c r="A1341" s="605">
        <v>1311</v>
      </c>
      <c r="B1341" s="800" t="s">
        <v>2716</v>
      </c>
      <c r="C1341" s="797"/>
      <c r="D1341" s="797"/>
      <c r="E1341" s="797"/>
      <c r="F1341" s="797"/>
      <c r="G1341" s="797"/>
      <c r="H1341" s="1093"/>
    </row>
    <row r="1342" spans="1:38" s="347" customFormat="1" ht="45" x14ac:dyDescent="0.2">
      <c r="A1342" s="605">
        <v>1312</v>
      </c>
      <c r="B1342" s="799" t="s">
        <v>2715</v>
      </c>
      <c r="C1342" s="795"/>
      <c r="D1342" s="795"/>
      <c r="E1342" s="795"/>
      <c r="F1342" s="795"/>
      <c r="G1342" s="795"/>
      <c r="H1342" s="1054"/>
    </row>
    <row r="1343" spans="1:38" ht="15" x14ac:dyDescent="0.25">
      <c r="A1343" s="605">
        <v>1313</v>
      </c>
      <c r="B1343" s="852" t="s">
        <v>2714</v>
      </c>
      <c r="C1343" s="845"/>
      <c r="D1343" s="845"/>
      <c r="E1343" s="845"/>
      <c r="F1343" s="845"/>
      <c r="G1343" s="845"/>
      <c r="H1343" s="1029"/>
      <c r="AF1343" s="347"/>
      <c r="AG1343" s="347"/>
      <c r="AH1343" s="347"/>
      <c r="AI1343" s="347"/>
      <c r="AJ1343" s="347"/>
      <c r="AK1343" s="347"/>
      <c r="AL1343" s="347"/>
    </row>
    <row r="1344" spans="1:38" ht="15" x14ac:dyDescent="0.2">
      <c r="A1344" s="605">
        <v>1314</v>
      </c>
      <c r="B1344" s="776" t="s">
        <v>2713</v>
      </c>
      <c r="C1344" s="776"/>
      <c r="D1344" s="776"/>
      <c r="E1344" s="776"/>
      <c r="F1344" s="776"/>
      <c r="G1344" s="776"/>
      <c r="H1344" s="1036"/>
      <c r="I1344" s="345"/>
      <c r="J1344" s="345"/>
      <c r="K1344" s="345"/>
      <c r="L1344" s="345"/>
      <c r="M1344" s="345"/>
      <c r="N1344" s="345"/>
      <c r="O1344" s="345"/>
      <c r="P1344" s="345"/>
      <c r="Q1344" s="345"/>
      <c r="R1344" s="345"/>
      <c r="S1344" s="345"/>
      <c r="T1344" s="345"/>
      <c r="U1344" s="345"/>
      <c r="V1344" s="345"/>
      <c r="W1344" s="345"/>
      <c r="X1344" s="345"/>
      <c r="Y1344" s="345"/>
      <c r="Z1344" s="345"/>
      <c r="AA1344" s="345"/>
      <c r="AB1344" s="345"/>
      <c r="AC1344" s="345"/>
      <c r="AD1344" s="345"/>
      <c r="AE1344" s="345"/>
    </row>
    <row r="1345" spans="1:8" s="598" customFormat="1" ht="15" x14ac:dyDescent="0.25">
      <c r="A1345" s="605">
        <v>1315</v>
      </c>
      <c r="B1345" s="635" t="s">
        <v>2712</v>
      </c>
      <c r="C1345" s="278"/>
      <c r="D1345" s="278"/>
      <c r="E1345" s="278"/>
      <c r="F1345" s="278"/>
      <c r="G1345" s="278"/>
      <c r="H1345" s="1034"/>
    </row>
    <row r="1346" spans="1:8" s="598" customFormat="1" ht="15" x14ac:dyDescent="0.25">
      <c r="A1346" s="605">
        <v>1316</v>
      </c>
      <c r="B1346" s="858" t="s">
        <v>2711</v>
      </c>
      <c r="C1346" s="881"/>
      <c r="D1346" s="881"/>
      <c r="E1346" s="881"/>
      <c r="F1346" s="881"/>
      <c r="G1346" s="881"/>
      <c r="H1346" s="1034"/>
    </row>
    <row r="1347" spans="1:8" s="598" customFormat="1" ht="15" x14ac:dyDescent="0.25">
      <c r="A1347" s="605">
        <v>1317</v>
      </c>
      <c r="B1347" s="858" t="s">
        <v>2710</v>
      </c>
      <c r="C1347" s="881"/>
      <c r="D1347" s="881"/>
      <c r="E1347" s="881"/>
      <c r="F1347" s="881"/>
      <c r="G1347" s="881"/>
      <c r="H1347" s="1034"/>
    </row>
    <row r="1348" spans="1:8" s="598" customFormat="1" ht="15" x14ac:dyDescent="0.25">
      <c r="A1348" s="605">
        <v>1318</v>
      </c>
      <c r="B1348" s="858" t="s">
        <v>2709</v>
      </c>
      <c r="C1348" s="881"/>
      <c r="D1348" s="881"/>
      <c r="E1348" s="881"/>
      <c r="F1348" s="881"/>
      <c r="G1348" s="881"/>
      <c r="H1348" s="1034"/>
    </row>
    <row r="1349" spans="1:8" s="598" customFormat="1" ht="15" x14ac:dyDescent="0.25">
      <c r="A1349" s="605">
        <v>1319</v>
      </c>
      <c r="B1349" s="858" t="s">
        <v>2708</v>
      </c>
      <c r="C1349" s="881"/>
      <c r="D1349" s="881"/>
      <c r="E1349" s="881"/>
      <c r="F1349" s="881"/>
      <c r="G1349" s="881"/>
      <c r="H1349" s="1034"/>
    </row>
    <row r="1350" spans="1:8" s="598" customFormat="1" ht="15" x14ac:dyDescent="0.25">
      <c r="A1350" s="605">
        <v>1320</v>
      </c>
      <c r="B1350" s="858" t="s">
        <v>2707</v>
      </c>
      <c r="C1350" s="881"/>
      <c r="D1350" s="881"/>
      <c r="E1350" s="881"/>
      <c r="F1350" s="881"/>
      <c r="G1350" s="881"/>
      <c r="H1350" s="1034"/>
    </row>
    <row r="1351" spans="1:8" s="598" customFormat="1" ht="15" x14ac:dyDescent="0.25">
      <c r="A1351" s="605">
        <v>1321</v>
      </c>
      <c r="B1351" s="858" t="s">
        <v>2706</v>
      </c>
      <c r="C1351" s="881"/>
      <c r="D1351" s="881"/>
      <c r="E1351" s="881"/>
      <c r="F1351" s="881"/>
      <c r="G1351" s="881"/>
      <c r="H1351" s="1034"/>
    </row>
    <row r="1352" spans="1:8" s="598" customFormat="1" ht="15" x14ac:dyDescent="0.25">
      <c r="A1352" s="605">
        <v>1322</v>
      </c>
      <c r="B1352" s="858" t="s">
        <v>2705</v>
      </c>
      <c r="C1352" s="881"/>
      <c r="D1352" s="881"/>
      <c r="E1352" s="881"/>
      <c r="F1352" s="881"/>
      <c r="G1352" s="881"/>
      <c r="H1352" s="1034"/>
    </row>
    <row r="1353" spans="1:8" s="598" customFormat="1" ht="15" x14ac:dyDescent="0.25">
      <c r="A1353" s="605">
        <v>1323</v>
      </c>
      <c r="B1353" s="635" t="s">
        <v>2704</v>
      </c>
      <c r="C1353" s="881"/>
      <c r="D1353" s="881"/>
      <c r="E1353" s="881"/>
      <c r="F1353" s="881"/>
      <c r="G1353" s="881"/>
      <c r="H1353" s="1034"/>
    </row>
    <row r="1354" spans="1:8" s="598" customFormat="1" ht="30" x14ac:dyDescent="0.25">
      <c r="A1354" s="605">
        <v>1324</v>
      </c>
      <c r="B1354" s="635" t="s">
        <v>2703</v>
      </c>
      <c r="C1354" s="881"/>
      <c r="D1354" s="881"/>
      <c r="E1354" s="881"/>
      <c r="F1354" s="881"/>
      <c r="G1354" s="881"/>
      <c r="H1354" s="1034"/>
    </row>
    <row r="1355" spans="1:8" s="598" customFormat="1" ht="30" x14ac:dyDescent="0.2">
      <c r="A1355" s="605">
        <v>1325</v>
      </c>
      <c r="B1355" s="990" t="s">
        <v>2702</v>
      </c>
      <c r="C1355" s="278"/>
      <c r="D1355" s="278"/>
      <c r="E1355" s="278"/>
      <c r="F1355" s="278"/>
      <c r="G1355" s="278"/>
      <c r="H1355" s="1054"/>
    </row>
    <row r="1356" spans="1:8" s="598" customFormat="1" ht="15" x14ac:dyDescent="0.2">
      <c r="A1356" s="605">
        <v>1326</v>
      </c>
      <c r="B1356" s="981" t="s">
        <v>2642</v>
      </c>
      <c r="C1356" s="991"/>
      <c r="D1356" s="991"/>
      <c r="E1356" s="991"/>
      <c r="F1356" s="991"/>
      <c r="G1356" s="991"/>
      <c r="H1356" s="1072"/>
    </row>
    <row r="1357" spans="1:8" s="598" customFormat="1" ht="15" x14ac:dyDescent="0.2">
      <c r="A1357" s="605">
        <v>1327</v>
      </c>
      <c r="B1357" s="981" t="s">
        <v>627</v>
      </c>
      <c r="C1357" s="991"/>
      <c r="D1357" s="991"/>
      <c r="E1357" s="991"/>
      <c r="F1357" s="991"/>
      <c r="G1357" s="991"/>
      <c r="H1357" s="1072"/>
    </row>
    <row r="1358" spans="1:8" s="598" customFormat="1" ht="15" x14ac:dyDescent="0.25">
      <c r="A1358" s="605">
        <v>1328</v>
      </c>
      <c r="B1358" s="981" t="s">
        <v>2701</v>
      </c>
      <c r="C1358" s="881"/>
      <c r="D1358" s="881"/>
      <c r="E1358" s="881"/>
      <c r="F1358" s="881"/>
      <c r="G1358" s="881"/>
      <c r="H1358" s="1072"/>
    </row>
    <row r="1359" spans="1:8" s="598" customFormat="1" ht="15" x14ac:dyDescent="0.2">
      <c r="A1359" s="605">
        <v>1329</v>
      </c>
      <c r="B1359" s="981" t="s">
        <v>2700</v>
      </c>
      <c r="C1359" s="991"/>
      <c r="D1359" s="991"/>
      <c r="E1359" s="991"/>
      <c r="F1359" s="991"/>
      <c r="G1359" s="991"/>
      <c r="H1359" s="1072"/>
    </row>
    <row r="1360" spans="1:8" s="598" customFormat="1" ht="15" x14ac:dyDescent="0.2">
      <c r="A1360" s="605">
        <v>1330</v>
      </c>
      <c r="B1360" s="981" t="s">
        <v>2699</v>
      </c>
      <c r="C1360" s="991"/>
      <c r="D1360" s="991"/>
      <c r="E1360" s="991"/>
      <c r="F1360" s="991"/>
      <c r="G1360" s="991"/>
      <c r="H1360" s="1072"/>
    </row>
    <row r="1361" spans="1:8" s="598" customFormat="1" ht="15" x14ac:dyDescent="0.2">
      <c r="A1361" s="605">
        <v>1331</v>
      </c>
      <c r="B1361" s="981" t="s">
        <v>2698</v>
      </c>
      <c r="C1361" s="991"/>
      <c r="D1361" s="991"/>
      <c r="E1361" s="991"/>
      <c r="F1361" s="991"/>
      <c r="G1361" s="991"/>
      <c r="H1361" s="1072"/>
    </row>
    <row r="1362" spans="1:8" s="598" customFormat="1" ht="15" x14ac:dyDescent="0.2">
      <c r="A1362" s="605">
        <v>1332</v>
      </c>
      <c r="B1362" s="981" t="s">
        <v>2697</v>
      </c>
      <c r="C1362" s="991"/>
      <c r="D1362" s="991"/>
      <c r="E1362" s="991"/>
      <c r="F1362" s="991"/>
      <c r="G1362" s="991"/>
      <c r="H1362" s="1072"/>
    </row>
    <row r="1363" spans="1:8" s="598" customFormat="1" ht="30" x14ac:dyDescent="0.2">
      <c r="A1363" s="605">
        <v>1333</v>
      </c>
      <c r="B1363" s="981" t="s">
        <v>2696</v>
      </c>
      <c r="C1363" s="991"/>
      <c r="D1363" s="991"/>
      <c r="E1363" s="991"/>
      <c r="F1363" s="991"/>
      <c r="G1363" s="991"/>
      <c r="H1363" s="1072"/>
    </row>
    <row r="1364" spans="1:8" s="598" customFormat="1" ht="15" x14ac:dyDescent="0.25">
      <c r="A1364" s="605">
        <v>1334</v>
      </c>
      <c r="B1364" s="981" t="s">
        <v>2695</v>
      </c>
      <c r="C1364" s="881"/>
      <c r="D1364" s="881"/>
      <c r="E1364" s="881"/>
      <c r="F1364" s="881"/>
      <c r="G1364" s="881"/>
      <c r="H1364" s="1072"/>
    </row>
    <row r="1365" spans="1:8" s="598" customFormat="1" ht="15" x14ac:dyDescent="0.2">
      <c r="A1365" s="605">
        <v>1335</v>
      </c>
      <c r="B1365" s="981" t="s">
        <v>366</v>
      </c>
      <c r="C1365" s="991"/>
      <c r="D1365" s="991"/>
      <c r="E1365" s="991"/>
      <c r="F1365" s="991"/>
      <c r="G1365" s="991"/>
      <c r="H1365" s="1072"/>
    </row>
    <row r="1366" spans="1:8" s="598" customFormat="1" ht="15" x14ac:dyDescent="0.2">
      <c r="A1366" s="605">
        <v>1336</v>
      </c>
      <c r="B1366" s="981" t="s">
        <v>2694</v>
      </c>
      <c r="C1366" s="992"/>
      <c r="D1366" s="992"/>
      <c r="E1366" s="992"/>
      <c r="F1366" s="992"/>
      <c r="G1366" s="992"/>
      <c r="H1366" s="1072"/>
    </row>
    <row r="1367" spans="1:8" s="598" customFormat="1" ht="15" x14ac:dyDescent="0.25">
      <c r="A1367" s="605">
        <v>1337</v>
      </c>
      <c r="B1367" s="981" t="s">
        <v>2693</v>
      </c>
      <c r="C1367" s="993"/>
      <c r="D1367" s="993"/>
      <c r="E1367" s="993"/>
      <c r="F1367" s="993"/>
      <c r="G1367" s="993"/>
      <c r="H1367" s="1072"/>
    </row>
    <row r="1368" spans="1:8" s="598" customFormat="1" ht="15" x14ac:dyDescent="0.2">
      <c r="A1368" s="605">
        <v>1338</v>
      </c>
      <c r="B1368" s="981" t="s">
        <v>2562</v>
      </c>
      <c r="C1368" s="992"/>
      <c r="D1368" s="992"/>
      <c r="E1368" s="992"/>
      <c r="F1368" s="992"/>
      <c r="G1368" s="992"/>
      <c r="H1368" s="1072"/>
    </row>
    <row r="1369" spans="1:8" s="598" customFormat="1" ht="15" x14ac:dyDescent="0.2">
      <c r="A1369" s="605">
        <v>1339</v>
      </c>
      <c r="B1369" s="981" t="s">
        <v>2692</v>
      </c>
      <c r="C1369" s="992"/>
      <c r="D1369" s="992"/>
      <c r="E1369" s="992"/>
      <c r="F1369" s="992"/>
      <c r="G1369" s="992"/>
      <c r="H1369" s="1072"/>
    </row>
    <row r="1370" spans="1:8" s="598" customFormat="1" ht="15" x14ac:dyDescent="0.25">
      <c r="A1370" s="605">
        <v>1340</v>
      </c>
      <c r="B1370" s="981" t="s">
        <v>2691</v>
      </c>
      <c r="C1370" s="993"/>
      <c r="D1370" s="993"/>
      <c r="E1370" s="993"/>
      <c r="F1370" s="993"/>
      <c r="G1370" s="993"/>
      <c r="H1370" s="1072"/>
    </row>
    <row r="1371" spans="1:8" s="598" customFormat="1" ht="30" x14ac:dyDescent="0.25">
      <c r="A1371" s="605">
        <v>1341</v>
      </c>
      <c r="B1371" s="990" t="s">
        <v>2690</v>
      </c>
      <c r="C1371" s="881"/>
      <c r="D1371" s="881"/>
      <c r="E1371" s="881"/>
      <c r="F1371" s="881"/>
      <c r="G1371" s="881"/>
      <c r="H1371" s="1072"/>
    </row>
    <row r="1372" spans="1:8" s="598" customFormat="1" ht="30" x14ac:dyDescent="0.2">
      <c r="A1372" s="605">
        <v>1342</v>
      </c>
      <c r="B1372" s="990" t="s">
        <v>2689</v>
      </c>
      <c r="C1372" s="991"/>
      <c r="D1372" s="991"/>
      <c r="E1372" s="991"/>
      <c r="F1372" s="991"/>
      <c r="G1372" s="991"/>
      <c r="H1372" s="1072"/>
    </row>
    <row r="1373" spans="1:8" s="598" customFormat="1" ht="30" x14ac:dyDescent="0.2">
      <c r="A1373" s="605">
        <v>1343</v>
      </c>
      <c r="B1373" s="990" t="s">
        <v>2688</v>
      </c>
      <c r="C1373" s="991"/>
      <c r="D1373" s="991"/>
      <c r="E1373" s="991"/>
      <c r="F1373" s="991"/>
      <c r="G1373" s="991"/>
      <c r="H1373" s="1072"/>
    </row>
    <row r="1374" spans="1:8" s="598" customFormat="1" ht="15" x14ac:dyDescent="0.2">
      <c r="A1374" s="605">
        <v>1344</v>
      </c>
      <c r="B1374" s="776" t="s">
        <v>2687</v>
      </c>
      <c r="C1374" s="776"/>
      <c r="D1374" s="776"/>
      <c r="E1374" s="776"/>
      <c r="F1374" s="776"/>
      <c r="G1374" s="776"/>
      <c r="H1374" s="1036"/>
    </row>
    <row r="1375" spans="1:8" s="598" customFormat="1" ht="15" x14ac:dyDescent="0.2">
      <c r="A1375" s="605">
        <v>1345</v>
      </c>
      <c r="B1375" s="631" t="s">
        <v>2686</v>
      </c>
      <c r="C1375" s="278"/>
      <c r="D1375" s="278"/>
      <c r="E1375" s="278"/>
      <c r="F1375" s="278"/>
      <c r="G1375" s="278"/>
      <c r="H1375" s="1054"/>
    </row>
    <row r="1376" spans="1:8" s="598" customFormat="1" ht="15" x14ac:dyDescent="0.2">
      <c r="A1376" s="605">
        <v>1346</v>
      </c>
      <c r="B1376" s="733" t="s">
        <v>2685</v>
      </c>
      <c r="C1376" s="538"/>
      <c r="D1376" s="538"/>
      <c r="E1376" s="538"/>
      <c r="F1376" s="538"/>
      <c r="G1376" s="538"/>
      <c r="H1376" s="1054"/>
    </row>
    <row r="1377" spans="1:8" s="598" customFormat="1" ht="15" x14ac:dyDescent="0.2">
      <c r="A1377" s="605">
        <v>1347</v>
      </c>
      <c r="B1377" s="733" t="s">
        <v>2684</v>
      </c>
      <c r="C1377" s="538"/>
      <c r="D1377" s="538"/>
      <c r="E1377" s="538"/>
      <c r="F1377" s="538"/>
      <c r="G1377" s="538"/>
      <c r="H1377" s="1054"/>
    </row>
    <row r="1378" spans="1:8" s="598" customFormat="1" ht="15" x14ac:dyDescent="0.2">
      <c r="A1378" s="605">
        <v>1348</v>
      </c>
      <c r="B1378" s="733" t="s">
        <v>2683</v>
      </c>
      <c r="C1378" s="538"/>
      <c r="D1378" s="538"/>
      <c r="E1378" s="538"/>
      <c r="F1378" s="538"/>
      <c r="G1378" s="538"/>
      <c r="H1378" s="1054"/>
    </row>
    <row r="1379" spans="1:8" s="598" customFormat="1" ht="15" x14ac:dyDescent="0.2">
      <c r="A1379" s="605">
        <v>1349</v>
      </c>
      <c r="B1379" s="733" t="s">
        <v>2682</v>
      </c>
      <c r="C1379" s="538"/>
      <c r="D1379" s="538"/>
      <c r="E1379" s="538"/>
      <c r="F1379" s="538"/>
      <c r="G1379" s="538"/>
      <c r="H1379" s="1054"/>
    </row>
    <row r="1380" spans="1:8" s="598" customFormat="1" ht="15" x14ac:dyDescent="0.2">
      <c r="A1380" s="605">
        <v>1350</v>
      </c>
      <c r="B1380" s="733" t="s">
        <v>2681</v>
      </c>
      <c r="C1380" s="538"/>
      <c r="D1380" s="538"/>
      <c r="E1380" s="538"/>
      <c r="F1380" s="538"/>
      <c r="G1380" s="538"/>
      <c r="H1380" s="1054"/>
    </row>
    <row r="1381" spans="1:8" s="598" customFormat="1" ht="15" x14ac:dyDescent="0.2">
      <c r="A1381" s="605">
        <v>1351</v>
      </c>
      <c r="B1381" s="733" t="s">
        <v>2680</v>
      </c>
      <c r="C1381" s="538"/>
      <c r="D1381" s="538"/>
      <c r="E1381" s="538"/>
      <c r="F1381" s="538"/>
      <c r="G1381" s="538"/>
      <c r="H1381" s="1054"/>
    </row>
    <row r="1382" spans="1:8" s="598" customFormat="1" ht="30" x14ac:dyDescent="0.2">
      <c r="A1382" s="605">
        <v>1352</v>
      </c>
      <c r="B1382" s="953" t="s">
        <v>2679</v>
      </c>
      <c r="C1382" s="538"/>
      <c r="D1382" s="538"/>
      <c r="E1382" s="538"/>
      <c r="F1382" s="538"/>
      <c r="G1382" s="538"/>
      <c r="H1382" s="1054"/>
    </row>
    <row r="1383" spans="1:8" s="598" customFormat="1" ht="15" x14ac:dyDescent="0.2">
      <c r="A1383" s="605">
        <v>1353</v>
      </c>
      <c r="B1383" s="631" t="s">
        <v>2678</v>
      </c>
      <c r="C1383" s="538"/>
      <c r="D1383" s="538"/>
      <c r="E1383" s="538"/>
      <c r="F1383" s="538"/>
      <c r="G1383" s="538"/>
      <c r="H1383" s="1054"/>
    </row>
    <row r="1384" spans="1:8" s="598" customFormat="1" ht="30" x14ac:dyDescent="0.2">
      <c r="A1384" s="605">
        <v>1354</v>
      </c>
      <c r="B1384" s="631" t="s">
        <v>2677</v>
      </c>
      <c r="C1384" s="538"/>
      <c r="D1384" s="538"/>
      <c r="E1384" s="538"/>
      <c r="F1384" s="538"/>
      <c r="G1384" s="538"/>
      <c r="H1384" s="1054"/>
    </row>
    <row r="1385" spans="1:8" s="598" customFormat="1" ht="30" x14ac:dyDescent="0.2">
      <c r="A1385" s="605">
        <v>1355</v>
      </c>
      <c r="B1385" s="631" t="s">
        <v>2676</v>
      </c>
      <c r="C1385" s="538"/>
      <c r="D1385" s="538"/>
      <c r="E1385" s="538"/>
      <c r="F1385" s="538"/>
      <c r="G1385" s="538"/>
      <c r="H1385" s="1054"/>
    </row>
    <row r="1386" spans="1:8" s="598" customFormat="1" ht="15" x14ac:dyDescent="0.2">
      <c r="A1386" s="605">
        <v>1356</v>
      </c>
      <c r="B1386" s="776" t="s">
        <v>2675</v>
      </c>
      <c r="C1386" s="776"/>
      <c r="D1386" s="776"/>
      <c r="E1386" s="776"/>
      <c r="F1386" s="776"/>
      <c r="G1386" s="776"/>
      <c r="H1386" s="1036"/>
    </row>
    <row r="1387" spans="1:8" s="598" customFormat="1" ht="30" x14ac:dyDescent="0.25">
      <c r="A1387" s="605">
        <v>1357</v>
      </c>
      <c r="B1387" s="636" t="s">
        <v>2674</v>
      </c>
      <c r="C1387" s="881"/>
      <c r="D1387" s="881"/>
      <c r="E1387" s="881"/>
      <c r="F1387" s="881"/>
      <c r="G1387" s="881"/>
      <c r="H1387" s="1034"/>
    </row>
    <row r="1388" spans="1:8" s="598" customFormat="1" ht="30" x14ac:dyDescent="0.25">
      <c r="A1388" s="605">
        <v>1358</v>
      </c>
      <c r="B1388" s="636" t="s">
        <v>2673</v>
      </c>
      <c r="C1388" s="881"/>
      <c r="D1388" s="881"/>
      <c r="E1388" s="881"/>
      <c r="F1388" s="881"/>
      <c r="G1388" s="881"/>
      <c r="H1388" s="1034"/>
    </row>
    <row r="1389" spans="1:8" s="598" customFormat="1" ht="30" x14ac:dyDescent="0.25">
      <c r="A1389" s="605">
        <v>1359</v>
      </c>
      <c r="B1389" s="636" t="s">
        <v>2672</v>
      </c>
      <c r="C1389" s="278"/>
      <c r="D1389" s="278"/>
      <c r="E1389" s="278"/>
      <c r="F1389" s="278"/>
      <c r="G1389" s="278"/>
      <c r="H1389" s="1034"/>
    </row>
    <row r="1390" spans="1:8" s="598" customFormat="1" ht="15" x14ac:dyDescent="0.25">
      <c r="A1390" s="605">
        <v>1360</v>
      </c>
      <c r="B1390" s="858" t="s">
        <v>2559</v>
      </c>
      <c r="C1390" s="881"/>
      <c r="D1390" s="881"/>
      <c r="E1390" s="881"/>
      <c r="F1390" s="881"/>
      <c r="G1390" s="881"/>
      <c r="H1390" s="1034"/>
    </row>
    <row r="1391" spans="1:8" s="598" customFormat="1" ht="15" x14ac:dyDescent="0.25">
      <c r="A1391" s="605">
        <v>1361</v>
      </c>
      <c r="B1391" s="858" t="s">
        <v>2642</v>
      </c>
      <c r="C1391" s="881"/>
      <c r="D1391" s="881"/>
      <c r="E1391" s="881"/>
      <c r="F1391" s="881"/>
      <c r="G1391" s="881"/>
      <c r="H1391" s="1034"/>
    </row>
    <row r="1392" spans="1:8" s="598" customFormat="1" ht="15" x14ac:dyDescent="0.25">
      <c r="A1392" s="605">
        <v>1362</v>
      </c>
      <c r="B1392" s="858" t="s">
        <v>627</v>
      </c>
      <c r="C1392" s="881"/>
      <c r="D1392" s="881"/>
      <c r="E1392" s="881"/>
      <c r="F1392" s="881"/>
      <c r="G1392" s="881"/>
      <c r="H1392" s="1034"/>
    </row>
    <row r="1393" spans="1:8" s="598" customFormat="1" ht="30" x14ac:dyDescent="0.25">
      <c r="A1393" s="605">
        <v>1363</v>
      </c>
      <c r="B1393" s="636" t="s">
        <v>2671</v>
      </c>
      <c r="C1393" s="881"/>
      <c r="D1393" s="881"/>
      <c r="E1393" s="881"/>
      <c r="F1393" s="881"/>
      <c r="G1393" s="881"/>
      <c r="H1393" s="1034"/>
    </row>
    <row r="1394" spans="1:8" s="598" customFormat="1" ht="30" x14ac:dyDescent="0.25">
      <c r="A1394" s="605">
        <v>1364</v>
      </c>
      <c r="B1394" s="636" t="s">
        <v>2670</v>
      </c>
      <c r="C1394" s="635"/>
      <c r="D1394" s="634"/>
      <c r="E1394" s="634"/>
      <c r="F1394" s="634"/>
      <c r="G1394" s="634"/>
      <c r="H1394" s="1034"/>
    </row>
    <row r="1395" spans="1:8" s="598" customFormat="1" ht="30" x14ac:dyDescent="0.25">
      <c r="A1395" s="605">
        <v>1365</v>
      </c>
      <c r="B1395" s="636" t="s">
        <v>2669</v>
      </c>
      <c r="C1395" s="278"/>
      <c r="D1395" s="278"/>
      <c r="E1395" s="278"/>
      <c r="F1395" s="278"/>
      <c r="G1395" s="278"/>
      <c r="H1395" s="1034"/>
    </row>
    <row r="1396" spans="1:8" s="598" customFormat="1" ht="15" x14ac:dyDescent="0.25">
      <c r="A1396" s="605">
        <v>1366</v>
      </c>
      <c r="B1396" s="858" t="s">
        <v>2668</v>
      </c>
      <c r="C1396" s="634"/>
      <c r="D1396" s="634"/>
      <c r="E1396" s="634"/>
      <c r="F1396" s="634"/>
      <c r="G1396" s="634"/>
      <c r="H1396" s="1034"/>
    </row>
    <row r="1397" spans="1:8" s="598" customFormat="1" ht="15" x14ac:dyDescent="0.25">
      <c r="A1397" s="605">
        <v>1367</v>
      </c>
      <c r="B1397" s="858" t="s">
        <v>2667</v>
      </c>
      <c r="C1397" s="634"/>
      <c r="D1397" s="634"/>
      <c r="E1397" s="634"/>
      <c r="F1397" s="634"/>
      <c r="G1397" s="634"/>
      <c r="H1397" s="1034"/>
    </row>
    <row r="1398" spans="1:8" s="598" customFormat="1" ht="15" x14ac:dyDescent="0.2">
      <c r="A1398" s="605">
        <v>1368</v>
      </c>
      <c r="B1398" s="776" t="s">
        <v>2666</v>
      </c>
      <c r="C1398" s="776"/>
      <c r="D1398" s="776"/>
      <c r="E1398" s="776"/>
      <c r="F1398" s="776"/>
      <c r="G1398" s="776"/>
      <c r="H1398" s="1036"/>
    </row>
    <row r="1399" spans="1:8" s="598" customFormat="1" ht="45" x14ac:dyDescent="0.25">
      <c r="A1399" s="605">
        <v>1369</v>
      </c>
      <c r="B1399" s="864" t="s">
        <v>2665</v>
      </c>
      <c r="C1399" s="278"/>
      <c r="D1399" s="278"/>
      <c r="E1399" s="278"/>
      <c r="F1399" s="278"/>
      <c r="G1399" s="278"/>
      <c r="H1399" s="1034"/>
    </row>
    <row r="1400" spans="1:8" s="598" customFormat="1" ht="15" x14ac:dyDescent="0.25">
      <c r="A1400" s="605">
        <v>1370</v>
      </c>
      <c r="B1400" s="858" t="s">
        <v>2664</v>
      </c>
      <c r="C1400" s="278"/>
      <c r="D1400" s="278"/>
      <c r="E1400" s="278"/>
      <c r="F1400" s="278"/>
      <c r="G1400" s="278"/>
      <c r="H1400" s="1034"/>
    </row>
    <row r="1401" spans="1:8" s="598" customFormat="1" ht="15" x14ac:dyDescent="0.25">
      <c r="A1401" s="605">
        <v>1371</v>
      </c>
      <c r="B1401" s="994" t="s">
        <v>2663</v>
      </c>
      <c r="C1401" s="881"/>
      <c r="D1401" s="881"/>
      <c r="E1401" s="881"/>
      <c r="F1401" s="881"/>
      <c r="G1401" s="881"/>
      <c r="H1401" s="1034"/>
    </row>
    <row r="1402" spans="1:8" s="598" customFormat="1" ht="15" x14ac:dyDescent="0.25">
      <c r="A1402" s="605">
        <v>1372</v>
      </c>
      <c r="B1402" s="994" t="s">
        <v>2662</v>
      </c>
      <c r="C1402" s="634"/>
      <c r="D1402" s="634"/>
      <c r="E1402" s="634"/>
      <c r="F1402" s="634"/>
      <c r="G1402" s="634"/>
      <c r="H1402" s="1034"/>
    </row>
    <row r="1403" spans="1:8" s="598" customFormat="1" ht="15" x14ac:dyDescent="0.25">
      <c r="A1403" s="605">
        <v>1373</v>
      </c>
      <c r="B1403" s="995" t="s">
        <v>2661</v>
      </c>
      <c r="C1403" s="635"/>
      <c r="D1403" s="634"/>
      <c r="E1403" s="634"/>
      <c r="F1403" s="634"/>
      <c r="G1403" s="634"/>
      <c r="H1403" s="1034"/>
    </row>
    <row r="1404" spans="1:8" s="598" customFormat="1" ht="15" x14ac:dyDescent="0.25">
      <c r="A1404" s="605">
        <v>1374</v>
      </c>
      <c r="B1404" s="995" t="s">
        <v>2660</v>
      </c>
      <c r="C1404" s="635"/>
      <c r="D1404" s="634"/>
      <c r="E1404" s="634"/>
      <c r="F1404" s="634"/>
      <c r="G1404" s="634"/>
      <c r="H1404" s="1034"/>
    </row>
    <row r="1405" spans="1:8" s="598" customFormat="1" ht="30" x14ac:dyDescent="0.25">
      <c r="A1405" s="605">
        <v>1375</v>
      </c>
      <c r="B1405" s="994" t="s">
        <v>2659</v>
      </c>
      <c r="C1405" s="881"/>
      <c r="D1405" s="881"/>
      <c r="E1405" s="881"/>
      <c r="F1405" s="881"/>
      <c r="G1405" s="881"/>
      <c r="H1405" s="1034"/>
    </row>
    <row r="1406" spans="1:8" s="598" customFormat="1" ht="15" x14ac:dyDescent="0.25">
      <c r="A1406" s="605">
        <v>1376</v>
      </c>
      <c r="B1406" s="994" t="s">
        <v>2658</v>
      </c>
      <c r="C1406" s="881"/>
      <c r="D1406" s="881"/>
      <c r="E1406" s="881"/>
      <c r="F1406" s="881"/>
      <c r="G1406" s="881"/>
      <c r="H1406" s="1034"/>
    </row>
    <row r="1407" spans="1:8" s="598" customFormat="1" ht="15" x14ac:dyDescent="0.25">
      <c r="A1407" s="605">
        <v>1377</v>
      </c>
      <c r="B1407" s="994" t="s">
        <v>2657</v>
      </c>
      <c r="C1407" s="881"/>
      <c r="D1407" s="881"/>
      <c r="E1407" s="881"/>
      <c r="F1407" s="881"/>
      <c r="G1407" s="881"/>
      <c r="H1407" s="1034"/>
    </row>
    <row r="1408" spans="1:8" s="598" customFormat="1" ht="15" x14ac:dyDescent="0.25">
      <c r="A1408" s="605">
        <v>1378</v>
      </c>
      <c r="B1408" s="994" t="s">
        <v>2656</v>
      </c>
      <c r="C1408" s="881"/>
      <c r="D1408" s="881"/>
      <c r="E1408" s="881"/>
      <c r="F1408" s="881"/>
      <c r="G1408" s="881"/>
      <c r="H1408" s="1034"/>
    </row>
    <row r="1409" spans="1:8" s="598" customFormat="1" ht="15" x14ac:dyDescent="0.25">
      <c r="A1409" s="605">
        <v>1379</v>
      </c>
      <c r="B1409" s="858" t="s">
        <v>2655</v>
      </c>
      <c r="C1409" s="278"/>
      <c r="D1409" s="278"/>
      <c r="E1409" s="278"/>
      <c r="F1409" s="278"/>
      <c r="G1409" s="278"/>
      <c r="H1409" s="1034"/>
    </row>
    <row r="1410" spans="1:8" s="598" customFormat="1" ht="30" x14ac:dyDescent="0.25">
      <c r="A1410" s="605">
        <v>1380</v>
      </c>
      <c r="B1410" s="994" t="s">
        <v>2654</v>
      </c>
      <c r="C1410" s="635"/>
      <c r="D1410" s="634"/>
      <c r="E1410" s="634"/>
      <c r="F1410" s="634"/>
      <c r="G1410" s="634"/>
      <c r="H1410" s="1034"/>
    </row>
    <row r="1411" spans="1:8" s="598" customFormat="1" ht="30" x14ac:dyDescent="0.25">
      <c r="A1411" s="605">
        <v>1381</v>
      </c>
      <c r="B1411" s="994" t="s">
        <v>2653</v>
      </c>
      <c r="C1411" s="635"/>
      <c r="D1411" s="634"/>
      <c r="E1411" s="634"/>
      <c r="F1411" s="634"/>
      <c r="G1411" s="634"/>
      <c r="H1411" s="1034"/>
    </row>
    <row r="1412" spans="1:8" s="598" customFormat="1" ht="15" x14ac:dyDescent="0.25">
      <c r="A1412" s="605">
        <v>1382</v>
      </c>
      <c r="B1412" s="994" t="s">
        <v>2652</v>
      </c>
      <c r="C1412" s="635"/>
      <c r="D1412" s="634"/>
      <c r="E1412" s="634"/>
      <c r="F1412" s="634"/>
      <c r="G1412" s="634"/>
      <c r="H1412" s="1034"/>
    </row>
    <row r="1413" spans="1:8" s="598" customFormat="1" ht="15" x14ac:dyDescent="0.25">
      <c r="A1413" s="605">
        <v>1383</v>
      </c>
      <c r="B1413" s="994" t="s">
        <v>2651</v>
      </c>
      <c r="C1413" s="635"/>
      <c r="D1413" s="634"/>
      <c r="E1413" s="634"/>
      <c r="F1413" s="634"/>
      <c r="G1413" s="634"/>
      <c r="H1413" s="1034"/>
    </row>
    <row r="1414" spans="1:8" s="598" customFormat="1" ht="15" x14ac:dyDescent="0.25">
      <c r="A1414" s="605">
        <v>1384</v>
      </c>
      <c r="B1414" s="994" t="s">
        <v>2650</v>
      </c>
      <c r="C1414" s="635"/>
      <c r="D1414" s="634"/>
      <c r="E1414" s="634"/>
      <c r="F1414" s="634"/>
      <c r="G1414" s="634"/>
      <c r="H1414" s="1034"/>
    </row>
    <row r="1415" spans="1:8" s="598" customFormat="1" ht="30" x14ac:dyDescent="0.25">
      <c r="A1415" s="605">
        <v>1385</v>
      </c>
      <c r="B1415" s="994" t="s">
        <v>2649</v>
      </c>
      <c r="C1415" s="635"/>
      <c r="D1415" s="634"/>
      <c r="E1415" s="634"/>
      <c r="F1415" s="634"/>
      <c r="G1415" s="634"/>
      <c r="H1415" s="1034"/>
    </row>
    <row r="1416" spans="1:8" s="598" customFormat="1" ht="30" x14ac:dyDescent="0.25">
      <c r="A1416" s="605">
        <v>1386</v>
      </c>
      <c r="B1416" s="994" t="s">
        <v>2648</v>
      </c>
      <c r="C1416" s="635"/>
      <c r="D1416" s="634"/>
      <c r="E1416" s="634"/>
      <c r="F1416" s="634"/>
      <c r="G1416" s="634"/>
      <c r="H1416" s="1034"/>
    </row>
    <row r="1417" spans="1:8" s="598" customFormat="1" ht="15" x14ac:dyDescent="0.25">
      <c r="A1417" s="605">
        <v>1387</v>
      </c>
      <c r="B1417" s="994" t="s">
        <v>2647</v>
      </c>
      <c r="C1417" s="635"/>
      <c r="D1417" s="634"/>
      <c r="E1417" s="634"/>
      <c r="F1417" s="634"/>
      <c r="G1417" s="634"/>
      <c r="H1417" s="1034"/>
    </row>
    <row r="1418" spans="1:8" s="598" customFormat="1" ht="15" x14ac:dyDescent="0.25">
      <c r="A1418" s="605">
        <v>1388</v>
      </c>
      <c r="B1418" s="994" t="s">
        <v>2646</v>
      </c>
      <c r="C1418" s="635"/>
      <c r="D1418" s="634"/>
      <c r="E1418" s="634"/>
      <c r="F1418" s="634"/>
      <c r="G1418" s="634"/>
      <c r="H1418" s="1034"/>
    </row>
    <row r="1419" spans="1:8" s="598" customFormat="1" ht="15" x14ac:dyDescent="0.25">
      <c r="A1419" s="605">
        <v>1389</v>
      </c>
      <c r="B1419" s="636" t="s">
        <v>1961</v>
      </c>
      <c r="C1419" s="635"/>
      <c r="D1419" s="634"/>
      <c r="E1419" s="634"/>
      <c r="F1419" s="634"/>
      <c r="G1419" s="634"/>
      <c r="H1419" s="1034"/>
    </row>
    <row r="1420" spans="1:8" s="598" customFormat="1" ht="30" x14ac:dyDescent="0.2">
      <c r="A1420" s="605">
        <v>1390</v>
      </c>
      <c r="B1420" s="953" t="s">
        <v>2645</v>
      </c>
      <c r="C1420" s="278"/>
      <c r="D1420" s="278"/>
      <c r="E1420" s="278"/>
      <c r="F1420" s="278"/>
      <c r="G1420" s="278"/>
      <c r="H1420" s="1054"/>
    </row>
    <row r="1421" spans="1:8" s="598" customFormat="1" ht="15" x14ac:dyDescent="0.2">
      <c r="A1421" s="605">
        <v>1391</v>
      </c>
      <c r="B1421" s="733" t="s">
        <v>2644</v>
      </c>
      <c r="C1421" s="538"/>
      <c r="D1421" s="538"/>
      <c r="E1421" s="538"/>
      <c r="F1421" s="538"/>
      <c r="G1421" s="538"/>
      <c r="H1421" s="1054"/>
    </row>
    <row r="1422" spans="1:8" s="598" customFormat="1" ht="15" x14ac:dyDescent="0.2">
      <c r="A1422" s="605">
        <v>1392</v>
      </c>
      <c r="B1422" s="733" t="s">
        <v>2643</v>
      </c>
      <c r="C1422" s="538"/>
      <c r="D1422" s="538"/>
      <c r="E1422" s="538"/>
      <c r="F1422" s="538"/>
      <c r="G1422" s="538"/>
      <c r="H1422" s="1054"/>
    </row>
    <row r="1423" spans="1:8" s="598" customFormat="1" ht="15" x14ac:dyDescent="0.2">
      <c r="A1423" s="605">
        <v>1393</v>
      </c>
      <c r="B1423" s="996" t="s">
        <v>2642</v>
      </c>
      <c r="C1423" s="538"/>
      <c r="D1423" s="538"/>
      <c r="E1423" s="538"/>
      <c r="F1423" s="538"/>
      <c r="G1423" s="538"/>
      <c r="H1423" s="1054"/>
    </row>
    <row r="1424" spans="1:8" s="598" customFormat="1" ht="15" x14ac:dyDescent="0.2">
      <c r="A1424" s="605">
        <v>1394</v>
      </c>
      <c r="B1424" s="996" t="s">
        <v>2559</v>
      </c>
      <c r="C1424" s="538"/>
      <c r="D1424" s="538"/>
      <c r="E1424" s="538"/>
      <c r="F1424" s="538"/>
      <c r="G1424" s="538"/>
      <c r="H1424" s="1054"/>
    </row>
    <row r="1425" spans="1:8" s="598" customFormat="1" ht="15" x14ac:dyDescent="0.2">
      <c r="A1425" s="605">
        <v>1395</v>
      </c>
      <c r="B1425" s="733" t="s">
        <v>2641</v>
      </c>
      <c r="C1425" s="538"/>
      <c r="D1425" s="538"/>
      <c r="E1425" s="538"/>
      <c r="F1425" s="538"/>
      <c r="G1425" s="538"/>
      <c r="H1425" s="1054"/>
    </row>
    <row r="1426" spans="1:8" s="598" customFormat="1" ht="15" x14ac:dyDescent="0.2">
      <c r="A1426" s="605">
        <v>1396</v>
      </c>
      <c r="B1426" s="733" t="s">
        <v>2640</v>
      </c>
      <c r="C1426" s="538"/>
      <c r="D1426" s="538"/>
      <c r="E1426" s="538"/>
      <c r="F1426" s="538"/>
      <c r="G1426" s="538"/>
      <c r="H1426" s="1054"/>
    </row>
    <row r="1427" spans="1:8" s="598" customFormat="1" ht="15" x14ac:dyDescent="0.2">
      <c r="A1427" s="605">
        <v>1397</v>
      </c>
      <c r="B1427" s="733" t="s">
        <v>2639</v>
      </c>
      <c r="C1427" s="538"/>
      <c r="D1427" s="538"/>
      <c r="E1427" s="538"/>
      <c r="F1427" s="538"/>
      <c r="G1427" s="538"/>
      <c r="H1427" s="1054"/>
    </row>
    <row r="1428" spans="1:8" s="598" customFormat="1" ht="30" x14ac:dyDescent="0.2">
      <c r="A1428" s="605">
        <v>1398</v>
      </c>
      <c r="B1428" s="691" t="s">
        <v>2638</v>
      </c>
      <c r="C1428" s="538"/>
      <c r="D1428" s="538"/>
      <c r="E1428" s="538"/>
      <c r="F1428" s="538"/>
      <c r="G1428" s="538"/>
      <c r="H1428" s="1054"/>
    </row>
    <row r="1429" spans="1:8" s="598" customFormat="1" ht="15" x14ac:dyDescent="0.2">
      <c r="A1429" s="605">
        <v>1399</v>
      </c>
      <c r="B1429" s="691" t="s">
        <v>2637</v>
      </c>
      <c r="C1429" s="538"/>
      <c r="D1429" s="538"/>
      <c r="E1429" s="538"/>
      <c r="F1429" s="538"/>
      <c r="G1429" s="538"/>
      <c r="H1429" s="1054"/>
    </row>
    <row r="1430" spans="1:8" s="598" customFormat="1" ht="60" x14ac:dyDescent="0.25">
      <c r="A1430" s="605">
        <v>1400</v>
      </c>
      <c r="B1430" s="636" t="s">
        <v>2636</v>
      </c>
      <c r="C1430" s="635"/>
      <c r="D1430" s="634"/>
      <c r="E1430" s="634"/>
      <c r="F1430" s="634"/>
      <c r="G1430" s="634"/>
      <c r="H1430" s="1034"/>
    </row>
    <row r="1431" spans="1:8" s="598" customFormat="1" ht="30" x14ac:dyDescent="0.25">
      <c r="A1431" s="605">
        <v>1401</v>
      </c>
      <c r="B1431" s="636" t="s">
        <v>2635</v>
      </c>
      <c r="C1431" s="635"/>
      <c r="D1431" s="634"/>
      <c r="E1431" s="634"/>
      <c r="F1431" s="634"/>
      <c r="G1431" s="634"/>
      <c r="H1431" s="1034"/>
    </row>
    <row r="1432" spans="1:8" s="598" customFormat="1" ht="30" x14ac:dyDescent="0.25">
      <c r="A1432" s="605">
        <v>1402</v>
      </c>
      <c r="B1432" s="636" t="s">
        <v>2634</v>
      </c>
      <c r="C1432" s="635"/>
      <c r="D1432" s="634"/>
      <c r="E1432" s="634"/>
      <c r="F1432" s="634"/>
      <c r="G1432" s="634"/>
      <c r="H1432" s="1034"/>
    </row>
    <row r="1433" spans="1:8" s="598" customFormat="1" ht="15" x14ac:dyDescent="0.25">
      <c r="A1433" s="605">
        <v>1403</v>
      </c>
      <c r="B1433" s="636" t="s">
        <v>2633</v>
      </c>
      <c r="C1433" s="635"/>
      <c r="D1433" s="634"/>
      <c r="E1433" s="634"/>
      <c r="F1433" s="634"/>
      <c r="G1433" s="634"/>
      <c r="H1433" s="1034"/>
    </row>
    <row r="1434" spans="1:8" s="598" customFormat="1" ht="30" x14ac:dyDescent="0.25">
      <c r="A1434" s="605">
        <v>1404</v>
      </c>
      <c r="B1434" s="631" t="s">
        <v>2632</v>
      </c>
      <c r="C1434" s="635"/>
      <c r="D1434" s="634"/>
      <c r="E1434" s="634"/>
      <c r="F1434" s="634"/>
      <c r="G1434" s="634"/>
      <c r="H1434" s="1034"/>
    </row>
    <row r="1435" spans="1:8" s="598" customFormat="1" ht="15" x14ac:dyDescent="0.2">
      <c r="A1435" s="605">
        <v>1405</v>
      </c>
      <c r="B1435" s="776" t="s">
        <v>2631</v>
      </c>
      <c r="C1435" s="776"/>
      <c r="D1435" s="776"/>
      <c r="E1435" s="776"/>
      <c r="F1435" s="776"/>
      <c r="G1435" s="776"/>
      <c r="H1435" s="1036"/>
    </row>
    <row r="1436" spans="1:8" s="598" customFormat="1" ht="15" x14ac:dyDescent="0.2">
      <c r="A1436" s="605">
        <v>1406</v>
      </c>
      <c r="B1436" s="990" t="s">
        <v>2630</v>
      </c>
      <c r="C1436" s="278"/>
      <c r="D1436" s="278"/>
      <c r="E1436" s="278"/>
      <c r="F1436" s="278"/>
      <c r="G1436" s="278"/>
      <c r="H1436" s="1072"/>
    </row>
    <row r="1437" spans="1:8" s="598" customFormat="1" ht="15" x14ac:dyDescent="0.2">
      <c r="A1437" s="605">
        <v>1407</v>
      </c>
      <c r="B1437" s="981" t="s">
        <v>2629</v>
      </c>
      <c r="C1437" s="991"/>
      <c r="D1437" s="991"/>
      <c r="E1437" s="991"/>
      <c r="F1437" s="991"/>
      <c r="G1437" s="991"/>
      <c r="H1437" s="1072"/>
    </row>
    <row r="1438" spans="1:8" s="598" customFormat="1" ht="15" x14ac:dyDescent="0.2">
      <c r="A1438" s="605">
        <v>1408</v>
      </c>
      <c r="B1438" s="981" t="s">
        <v>2628</v>
      </c>
      <c r="C1438" s="991"/>
      <c r="D1438" s="991"/>
      <c r="E1438" s="991"/>
      <c r="F1438" s="991"/>
      <c r="G1438" s="991"/>
      <c r="H1438" s="1072"/>
    </row>
    <row r="1439" spans="1:8" s="598" customFormat="1" ht="15" x14ac:dyDescent="0.2">
      <c r="A1439" s="605">
        <v>1409</v>
      </c>
      <c r="B1439" s="981" t="s">
        <v>2627</v>
      </c>
      <c r="C1439" s="991"/>
      <c r="D1439" s="991"/>
      <c r="E1439" s="991"/>
      <c r="F1439" s="991"/>
      <c r="G1439" s="991"/>
      <c r="H1439" s="1072"/>
    </row>
    <row r="1440" spans="1:8" s="598" customFormat="1" ht="30" x14ac:dyDescent="0.2">
      <c r="A1440" s="605">
        <v>1410</v>
      </c>
      <c r="B1440" s="990" t="s">
        <v>2626</v>
      </c>
      <c r="C1440" s="991"/>
      <c r="D1440" s="991"/>
      <c r="E1440" s="991"/>
      <c r="F1440" s="991"/>
      <c r="G1440" s="991"/>
      <c r="H1440" s="1072"/>
    </row>
    <row r="1441" spans="1:8" s="598" customFormat="1" ht="15" x14ac:dyDescent="0.2">
      <c r="A1441" s="605">
        <v>1411</v>
      </c>
      <c r="B1441" s="990" t="s">
        <v>2625</v>
      </c>
      <c r="C1441" s="991"/>
      <c r="D1441" s="991"/>
      <c r="E1441" s="991"/>
      <c r="F1441" s="991"/>
      <c r="G1441" s="991"/>
      <c r="H1441" s="1072"/>
    </row>
    <row r="1442" spans="1:8" s="598" customFormat="1" ht="45" x14ac:dyDescent="0.2">
      <c r="A1442" s="605">
        <v>1412</v>
      </c>
      <c r="B1442" s="990" t="s">
        <v>2624</v>
      </c>
      <c r="C1442" s="991"/>
      <c r="D1442" s="991"/>
      <c r="E1442" s="991"/>
      <c r="F1442" s="991"/>
      <c r="G1442" s="991"/>
      <c r="H1442" s="1072"/>
    </row>
    <row r="1443" spans="1:8" s="598" customFormat="1" ht="30" x14ac:dyDescent="0.2">
      <c r="A1443" s="605">
        <v>1413</v>
      </c>
      <c r="B1443" s="990" t="s">
        <v>2623</v>
      </c>
      <c r="C1443" s="991"/>
      <c r="D1443" s="991"/>
      <c r="E1443" s="991"/>
      <c r="F1443" s="991"/>
      <c r="G1443" s="991"/>
      <c r="H1443" s="1072"/>
    </row>
    <row r="1444" spans="1:8" s="598" customFormat="1" ht="15" x14ac:dyDescent="0.2">
      <c r="A1444" s="605">
        <v>1414</v>
      </c>
      <c r="B1444" s="990" t="s">
        <v>2622</v>
      </c>
      <c r="C1444" s="278"/>
      <c r="D1444" s="278"/>
      <c r="E1444" s="278"/>
      <c r="F1444" s="278"/>
      <c r="G1444" s="278"/>
      <c r="H1444" s="1072"/>
    </row>
    <row r="1445" spans="1:8" s="598" customFormat="1" ht="15" x14ac:dyDescent="0.2">
      <c r="A1445" s="605">
        <v>1415</v>
      </c>
      <c r="B1445" s="981" t="s">
        <v>537</v>
      </c>
      <c r="C1445" s="991"/>
      <c r="D1445" s="991"/>
      <c r="E1445" s="991"/>
      <c r="F1445" s="991"/>
      <c r="G1445" s="991"/>
      <c r="H1445" s="1072"/>
    </row>
    <row r="1446" spans="1:8" s="598" customFormat="1" ht="15" x14ac:dyDescent="0.2">
      <c r="A1446" s="605">
        <v>1416</v>
      </c>
      <c r="B1446" s="981" t="s">
        <v>627</v>
      </c>
      <c r="C1446" s="991"/>
      <c r="D1446" s="991"/>
      <c r="E1446" s="991"/>
      <c r="F1446" s="991"/>
      <c r="G1446" s="991"/>
      <c r="H1446" s="1072"/>
    </row>
    <row r="1447" spans="1:8" s="598" customFormat="1" ht="15" x14ac:dyDescent="0.2">
      <c r="A1447" s="605">
        <v>1417</v>
      </c>
      <c r="B1447" s="981" t="s">
        <v>2621</v>
      </c>
      <c r="C1447" s="991"/>
      <c r="D1447" s="991"/>
      <c r="E1447" s="991"/>
      <c r="F1447" s="991"/>
      <c r="G1447" s="991"/>
      <c r="H1447" s="1072"/>
    </row>
    <row r="1448" spans="1:8" s="598" customFormat="1" ht="15" x14ac:dyDescent="0.2">
      <c r="A1448" s="605">
        <v>1418</v>
      </c>
      <c r="B1448" s="981" t="s">
        <v>2620</v>
      </c>
      <c r="C1448" s="991"/>
      <c r="D1448" s="991"/>
      <c r="E1448" s="991"/>
      <c r="F1448" s="991"/>
      <c r="G1448" s="991"/>
      <c r="H1448" s="1072"/>
    </row>
    <row r="1449" spans="1:8" s="598" customFormat="1" ht="15" x14ac:dyDescent="0.2">
      <c r="A1449" s="605">
        <v>1419</v>
      </c>
      <c r="B1449" s="981" t="s">
        <v>2619</v>
      </c>
      <c r="C1449" s="991"/>
      <c r="D1449" s="991"/>
      <c r="E1449" s="991"/>
      <c r="F1449" s="991"/>
      <c r="G1449" s="991"/>
      <c r="H1449" s="1072"/>
    </row>
    <row r="1450" spans="1:8" s="598" customFormat="1" ht="15" x14ac:dyDescent="0.2">
      <c r="A1450" s="605">
        <v>1420</v>
      </c>
      <c r="B1450" s="990" t="s">
        <v>2618</v>
      </c>
      <c r="C1450" s="278"/>
      <c r="D1450" s="278"/>
      <c r="E1450" s="278"/>
      <c r="F1450" s="278"/>
      <c r="G1450" s="278"/>
      <c r="H1450" s="1072"/>
    </row>
    <row r="1451" spans="1:8" s="598" customFormat="1" ht="15" x14ac:dyDescent="0.2">
      <c r="A1451" s="605">
        <v>1421</v>
      </c>
      <c r="B1451" s="981" t="s">
        <v>2617</v>
      </c>
      <c r="C1451" s="991"/>
      <c r="D1451" s="991"/>
      <c r="E1451" s="991"/>
      <c r="F1451" s="991"/>
      <c r="G1451" s="991"/>
      <c r="H1451" s="1072"/>
    </row>
    <row r="1452" spans="1:8" s="598" customFormat="1" ht="15" x14ac:dyDescent="0.2">
      <c r="A1452" s="605">
        <v>1422</v>
      </c>
      <c r="B1452" s="981" t="s">
        <v>2616</v>
      </c>
      <c r="C1452" s="991"/>
      <c r="D1452" s="991"/>
      <c r="E1452" s="991"/>
      <c r="F1452" s="991"/>
      <c r="G1452" s="991"/>
      <c r="H1452" s="1072"/>
    </row>
    <row r="1453" spans="1:8" s="598" customFormat="1" ht="15" x14ac:dyDescent="0.2">
      <c r="A1453" s="605">
        <v>1423</v>
      </c>
      <c r="B1453" s="776" t="s">
        <v>2615</v>
      </c>
      <c r="C1453" s="776"/>
      <c r="D1453" s="776"/>
      <c r="E1453" s="776"/>
      <c r="F1453" s="776"/>
      <c r="G1453" s="776"/>
      <c r="H1453" s="1036"/>
    </row>
    <row r="1454" spans="1:8" s="598" customFormat="1" ht="15" x14ac:dyDescent="0.2">
      <c r="A1454" s="605">
        <v>1424</v>
      </c>
      <c r="B1454" s="990" t="s">
        <v>2614</v>
      </c>
      <c r="C1454" s="278"/>
      <c r="D1454" s="278"/>
      <c r="E1454" s="278"/>
      <c r="F1454" s="278"/>
      <c r="G1454" s="278"/>
      <c r="H1454" s="1072"/>
    </row>
    <row r="1455" spans="1:8" s="598" customFormat="1" ht="15" x14ac:dyDescent="0.2">
      <c r="A1455" s="605">
        <v>1425</v>
      </c>
      <c r="B1455" s="981" t="s">
        <v>2613</v>
      </c>
      <c r="C1455" s="991"/>
      <c r="D1455" s="991"/>
      <c r="E1455" s="991"/>
      <c r="F1455" s="991"/>
      <c r="G1455" s="991"/>
      <c r="H1455" s="1072"/>
    </row>
    <row r="1456" spans="1:8" s="598" customFormat="1" ht="15" x14ac:dyDescent="0.2">
      <c r="A1456" s="605">
        <v>1426</v>
      </c>
      <c r="B1456" s="981" t="s">
        <v>2612</v>
      </c>
      <c r="C1456" s="991"/>
      <c r="D1456" s="991"/>
      <c r="E1456" s="991"/>
      <c r="F1456" s="991"/>
      <c r="G1456" s="991"/>
      <c r="H1456" s="1072"/>
    </row>
    <row r="1457" spans="1:8" s="598" customFormat="1" ht="15" x14ac:dyDescent="0.2">
      <c r="A1457" s="605">
        <v>1427</v>
      </c>
      <c r="B1457" s="981" t="s">
        <v>2611</v>
      </c>
      <c r="C1457" s="991"/>
      <c r="D1457" s="991"/>
      <c r="E1457" s="991"/>
      <c r="F1457" s="991"/>
      <c r="G1457" s="991"/>
      <c r="H1457" s="1072"/>
    </row>
    <row r="1458" spans="1:8" s="598" customFormat="1" ht="15" x14ac:dyDescent="0.2">
      <c r="A1458" s="605">
        <v>1428</v>
      </c>
      <c r="B1458" s="981" t="s">
        <v>2610</v>
      </c>
      <c r="C1458" s="991"/>
      <c r="D1458" s="991"/>
      <c r="E1458" s="991"/>
      <c r="F1458" s="991"/>
      <c r="G1458" s="991"/>
      <c r="H1458" s="1072"/>
    </row>
    <row r="1459" spans="1:8" s="598" customFormat="1" ht="45" x14ac:dyDescent="0.25">
      <c r="A1459" s="605">
        <v>1429</v>
      </c>
      <c r="B1459" s="990" t="s">
        <v>2609</v>
      </c>
      <c r="C1459" s="634"/>
      <c r="D1459" s="634"/>
      <c r="E1459" s="634"/>
      <c r="F1459" s="634"/>
      <c r="G1459" s="634"/>
      <c r="H1459" s="1034"/>
    </row>
    <row r="1460" spans="1:8" s="598" customFormat="1" ht="30" x14ac:dyDescent="0.2">
      <c r="A1460" s="605">
        <v>1430</v>
      </c>
      <c r="B1460" s="990" t="s">
        <v>2608</v>
      </c>
      <c r="C1460" s="278"/>
      <c r="D1460" s="278"/>
      <c r="E1460" s="278"/>
      <c r="F1460" s="278"/>
      <c r="G1460" s="278"/>
      <c r="H1460" s="1072"/>
    </row>
    <row r="1461" spans="1:8" s="598" customFormat="1" ht="15" x14ac:dyDescent="0.2">
      <c r="A1461" s="605">
        <v>1431</v>
      </c>
      <c r="B1461" s="981" t="s">
        <v>2607</v>
      </c>
      <c r="C1461" s="991"/>
      <c r="D1461" s="991"/>
      <c r="E1461" s="991"/>
      <c r="F1461" s="991"/>
      <c r="G1461" s="991"/>
      <c r="H1461" s="1072"/>
    </row>
    <row r="1462" spans="1:8" s="598" customFormat="1" ht="15" x14ac:dyDescent="0.2">
      <c r="A1462" s="605">
        <v>1432</v>
      </c>
      <c r="B1462" s="981" t="s">
        <v>2606</v>
      </c>
      <c r="C1462" s="991"/>
      <c r="D1462" s="991"/>
      <c r="E1462" s="991"/>
      <c r="F1462" s="991"/>
      <c r="G1462" s="991"/>
      <c r="H1462" s="1072"/>
    </row>
    <row r="1463" spans="1:8" s="598" customFormat="1" ht="15" x14ac:dyDescent="0.2">
      <c r="A1463" s="605">
        <v>1433</v>
      </c>
      <c r="B1463" s="981" t="s">
        <v>2605</v>
      </c>
      <c r="C1463" s="991"/>
      <c r="D1463" s="991"/>
      <c r="E1463" s="991"/>
      <c r="F1463" s="991"/>
      <c r="G1463" s="991"/>
      <c r="H1463" s="1072"/>
    </row>
    <row r="1464" spans="1:8" s="598" customFormat="1" ht="15" x14ac:dyDescent="0.2">
      <c r="A1464" s="605">
        <v>1434</v>
      </c>
      <c r="B1464" s="990" t="s">
        <v>2604</v>
      </c>
      <c r="C1464" s="991"/>
      <c r="D1464" s="991"/>
      <c r="E1464" s="991"/>
      <c r="F1464" s="991"/>
      <c r="G1464" s="991"/>
      <c r="H1464" s="1072"/>
    </row>
    <row r="1465" spans="1:8" s="598" customFormat="1" ht="15" x14ac:dyDescent="0.2">
      <c r="A1465" s="605">
        <v>1435</v>
      </c>
      <c r="B1465" s="990" t="s">
        <v>2603</v>
      </c>
      <c r="C1465" s="991"/>
      <c r="D1465" s="991"/>
      <c r="E1465" s="991"/>
      <c r="F1465" s="991"/>
      <c r="G1465" s="991"/>
      <c r="H1465" s="1072"/>
    </row>
    <row r="1466" spans="1:8" s="598" customFormat="1" ht="30" x14ac:dyDescent="0.2">
      <c r="A1466" s="605">
        <v>1436</v>
      </c>
      <c r="B1466" s="990" t="s">
        <v>2602</v>
      </c>
      <c r="C1466" s="991"/>
      <c r="D1466" s="991"/>
      <c r="E1466" s="991"/>
      <c r="F1466" s="991"/>
      <c r="G1466" s="991"/>
      <c r="H1466" s="1072"/>
    </row>
    <row r="1467" spans="1:8" s="598" customFormat="1" ht="30" x14ac:dyDescent="0.25">
      <c r="A1467" s="605">
        <v>1437</v>
      </c>
      <c r="B1467" s="636" t="s">
        <v>2601</v>
      </c>
      <c r="C1467" s="635"/>
      <c r="D1467" s="634"/>
      <c r="E1467" s="634"/>
      <c r="F1467" s="634"/>
      <c r="G1467" s="634"/>
      <c r="H1467" s="1034"/>
    </row>
    <row r="1468" spans="1:8" s="598" customFormat="1" ht="30" x14ac:dyDescent="0.2">
      <c r="A1468" s="605">
        <v>1438</v>
      </c>
      <c r="B1468" s="990" t="s">
        <v>2600</v>
      </c>
      <c r="C1468" s="278"/>
      <c r="D1468" s="278"/>
      <c r="E1468" s="278"/>
      <c r="F1468" s="278"/>
      <c r="G1468" s="278"/>
      <c r="H1468" s="1072"/>
    </row>
    <row r="1469" spans="1:8" s="598" customFormat="1" ht="15" x14ac:dyDescent="0.2">
      <c r="A1469" s="605">
        <v>1439</v>
      </c>
      <c r="B1469" s="981" t="s">
        <v>2599</v>
      </c>
      <c r="C1469" s="991"/>
      <c r="D1469" s="991"/>
      <c r="E1469" s="991"/>
      <c r="F1469" s="991"/>
      <c r="G1469" s="991"/>
      <c r="H1469" s="1072"/>
    </row>
    <row r="1470" spans="1:8" s="598" customFormat="1" ht="15" x14ac:dyDescent="0.2">
      <c r="A1470" s="605">
        <v>1440</v>
      </c>
      <c r="B1470" s="981" t="s">
        <v>2598</v>
      </c>
      <c r="C1470" s="991"/>
      <c r="D1470" s="991"/>
      <c r="E1470" s="991"/>
      <c r="F1470" s="991"/>
      <c r="G1470" s="991"/>
      <c r="H1470" s="1072"/>
    </row>
    <row r="1471" spans="1:8" s="598" customFormat="1" ht="15" x14ac:dyDescent="0.2">
      <c r="A1471" s="605">
        <v>1441</v>
      </c>
      <c r="B1471" s="981" t="s">
        <v>2597</v>
      </c>
      <c r="C1471" s="991"/>
      <c r="D1471" s="991"/>
      <c r="E1471" s="991"/>
      <c r="F1471" s="991"/>
      <c r="G1471" s="991"/>
      <c r="H1471" s="1072"/>
    </row>
    <row r="1472" spans="1:8" s="598" customFormat="1" ht="30" x14ac:dyDescent="0.2">
      <c r="A1472" s="605">
        <v>1442</v>
      </c>
      <c r="B1472" s="990" t="s">
        <v>2596</v>
      </c>
      <c r="C1472" s="278"/>
      <c r="D1472" s="278"/>
      <c r="E1472" s="278"/>
      <c r="F1472" s="278"/>
      <c r="G1472" s="278"/>
      <c r="H1472" s="1072"/>
    </row>
    <row r="1473" spans="1:8" s="598" customFormat="1" ht="15" x14ac:dyDescent="0.25">
      <c r="A1473" s="605">
        <v>1443</v>
      </c>
      <c r="B1473" s="997" t="s">
        <v>2595</v>
      </c>
      <c r="C1473" s="635"/>
      <c r="D1473" s="634"/>
      <c r="E1473" s="634"/>
      <c r="F1473" s="634"/>
      <c r="G1473" s="634"/>
      <c r="H1473" s="1034"/>
    </row>
    <row r="1474" spans="1:8" s="598" customFormat="1" ht="15" x14ac:dyDescent="0.25">
      <c r="A1474" s="605">
        <v>1444</v>
      </c>
      <c r="B1474" s="997" t="s">
        <v>2594</v>
      </c>
      <c r="C1474" s="635"/>
      <c r="D1474" s="634"/>
      <c r="E1474" s="634"/>
      <c r="F1474" s="634"/>
      <c r="G1474" s="634"/>
      <c r="H1474" s="1034"/>
    </row>
    <row r="1475" spans="1:8" s="598" customFormat="1" ht="15" x14ac:dyDescent="0.25">
      <c r="A1475" s="605">
        <v>1445</v>
      </c>
      <c r="B1475" s="997" t="s">
        <v>2593</v>
      </c>
      <c r="C1475" s="635"/>
      <c r="D1475" s="634"/>
      <c r="E1475" s="634"/>
      <c r="F1475" s="634"/>
      <c r="G1475" s="634"/>
      <c r="H1475" s="1034"/>
    </row>
    <row r="1476" spans="1:8" s="598" customFormat="1" ht="15" x14ac:dyDescent="0.25">
      <c r="A1476" s="605">
        <v>1446</v>
      </c>
      <c r="B1476" s="997" t="s">
        <v>2592</v>
      </c>
      <c r="C1476" s="635"/>
      <c r="D1476" s="634"/>
      <c r="E1476" s="634"/>
      <c r="F1476" s="634"/>
      <c r="G1476" s="634"/>
      <c r="H1476" s="1034"/>
    </row>
    <row r="1477" spans="1:8" s="598" customFormat="1" ht="30" x14ac:dyDescent="0.25">
      <c r="A1477" s="605">
        <v>1447</v>
      </c>
      <c r="B1477" s="636" t="s">
        <v>2591</v>
      </c>
      <c r="C1477" s="635"/>
      <c r="D1477" s="634"/>
      <c r="E1477" s="634"/>
      <c r="F1477" s="634"/>
      <c r="G1477" s="634"/>
      <c r="H1477" s="1034"/>
    </row>
    <row r="1478" spans="1:8" s="598" customFormat="1" ht="30" x14ac:dyDescent="0.2">
      <c r="A1478" s="605">
        <v>1448</v>
      </c>
      <c r="B1478" s="990" t="s">
        <v>2590</v>
      </c>
      <c r="C1478" s="991"/>
      <c r="D1478" s="991"/>
      <c r="E1478" s="991"/>
      <c r="F1478" s="991"/>
      <c r="G1478" s="991"/>
      <c r="H1478" s="1072"/>
    </row>
    <row r="1479" spans="1:8" s="598" customFormat="1" ht="30" x14ac:dyDescent="0.2">
      <c r="A1479" s="605">
        <v>1449</v>
      </c>
      <c r="B1479" s="990" t="s">
        <v>2589</v>
      </c>
      <c r="C1479" s="991"/>
      <c r="D1479" s="991"/>
      <c r="E1479" s="991"/>
      <c r="F1479" s="991"/>
      <c r="G1479" s="991"/>
      <c r="H1479" s="1072"/>
    </row>
    <row r="1480" spans="1:8" s="598" customFormat="1" ht="30" x14ac:dyDescent="0.2">
      <c r="A1480" s="605">
        <v>1450</v>
      </c>
      <c r="B1480" s="998" t="s">
        <v>2588</v>
      </c>
      <c r="C1480" s="991"/>
      <c r="D1480" s="991"/>
      <c r="E1480" s="991"/>
      <c r="F1480" s="991"/>
      <c r="G1480" s="991"/>
      <c r="H1480" s="1072"/>
    </row>
    <row r="1481" spans="1:8" s="598" customFormat="1" ht="30" x14ac:dyDescent="0.2">
      <c r="A1481" s="605">
        <v>1451</v>
      </c>
      <c r="B1481" s="990" t="s">
        <v>2587</v>
      </c>
      <c r="C1481" s="278"/>
      <c r="D1481" s="278"/>
      <c r="E1481" s="278"/>
      <c r="F1481" s="278"/>
      <c r="G1481" s="278"/>
      <c r="H1481" s="1072"/>
    </row>
    <row r="1482" spans="1:8" s="598" customFormat="1" ht="30" x14ac:dyDescent="0.2">
      <c r="A1482" s="605">
        <v>1452</v>
      </c>
      <c r="B1482" s="981" t="s">
        <v>2586</v>
      </c>
      <c r="C1482" s="991"/>
      <c r="D1482" s="991"/>
      <c r="E1482" s="991"/>
      <c r="F1482" s="991"/>
      <c r="G1482" s="991"/>
      <c r="H1482" s="1072"/>
    </row>
    <row r="1483" spans="1:8" s="598" customFormat="1" ht="30" x14ac:dyDescent="0.2">
      <c r="A1483" s="605">
        <v>1453</v>
      </c>
      <c r="B1483" s="981" t="s">
        <v>2585</v>
      </c>
      <c r="C1483" s="991"/>
      <c r="D1483" s="991"/>
      <c r="E1483" s="991"/>
      <c r="F1483" s="991"/>
      <c r="G1483" s="991"/>
      <c r="H1483" s="1072"/>
    </row>
    <row r="1484" spans="1:8" s="598" customFormat="1" ht="30" x14ac:dyDescent="0.2">
      <c r="A1484" s="605">
        <v>1454</v>
      </c>
      <c r="B1484" s="998" t="s">
        <v>2584</v>
      </c>
      <c r="C1484" s="991"/>
      <c r="D1484" s="991"/>
      <c r="E1484" s="991"/>
      <c r="F1484" s="991"/>
      <c r="G1484" s="991"/>
      <c r="H1484" s="1072"/>
    </row>
    <row r="1485" spans="1:8" s="598" customFormat="1" ht="30" x14ac:dyDescent="0.2">
      <c r="A1485" s="605">
        <v>1455</v>
      </c>
      <c r="B1485" s="990" t="s">
        <v>2583</v>
      </c>
      <c r="C1485" s="278"/>
      <c r="D1485" s="278"/>
      <c r="E1485" s="278"/>
      <c r="F1485" s="278"/>
      <c r="G1485" s="278"/>
      <c r="H1485" s="1072"/>
    </row>
    <row r="1486" spans="1:8" s="598" customFormat="1" ht="15" x14ac:dyDescent="0.2">
      <c r="A1486" s="605">
        <v>1456</v>
      </c>
      <c r="B1486" s="981" t="s">
        <v>2582</v>
      </c>
      <c r="C1486" s="991"/>
      <c r="D1486" s="991"/>
      <c r="E1486" s="991"/>
      <c r="F1486" s="991"/>
      <c r="G1486" s="991"/>
      <c r="H1486" s="1072"/>
    </row>
    <row r="1487" spans="1:8" s="598" customFormat="1" ht="30" x14ac:dyDescent="0.2">
      <c r="A1487" s="605">
        <v>1457</v>
      </c>
      <c r="B1487" s="981" t="s">
        <v>2581</v>
      </c>
      <c r="C1487" s="991"/>
      <c r="D1487" s="991"/>
      <c r="E1487" s="991"/>
      <c r="F1487" s="991"/>
      <c r="G1487" s="991"/>
      <c r="H1487" s="1072"/>
    </row>
    <row r="1488" spans="1:8" s="598" customFormat="1" ht="30" x14ac:dyDescent="0.2">
      <c r="A1488" s="605">
        <v>1458</v>
      </c>
      <c r="B1488" s="981" t="s">
        <v>2580</v>
      </c>
      <c r="C1488" s="991"/>
      <c r="D1488" s="991"/>
      <c r="E1488" s="991"/>
      <c r="F1488" s="991"/>
      <c r="G1488" s="991"/>
      <c r="H1488" s="1072"/>
    </row>
    <row r="1489" spans="1:8" s="598" customFormat="1" ht="15" x14ac:dyDescent="0.2">
      <c r="A1489" s="605">
        <v>1459</v>
      </c>
      <c r="B1489" s="998" t="s">
        <v>2579</v>
      </c>
      <c r="C1489" s="991"/>
      <c r="D1489" s="991"/>
      <c r="E1489" s="991"/>
      <c r="F1489" s="991"/>
      <c r="G1489" s="991"/>
      <c r="H1489" s="1072"/>
    </row>
    <row r="1490" spans="1:8" s="598" customFormat="1" ht="15" x14ac:dyDescent="0.2">
      <c r="A1490" s="605">
        <v>1460</v>
      </c>
      <c r="B1490" s="998" t="s">
        <v>2578</v>
      </c>
      <c r="C1490" s="278"/>
      <c r="D1490" s="278"/>
      <c r="E1490" s="278"/>
      <c r="F1490" s="278"/>
      <c r="G1490" s="278"/>
      <c r="H1490" s="1072"/>
    </row>
    <row r="1491" spans="1:8" s="598" customFormat="1" ht="15" x14ac:dyDescent="0.2">
      <c r="A1491" s="605">
        <v>1461</v>
      </c>
      <c r="B1491" s="981" t="s">
        <v>2577</v>
      </c>
      <c r="C1491" s="991"/>
      <c r="D1491" s="991"/>
      <c r="E1491" s="991"/>
      <c r="F1491" s="991"/>
      <c r="G1491" s="991"/>
      <c r="H1491" s="1072"/>
    </row>
    <row r="1492" spans="1:8" s="598" customFormat="1" ht="15" x14ac:dyDescent="0.2">
      <c r="A1492" s="605">
        <v>1462</v>
      </c>
      <c r="B1492" s="981" t="s">
        <v>2576</v>
      </c>
      <c r="C1492" s="991"/>
      <c r="D1492" s="991"/>
      <c r="E1492" s="991"/>
      <c r="F1492" s="991"/>
      <c r="G1492" s="991"/>
      <c r="H1492" s="1072"/>
    </row>
    <row r="1493" spans="1:8" s="598" customFormat="1" ht="15" x14ac:dyDescent="0.2">
      <c r="A1493" s="605">
        <v>1463</v>
      </c>
      <c r="B1493" s="981" t="s">
        <v>2575</v>
      </c>
      <c r="C1493" s="991"/>
      <c r="D1493" s="991"/>
      <c r="E1493" s="991"/>
      <c r="F1493" s="991"/>
      <c r="G1493" s="991"/>
      <c r="H1493" s="1072"/>
    </row>
    <row r="1494" spans="1:8" s="598" customFormat="1" ht="15" x14ac:dyDescent="0.2">
      <c r="A1494" s="605">
        <v>1464</v>
      </c>
      <c r="B1494" s="981" t="s">
        <v>2574</v>
      </c>
      <c r="C1494" s="991"/>
      <c r="D1494" s="991"/>
      <c r="E1494" s="991"/>
      <c r="F1494" s="991"/>
      <c r="G1494" s="991"/>
      <c r="H1494" s="1072"/>
    </row>
    <row r="1495" spans="1:8" s="598" customFormat="1" ht="15" x14ac:dyDescent="0.2">
      <c r="A1495" s="605">
        <v>1465</v>
      </c>
      <c r="B1495" s="981" t="s">
        <v>2573</v>
      </c>
      <c r="C1495" s="991"/>
      <c r="D1495" s="991"/>
      <c r="E1495" s="991"/>
      <c r="F1495" s="991"/>
      <c r="G1495" s="991"/>
      <c r="H1495" s="1072"/>
    </row>
    <row r="1496" spans="1:8" s="598" customFormat="1" ht="15" x14ac:dyDescent="0.2">
      <c r="A1496" s="605">
        <v>1466</v>
      </c>
      <c r="B1496" s="981" t="s">
        <v>2572</v>
      </c>
      <c r="C1496" s="991"/>
      <c r="D1496" s="991"/>
      <c r="E1496" s="991"/>
      <c r="F1496" s="991"/>
      <c r="G1496" s="991"/>
      <c r="H1496" s="1072"/>
    </row>
    <row r="1497" spans="1:8" s="598" customFormat="1" ht="30" x14ac:dyDescent="0.2">
      <c r="A1497" s="605">
        <v>1467</v>
      </c>
      <c r="B1497" s="990" t="s">
        <v>2571</v>
      </c>
      <c r="C1497" s="278"/>
      <c r="D1497" s="278"/>
      <c r="E1497" s="278"/>
      <c r="F1497" s="278"/>
      <c r="G1497" s="278"/>
      <c r="H1497" s="1072"/>
    </row>
    <row r="1498" spans="1:8" s="598" customFormat="1" ht="15" x14ac:dyDescent="0.2">
      <c r="A1498" s="605">
        <v>1468</v>
      </c>
      <c r="B1498" s="981" t="s">
        <v>299</v>
      </c>
      <c r="C1498" s="991"/>
      <c r="D1498" s="991"/>
      <c r="E1498" s="991"/>
      <c r="F1498" s="991"/>
      <c r="G1498" s="991"/>
      <c r="H1498" s="1072"/>
    </row>
    <row r="1499" spans="1:8" s="598" customFormat="1" ht="15" x14ac:dyDescent="0.2">
      <c r="A1499" s="605">
        <v>1469</v>
      </c>
      <c r="B1499" s="981" t="s">
        <v>2570</v>
      </c>
      <c r="C1499" s="991"/>
      <c r="D1499" s="991"/>
      <c r="E1499" s="991"/>
      <c r="F1499" s="991"/>
      <c r="G1499" s="991"/>
      <c r="H1499" s="1072"/>
    </row>
    <row r="1500" spans="1:8" s="598" customFormat="1" ht="30" x14ac:dyDescent="0.2">
      <c r="A1500" s="605">
        <v>1470</v>
      </c>
      <c r="B1500" s="691" t="s">
        <v>2569</v>
      </c>
      <c r="C1500" s="538"/>
      <c r="D1500" s="538"/>
      <c r="E1500" s="538"/>
      <c r="F1500" s="538"/>
      <c r="G1500" s="538"/>
      <c r="H1500" s="1054"/>
    </row>
    <row r="1501" spans="1:8" s="598" customFormat="1" ht="15" x14ac:dyDescent="0.2">
      <c r="A1501" s="605">
        <v>1471</v>
      </c>
      <c r="B1501" s="776" t="s">
        <v>2568</v>
      </c>
      <c r="C1501" s="776"/>
      <c r="D1501" s="776"/>
      <c r="E1501" s="776"/>
      <c r="F1501" s="776"/>
      <c r="G1501" s="776"/>
      <c r="H1501" s="1036"/>
    </row>
    <row r="1502" spans="1:8" s="598" customFormat="1" ht="30" x14ac:dyDescent="0.25">
      <c r="A1502" s="605">
        <v>1472</v>
      </c>
      <c r="B1502" s="636" t="s">
        <v>2567</v>
      </c>
      <c r="C1502" s="999"/>
      <c r="D1502" s="999"/>
      <c r="E1502" s="999"/>
      <c r="F1502" s="999"/>
      <c r="G1502" s="999"/>
      <c r="H1502" s="1037"/>
    </row>
    <row r="1503" spans="1:8" s="598" customFormat="1" ht="15" x14ac:dyDescent="0.25">
      <c r="A1503" s="605">
        <v>1473</v>
      </c>
      <c r="B1503" s="858" t="s">
        <v>2566</v>
      </c>
      <c r="C1503" s="278"/>
      <c r="D1503" s="278"/>
      <c r="E1503" s="278"/>
      <c r="F1503" s="278"/>
      <c r="G1503" s="278"/>
      <c r="H1503" s="1037"/>
    </row>
    <row r="1504" spans="1:8" s="598" customFormat="1" ht="15" x14ac:dyDescent="0.25">
      <c r="A1504" s="605">
        <v>1474</v>
      </c>
      <c r="B1504" s="994" t="s">
        <v>236</v>
      </c>
      <c r="C1504" s="999"/>
      <c r="D1504" s="999"/>
      <c r="E1504" s="999"/>
      <c r="F1504" s="999"/>
      <c r="G1504" s="999"/>
      <c r="H1504" s="1037"/>
    </row>
    <row r="1505" spans="1:8" s="598" customFormat="1" ht="15" x14ac:dyDescent="0.25">
      <c r="A1505" s="605">
        <v>1475</v>
      </c>
      <c r="B1505" s="994" t="s">
        <v>2565</v>
      </c>
      <c r="C1505" s="999"/>
      <c r="D1505" s="999"/>
      <c r="E1505" s="999"/>
      <c r="F1505" s="999"/>
      <c r="G1505" s="999"/>
      <c r="H1505" s="1037"/>
    </row>
    <row r="1506" spans="1:8" s="598" customFormat="1" ht="15" x14ac:dyDescent="0.25">
      <c r="A1506" s="605">
        <v>1476</v>
      </c>
      <c r="B1506" s="994" t="s">
        <v>810</v>
      </c>
      <c r="C1506" s="999"/>
      <c r="D1506" s="999"/>
      <c r="E1506" s="999"/>
      <c r="F1506" s="999"/>
      <c r="G1506" s="999"/>
      <c r="H1506" s="1037"/>
    </row>
    <row r="1507" spans="1:8" s="598" customFormat="1" ht="15" x14ac:dyDescent="0.25">
      <c r="A1507" s="605">
        <v>1477</v>
      </c>
      <c r="B1507" s="858" t="s">
        <v>2564</v>
      </c>
      <c r="C1507" s="278"/>
      <c r="D1507" s="278"/>
      <c r="E1507" s="278"/>
      <c r="F1507" s="278"/>
      <c r="G1507" s="278"/>
      <c r="H1507" s="1037"/>
    </row>
    <row r="1508" spans="1:8" s="598" customFormat="1" ht="15" x14ac:dyDescent="0.25">
      <c r="A1508" s="605">
        <v>1478</v>
      </c>
      <c r="B1508" s="994" t="s">
        <v>2563</v>
      </c>
      <c r="C1508" s="999"/>
      <c r="D1508" s="999"/>
      <c r="E1508" s="999"/>
      <c r="F1508" s="999"/>
      <c r="G1508" s="999"/>
      <c r="H1508" s="1037"/>
    </row>
    <row r="1509" spans="1:8" s="598" customFormat="1" ht="15" x14ac:dyDescent="0.25">
      <c r="A1509" s="605">
        <v>1479</v>
      </c>
      <c r="B1509" s="994" t="s">
        <v>627</v>
      </c>
      <c r="C1509" s="999"/>
      <c r="D1509" s="999"/>
      <c r="E1509" s="999"/>
      <c r="F1509" s="999"/>
      <c r="G1509" s="999"/>
      <c r="H1509" s="1037"/>
    </row>
    <row r="1510" spans="1:8" s="598" customFormat="1" ht="15" x14ac:dyDescent="0.25">
      <c r="A1510" s="605">
        <v>1480</v>
      </c>
      <c r="B1510" s="994" t="s">
        <v>995</v>
      </c>
      <c r="C1510" s="999"/>
      <c r="D1510" s="999"/>
      <c r="E1510" s="999"/>
      <c r="F1510" s="999"/>
      <c r="G1510" s="999"/>
      <c r="H1510" s="1037"/>
    </row>
    <row r="1511" spans="1:8" s="598" customFormat="1" ht="15" x14ac:dyDescent="0.25">
      <c r="A1511" s="605">
        <v>1481</v>
      </c>
      <c r="B1511" s="994" t="s">
        <v>299</v>
      </c>
      <c r="C1511" s="999"/>
      <c r="D1511" s="999"/>
      <c r="E1511" s="999"/>
      <c r="F1511" s="999"/>
      <c r="G1511" s="999"/>
      <c r="H1511" s="1037"/>
    </row>
    <row r="1512" spans="1:8" s="598" customFormat="1" ht="15" x14ac:dyDescent="0.25">
      <c r="A1512" s="605">
        <v>1482</v>
      </c>
      <c r="B1512" s="994" t="s">
        <v>2562</v>
      </c>
      <c r="C1512" s="999"/>
      <c r="D1512" s="999"/>
      <c r="E1512" s="999"/>
      <c r="F1512" s="999"/>
      <c r="G1512" s="999"/>
      <c r="H1512" s="1037"/>
    </row>
    <row r="1513" spans="1:8" s="598" customFormat="1" ht="15" x14ac:dyDescent="0.25">
      <c r="A1513" s="605">
        <v>1483</v>
      </c>
      <c r="B1513" s="1000" t="s">
        <v>537</v>
      </c>
      <c r="C1513" s="999"/>
      <c r="D1513" s="999"/>
      <c r="E1513" s="999"/>
      <c r="F1513" s="999"/>
      <c r="G1513" s="999"/>
      <c r="H1513" s="1037"/>
    </row>
    <row r="1514" spans="1:8" s="598" customFormat="1" ht="15" x14ac:dyDescent="0.25">
      <c r="A1514" s="605">
        <v>1484</v>
      </c>
      <c r="B1514" s="994" t="s">
        <v>2561</v>
      </c>
      <c r="C1514" s="999"/>
      <c r="D1514" s="999"/>
      <c r="E1514" s="999"/>
      <c r="F1514" s="999"/>
      <c r="G1514" s="999"/>
      <c r="H1514" s="1037"/>
    </row>
    <row r="1515" spans="1:8" s="598" customFormat="1" ht="15" x14ac:dyDescent="0.25">
      <c r="A1515" s="605">
        <v>1485</v>
      </c>
      <c r="B1515" s="994" t="s">
        <v>2560</v>
      </c>
      <c r="C1515" s="999"/>
      <c r="D1515" s="999"/>
      <c r="E1515" s="999"/>
      <c r="F1515" s="999"/>
      <c r="G1515" s="999"/>
      <c r="H1515" s="1037"/>
    </row>
    <row r="1516" spans="1:8" s="598" customFormat="1" ht="15" x14ac:dyDescent="0.25">
      <c r="A1516" s="605">
        <v>1486</v>
      </c>
      <c r="B1516" s="994" t="s">
        <v>2559</v>
      </c>
      <c r="C1516" s="999"/>
      <c r="D1516" s="999"/>
      <c r="E1516" s="999"/>
      <c r="F1516" s="999"/>
      <c r="G1516" s="999"/>
      <c r="H1516" s="1037"/>
    </row>
    <row r="1517" spans="1:8" s="598" customFormat="1" ht="15" x14ac:dyDescent="0.25">
      <c r="A1517" s="605">
        <v>1487</v>
      </c>
      <c r="B1517" s="994" t="s">
        <v>2528</v>
      </c>
      <c r="C1517" s="999"/>
      <c r="D1517" s="999"/>
      <c r="E1517" s="999"/>
      <c r="F1517" s="999"/>
      <c r="G1517" s="999"/>
      <c r="H1517" s="1037"/>
    </row>
    <row r="1518" spans="1:8" s="598" customFormat="1" ht="15" x14ac:dyDescent="0.25">
      <c r="A1518" s="605">
        <v>1488</v>
      </c>
      <c r="B1518" s="994" t="s">
        <v>2558</v>
      </c>
      <c r="C1518" s="999"/>
      <c r="D1518" s="999"/>
      <c r="E1518" s="999"/>
      <c r="F1518" s="999"/>
      <c r="G1518" s="999"/>
      <c r="H1518" s="1037"/>
    </row>
    <row r="1519" spans="1:8" s="598" customFormat="1" ht="15" x14ac:dyDescent="0.25">
      <c r="A1519" s="605">
        <v>1489</v>
      </c>
      <c r="B1519" s="994" t="s">
        <v>366</v>
      </c>
      <c r="C1519" s="999"/>
      <c r="D1519" s="999"/>
      <c r="E1519" s="999"/>
      <c r="F1519" s="999"/>
      <c r="G1519" s="999"/>
      <c r="H1519" s="1037"/>
    </row>
    <row r="1520" spans="1:8" s="598" customFormat="1" ht="15" x14ac:dyDescent="0.25">
      <c r="A1520" s="605">
        <v>1490</v>
      </c>
      <c r="B1520" s="994" t="s">
        <v>2557</v>
      </c>
      <c r="C1520" s="999"/>
      <c r="D1520" s="999"/>
      <c r="E1520" s="999"/>
      <c r="F1520" s="999"/>
      <c r="G1520" s="999"/>
      <c r="H1520" s="1037"/>
    </row>
    <row r="1521" spans="1:31" s="598" customFormat="1" ht="15" x14ac:dyDescent="0.25">
      <c r="A1521" s="605">
        <v>1491</v>
      </c>
      <c r="B1521" s="994" t="s">
        <v>2556</v>
      </c>
      <c r="C1521" s="999"/>
      <c r="D1521" s="999"/>
      <c r="E1521" s="999"/>
      <c r="F1521" s="999"/>
      <c r="G1521" s="999"/>
      <c r="H1521" s="1037"/>
    </row>
    <row r="1522" spans="1:31" s="598" customFormat="1" ht="45" x14ac:dyDescent="0.25">
      <c r="A1522" s="605">
        <v>1492</v>
      </c>
      <c r="B1522" s="636" t="s">
        <v>2555</v>
      </c>
      <c r="C1522" s="999"/>
      <c r="D1522" s="999"/>
      <c r="E1522" s="999"/>
      <c r="F1522" s="999"/>
      <c r="G1522" s="999"/>
      <c r="H1522" s="1037"/>
    </row>
    <row r="1523" spans="1:31" ht="15" x14ac:dyDescent="0.2">
      <c r="A1523" s="605">
        <v>1493</v>
      </c>
      <c r="B1523" s="851" t="s">
        <v>2554</v>
      </c>
      <c r="C1523" s="777"/>
      <c r="D1523" s="777"/>
      <c r="E1523" s="777"/>
      <c r="F1523" s="777"/>
      <c r="G1523" s="777"/>
      <c r="H1523" s="1030"/>
      <c r="AC1523" s="345"/>
      <c r="AD1523" s="345"/>
      <c r="AE1523" s="345"/>
    </row>
    <row r="1524" spans="1:31" s="791" customFormat="1" ht="30" x14ac:dyDescent="0.25">
      <c r="A1524" s="605">
        <v>1494</v>
      </c>
      <c r="B1524" s="834" t="s">
        <v>2553</v>
      </c>
      <c r="C1524" s="849"/>
      <c r="D1524" s="849"/>
      <c r="E1524" s="849"/>
      <c r="F1524" s="849"/>
      <c r="G1524" s="849"/>
      <c r="H1524" s="1038"/>
      <c r="I1524" s="347"/>
      <c r="J1524" s="347"/>
      <c r="K1524" s="792"/>
      <c r="L1524" s="792"/>
      <c r="M1524" s="792"/>
      <c r="N1524" s="792"/>
      <c r="O1524" s="792"/>
      <c r="P1524" s="792"/>
      <c r="Q1524" s="792"/>
      <c r="R1524" s="792"/>
      <c r="S1524" s="792"/>
      <c r="T1524" s="792"/>
      <c r="U1524" s="792"/>
      <c r="V1524" s="792"/>
      <c r="W1524" s="792"/>
      <c r="X1524" s="792"/>
      <c r="Y1524" s="792"/>
      <c r="Z1524" s="792"/>
      <c r="AA1524" s="792"/>
      <c r="AB1524" s="792"/>
    </row>
    <row r="1525" spans="1:31" s="791" customFormat="1" ht="15" x14ac:dyDescent="0.25">
      <c r="A1525" s="605">
        <v>1495</v>
      </c>
      <c r="B1525" s="834" t="s">
        <v>2552</v>
      </c>
      <c r="C1525" s="848"/>
      <c r="D1525" s="848"/>
      <c r="E1525" s="848"/>
      <c r="F1525" s="848"/>
      <c r="G1525" s="848"/>
      <c r="H1525" s="1038"/>
      <c r="I1525" s="347"/>
      <c r="J1525" s="347"/>
      <c r="K1525" s="792"/>
      <c r="L1525" s="792"/>
      <c r="M1525" s="792"/>
      <c r="N1525" s="792"/>
      <c r="O1525" s="792"/>
      <c r="P1525" s="792"/>
      <c r="Q1525" s="792"/>
      <c r="R1525" s="792"/>
      <c r="S1525" s="792"/>
      <c r="T1525" s="792"/>
      <c r="U1525" s="792"/>
      <c r="V1525" s="792"/>
      <c r="W1525" s="792"/>
      <c r="X1525" s="792"/>
      <c r="Y1525" s="792"/>
      <c r="Z1525" s="792"/>
      <c r="AA1525" s="792"/>
      <c r="AB1525" s="792"/>
    </row>
    <row r="1526" spans="1:31" s="791" customFormat="1" ht="15" x14ac:dyDescent="0.25">
      <c r="A1526" s="605">
        <v>1496</v>
      </c>
      <c r="B1526" s="850" t="s">
        <v>2551</v>
      </c>
      <c r="C1526" s="849"/>
      <c r="D1526" s="849"/>
      <c r="E1526" s="849"/>
      <c r="F1526" s="849"/>
      <c r="G1526" s="849"/>
      <c r="H1526" s="1038"/>
      <c r="I1526" s="347"/>
      <c r="J1526" s="347"/>
      <c r="K1526" s="792"/>
      <c r="L1526" s="792"/>
      <c r="M1526" s="792"/>
      <c r="N1526" s="792"/>
      <c r="O1526" s="792"/>
      <c r="P1526" s="792"/>
      <c r="Q1526" s="792"/>
      <c r="R1526" s="792"/>
      <c r="S1526" s="792"/>
      <c r="T1526" s="792"/>
      <c r="U1526" s="792"/>
      <c r="V1526" s="792"/>
      <c r="W1526" s="792"/>
      <c r="X1526" s="792"/>
      <c r="Y1526" s="792"/>
      <c r="Z1526" s="792"/>
      <c r="AA1526" s="792"/>
      <c r="AB1526" s="792"/>
    </row>
    <row r="1527" spans="1:31" s="791" customFormat="1" ht="15" x14ac:dyDescent="0.25">
      <c r="A1527" s="605">
        <v>1497</v>
      </c>
      <c r="B1527" s="850" t="s">
        <v>2550</v>
      </c>
      <c r="C1527" s="849"/>
      <c r="D1527" s="849"/>
      <c r="E1527" s="849"/>
      <c r="F1527" s="849"/>
      <c r="G1527" s="849"/>
      <c r="H1527" s="1038"/>
      <c r="I1527" s="347"/>
      <c r="J1527" s="347"/>
      <c r="K1527" s="792"/>
      <c r="L1527" s="792"/>
      <c r="M1527" s="792"/>
      <c r="N1527" s="792"/>
      <c r="O1527" s="792"/>
      <c r="P1527" s="792"/>
      <c r="Q1527" s="792"/>
      <c r="R1527" s="792"/>
      <c r="S1527" s="792"/>
      <c r="T1527" s="792"/>
      <c r="U1527" s="792"/>
      <c r="V1527" s="792"/>
      <c r="W1527" s="792"/>
      <c r="X1527" s="792"/>
      <c r="Y1527" s="792"/>
      <c r="Z1527" s="792"/>
      <c r="AA1527" s="792"/>
      <c r="AB1527" s="792"/>
    </row>
    <row r="1528" spans="1:31" s="846" customFormat="1" ht="30" x14ac:dyDescent="0.25">
      <c r="A1528" s="605">
        <v>1498</v>
      </c>
      <c r="B1528" s="580" t="s">
        <v>2549</v>
      </c>
      <c r="C1528" s="848"/>
      <c r="D1528" s="848"/>
      <c r="E1528" s="848"/>
      <c r="F1528" s="848"/>
      <c r="G1528" s="848"/>
      <c r="H1528" s="1106"/>
      <c r="I1528" s="347"/>
      <c r="J1528" s="347"/>
      <c r="K1528" s="792"/>
      <c r="L1528" s="792"/>
      <c r="M1528" s="792"/>
      <c r="N1528" s="792"/>
      <c r="O1528" s="792"/>
      <c r="P1528" s="792"/>
      <c r="Q1528" s="792"/>
      <c r="R1528" s="792"/>
      <c r="S1528" s="792"/>
      <c r="T1528" s="792"/>
      <c r="U1528" s="792"/>
      <c r="V1528" s="792"/>
      <c r="W1528" s="792"/>
      <c r="X1528" s="792"/>
      <c r="Y1528" s="792"/>
      <c r="Z1528" s="792"/>
      <c r="AA1528" s="792"/>
      <c r="AB1528" s="792"/>
    </row>
    <row r="1529" spans="1:31" s="846" customFormat="1" ht="15" x14ac:dyDescent="0.25">
      <c r="A1529" s="605">
        <v>1499</v>
      </c>
      <c r="B1529" s="779" t="s">
        <v>2548</v>
      </c>
      <c r="C1529" s="847"/>
      <c r="D1529" s="847"/>
      <c r="E1529" s="847"/>
      <c r="F1529" s="847"/>
      <c r="G1529" s="847"/>
      <c r="H1529" s="1039"/>
      <c r="I1529" s="347"/>
      <c r="J1529" s="792"/>
      <c r="K1529" s="792"/>
      <c r="L1529" s="792"/>
      <c r="M1529" s="792"/>
      <c r="N1529" s="792"/>
      <c r="O1529" s="792"/>
      <c r="P1529" s="792"/>
      <c r="Q1529" s="792"/>
      <c r="R1529" s="792"/>
      <c r="S1529" s="792"/>
      <c r="T1529" s="792"/>
      <c r="U1529" s="792"/>
      <c r="V1529" s="792"/>
      <c r="W1529" s="792"/>
      <c r="X1529" s="792"/>
      <c r="Y1529" s="792"/>
      <c r="Z1529" s="792"/>
      <c r="AA1529" s="792"/>
      <c r="AB1529" s="792"/>
    </row>
    <row r="1530" spans="1:31" s="846" customFormat="1" ht="15" x14ac:dyDescent="0.25">
      <c r="A1530" s="605">
        <v>1500</v>
      </c>
      <c r="B1530" s="779" t="s">
        <v>2547</v>
      </c>
      <c r="C1530" s="847"/>
      <c r="D1530" s="847"/>
      <c r="E1530" s="847"/>
      <c r="F1530" s="847"/>
      <c r="G1530" s="847"/>
      <c r="H1530" s="1039"/>
      <c r="I1530" s="347"/>
      <c r="J1530" s="792"/>
      <c r="K1530" s="792"/>
      <c r="L1530" s="792"/>
      <c r="M1530" s="792"/>
      <c r="N1530" s="792"/>
      <c r="O1530" s="792"/>
      <c r="P1530" s="792"/>
      <c r="Q1530" s="792"/>
      <c r="R1530" s="792"/>
      <c r="S1530" s="792"/>
      <c r="T1530" s="792"/>
      <c r="U1530" s="792"/>
      <c r="V1530" s="792"/>
      <c r="W1530" s="792"/>
      <c r="X1530" s="792"/>
      <c r="Y1530" s="792"/>
      <c r="Z1530" s="792"/>
      <c r="AA1530" s="792"/>
      <c r="AB1530" s="792"/>
    </row>
    <row r="1531" spans="1:31" s="846" customFormat="1" ht="15" x14ac:dyDescent="0.25">
      <c r="A1531" s="605">
        <v>1501</v>
      </c>
      <c r="B1531" s="779" t="s">
        <v>2546</v>
      </c>
      <c r="C1531" s="847"/>
      <c r="D1531" s="847"/>
      <c r="E1531" s="847"/>
      <c r="F1531" s="847"/>
      <c r="G1531" s="847"/>
      <c r="H1531" s="1040"/>
      <c r="I1531" s="347"/>
      <c r="J1531" s="792"/>
      <c r="K1531" s="792"/>
      <c r="L1531" s="792"/>
      <c r="M1531" s="792"/>
      <c r="N1531" s="792"/>
      <c r="O1531" s="792"/>
      <c r="P1531" s="792"/>
      <c r="Q1531" s="792"/>
      <c r="R1531" s="792"/>
      <c r="S1531" s="792"/>
      <c r="T1531" s="792"/>
      <c r="U1531" s="792"/>
      <c r="V1531" s="792"/>
      <c r="W1531" s="792"/>
      <c r="X1531" s="792"/>
      <c r="Y1531" s="792"/>
      <c r="Z1531" s="792"/>
      <c r="AA1531" s="792"/>
      <c r="AB1531" s="792"/>
    </row>
    <row r="1532" spans="1:31" s="846" customFormat="1" ht="15" x14ac:dyDescent="0.25">
      <c r="A1532" s="605">
        <v>1502</v>
      </c>
      <c r="B1532" s="779" t="s">
        <v>2545</v>
      </c>
      <c r="C1532" s="847"/>
      <c r="D1532" s="847"/>
      <c r="E1532" s="847"/>
      <c r="F1532" s="847"/>
      <c r="G1532" s="847"/>
      <c r="H1532" s="1040"/>
      <c r="I1532" s="347"/>
      <c r="J1532" s="792"/>
      <c r="K1532" s="792"/>
      <c r="L1532" s="792"/>
      <c r="M1532" s="792"/>
      <c r="N1532" s="792"/>
      <c r="O1532" s="792"/>
      <c r="P1532" s="792"/>
      <c r="Q1532" s="792"/>
      <c r="R1532" s="792"/>
      <c r="S1532" s="792"/>
      <c r="T1532" s="792"/>
      <c r="U1532" s="792"/>
      <c r="V1532" s="792"/>
      <c r="W1532" s="792"/>
      <c r="X1532" s="792"/>
      <c r="Y1532" s="792"/>
      <c r="Z1532" s="792"/>
      <c r="AA1532" s="792"/>
      <c r="AB1532" s="792"/>
    </row>
    <row r="1533" spans="1:31" s="846" customFormat="1" ht="15" x14ac:dyDescent="0.25">
      <c r="A1533" s="605">
        <v>1503</v>
      </c>
      <c r="B1533" s="779" t="s">
        <v>2544</v>
      </c>
      <c r="C1533" s="847"/>
      <c r="D1533" s="847"/>
      <c r="E1533" s="847"/>
      <c r="F1533" s="847"/>
      <c r="G1533" s="847"/>
      <c r="H1533" s="1040"/>
      <c r="I1533" s="347"/>
      <c r="J1533" s="792"/>
      <c r="K1533" s="792"/>
      <c r="L1533" s="792"/>
      <c r="M1533" s="792"/>
      <c r="N1533" s="792"/>
      <c r="O1533" s="792"/>
      <c r="P1533" s="792"/>
      <c r="Q1533" s="792"/>
      <c r="R1533" s="792"/>
      <c r="S1533" s="792"/>
      <c r="T1533" s="792"/>
      <c r="U1533" s="792"/>
      <c r="V1533" s="792"/>
      <c r="W1533" s="792"/>
      <c r="X1533" s="792"/>
      <c r="Y1533" s="792"/>
      <c r="Z1533" s="792"/>
      <c r="AA1533" s="792"/>
      <c r="AB1533" s="792"/>
    </row>
    <row r="1534" spans="1:31" s="846" customFormat="1" ht="30" x14ac:dyDescent="0.25">
      <c r="A1534" s="605">
        <v>1504</v>
      </c>
      <c r="B1534" s="775" t="s">
        <v>2543</v>
      </c>
      <c r="C1534" s="847"/>
      <c r="D1534" s="847"/>
      <c r="E1534" s="847"/>
      <c r="F1534" s="847"/>
      <c r="G1534" s="847"/>
      <c r="H1534" s="1039"/>
      <c r="I1534" s="347"/>
      <c r="J1534" s="792"/>
      <c r="K1534" s="792"/>
      <c r="L1534" s="792"/>
      <c r="M1534" s="792"/>
      <c r="N1534" s="792"/>
      <c r="O1534" s="792"/>
      <c r="P1534" s="792"/>
      <c r="Q1534" s="792"/>
      <c r="R1534" s="792"/>
      <c r="S1534" s="792"/>
      <c r="T1534" s="792"/>
      <c r="U1534" s="792"/>
      <c r="V1534" s="792"/>
      <c r="W1534" s="792"/>
      <c r="X1534" s="792"/>
      <c r="Y1534" s="792"/>
      <c r="Z1534" s="792"/>
      <c r="AA1534" s="792"/>
      <c r="AB1534" s="792"/>
    </row>
    <row r="1535" spans="1:31" s="846" customFormat="1" ht="15" x14ac:dyDescent="0.25">
      <c r="A1535" s="605">
        <v>1505</v>
      </c>
      <c r="B1535" s="775" t="s">
        <v>2542</v>
      </c>
      <c r="C1535" s="847"/>
      <c r="D1535" s="847"/>
      <c r="E1535" s="847"/>
      <c r="F1535" s="847"/>
      <c r="G1535" s="847"/>
      <c r="H1535" s="1039"/>
      <c r="I1535" s="347"/>
      <c r="J1535" s="792"/>
      <c r="K1535" s="792"/>
      <c r="L1535" s="792"/>
      <c r="M1535" s="792"/>
      <c r="N1535" s="792"/>
      <c r="O1535" s="792"/>
      <c r="P1535" s="792"/>
      <c r="Q1535" s="792"/>
      <c r="R1535" s="792"/>
      <c r="S1535" s="792"/>
      <c r="T1535" s="792"/>
      <c r="U1535" s="792"/>
      <c r="V1535" s="792"/>
      <c r="W1535" s="792"/>
      <c r="X1535" s="792"/>
      <c r="Y1535" s="792"/>
      <c r="Z1535" s="792"/>
      <c r="AA1535" s="792"/>
      <c r="AB1535" s="792"/>
    </row>
    <row r="1536" spans="1:31" s="846" customFormat="1" ht="15" x14ac:dyDescent="0.25">
      <c r="A1536" s="605">
        <v>1506</v>
      </c>
      <c r="B1536" s="775" t="s">
        <v>2541</v>
      </c>
      <c r="C1536" s="847"/>
      <c r="D1536" s="847"/>
      <c r="E1536" s="847"/>
      <c r="F1536" s="847"/>
      <c r="G1536" s="847"/>
      <c r="H1536" s="1039"/>
      <c r="I1536" s="347"/>
      <c r="J1536" s="792"/>
      <c r="K1536" s="792"/>
      <c r="L1536" s="792"/>
      <c r="M1536" s="792"/>
      <c r="N1536" s="792"/>
      <c r="O1536" s="792"/>
      <c r="P1536" s="792"/>
      <c r="Q1536" s="792"/>
      <c r="R1536" s="792"/>
      <c r="S1536" s="792"/>
      <c r="T1536" s="792"/>
      <c r="U1536" s="792"/>
      <c r="V1536" s="792"/>
      <c r="W1536" s="792"/>
      <c r="X1536" s="792"/>
      <c r="Y1536" s="792"/>
      <c r="Z1536" s="792"/>
      <c r="AA1536" s="792"/>
      <c r="AB1536" s="792"/>
    </row>
    <row r="1537" spans="1:38" s="792" customFormat="1" ht="30" x14ac:dyDescent="0.25">
      <c r="A1537" s="605">
        <v>1507</v>
      </c>
      <c r="B1537" s="617" t="s">
        <v>2540</v>
      </c>
      <c r="C1537" s="1001"/>
      <c r="D1537" s="1001"/>
      <c r="E1537" s="1001"/>
      <c r="F1537" s="1001"/>
      <c r="G1537" s="1001"/>
      <c r="H1537" s="1041"/>
      <c r="I1537" s="598"/>
    </row>
    <row r="1538" spans="1:38" ht="15" x14ac:dyDescent="0.25">
      <c r="A1538" s="605">
        <v>1508</v>
      </c>
      <c r="B1538" s="676" t="s">
        <v>2539</v>
      </c>
      <c r="C1538" s="845"/>
      <c r="D1538" s="845"/>
      <c r="E1538" s="845"/>
      <c r="F1538" s="845"/>
      <c r="G1538" s="845"/>
      <c r="H1538" s="1029"/>
      <c r="AF1538" s="347"/>
      <c r="AG1538" s="347"/>
      <c r="AH1538" s="347"/>
      <c r="AI1538" s="347"/>
      <c r="AJ1538" s="347"/>
      <c r="AK1538" s="347"/>
      <c r="AL1538" s="347"/>
    </row>
    <row r="1539" spans="1:38" ht="15" x14ac:dyDescent="0.2">
      <c r="A1539" s="605">
        <v>1509</v>
      </c>
      <c r="B1539" s="604" t="s">
        <v>2538</v>
      </c>
      <c r="C1539" s="603"/>
      <c r="D1539" s="603"/>
      <c r="E1539" s="603"/>
      <c r="F1539" s="603"/>
      <c r="G1539" s="603"/>
      <c r="H1539" s="1055"/>
      <c r="AF1539" s="347"/>
      <c r="AG1539" s="347"/>
      <c r="AH1539" s="347"/>
      <c r="AI1539" s="347"/>
      <c r="AJ1539" s="347"/>
      <c r="AK1539" s="347"/>
      <c r="AL1539" s="347"/>
    </row>
    <row r="1540" spans="1:38" ht="30" x14ac:dyDescent="0.2">
      <c r="A1540" s="605">
        <v>1510</v>
      </c>
      <c r="B1540" s="535" t="s">
        <v>2537</v>
      </c>
      <c r="C1540" s="278"/>
      <c r="D1540" s="278"/>
      <c r="E1540" s="278"/>
      <c r="F1540" s="278"/>
      <c r="G1540" s="278"/>
      <c r="H1540" s="1092"/>
      <c r="AF1540" s="347"/>
      <c r="AG1540" s="347"/>
      <c r="AH1540" s="347"/>
      <c r="AI1540" s="347"/>
      <c r="AJ1540" s="347"/>
      <c r="AK1540" s="347"/>
      <c r="AL1540" s="347"/>
    </row>
    <row r="1541" spans="1:38" ht="15" x14ac:dyDescent="0.2">
      <c r="A1541" s="605">
        <v>1511</v>
      </c>
      <c r="B1541" s="837" t="s">
        <v>2536</v>
      </c>
      <c r="C1541" s="844"/>
      <c r="D1541" s="844"/>
      <c r="E1541" s="844"/>
      <c r="F1541" s="844"/>
      <c r="G1541" s="844"/>
      <c r="H1541" s="1092"/>
      <c r="AF1541" s="347"/>
      <c r="AG1541" s="347"/>
      <c r="AH1541" s="347"/>
      <c r="AI1541" s="347"/>
      <c r="AJ1541" s="347"/>
      <c r="AK1541" s="347"/>
      <c r="AL1541" s="347"/>
    </row>
    <row r="1542" spans="1:38" ht="15" x14ac:dyDescent="0.2">
      <c r="A1542" s="605">
        <v>1512</v>
      </c>
      <c r="B1542" s="837" t="s">
        <v>2535</v>
      </c>
      <c r="C1542" s="844"/>
      <c r="D1542" s="844"/>
      <c r="E1542" s="844"/>
      <c r="F1542" s="844"/>
      <c r="G1542" s="844"/>
      <c r="H1542" s="1092"/>
      <c r="AF1542" s="347"/>
      <c r="AG1542" s="347"/>
      <c r="AH1542" s="347"/>
      <c r="AI1542" s="347"/>
      <c r="AJ1542" s="347"/>
      <c r="AK1542" s="347"/>
      <c r="AL1542" s="347"/>
    </row>
    <row r="1543" spans="1:38" ht="15" x14ac:dyDescent="0.2">
      <c r="A1543" s="605">
        <v>1513</v>
      </c>
      <c r="B1543" s="837" t="s">
        <v>2534</v>
      </c>
      <c r="C1543" s="844"/>
      <c r="D1543" s="844"/>
      <c r="E1543" s="844"/>
      <c r="F1543" s="844"/>
      <c r="G1543" s="844"/>
      <c r="H1543" s="1092"/>
      <c r="AF1543" s="347"/>
      <c r="AG1543" s="347"/>
      <c r="AH1543" s="347"/>
      <c r="AI1543" s="347"/>
      <c r="AJ1543" s="347"/>
      <c r="AK1543" s="347"/>
      <c r="AL1543" s="347"/>
    </row>
    <row r="1544" spans="1:38" ht="15" x14ac:dyDescent="0.2">
      <c r="A1544" s="605">
        <v>1514</v>
      </c>
      <c r="B1544" s="837" t="s">
        <v>2533</v>
      </c>
      <c r="C1544" s="844"/>
      <c r="D1544" s="844"/>
      <c r="E1544" s="844"/>
      <c r="F1544" s="844"/>
      <c r="G1544" s="844"/>
      <c r="H1544" s="1092"/>
      <c r="AF1544" s="347"/>
      <c r="AG1544" s="347"/>
      <c r="AH1544" s="347"/>
      <c r="AI1544" s="347"/>
      <c r="AJ1544" s="347"/>
      <c r="AK1544" s="347"/>
      <c r="AL1544" s="347"/>
    </row>
    <row r="1545" spans="1:38" s="598" customFormat="1" ht="15" x14ac:dyDescent="0.2">
      <c r="A1545" s="605">
        <v>1515</v>
      </c>
      <c r="B1545" s="541" t="s">
        <v>2532</v>
      </c>
      <c r="C1545" s="773"/>
      <c r="D1545" s="773"/>
      <c r="E1545" s="773"/>
      <c r="F1545" s="773"/>
      <c r="G1545" s="773"/>
      <c r="H1545" s="1093"/>
    </row>
    <row r="1546" spans="1:38" s="598" customFormat="1" ht="15" x14ac:dyDescent="0.2">
      <c r="A1546" s="605">
        <v>1516</v>
      </c>
      <c r="B1546" s="541" t="s">
        <v>2531</v>
      </c>
      <c r="C1546" s="773"/>
      <c r="D1546" s="773"/>
      <c r="E1546" s="773"/>
      <c r="F1546" s="773"/>
      <c r="G1546" s="773"/>
      <c r="H1546" s="1093"/>
    </row>
    <row r="1547" spans="1:38" s="598" customFormat="1" ht="15" x14ac:dyDescent="0.2">
      <c r="A1547" s="605">
        <v>1517</v>
      </c>
      <c r="B1547" s="541" t="s">
        <v>2506</v>
      </c>
      <c r="C1547" s="773"/>
      <c r="D1547" s="773"/>
      <c r="E1547" s="773"/>
      <c r="F1547" s="773"/>
      <c r="G1547" s="773"/>
      <c r="H1547" s="1093"/>
    </row>
    <row r="1548" spans="1:38" s="598" customFormat="1" ht="15" x14ac:dyDescent="0.2">
      <c r="A1548" s="605">
        <v>1518</v>
      </c>
      <c r="B1548" s="541" t="s">
        <v>2456</v>
      </c>
      <c r="C1548" s="773"/>
      <c r="D1548" s="773"/>
      <c r="E1548" s="773"/>
      <c r="F1548" s="773"/>
      <c r="G1548" s="773"/>
      <c r="H1548" s="1093"/>
    </row>
    <row r="1549" spans="1:38" s="598" customFormat="1" ht="15" x14ac:dyDescent="0.2">
      <c r="A1549" s="605">
        <v>1519</v>
      </c>
      <c r="B1549" s="541" t="s">
        <v>2530</v>
      </c>
      <c r="C1549" s="773"/>
      <c r="D1549" s="773"/>
      <c r="E1549" s="773"/>
      <c r="F1549" s="773"/>
      <c r="G1549" s="773"/>
      <c r="H1549" s="1093"/>
    </row>
    <row r="1550" spans="1:38" s="598" customFormat="1" ht="15" x14ac:dyDescent="0.2">
      <c r="A1550" s="605">
        <v>1520</v>
      </c>
      <c r="B1550" s="541" t="s">
        <v>2529</v>
      </c>
      <c r="C1550" s="773"/>
      <c r="D1550" s="773"/>
      <c r="E1550" s="773"/>
      <c r="F1550" s="773"/>
      <c r="G1550" s="773"/>
      <c r="H1550" s="1093"/>
    </row>
    <row r="1551" spans="1:38" ht="15" x14ac:dyDescent="0.2">
      <c r="A1551" s="605">
        <v>1521</v>
      </c>
      <c r="B1551" s="837" t="s">
        <v>1787</v>
      </c>
      <c r="C1551" s="844"/>
      <c r="D1551" s="844"/>
      <c r="E1551" s="844"/>
      <c r="F1551" s="844"/>
      <c r="G1551" s="844"/>
      <c r="H1551" s="1092"/>
      <c r="AF1551" s="347"/>
      <c r="AG1551" s="347"/>
      <c r="AH1551" s="347"/>
      <c r="AI1551" s="347"/>
      <c r="AJ1551" s="347"/>
      <c r="AK1551" s="347"/>
      <c r="AL1551" s="347"/>
    </row>
    <row r="1552" spans="1:38" s="411" customFormat="1" ht="15" x14ac:dyDescent="0.2">
      <c r="A1552" s="605">
        <v>1522</v>
      </c>
      <c r="B1552" s="837" t="s">
        <v>2528</v>
      </c>
      <c r="C1552" s="844"/>
      <c r="D1552" s="844"/>
      <c r="E1552" s="844"/>
      <c r="F1552" s="844"/>
      <c r="G1552" s="844"/>
      <c r="H1552" s="1092"/>
      <c r="I1552" s="347"/>
      <c r="J1552" s="347"/>
      <c r="K1552" s="347"/>
      <c r="L1552" s="347"/>
      <c r="M1552" s="347"/>
      <c r="N1552" s="347"/>
      <c r="O1552" s="347"/>
      <c r="P1552" s="347"/>
      <c r="Q1552" s="347"/>
      <c r="R1552" s="347"/>
      <c r="S1552" s="347"/>
      <c r="T1552" s="347"/>
      <c r="U1552" s="347"/>
      <c r="V1552" s="347"/>
      <c r="W1552" s="347"/>
      <c r="X1552" s="347"/>
      <c r="Y1552" s="347"/>
      <c r="Z1552" s="347"/>
      <c r="AA1552" s="347"/>
      <c r="AB1552" s="347"/>
      <c r="AC1552" s="347"/>
      <c r="AD1552" s="347"/>
      <c r="AE1552" s="347"/>
      <c r="AF1552" s="347"/>
      <c r="AG1552" s="347"/>
      <c r="AH1552" s="347"/>
      <c r="AI1552" s="347"/>
      <c r="AJ1552" s="347"/>
      <c r="AK1552" s="347"/>
      <c r="AL1552" s="347"/>
    </row>
    <row r="1553" spans="1:38" s="411" customFormat="1" ht="30" x14ac:dyDescent="0.2">
      <c r="A1553" s="605">
        <v>1523</v>
      </c>
      <c r="B1553" s="535" t="s">
        <v>2527</v>
      </c>
      <c r="C1553" s="844"/>
      <c r="D1553" s="844"/>
      <c r="E1553" s="844"/>
      <c r="F1553" s="844"/>
      <c r="G1553" s="844"/>
      <c r="H1553" s="1092"/>
      <c r="I1553" s="347"/>
      <c r="J1553" s="347"/>
      <c r="K1553" s="347"/>
      <c r="L1553" s="347"/>
      <c r="M1553" s="347"/>
      <c r="N1553" s="347"/>
      <c r="O1553" s="347"/>
      <c r="P1553" s="347"/>
      <c r="Q1553" s="347"/>
      <c r="R1553" s="347"/>
      <c r="S1553" s="347"/>
      <c r="T1553" s="347"/>
      <c r="U1553" s="347"/>
      <c r="V1553" s="347"/>
      <c r="W1553" s="347"/>
      <c r="X1553" s="347"/>
      <c r="Y1553" s="347"/>
      <c r="Z1553" s="347"/>
      <c r="AA1553" s="347"/>
      <c r="AB1553" s="347"/>
      <c r="AC1553" s="347"/>
      <c r="AD1553" s="347"/>
      <c r="AE1553" s="347"/>
      <c r="AF1553" s="347"/>
      <c r="AG1553" s="347"/>
      <c r="AH1553" s="347"/>
      <c r="AI1553" s="347"/>
      <c r="AJ1553" s="347"/>
      <c r="AK1553" s="347"/>
      <c r="AL1553" s="347"/>
    </row>
    <row r="1554" spans="1:38" s="411" customFormat="1" ht="15" x14ac:dyDescent="0.2">
      <c r="A1554" s="605">
        <v>1524</v>
      </c>
      <c r="B1554" s="535" t="s">
        <v>2526</v>
      </c>
      <c r="C1554" s="278"/>
      <c r="D1554" s="278"/>
      <c r="E1554" s="278"/>
      <c r="F1554" s="278"/>
      <c r="G1554" s="278"/>
      <c r="H1554" s="1092"/>
      <c r="I1554" s="347"/>
      <c r="J1554" s="347"/>
      <c r="K1554" s="347"/>
      <c r="L1554" s="347"/>
      <c r="M1554" s="347"/>
      <c r="N1554" s="347"/>
      <c r="O1554" s="347"/>
      <c r="P1554" s="347"/>
      <c r="Q1554" s="347"/>
      <c r="R1554" s="347"/>
      <c r="S1554" s="347"/>
      <c r="T1554" s="347"/>
      <c r="U1554" s="347"/>
      <c r="V1554" s="347"/>
      <c r="W1554" s="347"/>
      <c r="X1554" s="347"/>
      <c r="Y1554" s="347"/>
      <c r="Z1554" s="347"/>
      <c r="AA1554" s="347"/>
      <c r="AB1554" s="347"/>
      <c r="AC1554" s="347"/>
      <c r="AD1554" s="347"/>
      <c r="AE1554" s="347"/>
      <c r="AF1554" s="347"/>
      <c r="AG1554" s="347"/>
      <c r="AH1554" s="347"/>
      <c r="AI1554" s="347"/>
      <c r="AJ1554" s="347"/>
      <c r="AK1554" s="347"/>
      <c r="AL1554" s="347"/>
    </row>
    <row r="1555" spans="1:38" s="411" customFormat="1" ht="15" x14ac:dyDescent="0.2">
      <c r="A1555" s="605">
        <v>1525</v>
      </c>
      <c r="B1555" s="837" t="s">
        <v>2525</v>
      </c>
      <c r="C1555" s="844"/>
      <c r="D1555" s="844"/>
      <c r="E1555" s="844"/>
      <c r="F1555" s="844"/>
      <c r="G1555" s="844"/>
      <c r="H1555" s="1092"/>
      <c r="I1555" s="347"/>
      <c r="J1555" s="347"/>
      <c r="K1555" s="347"/>
      <c r="L1555" s="347"/>
      <c r="M1555" s="347"/>
      <c r="N1555" s="347"/>
      <c r="O1555" s="347"/>
      <c r="P1555" s="347"/>
      <c r="Q1555" s="347"/>
      <c r="R1555" s="347"/>
      <c r="S1555" s="347"/>
      <c r="T1555" s="347"/>
      <c r="U1555" s="347"/>
      <c r="V1555" s="347"/>
      <c r="W1555" s="347"/>
      <c r="X1555" s="347"/>
      <c r="Y1555" s="347"/>
      <c r="Z1555" s="347"/>
      <c r="AA1555" s="347"/>
      <c r="AB1555" s="347"/>
      <c r="AC1555" s="347"/>
      <c r="AD1555" s="347"/>
      <c r="AE1555" s="347"/>
      <c r="AF1555" s="347"/>
      <c r="AG1555" s="347"/>
      <c r="AH1555" s="347"/>
      <c r="AI1555" s="347"/>
      <c r="AJ1555" s="347"/>
      <c r="AK1555" s="347"/>
      <c r="AL1555" s="347"/>
    </row>
    <row r="1556" spans="1:38" s="411" customFormat="1" ht="15" x14ac:dyDescent="0.2">
      <c r="A1556" s="605">
        <v>1526</v>
      </c>
      <c r="B1556" s="837" t="s">
        <v>2524</v>
      </c>
      <c r="C1556" s="844"/>
      <c r="D1556" s="844"/>
      <c r="E1556" s="844"/>
      <c r="F1556" s="844"/>
      <c r="G1556" s="844"/>
      <c r="H1556" s="1092"/>
      <c r="I1556" s="347"/>
      <c r="J1556" s="347"/>
      <c r="K1556" s="347"/>
      <c r="L1556" s="347"/>
      <c r="M1556" s="347"/>
      <c r="N1556" s="347"/>
      <c r="O1556" s="347"/>
      <c r="P1556" s="347"/>
      <c r="Q1556" s="347"/>
      <c r="R1556" s="347"/>
      <c r="S1556" s="347"/>
      <c r="T1556" s="347"/>
      <c r="U1556" s="347"/>
      <c r="V1556" s="347"/>
      <c r="W1556" s="347"/>
      <c r="X1556" s="347"/>
      <c r="Y1556" s="347"/>
      <c r="Z1556" s="347"/>
      <c r="AA1556" s="347"/>
      <c r="AB1556" s="347"/>
      <c r="AC1556" s="347"/>
      <c r="AD1556" s="347"/>
      <c r="AE1556" s="347"/>
      <c r="AF1556" s="347"/>
      <c r="AG1556" s="347"/>
      <c r="AH1556" s="347"/>
      <c r="AI1556" s="347"/>
      <c r="AJ1556" s="347"/>
      <c r="AK1556" s="347"/>
      <c r="AL1556" s="347"/>
    </row>
    <row r="1557" spans="1:38" s="411" customFormat="1" ht="45" x14ac:dyDescent="0.2">
      <c r="A1557" s="605">
        <v>1527</v>
      </c>
      <c r="B1557" s="535" t="s">
        <v>2523</v>
      </c>
      <c r="C1557" s="844"/>
      <c r="D1557" s="844"/>
      <c r="E1557" s="844"/>
      <c r="F1557" s="844"/>
      <c r="G1557" s="844"/>
      <c r="H1557" s="1092"/>
      <c r="I1557" s="347"/>
      <c r="J1557" s="347"/>
      <c r="K1557" s="347"/>
      <c r="L1557" s="347"/>
      <c r="M1557" s="347"/>
      <c r="N1557" s="347"/>
      <c r="O1557" s="347"/>
      <c r="P1557" s="347"/>
      <c r="Q1557" s="347"/>
      <c r="R1557" s="347"/>
      <c r="S1557" s="347"/>
      <c r="T1557" s="347"/>
      <c r="U1557" s="347"/>
      <c r="V1557" s="347"/>
      <c r="W1557" s="347"/>
      <c r="X1557" s="347"/>
      <c r="Y1557" s="347"/>
      <c r="Z1557" s="347"/>
      <c r="AA1557" s="347"/>
      <c r="AB1557" s="347"/>
      <c r="AC1557" s="347"/>
      <c r="AD1557" s="347"/>
      <c r="AE1557" s="347"/>
      <c r="AF1557" s="347"/>
      <c r="AG1557" s="347"/>
      <c r="AH1557" s="347"/>
      <c r="AI1557" s="347"/>
      <c r="AJ1557" s="347"/>
      <c r="AK1557" s="347"/>
      <c r="AL1557" s="347"/>
    </row>
    <row r="1558" spans="1:38" s="411" customFormat="1" ht="15" x14ac:dyDescent="0.2">
      <c r="A1558" s="605">
        <v>1528</v>
      </c>
      <c r="B1558" s="535" t="s">
        <v>2522</v>
      </c>
      <c r="C1558" s="278"/>
      <c r="D1558" s="278"/>
      <c r="E1558" s="278"/>
      <c r="F1558" s="278"/>
      <c r="G1558" s="278"/>
      <c r="H1558" s="1092"/>
      <c r="I1558" s="347"/>
      <c r="J1558" s="347"/>
      <c r="K1558" s="347"/>
      <c r="L1558" s="347"/>
      <c r="M1558" s="347"/>
      <c r="N1558" s="347"/>
      <c r="O1558" s="347"/>
      <c r="P1558" s="347"/>
      <c r="Q1558" s="347"/>
      <c r="R1558" s="347"/>
      <c r="S1558" s="347"/>
      <c r="T1558" s="347"/>
      <c r="U1558" s="347"/>
      <c r="V1558" s="347"/>
      <c r="W1558" s="347"/>
      <c r="X1558" s="347"/>
      <c r="Y1558" s="347"/>
      <c r="Z1558" s="347"/>
      <c r="AA1558" s="347"/>
      <c r="AB1558" s="347"/>
      <c r="AC1558" s="347"/>
      <c r="AD1558" s="347"/>
      <c r="AE1558" s="347"/>
      <c r="AF1558" s="347"/>
      <c r="AG1558" s="347"/>
      <c r="AH1558" s="347"/>
      <c r="AI1558" s="347"/>
      <c r="AJ1558" s="347"/>
      <c r="AK1558" s="347"/>
      <c r="AL1558" s="347"/>
    </row>
    <row r="1559" spans="1:38" s="411" customFormat="1" ht="15" x14ac:dyDescent="0.2">
      <c r="A1559" s="605">
        <v>1529</v>
      </c>
      <c r="B1559" s="837" t="s">
        <v>2521</v>
      </c>
      <c r="C1559" s="844"/>
      <c r="D1559" s="844"/>
      <c r="E1559" s="844"/>
      <c r="F1559" s="844"/>
      <c r="G1559" s="844"/>
      <c r="H1559" s="1092"/>
      <c r="I1559" s="347"/>
      <c r="J1559" s="347"/>
      <c r="K1559" s="347"/>
      <c r="L1559" s="347"/>
      <c r="M1559" s="347"/>
      <c r="N1559" s="347"/>
      <c r="O1559" s="347"/>
      <c r="P1559" s="347"/>
      <c r="Q1559" s="347"/>
      <c r="R1559" s="347"/>
      <c r="S1559" s="347"/>
      <c r="T1559" s="347"/>
      <c r="U1559" s="347"/>
      <c r="V1559" s="347"/>
      <c r="W1559" s="347"/>
      <c r="X1559" s="347"/>
      <c r="Y1559" s="347"/>
      <c r="Z1559" s="347"/>
      <c r="AA1559" s="347"/>
      <c r="AB1559" s="347"/>
      <c r="AC1559" s="347"/>
      <c r="AD1559" s="347"/>
      <c r="AE1559" s="347"/>
      <c r="AF1559" s="347"/>
      <c r="AG1559" s="347"/>
      <c r="AH1559" s="347"/>
      <c r="AI1559" s="347"/>
      <c r="AJ1559" s="347"/>
      <c r="AK1559" s="347"/>
      <c r="AL1559" s="347"/>
    </row>
    <row r="1560" spans="1:38" s="411" customFormat="1" ht="15" x14ac:dyDescent="0.2">
      <c r="A1560" s="605">
        <v>1530</v>
      </c>
      <c r="B1560" s="837" t="s">
        <v>2520</v>
      </c>
      <c r="C1560" s="844"/>
      <c r="D1560" s="844"/>
      <c r="E1560" s="844"/>
      <c r="F1560" s="844"/>
      <c r="G1560" s="844"/>
      <c r="H1560" s="1092"/>
      <c r="I1560" s="347"/>
      <c r="J1560" s="347"/>
      <c r="K1560" s="347"/>
      <c r="L1560" s="347"/>
      <c r="M1560" s="347"/>
      <c r="N1560" s="347"/>
      <c r="O1560" s="347"/>
      <c r="P1560" s="347"/>
      <c r="Q1560" s="347"/>
      <c r="R1560" s="347"/>
      <c r="S1560" s="347"/>
      <c r="T1560" s="347"/>
      <c r="U1560" s="347"/>
      <c r="V1560" s="347"/>
      <c r="W1560" s="347"/>
      <c r="X1560" s="347"/>
      <c r="Y1560" s="347"/>
      <c r="Z1560" s="347"/>
      <c r="AA1560" s="347"/>
      <c r="AB1560" s="347"/>
      <c r="AC1560" s="347"/>
      <c r="AD1560" s="347"/>
      <c r="AE1560" s="347"/>
      <c r="AF1560" s="347"/>
      <c r="AG1560" s="347"/>
      <c r="AH1560" s="347"/>
      <c r="AI1560" s="347"/>
      <c r="AJ1560" s="347"/>
      <c r="AK1560" s="347"/>
      <c r="AL1560" s="347"/>
    </row>
    <row r="1561" spans="1:38" s="411" customFormat="1" ht="15" x14ac:dyDescent="0.2">
      <c r="A1561" s="605">
        <v>1531</v>
      </c>
      <c r="B1561" s="837" t="s">
        <v>100</v>
      </c>
      <c r="C1561" s="844"/>
      <c r="D1561" s="844"/>
      <c r="E1561" s="844"/>
      <c r="F1561" s="844"/>
      <c r="G1561" s="844"/>
      <c r="H1561" s="1092"/>
      <c r="I1561" s="347"/>
      <c r="J1561" s="347"/>
      <c r="K1561" s="347"/>
      <c r="L1561" s="347"/>
      <c r="M1561" s="347"/>
      <c r="N1561" s="347"/>
      <c r="O1561" s="347"/>
      <c r="P1561" s="347"/>
      <c r="Q1561" s="347"/>
      <c r="R1561" s="347"/>
      <c r="S1561" s="347"/>
      <c r="T1561" s="347"/>
      <c r="U1561" s="347"/>
      <c r="V1561" s="347"/>
      <c r="W1561" s="347"/>
      <c r="X1561" s="347"/>
      <c r="Y1561" s="347"/>
      <c r="Z1561" s="347"/>
      <c r="AA1561" s="347"/>
      <c r="AB1561" s="347"/>
      <c r="AC1561" s="347"/>
      <c r="AD1561" s="347"/>
      <c r="AE1561" s="347"/>
      <c r="AF1561" s="347"/>
      <c r="AG1561" s="347"/>
      <c r="AH1561" s="347"/>
      <c r="AI1561" s="347"/>
      <c r="AJ1561" s="347"/>
      <c r="AK1561" s="347"/>
      <c r="AL1561" s="347"/>
    </row>
    <row r="1562" spans="1:38" s="411" customFormat="1" ht="15" x14ac:dyDescent="0.2">
      <c r="A1562" s="605">
        <v>1532</v>
      </c>
      <c r="B1562" s="837" t="s">
        <v>2519</v>
      </c>
      <c r="C1562" s="844"/>
      <c r="D1562" s="844"/>
      <c r="E1562" s="844"/>
      <c r="F1562" s="844"/>
      <c r="G1562" s="844"/>
      <c r="H1562" s="1092"/>
      <c r="I1562" s="347"/>
      <c r="J1562" s="347"/>
      <c r="K1562" s="347"/>
      <c r="L1562" s="347"/>
      <c r="M1562" s="347"/>
      <c r="N1562" s="347"/>
      <c r="O1562" s="347"/>
      <c r="P1562" s="347"/>
      <c r="Q1562" s="347"/>
      <c r="R1562" s="347"/>
      <c r="S1562" s="347"/>
      <c r="T1562" s="347"/>
      <c r="U1562" s="347"/>
      <c r="V1562" s="347"/>
      <c r="W1562" s="347"/>
      <c r="X1562" s="347"/>
      <c r="Y1562" s="347"/>
      <c r="Z1562" s="347"/>
      <c r="AA1562" s="347"/>
      <c r="AB1562" s="347"/>
      <c r="AC1562" s="347"/>
      <c r="AD1562" s="347"/>
      <c r="AE1562" s="347"/>
      <c r="AF1562" s="347"/>
      <c r="AG1562" s="347"/>
      <c r="AH1562" s="347"/>
      <c r="AI1562" s="347"/>
      <c r="AJ1562" s="347"/>
      <c r="AK1562" s="347"/>
      <c r="AL1562" s="347"/>
    </row>
    <row r="1563" spans="1:38" s="411" customFormat="1" ht="15" x14ac:dyDescent="0.2">
      <c r="A1563" s="605">
        <v>1533</v>
      </c>
      <c r="B1563" s="837" t="s">
        <v>2518</v>
      </c>
      <c r="C1563" s="844"/>
      <c r="D1563" s="844"/>
      <c r="E1563" s="844"/>
      <c r="F1563" s="844"/>
      <c r="G1563" s="844"/>
      <c r="H1563" s="1092"/>
      <c r="I1563" s="347"/>
      <c r="J1563" s="347"/>
      <c r="K1563" s="347"/>
      <c r="L1563" s="347"/>
      <c r="M1563" s="347"/>
      <c r="N1563" s="347"/>
      <c r="O1563" s="347"/>
      <c r="P1563" s="347"/>
      <c r="Q1563" s="347"/>
      <c r="R1563" s="347"/>
      <c r="S1563" s="347"/>
      <c r="T1563" s="347"/>
      <c r="U1563" s="347"/>
      <c r="V1563" s="347"/>
      <c r="W1563" s="347"/>
      <c r="X1563" s="347"/>
      <c r="Y1563" s="347"/>
      <c r="Z1563" s="347"/>
      <c r="AA1563" s="347"/>
      <c r="AB1563" s="347"/>
      <c r="AC1563" s="347"/>
      <c r="AD1563" s="347"/>
      <c r="AE1563" s="347"/>
      <c r="AF1563" s="347"/>
      <c r="AG1563" s="347"/>
      <c r="AH1563" s="347"/>
      <c r="AI1563" s="347"/>
      <c r="AJ1563" s="347"/>
      <c r="AK1563" s="347"/>
      <c r="AL1563" s="347"/>
    </row>
    <row r="1564" spans="1:38" s="598" customFormat="1" ht="15" x14ac:dyDescent="0.2">
      <c r="A1564" s="605">
        <v>1534</v>
      </c>
      <c r="B1564" s="541" t="s">
        <v>2517</v>
      </c>
      <c r="C1564" s="773"/>
      <c r="D1564" s="773"/>
      <c r="E1564" s="773"/>
      <c r="F1564" s="773"/>
      <c r="G1564" s="773"/>
      <c r="H1564" s="1093"/>
    </row>
    <row r="1565" spans="1:38" ht="15" x14ac:dyDescent="0.2">
      <c r="A1565" s="605">
        <v>1535</v>
      </c>
      <c r="B1565" s="604" t="s">
        <v>2516</v>
      </c>
      <c r="C1565" s="603"/>
      <c r="D1565" s="603"/>
      <c r="E1565" s="603"/>
      <c r="F1565" s="603"/>
      <c r="G1565" s="603"/>
      <c r="H1565" s="1055"/>
      <c r="AF1565" s="347"/>
      <c r="AG1565" s="347"/>
      <c r="AH1565" s="347"/>
      <c r="AI1565" s="347"/>
      <c r="AJ1565" s="347"/>
      <c r="AK1565" s="347"/>
      <c r="AL1565" s="347"/>
    </row>
    <row r="1566" spans="1:38" ht="45" x14ac:dyDescent="0.2">
      <c r="A1566" s="605">
        <v>1536</v>
      </c>
      <c r="B1566" s="535" t="s">
        <v>2515</v>
      </c>
      <c r="C1566" s="286"/>
      <c r="D1566" s="286"/>
      <c r="E1566" s="286"/>
      <c r="F1566" s="286"/>
      <c r="G1566" s="286"/>
      <c r="H1566" s="1080"/>
      <c r="AF1566" s="347"/>
      <c r="AG1566" s="347"/>
      <c r="AH1566" s="347"/>
      <c r="AI1566" s="347"/>
      <c r="AJ1566" s="347"/>
      <c r="AK1566" s="347"/>
      <c r="AL1566" s="347"/>
    </row>
    <row r="1567" spans="1:38" ht="15" x14ac:dyDescent="0.2">
      <c r="A1567" s="605">
        <v>1537</v>
      </c>
      <c r="B1567" s="541" t="s">
        <v>2514</v>
      </c>
      <c r="C1567" s="843"/>
      <c r="D1567" s="843"/>
      <c r="E1567" s="843"/>
      <c r="F1567" s="843"/>
      <c r="G1567" s="843"/>
      <c r="H1567" s="1054"/>
      <c r="AF1567" s="347"/>
      <c r="AG1567" s="347"/>
      <c r="AH1567" s="347"/>
      <c r="AI1567" s="347"/>
      <c r="AJ1567" s="347"/>
      <c r="AK1567" s="347"/>
      <c r="AL1567" s="347"/>
    </row>
    <row r="1568" spans="1:38" ht="15" x14ac:dyDescent="0.2">
      <c r="A1568" s="605">
        <v>1538</v>
      </c>
      <c r="B1568" s="842" t="s">
        <v>236</v>
      </c>
      <c r="C1568" s="538"/>
      <c r="D1568" s="538"/>
      <c r="E1568" s="538"/>
      <c r="F1568" s="538"/>
      <c r="G1568" s="538"/>
      <c r="H1568" s="1054"/>
      <c r="AF1568" s="347"/>
      <c r="AG1568" s="347"/>
      <c r="AH1568" s="347"/>
      <c r="AI1568" s="347"/>
      <c r="AJ1568" s="347"/>
      <c r="AK1568" s="347"/>
      <c r="AL1568" s="347"/>
    </row>
    <row r="1569" spans="1:38" ht="15" x14ac:dyDescent="0.2">
      <c r="A1569" s="605">
        <v>1539</v>
      </c>
      <c r="B1569" s="842" t="s">
        <v>2513</v>
      </c>
      <c r="C1569" s="538"/>
      <c r="D1569" s="538"/>
      <c r="E1569" s="538"/>
      <c r="F1569" s="538"/>
      <c r="G1569" s="538"/>
      <c r="H1569" s="1054"/>
      <c r="AF1569" s="347"/>
      <c r="AG1569" s="347"/>
      <c r="AH1569" s="347"/>
      <c r="AI1569" s="347"/>
      <c r="AJ1569" s="347"/>
      <c r="AK1569" s="347"/>
      <c r="AL1569" s="347"/>
    </row>
    <row r="1570" spans="1:38" s="598" customFormat="1" ht="15" x14ac:dyDescent="0.2">
      <c r="A1570" s="605">
        <v>1540</v>
      </c>
      <c r="B1570" s="842" t="s">
        <v>111</v>
      </c>
      <c r="C1570" s="538"/>
      <c r="D1570" s="538"/>
      <c r="E1570" s="538"/>
      <c r="F1570" s="538"/>
      <c r="G1570" s="538"/>
      <c r="H1570" s="1054"/>
    </row>
    <row r="1571" spans="1:38" ht="15" x14ac:dyDescent="0.2">
      <c r="A1571" s="605">
        <v>1541</v>
      </c>
      <c r="B1571" s="842" t="s">
        <v>2512</v>
      </c>
      <c r="C1571" s="538"/>
      <c r="D1571" s="538"/>
      <c r="E1571" s="538"/>
      <c r="F1571" s="538"/>
      <c r="G1571" s="538"/>
      <c r="H1571" s="1054"/>
      <c r="AF1571" s="347"/>
      <c r="AG1571" s="347"/>
      <c r="AH1571" s="347"/>
      <c r="AI1571" s="347"/>
      <c r="AJ1571" s="347"/>
      <c r="AK1571" s="347"/>
      <c r="AL1571" s="347"/>
    </row>
    <row r="1572" spans="1:38" ht="15" x14ac:dyDescent="0.2">
      <c r="A1572" s="605">
        <v>1542</v>
      </c>
      <c r="B1572" s="842" t="s">
        <v>2511</v>
      </c>
      <c r="C1572" s="538"/>
      <c r="D1572" s="538"/>
      <c r="E1572" s="538"/>
      <c r="F1572" s="538"/>
      <c r="G1572" s="538"/>
      <c r="H1572" s="1054"/>
      <c r="AF1572" s="347"/>
      <c r="AG1572" s="347"/>
      <c r="AH1572" s="347"/>
      <c r="AI1572" s="347"/>
      <c r="AJ1572" s="347"/>
      <c r="AK1572" s="347"/>
      <c r="AL1572" s="347"/>
    </row>
    <row r="1573" spans="1:38" ht="30" x14ac:dyDescent="0.2">
      <c r="A1573" s="605">
        <v>1543</v>
      </c>
      <c r="B1573" s="842" t="s">
        <v>2510</v>
      </c>
      <c r="C1573" s="538"/>
      <c r="D1573" s="538"/>
      <c r="E1573" s="538"/>
      <c r="F1573" s="538"/>
      <c r="G1573" s="538"/>
      <c r="H1573" s="1054"/>
      <c r="AF1573" s="347"/>
      <c r="AG1573" s="347"/>
      <c r="AH1573" s="347"/>
      <c r="AI1573" s="347"/>
      <c r="AJ1573" s="347"/>
      <c r="AK1573" s="347"/>
      <c r="AL1573" s="347"/>
    </row>
    <row r="1574" spans="1:38" ht="15" x14ac:dyDescent="0.2">
      <c r="A1574" s="605">
        <v>1544</v>
      </c>
      <c r="B1574" s="541" t="s">
        <v>2509</v>
      </c>
      <c r="C1574" s="538"/>
      <c r="D1574" s="538"/>
      <c r="E1574" s="538"/>
      <c r="F1574" s="538"/>
      <c r="G1574" s="538"/>
      <c r="H1574" s="1054"/>
      <c r="AF1574" s="347"/>
      <c r="AG1574" s="347"/>
      <c r="AH1574" s="347"/>
      <c r="AI1574" s="347"/>
      <c r="AJ1574" s="347"/>
      <c r="AK1574" s="347"/>
      <c r="AL1574" s="347"/>
    </row>
    <row r="1575" spans="1:38" ht="15" x14ac:dyDescent="0.2">
      <c r="A1575" s="605">
        <v>1545</v>
      </c>
      <c r="B1575" s="541" t="s">
        <v>2508</v>
      </c>
      <c r="C1575" s="538"/>
      <c r="D1575" s="538"/>
      <c r="E1575" s="538"/>
      <c r="F1575" s="538"/>
      <c r="G1575" s="538"/>
      <c r="H1575" s="1054"/>
      <c r="AF1575" s="347"/>
      <c r="AG1575" s="347"/>
      <c r="AH1575" s="347"/>
      <c r="AI1575" s="347"/>
      <c r="AJ1575" s="347"/>
      <c r="AK1575" s="347"/>
      <c r="AL1575" s="347"/>
    </row>
    <row r="1576" spans="1:38" ht="15" x14ac:dyDescent="0.2">
      <c r="A1576" s="605">
        <v>1546</v>
      </c>
      <c r="B1576" s="541" t="s">
        <v>2507</v>
      </c>
      <c r="C1576" s="538"/>
      <c r="D1576" s="538"/>
      <c r="E1576" s="538"/>
      <c r="F1576" s="538"/>
      <c r="G1576" s="538"/>
      <c r="H1576" s="1054"/>
      <c r="AF1576" s="347"/>
      <c r="AG1576" s="347"/>
      <c r="AH1576" s="347"/>
      <c r="AI1576" s="347"/>
      <c r="AJ1576" s="347"/>
      <c r="AK1576" s="347"/>
      <c r="AL1576" s="347"/>
    </row>
    <row r="1577" spans="1:38" ht="15" x14ac:dyDescent="0.2">
      <c r="A1577" s="605">
        <v>1547</v>
      </c>
      <c r="B1577" s="541" t="s">
        <v>2468</v>
      </c>
      <c r="C1577" s="538"/>
      <c r="D1577" s="538"/>
      <c r="E1577" s="538"/>
      <c r="F1577" s="538"/>
      <c r="G1577" s="538"/>
      <c r="H1577" s="1054"/>
      <c r="AF1577" s="347"/>
      <c r="AG1577" s="347"/>
      <c r="AH1577" s="347"/>
      <c r="AI1577" s="347"/>
      <c r="AJ1577" s="347"/>
      <c r="AK1577" s="347"/>
      <c r="AL1577" s="347"/>
    </row>
    <row r="1578" spans="1:38" ht="15" x14ac:dyDescent="0.2">
      <c r="A1578" s="605">
        <v>1548</v>
      </c>
      <c r="B1578" s="541" t="s">
        <v>2506</v>
      </c>
      <c r="C1578" s="538"/>
      <c r="D1578" s="538"/>
      <c r="E1578" s="538"/>
      <c r="F1578" s="538"/>
      <c r="G1578" s="538"/>
      <c r="H1578" s="1054"/>
      <c r="AF1578" s="347"/>
      <c r="AG1578" s="347"/>
      <c r="AH1578" s="347"/>
      <c r="AI1578" s="347"/>
      <c r="AJ1578" s="347"/>
      <c r="AK1578" s="347"/>
      <c r="AL1578" s="347"/>
    </row>
    <row r="1579" spans="1:38" ht="15" x14ac:dyDescent="0.2">
      <c r="A1579" s="605">
        <v>1549</v>
      </c>
      <c r="B1579" s="541" t="s">
        <v>2505</v>
      </c>
      <c r="C1579" s="538"/>
      <c r="D1579" s="538"/>
      <c r="E1579" s="538"/>
      <c r="F1579" s="538"/>
      <c r="G1579" s="538"/>
      <c r="H1579" s="1054"/>
      <c r="AF1579" s="347"/>
      <c r="AG1579" s="347"/>
      <c r="AH1579" s="347"/>
      <c r="AI1579" s="347"/>
      <c r="AJ1579" s="347"/>
      <c r="AK1579" s="347"/>
      <c r="AL1579" s="347"/>
    </row>
    <row r="1580" spans="1:38" ht="15" x14ac:dyDescent="0.2">
      <c r="A1580" s="605">
        <v>1550</v>
      </c>
      <c r="B1580" s="541" t="s">
        <v>1791</v>
      </c>
      <c r="C1580" s="538"/>
      <c r="D1580" s="538"/>
      <c r="E1580" s="538"/>
      <c r="F1580" s="538"/>
      <c r="G1580" s="538"/>
      <c r="H1580" s="1054"/>
      <c r="AF1580" s="347"/>
      <c r="AG1580" s="347"/>
      <c r="AH1580" s="347"/>
      <c r="AI1580" s="347"/>
      <c r="AJ1580" s="347"/>
      <c r="AK1580" s="347"/>
      <c r="AL1580" s="347"/>
    </row>
    <row r="1581" spans="1:38" ht="15" x14ac:dyDescent="0.2">
      <c r="A1581" s="605">
        <v>1551</v>
      </c>
      <c r="B1581" s="541" t="s">
        <v>2462</v>
      </c>
      <c r="C1581" s="538"/>
      <c r="D1581" s="538"/>
      <c r="E1581" s="538"/>
      <c r="F1581" s="538"/>
      <c r="G1581" s="538"/>
      <c r="H1581" s="1054"/>
      <c r="AF1581" s="347"/>
      <c r="AG1581" s="347"/>
      <c r="AH1581" s="347"/>
      <c r="AI1581" s="347"/>
      <c r="AJ1581" s="347"/>
      <c r="AK1581" s="347"/>
      <c r="AL1581" s="347"/>
    </row>
    <row r="1582" spans="1:38" s="411" customFormat="1" ht="15" x14ac:dyDescent="0.2">
      <c r="A1582" s="605">
        <v>1552</v>
      </c>
      <c r="B1582" s="837" t="s">
        <v>1787</v>
      </c>
      <c r="C1582" s="534"/>
      <c r="D1582" s="534"/>
      <c r="E1582" s="534"/>
      <c r="F1582" s="534"/>
      <c r="G1582" s="534"/>
      <c r="H1582" s="1080"/>
      <c r="I1582" s="347"/>
      <c r="J1582" s="347"/>
      <c r="K1582" s="347"/>
      <c r="L1582" s="347"/>
      <c r="M1582" s="347"/>
      <c r="N1582" s="347"/>
      <c r="O1582" s="347"/>
      <c r="P1582" s="347"/>
      <c r="Q1582" s="347"/>
      <c r="R1582" s="347"/>
      <c r="S1582" s="347"/>
      <c r="T1582" s="347"/>
      <c r="U1582" s="347"/>
      <c r="V1582" s="347"/>
      <c r="W1582" s="347"/>
      <c r="X1582" s="347"/>
      <c r="Y1582" s="347"/>
      <c r="Z1582" s="347"/>
      <c r="AA1582" s="347"/>
      <c r="AB1582" s="347"/>
      <c r="AC1582" s="347"/>
      <c r="AD1582" s="347"/>
      <c r="AE1582" s="347"/>
      <c r="AF1582" s="347"/>
      <c r="AG1582" s="347"/>
      <c r="AH1582" s="347"/>
      <c r="AI1582" s="347"/>
      <c r="AJ1582" s="347"/>
      <c r="AK1582" s="347"/>
      <c r="AL1582" s="347"/>
    </row>
    <row r="1583" spans="1:38" ht="15" x14ac:dyDescent="0.2">
      <c r="A1583" s="605">
        <v>1553</v>
      </c>
      <c r="B1583" s="541" t="s">
        <v>2504</v>
      </c>
      <c r="C1583" s="538"/>
      <c r="D1583" s="538"/>
      <c r="E1583" s="538"/>
      <c r="F1583" s="538"/>
      <c r="G1583" s="538"/>
      <c r="H1583" s="1054"/>
      <c r="AF1583" s="347"/>
      <c r="AG1583" s="347"/>
      <c r="AH1583" s="347"/>
      <c r="AI1583" s="347"/>
      <c r="AJ1583" s="347"/>
      <c r="AK1583" s="347"/>
      <c r="AL1583" s="347"/>
    </row>
    <row r="1584" spans="1:38" ht="15" x14ac:dyDescent="0.2">
      <c r="A1584" s="605">
        <v>1554</v>
      </c>
      <c r="B1584" s="541" t="s">
        <v>2503</v>
      </c>
      <c r="C1584" s="538"/>
      <c r="D1584" s="538"/>
      <c r="E1584" s="538"/>
      <c r="F1584" s="538"/>
      <c r="G1584" s="538"/>
      <c r="H1584" s="1054"/>
      <c r="AF1584" s="347"/>
      <c r="AG1584" s="347"/>
      <c r="AH1584" s="347"/>
      <c r="AI1584" s="347"/>
      <c r="AJ1584" s="347"/>
      <c r="AK1584" s="347"/>
      <c r="AL1584" s="347"/>
    </row>
    <row r="1585" spans="1:38" ht="15" x14ac:dyDescent="0.2">
      <c r="A1585" s="605">
        <v>1555</v>
      </c>
      <c r="B1585" s="541" t="s">
        <v>2502</v>
      </c>
      <c r="C1585" s="538"/>
      <c r="D1585" s="538"/>
      <c r="E1585" s="538"/>
      <c r="F1585" s="538"/>
      <c r="G1585" s="538"/>
      <c r="H1585" s="1054"/>
      <c r="AF1585" s="347"/>
      <c r="AG1585" s="347"/>
      <c r="AH1585" s="347"/>
      <c r="AI1585" s="347"/>
      <c r="AJ1585" s="347"/>
      <c r="AK1585" s="347"/>
      <c r="AL1585" s="347"/>
    </row>
    <row r="1586" spans="1:38" ht="15" x14ac:dyDescent="0.2">
      <c r="A1586" s="605">
        <v>1556</v>
      </c>
      <c r="B1586" s="541" t="s">
        <v>1383</v>
      </c>
      <c r="C1586" s="538"/>
      <c r="D1586" s="538"/>
      <c r="E1586" s="538"/>
      <c r="F1586" s="538"/>
      <c r="G1586" s="538"/>
      <c r="H1586" s="1054"/>
      <c r="AF1586" s="347"/>
      <c r="AG1586" s="347"/>
      <c r="AH1586" s="347"/>
      <c r="AI1586" s="347"/>
      <c r="AJ1586" s="347"/>
      <c r="AK1586" s="347"/>
      <c r="AL1586" s="347"/>
    </row>
    <row r="1587" spans="1:38" ht="15" x14ac:dyDescent="0.2">
      <c r="A1587" s="605">
        <v>1557</v>
      </c>
      <c r="B1587" s="541" t="s">
        <v>2459</v>
      </c>
      <c r="C1587" s="538"/>
      <c r="D1587" s="538"/>
      <c r="E1587" s="538"/>
      <c r="F1587" s="538"/>
      <c r="G1587" s="538"/>
      <c r="H1587" s="1054"/>
      <c r="AF1587" s="347"/>
      <c r="AG1587" s="347"/>
      <c r="AH1587" s="347"/>
      <c r="AI1587" s="347"/>
      <c r="AJ1587" s="347"/>
      <c r="AK1587" s="347"/>
      <c r="AL1587" s="347"/>
    </row>
    <row r="1588" spans="1:38" ht="15" x14ac:dyDescent="0.2">
      <c r="A1588" s="605">
        <v>1558</v>
      </c>
      <c r="B1588" s="541" t="s">
        <v>2501</v>
      </c>
      <c r="C1588" s="538"/>
      <c r="D1588" s="538"/>
      <c r="E1588" s="538"/>
      <c r="F1588" s="538"/>
      <c r="G1588" s="538"/>
      <c r="H1588" s="1054"/>
      <c r="AF1588" s="347"/>
      <c r="AG1588" s="347"/>
      <c r="AH1588" s="347"/>
      <c r="AI1588" s="347"/>
      <c r="AJ1588" s="347"/>
      <c r="AK1588" s="347"/>
      <c r="AL1588" s="347"/>
    </row>
    <row r="1589" spans="1:38" ht="15" x14ac:dyDescent="0.2">
      <c r="A1589" s="605">
        <v>1559</v>
      </c>
      <c r="B1589" s="541" t="s">
        <v>2500</v>
      </c>
      <c r="C1589" s="538"/>
      <c r="D1589" s="538"/>
      <c r="E1589" s="538"/>
      <c r="F1589" s="538"/>
      <c r="G1589" s="538"/>
      <c r="H1589" s="1054"/>
      <c r="AF1589" s="347"/>
      <c r="AG1589" s="347"/>
      <c r="AH1589" s="347"/>
      <c r="AI1589" s="347"/>
      <c r="AJ1589" s="347"/>
      <c r="AK1589" s="347"/>
      <c r="AL1589" s="347"/>
    </row>
    <row r="1590" spans="1:38" ht="30" x14ac:dyDescent="0.2">
      <c r="A1590" s="605">
        <v>1560</v>
      </c>
      <c r="B1590" s="539" t="s">
        <v>2499</v>
      </c>
      <c r="C1590" s="538"/>
      <c r="D1590" s="538"/>
      <c r="E1590" s="538"/>
      <c r="F1590" s="538"/>
      <c r="G1590" s="538"/>
      <c r="H1590" s="1054"/>
      <c r="AF1590" s="347"/>
      <c r="AG1590" s="347"/>
      <c r="AH1590" s="347"/>
      <c r="AI1590" s="347"/>
      <c r="AJ1590" s="347"/>
      <c r="AK1590" s="347"/>
      <c r="AL1590" s="347"/>
    </row>
    <row r="1591" spans="1:38" s="598" customFormat="1" ht="30" x14ac:dyDescent="0.2">
      <c r="A1591" s="605">
        <v>1561</v>
      </c>
      <c r="B1591" s="539" t="s">
        <v>2498</v>
      </c>
      <c r="C1591" s="538"/>
      <c r="D1591" s="538"/>
      <c r="E1591" s="538"/>
      <c r="F1591" s="538"/>
      <c r="G1591" s="538"/>
      <c r="H1591" s="1054"/>
    </row>
    <row r="1592" spans="1:38" s="598" customFormat="1" ht="15" x14ac:dyDescent="0.2">
      <c r="A1592" s="605">
        <v>1562</v>
      </c>
      <c r="B1592" s="539" t="s">
        <v>2497</v>
      </c>
      <c r="C1592" s="538"/>
      <c r="D1592" s="538"/>
      <c r="E1592" s="538"/>
      <c r="F1592" s="538"/>
      <c r="G1592" s="538"/>
      <c r="H1592" s="1054"/>
    </row>
    <row r="1593" spans="1:38" s="598" customFormat="1" ht="30" x14ac:dyDescent="0.2">
      <c r="A1593" s="605">
        <v>1563</v>
      </c>
      <c r="B1593" s="539" t="s">
        <v>2496</v>
      </c>
      <c r="C1593" s="538"/>
      <c r="D1593" s="538"/>
      <c r="E1593" s="538"/>
      <c r="F1593" s="538"/>
      <c r="G1593" s="538"/>
      <c r="H1593" s="1054"/>
    </row>
    <row r="1594" spans="1:38" s="598" customFormat="1" ht="30" x14ac:dyDescent="0.2">
      <c r="A1594" s="605">
        <v>1564</v>
      </c>
      <c r="B1594" s="539" t="s">
        <v>2495</v>
      </c>
      <c r="C1594" s="538"/>
      <c r="D1594" s="538"/>
      <c r="E1594" s="538"/>
      <c r="F1594" s="538"/>
      <c r="G1594" s="538"/>
      <c r="H1594" s="1054"/>
    </row>
    <row r="1595" spans="1:38" s="598" customFormat="1" ht="60" x14ac:dyDescent="0.2">
      <c r="A1595" s="605">
        <v>1565</v>
      </c>
      <c r="B1595" s="539" t="s">
        <v>2494</v>
      </c>
      <c r="C1595" s="538"/>
      <c r="D1595" s="538"/>
      <c r="E1595" s="538"/>
      <c r="F1595" s="538"/>
      <c r="G1595" s="538"/>
      <c r="H1595" s="1054"/>
    </row>
    <row r="1596" spans="1:38" ht="30" x14ac:dyDescent="0.2">
      <c r="A1596" s="605">
        <v>1566</v>
      </c>
      <c r="B1596" s="539" t="s">
        <v>2493</v>
      </c>
      <c r="C1596" s="538"/>
      <c r="D1596" s="538"/>
      <c r="E1596" s="538"/>
      <c r="F1596" s="538"/>
      <c r="G1596" s="538"/>
      <c r="H1596" s="1054"/>
      <c r="AF1596" s="347"/>
      <c r="AG1596" s="347"/>
      <c r="AH1596" s="347"/>
      <c r="AI1596" s="347"/>
      <c r="AJ1596" s="347"/>
      <c r="AK1596" s="347"/>
      <c r="AL1596" s="347"/>
    </row>
    <row r="1597" spans="1:38" ht="30" x14ac:dyDescent="0.2">
      <c r="A1597" s="605">
        <v>1567</v>
      </c>
      <c r="B1597" s="535" t="s">
        <v>2492</v>
      </c>
      <c r="C1597" s="534"/>
      <c r="D1597" s="534"/>
      <c r="E1597" s="534"/>
      <c r="F1597" s="534"/>
      <c r="G1597" s="534"/>
      <c r="H1597" s="1080"/>
      <c r="AF1597" s="347"/>
      <c r="AG1597" s="347"/>
      <c r="AH1597" s="347"/>
      <c r="AI1597" s="347"/>
      <c r="AJ1597" s="347"/>
      <c r="AK1597" s="347"/>
      <c r="AL1597" s="347"/>
    </row>
    <row r="1598" spans="1:38" ht="45" x14ac:dyDescent="0.2">
      <c r="A1598" s="605">
        <v>1568</v>
      </c>
      <c r="B1598" s="535" t="s">
        <v>2491</v>
      </c>
      <c r="C1598" s="286"/>
      <c r="D1598" s="286"/>
      <c r="E1598" s="286"/>
      <c r="F1598" s="286"/>
      <c r="G1598" s="286"/>
      <c r="H1598" s="1080"/>
      <c r="AF1598" s="347"/>
      <c r="AG1598" s="347"/>
      <c r="AH1598" s="347"/>
      <c r="AI1598" s="347"/>
      <c r="AJ1598" s="347"/>
      <c r="AK1598" s="347"/>
      <c r="AL1598" s="347"/>
    </row>
    <row r="1599" spans="1:38" ht="15" x14ac:dyDescent="0.2">
      <c r="A1599" s="605">
        <v>1569</v>
      </c>
      <c r="B1599" s="837" t="s">
        <v>2490</v>
      </c>
      <c r="C1599" s="841"/>
      <c r="D1599" s="840"/>
      <c r="E1599" s="840"/>
      <c r="F1599" s="840"/>
      <c r="G1599" s="840"/>
      <c r="H1599" s="1092"/>
      <c r="AF1599" s="347"/>
      <c r="AG1599" s="347"/>
      <c r="AH1599" s="347"/>
      <c r="AI1599" s="347"/>
      <c r="AJ1599" s="347"/>
      <c r="AK1599" s="347"/>
      <c r="AL1599" s="347"/>
    </row>
    <row r="1600" spans="1:38" ht="15" x14ac:dyDescent="0.2">
      <c r="A1600" s="605">
        <v>1570</v>
      </c>
      <c r="B1600" s="837" t="s">
        <v>1787</v>
      </c>
      <c r="C1600" s="841"/>
      <c r="D1600" s="840"/>
      <c r="E1600" s="840"/>
      <c r="F1600" s="840"/>
      <c r="G1600" s="840"/>
      <c r="H1600" s="1092"/>
      <c r="AF1600" s="347"/>
      <c r="AG1600" s="347"/>
      <c r="AH1600" s="347"/>
      <c r="AI1600" s="347"/>
      <c r="AJ1600" s="347"/>
      <c r="AK1600" s="347"/>
      <c r="AL1600" s="347"/>
    </row>
    <row r="1601" spans="1:38" ht="15" x14ac:dyDescent="0.2">
      <c r="A1601" s="605">
        <v>1571</v>
      </c>
      <c r="B1601" s="837" t="s">
        <v>2489</v>
      </c>
      <c r="C1601" s="840"/>
      <c r="D1601" s="840"/>
      <c r="E1601" s="840"/>
      <c r="F1601" s="840"/>
      <c r="G1601" s="840"/>
      <c r="H1601" s="1092"/>
      <c r="AF1601" s="347"/>
      <c r="AG1601" s="347"/>
      <c r="AH1601" s="347"/>
      <c r="AI1601" s="347"/>
      <c r="AJ1601" s="347"/>
      <c r="AK1601" s="347"/>
      <c r="AL1601" s="347"/>
    </row>
    <row r="1602" spans="1:38" ht="15" x14ac:dyDescent="0.2">
      <c r="A1602" s="605">
        <v>1572</v>
      </c>
      <c r="B1602" s="837" t="s">
        <v>2488</v>
      </c>
      <c r="C1602" s="840"/>
      <c r="D1602" s="840"/>
      <c r="E1602" s="840"/>
      <c r="F1602" s="840"/>
      <c r="G1602" s="840"/>
      <c r="H1602" s="1092"/>
      <c r="AF1602" s="347"/>
      <c r="AG1602" s="347"/>
      <c r="AH1602" s="347"/>
      <c r="AI1602" s="347"/>
      <c r="AJ1602" s="347"/>
      <c r="AK1602" s="347"/>
      <c r="AL1602" s="347"/>
    </row>
    <row r="1603" spans="1:38" s="598" customFormat="1" ht="15" x14ac:dyDescent="0.2">
      <c r="A1603" s="605">
        <v>1573</v>
      </c>
      <c r="B1603" s="541" t="s">
        <v>2487</v>
      </c>
      <c r="C1603" s="797"/>
      <c r="D1603" s="797"/>
      <c r="E1603" s="797"/>
      <c r="F1603" s="797"/>
      <c r="G1603" s="797"/>
      <c r="H1603" s="1093"/>
    </row>
    <row r="1604" spans="1:38" ht="15" x14ac:dyDescent="0.2">
      <c r="A1604" s="605">
        <v>1574</v>
      </c>
      <c r="B1604" s="837" t="s">
        <v>2486</v>
      </c>
      <c r="C1604" s="840"/>
      <c r="D1604" s="840"/>
      <c r="E1604" s="840"/>
      <c r="F1604" s="840"/>
      <c r="G1604" s="840"/>
      <c r="H1604" s="1092"/>
      <c r="AF1604" s="347"/>
      <c r="AG1604" s="347"/>
      <c r="AH1604" s="347"/>
      <c r="AI1604" s="347"/>
      <c r="AJ1604" s="347"/>
      <c r="AK1604" s="347"/>
      <c r="AL1604" s="347"/>
    </row>
    <row r="1605" spans="1:38" ht="15" x14ac:dyDescent="0.2">
      <c r="A1605" s="605">
        <v>1575</v>
      </c>
      <c r="B1605" s="837" t="s">
        <v>2485</v>
      </c>
      <c r="C1605" s="840"/>
      <c r="D1605" s="840"/>
      <c r="E1605" s="840"/>
      <c r="F1605" s="840"/>
      <c r="G1605" s="840"/>
      <c r="H1605" s="1092"/>
      <c r="AF1605" s="347"/>
      <c r="AG1605" s="347"/>
      <c r="AH1605" s="347"/>
      <c r="AI1605" s="347"/>
      <c r="AJ1605" s="347"/>
      <c r="AK1605" s="347"/>
      <c r="AL1605" s="347"/>
    </row>
    <row r="1606" spans="1:38" ht="15" x14ac:dyDescent="0.2">
      <c r="A1606" s="605">
        <v>1576</v>
      </c>
      <c r="B1606" s="837" t="s">
        <v>2484</v>
      </c>
      <c r="C1606" s="840"/>
      <c r="D1606" s="840"/>
      <c r="E1606" s="840"/>
      <c r="F1606" s="840"/>
      <c r="G1606" s="840"/>
      <c r="H1606" s="1092"/>
      <c r="AF1606" s="347"/>
      <c r="AG1606" s="347"/>
      <c r="AH1606" s="347"/>
      <c r="AI1606" s="347"/>
      <c r="AJ1606" s="347"/>
      <c r="AK1606" s="347"/>
      <c r="AL1606" s="347"/>
    </row>
    <row r="1607" spans="1:38" ht="15" x14ac:dyDescent="0.2">
      <c r="A1607" s="605">
        <v>1577</v>
      </c>
      <c r="B1607" s="837" t="s">
        <v>2483</v>
      </c>
      <c r="C1607" s="840"/>
      <c r="D1607" s="840"/>
      <c r="E1607" s="840"/>
      <c r="F1607" s="840"/>
      <c r="G1607" s="840"/>
      <c r="H1607" s="1092"/>
      <c r="AF1607" s="347"/>
      <c r="AG1607" s="347"/>
      <c r="AH1607" s="347"/>
      <c r="AI1607" s="347"/>
      <c r="AJ1607" s="347"/>
      <c r="AK1607" s="347"/>
      <c r="AL1607" s="347"/>
    </row>
    <row r="1608" spans="1:38" s="411" customFormat="1" ht="15" x14ac:dyDescent="0.2">
      <c r="A1608" s="605">
        <v>1578</v>
      </c>
      <c r="B1608" s="837" t="s">
        <v>2482</v>
      </c>
      <c r="C1608" s="840"/>
      <c r="D1608" s="840"/>
      <c r="E1608" s="840"/>
      <c r="F1608" s="840"/>
      <c r="G1608" s="840"/>
      <c r="H1608" s="1092"/>
      <c r="I1608" s="347"/>
      <c r="J1608" s="347"/>
      <c r="K1608" s="347"/>
      <c r="L1608" s="347"/>
      <c r="M1608" s="347"/>
      <c r="N1608" s="347"/>
      <c r="O1608" s="347"/>
      <c r="P1608" s="347"/>
      <c r="Q1608" s="347"/>
      <c r="R1608" s="347"/>
      <c r="S1608" s="347"/>
      <c r="T1608" s="347"/>
      <c r="U1608" s="347"/>
      <c r="V1608" s="347"/>
      <c r="W1608" s="347"/>
      <c r="X1608" s="347"/>
      <c r="Y1608" s="347"/>
      <c r="Z1608" s="347"/>
      <c r="AA1608" s="347"/>
      <c r="AB1608" s="347"/>
      <c r="AC1608" s="347"/>
      <c r="AD1608" s="347"/>
      <c r="AE1608" s="347"/>
      <c r="AF1608" s="347"/>
      <c r="AG1608" s="347"/>
      <c r="AH1608" s="347"/>
      <c r="AI1608" s="347"/>
      <c r="AJ1608" s="347"/>
      <c r="AK1608" s="347"/>
      <c r="AL1608" s="347"/>
    </row>
    <row r="1609" spans="1:38" s="411" customFormat="1" ht="15" x14ac:dyDescent="0.2">
      <c r="A1609" s="605">
        <v>1579</v>
      </c>
      <c r="B1609" s="837" t="s">
        <v>2481</v>
      </c>
      <c r="C1609" s="840"/>
      <c r="D1609" s="840"/>
      <c r="E1609" s="840"/>
      <c r="F1609" s="840"/>
      <c r="G1609" s="840"/>
      <c r="H1609" s="1092"/>
      <c r="I1609" s="347"/>
      <c r="J1609" s="347"/>
      <c r="K1609" s="347"/>
      <c r="L1609" s="347"/>
      <c r="M1609" s="347"/>
      <c r="N1609" s="347"/>
      <c r="O1609" s="347"/>
      <c r="P1609" s="347"/>
      <c r="Q1609" s="347"/>
      <c r="R1609" s="347"/>
      <c r="S1609" s="347"/>
      <c r="T1609" s="347"/>
      <c r="U1609" s="347"/>
      <c r="V1609" s="347"/>
      <c r="W1609" s="347"/>
      <c r="X1609" s="347"/>
      <c r="Y1609" s="347"/>
      <c r="Z1609" s="347"/>
      <c r="AA1609" s="347"/>
      <c r="AB1609" s="347"/>
      <c r="AC1609" s="347"/>
      <c r="AD1609" s="347"/>
      <c r="AE1609" s="347"/>
      <c r="AF1609" s="347"/>
      <c r="AG1609" s="347"/>
      <c r="AH1609" s="347"/>
      <c r="AI1609" s="347"/>
      <c r="AJ1609" s="347"/>
      <c r="AK1609" s="347"/>
      <c r="AL1609" s="347"/>
    </row>
    <row r="1610" spans="1:38" ht="15" x14ac:dyDescent="0.2">
      <c r="A1610" s="605">
        <v>1580</v>
      </c>
      <c r="B1610" s="837" t="s">
        <v>2480</v>
      </c>
      <c r="C1610" s="840"/>
      <c r="D1610" s="840"/>
      <c r="E1610" s="840"/>
      <c r="F1610" s="840"/>
      <c r="G1610" s="840"/>
      <c r="H1610" s="1092"/>
      <c r="AF1610" s="347"/>
      <c r="AG1610" s="347"/>
      <c r="AH1610" s="347"/>
      <c r="AI1610" s="347"/>
      <c r="AJ1610" s="347"/>
      <c r="AK1610" s="347"/>
      <c r="AL1610" s="347"/>
    </row>
    <row r="1611" spans="1:38" ht="15" x14ac:dyDescent="0.2">
      <c r="A1611" s="605">
        <v>1581</v>
      </c>
      <c r="B1611" s="837" t="s">
        <v>2479</v>
      </c>
      <c r="C1611" s="840"/>
      <c r="D1611" s="840"/>
      <c r="E1611" s="840"/>
      <c r="F1611" s="840"/>
      <c r="G1611" s="840"/>
      <c r="H1611" s="1092"/>
      <c r="AF1611" s="347"/>
      <c r="AG1611" s="347"/>
      <c r="AH1611" s="347"/>
      <c r="AI1611" s="347"/>
      <c r="AJ1611" s="347"/>
      <c r="AK1611" s="347"/>
      <c r="AL1611" s="347"/>
    </row>
    <row r="1612" spans="1:38" ht="45" x14ac:dyDescent="0.2">
      <c r="A1612" s="605">
        <v>1582</v>
      </c>
      <c r="B1612" s="837" t="s">
        <v>2478</v>
      </c>
      <c r="C1612" s="840"/>
      <c r="D1612" s="840"/>
      <c r="E1612" s="840"/>
      <c r="F1612" s="840"/>
      <c r="G1612" s="840"/>
      <c r="H1612" s="1092"/>
      <c r="AF1612" s="347"/>
      <c r="AG1612" s="347"/>
      <c r="AH1612" s="347"/>
      <c r="AI1612" s="347"/>
      <c r="AJ1612" s="347"/>
      <c r="AK1612" s="347"/>
      <c r="AL1612" s="347"/>
    </row>
    <row r="1613" spans="1:38" ht="60" x14ac:dyDescent="0.2">
      <c r="A1613" s="605">
        <v>1583</v>
      </c>
      <c r="B1613" s="539" t="s">
        <v>2477</v>
      </c>
      <c r="C1613" s="286"/>
      <c r="D1613" s="286"/>
      <c r="E1613" s="286"/>
      <c r="F1613" s="286"/>
      <c r="G1613" s="286"/>
      <c r="H1613" s="1054"/>
      <c r="AF1613" s="347"/>
      <c r="AG1613" s="347"/>
      <c r="AH1613" s="347"/>
      <c r="AI1613" s="347"/>
      <c r="AJ1613" s="347"/>
      <c r="AK1613" s="347"/>
      <c r="AL1613" s="347"/>
    </row>
    <row r="1614" spans="1:38" ht="15" x14ac:dyDescent="0.2">
      <c r="A1614" s="605">
        <v>1584</v>
      </c>
      <c r="B1614" s="541" t="s">
        <v>2476</v>
      </c>
      <c r="C1614" s="538"/>
      <c r="D1614" s="538"/>
      <c r="E1614" s="538"/>
      <c r="F1614" s="538"/>
      <c r="G1614" s="538"/>
      <c r="H1614" s="1054"/>
      <c r="AF1614" s="347"/>
      <c r="AG1614" s="347"/>
      <c r="AH1614" s="347"/>
      <c r="AI1614" s="347"/>
      <c r="AJ1614" s="347"/>
      <c r="AK1614" s="347"/>
      <c r="AL1614" s="347"/>
    </row>
    <row r="1615" spans="1:38" ht="15" x14ac:dyDescent="0.2">
      <c r="A1615" s="605">
        <v>1585</v>
      </c>
      <c r="B1615" s="541" t="s">
        <v>2475</v>
      </c>
      <c r="C1615" s="538"/>
      <c r="D1615" s="538"/>
      <c r="E1615" s="538"/>
      <c r="F1615" s="538"/>
      <c r="G1615" s="538"/>
      <c r="H1615" s="1054"/>
      <c r="AF1615" s="347"/>
      <c r="AG1615" s="347"/>
      <c r="AH1615" s="347"/>
      <c r="AI1615" s="347"/>
      <c r="AJ1615" s="347"/>
      <c r="AK1615" s="347"/>
      <c r="AL1615" s="347"/>
    </row>
    <row r="1616" spans="1:38" ht="15" x14ac:dyDescent="0.2">
      <c r="A1616" s="605">
        <v>1586</v>
      </c>
      <c r="B1616" s="541" t="s">
        <v>2474</v>
      </c>
      <c r="C1616" s="538"/>
      <c r="D1616" s="538"/>
      <c r="E1616" s="538"/>
      <c r="F1616" s="538"/>
      <c r="G1616" s="538"/>
      <c r="H1616" s="1054"/>
      <c r="AF1616" s="347"/>
      <c r="AG1616" s="347"/>
      <c r="AH1616" s="347"/>
      <c r="AI1616" s="347"/>
      <c r="AJ1616" s="347"/>
      <c r="AK1616" s="347"/>
      <c r="AL1616" s="347"/>
    </row>
    <row r="1617" spans="1:38" ht="15" x14ac:dyDescent="0.2">
      <c r="A1617" s="605">
        <v>1587</v>
      </c>
      <c r="B1617" s="541" t="s">
        <v>2473</v>
      </c>
      <c r="C1617" s="538"/>
      <c r="D1617" s="538"/>
      <c r="E1617" s="538"/>
      <c r="F1617" s="538"/>
      <c r="G1617" s="538"/>
      <c r="H1617" s="1054"/>
      <c r="AF1617" s="347"/>
      <c r="AG1617" s="347"/>
      <c r="AH1617" s="347"/>
      <c r="AI1617" s="347"/>
      <c r="AJ1617" s="347"/>
      <c r="AK1617" s="347"/>
      <c r="AL1617" s="347"/>
    </row>
    <row r="1618" spans="1:38" ht="15" x14ac:dyDescent="0.2">
      <c r="A1618" s="605">
        <v>1588</v>
      </c>
      <c r="B1618" s="541" t="s">
        <v>2472</v>
      </c>
      <c r="C1618" s="538"/>
      <c r="D1618" s="538"/>
      <c r="E1618" s="538"/>
      <c r="F1618" s="538"/>
      <c r="G1618" s="538"/>
      <c r="H1618" s="1054"/>
      <c r="AF1618" s="347"/>
      <c r="AG1618" s="347"/>
      <c r="AH1618" s="347"/>
      <c r="AI1618" s="347"/>
      <c r="AJ1618" s="347"/>
      <c r="AK1618" s="347"/>
      <c r="AL1618" s="347"/>
    </row>
    <row r="1619" spans="1:38" ht="15" x14ac:dyDescent="0.2">
      <c r="A1619" s="605">
        <v>1589</v>
      </c>
      <c r="B1619" s="541" t="s">
        <v>2471</v>
      </c>
      <c r="C1619" s="538"/>
      <c r="D1619" s="538"/>
      <c r="E1619" s="538"/>
      <c r="F1619" s="538"/>
      <c r="G1619" s="538"/>
      <c r="H1619" s="1054"/>
      <c r="AF1619" s="347"/>
      <c r="AG1619" s="347"/>
      <c r="AH1619" s="347"/>
      <c r="AI1619" s="347"/>
      <c r="AJ1619" s="347"/>
      <c r="AK1619" s="347"/>
      <c r="AL1619" s="347"/>
    </row>
    <row r="1620" spans="1:38" ht="15" x14ac:dyDescent="0.2">
      <c r="A1620" s="605">
        <v>1590</v>
      </c>
      <c r="B1620" s="541" t="s">
        <v>2470</v>
      </c>
      <c r="C1620" s="538"/>
      <c r="D1620" s="538"/>
      <c r="E1620" s="538"/>
      <c r="F1620" s="538"/>
      <c r="G1620" s="538"/>
      <c r="H1620" s="1054"/>
      <c r="AF1620" s="347"/>
      <c r="AG1620" s="347"/>
      <c r="AH1620" s="347"/>
      <c r="AI1620" s="347"/>
      <c r="AJ1620" s="347"/>
      <c r="AK1620" s="347"/>
      <c r="AL1620" s="347"/>
    </row>
    <row r="1621" spans="1:38" ht="15" x14ac:dyDescent="0.2">
      <c r="A1621" s="605">
        <v>1591</v>
      </c>
      <c r="B1621" s="541" t="s">
        <v>2469</v>
      </c>
      <c r="C1621" s="538"/>
      <c r="D1621" s="538"/>
      <c r="E1621" s="538"/>
      <c r="F1621" s="538"/>
      <c r="G1621" s="538"/>
      <c r="H1621" s="1054"/>
      <c r="AF1621" s="347"/>
      <c r="AG1621" s="347"/>
      <c r="AH1621" s="347"/>
      <c r="AI1621" s="347"/>
      <c r="AJ1621" s="347"/>
      <c r="AK1621" s="347"/>
      <c r="AL1621" s="347"/>
    </row>
    <row r="1622" spans="1:38" ht="15" x14ac:dyDescent="0.2">
      <c r="A1622" s="605">
        <v>1592</v>
      </c>
      <c r="B1622" s="541" t="s">
        <v>2468</v>
      </c>
      <c r="C1622" s="538"/>
      <c r="D1622" s="538"/>
      <c r="E1622" s="538"/>
      <c r="F1622" s="538"/>
      <c r="G1622" s="538"/>
      <c r="H1622" s="1054"/>
      <c r="AF1622" s="347"/>
      <c r="AG1622" s="347"/>
      <c r="AH1622" s="347"/>
      <c r="AI1622" s="347"/>
      <c r="AJ1622" s="347"/>
      <c r="AK1622" s="347"/>
      <c r="AL1622" s="347"/>
    </row>
    <row r="1623" spans="1:38" ht="15" x14ac:dyDescent="0.2">
      <c r="A1623" s="605">
        <v>1593</v>
      </c>
      <c r="B1623" s="541" t="s">
        <v>2467</v>
      </c>
      <c r="C1623" s="538"/>
      <c r="D1623" s="538"/>
      <c r="E1623" s="538"/>
      <c r="F1623" s="538"/>
      <c r="G1623" s="538"/>
      <c r="H1623" s="1054"/>
      <c r="AF1623" s="347"/>
      <c r="AG1623" s="347"/>
      <c r="AH1623" s="347"/>
      <c r="AI1623" s="347"/>
      <c r="AJ1623" s="347"/>
      <c r="AK1623" s="347"/>
      <c r="AL1623" s="347"/>
    </row>
    <row r="1624" spans="1:38" ht="15" x14ac:dyDescent="0.2">
      <c r="A1624" s="605">
        <v>1594</v>
      </c>
      <c r="B1624" s="541" t="s">
        <v>2466</v>
      </c>
      <c r="C1624" s="538"/>
      <c r="D1624" s="538"/>
      <c r="E1624" s="538"/>
      <c r="F1624" s="538"/>
      <c r="G1624" s="538"/>
      <c r="H1624" s="1054"/>
      <c r="AF1624" s="347"/>
      <c r="AG1624" s="347"/>
      <c r="AH1624" s="347"/>
      <c r="AI1624" s="347"/>
      <c r="AJ1624" s="347"/>
      <c r="AK1624" s="347"/>
      <c r="AL1624" s="347"/>
    </row>
    <row r="1625" spans="1:38" ht="15" x14ac:dyDescent="0.2">
      <c r="A1625" s="605">
        <v>1595</v>
      </c>
      <c r="B1625" s="837" t="s">
        <v>2465</v>
      </c>
      <c r="C1625" s="534"/>
      <c r="D1625" s="534"/>
      <c r="E1625" s="534"/>
      <c r="F1625" s="534"/>
      <c r="G1625" s="534"/>
      <c r="H1625" s="1080"/>
      <c r="AF1625" s="347"/>
      <c r="AG1625" s="347"/>
      <c r="AH1625" s="347"/>
      <c r="AI1625" s="347"/>
      <c r="AJ1625" s="347"/>
      <c r="AK1625" s="347"/>
      <c r="AL1625" s="347"/>
    </row>
    <row r="1626" spans="1:38" ht="15" x14ac:dyDescent="0.2">
      <c r="A1626" s="605">
        <v>1596</v>
      </c>
      <c r="B1626" s="837" t="s">
        <v>2464</v>
      </c>
      <c r="C1626" s="534"/>
      <c r="D1626" s="534"/>
      <c r="E1626" s="534"/>
      <c r="F1626" s="534"/>
      <c r="G1626" s="534"/>
      <c r="H1626" s="1080"/>
      <c r="AF1626" s="347"/>
      <c r="AG1626" s="347"/>
      <c r="AH1626" s="347"/>
      <c r="AI1626" s="347"/>
      <c r="AJ1626" s="347"/>
      <c r="AK1626" s="347"/>
      <c r="AL1626" s="347"/>
    </row>
    <row r="1627" spans="1:38" ht="15" x14ac:dyDescent="0.2">
      <c r="A1627" s="605">
        <v>1597</v>
      </c>
      <c r="B1627" s="837" t="s">
        <v>2463</v>
      </c>
      <c r="C1627" s="534"/>
      <c r="D1627" s="534"/>
      <c r="E1627" s="534"/>
      <c r="F1627" s="534"/>
      <c r="G1627" s="534"/>
      <c r="H1627" s="1080"/>
      <c r="AF1627" s="347"/>
      <c r="AG1627" s="347"/>
      <c r="AH1627" s="347"/>
      <c r="AI1627" s="347"/>
      <c r="AJ1627" s="347"/>
      <c r="AK1627" s="347"/>
      <c r="AL1627" s="347"/>
    </row>
    <row r="1628" spans="1:38" ht="15" x14ac:dyDescent="0.2">
      <c r="A1628" s="605">
        <v>1598</v>
      </c>
      <c r="B1628" s="837" t="s">
        <v>2462</v>
      </c>
      <c r="C1628" s="534"/>
      <c r="D1628" s="534"/>
      <c r="E1628" s="534"/>
      <c r="F1628" s="534"/>
      <c r="G1628" s="534"/>
      <c r="H1628" s="1080"/>
      <c r="AF1628" s="347"/>
      <c r="AG1628" s="347"/>
      <c r="AH1628" s="347"/>
      <c r="AI1628" s="347"/>
      <c r="AJ1628" s="347"/>
      <c r="AK1628" s="347"/>
      <c r="AL1628" s="347"/>
    </row>
    <row r="1629" spans="1:38" ht="15" x14ac:dyDescent="0.2">
      <c r="A1629" s="605">
        <v>1599</v>
      </c>
      <c r="B1629" s="837" t="s">
        <v>2461</v>
      </c>
      <c r="C1629" s="534"/>
      <c r="D1629" s="534"/>
      <c r="E1629" s="534"/>
      <c r="F1629" s="534"/>
      <c r="G1629" s="534"/>
      <c r="H1629" s="1080"/>
      <c r="AF1629" s="347"/>
      <c r="AG1629" s="347"/>
      <c r="AH1629" s="347"/>
      <c r="AI1629" s="347"/>
      <c r="AJ1629" s="347"/>
      <c r="AK1629" s="347"/>
      <c r="AL1629" s="347"/>
    </row>
    <row r="1630" spans="1:38" ht="15" x14ac:dyDescent="0.2">
      <c r="A1630" s="605">
        <v>1600</v>
      </c>
      <c r="B1630" s="837" t="s">
        <v>2460</v>
      </c>
      <c r="C1630" s="534"/>
      <c r="D1630" s="534"/>
      <c r="E1630" s="534"/>
      <c r="F1630" s="534"/>
      <c r="G1630" s="534"/>
      <c r="H1630" s="1080"/>
      <c r="AF1630" s="347"/>
      <c r="AG1630" s="347"/>
      <c r="AH1630" s="347"/>
      <c r="AI1630" s="347"/>
      <c r="AJ1630" s="347"/>
      <c r="AK1630" s="347"/>
      <c r="AL1630" s="347"/>
    </row>
    <row r="1631" spans="1:38" ht="15" x14ac:dyDescent="0.2">
      <c r="A1631" s="605">
        <v>1601</v>
      </c>
      <c r="B1631" s="837" t="s">
        <v>2459</v>
      </c>
      <c r="C1631" s="534"/>
      <c r="D1631" s="534"/>
      <c r="E1631" s="534"/>
      <c r="F1631" s="534"/>
      <c r="G1631" s="534"/>
      <c r="H1631" s="1080"/>
      <c r="AF1631" s="347"/>
      <c r="AG1631" s="347"/>
      <c r="AH1631" s="347"/>
      <c r="AI1631" s="347"/>
      <c r="AJ1631" s="347"/>
      <c r="AK1631" s="347"/>
      <c r="AL1631" s="347"/>
    </row>
    <row r="1632" spans="1:38" ht="15" x14ac:dyDescent="0.2">
      <c r="A1632" s="605">
        <v>1602</v>
      </c>
      <c r="B1632" s="837" t="s">
        <v>2458</v>
      </c>
      <c r="C1632" s="534"/>
      <c r="D1632" s="534"/>
      <c r="E1632" s="534"/>
      <c r="F1632" s="534"/>
      <c r="G1632" s="534"/>
      <c r="H1632" s="1080"/>
      <c r="AF1632" s="347"/>
      <c r="AG1632" s="347"/>
      <c r="AH1632" s="347"/>
      <c r="AI1632" s="347"/>
      <c r="AJ1632" s="347"/>
      <c r="AK1632" s="347"/>
      <c r="AL1632" s="347"/>
    </row>
    <row r="1633" spans="1:38" ht="15" x14ac:dyDescent="0.2">
      <c r="A1633" s="605">
        <v>1603</v>
      </c>
      <c r="B1633" s="837" t="s">
        <v>2457</v>
      </c>
      <c r="C1633" s="534"/>
      <c r="D1633" s="534"/>
      <c r="E1633" s="534"/>
      <c r="F1633" s="534"/>
      <c r="G1633" s="534"/>
      <c r="H1633" s="1080"/>
      <c r="AF1633" s="347"/>
      <c r="AG1633" s="347"/>
      <c r="AH1633" s="347"/>
      <c r="AI1633" s="347"/>
      <c r="AJ1633" s="347"/>
      <c r="AK1633" s="347"/>
      <c r="AL1633" s="347"/>
    </row>
    <row r="1634" spans="1:38" ht="15" x14ac:dyDescent="0.2">
      <c r="A1634" s="605">
        <v>1604</v>
      </c>
      <c r="B1634" s="837" t="s">
        <v>2456</v>
      </c>
      <c r="C1634" s="534"/>
      <c r="D1634" s="534"/>
      <c r="E1634" s="534"/>
      <c r="F1634" s="534"/>
      <c r="G1634" s="534"/>
      <c r="H1634" s="1080"/>
      <c r="AF1634" s="347"/>
      <c r="AG1634" s="347"/>
      <c r="AH1634" s="347"/>
      <c r="AI1634" s="347"/>
      <c r="AJ1634" s="347"/>
      <c r="AK1634" s="347"/>
      <c r="AL1634" s="347"/>
    </row>
    <row r="1635" spans="1:38" ht="45" x14ac:dyDescent="0.2">
      <c r="A1635" s="605">
        <v>1605</v>
      </c>
      <c r="B1635" s="535" t="s">
        <v>2455</v>
      </c>
      <c r="C1635" s="534"/>
      <c r="D1635" s="534"/>
      <c r="E1635" s="534"/>
      <c r="F1635" s="534"/>
      <c r="G1635" s="534"/>
      <c r="H1635" s="1080"/>
      <c r="AF1635" s="347"/>
      <c r="AG1635" s="347"/>
      <c r="AH1635" s="347"/>
      <c r="AI1635" s="347"/>
      <c r="AJ1635" s="347"/>
      <c r="AK1635" s="347"/>
      <c r="AL1635" s="347"/>
    </row>
    <row r="1636" spans="1:38" s="598" customFormat="1" ht="30" x14ac:dyDescent="0.2">
      <c r="A1636" s="605">
        <v>1606</v>
      </c>
      <c r="B1636" s="539" t="s">
        <v>2454</v>
      </c>
      <c r="C1636" s="538"/>
      <c r="D1636" s="538"/>
      <c r="E1636" s="538"/>
      <c r="F1636" s="538"/>
      <c r="G1636" s="538"/>
      <c r="H1636" s="1054"/>
    </row>
    <row r="1637" spans="1:38" s="598" customFormat="1" ht="30" x14ac:dyDescent="0.2">
      <c r="A1637" s="605">
        <v>1607</v>
      </c>
      <c r="B1637" s="539" t="s">
        <v>2453</v>
      </c>
      <c r="C1637" s="538"/>
      <c r="D1637" s="538"/>
      <c r="E1637" s="538"/>
      <c r="F1637" s="538"/>
      <c r="G1637" s="538"/>
      <c r="H1637" s="1054"/>
    </row>
    <row r="1638" spans="1:38" s="598" customFormat="1" ht="15" x14ac:dyDescent="0.2">
      <c r="A1638" s="605">
        <v>1608</v>
      </c>
      <c r="B1638" s="539" t="s">
        <v>2452</v>
      </c>
      <c r="C1638" s="538"/>
      <c r="D1638" s="538"/>
      <c r="E1638" s="538"/>
      <c r="F1638" s="538"/>
      <c r="G1638" s="538"/>
      <c r="H1638" s="1054"/>
    </row>
    <row r="1639" spans="1:38" ht="15" x14ac:dyDescent="0.2">
      <c r="A1639" s="605">
        <v>1609</v>
      </c>
      <c r="B1639" s="604" t="s">
        <v>2451</v>
      </c>
      <c r="C1639" s="603"/>
      <c r="D1639" s="603"/>
      <c r="E1639" s="603"/>
      <c r="F1639" s="603"/>
      <c r="G1639" s="603"/>
      <c r="H1639" s="1055"/>
      <c r="AF1639" s="347"/>
      <c r="AG1639" s="347"/>
      <c r="AH1639" s="347"/>
      <c r="AI1639" s="347"/>
      <c r="AJ1639" s="347"/>
      <c r="AK1639" s="347"/>
      <c r="AL1639" s="347"/>
    </row>
    <row r="1640" spans="1:38" ht="15" x14ac:dyDescent="0.2">
      <c r="A1640" s="605">
        <v>1610</v>
      </c>
      <c r="B1640" s="839" t="s">
        <v>2450</v>
      </c>
      <c r="C1640" s="838"/>
      <c r="D1640" s="838"/>
      <c r="E1640" s="838"/>
      <c r="F1640" s="838"/>
      <c r="G1640" s="838"/>
      <c r="H1640" s="1071"/>
      <c r="AF1640" s="347"/>
      <c r="AG1640" s="347"/>
      <c r="AH1640" s="347"/>
      <c r="AI1640" s="347"/>
      <c r="AJ1640" s="347"/>
      <c r="AK1640" s="347"/>
      <c r="AL1640" s="347"/>
    </row>
    <row r="1641" spans="1:38" ht="15" x14ac:dyDescent="0.2">
      <c r="A1641" s="605">
        <v>1611</v>
      </c>
      <c r="B1641" s="839" t="s">
        <v>2449</v>
      </c>
      <c r="C1641" s="838"/>
      <c r="D1641" s="838"/>
      <c r="E1641" s="838"/>
      <c r="F1641" s="838"/>
      <c r="G1641" s="838"/>
      <c r="H1641" s="1071"/>
      <c r="AF1641" s="347"/>
      <c r="AG1641" s="347"/>
      <c r="AH1641" s="347"/>
      <c r="AI1641" s="347"/>
      <c r="AJ1641" s="347"/>
      <c r="AK1641" s="347"/>
      <c r="AL1641" s="347"/>
    </row>
    <row r="1642" spans="1:38" ht="15" x14ac:dyDescent="0.2">
      <c r="A1642" s="605">
        <v>1612</v>
      </c>
      <c r="B1642" s="839" t="s">
        <v>2448</v>
      </c>
      <c r="C1642" s="278"/>
      <c r="D1642" s="278"/>
      <c r="E1642" s="278"/>
      <c r="F1642" s="278"/>
      <c r="G1642" s="278"/>
      <c r="H1642" s="1071"/>
      <c r="AF1642" s="347"/>
      <c r="AG1642" s="347"/>
      <c r="AH1642" s="347"/>
      <c r="AI1642" s="347"/>
      <c r="AJ1642" s="347"/>
      <c r="AK1642" s="347"/>
      <c r="AL1642" s="347"/>
    </row>
    <row r="1643" spans="1:38" ht="15" x14ac:dyDescent="0.2">
      <c r="A1643" s="605">
        <v>1613</v>
      </c>
      <c r="B1643" s="700" t="s">
        <v>2447</v>
      </c>
      <c r="C1643" s="838"/>
      <c r="D1643" s="838"/>
      <c r="E1643" s="838"/>
      <c r="F1643" s="838"/>
      <c r="G1643" s="838"/>
      <c r="H1643" s="1071"/>
      <c r="AF1643" s="347"/>
      <c r="AG1643" s="347"/>
      <c r="AH1643" s="347"/>
      <c r="AI1643" s="347"/>
      <c r="AJ1643" s="347"/>
      <c r="AK1643" s="347"/>
      <c r="AL1643" s="347"/>
    </row>
    <row r="1644" spans="1:38" ht="15" x14ac:dyDescent="0.2">
      <c r="A1644" s="605">
        <v>1614</v>
      </c>
      <c r="B1644" s="700" t="s">
        <v>2446</v>
      </c>
      <c r="C1644" s="838"/>
      <c r="D1644" s="838"/>
      <c r="E1644" s="838"/>
      <c r="F1644" s="838"/>
      <c r="G1644" s="838"/>
      <c r="H1644" s="1071"/>
      <c r="AF1644" s="347"/>
      <c r="AG1644" s="347"/>
      <c r="AH1644" s="347"/>
      <c r="AI1644" s="347"/>
      <c r="AJ1644" s="347"/>
      <c r="AK1644" s="347"/>
      <c r="AL1644" s="347"/>
    </row>
    <row r="1645" spans="1:38" ht="15" x14ac:dyDescent="0.2">
      <c r="A1645" s="605">
        <v>1615</v>
      </c>
      <c r="B1645" s="700" t="s">
        <v>2445</v>
      </c>
      <c r="C1645" s="838"/>
      <c r="D1645" s="838"/>
      <c r="E1645" s="838"/>
      <c r="F1645" s="838"/>
      <c r="G1645" s="838"/>
      <c r="H1645" s="1071"/>
      <c r="AF1645" s="347"/>
      <c r="AG1645" s="347"/>
      <c r="AH1645" s="347"/>
      <c r="AI1645" s="347"/>
      <c r="AJ1645" s="347"/>
      <c r="AK1645" s="347"/>
      <c r="AL1645" s="347"/>
    </row>
    <row r="1646" spans="1:38" s="598" customFormat="1" ht="15" x14ac:dyDescent="0.2">
      <c r="A1646" s="605">
        <v>1616</v>
      </c>
      <c r="B1646" s="981" t="s">
        <v>2444</v>
      </c>
      <c r="C1646" s="991"/>
      <c r="D1646" s="991"/>
      <c r="E1646" s="991"/>
      <c r="F1646" s="991"/>
      <c r="G1646" s="991"/>
      <c r="H1646" s="1072"/>
    </row>
    <row r="1647" spans="1:38" ht="15" x14ac:dyDescent="0.2">
      <c r="A1647" s="605">
        <v>1617</v>
      </c>
      <c r="B1647" s="604" t="s">
        <v>2443</v>
      </c>
      <c r="C1647" s="603"/>
      <c r="D1647" s="603"/>
      <c r="E1647" s="603"/>
      <c r="F1647" s="603"/>
      <c r="G1647" s="603"/>
      <c r="H1647" s="1055"/>
      <c r="AF1647" s="347"/>
      <c r="AG1647" s="347"/>
      <c r="AH1647" s="347"/>
      <c r="AI1647" s="347"/>
      <c r="AJ1647" s="347"/>
      <c r="AK1647" s="347"/>
      <c r="AL1647" s="347"/>
    </row>
    <row r="1648" spans="1:38" ht="30" x14ac:dyDescent="0.25">
      <c r="A1648" s="605">
        <v>1618</v>
      </c>
      <c r="B1648" s="703" t="s">
        <v>2442</v>
      </c>
      <c r="C1648" s="672"/>
      <c r="D1648" s="672"/>
      <c r="E1648" s="672"/>
      <c r="F1648" s="672"/>
      <c r="G1648" s="672"/>
      <c r="H1648" s="1046"/>
      <c r="AF1648" s="347"/>
      <c r="AG1648" s="347"/>
      <c r="AH1648" s="347"/>
      <c r="AI1648" s="347"/>
      <c r="AJ1648" s="347"/>
      <c r="AK1648" s="347"/>
      <c r="AL1648" s="347"/>
    </row>
    <row r="1649" spans="1:38" ht="60" x14ac:dyDescent="0.2">
      <c r="A1649" s="605">
        <v>1619</v>
      </c>
      <c r="B1649" s="535" t="s">
        <v>2441</v>
      </c>
      <c r="C1649" s="534"/>
      <c r="D1649" s="534"/>
      <c r="E1649" s="534"/>
      <c r="F1649" s="534"/>
      <c r="G1649" s="534"/>
      <c r="H1649" s="1080"/>
      <c r="AF1649" s="347"/>
      <c r="AG1649" s="347"/>
      <c r="AH1649" s="347"/>
      <c r="AI1649" s="347"/>
      <c r="AJ1649" s="347"/>
      <c r="AK1649" s="347"/>
      <c r="AL1649" s="347"/>
    </row>
    <row r="1650" spans="1:38" ht="30" x14ac:dyDescent="0.2">
      <c r="A1650" s="605">
        <v>1620</v>
      </c>
      <c r="B1650" s="539" t="s">
        <v>2440</v>
      </c>
      <c r="C1650" s="538"/>
      <c r="D1650" s="538"/>
      <c r="E1650" s="538"/>
      <c r="F1650" s="538"/>
      <c r="G1650" s="538"/>
      <c r="H1650" s="1054"/>
      <c r="AF1650" s="347"/>
      <c r="AG1650" s="347"/>
      <c r="AH1650" s="347"/>
      <c r="AI1650" s="347"/>
      <c r="AJ1650" s="347"/>
      <c r="AK1650" s="347"/>
      <c r="AL1650" s="347"/>
    </row>
    <row r="1651" spans="1:38" ht="15" x14ac:dyDescent="0.2">
      <c r="A1651" s="605">
        <v>1621</v>
      </c>
      <c r="B1651" s="539" t="s">
        <v>2439</v>
      </c>
      <c r="C1651" s="538"/>
      <c r="D1651" s="538"/>
      <c r="E1651" s="538"/>
      <c r="F1651" s="538"/>
      <c r="G1651" s="538"/>
      <c r="H1651" s="1054"/>
      <c r="AF1651" s="347"/>
      <c r="AG1651" s="347"/>
      <c r="AH1651" s="347"/>
      <c r="AI1651" s="347"/>
      <c r="AJ1651" s="347"/>
      <c r="AK1651" s="347"/>
      <c r="AL1651" s="347"/>
    </row>
    <row r="1652" spans="1:38" ht="45" x14ac:dyDescent="0.2">
      <c r="A1652" s="605">
        <v>1622</v>
      </c>
      <c r="B1652" s="539" t="s">
        <v>2438</v>
      </c>
      <c r="C1652" s="538"/>
      <c r="D1652" s="538"/>
      <c r="E1652" s="538"/>
      <c r="F1652" s="538"/>
      <c r="G1652" s="538"/>
      <c r="H1652" s="1054"/>
      <c r="AF1652" s="347"/>
      <c r="AG1652" s="347"/>
      <c r="AH1652" s="347"/>
      <c r="AI1652" s="347"/>
      <c r="AJ1652" s="347"/>
      <c r="AK1652" s="347"/>
      <c r="AL1652" s="347"/>
    </row>
    <row r="1653" spans="1:38" ht="60" x14ac:dyDescent="0.2">
      <c r="A1653" s="605">
        <v>1623</v>
      </c>
      <c r="B1653" s="539" t="s">
        <v>2437</v>
      </c>
      <c r="C1653" s="538"/>
      <c r="D1653" s="538"/>
      <c r="E1653" s="538"/>
      <c r="F1653" s="538"/>
      <c r="G1653" s="538"/>
      <c r="H1653" s="1054"/>
      <c r="AF1653" s="347"/>
      <c r="AG1653" s="347"/>
      <c r="AH1653" s="347"/>
      <c r="AI1653" s="347"/>
      <c r="AJ1653" s="347"/>
      <c r="AK1653" s="347"/>
      <c r="AL1653" s="347"/>
    </row>
    <row r="1654" spans="1:38" ht="60" x14ac:dyDescent="0.2">
      <c r="A1654" s="605">
        <v>1624</v>
      </c>
      <c r="B1654" s="539" t="s">
        <v>2436</v>
      </c>
      <c r="C1654" s="538"/>
      <c r="D1654" s="538"/>
      <c r="E1654" s="538"/>
      <c r="F1654" s="538"/>
      <c r="G1654" s="538"/>
      <c r="H1654" s="1054"/>
      <c r="AF1654" s="347"/>
      <c r="AG1654" s="347"/>
      <c r="AH1654" s="347"/>
      <c r="AI1654" s="347"/>
      <c r="AJ1654" s="347"/>
      <c r="AK1654" s="347"/>
      <c r="AL1654" s="347"/>
    </row>
    <row r="1655" spans="1:38" s="347" customFormat="1" ht="30" x14ac:dyDescent="0.2">
      <c r="A1655" s="605">
        <v>1625</v>
      </c>
      <c r="B1655" s="539" t="s">
        <v>2435</v>
      </c>
      <c r="C1655" s="538"/>
      <c r="D1655" s="538"/>
      <c r="E1655" s="538"/>
      <c r="F1655" s="538"/>
      <c r="G1655" s="538"/>
      <c r="H1655" s="1054"/>
    </row>
    <row r="1656" spans="1:38" ht="15" x14ac:dyDescent="0.2">
      <c r="A1656" s="605">
        <v>1626</v>
      </c>
      <c r="B1656" s="604" t="s">
        <v>2434</v>
      </c>
      <c r="C1656" s="603"/>
      <c r="D1656" s="603"/>
      <c r="E1656" s="603"/>
      <c r="F1656" s="603"/>
      <c r="G1656" s="603"/>
      <c r="H1656" s="1055"/>
      <c r="AF1656" s="347"/>
      <c r="AG1656" s="347"/>
      <c r="AH1656" s="347"/>
      <c r="AI1656" s="347"/>
      <c r="AJ1656" s="347"/>
      <c r="AK1656" s="347"/>
      <c r="AL1656" s="347"/>
    </row>
    <row r="1657" spans="1:38" ht="45" x14ac:dyDescent="0.2">
      <c r="A1657" s="605">
        <v>1627</v>
      </c>
      <c r="B1657" s="535" t="s">
        <v>2433</v>
      </c>
      <c r="C1657" s="286"/>
      <c r="D1657" s="286"/>
      <c r="E1657" s="286"/>
      <c r="F1657" s="286"/>
      <c r="G1657" s="286"/>
      <c r="H1657" s="1080"/>
      <c r="AF1657" s="347"/>
      <c r="AG1657" s="347"/>
      <c r="AH1657" s="347"/>
      <c r="AI1657" s="347"/>
      <c r="AJ1657" s="347"/>
      <c r="AK1657" s="347"/>
      <c r="AL1657" s="347"/>
    </row>
    <row r="1658" spans="1:38" ht="15" x14ac:dyDescent="0.2">
      <c r="A1658" s="605">
        <v>1628</v>
      </c>
      <c r="B1658" s="837" t="s">
        <v>2432</v>
      </c>
      <c r="C1658" s="534"/>
      <c r="D1658" s="534"/>
      <c r="E1658" s="534"/>
      <c r="F1658" s="534"/>
      <c r="G1658" s="534"/>
      <c r="H1658" s="1080"/>
      <c r="AF1658" s="347"/>
      <c r="AG1658" s="347"/>
      <c r="AH1658" s="347"/>
      <c r="AI1658" s="347"/>
      <c r="AJ1658" s="347"/>
      <c r="AK1658" s="347"/>
      <c r="AL1658" s="347"/>
    </row>
    <row r="1659" spans="1:38" ht="15" x14ac:dyDescent="0.2">
      <c r="A1659" s="605">
        <v>1629</v>
      </c>
      <c r="B1659" s="837" t="s">
        <v>2431</v>
      </c>
      <c r="C1659" s="534"/>
      <c r="D1659" s="534"/>
      <c r="E1659" s="534"/>
      <c r="F1659" s="534"/>
      <c r="G1659" s="534"/>
      <c r="H1659" s="1080"/>
      <c r="AF1659" s="347"/>
      <c r="AG1659" s="347"/>
      <c r="AH1659" s="347"/>
      <c r="AI1659" s="347"/>
      <c r="AJ1659" s="347"/>
      <c r="AK1659" s="347"/>
      <c r="AL1659" s="347"/>
    </row>
    <row r="1660" spans="1:38" ht="15" x14ac:dyDescent="0.2">
      <c r="A1660" s="605">
        <v>1630</v>
      </c>
      <c r="B1660" s="837" t="s">
        <v>2430</v>
      </c>
      <c r="C1660" s="534"/>
      <c r="D1660" s="534"/>
      <c r="E1660" s="534"/>
      <c r="F1660" s="534"/>
      <c r="G1660" s="534"/>
      <c r="H1660" s="1080"/>
      <c r="AF1660" s="347"/>
      <c r="AG1660" s="347"/>
      <c r="AH1660" s="347"/>
      <c r="AI1660" s="347"/>
      <c r="AJ1660" s="347"/>
      <c r="AK1660" s="347"/>
      <c r="AL1660" s="347"/>
    </row>
    <row r="1661" spans="1:38" ht="30" x14ac:dyDescent="0.2">
      <c r="A1661" s="605">
        <v>1631</v>
      </c>
      <c r="B1661" s="541" t="s">
        <v>2429</v>
      </c>
      <c r="C1661" s="538"/>
      <c r="D1661" s="538"/>
      <c r="E1661" s="538"/>
      <c r="F1661" s="538"/>
      <c r="G1661" s="538"/>
      <c r="H1661" s="1054"/>
      <c r="AF1661" s="347"/>
      <c r="AG1661" s="347"/>
      <c r="AH1661" s="347"/>
      <c r="AI1661" s="347"/>
      <c r="AJ1661" s="347"/>
      <c r="AK1661" s="347"/>
      <c r="AL1661" s="347"/>
    </row>
    <row r="1662" spans="1:38" ht="30" x14ac:dyDescent="0.2">
      <c r="A1662" s="605">
        <v>1632</v>
      </c>
      <c r="B1662" s="837" t="s">
        <v>2428</v>
      </c>
      <c r="C1662" s="534"/>
      <c r="D1662" s="534"/>
      <c r="E1662" s="534"/>
      <c r="F1662" s="534"/>
      <c r="G1662" s="534"/>
      <c r="H1662" s="1080"/>
      <c r="AF1662" s="347"/>
      <c r="AG1662" s="347"/>
      <c r="AH1662" s="347"/>
      <c r="AI1662" s="347"/>
      <c r="AJ1662" s="347"/>
      <c r="AK1662" s="347"/>
      <c r="AL1662" s="347"/>
    </row>
    <row r="1663" spans="1:38" ht="30" x14ac:dyDescent="0.2">
      <c r="A1663" s="605">
        <v>1633</v>
      </c>
      <c r="B1663" s="535" t="s">
        <v>2427</v>
      </c>
      <c r="C1663" s="534"/>
      <c r="D1663" s="534"/>
      <c r="E1663" s="534"/>
      <c r="F1663" s="534"/>
      <c r="G1663" s="534"/>
      <c r="H1663" s="1080"/>
      <c r="AF1663" s="347"/>
      <c r="AG1663" s="347"/>
      <c r="AH1663" s="347"/>
      <c r="AI1663" s="347"/>
      <c r="AJ1663" s="347"/>
      <c r="AK1663" s="347"/>
      <c r="AL1663" s="347"/>
    </row>
    <row r="1664" spans="1:38" ht="15" x14ac:dyDescent="0.2">
      <c r="A1664" s="605">
        <v>1634</v>
      </c>
      <c r="B1664" s="535" t="s">
        <v>2426</v>
      </c>
      <c r="C1664" s="534"/>
      <c r="D1664" s="534"/>
      <c r="E1664" s="534"/>
      <c r="F1664" s="534"/>
      <c r="G1664" s="534"/>
      <c r="H1664" s="1080"/>
      <c r="AF1664" s="347"/>
      <c r="AG1664" s="347"/>
      <c r="AH1664" s="347"/>
      <c r="AI1664" s="347"/>
      <c r="AJ1664" s="347"/>
      <c r="AK1664" s="347"/>
      <c r="AL1664" s="347"/>
    </row>
    <row r="1665" spans="1:38" ht="30" x14ac:dyDescent="0.2">
      <c r="A1665" s="605">
        <v>1635</v>
      </c>
      <c r="B1665" s="535" t="s">
        <v>2425</v>
      </c>
      <c r="C1665" s="534"/>
      <c r="D1665" s="534"/>
      <c r="E1665" s="534"/>
      <c r="F1665" s="534"/>
      <c r="G1665" s="534"/>
      <c r="H1665" s="1080"/>
      <c r="AF1665" s="347"/>
      <c r="AG1665" s="347"/>
      <c r="AH1665" s="347"/>
      <c r="AI1665" s="347"/>
      <c r="AJ1665" s="347"/>
      <c r="AK1665" s="347"/>
      <c r="AL1665" s="347"/>
    </row>
    <row r="1666" spans="1:38" ht="15" x14ac:dyDescent="0.2">
      <c r="A1666" s="605">
        <v>1636</v>
      </c>
      <c r="B1666" s="604" t="s">
        <v>2424</v>
      </c>
      <c r="C1666" s="603"/>
      <c r="D1666" s="603"/>
      <c r="E1666" s="603"/>
      <c r="F1666" s="603"/>
      <c r="G1666" s="603"/>
      <c r="H1666" s="1055"/>
      <c r="AF1666" s="347"/>
      <c r="AG1666" s="347"/>
      <c r="AH1666" s="347"/>
      <c r="AI1666" s="347"/>
      <c r="AJ1666" s="347"/>
      <c r="AK1666" s="347"/>
      <c r="AL1666" s="347"/>
    </row>
    <row r="1667" spans="1:38" ht="15" x14ac:dyDescent="0.25">
      <c r="A1667" s="605">
        <v>1637</v>
      </c>
      <c r="B1667" s="535" t="s">
        <v>2423</v>
      </c>
      <c r="C1667" s="286"/>
      <c r="D1667" s="286"/>
      <c r="E1667" s="286"/>
      <c r="F1667" s="286"/>
      <c r="G1667" s="286"/>
      <c r="H1667" s="1045"/>
      <c r="AF1667" s="347"/>
      <c r="AG1667" s="347"/>
      <c r="AH1667" s="347"/>
      <c r="AI1667" s="347"/>
      <c r="AJ1667" s="347"/>
      <c r="AK1667" s="347"/>
      <c r="AL1667" s="347"/>
    </row>
    <row r="1668" spans="1:38" ht="15" x14ac:dyDescent="0.25">
      <c r="A1668" s="605">
        <v>1638</v>
      </c>
      <c r="B1668" s="837" t="s">
        <v>2422</v>
      </c>
      <c r="C1668" s="668"/>
      <c r="D1668" s="668"/>
      <c r="E1668" s="668"/>
      <c r="F1668" s="668"/>
      <c r="G1668" s="668"/>
      <c r="H1668" s="1045"/>
      <c r="AF1668" s="347"/>
      <c r="AG1668" s="347"/>
      <c r="AH1668" s="347"/>
      <c r="AI1668" s="347"/>
      <c r="AJ1668" s="347"/>
      <c r="AK1668" s="347"/>
      <c r="AL1668" s="347"/>
    </row>
    <row r="1669" spans="1:38" ht="15" x14ac:dyDescent="0.25">
      <c r="A1669" s="605">
        <v>1639</v>
      </c>
      <c r="B1669" s="837" t="s">
        <v>2421</v>
      </c>
      <c r="C1669" s="668"/>
      <c r="D1669" s="668"/>
      <c r="E1669" s="668"/>
      <c r="F1669" s="668"/>
      <c r="G1669" s="668"/>
      <c r="H1669" s="1045"/>
      <c r="AF1669" s="347"/>
      <c r="AG1669" s="347"/>
      <c r="AH1669" s="347"/>
      <c r="AI1669" s="347"/>
      <c r="AJ1669" s="347"/>
      <c r="AK1669" s="347"/>
      <c r="AL1669" s="347"/>
    </row>
    <row r="1670" spans="1:38" ht="15" x14ac:dyDescent="0.25">
      <c r="A1670" s="605">
        <v>1640</v>
      </c>
      <c r="B1670" s="837" t="s">
        <v>2420</v>
      </c>
      <c r="C1670" s="668"/>
      <c r="D1670" s="668"/>
      <c r="E1670" s="668"/>
      <c r="F1670" s="668"/>
      <c r="G1670" s="668"/>
      <c r="H1670" s="1045"/>
      <c r="AF1670" s="347"/>
      <c r="AG1670" s="347"/>
      <c r="AH1670" s="347"/>
      <c r="AI1670" s="347"/>
      <c r="AJ1670" s="347"/>
      <c r="AK1670" s="347"/>
      <c r="AL1670" s="347"/>
    </row>
    <row r="1671" spans="1:38" ht="15" x14ac:dyDescent="0.25">
      <c r="A1671" s="605">
        <v>1641</v>
      </c>
      <c r="B1671" s="541" t="s">
        <v>2075</v>
      </c>
      <c r="C1671" s="672"/>
      <c r="D1671" s="672"/>
      <c r="E1671" s="672"/>
      <c r="F1671" s="672"/>
      <c r="G1671" s="672"/>
      <c r="H1671" s="1046"/>
      <c r="AF1671" s="347"/>
      <c r="AG1671" s="347"/>
      <c r="AH1671" s="347"/>
      <c r="AI1671" s="347"/>
      <c r="AJ1671" s="347"/>
      <c r="AK1671" s="347"/>
      <c r="AL1671" s="347"/>
    </row>
    <row r="1672" spans="1:38" ht="15" x14ac:dyDescent="0.25">
      <c r="A1672" s="605">
        <v>1642</v>
      </c>
      <c r="B1672" s="535" t="s">
        <v>2419</v>
      </c>
      <c r="C1672" s="668"/>
      <c r="D1672" s="668"/>
      <c r="E1672" s="668"/>
      <c r="F1672" s="668"/>
      <c r="G1672" s="668"/>
      <c r="H1672" s="1045"/>
      <c r="AF1672" s="347"/>
      <c r="AG1672" s="347"/>
      <c r="AH1672" s="347"/>
      <c r="AI1672" s="347"/>
      <c r="AJ1672" s="347"/>
      <c r="AK1672" s="347"/>
      <c r="AL1672" s="347"/>
    </row>
    <row r="1673" spans="1:38" ht="30" x14ac:dyDescent="0.25">
      <c r="A1673" s="605">
        <v>1643</v>
      </c>
      <c r="B1673" s="535" t="s">
        <v>2418</v>
      </c>
      <c r="C1673" s="668"/>
      <c r="D1673" s="668"/>
      <c r="E1673" s="668"/>
      <c r="F1673" s="668"/>
      <c r="G1673" s="668"/>
      <c r="H1673" s="1045"/>
      <c r="AF1673" s="347"/>
      <c r="AG1673" s="347"/>
      <c r="AH1673" s="347"/>
      <c r="AI1673" s="347"/>
      <c r="AJ1673" s="347"/>
      <c r="AK1673" s="347"/>
      <c r="AL1673" s="347"/>
    </row>
    <row r="1674" spans="1:38" ht="15" x14ac:dyDescent="0.25">
      <c r="A1674" s="605">
        <v>1644</v>
      </c>
      <c r="B1674" s="535" t="s">
        <v>2417</v>
      </c>
      <c r="C1674" s="668"/>
      <c r="D1674" s="668"/>
      <c r="E1674" s="668"/>
      <c r="F1674" s="668"/>
      <c r="G1674" s="668"/>
      <c r="H1674" s="1045"/>
      <c r="AF1674" s="347"/>
      <c r="AG1674" s="347"/>
      <c r="AH1674" s="347"/>
      <c r="AI1674" s="347"/>
      <c r="AJ1674" s="347"/>
      <c r="AK1674" s="347"/>
      <c r="AL1674" s="347"/>
    </row>
    <row r="1675" spans="1:38" ht="15" x14ac:dyDescent="0.2">
      <c r="A1675" s="605">
        <v>1645</v>
      </c>
      <c r="B1675" s="835" t="s">
        <v>2416</v>
      </c>
      <c r="C1675" s="836"/>
      <c r="D1675" s="836"/>
      <c r="E1675" s="836"/>
      <c r="F1675" s="836"/>
      <c r="G1675" s="836"/>
      <c r="H1675" s="1042"/>
      <c r="U1675" s="345"/>
      <c r="V1675" s="345"/>
      <c r="W1675" s="345"/>
      <c r="X1675" s="345"/>
      <c r="Y1675" s="345"/>
      <c r="Z1675" s="345"/>
      <c r="AA1675" s="345"/>
      <c r="AB1675" s="345"/>
      <c r="AC1675" s="345"/>
      <c r="AD1675" s="345"/>
      <c r="AE1675" s="345"/>
    </row>
    <row r="1676" spans="1:38" ht="15" x14ac:dyDescent="0.2">
      <c r="A1676" s="605">
        <v>1646</v>
      </c>
      <c r="B1676" s="694" t="s">
        <v>2415</v>
      </c>
      <c r="C1676" s="834"/>
      <c r="D1676" s="834"/>
      <c r="E1676" s="834"/>
      <c r="F1676" s="834"/>
      <c r="G1676" s="834"/>
      <c r="H1676" s="1038"/>
      <c r="U1676" s="345"/>
      <c r="V1676" s="345"/>
      <c r="W1676" s="345"/>
      <c r="X1676" s="345"/>
      <c r="Y1676" s="345"/>
      <c r="Z1676" s="345"/>
      <c r="AA1676" s="345"/>
      <c r="AB1676" s="345"/>
      <c r="AC1676" s="345"/>
      <c r="AD1676" s="345"/>
      <c r="AE1676" s="345"/>
    </row>
    <row r="1677" spans="1:38" ht="30" x14ac:dyDescent="0.2">
      <c r="A1677" s="605">
        <v>1647</v>
      </c>
      <c r="B1677" s="694" t="s">
        <v>2414</v>
      </c>
      <c r="C1677" s="773"/>
      <c r="D1677" s="773"/>
      <c r="E1677" s="773"/>
      <c r="F1677" s="773"/>
      <c r="G1677" s="773"/>
      <c r="H1677" s="1093"/>
      <c r="U1677" s="345"/>
      <c r="V1677" s="345"/>
      <c r="W1677" s="345"/>
      <c r="X1677" s="345"/>
      <c r="Y1677" s="345"/>
      <c r="Z1677" s="345"/>
      <c r="AA1677" s="345"/>
      <c r="AB1677" s="345"/>
      <c r="AC1677" s="345"/>
      <c r="AD1677" s="345"/>
      <c r="AE1677" s="345"/>
    </row>
    <row r="1678" spans="1:38" ht="30" x14ac:dyDescent="0.2">
      <c r="A1678" s="605">
        <v>1648</v>
      </c>
      <c r="B1678" s="694" t="s">
        <v>2413</v>
      </c>
      <c r="C1678" s="727"/>
      <c r="D1678" s="727"/>
      <c r="E1678" s="727"/>
      <c r="F1678" s="727"/>
      <c r="G1678" s="727"/>
      <c r="H1678" s="1089"/>
      <c r="U1678" s="345"/>
      <c r="V1678" s="345"/>
      <c r="W1678" s="345"/>
      <c r="X1678" s="345"/>
      <c r="Y1678" s="345"/>
      <c r="Z1678" s="345"/>
      <c r="AA1678" s="345"/>
      <c r="AB1678" s="345"/>
      <c r="AC1678" s="345"/>
      <c r="AD1678" s="345"/>
      <c r="AE1678" s="345"/>
    </row>
    <row r="1679" spans="1:38" ht="30" x14ac:dyDescent="0.2">
      <c r="A1679" s="605">
        <v>1649</v>
      </c>
      <c r="B1679" s="694" t="s">
        <v>2412</v>
      </c>
      <c r="C1679" s="278"/>
      <c r="D1679" s="278"/>
      <c r="E1679" s="278"/>
      <c r="F1679" s="278"/>
      <c r="G1679" s="278"/>
      <c r="H1679" s="1107"/>
      <c r="U1679" s="345"/>
      <c r="V1679" s="345"/>
      <c r="W1679" s="345"/>
      <c r="X1679" s="345"/>
      <c r="Y1679" s="345"/>
      <c r="Z1679" s="345"/>
      <c r="AA1679" s="345"/>
      <c r="AB1679" s="345"/>
      <c r="AC1679" s="345"/>
      <c r="AD1679" s="345"/>
      <c r="AE1679" s="345"/>
    </row>
    <row r="1680" spans="1:38" s="347" customFormat="1" ht="15" x14ac:dyDescent="0.2">
      <c r="A1680" s="605">
        <v>1650</v>
      </c>
      <c r="B1680" s="541" t="s">
        <v>236</v>
      </c>
      <c r="C1680" s="727"/>
      <c r="D1680" s="727"/>
      <c r="E1680" s="727"/>
      <c r="F1680" s="727"/>
      <c r="G1680" s="727"/>
      <c r="H1680" s="1089"/>
    </row>
    <row r="1681" spans="1:8" s="347" customFormat="1" ht="15" x14ac:dyDescent="0.2">
      <c r="A1681" s="605">
        <v>1651</v>
      </c>
      <c r="B1681" s="541" t="s">
        <v>1727</v>
      </c>
      <c r="C1681" s="727"/>
      <c r="D1681" s="727"/>
      <c r="E1681" s="727"/>
      <c r="F1681" s="727"/>
      <c r="G1681" s="727"/>
      <c r="H1681" s="1089"/>
    </row>
    <row r="1682" spans="1:8" s="347" customFormat="1" ht="15" x14ac:dyDescent="0.2">
      <c r="A1682" s="605">
        <v>1652</v>
      </c>
      <c r="B1682" s="541" t="s">
        <v>1605</v>
      </c>
      <c r="C1682" s="727"/>
      <c r="D1682" s="727"/>
      <c r="E1682" s="727"/>
      <c r="F1682" s="727"/>
      <c r="G1682" s="727"/>
      <c r="H1682" s="1089"/>
    </row>
    <row r="1683" spans="1:8" s="347" customFormat="1" ht="15" x14ac:dyDescent="0.2">
      <c r="A1683" s="605">
        <v>1653</v>
      </c>
      <c r="B1683" s="541" t="s">
        <v>1793</v>
      </c>
      <c r="C1683" s="727"/>
      <c r="D1683" s="727"/>
      <c r="E1683" s="727"/>
      <c r="F1683" s="727"/>
      <c r="G1683" s="727"/>
      <c r="H1683" s="1089"/>
    </row>
    <row r="1684" spans="1:8" s="347" customFormat="1" ht="15" x14ac:dyDescent="0.2">
      <c r="A1684" s="605">
        <v>1654</v>
      </c>
      <c r="B1684" s="541" t="s">
        <v>2411</v>
      </c>
      <c r="C1684" s="727"/>
      <c r="D1684" s="727"/>
      <c r="E1684" s="727"/>
      <c r="F1684" s="727"/>
      <c r="G1684" s="727"/>
      <c r="H1684" s="1089"/>
    </row>
    <row r="1685" spans="1:8" s="347" customFormat="1" ht="15" x14ac:dyDescent="0.25">
      <c r="A1685" s="605">
        <v>1655</v>
      </c>
      <c r="B1685" s="541" t="s">
        <v>2410</v>
      </c>
      <c r="C1685" s="832"/>
      <c r="D1685" s="832"/>
      <c r="E1685" s="832"/>
      <c r="F1685" s="832"/>
      <c r="G1685" s="832"/>
      <c r="H1685" s="1088"/>
    </row>
    <row r="1686" spans="1:8" s="347" customFormat="1" ht="15" x14ac:dyDescent="0.25">
      <c r="A1686" s="605">
        <v>1656</v>
      </c>
      <c r="B1686" s="541" t="s">
        <v>2409</v>
      </c>
      <c r="C1686" s="832"/>
      <c r="D1686" s="832"/>
      <c r="E1686" s="832"/>
      <c r="F1686" s="832"/>
      <c r="G1686" s="832"/>
      <c r="H1686" s="1088"/>
    </row>
    <row r="1687" spans="1:8" s="347" customFormat="1" ht="15" x14ac:dyDescent="0.25">
      <c r="A1687" s="605">
        <v>1657</v>
      </c>
      <c r="B1687" s="541" t="s">
        <v>2408</v>
      </c>
      <c r="C1687" s="832"/>
      <c r="D1687" s="832"/>
      <c r="E1687" s="832"/>
      <c r="F1687" s="832"/>
      <c r="G1687" s="832"/>
      <c r="H1687" s="1088"/>
    </row>
    <row r="1688" spans="1:8" s="347" customFormat="1" ht="15" x14ac:dyDescent="0.25">
      <c r="A1688" s="605">
        <v>1658</v>
      </c>
      <c r="B1688" s="541" t="s">
        <v>2407</v>
      </c>
      <c r="C1688" s="832"/>
      <c r="D1688" s="832"/>
      <c r="E1688" s="832"/>
      <c r="F1688" s="832"/>
      <c r="G1688" s="832"/>
      <c r="H1688" s="1088"/>
    </row>
    <row r="1689" spans="1:8" s="347" customFormat="1" ht="15" x14ac:dyDescent="0.25">
      <c r="A1689" s="605">
        <v>1659</v>
      </c>
      <c r="B1689" s="541" t="s">
        <v>2406</v>
      </c>
      <c r="C1689" s="832"/>
      <c r="D1689" s="832"/>
      <c r="E1689" s="832"/>
      <c r="F1689" s="832"/>
      <c r="G1689" s="832"/>
      <c r="H1689" s="1088"/>
    </row>
    <row r="1690" spans="1:8" s="347" customFormat="1" ht="15" x14ac:dyDescent="0.25">
      <c r="A1690" s="605">
        <v>1660</v>
      </c>
      <c r="B1690" s="541" t="s">
        <v>2405</v>
      </c>
      <c r="C1690" s="832"/>
      <c r="D1690" s="832"/>
      <c r="E1690" s="832"/>
      <c r="F1690" s="832"/>
      <c r="G1690" s="832"/>
      <c r="H1690" s="1088"/>
    </row>
    <row r="1691" spans="1:8" s="347" customFormat="1" ht="15" x14ac:dyDescent="0.25">
      <c r="A1691" s="605">
        <v>1661</v>
      </c>
      <c r="B1691" s="541" t="s">
        <v>2404</v>
      </c>
      <c r="C1691" s="832"/>
      <c r="D1691" s="832"/>
      <c r="E1691" s="832"/>
      <c r="F1691" s="832"/>
      <c r="G1691" s="832"/>
      <c r="H1691" s="1088"/>
    </row>
    <row r="1692" spans="1:8" s="347" customFormat="1" ht="15" x14ac:dyDescent="0.25">
      <c r="A1692" s="605">
        <v>1662</v>
      </c>
      <c r="B1692" s="541" t="s">
        <v>2403</v>
      </c>
      <c r="C1692" s="832"/>
      <c r="D1692" s="832"/>
      <c r="E1692" s="832"/>
      <c r="F1692" s="832"/>
      <c r="G1692" s="832"/>
      <c r="H1692" s="1088"/>
    </row>
    <row r="1693" spans="1:8" s="347" customFormat="1" ht="15" x14ac:dyDescent="0.25">
      <c r="A1693" s="605">
        <v>1663</v>
      </c>
      <c r="B1693" s="541" t="s">
        <v>2402</v>
      </c>
      <c r="C1693" s="832"/>
      <c r="D1693" s="832"/>
      <c r="E1693" s="832"/>
      <c r="F1693" s="832"/>
      <c r="G1693" s="832"/>
      <c r="H1693" s="1088"/>
    </row>
    <row r="1694" spans="1:8" s="347" customFormat="1" ht="15" x14ac:dyDescent="0.25">
      <c r="A1694" s="605">
        <v>1664</v>
      </c>
      <c r="B1694" s="541" t="s">
        <v>2401</v>
      </c>
      <c r="C1694" s="832"/>
      <c r="D1694" s="832"/>
      <c r="E1694" s="832"/>
      <c r="F1694" s="832"/>
      <c r="G1694" s="832"/>
      <c r="H1694" s="1088"/>
    </row>
    <row r="1695" spans="1:8" s="347" customFormat="1" ht="15" x14ac:dyDescent="0.25">
      <c r="A1695" s="605">
        <v>1665</v>
      </c>
      <c r="B1695" s="541" t="s">
        <v>2400</v>
      </c>
      <c r="C1695" s="832"/>
      <c r="D1695" s="832"/>
      <c r="E1695" s="832"/>
      <c r="F1695" s="832"/>
      <c r="G1695" s="832"/>
      <c r="H1695" s="1088"/>
    </row>
    <row r="1696" spans="1:8" s="347" customFormat="1" ht="15" x14ac:dyDescent="0.25">
      <c r="A1696" s="605">
        <v>1666</v>
      </c>
      <c r="B1696" s="541" t="s">
        <v>2399</v>
      </c>
      <c r="C1696" s="832"/>
      <c r="D1696" s="832"/>
      <c r="E1696" s="832"/>
      <c r="F1696" s="832"/>
      <c r="G1696" s="832"/>
      <c r="H1696" s="1088"/>
    </row>
    <row r="1697" spans="1:8" s="347" customFormat="1" ht="15" x14ac:dyDescent="0.25">
      <c r="A1697" s="605">
        <v>1667</v>
      </c>
      <c r="B1697" s="541" t="s">
        <v>1887</v>
      </c>
      <c r="C1697" s="832"/>
      <c r="D1697" s="832"/>
      <c r="E1697" s="832"/>
      <c r="F1697" s="832"/>
      <c r="G1697" s="832"/>
      <c r="H1697" s="1088"/>
    </row>
    <row r="1698" spans="1:8" s="347" customFormat="1" ht="15" x14ac:dyDescent="0.25">
      <c r="A1698" s="605">
        <v>1668</v>
      </c>
      <c r="B1698" s="541" t="s">
        <v>2398</v>
      </c>
      <c r="C1698" s="832"/>
      <c r="D1698" s="832"/>
      <c r="E1698" s="832"/>
      <c r="F1698" s="832"/>
      <c r="G1698" s="832"/>
      <c r="H1698" s="1088"/>
    </row>
    <row r="1699" spans="1:8" s="347" customFormat="1" ht="15" x14ac:dyDescent="0.25">
      <c r="A1699" s="605">
        <v>1669</v>
      </c>
      <c r="B1699" s="541" t="s">
        <v>2397</v>
      </c>
      <c r="C1699" s="832"/>
      <c r="D1699" s="832"/>
      <c r="E1699" s="832"/>
      <c r="F1699" s="832"/>
      <c r="G1699" s="832"/>
      <c r="H1699" s="1088"/>
    </row>
    <row r="1700" spans="1:8" s="347" customFormat="1" ht="30" x14ac:dyDescent="0.25">
      <c r="A1700" s="605">
        <v>1670</v>
      </c>
      <c r="B1700" s="541" t="s">
        <v>2396</v>
      </c>
      <c r="C1700" s="832"/>
      <c r="D1700" s="832"/>
      <c r="E1700" s="832"/>
      <c r="F1700" s="832"/>
      <c r="G1700" s="832"/>
      <c r="H1700" s="1088"/>
    </row>
    <row r="1701" spans="1:8" s="347" customFormat="1" ht="15" x14ac:dyDescent="0.25">
      <c r="A1701" s="605">
        <v>1671</v>
      </c>
      <c r="B1701" s="541" t="s">
        <v>2395</v>
      </c>
      <c r="C1701" s="832"/>
      <c r="D1701" s="832"/>
      <c r="E1701" s="832"/>
      <c r="F1701" s="832"/>
      <c r="G1701" s="832"/>
      <c r="H1701" s="1088"/>
    </row>
    <row r="1702" spans="1:8" s="347" customFormat="1" ht="15" x14ac:dyDescent="0.25">
      <c r="A1702" s="605">
        <v>1672</v>
      </c>
      <c r="B1702" s="541" t="s">
        <v>2394</v>
      </c>
      <c r="C1702" s="832"/>
      <c r="D1702" s="832"/>
      <c r="E1702" s="832"/>
      <c r="F1702" s="832"/>
      <c r="G1702" s="832"/>
      <c r="H1702" s="1088"/>
    </row>
    <row r="1703" spans="1:8" s="347" customFormat="1" ht="15" x14ac:dyDescent="0.25">
      <c r="A1703" s="605">
        <v>1673</v>
      </c>
      <c r="B1703" s="541" t="s">
        <v>2393</v>
      </c>
      <c r="C1703" s="832"/>
      <c r="D1703" s="832"/>
      <c r="E1703" s="832"/>
      <c r="F1703" s="832"/>
      <c r="G1703" s="832"/>
      <c r="H1703" s="1088"/>
    </row>
    <row r="1704" spans="1:8" s="347" customFormat="1" ht="15" x14ac:dyDescent="0.25">
      <c r="A1704" s="605">
        <v>1674</v>
      </c>
      <c r="B1704" s="541" t="s">
        <v>2392</v>
      </c>
      <c r="C1704" s="832"/>
      <c r="D1704" s="832"/>
      <c r="E1704" s="832"/>
      <c r="F1704" s="832"/>
      <c r="G1704" s="832"/>
      <c r="H1704" s="1088"/>
    </row>
    <row r="1705" spans="1:8" s="347" customFormat="1" ht="15" x14ac:dyDescent="0.25">
      <c r="A1705" s="605">
        <v>1675</v>
      </c>
      <c r="B1705" s="541" t="s">
        <v>2391</v>
      </c>
      <c r="C1705" s="832"/>
      <c r="D1705" s="832"/>
      <c r="E1705" s="832"/>
      <c r="F1705" s="832"/>
      <c r="G1705" s="832"/>
      <c r="H1705" s="1088"/>
    </row>
    <row r="1706" spans="1:8" s="347" customFormat="1" ht="15" x14ac:dyDescent="0.25">
      <c r="A1706" s="605">
        <v>1676</v>
      </c>
      <c r="B1706" s="541" t="s">
        <v>149</v>
      </c>
      <c r="C1706" s="832"/>
      <c r="D1706" s="832"/>
      <c r="E1706" s="832"/>
      <c r="F1706" s="832"/>
      <c r="G1706" s="832"/>
      <c r="H1706" s="1088"/>
    </row>
    <row r="1707" spans="1:8" s="598" customFormat="1" ht="15" x14ac:dyDescent="0.25">
      <c r="A1707" s="605">
        <v>1677</v>
      </c>
      <c r="B1707" s="541" t="s">
        <v>2390</v>
      </c>
      <c r="C1707" s="832"/>
      <c r="D1707" s="832"/>
      <c r="E1707" s="832"/>
      <c r="F1707" s="832"/>
      <c r="G1707" s="832"/>
      <c r="H1707" s="1088"/>
    </row>
    <row r="1708" spans="1:8" s="598" customFormat="1" ht="15" x14ac:dyDescent="0.25">
      <c r="A1708" s="605">
        <v>1678</v>
      </c>
      <c r="B1708" s="541" t="s">
        <v>2389</v>
      </c>
      <c r="C1708" s="832"/>
      <c r="D1708" s="832"/>
      <c r="E1708" s="832"/>
      <c r="F1708" s="832"/>
      <c r="G1708" s="832"/>
      <c r="H1708" s="1088"/>
    </row>
    <row r="1709" spans="1:8" s="598" customFormat="1" ht="15" x14ac:dyDescent="0.25">
      <c r="A1709" s="605">
        <v>1679</v>
      </c>
      <c r="B1709" s="541" t="s">
        <v>2388</v>
      </c>
      <c r="C1709" s="832"/>
      <c r="D1709" s="832"/>
      <c r="E1709" s="832"/>
      <c r="F1709" s="832"/>
      <c r="G1709" s="832"/>
      <c r="H1709" s="1088"/>
    </row>
    <row r="1710" spans="1:8" s="598" customFormat="1" ht="15" x14ac:dyDescent="0.25">
      <c r="A1710" s="605">
        <v>1680</v>
      </c>
      <c r="B1710" s="541" t="s">
        <v>2387</v>
      </c>
      <c r="C1710" s="832"/>
      <c r="D1710" s="832"/>
      <c r="E1710" s="832"/>
      <c r="F1710" s="832"/>
      <c r="G1710" s="832"/>
      <c r="H1710" s="1088"/>
    </row>
    <row r="1711" spans="1:8" s="598" customFormat="1" ht="15" x14ac:dyDescent="0.25">
      <c r="A1711" s="605">
        <v>1681</v>
      </c>
      <c r="B1711" s="541" t="s">
        <v>2386</v>
      </c>
      <c r="C1711" s="832"/>
      <c r="D1711" s="832"/>
      <c r="E1711" s="832"/>
      <c r="F1711" s="832"/>
      <c r="G1711" s="832"/>
      <c r="H1711" s="1088"/>
    </row>
    <row r="1712" spans="1:8" s="598" customFormat="1" ht="15" x14ac:dyDescent="0.25">
      <c r="A1712" s="605">
        <v>1682</v>
      </c>
      <c r="B1712" s="539" t="s">
        <v>2385</v>
      </c>
      <c r="C1712" s="832"/>
      <c r="D1712" s="832"/>
      <c r="E1712" s="832"/>
      <c r="F1712" s="832"/>
      <c r="G1712" s="832"/>
      <c r="H1712" s="1088"/>
    </row>
    <row r="1713" spans="1:31" s="598" customFormat="1" ht="30" x14ac:dyDescent="0.25">
      <c r="A1713" s="605">
        <v>1683</v>
      </c>
      <c r="B1713" s="539" t="s">
        <v>2384</v>
      </c>
      <c r="C1713" s="832"/>
      <c r="D1713" s="832"/>
      <c r="E1713" s="832"/>
      <c r="F1713" s="832"/>
      <c r="G1713" s="832"/>
      <c r="H1713" s="1088"/>
    </row>
    <row r="1714" spans="1:31" s="598" customFormat="1" ht="15" x14ac:dyDescent="0.25">
      <c r="A1714" s="605">
        <v>1684</v>
      </c>
      <c r="B1714" s="800" t="s">
        <v>2383</v>
      </c>
      <c r="C1714" s="832"/>
      <c r="D1714" s="832"/>
      <c r="E1714" s="832"/>
      <c r="F1714" s="832"/>
      <c r="G1714" s="832"/>
      <c r="H1714" s="1088"/>
    </row>
    <row r="1715" spans="1:31" s="598" customFormat="1" ht="15" x14ac:dyDescent="0.25">
      <c r="A1715" s="605">
        <v>1685</v>
      </c>
      <c r="B1715" s="800" t="s">
        <v>2382</v>
      </c>
      <c r="C1715" s="832"/>
      <c r="D1715" s="832"/>
      <c r="E1715" s="832"/>
      <c r="F1715" s="832"/>
      <c r="G1715" s="832"/>
      <c r="H1715" s="1088"/>
    </row>
    <row r="1716" spans="1:31" s="598" customFormat="1" ht="15" x14ac:dyDescent="0.25">
      <c r="A1716" s="605">
        <v>1686</v>
      </c>
      <c r="B1716" s="800" t="s">
        <v>2381</v>
      </c>
      <c r="C1716" s="832"/>
      <c r="D1716" s="832"/>
      <c r="E1716" s="832"/>
      <c r="F1716" s="832"/>
      <c r="G1716" s="832"/>
      <c r="H1716" s="1088"/>
    </row>
    <row r="1717" spans="1:31" s="598" customFormat="1" ht="30" x14ac:dyDescent="0.25">
      <c r="A1717" s="605">
        <v>1687</v>
      </c>
      <c r="B1717" s="800" t="s">
        <v>2380</v>
      </c>
      <c r="C1717" s="832"/>
      <c r="D1717" s="832"/>
      <c r="E1717" s="832"/>
      <c r="F1717" s="832"/>
      <c r="G1717" s="832"/>
      <c r="H1717" s="1088"/>
    </row>
    <row r="1718" spans="1:31" s="598" customFormat="1" ht="15" x14ac:dyDescent="0.25">
      <c r="A1718" s="605">
        <v>1688</v>
      </c>
      <c r="B1718" s="800" t="s">
        <v>2379</v>
      </c>
      <c r="C1718" s="832"/>
      <c r="D1718" s="832"/>
      <c r="E1718" s="832"/>
      <c r="F1718" s="832"/>
      <c r="G1718" s="832"/>
      <c r="H1718" s="1088"/>
    </row>
    <row r="1719" spans="1:31" s="598" customFormat="1" ht="30" x14ac:dyDescent="0.25">
      <c r="A1719" s="605">
        <v>1689</v>
      </c>
      <c r="B1719" s="800" t="s">
        <v>2378</v>
      </c>
      <c r="C1719" s="832"/>
      <c r="D1719" s="832"/>
      <c r="E1719" s="832"/>
      <c r="F1719" s="832"/>
      <c r="G1719" s="832"/>
      <c r="H1719" s="1088"/>
    </row>
    <row r="1720" spans="1:31" ht="30" x14ac:dyDescent="0.25">
      <c r="A1720" s="605">
        <v>1690</v>
      </c>
      <c r="B1720" s="799" t="s">
        <v>2377</v>
      </c>
      <c r="C1720" s="832"/>
      <c r="D1720" s="832"/>
      <c r="E1720" s="832"/>
      <c r="F1720" s="832"/>
      <c r="G1720" s="832"/>
      <c r="H1720" s="1088"/>
      <c r="U1720" s="345"/>
      <c r="V1720" s="345"/>
      <c r="W1720" s="345"/>
      <c r="X1720" s="345"/>
      <c r="Y1720" s="345"/>
      <c r="Z1720" s="345"/>
      <c r="AA1720" s="345"/>
      <c r="AB1720" s="345"/>
      <c r="AC1720" s="345"/>
      <c r="AD1720" s="345"/>
      <c r="AE1720" s="345"/>
    </row>
    <row r="1721" spans="1:31" ht="45" x14ac:dyDescent="0.25">
      <c r="A1721" s="605">
        <v>1691</v>
      </c>
      <c r="B1721" s="799" t="s">
        <v>2376</v>
      </c>
      <c r="C1721" s="832"/>
      <c r="D1721" s="832"/>
      <c r="E1721" s="832"/>
      <c r="F1721" s="832"/>
      <c r="G1721" s="832"/>
      <c r="H1721" s="1088"/>
      <c r="U1721" s="345"/>
      <c r="V1721" s="345"/>
      <c r="W1721" s="345"/>
      <c r="X1721" s="345"/>
      <c r="Y1721" s="345"/>
      <c r="Z1721" s="345"/>
      <c r="AA1721" s="345"/>
      <c r="AB1721" s="345"/>
      <c r="AC1721" s="345"/>
      <c r="AD1721" s="345"/>
      <c r="AE1721" s="345"/>
    </row>
    <row r="1722" spans="1:31" ht="45" x14ac:dyDescent="0.25">
      <c r="A1722" s="605">
        <v>1692</v>
      </c>
      <c r="B1722" s="623" t="s">
        <v>2375</v>
      </c>
      <c r="C1722" s="832"/>
      <c r="D1722" s="832"/>
      <c r="E1722" s="832"/>
      <c r="F1722" s="832"/>
      <c r="G1722" s="832"/>
      <c r="H1722" s="1088"/>
      <c r="U1722" s="345"/>
      <c r="V1722" s="345"/>
      <c r="W1722" s="345"/>
      <c r="X1722" s="345"/>
      <c r="Y1722" s="345"/>
      <c r="Z1722" s="345"/>
      <c r="AA1722" s="345"/>
      <c r="AB1722" s="345"/>
      <c r="AC1722" s="345"/>
      <c r="AD1722" s="345"/>
      <c r="AE1722" s="345"/>
    </row>
    <row r="1723" spans="1:31" s="347" customFormat="1" ht="15" x14ac:dyDescent="0.2">
      <c r="A1723" s="605">
        <v>1693</v>
      </c>
      <c r="B1723" s="831" t="s">
        <v>2374</v>
      </c>
      <c r="C1723" s="830"/>
      <c r="D1723" s="830"/>
      <c r="E1723" s="830"/>
      <c r="F1723" s="830"/>
      <c r="G1723" s="830"/>
      <c r="H1723" s="1043"/>
      <c r="I1723" s="345"/>
    </row>
    <row r="1724" spans="1:31" s="347" customFormat="1" ht="30" x14ac:dyDescent="0.2">
      <c r="A1724" s="605">
        <v>1694</v>
      </c>
      <c r="B1724" s="816" t="s">
        <v>2373</v>
      </c>
      <c r="C1724" s="278"/>
      <c r="D1724" s="278"/>
      <c r="E1724" s="278"/>
      <c r="F1724" s="278"/>
      <c r="G1724" s="278"/>
      <c r="H1724" s="1108"/>
      <c r="I1724" s="345"/>
    </row>
    <row r="1725" spans="1:31" s="347" customFormat="1" ht="15" x14ac:dyDescent="0.2">
      <c r="A1725" s="605">
        <v>1695</v>
      </c>
      <c r="B1725" s="814" t="s">
        <v>2372</v>
      </c>
      <c r="C1725" s="813"/>
      <c r="D1725" s="813"/>
      <c r="E1725" s="813"/>
      <c r="F1725" s="813"/>
      <c r="G1725" s="813"/>
      <c r="H1725" s="1108"/>
      <c r="I1725" s="345"/>
    </row>
    <row r="1726" spans="1:31" s="347" customFormat="1" ht="15" x14ac:dyDescent="0.2">
      <c r="A1726" s="605">
        <v>1696</v>
      </c>
      <c r="B1726" s="814" t="s">
        <v>2371</v>
      </c>
      <c r="C1726" s="813"/>
      <c r="D1726" s="813"/>
      <c r="E1726" s="813"/>
      <c r="F1726" s="813"/>
      <c r="G1726" s="813"/>
      <c r="H1726" s="1108"/>
      <c r="I1726" s="345"/>
    </row>
    <row r="1727" spans="1:31" s="347" customFormat="1" ht="15" x14ac:dyDescent="0.2">
      <c r="A1727" s="605">
        <v>1697</v>
      </c>
      <c r="B1727" s="814" t="s">
        <v>2370</v>
      </c>
      <c r="C1727" s="813"/>
      <c r="D1727" s="813"/>
      <c r="E1727" s="813"/>
      <c r="F1727" s="813"/>
      <c r="G1727" s="813"/>
      <c r="H1727" s="1108"/>
      <c r="I1727" s="345"/>
    </row>
    <row r="1728" spans="1:31" s="347" customFormat="1" ht="15" x14ac:dyDescent="0.2">
      <c r="A1728" s="605">
        <v>1698</v>
      </c>
      <c r="B1728" s="814" t="s">
        <v>2369</v>
      </c>
      <c r="C1728" s="813"/>
      <c r="D1728" s="813"/>
      <c r="E1728" s="813"/>
      <c r="F1728" s="813"/>
      <c r="G1728" s="813"/>
      <c r="H1728" s="1108"/>
      <c r="I1728" s="345"/>
    </row>
    <row r="1729" spans="1:31" s="347" customFormat="1" ht="15" x14ac:dyDescent="0.2">
      <c r="A1729" s="605">
        <v>1699</v>
      </c>
      <c r="B1729" s="814" t="s">
        <v>2368</v>
      </c>
      <c r="C1729" s="813"/>
      <c r="D1729" s="813"/>
      <c r="E1729" s="813"/>
      <c r="F1729" s="813"/>
      <c r="G1729" s="813"/>
      <c r="H1729" s="1108"/>
      <c r="I1729" s="345"/>
    </row>
    <row r="1730" spans="1:31" s="347" customFormat="1" ht="15" x14ac:dyDescent="0.2">
      <c r="A1730" s="605">
        <v>1700</v>
      </c>
      <c r="B1730" s="814" t="s">
        <v>2310</v>
      </c>
      <c r="C1730" s="813"/>
      <c r="D1730" s="813"/>
      <c r="E1730" s="813"/>
      <c r="F1730" s="813"/>
      <c r="G1730" s="813"/>
      <c r="H1730" s="1108"/>
      <c r="I1730" s="345"/>
    </row>
    <row r="1731" spans="1:31" s="347" customFormat="1" ht="15" x14ac:dyDescent="0.2">
      <c r="A1731" s="605">
        <v>1701</v>
      </c>
      <c r="B1731" s="814" t="s">
        <v>2367</v>
      </c>
      <c r="C1731" s="813"/>
      <c r="D1731" s="813"/>
      <c r="E1731" s="813"/>
      <c r="F1731" s="813"/>
      <c r="G1731" s="813"/>
      <c r="H1731" s="1108"/>
      <c r="I1731" s="345"/>
    </row>
    <row r="1732" spans="1:31" s="347" customFormat="1" ht="15" x14ac:dyDescent="0.2">
      <c r="A1732" s="605">
        <v>1702</v>
      </c>
      <c r="B1732" s="814" t="s">
        <v>2366</v>
      </c>
      <c r="C1732" s="813"/>
      <c r="D1732" s="813"/>
      <c r="E1732" s="813"/>
      <c r="F1732" s="813"/>
      <c r="G1732" s="813"/>
      <c r="H1732" s="1108"/>
      <c r="I1732" s="345"/>
    </row>
    <row r="1733" spans="1:31" s="347" customFormat="1" ht="15" x14ac:dyDescent="0.2">
      <c r="A1733" s="605">
        <v>1703</v>
      </c>
      <c r="B1733" s="814" t="s">
        <v>2365</v>
      </c>
      <c r="C1733" s="278"/>
      <c r="D1733" s="278"/>
      <c r="E1733" s="278"/>
      <c r="F1733" s="278"/>
      <c r="G1733" s="278"/>
      <c r="H1733" s="1108"/>
      <c r="I1733" s="345"/>
    </row>
    <row r="1734" spans="1:31" s="347" customFormat="1" ht="15" x14ac:dyDescent="0.2">
      <c r="A1734" s="605">
        <v>1704</v>
      </c>
      <c r="B1734" s="829" t="s">
        <v>2364</v>
      </c>
      <c r="C1734" s="813"/>
      <c r="D1734" s="813"/>
      <c r="E1734" s="813"/>
      <c r="F1734" s="813"/>
      <c r="G1734" s="813"/>
      <c r="H1734" s="1108"/>
      <c r="I1734" s="345"/>
    </row>
    <row r="1735" spans="1:31" s="347" customFormat="1" ht="15" x14ac:dyDescent="0.2">
      <c r="A1735" s="605">
        <v>1705</v>
      </c>
      <c r="B1735" s="829" t="s">
        <v>1047</v>
      </c>
      <c r="C1735" s="813"/>
      <c r="D1735" s="813"/>
      <c r="E1735" s="813"/>
      <c r="F1735" s="813"/>
      <c r="G1735" s="813"/>
      <c r="H1735" s="1108"/>
      <c r="I1735" s="345"/>
    </row>
    <row r="1736" spans="1:31" s="347" customFormat="1" ht="15" x14ac:dyDescent="0.2">
      <c r="A1736" s="605">
        <v>1706</v>
      </c>
      <c r="B1736" s="829" t="s">
        <v>2363</v>
      </c>
      <c r="C1736" s="813"/>
      <c r="D1736" s="813"/>
      <c r="E1736" s="813"/>
      <c r="F1736" s="813"/>
      <c r="G1736" s="813"/>
      <c r="H1736" s="1108"/>
      <c r="I1736" s="345"/>
    </row>
    <row r="1737" spans="1:31" s="347" customFormat="1" ht="15" x14ac:dyDescent="0.2">
      <c r="A1737" s="605">
        <v>1707</v>
      </c>
      <c r="B1737" s="829" t="s">
        <v>2362</v>
      </c>
      <c r="C1737" s="813"/>
      <c r="D1737" s="813"/>
      <c r="E1737" s="813"/>
      <c r="F1737" s="813"/>
      <c r="G1737" s="813"/>
      <c r="H1737" s="1108"/>
      <c r="I1737" s="345"/>
    </row>
    <row r="1738" spans="1:31" s="347" customFormat="1" ht="15" x14ac:dyDescent="0.2">
      <c r="A1738" s="605">
        <v>1708</v>
      </c>
      <c r="B1738" s="829" t="s">
        <v>2075</v>
      </c>
      <c r="C1738" s="813"/>
      <c r="D1738" s="813"/>
      <c r="E1738" s="813"/>
      <c r="F1738" s="813"/>
      <c r="G1738" s="813"/>
      <c r="H1738" s="1108"/>
      <c r="I1738" s="345"/>
    </row>
    <row r="1739" spans="1:31" s="347" customFormat="1" ht="15" x14ac:dyDescent="0.2">
      <c r="A1739" s="605">
        <v>1709</v>
      </c>
      <c r="B1739" s="829" t="s">
        <v>2361</v>
      </c>
      <c r="C1739" s="813"/>
      <c r="D1739" s="813"/>
      <c r="E1739" s="813"/>
      <c r="F1739" s="813"/>
      <c r="G1739" s="813"/>
      <c r="H1739" s="1108"/>
      <c r="I1739" s="345"/>
    </row>
    <row r="1740" spans="1:31" s="347" customFormat="1" ht="15" x14ac:dyDescent="0.2">
      <c r="A1740" s="605">
        <v>1710</v>
      </c>
      <c r="B1740" s="815" t="s">
        <v>2360</v>
      </c>
      <c r="C1740" s="811"/>
      <c r="D1740" s="811"/>
      <c r="E1740" s="811"/>
      <c r="F1740" s="811"/>
      <c r="G1740" s="811"/>
      <c r="H1740" s="1109"/>
    </row>
    <row r="1741" spans="1:31" ht="30" x14ac:dyDescent="0.2">
      <c r="A1741" s="605">
        <v>1711</v>
      </c>
      <c r="B1741" s="774" t="s">
        <v>2359</v>
      </c>
      <c r="C1741" s="772"/>
      <c r="D1741" s="772"/>
      <c r="E1741" s="772"/>
      <c r="F1741" s="772"/>
      <c r="G1741" s="772"/>
      <c r="H1741" s="1035"/>
      <c r="Y1741" s="345"/>
      <c r="Z1741" s="345"/>
      <c r="AA1741" s="345"/>
      <c r="AB1741" s="345"/>
      <c r="AC1741" s="345"/>
      <c r="AD1741" s="345"/>
      <c r="AE1741" s="345"/>
    </row>
    <row r="1742" spans="1:31" s="415" customFormat="1" ht="30" x14ac:dyDescent="0.2">
      <c r="A1742" s="605">
        <v>1712</v>
      </c>
      <c r="B1742" s="774" t="s">
        <v>2358</v>
      </c>
      <c r="C1742" s="774"/>
      <c r="D1742" s="774"/>
      <c r="E1742" s="774"/>
      <c r="F1742" s="774"/>
      <c r="G1742" s="774"/>
      <c r="H1742" s="1035"/>
    </row>
    <row r="1743" spans="1:31" s="415" customFormat="1" ht="30" x14ac:dyDescent="0.2">
      <c r="A1743" s="605">
        <v>1713</v>
      </c>
      <c r="B1743" s="774" t="s">
        <v>2357</v>
      </c>
      <c r="C1743" s="774"/>
      <c r="D1743" s="774"/>
      <c r="E1743" s="774"/>
      <c r="F1743" s="774"/>
      <c r="G1743" s="774"/>
      <c r="H1743" s="1035"/>
    </row>
    <row r="1744" spans="1:31" s="347" customFormat="1" ht="15" x14ac:dyDescent="0.2">
      <c r="A1744" s="605">
        <v>1714</v>
      </c>
      <c r="B1744" s="809" t="s">
        <v>2356</v>
      </c>
      <c r="C1744" s="811"/>
      <c r="D1744" s="811"/>
      <c r="E1744" s="811"/>
      <c r="F1744" s="811"/>
      <c r="G1744" s="811"/>
      <c r="H1744" s="1109"/>
    </row>
    <row r="1745" spans="1:9" s="347" customFormat="1" ht="45" x14ac:dyDescent="0.2">
      <c r="A1745" s="605">
        <v>1715</v>
      </c>
      <c r="B1745" s="828" t="s">
        <v>2355</v>
      </c>
      <c r="C1745" s="278"/>
      <c r="D1745" s="278"/>
      <c r="E1745" s="278"/>
      <c r="F1745" s="278"/>
      <c r="G1745" s="278"/>
      <c r="H1745" s="1108"/>
      <c r="I1745" s="345"/>
    </row>
    <row r="1746" spans="1:9" s="347" customFormat="1" ht="15" x14ac:dyDescent="0.25">
      <c r="A1746" s="605">
        <v>1716</v>
      </c>
      <c r="B1746" s="825" t="s">
        <v>2311</v>
      </c>
      <c r="C1746" s="811"/>
      <c r="D1746" s="811"/>
      <c r="E1746" s="811"/>
      <c r="F1746" s="811"/>
      <c r="G1746" s="811"/>
      <c r="H1746" s="1109"/>
    </row>
    <row r="1747" spans="1:9" s="347" customFormat="1" ht="15" x14ac:dyDescent="0.25">
      <c r="A1747" s="605">
        <v>1717</v>
      </c>
      <c r="B1747" s="827" t="s">
        <v>2354</v>
      </c>
      <c r="C1747" s="821"/>
      <c r="D1747" s="821"/>
      <c r="E1747" s="821"/>
      <c r="F1747" s="821"/>
      <c r="G1747" s="821"/>
      <c r="H1747" s="1110"/>
      <c r="I1747" s="345"/>
    </row>
    <row r="1748" spans="1:9" s="347" customFormat="1" ht="15" x14ac:dyDescent="0.25">
      <c r="A1748" s="605">
        <v>1718</v>
      </c>
      <c r="B1748" s="827" t="s">
        <v>2353</v>
      </c>
      <c r="C1748" s="821"/>
      <c r="D1748" s="821"/>
      <c r="E1748" s="821"/>
      <c r="F1748" s="821"/>
      <c r="G1748" s="821"/>
      <c r="H1748" s="1110"/>
      <c r="I1748" s="345"/>
    </row>
    <row r="1749" spans="1:9" s="347" customFormat="1" ht="15" x14ac:dyDescent="0.25">
      <c r="A1749" s="605">
        <v>1719</v>
      </c>
      <c r="B1749" s="827" t="s">
        <v>2352</v>
      </c>
      <c r="C1749" s="821"/>
      <c r="D1749" s="821"/>
      <c r="E1749" s="821"/>
      <c r="F1749" s="821"/>
      <c r="G1749" s="821"/>
      <c r="H1749" s="1110"/>
      <c r="I1749" s="345"/>
    </row>
    <row r="1750" spans="1:9" s="347" customFormat="1" ht="15" x14ac:dyDescent="0.25">
      <c r="A1750" s="605">
        <v>1720</v>
      </c>
      <c r="B1750" s="825" t="s">
        <v>2351</v>
      </c>
      <c r="C1750" s="811"/>
      <c r="D1750" s="811"/>
      <c r="E1750" s="811"/>
      <c r="F1750" s="811"/>
      <c r="G1750" s="811"/>
      <c r="H1750" s="1109"/>
    </row>
    <row r="1751" spans="1:9" s="347" customFormat="1" ht="15" x14ac:dyDescent="0.25">
      <c r="A1751" s="605">
        <v>1721</v>
      </c>
      <c r="B1751" s="825" t="s">
        <v>2350</v>
      </c>
      <c r="C1751" s="811"/>
      <c r="D1751" s="811"/>
      <c r="E1751" s="811"/>
      <c r="F1751" s="811"/>
      <c r="G1751" s="811"/>
      <c r="H1751" s="1109"/>
    </row>
    <row r="1752" spans="1:9" s="347" customFormat="1" ht="15" x14ac:dyDescent="0.25">
      <c r="A1752" s="605">
        <v>1722</v>
      </c>
      <c r="B1752" s="825" t="s">
        <v>2349</v>
      </c>
      <c r="C1752" s="811"/>
      <c r="D1752" s="811"/>
      <c r="E1752" s="811"/>
      <c r="F1752" s="811"/>
      <c r="G1752" s="811"/>
      <c r="H1752" s="1109"/>
    </row>
    <row r="1753" spans="1:9" s="347" customFormat="1" ht="15" x14ac:dyDescent="0.25">
      <c r="A1753" s="605">
        <v>1723</v>
      </c>
      <c r="B1753" s="825" t="s">
        <v>2348</v>
      </c>
      <c r="C1753" s="811"/>
      <c r="D1753" s="811"/>
      <c r="E1753" s="811"/>
      <c r="F1753" s="811"/>
      <c r="G1753" s="811"/>
      <c r="H1753" s="1109"/>
    </row>
    <row r="1754" spans="1:9" s="347" customFormat="1" ht="15" x14ac:dyDescent="0.25">
      <c r="A1754" s="605">
        <v>1724</v>
      </c>
      <c r="B1754" s="825" t="s">
        <v>2347</v>
      </c>
      <c r="C1754" s="811"/>
      <c r="D1754" s="811"/>
      <c r="E1754" s="811"/>
      <c r="F1754" s="811"/>
      <c r="G1754" s="811"/>
      <c r="H1754" s="1109"/>
    </row>
    <row r="1755" spans="1:9" s="347" customFormat="1" ht="15" x14ac:dyDescent="0.25">
      <c r="A1755" s="605">
        <v>1725</v>
      </c>
      <c r="B1755" s="825" t="s">
        <v>2346</v>
      </c>
      <c r="C1755" s="811"/>
      <c r="D1755" s="811"/>
      <c r="E1755" s="811"/>
      <c r="F1755" s="811"/>
      <c r="G1755" s="811"/>
      <c r="H1755" s="1109"/>
    </row>
    <row r="1756" spans="1:9" s="347" customFormat="1" ht="15" x14ac:dyDescent="0.25">
      <c r="A1756" s="605">
        <v>1726</v>
      </c>
      <c r="B1756" s="825" t="s">
        <v>2345</v>
      </c>
      <c r="C1756" s="811"/>
      <c r="D1756" s="811"/>
      <c r="E1756" s="811"/>
      <c r="F1756" s="811"/>
      <c r="G1756" s="811"/>
      <c r="H1756" s="1109"/>
    </row>
    <row r="1757" spans="1:9" s="347" customFormat="1" ht="15" x14ac:dyDescent="0.25">
      <c r="A1757" s="605">
        <v>1727</v>
      </c>
      <c r="B1757" s="825" t="s">
        <v>2344</v>
      </c>
      <c r="C1757" s="811"/>
      <c r="D1757" s="811"/>
      <c r="E1757" s="811"/>
      <c r="F1757" s="811"/>
      <c r="G1757" s="811"/>
      <c r="H1757" s="1109"/>
    </row>
    <row r="1758" spans="1:9" s="347" customFormat="1" ht="15" x14ac:dyDescent="0.25">
      <c r="A1758" s="605">
        <v>1728</v>
      </c>
      <c r="B1758" s="825" t="s">
        <v>2343</v>
      </c>
      <c r="C1758" s="811"/>
      <c r="D1758" s="811"/>
      <c r="E1758" s="811"/>
      <c r="F1758" s="811"/>
      <c r="G1758" s="811"/>
      <c r="H1758" s="1109"/>
    </row>
    <row r="1759" spans="1:9" s="347" customFormat="1" ht="15" x14ac:dyDescent="0.25">
      <c r="A1759" s="605">
        <v>1729</v>
      </c>
      <c r="B1759" s="825" t="s">
        <v>2342</v>
      </c>
      <c r="C1759" s="811"/>
      <c r="D1759" s="811"/>
      <c r="E1759" s="811"/>
      <c r="F1759" s="811"/>
      <c r="G1759" s="811"/>
      <c r="H1759" s="1109"/>
    </row>
    <row r="1760" spans="1:9" s="347" customFormat="1" ht="15" x14ac:dyDescent="0.25">
      <c r="A1760" s="605">
        <v>1730</v>
      </c>
      <c r="B1760" s="825" t="s">
        <v>2341</v>
      </c>
      <c r="C1760" s="811"/>
      <c r="D1760" s="811"/>
      <c r="E1760" s="811"/>
      <c r="F1760" s="811"/>
      <c r="G1760" s="811"/>
      <c r="H1760" s="1109"/>
    </row>
    <row r="1761" spans="1:9" s="347" customFormat="1" ht="15" x14ac:dyDescent="0.25">
      <c r="A1761" s="605">
        <v>1731</v>
      </c>
      <c r="B1761" s="825" t="s">
        <v>2340</v>
      </c>
      <c r="C1761" s="811"/>
      <c r="D1761" s="811"/>
      <c r="E1761" s="811"/>
      <c r="F1761" s="811"/>
      <c r="G1761" s="811"/>
      <c r="H1761" s="1109"/>
    </row>
    <row r="1762" spans="1:9" s="347" customFormat="1" ht="15" x14ac:dyDescent="0.25">
      <c r="A1762" s="605">
        <v>1732</v>
      </c>
      <c r="B1762" s="826" t="s">
        <v>2314</v>
      </c>
      <c r="C1762" s="813"/>
      <c r="D1762" s="813"/>
      <c r="E1762" s="813"/>
      <c r="F1762" s="813"/>
      <c r="G1762" s="813"/>
      <c r="H1762" s="1108"/>
      <c r="I1762" s="345"/>
    </row>
    <row r="1763" spans="1:9" s="347" customFormat="1" ht="15" x14ac:dyDescent="0.25">
      <c r="A1763" s="605">
        <v>1733</v>
      </c>
      <c r="B1763" s="826" t="s">
        <v>2313</v>
      </c>
      <c r="C1763" s="813"/>
      <c r="D1763" s="813"/>
      <c r="E1763" s="813"/>
      <c r="F1763" s="813"/>
      <c r="G1763" s="813"/>
      <c r="H1763" s="1108"/>
      <c r="I1763" s="345"/>
    </row>
    <row r="1764" spans="1:9" s="347" customFormat="1" ht="15" x14ac:dyDescent="0.25">
      <c r="A1764" s="605">
        <v>1734</v>
      </c>
      <c r="B1764" s="826" t="s">
        <v>2339</v>
      </c>
      <c r="C1764" s="813"/>
      <c r="D1764" s="813"/>
      <c r="E1764" s="813"/>
      <c r="F1764" s="813"/>
      <c r="G1764" s="813"/>
      <c r="H1764" s="1108"/>
      <c r="I1764" s="345"/>
    </row>
    <row r="1765" spans="1:9" s="347" customFormat="1" ht="15" x14ac:dyDescent="0.25">
      <c r="A1765" s="605">
        <v>1735</v>
      </c>
      <c r="B1765" s="826" t="s">
        <v>2338</v>
      </c>
      <c r="C1765" s="813"/>
      <c r="D1765" s="813"/>
      <c r="E1765" s="813"/>
      <c r="F1765" s="813"/>
      <c r="G1765" s="813"/>
      <c r="H1765" s="1108"/>
      <c r="I1765" s="345"/>
    </row>
    <row r="1766" spans="1:9" s="347" customFormat="1" ht="15" x14ac:dyDescent="0.25">
      <c r="A1766" s="605">
        <v>1736</v>
      </c>
      <c r="B1766" s="825" t="s">
        <v>2337</v>
      </c>
      <c r="C1766" s="811"/>
      <c r="D1766" s="811"/>
      <c r="E1766" s="811"/>
      <c r="F1766" s="811"/>
      <c r="G1766" s="811"/>
      <c r="H1766" s="1109"/>
    </row>
    <row r="1767" spans="1:9" s="347" customFormat="1" ht="15" x14ac:dyDescent="0.25">
      <c r="A1767" s="605">
        <v>1737</v>
      </c>
      <c r="B1767" s="824" t="s">
        <v>2336</v>
      </c>
      <c r="C1767" s="811"/>
      <c r="D1767" s="811"/>
      <c r="E1767" s="811"/>
      <c r="F1767" s="811"/>
      <c r="G1767" s="811"/>
      <c r="H1767" s="1109"/>
    </row>
    <row r="1768" spans="1:9" s="347" customFormat="1" ht="30" x14ac:dyDescent="0.25">
      <c r="A1768" s="605">
        <v>1738</v>
      </c>
      <c r="B1768" s="818" t="s">
        <v>2335</v>
      </c>
      <c r="C1768" s="278"/>
      <c r="D1768" s="278"/>
      <c r="E1768" s="278"/>
      <c r="F1768" s="278"/>
      <c r="G1768" s="278"/>
      <c r="H1768" s="1109"/>
      <c r="I1768" s="823"/>
    </row>
    <row r="1769" spans="1:9" s="347" customFormat="1" ht="15" x14ac:dyDescent="0.2">
      <c r="A1769" s="605">
        <v>1739</v>
      </c>
      <c r="B1769" s="822" t="s">
        <v>2334</v>
      </c>
      <c r="C1769" s="821"/>
      <c r="D1769" s="821"/>
      <c r="E1769" s="821"/>
      <c r="F1769" s="821"/>
      <c r="G1769" s="821"/>
      <c r="H1769" s="1109"/>
      <c r="I1769" s="819"/>
    </row>
    <row r="1770" spans="1:9" s="347" customFormat="1" ht="15" x14ac:dyDescent="0.2">
      <c r="A1770" s="605">
        <v>1740</v>
      </c>
      <c r="B1770" s="822" t="s">
        <v>2333</v>
      </c>
      <c r="C1770" s="821"/>
      <c r="D1770" s="821"/>
      <c r="E1770" s="821"/>
      <c r="F1770" s="821"/>
      <c r="G1770" s="821"/>
      <c r="H1770" s="1109"/>
      <c r="I1770" s="819"/>
    </row>
    <row r="1771" spans="1:9" s="347" customFormat="1" ht="15" x14ac:dyDescent="0.2">
      <c r="A1771" s="605">
        <v>1741</v>
      </c>
      <c r="B1771" s="822" t="s">
        <v>2332</v>
      </c>
      <c r="C1771" s="821"/>
      <c r="D1771" s="821"/>
      <c r="E1771" s="821"/>
      <c r="F1771" s="821"/>
      <c r="G1771" s="821"/>
      <c r="H1771" s="1109"/>
      <c r="I1771" s="819"/>
    </row>
    <row r="1772" spans="1:9" s="347" customFormat="1" ht="15" x14ac:dyDescent="0.2">
      <c r="A1772" s="605">
        <v>1742</v>
      </c>
      <c r="B1772" s="822" t="s">
        <v>2331</v>
      </c>
      <c r="C1772" s="821"/>
      <c r="D1772" s="821"/>
      <c r="E1772" s="821"/>
      <c r="F1772" s="821"/>
      <c r="G1772" s="821"/>
      <c r="H1772" s="1109"/>
      <c r="I1772" s="819"/>
    </row>
    <row r="1773" spans="1:9" s="347" customFormat="1" ht="15" x14ac:dyDescent="0.2">
      <c r="A1773" s="605">
        <v>1743</v>
      </c>
      <c r="B1773" s="822" t="s">
        <v>2330</v>
      </c>
      <c r="C1773" s="821"/>
      <c r="D1773" s="821"/>
      <c r="E1773" s="821"/>
      <c r="F1773" s="821"/>
      <c r="G1773" s="821"/>
      <c r="H1773" s="1109"/>
      <c r="I1773" s="819"/>
    </row>
    <row r="1774" spans="1:9" s="347" customFormat="1" ht="15" x14ac:dyDescent="0.2">
      <c r="A1774" s="605">
        <v>1744</v>
      </c>
      <c r="B1774" s="815" t="s">
        <v>2329</v>
      </c>
      <c r="C1774" s="811"/>
      <c r="D1774" s="811"/>
      <c r="E1774" s="811"/>
      <c r="F1774" s="811"/>
      <c r="G1774" s="811"/>
      <c r="H1774" s="1109"/>
      <c r="I1774" s="820"/>
    </row>
    <row r="1775" spans="1:9" s="347" customFormat="1" ht="15" x14ac:dyDescent="0.2">
      <c r="A1775" s="605">
        <v>1745</v>
      </c>
      <c r="B1775" s="815" t="s">
        <v>2328</v>
      </c>
      <c r="C1775" s="811"/>
      <c r="D1775" s="811"/>
      <c r="E1775" s="811"/>
      <c r="F1775" s="811"/>
      <c r="G1775" s="811"/>
      <c r="H1775" s="1109"/>
      <c r="I1775" s="819"/>
    </row>
    <row r="1776" spans="1:9" s="347" customFormat="1" ht="15" x14ac:dyDescent="0.2">
      <c r="A1776" s="605">
        <v>1746</v>
      </c>
      <c r="B1776" s="815" t="s">
        <v>2327</v>
      </c>
      <c r="C1776" s="811"/>
      <c r="D1776" s="811"/>
      <c r="E1776" s="811"/>
      <c r="F1776" s="811"/>
      <c r="G1776" s="811"/>
      <c r="H1776" s="1109"/>
      <c r="I1776" s="819"/>
    </row>
    <row r="1777" spans="1:9" s="347" customFormat="1" ht="15" x14ac:dyDescent="0.2">
      <c r="A1777" s="605">
        <v>1747</v>
      </c>
      <c r="B1777" s="815" t="s">
        <v>2326</v>
      </c>
      <c r="C1777" s="811"/>
      <c r="D1777" s="811"/>
      <c r="E1777" s="811"/>
      <c r="F1777" s="811"/>
      <c r="G1777" s="811"/>
      <c r="H1777" s="1109"/>
      <c r="I1777" s="819"/>
    </row>
    <row r="1778" spans="1:9" s="347" customFormat="1" ht="15" x14ac:dyDescent="0.2">
      <c r="A1778" s="605">
        <v>1748</v>
      </c>
      <c r="B1778" s="611" t="s">
        <v>2325</v>
      </c>
      <c r="C1778" s="811"/>
      <c r="D1778" s="811"/>
      <c r="E1778" s="811"/>
      <c r="F1778" s="811"/>
      <c r="G1778" s="811"/>
      <c r="H1778" s="1109"/>
      <c r="I1778" s="819"/>
    </row>
    <row r="1779" spans="1:9" s="347" customFormat="1" ht="15" x14ac:dyDescent="0.2">
      <c r="A1779" s="605">
        <v>1749</v>
      </c>
      <c r="B1779" s="611" t="s">
        <v>2324</v>
      </c>
      <c r="C1779" s="811"/>
      <c r="D1779" s="811"/>
      <c r="E1779" s="811"/>
      <c r="F1779" s="811"/>
      <c r="G1779" s="811"/>
      <c r="H1779" s="1109"/>
      <c r="I1779" s="819"/>
    </row>
    <row r="1780" spans="1:9" s="347" customFormat="1" ht="30" x14ac:dyDescent="0.25">
      <c r="A1780" s="605">
        <v>1750</v>
      </c>
      <c r="B1780" s="818" t="s">
        <v>2323</v>
      </c>
      <c r="C1780" s="817"/>
      <c r="D1780" s="817"/>
      <c r="E1780" s="817"/>
      <c r="F1780" s="817"/>
      <c r="G1780" s="817"/>
      <c r="H1780" s="1109"/>
    </row>
    <row r="1781" spans="1:9" s="347" customFormat="1" ht="30" x14ac:dyDescent="0.2">
      <c r="A1781" s="605">
        <v>1751</v>
      </c>
      <c r="B1781" s="816" t="s">
        <v>2322</v>
      </c>
      <c r="C1781" s="813"/>
      <c r="D1781" s="813"/>
      <c r="E1781" s="813"/>
      <c r="F1781" s="813"/>
      <c r="G1781" s="813"/>
      <c r="H1781" s="1108"/>
      <c r="I1781" s="345"/>
    </row>
    <row r="1782" spans="1:9" s="347" customFormat="1" ht="30" x14ac:dyDescent="0.2">
      <c r="A1782" s="605">
        <v>1752</v>
      </c>
      <c r="B1782" s="816" t="s">
        <v>2321</v>
      </c>
      <c r="C1782" s="813"/>
      <c r="D1782" s="813"/>
      <c r="E1782" s="813"/>
      <c r="F1782" s="813"/>
      <c r="G1782" s="813"/>
      <c r="H1782" s="1108"/>
      <c r="I1782" s="345"/>
    </row>
    <row r="1783" spans="1:9" s="347" customFormat="1" ht="30" x14ac:dyDescent="0.2">
      <c r="A1783" s="605">
        <v>1753</v>
      </c>
      <c r="B1783" s="809" t="s">
        <v>2320</v>
      </c>
      <c r="C1783" s="811"/>
      <c r="D1783" s="811"/>
      <c r="E1783" s="811"/>
      <c r="F1783" s="811"/>
      <c r="G1783" s="811"/>
      <c r="H1783" s="1109"/>
    </row>
    <row r="1784" spans="1:9" s="347" customFormat="1" ht="45" x14ac:dyDescent="0.2">
      <c r="A1784" s="605">
        <v>1754</v>
      </c>
      <c r="B1784" s="809" t="s">
        <v>2319</v>
      </c>
      <c r="C1784" s="811"/>
      <c r="D1784" s="811"/>
      <c r="E1784" s="811"/>
      <c r="F1784" s="811"/>
      <c r="G1784" s="811"/>
      <c r="H1784" s="1109"/>
    </row>
    <row r="1785" spans="1:9" s="347" customFormat="1" ht="15" x14ac:dyDescent="0.2">
      <c r="A1785" s="605">
        <v>1755</v>
      </c>
      <c r="B1785" s="816" t="s">
        <v>2318</v>
      </c>
      <c r="C1785" s="278"/>
      <c r="D1785" s="278"/>
      <c r="E1785" s="278"/>
      <c r="F1785" s="278"/>
      <c r="G1785" s="278"/>
      <c r="H1785" s="1108"/>
      <c r="I1785" s="345"/>
    </row>
    <row r="1786" spans="1:9" s="347" customFormat="1" ht="15" x14ac:dyDescent="0.2">
      <c r="A1786" s="605">
        <v>1756</v>
      </c>
      <c r="B1786" s="814" t="s">
        <v>2075</v>
      </c>
      <c r="C1786" s="813"/>
      <c r="D1786" s="813"/>
      <c r="E1786" s="813"/>
      <c r="F1786" s="813"/>
      <c r="G1786" s="813"/>
      <c r="H1786" s="1108"/>
      <c r="I1786" s="345"/>
    </row>
    <row r="1787" spans="1:9" s="347" customFormat="1" ht="15" x14ac:dyDescent="0.2">
      <c r="A1787" s="605">
        <v>1757</v>
      </c>
      <c r="B1787" s="814" t="s">
        <v>539</v>
      </c>
      <c r="C1787" s="813"/>
      <c r="D1787" s="813"/>
      <c r="E1787" s="813"/>
      <c r="F1787" s="813"/>
      <c r="G1787" s="813"/>
      <c r="H1787" s="1108"/>
      <c r="I1787" s="345"/>
    </row>
    <row r="1788" spans="1:9" s="347" customFormat="1" ht="15" x14ac:dyDescent="0.2">
      <c r="A1788" s="605">
        <v>1758</v>
      </c>
      <c r="B1788" s="814" t="s">
        <v>2317</v>
      </c>
      <c r="C1788" s="813"/>
      <c r="D1788" s="813"/>
      <c r="E1788" s="813"/>
      <c r="F1788" s="813"/>
      <c r="G1788" s="813"/>
      <c r="H1788" s="1108"/>
      <c r="I1788" s="345"/>
    </row>
    <row r="1789" spans="1:9" s="347" customFormat="1" ht="15" x14ac:dyDescent="0.2">
      <c r="A1789" s="605">
        <v>1759</v>
      </c>
      <c r="B1789" s="815" t="s">
        <v>2316</v>
      </c>
      <c r="C1789" s="811"/>
      <c r="D1789" s="811"/>
      <c r="E1789" s="811"/>
      <c r="F1789" s="811"/>
      <c r="G1789" s="811"/>
      <c r="H1789" s="1109"/>
    </row>
    <row r="1790" spans="1:9" s="347" customFormat="1" ht="15" x14ac:dyDescent="0.2">
      <c r="A1790" s="605">
        <v>1760</v>
      </c>
      <c r="B1790" s="814" t="s">
        <v>2315</v>
      </c>
      <c r="C1790" s="813"/>
      <c r="D1790" s="813"/>
      <c r="E1790" s="813"/>
      <c r="F1790" s="813"/>
      <c r="G1790" s="813"/>
      <c r="H1790" s="1108"/>
      <c r="I1790" s="345"/>
    </row>
    <row r="1791" spans="1:9" s="810" customFormat="1" ht="30" x14ac:dyDescent="0.2">
      <c r="A1791" s="605">
        <v>1761</v>
      </c>
      <c r="B1791" s="812" t="s">
        <v>2306</v>
      </c>
      <c r="C1791" s="811"/>
      <c r="D1791" s="811"/>
      <c r="E1791" s="811"/>
      <c r="F1791" s="811"/>
      <c r="G1791" s="811"/>
      <c r="H1791" s="1109"/>
      <c r="I1791" s="347"/>
    </row>
    <row r="1792" spans="1:9" s="810" customFormat="1" ht="30" x14ac:dyDescent="0.2">
      <c r="A1792" s="605">
        <v>1762</v>
      </c>
      <c r="B1792" s="812" t="s">
        <v>2305</v>
      </c>
      <c r="C1792" s="811"/>
      <c r="D1792" s="811"/>
      <c r="E1792" s="811"/>
      <c r="F1792" s="811"/>
      <c r="G1792" s="811"/>
      <c r="H1792" s="1109"/>
      <c r="I1792" s="347"/>
    </row>
    <row r="1793" spans="1:112" s="347" customFormat="1" ht="30" x14ac:dyDescent="0.2">
      <c r="A1793" s="605">
        <v>1763</v>
      </c>
      <c r="B1793" s="809" t="s">
        <v>2304</v>
      </c>
      <c r="C1793" s="773"/>
      <c r="D1793" s="773"/>
      <c r="E1793" s="773"/>
      <c r="F1793" s="773"/>
      <c r="G1793" s="773"/>
      <c r="H1793" s="1109"/>
    </row>
    <row r="1794" spans="1:112" s="347" customFormat="1" ht="30" x14ac:dyDescent="0.2">
      <c r="A1794" s="605">
        <v>1764</v>
      </c>
      <c r="B1794" s="809" t="s">
        <v>2303</v>
      </c>
      <c r="C1794" s="773"/>
      <c r="D1794" s="773"/>
      <c r="E1794" s="773"/>
      <c r="F1794" s="773"/>
      <c r="G1794" s="773"/>
      <c r="H1794" s="1109"/>
    </row>
    <row r="1795" spans="1:112" ht="15" x14ac:dyDescent="0.2">
      <c r="A1795" s="605">
        <v>1765</v>
      </c>
      <c r="B1795" s="809" t="s">
        <v>2302</v>
      </c>
      <c r="C1795" s="458"/>
      <c r="D1795" s="458"/>
      <c r="E1795" s="458"/>
      <c r="F1795" s="458"/>
      <c r="G1795" s="458"/>
      <c r="H1795" s="1111"/>
      <c r="I1795" s="345"/>
      <c r="J1795" s="345"/>
      <c r="K1795" s="345"/>
      <c r="L1795" s="345"/>
      <c r="M1795" s="345"/>
      <c r="N1795" s="345"/>
      <c r="O1795" s="345"/>
      <c r="P1795" s="345"/>
      <c r="Q1795" s="345"/>
      <c r="R1795" s="345"/>
      <c r="S1795" s="345"/>
      <c r="T1795" s="345"/>
      <c r="U1795" s="345"/>
      <c r="V1795" s="345"/>
      <c r="W1795" s="345"/>
      <c r="X1795" s="345"/>
      <c r="Y1795" s="345"/>
      <c r="Z1795" s="345"/>
      <c r="AA1795" s="345"/>
      <c r="AB1795" s="345"/>
      <c r="AC1795" s="345"/>
      <c r="AD1795" s="345"/>
      <c r="AE1795" s="345"/>
    </row>
    <row r="1796" spans="1:112" s="791" customFormat="1" ht="15" x14ac:dyDescent="0.25">
      <c r="A1796" s="605">
        <v>1766</v>
      </c>
      <c r="B1796" s="777" t="s">
        <v>2301</v>
      </c>
      <c r="C1796" s="777"/>
      <c r="D1796" s="777"/>
      <c r="E1796" s="777"/>
      <c r="F1796" s="777"/>
      <c r="G1796" s="777"/>
      <c r="H1796" s="1030"/>
      <c r="I1796" s="347"/>
      <c r="J1796" s="792"/>
      <c r="K1796" s="792"/>
      <c r="L1796" s="792"/>
      <c r="M1796" s="792"/>
      <c r="N1796" s="792"/>
      <c r="O1796" s="792"/>
      <c r="P1796" s="792"/>
      <c r="Q1796" s="792"/>
      <c r="R1796" s="792"/>
      <c r="S1796" s="792"/>
      <c r="T1796" s="792"/>
    </row>
    <row r="1797" spans="1:112" s="411" customFormat="1" ht="45" x14ac:dyDescent="0.25">
      <c r="A1797" s="605">
        <v>1767</v>
      </c>
      <c r="B1797" s="808" t="s">
        <v>2300</v>
      </c>
      <c r="C1797" s="278"/>
      <c r="D1797" s="278"/>
      <c r="E1797" s="278"/>
      <c r="F1797" s="278"/>
      <c r="G1797" s="278"/>
      <c r="H1797" s="1112"/>
      <c r="I1797" s="347"/>
      <c r="J1797" s="794"/>
      <c r="K1797" s="794"/>
      <c r="L1797" s="794"/>
      <c r="M1797" s="794"/>
      <c r="N1797" s="794"/>
      <c r="O1797" s="794"/>
      <c r="P1797" s="794"/>
      <c r="Q1797" s="794"/>
      <c r="R1797" s="794"/>
      <c r="S1797" s="794"/>
      <c r="T1797" s="794"/>
      <c r="U1797" s="793"/>
      <c r="V1797" s="793"/>
      <c r="W1797" s="793"/>
      <c r="X1797" s="793"/>
      <c r="Y1797" s="793"/>
      <c r="Z1797" s="793"/>
      <c r="AA1797" s="793"/>
      <c r="AB1797" s="793"/>
      <c r="AC1797" s="793"/>
      <c r="AD1797" s="793"/>
      <c r="AE1797" s="793"/>
      <c r="AF1797" s="793"/>
      <c r="AG1797" s="793"/>
      <c r="AH1797" s="793"/>
      <c r="AI1797" s="793"/>
      <c r="AJ1797" s="793"/>
      <c r="AK1797" s="793"/>
      <c r="AL1797" s="793"/>
      <c r="AM1797" s="793"/>
      <c r="AN1797" s="793"/>
      <c r="AO1797" s="793"/>
      <c r="AP1797" s="793"/>
      <c r="AQ1797" s="793"/>
      <c r="AR1797" s="793"/>
      <c r="AS1797" s="793"/>
      <c r="AT1797" s="793"/>
      <c r="AU1797" s="793"/>
      <c r="AV1797" s="793"/>
      <c r="AW1797" s="793"/>
      <c r="AX1797" s="793"/>
      <c r="AY1797" s="793"/>
      <c r="AZ1797" s="793"/>
      <c r="BA1797" s="793"/>
      <c r="BB1797" s="793"/>
      <c r="BC1797" s="793"/>
      <c r="BD1797" s="793"/>
      <c r="BE1797" s="793"/>
      <c r="BF1797" s="793"/>
      <c r="BG1797" s="793"/>
      <c r="BH1797" s="793"/>
      <c r="BI1797" s="793"/>
      <c r="BJ1797" s="793"/>
      <c r="BK1797" s="793"/>
      <c r="BL1797" s="793"/>
      <c r="BM1797" s="793"/>
      <c r="BN1797" s="793"/>
      <c r="BO1797" s="793"/>
      <c r="BP1797" s="793"/>
      <c r="BQ1797" s="793"/>
      <c r="BR1797" s="793"/>
      <c r="BS1797" s="793"/>
      <c r="BT1797" s="793"/>
      <c r="BU1797" s="793"/>
      <c r="BV1797" s="793"/>
      <c r="BW1797" s="793"/>
      <c r="BX1797" s="793"/>
      <c r="BY1797" s="793"/>
      <c r="BZ1797" s="793"/>
      <c r="CA1797" s="793"/>
      <c r="CB1797" s="793"/>
      <c r="CC1797" s="793"/>
      <c r="CD1797" s="793"/>
      <c r="CE1797" s="793"/>
      <c r="CF1797" s="793"/>
      <c r="CG1797" s="793"/>
      <c r="CH1797" s="793"/>
      <c r="CI1797" s="793"/>
      <c r="CJ1797" s="793"/>
      <c r="CK1797" s="793"/>
      <c r="CL1797" s="793"/>
      <c r="CM1797" s="793"/>
      <c r="CN1797" s="793"/>
      <c r="CO1797" s="793"/>
      <c r="CP1797" s="793"/>
      <c r="CQ1797" s="793"/>
      <c r="CR1797" s="793"/>
      <c r="CS1797" s="793"/>
      <c r="CT1797" s="793"/>
      <c r="CU1797" s="793"/>
      <c r="CV1797" s="793"/>
      <c r="CW1797" s="793"/>
      <c r="CX1797" s="793"/>
      <c r="CY1797" s="793"/>
      <c r="CZ1797" s="793"/>
      <c r="DA1797" s="793"/>
      <c r="DB1797" s="793"/>
      <c r="DC1797" s="793"/>
      <c r="DD1797" s="793"/>
      <c r="DE1797" s="793"/>
      <c r="DF1797" s="793"/>
      <c r="DG1797" s="793"/>
      <c r="DH1797" s="793"/>
    </row>
    <row r="1798" spans="1:112" s="347" customFormat="1" ht="30" x14ac:dyDescent="0.25">
      <c r="A1798" s="605">
        <v>1768</v>
      </c>
      <c r="B1798" s="807" t="s">
        <v>2299</v>
      </c>
      <c r="C1798" s="797"/>
      <c r="D1798" s="797"/>
      <c r="E1798" s="797"/>
      <c r="F1798" s="797"/>
      <c r="G1798" s="797"/>
      <c r="H1798" s="1089"/>
      <c r="J1798" s="794"/>
      <c r="K1798" s="794"/>
      <c r="L1798" s="794"/>
      <c r="M1798" s="794"/>
      <c r="N1798" s="794"/>
      <c r="O1798" s="794"/>
      <c r="P1798" s="794"/>
      <c r="Q1798" s="794"/>
      <c r="R1798" s="794"/>
      <c r="S1798" s="794"/>
      <c r="T1798" s="794"/>
      <c r="U1798" s="794"/>
      <c r="V1798" s="794"/>
      <c r="W1798" s="794"/>
      <c r="X1798" s="794"/>
      <c r="Y1798" s="794"/>
      <c r="Z1798" s="794"/>
      <c r="AA1798" s="794"/>
      <c r="AB1798" s="794"/>
      <c r="AC1798" s="794"/>
      <c r="AD1798" s="794"/>
      <c r="AE1798" s="794"/>
      <c r="AF1798" s="794"/>
      <c r="AG1798" s="794"/>
      <c r="AH1798" s="794"/>
      <c r="AI1798" s="794"/>
      <c r="AJ1798" s="794"/>
      <c r="AK1798" s="794"/>
      <c r="AL1798" s="794"/>
      <c r="AM1798" s="794"/>
      <c r="AN1798" s="794"/>
      <c r="AO1798" s="794"/>
      <c r="AP1798" s="794"/>
      <c r="AQ1798" s="794"/>
      <c r="AR1798" s="794"/>
      <c r="AS1798" s="794"/>
      <c r="AT1798" s="794"/>
      <c r="AU1798" s="794"/>
      <c r="AV1798" s="794"/>
      <c r="AW1798" s="794"/>
      <c r="AX1798" s="794"/>
      <c r="AY1798" s="794"/>
      <c r="AZ1798" s="794"/>
      <c r="BA1798" s="794"/>
      <c r="BB1798" s="794"/>
      <c r="BC1798" s="794"/>
      <c r="BD1798" s="794"/>
      <c r="BE1798" s="794"/>
      <c r="BF1798" s="794"/>
      <c r="BG1798" s="794"/>
      <c r="BH1798" s="794"/>
      <c r="BI1798" s="794"/>
      <c r="BJ1798" s="794"/>
      <c r="BK1798" s="794"/>
      <c r="BL1798" s="794"/>
      <c r="BM1798" s="794"/>
      <c r="BN1798" s="794"/>
      <c r="BO1798" s="794"/>
      <c r="BP1798" s="794"/>
      <c r="BQ1798" s="794"/>
      <c r="BR1798" s="794"/>
      <c r="BS1798" s="794"/>
      <c r="BT1798" s="794"/>
      <c r="BU1798" s="794"/>
      <c r="BV1798" s="794"/>
      <c r="BW1798" s="794"/>
      <c r="BX1798" s="794"/>
      <c r="BY1798" s="794"/>
      <c r="BZ1798" s="794"/>
      <c r="CA1798" s="794"/>
      <c r="CB1798" s="794"/>
      <c r="CC1798" s="794"/>
      <c r="CD1798" s="794"/>
      <c r="CE1798" s="794"/>
      <c r="CF1798" s="794"/>
      <c r="CG1798" s="794"/>
      <c r="CH1798" s="794"/>
      <c r="CI1798" s="794"/>
      <c r="CJ1798" s="794"/>
      <c r="CK1798" s="794"/>
      <c r="CL1798" s="794"/>
      <c r="CM1798" s="794"/>
      <c r="CN1798" s="794"/>
      <c r="CO1798" s="794"/>
      <c r="CP1798" s="794"/>
      <c r="CQ1798" s="794"/>
      <c r="CR1798" s="794"/>
      <c r="CS1798" s="794"/>
      <c r="CT1798" s="794"/>
      <c r="CU1798" s="794"/>
      <c r="CV1798" s="794"/>
      <c r="CW1798" s="794"/>
      <c r="CX1798" s="794"/>
      <c r="CY1798" s="794"/>
      <c r="CZ1798" s="794"/>
      <c r="DA1798" s="794"/>
      <c r="DB1798" s="794"/>
      <c r="DC1798" s="794"/>
      <c r="DD1798" s="794"/>
      <c r="DE1798" s="794"/>
      <c r="DF1798" s="794"/>
      <c r="DG1798" s="794"/>
      <c r="DH1798" s="794"/>
    </row>
    <row r="1799" spans="1:112" s="347" customFormat="1" ht="15" x14ac:dyDescent="0.25">
      <c r="A1799" s="605">
        <v>1769</v>
      </c>
      <c r="B1799" s="805" t="s">
        <v>2298</v>
      </c>
      <c r="C1799" s="804"/>
      <c r="D1799" s="804"/>
      <c r="E1799" s="804"/>
      <c r="F1799" s="804"/>
      <c r="G1799" s="804"/>
      <c r="H1799" s="1089"/>
      <c r="J1799" s="794"/>
      <c r="K1799" s="794"/>
      <c r="L1799" s="794"/>
      <c r="M1799" s="794"/>
      <c r="N1799" s="794"/>
      <c r="O1799" s="794"/>
      <c r="P1799" s="794"/>
      <c r="Q1799" s="794"/>
      <c r="R1799" s="794"/>
      <c r="S1799" s="794"/>
      <c r="T1799" s="794"/>
      <c r="U1799" s="794"/>
      <c r="V1799" s="794"/>
      <c r="W1799" s="794"/>
      <c r="X1799" s="794"/>
      <c r="Y1799" s="794"/>
      <c r="Z1799" s="794"/>
      <c r="AA1799" s="794"/>
      <c r="AB1799" s="794"/>
      <c r="AC1799" s="794"/>
      <c r="AD1799" s="794"/>
      <c r="AE1799" s="794"/>
      <c r="AF1799" s="794"/>
      <c r="AG1799" s="794"/>
      <c r="AH1799" s="794"/>
      <c r="AI1799" s="794"/>
      <c r="AJ1799" s="794"/>
      <c r="AK1799" s="794"/>
      <c r="AL1799" s="794"/>
      <c r="AM1799" s="794"/>
      <c r="AN1799" s="794"/>
      <c r="AO1799" s="794"/>
      <c r="AP1799" s="794"/>
      <c r="AQ1799" s="794"/>
      <c r="AR1799" s="794"/>
      <c r="AS1799" s="794"/>
      <c r="AT1799" s="794"/>
      <c r="AU1799" s="794"/>
      <c r="AV1799" s="794"/>
      <c r="AW1799" s="794"/>
      <c r="AX1799" s="794"/>
      <c r="AY1799" s="794"/>
      <c r="AZ1799" s="794"/>
      <c r="BA1799" s="794"/>
      <c r="BB1799" s="794"/>
      <c r="BC1799" s="794"/>
      <c r="BD1799" s="794"/>
      <c r="BE1799" s="794"/>
      <c r="BF1799" s="794"/>
      <c r="BG1799" s="794"/>
      <c r="BH1799" s="794"/>
      <c r="BI1799" s="794"/>
      <c r="BJ1799" s="794"/>
      <c r="BK1799" s="794"/>
      <c r="BL1799" s="794"/>
      <c r="BM1799" s="794"/>
      <c r="BN1799" s="794"/>
      <c r="BO1799" s="794"/>
      <c r="BP1799" s="794"/>
      <c r="BQ1799" s="794"/>
      <c r="BR1799" s="794"/>
      <c r="BS1799" s="794"/>
      <c r="BT1799" s="794"/>
      <c r="BU1799" s="794"/>
      <c r="BV1799" s="794"/>
      <c r="BW1799" s="794"/>
      <c r="BX1799" s="794"/>
      <c r="BY1799" s="794"/>
      <c r="BZ1799" s="794"/>
      <c r="CA1799" s="794"/>
      <c r="CB1799" s="794"/>
      <c r="CC1799" s="794"/>
      <c r="CD1799" s="794"/>
      <c r="CE1799" s="794"/>
      <c r="CF1799" s="794"/>
      <c r="CG1799" s="794"/>
      <c r="CH1799" s="794"/>
      <c r="CI1799" s="794"/>
      <c r="CJ1799" s="794"/>
      <c r="CK1799" s="794"/>
      <c r="CL1799" s="794"/>
      <c r="CM1799" s="794"/>
      <c r="CN1799" s="794"/>
      <c r="CO1799" s="794"/>
      <c r="CP1799" s="794"/>
      <c r="CQ1799" s="794"/>
      <c r="CR1799" s="794"/>
      <c r="CS1799" s="794"/>
      <c r="CT1799" s="794"/>
      <c r="CU1799" s="794"/>
      <c r="CV1799" s="794"/>
      <c r="CW1799" s="794"/>
      <c r="CX1799" s="794"/>
      <c r="CY1799" s="794"/>
      <c r="CZ1799" s="794"/>
      <c r="DA1799" s="794"/>
      <c r="DB1799" s="794"/>
      <c r="DC1799" s="794"/>
      <c r="DD1799" s="794"/>
      <c r="DE1799" s="794"/>
      <c r="DF1799" s="794"/>
      <c r="DG1799" s="794"/>
      <c r="DH1799" s="794"/>
    </row>
    <row r="1800" spans="1:112" s="411" customFormat="1" ht="15" x14ac:dyDescent="0.25">
      <c r="A1800" s="605">
        <v>1770</v>
      </c>
      <c r="B1800" s="806" t="s">
        <v>236</v>
      </c>
      <c r="C1800" s="795"/>
      <c r="D1800" s="795"/>
      <c r="E1800" s="795"/>
      <c r="F1800" s="795"/>
      <c r="G1800" s="795"/>
      <c r="H1800" s="1111"/>
      <c r="I1800" s="347"/>
      <c r="J1800" s="794"/>
      <c r="K1800" s="794"/>
      <c r="L1800" s="794"/>
      <c r="M1800" s="794"/>
      <c r="N1800" s="794"/>
      <c r="O1800" s="794"/>
      <c r="P1800" s="794"/>
      <c r="Q1800" s="794"/>
      <c r="R1800" s="794"/>
      <c r="S1800" s="794"/>
      <c r="T1800" s="794"/>
      <c r="U1800" s="793"/>
      <c r="V1800" s="793"/>
      <c r="W1800" s="793"/>
      <c r="X1800" s="793"/>
      <c r="Y1800" s="793"/>
      <c r="Z1800" s="793"/>
      <c r="AA1800" s="793"/>
      <c r="AB1800" s="793"/>
      <c r="AC1800" s="793"/>
      <c r="AD1800" s="793"/>
      <c r="AE1800" s="793"/>
      <c r="AF1800" s="793"/>
      <c r="AG1800" s="793"/>
      <c r="AH1800" s="793"/>
      <c r="AI1800" s="793"/>
      <c r="AJ1800" s="793"/>
      <c r="AK1800" s="793"/>
      <c r="AL1800" s="793"/>
      <c r="AM1800" s="793"/>
      <c r="AN1800" s="793"/>
      <c r="AO1800" s="793"/>
      <c r="AP1800" s="793"/>
      <c r="AQ1800" s="793"/>
      <c r="AR1800" s="793"/>
      <c r="AS1800" s="793"/>
      <c r="AT1800" s="793"/>
      <c r="AU1800" s="793"/>
      <c r="AV1800" s="793"/>
      <c r="AW1800" s="793"/>
      <c r="AX1800" s="793"/>
      <c r="AY1800" s="793"/>
      <c r="AZ1800" s="793"/>
      <c r="BA1800" s="793"/>
      <c r="BB1800" s="793"/>
      <c r="BC1800" s="793"/>
      <c r="BD1800" s="793"/>
      <c r="BE1800" s="793"/>
      <c r="BF1800" s="793"/>
      <c r="BG1800" s="793"/>
      <c r="BH1800" s="793"/>
      <c r="BI1800" s="793"/>
      <c r="BJ1800" s="793"/>
      <c r="BK1800" s="793"/>
      <c r="BL1800" s="793"/>
      <c r="BM1800" s="793"/>
      <c r="BN1800" s="793"/>
      <c r="BO1800" s="793"/>
      <c r="BP1800" s="793"/>
      <c r="BQ1800" s="793"/>
      <c r="BR1800" s="793"/>
      <c r="BS1800" s="793"/>
      <c r="BT1800" s="793"/>
      <c r="BU1800" s="793"/>
      <c r="BV1800" s="793"/>
      <c r="BW1800" s="793"/>
      <c r="BX1800" s="793"/>
      <c r="BY1800" s="793"/>
      <c r="BZ1800" s="793"/>
      <c r="CA1800" s="793"/>
      <c r="CB1800" s="793"/>
      <c r="CC1800" s="793"/>
      <c r="CD1800" s="793"/>
      <c r="CE1800" s="793"/>
      <c r="CF1800" s="793"/>
      <c r="CG1800" s="793"/>
      <c r="CH1800" s="793"/>
      <c r="CI1800" s="793"/>
      <c r="CJ1800" s="793"/>
      <c r="CK1800" s="793"/>
      <c r="CL1800" s="793"/>
      <c r="CM1800" s="793"/>
      <c r="CN1800" s="793"/>
      <c r="CO1800" s="793"/>
      <c r="CP1800" s="793"/>
      <c r="CQ1800" s="793"/>
      <c r="CR1800" s="793"/>
      <c r="CS1800" s="793"/>
      <c r="CT1800" s="793"/>
      <c r="CU1800" s="793"/>
      <c r="CV1800" s="793"/>
      <c r="CW1800" s="793"/>
      <c r="CX1800" s="793"/>
      <c r="CY1800" s="793"/>
      <c r="CZ1800" s="793"/>
      <c r="DA1800" s="793"/>
      <c r="DB1800" s="793"/>
      <c r="DC1800" s="793"/>
      <c r="DD1800" s="793"/>
      <c r="DE1800" s="793"/>
      <c r="DF1800" s="793"/>
      <c r="DG1800" s="793"/>
      <c r="DH1800" s="793"/>
    </row>
    <row r="1801" spans="1:112" s="411" customFormat="1" ht="15" x14ac:dyDescent="0.25">
      <c r="A1801" s="605">
        <v>1771</v>
      </c>
      <c r="B1801" s="806" t="s">
        <v>625</v>
      </c>
      <c r="C1801" s="795"/>
      <c r="D1801" s="795"/>
      <c r="E1801" s="795"/>
      <c r="F1801" s="795"/>
      <c r="G1801" s="795"/>
      <c r="H1801" s="1111"/>
      <c r="I1801" s="347"/>
      <c r="J1801" s="794"/>
      <c r="K1801" s="794"/>
      <c r="L1801" s="794"/>
      <c r="M1801" s="794"/>
      <c r="N1801" s="794"/>
      <c r="O1801" s="794"/>
      <c r="P1801" s="794"/>
      <c r="Q1801" s="794"/>
      <c r="R1801" s="794"/>
      <c r="S1801" s="794"/>
      <c r="T1801" s="794"/>
      <c r="U1801" s="793"/>
      <c r="V1801" s="793"/>
      <c r="W1801" s="793"/>
      <c r="X1801" s="793"/>
      <c r="Y1801" s="793"/>
      <c r="Z1801" s="793"/>
      <c r="AA1801" s="793"/>
      <c r="AB1801" s="793"/>
      <c r="AC1801" s="793"/>
      <c r="AD1801" s="793"/>
      <c r="AE1801" s="793"/>
      <c r="AF1801" s="793"/>
      <c r="AG1801" s="793"/>
      <c r="AH1801" s="793"/>
      <c r="AI1801" s="793"/>
      <c r="AJ1801" s="793"/>
      <c r="AK1801" s="793"/>
      <c r="AL1801" s="793"/>
      <c r="AM1801" s="793"/>
      <c r="AN1801" s="793"/>
      <c r="AO1801" s="793"/>
      <c r="AP1801" s="793"/>
      <c r="AQ1801" s="793"/>
      <c r="AR1801" s="793"/>
      <c r="AS1801" s="793"/>
      <c r="AT1801" s="793"/>
      <c r="AU1801" s="793"/>
      <c r="AV1801" s="793"/>
      <c r="AW1801" s="793"/>
      <c r="AX1801" s="793"/>
      <c r="AY1801" s="793"/>
      <c r="AZ1801" s="793"/>
      <c r="BA1801" s="793"/>
      <c r="BB1801" s="793"/>
      <c r="BC1801" s="793"/>
      <c r="BD1801" s="793"/>
      <c r="BE1801" s="793"/>
      <c r="BF1801" s="793"/>
      <c r="BG1801" s="793"/>
      <c r="BH1801" s="793"/>
      <c r="BI1801" s="793"/>
      <c r="BJ1801" s="793"/>
      <c r="BK1801" s="793"/>
      <c r="BL1801" s="793"/>
      <c r="BM1801" s="793"/>
      <c r="BN1801" s="793"/>
      <c r="BO1801" s="793"/>
      <c r="BP1801" s="793"/>
      <c r="BQ1801" s="793"/>
      <c r="BR1801" s="793"/>
      <c r="BS1801" s="793"/>
      <c r="BT1801" s="793"/>
      <c r="BU1801" s="793"/>
      <c r="BV1801" s="793"/>
      <c r="BW1801" s="793"/>
      <c r="BX1801" s="793"/>
      <c r="BY1801" s="793"/>
      <c r="BZ1801" s="793"/>
      <c r="CA1801" s="793"/>
      <c r="CB1801" s="793"/>
      <c r="CC1801" s="793"/>
      <c r="CD1801" s="793"/>
      <c r="CE1801" s="793"/>
      <c r="CF1801" s="793"/>
      <c r="CG1801" s="793"/>
      <c r="CH1801" s="793"/>
      <c r="CI1801" s="793"/>
      <c r="CJ1801" s="793"/>
      <c r="CK1801" s="793"/>
      <c r="CL1801" s="793"/>
      <c r="CM1801" s="793"/>
      <c r="CN1801" s="793"/>
      <c r="CO1801" s="793"/>
      <c r="CP1801" s="793"/>
      <c r="CQ1801" s="793"/>
      <c r="CR1801" s="793"/>
      <c r="CS1801" s="793"/>
      <c r="CT1801" s="793"/>
      <c r="CU1801" s="793"/>
      <c r="CV1801" s="793"/>
      <c r="CW1801" s="793"/>
      <c r="CX1801" s="793"/>
      <c r="CY1801" s="793"/>
      <c r="CZ1801" s="793"/>
      <c r="DA1801" s="793"/>
      <c r="DB1801" s="793"/>
      <c r="DC1801" s="793"/>
      <c r="DD1801" s="793"/>
      <c r="DE1801" s="793"/>
      <c r="DF1801" s="793"/>
      <c r="DG1801" s="793"/>
      <c r="DH1801" s="793"/>
    </row>
    <row r="1802" spans="1:112" s="411" customFormat="1" ht="15" x14ac:dyDescent="0.25">
      <c r="A1802" s="605">
        <v>1772</v>
      </c>
      <c r="B1802" s="806" t="s">
        <v>1605</v>
      </c>
      <c r="C1802" s="795"/>
      <c r="D1802" s="795"/>
      <c r="E1802" s="795"/>
      <c r="F1802" s="795"/>
      <c r="G1802" s="795"/>
      <c r="H1802" s="1111"/>
      <c r="I1802" s="347"/>
      <c r="J1802" s="794"/>
      <c r="K1802" s="794"/>
      <c r="L1802" s="794"/>
      <c r="M1802" s="794"/>
      <c r="N1802" s="794"/>
      <c r="O1802" s="794"/>
      <c r="P1802" s="794"/>
      <c r="Q1802" s="794"/>
      <c r="R1802" s="794"/>
      <c r="S1802" s="794"/>
      <c r="T1802" s="794"/>
      <c r="U1802" s="793"/>
      <c r="V1802" s="793"/>
      <c r="W1802" s="793"/>
      <c r="X1802" s="793"/>
      <c r="Y1802" s="793"/>
      <c r="Z1802" s="793"/>
      <c r="AA1802" s="793"/>
      <c r="AB1802" s="793"/>
      <c r="AC1802" s="793"/>
      <c r="AD1802" s="793"/>
      <c r="AE1802" s="793"/>
      <c r="AF1802" s="793"/>
      <c r="AG1802" s="793"/>
      <c r="AH1802" s="793"/>
      <c r="AI1802" s="793"/>
      <c r="AJ1802" s="793"/>
      <c r="AK1802" s="793"/>
      <c r="AL1802" s="793"/>
      <c r="AM1802" s="793"/>
      <c r="AN1802" s="793"/>
      <c r="AO1802" s="793"/>
      <c r="AP1802" s="793"/>
      <c r="AQ1802" s="793"/>
      <c r="AR1802" s="793"/>
      <c r="AS1802" s="793"/>
      <c r="AT1802" s="793"/>
      <c r="AU1802" s="793"/>
      <c r="AV1802" s="793"/>
      <c r="AW1802" s="793"/>
      <c r="AX1802" s="793"/>
      <c r="AY1802" s="793"/>
      <c r="AZ1802" s="793"/>
      <c r="BA1802" s="793"/>
      <c r="BB1802" s="793"/>
      <c r="BC1802" s="793"/>
      <c r="BD1802" s="793"/>
      <c r="BE1802" s="793"/>
      <c r="BF1802" s="793"/>
      <c r="BG1802" s="793"/>
      <c r="BH1802" s="793"/>
      <c r="BI1802" s="793"/>
      <c r="BJ1802" s="793"/>
      <c r="BK1802" s="793"/>
      <c r="BL1802" s="793"/>
      <c r="BM1802" s="793"/>
      <c r="BN1802" s="793"/>
      <c r="BO1802" s="793"/>
      <c r="BP1802" s="793"/>
      <c r="BQ1802" s="793"/>
      <c r="BR1802" s="793"/>
      <c r="BS1802" s="793"/>
      <c r="BT1802" s="793"/>
      <c r="BU1802" s="793"/>
      <c r="BV1802" s="793"/>
      <c r="BW1802" s="793"/>
      <c r="BX1802" s="793"/>
      <c r="BY1802" s="793"/>
      <c r="BZ1802" s="793"/>
      <c r="CA1802" s="793"/>
      <c r="CB1802" s="793"/>
      <c r="CC1802" s="793"/>
      <c r="CD1802" s="793"/>
      <c r="CE1802" s="793"/>
      <c r="CF1802" s="793"/>
      <c r="CG1802" s="793"/>
      <c r="CH1802" s="793"/>
      <c r="CI1802" s="793"/>
      <c r="CJ1802" s="793"/>
      <c r="CK1802" s="793"/>
      <c r="CL1802" s="793"/>
      <c r="CM1802" s="793"/>
      <c r="CN1802" s="793"/>
      <c r="CO1802" s="793"/>
      <c r="CP1802" s="793"/>
      <c r="CQ1802" s="793"/>
      <c r="CR1802" s="793"/>
      <c r="CS1802" s="793"/>
      <c r="CT1802" s="793"/>
      <c r="CU1802" s="793"/>
      <c r="CV1802" s="793"/>
      <c r="CW1802" s="793"/>
      <c r="CX1802" s="793"/>
      <c r="CY1802" s="793"/>
      <c r="CZ1802" s="793"/>
      <c r="DA1802" s="793"/>
      <c r="DB1802" s="793"/>
      <c r="DC1802" s="793"/>
      <c r="DD1802" s="793"/>
      <c r="DE1802" s="793"/>
      <c r="DF1802" s="793"/>
      <c r="DG1802" s="793"/>
      <c r="DH1802" s="793"/>
    </row>
    <row r="1803" spans="1:112" s="411" customFormat="1" ht="15" x14ac:dyDescent="0.25">
      <c r="A1803" s="605">
        <v>1773</v>
      </c>
      <c r="B1803" s="806" t="s">
        <v>2296</v>
      </c>
      <c r="C1803" s="795"/>
      <c r="D1803" s="795"/>
      <c r="E1803" s="795"/>
      <c r="F1803" s="795"/>
      <c r="G1803" s="795"/>
      <c r="H1803" s="1111"/>
      <c r="I1803" s="347"/>
      <c r="J1803" s="794"/>
      <c r="K1803" s="794"/>
      <c r="L1803" s="794"/>
      <c r="M1803" s="794"/>
      <c r="N1803" s="794"/>
      <c r="O1803" s="794"/>
      <c r="P1803" s="794"/>
      <c r="Q1803" s="794"/>
      <c r="R1803" s="794"/>
      <c r="S1803" s="794"/>
      <c r="T1803" s="794"/>
      <c r="U1803" s="793"/>
      <c r="V1803" s="793"/>
      <c r="W1803" s="793"/>
      <c r="X1803" s="793"/>
      <c r="Y1803" s="793"/>
      <c r="Z1803" s="793"/>
      <c r="AA1803" s="793"/>
      <c r="AB1803" s="793"/>
      <c r="AC1803" s="793"/>
      <c r="AD1803" s="793"/>
      <c r="AE1803" s="793"/>
      <c r="AF1803" s="793"/>
      <c r="AG1803" s="793"/>
      <c r="AH1803" s="793"/>
      <c r="AI1803" s="793"/>
      <c r="AJ1803" s="793"/>
      <c r="AK1803" s="793"/>
      <c r="AL1803" s="793"/>
      <c r="AM1803" s="793"/>
      <c r="AN1803" s="793"/>
      <c r="AO1803" s="793"/>
      <c r="AP1803" s="793"/>
      <c r="AQ1803" s="793"/>
      <c r="AR1803" s="793"/>
      <c r="AS1803" s="793"/>
      <c r="AT1803" s="793"/>
      <c r="AU1803" s="793"/>
      <c r="AV1803" s="793"/>
      <c r="AW1803" s="793"/>
      <c r="AX1803" s="793"/>
      <c r="AY1803" s="793"/>
      <c r="AZ1803" s="793"/>
      <c r="BA1803" s="793"/>
      <c r="BB1803" s="793"/>
      <c r="BC1803" s="793"/>
      <c r="BD1803" s="793"/>
      <c r="BE1803" s="793"/>
      <c r="BF1803" s="793"/>
      <c r="BG1803" s="793"/>
      <c r="BH1803" s="793"/>
      <c r="BI1803" s="793"/>
      <c r="BJ1803" s="793"/>
      <c r="BK1803" s="793"/>
      <c r="BL1803" s="793"/>
      <c r="BM1803" s="793"/>
      <c r="BN1803" s="793"/>
      <c r="BO1803" s="793"/>
      <c r="BP1803" s="793"/>
      <c r="BQ1803" s="793"/>
      <c r="BR1803" s="793"/>
      <c r="BS1803" s="793"/>
      <c r="BT1803" s="793"/>
      <c r="BU1803" s="793"/>
      <c r="BV1803" s="793"/>
      <c r="BW1803" s="793"/>
      <c r="BX1803" s="793"/>
      <c r="BY1803" s="793"/>
      <c r="BZ1803" s="793"/>
      <c r="CA1803" s="793"/>
      <c r="CB1803" s="793"/>
      <c r="CC1803" s="793"/>
      <c r="CD1803" s="793"/>
      <c r="CE1803" s="793"/>
      <c r="CF1803" s="793"/>
      <c r="CG1803" s="793"/>
      <c r="CH1803" s="793"/>
      <c r="CI1803" s="793"/>
      <c r="CJ1803" s="793"/>
      <c r="CK1803" s="793"/>
      <c r="CL1803" s="793"/>
      <c r="CM1803" s="793"/>
      <c r="CN1803" s="793"/>
      <c r="CO1803" s="793"/>
      <c r="CP1803" s="793"/>
      <c r="CQ1803" s="793"/>
      <c r="CR1803" s="793"/>
      <c r="CS1803" s="793"/>
      <c r="CT1803" s="793"/>
      <c r="CU1803" s="793"/>
      <c r="CV1803" s="793"/>
      <c r="CW1803" s="793"/>
      <c r="CX1803" s="793"/>
      <c r="CY1803" s="793"/>
      <c r="CZ1803" s="793"/>
      <c r="DA1803" s="793"/>
      <c r="DB1803" s="793"/>
      <c r="DC1803" s="793"/>
      <c r="DD1803" s="793"/>
      <c r="DE1803" s="793"/>
      <c r="DF1803" s="793"/>
      <c r="DG1803" s="793"/>
      <c r="DH1803" s="793"/>
    </row>
    <row r="1804" spans="1:112" s="347" customFormat="1" ht="15" x14ac:dyDescent="0.25">
      <c r="A1804" s="605">
        <v>1774</v>
      </c>
      <c r="B1804" s="805" t="s">
        <v>2297</v>
      </c>
      <c r="C1804" s="804"/>
      <c r="D1804" s="804"/>
      <c r="E1804" s="804"/>
      <c r="F1804" s="804"/>
      <c r="G1804" s="804"/>
      <c r="H1804" s="1089"/>
      <c r="J1804" s="794"/>
      <c r="K1804" s="794"/>
      <c r="L1804" s="794"/>
      <c r="M1804" s="794"/>
      <c r="N1804" s="794"/>
      <c r="O1804" s="794"/>
      <c r="P1804" s="794"/>
      <c r="Q1804" s="794"/>
      <c r="R1804" s="794"/>
      <c r="S1804" s="794"/>
      <c r="T1804" s="794"/>
      <c r="U1804" s="794"/>
      <c r="V1804" s="794"/>
      <c r="W1804" s="794"/>
      <c r="X1804" s="794"/>
      <c r="Y1804" s="794"/>
      <c r="Z1804" s="794"/>
      <c r="AA1804" s="794"/>
      <c r="AB1804" s="794"/>
      <c r="AC1804" s="794"/>
      <c r="AD1804" s="794"/>
      <c r="AE1804" s="794"/>
      <c r="AF1804" s="794"/>
      <c r="AG1804" s="794"/>
      <c r="AH1804" s="794"/>
      <c r="AI1804" s="794"/>
      <c r="AJ1804" s="794"/>
      <c r="AK1804" s="794"/>
      <c r="AL1804" s="794"/>
      <c r="AM1804" s="794"/>
      <c r="AN1804" s="794"/>
      <c r="AO1804" s="794"/>
      <c r="AP1804" s="794"/>
      <c r="AQ1804" s="794"/>
      <c r="AR1804" s="794"/>
      <c r="AS1804" s="794"/>
      <c r="AT1804" s="794"/>
      <c r="AU1804" s="794"/>
      <c r="AV1804" s="794"/>
      <c r="AW1804" s="794"/>
      <c r="AX1804" s="794"/>
      <c r="AY1804" s="794"/>
      <c r="AZ1804" s="794"/>
      <c r="BA1804" s="794"/>
      <c r="BB1804" s="794"/>
      <c r="BC1804" s="794"/>
      <c r="BD1804" s="794"/>
      <c r="BE1804" s="794"/>
      <c r="BF1804" s="794"/>
      <c r="BG1804" s="794"/>
      <c r="BH1804" s="794"/>
      <c r="BI1804" s="794"/>
      <c r="BJ1804" s="794"/>
      <c r="BK1804" s="794"/>
      <c r="BL1804" s="794"/>
      <c r="BM1804" s="794"/>
      <c r="BN1804" s="794"/>
      <c r="BO1804" s="794"/>
      <c r="BP1804" s="794"/>
      <c r="BQ1804" s="794"/>
      <c r="BR1804" s="794"/>
      <c r="BS1804" s="794"/>
      <c r="BT1804" s="794"/>
      <c r="BU1804" s="794"/>
      <c r="BV1804" s="794"/>
      <c r="BW1804" s="794"/>
      <c r="BX1804" s="794"/>
      <c r="BY1804" s="794"/>
      <c r="BZ1804" s="794"/>
      <c r="CA1804" s="794"/>
      <c r="CB1804" s="794"/>
      <c r="CC1804" s="794"/>
      <c r="CD1804" s="794"/>
      <c r="CE1804" s="794"/>
      <c r="CF1804" s="794"/>
      <c r="CG1804" s="794"/>
      <c r="CH1804" s="794"/>
      <c r="CI1804" s="794"/>
      <c r="CJ1804" s="794"/>
      <c r="CK1804" s="794"/>
      <c r="CL1804" s="794"/>
      <c r="CM1804" s="794"/>
      <c r="CN1804" s="794"/>
      <c r="CO1804" s="794"/>
      <c r="CP1804" s="794"/>
      <c r="CQ1804" s="794"/>
      <c r="CR1804" s="794"/>
      <c r="CS1804" s="794"/>
      <c r="CT1804" s="794"/>
      <c r="CU1804" s="794"/>
      <c r="CV1804" s="794"/>
      <c r="CW1804" s="794"/>
      <c r="CX1804" s="794"/>
      <c r="CY1804" s="794"/>
      <c r="CZ1804" s="794"/>
      <c r="DA1804" s="794"/>
      <c r="DB1804" s="794"/>
      <c r="DC1804" s="794"/>
      <c r="DD1804" s="794"/>
      <c r="DE1804" s="794"/>
      <c r="DF1804" s="794"/>
      <c r="DG1804" s="794"/>
      <c r="DH1804" s="794"/>
    </row>
    <row r="1805" spans="1:112" s="347" customFormat="1" ht="15" x14ac:dyDescent="0.25">
      <c r="A1805" s="605">
        <v>1775</v>
      </c>
      <c r="B1805" s="801" t="s">
        <v>236</v>
      </c>
      <c r="C1805" s="797"/>
      <c r="D1805" s="797"/>
      <c r="E1805" s="797"/>
      <c r="F1805" s="797"/>
      <c r="G1805" s="797"/>
      <c r="H1805" s="1089"/>
      <c r="J1805" s="794"/>
      <c r="K1805" s="794"/>
      <c r="L1805" s="794"/>
      <c r="M1805" s="794"/>
      <c r="N1805" s="794"/>
      <c r="O1805" s="794"/>
      <c r="P1805" s="794"/>
      <c r="Q1805" s="794"/>
      <c r="R1805" s="794"/>
      <c r="S1805" s="794"/>
      <c r="T1805" s="794"/>
      <c r="U1805" s="794"/>
      <c r="V1805" s="794"/>
      <c r="W1805" s="794"/>
      <c r="X1805" s="794"/>
      <c r="Y1805" s="794"/>
      <c r="Z1805" s="794"/>
      <c r="AA1805" s="794"/>
      <c r="AB1805" s="794"/>
      <c r="AC1805" s="794"/>
      <c r="AD1805" s="794"/>
      <c r="AE1805" s="794"/>
      <c r="AF1805" s="794"/>
      <c r="AG1805" s="794"/>
      <c r="AH1805" s="794"/>
      <c r="AI1805" s="794"/>
      <c r="AJ1805" s="794"/>
      <c r="AK1805" s="794"/>
      <c r="AL1805" s="794"/>
      <c r="AM1805" s="794"/>
      <c r="AN1805" s="794"/>
      <c r="AO1805" s="794"/>
      <c r="AP1805" s="794"/>
      <c r="AQ1805" s="794"/>
      <c r="AR1805" s="794"/>
      <c r="AS1805" s="794"/>
      <c r="AT1805" s="794"/>
      <c r="AU1805" s="794"/>
      <c r="AV1805" s="794"/>
      <c r="AW1805" s="794"/>
      <c r="AX1805" s="794"/>
      <c r="AY1805" s="794"/>
      <c r="AZ1805" s="794"/>
      <c r="BA1805" s="794"/>
      <c r="BB1805" s="794"/>
      <c r="BC1805" s="794"/>
      <c r="BD1805" s="794"/>
      <c r="BE1805" s="794"/>
      <c r="BF1805" s="794"/>
      <c r="BG1805" s="794"/>
      <c r="BH1805" s="794"/>
      <c r="BI1805" s="794"/>
      <c r="BJ1805" s="794"/>
      <c r="BK1805" s="794"/>
      <c r="BL1805" s="794"/>
      <c r="BM1805" s="794"/>
      <c r="BN1805" s="794"/>
      <c r="BO1805" s="794"/>
      <c r="BP1805" s="794"/>
      <c r="BQ1805" s="794"/>
      <c r="BR1805" s="794"/>
      <c r="BS1805" s="794"/>
      <c r="BT1805" s="794"/>
      <c r="BU1805" s="794"/>
      <c r="BV1805" s="794"/>
      <c r="BW1805" s="794"/>
      <c r="BX1805" s="794"/>
      <c r="BY1805" s="794"/>
      <c r="BZ1805" s="794"/>
      <c r="CA1805" s="794"/>
      <c r="CB1805" s="794"/>
      <c r="CC1805" s="794"/>
      <c r="CD1805" s="794"/>
      <c r="CE1805" s="794"/>
      <c r="CF1805" s="794"/>
      <c r="CG1805" s="794"/>
      <c r="CH1805" s="794"/>
      <c r="CI1805" s="794"/>
      <c r="CJ1805" s="794"/>
      <c r="CK1805" s="794"/>
      <c r="CL1805" s="794"/>
      <c r="CM1805" s="794"/>
      <c r="CN1805" s="794"/>
      <c r="CO1805" s="794"/>
      <c r="CP1805" s="794"/>
      <c r="CQ1805" s="794"/>
      <c r="CR1805" s="794"/>
      <c r="CS1805" s="794"/>
      <c r="CT1805" s="794"/>
      <c r="CU1805" s="794"/>
      <c r="CV1805" s="794"/>
      <c r="CW1805" s="794"/>
      <c r="CX1805" s="794"/>
      <c r="CY1805" s="794"/>
      <c r="CZ1805" s="794"/>
      <c r="DA1805" s="794"/>
      <c r="DB1805" s="794"/>
      <c r="DC1805" s="794"/>
      <c r="DD1805" s="794"/>
      <c r="DE1805" s="794"/>
      <c r="DF1805" s="794"/>
      <c r="DG1805" s="794"/>
      <c r="DH1805" s="794"/>
    </row>
    <row r="1806" spans="1:112" s="347" customFormat="1" ht="15" x14ac:dyDescent="0.25">
      <c r="A1806" s="605">
        <v>1776</v>
      </c>
      <c r="B1806" s="801" t="s">
        <v>625</v>
      </c>
      <c r="C1806" s="797"/>
      <c r="D1806" s="797"/>
      <c r="E1806" s="797"/>
      <c r="F1806" s="797"/>
      <c r="G1806" s="797"/>
      <c r="H1806" s="1089"/>
      <c r="J1806" s="794"/>
      <c r="K1806" s="794"/>
      <c r="L1806" s="794"/>
      <c r="M1806" s="794"/>
      <c r="N1806" s="794"/>
      <c r="O1806" s="794"/>
      <c r="P1806" s="794"/>
      <c r="Q1806" s="794"/>
      <c r="R1806" s="794"/>
      <c r="S1806" s="794"/>
      <c r="T1806" s="794"/>
      <c r="U1806" s="794"/>
      <c r="V1806" s="794"/>
      <c r="W1806" s="794"/>
      <c r="X1806" s="794"/>
      <c r="Y1806" s="794"/>
      <c r="Z1806" s="794"/>
      <c r="AA1806" s="794"/>
      <c r="AB1806" s="794"/>
      <c r="AC1806" s="794"/>
      <c r="AD1806" s="794"/>
      <c r="AE1806" s="794"/>
      <c r="AF1806" s="794"/>
      <c r="AG1806" s="794"/>
      <c r="AH1806" s="794"/>
      <c r="AI1806" s="794"/>
      <c r="AJ1806" s="794"/>
      <c r="AK1806" s="794"/>
      <c r="AL1806" s="794"/>
      <c r="AM1806" s="794"/>
      <c r="AN1806" s="794"/>
      <c r="AO1806" s="794"/>
      <c r="AP1806" s="794"/>
      <c r="AQ1806" s="794"/>
      <c r="AR1806" s="794"/>
      <c r="AS1806" s="794"/>
      <c r="AT1806" s="794"/>
      <c r="AU1806" s="794"/>
      <c r="AV1806" s="794"/>
      <c r="AW1806" s="794"/>
      <c r="AX1806" s="794"/>
      <c r="AY1806" s="794"/>
      <c r="AZ1806" s="794"/>
      <c r="BA1806" s="794"/>
      <c r="BB1806" s="794"/>
      <c r="BC1806" s="794"/>
      <c r="BD1806" s="794"/>
      <c r="BE1806" s="794"/>
      <c r="BF1806" s="794"/>
      <c r="BG1806" s="794"/>
      <c r="BH1806" s="794"/>
      <c r="BI1806" s="794"/>
      <c r="BJ1806" s="794"/>
      <c r="BK1806" s="794"/>
      <c r="BL1806" s="794"/>
      <c r="BM1806" s="794"/>
      <c r="BN1806" s="794"/>
      <c r="BO1806" s="794"/>
      <c r="BP1806" s="794"/>
      <c r="BQ1806" s="794"/>
      <c r="BR1806" s="794"/>
      <c r="BS1806" s="794"/>
      <c r="BT1806" s="794"/>
      <c r="BU1806" s="794"/>
      <c r="BV1806" s="794"/>
      <c r="BW1806" s="794"/>
      <c r="BX1806" s="794"/>
      <c r="BY1806" s="794"/>
      <c r="BZ1806" s="794"/>
      <c r="CA1806" s="794"/>
      <c r="CB1806" s="794"/>
      <c r="CC1806" s="794"/>
      <c r="CD1806" s="794"/>
      <c r="CE1806" s="794"/>
      <c r="CF1806" s="794"/>
      <c r="CG1806" s="794"/>
      <c r="CH1806" s="794"/>
      <c r="CI1806" s="794"/>
      <c r="CJ1806" s="794"/>
      <c r="CK1806" s="794"/>
      <c r="CL1806" s="794"/>
      <c r="CM1806" s="794"/>
      <c r="CN1806" s="794"/>
      <c r="CO1806" s="794"/>
      <c r="CP1806" s="794"/>
      <c r="CQ1806" s="794"/>
      <c r="CR1806" s="794"/>
      <c r="CS1806" s="794"/>
      <c r="CT1806" s="794"/>
      <c r="CU1806" s="794"/>
      <c r="CV1806" s="794"/>
      <c r="CW1806" s="794"/>
      <c r="CX1806" s="794"/>
      <c r="CY1806" s="794"/>
      <c r="CZ1806" s="794"/>
      <c r="DA1806" s="794"/>
      <c r="DB1806" s="794"/>
      <c r="DC1806" s="794"/>
      <c r="DD1806" s="794"/>
      <c r="DE1806" s="794"/>
      <c r="DF1806" s="794"/>
      <c r="DG1806" s="794"/>
      <c r="DH1806" s="794"/>
    </row>
    <row r="1807" spans="1:112" s="347" customFormat="1" ht="15" x14ac:dyDescent="0.25">
      <c r="A1807" s="605">
        <v>1777</v>
      </c>
      <c r="B1807" s="801" t="s">
        <v>1605</v>
      </c>
      <c r="C1807" s="797"/>
      <c r="D1807" s="797"/>
      <c r="E1807" s="797"/>
      <c r="F1807" s="797"/>
      <c r="G1807" s="797"/>
      <c r="H1807" s="1089"/>
      <c r="J1807" s="794"/>
      <c r="K1807" s="794"/>
      <c r="L1807" s="794"/>
      <c r="M1807" s="794"/>
      <c r="N1807" s="794"/>
      <c r="O1807" s="794"/>
      <c r="P1807" s="794"/>
      <c r="Q1807" s="794"/>
      <c r="R1807" s="794"/>
      <c r="S1807" s="794"/>
      <c r="T1807" s="794"/>
      <c r="U1807" s="794"/>
      <c r="V1807" s="794"/>
      <c r="W1807" s="794"/>
      <c r="X1807" s="794"/>
      <c r="Y1807" s="794"/>
      <c r="Z1807" s="794"/>
      <c r="AA1807" s="794"/>
      <c r="AB1807" s="794"/>
      <c r="AC1807" s="794"/>
      <c r="AD1807" s="794"/>
      <c r="AE1807" s="794"/>
      <c r="AF1807" s="794"/>
      <c r="AG1807" s="794"/>
      <c r="AH1807" s="794"/>
      <c r="AI1807" s="794"/>
      <c r="AJ1807" s="794"/>
      <c r="AK1807" s="794"/>
      <c r="AL1807" s="794"/>
      <c r="AM1807" s="794"/>
      <c r="AN1807" s="794"/>
      <c r="AO1807" s="794"/>
      <c r="AP1807" s="794"/>
      <c r="AQ1807" s="794"/>
      <c r="AR1807" s="794"/>
      <c r="AS1807" s="794"/>
      <c r="AT1807" s="794"/>
      <c r="AU1807" s="794"/>
      <c r="AV1807" s="794"/>
      <c r="AW1807" s="794"/>
      <c r="AX1807" s="794"/>
      <c r="AY1807" s="794"/>
      <c r="AZ1807" s="794"/>
      <c r="BA1807" s="794"/>
      <c r="BB1807" s="794"/>
      <c r="BC1807" s="794"/>
      <c r="BD1807" s="794"/>
      <c r="BE1807" s="794"/>
      <c r="BF1807" s="794"/>
      <c r="BG1807" s="794"/>
      <c r="BH1807" s="794"/>
      <c r="BI1807" s="794"/>
      <c r="BJ1807" s="794"/>
      <c r="BK1807" s="794"/>
      <c r="BL1807" s="794"/>
      <c r="BM1807" s="794"/>
      <c r="BN1807" s="794"/>
      <c r="BO1807" s="794"/>
      <c r="BP1807" s="794"/>
      <c r="BQ1807" s="794"/>
      <c r="BR1807" s="794"/>
      <c r="BS1807" s="794"/>
      <c r="BT1807" s="794"/>
      <c r="BU1807" s="794"/>
      <c r="BV1807" s="794"/>
      <c r="BW1807" s="794"/>
      <c r="BX1807" s="794"/>
      <c r="BY1807" s="794"/>
      <c r="BZ1807" s="794"/>
      <c r="CA1807" s="794"/>
      <c r="CB1807" s="794"/>
      <c r="CC1807" s="794"/>
      <c r="CD1807" s="794"/>
      <c r="CE1807" s="794"/>
      <c r="CF1807" s="794"/>
      <c r="CG1807" s="794"/>
      <c r="CH1807" s="794"/>
      <c r="CI1807" s="794"/>
      <c r="CJ1807" s="794"/>
      <c r="CK1807" s="794"/>
      <c r="CL1807" s="794"/>
      <c r="CM1807" s="794"/>
      <c r="CN1807" s="794"/>
      <c r="CO1807" s="794"/>
      <c r="CP1807" s="794"/>
      <c r="CQ1807" s="794"/>
      <c r="CR1807" s="794"/>
      <c r="CS1807" s="794"/>
      <c r="CT1807" s="794"/>
      <c r="CU1807" s="794"/>
      <c r="CV1807" s="794"/>
      <c r="CW1807" s="794"/>
      <c r="CX1807" s="794"/>
      <c r="CY1807" s="794"/>
      <c r="CZ1807" s="794"/>
      <c r="DA1807" s="794"/>
      <c r="DB1807" s="794"/>
      <c r="DC1807" s="794"/>
      <c r="DD1807" s="794"/>
      <c r="DE1807" s="794"/>
      <c r="DF1807" s="794"/>
      <c r="DG1807" s="794"/>
      <c r="DH1807" s="794"/>
    </row>
    <row r="1808" spans="1:112" s="347" customFormat="1" ht="15" x14ac:dyDescent="0.25">
      <c r="A1808" s="605">
        <v>1778</v>
      </c>
      <c r="B1808" s="801" t="s">
        <v>2296</v>
      </c>
      <c r="C1808" s="797"/>
      <c r="D1808" s="797"/>
      <c r="E1808" s="797"/>
      <c r="F1808" s="797"/>
      <c r="G1808" s="797"/>
      <c r="H1808" s="1089"/>
      <c r="J1808" s="794"/>
      <c r="K1808" s="794"/>
      <c r="L1808" s="794"/>
      <c r="M1808" s="794"/>
      <c r="N1808" s="794"/>
      <c r="O1808" s="794"/>
      <c r="P1808" s="794"/>
      <c r="Q1808" s="794"/>
      <c r="R1808" s="794"/>
      <c r="S1808" s="794"/>
      <c r="T1808" s="794"/>
      <c r="U1808" s="794"/>
      <c r="V1808" s="794"/>
      <c r="W1808" s="794"/>
      <c r="X1808" s="794"/>
      <c r="Y1808" s="794"/>
      <c r="Z1808" s="794"/>
      <c r="AA1808" s="794"/>
      <c r="AB1808" s="794"/>
      <c r="AC1808" s="794"/>
      <c r="AD1808" s="794"/>
      <c r="AE1808" s="794"/>
      <c r="AF1808" s="794"/>
      <c r="AG1808" s="794"/>
      <c r="AH1808" s="794"/>
      <c r="AI1808" s="794"/>
      <c r="AJ1808" s="794"/>
      <c r="AK1808" s="794"/>
      <c r="AL1808" s="794"/>
      <c r="AM1808" s="794"/>
      <c r="AN1808" s="794"/>
      <c r="AO1808" s="794"/>
      <c r="AP1808" s="794"/>
      <c r="AQ1808" s="794"/>
      <c r="AR1808" s="794"/>
      <c r="AS1808" s="794"/>
      <c r="AT1808" s="794"/>
      <c r="AU1808" s="794"/>
      <c r="AV1808" s="794"/>
      <c r="AW1808" s="794"/>
      <c r="AX1808" s="794"/>
      <c r="AY1808" s="794"/>
      <c r="AZ1808" s="794"/>
      <c r="BA1808" s="794"/>
      <c r="BB1808" s="794"/>
      <c r="BC1808" s="794"/>
      <c r="BD1808" s="794"/>
      <c r="BE1808" s="794"/>
      <c r="BF1808" s="794"/>
      <c r="BG1808" s="794"/>
      <c r="BH1808" s="794"/>
      <c r="BI1808" s="794"/>
      <c r="BJ1808" s="794"/>
      <c r="BK1808" s="794"/>
      <c r="BL1808" s="794"/>
      <c r="BM1808" s="794"/>
      <c r="BN1808" s="794"/>
      <c r="BO1808" s="794"/>
      <c r="BP1808" s="794"/>
      <c r="BQ1808" s="794"/>
      <c r="BR1808" s="794"/>
      <c r="BS1808" s="794"/>
      <c r="BT1808" s="794"/>
      <c r="BU1808" s="794"/>
      <c r="BV1808" s="794"/>
      <c r="BW1808" s="794"/>
      <c r="BX1808" s="794"/>
      <c r="BY1808" s="794"/>
      <c r="BZ1808" s="794"/>
      <c r="CA1808" s="794"/>
      <c r="CB1808" s="794"/>
      <c r="CC1808" s="794"/>
      <c r="CD1808" s="794"/>
      <c r="CE1808" s="794"/>
      <c r="CF1808" s="794"/>
      <c r="CG1808" s="794"/>
      <c r="CH1808" s="794"/>
      <c r="CI1808" s="794"/>
      <c r="CJ1808" s="794"/>
      <c r="CK1808" s="794"/>
      <c r="CL1808" s="794"/>
      <c r="CM1808" s="794"/>
      <c r="CN1808" s="794"/>
      <c r="CO1808" s="794"/>
      <c r="CP1808" s="794"/>
      <c r="CQ1808" s="794"/>
      <c r="CR1808" s="794"/>
      <c r="CS1808" s="794"/>
      <c r="CT1808" s="794"/>
      <c r="CU1808" s="794"/>
      <c r="CV1808" s="794"/>
      <c r="CW1808" s="794"/>
      <c r="CX1808" s="794"/>
      <c r="CY1808" s="794"/>
      <c r="CZ1808" s="794"/>
      <c r="DA1808" s="794"/>
      <c r="DB1808" s="794"/>
      <c r="DC1808" s="794"/>
      <c r="DD1808" s="794"/>
      <c r="DE1808" s="794"/>
      <c r="DF1808" s="794"/>
      <c r="DG1808" s="794"/>
      <c r="DH1808" s="794"/>
    </row>
    <row r="1809" spans="1:112" s="411" customFormat="1" ht="15" x14ac:dyDescent="0.25">
      <c r="A1809" s="605">
        <v>1779</v>
      </c>
      <c r="B1809" s="803" t="s">
        <v>2295</v>
      </c>
      <c r="C1809" s="795"/>
      <c r="D1809" s="795"/>
      <c r="E1809" s="795"/>
      <c r="F1809" s="795"/>
      <c r="G1809" s="795"/>
      <c r="H1809" s="1111"/>
      <c r="I1809" s="347"/>
      <c r="J1809" s="794"/>
      <c r="K1809" s="794"/>
      <c r="L1809" s="794"/>
      <c r="M1809" s="794"/>
      <c r="N1809" s="794"/>
      <c r="O1809" s="794"/>
      <c r="P1809" s="794"/>
      <c r="Q1809" s="794"/>
      <c r="R1809" s="794"/>
      <c r="S1809" s="794"/>
      <c r="T1809" s="794"/>
      <c r="U1809" s="793"/>
      <c r="V1809" s="793"/>
      <c r="W1809" s="793"/>
      <c r="X1809" s="793"/>
      <c r="Y1809" s="793"/>
      <c r="Z1809" s="793"/>
      <c r="AA1809" s="793"/>
      <c r="AB1809" s="793"/>
      <c r="AC1809" s="793"/>
      <c r="AD1809" s="793"/>
      <c r="AE1809" s="793"/>
      <c r="AF1809" s="793"/>
      <c r="AG1809" s="793"/>
      <c r="AH1809" s="793"/>
      <c r="AI1809" s="793"/>
      <c r="AJ1809" s="793"/>
      <c r="AK1809" s="793"/>
      <c r="AL1809" s="793"/>
      <c r="AM1809" s="793"/>
      <c r="AN1809" s="793"/>
      <c r="AO1809" s="793"/>
      <c r="AP1809" s="793"/>
      <c r="AQ1809" s="793"/>
      <c r="AR1809" s="793"/>
      <c r="AS1809" s="793"/>
      <c r="AT1809" s="793"/>
      <c r="AU1809" s="793"/>
      <c r="AV1809" s="793"/>
      <c r="AW1809" s="793"/>
      <c r="AX1809" s="793"/>
      <c r="AY1809" s="793"/>
      <c r="AZ1809" s="793"/>
      <c r="BA1809" s="793"/>
      <c r="BB1809" s="793"/>
      <c r="BC1809" s="793"/>
      <c r="BD1809" s="793"/>
      <c r="BE1809" s="793"/>
      <c r="BF1809" s="793"/>
      <c r="BG1809" s="793"/>
      <c r="BH1809" s="793"/>
      <c r="BI1809" s="793"/>
      <c r="BJ1809" s="793"/>
      <c r="BK1809" s="793"/>
      <c r="BL1809" s="793"/>
      <c r="BM1809" s="793"/>
      <c r="BN1809" s="793"/>
      <c r="BO1809" s="793"/>
      <c r="BP1809" s="793"/>
      <c r="BQ1809" s="793"/>
      <c r="BR1809" s="793"/>
      <c r="BS1809" s="793"/>
      <c r="BT1809" s="793"/>
      <c r="BU1809" s="793"/>
      <c r="BV1809" s="793"/>
      <c r="BW1809" s="793"/>
      <c r="BX1809" s="793"/>
      <c r="BY1809" s="793"/>
      <c r="BZ1809" s="793"/>
      <c r="CA1809" s="793"/>
      <c r="CB1809" s="793"/>
      <c r="CC1809" s="793"/>
      <c r="CD1809" s="793"/>
      <c r="CE1809" s="793"/>
      <c r="CF1809" s="793"/>
      <c r="CG1809" s="793"/>
      <c r="CH1809" s="793"/>
      <c r="CI1809" s="793"/>
      <c r="CJ1809" s="793"/>
      <c r="CK1809" s="793"/>
      <c r="CL1809" s="793"/>
      <c r="CM1809" s="793"/>
      <c r="CN1809" s="793"/>
      <c r="CO1809" s="793"/>
      <c r="CP1809" s="793"/>
      <c r="CQ1809" s="793"/>
      <c r="CR1809" s="793"/>
      <c r="CS1809" s="793"/>
      <c r="CT1809" s="793"/>
      <c r="CU1809" s="793"/>
      <c r="CV1809" s="793"/>
      <c r="CW1809" s="793"/>
      <c r="CX1809" s="793"/>
      <c r="CY1809" s="793"/>
      <c r="CZ1809" s="793"/>
      <c r="DA1809" s="793"/>
      <c r="DB1809" s="793"/>
      <c r="DC1809" s="793"/>
      <c r="DD1809" s="793"/>
      <c r="DE1809" s="793"/>
      <c r="DF1809" s="793"/>
      <c r="DG1809" s="793"/>
      <c r="DH1809" s="793"/>
    </row>
    <row r="1810" spans="1:112" s="411" customFormat="1" ht="15" x14ac:dyDescent="0.25">
      <c r="A1810" s="605">
        <v>1780</v>
      </c>
      <c r="B1810" s="803" t="s">
        <v>2294</v>
      </c>
      <c r="C1810" s="795"/>
      <c r="D1810" s="795"/>
      <c r="E1810" s="795"/>
      <c r="F1810" s="795"/>
      <c r="G1810" s="795"/>
      <c r="H1810" s="1111"/>
      <c r="I1810" s="347"/>
      <c r="J1810" s="794"/>
      <c r="K1810" s="794"/>
      <c r="L1810" s="794"/>
      <c r="M1810" s="794"/>
      <c r="N1810" s="794"/>
      <c r="O1810" s="794"/>
      <c r="P1810" s="794"/>
      <c r="Q1810" s="794"/>
      <c r="R1810" s="794"/>
      <c r="S1810" s="794"/>
      <c r="T1810" s="794"/>
      <c r="U1810" s="793"/>
      <c r="V1810" s="793"/>
      <c r="W1810" s="793"/>
      <c r="X1810" s="793"/>
      <c r="Y1810" s="793"/>
      <c r="Z1810" s="793"/>
      <c r="AA1810" s="793"/>
      <c r="AB1810" s="793"/>
      <c r="AC1810" s="793"/>
      <c r="AD1810" s="793"/>
      <c r="AE1810" s="793"/>
      <c r="AF1810" s="793"/>
      <c r="AG1810" s="793"/>
      <c r="AH1810" s="793"/>
      <c r="AI1810" s="793"/>
      <c r="AJ1810" s="793"/>
      <c r="AK1810" s="793"/>
      <c r="AL1810" s="793"/>
      <c r="AM1810" s="793"/>
      <c r="AN1810" s="793"/>
      <c r="AO1810" s="793"/>
      <c r="AP1810" s="793"/>
      <c r="AQ1810" s="793"/>
      <c r="AR1810" s="793"/>
      <c r="AS1810" s="793"/>
      <c r="AT1810" s="793"/>
      <c r="AU1810" s="793"/>
      <c r="AV1810" s="793"/>
      <c r="AW1810" s="793"/>
      <c r="AX1810" s="793"/>
      <c r="AY1810" s="793"/>
      <c r="AZ1810" s="793"/>
      <c r="BA1810" s="793"/>
      <c r="BB1810" s="793"/>
      <c r="BC1810" s="793"/>
      <c r="BD1810" s="793"/>
      <c r="BE1810" s="793"/>
      <c r="BF1810" s="793"/>
      <c r="BG1810" s="793"/>
      <c r="BH1810" s="793"/>
      <c r="BI1810" s="793"/>
      <c r="BJ1810" s="793"/>
      <c r="BK1810" s="793"/>
      <c r="BL1810" s="793"/>
      <c r="BM1810" s="793"/>
      <c r="BN1810" s="793"/>
      <c r="BO1810" s="793"/>
      <c r="BP1810" s="793"/>
      <c r="BQ1810" s="793"/>
      <c r="BR1810" s="793"/>
      <c r="BS1810" s="793"/>
      <c r="BT1810" s="793"/>
      <c r="BU1810" s="793"/>
      <c r="BV1810" s="793"/>
      <c r="BW1810" s="793"/>
      <c r="BX1810" s="793"/>
      <c r="BY1810" s="793"/>
      <c r="BZ1810" s="793"/>
      <c r="CA1810" s="793"/>
      <c r="CB1810" s="793"/>
      <c r="CC1810" s="793"/>
      <c r="CD1810" s="793"/>
      <c r="CE1810" s="793"/>
      <c r="CF1810" s="793"/>
      <c r="CG1810" s="793"/>
      <c r="CH1810" s="793"/>
      <c r="CI1810" s="793"/>
      <c r="CJ1810" s="793"/>
      <c r="CK1810" s="793"/>
      <c r="CL1810" s="793"/>
      <c r="CM1810" s="793"/>
      <c r="CN1810" s="793"/>
      <c r="CO1810" s="793"/>
      <c r="CP1810" s="793"/>
      <c r="CQ1810" s="793"/>
      <c r="CR1810" s="793"/>
      <c r="CS1810" s="793"/>
      <c r="CT1810" s="793"/>
      <c r="CU1810" s="793"/>
      <c r="CV1810" s="793"/>
      <c r="CW1810" s="793"/>
      <c r="CX1810" s="793"/>
      <c r="CY1810" s="793"/>
      <c r="CZ1810" s="793"/>
      <c r="DA1810" s="793"/>
      <c r="DB1810" s="793"/>
      <c r="DC1810" s="793"/>
      <c r="DD1810" s="793"/>
      <c r="DE1810" s="793"/>
      <c r="DF1810" s="793"/>
      <c r="DG1810" s="793"/>
      <c r="DH1810" s="793"/>
    </row>
    <row r="1811" spans="1:112" s="411" customFormat="1" ht="15" x14ac:dyDescent="0.25">
      <c r="A1811" s="605">
        <v>1781</v>
      </c>
      <c r="B1811" s="803" t="s">
        <v>2293</v>
      </c>
      <c r="C1811" s="795"/>
      <c r="D1811" s="795"/>
      <c r="E1811" s="795"/>
      <c r="F1811" s="795"/>
      <c r="G1811" s="795"/>
      <c r="H1811" s="1111"/>
      <c r="I1811" s="347"/>
      <c r="J1811" s="794"/>
      <c r="K1811" s="794"/>
      <c r="L1811" s="794"/>
      <c r="M1811" s="794"/>
      <c r="N1811" s="794"/>
      <c r="O1811" s="794"/>
      <c r="P1811" s="794"/>
      <c r="Q1811" s="794"/>
      <c r="R1811" s="794"/>
      <c r="S1811" s="794"/>
      <c r="T1811" s="794"/>
      <c r="U1811" s="793"/>
      <c r="V1811" s="793"/>
      <c r="W1811" s="793"/>
      <c r="X1811" s="793"/>
      <c r="Y1811" s="793"/>
      <c r="Z1811" s="793"/>
      <c r="AA1811" s="793"/>
      <c r="AB1811" s="793"/>
      <c r="AC1811" s="793"/>
      <c r="AD1811" s="793"/>
      <c r="AE1811" s="793"/>
      <c r="AF1811" s="793"/>
      <c r="AG1811" s="793"/>
      <c r="AH1811" s="793"/>
      <c r="AI1811" s="793"/>
      <c r="AJ1811" s="793"/>
      <c r="AK1811" s="793"/>
      <c r="AL1811" s="793"/>
      <c r="AM1811" s="793"/>
      <c r="AN1811" s="793"/>
      <c r="AO1811" s="793"/>
      <c r="AP1811" s="793"/>
      <c r="AQ1811" s="793"/>
      <c r="AR1811" s="793"/>
      <c r="AS1811" s="793"/>
      <c r="AT1811" s="793"/>
      <c r="AU1811" s="793"/>
      <c r="AV1811" s="793"/>
      <c r="AW1811" s="793"/>
      <c r="AX1811" s="793"/>
      <c r="AY1811" s="793"/>
      <c r="AZ1811" s="793"/>
      <c r="BA1811" s="793"/>
      <c r="BB1811" s="793"/>
      <c r="BC1811" s="793"/>
      <c r="BD1811" s="793"/>
      <c r="BE1811" s="793"/>
      <c r="BF1811" s="793"/>
      <c r="BG1811" s="793"/>
      <c r="BH1811" s="793"/>
      <c r="BI1811" s="793"/>
      <c r="BJ1811" s="793"/>
      <c r="BK1811" s="793"/>
      <c r="BL1811" s="793"/>
      <c r="BM1811" s="793"/>
      <c r="BN1811" s="793"/>
      <c r="BO1811" s="793"/>
      <c r="BP1811" s="793"/>
      <c r="BQ1811" s="793"/>
      <c r="BR1811" s="793"/>
      <c r="BS1811" s="793"/>
      <c r="BT1811" s="793"/>
      <c r="BU1811" s="793"/>
      <c r="BV1811" s="793"/>
      <c r="BW1811" s="793"/>
      <c r="BX1811" s="793"/>
      <c r="BY1811" s="793"/>
      <c r="BZ1811" s="793"/>
      <c r="CA1811" s="793"/>
      <c r="CB1811" s="793"/>
      <c r="CC1811" s="793"/>
      <c r="CD1811" s="793"/>
      <c r="CE1811" s="793"/>
      <c r="CF1811" s="793"/>
      <c r="CG1811" s="793"/>
      <c r="CH1811" s="793"/>
      <c r="CI1811" s="793"/>
      <c r="CJ1811" s="793"/>
      <c r="CK1811" s="793"/>
      <c r="CL1811" s="793"/>
      <c r="CM1811" s="793"/>
      <c r="CN1811" s="793"/>
      <c r="CO1811" s="793"/>
      <c r="CP1811" s="793"/>
      <c r="CQ1811" s="793"/>
      <c r="CR1811" s="793"/>
      <c r="CS1811" s="793"/>
      <c r="CT1811" s="793"/>
      <c r="CU1811" s="793"/>
      <c r="CV1811" s="793"/>
      <c r="CW1811" s="793"/>
      <c r="CX1811" s="793"/>
      <c r="CY1811" s="793"/>
      <c r="CZ1811" s="793"/>
      <c r="DA1811" s="793"/>
      <c r="DB1811" s="793"/>
      <c r="DC1811" s="793"/>
      <c r="DD1811" s="793"/>
      <c r="DE1811" s="793"/>
      <c r="DF1811" s="793"/>
      <c r="DG1811" s="793"/>
      <c r="DH1811" s="793"/>
    </row>
    <row r="1812" spans="1:112" s="411" customFormat="1" ht="15" x14ac:dyDescent="0.25">
      <c r="A1812" s="605">
        <v>1782</v>
      </c>
      <c r="B1812" s="803" t="s">
        <v>2292</v>
      </c>
      <c r="C1812" s="278"/>
      <c r="D1812" s="278"/>
      <c r="E1812" s="278"/>
      <c r="F1812" s="278"/>
      <c r="G1812" s="278"/>
      <c r="H1812" s="1111"/>
      <c r="I1812" s="347"/>
      <c r="J1812" s="794"/>
      <c r="K1812" s="794"/>
      <c r="L1812" s="794"/>
      <c r="M1812" s="794"/>
      <c r="N1812" s="794"/>
      <c r="O1812" s="794"/>
      <c r="P1812" s="794"/>
      <c r="Q1812" s="794"/>
      <c r="R1812" s="794"/>
      <c r="S1812" s="794"/>
      <c r="T1812" s="794"/>
      <c r="U1812" s="793"/>
      <c r="V1812" s="793"/>
      <c r="W1812" s="793"/>
      <c r="X1812" s="793"/>
      <c r="Y1812" s="793"/>
      <c r="Z1812" s="793"/>
      <c r="AA1812" s="793"/>
      <c r="AB1812" s="793"/>
      <c r="AC1812" s="793"/>
      <c r="AD1812" s="793"/>
      <c r="AE1812" s="793"/>
      <c r="AF1812" s="793"/>
      <c r="AG1812" s="793"/>
      <c r="AH1812" s="793"/>
      <c r="AI1812" s="793"/>
      <c r="AJ1812" s="793"/>
      <c r="AK1812" s="793"/>
      <c r="AL1812" s="793"/>
      <c r="AM1812" s="793"/>
      <c r="AN1812" s="793"/>
      <c r="AO1812" s="793"/>
      <c r="AP1812" s="793"/>
      <c r="AQ1812" s="793"/>
      <c r="AR1812" s="793"/>
      <c r="AS1812" s="793"/>
      <c r="AT1812" s="793"/>
      <c r="AU1812" s="793"/>
      <c r="AV1812" s="793"/>
      <c r="AW1812" s="793"/>
      <c r="AX1812" s="793"/>
      <c r="AY1812" s="793"/>
      <c r="AZ1812" s="793"/>
      <c r="BA1812" s="793"/>
      <c r="BB1812" s="793"/>
      <c r="BC1812" s="793"/>
      <c r="BD1812" s="793"/>
      <c r="BE1812" s="793"/>
      <c r="BF1812" s="793"/>
      <c r="BG1812" s="793"/>
      <c r="BH1812" s="793"/>
      <c r="BI1812" s="793"/>
      <c r="BJ1812" s="793"/>
      <c r="BK1812" s="793"/>
      <c r="BL1812" s="793"/>
      <c r="BM1812" s="793"/>
      <c r="BN1812" s="793"/>
      <c r="BO1812" s="793"/>
      <c r="BP1812" s="793"/>
      <c r="BQ1812" s="793"/>
      <c r="BR1812" s="793"/>
      <c r="BS1812" s="793"/>
      <c r="BT1812" s="793"/>
      <c r="BU1812" s="793"/>
      <c r="BV1812" s="793"/>
      <c r="BW1812" s="793"/>
      <c r="BX1812" s="793"/>
      <c r="BY1812" s="793"/>
      <c r="BZ1812" s="793"/>
      <c r="CA1812" s="793"/>
      <c r="CB1812" s="793"/>
      <c r="CC1812" s="793"/>
      <c r="CD1812" s="793"/>
      <c r="CE1812" s="793"/>
      <c r="CF1812" s="793"/>
      <c r="CG1812" s="793"/>
      <c r="CH1812" s="793"/>
      <c r="CI1812" s="793"/>
      <c r="CJ1812" s="793"/>
      <c r="CK1812" s="793"/>
      <c r="CL1812" s="793"/>
      <c r="CM1812" s="793"/>
      <c r="CN1812" s="793"/>
      <c r="CO1812" s="793"/>
      <c r="CP1812" s="793"/>
      <c r="CQ1812" s="793"/>
      <c r="CR1812" s="793"/>
      <c r="CS1812" s="793"/>
      <c r="CT1812" s="793"/>
      <c r="CU1812" s="793"/>
      <c r="CV1812" s="793"/>
      <c r="CW1812" s="793"/>
      <c r="CX1812" s="793"/>
      <c r="CY1812" s="793"/>
      <c r="CZ1812" s="793"/>
      <c r="DA1812" s="793"/>
      <c r="DB1812" s="793"/>
      <c r="DC1812" s="793"/>
      <c r="DD1812" s="793"/>
      <c r="DE1812" s="793"/>
      <c r="DF1812" s="793"/>
      <c r="DG1812" s="793"/>
      <c r="DH1812" s="793"/>
    </row>
    <row r="1813" spans="1:112" s="411" customFormat="1" ht="15" x14ac:dyDescent="0.25">
      <c r="A1813" s="605">
        <v>1783</v>
      </c>
      <c r="B1813" s="802" t="s">
        <v>2291</v>
      </c>
      <c r="C1813" s="795"/>
      <c r="D1813" s="795"/>
      <c r="E1813" s="795"/>
      <c r="F1813" s="795"/>
      <c r="G1813" s="795"/>
      <c r="H1813" s="1111"/>
      <c r="I1813" s="347"/>
      <c r="J1813" s="794"/>
      <c r="K1813" s="794"/>
      <c r="L1813" s="794"/>
      <c r="M1813" s="794"/>
      <c r="N1813" s="794"/>
      <c r="O1813" s="794"/>
      <c r="P1813" s="794"/>
      <c r="Q1813" s="794"/>
      <c r="R1813" s="794"/>
      <c r="S1813" s="794"/>
      <c r="T1813" s="794"/>
      <c r="U1813" s="793"/>
      <c r="V1813" s="793"/>
      <c r="W1813" s="793"/>
      <c r="X1813" s="793"/>
      <c r="Y1813" s="793"/>
      <c r="Z1813" s="793"/>
      <c r="AA1813" s="793"/>
      <c r="AB1813" s="793"/>
      <c r="AC1813" s="793"/>
      <c r="AD1813" s="793"/>
      <c r="AE1813" s="793"/>
      <c r="AF1813" s="793"/>
      <c r="AG1813" s="793"/>
      <c r="AH1813" s="793"/>
      <c r="AI1813" s="793"/>
      <c r="AJ1813" s="793"/>
      <c r="AK1813" s="793"/>
      <c r="AL1813" s="793"/>
      <c r="AM1813" s="793"/>
      <c r="AN1813" s="793"/>
      <c r="AO1813" s="793"/>
      <c r="AP1813" s="793"/>
      <c r="AQ1813" s="793"/>
      <c r="AR1813" s="793"/>
      <c r="AS1813" s="793"/>
      <c r="AT1813" s="793"/>
      <c r="AU1813" s="793"/>
      <c r="AV1813" s="793"/>
      <c r="AW1813" s="793"/>
      <c r="AX1813" s="793"/>
      <c r="AY1813" s="793"/>
      <c r="AZ1813" s="793"/>
      <c r="BA1813" s="793"/>
      <c r="BB1813" s="793"/>
      <c r="BC1813" s="793"/>
      <c r="BD1813" s="793"/>
      <c r="BE1813" s="793"/>
      <c r="BF1813" s="793"/>
      <c r="BG1813" s="793"/>
      <c r="BH1813" s="793"/>
      <c r="BI1813" s="793"/>
      <c r="BJ1813" s="793"/>
      <c r="BK1813" s="793"/>
      <c r="BL1813" s="793"/>
      <c r="BM1813" s="793"/>
      <c r="BN1813" s="793"/>
      <c r="BO1813" s="793"/>
      <c r="BP1813" s="793"/>
      <c r="BQ1813" s="793"/>
      <c r="BR1813" s="793"/>
      <c r="BS1813" s="793"/>
      <c r="BT1813" s="793"/>
      <c r="BU1813" s="793"/>
      <c r="BV1813" s="793"/>
      <c r="BW1813" s="793"/>
      <c r="BX1813" s="793"/>
      <c r="BY1813" s="793"/>
      <c r="BZ1813" s="793"/>
      <c r="CA1813" s="793"/>
      <c r="CB1813" s="793"/>
      <c r="CC1813" s="793"/>
      <c r="CD1813" s="793"/>
      <c r="CE1813" s="793"/>
      <c r="CF1813" s="793"/>
      <c r="CG1813" s="793"/>
      <c r="CH1813" s="793"/>
      <c r="CI1813" s="793"/>
      <c r="CJ1813" s="793"/>
      <c r="CK1813" s="793"/>
      <c r="CL1813" s="793"/>
      <c r="CM1813" s="793"/>
      <c r="CN1813" s="793"/>
      <c r="CO1813" s="793"/>
      <c r="CP1813" s="793"/>
      <c r="CQ1813" s="793"/>
      <c r="CR1813" s="793"/>
      <c r="CS1813" s="793"/>
      <c r="CT1813" s="793"/>
      <c r="CU1813" s="793"/>
      <c r="CV1813" s="793"/>
      <c r="CW1813" s="793"/>
      <c r="CX1813" s="793"/>
      <c r="CY1813" s="793"/>
      <c r="CZ1813" s="793"/>
      <c r="DA1813" s="793"/>
      <c r="DB1813" s="793"/>
      <c r="DC1813" s="793"/>
      <c r="DD1813" s="793"/>
      <c r="DE1813" s="793"/>
      <c r="DF1813" s="793"/>
      <c r="DG1813" s="793"/>
      <c r="DH1813" s="793"/>
    </row>
    <row r="1814" spans="1:112" s="411" customFormat="1" ht="15" x14ac:dyDescent="0.25">
      <c r="A1814" s="605">
        <v>1784</v>
      </c>
      <c r="B1814" s="802" t="s">
        <v>2290</v>
      </c>
      <c r="C1814" s="795"/>
      <c r="D1814" s="795"/>
      <c r="E1814" s="795"/>
      <c r="F1814" s="795"/>
      <c r="G1814" s="795"/>
      <c r="H1814" s="1111"/>
      <c r="I1814" s="347"/>
      <c r="J1814" s="794"/>
      <c r="K1814" s="794"/>
      <c r="L1814" s="794"/>
      <c r="M1814" s="794"/>
      <c r="N1814" s="794"/>
      <c r="O1814" s="794"/>
      <c r="P1814" s="794"/>
      <c r="Q1814" s="794"/>
      <c r="R1814" s="794"/>
      <c r="S1814" s="794"/>
      <c r="T1814" s="794"/>
      <c r="U1814" s="793"/>
      <c r="V1814" s="793"/>
      <c r="W1814" s="793"/>
      <c r="X1814" s="793"/>
      <c r="Y1814" s="793"/>
      <c r="Z1814" s="793"/>
      <c r="AA1814" s="793"/>
      <c r="AB1814" s="793"/>
      <c r="AC1814" s="793"/>
      <c r="AD1814" s="793"/>
      <c r="AE1814" s="793"/>
      <c r="AF1814" s="793"/>
      <c r="AG1814" s="793"/>
      <c r="AH1814" s="793"/>
      <c r="AI1814" s="793"/>
      <c r="AJ1814" s="793"/>
      <c r="AK1814" s="793"/>
      <c r="AL1814" s="793"/>
      <c r="AM1814" s="793"/>
      <c r="AN1814" s="793"/>
      <c r="AO1814" s="793"/>
      <c r="AP1814" s="793"/>
      <c r="AQ1814" s="793"/>
      <c r="AR1814" s="793"/>
      <c r="AS1814" s="793"/>
      <c r="AT1814" s="793"/>
      <c r="AU1814" s="793"/>
      <c r="AV1814" s="793"/>
      <c r="AW1814" s="793"/>
      <c r="AX1814" s="793"/>
      <c r="AY1814" s="793"/>
      <c r="AZ1814" s="793"/>
      <c r="BA1814" s="793"/>
      <c r="BB1814" s="793"/>
      <c r="BC1814" s="793"/>
      <c r="BD1814" s="793"/>
      <c r="BE1814" s="793"/>
      <c r="BF1814" s="793"/>
      <c r="BG1814" s="793"/>
      <c r="BH1814" s="793"/>
      <c r="BI1814" s="793"/>
      <c r="BJ1814" s="793"/>
      <c r="BK1814" s="793"/>
      <c r="BL1814" s="793"/>
      <c r="BM1814" s="793"/>
      <c r="BN1814" s="793"/>
      <c r="BO1814" s="793"/>
      <c r="BP1814" s="793"/>
      <c r="BQ1814" s="793"/>
      <c r="BR1814" s="793"/>
      <c r="BS1814" s="793"/>
      <c r="BT1814" s="793"/>
      <c r="BU1814" s="793"/>
      <c r="BV1814" s="793"/>
      <c r="BW1814" s="793"/>
      <c r="BX1814" s="793"/>
      <c r="BY1814" s="793"/>
      <c r="BZ1814" s="793"/>
      <c r="CA1814" s="793"/>
      <c r="CB1814" s="793"/>
      <c r="CC1814" s="793"/>
      <c r="CD1814" s="793"/>
      <c r="CE1814" s="793"/>
      <c r="CF1814" s="793"/>
      <c r="CG1814" s="793"/>
      <c r="CH1814" s="793"/>
      <c r="CI1814" s="793"/>
      <c r="CJ1814" s="793"/>
      <c r="CK1814" s="793"/>
      <c r="CL1814" s="793"/>
      <c r="CM1814" s="793"/>
      <c r="CN1814" s="793"/>
      <c r="CO1814" s="793"/>
      <c r="CP1814" s="793"/>
      <c r="CQ1814" s="793"/>
      <c r="CR1814" s="793"/>
      <c r="CS1814" s="793"/>
      <c r="CT1814" s="793"/>
      <c r="CU1814" s="793"/>
      <c r="CV1814" s="793"/>
      <c r="CW1814" s="793"/>
      <c r="CX1814" s="793"/>
      <c r="CY1814" s="793"/>
      <c r="CZ1814" s="793"/>
      <c r="DA1814" s="793"/>
      <c r="DB1814" s="793"/>
      <c r="DC1814" s="793"/>
      <c r="DD1814" s="793"/>
      <c r="DE1814" s="793"/>
      <c r="DF1814" s="793"/>
      <c r="DG1814" s="793"/>
      <c r="DH1814" s="793"/>
    </row>
    <row r="1815" spans="1:112" s="411" customFormat="1" ht="15" x14ac:dyDescent="0.25">
      <c r="A1815" s="605">
        <v>1785</v>
      </c>
      <c r="B1815" s="802" t="s">
        <v>537</v>
      </c>
      <c r="C1815" s="795"/>
      <c r="D1815" s="795"/>
      <c r="E1815" s="795"/>
      <c r="F1815" s="795"/>
      <c r="G1815" s="795"/>
      <c r="H1815" s="1111"/>
      <c r="I1815" s="347"/>
      <c r="J1815" s="794"/>
      <c r="K1815" s="794"/>
      <c r="L1815" s="794"/>
      <c r="M1815" s="794"/>
      <c r="N1815" s="794"/>
      <c r="O1815" s="794"/>
      <c r="P1815" s="794"/>
      <c r="Q1815" s="794"/>
      <c r="R1815" s="794"/>
      <c r="S1815" s="794"/>
      <c r="T1815" s="794"/>
      <c r="U1815" s="793"/>
      <c r="V1815" s="793"/>
      <c r="W1815" s="793"/>
      <c r="X1815" s="793"/>
      <c r="Y1815" s="793"/>
      <c r="Z1815" s="793"/>
      <c r="AA1815" s="793"/>
      <c r="AB1815" s="793"/>
      <c r="AC1815" s="793"/>
      <c r="AD1815" s="793"/>
      <c r="AE1815" s="793"/>
      <c r="AF1815" s="793"/>
      <c r="AG1815" s="793"/>
      <c r="AH1815" s="793"/>
      <c r="AI1815" s="793"/>
      <c r="AJ1815" s="793"/>
      <c r="AK1815" s="793"/>
      <c r="AL1815" s="793"/>
      <c r="AM1815" s="793"/>
      <c r="AN1815" s="793"/>
      <c r="AO1815" s="793"/>
      <c r="AP1815" s="793"/>
      <c r="AQ1815" s="793"/>
      <c r="AR1815" s="793"/>
      <c r="AS1815" s="793"/>
      <c r="AT1815" s="793"/>
      <c r="AU1815" s="793"/>
      <c r="AV1815" s="793"/>
      <c r="AW1815" s="793"/>
      <c r="AX1815" s="793"/>
      <c r="AY1815" s="793"/>
      <c r="AZ1815" s="793"/>
      <c r="BA1815" s="793"/>
      <c r="BB1815" s="793"/>
      <c r="BC1815" s="793"/>
      <c r="BD1815" s="793"/>
      <c r="BE1815" s="793"/>
      <c r="BF1815" s="793"/>
      <c r="BG1815" s="793"/>
      <c r="BH1815" s="793"/>
      <c r="BI1815" s="793"/>
      <c r="BJ1815" s="793"/>
      <c r="BK1815" s="793"/>
      <c r="BL1815" s="793"/>
      <c r="BM1815" s="793"/>
      <c r="BN1815" s="793"/>
      <c r="BO1815" s="793"/>
      <c r="BP1815" s="793"/>
      <c r="BQ1815" s="793"/>
      <c r="BR1815" s="793"/>
      <c r="BS1815" s="793"/>
      <c r="BT1815" s="793"/>
      <c r="BU1815" s="793"/>
      <c r="BV1815" s="793"/>
      <c r="BW1815" s="793"/>
      <c r="BX1815" s="793"/>
      <c r="BY1815" s="793"/>
      <c r="BZ1815" s="793"/>
      <c r="CA1815" s="793"/>
      <c r="CB1815" s="793"/>
      <c r="CC1815" s="793"/>
      <c r="CD1815" s="793"/>
      <c r="CE1815" s="793"/>
      <c r="CF1815" s="793"/>
      <c r="CG1815" s="793"/>
      <c r="CH1815" s="793"/>
      <c r="CI1815" s="793"/>
      <c r="CJ1815" s="793"/>
      <c r="CK1815" s="793"/>
      <c r="CL1815" s="793"/>
      <c r="CM1815" s="793"/>
      <c r="CN1815" s="793"/>
      <c r="CO1815" s="793"/>
      <c r="CP1815" s="793"/>
      <c r="CQ1815" s="793"/>
      <c r="CR1815" s="793"/>
      <c r="CS1815" s="793"/>
      <c r="CT1815" s="793"/>
      <c r="CU1815" s="793"/>
      <c r="CV1815" s="793"/>
      <c r="CW1815" s="793"/>
      <c r="CX1815" s="793"/>
      <c r="CY1815" s="793"/>
      <c r="CZ1815" s="793"/>
      <c r="DA1815" s="793"/>
      <c r="DB1815" s="793"/>
      <c r="DC1815" s="793"/>
      <c r="DD1815" s="793"/>
      <c r="DE1815" s="793"/>
      <c r="DF1815" s="793"/>
      <c r="DG1815" s="793"/>
      <c r="DH1815" s="793"/>
    </row>
    <row r="1816" spans="1:112" s="411" customFormat="1" ht="15" x14ac:dyDescent="0.25">
      <c r="A1816" s="605">
        <v>1786</v>
      </c>
      <c r="B1816" s="802" t="s">
        <v>2289</v>
      </c>
      <c r="C1816" s="795"/>
      <c r="D1816" s="795"/>
      <c r="E1816" s="795"/>
      <c r="F1816" s="795"/>
      <c r="G1816" s="795"/>
      <c r="H1816" s="1111"/>
      <c r="I1816" s="347"/>
      <c r="J1816" s="794"/>
      <c r="K1816" s="794"/>
      <c r="L1816" s="794"/>
      <c r="M1816" s="794"/>
      <c r="N1816" s="794"/>
      <c r="O1816" s="794"/>
      <c r="P1816" s="794"/>
      <c r="Q1816" s="794"/>
      <c r="R1816" s="794"/>
      <c r="S1816" s="794"/>
      <c r="T1816" s="794"/>
      <c r="U1816" s="793"/>
      <c r="V1816" s="793"/>
      <c r="W1816" s="793"/>
      <c r="X1816" s="793"/>
      <c r="Y1816" s="793"/>
      <c r="Z1816" s="793"/>
      <c r="AA1816" s="793"/>
      <c r="AB1816" s="793"/>
      <c r="AC1816" s="793"/>
      <c r="AD1816" s="793"/>
      <c r="AE1816" s="793"/>
      <c r="AF1816" s="793"/>
      <c r="AG1816" s="793"/>
      <c r="AH1816" s="793"/>
      <c r="AI1816" s="793"/>
      <c r="AJ1816" s="793"/>
      <c r="AK1816" s="793"/>
      <c r="AL1816" s="793"/>
      <c r="AM1816" s="793"/>
      <c r="AN1816" s="793"/>
      <c r="AO1816" s="793"/>
      <c r="AP1816" s="793"/>
      <c r="AQ1816" s="793"/>
      <c r="AR1816" s="793"/>
      <c r="AS1816" s="793"/>
      <c r="AT1816" s="793"/>
      <c r="AU1816" s="793"/>
      <c r="AV1816" s="793"/>
      <c r="AW1816" s="793"/>
      <c r="AX1816" s="793"/>
      <c r="AY1816" s="793"/>
      <c r="AZ1816" s="793"/>
      <c r="BA1816" s="793"/>
      <c r="BB1816" s="793"/>
      <c r="BC1816" s="793"/>
      <c r="BD1816" s="793"/>
      <c r="BE1816" s="793"/>
      <c r="BF1816" s="793"/>
      <c r="BG1816" s="793"/>
      <c r="BH1816" s="793"/>
      <c r="BI1816" s="793"/>
      <c r="BJ1816" s="793"/>
      <c r="BK1816" s="793"/>
      <c r="BL1816" s="793"/>
      <c r="BM1816" s="793"/>
      <c r="BN1816" s="793"/>
      <c r="BO1816" s="793"/>
      <c r="BP1816" s="793"/>
      <c r="BQ1816" s="793"/>
      <c r="BR1816" s="793"/>
      <c r="BS1816" s="793"/>
      <c r="BT1816" s="793"/>
      <c r="BU1816" s="793"/>
      <c r="BV1816" s="793"/>
      <c r="BW1816" s="793"/>
      <c r="BX1816" s="793"/>
      <c r="BY1816" s="793"/>
      <c r="BZ1816" s="793"/>
      <c r="CA1816" s="793"/>
      <c r="CB1816" s="793"/>
      <c r="CC1816" s="793"/>
      <c r="CD1816" s="793"/>
      <c r="CE1816" s="793"/>
      <c r="CF1816" s="793"/>
      <c r="CG1816" s="793"/>
      <c r="CH1816" s="793"/>
      <c r="CI1816" s="793"/>
      <c r="CJ1816" s="793"/>
      <c r="CK1816" s="793"/>
      <c r="CL1816" s="793"/>
      <c r="CM1816" s="793"/>
      <c r="CN1816" s="793"/>
      <c r="CO1816" s="793"/>
      <c r="CP1816" s="793"/>
      <c r="CQ1816" s="793"/>
      <c r="CR1816" s="793"/>
      <c r="CS1816" s="793"/>
      <c r="CT1816" s="793"/>
      <c r="CU1816" s="793"/>
      <c r="CV1816" s="793"/>
      <c r="CW1816" s="793"/>
      <c r="CX1816" s="793"/>
      <c r="CY1816" s="793"/>
      <c r="CZ1816" s="793"/>
      <c r="DA1816" s="793"/>
      <c r="DB1816" s="793"/>
      <c r="DC1816" s="793"/>
      <c r="DD1816" s="793"/>
      <c r="DE1816" s="793"/>
      <c r="DF1816" s="793"/>
      <c r="DG1816" s="793"/>
      <c r="DH1816" s="793"/>
    </row>
    <row r="1817" spans="1:112" s="411" customFormat="1" ht="30" x14ac:dyDescent="0.25">
      <c r="A1817" s="605">
        <v>1787</v>
      </c>
      <c r="B1817" s="802" t="s">
        <v>2288</v>
      </c>
      <c r="C1817" s="795"/>
      <c r="D1817" s="795"/>
      <c r="E1817" s="795"/>
      <c r="F1817" s="795"/>
      <c r="G1817" s="795"/>
      <c r="H1817" s="1111"/>
      <c r="I1817" s="347"/>
      <c r="J1817" s="794"/>
      <c r="K1817" s="794"/>
      <c r="L1817" s="794"/>
      <c r="M1817" s="794"/>
      <c r="N1817" s="794"/>
      <c r="O1817" s="794"/>
      <c r="P1817" s="794"/>
      <c r="Q1817" s="794"/>
      <c r="R1817" s="794"/>
      <c r="S1817" s="794"/>
      <c r="T1817" s="794"/>
      <c r="U1817" s="793"/>
      <c r="V1817" s="793"/>
      <c r="W1817" s="793"/>
      <c r="X1817" s="793"/>
      <c r="Y1817" s="793"/>
      <c r="Z1817" s="793"/>
      <c r="AA1817" s="793"/>
      <c r="AB1817" s="793"/>
      <c r="AC1817" s="793"/>
      <c r="AD1817" s="793"/>
      <c r="AE1817" s="793"/>
      <c r="AF1817" s="793"/>
      <c r="AG1817" s="793"/>
      <c r="AH1817" s="793"/>
      <c r="AI1817" s="793"/>
      <c r="AJ1817" s="793"/>
      <c r="AK1817" s="793"/>
      <c r="AL1817" s="793"/>
      <c r="AM1817" s="793"/>
      <c r="AN1817" s="793"/>
      <c r="AO1817" s="793"/>
      <c r="AP1817" s="793"/>
      <c r="AQ1817" s="793"/>
      <c r="AR1817" s="793"/>
      <c r="AS1817" s="793"/>
      <c r="AT1817" s="793"/>
      <c r="AU1817" s="793"/>
      <c r="AV1817" s="793"/>
      <c r="AW1817" s="793"/>
      <c r="AX1817" s="793"/>
      <c r="AY1817" s="793"/>
      <c r="AZ1817" s="793"/>
      <c r="BA1817" s="793"/>
      <c r="BB1817" s="793"/>
      <c r="BC1817" s="793"/>
      <c r="BD1817" s="793"/>
      <c r="BE1817" s="793"/>
      <c r="BF1817" s="793"/>
      <c r="BG1817" s="793"/>
      <c r="BH1817" s="793"/>
      <c r="BI1817" s="793"/>
      <c r="BJ1817" s="793"/>
      <c r="BK1817" s="793"/>
      <c r="BL1817" s="793"/>
      <c r="BM1817" s="793"/>
      <c r="BN1817" s="793"/>
      <c r="BO1817" s="793"/>
      <c r="BP1817" s="793"/>
      <c r="BQ1817" s="793"/>
      <c r="BR1817" s="793"/>
      <c r="BS1817" s="793"/>
      <c r="BT1817" s="793"/>
      <c r="BU1817" s="793"/>
      <c r="BV1817" s="793"/>
      <c r="BW1817" s="793"/>
      <c r="BX1817" s="793"/>
      <c r="BY1817" s="793"/>
      <c r="BZ1817" s="793"/>
      <c r="CA1817" s="793"/>
      <c r="CB1817" s="793"/>
      <c r="CC1817" s="793"/>
      <c r="CD1817" s="793"/>
      <c r="CE1817" s="793"/>
      <c r="CF1817" s="793"/>
      <c r="CG1817" s="793"/>
      <c r="CH1817" s="793"/>
      <c r="CI1817" s="793"/>
      <c r="CJ1817" s="793"/>
      <c r="CK1817" s="793"/>
      <c r="CL1817" s="793"/>
      <c r="CM1817" s="793"/>
      <c r="CN1817" s="793"/>
      <c r="CO1817" s="793"/>
      <c r="CP1817" s="793"/>
      <c r="CQ1817" s="793"/>
      <c r="CR1817" s="793"/>
      <c r="CS1817" s="793"/>
      <c r="CT1817" s="793"/>
      <c r="CU1817" s="793"/>
      <c r="CV1817" s="793"/>
      <c r="CW1817" s="793"/>
      <c r="CX1817" s="793"/>
      <c r="CY1817" s="793"/>
      <c r="CZ1817" s="793"/>
      <c r="DA1817" s="793"/>
      <c r="DB1817" s="793"/>
      <c r="DC1817" s="793"/>
      <c r="DD1817" s="793"/>
      <c r="DE1817" s="793"/>
      <c r="DF1817" s="793"/>
      <c r="DG1817" s="793"/>
      <c r="DH1817" s="793"/>
    </row>
    <row r="1818" spans="1:112" s="792" customFormat="1" ht="15" x14ac:dyDescent="0.25">
      <c r="A1818" s="605">
        <v>1788</v>
      </c>
      <c r="B1818" s="801" t="s">
        <v>2287</v>
      </c>
      <c r="C1818" s="797"/>
      <c r="D1818" s="797"/>
      <c r="E1818" s="797"/>
      <c r="F1818" s="797"/>
      <c r="G1818" s="797"/>
      <c r="H1818" s="1089"/>
      <c r="I1818" s="347"/>
      <c r="J1818" s="794"/>
      <c r="K1818" s="794"/>
      <c r="L1818" s="794"/>
      <c r="M1818" s="794"/>
      <c r="N1818" s="794"/>
      <c r="O1818" s="794"/>
      <c r="P1818" s="794"/>
      <c r="Q1818" s="794"/>
      <c r="R1818" s="794"/>
      <c r="S1818" s="794"/>
      <c r="T1818" s="794"/>
      <c r="U1818" s="794"/>
      <c r="V1818" s="794"/>
      <c r="W1818" s="794"/>
      <c r="X1818" s="794"/>
      <c r="Y1818" s="794"/>
      <c r="Z1818" s="794"/>
      <c r="AA1818" s="794"/>
      <c r="AB1818" s="794"/>
      <c r="AC1818" s="794"/>
      <c r="AD1818" s="794"/>
      <c r="AE1818" s="794"/>
      <c r="AF1818" s="794"/>
      <c r="AG1818" s="794"/>
      <c r="AH1818" s="794"/>
      <c r="AI1818" s="794"/>
      <c r="AJ1818" s="794"/>
      <c r="AK1818" s="794"/>
      <c r="AL1818" s="794"/>
      <c r="AM1818" s="794"/>
      <c r="AN1818" s="794"/>
      <c r="AO1818" s="794"/>
      <c r="AP1818" s="794"/>
      <c r="AQ1818" s="794"/>
      <c r="AR1818" s="794"/>
      <c r="AS1818" s="794"/>
      <c r="AT1818" s="794"/>
      <c r="AU1818" s="794"/>
      <c r="AV1818" s="794"/>
      <c r="AW1818" s="794"/>
      <c r="AX1818" s="794"/>
      <c r="AY1818" s="794"/>
      <c r="AZ1818" s="794"/>
      <c r="BA1818" s="794"/>
      <c r="BB1818" s="794"/>
      <c r="BC1818" s="794"/>
      <c r="BD1818" s="794"/>
      <c r="BE1818" s="794"/>
      <c r="BF1818" s="794"/>
      <c r="BG1818" s="794"/>
      <c r="BH1818" s="794"/>
      <c r="BI1818" s="794"/>
      <c r="BJ1818" s="794"/>
      <c r="BK1818" s="794"/>
      <c r="BL1818" s="794"/>
      <c r="BM1818" s="794"/>
      <c r="BN1818" s="794"/>
      <c r="BO1818" s="794"/>
      <c r="BP1818" s="794"/>
      <c r="BQ1818" s="794"/>
      <c r="BR1818" s="794"/>
      <c r="BS1818" s="794"/>
      <c r="BT1818" s="794"/>
      <c r="BU1818" s="794"/>
      <c r="BV1818" s="794"/>
      <c r="BW1818" s="794"/>
      <c r="BX1818" s="794"/>
      <c r="BY1818" s="794"/>
      <c r="BZ1818" s="794"/>
      <c r="CA1818" s="794"/>
      <c r="CB1818" s="794"/>
      <c r="CC1818" s="794"/>
      <c r="CD1818" s="794"/>
      <c r="CE1818" s="794"/>
      <c r="CF1818" s="794"/>
      <c r="CG1818" s="794"/>
      <c r="CH1818" s="794"/>
      <c r="CI1818" s="794"/>
      <c r="CJ1818" s="794"/>
      <c r="CK1818" s="794"/>
      <c r="CL1818" s="794"/>
      <c r="CM1818" s="794"/>
      <c r="CN1818" s="794"/>
      <c r="CO1818" s="794"/>
      <c r="CP1818" s="794"/>
      <c r="CQ1818" s="794"/>
      <c r="CR1818" s="794"/>
      <c r="CS1818" s="794"/>
      <c r="CT1818" s="794"/>
      <c r="CU1818" s="794"/>
      <c r="CV1818" s="794"/>
      <c r="CW1818" s="794"/>
      <c r="CX1818" s="794"/>
      <c r="CY1818" s="794"/>
      <c r="CZ1818" s="794"/>
      <c r="DA1818" s="794"/>
      <c r="DB1818" s="794"/>
      <c r="DC1818" s="794"/>
      <c r="DD1818" s="794"/>
      <c r="DE1818" s="794"/>
      <c r="DF1818" s="794"/>
      <c r="DG1818" s="794"/>
      <c r="DH1818" s="794"/>
    </row>
    <row r="1819" spans="1:112" s="347" customFormat="1" ht="15" x14ac:dyDescent="0.25">
      <c r="A1819" s="605">
        <v>1789</v>
      </c>
      <c r="B1819" s="801" t="s">
        <v>2286</v>
      </c>
      <c r="C1819" s="797"/>
      <c r="D1819" s="797"/>
      <c r="E1819" s="797"/>
      <c r="F1819" s="797"/>
      <c r="G1819" s="797"/>
      <c r="H1819" s="1089"/>
      <c r="J1819" s="794"/>
      <c r="K1819" s="794"/>
      <c r="L1819" s="794"/>
      <c r="M1819" s="794"/>
      <c r="N1819" s="794"/>
      <c r="O1819" s="794"/>
      <c r="P1819" s="794"/>
      <c r="Q1819" s="794"/>
      <c r="R1819" s="794"/>
      <c r="S1819" s="794"/>
      <c r="T1819" s="794"/>
      <c r="U1819" s="794"/>
      <c r="V1819" s="794"/>
      <c r="W1819" s="794"/>
      <c r="X1819" s="794"/>
      <c r="Y1819" s="794"/>
      <c r="Z1819" s="794"/>
      <c r="AA1819" s="794"/>
      <c r="AB1819" s="794"/>
      <c r="AC1819" s="794"/>
      <c r="AD1819" s="794"/>
      <c r="AE1819" s="794"/>
      <c r="AF1819" s="794"/>
      <c r="AG1819" s="794"/>
      <c r="AH1819" s="794"/>
      <c r="AI1819" s="794"/>
      <c r="AJ1819" s="794"/>
      <c r="AK1819" s="794"/>
      <c r="AL1819" s="794"/>
      <c r="AM1819" s="794"/>
      <c r="AN1819" s="794"/>
      <c r="AO1819" s="794"/>
      <c r="AP1819" s="794"/>
      <c r="AQ1819" s="794"/>
      <c r="AR1819" s="794"/>
      <c r="AS1819" s="794"/>
      <c r="AT1819" s="794"/>
      <c r="AU1819" s="794"/>
      <c r="AV1819" s="794"/>
      <c r="AW1819" s="794"/>
      <c r="AX1819" s="794"/>
      <c r="AY1819" s="794"/>
      <c r="AZ1819" s="794"/>
      <c r="BA1819" s="794"/>
      <c r="BB1819" s="794"/>
      <c r="BC1819" s="794"/>
      <c r="BD1819" s="794"/>
      <c r="BE1819" s="794"/>
      <c r="BF1819" s="794"/>
      <c r="BG1819" s="794"/>
      <c r="BH1819" s="794"/>
      <c r="BI1819" s="794"/>
      <c r="BJ1819" s="794"/>
      <c r="BK1819" s="794"/>
      <c r="BL1819" s="794"/>
      <c r="BM1819" s="794"/>
      <c r="BN1819" s="794"/>
      <c r="BO1819" s="794"/>
      <c r="BP1819" s="794"/>
      <c r="BQ1819" s="794"/>
      <c r="BR1819" s="794"/>
      <c r="BS1819" s="794"/>
      <c r="BT1819" s="794"/>
      <c r="BU1819" s="794"/>
      <c r="BV1819" s="794"/>
      <c r="BW1819" s="794"/>
      <c r="BX1819" s="794"/>
      <c r="BY1819" s="794"/>
      <c r="BZ1819" s="794"/>
      <c r="CA1819" s="794"/>
      <c r="CB1819" s="794"/>
      <c r="CC1819" s="794"/>
      <c r="CD1819" s="794"/>
      <c r="CE1819" s="794"/>
      <c r="CF1819" s="794"/>
      <c r="CG1819" s="794"/>
      <c r="CH1819" s="794"/>
      <c r="CI1819" s="794"/>
      <c r="CJ1819" s="794"/>
      <c r="CK1819" s="794"/>
      <c r="CL1819" s="794"/>
      <c r="CM1819" s="794"/>
      <c r="CN1819" s="794"/>
      <c r="CO1819" s="794"/>
      <c r="CP1819" s="794"/>
      <c r="CQ1819" s="794"/>
      <c r="CR1819" s="794"/>
      <c r="CS1819" s="794"/>
      <c r="CT1819" s="794"/>
      <c r="CU1819" s="794"/>
      <c r="CV1819" s="794"/>
      <c r="CW1819" s="794"/>
      <c r="CX1819" s="794"/>
      <c r="CY1819" s="794"/>
      <c r="CZ1819" s="794"/>
      <c r="DA1819" s="794"/>
      <c r="DB1819" s="794"/>
      <c r="DC1819" s="794"/>
      <c r="DD1819" s="794"/>
      <c r="DE1819" s="794"/>
      <c r="DF1819" s="794"/>
      <c r="DG1819" s="794"/>
      <c r="DH1819" s="794"/>
    </row>
    <row r="1820" spans="1:112" s="347" customFormat="1" ht="30" x14ac:dyDescent="0.25">
      <c r="A1820" s="605">
        <v>1790</v>
      </c>
      <c r="B1820" s="800" t="s">
        <v>2285</v>
      </c>
      <c r="C1820" s="797"/>
      <c r="D1820" s="797"/>
      <c r="E1820" s="797"/>
      <c r="F1820" s="797"/>
      <c r="G1820" s="797"/>
      <c r="H1820" s="1089"/>
      <c r="J1820" s="794"/>
      <c r="K1820" s="794"/>
      <c r="L1820" s="794"/>
      <c r="M1820" s="794"/>
      <c r="N1820" s="794"/>
      <c r="O1820" s="794"/>
      <c r="P1820" s="794"/>
      <c r="Q1820" s="794"/>
      <c r="R1820" s="794"/>
      <c r="S1820" s="794"/>
      <c r="T1820" s="794"/>
      <c r="U1820" s="794"/>
      <c r="V1820" s="794"/>
      <c r="W1820" s="794"/>
      <c r="X1820" s="794"/>
      <c r="Y1820" s="794"/>
      <c r="Z1820" s="794"/>
      <c r="AA1820" s="794"/>
      <c r="AB1820" s="794"/>
      <c r="AC1820" s="794"/>
      <c r="AD1820" s="794"/>
      <c r="AE1820" s="794"/>
      <c r="AF1820" s="794"/>
      <c r="AG1820" s="794"/>
      <c r="AH1820" s="794"/>
      <c r="AI1820" s="794"/>
      <c r="AJ1820" s="794"/>
      <c r="AK1820" s="794"/>
      <c r="AL1820" s="794"/>
      <c r="AM1820" s="794"/>
      <c r="AN1820" s="794"/>
      <c r="AO1820" s="794"/>
      <c r="AP1820" s="794"/>
      <c r="AQ1820" s="794"/>
      <c r="AR1820" s="794"/>
      <c r="AS1820" s="794"/>
      <c r="AT1820" s="794"/>
      <c r="AU1820" s="794"/>
      <c r="AV1820" s="794"/>
      <c r="AW1820" s="794"/>
      <c r="AX1820" s="794"/>
      <c r="AY1820" s="794"/>
      <c r="AZ1820" s="794"/>
      <c r="BA1820" s="794"/>
      <c r="BB1820" s="794"/>
      <c r="BC1820" s="794"/>
      <c r="BD1820" s="794"/>
      <c r="BE1820" s="794"/>
      <c r="BF1820" s="794"/>
      <c r="BG1820" s="794"/>
      <c r="BH1820" s="794"/>
      <c r="BI1820" s="794"/>
      <c r="BJ1820" s="794"/>
      <c r="BK1820" s="794"/>
      <c r="BL1820" s="794"/>
      <c r="BM1820" s="794"/>
      <c r="BN1820" s="794"/>
      <c r="BO1820" s="794"/>
      <c r="BP1820" s="794"/>
      <c r="BQ1820" s="794"/>
      <c r="BR1820" s="794"/>
      <c r="BS1820" s="794"/>
      <c r="BT1820" s="794"/>
      <c r="BU1820" s="794"/>
      <c r="BV1820" s="794"/>
      <c r="BW1820" s="794"/>
      <c r="BX1820" s="794"/>
      <c r="BY1820" s="794"/>
      <c r="BZ1820" s="794"/>
      <c r="CA1820" s="794"/>
      <c r="CB1820" s="794"/>
      <c r="CC1820" s="794"/>
      <c r="CD1820" s="794"/>
      <c r="CE1820" s="794"/>
      <c r="CF1820" s="794"/>
      <c r="CG1820" s="794"/>
      <c r="CH1820" s="794"/>
      <c r="CI1820" s="794"/>
      <c r="CJ1820" s="794"/>
      <c r="CK1820" s="794"/>
      <c r="CL1820" s="794"/>
      <c r="CM1820" s="794"/>
      <c r="CN1820" s="794"/>
      <c r="CO1820" s="794"/>
      <c r="CP1820" s="794"/>
      <c r="CQ1820" s="794"/>
      <c r="CR1820" s="794"/>
      <c r="CS1820" s="794"/>
      <c r="CT1820" s="794"/>
      <c r="CU1820" s="794"/>
      <c r="CV1820" s="794"/>
      <c r="CW1820" s="794"/>
      <c r="CX1820" s="794"/>
      <c r="CY1820" s="794"/>
      <c r="CZ1820" s="794"/>
      <c r="DA1820" s="794"/>
      <c r="DB1820" s="794"/>
      <c r="DC1820" s="794"/>
      <c r="DD1820" s="794"/>
      <c r="DE1820" s="794"/>
      <c r="DF1820" s="794"/>
      <c r="DG1820" s="794"/>
      <c r="DH1820" s="794"/>
    </row>
    <row r="1821" spans="1:112" s="411" customFormat="1" ht="45" x14ac:dyDescent="0.25">
      <c r="A1821" s="605">
        <v>1791</v>
      </c>
      <c r="B1821" s="799" t="s">
        <v>2284</v>
      </c>
      <c r="C1821" s="795"/>
      <c r="D1821" s="795"/>
      <c r="E1821" s="795"/>
      <c r="F1821" s="795"/>
      <c r="G1821" s="795"/>
      <c r="H1821" s="1113"/>
      <c r="I1821" s="347"/>
      <c r="J1821" s="794"/>
      <c r="K1821" s="794"/>
      <c r="L1821" s="794"/>
      <c r="M1821" s="794"/>
      <c r="N1821" s="794"/>
      <c r="O1821" s="794"/>
      <c r="P1821" s="794"/>
      <c r="Q1821" s="794"/>
      <c r="R1821" s="794"/>
      <c r="S1821" s="794"/>
      <c r="T1821" s="794"/>
      <c r="U1821" s="793"/>
      <c r="V1821" s="793"/>
      <c r="W1821" s="793"/>
      <c r="X1821" s="793"/>
      <c r="Y1821" s="793"/>
      <c r="Z1821" s="793"/>
      <c r="AA1821" s="793"/>
      <c r="AB1821" s="793"/>
      <c r="AC1821" s="793"/>
      <c r="AD1821" s="793"/>
      <c r="AE1821" s="793"/>
      <c r="AF1821" s="793"/>
      <c r="AG1821" s="793"/>
      <c r="AH1821" s="793"/>
      <c r="AI1821" s="793"/>
      <c r="AJ1821" s="793"/>
      <c r="AK1821" s="793"/>
      <c r="AL1821" s="793"/>
      <c r="AM1821" s="793"/>
      <c r="AN1821" s="793"/>
      <c r="AO1821" s="793"/>
      <c r="AP1821" s="793"/>
      <c r="AQ1821" s="793"/>
      <c r="AR1821" s="793"/>
      <c r="AS1821" s="793"/>
      <c r="AT1821" s="793"/>
      <c r="AU1821" s="793"/>
      <c r="AV1821" s="793"/>
      <c r="AW1821" s="793"/>
      <c r="AX1821" s="793"/>
      <c r="AY1821" s="793"/>
      <c r="AZ1821" s="793"/>
      <c r="BA1821" s="793"/>
      <c r="BB1821" s="793"/>
      <c r="BC1821" s="793"/>
      <c r="BD1821" s="793"/>
      <c r="BE1821" s="793"/>
      <c r="BF1821" s="793"/>
      <c r="BG1821" s="793"/>
      <c r="BH1821" s="793"/>
      <c r="BI1821" s="793"/>
      <c r="BJ1821" s="793"/>
      <c r="BK1821" s="793"/>
      <c r="BL1821" s="793"/>
      <c r="BM1821" s="793"/>
      <c r="BN1821" s="793"/>
      <c r="BO1821" s="793"/>
      <c r="BP1821" s="793"/>
      <c r="BQ1821" s="793"/>
      <c r="BR1821" s="793"/>
      <c r="BS1821" s="793"/>
      <c r="BT1821" s="793"/>
      <c r="BU1821" s="793"/>
      <c r="BV1821" s="793"/>
      <c r="BW1821" s="793"/>
      <c r="BX1821" s="793"/>
      <c r="BY1821" s="793"/>
      <c r="BZ1821" s="793"/>
      <c r="CA1821" s="793"/>
      <c r="CB1821" s="793"/>
      <c r="CC1821" s="793"/>
      <c r="CD1821" s="793"/>
      <c r="CE1821" s="793"/>
      <c r="CF1821" s="793"/>
      <c r="CG1821" s="793"/>
      <c r="CH1821" s="793"/>
      <c r="CI1821" s="793"/>
      <c r="CJ1821" s="793"/>
      <c r="CK1821" s="793"/>
      <c r="CL1821" s="793"/>
      <c r="CM1821" s="793"/>
      <c r="CN1821" s="793"/>
      <c r="CO1821" s="793"/>
      <c r="CP1821" s="793"/>
      <c r="CQ1821" s="793"/>
      <c r="CR1821" s="793"/>
      <c r="CS1821" s="793"/>
      <c r="CT1821" s="793"/>
      <c r="CU1821" s="793"/>
      <c r="CV1821" s="793"/>
      <c r="CW1821" s="793"/>
      <c r="CX1821" s="793"/>
      <c r="CY1821" s="793"/>
      <c r="CZ1821" s="793"/>
      <c r="DA1821" s="793"/>
      <c r="DB1821" s="793"/>
      <c r="DC1821" s="793"/>
      <c r="DD1821" s="793"/>
      <c r="DE1821" s="793"/>
      <c r="DF1821" s="793"/>
      <c r="DG1821" s="793"/>
      <c r="DH1821" s="793"/>
    </row>
    <row r="1822" spans="1:112" s="411" customFormat="1" ht="45" x14ac:dyDescent="0.25">
      <c r="A1822" s="605">
        <v>1792</v>
      </c>
      <c r="B1822" s="799" t="s">
        <v>2283</v>
      </c>
      <c r="C1822" s="795"/>
      <c r="D1822" s="795"/>
      <c r="E1822" s="795"/>
      <c r="F1822" s="795"/>
      <c r="G1822" s="795"/>
      <c r="H1822" s="1111"/>
      <c r="I1822" s="347"/>
      <c r="J1822" s="794"/>
      <c r="K1822" s="794"/>
      <c r="L1822" s="794"/>
      <c r="M1822" s="794"/>
      <c r="N1822" s="794"/>
      <c r="O1822" s="794"/>
      <c r="P1822" s="794"/>
      <c r="Q1822" s="794"/>
      <c r="R1822" s="794"/>
      <c r="S1822" s="794"/>
      <c r="T1822" s="794"/>
      <c r="U1822" s="793"/>
      <c r="V1822" s="793"/>
      <c r="W1822" s="793"/>
      <c r="X1822" s="793"/>
      <c r="Y1822" s="793"/>
      <c r="Z1822" s="793"/>
      <c r="AA1822" s="793"/>
      <c r="AB1822" s="793"/>
      <c r="AC1822" s="793"/>
      <c r="AD1822" s="793"/>
      <c r="AE1822" s="793"/>
      <c r="AF1822" s="793"/>
      <c r="AG1822" s="793"/>
      <c r="AH1822" s="793"/>
      <c r="AI1822" s="793"/>
      <c r="AJ1822" s="793"/>
      <c r="AK1822" s="793"/>
      <c r="AL1822" s="793"/>
      <c r="AM1822" s="793"/>
      <c r="AN1822" s="793"/>
      <c r="AO1822" s="793"/>
      <c r="AP1822" s="793"/>
      <c r="AQ1822" s="793"/>
      <c r="AR1822" s="793"/>
      <c r="AS1822" s="793"/>
      <c r="AT1822" s="793"/>
      <c r="AU1822" s="793"/>
      <c r="AV1822" s="793"/>
      <c r="AW1822" s="793"/>
      <c r="AX1822" s="793"/>
      <c r="AY1822" s="793"/>
      <c r="AZ1822" s="793"/>
      <c r="BA1822" s="793"/>
      <c r="BB1822" s="793"/>
      <c r="BC1822" s="793"/>
      <c r="BD1822" s="793"/>
      <c r="BE1822" s="793"/>
      <c r="BF1822" s="793"/>
      <c r="BG1822" s="793"/>
      <c r="BH1822" s="793"/>
      <c r="BI1822" s="793"/>
      <c r="BJ1822" s="793"/>
      <c r="BK1822" s="793"/>
      <c r="BL1822" s="793"/>
      <c r="BM1822" s="793"/>
      <c r="BN1822" s="793"/>
      <c r="BO1822" s="793"/>
      <c r="BP1822" s="793"/>
      <c r="BQ1822" s="793"/>
      <c r="BR1822" s="793"/>
      <c r="BS1822" s="793"/>
      <c r="BT1822" s="793"/>
      <c r="BU1822" s="793"/>
      <c r="BV1822" s="793"/>
      <c r="BW1822" s="793"/>
      <c r="BX1822" s="793"/>
      <c r="BY1822" s="793"/>
      <c r="BZ1822" s="793"/>
      <c r="CA1822" s="793"/>
      <c r="CB1822" s="793"/>
      <c r="CC1822" s="793"/>
      <c r="CD1822" s="793"/>
      <c r="CE1822" s="793"/>
      <c r="CF1822" s="793"/>
      <c r="CG1822" s="793"/>
      <c r="CH1822" s="793"/>
      <c r="CI1822" s="793"/>
      <c r="CJ1822" s="793"/>
      <c r="CK1822" s="793"/>
      <c r="CL1822" s="793"/>
      <c r="CM1822" s="793"/>
      <c r="CN1822" s="793"/>
      <c r="CO1822" s="793"/>
      <c r="CP1822" s="793"/>
      <c r="CQ1822" s="793"/>
      <c r="CR1822" s="793"/>
      <c r="CS1822" s="793"/>
      <c r="CT1822" s="793"/>
      <c r="CU1822" s="793"/>
      <c r="CV1822" s="793"/>
      <c r="CW1822" s="793"/>
      <c r="CX1822" s="793"/>
      <c r="CY1822" s="793"/>
      <c r="CZ1822" s="793"/>
      <c r="DA1822" s="793"/>
      <c r="DB1822" s="793"/>
      <c r="DC1822" s="793"/>
      <c r="DD1822" s="793"/>
      <c r="DE1822" s="793"/>
      <c r="DF1822" s="793"/>
      <c r="DG1822" s="793"/>
      <c r="DH1822" s="793"/>
    </row>
    <row r="1823" spans="1:112" s="347" customFormat="1" ht="30" x14ac:dyDescent="0.25">
      <c r="A1823" s="605">
        <v>1793</v>
      </c>
      <c r="B1823" s="800" t="s">
        <v>2282</v>
      </c>
      <c r="C1823" s="797"/>
      <c r="D1823" s="797"/>
      <c r="E1823" s="797"/>
      <c r="F1823" s="797"/>
      <c r="G1823" s="797"/>
      <c r="H1823" s="1089"/>
      <c r="J1823" s="794"/>
      <c r="K1823" s="794"/>
      <c r="L1823" s="794"/>
      <c r="M1823" s="794"/>
      <c r="N1823" s="794"/>
      <c r="O1823" s="794"/>
      <c r="P1823" s="794"/>
      <c r="Q1823" s="794"/>
      <c r="R1823" s="794"/>
      <c r="S1823" s="794"/>
      <c r="T1823" s="794"/>
      <c r="U1823" s="794"/>
      <c r="V1823" s="794"/>
      <c r="W1823" s="794"/>
      <c r="X1823" s="794"/>
      <c r="Y1823" s="794"/>
      <c r="Z1823" s="794"/>
      <c r="AA1823" s="794"/>
      <c r="AB1823" s="794"/>
      <c r="AC1823" s="794"/>
      <c r="AD1823" s="794"/>
      <c r="AE1823" s="794"/>
      <c r="AF1823" s="794"/>
      <c r="AG1823" s="794"/>
      <c r="AH1823" s="794"/>
      <c r="AI1823" s="794"/>
      <c r="AJ1823" s="794"/>
      <c r="AK1823" s="794"/>
      <c r="AL1823" s="794"/>
      <c r="AM1823" s="794"/>
      <c r="AN1823" s="794"/>
      <c r="AO1823" s="794"/>
      <c r="AP1823" s="794"/>
      <c r="AQ1823" s="794"/>
      <c r="AR1823" s="794"/>
      <c r="AS1823" s="794"/>
      <c r="AT1823" s="794"/>
      <c r="AU1823" s="794"/>
      <c r="AV1823" s="794"/>
      <c r="AW1823" s="794"/>
      <c r="AX1823" s="794"/>
      <c r="AY1823" s="794"/>
      <c r="AZ1823" s="794"/>
      <c r="BA1823" s="794"/>
      <c r="BB1823" s="794"/>
      <c r="BC1823" s="794"/>
      <c r="BD1823" s="794"/>
      <c r="BE1823" s="794"/>
      <c r="BF1823" s="794"/>
      <c r="BG1823" s="794"/>
      <c r="BH1823" s="794"/>
      <c r="BI1823" s="794"/>
      <c r="BJ1823" s="794"/>
      <c r="BK1823" s="794"/>
      <c r="BL1823" s="794"/>
      <c r="BM1823" s="794"/>
      <c r="BN1823" s="794"/>
      <c r="BO1823" s="794"/>
      <c r="BP1823" s="794"/>
      <c r="BQ1823" s="794"/>
      <c r="BR1823" s="794"/>
      <c r="BS1823" s="794"/>
      <c r="BT1823" s="794"/>
      <c r="BU1823" s="794"/>
      <c r="BV1823" s="794"/>
      <c r="BW1823" s="794"/>
      <c r="BX1823" s="794"/>
      <c r="BY1823" s="794"/>
      <c r="BZ1823" s="794"/>
      <c r="CA1823" s="794"/>
      <c r="CB1823" s="794"/>
      <c r="CC1823" s="794"/>
      <c r="CD1823" s="794"/>
      <c r="CE1823" s="794"/>
      <c r="CF1823" s="794"/>
      <c r="CG1823" s="794"/>
      <c r="CH1823" s="794"/>
      <c r="CI1823" s="794"/>
      <c r="CJ1823" s="794"/>
      <c r="CK1823" s="794"/>
      <c r="CL1823" s="794"/>
      <c r="CM1823" s="794"/>
      <c r="CN1823" s="794"/>
      <c r="CO1823" s="794"/>
      <c r="CP1823" s="794"/>
      <c r="CQ1823" s="794"/>
      <c r="CR1823" s="794"/>
      <c r="CS1823" s="794"/>
      <c r="CT1823" s="794"/>
      <c r="CU1823" s="794"/>
      <c r="CV1823" s="794"/>
      <c r="CW1823" s="794"/>
      <c r="CX1823" s="794"/>
      <c r="CY1823" s="794"/>
      <c r="CZ1823" s="794"/>
      <c r="DA1823" s="794"/>
      <c r="DB1823" s="794"/>
      <c r="DC1823" s="794"/>
      <c r="DD1823" s="794"/>
      <c r="DE1823" s="794"/>
      <c r="DF1823" s="794"/>
      <c r="DG1823" s="794"/>
      <c r="DH1823" s="794"/>
    </row>
    <row r="1824" spans="1:112" s="411" customFormat="1" ht="30" x14ac:dyDescent="0.25">
      <c r="A1824" s="605">
        <v>1794</v>
      </c>
      <c r="B1824" s="799" t="s">
        <v>2281</v>
      </c>
      <c r="C1824" s="795"/>
      <c r="D1824" s="795"/>
      <c r="E1824" s="795"/>
      <c r="F1824" s="795"/>
      <c r="G1824" s="795"/>
      <c r="H1824" s="1111"/>
      <c r="I1824" s="347"/>
      <c r="J1824" s="794"/>
      <c r="K1824" s="794"/>
      <c r="L1824" s="794"/>
      <c r="M1824" s="794"/>
      <c r="N1824" s="794"/>
      <c r="O1824" s="794"/>
      <c r="P1824" s="794"/>
      <c r="Q1824" s="794"/>
      <c r="R1824" s="794"/>
      <c r="S1824" s="794"/>
      <c r="T1824" s="794"/>
      <c r="U1824" s="793"/>
      <c r="V1824" s="793"/>
      <c r="W1824" s="793"/>
      <c r="X1824" s="793"/>
      <c r="Y1824" s="793"/>
      <c r="Z1824" s="793"/>
      <c r="AA1824" s="793"/>
      <c r="AB1824" s="793"/>
      <c r="AC1824" s="793"/>
      <c r="AD1824" s="793"/>
      <c r="AE1824" s="793"/>
      <c r="AF1824" s="793"/>
      <c r="AG1824" s="793"/>
      <c r="AH1824" s="793"/>
      <c r="AI1824" s="793"/>
      <c r="AJ1824" s="793"/>
      <c r="AK1824" s="793"/>
      <c r="AL1824" s="793"/>
      <c r="AM1824" s="793"/>
      <c r="AN1824" s="793"/>
      <c r="AO1824" s="793"/>
      <c r="AP1824" s="793"/>
      <c r="AQ1824" s="793"/>
      <c r="AR1824" s="793"/>
      <c r="AS1824" s="793"/>
      <c r="AT1824" s="793"/>
      <c r="AU1824" s="793"/>
      <c r="AV1824" s="793"/>
      <c r="AW1824" s="793"/>
      <c r="AX1824" s="793"/>
      <c r="AY1824" s="793"/>
      <c r="AZ1824" s="793"/>
      <c r="BA1824" s="793"/>
      <c r="BB1824" s="793"/>
      <c r="BC1824" s="793"/>
      <c r="BD1824" s="793"/>
      <c r="BE1824" s="793"/>
      <c r="BF1824" s="793"/>
      <c r="BG1824" s="793"/>
      <c r="BH1824" s="793"/>
      <c r="BI1824" s="793"/>
      <c r="BJ1824" s="793"/>
      <c r="BK1824" s="793"/>
      <c r="BL1824" s="793"/>
      <c r="BM1824" s="793"/>
      <c r="BN1824" s="793"/>
      <c r="BO1824" s="793"/>
      <c r="BP1824" s="793"/>
      <c r="BQ1824" s="793"/>
      <c r="BR1824" s="793"/>
      <c r="BS1824" s="793"/>
      <c r="BT1824" s="793"/>
      <c r="BU1824" s="793"/>
      <c r="BV1824" s="793"/>
      <c r="BW1824" s="793"/>
      <c r="BX1824" s="793"/>
      <c r="BY1824" s="793"/>
      <c r="BZ1824" s="793"/>
      <c r="CA1824" s="793"/>
      <c r="CB1824" s="793"/>
      <c r="CC1824" s="793"/>
      <c r="CD1824" s="793"/>
      <c r="CE1824" s="793"/>
      <c r="CF1824" s="793"/>
      <c r="CG1824" s="793"/>
      <c r="CH1824" s="793"/>
      <c r="CI1824" s="793"/>
      <c r="CJ1824" s="793"/>
      <c r="CK1824" s="793"/>
      <c r="CL1824" s="793"/>
      <c r="CM1824" s="793"/>
      <c r="CN1824" s="793"/>
      <c r="CO1824" s="793"/>
      <c r="CP1824" s="793"/>
      <c r="CQ1824" s="793"/>
      <c r="CR1824" s="793"/>
      <c r="CS1824" s="793"/>
      <c r="CT1824" s="793"/>
      <c r="CU1824" s="793"/>
      <c r="CV1824" s="793"/>
      <c r="CW1824" s="793"/>
      <c r="CX1824" s="793"/>
      <c r="CY1824" s="793"/>
      <c r="CZ1824" s="793"/>
      <c r="DA1824" s="793"/>
      <c r="DB1824" s="793"/>
      <c r="DC1824" s="793"/>
      <c r="DD1824" s="793"/>
      <c r="DE1824" s="793"/>
      <c r="DF1824" s="793"/>
      <c r="DG1824" s="793"/>
      <c r="DH1824" s="793"/>
    </row>
    <row r="1825" spans="1:112" s="347" customFormat="1" ht="30" x14ac:dyDescent="0.25">
      <c r="A1825" s="605">
        <v>1795</v>
      </c>
      <c r="B1825" s="539" t="s">
        <v>2280</v>
      </c>
      <c r="C1825" s="797"/>
      <c r="D1825" s="797"/>
      <c r="E1825" s="797"/>
      <c r="F1825" s="797"/>
      <c r="G1825" s="797"/>
      <c r="H1825" s="1089"/>
      <c r="J1825" s="794"/>
      <c r="K1825" s="794"/>
      <c r="L1825" s="794"/>
      <c r="M1825" s="794"/>
      <c r="N1825" s="794"/>
      <c r="O1825" s="794"/>
      <c r="P1825" s="794"/>
      <c r="Q1825" s="794"/>
      <c r="R1825" s="794"/>
      <c r="S1825" s="794"/>
      <c r="T1825" s="794"/>
      <c r="U1825" s="794"/>
      <c r="V1825" s="794"/>
      <c r="W1825" s="794"/>
      <c r="X1825" s="794"/>
      <c r="Y1825" s="794"/>
      <c r="Z1825" s="794"/>
      <c r="AA1825" s="794"/>
      <c r="AB1825" s="794"/>
      <c r="AC1825" s="794"/>
      <c r="AD1825" s="794"/>
      <c r="AE1825" s="794"/>
      <c r="AF1825" s="794"/>
      <c r="AG1825" s="794"/>
      <c r="AH1825" s="794"/>
      <c r="AI1825" s="794"/>
      <c r="AJ1825" s="794"/>
      <c r="AK1825" s="794"/>
      <c r="AL1825" s="794"/>
      <c r="AM1825" s="794"/>
      <c r="AN1825" s="794"/>
      <c r="AO1825" s="794"/>
      <c r="AP1825" s="794"/>
      <c r="AQ1825" s="794"/>
      <c r="AR1825" s="794"/>
      <c r="AS1825" s="794"/>
      <c r="AT1825" s="794"/>
      <c r="AU1825" s="794"/>
      <c r="AV1825" s="794"/>
      <c r="AW1825" s="794"/>
      <c r="AX1825" s="794"/>
      <c r="AY1825" s="794"/>
      <c r="AZ1825" s="794"/>
      <c r="BA1825" s="794"/>
      <c r="BB1825" s="794"/>
      <c r="BC1825" s="794"/>
      <c r="BD1825" s="794"/>
      <c r="BE1825" s="794"/>
      <c r="BF1825" s="794"/>
      <c r="BG1825" s="794"/>
      <c r="BH1825" s="794"/>
      <c r="BI1825" s="794"/>
      <c r="BJ1825" s="794"/>
      <c r="BK1825" s="794"/>
      <c r="BL1825" s="794"/>
      <c r="BM1825" s="794"/>
      <c r="BN1825" s="794"/>
      <c r="BO1825" s="794"/>
      <c r="BP1825" s="794"/>
      <c r="BQ1825" s="794"/>
      <c r="BR1825" s="794"/>
      <c r="BS1825" s="794"/>
      <c r="BT1825" s="794"/>
      <c r="BU1825" s="794"/>
      <c r="BV1825" s="794"/>
      <c r="BW1825" s="794"/>
      <c r="BX1825" s="794"/>
      <c r="BY1825" s="794"/>
      <c r="BZ1825" s="794"/>
      <c r="CA1825" s="794"/>
      <c r="CB1825" s="794"/>
      <c r="CC1825" s="794"/>
      <c r="CD1825" s="794"/>
      <c r="CE1825" s="794"/>
      <c r="CF1825" s="794"/>
      <c r="CG1825" s="794"/>
      <c r="CH1825" s="794"/>
      <c r="CI1825" s="794"/>
      <c r="CJ1825" s="794"/>
      <c r="CK1825" s="794"/>
      <c r="CL1825" s="794"/>
      <c r="CM1825" s="794"/>
      <c r="CN1825" s="794"/>
      <c r="CO1825" s="794"/>
      <c r="CP1825" s="794"/>
      <c r="CQ1825" s="794"/>
      <c r="CR1825" s="794"/>
      <c r="CS1825" s="794"/>
      <c r="CT1825" s="794"/>
      <c r="CU1825" s="794"/>
      <c r="CV1825" s="794"/>
      <c r="CW1825" s="794"/>
      <c r="CX1825" s="794"/>
      <c r="CY1825" s="794"/>
      <c r="CZ1825" s="794"/>
      <c r="DA1825" s="794"/>
      <c r="DB1825" s="794"/>
      <c r="DC1825" s="794"/>
      <c r="DD1825" s="794"/>
      <c r="DE1825" s="794"/>
      <c r="DF1825" s="794"/>
      <c r="DG1825" s="794"/>
      <c r="DH1825" s="794"/>
    </row>
    <row r="1826" spans="1:112" s="347" customFormat="1" ht="15" x14ac:dyDescent="0.25">
      <c r="A1826" s="605">
        <v>1796</v>
      </c>
      <c r="B1826" s="800" t="s">
        <v>2279</v>
      </c>
      <c r="C1826" s="797"/>
      <c r="D1826" s="797"/>
      <c r="E1826" s="797"/>
      <c r="F1826" s="797"/>
      <c r="G1826" s="797"/>
      <c r="H1826" s="1089"/>
      <c r="J1826" s="794"/>
      <c r="K1826" s="794"/>
      <c r="L1826" s="794"/>
      <c r="M1826" s="794"/>
      <c r="N1826" s="794"/>
      <c r="O1826" s="794"/>
      <c r="P1826" s="794"/>
      <c r="Q1826" s="794"/>
      <c r="R1826" s="794"/>
      <c r="S1826" s="794"/>
      <c r="T1826" s="794"/>
      <c r="U1826" s="794"/>
      <c r="V1826" s="794"/>
      <c r="W1826" s="794"/>
      <c r="X1826" s="794"/>
      <c r="Y1826" s="794"/>
      <c r="Z1826" s="794"/>
      <c r="AA1826" s="794"/>
      <c r="AB1826" s="794"/>
      <c r="AC1826" s="794"/>
      <c r="AD1826" s="794"/>
      <c r="AE1826" s="794"/>
      <c r="AF1826" s="794"/>
      <c r="AG1826" s="794"/>
      <c r="AH1826" s="794"/>
      <c r="AI1826" s="794"/>
      <c r="AJ1826" s="794"/>
      <c r="AK1826" s="794"/>
      <c r="AL1826" s="794"/>
      <c r="AM1826" s="794"/>
      <c r="AN1826" s="794"/>
      <c r="AO1826" s="794"/>
      <c r="AP1826" s="794"/>
      <c r="AQ1826" s="794"/>
      <c r="AR1826" s="794"/>
      <c r="AS1826" s="794"/>
      <c r="AT1826" s="794"/>
      <c r="AU1826" s="794"/>
      <c r="AV1826" s="794"/>
      <c r="AW1826" s="794"/>
      <c r="AX1826" s="794"/>
      <c r="AY1826" s="794"/>
      <c r="AZ1826" s="794"/>
      <c r="BA1826" s="794"/>
      <c r="BB1826" s="794"/>
      <c r="BC1826" s="794"/>
      <c r="BD1826" s="794"/>
      <c r="BE1826" s="794"/>
      <c r="BF1826" s="794"/>
      <c r="BG1826" s="794"/>
      <c r="BH1826" s="794"/>
      <c r="BI1826" s="794"/>
      <c r="BJ1826" s="794"/>
      <c r="BK1826" s="794"/>
      <c r="BL1826" s="794"/>
      <c r="BM1826" s="794"/>
      <c r="BN1826" s="794"/>
      <c r="BO1826" s="794"/>
      <c r="BP1826" s="794"/>
      <c r="BQ1826" s="794"/>
      <c r="BR1826" s="794"/>
      <c r="BS1826" s="794"/>
      <c r="BT1826" s="794"/>
      <c r="BU1826" s="794"/>
      <c r="BV1826" s="794"/>
      <c r="BW1826" s="794"/>
      <c r="BX1826" s="794"/>
      <c r="BY1826" s="794"/>
      <c r="BZ1826" s="794"/>
      <c r="CA1826" s="794"/>
      <c r="CB1826" s="794"/>
      <c r="CC1826" s="794"/>
      <c r="CD1826" s="794"/>
      <c r="CE1826" s="794"/>
      <c r="CF1826" s="794"/>
      <c r="CG1826" s="794"/>
      <c r="CH1826" s="794"/>
      <c r="CI1826" s="794"/>
      <c r="CJ1826" s="794"/>
      <c r="CK1826" s="794"/>
      <c r="CL1826" s="794"/>
      <c r="CM1826" s="794"/>
      <c r="CN1826" s="794"/>
      <c r="CO1826" s="794"/>
      <c r="CP1826" s="794"/>
      <c r="CQ1826" s="794"/>
      <c r="CR1826" s="794"/>
      <c r="CS1826" s="794"/>
      <c r="CT1826" s="794"/>
      <c r="CU1826" s="794"/>
      <c r="CV1826" s="794"/>
      <c r="CW1826" s="794"/>
      <c r="CX1826" s="794"/>
      <c r="CY1826" s="794"/>
      <c r="CZ1826" s="794"/>
      <c r="DA1826" s="794"/>
      <c r="DB1826" s="794"/>
      <c r="DC1826" s="794"/>
      <c r="DD1826" s="794"/>
      <c r="DE1826" s="794"/>
      <c r="DF1826" s="794"/>
      <c r="DG1826" s="794"/>
      <c r="DH1826" s="794"/>
    </row>
    <row r="1827" spans="1:112" s="347" customFormat="1" ht="30" x14ac:dyDescent="0.25">
      <c r="A1827" s="605">
        <v>1797</v>
      </c>
      <c r="B1827" s="798" t="s">
        <v>2278</v>
      </c>
      <c r="C1827" s="797"/>
      <c r="D1827" s="797"/>
      <c r="E1827" s="797"/>
      <c r="F1827" s="797"/>
      <c r="G1827" s="797"/>
      <c r="H1827" s="1089"/>
      <c r="J1827" s="794"/>
      <c r="K1827" s="794"/>
      <c r="L1827" s="794"/>
      <c r="M1827" s="794"/>
      <c r="N1827" s="794"/>
      <c r="O1827" s="794"/>
      <c r="P1827" s="794"/>
      <c r="Q1827" s="794"/>
      <c r="R1827" s="794"/>
      <c r="S1827" s="794"/>
      <c r="T1827" s="794"/>
      <c r="U1827" s="794"/>
      <c r="V1827" s="794"/>
      <c r="W1827" s="794"/>
      <c r="X1827" s="794"/>
      <c r="Y1827" s="794"/>
      <c r="Z1827" s="794"/>
      <c r="AA1827" s="794"/>
      <c r="AB1827" s="794"/>
      <c r="AC1827" s="794"/>
      <c r="AD1827" s="794"/>
      <c r="AE1827" s="794"/>
      <c r="AF1827" s="794"/>
      <c r="AG1827" s="794"/>
      <c r="AH1827" s="794"/>
      <c r="AI1827" s="794"/>
      <c r="AJ1827" s="794"/>
      <c r="AK1827" s="794"/>
      <c r="AL1827" s="794"/>
      <c r="AM1827" s="794"/>
      <c r="AN1827" s="794"/>
      <c r="AO1827" s="794"/>
      <c r="AP1827" s="794"/>
      <c r="AQ1827" s="794"/>
      <c r="AR1827" s="794"/>
      <c r="AS1827" s="794"/>
      <c r="AT1827" s="794"/>
      <c r="AU1827" s="794"/>
      <c r="AV1827" s="794"/>
      <c r="AW1827" s="794"/>
      <c r="AX1827" s="794"/>
      <c r="AY1827" s="794"/>
      <c r="AZ1827" s="794"/>
      <c r="BA1827" s="794"/>
      <c r="BB1827" s="794"/>
      <c r="BC1827" s="794"/>
      <c r="BD1827" s="794"/>
      <c r="BE1827" s="794"/>
      <c r="BF1827" s="794"/>
      <c r="BG1827" s="794"/>
      <c r="BH1827" s="794"/>
      <c r="BI1827" s="794"/>
      <c r="BJ1827" s="794"/>
      <c r="BK1827" s="794"/>
      <c r="BL1827" s="794"/>
      <c r="BM1827" s="794"/>
      <c r="BN1827" s="794"/>
      <c r="BO1827" s="794"/>
      <c r="BP1827" s="794"/>
      <c r="BQ1827" s="794"/>
      <c r="BR1827" s="794"/>
      <c r="BS1827" s="794"/>
      <c r="BT1827" s="794"/>
      <c r="BU1827" s="794"/>
      <c r="BV1827" s="794"/>
      <c r="BW1827" s="794"/>
      <c r="BX1827" s="794"/>
      <c r="BY1827" s="794"/>
      <c r="BZ1827" s="794"/>
      <c r="CA1827" s="794"/>
      <c r="CB1827" s="794"/>
      <c r="CC1827" s="794"/>
      <c r="CD1827" s="794"/>
      <c r="CE1827" s="794"/>
      <c r="CF1827" s="794"/>
      <c r="CG1827" s="794"/>
      <c r="CH1827" s="794"/>
      <c r="CI1827" s="794"/>
      <c r="CJ1827" s="794"/>
      <c r="CK1827" s="794"/>
      <c r="CL1827" s="794"/>
      <c r="CM1827" s="794"/>
      <c r="CN1827" s="794"/>
      <c r="CO1827" s="794"/>
      <c r="CP1827" s="794"/>
      <c r="CQ1827" s="794"/>
      <c r="CR1827" s="794"/>
      <c r="CS1827" s="794"/>
      <c r="CT1827" s="794"/>
      <c r="CU1827" s="794"/>
      <c r="CV1827" s="794"/>
      <c r="CW1827" s="794"/>
      <c r="CX1827" s="794"/>
      <c r="CY1827" s="794"/>
      <c r="CZ1827" s="794"/>
      <c r="DA1827" s="794"/>
      <c r="DB1827" s="794"/>
      <c r="DC1827" s="794"/>
      <c r="DD1827" s="794"/>
      <c r="DE1827" s="794"/>
      <c r="DF1827" s="794"/>
      <c r="DG1827" s="794"/>
      <c r="DH1827" s="794"/>
    </row>
    <row r="1828" spans="1:112" s="347" customFormat="1" ht="15" x14ac:dyDescent="0.25">
      <c r="A1828" s="605">
        <v>1798</v>
      </c>
      <c r="B1828" s="798" t="s">
        <v>2277</v>
      </c>
      <c r="C1828" s="797"/>
      <c r="D1828" s="797"/>
      <c r="E1828" s="797"/>
      <c r="F1828" s="797"/>
      <c r="G1828" s="797"/>
      <c r="H1828" s="1089"/>
      <c r="J1828" s="794"/>
      <c r="K1828" s="794"/>
      <c r="L1828" s="794"/>
      <c r="M1828" s="794"/>
      <c r="N1828" s="794"/>
      <c r="O1828" s="794"/>
      <c r="P1828" s="794"/>
      <c r="Q1828" s="794"/>
      <c r="R1828" s="794"/>
      <c r="S1828" s="794"/>
      <c r="T1828" s="794"/>
      <c r="U1828" s="794"/>
      <c r="V1828" s="794"/>
      <c r="W1828" s="794"/>
      <c r="X1828" s="794"/>
      <c r="Y1828" s="794"/>
      <c r="Z1828" s="794"/>
      <c r="AA1828" s="794"/>
      <c r="AB1828" s="794"/>
      <c r="AC1828" s="794"/>
      <c r="AD1828" s="794"/>
      <c r="AE1828" s="794"/>
      <c r="AF1828" s="794"/>
      <c r="AG1828" s="794"/>
      <c r="AH1828" s="794"/>
      <c r="AI1828" s="794"/>
      <c r="AJ1828" s="794"/>
      <c r="AK1828" s="794"/>
      <c r="AL1828" s="794"/>
      <c r="AM1828" s="794"/>
      <c r="AN1828" s="794"/>
      <c r="AO1828" s="794"/>
      <c r="AP1828" s="794"/>
      <c r="AQ1828" s="794"/>
      <c r="AR1828" s="794"/>
      <c r="AS1828" s="794"/>
      <c r="AT1828" s="794"/>
      <c r="AU1828" s="794"/>
      <c r="AV1828" s="794"/>
      <c r="AW1828" s="794"/>
      <c r="AX1828" s="794"/>
      <c r="AY1828" s="794"/>
      <c r="AZ1828" s="794"/>
      <c r="BA1828" s="794"/>
      <c r="BB1828" s="794"/>
      <c r="BC1828" s="794"/>
      <c r="BD1828" s="794"/>
      <c r="BE1828" s="794"/>
      <c r="BF1828" s="794"/>
      <c r="BG1828" s="794"/>
      <c r="BH1828" s="794"/>
      <c r="BI1828" s="794"/>
      <c r="BJ1828" s="794"/>
      <c r="BK1828" s="794"/>
      <c r="BL1828" s="794"/>
      <c r="BM1828" s="794"/>
      <c r="BN1828" s="794"/>
      <c r="BO1828" s="794"/>
      <c r="BP1828" s="794"/>
      <c r="BQ1828" s="794"/>
      <c r="BR1828" s="794"/>
      <c r="BS1828" s="794"/>
      <c r="BT1828" s="794"/>
      <c r="BU1828" s="794"/>
      <c r="BV1828" s="794"/>
      <c r="BW1828" s="794"/>
      <c r="BX1828" s="794"/>
      <c r="BY1828" s="794"/>
      <c r="BZ1828" s="794"/>
      <c r="CA1828" s="794"/>
      <c r="CB1828" s="794"/>
      <c r="CC1828" s="794"/>
      <c r="CD1828" s="794"/>
      <c r="CE1828" s="794"/>
      <c r="CF1828" s="794"/>
      <c r="CG1828" s="794"/>
      <c r="CH1828" s="794"/>
      <c r="CI1828" s="794"/>
      <c r="CJ1828" s="794"/>
      <c r="CK1828" s="794"/>
      <c r="CL1828" s="794"/>
      <c r="CM1828" s="794"/>
      <c r="CN1828" s="794"/>
      <c r="CO1828" s="794"/>
      <c r="CP1828" s="794"/>
      <c r="CQ1828" s="794"/>
      <c r="CR1828" s="794"/>
      <c r="CS1828" s="794"/>
      <c r="CT1828" s="794"/>
      <c r="CU1828" s="794"/>
      <c r="CV1828" s="794"/>
      <c r="CW1828" s="794"/>
      <c r="CX1828" s="794"/>
      <c r="CY1828" s="794"/>
      <c r="CZ1828" s="794"/>
      <c r="DA1828" s="794"/>
      <c r="DB1828" s="794"/>
      <c r="DC1828" s="794"/>
      <c r="DD1828" s="794"/>
      <c r="DE1828" s="794"/>
      <c r="DF1828" s="794"/>
      <c r="DG1828" s="794"/>
      <c r="DH1828" s="794"/>
    </row>
    <row r="1829" spans="1:112" s="411" customFormat="1" ht="30" x14ac:dyDescent="0.25">
      <c r="A1829" s="605">
        <v>1799</v>
      </c>
      <c r="B1829" s="799" t="s">
        <v>2276</v>
      </c>
      <c r="C1829" s="795"/>
      <c r="D1829" s="795"/>
      <c r="E1829" s="795"/>
      <c r="F1829" s="795"/>
      <c r="G1829" s="795"/>
      <c r="H1829" s="1111"/>
      <c r="I1829" s="347"/>
      <c r="J1829" s="794"/>
      <c r="K1829" s="794"/>
      <c r="L1829" s="794"/>
      <c r="M1829" s="794"/>
      <c r="N1829" s="794"/>
      <c r="O1829" s="794"/>
      <c r="P1829" s="794"/>
      <c r="Q1829" s="794"/>
      <c r="R1829" s="794"/>
      <c r="S1829" s="794"/>
      <c r="T1829" s="794"/>
      <c r="U1829" s="793"/>
      <c r="V1829" s="793"/>
      <c r="W1829" s="793"/>
      <c r="X1829" s="793"/>
      <c r="Y1829" s="793"/>
      <c r="Z1829" s="793"/>
      <c r="AA1829" s="793"/>
      <c r="AB1829" s="793"/>
      <c r="AC1829" s="793"/>
      <c r="AD1829" s="793"/>
      <c r="AE1829" s="793"/>
      <c r="AF1829" s="793"/>
      <c r="AG1829" s="793"/>
      <c r="AH1829" s="793"/>
      <c r="AI1829" s="793"/>
      <c r="AJ1829" s="793"/>
      <c r="AK1829" s="793"/>
      <c r="AL1829" s="793"/>
      <c r="AM1829" s="793"/>
      <c r="AN1829" s="793"/>
      <c r="AO1829" s="793"/>
      <c r="AP1829" s="793"/>
      <c r="AQ1829" s="793"/>
      <c r="AR1829" s="793"/>
      <c r="AS1829" s="793"/>
      <c r="AT1829" s="793"/>
      <c r="AU1829" s="793"/>
      <c r="AV1829" s="793"/>
      <c r="AW1829" s="793"/>
      <c r="AX1829" s="793"/>
      <c r="AY1829" s="793"/>
      <c r="AZ1829" s="793"/>
      <c r="BA1829" s="793"/>
      <c r="BB1829" s="793"/>
      <c r="BC1829" s="793"/>
      <c r="BD1829" s="793"/>
      <c r="BE1829" s="793"/>
      <c r="BF1829" s="793"/>
      <c r="BG1829" s="793"/>
      <c r="BH1829" s="793"/>
      <c r="BI1829" s="793"/>
      <c r="BJ1829" s="793"/>
      <c r="BK1829" s="793"/>
      <c r="BL1829" s="793"/>
      <c r="BM1829" s="793"/>
      <c r="BN1829" s="793"/>
      <c r="BO1829" s="793"/>
      <c r="BP1829" s="793"/>
      <c r="BQ1829" s="793"/>
      <c r="BR1829" s="793"/>
      <c r="BS1829" s="793"/>
      <c r="BT1829" s="793"/>
      <c r="BU1829" s="793"/>
      <c r="BV1829" s="793"/>
      <c r="BW1829" s="793"/>
      <c r="BX1829" s="793"/>
      <c r="BY1829" s="793"/>
      <c r="BZ1829" s="793"/>
      <c r="CA1829" s="793"/>
      <c r="CB1829" s="793"/>
      <c r="CC1829" s="793"/>
      <c r="CD1829" s="793"/>
      <c r="CE1829" s="793"/>
      <c r="CF1829" s="793"/>
      <c r="CG1829" s="793"/>
      <c r="CH1829" s="793"/>
      <c r="CI1829" s="793"/>
      <c r="CJ1829" s="793"/>
      <c r="CK1829" s="793"/>
      <c r="CL1829" s="793"/>
      <c r="CM1829" s="793"/>
      <c r="CN1829" s="793"/>
      <c r="CO1829" s="793"/>
      <c r="CP1829" s="793"/>
      <c r="CQ1829" s="793"/>
      <c r="CR1829" s="793"/>
      <c r="CS1829" s="793"/>
      <c r="CT1829" s="793"/>
      <c r="CU1829" s="793"/>
      <c r="CV1829" s="793"/>
      <c r="CW1829" s="793"/>
      <c r="CX1829" s="793"/>
      <c r="CY1829" s="793"/>
      <c r="CZ1829" s="793"/>
      <c r="DA1829" s="793"/>
      <c r="DB1829" s="793"/>
      <c r="DC1829" s="793"/>
      <c r="DD1829" s="793"/>
      <c r="DE1829" s="793"/>
      <c r="DF1829" s="793"/>
      <c r="DG1829" s="793"/>
      <c r="DH1829" s="793"/>
    </row>
    <row r="1830" spans="1:112" s="347" customFormat="1" ht="15" x14ac:dyDescent="0.25">
      <c r="A1830" s="605">
        <v>1800</v>
      </c>
      <c r="B1830" s="798" t="s">
        <v>2275</v>
      </c>
      <c r="C1830" s="797"/>
      <c r="D1830" s="797"/>
      <c r="E1830" s="797"/>
      <c r="F1830" s="797"/>
      <c r="G1830" s="797"/>
      <c r="H1830" s="1089"/>
      <c r="J1830" s="794"/>
      <c r="K1830" s="794"/>
      <c r="L1830" s="794"/>
      <c r="M1830" s="794"/>
      <c r="N1830" s="794"/>
      <c r="O1830" s="794"/>
      <c r="P1830" s="794"/>
      <c r="Q1830" s="794"/>
      <c r="R1830" s="794"/>
      <c r="S1830" s="794"/>
      <c r="T1830" s="794"/>
      <c r="U1830" s="794"/>
      <c r="V1830" s="794"/>
      <c r="W1830" s="794"/>
      <c r="X1830" s="794"/>
      <c r="Y1830" s="794"/>
      <c r="Z1830" s="794"/>
      <c r="AA1830" s="794"/>
      <c r="AB1830" s="794"/>
      <c r="AC1830" s="794"/>
      <c r="AD1830" s="794"/>
      <c r="AE1830" s="794"/>
      <c r="AF1830" s="794"/>
      <c r="AG1830" s="794"/>
      <c r="AH1830" s="794"/>
      <c r="AI1830" s="794"/>
      <c r="AJ1830" s="794"/>
      <c r="AK1830" s="794"/>
      <c r="AL1830" s="794"/>
      <c r="AM1830" s="794"/>
      <c r="AN1830" s="794"/>
      <c r="AO1830" s="794"/>
      <c r="AP1830" s="794"/>
      <c r="AQ1830" s="794"/>
      <c r="AR1830" s="794"/>
      <c r="AS1830" s="794"/>
      <c r="AT1830" s="794"/>
      <c r="AU1830" s="794"/>
      <c r="AV1830" s="794"/>
      <c r="AW1830" s="794"/>
      <c r="AX1830" s="794"/>
      <c r="AY1830" s="794"/>
      <c r="AZ1830" s="794"/>
      <c r="BA1830" s="794"/>
      <c r="BB1830" s="794"/>
      <c r="BC1830" s="794"/>
      <c r="BD1830" s="794"/>
      <c r="BE1830" s="794"/>
      <c r="BF1830" s="794"/>
      <c r="BG1830" s="794"/>
      <c r="BH1830" s="794"/>
      <c r="BI1830" s="794"/>
      <c r="BJ1830" s="794"/>
      <c r="BK1830" s="794"/>
      <c r="BL1830" s="794"/>
      <c r="BM1830" s="794"/>
      <c r="BN1830" s="794"/>
      <c r="BO1830" s="794"/>
      <c r="BP1830" s="794"/>
      <c r="BQ1830" s="794"/>
      <c r="BR1830" s="794"/>
      <c r="BS1830" s="794"/>
      <c r="BT1830" s="794"/>
      <c r="BU1830" s="794"/>
      <c r="BV1830" s="794"/>
      <c r="BW1830" s="794"/>
      <c r="BX1830" s="794"/>
      <c r="BY1830" s="794"/>
      <c r="BZ1830" s="794"/>
      <c r="CA1830" s="794"/>
      <c r="CB1830" s="794"/>
      <c r="CC1830" s="794"/>
      <c r="CD1830" s="794"/>
      <c r="CE1830" s="794"/>
      <c r="CF1830" s="794"/>
      <c r="CG1830" s="794"/>
      <c r="CH1830" s="794"/>
      <c r="CI1830" s="794"/>
      <c r="CJ1830" s="794"/>
      <c r="CK1830" s="794"/>
      <c r="CL1830" s="794"/>
      <c r="CM1830" s="794"/>
      <c r="CN1830" s="794"/>
      <c r="CO1830" s="794"/>
      <c r="CP1830" s="794"/>
      <c r="CQ1830" s="794"/>
      <c r="CR1830" s="794"/>
      <c r="CS1830" s="794"/>
      <c r="CT1830" s="794"/>
      <c r="CU1830" s="794"/>
      <c r="CV1830" s="794"/>
      <c r="CW1830" s="794"/>
      <c r="CX1830" s="794"/>
      <c r="CY1830" s="794"/>
      <c r="CZ1830" s="794"/>
      <c r="DA1830" s="794"/>
      <c r="DB1830" s="794"/>
      <c r="DC1830" s="794"/>
      <c r="DD1830" s="794"/>
      <c r="DE1830" s="794"/>
      <c r="DF1830" s="794"/>
      <c r="DG1830" s="794"/>
      <c r="DH1830" s="794"/>
    </row>
    <row r="1831" spans="1:112" s="347" customFormat="1" ht="30" x14ac:dyDescent="0.25">
      <c r="A1831" s="605">
        <v>1801</v>
      </c>
      <c r="B1831" s="798" t="s">
        <v>2274</v>
      </c>
      <c r="C1831" s="797"/>
      <c r="D1831" s="797"/>
      <c r="E1831" s="797"/>
      <c r="F1831" s="797"/>
      <c r="G1831" s="797"/>
      <c r="H1831" s="1089"/>
      <c r="J1831" s="794"/>
      <c r="K1831" s="794"/>
      <c r="L1831" s="794"/>
      <c r="M1831" s="794"/>
      <c r="N1831" s="794"/>
      <c r="O1831" s="794"/>
      <c r="P1831" s="794"/>
      <c r="Q1831" s="794"/>
      <c r="R1831" s="794"/>
      <c r="S1831" s="794"/>
      <c r="T1831" s="794"/>
      <c r="U1831" s="794"/>
      <c r="V1831" s="794"/>
      <c r="W1831" s="794"/>
      <c r="X1831" s="794"/>
      <c r="Y1831" s="794"/>
      <c r="Z1831" s="794"/>
      <c r="AA1831" s="794"/>
      <c r="AB1831" s="794"/>
      <c r="AC1831" s="794"/>
      <c r="AD1831" s="794"/>
      <c r="AE1831" s="794"/>
      <c r="AF1831" s="794"/>
      <c r="AG1831" s="794"/>
      <c r="AH1831" s="794"/>
      <c r="AI1831" s="794"/>
      <c r="AJ1831" s="794"/>
      <c r="AK1831" s="794"/>
      <c r="AL1831" s="794"/>
      <c r="AM1831" s="794"/>
      <c r="AN1831" s="794"/>
      <c r="AO1831" s="794"/>
      <c r="AP1831" s="794"/>
      <c r="AQ1831" s="794"/>
      <c r="AR1831" s="794"/>
      <c r="AS1831" s="794"/>
      <c r="AT1831" s="794"/>
      <c r="AU1831" s="794"/>
      <c r="AV1831" s="794"/>
      <c r="AW1831" s="794"/>
      <c r="AX1831" s="794"/>
      <c r="AY1831" s="794"/>
      <c r="AZ1831" s="794"/>
      <c r="BA1831" s="794"/>
      <c r="BB1831" s="794"/>
      <c r="BC1831" s="794"/>
      <c r="BD1831" s="794"/>
      <c r="BE1831" s="794"/>
      <c r="BF1831" s="794"/>
      <c r="BG1831" s="794"/>
      <c r="BH1831" s="794"/>
      <c r="BI1831" s="794"/>
      <c r="BJ1831" s="794"/>
      <c r="BK1831" s="794"/>
      <c r="BL1831" s="794"/>
      <c r="BM1831" s="794"/>
      <c r="BN1831" s="794"/>
      <c r="BO1831" s="794"/>
      <c r="BP1831" s="794"/>
      <c r="BQ1831" s="794"/>
      <c r="BR1831" s="794"/>
      <c r="BS1831" s="794"/>
      <c r="BT1831" s="794"/>
      <c r="BU1831" s="794"/>
      <c r="BV1831" s="794"/>
      <c r="BW1831" s="794"/>
      <c r="BX1831" s="794"/>
      <c r="BY1831" s="794"/>
      <c r="BZ1831" s="794"/>
      <c r="CA1831" s="794"/>
      <c r="CB1831" s="794"/>
      <c r="CC1831" s="794"/>
      <c r="CD1831" s="794"/>
      <c r="CE1831" s="794"/>
      <c r="CF1831" s="794"/>
      <c r="CG1831" s="794"/>
      <c r="CH1831" s="794"/>
      <c r="CI1831" s="794"/>
      <c r="CJ1831" s="794"/>
      <c r="CK1831" s="794"/>
      <c r="CL1831" s="794"/>
      <c r="CM1831" s="794"/>
      <c r="CN1831" s="794"/>
      <c r="CO1831" s="794"/>
      <c r="CP1831" s="794"/>
      <c r="CQ1831" s="794"/>
      <c r="CR1831" s="794"/>
      <c r="CS1831" s="794"/>
      <c r="CT1831" s="794"/>
      <c r="CU1831" s="794"/>
      <c r="CV1831" s="794"/>
      <c r="CW1831" s="794"/>
      <c r="CX1831" s="794"/>
      <c r="CY1831" s="794"/>
      <c r="CZ1831" s="794"/>
      <c r="DA1831" s="794"/>
      <c r="DB1831" s="794"/>
      <c r="DC1831" s="794"/>
      <c r="DD1831" s="794"/>
      <c r="DE1831" s="794"/>
      <c r="DF1831" s="794"/>
      <c r="DG1831" s="794"/>
      <c r="DH1831" s="794"/>
    </row>
    <row r="1832" spans="1:112" ht="30" x14ac:dyDescent="0.25">
      <c r="A1832" s="605">
        <v>1802</v>
      </c>
      <c r="B1832" s="796" t="s">
        <v>2273</v>
      </c>
      <c r="C1832" s="795"/>
      <c r="D1832" s="795"/>
      <c r="E1832" s="795"/>
      <c r="F1832" s="795"/>
      <c r="G1832" s="795"/>
      <c r="H1832" s="1111"/>
      <c r="J1832" s="794"/>
      <c r="K1832" s="794"/>
      <c r="L1832" s="794"/>
      <c r="M1832" s="794"/>
      <c r="N1832" s="794"/>
      <c r="O1832" s="794"/>
      <c r="P1832" s="794"/>
      <c r="Q1832" s="794"/>
      <c r="R1832" s="794"/>
      <c r="S1832" s="794"/>
      <c r="T1832" s="794"/>
      <c r="U1832" s="793"/>
      <c r="V1832" s="793"/>
      <c r="W1832" s="793"/>
      <c r="X1832" s="793"/>
      <c r="Y1832" s="793"/>
      <c r="Z1832" s="793"/>
      <c r="AA1832" s="793"/>
      <c r="AB1832" s="793"/>
      <c r="AC1832" s="793"/>
      <c r="AD1832" s="793"/>
      <c r="AE1832" s="793"/>
      <c r="AF1832" s="793"/>
      <c r="AG1832" s="793"/>
      <c r="AH1832" s="793"/>
      <c r="AI1832" s="793"/>
      <c r="AJ1832" s="793"/>
      <c r="AK1832" s="793"/>
      <c r="AL1832" s="793"/>
      <c r="AM1832" s="793"/>
      <c r="AN1832" s="793"/>
      <c r="AO1832" s="793"/>
      <c r="AP1832" s="793"/>
      <c r="AQ1832" s="793"/>
      <c r="AR1832" s="793"/>
      <c r="AS1832" s="793"/>
      <c r="AT1832" s="793"/>
      <c r="AU1832" s="793"/>
      <c r="AV1832" s="793"/>
      <c r="AW1832" s="793"/>
      <c r="AX1832" s="793"/>
      <c r="AY1832" s="793"/>
      <c r="AZ1832" s="793"/>
      <c r="BA1832" s="793"/>
      <c r="BB1832" s="793"/>
      <c r="BC1832" s="793"/>
      <c r="BD1832" s="793"/>
      <c r="BE1832" s="793"/>
      <c r="BF1832" s="793"/>
      <c r="BG1832" s="793"/>
      <c r="BH1832" s="793"/>
      <c r="BI1832" s="793"/>
      <c r="BJ1832" s="793"/>
      <c r="BK1832" s="793"/>
      <c r="BL1832" s="793"/>
      <c r="BM1832" s="793"/>
      <c r="BN1832" s="793"/>
      <c r="BO1832" s="793"/>
      <c r="BP1832" s="793"/>
      <c r="BQ1832" s="793"/>
      <c r="BR1832" s="793"/>
      <c r="BS1832" s="793"/>
      <c r="BT1832" s="793"/>
      <c r="BU1832" s="793"/>
      <c r="BV1832" s="793"/>
      <c r="BW1832" s="793"/>
      <c r="BX1832" s="793"/>
      <c r="BY1832" s="793"/>
      <c r="BZ1832" s="793"/>
      <c r="CA1832" s="793"/>
      <c r="CB1832" s="793"/>
      <c r="CC1832" s="793"/>
      <c r="CD1832" s="793"/>
      <c r="CE1832" s="793"/>
      <c r="CF1832" s="793"/>
      <c r="CG1832" s="793"/>
      <c r="CH1832" s="793"/>
      <c r="CI1832" s="793"/>
      <c r="CJ1832" s="793"/>
      <c r="CK1832" s="793"/>
      <c r="CL1832" s="793"/>
      <c r="CM1832" s="793"/>
      <c r="CN1832" s="793"/>
      <c r="CO1832" s="793"/>
      <c r="CP1832" s="793"/>
      <c r="CQ1832" s="793"/>
      <c r="CR1832" s="793"/>
      <c r="CS1832" s="793"/>
      <c r="CT1832" s="793"/>
      <c r="CU1832" s="793"/>
      <c r="CV1832" s="793"/>
      <c r="CW1832" s="793"/>
      <c r="CX1832" s="793"/>
      <c r="CY1832" s="793"/>
      <c r="CZ1832" s="793"/>
      <c r="DA1832" s="793"/>
      <c r="DB1832" s="793"/>
      <c r="DC1832" s="793"/>
      <c r="DD1832" s="793"/>
      <c r="DE1832" s="793"/>
      <c r="DF1832" s="793"/>
      <c r="DG1832" s="793"/>
      <c r="DH1832" s="793"/>
    </row>
    <row r="1833" spans="1:112" s="791" customFormat="1" ht="30" x14ac:dyDescent="0.25">
      <c r="A1833" s="605">
        <v>1803</v>
      </c>
      <c r="B1833" s="777" t="s">
        <v>2272</v>
      </c>
      <c r="C1833" s="777"/>
      <c r="D1833" s="777"/>
      <c r="E1833" s="777"/>
      <c r="F1833" s="777"/>
      <c r="G1833" s="777"/>
      <c r="H1833" s="1030"/>
      <c r="I1833" s="347"/>
      <c r="J1833" s="792"/>
      <c r="K1833" s="792"/>
      <c r="L1833" s="792"/>
      <c r="M1833" s="792"/>
      <c r="N1833" s="792"/>
      <c r="O1833" s="792"/>
      <c r="P1833" s="792"/>
      <c r="Q1833" s="792"/>
      <c r="R1833" s="792"/>
      <c r="S1833" s="792"/>
      <c r="T1833" s="792"/>
    </row>
    <row r="1834" spans="1:112" ht="15" x14ac:dyDescent="0.2">
      <c r="A1834" s="605">
        <v>1804</v>
      </c>
      <c r="B1834" s="790" t="s">
        <v>2271</v>
      </c>
      <c r="C1834" s="278"/>
      <c r="D1834" s="278"/>
      <c r="E1834" s="278"/>
      <c r="F1834" s="278"/>
      <c r="G1834" s="278"/>
      <c r="H1834" s="1111"/>
      <c r="U1834" s="345"/>
      <c r="V1834" s="345"/>
      <c r="W1834" s="345"/>
      <c r="X1834" s="345"/>
      <c r="Y1834" s="345"/>
      <c r="Z1834" s="345"/>
      <c r="AA1834" s="345"/>
      <c r="AB1834" s="345"/>
      <c r="AC1834" s="345"/>
      <c r="AD1834" s="345"/>
      <c r="AE1834" s="345"/>
    </row>
    <row r="1835" spans="1:112" ht="15" x14ac:dyDescent="0.2">
      <c r="A1835" s="605">
        <v>1805</v>
      </c>
      <c r="B1835" s="789" t="s">
        <v>2270</v>
      </c>
      <c r="C1835" s="458"/>
      <c r="D1835" s="458"/>
      <c r="E1835" s="458"/>
      <c r="F1835" s="458"/>
      <c r="G1835" s="458"/>
      <c r="H1835" s="1111"/>
      <c r="U1835" s="345"/>
      <c r="V1835" s="345"/>
      <c r="W1835" s="345"/>
      <c r="X1835" s="345"/>
      <c r="Y1835" s="345"/>
      <c r="Z1835" s="345"/>
      <c r="AA1835" s="345"/>
      <c r="AB1835" s="345"/>
      <c r="AC1835" s="345"/>
      <c r="AD1835" s="345"/>
      <c r="AE1835" s="345"/>
    </row>
    <row r="1836" spans="1:112" ht="30" x14ac:dyDescent="0.2">
      <c r="A1836" s="605">
        <v>1806</v>
      </c>
      <c r="B1836" s="789" t="s">
        <v>2269</v>
      </c>
      <c r="C1836" s="458"/>
      <c r="D1836" s="458"/>
      <c r="E1836" s="458"/>
      <c r="F1836" s="458"/>
      <c r="G1836" s="458"/>
      <c r="H1836" s="1111"/>
      <c r="U1836" s="345"/>
      <c r="V1836" s="345"/>
      <c r="W1836" s="345"/>
      <c r="X1836" s="345"/>
      <c r="Y1836" s="345"/>
      <c r="Z1836" s="345"/>
      <c r="AA1836" s="345"/>
      <c r="AB1836" s="345"/>
      <c r="AC1836" s="345"/>
      <c r="AD1836" s="345"/>
      <c r="AE1836" s="345"/>
    </row>
    <row r="1837" spans="1:112" ht="15" x14ac:dyDescent="0.2">
      <c r="A1837" s="605">
        <v>1807</v>
      </c>
      <c r="B1837" s="789" t="s">
        <v>2268</v>
      </c>
      <c r="C1837" s="458"/>
      <c r="D1837" s="458"/>
      <c r="E1837" s="458"/>
      <c r="F1837" s="458"/>
      <c r="G1837" s="458"/>
      <c r="H1837" s="1111"/>
      <c r="U1837" s="345"/>
      <c r="V1837" s="345"/>
      <c r="W1837" s="345"/>
      <c r="X1837" s="345"/>
      <c r="Y1837" s="345"/>
      <c r="Z1837" s="345"/>
      <c r="AA1837" s="345"/>
      <c r="AB1837" s="345"/>
      <c r="AC1837" s="345"/>
      <c r="AD1837" s="345"/>
      <c r="AE1837" s="345"/>
    </row>
    <row r="1838" spans="1:112" ht="15" x14ac:dyDescent="0.2">
      <c r="A1838" s="605">
        <v>1808</v>
      </c>
      <c r="B1838" s="789" t="s">
        <v>2267</v>
      </c>
      <c r="C1838" s="458"/>
      <c r="D1838" s="458"/>
      <c r="E1838" s="458"/>
      <c r="F1838" s="458"/>
      <c r="G1838" s="458"/>
      <c r="H1838" s="1111"/>
      <c r="U1838" s="345"/>
      <c r="V1838" s="345"/>
      <c r="W1838" s="345"/>
      <c r="X1838" s="345"/>
      <c r="Y1838" s="345"/>
      <c r="Z1838" s="345"/>
      <c r="AA1838" s="345"/>
      <c r="AB1838" s="345"/>
      <c r="AC1838" s="345"/>
      <c r="AD1838" s="345"/>
      <c r="AE1838" s="345"/>
    </row>
    <row r="1839" spans="1:112" s="347" customFormat="1" ht="15" x14ac:dyDescent="0.2">
      <c r="A1839" s="605">
        <v>1809</v>
      </c>
      <c r="B1839" s="788" t="s">
        <v>2266</v>
      </c>
      <c r="C1839" s="727"/>
      <c r="D1839" s="727"/>
      <c r="E1839" s="727"/>
      <c r="F1839" s="727"/>
      <c r="G1839" s="727"/>
      <c r="H1839" s="1089"/>
    </row>
    <row r="1840" spans="1:112" ht="15" x14ac:dyDescent="0.25">
      <c r="A1840" s="605">
        <v>1810</v>
      </c>
      <c r="B1840" s="676" t="s">
        <v>2265</v>
      </c>
      <c r="C1840" s="675"/>
      <c r="D1840" s="675"/>
      <c r="E1840" s="675"/>
      <c r="F1840" s="675"/>
      <c r="G1840" s="675"/>
      <c r="H1840" s="1023"/>
      <c r="I1840" s="345"/>
      <c r="J1840" s="345"/>
      <c r="K1840" s="345"/>
      <c r="L1840" s="345"/>
      <c r="M1840" s="345"/>
      <c r="N1840" s="345"/>
      <c r="O1840" s="345"/>
      <c r="P1840" s="345"/>
      <c r="Q1840" s="345"/>
      <c r="R1840" s="345"/>
      <c r="S1840" s="345"/>
      <c r="T1840" s="345"/>
      <c r="U1840" s="345"/>
      <c r="V1840" s="345"/>
      <c r="W1840" s="345"/>
      <c r="X1840" s="345"/>
      <c r="Y1840" s="345"/>
      <c r="Z1840" s="345"/>
      <c r="AA1840" s="345"/>
      <c r="AB1840" s="345"/>
      <c r="AC1840" s="345"/>
      <c r="AD1840" s="345"/>
      <c r="AE1840" s="345"/>
    </row>
    <row r="1841" spans="1:31" ht="15" x14ac:dyDescent="0.2">
      <c r="A1841" s="605">
        <v>1811</v>
      </c>
      <c r="B1841" s="604" t="s">
        <v>2264</v>
      </c>
      <c r="C1841" s="603"/>
      <c r="D1841" s="603"/>
      <c r="E1841" s="603"/>
      <c r="F1841" s="603"/>
      <c r="G1841" s="603"/>
      <c r="H1841" s="1055"/>
      <c r="I1841" s="345"/>
      <c r="J1841" s="345"/>
      <c r="K1841" s="345"/>
      <c r="L1841" s="345"/>
      <c r="M1841" s="345"/>
      <c r="N1841" s="345"/>
      <c r="O1841" s="345"/>
      <c r="P1841" s="345"/>
      <c r="Q1841" s="345"/>
      <c r="R1841" s="345"/>
      <c r="S1841" s="345"/>
      <c r="T1841" s="345"/>
      <c r="U1841" s="345"/>
      <c r="V1841" s="345"/>
      <c r="W1841" s="345"/>
      <c r="X1841" s="345"/>
      <c r="Y1841" s="345"/>
      <c r="Z1841" s="345"/>
      <c r="AA1841" s="345"/>
      <c r="AB1841" s="345"/>
      <c r="AC1841" s="345"/>
      <c r="AD1841" s="345"/>
      <c r="AE1841" s="345"/>
    </row>
    <row r="1842" spans="1:31" ht="15" x14ac:dyDescent="0.2">
      <c r="A1842" s="605">
        <v>1812</v>
      </c>
      <c r="B1842" s="783" t="s">
        <v>2263</v>
      </c>
      <c r="C1842" s="644"/>
      <c r="D1842" s="644"/>
      <c r="E1842" s="644"/>
      <c r="F1842" s="644"/>
      <c r="G1842" s="644"/>
      <c r="H1842" s="1114"/>
      <c r="I1842" s="345"/>
      <c r="J1842" s="345"/>
      <c r="K1842" s="345"/>
      <c r="L1842" s="345"/>
      <c r="M1842" s="345"/>
      <c r="N1842" s="345"/>
      <c r="O1842" s="345"/>
      <c r="P1842" s="345"/>
      <c r="Q1842" s="345"/>
      <c r="R1842" s="345"/>
      <c r="S1842" s="345"/>
      <c r="T1842" s="345"/>
      <c r="U1842" s="345"/>
      <c r="V1842" s="345"/>
      <c r="W1842" s="345"/>
      <c r="X1842" s="345"/>
      <c r="Y1842" s="345"/>
      <c r="Z1842" s="345"/>
      <c r="AA1842" s="345"/>
      <c r="AB1842" s="345"/>
      <c r="AC1842" s="345"/>
      <c r="AD1842" s="345"/>
      <c r="AE1842" s="345"/>
    </row>
    <row r="1843" spans="1:31" ht="30" x14ac:dyDescent="0.2">
      <c r="A1843" s="605">
        <v>1813</v>
      </c>
      <c r="B1843" s="783" t="s">
        <v>2262</v>
      </c>
      <c r="C1843" s="644"/>
      <c r="D1843" s="644"/>
      <c r="E1843" s="644"/>
      <c r="F1843" s="644"/>
      <c r="G1843" s="644"/>
      <c r="H1843" s="1114"/>
      <c r="I1843" s="345"/>
      <c r="J1843" s="345"/>
      <c r="K1843" s="345"/>
      <c r="L1843" s="345"/>
      <c r="M1843" s="345"/>
      <c r="N1843" s="345"/>
      <c r="O1843" s="345"/>
      <c r="P1843" s="345"/>
      <c r="Q1843" s="345"/>
      <c r="R1843" s="345"/>
      <c r="S1843" s="345"/>
      <c r="T1843" s="345"/>
      <c r="U1843" s="345"/>
      <c r="V1843" s="345"/>
      <c r="W1843" s="345"/>
      <c r="X1843" s="345"/>
      <c r="Y1843" s="345"/>
      <c r="Z1843" s="345"/>
      <c r="AA1843" s="345"/>
      <c r="AB1843" s="345"/>
      <c r="AC1843" s="345"/>
      <c r="AD1843" s="345"/>
      <c r="AE1843" s="345"/>
    </row>
    <row r="1844" spans="1:31" ht="30" x14ac:dyDescent="0.2">
      <c r="A1844" s="605">
        <v>1814</v>
      </c>
      <c r="B1844" s="783" t="s">
        <v>2261</v>
      </c>
      <c r="C1844" s="644"/>
      <c r="D1844" s="644"/>
      <c r="E1844" s="644"/>
      <c r="F1844" s="644"/>
      <c r="G1844" s="644"/>
      <c r="H1844" s="1114"/>
      <c r="I1844" s="345"/>
      <c r="J1844" s="345"/>
      <c r="K1844" s="345"/>
      <c r="L1844" s="345"/>
      <c r="M1844" s="345"/>
      <c r="N1844" s="345"/>
      <c r="O1844" s="345"/>
      <c r="P1844" s="345"/>
      <c r="Q1844" s="345"/>
      <c r="R1844" s="345"/>
      <c r="S1844" s="345"/>
      <c r="T1844" s="345"/>
      <c r="U1844" s="345"/>
      <c r="V1844" s="345"/>
      <c r="W1844" s="345"/>
      <c r="X1844" s="345"/>
      <c r="Y1844" s="345"/>
      <c r="Z1844" s="345"/>
      <c r="AA1844" s="345"/>
      <c r="AB1844" s="345"/>
      <c r="AC1844" s="345"/>
      <c r="AD1844" s="345"/>
      <c r="AE1844" s="345"/>
    </row>
    <row r="1845" spans="1:31" s="598" customFormat="1" ht="30" x14ac:dyDescent="0.2">
      <c r="A1845" s="605">
        <v>1815</v>
      </c>
      <c r="B1845" s="1002" t="s">
        <v>2260</v>
      </c>
      <c r="C1845" s="538"/>
      <c r="D1845" s="538"/>
      <c r="E1845" s="538"/>
      <c r="F1845" s="538"/>
      <c r="G1845" s="538"/>
      <c r="H1845" s="1115"/>
    </row>
    <row r="1846" spans="1:31" ht="15" x14ac:dyDescent="0.2">
      <c r="A1846" s="605">
        <v>1816</v>
      </c>
      <c r="B1846" s="783" t="s">
        <v>2259</v>
      </c>
      <c r="C1846" s="644"/>
      <c r="D1846" s="644"/>
      <c r="E1846" s="644"/>
      <c r="F1846" s="644"/>
      <c r="G1846" s="644"/>
      <c r="H1846" s="1111"/>
      <c r="I1846" s="345"/>
      <c r="J1846" s="345"/>
      <c r="K1846" s="345"/>
      <c r="L1846" s="345"/>
      <c r="M1846" s="345"/>
      <c r="N1846" s="345"/>
      <c r="O1846" s="345"/>
      <c r="P1846" s="345"/>
      <c r="Q1846" s="345"/>
      <c r="R1846" s="345"/>
      <c r="S1846" s="345"/>
      <c r="T1846" s="345"/>
      <c r="U1846" s="345"/>
      <c r="V1846" s="345"/>
      <c r="W1846" s="345"/>
      <c r="X1846" s="345"/>
      <c r="Y1846" s="345"/>
      <c r="Z1846" s="345"/>
      <c r="AA1846" s="345"/>
      <c r="AB1846" s="345"/>
      <c r="AC1846" s="345"/>
      <c r="AD1846" s="345"/>
      <c r="AE1846" s="345"/>
    </row>
    <row r="1847" spans="1:31" ht="15" x14ac:dyDescent="0.2">
      <c r="A1847" s="605">
        <v>1817</v>
      </c>
      <c r="B1847" s="783" t="s">
        <v>2258</v>
      </c>
      <c r="C1847" s="644"/>
      <c r="D1847" s="644"/>
      <c r="E1847" s="644"/>
      <c r="F1847" s="644"/>
      <c r="G1847" s="644"/>
      <c r="H1847" s="1114"/>
      <c r="I1847" s="345"/>
      <c r="J1847" s="345"/>
      <c r="K1847" s="345"/>
      <c r="L1847" s="345"/>
      <c r="M1847" s="345"/>
      <c r="N1847" s="345"/>
      <c r="O1847" s="345"/>
      <c r="P1847" s="345"/>
      <c r="Q1847" s="345"/>
      <c r="R1847" s="345"/>
      <c r="S1847" s="345"/>
      <c r="T1847" s="345"/>
      <c r="U1847" s="345"/>
      <c r="V1847" s="345"/>
      <c r="W1847" s="345"/>
      <c r="X1847" s="345"/>
      <c r="Y1847" s="345"/>
      <c r="Z1847" s="345"/>
      <c r="AA1847" s="345"/>
      <c r="AB1847" s="345"/>
      <c r="AC1847" s="345"/>
      <c r="AD1847" s="345"/>
      <c r="AE1847" s="345"/>
    </row>
    <row r="1848" spans="1:31" ht="30" x14ac:dyDescent="0.2">
      <c r="A1848" s="605">
        <v>1818</v>
      </c>
      <c r="B1848" s="783" t="s">
        <v>2257</v>
      </c>
      <c r="C1848" s="782"/>
      <c r="D1848" s="782"/>
      <c r="E1848" s="782"/>
      <c r="F1848" s="782"/>
      <c r="G1848" s="782"/>
      <c r="H1848" s="1114"/>
      <c r="I1848" s="345"/>
      <c r="J1848" s="345"/>
      <c r="K1848" s="345"/>
      <c r="L1848" s="345"/>
      <c r="M1848" s="345"/>
      <c r="N1848" s="345"/>
      <c r="O1848" s="345"/>
      <c r="P1848" s="345"/>
      <c r="Q1848" s="345"/>
      <c r="R1848" s="345"/>
      <c r="S1848" s="345"/>
      <c r="T1848" s="345"/>
      <c r="U1848" s="345"/>
      <c r="V1848" s="345"/>
      <c r="W1848" s="345"/>
      <c r="X1848" s="345"/>
      <c r="Y1848" s="345"/>
      <c r="Z1848" s="345"/>
      <c r="AA1848" s="345"/>
      <c r="AB1848" s="345"/>
      <c r="AC1848" s="345"/>
      <c r="AD1848" s="345"/>
      <c r="AE1848" s="345"/>
    </row>
    <row r="1849" spans="1:31" ht="15" x14ac:dyDescent="0.2">
      <c r="A1849" s="605">
        <v>1819</v>
      </c>
      <c r="B1849" s="786" t="s">
        <v>2256</v>
      </c>
      <c r="C1849" s="644"/>
      <c r="D1849" s="644"/>
      <c r="E1849" s="644"/>
      <c r="F1849" s="644"/>
      <c r="G1849" s="644"/>
      <c r="H1849" s="1114"/>
      <c r="I1849" s="345"/>
      <c r="J1849" s="345"/>
      <c r="K1849" s="345"/>
      <c r="L1849" s="345"/>
      <c r="M1849" s="345"/>
      <c r="N1849" s="345"/>
      <c r="O1849" s="345"/>
      <c r="P1849" s="345"/>
      <c r="Q1849" s="345"/>
      <c r="R1849" s="345"/>
      <c r="S1849" s="345"/>
      <c r="T1849" s="345"/>
      <c r="U1849" s="345"/>
      <c r="V1849" s="345"/>
      <c r="W1849" s="345"/>
      <c r="X1849" s="345"/>
      <c r="Y1849" s="345"/>
      <c r="Z1849" s="345"/>
      <c r="AA1849" s="345"/>
      <c r="AB1849" s="345"/>
      <c r="AC1849" s="345"/>
      <c r="AD1849" s="345"/>
      <c r="AE1849" s="345"/>
    </row>
    <row r="1850" spans="1:31" ht="15" x14ac:dyDescent="0.2">
      <c r="A1850" s="605">
        <v>1820</v>
      </c>
      <c r="B1850" s="786" t="s">
        <v>2255</v>
      </c>
      <c r="C1850" s="644"/>
      <c r="D1850" s="644"/>
      <c r="E1850" s="644"/>
      <c r="F1850" s="644"/>
      <c r="G1850" s="644"/>
      <c r="H1850" s="1114"/>
      <c r="I1850" s="345"/>
      <c r="J1850" s="345"/>
      <c r="K1850" s="345"/>
      <c r="L1850" s="345"/>
      <c r="M1850" s="345"/>
      <c r="N1850" s="345"/>
      <c r="O1850" s="345"/>
      <c r="P1850" s="345"/>
      <c r="Q1850" s="345"/>
      <c r="R1850" s="345"/>
      <c r="S1850" s="345"/>
      <c r="T1850" s="345"/>
      <c r="U1850" s="345"/>
      <c r="V1850" s="345"/>
      <c r="W1850" s="345"/>
      <c r="X1850" s="345"/>
      <c r="Y1850" s="345"/>
      <c r="Z1850" s="345"/>
      <c r="AA1850" s="345"/>
      <c r="AB1850" s="345"/>
      <c r="AC1850" s="345"/>
      <c r="AD1850" s="345"/>
      <c r="AE1850" s="345"/>
    </row>
    <row r="1851" spans="1:31" ht="15" x14ac:dyDescent="0.2">
      <c r="A1851" s="605">
        <v>1821</v>
      </c>
      <c r="B1851" s="786" t="s">
        <v>2254</v>
      </c>
      <c r="C1851" s="644"/>
      <c r="D1851" s="644"/>
      <c r="E1851" s="644"/>
      <c r="F1851" s="644"/>
      <c r="G1851" s="644"/>
      <c r="H1851" s="1114"/>
      <c r="I1851" s="345"/>
      <c r="J1851" s="345"/>
      <c r="K1851" s="345"/>
      <c r="L1851" s="345"/>
      <c r="M1851" s="345"/>
      <c r="N1851" s="345"/>
      <c r="O1851" s="345"/>
      <c r="P1851" s="345"/>
      <c r="Q1851" s="345"/>
      <c r="R1851" s="345"/>
      <c r="S1851" s="345"/>
      <c r="T1851" s="345"/>
      <c r="U1851" s="345"/>
      <c r="V1851" s="345"/>
      <c r="W1851" s="345"/>
      <c r="X1851" s="345"/>
      <c r="Y1851" s="345"/>
      <c r="Z1851" s="345"/>
      <c r="AA1851" s="345"/>
      <c r="AB1851" s="345"/>
      <c r="AC1851" s="345"/>
      <c r="AD1851" s="345"/>
      <c r="AE1851" s="345"/>
    </row>
    <row r="1852" spans="1:31" s="598" customFormat="1" ht="15" x14ac:dyDescent="0.2">
      <c r="A1852" s="605">
        <v>1822</v>
      </c>
      <c r="B1852" s="1003" t="s">
        <v>2253</v>
      </c>
      <c r="C1852" s="538"/>
      <c r="D1852" s="538"/>
      <c r="E1852" s="538"/>
      <c r="F1852" s="538"/>
      <c r="G1852" s="538"/>
      <c r="H1852" s="1115"/>
    </row>
    <row r="1853" spans="1:31" s="598" customFormat="1" ht="30" x14ac:dyDescent="0.2">
      <c r="A1853" s="605">
        <v>1823</v>
      </c>
      <c r="B1853" s="1002" t="s">
        <v>2252</v>
      </c>
      <c r="C1853" s="538"/>
      <c r="D1853" s="538"/>
      <c r="E1853" s="538"/>
      <c r="F1853" s="538"/>
      <c r="G1853" s="538"/>
      <c r="H1853" s="1115"/>
    </row>
    <row r="1854" spans="1:31" s="598" customFormat="1" ht="45" x14ac:dyDescent="0.2">
      <c r="A1854" s="605">
        <v>1824</v>
      </c>
      <c r="B1854" s="1002" t="s">
        <v>2251</v>
      </c>
      <c r="C1854" s="538"/>
      <c r="D1854" s="538"/>
      <c r="E1854" s="538"/>
      <c r="F1854" s="538"/>
      <c r="G1854" s="538"/>
      <c r="H1854" s="1115"/>
    </row>
    <row r="1855" spans="1:31" ht="45" x14ac:dyDescent="0.2">
      <c r="A1855" s="605">
        <v>1825</v>
      </c>
      <c r="B1855" s="787" t="s">
        <v>2250</v>
      </c>
      <c r="C1855" s="782"/>
      <c r="D1855" s="782"/>
      <c r="E1855" s="782"/>
      <c r="F1855" s="782"/>
      <c r="G1855" s="782"/>
      <c r="H1855" s="1080"/>
      <c r="I1855" s="345"/>
      <c r="J1855" s="345"/>
      <c r="K1855" s="345"/>
      <c r="L1855" s="345"/>
      <c r="M1855" s="345"/>
      <c r="N1855" s="345"/>
      <c r="O1855" s="345"/>
      <c r="P1855" s="345"/>
      <c r="Q1855" s="345"/>
      <c r="R1855" s="345"/>
      <c r="S1855" s="345"/>
      <c r="T1855" s="345"/>
      <c r="U1855" s="345"/>
      <c r="V1855" s="345"/>
      <c r="W1855" s="345"/>
      <c r="X1855" s="345"/>
      <c r="Y1855" s="345"/>
      <c r="Z1855" s="345"/>
      <c r="AA1855" s="345"/>
      <c r="AB1855" s="345"/>
      <c r="AC1855" s="345"/>
      <c r="AD1855" s="345"/>
      <c r="AE1855" s="345"/>
    </row>
    <row r="1856" spans="1:31" ht="15" x14ac:dyDescent="0.2">
      <c r="A1856" s="605">
        <v>1826</v>
      </c>
      <c r="B1856" s="786" t="s">
        <v>2249</v>
      </c>
      <c r="C1856" s="644"/>
      <c r="D1856" s="644"/>
      <c r="E1856" s="644"/>
      <c r="F1856" s="644"/>
      <c r="G1856" s="644"/>
      <c r="H1856" s="1114"/>
      <c r="I1856" s="345"/>
      <c r="J1856" s="345"/>
      <c r="K1856" s="345"/>
      <c r="L1856" s="345"/>
      <c r="M1856" s="345"/>
      <c r="N1856" s="345"/>
      <c r="O1856" s="345"/>
      <c r="P1856" s="345"/>
      <c r="Q1856" s="345"/>
      <c r="R1856" s="345"/>
      <c r="S1856" s="345"/>
      <c r="T1856" s="345"/>
      <c r="U1856" s="345"/>
      <c r="V1856" s="345"/>
      <c r="W1856" s="345"/>
      <c r="X1856" s="345"/>
      <c r="Y1856" s="345"/>
      <c r="Z1856" s="345"/>
      <c r="AA1856" s="345"/>
      <c r="AB1856" s="345"/>
      <c r="AC1856" s="345"/>
      <c r="AD1856" s="345"/>
      <c r="AE1856" s="345"/>
    </row>
    <row r="1857" spans="1:31" ht="15" x14ac:dyDescent="0.2">
      <c r="A1857" s="605">
        <v>1827</v>
      </c>
      <c r="B1857" s="683" t="s">
        <v>2248</v>
      </c>
      <c r="C1857" s="683"/>
      <c r="D1857" s="683"/>
      <c r="E1857" s="683"/>
      <c r="F1857" s="683"/>
      <c r="G1857" s="683"/>
      <c r="H1857" s="1068"/>
      <c r="I1857" s="345"/>
      <c r="J1857" s="345"/>
      <c r="K1857" s="345"/>
      <c r="L1857" s="345"/>
      <c r="M1857" s="345"/>
      <c r="N1857" s="345"/>
      <c r="O1857" s="345"/>
      <c r="P1857" s="345"/>
      <c r="Q1857" s="345"/>
      <c r="R1857" s="345"/>
      <c r="S1857" s="345"/>
      <c r="T1857" s="345"/>
      <c r="U1857" s="345"/>
      <c r="V1857" s="345"/>
      <c r="W1857" s="345"/>
      <c r="X1857" s="345"/>
      <c r="Y1857" s="345"/>
      <c r="Z1857" s="345"/>
      <c r="AA1857" s="345"/>
      <c r="AB1857" s="345"/>
      <c r="AC1857" s="345"/>
      <c r="AD1857" s="345"/>
      <c r="AE1857" s="345"/>
    </row>
    <row r="1858" spans="1:31" ht="15" x14ac:dyDescent="0.2">
      <c r="A1858" s="605">
        <v>1828</v>
      </c>
      <c r="B1858" s="786" t="s">
        <v>2247</v>
      </c>
      <c r="C1858" s="644"/>
      <c r="D1858" s="644"/>
      <c r="E1858" s="644"/>
      <c r="F1858" s="644"/>
      <c r="G1858" s="644"/>
      <c r="H1858" s="1114"/>
      <c r="I1858" s="345"/>
      <c r="J1858" s="345"/>
      <c r="K1858" s="345"/>
      <c r="L1858" s="345"/>
      <c r="M1858" s="345"/>
      <c r="N1858" s="345"/>
      <c r="O1858" s="345"/>
      <c r="P1858" s="345"/>
      <c r="Q1858" s="345"/>
      <c r="R1858" s="345"/>
      <c r="S1858" s="345"/>
      <c r="T1858" s="345"/>
      <c r="U1858" s="345"/>
      <c r="V1858" s="345"/>
      <c r="W1858" s="345"/>
      <c r="X1858" s="345"/>
      <c r="Y1858" s="345"/>
      <c r="Z1858" s="345"/>
      <c r="AA1858" s="345"/>
      <c r="AB1858" s="345"/>
      <c r="AC1858" s="345"/>
      <c r="AD1858" s="345"/>
      <c r="AE1858" s="345"/>
    </row>
    <row r="1859" spans="1:31" ht="15" x14ac:dyDescent="0.2">
      <c r="A1859" s="605">
        <v>1829</v>
      </c>
      <c r="B1859" s="786" t="s">
        <v>2246</v>
      </c>
      <c r="C1859" s="644"/>
      <c r="D1859" s="644"/>
      <c r="E1859" s="644"/>
      <c r="F1859" s="644"/>
      <c r="G1859" s="644"/>
      <c r="H1859" s="1114"/>
      <c r="I1859" s="345"/>
      <c r="J1859" s="345"/>
      <c r="K1859" s="345"/>
      <c r="L1859" s="345"/>
      <c r="M1859" s="345"/>
      <c r="N1859" s="345"/>
      <c r="O1859" s="345"/>
      <c r="P1859" s="345"/>
      <c r="Q1859" s="345"/>
      <c r="R1859" s="345"/>
      <c r="S1859" s="345"/>
      <c r="T1859" s="345"/>
      <c r="U1859" s="345"/>
      <c r="V1859" s="345"/>
      <c r="W1859" s="345"/>
      <c r="X1859" s="345"/>
      <c r="Y1859" s="345"/>
      <c r="Z1859" s="345"/>
      <c r="AA1859" s="345"/>
      <c r="AB1859" s="345"/>
      <c r="AC1859" s="345"/>
      <c r="AD1859" s="345"/>
      <c r="AE1859" s="345"/>
    </row>
    <row r="1860" spans="1:31" ht="15" x14ac:dyDescent="0.2">
      <c r="A1860" s="605">
        <v>1830</v>
      </c>
      <c r="B1860" s="786" t="s">
        <v>2245</v>
      </c>
      <c r="C1860" s="644"/>
      <c r="D1860" s="644"/>
      <c r="E1860" s="644"/>
      <c r="F1860" s="644"/>
      <c r="G1860" s="644"/>
      <c r="H1860" s="1114"/>
      <c r="I1860" s="345"/>
      <c r="J1860" s="345"/>
      <c r="K1860" s="345"/>
      <c r="L1860" s="345"/>
      <c r="M1860" s="345"/>
      <c r="N1860" s="345"/>
      <c r="O1860" s="345"/>
      <c r="P1860" s="345"/>
      <c r="Q1860" s="345"/>
      <c r="R1860" s="345"/>
      <c r="S1860" s="345"/>
      <c r="T1860" s="345"/>
      <c r="U1860" s="345"/>
      <c r="V1860" s="345"/>
      <c r="W1860" s="345"/>
      <c r="X1860" s="345"/>
      <c r="Y1860" s="345"/>
      <c r="Z1860" s="345"/>
      <c r="AA1860" s="345"/>
      <c r="AB1860" s="345"/>
      <c r="AC1860" s="345"/>
      <c r="AD1860" s="345"/>
      <c r="AE1860" s="345"/>
    </row>
    <row r="1861" spans="1:31" ht="30" x14ac:dyDescent="0.2">
      <c r="A1861" s="605">
        <v>1831</v>
      </c>
      <c r="B1861" s="785" t="s">
        <v>2244</v>
      </c>
      <c r="C1861" s="737"/>
      <c r="D1861" s="737"/>
      <c r="E1861" s="737"/>
      <c r="F1861" s="737"/>
      <c r="G1861" s="737"/>
      <c r="H1861" s="1116"/>
      <c r="I1861" s="345"/>
      <c r="J1861" s="345"/>
      <c r="K1861" s="345"/>
      <c r="L1861" s="345"/>
      <c r="M1861" s="345"/>
      <c r="N1861" s="345"/>
      <c r="O1861" s="345"/>
      <c r="P1861" s="345"/>
      <c r="Q1861" s="345"/>
      <c r="R1861" s="345"/>
      <c r="S1861" s="345"/>
      <c r="T1861" s="345"/>
      <c r="U1861" s="345"/>
      <c r="V1861" s="345"/>
      <c r="W1861" s="345"/>
      <c r="X1861" s="345"/>
      <c r="Y1861" s="345"/>
      <c r="Z1861" s="345"/>
      <c r="AA1861" s="345"/>
      <c r="AB1861" s="345"/>
      <c r="AC1861" s="345"/>
      <c r="AD1861" s="345"/>
      <c r="AE1861" s="345"/>
    </row>
    <row r="1862" spans="1:31" ht="30" x14ac:dyDescent="0.2">
      <c r="A1862" s="605">
        <v>1832</v>
      </c>
      <c r="B1862" s="785" t="s">
        <v>2243</v>
      </c>
      <c r="C1862" s="737"/>
      <c r="D1862" s="737"/>
      <c r="E1862" s="737"/>
      <c r="F1862" s="737"/>
      <c r="G1862" s="737"/>
      <c r="H1862" s="1116"/>
      <c r="I1862" s="345"/>
      <c r="J1862" s="345"/>
      <c r="K1862" s="345"/>
      <c r="L1862" s="345"/>
      <c r="M1862" s="345"/>
      <c r="N1862" s="345"/>
      <c r="O1862" s="345"/>
      <c r="P1862" s="345"/>
      <c r="Q1862" s="345"/>
      <c r="R1862" s="345"/>
      <c r="S1862" s="345"/>
      <c r="T1862" s="345"/>
      <c r="U1862" s="345"/>
      <c r="V1862" s="345"/>
      <c r="W1862" s="345"/>
      <c r="X1862" s="345"/>
      <c r="Y1862" s="345"/>
      <c r="Z1862" s="345"/>
      <c r="AA1862" s="345"/>
      <c r="AB1862" s="345"/>
      <c r="AC1862" s="345"/>
      <c r="AD1862" s="345"/>
      <c r="AE1862" s="345"/>
    </row>
    <row r="1863" spans="1:31" ht="30" x14ac:dyDescent="0.2">
      <c r="A1863" s="605">
        <v>1833</v>
      </c>
      <c r="B1863" s="784" t="s">
        <v>2242</v>
      </c>
      <c r="C1863" s="737"/>
      <c r="D1863" s="737"/>
      <c r="E1863" s="737"/>
      <c r="F1863" s="737"/>
      <c r="G1863" s="737"/>
      <c r="H1863" s="1116"/>
      <c r="I1863" s="345"/>
      <c r="J1863" s="345"/>
      <c r="K1863" s="345"/>
      <c r="L1863" s="345"/>
      <c r="M1863" s="345"/>
      <c r="N1863" s="345"/>
      <c r="O1863" s="345"/>
      <c r="P1863" s="345"/>
      <c r="Q1863" s="345"/>
      <c r="R1863" s="345"/>
      <c r="S1863" s="345"/>
      <c r="T1863" s="345"/>
      <c r="U1863" s="345"/>
      <c r="V1863" s="345"/>
      <c r="W1863" s="345"/>
      <c r="X1863" s="345"/>
      <c r="Y1863" s="345"/>
      <c r="Z1863" s="345"/>
      <c r="AA1863" s="345"/>
      <c r="AB1863" s="345"/>
      <c r="AC1863" s="345"/>
      <c r="AD1863" s="345"/>
      <c r="AE1863" s="345"/>
    </row>
    <row r="1864" spans="1:31" ht="30" x14ac:dyDescent="0.2">
      <c r="A1864" s="605">
        <v>1834</v>
      </c>
      <c r="B1864" s="783" t="s">
        <v>2241</v>
      </c>
      <c r="C1864" s="644"/>
      <c r="D1864" s="644"/>
      <c r="E1864" s="644"/>
      <c r="F1864" s="644"/>
      <c r="G1864" s="644"/>
      <c r="H1864" s="1114"/>
      <c r="I1864" s="345"/>
      <c r="J1864" s="345"/>
      <c r="K1864" s="345"/>
      <c r="L1864" s="345"/>
      <c r="M1864" s="345"/>
      <c r="N1864" s="345"/>
      <c r="O1864" s="345"/>
      <c r="P1864" s="345"/>
      <c r="Q1864" s="345"/>
      <c r="R1864" s="345"/>
      <c r="S1864" s="345"/>
      <c r="T1864" s="345"/>
      <c r="U1864" s="345"/>
      <c r="V1864" s="345"/>
      <c r="W1864" s="345"/>
      <c r="X1864" s="345"/>
      <c r="Y1864" s="345"/>
      <c r="Z1864" s="345"/>
      <c r="AA1864" s="345"/>
      <c r="AB1864" s="345"/>
      <c r="AC1864" s="345"/>
      <c r="AD1864" s="345"/>
      <c r="AE1864" s="345"/>
    </row>
    <row r="1865" spans="1:31" ht="15" x14ac:dyDescent="0.2">
      <c r="A1865" s="605">
        <v>1835</v>
      </c>
      <c r="B1865" s="783" t="s">
        <v>2240</v>
      </c>
      <c r="C1865" s="644"/>
      <c r="D1865" s="644"/>
      <c r="E1865" s="644"/>
      <c r="F1865" s="644"/>
      <c r="G1865" s="644"/>
      <c r="H1865" s="1114"/>
      <c r="I1865" s="345"/>
      <c r="J1865" s="345"/>
      <c r="K1865" s="345"/>
      <c r="L1865" s="345"/>
      <c r="M1865" s="345"/>
      <c r="N1865" s="345"/>
      <c r="O1865" s="345"/>
      <c r="P1865" s="345"/>
      <c r="Q1865" s="345"/>
      <c r="R1865" s="345"/>
      <c r="S1865" s="345"/>
      <c r="T1865" s="345"/>
      <c r="U1865" s="345"/>
      <c r="V1865" s="345"/>
      <c r="W1865" s="345"/>
      <c r="X1865" s="345"/>
      <c r="Y1865" s="345"/>
      <c r="Z1865" s="345"/>
      <c r="AA1865" s="345"/>
      <c r="AB1865" s="345"/>
      <c r="AC1865" s="345"/>
      <c r="AD1865" s="345"/>
      <c r="AE1865" s="345"/>
    </row>
    <row r="1866" spans="1:31" s="598" customFormat="1" ht="15" x14ac:dyDescent="0.2">
      <c r="A1866" s="605">
        <v>1836</v>
      </c>
      <c r="B1866" s="1002" t="s">
        <v>2239</v>
      </c>
      <c r="C1866" s="538"/>
      <c r="D1866" s="538"/>
      <c r="E1866" s="538"/>
      <c r="F1866" s="538"/>
      <c r="G1866" s="538"/>
      <c r="H1866" s="1115"/>
    </row>
    <row r="1867" spans="1:31" ht="30" x14ac:dyDescent="0.2">
      <c r="A1867" s="605">
        <v>1837</v>
      </c>
      <c r="B1867" s="783" t="s">
        <v>2238</v>
      </c>
      <c r="C1867" s="644"/>
      <c r="D1867" s="644"/>
      <c r="E1867" s="644"/>
      <c r="F1867" s="644"/>
      <c r="G1867" s="644"/>
      <c r="H1867" s="1114"/>
      <c r="I1867" s="345"/>
      <c r="J1867" s="345"/>
      <c r="K1867" s="345"/>
      <c r="L1867" s="345"/>
      <c r="M1867" s="345"/>
      <c r="N1867" s="345"/>
      <c r="O1867" s="345"/>
      <c r="P1867" s="345"/>
      <c r="Q1867" s="345"/>
      <c r="R1867" s="345"/>
      <c r="S1867" s="345"/>
      <c r="T1867" s="345"/>
      <c r="U1867" s="345"/>
      <c r="V1867" s="345"/>
      <c r="W1867" s="345"/>
      <c r="X1867" s="345"/>
      <c r="Y1867" s="345"/>
      <c r="Z1867" s="345"/>
      <c r="AA1867" s="345"/>
      <c r="AB1867" s="345"/>
      <c r="AC1867" s="345"/>
      <c r="AD1867" s="345"/>
      <c r="AE1867" s="345"/>
    </row>
    <row r="1868" spans="1:31" ht="45" x14ac:dyDescent="0.2">
      <c r="A1868" s="605">
        <v>1838</v>
      </c>
      <c r="B1868" s="783" t="s">
        <v>2237</v>
      </c>
      <c r="C1868" s="644"/>
      <c r="D1868" s="644"/>
      <c r="E1868" s="644"/>
      <c r="F1868" s="644"/>
      <c r="G1868" s="644"/>
      <c r="H1868" s="1114"/>
      <c r="I1868" s="345"/>
      <c r="J1868" s="345"/>
      <c r="K1868" s="345"/>
      <c r="L1868" s="345"/>
      <c r="M1868" s="345"/>
      <c r="N1868" s="345"/>
      <c r="O1868" s="345"/>
      <c r="P1868" s="345"/>
      <c r="Q1868" s="345"/>
      <c r="R1868" s="345"/>
      <c r="S1868" s="345"/>
      <c r="T1868" s="345"/>
      <c r="U1868" s="345"/>
      <c r="V1868" s="345"/>
      <c r="W1868" s="345"/>
      <c r="X1868" s="345"/>
      <c r="Y1868" s="345"/>
      <c r="Z1868" s="345"/>
      <c r="AA1868" s="345"/>
      <c r="AB1868" s="345"/>
      <c r="AC1868" s="345"/>
      <c r="AD1868" s="345"/>
      <c r="AE1868" s="345"/>
    </row>
    <row r="1869" spans="1:31" ht="15" x14ac:dyDescent="0.2">
      <c r="A1869" s="605">
        <v>1839</v>
      </c>
      <c r="B1869" s="783" t="s">
        <v>2236</v>
      </c>
      <c r="C1869" s="644"/>
      <c r="D1869" s="644"/>
      <c r="E1869" s="644"/>
      <c r="F1869" s="644"/>
      <c r="G1869" s="644"/>
      <c r="H1869" s="1114"/>
      <c r="I1869" s="345"/>
      <c r="J1869" s="345"/>
      <c r="K1869" s="345"/>
      <c r="L1869" s="345"/>
      <c r="M1869" s="345"/>
      <c r="N1869" s="345"/>
      <c r="O1869" s="345"/>
      <c r="P1869" s="345"/>
      <c r="Q1869" s="345"/>
      <c r="R1869" s="345"/>
      <c r="S1869" s="345"/>
      <c r="T1869" s="345"/>
      <c r="U1869" s="345"/>
      <c r="V1869" s="345"/>
      <c r="W1869" s="345"/>
      <c r="X1869" s="345"/>
      <c r="Y1869" s="345"/>
      <c r="Z1869" s="345"/>
      <c r="AA1869" s="345"/>
      <c r="AB1869" s="345"/>
      <c r="AC1869" s="345"/>
      <c r="AD1869" s="345"/>
      <c r="AE1869" s="345"/>
    </row>
    <row r="1870" spans="1:31" ht="30" x14ac:dyDescent="0.2">
      <c r="A1870" s="605">
        <v>1840</v>
      </c>
      <c r="B1870" s="520" t="s">
        <v>2235</v>
      </c>
      <c r="C1870" s="782"/>
      <c r="D1870" s="782"/>
      <c r="E1870" s="782"/>
      <c r="F1870" s="782"/>
      <c r="G1870" s="782"/>
      <c r="H1870" s="1064"/>
      <c r="I1870" s="345"/>
      <c r="J1870" s="345"/>
      <c r="K1870" s="345"/>
      <c r="L1870" s="345"/>
      <c r="M1870" s="345"/>
      <c r="N1870" s="345"/>
      <c r="O1870" s="345"/>
      <c r="P1870" s="345"/>
      <c r="Q1870" s="345"/>
      <c r="R1870" s="345"/>
      <c r="S1870" s="345"/>
      <c r="T1870" s="345"/>
      <c r="U1870" s="345"/>
      <c r="V1870" s="345"/>
      <c r="W1870" s="345"/>
      <c r="X1870" s="345"/>
      <c r="Y1870" s="345"/>
      <c r="Z1870" s="345"/>
      <c r="AA1870" s="345"/>
      <c r="AB1870" s="345"/>
      <c r="AC1870" s="345"/>
      <c r="AD1870" s="345"/>
      <c r="AE1870" s="345"/>
    </row>
    <row r="1871" spans="1:31" ht="15" x14ac:dyDescent="0.2">
      <c r="A1871" s="605">
        <v>1841</v>
      </c>
      <c r="B1871" s="683" t="s">
        <v>20</v>
      </c>
      <c r="C1871" s="683"/>
      <c r="D1871" s="683"/>
      <c r="E1871" s="683"/>
      <c r="F1871" s="683"/>
      <c r="G1871" s="683"/>
      <c r="H1871" s="1068"/>
      <c r="I1871" s="345"/>
      <c r="J1871" s="345"/>
      <c r="K1871" s="345"/>
      <c r="L1871" s="345"/>
      <c r="M1871" s="345"/>
      <c r="N1871" s="345"/>
      <c r="O1871" s="345"/>
      <c r="P1871" s="345"/>
      <c r="Q1871" s="345"/>
      <c r="R1871" s="345"/>
      <c r="S1871" s="345"/>
      <c r="T1871" s="345"/>
      <c r="U1871" s="345"/>
      <c r="V1871" s="345"/>
      <c r="W1871" s="345"/>
      <c r="X1871" s="345"/>
      <c r="Y1871" s="345"/>
      <c r="Z1871" s="345"/>
      <c r="AA1871" s="345"/>
      <c r="AB1871" s="345"/>
      <c r="AC1871" s="345"/>
      <c r="AD1871" s="345"/>
      <c r="AE1871" s="345"/>
    </row>
    <row r="1872" spans="1:31" ht="15" x14ac:dyDescent="0.2">
      <c r="A1872" s="605">
        <v>1842</v>
      </c>
      <c r="B1872" s="683" t="s">
        <v>16</v>
      </c>
      <c r="C1872" s="683"/>
      <c r="D1872" s="683"/>
      <c r="E1872" s="683"/>
      <c r="F1872" s="683"/>
      <c r="G1872" s="683"/>
      <c r="H1872" s="1068"/>
      <c r="I1872" s="345"/>
      <c r="J1872" s="345"/>
      <c r="K1872" s="345"/>
      <c r="L1872" s="345"/>
      <c r="M1872" s="345"/>
      <c r="N1872" s="345"/>
      <c r="O1872" s="345"/>
      <c r="P1872" s="345"/>
      <c r="Q1872" s="345"/>
      <c r="R1872" s="345"/>
      <c r="S1872" s="345"/>
      <c r="T1872" s="345"/>
      <c r="U1872" s="345"/>
      <c r="V1872" s="345"/>
      <c r="W1872" s="345"/>
      <c r="X1872" s="345"/>
      <c r="Y1872" s="345"/>
      <c r="Z1872" s="345"/>
      <c r="AA1872" s="345"/>
      <c r="AB1872" s="345"/>
      <c r="AC1872" s="345"/>
      <c r="AD1872" s="345"/>
      <c r="AE1872" s="345"/>
    </row>
    <row r="1873" spans="1:31" ht="15" x14ac:dyDescent="0.2">
      <c r="A1873" s="605">
        <v>1843</v>
      </c>
      <c r="B1873" s="683" t="s">
        <v>2234</v>
      </c>
      <c r="C1873" s="683"/>
      <c r="D1873" s="683"/>
      <c r="E1873" s="683"/>
      <c r="F1873" s="683"/>
      <c r="G1873" s="683"/>
      <c r="H1873" s="1068"/>
      <c r="I1873" s="345"/>
      <c r="J1873" s="345"/>
      <c r="K1873" s="345"/>
      <c r="L1873" s="345"/>
      <c r="M1873" s="345"/>
      <c r="N1873" s="345"/>
      <c r="O1873" s="345"/>
      <c r="P1873" s="345"/>
      <c r="Q1873" s="345"/>
      <c r="R1873" s="345"/>
      <c r="S1873" s="345"/>
      <c r="T1873" s="345"/>
      <c r="U1873" s="345"/>
      <c r="V1873" s="345"/>
      <c r="W1873" s="345"/>
      <c r="X1873" s="345"/>
      <c r="Y1873" s="345"/>
      <c r="Z1873" s="345"/>
      <c r="AA1873" s="345"/>
      <c r="AB1873" s="345"/>
      <c r="AC1873" s="345"/>
      <c r="AD1873" s="345"/>
      <c r="AE1873" s="345"/>
    </row>
    <row r="1874" spans="1:31" ht="15" x14ac:dyDescent="0.2">
      <c r="A1874" s="605">
        <v>1844</v>
      </c>
      <c r="B1874" s="604" t="s">
        <v>2233</v>
      </c>
      <c r="C1874" s="603"/>
      <c r="D1874" s="603"/>
      <c r="E1874" s="603"/>
      <c r="F1874" s="603"/>
      <c r="G1874" s="603"/>
      <c r="H1874" s="1055"/>
      <c r="I1874" s="345"/>
      <c r="J1874" s="345"/>
      <c r="K1874" s="345"/>
      <c r="L1874" s="345"/>
      <c r="M1874" s="345"/>
      <c r="N1874" s="345"/>
      <c r="O1874" s="345"/>
      <c r="P1874" s="345"/>
      <c r="Q1874" s="345"/>
      <c r="R1874" s="345"/>
      <c r="S1874" s="345"/>
      <c r="T1874" s="345"/>
      <c r="U1874" s="345"/>
      <c r="V1874" s="345"/>
      <c r="W1874" s="345"/>
      <c r="X1874" s="345"/>
      <c r="Y1874" s="345"/>
      <c r="Z1874" s="345"/>
      <c r="AA1874" s="345"/>
      <c r="AB1874" s="345"/>
      <c r="AC1874" s="345"/>
      <c r="AD1874" s="345"/>
      <c r="AE1874" s="345"/>
    </row>
    <row r="1875" spans="1:31" ht="15" x14ac:dyDescent="0.2">
      <c r="A1875" s="605">
        <v>1845</v>
      </c>
      <c r="B1875" s="781" t="s">
        <v>2232</v>
      </c>
      <c r="C1875" s="534"/>
      <c r="D1875" s="534"/>
      <c r="E1875" s="534"/>
      <c r="F1875" s="534"/>
      <c r="G1875" s="534"/>
      <c r="H1875" s="1103"/>
      <c r="I1875" s="345"/>
      <c r="J1875" s="345"/>
      <c r="K1875" s="345"/>
      <c r="L1875" s="345"/>
      <c r="M1875" s="345"/>
      <c r="N1875" s="345"/>
      <c r="O1875" s="345"/>
      <c r="P1875" s="345"/>
      <c r="Q1875" s="345"/>
      <c r="R1875" s="345"/>
      <c r="S1875" s="345"/>
      <c r="T1875" s="345"/>
      <c r="U1875" s="345"/>
      <c r="V1875" s="345"/>
      <c r="W1875" s="345"/>
      <c r="X1875" s="345"/>
      <c r="Y1875" s="345"/>
      <c r="Z1875" s="345"/>
      <c r="AA1875" s="345"/>
      <c r="AB1875" s="345"/>
      <c r="AC1875" s="345"/>
      <c r="AD1875" s="345"/>
      <c r="AE1875" s="345"/>
    </row>
    <row r="1876" spans="1:31" ht="30" x14ac:dyDescent="0.2">
      <c r="A1876" s="605">
        <v>1846</v>
      </c>
      <c r="B1876" s="781" t="s">
        <v>2231</v>
      </c>
      <c r="C1876" s="534"/>
      <c r="D1876" s="534"/>
      <c r="E1876" s="534"/>
      <c r="F1876" s="534"/>
      <c r="G1876" s="534"/>
      <c r="H1876" s="1103"/>
      <c r="I1876" s="345"/>
      <c r="J1876" s="345"/>
      <c r="K1876" s="345"/>
      <c r="L1876" s="345"/>
      <c r="M1876" s="345"/>
      <c r="N1876" s="345"/>
      <c r="O1876" s="345"/>
      <c r="P1876" s="345"/>
      <c r="Q1876" s="345"/>
      <c r="R1876" s="345"/>
      <c r="S1876" s="345"/>
      <c r="T1876" s="345"/>
      <c r="U1876" s="345"/>
      <c r="V1876" s="345"/>
      <c r="W1876" s="345"/>
      <c r="X1876" s="345"/>
      <c r="Y1876" s="345"/>
      <c r="Z1876" s="345"/>
      <c r="AA1876" s="345"/>
      <c r="AB1876" s="345"/>
      <c r="AC1876" s="345"/>
      <c r="AD1876" s="345"/>
      <c r="AE1876" s="345"/>
    </row>
    <row r="1877" spans="1:31" ht="15" x14ac:dyDescent="0.2">
      <c r="A1877" s="605">
        <v>1847</v>
      </c>
      <c r="B1877" s="781" t="s">
        <v>2230</v>
      </c>
      <c r="C1877" s="534"/>
      <c r="D1877" s="534"/>
      <c r="E1877" s="534"/>
      <c r="F1877" s="534"/>
      <c r="G1877" s="534"/>
      <c r="H1877" s="1103"/>
      <c r="I1877" s="345"/>
      <c r="J1877" s="345"/>
      <c r="K1877" s="345"/>
      <c r="L1877" s="345"/>
      <c r="M1877" s="345"/>
      <c r="N1877" s="345"/>
      <c r="O1877" s="345"/>
      <c r="P1877" s="345"/>
      <c r="Q1877" s="345"/>
      <c r="R1877" s="345"/>
      <c r="S1877" s="345"/>
      <c r="T1877" s="345"/>
      <c r="U1877" s="345"/>
      <c r="V1877" s="345"/>
      <c r="W1877" s="345"/>
      <c r="X1877" s="345"/>
      <c r="Y1877" s="345"/>
      <c r="Z1877" s="345"/>
      <c r="AA1877" s="345"/>
      <c r="AB1877" s="345"/>
      <c r="AC1877" s="345"/>
      <c r="AD1877" s="345"/>
      <c r="AE1877" s="345"/>
    </row>
    <row r="1878" spans="1:31" ht="30" x14ac:dyDescent="0.2">
      <c r="A1878" s="605">
        <v>1848</v>
      </c>
      <c r="B1878" s="781" t="s">
        <v>2229</v>
      </c>
      <c r="C1878" s="534"/>
      <c r="D1878" s="534"/>
      <c r="E1878" s="534"/>
      <c r="F1878" s="534"/>
      <c r="G1878" s="534"/>
      <c r="H1878" s="1103"/>
      <c r="I1878" s="345"/>
      <c r="J1878" s="345"/>
      <c r="K1878" s="345"/>
      <c r="L1878" s="345"/>
      <c r="M1878" s="345"/>
      <c r="N1878" s="345"/>
      <c r="O1878" s="345"/>
      <c r="P1878" s="345"/>
      <c r="Q1878" s="345"/>
      <c r="R1878" s="345"/>
      <c r="S1878" s="345"/>
      <c r="T1878" s="345"/>
      <c r="U1878" s="345"/>
      <c r="V1878" s="345"/>
      <c r="W1878" s="345"/>
      <c r="X1878" s="345"/>
      <c r="Y1878" s="345"/>
      <c r="Z1878" s="345"/>
      <c r="AA1878" s="345"/>
      <c r="AB1878" s="345"/>
      <c r="AC1878" s="345"/>
      <c r="AD1878" s="345"/>
      <c r="AE1878" s="345"/>
    </row>
    <row r="1879" spans="1:31" s="598" customFormat="1" ht="15" x14ac:dyDescent="0.25">
      <c r="A1879" s="605">
        <v>1849</v>
      </c>
      <c r="B1879" s="579" t="s">
        <v>2228</v>
      </c>
      <c r="C1879" s="727"/>
      <c r="D1879" s="727"/>
      <c r="E1879" s="727"/>
      <c r="F1879" s="727"/>
      <c r="G1879" s="727"/>
      <c r="H1879" s="1089"/>
    </row>
    <row r="1880" spans="1:31" s="598" customFormat="1" ht="15" x14ac:dyDescent="0.25">
      <c r="A1880" s="605">
        <v>1850</v>
      </c>
      <c r="B1880" s="579" t="s">
        <v>2227</v>
      </c>
      <c r="C1880" s="727"/>
      <c r="D1880" s="727"/>
      <c r="E1880" s="727"/>
      <c r="F1880" s="727"/>
      <c r="G1880" s="727"/>
      <c r="H1880" s="1089"/>
    </row>
    <row r="1881" spans="1:31" s="598" customFormat="1" ht="15" x14ac:dyDescent="0.2">
      <c r="A1881" s="605">
        <v>1851</v>
      </c>
      <c r="B1881" s="1002" t="s">
        <v>2226</v>
      </c>
      <c r="C1881" s="727"/>
      <c r="D1881" s="727"/>
      <c r="E1881" s="727"/>
      <c r="F1881" s="727"/>
      <c r="G1881" s="727"/>
      <c r="H1881" s="1089"/>
    </row>
    <row r="1882" spans="1:31" s="598" customFormat="1" ht="15" x14ac:dyDescent="0.2">
      <c r="A1882" s="605">
        <v>1852</v>
      </c>
      <c r="B1882" s="1002" t="s">
        <v>2225</v>
      </c>
      <c r="C1882" s="727"/>
      <c r="D1882" s="727"/>
      <c r="E1882" s="727"/>
      <c r="F1882" s="727"/>
      <c r="G1882" s="727"/>
      <c r="H1882" s="1089"/>
    </row>
    <row r="1883" spans="1:31" s="415" customFormat="1" x14ac:dyDescent="0.2">
      <c r="H1883" s="1117"/>
    </row>
    <row r="1884" spans="1:31" x14ac:dyDescent="0.2">
      <c r="AD1884" s="345"/>
      <c r="AE1884" s="345"/>
    </row>
    <row r="1885" spans="1:31" s="618" customFormat="1" ht="15" x14ac:dyDescent="0.25">
      <c r="H1885" s="1119"/>
    </row>
    <row r="1886" spans="1:31" s="618" customFormat="1" ht="15" x14ac:dyDescent="0.25">
      <c r="H1886" s="1119"/>
    </row>
    <row r="1887" spans="1:31" s="618" customFormat="1" ht="15" x14ac:dyDescent="0.25">
      <c r="H1887" s="1119"/>
    </row>
    <row r="1888" spans="1:31" s="618" customFormat="1" ht="15" x14ac:dyDescent="0.25">
      <c r="H1888" s="1119"/>
    </row>
    <row r="1889" spans="1:8" s="618" customFormat="1" ht="15" x14ac:dyDescent="0.25">
      <c r="H1889" s="1119"/>
    </row>
    <row r="1890" spans="1:8" s="347" customFormat="1" x14ac:dyDescent="0.2">
      <c r="H1890" s="1117"/>
    </row>
    <row r="1891" spans="1:8" s="347" customFormat="1" x14ac:dyDescent="0.2">
      <c r="H1891" s="1117"/>
    </row>
    <row r="1892" spans="1:8" s="347" customFormat="1" x14ac:dyDescent="0.2">
      <c r="H1892" s="1117"/>
    </row>
    <row r="1893" spans="1:8" s="347" customFormat="1" x14ac:dyDescent="0.2">
      <c r="H1893" s="1117"/>
    </row>
    <row r="1894" spans="1:8" s="347" customFormat="1" x14ac:dyDescent="0.2">
      <c r="H1894" s="1117"/>
    </row>
    <row r="1895" spans="1:8" s="347" customFormat="1" x14ac:dyDescent="0.2">
      <c r="H1895" s="1117"/>
    </row>
    <row r="1896" spans="1:8" s="347" customFormat="1" x14ac:dyDescent="0.2">
      <c r="H1896" s="1117"/>
    </row>
    <row r="1897" spans="1:8" s="347" customFormat="1" x14ac:dyDescent="0.2">
      <c r="H1897" s="1117"/>
    </row>
    <row r="1898" spans="1:8" s="347" customFormat="1" x14ac:dyDescent="0.2">
      <c r="H1898" s="1117"/>
    </row>
    <row r="1899" spans="1:8" s="347" customFormat="1" x14ac:dyDescent="0.2">
      <c r="H1899" s="1117"/>
    </row>
    <row r="1900" spans="1:8" x14ac:dyDescent="0.2">
      <c r="A1900" s="347"/>
      <c r="B1900" s="347"/>
      <c r="C1900" s="347"/>
      <c r="D1900" s="347"/>
      <c r="E1900" s="347"/>
      <c r="F1900" s="347"/>
      <c r="G1900" s="347"/>
      <c r="H1900" s="1117"/>
    </row>
    <row r="1901" spans="1:8" x14ac:dyDescent="0.2">
      <c r="A1901" s="347"/>
      <c r="B1901" s="347"/>
      <c r="C1901" s="347"/>
      <c r="D1901" s="347"/>
      <c r="E1901" s="347"/>
      <c r="F1901" s="347"/>
      <c r="G1901" s="347"/>
      <c r="H1901" s="1117"/>
    </row>
    <row r="1902" spans="1:8" x14ac:dyDescent="0.2">
      <c r="B1902" s="347"/>
    </row>
  </sheetData>
  <customSheetViews>
    <customSheetView guid="{D97329D5-B649-4B2F-86D7-C6BEAE913806}" showPageBreaks="1" showGridLines="0" printArea="1" view="pageBreakPreview" topLeftCell="A274">
      <selection activeCell="A285" sqref="A285"/>
      <pageMargins left="0.7" right="0.7" top="0.75" bottom="0.75" header="0.3" footer="0.3"/>
      <printOptions horizontalCentered="1"/>
      <pageSetup scale="96" orientation="landscape" r:id="rId1"/>
      <headerFooter>
        <oddFooter>&amp;LSpokane County RFP# XX&amp;RPage &amp;P of &amp;N</oddFooter>
      </headerFooter>
    </customSheetView>
    <customSheetView guid="{9208F210-2ED8-4398-A0D6-491045D9FDEB}" showPageBreaks="1" showGridLines="0" printArea="1" view="pageBreakPreview" topLeftCell="A249">
      <selection activeCell="A1786" sqref="A1786:XFD1786"/>
      <pageMargins left="0.7" right="0.7" top="0.75" bottom="0.75" header="0.3" footer="0.3"/>
      <printOptions horizontalCentered="1"/>
      <pageSetup scale="96" orientation="landscape" r:id="rId2"/>
      <headerFooter>
        <oddFooter>&amp;LSpokane County RFP# XX&amp;RPage &amp;P of &amp;N</oddFooter>
      </headerFooter>
    </customSheetView>
    <customSheetView guid="{A68BF0CC-C2ED-4B16-81B1-1B708EA22356}" showPageBreaks="1" showGridLines="0" printArea="1" view="pageBreakPreview" topLeftCell="A536">
      <selection activeCell="B541" sqref="B541"/>
      <pageMargins left="0.7" right="0.7" top="0.75" bottom="0.75" header="0.3" footer="0.3"/>
      <printOptions horizontalCentered="1"/>
      <pageSetup scale="96" orientation="landscape" r:id="rId3"/>
      <headerFooter>
        <oddFooter>&amp;LSpokane County RFP# XX&amp;RPage &amp;P of &amp;N</oddFooter>
      </headerFooter>
    </customSheetView>
    <customSheetView guid="{FF37031A-F1B7-4AA7-A7E7-E41A94ECF4B1}" showPageBreaks="1" showGridLines="0" printArea="1" view="pageBreakPreview" topLeftCell="A274">
      <selection activeCell="M281" sqref="M281"/>
      <pageMargins left="0.7" right="0.7" top="0.75" bottom="0.75" header="0.3" footer="0.3"/>
      <printOptions horizontalCentered="1"/>
      <pageSetup scale="96" orientation="landscape" r:id="rId4"/>
      <headerFooter>
        <oddFooter>&amp;LSpokane County RFP# XX&amp;RPage &amp;P of &amp;N</oddFooter>
      </headerFooter>
    </customSheetView>
    <customSheetView guid="{C0DA29AC-16E2-4A15-8C4F-F71595E8BC75}" showPageBreaks="1" showGridLines="0" printArea="1" view="pageBreakPreview" topLeftCell="A906">
      <selection activeCell="A923" sqref="A923:XFD923"/>
      <pageMargins left="0.7" right="0.7" top="0.75" bottom="0.75" header="0.3" footer="0.3"/>
      <printOptions horizontalCentered="1"/>
      <pageSetup scale="96" orientation="landscape" r:id="rId5"/>
      <headerFooter>
        <oddFooter>&amp;LSpokane County RFP# XX&amp;RPage &amp;P of &amp;N</oddFooter>
      </headerFooter>
    </customSheetView>
  </customSheetViews>
  <mergeCells count="3">
    <mergeCell ref="A4:H4"/>
    <mergeCell ref="A1:H1"/>
    <mergeCell ref="A2:H2"/>
  </mergeCells>
  <hyperlinks>
    <hyperlink ref="B6" location="RMS!B30" display="RMS!B30"/>
    <hyperlink ref="B7" location="RMS!B114" display="RMS!B114"/>
    <hyperlink ref="B8" location="RMS!B404" display="RMS!B404"/>
    <hyperlink ref="B9" location="RMS!B437" display="RMS!B437"/>
    <hyperlink ref="B10" location="RMS!B528" display="RMS!B528"/>
    <hyperlink ref="B11" location="RMS!B574" display="RMS!B574"/>
    <hyperlink ref="B12" location="RMS!B662" display="RMS!B662"/>
    <hyperlink ref="B13" location="RMS!B717" display="RMS!B717"/>
    <hyperlink ref="B14" location="RMS!B839" display="RMS!B839"/>
    <hyperlink ref="B15" location="RMS!B854" display="RMS!B854"/>
    <hyperlink ref="B16" location="RMS!B865" display="RMS!B865"/>
    <hyperlink ref="B17" location="RMS!B1031" display="RMS!B1031"/>
    <hyperlink ref="B18" location="RMS!B1119" display="RMS!B1119"/>
    <hyperlink ref="B19" location="RMS!B1241" display="RMS!B1241"/>
    <hyperlink ref="B20" location="RMS!B1436" display="RMS!B1436"/>
    <hyperlink ref="B21" location="RMS!B1573" display="RMS!B1573"/>
    <hyperlink ref="B22" location="RMS!B1621" display="RMS!B1621"/>
    <hyperlink ref="B23" location="RMS!B1738" display="RMS!B1738"/>
  </hyperlinks>
  <printOptions horizontalCentered="1"/>
  <pageMargins left="0.7" right="0.7" top="0.75" bottom="0.75" header="0.3" footer="0.3"/>
  <pageSetup scale="63" orientation="landscape" r:id="rId6"/>
  <headerFooter>
    <oddFooter>&amp;LATTACHMENT  F  -  Spokane County RFP No. P8705&amp;RPage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85"/>
  <sheetViews>
    <sheetView showGridLines="0" view="pageLayout" topLeftCell="A38" zoomScaleNormal="100" workbookViewId="0">
      <selection activeCell="C6" sqref="C6"/>
    </sheetView>
  </sheetViews>
  <sheetFormatPr defaultRowHeight="15" x14ac:dyDescent="0.25"/>
  <cols>
    <col min="1" max="1" width="6.7109375" style="714" customWidth="1"/>
    <col min="2" max="2" width="55.7109375" style="713" customWidth="1"/>
    <col min="3" max="3" width="11.140625" style="347" bestFit="1" customWidth="1"/>
    <col min="4" max="4" width="14.85546875" style="347" bestFit="1" customWidth="1"/>
    <col min="5" max="5" width="25.5703125" style="347" bestFit="1" customWidth="1"/>
    <col min="6" max="6" width="16.28515625" style="347" bestFit="1" customWidth="1"/>
    <col min="7" max="7" width="21" style="347" bestFit="1" customWidth="1"/>
    <col min="8" max="8" width="40.7109375" style="347" customWidth="1"/>
    <col min="9" max="16384" width="9.140625" style="345"/>
  </cols>
  <sheetData>
    <row r="1" spans="1:8" ht="15.75" x14ac:dyDescent="0.25">
      <c r="A1" s="1223" t="s">
        <v>3605</v>
      </c>
      <c r="B1" s="1223"/>
      <c r="C1" s="1223"/>
      <c r="D1" s="1223"/>
      <c r="E1" s="1223"/>
      <c r="F1" s="1223"/>
      <c r="G1" s="1223"/>
      <c r="H1" s="1223"/>
    </row>
    <row r="2" spans="1:8" s="547" customFormat="1" ht="15.75" x14ac:dyDescent="0.25">
      <c r="A2" s="1223" t="s">
        <v>258</v>
      </c>
      <c r="B2" s="1223"/>
      <c r="C2" s="1223"/>
      <c r="D2" s="1223"/>
      <c r="E2" s="1223"/>
      <c r="F2" s="1223"/>
      <c r="G2" s="1223"/>
      <c r="H2" s="1223"/>
    </row>
    <row r="3" spans="1:8" s="547" customFormat="1" ht="15.75" x14ac:dyDescent="0.25">
      <c r="A3" s="681"/>
      <c r="B3" s="681"/>
      <c r="C3" s="681"/>
      <c r="D3" s="681"/>
      <c r="E3" s="681"/>
      <c r="F3" s="681"/>
      <c r="G3" s="681"/>
      <c r="H3" s="681"/>
    </row>
    <row r="4" spans="1:8" s="547" customFormat="1" ht="15.75" x14ac:dyDescent="0.25">
      <c r="A4" s="1226" t="s">
        <v>2184</v>
      </c>
      <c r="B4" s="1226"/>
      <c r="C4" s="1226"/>
      <c r="D4" s="1226"/>
      <c r="E4" s="1226"/>
      <c r="F4" s="1226"/>
      <c r="G4" s="1226"/>
      <c r="H4" s="1226"/>
    </row>
    <row r="5" spans="1:8" s="547" customFormat="1" ht="15.75" x14ac:dyDescent="0.25">
      <c r="A5" s="712"/>
      <c r="B5" s="712"/>
      <c r="C5" s="712"/>
      <c r="D5" s="712"/>
      <c r="E5" s="712"/>
      <c r="F5" s="712"/>
      <c r="G5" s="712"/>
      <c r="H5" s="712"/>
    </row>
    <row r="6" spans="1:8" s="547" customFormat="1" ht="15.75" x14ac:dyDescent="0.25">
      <c r="A6" s="1014">
        <f>A17</f>
        <v>1</v>
      </c>
      <c r="B6" s="1015" t="str">
        <f>General_AFR_Requirements</f>
        <v>General Field Reporting Requirements</v>
      </c>
      <c r="C6" s="712"/>
      <c r="D6" s="712"/>
      <c r="E6" s="712"/>
      <c r="F6" s="712"/>
      <c r="G6" s="712"/>
      <c r="H6" s="712"/>
    </row>
    <row r="7" spans="1:8" s="547" customFormat="1" ht="15.75" x14ac:dyDescent="0.25">
      <c r="A7" s="1014">
        <f>A31</f>
        <v>15</v>
      </c>
      <c r="B7" s="1015" t="str">
        <f>B31</f>
        <v>Application Integration</v>
      </c>
      <c r="C7" s="712"/>
      <c r="D7" s="712"/>
      <c r="E7" s="712"/>
      <c r="F7" s="712"/>
      <c r="G7" s="712"/>
      <c r="H7" s="712"/>
    </row>
    <row r="8" spans="1:8" s="547" customFormat="1" ht="15.75" x14ac:dyDescent="0.25">
      <c r="A8" s="1014">
        <f>A48</f>
        <v>32</v>
      </c>
      <c r="B8" s="1015" t="str">
        <f>B48</f>
        <v>Report Writing</v>
      </c>
      <c r="C8" s="712"/>
      <c r="D8" s="712"/>
      <c r="E8" s="712"/>
      <c r="F8" s="712"/>
      <c r="G8" s="712"/>
      <c r="H8" s="712"/>
    </row>
    <row r="9" spans="1:8" s="547" customFormat="1" ht="15.75" x14ac:dyDescent="0.25">
      <c r="A9" s="1014">
        <f>A189</f>
        <v>173</v>
      </c>
      <c r="B9" s="1015" t="str">
        <f>Report_Submission</f>
        <v>Report Submission</v>
      </c>
      <c r="C9" s="712"/>
      <c r="D9" s="712"/>
      <c r="E9" s="712"/>
      <c r="F9" s="712"/>
      <c r="G9" s="712"/>
      <c r="H9" s="712"/>
    </row>
    <row r="10" spans="1:8" s="547" customFormat="1" ht="15.75" x14ac:dyDescent="0.25">
      <c r="A10" s="1014">
        <f>A247</f>
        <v>231</v>
      </c>
      <c r="B10" s="1015" t="str">
        <f>Field_Contacts</f>
        <v>Field Contacts</v>
      </c>
      <c r="C10" s="712"/>
      <c r="D10" s="712"/>
      <c r="E10" s="712"/>
      <c r="F10" s="712"/>
      <c r="G10" s="712"/>
      <c r="H10" s="712"/>
    </row>
    <row r="11" spans="1:8" s="547" customFormat="1" ht="15.75" x14ac:dyDescent="0.25">
      <c r="A11" s="1014">
        <f>A255</f>
        <v>239</v>
      </c>
      <c r="B11" s="1015" t="str">
        <f>B255</f>
        <v xml:space="preserve">Arrest/Incident Reporting </v>
      </c>
      <c r="C11" s="712"/>
      <c r="D11" s="712"/>
      <c r="E11" s="712"/>
      <c r="F11" s="712"/>
      <c r="G11" s="712"/>
      <c r="H11" s="712"/>
    </row>
    <row r="12" spans="1:8" s="547" customFormat="1" ht="15.75" x14ac:dyDescent="0.25">
      <c r="A12" s="1014">
        <f>A265</f>
        <v>249</v>
      </c>
      <c r="B12" s="1015" t="str">
        <f>Towed</f>
        <v>Towed Vehicles</v>
      </c>
      <c r="C12" s="712"/>
      <c r="D12" s="712"/>
      <c r="E12" s="712"/>
      <c r="F12" s="712"/>
      <c r="G12" s="712"/>
      <c r="H12" s="712"/>
    </row>
    <row r="13" spans="1:8" s="547" customFormat="1" ht="15.75" x14ac:dyDescent="0.25">
      <c r="A13" s="1014">
        <f>A275</f>
        <v>259</v>
      </c>
      <c r="B13" s="1015" t="str">
        <f>B275</f>
        <v>Pre-Booking Requirements</v>
      </c>
      <c r="C13" s="712"/>
      <c r="D13" s="712"/>
      <c r="E13" s="712"/>
      <c r="F13" s="712"/>
      <c r="G13" s="712"/>
      <c r="H13" s="712"/>
    </row>
    <row r="14" spans="1:8" s="547" customFormat="1" ht="15.75" x14ac:dyDescent="0.25">
      <c r="A14" s="712"/>
      <c r="B14" s="712"/>
      <c r="C14" s="712"/>
      <c r="D14" s="712"/>
      <c r="E14" s="712"/>
      <c r="F14" s="712"/>
      <c r="G14" s="712"/>
      <c r="H14" s="712"/>
    </row>
    <row r="15" spans="1:8" s="547" customFormat="1" ht="15.75" x14ac:dyDescent="0.25">
      <c r="A15" s="712"/>
      <c r="B15" s="712"/>
      <c r="C15" s="712"/>
      <c r="D15" s="712"/>
      <c r="E15" s="712"/>
      <c r="F15" s="712"/>
      <c r="G15" s="712"/>
      <c r="H15" s="712"/>
    </row>
    <row r="16" spans="1:8" x14ac:dyDescent="0.25">
      <c r="A16" s="770" t="s">
        <v>155</v>
      </c>
      <c r="B16" s="543" t="s">
        <v>2183</v>
      </c>
      <c r="C16" s="1166" t="s">
        <v>3560</v>
      </c>
      <c r="D16" s="1166" t="s">
        <v>3559</v>
      </c>
      <c r="E16" s="1166" t="s">
        <v>3561</v>
      </c>
      <c r="F16" s="1166" t="s">
        <v>3563</v>
      </c>
      <c r="G16" s="1166" t="s">
        <v>3565</v>
      </c>
      <c r="H16" s="542" t="s">
        <v>149</v>
      </c>
    </row>
    <row r="17" spans="1:8" x14ac:dyDescent="0.2">
      <c r="A17" s="715">
        <v>1</v>
      </c>
      <c r="B17" s="436" t="s">
        <v>2182</v>
      </c>
      <c r="C17" s="362"/>
      <c r="D17" s="362"/>
      <c r="E17" s="362"/>
      <c r="F17" s="362"/>
      <c r="G17" s="362"/>
      <c r="H17" s="362"/>
    </row>
    <row r="18" spans="1:8" x14ac:dyDescent="0.25">
      <c r="A18" s="715">
        <f>A17+1</f>
        <v>2</v>
      </c>
      <c r="B18" s="513" t="s">
        <v>2181</v>
      </c>
      <c r="C18" s="735"/>
      <c r="D18" s="735"/>
      <c r="E18" s="735"/>
      <c r="F18" s="735"/>
      <c r="G18" s="735"/>
      <c r="H18" s="381"/>
    </row>
    <row r="19" spans="1:8" x14ac:dyDescent="0.25">
      <c r="A19" s="715">
        <f t="shared" ref="A19:A82" si="0">A18+1</f>
        <v>3</v>
      </c>
      <c r="B19" s="501" t="s">
        <v>2180</v>
      </c>
      <c r="C19" s="381"/>
      <c r="D19" s="381"/>
      <c r="E19" s="381"/>
      <c r="F19" s="381"/>
      <c r="G19" s="381"/>
      <c r="H19" s="381"/>
    </row>
    <row r="20" spans="1:8" x14ac:dyDescent="0.25">
      <c r="A20" s="715">
        <f t="shared" si="0"/>
        <v>4</v>
      </c>
      <c r="B20" s="501" t="s">
        <v>2179</v>
      </c>
      <c r="C20" s="381"/>
      <c r="D20" s="381"/>
      <c r="E20" s="381"/>
      <c r="F20" s="381"/>
      <c r="G20" s="381"/>
      <c r="H20" s="381"/>
    </row>
    <row r="21" spans="1:8" x14ac:dyDescent="0.2">
      <c r="A21" s="715">
        <f t="shared" si="0"/>
        <v>5</v>
      </c>
      <c r="B21" s="610" t="s">
        <v>2178</v>
      </c>
      <c r="C21" s="722"/>
      <c r="D21" s="722"/>
      <c r="E21" s="722"/>
      <c r="F21" s="721"/>
      <c r="G21" s="721"/>
      <c r="H21" s="721"/>
    </row>
    <row r="22" spans="1:8" x14ac:dyDescent="0.2">
      <c r="A22" s="715">
        <f t="shared" si="0"/>
        <v>6</v>
      </c>
      <c r="B22" s="610" t="s">
        <v>2177</v>
      </c>
      <c r="C22" s="722"/>
      <c r="D22" s="722"/>
      <c r="E22" s="722"/>
      <c r="F22" s="721"/>
      <c r="G22" s="721"/>
      <c r="H22" s="721"/>
    </row>
    <row r="23" spans="1:8" x14ac:dyDescent="0.25">
      <c r="A23" s="715">
        <f t="shared" si="0"/>
        <v>7</v>
      </c>
      <c r="B23" s="513" t="s">
        <v>2176</v>
      </c>
      <c r="C23" s="672"/>
      <c r="D23" s="672"/>
      <c r="E23" s="672"/>
      <c r="F23" s="672"/>
      <c r="G23" s="672"/>
      <c r="H23" s="672"/>
    </row>
    <row r="24" spans="1:8" s="598" customFormat="1" x14ac:dyDescent="0.25">
      <c r="A24" s="715">
        <f t="shared" si="0"/>
        <v>8</v>
      </c>
      <c r="B24" s="579" t="s">
        <v>2175</v>
      </c>
      <c r="C24" s="672"/>
      <c r="D24" s="672"/>
      <c r="E24" s="672"/>
      <c r="F24" s="672"/>
      <c r="G24" s="672"/>
      <c r="H24" s="672"/>
    </row>
    <row r="25" spans="1:8" ht="30" x14ac:dyDescent="0.2">
      <c r="A25" s="715">
        <f t="shared" si="0"/>
        <v>9</v>
      </c>
      <c r="B25" s="740" t="s">
        <v>2174</v>
      </c>
      <c r="C25" s="655"/>
      <c r="D25" s="655"/>
      <c r="E25" s="655"/>
      <c r="F25" s="655"/>
      <c r="G25" s="655"/>
      <c r="H25" s="769"/>
    </row>
    <row r="26" spans="1:8" ht="45" x14ac:dyDescent="0.25">
      <c r="A26" s="715">
        <f t="shared" si="0"/>
        <v>10</v>
      </c>
      <c r="B26" s="513" t="s">
        <v>2173</v>
      </c>
      <c r="C26" s="655"/>
      <c r="D26" s="654"/>
      <c r="E26" s="654"/>
      <c r="F26" s="654"/>
      <c r="G26" s="654"/>
      <c r="H26" s="727"/>
    </row>
    <row r="27" spans="1:8" x14ac:dyDescent="0.2">
      <c r="A27" s="715">
        <f t="shared" si="0"/>
        <v>11</v>
      </c>
      <c r="B27" s="741" t="s">
        <v>2172</v>
      </c>
      <c r="C27" s="768"/>
      <c r="D27" s="768"/>
      <c r="E27" s="768"/>
      <c r="F27" s="768"/>
      <c r="G27" s="768"/>
      <c r="H27" s="412"/>
    </row>
    <row r="28" spans="1:8" ht="30" x14ac:dyDescent="0.2">
      <c r="A28" s="715">
        <f t="shared" si="0"/>
        <v>12</v>
      </c>
      <c r="B28" s="585" t="s">
        <v>2171</v>
      </c>
      <c r="C28" s="644"/>
      <c r="D28" s="644"/>
      <c r="E28" s="644"/>
      <c r="F28" s="730"/>
      <c r="G28" s="730"/>
      <c r="H28" s="412"/>
    </row>
    <row r="29" spans="1:8" ht="45" x14ac:dyDescent="0.2">
      <c r="A29" s="715">
        <f t="shared" si="0"/>
        <v>13</v>
      </c>
      <c r="B29" s="585" t="s">
        <v>2170</v>
      </c>
      <c r="C29" s="644"/>
      <c r="D29" s="644"/>
      <c r="E29" s="644"/>
      <c r="F29" s="730"/>
      <c r="G29" s="730"/>
      <c r="H29" s="412"/>
    </row>
    <row r="30" spans="1:8" ht="45" x14ac:dyDescent="0.2">
      <c r="A30" s="715">
        <f t="shared" si="0"/>
        <v>14</v>
      </c>
      <c r="B30" s="585" t="s">
        <v>2169</v>
      </c>
      <c r="C30" s="644"/>
      <c r="D30" s="644"/>
      <c r="E30" s="644"/>
      <c r="F30" s="730"/>
      <c r="G30" s="730"/>
      <c r="H30" s="412"/>
    </row>
    <row r="31" spans="1:8" x14ac:dyDescent="0.25">
      <c r="A31" s="715">
        <f t="shared" si="0"/>
        <v>15</v>
      </c>
      <c r="B31" s="543" t="s">
        <v>1470</v>
      </c>
      <c r="C31" s="543"/>
      <c r="D31" s="543"/>
      <c r="E31" s="543"/>
      <c r="F31" s="543"/>
      <c r="G31" s="543"/>
      <c r="H31" s="543"/>
    </row>
    <row r="32" spans="1:8" x14ac:dyDescent="0.2">
      <c r="A32" s="715">
        <f t="shared" si="0"/>
        <v>16</v>
      </c>
      <c r="B32" s="436" t="s">
        <v>2168</v>
      </c>
      <c r="C32" s="362"/>
      <c r="D32" s="362"/>
      <c r="E32" s="362"/>
      <c r="F32" s="362"/>
      <c r="G32" s="362"/>
      <c r="H32" s="362"/>
    </row>
    <row r="33" spans="1:8" ht="30" x14ac:dyDescent="0.2">
      <c r="A33" s="715">
        <f t="shared" si="0"/>
        <v>17</v>
      </c>
      <c r="B33" s="767" t="s">
        <v>2167</v>
      </c>
      <c r="C33" s="660"/>
      <c r="D33" s="660"/>
      <c r="E33" s="660"/>
      <c r="F33" s="752"/>
      <c r="G33" s="752"/>
      <c r="H33" s="752"/>
    </row>
    <row r="34" spans="1:8" ht="30" x14ac:dyDescent="0.2">
      <c r="A34" s="715">
        <f t="shared" si="0"/>
        <v>18</v>
      </c>
      <c r="B34" s="744" t="s">
        <v>2166</v>
      </c>
      <c r="C34" s="662"/>
      <c r="D34" s="662"/>
      <c r="E34" s="662"/>
      <c r="F34" s="732"/>
      <c r="G34" s="732"/>
      <c r="H34" s="732"/>
    </row>
    <row r="35" spans="1:8" ht="30" x14ac:dyDescent="0.2">
      <c r="A35" s="715">
        <f t="shared" si="0"/>
        <v>19</v>
      </c>
      <c r="B35" s="744" t="s">
        <v>2165</v>
      </c>
      <c r="C35" s="662"/>
      <c r="D35" s="662"/>
      <c r="E35" s="662"/>
      <c r="F35" s="732"/>
      <c r="G35" s="732"/>
      <c r="H35" s="732"/>
    </row>
    <row r="36" spans="1:8" ht="31.5" customHeight="1" x14ac:dyDescent="0.2">
      <c r="A36" s="715">
        <f t="shared" si="0"/>
        <v>20</v>
      </c>
      <c r="B36" s="744" t="s">
        <v>2164</v>
      </c>
      <c r="C36" s="662"/>
      <c r="D36" s="662"/>
      <c r="E36" s="662"/>
      <c r="F36" s="732"/>
      <c r="G36" s="732"/>
      <c r="H36" s="732"/>
    </row>
    <row r="37" spans="1:8" x14ac:dyDescent="0.2">
      <c r="A37" s="715">
        <f t="shared" si="0"/>
        <v>21</v>
      </c>
      <c r="B37" s="436" t="s">
        <v>2163</v>
      </c>
      <c r="C37" s="362"/>
      <c r="D37" s="362"/>
      <c r="E37" s="362"/>
      <c r="F37" s="362"/>
      <c r="G37" s="362"/>
      <c r="H37" s="362"/>
    </row>
    <row r="38" spans="1:8" ht="45" x14ac:dyDescent="0.25">
      <c r="A38" s="715">
        <f t="shared" si="0"/>
        <v>22</v>
      </c>
      <c r="B38" s="766" t="s">
        <v>2162</v>
      </c>
      <c r="C38" s="258"/>
      <c r="D38" s="258"/>
      <c r="E38" s="258"/>
      <c r="F38" s="765"/>
      <c r="G38" s="765"/>
      <c r="H38" s="765"/>
    </row>
    <row r="39" spans="1:8" ht="30" x14ac:dyDescent="0.2">
      <c r="A39" s="715">
        <f t="shared" si="0"/>
        <v>23</v>
      </c>
      <c r="B39" s="744" t="s">
        <v>2161</v>
      </c>
      <c r="C39" s="662"/>
      <c r="D39" s="662"/>
      <c r="E39" s="662"/>
      <c r="F39" s="732"/>
      <c r="G39" s="732"/>
      <c r="H39" s="732"/>
    </row>
    <row r="40" spans="1:8" ht="30" x14ac:dyDescent="0.2">
      <c r="A40" s="715">
        <f t="shared" si="0"/>
        <v>24</v>
      </c>
      <c r="B40" s="744" t="s">
        <v>2160</v>
      </c>
      <c r="C40" s="662"/>
      <c r="D40" s="662"/>
      <c r="E40" s="662"/>
      <c r="F40" s="732"/>
      <c r="G40" s="732"/>
      <c r="H40" s="732"/>
    </row>
    <row r="41" spans="1:8" x14ac:dyDescent="0.2">
      <c r="A41" s="715">
        <f t="shared" si="0"/>
        <v>25</v>
      </c>
      <c r="B41" s="436" t="s">
        <v>2159</v>
      </c>
      <c r="C41" s="362"/>
      <c r="D41" s="362"/>
      <c r="E41" s="362"/>
      <c r="F41" s="362"/>
      <c r="G41" s="362"/>
      <c r="H41" s="362"/>
    </row>
    <row r="42" spans="1:8" s="415" customFormat="1" ht="45" x14ac:dyDescent="0.2">
      <c r="A42" s="715">
        <f t="shared" si="0"/>
        <v>26</v>
      </c>
      <c r="B42" s="381" t="s">
        <v>2158</v>
      </c>
      <c r="C42" s="381"/>
      <c r="D42" s="381"/>
      <c r="E42" s="381"/>
      <c r="F42" s="381"/>
      <c r="G42" s="381"/>
      <c r="H42" s="381"/>
    </row>
    <row r="43" spans="1:8" ht="30" x14ac:dyDescent="0.2">
      <c r="A43" s="715">
        <f t="shared" si="0"/>
        <v>27</v>
      </c>
      <c r="B43" s="744" t="s">
        <v>2157</v>
      </c>
      <c r="C43" s="662"/>
      <c r="D43" s="662"/>
      <c r="E43" s="662"/>
      <c r="F43" s="732"/>
      <c r="G43" s="732"/>
      <c r="H43" s="732"/>
    </row>
    <row r="44" spans="1:8" ht="30" x14ac:dyDescent="0.2">
      <c r="A44" s="715">
        <f t="shared" si="0"/>
        <v>28</v>
      </c>
      <c r="B44" s="744" t="s">
        <v>2156</v>
      </c>
      <c r="C44" s="662"/>
      <c r="D44" s="662"/>
      <c r="E44" s="662"/>
      <c r="F44" s="732"/>
      <c r="G44" s="732"/>
      <c r="H44" s="732"/>
    </row>
    <row r="45" spans="1:8" ht="30" x14ac:dyDescent="0.2">
      <c r="A45" s="715">
        <f t="shared" si="0"/>
        <v>29</v>
      </c>
      <c r="B45" s="744" t="s">
        <v>2155</v>
      </c>
      <c r="C45" s="662"/>
      <c r="D45" s="662"/>
      <c r="E45" s="662"/>
      <c r="F45" s="732"/>
      <c r="G45" s="732"/>
      <c r="H45" s="732"/>
    </row>
    <row r="46" spans="1:8" ht="30" x14ac:dyDescent="0.2">
      <c r="A46" s="715">
        <f t="shared" si="0"/>
        <v>30</v>
      </c>
      <c r="B46" s="744" t="s">
        <v>2154</v>
      </c>
      <c r="C46" s="662"/>
      <c r="D46" s="662"/>
      <c r="E46" s="662"/>
      <c r="F46" s="732"/>
      <c r="G46" s="732"/>
      <c r="H46" s="727"/>
    </row>
    <row r="47" spans="1:8" s="598" customFormat="1" ht="30" x14ac:dyDescent="0.2">
      <c r="A47" s="715">
        <f t="shared" si="0"/>
        <v>31</v>
      </c>
      <c r="B47" s="744" t="s">
        <v>2153</v>
      </c>
      <c r="C47" s="662"/>
      <c r="D47" s="662"/>
      <c r="E47" s="662"/>
      <c r="F47" s="732"/>
      <c r="G47" s="732"/>
      <c r="H47" s="727"/>
    </row>
    <row r="48" spans="1:8" s="598" customFormat="1" x14ac:dyDescent="0.25">
      <c r="A48" s="715">
        <f t="shared" si="0"/>
        <v>32</v>
      </c>
      <c r="B48" s="543" t="s">
        <v>3395</v>
      </c>
      <c r="C48" s="543"/>
      <c r="D48" s="543"/>
      <c r="E48" s="543"/>
      <c r="F48" s="543"/>
      <c r="G48" s="543"/>
      <c r="H48" s="543"/>
    </row>
    <row r="49" spans="1:8" x14ac:dyDescent="0.2">
      <c r="A49" s="715">
        <f t="shared" si="0"/>
        <v>33</v>
      </c>
      <c r="B49" s="436" t="s">
        <v>2152</v>
      </c>
      <c r="C49" s="362"/>
      <c r="D49" s="362"/>
      <c r="E49" s="362"/>
      <c r="F49" s="362"/>
      <c r="G49" s="362"/>
      <c r="H49" s="362"/>
    </row>
    <row r="50" spans="1:8" ht="45" x14ac:dyDescent="0.2">
      <c r="A50" s="715">
        <f t="shared" si="0"/>
        <v>34</v>
      </c>
      <c r="B50" s="740" t="s">
        <v>2151</v>
      </c>
      <c r="C50" s="662"/>
      <c r="D50" s="662"/>
      <c r="E50" s="662"/>
      <c r="F50" s="732"/>
      <c r="G50" s="732"/>
      <c r="H50" s="381"/>
    </row>
    <row r="51" spans="1:8" x14ac:dyDescent="0.2">
      <c r="A51" s="715">
        <f t="shared" si="0"/>
        <v>35</v>
      </c>
      <c r="B51" s="741" t="s">
        <v>2150</v>
      </c>
      <c r="C51" s="764"/>
      <c r="D51" s="764"/>
      <c r="E51" s="764"/>
      <c r="F51" s="764"/>
      <c r="G51" s="764"/>
      <c r="H51" s="381"/>
    </row>
    <row r="52" spans="1:8" s="598" customFormat="1" ht="30" x14ac:dyDescent="0.2">
      <c r="A52" s="715">
        <f t="shared" si="0"/>
        <v>36</v>
      </c>
      <c r="B52" s="663" t="s">
        <v>2149</v>
      </c>
      <c r="C52" s="764"/>
      <c r="D52" s="764"/>
      <c r="E52" s="764"/>
      <c r="F52" s="764"/>
      <c r="G52" s="764"/>
      <c r="H52" s="381"/>
    </row>
    <row r="53" spans="1:8" s="598" customFormat="1" ht="30" x14ac:dyDescent="0.2">
      <c r="A53" s="715">
        <f t="shared" si="0"/>
        <v>37</v>
      </c>
      <c r="B53" s="663" t="s">
        <v>2148</v>
      </c>
      <c r="C53" s="764"/>
      <c r="D53" s="764"/>
      <c r="E53" s="764"/>
      <c r="F53" s="764"/>
      <c r="G53" s="764"/>
      <c r="H53" s="381"/>
    </row>
    <row r="54" spans="1:8" ht="30" x14ac:dyDescent="0.2">
      <c r="A54" s="715">
        <f t="shared" si="0"/>
        <v>38</v>
      </c>
      <c r="B54" s="741" t="s">
        <v>2147</v>
      </c>
      <c r="C54" s="764"/>
      <c r="D54" s="764"/>
      <c r="E54" s="764"/>
      <c r="F54" s="764"/>
      <c r="G54" s="764"/>
      <c r="H54" s="381"/>
    </row>
    <row r="55" spans="1:8" ht="60" x14ac:dyDescent="0.2">
      <c r="A55" s="715">
        <f t="shared" si="0"/>
        <v>39</v>
      </c>
      <c r="B55" s="740" t="s">
        <v>2146</v>
      </c>
      <c r="C55" s="662"/>
      <c r="D55" s="662"/>
      <c r="E55" s="662"/>
      <c r="F55" s="732"/>
      <c r="G55" s="732"/>
      <c r="H55" s="381"/>
    </row>
    <row r="56" spans="1:8" x14ac:dyDescent="0.2">
      <c r="A56" s="715">
        <f t="shared" si="0"/>
        <v>40</v>
      </c>
      <c r="B56" s="740" t="s">
        <v>2145</v>
      </c>
      <c r="C56" s="662"/>
      <c r="D56" s="662"/>
      <c r="E56" s="662"/>
      <c r="F56" s="732"/>
      <c r="G56" s="732"/>
      <c r="H56" s="381"/>
    </row>
    <row r="57" spans="1:8" ht="30" x14ac:dyDescent="0.2">
      <c r="A57" s="715">
        <f t="shared" si="0"/>
        <v>41</v>
      </c>
      <c r="B57" s="740" t="s">
        <v>2144</v>
      </c>
      <c r="C57" s="662"/>
      <c r="D57" s="662"/>
      <c r="E57" s="662"/>
      <c r="F57" s="732"/>
      <c r="G57" s="732"/>
      <c r="H57" s="381"/>
    </row>
    <row r="58" spans="1:8" ht="30" x14ac:dyDescent="0.2">
      <c r="A58" s="715">
        <f t="shared" si="0"/>
        <v>42</v>
      </c>
      <c r="B58" s="740" t="s">
        <v>2143</v>
      </c>
      <c r="C58" s="660"/>
      <c r="D58" s="660"/>
      <c r="E58" s="660"/>
      <c r="F58" s="752"/>
      <c r="G58" s="752"/>
      <c r="H58" s="381"/>
    </row>
    <row r="59" spans="1:8" x14ac:dyDescent="0.2">
      <c r="A59" s="715">
        <f t="shared" si="0"/>
        <v>43</v>
      </c>
      <c r="B59" s="740" t="s">
        <v>2142</v>
      </c>
      <c r="C59" s="662"/>
      <c r="D59" s="662"/>
      <c r="E59" s="662"/>
      <c r="F59" s="732"/>
      <c r="G59" s="732"/>
      <c r="H59" s="732"/>
    </row>
    <row r="60" spans="1:8" ht="30" x14ac:dyDescent="0.25">
      <c r="A60" s="715">
        <f t="shared" si="0"/>
        <v>44</v>
      </c>
      <c r="B60" s="763" t="s">
        <v>2141</v>
      </c>
      <c r="C60" s="762"/>
      <c r="D60" s="762"/>
      <c r="E60" s="762"/>
      <c r="F60" s="761"/>
      <c r="G60" s="761"/>
      <c r="H60" s="760"/>
    </row>
    <row r="61" spans="1:8" ht="30" x14ac:dyDescent="0.2">
      <c r="A61" s="715">
        <f t="shared" si="0"/>
        <v>45</v>
      </c>
      <c r="B61" s="740" t="s">
        <v>2140</v>
      </c>
      <c r="C61" s="662"/>
      <c r="D61" s="662"/>
      <c r="E61" s="662"/>
      <c r="F61" s="732"/>
      <c r="G61" s="732"/>
      <c r="H61" s="732"/>
    </row>
    <row r="62" spans="1:8" ht="30" x14ac:dyDescent="0.2">
      <c r="A62" s="715">
        <f t="shared" si="0"/>
        <v>46</v>
      </c>
      <c r="B62" s="740" t="s">
        <v>2139</v>
      </c>
      <c r="C62" s="662"/>
      <c r="D62" s="662"/>
      <c r="E62" s="662"/>
      <c r="F62" s="732"/>
      <c r="G62" s="732"/>
      <c r="H62" s="732"/>
    </row>
    <row r="63" spans="1:8" ht="45" x14ac:dyDescent="0.2">
      <c r="A63" s="715">
        <f t="shared" si="0"/>
        <v>47</v>
      </c>
      <c r="B63" s="740" t="s">
        <v>2138</v>
      </c>
      <c r="C63" s="662"/>
      <c r="D63" s="662"/>
      <c r="E63" s="662"/>
      <c r="F63" s="732"/>
      <c r="G63" s="732"/>
      <c r="H63" s="727"/>
    </row>
    <row r="64" spans="1:8" ht="30" x14ac:dyDescent="0.2">
      <c r="A64" s="715">
        <f t="shared" si="0"/>
        <v>48</v>
      </c>
      <c r="B64" s="744" t="s">
        <v>2137</v>
      </c>
      <c r="C64" s="735"/>
      <c r="D64" s="735"/>
      <c r="E64" s="735"/>
      <c r="F64" s="735"/>
      <c r="G64" s="735"/>
      <c r="H64" s="732"/>
    </row>
    <row r="65" spans="1:8" x14ac:dyDescent="0.2">
      <c r="A65" s="715">
        <f t="shared" si="0"/>
        <v>49</v>
      </c>
      <c r="B65" s="759" t="s">
        <v>2136</v>
      </c>
      <c r="C65" s="662"/>
      <c r="D65" s="662"/>
      <c r="E65" s="662"/>
      <c r="F65" s="732"/>
      <c r="G65" s="732"/>
      <c r="H65" s="732"/>
    </row>
    <row r="66" spans="1:8" x14ac:dyDescent="0.2">
      <c r="A66" s="715">
        <f t="shared" si="0"/>
        <v>50</v>
      </c>
      <c r="B66" s="759" t="s">
        <v>2135</v>
      </c>
      <c r="C66" s="662"/>
      <c r="D66" s="662"/>
      <c r="E66" s="662"/>
      <c r="F66" s="732"/>
      <c r="G66" s="732"/>
      <c r="H66" s="732"/>
    </row>
    <row r="67" spans="1:8" x14ac:dyDescent="0.2">
      <c r="A67" s="715">
        <f t="shared" si="0"/>
        <v>51</v>
      </c>
      <c r="B67" s="759" t="s">
        <v>2134</v>
      </c>
      <c r="C67" s="662"/>
      <c r="D67" s="662"/>
      <c r="E67" s="662"/>
      <c r="F67" s="732"/>
      <c r="G67" s="732"/>
      <c r="H67" s="732"/>
    </row>
    <row r="68" spans="1:8" x14ac:dyDescent="0.2">
      <c r="A68" s="715">
        <f t="shared" si="0"/>
        <v>52</v>
      </c>
      <c r="B68" s="759" t="s">
        <v>2133</v>
      </c>
      <c r="C68" s="662"/>
      <c r="D68" s="662"/>
      <c r="E68" s="662"/>
      <c r="F68" s="732"/>
      <c r="G68" s="732"/>
      <c r="H68" s="732"/>
    </row>
    <row r="69" spans="1:8" s="598" customFormat="1" x14ac:dyDescent="0.2">
      <c r="A69" s="715">
        <f t="shared" si="0"/>
        <v>53</v>
      </c>
      <c r="B69" s="759" t="s">
        <v>2132</v>
      </c>
      <c r="C69" s="662"/>
      <c r="D69" s="662"/>
      <c r="E69" s="662"/>
      <c r="F69" s="732"/>
      <c r="G69" s="732"/>
      <c r="H69" s="732"/>
    </row>
    <row r="70" spans="1:8" s="598" customFormat="1" ht="30" x14ac:dyDescent="0.2">
      <c r="A70" s="715">
        <f t="shared" si="0"/>
        <v>54</v>
      </c>
      <c r="B70" s="732" t="s">
        <v>2131</v>
      </c>
      <c r="C70" s="662"/>
      <c r="D70" s="662"/>
      <c r="E70" s="662"/>
      <c r="F70" s="732"/>
      <c r="G70" s="732"/>
      <c r="H70" s="732"/>
    </row>
    <row r="71" spans="1:8" s="598" customFormat="1" ht="30" x14ac:dyDescent="0.2">
      <c r="A71" s="715">
        <f t="shared" si="0"/>
        <v>55</v>
      </c>
      <c r="B71" s="732" t="s">
        <v>2130</v>
      </c>
      <c r="C71" s="662"/>
      <c r="D71" s="662"/>
      <c r="E71" s="662"/>
      <c r="F71" s="732"/>
      <c r="G71" s="732"/>
      <c r="H71" s="732"/>
    </row>
    <row r="72" spans="1:8" x14ac:dyDescent="0.2">
      <c r="A72" s="715">
        <f t="shared" si="0"/>
        <v>56</v>
      </c>
      <c r="B72" s="436" t="s">
        <v>672</v>
      </c>
      <c r="C72" s="362"/>
      <c r="D72" s="362"/>
      <c r="E72" s="362"/>
      <c r="F72" s="362"/>
      <c r="G72" s="362"/>
      <c r="H72" s="362"/>
    </row>
    <row r="73" spans="1:8" s="415" customFormat="1" ht="30" x14ac:dyDescent="0.2">
      <c r="A73" s="715">
        <f t="shared" si="0"/>
        <v>57</v>
      </c>
      <c r="B73" s="381" t="s">
        <v>2129</v>
      </c>
      <c r="C73" s="381"/>
      <c r="D73" s="381"/>
      <c r="E73" s="381"/>
      <c r="F73" s="381"/>
      <c r="G73" s="381"/>
      <c r="H73" s="381"/>
    </row>
    <row r="74" spans="1:8" s="415" customFormat="1" ht="30" x14ac:dyDescent="0.2">
      <c r="A74" s="715">
        <f t="shared" si="0"/>
        <v>58</v>
      </c>
      <c r="B74" s="381" t="s">
        <v>2128</v>
      </c>
      <c r="C74" s="381"/>
      <c r="D74" s="381"/>
      <c r="E74" s="381"/>
      <c r="F74" s="381"/>
      <c r="G74" s="381"/>
      <c r="H74" s="381"/>
    </row>
    <row r="75" spans="1:8" x14ac:dyDescent="0.2">
      <c r="A75" s="715">
        <f t="shared" si="0"/>
        <v>59</v>
      </c>
      <c r="B75" s="436" t="s">
        <v>1250</v>
      </c>
      <c r="C75" s="362"/>
      <c r="D75" s="362"/>
      <c r="E75" s="362"/>
      <c r="F75" s="362"/>
      <c r="G75" s="362"/>
      <c r="H75" s="362"/>
    </row>
    <row r="76" spans="1:8" ht="30" x14ac:dyDescent="0.2">
      <c r="A76" s="715">
        <f t="shared" si="0"/>
        <v>60</v>
      </c>
      <c r="B76" s="731" t="s">
        <v>2127</v>
      </c>
      <c r="C76" s="381"/>
      <c r="D76" s="381"/>
      <c r="E76" s="381"/>
      <c r="F76" s="381"/>
      <c r="G76" s="381"/>
      <c r="H76" s="381"/>
    </row>
    <row r="77" spans="1:8" s="598" customFormat="1" x14ac:dyDescent="0.2">
      <c r="A77" s="715">
        <f t="shared" si="0"/>
        <v>61</v>
      </c>
      <c r="B77" s="610" t="s">
        <v>2126</v>
      </c>
      <c r="C77" s="381"/>
      <c r="D77" s="381"/>
      <c r="E77" s="381"/>
      <c r="F77" s="381"/>
      <c r="G77" s="381"/>
      <c r="H77" s="381"/>
    </row>
    <row r="78" spans="1:8" s="598" customFormat="1" ht="30" x14ac:dyDescent="0.2">
      <c r="A78" s="715">
        <f t="shared" si="0"/>
        <v>62</v>
      </c>
      <c r="B78" s="610" t="s">
        <v>2125</v>
      </c>
      <c r="C78" s="381"/>
      <c r="D78" s="381"/>
      <c r="E78" s="381"/>
      <c r="F78" s="381"/>
      <c r="G78" s="381"/>
      <c r="H78" s="381"/>
    </row>
    <row r="79" spans="1:8" s="598" customFormat="1" ht="30" x14ac:dyDescent="0.2">
      <c r="A79" s="715">
        <f t="shared" si="0"/>
        <v>63</v>
      </c>
      <c r="B79" s="610" t="s">
        <v>2124</v>
      </c>
      <c r="C79" s="381"/>
      <c r="D79" s="381"/>
      <c r="E79" s="381"/>
      <c r="F79" s="381"/>
      <c r="G79" s="381"/>
      <c r="H79" s="381"/>
    </row>
    <row r="80" spans="1:8" s="598" customFormat="1" x14ac:dyDescent="0.2">
      <c r="A80" s="715">
        <f t="shared" si="0"/>
        <v>64</v>
      </c>
      <c r="B80" s="610" t="s">
        <v>2123</v>
      </c>
      <c r="C80" s="381"/>
      <c r="D80" s="381"/>
      <c r="E80" s="381"/>
      <c r="F80" s="381"/>
      <c r="G80" s="381"/>
      <c r="H80" s="381"/>
    </row>
    <row r="81" spans="1:8" s="598" customFormat="1" ht="30" x14ac:dyDescent="0.2">
      <c r="A81" s="715">
        <f t="shared" si="0"/>
        <v>65</v>
      </c>
      <c r="B81" s="610" t="s">
        <v>2122</v>
      </c>
      <c r="C81" s="381"/>
      <c r="D81" s="381"/>
      <c r="E81" s="381"/>
      <c r="F81" s="381"/>
      <c r="G81" s="381"/>
      <c r="H81" s="381"/>
    </row>
    <row r="82" spans="1:8" ht="30" x14ac:dyDescent="0.25">
      <c r="A82" s="715">
        <f t="shared" si="0"/>
        <v>66</v>
      </c>
      <c r="B82" s="513" t="s">
        <v>2121</v>
      </c>
      <c r="C82" s="735"/>
      <c r="D82" s="735"/>
      <c r="E82" s="735"/>
      <c r="F82" s="735"/>
      <c r="G82" s="735"/>
      <c r="H82" s="381"/>
    </row>
    <row r="83" spans="1:8" x14ac:dyDescent="0.25">
      <c r="A83" s="715">
        <f t="shared" ref="A83:A146" si="1">A82+1</f>
        <v>67</v>
      </c>
      <c r="B83" s="501" t="s">
        <v>2120</v>
      </c>
      <c r="C83" s="381"/>
      <c r="D83" s="381"/>
      <c r="E83" s="381"/>
      <c r="F83" s="381"/>
      <c r="G83" s="381"/>
      <c r="H83" s="381"/>
    </row>
    <row r="84" spans="1:8" s="598" customFormat="1" x14ac:dyDescent="0.25">
      <c r="A84" s="715">
        <f t="shared" si="1"/>
        <v>68</v>
      </c>
      <c r="B84" s="577" t="s">
        <v>2119</v>
      </c>
      <c r="C84" s="381"/>
      <c r="D84" s="381"/>
      <c r="E84" s="381"/>
      <c r="F84" s="381"/>
      <c r="G84" s="381"/>
      <c r="H84" s="381"/>
    </row>
    <row r="85" spans="1:8" s="598" customFormat="1" x14ac:dyDescent="0.25">
      <c r="A85" s="715">
        <f t="shared" si="1"/>
        <v>69</v>
      </c>
      <c r="B85" s="577" t="s">
        <v>2118</v>
      </c>
      <c r="C85" s="381"/>
      <c r="D85" s="381"/>
      <c r="E85" s="381"/>
      <c r="F85" s="381"/>
      <c r="G85" s="381"/>
      <c r="H85" s="381"/>
    </row>
    <row r="86" spans="1:8" s="598" customFormat="1" x14ac:dyDescent="0.25">
      <c r="A86" s="715">
        <f t="shared" si="1"/>
        <v>70</v>
      </c>
      <c r="B86" s="903" t="s">
        <v>2117</v>
      </c>
      <c r="C86" s="381"/>
      <c r="D86" s="381"/>
      <c r="E86" s="381"/>
      <c r="F86" s="381"/>
      <c r="G86" s="381"/>
      <c r="H86" s="381"/>
    </row>
    <row r="87" spans="1:8" x14ac:dyDescent="0.25">
      <c r="A87" s="715">
        <f t="shared" si="1"/>
        <v>71</v>
      </c>
      <c r="B87" s="758" t="s">
        <v>2116</v>
      </c>
      <c r="C87" s="381"/>
      <c r="D87" s="381"/>
      <c r="E87" s="381"/>
      <c r="F87" s="381"/>
      <c r="G87" s="381"/>
      <c r="H87" s="381"/>
    </row>
    <row r="88" spans="1:8" x14ac:dyDescent="0.25">
      <c r="A88" s="715">
        <f t="shared" si="1"/>
        <v>72</v>
      </c>
      <c r="B88" s="758" t="s">
        <v>2115</v>
      </c>
      <c r="C88" s="381"/>
      <c r="D88" s="381"/>
      <c r="E88" s="381"/>
      <c r="F88" s="381"/>
      <c r="G88" s="381"/>
      <c r="H88" s="381"/>
    </row>
    <row r="89" spans="1:8" x14ac:dyDescent="0.25">
      <c r="A89" s="715">
        <f t="shared" si="1"/>
        <v>73</v>
      </c>
      <c r="B89" s="758" t="s">
        <v>2114</v>
      </c>
      <c r="C89" s="381"/>
      <c r="D89" s="381"/>
      <c r="E89" s="381"/>
      <c r="F89" s="381"/>
      <c r="G89" s="381"/>
      <c r="H89" s="381"/>
    </row>
    <row r="90" spans="1:8" ht="30" x14ac:dyDescent="0.2">
      <c r="A90" s="715">
        <f t="shared" si="1"/>
        <v>74</v>
      </c>
      <c r="B90" s="731" t="s">
        <v>2113</v>
      </c>
      <c r="C90" s="381"/>
      <c r="D90" s="381"/>
      <c r="E90" s="381"/>
      <c r="F90" s="381"/>
      <c r="G90" s="381"/>
      <c r="H90" s="381"/>
    </row>
    <row r="91" spans="1:8" ht="30" x14ac:dyDescent="0.2">
      <c r="A91" s="715">
        <f t="shared" si="1"/>
        <v>75</v>
      </c>
      <c r="B91" s="731" t="s">
        <v>2112</v>
      </c>
      <c r="C91" s="735"/>
      <c r="D91" s="735"/>
      <c r="E91" s="735"/>
      <c r="F91" s="735"/>
      <c r="G91" s="735"/>
      <c r="H91" s="381"/>
    </row>
    <row r="92" spans="1:8" x14ac:dyDescent="0.25">
      <c r="A92" s="715">
        <f t="shared" si="1"/>
        <v>76</v>
      </c>
      <c r="B92" s="758" t="s">
        <v>2111</v>
      </c>
      <c r="C92" s="381"/>
      <c r="D92" s="381"/>
      <c r="E92" s="381"/>
      <c r="F92" s="381"/>
      <c r="G92" s="381"/>
      <c r="H92" s="381"/>
    </row>
    <row r="93" spans="1:8" x14ac:dyDescent="0.25">
      <c r="A93" s="715">
        <f t="shared" si="1"/>
        <v>77</v>
      </c>
      <c r="B93" s="758" t="s">
        <v>2110</v>
      </c>
      <c r="C93" s="381"/>
      <c r="D93" s="381"/>
      <c r="E93" s="381"/>
      <c r="F93" s="381"/>
      <c r="G93" s="381"/>
      <c r="H93" s="381"/>
    </row>
    <row r="94" spans="1:8" s="598" customFormat="1" x14ac:dyDescent="0.25">
      <c r="A94" s="715">
        <f t="shared" si="1"/>
        <v>78</v>
      </c>
      <c r="B94" s="617" t="s">
        <v>2109</v>
      </c>
      <c r="C94" s="381"/>
      <c r="D94" s="381"/>
      <c r="E94" s="381"/>
      <c r="F94" s="381"/>
      <c r="G94" s="381"/>
      <c r="H94" s="381"/>
    </row>
    <row r="95" spans="1:8" ht="30" x14ac:dyDescent="0.2">
      <c r="A95" s="715">
        <f t="shared" si="1"/>
        <v>79</v>
      </c>
      <c r="B95" s="731" t="s">
        <v>2108</v>
      </c>
      <c r="C95" s="735"/>
      <c r="D95" s="735"/>
      <c r="E95" s="735"/>
      <c r="F95" s="735"/>
      <c r="G95" s="735"/>
      <c r="H95" s="381"/>
    </row>
    <row r="96" spans="1:8" x14ac:dyDescent="0.25">
      <c r="A96" s="715">
        <f t="shared" si="1"/>
        <v>80</v>
      </c>
      <c r="B96" s="758" t="s">
        <v>2107</v>
      </c>
      <c r="C96" s="381"/>
      <c r="D96" s="381"/>
      <c r="E96" s="381"/>
      <c r="F96" s="381"/>
      <c r="G96" s="381"/>
      <c r="H96" s="381"/>
    </row>
    <row r="97" spans="1:8" x14ac:dyDescent="0.25">
      <c r="A97" s="715">
        <f t="shared" si="1"/>
        <v>81</v>
      </c>
      <c r="B97" s="758" t="s">
        <v>2106</v>
      </c>
      <c r="C97" s="381"/>
      <c r="D97" s="381"/>
      <c r="E97" s="381"/>
      <c r="F97" s="381"/>
      <c r="G97" s="381"/>
      <c r="H97" s="381"/>
    </row>
    <row r="98" spans="1:8" x14ac:dyDescent="0.25">
      <c r="A98" s="715">
        <f t="shared" si="1"/>
        <v>82</v>
      </c>
      <c r="B98" s="758" t="s">
        <v>2105</v>
      </c>
      <c r="C98" s="381"/>
      <c r="D98" s="381"/>
      <c r="E98" s="381"/>
      <c r="F98" s="381"/>
      <c r="G98" s="381"/>
      <c r="H98" s="381"/>
    </row>
    <row r="99" spans="1:8" s="598" customFormat="1" x14ac:dyDescent="0.25">
      <c r="A99" s="715">
        <f t="shared" si="1"/>
        <v>83</v>
      </c>
      <c r="B99" s="903" t="s">
        <v>2104</v>
      </c>
      <c r="C99" s="381"/>
      <c r="D99" s="381"/>
      <c r="E99" s="381"/>
      <c r="F99" s="381"/>
      <c r="G99" s="381"/>
      <c r="H99" s="381"/>
    </row>
    <row r="100" spans="1:8" s="598" customFormat="1" x14ac:dyDescent="0.25">
      <c r="A100" s="715">
        <f t="shared" si="1"/>
        <v>84</v>
      </c>
      <c r="B100" s="903" t="s">
        <v>1791</v>
      </c>
      <c r="C100" s="381"/>
      <c r="D100" s="381"/>
      <c r="E100" s="381"/>
      <c r="F100" s="381"/>
      <c r="G100" s="381"/>
      <c r="H100" s="381"/>
    </row>
    <row r="101" spans="1:8" s="598" customFormat="1" x14ac:dyDescent="0.25">
      <c r="A101" s="715">
        <f t="shared" si="1"/>
        <v>85</v>
      </c>
      <c r="B101" s="903" t="s">
        <v>295</v>
      </c>
      <c r="C101" s="381"/>
      <c r="D101" s="381"/>
      <c r="E101" s="381"/>
      <c r="F101" s="381"/>
      <c r="G101" s="381"/>
      <c r="H101" s="381"/>
    </row>
    <row r="102" spans="1:8" s="598" customFormat="1" x14ac:dyDescent="0.25">
      <c r="A102" s="715">
        <f t="shared" si="1"/>
        <v>86</v>
      </c>
      <c r="B102" s="903" t="s">
        <v>2103</v>
      </c>
      <c r="C102" s="381"/>
      <c r="D102" s="381"/>
      <c r="E102" s="381"/>
      <c r="F102" s="381"/>
      <c r="G102" s="381"/>
      <c r="H102" s="381"/>
    </row>
    <row r="103" spans="1:8" s="598" customFormat="1" x14ac:dyDescent="0.25">
      <c r="A103" s="715">
        <f t="shared" si="1"/>
        <v>87</v>
      </c>
      <c r="B103" s="903" t="s">
        <v>2102</v>
      </c>
      <c r="C103" s="381"/>
      <c r="D103" s="381"/>
      <c r="E103" s="381"/>
      <c r="F103" s="381"/>
      <c r="G103" s="381"/>
      <c r="H103" s="381"/>
    </row>
    <row r="104" spans="1:8" s="598" customFormat="1" x14ac:dyDescent="0.25">
      <c r="A104" s="715">
        <f t="shared" si="1"/>
        <v>88</v>
      </c>
      <c r="B104" s="903" t="s">
        <v>2101</v>
      </c>
      <c r="C104" s="381"/>
      <c r="D104" s="381"/>
      <c r="E104" s="381"/>
      <c r="F104" s="381"/>
      <c r="G104" s="381"/>
      <c r="H104" s="381"/>
    </row>
    <row r="105" spans="1:8" s="598" customFormat="1" x14ac:dyDescent="0.25">
      <c r="A105" s="715">
        <f t="shared" si="1"/>
        <v>89</v>
      </c>
      <c r="B105" s="903" t="s">
        <v>2100</v>
      </c>
      <c r="C105" s="381"/>
      <c r="D105" s="381"/>
      <c r="E105" s="381"/>
      <c r="F105" s="381"/>
      <c r="G105" s="381"/>
      <c r="H105" s="381"/>
    </row>
    <row r="106" spans="1:8" s="598" customFormat="1" ht="30" x14ac:dyDescent="0.25">
      <c r="A106" s="715">
        <f t="shared" si="1"/>
        <v>90</v>
      </c>
      <c r="B106" s="617" t="s">
        <v>2099</v>
      </c>
      <c r="C106" s="381"/>
      <c r="D106" s="381"/>
      <c r="E106" s="381"/>
      <c r="F106" s="381"/>
      <c r="G106" s="381"/>
      <c r="H106" s="381"/>
    </row>
    <row r="107" spans="1:8" s="598" customFormat="1" x14ac:dyDescent="0.25">
      <c r="A107" s="715">
        <f t="shared" si="1"/>
        <v>91</v>
      </c>
      <c r="B107" s="579" t="s">
        <v>2098</v>
      </c>
      <c r="C107" s="381"/>
      <c r="D107" s="381"/>
      <c r="E107" s="381"/>
      <c r="F107" s="381"/>
      <c r="G107" s="381"/>
      <c r="H107" s="381"/>
    </row>
    <row r="108" spans="1:8" s="598" customFormat="1" ht="30" x14ac:dyDescent="0.25">
      <c r="A108" s="715">
        <f t="shared" si="1"/>
        <v>92</v>
      </c>
      <c r="B108" s="579" t="s">
        <v>2097</v>
      </c>
      <c r="C108" s="662"/>
      <c r="D108" s="662"/>
      <c r="E108" s="662"/>
      <c r="F108" s="732"/>
      <c r="G108" s="732"/>
      <c r="H108" s="381"/>
    </row>
    <row r="109" spans="1:8" x14ac:dyDescent="0.2">
      <c r="A109" s="715">
        <f t="shared" si="1"/>
        <v>93</v>
      </c>
      <c r="B109" s="740" t="s">
        <v>2096</v>
      </c>
      <c r="C109" s="735"/>
      <c r="D109" s="735"/>
      <c r="E109" s="735"/>
      <c r="F109" s="735"/>
      <c r="G109" s="735"/>
      <c r="H109" s="732"/>
    </row>
    <row r="110" spans="1:8" x14ac:dyDescent="0.2">
      <c r="A110" s="715">
        <f t="shared" si="1"/>
        <v>94</v>
      </c>
      <c r="B110" s="757" t="s">
        <v>2095</v>
      </c>
      <c r="C110" s="594"/>
      <c r="D110" s="594"/>
      <c r="E110" s="594"/>
      <c r="F110" s="728"/>
      <c r="G110" s="728"/>
      <c r="H110" s="728"/>
    </row>
    <row r="111" spans="1:8" x14ac:dyDescent="0.2">
      <c r="A111" s="715">
        <f t="shared" si="1"/>
        <v>95</v>
      </c>
      <c r="B111" s="756" t="s">
        <v>1550</v>
      </c>
      <c r="C111" s="594"/>
      <c r="D111" s="594"/>
      <c r="E111" s="594"/>
      <c r="F111" s="728"/>
      <c r="G111" s="728"/>
      <c r="H111" s="728"/>
    </row>
    <row r="112" spans="1:8" x14ac:dyDescent="0.2">
      <c r="A112" s="715">
        <f t="shared" si="1"/>
        <v>96</v>
      </c>
      <c r="B112" s="756" t="s">
        <v>2094</v>
      </c>
      <c r="C112" s="594"/>
      <c r="D112" s="594"/>
      <c r="E112" s="594"/>
      <c r="F112" s="728"/>
      <c r="G112" s="728"/>
      <c r="H112" s="728"/>
    </row>
    <row r="113" spans="1:8" x14ac:dyDescent="0.2">
      <c r="A113" s="715">
        <f t="shared" si="1"/>
        <v>97</v>
      </c>
      <c r="B113" s="756" t="s">
        <v>2093</v>
      </c>
      <c r="C113" s="594"/>
      <c r="D113" s="594"/>
      <c r="E113" s="594"/>
      <c r="F113" s="728"/>
      <c r="G113" s="728"/>
      <c r="H113" s="728"/>
    </row>
    <row r="114" spans="1:8" s="598" customFormat="1" x14ac:dyDescent="0.2">
      <c r="A114" s="715">
        <f t="shared" si="1"/>
        <v>98</v>
      </c>
      <c r="B114" s="759" t="s">
        <v>2092</v>
      </c>
      <c r="C114" s="662"/>
      <c r="D114" s="662"/>
      <c r="E114" s="662"/>
      <c r="F114" s="732"/>
      <c r="G114" s="732"/>
      <c r="H114" s="732"/>
    </row>
    <row r="115" spans="1:8" s="598" customFormat="1" x14ac:dyDescent="0.2">
      <c r="A115" s="715">
        <f t="shared" si="1"/>
        <v>99</v>
      </c>
      <c r="B115" s="759" t="s">
        <v>2091</v>
      </c>
      <c r="C115" s="662"/>
      <c r="D115" s="662"/>
      <c r="E115" s="662"/>
      <c r="F115" s="732"/>
      <c r="G115" s="732"/>
      <c r="H115" s="732"/>
    </row>
    <row r="116" spans="1:8" s="598" customFormat="1" x14ac:dyDescent="0.2">
      <c r="A116" s="715">
        <f t="shared" si="1"/>
        <v>100</v>
      </c>
      <c r="B116" s="759" t="s">
        <v>2090</v>
      </c>
      <c r="C116" s="662"/>
      <c r="D116" s="662"/>
      <c r="E116" s="662"/>
      <c r="F116" s="732"/>
      <c r="G116" s="732"/>
      <c r="H116" s="732"/>
    </row>
    <row r="117" spans="1:8" s="688" customFormat="1" ht="30" x14ac:dyDescent="0.25">
      <c r="A117" s="715">
        <f t="shared" si="1"/>
        <v>101</v>
      </c>
      <c r="B117" s="656" t="s">
        <v>1696</v>
      </c>
      <c r="C117" s="735"/>
      <c r="D117" s="735"/>
      <c r="E117" s="735"/>
      <c r="F117" s="735"/>
      <c r="G117" s="735"/>
      <c r="H117" s="665"/>
    </row>
    <row r="118" spans="1:8" s="688" customFormat="1" x14ac:dyDescent="0.25">
      <c r="A118" s="715">
        <f t="shared" si="1"/>
        <v>102</v>
      </c>
      <c r="B118" s="664" t="s">
        <v>1695</v>
      </c>
      <c r="C118" s="655"/>
      <c r="D118" s="654"/>
      <c r="E118" s="654"/>
      <c r="F118" s="654"/>
      <c r="G118" s="654"/>
      <c r="H118" s="653"/>
    </row>
    <row r="119" spans="1:8" s="688" customFormat="1" x14ac:dyDescent="0.25">
      <c r="A119" s="715">
        <f t="shared" si="1"/>
        <v>103</v>
      </c>
      <c r="B119" s="664" t="s">
        <v>1694</v>
      </c>
      <c r="C119" s="655"/>
      <c r="D119" s="654"/>
      <c r="E119" s="654"/>
      <c r="F119" s="654"/>
      <c r="G119" s="654"/>
      <c r="H119" s="653"/>
    </row>
    <row r="120" spans="1:8" s="688" customFormat="1" x14ac:dyDescent="0.25">
      <c r="A120" s="715">
        <f t="shared" si="1"/>
        <v>104</v>
      </c>
      <c r="B120" s="664" t="s">
        <v>1693</v>
      </c>
      <c r="C120" s="655"/>
      <c r="D120" s="654"/>
      <c r="E120" s="654"/>
      <c r="F120" s="654"/>
      <c r="G120" s="654"/>
      <c r="H120" s="653"/>
    </row>
    <row r="121" spans="1:8" s="688" customFormat="1" x14ac:dyDescent="0.25">
      <c r="A121" s="715">
        <f t="shared" si="1"/>
        <v>105</v>
      </c>
      <c r="B121" s="664" t="s">
        <v>1691</v>
      </c>
      <c r="C121" s="655"/>
      <c r="D121" s="654"/>
      <c r="E121" s="654"/>
      <c r="F121" s="654"/>
      <c r="G121" s="654"/>
      <c r="H121" s="653"/>
    </row>
    <row r="122" spans="1:8" s="688" customFormat="1" x14ac:dyDescent="0.25">
      <c r="A122" s="715">
        <f t="shared" si="1"/>
        <v>106</v>
      </c>
      <c r="B122" s="664" t="s">
        <v>2089</v>
      </c>
      <c r="C122" s="655"/>
      <c r="D122" s="654"/>
      <c r="E122" s="654"/>
      <c r="F122" s="654"/>
      <c r="G122" s="654"/>
      <c r="H122" s="653"/>
    </row>
    <row r="123" spans="1:8" s="688" customFormat="1" x14ac:dyDescent="0.25">
      <c r="A123" s="715">
        <f t="shared" si="1"/>
        <v>107</v>
      </c>
      <c r="B123" s="664" t="s">
        <v>2088</v>
      </c>
      <c r="C123" s="655"/>
      <c r="D123" s="654"/>
      <c r="E123" s="654"/>
      <c r="F123" s="654"/>
      <c r="G123" s="654"/>
      <c r="H123" s="653"/>
    </row>
    <row r="124" spans="1:8" s="688" customFormat="1" x14ac:dyDescent="0.25">
      <c r="A124" s="715">
        <f t="shared" si="1"/>
        <v>108</v>
      </c>
      <c r="B124" s="656" t="s">
        <v>2087</v>
      </c>
      <c r="C124" s="655"/>
      <c r="D124" s="654"/>
      <c r="E124" s="654"/>
      <c r="F124" s="654"/>
      <c r="G124" s="654"/>
      <c r="H124" s="653"/>
    </row>
    <row r="125" spans="1:8" s="688" customFormat="1" ht="30" x14ac:dyDescent="0.25">
      <c r="A125" s="715">
        <f t="shared" si="1"/>
        <v>109</v>
      </c>
      <c r="B125" s="656" t="s">
        <v>2086</v>
      </c>
      <c r="C125" s="655"/>
      <c r="D125" s="654"/>
      <c r="E125" s="654"/>
      <c r="F125" s="654"/>
      <c r="G125" s="654"/>
      <c r="H125" s="653"/>
    </row>
    <row r="126" spans="1:8" ht="30" x14ac:dyDescent="0.2">
      <c r="A126" s="715">
        <f t="shared" si="1"/>
        <v>110</v>
      </c>
      <c r="B126" s="751" t="s">
        <v>2085</v>
      </c>
      <c r="C126" s="735"/>
      <c r="D126" s="735"/>
      <c r="E126" s="735"/>
      <c r="F126" s="735"/>
      <c r="G126" s="735"/>
      <c r="H126" s="747"/>
    </row>
    <row r="127" spans="1:8" x14ac:dyDescent="0.2">
      <c r="A127" s="715">
        <f t="shared" si="1"/>
        <v>111</v>
      </c>
      <c r="B127" s="754" t="s">
        <v>2084</v>
      </c>
      <c r="C127" s="621"/>
      <c r="D127" s="745"/>
      <c r="E127" s="745"/>
      <c r="F127" s="747"/>
      <c r="G127" s="747"/>
      <c r="H127" s="747"/>
    </row>
    <row r="128" spans="1:8" x14ac:dyDescent="0.2">
      <c r="A128" s="715">
        <f t="shared" si="1"/>
        <v>112</v>
      </c>
      <c r="B128" s="754" t="s">
        <v>2083</v>
      </c>
      <c r="C128" s="745"/>
      <c r="D128" s="745"/>
      <c r="E128" s="745"/>
      <c r="F128" s="747"/>
      <c r="G128" s="747"/>
      <c r="H128" s="747"/>
    </row>
    <row r="129" spans="1:8" x14ac:dyDescent="0.2">
      <c r="A129" s="715">
        <f t="shared" si="1"/>
        <v>113</v>
      </c>
      <c r="B129" s="755" t="s">
        <v>2082</v>
      </c>
      <c r="C129" s="642"/>
      <c r="D129" s="642"/>
      <c r="E129" s="642"/>
      <c r="F129" s="641"/>
      <c r="G129" s="641"/>
      <c r="H129" s="641"/>
    </row>
    <row r="130" spans="1:8" x14ac:dyDescent="0.2">
      <c r="A130" s="715">
        <f t="shared" si="1"/>
        <v>114</v>
      </c>
      <c r="B130" s="754" t="s">
        <v>2081</v>
      </c>
      <c r="C130" s="621"/>
      <c r="D130" s="745"/>
      <c r="E130" s="745"/>
      <c r="F130" s="747"/>
      <c r="G130" s="747"/>
      <c r="H130" s="747"/>
    </row>
    <row r="131" spans="1:8" s="598" customFormat="1" x14ac:dyDescent="0.2">
      <c r="A131" s="715">
        <f t="shared" si="1"/>
        <v>115</v>
      </c>
      <c r="B131" s="1004" t="s">
        <v>2080</v>
      </c>
      <c r="C131" s="642"/>
      <c r="D131" s="642"/>
      <c r="E131" s="642"/>
      <c r="F131" s="641"/>
      <c r="G131" s="641"/>
      <c r="H131" s="641"/>
    </row>
    <row r="132" spans="1:8" s="598" customFormat="1" ht="30" x14ac:dyDescent="0.2">
      <c r="A132" s="715">
        <f t="shared" si="1"/>
        <v>116</v>
      </c>
      <c r="B132" s="1004" t="s">
        <v>2079</v>
      </c>
      <c r="C132" s="642"/>
      <c r="D132" s="642"/>
      <c r="E132" s="642"/>
      <c r="F132" s="641"/>
      <c r="G132" s="641"/>
      <c r="H132" s="641"/>
    </row>
    <row r="133" spans="1:8" s="598" customFormat="1" ht="45" x14ac:dyDescent="0.2">
      <c r="A133" s="715">
        <f t="shared" si="1"/>
        <v>117</v>
      </c>
      <c r="B133" s="1004" t="s">
        <v>2078</v>
      </c>
      <c r="C133" s="642"/>
      <c r="D133" s="642"/>
      <c r="E133" s="642"/>
      <c r="F133" s="641"/>
      <c r="G133" s="641"/>
      <c r="H133" s="641"/>
    </row>
    <row r="134" spans="1:8" s="598" customFormat="1" ht="30" x14ac:dyDescent="0.2">
      <c r="A134" s="715">
        <f t="shared" si="1"/>
        <v>118</v>
      </c>
      <c r="B134" s="1004" t="s">
        <v>2077</v>
      </c>
      <c r="C134" s="642"/>
      <c r="D134" s="642"/>
      <c r="E134" s="642"/>
      <c r="F134" s="641"/>
      <c r="G134" s="641"/>
      <c r="H134" s="641"/>
    </row>
    <row r="135" spans="1:8" s="598" customFormat="1" ht="30" x14ac:dyDescent="0.2">
      <c r="A135" s="715">
        <f t="shared" si="1"/>
        <v>119</v>
      </c>
      <c r="B135" s="1004" t="s">
        <v>2076</v>
      </c>
      <c r="C135" s="735"/>
      <c r="D135" s="735"/>
      <c r="E135" s="735"/>
      <c r="F135" s="735"/>
      <c r="G135" s="735"/>
      <c r="H135" s="641"/>
    </row>
    <row r="136" spans="1:8" s="598" customFormat="1" x14ac:dyDescent="0.2">
      <c r="A136" s="715">
        <f t="shared" si="1"/>
        <v>120</v>
      </c>
      <c r="B136" s="755" t="s">
        <v>2075</v>
      </c>
      <c r="C136" s="642"/>
      <c r="D136" s="642"/>
      <c r="E136" s="642"/>
      <c r="F136" s="641"/>
      <c r="G136" s="641"/>
      <c r="H136" s="641"/>
    </row>
    <row r="137" spans="1:8" s="598" customFormat="1" x14ac:dyDescent="0.2">
      <c r="A137" s="715">
        <f t="shared" si="1"/>
        <v>121</v>
      </c>
      <c r="B137" s="755" t="s">
        <v>111</v>
      </c>
      <c r="C137" s="642"/>
      <c r="D137" s="642"/>
      <c r="E137" s="642"/>
      <c r="F137" s="641"/>
      <c r="G137" s="641"/>
      <c r="H137" s="641"/>
    </row>
    <row r="138" spans="1:8" x14ac:dyDescent="0.25">
      <c r="A138" s="715">
        <f t="shared" si="1"/>
        <v>122</v>
      </c>
      <c r="B138" s="718" t="s">
        <v>2074</v>
      </c>
      <c r="C138" s="735"/>
      <c r="D138" s="735"/>
      <c r="E138" s="735"/>
      <c r="F138" s="735"/>
      <c r="G138" s="735"/>
      <c r="H138" s="651"/>
    </row>
    <row r="139" spans="1:8" s="598" customFormat="1" x14ac:dyDescent="0.25">
      <c r="A139" s="715">
        <f t="shared" si="1"/>
        <v>123</v>
      </c>
      <c r="B139" s="611" t="s">
        <v>2073</v>
      </c>
      <c r="C139" s="652"/>
      <c r="D139" s="652"/>
      <c r="E139" s="652"/>
      <c r="F139" s="651"/>
      <c r="G139" s="651"/>
      <c r="H139" s="651"/>
    </row>
    <row r="140" spans="1:8" s="598" customFormat="1" x14ac:dyDescent="0.25">
      <c r="A140" s="715">
        <f t="shared" si="1"/>
        <v>124</v>
      </c>
      <c r="B140" s="611" t="s">
        <v>1936</v>
      </c>
      <c r="C140" s="652"/>
      <c r="D140" s="652"/>
      <c r="E140" s="652"/>
      <c r="F140" s="651"/>
      <c r="G140" s="651"/>
      <c r="H140" s="651"/>
    </row>
    <row r="141" spans="1:8" s="598" customFormat="1" x14ac:dyDescent="0.25">
      <c r="A141" s="715">
        <f t="shared" si="1"/>
        <v>125</v>
      </c>
      <c r="B141" s="611" t="s">
        <v>376</v>
      </c>
      <c r="C141" s="652"/>
      <c r="D141" s="652"/>
      <c r="E141" s="652"/>
      <c r="F141" s="651"/>
      <c r="G141" s="651"/>
      <c r="H141" s="651"/>
    </row>
    <row r="142" spans="1:8" s="598" customFormat="1" x14ac:dyDescent="0.25">
      <c r="A142" s="715">
        <f t="shared" si="1"/>
        <v>126</v>
      </c>
      <c r="B142" s="611" t="s">
        <v>2072</v>
      </c>
      <c r="C142" s="652"/>
      <c r="D142" s="652"/>
      <c r="E142" s="652"/>
      <c r="F142" s="651"/>
      <c r="G142" s="651"/>
      <c r="H142" s="651"/>
    </row>
    <row r="143" spans="1:8" s="598" customFormat="1" ht="45" x14ac:dyDescent="0.2">
      <c r="A143" s="715">
        <f t="shared" si="1"/>
        <v>127</v>
      </c>
      <c r="B143" s="663" t="s">
        <v>2071</v>
      </c>
      <c r="C143" s="662"/>
      <c r="D143" s="662"/>
      <c r="E143" s="662"/>
      <c r="F143" s="732"/>
      <c r="G143" s="732"/>
      <c r="H143" s="732"/>
    </row>
    <row r="144" spans="1:8" s="598" customFormat="1" x14ac:dyDescent="0.2">
      <c r="A144" s="715">
        <f t="shared" si="1"/>
        <v>128</v>
      </c>
      <c r="B144" s="663" t="s">
        <v>2070</v>
      </c>
      <c r="C144" s="662"/>
      <c r="D144" s="662"/>
      <c r="E144" s="662"/>
      <c r="F144" s="732"/>
      <c r="G144" s="732"/>
      <c r="H144" s="732"/>
    </row>
    <row r="145" spans="1:8" ht="30" x14ac:dyDescent="0.2">
      <c r="A145" s="715">
        <f t="shared" si="1"/>
        <v>129</v>
      </c>
      <c r="B145" s="663" t="s">
        <v>2069</v>
      </c>
      <c r="C145" s="662"/>
      <c r="D145" s="662"/>
      <c r="E145" s="662"/>
      <c r="F145" s="732"/>
      <c r="G145" s="732"/>
      <c r="H145" s="732"/>
    </row>
    <row r="146" spans="1:8" ht="60" x14ac:dyDescent="0.2">
      <c r="A146" s="715">
        <f t="shared" si="1"/>
        <v>130</v>
      </c>
      <c r="B146" s="663" t="s">
        <v>2068</v>
      </c>
      <c r="C146" s="662"/>
      <c r="D146" s="662"/>
      <c r="E146" s="662"/>
      <c r="F146" s="732"/>
      <c r="G146" s="732"/>
      <c r="H146" s="732"/>
    </row>
    <row r="147" spans="1:8" ht="45" x14ac:dyDescent="0.2">
      <c r="A147" s="715">
        <f t="shared" ref="A147:A210" si="2">A146+1</f>
        <v>131</v>
      </c>
      <c r="B147" s="731" t="s">
        <v>2067</v>
      </c>
      <c r="C147" s="662"/>
      <c r="D147" s="662"/>
      <c r="E147" s="662"/>
      <c r="F147" s="732"/>
      <c r="G147" s="732"/>
      <c r="H147" s="732"/>
    </row>
    <row r="148" spans="1:8" x14ac:dyDescent="0.2">
      <c r="A148" s="715">
        <f t="shared" si="2"/>
        <v>132</v>
      </c>
      <c r="B148" s="731" t="s">
        <v>2066</v>
      </c>
      <c r="C148" s="662"/>
      <c r="D148" s="662"/>
      <c r="E148" s="662"/>
      <c r="F148" s="732"/>
      <c r="G148" s="732"/>
      <c r="H148" s="732"/>
    </row>
    <row r="149" spans="1:8" ht="45" x14ac:dyDescent="0.25">
      <c r="A149" s="715">
        <f t="shared" si="2"/>
        <v>133</v>
      </c>
      <c r="B149" s="703" t="s">
        <v>1868</v>
      </c>
      <c r="C149" s="735"/>
      <c r="D149" s="735"/>
      <c r="E149" s="735"/>
      <c r="F149" s="735"/>
      <c r="G149" s="735"/>
      <c r="H149" s="672"/>
    </row>
    <row r="150" spans="1:8" x14ac:dyDescent="0.25">
      <c r="A150" s="715">
        <f t="shared" si="2"/>
        <v>134</v>
      </c>
      <c r="B150" s="673" t="s">
        <v>1867</v>
      </c>
      <c r="C150" s="672"/>
      <c r="D150" s="672"/>
      <c r="E150" s="672"/>
      <c r="F150" s="672"/>
      <c r="G150" s="672"/>
      <c r="H150" s="753"/>
    </row>
    <row r="151" spans="1:8" x14ac:dyDescent="0.25">
      <c r="A151" s="715">
        <f t="shared" si="2"/>
        <v>135</v>
      </c>
      <c r="B151" s="673" t="s">
        <v>1610</v>
      </c>
      <c r="C151" s="672"/>
      <c r="D151" s="672"/>
      <c r="E151" s="672"/>
      <c r="F151" s="672"/>
      <c r="G151" s="672"/>
      <c r="H151" s="753"/>
    </row>
    <row r="152" spans="1:8" x14ac:dyDescent="0.25">
      <c r="A152" s="715">
        <f t="shared" si="2"/>
        <v>136</v>
      </c>
      <c r="B152" s="673" t="s">
        <v>1609</v>
      </c>
      <c r="C152" s="672"/>
      <c r="D152" s="672"/>
      <c r="E152" s="672"/>
      <c r="F152" s="672"/>
      <c r="G152" s="672"/>
      <c r="H152" s="753"/>
    </row>
    <row r="153" spans="1:8" x14ac:dyDescent="0.25">
      <c r="A153" s="715">
        <f t="shared" si="2"/>
        <v>137</v>
      </c>
      <c r="B153" s="673" t="s">
        <v>1607</v>
      </c>
      <c r="C153" s="672"/>
      <c r="D153" s="672"/>
      <c r="E153" s="672"/>
      <c r="F153" s="672"/>
      <c r="G153" s="672"/>
      <c r="H153" s="672"/>
    </row>
    <row r="154" spans="1:8" x14ac:dyDescent="0.25">
      <c r="A154" s="715">
        <f t="shared" si="2"/>
        <v>138</v>
      </c>
      <c r="B154" s="673" t="s">
        <v>1606</v>
      </c>
      <c r="C154" s="672"/>
      <c r="D154" s="672"/>
      <c r="E154" s="672"/>
      <c r="F154" s="672"/>
      <c r="G154" s="672"/>
      <c r="H154" s="672"/>
    </row>
    <row r="155" spans="1:8" s="598" customFormat="1" ht="45" x14ac:dyDescent="0.25">
      <c r="A155" s="715">
        <f t="shared" si="2"/>
        <v>139</v>
      </c>
      <c r="B155" s="631" t="s">
        <v>2065</v>
      </c>
      <c r="C155" s="652"/>
      <c r="D155" s="652"/>
      <c r="E155" s="652"/>
      <c r="F155" s="651"/>
      <c r="G155" s="651"/>
      <c r="H155" s="651"/>
    </row>
    <row r="156" spans="1:8" ht="30" x14ac:dyDescent="0.25">
      <c r="A156" s="715">
        <f t="shared" si="2"/>
        <v>140</v>
      </c>
      <c r="B156" s="659" t="s">
        <v>1673</v>
      </c>
      <c r="C156" s="743"/>
      <c r="D156" s="743"/>
      <c r="E156" s="743"/>
      <c r="F156" s="742"/>
      <c r="G156" s="742"/>
      <c r="H156" s="742"/>
    </row>
    <row r="157" spans="1:8" s="347" customFormat="1" x14ac:dyDescent="0.25">
      <c r="A157" s="715">
        <f t="shared" si="2"/>
        <v>141</v>
      </c>
      <c r="B157" s="631" t="s">
        <v>1961</v>
      </c>
      <c r="C157" s="652"/>
      <c r="D157" s="652"/>
      <c r="E157" s="652"/>
      <c r="F157" s="651"/>
      <c r="G157" s="651"/>
      <c r="H157" s="651"/>
    </row>
    <row r="158" spans="1:8" s="347" customFormat="1" x14ac:dyDescent="0.25">
      <c r="A158" s="715">
        <f t="shared" si="2"/>
        <v>142</v>
      </c>
      <c r="B158" s="631" t="s">
        <v>2064</v>
      </c>
      <c r="C158" s="652"/>
      <c r="D158" s="652"/>
      <c r="E158" s="652"/>
      <c r="F158" s="651"/>
      <c r="G158" s="651"/>
      <c r="H158" s="651"/>
    </row>
    <row r="159" spans="1:8" s="347" customFormat="1" ht="30" x14ac:dyDescent="0.25">
      <c r="A159" s="715">
        <f t="shared" si="2"/>
        <v>143</v>
      </c>
      <c r="B159" s="631" t="s">
        <v>2063</v>
      </c>
      <c r="C159" s="652"/>
      <c r="D159" s="652"/>
      <c r="E159" s="652"/>
      <c r="F159" s="651"/>
      <c r="G159" s="651"/>
      <c r="H159" s="651"/>
    </row>
    <row r="160" spans="1:8" s="347" customFormat="1" x14ac:dyDescent="0.2">
      <c r="A160" s="715">
        <f t="shared" si="2"/>
        <v>144</v>
      </c>
      <c r="B160" s="661" t="s">
        <v>2062</v>
      </c>
      <c r="C160" s="660"/>
      <c r="D160" s="660"/>
      <c r="E160" s="660"/>
      <c r="F160" s="752"/>
      <c r="G160" s="752"/>
      <c r="H160" s="752"/>
    </row>
    <row r="161" spans="1:8" s="347" customFormat="1" ht="30" x14ac:dyDescent="0.2">
      <c r="A161" s="715">
        <f t="shared" si="2"/>
        <v>145</v>
      </c>
      <c r="B161" s="751" t="s">
        <v>1678</v>
      </c>
      <c r="C161" s="621"/>
      <c r="D161" s="750"/>
      <c r="E161" s="750"/>
      <c r="F161" s="749"/>
      <c r="G161" s="749"/>
      <c r="H161" s="749"/>
    </row>
    <row r="162" spans="1:8" s="347" customFormat="1" x14ac:dyDescent="0.25">
      <c r="A162" s="715">
        <f t="shared" si="2"/>
        <v>146</v>
      </c>
      <c r="B162" s="659" t="s">
        <v>2061</v>
      </c>
      <c r="C162" s="743"/>
      <c r="D162" s="743"/>
      <c r="E162" s="743"/>
      <c r="F162" s="742"/>
      <c r="G162" s="742"/>
      <c r="H162" s="742"/>
    </row>
    <row r="163" spans="1:8" s="347" customFormat="1" x14ac:dyDescent="0.25">
      <c r="A163" s="715">
        <f t="shared" si="2"/>
        <v>147</v>
      </c>
      <c r="B163" s="659" t="s">
        <v>2060</v>
      </c>
      <c r="C163" s="743"/>
      <c r="D163" s="743"/>
      <c r="E163" s="743"/>
      <c r="F163" s="742"/>
      <c r="G163" s="742"/>
      <c r="H163" s="742"/>
    </row>
    <row r="164" spans="1:8" s="347" customFormat="1" ht="30" x14ac:dyDescent="0.2">
      <c r="A164" s="715">
        <f t="shared" si="2"/>
        <v>148</v>
      </c>
      <c r="B164" s="751" t="s">
        <v>2059</v>
      </c>
      <c r="C164" s="621"/>
      <c r="D164" s="750"/>
      <c r="E164" s="750"/>
      <c r="F164" s="749"/>
      <c r="G164" s="749"/>
      <c r="H164" s="749"/>
    </row>
    <row r="165" spans="1:8" s="347" customFormat="1" ht="30" x14ac:dyDescent="0.2">
      <c r="A165" s="715">
        <f t="shared" si="2"/>
        <v>149</v>
      </c>
      <c r="B165" s="645" t="s">
        <v>2058</v>
      </c>
      <c r="C165" s="644"/>
      <c r="D165" s="644"/>
      <c r="E165" s="644"/>
      <c r="F165" s="730"/>
      <c r="G165" s="730"/>
      <c r="H165" s="730"/>
    </row>
    <row r="166" spans="1:8" s="347" customFormat="1" ht="30" x14ac:dyDescent="0.2">
      <c r="A166" s="715">
        <f t="shared" si="2"/>
        <v>150</v>
      </c>
      <c r="B166" s="746" t="s">
        <v>2057</v>
      </c>
      <c r="C166" s="621"/>
      <c r="D166" s="745"/>
      <c r="E166" s="745"/>
      <c r="F166" s="748"/>
      <c r="G166" s="748"/>
      <c r="H166" s="748"/>
    </row>
    <row r="167" spans="1:8" s="598" customFormat="1" x14ac:dyDescent="0.2">
      <c r="A167" s="715">
        <f t="shared" si="2"/>
        <v>151</v>
      </c>
      <c r="B167" s="650" t="s">
        <v>2056</v>
      </c>
      <c r="C167" s="642"/>
      <c r="D167" s="642"/>
      <c r="E167" s="642"/>
      <c r="F167" s="649"/>
      <c r="G167" s="649"/>
      <c r="H167" s="649"/>
    </row>
    <row r="168" spans="1:8" s="598" customFormat="1" ht="30" x14ac:dyDescent="0.2">
      <c r="A168" s="715">
        <f t="shared" si="2"/>
        <v>152</v>
      </c>
      <c r="B168" s="650" t="s">
        <v>1670</v>
      </c>
      <c r="C168" s="642"/>
      <c r="D168" s="642"/>
      <c r="E168" s="642"/>
      <c r="F168" s="649"/>
      <c r="G168" s="649"/>
      <c r="H168" s="649"/>
    </row>
    <row r="169" spans="1:8" s="598" customFormat="1" ht="30" x14ac:dyDescent="0.2">
      <c r="A169" s="715">
        <f t="shared" si="2"/>
        <v>153</v>
      </c>
      <c r="B169" s="650" t="s">
        <v>1669</v>
      </c>
      <c r="C169" s="642"/>
      <c r="D169" s="642"/>
      <c r="E169" s="642"/>
      <c r="F169" s="641"/>
      <c r="G169" s="641"/>
      <c r="H169" s="641"/>
    </row>
    <row r="170" spans="1:8" s="598" customFormat="1" ht="30" x14ac:dyDescent="0.25">
      <c r="A170" s="715">
        <f t="shared" si="2"/>
        <v>154</v>
      </c>
      <c r="B170" s="617" t="s">
        <v>2055</v>
      </c>
      <c r="C170" s="381"/>
      <c r="D170" s="381"/>
      <c r="E170" s="381"/>
      <c r="F170" s="381"/>
      <c r="G170" s="381"/>
      <c r="H170" s="381"/>
    </row>
    <row r="171" spans="1:8" s="598" customFormat="1" x14ac:dyDescent="0.25">
      <c r="A171" s="715">
        <f t="shared" si="2"/>
        <v>155</v>
      </c>
      <c r="B171" s="617" t="s">
        <v>2054</v>
      </c>
      <c r="C171" s="381"/>
      <c r="D171" s="381"/>
      <c r="E171" s="381"/>
      <c r="F171" s="381"/>
      <c r="G171" s="381"/>
      <c r="H171" s="381"/>
    </row>
    <row r="172" spans="1:8" s="347" customFormat="1" x14ac:dyDescent="0.2">
      <c r="A172" s="715">
        <f t="shared" si="2"/>
        <v>156</v>
      </c>
      <c r="B172" s="746" t="s">
        <v>1667</v>
      </c>
      <c r="C172" s="621"/>
      <c r="D172" s="745"/>
      <c r="E172" s="745"/>
      <c r="F172" s="745"/>
      <c r="G172" s="745"/>
      <c r="H172" s="745"/>
    </row>
    <row r="173" spans="1:8" x14ac:dyDescent="0.2">
      <c r="A173" s="715">
        <f t="shared" si="2"/>
        <v>157</v>
      </c>
      <c r="B173" s="436" t="s">
        <v>2053</v>
      </c>
      <c r="C173" s="362"/>
      <c r="D173" s="362"/>
      <c r="E173" s="362"/>
      <c r="F173" s="362"/>
      <c r="G173" s="362"/>
      <c r="H173" s="362"/>
    </row>
    <row r="174" spans="1:8" s="347" customFormat="1" ht="30" x14ac:dyDescent="0.2">
      <c r="A174" s="715">
        <f t="shared" si="2"/>
        <v>158</v>
      </c>
      <c r="B174" s="656" t="s">
        <v>2052</v>
      </c>
      <c r="C174" s="655"/>
      <c r="D174" s="654"/>
      <c r="E174" s="654"/>
      <c r="F174" s="654"/>
      <c r="G174" s="654"/>
      <c r="H174" s="653"/>
    </row>
    <row r="175" spans="1:8" s="347" customFormat="1" ht="15" customHeight="1" x14ac:dyDescent="0.2">
      <c r="A175" s="715">
        <f t="shared" si="2"/>
        <v>159</v>
      </c>
      <c r="B175" s="656" t="s">
        <v>2051</v>
      </c>
      <c r="C175" s="655"/>
      <c r="D175" s="654"/>
      <c r="E175" s="654"/>
      <c r="F175" s="654"/>
      <c r="G175" s="654"/>
      <c r="H175" s="653"/>
    </row>
    <row r="176" spans="1:8" ht="30" x14ac:dyDescent="0.2">
      <c r="A176" s="715">
        <f t="shared" si="2"/>
        <v>160</v>
      </c>
      <c r="B176" s="656" t="s">
        <v>2050</v>
      </c>
      <c r="C176" s="538"/>
      <c r="D176" s="538"/>
      <c r="E176" s="538"/>
      <c r="F176" s="631"/>
      <c r="G176" s="631"/>
      <c r="H176" s="631"/>
    </row>
    <row r="177" spans="1:8" s="598" customFormat="1" ht="30" x14ac:dyDescent="0.2">
      <c r="A177" s="715">
        <f t="shared" si="2"/>
        <v>161</v>
      </c>
      <c r="B177" s="656" t="s">
        <v>2049</v>
      </c>
      <c r="C177" s="538"/>
      <c r="D177" s="538"/>
      <c r="E177" s="538"/>
      <c r="F177" s="631"/>
      <c r="G177" s="631"/>
      <c r="H177" s="631"/>
    </row>
    <row r="178" spans="1:8" s="598" customFormat="1" ht="30" x14ac:dyDescent="0.2">
      <c r="A178" s="715">
        <f t="shared" si="2"/>
        <v>162</v>
      </c>
      <c r="B178" s="656" t="s">
        <v>2048</v>
      </c>
      <c r="C178" s="538"/>
      <c r="D178" s="538"/>
      <c r="E178" s="538"/>
      <c r="F178" s="631"/>
      <c r="G178" s="631"/>
      <c r="H178" s="631"/>
    </row>
    <row r="179" spans="1:8" ht="30" x14ac:dyDescent="0.2">
      <c r="A179" s="715">
        <f t="shared" si="2"/>
        <v>163</v>
      </c>
      <c r="B179" s="643" t="s">
        <v>2047</v>
      </c>
      <c r="C179" s="538"/>
      <c r="D179" s="538"/>
      <c r="E179" s="538"/>
      <c r="F179" s="631"/>
      <c r="G179" s="631"/>
      <c r="H179" s="631"/>
    </row>
    <row r="180" spans="1:8" x14ac:dyDescent="0.2">
      <c r="A180" s="715">
        <f t="shared" si="2"/>
        <v>164</v>
      </c>
      <c r="B180" s="643" t="s">
        <v>2046</v>
      </c>
      <c r="C180" s="538"/>
      <c r="D180" s="538"/>
      <c r="E180" s="538"/>
      <c r="F180" s="631"/>
      <c r="G180" s="631"/>
      <c r="H180" s="631"/>
    </row>
    <row r="181" spans="1:8" x14ac:dyDescent="0.2">
      <c r="A181" s="715">
        <f t="shared" si="2"/>
        <v>165</v>
      </c>
      <c r="B181" s="436" t="s">
        <v>2045</v>
      </c>
      <c r="C181" s="362"/>
      <c r="D181" s="362"/>
      <c r="E181" s="362"/>
      <c r="F181" s="362"/>
      <c r="G181" s="362"/>
      <c r="H181" s="362"/>
    </row>
    <row r="182" spans="1:8" s="598" customFormat="1" ht="30" x14ac:dyDescent="0.25">
      <c r="A182" s="715">
        <f t="shared" si="2"/>
        <v>166</v>
      </c>
      <c r="B182" s="579" t="s">
        <v>2044</v>
      </c>
      <c r="C182" s="652"/>
      <c r="D182" s="652"/>
      <c r="E182" s="652"/>
      <c r="F182" s="651"/>
      <c r="G182" s="651"/>
      <c r="H182" s="651"/>
    </row>
    <row r="183" spans="1:8" s="598" customFormat="1" ht="45" x14ac:dyDescent="0.2">
      <c r="A183" s="715">
        <f t="shared" si="2"/>
        <v>167</v>
      </c>
      <c r="B183" s="744" t="s">
        <v>2043</v>
      </c>
      <c r="C183" s="662"/>
      <c r="D183" s="662"/>
      <c r="E183" s="662"/>
      <c r="F183" s="732"/>
      <c r="G183" s="732"/>
      <c r="H183" s="727"/>
    </row>
    <row r="184" spans="1:8" s="598" customFormat="1" ht="30" x14ac:dyDescent="0.25">
      <c r="A184" s="715">
        <f t="shared" si="2"/>
        <v>168</v>
      </c>
      <c r="B184" s="579" t="s">
        <v>2042</v>
      </c>
      <c r="C184" s="652"/>
      <c r="D184" s="652"/>
      <c r="E184" s="652"/>
      <c r="F184" s="651"/>
      <c r="G184" s="651"/>
      <c r="H184" s="651"/>
    </row>
    <row r="185" spans="1:8" s="598" customFormat="1" ht="30" x14ac:dyDescent="0.25">
      <c r="A185" s="715">
        <f t="shared" si="2"/>
        <v>169</v>
      </c>
      <c r="B185" s="579" t="s">
        <v>2041</v>
      </c>
      <c r="C185" s="652"/>
      <c r="D185" s="652"/>
      <c r="E185" s="652"/>
      <c r="F185" s="651"/>
      <c r="G185" s="651"/>
      <c r="H185" s="651"/>
    </row>
    <row r="186" spans="1:8" s="598" customFormat="1" ht="30" x14ac:dyDescent="0.25">
      <c r="A186" s="715">
        <f t="shared" si="2"/>
        <v>170</v>
      </c>
      <c r="B186" s="579" t="s">
        <v>2040</v>
      </c>
      <c r="C186" s="652"/>
      <c r="D186" s="652"/>
      <c r="E186" s="652"/>
      <c r="F186" s="651"/>
      <c r="G186" s="651"/>
      <c r="H186" s="651"/>
    </row>
    <row r="187" spans="1:8" ht="30" x14ac:dyDescent="0.25">
      <c r="A187" s="715">
        <f t="shared" si="2"/>
        <v>171</v>
      </c>
      <c r="B187" s="513" t="s">
        <v>2039</v>
      </c>
      <c r="C187" s="743"/>
      <c r="D187" s="743"/>
      <c r="E187" s="743"/>
      <c r="F187" s="742"/>
      <c r="G187" s="742"/>
      <c r="H187" s="742"/>
    </row>
    <row r="188" spans="1:8" ht="30" x14ac:dyDescent="0.25">
      <c r="A188" s="715">
        <f t="shared" si="2"/>
        <v>172</v>
      </c>
      <c r="B188" s="513" t="s">
        <v>2038</v>
      </c>
      <c r="C188" s="743"/>
      <c r="D188" s="743"/>
      <c r="E188" s="743"/>
      <c r="F188" s="742"/>
      <c r="G188" s="742"/>
      <c r="H188" s="742"/>
    </row>
    <row r="189" spans="1:8" x14ac:dyDescent="0.25">
      <c r="A189" s="715">
        <f t="shared" si="2"/>
        <v>173</v>
      </c>
      <c r="B189" s="543" t="s">
        <v>2037</v>
      </c>
      <c r="C189" s="543"/>
      <c r="D189" s="543"/>
      <c r="E189" s="543"/>
      <c r="F189" s="543"/>
      <c r="G189" s="543"/>
      <c r="H189" s="543"/>
    </row>
    <row r="190" spans="1:8" ht="30" x14ac:dyDescent="0.2">
      <c r="A190" s="715">
        <f t="shared" si="2"/>
        <v>174</v>
      </c>
      <c r="B190" s="741" t="s">
        <v>2036</v>
      </c>
      <c r="C190" s="594"/>
      <c r="D190" s="594"/>
      <c r="E190" s="594"/>
      <c r="F190" s="728"/>
      <c r="G190" s="728"/>
      <c r="H190" s="728"/>
    </row>
    <row r="191" spans="1:8" ht="45" x14ac:dyDescent="0.2">
      <c r="A191" s="715">
        <f t="shared" si="2"/>
        <v>175</v>
      </c>
      <c r="B191" s="741" t="s">
        <v>2035</v>
      </c>
      <c r="C191" s="594"/>
      <c r="D191" s="594"/>
      <c r="E191" s="594"/>
      <c r="F191" s="728"/>
      <c r="G191" s="728"/>
      <c r="H191" s="728"/>
    </row>
    <row r="192" spans="1:8" ht="30" x14ac:dyDescent="0.2">
      <c r="A192" s="715">
        <f t="shared" si="2"/>
        <v>176</v>
      </c>
      <c r="B192" s="645" t="s">
        <v>2034</v>
      </c>
      <c r="C192" s="534"/>
      <c r="D192" s="534"/>
      <c r="E192" s="534"/>
      <c r="F192" s="659"/>
      <c r="G192" s="659"/>
      <c r="H192" s="659"/>
    </row>
    <row r="193" spans="1:8" ht="30" x14ac:dyDescent="0.2">
      <c r="A193" s="715">
        <f t="shared" si="2"/>
        <v>177</v>
      </c>
      <c r="B193" s="585" t="s">
        <v>2033</v>
      </c>
      <c r="C193" s="534"/>
      <c r="D193" s="534"/>
      <c r="E193" s="534"/>
      <c r="F193" s="659"/>
      <c r="G193" s="659"/>
      <c r="H193" s="659"/>
    </row>
    <row r="194" spans="1:8" ht="30" x14ac:dyDescent="0.2">
      <c r="A194" s="715">
        <f t="shared" si="2"/>
        <v>178</v>
      </c>
      <c r="B194" s="740" t="s">
        <v>2032</v>
      </c>
      <c r="C194" s="594"/>
      <c r="D194" s="594"/>
      <c r="E194" s="594"/>
      <c r="F194" s="728"/>
      <c r="G194" s="728"/>
      <c r="H194" s="728"/>
    </row>
    <row r="195" spans="1:8" s="598" customFormat="1" ht="30" x14ac:dyDescent="0.2">
      <c r="A195" s="715">
        <f t="shared" si="2"/>
        <v>179</v>
      </c>
      <c r="B195" s="744" t="s">
        <v>2031</v>
      </c>
      <c r="C195" s="662"/>
      <c r="D195" s="662"/>
      <c r="E195" s="662"/>
      <c r="F195" s="732"/>
      <c r="G195" s="732"/>
      <c r="H195" s="732"/>
    </row>
    <row r="196" spans="1:8" s="598" customFormat="1" x14ac:dyDescent="0.2">
      <c r="A196" s="715">
        <f t="shared" si="2"/>
        <v>180</v>
      </c>
      <c r="B196" s="744" t="s">
        <v>2030</v>
      </c>
      <c r="C196" s="662"/>
      <c r="D196" s="662"/>
      <c r="E196" s="662"/>
      <c r="F196" s="732"/>
      <c r="G196" s="732"/>
      <c r="H196" s="732"/>
    </row>
    <row r="197" spans="1:8" ht="45" x14ac:dyDescent="0.2">
      <c r="A197" s="715">
        <f t="shared" si="2"/>
        <v>181</v>
      </c>
      <c r="B197" s="739" t="s">
        <v>2029</v>
      </c>
      <c r="C197" s="735"/>
      <c r="D197" s="735"/>
      <c r="E197" s="735"/>
      <c r="F197" s="735"/>
      <c r="G197" s="735"/>
      <c r="H197" s="728"/>
    </row>
    <row r="198" spans="1:8" x14ac:dyDescent="0.2">
      <c r="A198" s="715">
        <f t="shared" si="2"/>
        <v>182</v>
      </c>
      <c r="B198" s="738" t="s">
        <v>2028</v>
      </c>
      <c r="C198" s="644"/>
      <c r="D198" s="644"/>
      <c r="E198" s="644"/>
      <c r="F198" s="644"/>
      <c r="G198" s="644"/>
      <c r="H198" s="730"/>
    </row>
    <row r="199" spans="1:8" s="598" customFormat="1" x14ac:dyDescent="0.2">
      <c r="A199" s="715">
        <f t="shared" si="2"/>
        <v>183</v>
      </c>
      <c r="B199" s="1005" t="s">
        <v>2027</v>
      </c>
      <c r="C199" s="538"/>
      <c r="D199" s="538"/>
      <c r="E199" s="538"/>
      <c r="F199" s="538"/>
      <c r="G199" s="538"/>
      <c r="H199" s="631"/>
    </row>
    <row r="200" spans="1:8" s="598" customFormat="1" x14ac:dyDescent="0.2">
      <c r="A200" s="715">
        <f t="shared" si="2"/>
        <v>184</v>
      </c>
      <c r="B200" s="1005" t="s">
        <v>2026</v>
      </c>
      <c r="C200" s="538"/>
      <c r="D200" s="538"/>
      <c r="E200" s="538"/>
      <c r="F200" s="538"/>
      <c r="G200" s="538"/>
      <c r="H200" s="631"/>
    </row>
    <row r="201" spans="1:8" s="598" customFormat="1" x14ac:dyDescent="0.2">
      <c r="A201" s="715">
        <f t="shared" si="2"/>
        <v>185</v>
      </c>
      <c r="B201" s="1005" t="s">
        <v>2025</v>
      </c>
      <c r="C201" s="538"/>
      <c r="D201" s="538"/>
      <c r="E201" s="538"/>
      <c r="F201" s="538"/>
      <c r="G201" s="538"/>
      <c r="H201" s="631"/>
    </row>
    <row r="202" spans="1:8" s="598" customFormat="1" ht="30" x14ac:dyDescent="0.25">
      <c r="A202" s="715">
        <f t="shared" si="2"/>
        <v>186</v>
      </c>
      <c r="B202" s="579" t="s">
        <v>2024</v>
      </c>
      <c r="C202" s="538"/>
      <c r="D202" s="538"/>
      <c r="E202" s="538"/>
      <c r="F202" s="631"/>
      <c r="G202" s="631"/>
      <c r="H202" s="631"/>
    </row>
    <row r="203" spans="1:8" s="598" customFormat="1" ht="30" x14ac:dyDescent="0.25">
      <c r="A203" s="715">
        <f t="shared" si="2"/>
        <v>187</v>
      </c>
      <c r="B203" s="579" t="s">
        <v>2023</v>
      </c>
      <c r="C203" s="538"/>
      <c r="D203" s="538"/>
      <c r="E203" s="538"/>
      <c r="F203" s="631"/>
      <c r="G203" s="631"/>
      <c r="H203" s="631"/>
    </row>
    <row r="204" spans="1:8" s="598" customFormat="1" ht="30" x14ac:dyDescent="0.25">
      <c r="A204" s="715">
        <f t="shared" si="2"/>
        <v>188</v>
      </c>
      <c r="B204" s="579" t="s">
        <v>2022</v>
      </c>
      <c r="C204" s="538"/>
      <c r="D204" s="538"/>
      <c r="E204" s="538"/>
      <c r="F204" s="631"/>
      <c r="G204" s="631"/>
      <c r="H204" s="631"/>
    </row>
    <row r="205" spans="1:8" ht="30" x14ac:dyDescent="0.25">
      <c r="A205" s="715">
        <f t="shared" si="2"/>
        <v>189</v>
      </c>
      <c r="B205" s="513" t="s">
        <v>2021</v>
      </c>
      <c r="C205" s="737"/>
      <c r="D205" s="737"/>
      <c r="E205" s="737"/>
      <c r="F205" s="736"/>
      <c r="G205" s="736"/>
      <c r="H205" s="736"/>
    </row>
    <row r="206" spans="1:8" ht="15.75" customHeight="1" x14ac:dyDescent="0.2">
      <c r="A206" s="715">
        <f t="shared" si="2"/>
        <v>190</v>
      </c>
      <c r="B206" s="731" t="s">
        <v>2020</v>
      </c>
      <c r="C206" s="737"/>
      <c r="D206" s="737"/>
      <c r="E206" s="737"/>
      <c r="F206" s="736"/>
      <c r="G206" s="736"/>
      <c r="H206" s="732"/>
    </row>
    <row r="207" spans="1:8" s="347" customFormat="1" ht="19.5" customHeight="1" x14ac:dyDescent="0.2">
      <c r="A207" s="715">
        <f t="shared" si="2"/>
        <v>191</v>
      </c>
      <c r="B207" s="610" t="s">
        <v>2019</v>
      </c>
      <c r="C207" s="538"/>
      <c r="D207" s="538"/>
      <c r="E207" s="538"/>
      <c r="F207" s="631"/>
      <c r="G207" s="631"/>
      <c r="H207" s="732"/>
    </row>
    <row r="208" spans="1:8" x14ac:dyDescent="0.2">
      <c r="A208" s="715">
        <f t="shared" si="2"/>
        <v>192</v>
      </c>
      <c r="B208" s="436" t="s">
        <v>2018</v>
      </c>
      <c r="C208" s="362"/>
      <c r="D208" s="362"/>
      <c r="E208" s="362"/>
      <c r="F208" s="362"/>
      <c r="G208" s="362"/>
      <c r="H208" s="362"/>
    </row>
    <row r="209" spans="1:8" ht="30" x14ac:dyDescent="0.2">
      <c r="A209" s="715">
        <f t="shared" si="2"/>
        <v>193</v>
      </c>
      <c r="B209" s="663" t="s">
        <v>2017</v>
      </c>
      <c r="C209" s="662"/>
      <c r="D209" s="662"/>
      <c r="E209" s="662"/>
      <c r="F209" s="732"/>
      <c r="G209" s="732"/>
      <c r="H209" s="732"/>
    </row>
    <row r="210" spans="1:8" ht="30" x14ac:dyDescent="0.2">
      <c r="A210" s="715">
        <f t="shared" si="2"/>
        <v>194</v>
      </c>
      <c r="B210" s="663" t="s">
        <v>2016</v>
      </c>
      <c r="C210" s="662"/>
      <c r="D210" s="662"/>
      <c r="E210" s="662"/>
      <c r="F210" s="732"/>
      <c r="G210" s="732"/>
      <c r="H210" s="732"/>
    </row>
    <row r="211" spans="1:8" s="598" customFormat="1" ht="30" x14ac:dyDescent="0.2">
      <c r="A211" s="715">
        <f t="shared" ref="A211:A274" si="3">A210+1</f>
        <v>195</v>
      </c>
      <c r="B211" s="663" t="s">
        <v>2015</v>
      </c>
      <c r="C211" s="662"/>
      <c r="D211" s="662"/>
      <c r="E211" s="662"/>
      <c r="F211" s="732"/>
      <c r="G211" s="732"/>
      <c r="H211" s="732"/>
    </row>
    <row r="212" spans="1:8" s="598" customFormat="1" ht="45" x14ac:dyDescent="0.2">
      <c r="A212" s="715">
        <f t="shared" si="3"/>
        <v>196</v>
      </c>
      <c r="B212" s="287" t="s">
        <v>2014</v>
      </c>
      <c r="C212" s="538"/>
      <c r="D212" s="538"/>
      <c r="E212" s="538"/>
      <c r="F212" s="631"/>
      <c r="G212" s="631"/>
      <c r="H212" s="727"/>
    </row>
    <row r="213" spans="1:8" s="598" customFormat="1" ht="30" x14ac:dyDescent="0.25">
      <c r="A213" s="715">
        <f t="shared" si="3"/>
        <v>197</v>
      </c>
      <c r="B213" s="579" t="s">
        <v>2013</v>
      </c>
      <c r="C213" s="662"/>
      <c r="D213" s="662"/>
      <c r="E213" s="662"/>
      <c r="F213" s="732"/>
      <c r="G213" s="732"/>
      <c r="H213" s="732"/>
    </row>
    <row r="214" spans="1:8" s="598" customFormat="1" ht="30" x14ac:dyDescent="0.25">
      <c r="A214" s="715">
        <f t="shared" si="3"/>
        <v>198</v>
      </c>
      <c r="B214" s="579" t="s">
        <v>2012</v>
      </c>
      <c r="C214" s="662"/>
      <c r="D214" s="662"/>
      <c r="E214" s="662"/>
      <c r="F214" s="732"/>
      <c r="G214" s="732"/>
      <c r="H214" s="732"/>
    </row>
    <row r="215" spans="1:8" s="598" customFormat="1" ht="30" x14ac:dyDescent="0.25">
      <c r="A215" s="715">
        <f t="shared" si="3"/>
        <v>199</v>
      </c>
      <c r="B215" s="579" t="s">
        <v>2011</v>
      </c>
      <c r="C215" s="662"/>
      <c r="D215" s="662"/>
      <c r="E215" s="662"/>
      <c r="F215" s="732"/>
      <c r="G215" s="732"/>
      <c r="H215" s="732"/>
    </row>
    <row r="216" spans="1:8" s="598" customFormat="1" ht="30" x14ac:dyDescent="0.25">
      <c r="A216" s="715">
        <f t="shared" si="3"/>
        <v>200</v>
      </c>
      <c r="B216" s="579" t="s">
        <v>2010</v>
      </c>
      <c r="C216" s="662"/>
      <c r="D216" s="662"/>
      <c r="E216" s="662"/>
      <c r="F216" s="732"/>
      <c r="G216" s="732"/>
      <c r="H216" s="732"/>
    </row>
    <row r="217" spans="1:8" s="598" customFormat="1" x14ac:dyDescent="0.25">
      <c r="A217" s="715">
        <f t="shared" si="3"/>
        <v>201</v>
      </c>
      <c r="B217" s="579" t="s">
        <v>2009</v>
      </c>
      <c r="C217" s="662"/>
      <c r="D217" s="662"/>
      <c r="E217" s="662"/>
      <c r="F217" s="732"/>
      <c r="G217" s="732"/>
      <c r="H217" s="732"/>
    </row>
    <row r="218" spans="1:8" s="598" customFormat="1" ht="45" x14ac:dyDescent="0.25">
      <c r="A218" s="715">
        <f t="shared" si="3"/>
        <v>202</v>
      </c>
      <c r="B218" s="579" t="s">
        <v>2008</v>
      </c>
      <c r="C218" s="662"/>
      <c r="D218" s="662"/>
      <c r="E218" s="662"/>
      <c r="F218" s="732"/>
      <c r="G218" s="732"/>
      <c r="H218" s="732"/>
    </row>
    <row r="219" spans="1:8" s="598" customFormat="1" ht="45" x14ac:dyDescent="0.25">
      <c r="A219" s="715">
        <f t="shared" si="3"/>
        <v>203</v>
      </c>
      <c r="B219" s="579" t="s">
        <v>2007</v>
      </c>
      <c r="C219" s="662"/>
      <c r="D219" s="662"/>
      <c r="E219" s="662"/>
      <c r="F219" s="732"/>
      <c r="G219" s="732"/>
      <c r="H219" s="732"/>
    </row>
    <row r="220" spans="1:8" ht="33" customHeight="1" x14ac:dyDescent="0.2">
      <c r="A220" s="715">
        <f t="shared" si="3"/>
        <v>204</v>
      </c>
      <c r="B220" s="731" t="s">
        <v>2006</v>
      </c>
      <c r="C220" s="594"/>
      <c r="D220" s="594"/>
      <c r="E220" s="594"/>
      <c r="F220" s="728"/>
      <c r="G220" s="728"/>
      <c r="H220" s="728"/>
    </row>
    <row r="221" spans="1:8" ht="30" customHeight="1" x14ac:dyDescent="0.2">
      <c r="A221" s="715">
        <f t="shared" si="3"/>
        <v>205</v>
      </c>
      <c r="B221" s="731" t="s">
        <v>2005</v>
      </c>
      <c r="C221" s="594"/>
      <c r="D221" s="594"/>
      <c r="E221" s="594"/>
      <c r="F221" s="728"/>
      <c r="G221" s="728"/>
      <c r="H221" s="728"/>
    </row>
    <row r="222" spans="1:8" ht="30" x14ac:dyDescent="0.2">
      <c r="A222" s="715">
        <f t="shared" si="3"/>
        <v>206</v>
      </c>
      <c r="B222" s="659" t="s">
        <v>2004</v>
      </c>
      <c r="C222" s="735"/>
      <c r="D222" s="735"/>
      <c r="E222" s="735"/>
      <c r="F222" s="735"/>
      <c r="G222" s="735"/>
      <c r="H222" s="730"/>
    </row>
    <row r="223" spans="1:8" x14ac:dyDescent="0.2">
      <c r="A223" s="715">
        <f t="shared" si="3"/>
        <v>207</v>
      </c>
      <c r="B223" s="734" t="s">
        <v>2003</v>
      </c>
      <c r="C223" s="594"/>
      <c r="D223" s="594"/>
      <c r="E223" s="594"/>
      <c r="F223" s="728"/>
      <c r="G223" s="728"/>
      <c r="H223" s="728"/>
    </row>
    <row r="224" spans="1:8" x14ac:dyDescent="0.2">
      <c r="A224" s="715">
        <f t="shared" si="3"/>
        <v>208</v>
      </c>
      <c r="B224" s="734" t="s">
        <v>627</v>
      </c>
      <c r="C224" s="662"/>
      <c r="D224" s="662"/>
      <c r="E224" s="662"/>
      <c r="F224" s="732"/>
      <c r="G224" s="732"/>
      <c r="H224" s="732"/>
    </row>
    <row r="225" spans="1:8" s="347" customFormat="1" x14ac:dyDescent="0.2">
      <c r="A225" s="715">
        <f t="shared" si="3"/>
        <v>209</v>
      </c>
      <c r="B225" s="733" t="s">
        <v>2002</v>
      </c>
      <c r="C225" s="662"/>
      <c r="D225" s="662"/>
      <c r="E225" s="662"/>
      <c r="F225" s="732"/>
      <c r="G225" s="732"/>
      <c r="H225" s="732"/>
    </row>
    <row r="226" spans="1:8" s="347" customFormat="1" x14ac:dyDescent="0.2">
      <c r="A226" s="715">
        <f t="shared" si="3"/>
        <v>210</v>
      </c>
      <c r="B226" s="733" t="s">
        <v>2001</v>
      </c>
      <c r="C226" s="662"/>
      <c r="D226" s="662"/>
      <c r="E226" s="662"/>
      <c r="F226" s="732"/>
      <c r="G226" s="732"/>
      <c r="H226" s="732"/>
    </row>
    <row r="227" spans="1:8" s="347" customFormat="1" x14ac:dyDescent="0.2">
      <c r="A227" s="715">
        <f t="shared" si="3"/>
        <v>211</v>
      </c>
      <c r="B227" s="733" t="s">
        <v>299</v>
      </c>
      <c r="C227" s="662"/>
      <c r="D227" s="662"/>
      <c r="E227" s="662"/>
      <c r="F227" s="732"/>
      <c r="G227" s="732"/>
      <c r="H227" s="732"/>
    </row>
    <row r="228" spans="1:8" s="598" customFormat="1" ht="30" x14ac:dyDescent="0.2">
      <c r="A228" s="715">
        <f t="shared" si="3"/>
        <v>212</v>
      </c>
      <c r="B228" s="953" t="s">
        <v>2000</v>
      </c>
      <c r="C228" s="662"/>
      <c r="D228" s="662"/>
      <c r="E228" s="662"/>
      <c r="F228" s="732"/>
      <c r="G228" s="732"/>
      <c r="H228" s="732"/>
    </row>
    <row r="229" spans="1:8" s="598" customFormat="1" ht="30" x14ac:dyDescent="0.25">
      <c r="A229" s="715">
        <f t="shared" si="3"/>
        <v>213</v>
      </c>
      <c r="B229" s="579" t="s">
        <v>1999</v>
      </c>
      <c r="C229" s="662"/>
      <c r="D229" s="662"/>
      <c r="E229" s="662"/>
      <c r="F229" s="732"/>
      <c r="G229" s="732"/>
      <c r="H229" s="732"/>
    </row>
    <row r="230" spans="1:8" s="598" customFormat="1" ht="30" x14ac:dyDescent="0.25">
      <c r="A230" s="715">
        <f t="shared" si="3"/>
        <v>214</v>
      </c>
      <c r="B230" s="579" t="s">
        <v>1998</v>
      </c>
      <c r="C230" s="662"/>
      <c r="D230" s="662"/>
      <c r="E230" s="662"/>
      <c r="F230" s="732"/>
      <c r="G230" s="732"/>
      <c r="H230" s="727"/>
    </row>
    <row r="231" spans="1:8" s="598" customFormat="1" ht="45" x14ac:dyDescent="0.2">
      <c r="A231" s="715">
        <f t="shared" si="3"/>
        <v>215</v>
      </c>
      <c r="B231" s="953" t="s">
        <v>1997</v>
      </c>
      <c r="C231" s="662"/>
      <c r="D231" s="662"/>
      <c r="E231" s="662"/>
      <c r="F231" s="732"/>
      <c r="G231" s="732"/>
      <c r="H231" s="732"/>
    </row>
    <row r="232" spans="1:8" s="598" customFormat="1" ht="30" x14ac:dyDescent="0.25">
      <c r="A232" s="715">
        <f t="shared" si="3"/>
        <v>216</v>
      </c>
      <c r="B232" s="579" t="s">
        <v>1996</v>
      </c>
      <c r="C232" s="662"/>
      <c r="D232" s="662"/>
      <c r="E232" s="662"/>
      <c r="F232" s="732"/>
      <c r="G232" s="732"/>
      <c r="H232" s="732"/>
    </row>
    <row r="233" spans="1:8" s="598" customFormat="1" ht="30" x14ac:dyDescent="0.2">
      <c r="A233" s="715">
        <f t="shared" si="3"/>
        <v>217</v>
      </c>
      <c r="B233" s="610" t="s">
        <v>1995</v>
      </c>
      <c r="C233" s="538"/>
      <c r="D233" s="538"/>
      <c r="E233" s="538"/>
      <c r="F233" s="631"/>
      <c r="G233" s="631"/>
      <c r="H233" s="631"/>
    </row>
    <row r="234" spans="1:8" s="598" customFormat="1" ht="30" x14ac:dyDescent="0.2">
      <c r="A234" s="715">
        <f t="shared" si="3"/>
        <v>218</v>
      </c>
      <c r="B234" s="610" t="s">
        <v>1994</v>
      </c>
      <c r="C234" s="538"/>
      <c r="D234" s="538"/>
      <c r="E234" s="538"/>
      <c r="F234" s="631"/>
      <c r="G234" s="631"/>
      <c r="H234" s="631"/>
    </row>
    <row r="235" spans="1:8" s="598" customFormat="1" ht="60" x14ac:dyDescent="0.2">
      <c r="A235" s="715">
        <f t="shared" si="3"/>
        <v>219</v>
      </c>
      <c r="B235" s="610" t="s">
        <v>1993</v>
      </c>
      <c r="C235" s="538"/>
      <c r="D235" s="538"/>
      <c r="E235" s="538"/>
      <c r="F235" s="631"/>
      <c r="G235" s="631"/>
      <c r="H235" s="631"/>
    </row>
    <row r="236" spans="1:8" s="598" customFormat="1" ht="60" x14ac:dyDescent="0.2">
      <c r="A236" s="715">
        <f t="shared" si="3"/>
        <v>220</v>
      </c>
      <c r="B236" s="610" t="s">
        <v>1992</v>
      </c>
      <c r="C236" s="538"/>
      <c r="D236" s="538"/>
      <c r="E236" s="538"/>
      <c r="F236" s="631"/>
      <c r="G236" s="631"/>
      <c r="H236" s="631"/>
    </row>
    <row r="237" spans="1:8" s="598" customFormat="1" x14ac:dyDescent="0.2">
      <c r="A237" s="715">
        <f t="shared" si="3"/>
        <v>221</v>
      </c>
      <c r="B237" s="610" t="s">
        <v>1991</v>
      </c>
      <c r="C237" s="538"/>
      <c r="D237" s="538"/>
      <c r="E237" s="538"/>
      <c r="F237" s="631"/>
      <c r="G237" s="631"/>
      <c r="H237" s="631"/>
    </row>
    <row r="238" spans="1:8" s="598" customFormat="1" ht="45" x14ac:dyDescent="0.2">
      <c r="A238" s="715">
        <f t="shared" si="3"/>
        <v>222</v>
      </c>
      <c r="B238" s="610" t="s">
        <v>1990</v>
      </c>
      <c r="C238" s="538"/>
      <c r="D238" s="538"/>
      <c r="E238" s="538"/>
      <c r="F238" s="631"/>
      <c r="G238" s="631"/>
      <c r="H238" s="631"/>
    </row>
    <row r="239" spans="1:8" ht="45" x14ac:dyDescent="0.25">
      <c r="A239" s="715">
        <f t="shared" si="3"/>
        <v>223</v>
      </c>
      <c r="B239" s="729" t="s">
        <v>1989</v>
      </c>
      <c r="C239" s="594"/>
      <c r="D239" s="594"/>
      <c r="E239" s="594"/>
      <c r="F239" s="728"/>
      <c r="G239" s="728"/>
      <c r="H239" s="728"/>
    </row>
    <row r="240" spans="1:8" x14ac:dyDescent="0.2">
      <c r="A240" s="715">
        <f t="shared" si="3"/>
        <v>224</v>
      </c>
      <c r="B240" s="436" t="s">
        <v>1988</v>
      </c>
      <c r="C240" s="362"/>
      <c r="D240" s="362"/>
      <c r="E240" s="362"/>
      <c r="F240" s="362"/>
      <c r="G240" s="362"/>
      <c r="H240" s="362"/>
    </row>
    <row r="241" spans="1:8" x14ac:dyDescent="0.2">
      <c r="A241" s="715">
        <f t="shared" si="3"/>
        <v>225</v>
      </c>
      <c r="B241" s="585" t="s">
        <v>1987</v>
      </c>
      <c r="C241" s="534"/>
      <c r="D241" s="534"/>
      <c r="E241" s="534"/>
      <c r="F241" s="659"/>
      <c r="G241" s="659"/>
      <c r="H241" s="727"/>
    </row>
    <row r="242" spans="1:8" s="347" customFormat="1" ht="30" x14ac:dyDescent="0.2">
      <c r="A242" s="715">
        <f t="shared" si="3"/>
        <v>226</v>
      </c>
      <c r="B242" s="631" t="s">
        <v>1986</v>
      </c>
      <c r="C242" s="538"/>
      <c r="D242" s="538"/>
      <c r="E242" s="538"/>
      <c r="F242" s="631"/>
      <c r="G242" s="631"/>
      <c r="H242" s="631"/>
    </row>
    <row r="243" spans="1:8" ht="30" x14ac:dyDescent="0.2">
      <c r="A243" s="715">
        <f t="shared" si="3"/>
        <v>227</v>
      </c>
      <c r="B243" s="645" t="s">
        <v>1985</v>
      </c>
      <c r="C243" s="534"/>
      <c r="D243" s="534"/>
      <c r="E243" s="534"/>
      <c r="F243" s="659"/>
      <c r="G243" s="659"/>
      <c r="H243" s="659"/>
    </row>
    <row r="244" spans="1:8" ht="30" x14ac:dyDescent="0.2">
      <c r="A244" s="715">
        <f t="shared" si="3"/>
        <v>228</v>
      </c>
      <c r="B244" s="645" t="s">
        <v>1984</v>
      </c>
      <c r="C244" s="534"/>
      <c r="D244" s="534"/>
      <c r="E244" s="534"/>
      <c r="F244" s="659"/>
      <c r="G244" s="659"/>
      <c r="H244" s="659"/>
    </row>
    <row r="245" spans="1:8" ht="30" x14ac:dyDescent="0.2">
      <c r="A245" s="715">
        <f t="shared" si="3"/>
        <v>229</v>
      </c>
      <c r="B245" s="645" t="s">
        <v>1983</v>
      </c>
      <c r="C245" s="534"/>
      <c r="D245" s="534"/>
      <c r="E245" s="534"/>
      <c r="F245" s="659"/>
      <c r="G245" s="659"/>
      <c r="H245" s="659"/>
    </row>
    <row r="246" spans="1:8" ht="30" x14ac:dyDescent="0.2">
      <c r="A246" s="715">
        <f t="shared" si="3"/>
        <v>230</v>
      </c>
      <c r="B246" s="645" t="s">
        <v>1982</v>
      </c>
      <c r="C246" s="534"/>
      <c r="D246" s="534"/>
      <c r="E246" s="534"/>
      <c r="F246" s="659"/>
      <c r="G246" s="659"/>
      <c r="H246" s="659"/>
    </row>
    <row r="247" spans="1:8" x14ac:dyDescent="0.25">
      <c r="A247" s="715">
        <f t="shared" si="3"/>
        <v>231</v>
      </c>
      <c r="B247" s="543" t="s">
        <v>1981</v>
      </c>
      <c r="C247" s="542"/>
      <c r="D247" s="542"/>
      <c r="E247" s="542"/>
      <c r="F247" s="542"/>
      <c r="G247" s="542"/>
      <c r="H247" s="542"/>
    </row>
    <row r="248" spans="1:8" ht="30" x14ac:dyDescent="0.25">
      <c r="A248" s="715">
        <f t="shared" si="3"/>
        <v>232</v>
      </c>
      <c r="B248" s="579" t="s">
        <v>1980</v>
      </c>
      <c r="C248" s="726"/>
      <c r="D248" s="726"/>
      <c r="E248" s="726"/>
      <c r="F248" s="725"/>
      <c r="G248" s="725"/>
      <c r="H248" s="579"/>
    </row>
    <row r="249" spans="1:8" ht="30" x14ac:dyDescent="0.25">
      <c r="A249" s="715">
        <f t="shared" si="3"/>
        <v>233</v>
      </c>
      <c r="B249" s="724" t="s">
        <v>1979</v>
      </c>
      <c r="C249" s="534"/>
      <c r="D249" s="534"/>
      <c r="E249" s="534"/>
      <c r="F249" s="534"/>
      <c r="G249" s="534"/>
      <c r="H249" s="534"/>
    </row>
    <row r="250" spans="1:8" ht="30" x14ac:dyDescent="0.2">
      <c r="A250" s="715">
        <f t="shared" si="3"/>
        <v>234</v>
      </c>
      <c r="B250" s="723" t="s">
        <v>1978</v>
      </c>
      <c r="C250" s="538"/>
      <c r="D250" s="538"/>
      <c r="E250" s="538"/>
      <c r="F250" s="538"/>
      <c r="G250" s="538"/>
      <c r="H250" s="538"/>
    </row>
    <row r="251" spans="1:8" ht="30" x14ac:dyDescent="0.2">
      <c r="A251" s="715">
        <f t="shared" si="3"/>
        <v>235</v>
      </c>
      <c r="B251" s="723" t="s">
        <v>1977</v>
      </c>
      <c r="C251" s="538"/>
      <c r="D251" s="538"/>
      <c r="E251" s="538"/>
      <c r="F251" s="538"/>
      <c r="G251" s="538"/>
      <c r="H251" s="538"/>
    </row>
    <row r="252" spans="1:8" s="598" customFormat="1" ht="30" x14ac:dyDescent="0.25">
      <c r="A252" s="715">
        <f t="shared" si="3"/>
        <v>236</v>
      </c>
      <c r="B252" s="1006" t="s">
        <v>1976</v>
      </c>
      <c r="C252" s="864"/>
      <c r="D252" s="857"/>
      <c r="E252" s="857"/>
      <c r="F252" s="857"/>
      <c r="G252" s="857"/>
      <c r="H252" s="538"/>
    </row>
    <row r="253" spans="1:8" ht="30" x14ac:dyDescent="0.2">
      <c r="A253" s="715">
        <f t="shared" si="3"/>
        <v>237</v>
      </c>
      <c r="B253" s="723" t="s">
        <v>1975</v>
      </c>
      <c r="C253" s="538"/>
      <c r="D253" s="538"/>
      <c r="E253" s="538"/>
      <c r="F253" s="538"/>
      <c r="G253" s="538"/>
      <c r="H253" s="538"/>
    </row>
    <row r="254" spans="1:8" ht="30" x14ac:dyDescent="0.2">
      <c r="A254" s="715">
        <f t="shared" si="3"/>
        <v>238</v>
      </c>
      <c r="B254" s="723" t="s">
        <v>1974</v>
      </c>
      <c r="C254" s="538"/>
      <c r="D254" s="538"/>
      <c r="E254" s="538"/>
      <c r="F254" s="538"/>
      <c r="G254" s="538"/>
      <c r="H254" s="538"/>
    </row>
    <row r="255" spans="1:8" s="347" customFormat="1" x14ac:dyDescent="0.25">
      <c r="A255" s="715">
        <f t="shared" si="3"/>
        <v>239</v>
      </c>
      <c r="B255" s="543" t="s">
        <v>1973</v>
      </c>
      <c r="C255" s="542"/>
      <c r="D255" s="542"/>
      <c r="E255" s="542"/>
      <c r="F255" s="542"/>
      <c r="G255" s="542"/>
      <c r="H255" s="542"/>
    </row>
    <row r="256" spans="1:8" s="347" customFormat="1" x14ac:dyDescent="0.2">
      <c r="A256" s="715">
        <f t="shared" si="3"/>
        <v>240</v>
      </c>
      <c r="B256" s="631" t="s">
        <v>1959</v>
      </c>
      <c r="C256" s="722"/>
      <c r="D256" s="722"/>
      <c r="E256" s="722"/>
      <c r="F256" s="721"/>
      <c r="G256" s="721"/>
      <c r="H256" s="721"/>
    </row>
    <row r="257" spans="1:8" s="347" customFormat="1" x14ac:dyDescent="0.2">
      <c r="A257" s="715">
        <f t="shared" si="3"/>
        <v>241</v>
      </c>
      <c r="B257" s="631" t="s">
        <v>1958</v>
      </c>
      <c r="C257" s="722"/>
      <c r="D257" s="722"/>
      <c r="E257" s="722"/>
      <c r="F257" s="721"/>
      <c r="G257" s="721"/>
      <c r="H257" s="721"/>
    </row>
    <row r="258" spans="1:8" s="347" customFormat="1" ht="45" x14ac:dyDescent="0.2">
      <c r="A258" s="715">
        <f t="shared" si="3"/>
        <v>242</v>
      </c>
      <c r="B258" s="539" t="s">
        <v>1957</v>
      </c>
      <c r="C258" s="722"/>
      <c r="D258" s="722"/>
      <c r="E258" s="722"/>
      <c r="F258" s="721"/>
      <c r="G258" s="721"/>
      <c r="H258" s="721"/>
    </row>
    <row r="259" spans="1:8" s="347" customFormat="1" ht="30" x14ac:dyDescent="0.2">
      <c r="A259" s="715">
        <f t="shared" si="3"/>
        <v>243</v>
      </c>
      <c r="B259" s="539" t="s">
        <v>1956</v>
      </c>
      <c r="C259" s="722"/>
      <c r="D259" s="722"/>
      <c r="E259" s="722"/>
      <c r="F259" s="721"/>
      <c r="G259" s="721"/>
      <c r="H259" s="721"/>
    </row>
    <row r="260" spans="1:8" s="598" customFormat="1" ht="30" x14ac:dyDescent="0.2">
      <c r="A260" s="715">
        <f t="shared" si="3"/>
        <v>244</v>
      </c>
      <c r="B260" s="539" t="s">
        <v>1954</v>
      </c>
      <c r="C260" s="722"/>
      <c r="D260" s="722"/>
      <c r="E260" s="722"/>
      <c r="F260" s="721"/>
      <c r="G260" s="721"/>
      <c r="H260" s="721"/>
    </row>
    <row r="261" spans="1:8" s="598" customFormat="1" ht="45" x14ac:dyDescent="0.2">
      <c r="A261" s="715">
        <f t="shared" si="3"/>
        <v>245</v>
      </c>
      <c r="B261" s="539" t="s">
        <v>1953</v>
      </c>
      <c r="C261" s="722"/>
      <c r="D261" s="722"/>
      <c r="E261" s="722"/>
      <c r="F261" s="721"/>
      <c r="G261" s="721"/>
      <c r="H261" s="721"/>
    </row>
    <row r="262" spans="1:8" s="598" customFormat="1" ht="30" x14ac:dyDescent="0.2">
      <c r="A262" s="715">
        <f t="shared" si="3"/>
        <v>246</v>
      </c>
      <c r="B262" s="610" t="s">
        <v>1972</v>
      </c>
      <c r="C262" s="722"/>
      <c r="D262" s="722"/>
      <c r="E262" s="722"/>
      <c r="F262" s="721"/>
      <c r="G262" s="721"/>
      <c r="H262" s="721"/>
    </row>
    <row r="263" spans="1:8" s="415" customFormat="1" ht="30" x14ac:dyDescent="0.25">
      <c r="A263" s="715">
        <f t="shared" si="3"/>
        <v>247</v>
      </c>
      <c r="B263" s="636" t="s">
        <v>1971</v>
      </c>
      <c r="C263" s="635"/>
      <c r="D263" s="634"/>
      <c r="E263" s="634"/>
      <c r="F263" s="634"/>
      <c r="G263" s="634"/>
      <c r="H263" s="635"/>
    </row>
    <row r="264" spans="1:8" s="415" customFormat="1" x14ac:dyDescent="0.25">
      <c r="A264" s="715">
        <f t="shared" si="3"/>
        <v>248</v>
      </c>
      <c r="B264" s="636" t="s">
        <v>1970</v>
      </c>
      <c r="C264" s="635"/>
      <c r="D264" s="634"/>
      <c r="E264" s="634"/>
      <c r="F264" s="634"/>
      <c r="G264" s="634"/>
      <c r="H264" s="635"/>
    </row>
    <row r="265" spans="1:8" s="347" customFormat="1" x14ac:dyDescent="0.25">
      <c r="A265" s="715">
        <f t="shared" si="3"/>
        <v>249</v>
      </c>
      <c r="B265" s="543" t="s">
        <v>719</v>
      </c>
      <c r="C265" s="542"/>
      <c r="D265" s="542"/>
      <c r="E265" s="542"/>
      <c r="F265" s="542"/>
      <c r="G265" s="542"/>
      <c r="H265" s="542"/>
    </row>
    <row r="266" spans="1:8" s="347" customFormat="1" ht="30" x14ac:dyDescent="0.25">
      <c r="A266" s="715">
        <f t="shared" si="3"/>
        <v>250</v>
      </c>
      <c r="B266" s="720" t="s">
        <v>1969</v>
      </c>
      <c r="C266" s="719"/>
      <c r="D266" s="719"/>
      <c r="E266" s="719"/>
      <c r="F266" s="719"/>
      <c r="G266" s="719"/>
      <c r="H266" s="719"/>
    </row>
    <row r="267" spans="1:8" s="347" customFormat="1" x14ac:dyDescent="0.25">
      <c r="A267" s="715">
        <f t="shared" si="3"/>
        <v>251</v>
      </c>
      <c r="B267" s="718" t="s">
        <v>1968</v>
      </c>
      <c r="C267" s="717"/>
      <c r="D267" s="716"/>
      <c r="E267" s="716"/>
      <c r="F267" s="716"/>
      <c r="G267" s="716"/>
      <c r="H267" s="651"/>
    </row>
    <row r="268" spans="1:8" s="347" customFormat="1" x14ac:dyDescent="0.25">
      <c r="A268" s="715">
        <f t="shared" si="3"/>
        <v>252</v>
      </c>
      <c r="B268" s="611" t="s">
        <v>1967</v>
      </c>
      <c r="C268" s="652"/>
      <c r="D268" s="652"/>
      <c r="E268" s="652"/>
      <c r="F268" s="651"/>
      <c r="G268" s="651"/>
      <c r="H268" s="651"/>
    </row>
    <row r="269" spans="1:8" s="347" customFormat="1" ht="30" x14ac:dyDescent="0.25">
      <c r="A269" s="715">
        <f t="shared" si="3"/>
        <v>253</v>
      </c>
      <c r="B269" s="611" t="s">
        <v>1966</v>
      </c>
      <c r="C269" s="652"/>
      <c r="D269" s="652"/>
      <c r="E269" s="652"/>
      <c r="F269" s="651"/>
      <c r="G269" s="651"/>
      <c r="H269" s="651"/>
    </row>
    <row r="270" spans="1:8" s="347" customFormat="1" ht="30" x14ac:dyDescent="0.25">
      <c r="A270" s="715">
        <f t="shared" si="3"/>
        <v>254</v>
      </c>
      <c r="B270" s="611" t="s">
        <v>1965</v>
      </c>
      <c r="C270" s="652"/>
      <c r="D270" s="652"/>
      <c r="E270" s="652"/>
      <c r="F270" s="651"/>
      <c r="G270" s="651"/>
      <c r="H270" s="651"/>
    </row>
    <row r="271" spans="1:8" s="347" customFormat="1" ht="30" x14ac:dyDescent="0.25">
      <c r="A271" s="715">
        <f t="shared" si="3"/>
        <v>255</v>
      </c>
      <c r="B271" s="611" t="s">
        <v>1964</v>
      </c>
      <c r="C271" s="652"/>
      <c r="D271" s="652"/>
      <c r="E271" s="652"/>
      <c r="F271" s="651"/>
      <c r="G271" s="651"/>
      <c r="H271" s="651"/>
    </row>
    <row r="272" spans="1:8" s="598" customFormat="1" x14ac:dyDescent="0.25">
      <c r="A272" s="715">
        <f t="shared" si="3"/>
        <v>256</v>
      </c>
      <c r="B272" s="718" t="s">
        <v>1963</v>
      </c>
      <c r="C272" s="652"/>
      <c r="D272" s="652"/>
      <c r="E272" s="652"/>
      <c r="F272" s="651"/>
      <c r="G272" s="651"/>
      <c r="H272" s="651"/>
    </row>
    <row r="273" spans="1:24" s="598" customFormat="1" x14ac:dyDescent="0.25">
      <c r="A273" s="715">
        <f t="shared" si="3"/>
        <v>257</v>
      </c>
      <c r="B273" s="718" t="s">
        <v>1962</v>
      </c>
      <c r="C273" s="652"/>
      <c r="D273" s="652"/>
      <c r="E273" s="652"/>
      <c r="F273" s="651"/>
      <c r="G273" s="651"/>
      <c r="H273" s="651"/>
    </row>
    <row r="274" spans="1:24" s="598" customFormat="1" x14ac:dyDescent="0.25">
      <c r="A274" s="715">
        <f t="shared" si="3"/>
        <v>258</v>
      </c>
      <c r="B274" s="718" t="s">
        <v>1961</v>
      </c>
      <c r="C274" s="652"/>
      <c r="D274" s="652"/>
      <c r="E274" s="652"/>
      <c r="F274" s="651"/>
      <c r="G274" s="651"/>
      <c r="H274" s="651"/>
    </row>
    <row r="275" spans="1:24" x14ac:dyDescent="0.25">
      <c r="A275" s="715">
        <f t="shared" ref="A275:A285" si="4">A274+1</f>
        <v>259</v>
      </c>
      <c r="B275" s="543" t="s">
        <v>1960</v>
      </c>
      <c r="C275" s="542"/>
      <c r="D275" s="542"/>
      <c r="E275" s="542"/>
      <c r="F275" s="542"/>
      <c r="G275" s="542"/>
      <c r="H275" s="542"/>
      <c r="I275" s="347"/>
      <c r="J275" s="347"/>
      <c r="K275" s="347"/>
      <c r="L275" s="347"/>
      <c r="M275" s="347"/>
      <c r="N275" s="347"/>
      <c r="O275" s="347"/>
      <c r="P275" s="347"/>
      <c r="Q275" s="347"/>
      <c r="R275" s="347"/>
      <c r="S275" s="347"/>
      <c r="T275" s="347"/>
      <c r="U275" s="347"/>
      <c r="V275" s="347"/>
      <c r="W275" s="347"/>
      <c r="X275" s="347"/>
    </row>
    <row r="276" spans="1:24" s="598" customFormat="1" x14ac:dyDescent="0.2">
      <c r="A276" s="715">
        <f t="shared" si="4"/>
        <v>260</v>
      </c>
      <c r="B276" s="631" t="s">
        <v>1959</v>
      </c>
      <c r="C276" s="722"/>
      <c r="D276" s="722"/>
      <c r="E276" s="722"/>
      <c r="F276" s="721"/>
      <c r="G276" s="721"/>
      <c r="H276" s="721"/>
    </row>
    <row r="277" spans="1:24" s="598" customFormat="1" x14ac:dyDescent="0.2">
      <c r="A277" s="715">
        <f t="shared" si="4"/>
        <v>261</v>
      </c>
      <c r="B277" s="631" t="s">
        <v>1958</v>
      </c>
      <c r="C277" s="722"/>
      <c r="D277" s="722"/>
      <c r="E277" s="722"/>
      <c r="F277" s="721"/>
      <c r="G277" s="721"/>
      <c r="H277" s="721"/>
    </row>
    <row r="278" spans="1:24" s="598" customFormat="1" ht="45" x14ac:dyDescent="0.2">
      <c r="A278" s="715">
        <f t="shared" si="4"/>
        <v>262</v>
      </c>
      <c r="B278" s="539" t="s">
        <v>1957</v>
      </c>
      <c r="C278" s="722"/>
      <c r="D278" s="722"/>
      <c r="E278" s="722"/>
      <c r="F278" s="721"/>
      <c r="G278" s="721"/>
      <c r="H278" s="721"/>
    </row>
    <row r="279" spans="1:24" s="598" customFormat="1" ht="30" x14ac:dyDescent="0.2">
      <c r="A279" s="715">
        <f t="shared" si="4"/>
        <v>263</v>
      </c>
      <c r="B279" s="539" t="s">
        <v>1956</v>
      </c>
      <c r="C279" s="722"/>
      <c r="D279" s="722"/>
      <c r="E279" s="722"/>
      <c r="F279" s="721"/>
      <c r="G279" s="721"/>
      <c r="H279" s="721"/>
    </row>
    <row r="280" spans="1:24" s="598" customFormat="1" ht="30" x14ac:dyDescent="0.2">
      <c r="A280" s="715">
        <f t="shared" si="4"/>
        <v>264</v>
      </c>
      <c r="B280" s="539" t="s">
        <v>1955</v>
      </c>
      <c r="C280" s="722"/>
      <c r="D280" s="722"/>
      <c r="E280" s="722"/>
      <c r="F280" s="721"/>
      <c r="G280" s="721"/>
      <c r="H280" s="721"/>
    </row>
    <row r="281" spans="1:24" s="598" customFormat="1" ht="30" x14ac:dyDescent="0.2">
      <c r="A281" s="715">
        <f t="shared" si="4"/>
        <v>265</v>
      </c>
      <c r="B281" s="539" t="s">
        <v>1954</v>
      </c>
      <c r="C281" s="722"/>
      <c r="D281" s="722"/>
      <c r="E281" s="722"/>
      <c r="F281" s="721"/>
      <c r="G281" s="721"/>
      <c r="H281" s="721"/>
    </row>
    <row r="282" spans="1:24" s="598" customFormat="1" ht="45" x14ac:dyDescent="0.2">
      <c r="A282" s="715">
        <f t="shared" si="4"/>
        <v>266</v>
      </c>
      <c r="B282" s="539" t="s">
        <v>1953</v>
      </c>
      <c r="C282" s="722"/>
      <c r="D282" s="722"/>
      <c r="E282" s="722"/>
      <c r="F282" s="721"/>
      <c r="G282" s="721"/>
      <c r="H282" s="721"/>
    </row>
    <row r="283" spans="1:24" s="598" customFormat="1" ht="45" x14ac:dyDescent="0.25">
      <c r="A283" s="715">
        <f t="shared" si="4"/>
        <v>267</v>
      </c>
      <c r="B283" s="636" t="s">
        <v>1952</v>
      </c>
      <c r="C283" s="722"/>
      <c r="D283" s="722"/>
      <c r="E283" s="722"/>
      <c r="F283" s="721"/>
      <c r="G283" s="721"/>
      <c r="H283" s="635"/>
    </row>
    <row r="284" spans="1:24" s="598" customFormat="1" ht="30" x14ac:dyDescent="0.25">
      <c r="A284" s="715">
        <f t="shared" si="4"/>
        <v>268</v>
      </c>
      <c r="B284" s="636" t="s">
        <v>1951</v>
      </c>
      <c r="C284" s="722"/>
      <c r="D284" s="722"/>
      <c r="E284" s="722"/>
      <c r="F284" s="721"/>
      <c r="G284" s="721"/>
      <c r="H284" s="635"/>
    </row>
    <row r="285" spans="1:24" s="598" customFormat="1" ht="30" x14ac:dyDescent="0.25">
      <c r="A285" s="715">
        <f t="shared" si="4"/>
        <v>269</v>
      </c>
      <c r="B285" s="1018" t="s">
        <v>3405</v>
      </c>
      <c r="C285" s="722"/>
      <c r="D285" s="722"/>
      <c r="E285" s="722"/>
      <c r="F285" s="721"/>
      <c r="G285" s="721"/>
      <c r="H285" s="635"/>
    </row>
  </sheetData>
  <customSheetViews>
    <customSheetView guid="{D97329D5-B649-4B2F-86D7-C6BEAE913806}" scale="70" showGridLines="0" topLeftCell="A262">
      <selection activeCell="B197" sqref="B197"/>
      <pageMargins left="0.7" right="0.7" top="0.75" bottom="0.75" header="0.3" footer="0.3"/>
      <printOptions horizontalCentered="1"/>
      <pageSetup scale="96" orientation="landscape" r:id="rId1"/>
      <headerFooter>
        <oddFooter>&amp;LSpokane County RFP# XXX&amp;RPage &amp;P of &amp;N</oddFooter>
      </headerFooter>
    </customSheetView>
    <customSheetView guid="{9208F210-2ED8-4398-A0D6-491045D9FDEB}" scale="70" showPageBreaks="1" showGridLines="0" printArea="1">
      <selection activeCell="B283" sqref="B283"/>
      <pageMargins left="0.7" right="0.7" top="0.75" bottom="0.75" header="0.3" footer="0.3"/>
      <printOptions horizontalCentered="1"/>
      <pageSetup scale="96" orientation="landscape" r:id="rId2"/>
      <headerFooter>
        <oddFooter>&amp;LSpokane County RFP# XXX&amp;RPage &amp;P of &amp;N</oddFooter>
      </headerFooter>
    </customSheetView>
    <customSheetView guid="{A68BF0CC-C2ED-4B16-81B1-1B708EA22356}" scale="70" showPageBreaks="1" showGridLines="0" printArea="1">
      <selection activeCell="B283" sqref="B283"/>
      <pageMargins left="0.7" right="0.7" top="0.75" bottom="0.75" header="0.3" footer="0.3"/>
      <printOptions horizontalCentered="1"/>
      <pageSetup scale="96" orientation="landscape" r:id="rId3"/>
      <headerFooter>
        <oddFooter>&amp;LSpokane County RFP# XXX&amp;RPage &amp;P of &amp;N</oddFooter>
      </headerFooter>
    </customSheetView>
    <customSheetView guid="{FF37031A-F1B7-4AA7-A7E7-E41A94ECF4B1}" scale="70" showGridLines="0" topLeftCell="A262">
      <selection activeCell="B197" sqref="B197"/>
      <pageMargins left="0.7" right="0.7" top="0.75" bottom="0.75" header="0.3" footer="0.3"/>
      <printOptions horizontalCentered="1"/>
      <pageSetup scale="96" orientation="landscape" r:id="rId4"/>
      <headerFooter>
        <oddFooter>&amp;LSpokane County RFP# XXX&amp;RPage &amp;P of &amp;N</oddFooter>
      </headerFooter>
    </customSheetView>
    <customSheetView guid="{C0DA29AC-16E2-4A15-8C4F-F71595E8BC75}" scale="70" showGridLines="0" topLeftCell="A262">
      <selection activeCell="B197" sqref="B197"/>
      <pageMargins left="0.7" right="0.7" top="0.75" bottom="0.75" header="0.3" footer="0.3"/>
      <printOptions horizontalCentered="1"/>
      <pageSetup scale="96" orientation="landscape" r:id="rId5"/>
      <headerFooter>
        <oddFooter>&amp;LSpokane County RFP# XXX&amp;RPage &amp;P of &amp;N</oddFooter>
      </headerFooter>
    </customSheetView>
  </customSheetViews>
  <mergeCells count="3">
    <mergeCell ref="A4:H4"/>
    <mergeCell ref="A1:H1"/>
    <mergeCell ref="A2:H2"/>
  </mergeCells>
  <hyperlinks>
    <hyperlink ref="B6" location="'Field Reporting'!B17" display="'Field Reporting'!B17"/>
    <hyperlink ref="B7" location="'Field Reporting'!B31" display="'Field Reporting'!B31"/>
    <hyperlink ref="B8" location="'Field Reporting'!B48" display="'Field Reporting'!B48"/>
    <hyperlink ref="B9" location="'Field Reporting'!B189" display="'Field Reporting'!B189"/>
    <hyperlink ref="B10" location="'Field Reporting'!B247" display="'Field Reporting'!B247"/>
    <hyperlink ref="B11" location="'Field Reporting'!B255" display="'Field Reporting'!B255"/>
    <hyperlink ref="B12" location="'Field Reporting'!B265" display="'Field Reporting'!B265"/>
    <hyperlink ref="B13" location="'Field Reporting'!B275" display="'Field Reporting'!B275"/>
  </hyperlinks>
  <printOptions horizontalCentered="1"/>
  <pageMargins left="0.7" right="0.7" top="0.75" bottom="0.75" header="0.3" footer="0.3"/>
  <pageSetup scale="63" orientation="landscape" r:id="rId6"/>
  <headerFooter>
    <oddFooter>&amp;LATTACHMENT  F  -  Spokane County RFP No. P8705&amp;RPage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10"/>
  <sheetViews>
    <sheetView view="pageLayout" topLeftCell="A42" zoomScaleNormal="110" workbookViewId="0">
      <selection activeCell="B5" sqref="B5"/>
    </sheetView>
  </sheetViews>
  <sheetFormatPr defaultRowHeight="14.25" x14ac:dyDescent="0.2"/>
  <cols>
    <col min="1" max="1" width="9.140625" style="1120"/>
    <col min="2" max="2" width="55.7109375" style="1120" customWidth="1"/>
    <col min="3" max="3" width="11.140625" style="1120" bestFit="1" customWidth="1"/>
    <col min="4" max="4" width="14.85546875" style="1120" bestFit="1" customWidth="1"/>
    <col min="5" max="5" width="25.5703125" style="1120" bestFit="1" customWidth="1"/>
    <col min="6" max="6" width="16.28515625" style="1120" bestFit="1" customWidth="1"/>
    <col min="7" max="7" width="21.42578125" style="1120" bestFit="1" customWidth="1"/>
    <col min="8" max="8" width="44.85546875" style="1120" bestFit="1" customWidth="1"/>
    <col min="9" max="16384" width="9.140625" style="1120"/>
  </cols>
  <sheetData>
    <row r="1" spans="1:8" s="1168" customFormat="1" ht="15" x14ac:dyDescent="0.25">
      <c r="A1" s="1227" t="s">
        <v>3605</v>
      </c>
      <c r="B1" s="1227"/>
      <c r="C1" s="1227"/>
      <c r="D1" s="1227"/>
      <c r="E1" s="1227"/>
      <c r="F1" s="1227"/>
      <c r="G1" s="1227"/>
      <c r="H1" s="1227"/>
    </row>
    <row r="2" spans="1:8" s="1168" customFormat="1" ht="15" x14ac:dyDescent="0.25">
      <c r="A2" s="1227" t="s">
        <v>258</v>
      </c>
      <c r="B2" s="1227"/>
      <c r="C2" s="1227"/>
      <c r="D2" s="1227"/>
      <c r="E2" s="1227"/>
      <c r="F2" s="1227"/>
      <c r="G2" s="1227"/>
      <c r="H2" s="1227"/>
    </row>
    <row r="3" spans="1:8" s="1168" customFormat="1" ht="15" x14ac:dyDescent="0.25">
      <c r="A3" s="1227"/>
      <c r="B3" s="1227"/>
      <c r="C3" s="1227"/>
      <c r="D3" s="1227"/>
      <c r="E3" s="1227"/>
      <c r="F3" s="1227"/>
      <c r="G3" s="1227"/>
      <c r="H3" s="1227"/>
    </row>
    <row r="4" spans="1:8" s="1168" customFormat="1" ht="15" x14ac:dyDescent="0.25">
      <c r="A4" s="1227" t="s">
        <v>3519</v>
      </c>
      <c r="B4" s="1227"/>
      <c r="C4" s="1227"/>
      <c r="D4" s="1227"/>
      <c r="E4" s="1227"/>
      <c r="F4" s="1227"/>
      <c r="G4" s="1227"/>
      <c r="H4" s="1227"/>
    </row>
    <row r="5" spans="1:8" s="1168" customFormat="1" ht="15" x14ac:dyDescent="0.25">
      <c r="A5" s="1169"/>
      <c r="B5" s="1170" t="s">
        <v>3511</v>
      </c>
      <c r="C5" s="1228" t="s">
        <v>1383</v>
      </c>
      <c r="D5" s="1229"/>
      <c r="E5" s="1229"/>
      <c r="F5" s="1229"/>
      <c r="G5" s="1229"/>
      <c r="H5" s="1229"/>
    </row>
    <row r="6" spans="1:8" s="1173" customFormat="1" ht="15" x14ac:dyDescent="0.25">
      <c r="A6" s="1171"/>
      <c r="B6" s="1172" t="str">
        <f>B33</f>
        <v>Cassidian E9-1-1</v>
      </c>
      <c r="C6" s="1230" t="s">
        <v>3568</v>
      </c>
      <c r="D6" s="1231"/>
      <c r="E6" s="1231"/>
      <c r="F6" s="1231"/>
      <c r="G6" s="1231"/>
      <c r="H6" s="1231"/>
    </row>
    <row r="7" spans="1:8" s="1173" customFormat="1" ht="15" x14ac:dyDescent="0.25">
      <c r="A7" s="1171"/>
      <c r="B7" s="1172" t="str">
        <f>B47</f>
        <v>WACIC/NCIC</v>
      </c>
      <c r="C7" s="1230" t="s">
        <v>3569</v>
      </c>
      <c r="D7" s="1231"/>
      <c r="E7" s="1231"/>
      <c r="F7" s="1231"/>
      <c r="G7" s="1231"/>
      <c r="H7" s="1231"/>
    </row>
    <row r="8" spans="1:8" s="1173" customFormat="1" ht="15" x14ac:dyDescent="0.25">
      <c r="A8" s="1171"/>
      <c r="B8" s="1172" t="str">
        <f>B75</f>
        <v>Omega CrimeView and\or FireView</v>
      </c>
      <c r="C8" s="1230" t="s">
        <v>3570</v>
      </c>
      <c r="D8" s="1231"/>
      <c r="E8" s="1231"/>
      <c r="F8" s="1231"/>
      <c r="G8" s="1231"/>
      <c r="H8" s="1231"/>
    </row>
    <row r="9" spans="1:8" s="1173" customFormat="1" ht="15" x14ac:dyDescent="0.25">
      <c r="A9" s="1171"/>
      <c r="B9" s="1172" t="str">
        <f>B80</f>
        <v>QLIKView</v>
      </c>
      <c r="C9" s="1230" t="s">
        <v>3602</v>
      </c>
      <c r="D9" s="1231"/>
      <c r="E9" s="1231"/>
      <c r="F9" s="1231"/>
      <c r="G9" s="1231"/>
      <c r="H9" s="1231"/>
    </row>
    <row r="10" spans="1:8" s="1173" customFormat="1" ht="15" x14ac:dyDescent="0.25">
      <c r="A10" s="1171"/>
      <c r="B10" s="1172" t="str">
        <f>B85</f>
        <v>SPRS</v>
      </c>
      <c r="C10" s="1230" t="s">
        <v>3571</v>
      </c>
      <c r="D10" s="1231"/>
      <c r="E10" s="1231"/>
      <c r="F10" s="1231"/>
      <c r="G10" s="1231"/>
      <c r="H10" s="1231"/>
    </row>
    <row r="11" spans="1:8" s="1173" customFormat="1" ht="15" x14ac:dyDescent="0.25">
      <c r="A11" s="1171"/>
      <c r="B11" s="1172" t="str">
        <f>B169</f>
        <v>Locution Fire Station Alerting</v>
      </c>
      <c r="C11" s="1230" t="s">
        <v>3572</v>
      </c>
      <c r="D11" s="1231"/>
      <c r="E11" s="1231"/>
      <c r="F11" s="1231"/>
      <c r="G11" s="1231"/>
      <c r="H11" s="1231"/>
    </row>
    <row r="12" spans="1:8" s="1173" customFormat="1" ht="15" x14ac:dyDescent="0.25">
      <c r="A12" s="1171"/>
      <c r="B12" s="1172" t="str">
        <f>B173</f>
        <v>Medical Priority Paramount</v>
      </c>
      <c r="C12" s="1230" t="s">
        <v>3573</v>
      </c>
      <c r="D12" s="1231"/>
      <c r="E12" s="1231"/>
      <c r="F12" s="1231"/>
      <c r="G12" s="1231"/>
      <c r="H12" s="1231"/>
    </row>
    <row r="13" spans="1:8" s="1173" customFormat="1" ht="15" x14ac:dyDescent="0.25">
      <c r="A13" s="1171"/>
      <c r="B13" s="1172" t="str">
        <f>B178</f>
        <v>AMR CAD-to-CAD</v>
      </c>
      <c r="C13" s="1230" t="s">
        <v>3575</v>
      </c>
      <c r="D13" s="1231"/>
      <c r="E13" s="1231"/>
      <c r="F13" s="1231"/>
      <c r="G13" s="1231"/>
      <c r="H13" s="1231"/>
    </row>
    <row r="14" spans="1:8" s="1173" customFormat="1" ht="15" x14ac:dyDescent="0.25">
      <c r="A14" s="1171"/>
      <c r="B14" s="1172" t="str">
        <f>B197</f>
        <v>Paging</v>
      </c>
      <c r="C14" s="1230" t="s">
        <v>3576</v>
      </c>
      <c r="D14" s="1231"/>
      <c r="E14" s="1231"/>
      <c r="F14" s="1231"/>
      <c r="G14" s="1231"/>
      <c r="H14" s="1231"/>
    </row>
    <row r="15" spans="1:8" s="1173" customFormat="1" ht="15" x14ac:dyDescent="0.25">
      <c r="A15" s="1171"/>
      <c r="B15" s="1172" t="str">
        <f>B188</f>
        <v xml:space="preserve">Telestaff </v>
      </c>
      <c r="C15" s="1230" t="s">
        <v>3577</v>
      </c>
      <c r="D15" s="1231"/>
      <c r="E15" s="1231"/>
      <c r="F15" s="1231"/>
      <c r="G15" s="1231"/>
      <c r="H15" s="1231"/>
    </row>
    <row r="16" spans="1:8" s="1173" customFormat="1" ht="15" x14ac:dyDescent="0.25">
      <c r="A16" s="1171"/>
      <c r="B16" s="1174" t="str">
        <f>B193</f>
        <v>Fire RMS</v>
      </c>
      <c r="C16" s="1230" t="s">
        <v>3578</v>
      </c>
      <c r="D16" s="1231"/>
      <c r="E16" s="1231"/>
      <c r="F16" s="1231"/>
      <c r="G16" s="1231"/>
      <c r="H16" s="1231"/>
    </row>
    <row r="17" spans="1:8" s="1173" customFormat="1" ht="15" x14ac:dyDescent="0.25">
      <c r="A17" s="1171"/>
      <c r="B17" s="1172" t="str">
        <f>B92</f>
        <v>COPLINK</v>
      </c>
      <c r="C17" s="1230" t="s">
        <v>3579</v>
      </c>
      <c r="D17" s="1231"/>
      <c r="E17" s="1231"/>
      <c r="F17" s="1231"/>
      <c r="G17" s="1231"/>
      <c r="H17" s="1231"/>
    </row>
    <row r="18" spans="1:8" s="1173" customFormat="1" ht="15" x14ac:dyDescent="0.25">
      <c r="A18" s="1171"/>
      <c r="B18" s="1172" t="str">
        <f>B96</f>
        <v>LInX</v>
      </c>
      <c r="C18" s="1230" t="s">
        <v>3579</v>
      </c>
      <c r="D18" s="1231"/>
      <c r="E18" s="1231"/>
      <c r="F18" s="1231"/>
      <c r="G18" s="1231"/>
      <c r="H18" s="1231"/>
    </row>
    <row r="19" spans="1:8" s="1173" customFormat="1" ht="15" x14ac:dyDescent="0.25">
      <c r="A19" s="1171"/>
      <c r="B19" s="1172" t="str">
        <f>B100</f>
        <v>OnBase</v>
      </c>
      <c r="C19" s="1230" t="s">
        <v>3580</v>
      </c>
      <c r="D19" s="1231"/>
      <c r="E19" s="1231"/>
      <c r="F19" s="1231"/>
      <c r="G19" s="1231"/>
      <c r="H19" s="1231"/>
    </row>
    <row r="20" spans="1:8" s="1173" customFormat="1" ht="15" x14ac:dyDescent="0.25">
      <c r="A20" s="1171"/>
      <c r="B20" s="1172" t="str">
        <f>B102</f>
        <v>GTL - Offender Management System</v>
      </c>
      <c r="C20" s="1230" t="s">
        <v>3581</v>
      </c>
      <c r="D20" s="1231"/>
      <c r="E20" s="1231"/>
      <c r="F20" s="1231"/>
      <c r="G20" s="1231"/>
      <c r="H20" s="1231"/>
    </row>
    <row r="21" spans="1:8" s="1173" customFormat="1" ht="15" x14ac:dyDescent="0.25">
      <c r="A21" s="1171"/>
      <c r="B21" s="1172" t="str">
        <f>B113</f>
        <v>SECTOR</v>
      </c>
      <c r="C21" s="1230" t="s">
        <v>3582</v>
      </c>
      <c r="D21" s="1231"/>
      <c r="E21" s="1231"/>
      <c r="F21" s="1231"/>
      <c r="G21" s="1231"/>
      <c r="H21" s="1231"/>
    </row>
    <row r="22" spans="1:8" s="1173" customFormat="1" ht="15" x14ac:dyDescent="0.25">
      <c r="A22" s="1171"/>
      <c r="B22" s="1172" t="str">
        <f>B118</f>
        <v>GangNet</v>
      </c>
      <c r="C22" s="1230" t="s">
        <v>3583</v>
      </c>
      <c r="D22" s="1231"/>
      <c r="E22" s="1231"/>
      <c r="F22" s="1231"/>
      <c r="G22" s="1231"/>
      <c r="H22" s="1231"/>
    </row>
    <row r="23" spans="1:8" s="1173" customFormat="1" ht="15" x14ac:dyDescent="0.25">
      <c r="A23" s="1171"/>
      <c r="B23" s="1172" t="str">
        <f>B123</f>
        <v>The BEAST</v>
      </c>
      <c r="C23" s="1230" t="s">
        <v>3584</v>
      </c>
      <c r="D23" s="1231"/>
      <c r="E23" s="1231"/>
      <c r="F23" s="1231"/>
      <c r="G23" s="1231"/>
      <c r="H23" s="1231"/>
    </row>
    <row r="24" spans="1:8" s="1173" customFormat="1" ht="15" x14ac:dyDescent="0.25">
      <c r="A24" s="1171"/>
      <c r="B24" s="1172" t="str">
        <f>B128</f>
        <v>State Offender Watch Database</v>
      </c>
      <c r="C24" s="1230" t="s">
        <v>3585</v>
      </c>
      <c r="D24" s="1231"/>
      <c r="E24" s="1231"/>
      <c r="F24" s="1231"/>
      <c r="G24" s="1231"/>
      <c r="H24" s="1231"/>
    </row>
    <row r="25" spans="1:8" s="1173" customFormat="1" ht="15" x14ac:dyDescent="0.25">
      <c r="A25" s="1171"/>
      <c r="B25" s="1172" t="str">
        <f>B132</f>
        <v>County Warrant System</v>
      </c>
      <c r="C25" s="1230" t="s">
        <v>3586</v>
      </c>
      <c r="D25" s="1231"/>
      <c r="E25" s="1231"/>
      <c r="F25" s="1231"/>
      <c r="G25" s="1231"/>
      <c r="H25" s="1231"/>
    </row>
    <row r="26" spans="1:8" s="1175" customFormat="1" ht="15" x14ac:dyDescent="0.25">
      <c r="A26" s="1171"/>
      <c r="B26" s="1174" t="str">
        <f>B136</f>
        <v>DATA EXCHANGE</v>
      </c>
      <c r="C26" s="1230" t="s">
        <v>3591</v>
      </c>
      <c r="D26" s="1231"/>
      <c r="E26" s="1231"/>
      <c r="F26" s="1231"/>
      <c r="G26" s="1231"/>
      <c r="H26" s="1231"/>
    </row>
    <row r="27" spans="1:8" s="1175" customFormat="1" ht="15" x14ac:dyDescent="0.25">
      <c r="A27" s="1171"/>
      <c r="B27" s="1174" t="str">
        <f>B139</f>
        <v xml:space="preserve">PAWN </v>
      </c>
      <c r="C27" s="1230" t="s">
        <v>3587</v>
      </c>
      <c r="D27" s="1231"/>
      <c r="E27" s="1231"/>
      <c r="F27" s="1231"/>
      <c r="G27" s="1231"/>
      <c r="H27" s="1231"/>
    </row>
    <row r="28" spans="1:8" s="1175" customFormat="1" ht="15" x14ac:dyDescent="0.25">
      <c r="A28" s="1171"/>
      <c r="B28" s="1174" t="str">
        <f>B156</f>
        <v>SETS application</v>
      </c>
      <c r="C28" s="1230" t="s">
        <v>3588</v>
      </c>
      <c r="D28" s="1231"/>
      <c r="E28" s="1231"/>
      <c r="F28" s="1231"/>
      <c r="G28" s="1231"/>
      <c r="H28" s="1231"/>
    </row>
    <row r="29" spans="1:8" s="1175" customFormat="1" ht="15" x14ac:dyDescent="0.25">
      <c r="A29" s="1171"/>
      <c r="B29" s="1174" t="str">
        <f>B161</f>
        <v>JEDI application</v>
      </c>
      <c r="C29" s="1230" t="s">
        <v>3589</v>
      </c>
      <c r="D29" s="1231"/>
      <c r="E29" s="1231"/>
      <c r="F29" s="1231"/>
      <c r="G29" s="1231"/>
      <c r="H29" s="1231"/>
    </row>
    <row r="30" spans="1:8" s="1175" customFormat="1" ht="78.75" customHeight="1" x14ac:dyDescent="0.25">
      <c r="A30" s="1171"/>
      <c r="B30" s="1181" t="str">
        <f>B166</f>
        <v>Other Applications</v>
      </c>
      <c r="C30" s="1232" t="s">
        <v>3590</v>
      </c>
      <c r="D30" s="1233"/>
      <c r="E30" s="1233"/>
      <c r="F30" s="1233"/>
      <c r="G30" s="1233"/>
      <c r="H30" s="1233"/>
    </row>
    <row r="31" spans="1:8" s="1176" customFormat="1" ht="15" x14ac:dyDescent="0.25">
      <c r="A31" s="1182" t="s">
        <v>3566</v>
      </c>
      <c r="B31" s="1183"/>
      <c r="C31" s="1184"/>
      <c r="D31" s="1184"/>
      <c r="E31" s="1184"/>
      <c r="F31" s="1184"/>
      <c r="G31" s="1184"/>
      <c r="H31" s="1184"/>
    </row>
    <row r="32" spans="1:8" ht="15" x14ac:dyDescent="0.25">
      <c r="A32" s="1164" t="s">
        <v>155</v>
      </c>
      <c r="B32" s="1165" t="s">
        <v>1278</v>
      </c>
      <c r="C32" s="1166" t="s">
        <v>3560</v>
      </c>
      <c r="D32" s="1166" t="s">
        <v>3559</v>
      </c>
      <c r="E32" s="1166" t="s">
        <v>3561</v>
      </c>
      <c r="F32" s="1166" t="s">
        <v>3563</v>
      </c>
      <c r="G32" s="1166" t="s">
        <v>3565</v>
      </c>
      <c r="H32" s="1167" t="s">
        <v>149</v>
      </c>
    </row>
    <row r="33" spans="1:8" ht="15" x14ac:dyDescent="0.2">
      <c r="A33" s="351">
        <v>1</v>
      </c>
      <c r="B33" s="279" t="s">
        <v>1637</v>
      </c>
      <c r="C33" s="363"/>
      <c r="D33" s="363"/>
      <c r="E33" s="363"/>
      <c r="F33" s="363"/>
      <c r="G33" s="363"/>
      <c r="H33" s="362"/>
    </row>
    <row r="34" spans="1:8" s="609" customFormat="1" ht="30" x14ac:dyDescent="0.25">
      <c r="A34" s="608">
        <f>A33+1</f>
        <v>2</v>
      </c>
      <c r="B34" s="625" t="s">
        <v>1636</v>
      </c>
      <c r="C34" s="624"/>
      <c r="D34" s="624"/>
      <c r="E34" s="624"/>
      <c r="F34" s="624"/>
      <c r="G34" s="624"/>
      <c r="H34" s="626"/>
    </row>
    <row r="35" spans="1:8" s="609" customFormat="1" ht="30" x14ac:dyDescent="0.25">
      <c r="A35" s="608">
        <f t="shared" ref="A35:A91" si="0">A34+1</f>
        <v>3</v>
      </c>
      <c r="B35" s="423" t="s">
        <v>1635</v>
      </c>
      <c r="C35" s="422"/>
      <c r="D35" s="422"/>
      <c r="E35" s="422"/>
      <c r="F35" s="422"/>
      <c r="G35" s="422"/>
      <c r="H35" s="626"/>
    </row>
    <row r="36" spans="1:8" s="609" customFormat="1" ht="45" x14ac:dyDescent="0.25">
      <c r="A36" s="608">
        <f t="shared" si="0"/>
        <v>4</v>
      </c>
      <c r="B36" s="625" t="s">
        <v>1634</v>
      </c>
      <c r="C36" s="624"/>
      <c r="D36" s="624"/>
      <c r="E36" s="624"/>
      <c r="F36" s="624"/>
      <c r="G36" s="624"/>
      <c r="H36" s="626"/>
    </row>
    <row r="37" spans="1:8" s="609" customFormat="1" ht="30" x14ac:dyDescent="0.25">
      <c r="A37" s="608">
        <f t="shared" si="0"/>
        <v>5</v>
      </c>
      <c r="B37" s="625" t="s">
        <v>1633</v>
      </c>
      <c r="C37" s="624"/>
      <c r="D37" s="624"/>
      <c r="E37" s="624"/>
      <c r="F37" s="624"/>
      <c r="G37" s="624"/>
      <c r="H37" s="626"/>
    </row>
    <row r="38" spans="1:8" s="609" customFormat="1" ht="45" x14ac:dyDescent="0.25">
      <c r="A38" s="608">
        <f t="shared" si="0"/>
        <v>6</v>
      </c>
      <c r="B38" s="625" t="s">
        <v>1632</v>
      </c>
      <c r="C38" s="624"/>
      <c r="D38" s="624"/>
      <c r="E38" s="624"/>
      <c r="F38" s="624"/>
      <c r="G38" s="624"/>
      <c r="H38" s="626"/>
    </row>
    <row r="39" spans="1:8" s="609" customFormat="1" ht="30" x14ac:dyDescent="0.25">
      <c r="A39" s="608">
        <f t="shared" si="0"/>
        <v>7</v>
      </c>
      <c r="B39" s="625" t="s">
        <v>1631</v>
      </c>
      <c r="C39" s="624"/>
      <c r="D39" s="624"/>
      <c r="E39" s="624"/>
      <c r="F39" s="624"/>
      <c r="G39" s="624"/>
      <c r="H39" s="626"/>
    </row>
    <row r="40" spans="1:8" s="609" customFormat="1" ht="30" x14ac:dyDescent="0.25">
      <c r="A40" s="608">
        <f t="shared" si="0"/>
        <v>8</v>
      </c>
      <c r="B40" s="625" t="s">
        <v>1630</v>
      </c>
      <c r="C40" s="624"/>
      <c r="D40" s="624"/>
      <c r="E40" s="624"/>
      <c r="F40" s="624"/>
      <c r="G40" s="624"/>
      <c r="H40" s="626"/>
    </row>
    <row r="41" spans="1:8" s="609" customFormat="1" ht="30" x14ac:dyDescent="0.25">
      <c r="A41" s="608">
        <f t="shared" si="0"/>
        <v>9</v>
      </c>
      <c r="B41" s="625" t="s">
        <v>1629</v>
      </c>
      <c r="C41" s="624"/>
      <c r="D41" s="624"/>
      <c r="E41" s="624"/>
      <c r="F41" s="624"/>
      <c r="G41" s="624"/>
      <c r="H41" s="626"/>
    </row>
    <row r="42" spans="1:8" s="609" customFormat="1" ht="15" x14ac:dyDescent="0.25">
      <c r="A42" s="608">
        <f t="shared" si="0"/>
        <v>10</v>
      </c>
      <c r="B42" s="625" t="s">
        <v>1628</v>
      </c>
      <c r="C42" s="624"/>
      <c r="D42" s="624"/>
      <c r="E42" s="624"/>
      <c r="F42" s="624"/>
      <c r="G42" s="624"/>
      <c r="H42" s="626"/>
    </row>
    <row r="43" spans="1:8" s="609" customFormat="1" ht="15" x14ac:dyDescent="0.25">
      <c r="A43" s="608">
        <f t="shared" si="0"/>
        <v>11</v>
      </c>
      <c r="B43" s="625" t="s">
        <v>1627</v>
      </c>
      <c r="C43" s="624"/>
      <c r="D43" s="624"/>
      <c r="E43" s="624"/>
      <c r="F43" s="624"/>
      <c r="G43" s="624"/>
      <c r="H43" s="626"/>
    </row>
    <row r="44" spans="1:8" s="609" customFormat="1" ht="30" x14ac:dyDescent="0.25">
      <c r="A44" s="608">
        <f t="shared" si="0"/>
        <v>12</v>
      </c>
      <c r="B44" s="625" t="s">
        <v>1626</v>
      </c>
      <c r="C44" s="624"/>
      <c r="D44" s="624"/>
      <c r="E44" s="624"/>
      <c r="F44" s="624"/>
      <c r="G44" s="624"/>
      <c r="H44" s="626"/>
    </row>
    <row r="45" spans="1:8" s="609" customFormat="1" ht="30" x14ac:dyDescent="0.25">
      <c r="A45" s="608">
        <f t="shared" si="0"/>
        <v>13</v>
      </c>
      <c r="B45" s="625" t="s">
        <v>1625</v>
      </c>
      <c r="C45" s="624"/>
      <c r="D45" s="624"/>
      <c r="E45" s="624"/>
      <c r="F45" s="624"/>
      <c r="G45" s="624"/>
      <c r="H45" s="626"/>
    </row>
    <row r="46" spans="1:8" s="609" customFormat="1" ht="15" x14ac:dyDescent="0.25">
      <c r="A46" s="608">
        <v>14</v>
      </c>
      <c r="B46" s="480" t="s">
        <v>3574</v>
      </c>
      <c r="C46" s="479"/>
      <c r="D46" s="479"/>
      <c r="E46" s="479"/>
      <c r="F46" s="479"/>
      <c r="G46" s="479"/>
      <c r="H46" s="478"/>
    </row>
    <row r="47" spans="1:8" ht="15" x14ac:dyDescent="0.2">
      <c r="A47" s="608">
        <v>15</v>
      </c>
      <c r="B47" s="480" t="s">
        <v>1331</v>
      </c>
      <c r="C47" s="479"/>
      <c r="D47" s="479"/>
      <c r="E47" s="479"/>
      <c r="F47" s="479"/>
      <c r="G47" s="479"/>
      <c r="H47" s="478"/>
    </row>
    <row r="48" spans="1:8" ht="15" x14ac:dyDescent="0.2">
      <c r="A48" s="608">
        <v>16</v>
      </c>
      <c r="B48" s="1010" t="s">
        <v>3391</v>
      </c>
      <c r="C48" s="1011"/>
      <c r="D48" s="1011"/>
      <c r="E48" s="1011"/>
      <c r="F48" s="1011"/>
      <c r="G48" s="1011"/>
      <c r="H48" s="1012"/>
    </row>
    <row r="49" spans="1:8" s="620" customFormat="1" ht="30" x14ac:dyDescent="0.25">
      <c r="A49" s="608">
        <f t="shared" si="0"/>
        <v>17</v>
      </c>
      <c r="B49" s="623" t="s">
        <v>1624</v>
      </c>
      <c r="C49" s="288"/>
      <c r="D49" s="288"/>
      <c r="E49" s="288"/>
      <c r="F49" s="288"/>
      <c r="G49" s="288"/>
      <c r="H49" s="622"/>
    </row>
    <row r="50" spans="1:8" s="613" customFormat="1" ht="30" x14ac:dyDescent="0.25">
      <c r="A50" s="608">
        <f t="shared" si="0"/>
        <v>18</v>
      </c>
      <c r="B50" s="610" t="s">
        <v>1623</v>
      </c>
      <c r="C50" s="324"/>
      <c r="D50" s="324"/>
      <c r="E50" s="324"/>
      <c r="F50" s="324"/>
      <c r="G50" s="324"/>
      <c r="H50" s="622"/>
    </row>
    <row r="51" spans="1:8" s="613" customFormat="1" ht="30" x14ac:dyDescent="0.25">
      <c r="A51" s="608">
        <f t="shared" si="0"/>
        <v>19</v>
      </c>
      <c r="B51" s="610" t="s">
        <v>1622</v>
      </c>
      <c r="C51" s="324"/>
      <c r="D51" s="324"/>
      <c r="E51" s="324"/>
      <c r="F51" s="324"/>
      <c r="G51" s="324"/>
      <c r="H51" s="622"/>
    </row>
    <row r="52" spans="1:8" s="613" customFormat="1" ht="45" x14ac:dyDescent="0.25">
      <c r="A52" s="608">
        <f t="shared" si="0"/>
        <v>20</v>
      </c>
      <c r="B52" s="610" t="s">
        <v>1621</v>
      </c>
      <c r="C52" s="324"/>
      <c r="D52" s="324"/>
      <c r="E52" s="324"/>
      <c r="F52" s="324"/>
      <c r="G52" s="324"/>
      <c r="H52" s="622"/>
    </row>
    <row r="53" spans="1:8" s="613" customFormat="1" ht="45" x14ac:dyDescent="0.25">
      <c r="A53" s="608">
        <f t="shared" si="0"/>
        <v>21</v>
      </c>
      <c r="B53" s="1007" t="s">
        <v>1620</v>
      </c>
      <c r="C53" s="642"/>
      <c r="D53" s="642"/>
      <c r="E53" s="642"/>
      <c r="F53" s="642"/>
      <c r="G53" s="642"/>
      <c r="H53" s="622"/>
    </row>
    <row r="54" spans="1:8" s="619" customFormat="1" ht="45" x14ac:dyDescent="0.25">
      <c r="A54" s="608">
        <f t="shared" si="0"/>
        <v>22</v>
      </c>
      <c r="B54" s="432" t="s">
        <v>1619</v>
      </c>
      <c r="C54" s="1008"/>
      <c r="D54" s="1008"/>
      <c r="E54" s="1008"/>
      <c r="F54" s="1008"/>
      <c r="G54" s="1008"/>
      <c r="H54" s="622"/>
    </row>
    <row r="55" spans="1:8" s="619" customFormat="1" ht="30" x14ac:dyDescent="0.25">
      <c r="A55" s="608">
        <f t="shared" si="0"/>
        <v>23</v>
      </c>
      <c r="B55" s="337" t="s">
        <v>1618</v>
      </c>
      <c r="C55" s="332"/>
      <c r="D55" s="332"/>
      <c r="E55" s="332"/>
      <c r="F55" s="332"/>
      <c r="G55" s="332"/>
      <c r="H55" s="622"/>
    </row>
    <row r="56" spans="1:8" s="619" customFormat="1" ht="30" x14ac:dyDescent="0.25">
      <c r="A56" s="608">
        <f t="shared" si="0"/>
        <v>24</v>
      </c>
      <c r="B56" s="432" t="s">
        <v>1617</v>
      </c>
      <c r="C56" s="332"/>
      <c r="D56" s="332"/>
      <c r="E56" s="332"/>
      <c r="F56" s="332"/>
      <c r="G56" s="332"/>
      <c r="H56" s="622"/>
    </row>
    <row r="57" spans="1:8" s="609" customFormat="1" ht="30" x14ac:dyDescent="0.25">
      <c r="A57" s="608">
        <f t="shared" si="0"/>
        <v>25</v>
      </c>
      <c r="B57" s="337" t="s">
        <v>1616</v>
      </c>
      <c r="C57" s="332"/>
      <c r="D57" s="332"/>
      <c r="E57" s="332"/>
      <c r="F57" s="332"/>
      <c r="G57" s="332"/>
      <c r="H57" s="622"/>
    </row>
    <row r="58" spans="1:8" s="609" customFormat="1" ht="30" x14ac:dyDescent="0.25">
      <c r="A58" s="608">
        <f t="shared" si="0"/>
        <v>26</v>
      </c>
      <c r="B58" s="337" t="s">
        <v>1615</v>
      </c>
      <c r="C58" s="332"/>
      <c r="D58" s="332"/>
      <c r="E58" s="332"/>
      <c r="F58" s="332"/>
      <c r="G58" s="332"/>
      <c r="H58" s="622"/>
    </row>
    <row r="59" spans="1:8" ht="15" x14ac:dyDescent="0.2">
      <c r="A59" s="608">
        <f t="shared" si="0"/>
        <v>27</v>
      </c>
      <c r="B59" s="1010" t="s">
        <v>3392</v>
      </c>
      <c r="C59" s="1011"/>
      <c r="D59" s="1011"/>
      <c r="E59" s="1011"/>
      <c r="F59" s="1011"/>
      <c r="G59" s="1011"/>
      <c r="H59" s="1012"/>
    </row>
    <row r="60" spans="1:8" ht="30" x14ac:dyDescent="0.25">
      <c r="A60" s="608">
        <f t="shared" si="0"/>
        <v>28</v>
      </c>
      <c r="B60" s="579" t="s">
        <v>2222</v>
      </c>
      <c r="C60" s="288"/>
      <c r="D60" s="288"/>
      <c r="E60" s="288"/>
      <c r="F60" s="288"/>
      <c r="G60" s="288"/>
      <c r="H60" s="622"/>
    </row>
    <row r="61" spans="1:8" ht="30" x14ac:dyDescent="0.25">
      <c r="A61" s="608">
        <f t="shared" si="0"/>
        <v>29</v>
      </c>
      <c r="B61" s="579" t="s">
        <v>2221</v>
      </c>
      <c r="C61" s="633"/>
      <c r="D61" s="633"/>
      <c r="E61" s="633"/>
      <c r="F61" s="633"/>
      <c r="G61" s="633"/>
      <c r="H61" s="622"/>
    </row>
    <row r="62" spans="1:8" ht="15" x14ac:dyDescent="0.25">
      <c r="A62" s="608">
        <f t="shared" si="0"/>
        <v>30</v>
      </c>
      <c r="B62" s="577" t="s">
        <v>2220</v>
      </c>
      <c r="C62" s="778"/>
      <c r="D62" s="778"/>
      <c r="E62" s="778"/>
      <c r="F62" s="778"/>
      <c r="G62" s="778"/>
      <c r="H62" s="622"/>
    </row>
    <row r="63" spans="1:8" ht="15" x14ac:dyDescent="0.25">
      <c r="A63" s="608">
        <f t="shared" si="0"/>
        <v>31</v>
      </c>
      <c r="B63" s="779" t="s">
        <v>2219</v>
      </c>
      <c r="C63" s="580"/>
      <c r="D63" s="580"/>
      <c r="E63" s="580"/>
      <c r="F63" s="580"/>
      <c r="G63" s="580"/>
      <c r="H63" s="622"/>
    </row>
    <row r="64" spans="1:8" s="599" customFormat="1" ht="15" x14ac:dyDescent="0.25">
      <c r="A64" s="608">
        <f t="shared" si="0"/>
        <v>32</v>
      </c>
      <c r="B64" s="779" t="s">
        <v>2218</v>
      </c>
      <c r="C64" s="580"/>
      <c r="D64" s="580"/>
      <c r="E64" s="580"/>
      <c r="F64" s="580"/>
      <c r="G64" s="580"/>
      <c r="H64" s="622"/>
    </row>
    <row r="65" spans="1:8" s="599" customFormat="1" ht="15" x14ac:dyDescent="0.25">
      <c r="A65" s="608">
        <f t="shared" si="0"/>
        <v>33</v>
      </c>
      <c r="B65" s="577" t="s">
        <v>2217</v>
      </c>
      <c r="C65" s="579"/>
      <c r="D65" s="579"/>
      <c r="E65" s="579"/>
      <c r="F65" s="579"/>
      <c r="G65" s="579"/>
      <c r="H65" s="622"/>
    </row>
    <row r="66" spans="1:8" s="599" customFormat="1" ht="15" x14ac:dyDescent="0.25">
      <c r="A66" s="608">
        <f t="shared" si="0"/>
        <v>34</v>
      </c>
      <c r="B66" s="577" t="s">
        <v>2216</v>
      </c>
      <c r="C66" s="579"/>
      <c r="D66" s="579"/>
      <c r="E66" s="579"/>
      <c r="F66" s="579"/>
      <c r="G66" s="579"/>
      <c r="H66" s="622"/>
    </row>
    <row r="67" spans="1:8" s="599" customFormat="1" ht="15" x14ac:dyDescent="0.25">
      <c r="A67" s="608">
        <f t="shared" si="0"/>
        <v>35</v>
      </c>
      <c r="B67" s="577" t="s">
        <v>2215</v>
      </c>
      <c r="C67" s="579"/>
      <c r="D67" s="579"/>
      <c r="E67" s="579"/>
      <c r="F67" s="579"/>
      <c r="G67" s="579"/>
      <c r="H67" s="622"/>
    </row>
    <row r="68" spans="1:8" s="599" customFormat="1" ht="30" x14ac:dyDescent="0.25">
      <c r="A68" s="608">
        <f t="shared" si="0"/>
        <v>36</v>
      </c>
      <c r="B68" s="579" t="s">
        <v>2214</v>
      </c>
      <c r="C68" s="579"/>
      <c r="D68" s="579"/>
      <c r="E68" s="579"/>
      <c r="F68" s="579"/>
      <c r="G68" s="579"/>
      <c r="H68" s="622"/>
    </row>
    <row r="69" spans="1:8" s="599" customFormat="1" ht="15" x14ac:dyDescent="0.25">
      <c r="A69" s="608">
        <f t="shared" si="0"/>
        <v>37</v>
      </c>
      <c r="B69" s="579" t="s">
        <v>2213</v>
      </c>
      <c r="C69" s="579"/>
      <c r="D69" s="579"/>
      <c r="E69" s="579"/>
      <c r="F69" s="579"/>
      <c r="G69" s="579"/>
      <c r="H69" s="622"/>
    </row>
    <row r="70" spans="1:8" s="599" customFormat="1" ht="45" x14ac:dyDescent="0.25">
      <c r="A70" s="608">
        <f t="shared" si="0"/>
        <v>38</v>
      </c>
      <c r="B70" s="579" t="s">
        <v>2212</v>
      </c>
      <c r="C70" s="579"/>
      <c r="D70" s="579"/>
      <c r="E70" s="579"/>
      <c r="F70" s="579"/>
      <c r="G70" s="579"/>
      <c r="H70" s="622"/>
    </row>
    <row r="71" spans="1:8" s="599" customFormat="1" ht="45" x14ac:dyDescent="0.25">
      <c r="A71" s="608">
        <f t="shared" si="0"/>
        <v>39</v>
      </c>
      <c r="B71" s="1007" t="s">
        <v>2211</v>
      </c>
      <c r="C71" s="1009"/>
      <c r="D71" s="1009"/>
      <c r="E71" s="1009"/>
      <c r="F71" s="1009"/>
      <c r="G71" s="1009"/>
      <c r="H71" s="622"/>
    </row>
    <row r="72" spans="1:8" s="599" customFormat="1" ht="45" x14ac:dyDescent="0.25">
      <c r="A72" s="608">
        <f t="shared" si="0"/>
        <v>40</v>
      </c>
      <c r="B72" s="1007" t="s">
        <v>2210</v>
      </c>
      <c r="C72" s="1009"/>
      <c r="D72" s="1009"/>
      <c r="E72" s="1009"/>
      <c r="F72" s="1009"/>
      <c r="G72" s="1009"/>
      <c r="H72" s="622"/>
    </row>
    <row r="73" spans="1:8" s="599" customFormat="1" ht="30" x14ac:dyDescent="0.25">
      <c r="A73" s="608">
        <f t="shared" si="0"/>
        <v>41</v>
      </c>
      <c r="B73" s="1007" t="s">
        <v>2209</v>
      </c>
      <c r="C73" s="1009"/>
      <c r="D73" s="1009"/>
      <c r="E73" s="1009"/>
      <c r="F73" s="1009"/>
      <c r="G73" s="1009"/>
      <c r="H73" s="622"/>
    </row>
    <row r="74" spans="1:8" ht="30" x14ac:dyDescent="0.25">
      <c r="A74" s="608">
        <f t="shared" si="0"/>
        <v>42</v>
      </c>
      <c r="B74" s="579" t="s">
        <v>2208</v>
      </c>
      <c r="C74" s="579"/>
      <c r="D74" s="579"/>
      <c r="E74" s="579"/>
      <c r="F74" s="579"/>
      <c r="G74" s="579"/>
      <c r="H74" s="622"/>
    </row>
    <row r="75" spans="1:8" ht="15" x14ac:dyDescent="0.2">
      <c r="A75" s="608">
        <f t="shared" si="0"/>
        <v>43</v>
      </c>
      <c r="B75" s="480" t="s">
        <v>3508</v>
      </c>
      <c r="C75" s="479"/>
      <c r="D75" s="479"/>
      <c r="E75" s="479"/>
      <c r="F75" s="479"/>
      <c r="G75" s="479"/>
      <c r="H75" s="478"/>
    </row>
    <row r="76" spans="1:8" ht="30" x14ac:dyDescent="0.2">
      <c r="A76" s="608">
        <f t="shared" si="0"/>
        <v>44</v>
      </c>
      <c r="B76" s="354" t="s">
        <v>3509</v>
      </c>
      <c r="C76" s="332"/>
      <c r="D76" s="332"/>
      <c r="E76" s="332"/>
      <c r="F76" s="332"/>
      <c r="G76" s="332"/>
      <c r="H76" s="381"/>
    </row>
    <row r="77" spans="1:8" ht="15" x14ac:dyDescent="0.2">
      <c r="A77" s="608">
        <f t="shared" si="0"/>
        <v>45</v>
      </c>
      <c r="B77" s="354" t="s">
        <v>1576</v>
      </c>
      <c r="C77" s="607"/>
      <c r="D77" s="607"/>
      <c r="E77" s="607"/>
      <c r="F77" s="606"/>
      <c r="G77" s="606"/>
      <c r="H77" s="381"/>
    </row>
    <row r="78" spans="1:8" ht="15" x14ac:dyDescent="0.2">
      <c r="A78" s="608">
        <f t="shared" si="0"/>
        <v>46</v>
      </c>
      <c r="B78" s="376" t="s">
        <v>1575</v>
      </c>
      <c r="C78" s="332"/>
      <c r="D78" s="332"/>
      <c r="E78" s="332"/>
      <c r="F78" s="332"/>
      <c r="G78" s="332"/>
      <c r="H78" s="381"/>
    </row>
    <row r="79" spans="1:8" ht="15" x14ac:dyDescent="0.2">
      <c r="A79" s="608">
        <f t="shared" si="0"/>
        <v>47</v>
      </c>
      <c r="B79" s="376" t="s">
        <v>1574</v>
      </c>
      <c r="C79" s="332"/>
      <c r="D79" s="332"/>
      <c r="E79" s="332"/>
      <c r="F79" s="332"/>
      <c r="G79" s="332"/>
      <c r="H79" s="381"/>
    </row>
    <row r="80" spans="1:8" ht="15" x14ac:dyDescent="0.2">
      <c r="A80" s="608">
        <f t="shared" si="0"/>
        <v>48</v>
      </c>
      <c r="B80" s="480" t="s">
        <v>1614</v>
      </c>
      <c r="C80" s="479"/>
      <c r="D80" s="479"/>
      <c r="E80" s="479"/>
      <c r="F80" s="479"/>
      <c r="G80" s="479"/>
      <c r="H80" s="478"/>
    </row>
    <row r="81" spans="1:29" ht="30" x14ac:dyDescent="0.2">
      <c r="A81" s="608">
        <f t="shared" si="0"/>
        <v>49</v>
      </c>
      <c r="B81" s="354" t="s">
        <v>1613</v>
      </c>
      <c r="C81" s="332"/>
      <c r="D81" s="332"/>
      <c r="E81" s="332"/>
      <c r="F81" s="332"/>
      <c r="G81" s="332"/>
      <c r="H81" s="381"/>
    </row>
    <row r="82" spans="1:29" ht="15" x14ac:dyDescent="0.2">
      <c r="A82" s="608">
        <f t="shared" si="0"/>
        <v>50</v>
      </c>
      <c r="B82" s="354" t="s">
        <v>1576</v>
      </c>
      <c r="C82" s="607"/>
      <c r="D82" s="607"/>
      <c r="E82" s="607"/>
      <c r="F82" s="606"/>
      <c r="G82" s="606"/>
      <c r="H82" s="381"/>
    </row>
    <row r="83" spans="1:29" ht="15" x14ac:dyDescent="0.2">
      <c r="A83" s="608">
        <f t="shared" si="0"/>
        <v>51</v>
      </c>
      <c r="B83" s="376" t="s">
        <v>1575</v>
      </c>
      <c r="C83" s="332"/>
      <c r="D83" s="332"/>
      <c r="E83" s="332"/>
      <c r="F83" s="332"/>
      <c r="G83" s="332"/>
      <c r="H83" s="381"/>
    </row>
    <row r="84" spans="1:29" ht="15" x14ac:dyDescent="0.2">
      <c r="A84" s="608">
        <f t="shared" si="0"/>
        <v>52</v>
      </c>
      <c r="B84" s="376" t="s">
        <v>1574</v>
      </c>
      <c r="C84" s="332"/>
      <c r="D84" s="332"/>
      <c r="E84" s="332"/>
      <c r="F84" s="332"/>
      <c r="G84" s="332"/>
      <c r="H84" s="381"/>
    </row>
    <row r="85" spans="1:29" ht="15" x14ac:dyDescent="0.2">
      <c r="A85" s="608">
        <f t="shared" si="0"/>
        <v>53</v>
      </c>
      <c r="B85" s="480" t="s">
        <v>1612</v>
      </c>
      <c r="C85" s="479"/>
      <c r="D85" s="479"/>
      <c r="E85" s="479"/>
      <c r="F85" s="479"/>
      <c r="G85" s="479"/>
      <c r="H85" s="478"/>
    </row>
    <row r="86" spans="1:29" ht="30" x14ac:dyDescent="0.2">
      <c r="A86" s="608">
        <f t="shared" si="0"/>
        <v>54</v>
      </c>
      <c r="B86" s="318" t="s">
        <v>1611</v>
      </c>
      <c r="C86" s="607"/>
      <c r="D86" s="607"/>
      <c r="E86" s="607"/>
      <c r="F86" s="606"/>
      <c r="G86" s="606"/>
      <c r="H86" s="378"/>
    </row>
    <row r="87" spans="1:29" s="599" customFormat="1" ht="15" x14ac:dyDescent="0.2">
      <c r="A87" s="608">
        <f t="shared" si="0"/>
        <v>55</v>
      </c>
      <c r="B87" s="382" t="s">
        <v>236</v>
      </c>
      <c r="C87" s="318"/>
      <c r="D87" s="318"/>
      <c r="E87" s="318"/>
      <c r="F87" s="381"/>
      <c r="G87" s="381"/>
      <c r="H87" s="378"/>
    </row>
    <row r="88" spans="1:29" s="599" customFormat="1" ht="15" x14ac:dyDescent="0.2">
      <c r="A88" s="608">
        <f t="shared" si="0"/>
        <v>56</v>
      </c>
      <c r="B88" s="382" t="s">
        <v>1608</v>
      </c>
      <c r="C88" s="318"/>
      <c r="D88" s="318"/>
      <c r="E88" s="318"/>
      <c r="F88" s="381"/>
      <c r="G88" s="381"/>
      <c r="H88" s="378"/>
    </row>
    <row r="89" spans="1:29" s="599" customFormat="1" ht="30" x14ac:dyDescent="0.25">
      <c r="A89" s="608">
        <f t="shared" si="0"/>
        <v>57</v>
      </c>
      <c r="B89" s="1007" t="s">
        <v>2204</v>
      </c>
      <c r="C89" s="1007"/>
      <c r="D89" s="1007"/>
      <c r="E89" s="1007"/>
      <c r="F89" s="1007"/>
      <c r="G89" s="1007"/>
      <c r="H89" s="378"/>
    </row>
    <row r="90" spans="1:29" s="599" customFormat="1" ht="30" x14ac:dyDescent="0.25">
      <c r="A90" s="608">
        <f t="shared" si="0"/>
        <v>58</v>
      </c>
      <c r="B90" s="1007" t="s">
        <v>2203</v>
      </c>
      <c r="C90" s="1007"/>
      <c r="D90" s="1007"/>
      <c r="E90" s="1007"/>
      <c r="F90" s="1007"/>
      <c r="G90" s="1007"/>
      <c r="H90" s="378"/>
    </row>
    <row r="91" spans="1:29" s="599" customFormat="1" ht="30" x14ac:dyDescent="0.25">
      <c r="A91" s="608">
        <f t="shared" si="0"/>
        <v>59</v>
      </c>
      <c r="B91" s="1007" t="s">
        <v>2202</v>
      </c>
      <c r="C91" s="1007"/>
      <c r="D91" s="1007"/>
      <c r="E91" s="1007"/>
      <c r="F91" s="1007"/>
      <c r="G91" s="1007"/>
      <c r="H91" s="378"/>
    </row>
    <row r="92" spans="1:29" s="609" customFormat="1" ht="15" x14ac:dyDescent="0.25">
      <c r="A92" s="608">
        <f>A194+1</f>
        <v>104</v>
      </c>
      <c r="B92" s="604" t="s">
        <v>1330</v>
      </c>
      <c r="C92" s="603"/>
      <c r="D92" s="603"/>
      <c r="E92" s="603"/>
      <c r="F92" s="603"/>
      <c r="G92" s="603"/>
      <c r="H92" s="602"/>
    </row>
    <row r="93" spans="1:29" s="609" customFormat="1" ht="30" x14ac:dyDescent="0.25">
      <c r="A93" s="608">
        <f t="shared" ref="A93:A106" si="1">A92+1</f>
        <v>105</v>
      </c>
      <c r="B93" s="617" t="s">
        <v>2201</v>
      </c>
      <c r="C93" s="579"/>
      <c r="D93" s="579"/>
      <c r="E93" s="579"/>
      <c r="F93" s="579"/>
      <c r="G93" s="579"/>
      <c r="H93" s="579"/>
    </row>
    <row r="94" spans="1:29" s="618" customFormat="1" ht="30" x14ac:dyDescent="0.25">
      <c r="A94" s="608">
        <f t="shared" si="1"/>
        <v>106</v>
      </c>
      <c r="B94" s="720" t="s">
        <v>1572</v>
      </c>
      <c r="C94" s="778"/>
      <c r="D94" s="778"/>
      <c r="E94" s="778"/>
      <c r="F94" s="778"/>
      <c r="G94" s="778"/>
      <c r="H94" s="579"/>
    </row>
    <row r="95" spans="1:29" ht="30" x14ac:dyDescent="0.25">
      <c r="A95" s="608">
        <f t="shared" si="1"/>
        <v>107</v>
      </c>
      <c r="B95" s="720" t="s">
        <v>1571</v>
      </c>
      <c r="C95" s="579"/>
      <c r="D95" s="579"/>
      <c r="E95" s="579"/>
      <c r="F95" s="579"/>
      <c r="G95" s="579"/>
      <c r="H95" s="579"/>
      <c r="I95" s="599"/>
      <c r="J95" s="599"/>
      <c r="K95" s="599"/>
      <c r="L95" s="599"/>
      <c r="M95" s="599"/>
      <c r="N95" s="599"/>
      <c r="O95" s="599"/>
      <c r="P95" s="599"/>
      <c r="Q95" s="599"/>
      <c r="R95" s="599"/>
      <c r="S95" s="599"/>
      <c r="T95" s="599"/>
      <c r="U95" s="599"/>
      <c r="V95" s="599"/>
      <c r="W95" s="599"/>
      <c r="X95" s="599"/>
      <c r="Y95" s="599"/>
      <c r="Z95" s="599"/>
      <c r="AA95" s="599"/>
      <c r="AB95" s="599"/>
      <c r="AC95" s="599"/>
    </row>
    <row r="96" spans="1:29" s="618" customFormat="1" ht="15" x14ac:dyDescent="0.25">
      <c r="A96" s="608">
        <f t="shared" si="1"/>
        <v>108</v>
      </c>
      <c r="B96" s="604" t="s">
        <v>1573</v>
      </c>
      <c r="C96" s="603"/>
      <c r="D96" s="603"/>
      <c r="E96" s="603"/>
      <c r="F96" s="603"/>
      <c r="G96" s="603"/>
      <c r="H96" s="602"/>
    </row>
    <row r="97" spans="1:43" s="609" customFormat="1" ht="30" x14ac:dyDescent="0.25">
      <c r="A97" s="608">
        <f t="shared" si="1"/>
        <v>109</v>
      </c>
      <c r="B97" s="617" t="s">
        <v>2200</v>
      </c>
      <c r="C97" s="579"/>
      <c r="D97" s="579"/>
      <c r="E97" s="579"/>
      <c r="F97" s="579"/>
      <c r="G97" s="579"/>
      <c r="H97" s="579"/>
    </row>
    <row r="98" spans="1:43" s="618" customFormat="1" ht="30" x14ac:dyDescent="0.25">
      <c r="A98" s="608">
        <f t="shared" si="1"/>
        <v>110</v>
      </c>
      <c r="B98" s="720" t="s">
        <v>1572</v>
      </c>
      <c r="C98" s="778"/>
      <c r="D98" s="778"/>
      <c r="E98" s="778"/>
      <c r="F98" s="778"/>
      <c r="G98" s="778"/>
      <c r="H98" s="579"/>
    </row>
    <row r="99" spans="1:43" ht="30" x14ac:dyDescent="0.25">
      <c r="A99" s="608">
        <f t="shared" si="1"/>
        <v>111</v>
      </c>
      <c r="B99" s="720" t="s">
        <v>1571</v>
      </c>
      <c r="C99" s="579"/>
      <c r="D99" s="579"/>
      <c r="E99" s="579"/>
      <c r="F99" s="579"/>
      <c r="G99" s="579"/>
      <c r="H99" s="579"/>
    </row>
    <row r="100" spans="1:43" s="599" customFormat="1" ht="15" x14ac:dyDescent="0.2">
      <c r="A100" s="608">
        <f t="shared" si="1"/>
        <v>112</v>
      </c>
      <c r="B100" s="604" t="s">
        <v>2224</v>
      </c>
      <c r="C100" s="603"/>
      <c r="D100" s="603"/>
      <c r="E100" s="603"/>
      <c r="F100" s="603"/>
      <c r="G100" s="603"/>
      <c r="H100" s="602"/>
    </row>
    <row r="101" spans="1:43" ht="30" x14ac:dyDescent="0.25">
      <c r="A101" s="608">
        <f t="shared" si="1"/>
        <v>113</v>
      </c>
      <c r="B101" s="720" t="s">
        <v>2223</v>
      </c>
      <c r="C101" s="771"/>
      <c r="D101" s="771"/>
      <c r="E101" s="771"/>
      <c r="F101" s="771"/>
      <c r="G101" s="771"/>
      <c r="H101" s="771"/>
    </row>
    <row r="102" spans="1:43" s="599" customFormat="1" ht="15" x14ac:dyDescent="0.2">
      <c r="A102" s="608">
        <f t="shared" si="1"/>
        <v>114</v>
      </c>
      <c r="B102" s="604" t="s">
        <v>2207</v>
      </c>
      <c r="C102" s="603"/>
      <c r="D102" s="603"/>
      <c r="E102" s="603"/>
      <c r="F102" s="603"/>
      <c r="G102" s="603"/>
      <c r="H102" s="602"/>
    </row>
    <row r="103" spans="1:43" s="599" customFormat="1" ht="30" x14ac:dyDescent="0.25">
      <c r="A103" s="608">
        <f t="shared" si="1"/>
        <v>115</v>
      </c>
      <c r="B103" s="720" t="s">
        <v>3493</v>
      </c>
      <c r="C103" s="1121"/>
      <c r="D103" s="1121"/>
      <c r="E103" s="1121"/>
      <c r="F103" s="1121"/>
      <c r="G103" s="1121"/>
      <c r="H103" s="1124"/>
    </row>
    <row r="104" spans="1:43" s="599" customFormat="1" ht="15" x14ac:dyDescent="0.25">
      <c r="A104" s="608">
        <f t="shared" si="1"/>
        <v>116</v>
      </c>
      <c r="B104" s="720" t="s">
        <v>3494</v>
      </c>
      <c r="C104" s="1121"/>
      <c r="D104" s="1121"/>
      <c r="E104" s="1121"/>
      <c r="F104" s="1121"/>
      <c r="G104" s="1121"/>
      <c r="H104" s="1121"/>
    </row>
    <row r="105" spans="1:43" s="599" customFormat="1" ht="15" x14ac:dyDescent="0.25">
      <c r="A105" s="608">
        <f t="shared" si="1"/>
        <v>117</v>
      </c>
      <c r="B105" s="720" t="s">
        <v>3495</v>
      </c>
      <c r="C105" s="1121"/>
      <c r="D105" s="1121"/>
      <c r="E105" s="1121"/>
      <c r="F105" s="1121"/>
      <c r="G105" s="1121"/>
      <c r="H105" s="1088"/>
    </row>
    <row r="106" spans="1:43" s="599" customFormat="1" ht="45" x14ac:dyDescent="0.25">
      <c r="A106" s="608">
        <f t="shared" si="1"/>
        <v>118</v>
      </c>
      <c r="B106" s="720" t="s">
        <v>2206</v>
      </c>
      <c r="C106" s="1121"/>
      <c r="D106" s="1121"/>
      <c r="E106" s="1121"/>
      <c r="F106" s="1121"/>
      <c r="G106" s="1121"/>
      <c r="H106" s="1121"/>
    </row>
    <row r="107" spans="1:43" ht="30" x14ac:dyDescent="0.25">
      <c r="A107" s="608">
        <f t="shared" ref="A107:A110" si="2">A106+1</f>
        <v>119</v>
      </c>
      <c r="B107" s="720" t="s">
        <v>3428</v>
      </c>
      <c r="C107" s="771"/>
      <c r="D107" s="771"/>
      <c r="E107" s="771"/>
      <c r="F107" s="771"/>
      <c r="G107" s="771"/>
      <c r="H107" s="1088"/>
      <c r="I107" s="599"/>
      <c r="J107" s="599"/>
      <c r="K107" s="599"/>
      <c r="L107" s="599"/>
      <c r="M107" s="599"/>
      <c r="N107" s="599"/>
      <c r="O107" s="599"/>
      <c r="P107" s="599"/>
      <c r="Q107" s="599"/>
      <c r="R107" s="599"/>
      <c r="S107" s="599"/>
      <c r="T107" s="599"/>
      <c r="U107" s="599"/>
      <c r="V107" s="599"/>
      <c r="W107" s="599"/>
      <c r="X107" s="599"/>
      <c r="Y107" s="599"/>
      <c r="Z107" s="599"/>
      <c r="AA107" s="599"/>
      <c r="AB107" s="599"/>
      <c r="AC107" s="599"/>
      <c r="AD107" s="599"/>
      <c r="AE107" s="599"/>
      <c r="AF107" s="599"/>
      <c r="AG107" s="599"/>
      <c r="AH107" s="599"/>
      <c r="AI107" s="599"/>
      <c r="AJ107" s="599"/>
      <c r="AK107" s="599"/>
      <c r="AL107" s="599"/>
      <c r="AM107" s="599"/>
      <c r="AN107" s="599"/>
      <c r="AO107" s="599"/>
      <c r="AP107" s="599"/>
      <c r="AQ107" s="599"/>
    </row>
    <row r="108" spans="1:43" ht="30" x14ac:dyDescent="0.25">
      <c r="A108" s="608">
        <f t="shared" si="2"/>
        <v>120</v>
      </c>
      <c r="B108" s="720" t="s">
        <v>3429</v>
      </c>
      <c r="C108" s="771"/>
      <c r="D108" s="771"/>
      <c r="E108" s="771"/>
      <c r="F108" s="771"/>
      <c r="G108" s="771"/>
      <c r="H108" s="1088"/>
      <c r="I108" s="599"/>
      <c r="J108" s="599"/>
      <c r="K108" s="599"/>
      <c r="L108" s="599"/>
      <c r="M108" s="599"/>
      <c r="N108" s="599"/>
      <c r="O108" s="599"/>
      <c r="P108" s="599"/>
      <c r="Q108" s="599"/>
      <c r="R108" s="599"/>
      <c r="S108" s="599"/>
      <c r="T108" s="599"/>
      <c r="U108" s="599"/>
      <c r="V108" s="599"/>
      <c r="W108" s="599"/>
      <c r="X108" s="599"/>
      <c r="Y108" s="599"/>
      <c r="Z108" s="599"/>
      <c r="AA108" s="599"/>
      <c r="AB108" s="599"/>
      <c r="AC108" s="599"/>
      <c r="AD108" s="599"/>
      <c r="AE108" s="599"/>
      <c r="AF108" s="599"/>
      <c r="AG108" s="599"/>
      <c r="AH108" s="599"/>
      <c r="AI108" s="599"/>
      <c r="AJ108" s="599"/>
      <c r="AK108" s="599"/>
      <c r="AL108" s="599"/>
      <c r="AM108" s="599"/>
      <c r="AN108" s="599"/>
      <c r="AO108" s="599"/>
      <c r="AP108" s="599"/>
      <c r="AQ108" s="599"/>
    </row>
    <row r="109" spans="1:43" ht="45" x14ac:dyDescent="0.25">
      <c r="A109" s="608">
        <f t="shared" si="2"/>
        <v>121</v>
      </c>
      <c r="B109" s="720" t="s">
        <v>3430</v>
      </c>
      <c r="C109" s="771"/>
      <c r="D109" s="771"/>
      <c r="E109" s="771"/>
      <c r="F109" s="771"/>
      <c r="G109" s="771"/>
      <c r="H109" s="1088"/>
      <c r="I109" s="599"/>
      <c r="J109" s="599"/>
      <c r="K109" s="599"/>
      <c r="L109" s="599"/>
      <c r="M109" s="599"/>
      <c r="N109" s="599"/>
      <c r="O109" s="599"/>
      <c r="P109" s="599"/>
      <c r="Q109" s="599"/>
      <c r="R109" s="599"/>
      <c r="S109" s="599"/>
      <c r="T109" s="599"/>
      <c r="U109" s="599"/>
      <c r="V109" s="599"/>
      <c r="W109" s="599"/>
      <c r="X109" s="599"/>
      <c r="Y109" s="599"/>
      <c r="Z109" s="599"/>
      <c r="AA109" s="599"/>
      <c r="AB109" s="599"/>
      <c r="AC109" s="599"/>
      <c r="AD109" s="599"/>
      <c r="AE109" s="599"/>
      <c r="AF109" s="599"/>
      <c r="AG109" s="599"/>
      <c r="AH109" s="599"/>
      <c r="AI109" s="599"/>
      <c r="AJ109" s="599"/>
      <c r="AK109" s="599"/>
      <c r="AL109" s="599"/>
      <c r="AM109" s="599"/>
      <c r="AN109" s="599"/>
      <c r="AO109" s="599"/>
      <c r="AP109" s="599"/>
      <c r="AQ109" s="599"/>
    </row>
    <row r="110" spans="1:43" s="599" customFormat="1" ht="30" x14ac:dyDescent="0.25">
      <c r="A110" s="608">
        <f t="shared" si="2"/>
        <v>122</v>
      </c>
      <c r="B110" s="720" t="s">
        <v>3389</v>
      </c>
      <c r="C110" s="1121"/>
      <c r="D110" s="1121"/>
      <c r="E110" s="1121"/>
      <c r="F110" s="1121"/>
      <c r="G110" s="1121"/>
      <c r="H110" s="1121"/>
    </row>
    <row r="111" spans="1:43" s="599" customFormat="1" ht="30" x14ac:dyDescent="0.25">
      <c r="A111" s="608">
        <f t="shared" ref="A111:A133" si="3">A110+1</f>
        <v>123</v>
      </c>
      <c r="B111" s="720" t="s">
        <v>2205</v>
      </c>
      <c r="C111" s="1121"/>
      <c r="D111" s="1121"/>
      <c r="E111" s="1121"/>
      <c r="F111" s="1121"/>
      <c r="G111" s="1121"/>
      <c r="H111" s="1121"/>
    </row>
    <row r="112" spans="1:43" ht="30" x14ac:dyDescent="0.25">
      <c r="A112" s="608">
        <f t="shared" si="3"/>
        <v>124</v>
      </c>
      <c r="B112" s="720" t="s">
        <v>3390</v>
      </c>
      <c r="C112" s="771"/>
      <c r="D112" s="771"/>
      <c r="E112" s="771"/>
      <c r="F112" s="771"/>
      <c r="G112" s="771"/>
      <c r="H112" s="771"/>
      <c r="I112" s="599"/>
      <c r="J112" s="599"/>
      <c r="K112" s="599"/>
      <c r="L112" s="599"/>
      <c r="M112" s="599"/>
      <c r="N112" s="599"/>
      <c r="O112" s="599"/>
      <c r="P112" s="599"/>
      <c r="Q112" s="599"/>
      <c r="R112" s="599"/>
      <c r="S112" s="599"/>
      <c r="T112" s="599"/>
      <c r="U112" s="599"/>
      <c r="V112" s="599"/>
      <c r="W112" s="599"/>
      <c r="X112" s="599"/>
      <c r="Y112" s="599"/>
      <c r="Z112" s="599"/>
      <c r="AA112" s="599"/>
      <c r="AB112" s="599"/>
      <c r="AC112" s="599"/>
      <c r="AD112" s="599"/>
      <c r="AE112" s="599"/>
      <c r="AF112" s="599"/>
      <c r="AG112" s="599"/>
      <c r="AH112" s="599"/>
      <c r="AI112" s="599"/>
      <c r="AJ112" s="599"/>
      <c r="AK112" s="599"/>
      <c r="AL112" s="599"/>
      <c r="AM112" s="599"/>
      <c r="AN112" s="599"/>
      <c r="AO112" s="599"/>
      <c r="AP112" s="599"/>
      <c r="AQ112" s="599"/>
    </row>
    <row r="113" spans="1:43" s="599" customFormat="1" ht="15" x14ac:dyDescent="0.2">
      <c r="A113" s="608">
        <f>A112+1</f>
        <v>125</v>
      </c>
      <c r="B113" s="777" t="s">
        <v>2187</v>
      </c>
      <c r="C113" s="777"/>
      <c r="D113" s="777"/>
      <c r="E113" s="777"/>
      <c r="F113" s="777"/>
      <c r="G113" s="777"/>
      <c r="H113" s="777"/>
    </row>
    <row r="114" spans="1:43" ht="120" x14ac:dyDescent="0.2">
      <c r="A114" s="608">
        <f t="shared" si="3"/>
        <v>126</v>
      </c>
      <c r="B114" s="774" t="s">
        <v>3398</v>
      </c>
      <c r="C114" s="772"/>
      <c r="D114" s="772"/>
      <c r="E114" s="772"/>
      <c r="F114" s="772"/>
      <c r="G114" s="772"/>
      <c r="H114" s="772"/>
      <c r="I114" s="599"/>
      <c r="J114" s="599"/>
      <c r="K114" s="599"/>
      <c r="L114" s="599"/>
      <c r="M114" s="599"/>
      <c r="N114" s="599"/>
      <c r="O114" s="599"/>
      <c r="P114" s="599"/>
      <c r="Q114" s="599"/>
      <c r="R114" s="599"/>
      <c r="S114" s="599"/>
      <c r="T114" s="599"/>
      <c r="U114" s="599"/>
      <c r="V114" s="599"/>
      <c r="W114" s="599"/>
      <c r="X114" s="599"/>
      <c r="Y114" s="599"/>
      <c r="Z114" s="599"/>
      <c r="AA114" s="599"/>
      <c r="AB114" s="599"/>
      <c r="AC114" s="599"/>
    </row>
    <row r="115" spans="1:43" s="599" customFormat="1" ht="45" x14ac:dyDescent="0.2">
      <c r="A115" s="608">
        <f t="shared" si="3"/>
        <v>127</v>
      </c>
      <c r="B115" s="631" t="s">
        <v>2186</v>
      </c>
      <c r="C115" s="722"/>
      <c r="D115" s="722"/>
      <c r="E115" s="722"/>
      <c r="F115" s="721"/>
      <c r="G115" s="721"/>
      <c r="H115" s="721"/>
    </row>
    <row r="116" spans="1:43" ht="45" x14ac:dyDescent="0.2">
      <c r="A116" s="608">
        <f t="shared" si="3"/>
        <v>128</v>
      </c>
      <c r="B116" s="631" t="s">
        <v>2185</v>
      </c>
      <c r="C116" s="510"/>
      <c r="D116" s="510"/>
      <c r="E116" s="510"/>
      <c r="F116" s="510"/>
      <c r="G116" s="510"/>
      <c r="H116" s="510"/>
      <c r="I116" s="599"/>
      <c r="J116" s="599"/>
      <c r="K116" s="599"/>
      <c r="L116" s="599"/>
      <c r="M116" s="599"/>
      <c r="N116" s="599"/>
      <c r="O116" s="599"/>
      <c r="P116" s="599"/>
      <c r="Q116" s="599"/>
      <c r="R116" s="599"/>
      <c r="S116" s="599"/>
      <c r="T116" s="599"/>
      <c r="U116" s="599"/>
      <c r="V116" s="599"/>
      <c r="W116" s="599"/>
      <c r="X116" s="599"/>
      <c r="Y116" s="599"/>
      <c r="Z116" s="599"/>
      <c r="AA116" s="599"/>
      <c r="AB116" s="599"/>
      <c r="AC116" s="599"/>
      <c r="AD116" s="599"/>
      <c r="AE116" s="599"/>
      <c r="AF116" s="599"/>
      <c r="AG116" s="599"/>
      <c r="AH116" s="599"/>
      <c r="AI116" s="599"/>
      <c r="AJ116" s="599"/>
      <c r="AK116" s="599"/>
      <c r="AL116" s="599"/>
      <c r="AM116" s="599"/>
      <c r="AN116" s="599"/>
      <c r="AO116" s="599"/>
      <c r="AP116" s="599"/>
      <c r="AQ116" s="599"/>
    </row>
    <row r="117" spans="1:43" ht="15" x14ac:dyDescent="0.2">
      <c r="A117" s="1150"/>
      <c r="B117" s="1151" t="s">
        <v>3521</v>
      </c>
      <c r="C117" s="1152"/>
      <c r="D117" s="1152"/>
      <c r="E117" s="1152"/>
      <c r="F117" s="1152"/>
      <c r="G117" s="1152"/>
      <c r="H117" s="1152"/>
      <c r="I117" s="599"/>
      <c r="J117" s="599"/>
      <c r="K117" s="599"/>
      <c r="L117" s="599"/>
      <c r="M117" s="599"/>
      <c r="N117" s="599"/>
      <c r="O117" s="599"/>
      <c r="P117" s="599"/>
      <c r="Q117" s="599"/>
      <c r="R117" s="599"/>
      <c r="S117" s="599"/>
      <c r="T117" s="599"/>
      <c r="U117" s="599"/>
      <c r="V117" s="599"/>
      <c r="W117" s="599"/>
      <c r="X117" s="599"/>
      <c r="Y117" s="599"/>
      <c r="Z117" s="599"/>
      <c r="AA117" s="599"/>
      <c r="AB117" s="599"/>
      <c r="AC117" s="599"/>
      <c r="AD117" s="599"/>
      <c r="AE117" s="599"/>
      <c r="AF117" s="599"/>
      <c r="AG117" s="599"/>
      <c r="AH117" s="599"/>
      <c r="AI117" s="599"/>
      <c r="AJ117" s="599"/>
      <c r="AK117" s="599"/>
      <c r="AL117" s="599"/>
      <c r="AM117" s="599"/>
      <c r="AN117" s="599"/>
      <c r="AO117" s="599"/>
      <c r="AP117" s="599"/>
      <c r="AQ117" s="599"/>
    </row>
    <row r="118" spans="1:43" s="599" customFormat="1" ht="15" x14ac:dyDescent="0.2">
      <c r="A118" s="608">
        <f>A116+1</f>
        <v>129</v>
      </c>
      <c r="B118" s="604" t="s">
        <v>2199</v>
      </c>
      <c r="C118" s="603"/>
      <c r="D118" s="603"/>
      <c r="E118" s="603"/>
      <c r="F118" s="603"/>
      <c r="G118" s="603"/>
      <c r="H118" s="602"/>
    </row>
    <row r="119" spans="1:43" s="599" customFormat="1" ht="30" x14ac:dyDescent="0.25">
      <c r="A119" s="608">
        <f t="shared" si="3"/>
        <v>130</v>
      </c>
      <c r="B119" s="720" t="s">
        <v>2198</v>
      </c>
      <c r="C119" s="771"/>
      <c r="D119" s="771"/>
      <c r="E119" s="771"/>
      <c r="F119" s="771"/>
      <c r="G119" s="771"/>
      <c r="H119" s="771"/>
    </row>
    <row r="120" spans="1:43" s="599" customFormat="1" ht="30" x14ac:dyDescent="0.25">
      <c r="A120" s="608">
        <f t="shared" si="3"/>
        <v>131</v>
      </c>
      <c r="B120" s="720" t="s">
        <v>2197</v>
      </c>
      <c r="C120" s="771"/>
      <c r="D120" s="771"/>
      <c r="E120" s="771"/>
      <c r="F120" s="771"/>
      <c r="G120" s="771"/>
      <c r="H120" s="771"/>
    </row>
    <row r="121" spans="1:43" s="599" customFormat="1" ht="30" x14ac:dyDescent="0.25">
      <c r="A121" s="608">
        <f t="shared" si="3"/>
        <v>132</v>
      </c>
      <c r="B121" s="720" t="s">
        <v>1572</v>
      </c>
      <c r="C121" s="771"/>
      <c r="D121" s="771"/>
      <c r="E121" s="771"/>
      <c r="F121" s="771"/>
      <c r="G121" s="771"/>
      <c r="H121" s="771"/>
    </row>
    <row r="122" spans="1:43" ht="30" x14ac:dyDescent="0.25">
      <c r="A122" s="608">
        <f t="shared" si="3"/>
        <v>133</v>
      </c>
      <c r="B122" s="720" t="s">
        <v>1571</v>
      </c>
      <c r="C122" s="771"/>
      <c r="D122" s="771"/>
      <c r="E122" s="771"/>
      <c r="F122" s="771"/>
      <c r="G122" s="771"/>
      <c r="H122" s="771"/>
      <c r="I122" s="599"/>
      <c r="J122" s="599"/>
      <c r="K122" s="599"/>
      <c r="L122" s="599"/>
      <c r="M122" s="599"/>
      <c r="N122" s="599"/>
      <c r="O122" s="599"/>
      <c r="P122" s="599"/>
      <c r="Q122" s="599"/>
      <c r="R122" s="599"/>
      <c r="S122" s="599"/>
      <c r="T122" s="599"/>
      <c r="U122" s="599"/>
      <c r="V122" s="599"/>
      <c r="W122" s="599"/>
      <c r="X122" s="599"/>
      <c r="Y122" s="599"/>
      <c r="Z122" s="599"/>
      <c r="AA122" s="599"/>
      <c r="AB122" s="599"/>
      <c r="AC122" s="599"/>
      <c r="AD122" s="599"/>
      <c r="AE122" s="599"/>
      <c r="AF122" s="599"/>
      <c r="AG122" s="599"/>
      <c r="AH122" s="599"/>
      <c r="AI122" s="599"/>
      <c r="AJ122" s="599"/>
      <c r="AK122" s="599"/>
      <c r="AL122" s="599"/>
    </row>
    <row r="123" spans="1:43" s="1122" customFormat="1" ht="15" x14ac:dyDescent="0.2">
      <c r="A123" s="608">
        <f t="shared" si="3"/>
        <v>134</v>
      </c>
      <c r="B123" s="776" t="s">
        <v>2188</v>
      </c>
      <c r="C123" s="776"/>
      <c r="D123" s="776"/>
      <c r="E123" s="776"/>
      <c r="F123" s="776"/>
      <c r="G123" s="776"/>
      <c r="H123" s="776"/>
    </row>
    <row r="124" spans="1:43" s="1122" customFormat="1" ht="30" x14ac:dyDescent="0.25">
      <c r="A124" s="608">
        <f t="shared" si="3"/>
        <v>135</v>
      </c>
      <c r="B124" s="775" t="s">
        <v>2196</v>
      </c>
      <c r="C124" s="775"/>
      <c r="D124" s="775"/>
      <c r="E124" s="775"/>
      <c r="F124" s="775"/>
      <c r="G124" s="775"/>
      <c r="H124" s="775"/>
    </row>
    <row r="125" spans="1:43" s="1122" customFormat="1" ht="45" x14ac:dyDescent="0.25">
      <c r="A125" s="608">
        <f t="shared" si="3"/>
        <v>136</v>
      </c>
      <c r="B125" s="775" t="s">
        <v>2195</v>
      </c>
      <c r="C125" s="775"/>
      <c r="D125" s="775"/>
      <c r="E125" s="775"/>
      <c r="F125" s="775"/>
      <c r="G125" s="775"/>
      <c r="H125" s="775"/>
    </row>
    <row r="126" spans="1:43" s="1122" customFormat="1" ht="30" x14ac:dyDescent="0.25">
      <c r="A126" s="608">
        <f t="shared" si="3"/>
        <v>137</v>
      </c>
      <c r="B126" s="775" t="s">
        <v>2194</v>
      </c>
      <c r="C126" s="775"/>
      <c r="D126" s="775"/>
      <c r="E126" s="775"/>
      <c r="F126" s="775"/>
      <c r="G126" s="775"/>
      <c r="H126" s="775"/>
    </row>
    <row r="127" spans="1:43" ht="15" x14ac:dyDescent="0.25">
      <c r="A127" s="608">
        <f t="shared" si="3"/>
        <v>138</v>
      </c>
      <c r="B127" s="775" t="s">
        <v>2193</v>
      </c>
      <c r="C127" s="775"/>
      <c r="D127" s="775"/>
      <c r="E127" s="775"/>
      <c r="F127" s="775"/>
      <c r="G127" s="775"/>
      <c r="H127" s="775"/>
      <c r="I127" s="599"/>
      <c r="J127" s="599"/>
      <c r="K127" s="599"/>
      <c r="L127" s="599"/>
      <c r="M127" s="599"/>
      <c r="N127" s="599"/>
      <c r="O127" s="599"/>
      <c r="P127" s="599"/>
      <c r="Q127" s="599"/>
      <c r="R127" s="599"/>
      <c r="S127" s="599"/>
      <c r="T127" s="599"/>
      <c r="U127" s="599"/>
      <c r="V127" s="599"/>
      <c r="W127" s="599"/>
      <c r="X127" s="599"/>
      <c r="Y127" s="599"/>
      <c r="Z127" s="599"/>
      <c r="AA127" s="599"/>
      <c r="AB127" s="599"/>
      <c r="AC127" s="599"/>
    </row>
    <row r="128" spans="1:43" s="599" customFormat="1" ht="15" x14ac:dyDescent="0.2">
      <c r="A128" s="608">
        <f t="shared" si="3"/>
        <v>139</v>
      </c>
      <c r="B128" s="604" t="s">
        <v>2192</v>
      </c>
      <c r="C128" s="603"/>
      <c r="D128" s="603"/>
      <c r="E128" s="603"/>
      <c r="F128" s="603"/>
      <c r="G128" s="603"/>
      <c r="H128" s="602"/>
    </row>
    <row r="129" spans="1:8" ht="30" x14ac:dyDescent="0.25">
      <c r="A129" s="608">
        <f t="shared" si="3"/>
        <v>140</v>
      </c>
      <c r="B129" s="775" t="s">
        <v>2191</v>
      </c>
      <c r="C129" s="775"/>
      <c r="D129" s="775"/>
      <c r="E129" s="775"/>
      <c r="F129" s="775"/>
      <c r="G129" s="775"/>
      <c r="H129" s="775"/>
    </row>
    <row r="130" spans="1:8" ht="45" x14ac:dyDescent="0.25">
      <c r="A130" s="608">
        <f t="shared" si="3"/>
        <v>141</v>
      </c>
      <c r="B130" s="775" t="s">
        <v>2190</v>
      </c>
      <c r="C130" s="775"/>
      <c r="D130" s="775"/>
      <c r="E130" s="775"/>
      <c r="F130" s="775"/>
      <c r="G130" s="775"/>
      <c r="H130" s="775"/>
    </row>
    <row r="131" spans="1:8" ht="15" x14ac:dyDescent="0.25">
      <c r="A131" s="608"/>
      <c r="B131" s="1148" t="s">
        <v>2224</v>
      </c>
      <c r="C131" s="1149"/>
      <c r="D131" s="1149"/>
      <c r="E131" s="1149"/>
      <c r="F131" s="1149"/>
      <c r="G131" s="1149"/>
      <c r="H131" s="1149"/>
    </row>
    <row r="132" spans="1:8" s="599" customFormat="1" ht="15" x14ac:dyDescent="0.2">
      <c r="A132" s="608">
        <f>A130+1</f>
        <v>142</v>
      </c>
      <c r="B132" s="604" t="s">
        <v>2189</v>
      </c>
      <c r="C132" s="603"/>
      <c r="D132" s="603"/>
      <c r="E132" s="603"/>
      <c r="F132" s="603"/>
      <c r="G132" s="603"/>
      <c r="H132" s="602"/>
    </row>
    <row r="133" spans="1:8" ht="30" x14ac:dyDescent="0.25">
      <c r="A133" s="608">
        <f t="shared" si="3"/>
        <v>143</v>
      </c>
      <c r="B133" s="720" t="s">
        <v>3396</v>
      </c>
      <c r="C133" s="771"/>
      <c r="D133" s="771"/>
      <c r="E133" s="771"/>
      <c r="F133" s="771"/>
      <c r="G133" s="771"/>
      <c r="H133" s="771"/>
    </row>
    <row r="134" spans="1:8" s="599" customFormat="1" ht="15" x14ac:dyDescent="0.2">
      <c r="A134" s="608">
        <v>144</v>
      </c>
      <c r="B134" s="604" t="s">
        <v>3520</v>
      </c>
      <c r="C134" s="603"/>
      <c r="D134" s="603"/>
      <c r="E134" s="603"/>
      <c r="F134" s="603"/>
      <c r="G134" s="603"/>
      <c r="H134" s="602"/>
    </row>
    <row r="135" spans="1:8" s="599" customFormat="1" ht="15" x14ac:dyDescent="0.25">
      <c r="A135" s="608">
        <f t="shared" ref="A135:A167" si="4">A134+1</f>
        <v>145</v>
      </c>
      <c r="B135" s="720" t="s">
        <v>3397</v>
      </c>
      <c r="C135" s="771"/>
      <c r="D135" s="771"/>
      <c r="E135" s="771"/>
      <c r="F135" s="771"/>
      <c r="G135" s="771"/>
      <c r="H135" s="771"/>
    </row>
    <row r="136" spans="1:8" s="1125" customFormat="1" ht="15" x14ac:dyDescent="0.25">
      <c r="A136" s="608">
        <f t="shared" si="4"/>
        <v>146</v>
      </c>
      <c r="B136" s="604" t="s">
        <v>3410</v>
      </c>
      <c r="C136" s="603"/>
      <c r="D136" s="603"/>
      <c r="E136" s="603"/>
      <c r="F136" s="603"/>
      <c r="G136" s="603"/>
      <c r="H136" s="602"/>
    </row>
    <row r="137" spans="1:8" ht="15" x14ac:dyDescent="0.25">
      <c r="A137" s="608">
        <f t="shared" si="4"/>
        <v>147</v>
      </c>
      <c r="B137" s="513" t="s">
        <v>3411</v>
      </c>
      <c r="C137" s="1136"/>
      <c r="D137" s="1136"/>
      <c r="E137" s="1136"/>
      <c r="F137" s="1136"/>
      <c r="G137" s="1136"/>
      <c r="H137" s="1136"/>
    </row>
    <row r="138" spans="1:8" ht="30" x14ac:dyDescent="0.25">
      <c r="A138" s="608">
        <f t="shared" si="4"/>
        <v>148</v>
      </c>
      <c r="B138" s="513" t="s">
        <v>3506</v>
      </c>
      <c r="C138" s="1136"/>
      <c r="D138" s="1136"/>
      <c r="E138" s="1136"/>
      <c r="F138" s="1136"/>
      <c r="G138" s="1136"/>
      <c r="H138" s="1136"/>
    </row>
    <row r="139" spans="1:8" s="1125" customFormat="1" ht="15" x14ac:dyDescent="0.25">
      <c r="A139" s="608">
        <f t="shared" si="4"/>
        <v>149</v>
      </c>
      <c r="B139" s="1137" t="s">
        <v>3496</v>
      </c>
      <c r="C139" s="603"/>
      <c r="D139" s="603"/>
      <c r="E139" s="603"/>
      <c r="F139" s="603"/>
      <c r="G139" s="603"/>
      <c r="H139" s="602"/>
    </row>
    <row r="140" spans="1:8" ht="30" x14ac:dyDescent="0.25">
      <c r="A140" s="608">
        <f t="shared" si="4"/>
        <v>150</v>
      </c>
      <c r="B140" s="513" t="s">
        <v>3497</v>
      </c>
      <c r="C140" s="1136"/>
      <c r="D140" s="1136"/>
      <c r="E140" s="1136"/>
      <c r="F140" s="1136"/>
      <c r="G140" s="1136"/>
      <c r="H140" s="1136"/>
    </row>
    <row r="141" spans="1:8" ht="15" x14ac:dyDescent="0.25">
      <c r="A141" s="608">
        <f t="shared" si="4"/>
        <v>151</v>
      </c>
      <c r="B141" s="501" t="s">
        <v>3498</v>
      </c>
      <c r="C141" s="607"/>
      <c r="D141" s="607"/>
      <c r="E141" s="607"/>
      <c r="F141" s="606"/>
      <c r="G141" s="606"/>
      <c r="H141" s="1136"/>
    </row>
    <row r="142" spans="1:8" ht="15" x14ac:dyDescent="0.25">
      <c r="A142" s="608">
        <f t="shared" si="4"/>
        <v>152</v>
      </c>
      <c r="B142" s="1138" t="s">
        <v>236</v>
      </c>
      <c r="C142" s="1136"/>
      <c r="D142" s="1136"/>
      <c r="E142" s="1136"/>
      <c r="F142" s="1136"/>
      <c r="G142" s="1136"/>
      <c r="H142" s="1136"/>
    </row>
    <row r="143" spans="1:8" ht="15" x14ac:dyDescent="0.25">
      <c r="A143" s="608">
        <f t="shared" si="4"/>
        <v>153</v>
      </c>
      <c r="B143" s="1138" t="s">
        <v>1908</v>
      </c>
      <c r="C143" s="1136"/>
      <c r="D143" s="1136"/>
      <c r="E143" s="1136"/>
      <c r="F143" s="1136"/>
      <c r="G143" s="1136"/>
      <c r="H143" s="1136"/>
    </row>
    <row r="144" spans="1:8" ht="15" x14ac:dyDescent="0.25">
      <c r="A144" s="608">
        <f t="shared" si="4"/>
        <v>154</v>
      </c>
      <c r="B144" s="1138" t="s">
        <v>1907</v>
      </c>
      <c r="C144" s="1136"/>
      <c r="D144" s="1136"/>
      <c r="E144" s="1136"/>
      <c r="F144" s="1136"/>
      <c r="G144" s="1136"/>
      <c r="H144" s="1136"/>
    </row>
    <row r="145" spans="1:8" ht="15" x14ac:dyDescent="0.25">
      <c r="A145" s="608">
        <f t="shared" si="4"/>
        <v>155</v>
      </c>
      <c r="B145" s="1138" t="s">
        <v>2806</v>
      </c>
      <c r="C145" s="1136"/>
      <c r="D145" s="1136"/>
      <c r="E145" s="1136"/>
      <c r="F145" s="1136"/>
      <c r="G145" s="1136"/>
      <c r="H145" s="1136"/>
    </row>
    <row r="146" spans="1:8" ht="15" x14ac:dyDescent="0.25">
      <c r="A146" s="608">
        <f t="shared" si="4"/>
        <v>156</v>
      </c>
      <c r="B146" s="1138" t="s">
        <v>100</v>
      </c>
      <c r="C146" s="1136"/>
      <c r="D146" s="1136"/>
      <c r="E146" s="1136"/>
      <c r="F146" s="1136"/>
      <c r="G146" s="1136"/>
      <c r="H146" s="1136"/>
    </row>
    <row r="147" spans="1:8" ht="15" x14ac:dyDescent="0.25">
      <c r="A147" s="608">
        <f t="shared" si="4"/>
        <v>157</v>
      </c>
      <c r="B147" s="501" t="s">
        <v>3499</v>
      </c>
      <c r="C147" s="607"/>
      <c r="D147" s="607"/>
      <c r="E147" s="607"/>
      <c r="F147" s="606"/>
      <c r="G147" s="606"/>
      <c r="H147" s="1136"/>
    </row>
    <row r="148" spans="1:8" ht="15" x14ac:dyDescent="0.25">
      <c r="A148" s="608">
        <f t="shared" si="4"/>
        <v>158</v>
      </c>
      <c r="B148" s="1138" t="s">
        <v>299</v>
      </c>
      <c r="C148" s="1136"/>
      <c r="D148" s="1136"/>
      <c r="E148" s="1136"/>
      <c r="F148" s="1136"/>
      <c r="G148" s="1136"/>
      <c r="H148" s="1136"/>
    </row>
    <row r="149" spans="1:8" ht="15" x14ac:dyDescent="0.25">
      <c r="A149" s="608">
        <f t="shared" si="4"/>
        <v>159</v>
      </c>
      <c r="B149" s="1138" t="s">
        <v>2778</v>
      </c>
      <c r="C149" s="1136"/>
      <c r="D149" s="1136"/>
      <c r="E149" s="1136"/>
      <c r="F149" s="1136"/>
      <c r="G149" s="1136"/>
      <c r="H149" s="1136"/>
    </row>
    <row r="150" spans="1:8" ht="15" x14ac:dyDescent="0.25">
      <c r="A150" s="608">
        <f t="shared" si="4"/>
        <v>160</v>
      </c>
      <c r="B150" s="1138" t="s">
        <v>3500</v>
      </c>
      <c r="C150" s="1136"/>
      <c r="D150" s="1136"/>
      <c r="E150" s="1136"/>
      <c r="F150" s="1136"/>
      <c r="G150" s="1136"/>
      <c r="H150" s="1136"/>
    </row>
    <row r="151" spans="1:8" ht="15" x14ac:dyDescent="0.25">
      <c r="A151" s="608">
        <f t="shared" si="4"/>
        <v>161</v>
      </c>
      <c r="B151" s="501" t="s">
        <v>3501</v>
      </c>
      <c r="C151" s="607"/>
      <c r="D151" s="607"/>
      <c r="E151" s="607"/>
      <c r="F151" s="606"/>
      <c r="G151" s="606"/>
      <c r="H151" s="1136"/>
    </row>
    <row r="152" spans="1:8" ht="15" x14ac:dyDescent="0.25">
      <c r="A152" s="608">
        <f t="shared" si="4"/>
        <v>162</v>
      </c>
      <c r="B152" s="1138" t="s">
        <v>1791</v>
      </c>
      <c r="C152" s="1136"/>
      <c r="D152" s="1136"/>
      <c r="E152" s="1136"/>
      <c r="F152" s="1136"/>
      <c r="G152" s="1136"/>
      <c r="H152" s="1136"/>
    </row>
    <row r="153" spans="1:8" ht="15" x14ac:dyDescent="0.25">
      <c r="A153" s="608">
        <f t="shared" si="4"/>
        <v>163</v>
      </c>
      <c r="B153" s="1138" t="s">
        <v>295</v>
      </c>
      <c r="C153" s="1136"/>
      <c r="D153" s="1136"/>
      <c r="E153" s="1136"/>
      <c r="F153" s="1136"/>
      <c r="G153" s="1136"/>
      <c r="H153" s="1136"/>
    </row>
    <row r="154" spans="1:8" ht="15" x14ac:dyDescent="0.25">
      <c r="A154" s="608">
        <f t="shared" si="4"/>
        <v>164</v>
      </c>
      <c r="B154" s="1138" t="s">
        <v>296</v>
      </c>
      <c r="C154" s="1136"/>
      <c r="D154" s="1136"/>
      <c r="E154" s="1136"/>
      <c r="F154" s="1136"/>
      <c r="G154" s="1136"/>
      <c r="H154" s="1136"/>
    </row>
    <row r="155" spans="1:8" ht="15" x14ac:dyDescent="0.25">
      <c r="A155" s="608">
        <f t="shared" si="4"/>
        <v>165</v>
      </c>
      <c r="B155" s="1138" t="s">
        <v>1383</v>
      </c>
      <c r="C155" s="1136"/>
      <c r="D155" s="1136"/>
      <c r="E155" s="1136"/>
      <c r="F155" s="1136"/>
      <c r="G155" s="1136"/>
      <c r="H155" s="1136"/>
    </row>
    <row r="156" spans="1:8" s="1125" customFormat="1" ht="15" x14ac:dyDescent="0.25">
      <c r="A156" s="608">
        <f t="shared" si="4"/>
        <v>166</v>
      </c>
      <c r="B156" s="1137" t="s">
        <v>3425</v>
      </c>
      <c r="C156" s="603"/>
      <c r="D156" s="603"/>
      <c r="E156" s="603"/>
      <c r="F156" s="603"/>
      <c r="G156" s="603"/>
      <c r="H156" s="602"/>
    </row>
    <row r="157" spans="1:8" ht="15" x14ac:dyDescent="0.25">
      <c r="A157" s="608">
        <f t="shared" si="4"/>
        <v>167</v>
      </c>
      <c r="B157" s="513" t="s">
        <v>3502</v>
      </c>
      <c r="C157" s="607"/>
      <c r="D157" s="607"/>
      <c r="E157" s="607"/>
      <c r="F157" s="606"/>
      <c r="G157" s="606"/>
      <c r="H157" s="1136"/>
    </row>
    <row r="158" spans="1:8" ht="15" x14ac:dyDescent="0.25">
      <c r="A158" s="608">
        <f t="shared" si="4"/>
        <v>168</v>
      </c>
      <c r="B158" s="501" t="s">
        <v>3503</v>
      </c>
      <c r="C158" s="1136"/>
      <c r="D158" s="1136"/>
      <c r="E158" s="1136"/>
      <c r="F158" s="1136"/>
      <c r="G158" s="1136"/>
      <c r="H158" s="1136"/>
    </row>
    <row r="159" spans="1:8" ht="15" x14ac:dyDescent="0.25">
      <c r="A159" s="608">
        <f t="shared" si="4"/>
        <v>169</v>
      </c>
      <c r="B159" s="501" t="s">
        <v>3504</v>
      </c>
      <c r="C159" s="1136"/>
      <c r="D159" s="1136"/>
      <c r="E159" s="1136"/>
      <c r="F159" s="1136"/>
      <c r="G159" s="1136"/>
      <c r="H159" s="1136"/>
    </row>
    <row r="160" spans="1:8" ht="15" x14ac:dyDescent="0.25">
      <c r="A160" s="608">
        <f t="shared" si="4"/>
        <v>170</v>
      </c>
      <c r="B160" s="501" t="s">
        <v>3505</v>
      </c>
      <c r="C160" s="1136"/>
      <c r="D160" s="1136"/>
      <c r="E160" s="1136"/>
      <c r="F160" s="1136"/>
      <c r="G160" s="1136"/>
      <c r="H160" s="1136"/>
    </row>
    <row r="161" spans="1:8" s="1125" customFormat="1" ht="15" x14ac:dyDescent="0.25">
      <c r="A161" s="608">
        <f t="shared" si="4"/>
        <v>171</v>
      </c>
      <c r="B161" s="1137" t="s">
        <v>3426</v>
      </c>
      <c r="C161" s="603"/>
      <c r="D161" s="603"/>
      <c r="E161" s="603"/>
      <c r="F161" s="603"/>
      <c r="G161" s="603"/>
      <c r="H161" s="602"/>
    </row>
    <row r="162" spans="1:8" ht="15" x14ac:dyDescent="0.25">
      <c r="A162" s="608">
        <f t="shared" si="4"/>
        <v>172</v>
      </c>
      <c r="B162" s="513" t="s">
        <v>3502</v>
      </c>
      <c r="C162" s="607"/>
      <c r="D162" s="607"/>
      <c r="E162" s="607"/>
      <c r="F162" s="606"/>
      <c r="G162" s="606"/>
      <c r="H162" s="1136"/>
    </row>
    <row r="163" spans="1:8" ht="15" x14ac:dyDescent="0.25">
      <c r="A163" s="608">
        <f t="shared" si="4"/>
        <v>173</v>
      </c>
      <c r="B163" s="501" t="s">
        <v>3503</v>
      </c>
      <c r="C163" s="1136"/>
      <c r="D163" s="1136"/>
      <c r="E163" s="1136"/>
      <c r="F163" s="1136"/>
      <c r="G163" s="1136"/>
      <c r="H163" s="1136"/>
    </row>
    <row r="164" spans="1:8" ht="15" x14ac:dyDescent="0.25">
      <c r="A164" s="608">
        <f t="shared" si="4"/>
        <v>174</v>
      </c>
      <c r="B164" s="501" t="s">
        <v>3504</v>
      </c>
      <c r="C164" s="1136"/>
      <c r="D164" s="1136"/>
      <c r="E164" s="1136"/>
      <c r="F164" s="1136"/>
      <c r="G164" s="1136"/>
      <c r="H164" s="1136"/>
    </row>
    <row r="165" spans="1:8" ht="15" x14ac:dyDescent="0.25">
      <c r="A165" s="608">
        <f t="shared" si="4"/>
        <v>175</v>
      </c>
      <c r="B165" s="501" t="s">
        <v>3505</v>
      </c>
      <c r="C165" s="1136"/>
      <c r="D165" s="1136"/>
      <c r="E165" s="1136"/>
      <c r="F165" s="1136"/>
      <c r="G165" s="1136"/>
      <c r="H165" s="1136"/>
    </row>
    <row r="166" spans="1:8" s="1125" customFormat="1" ht="15" x14ac:dyDescent="0.25">
      <c r="A166" s="608">
        <f t="shared" si="4"/>
        <v>176</v>
      </c>
      <c r="B166" s="1137" t="s">
        <v>3427</v>
      </c>
      <c r="C166" s="603"/>
      <c r="D166" s="603"/>
      <c r="E166" s="603"/>
      <c r="F166" s="603"/>
      <c r="G166" s="603"/>
      <c r="H166" s="602"/>
    </row>
    <row r="167" spans="1:8" ht="30" x14ac:dyDescent="0.25">
      <c r="A167" s="1177">
        <f t="shared" si="4"/>
        <v>177</v>
      </c>
      <c r="B167" s="1178" t="s">
        <v>3507</v>
      </c>
      <c r="C167" s="1179"/>
      <c r="D167" s="1179"/>
      <c r="E167" s="1179"/>
      <c r="F167" s="1179"/>
      <c r="G167" s="1179"/>
      <c r="H167" s="1179"/>
    </row>
    <row r="168" spans="1:8" s="1147" customFormat="1" ht="15" x14ac:dyDescent="0.25">
      <c r="A168" s="1185" t="s">
        <v>3567</v>
      </c>
      <c r="B168" s="1186"/>
      <c r="C168" s="1187"/>
      <c r="D168" s="1187"/>
      <c r="E168" s="1187"/>
      <c r="F168" s="1187"/>
      <c r="G168" s="1187"/>
      <c r="H168" s="1187"/>
    </row>
    <row r="169" spans="1:8" ht="15" x14ac:dyDescent="0.2">
      <c r="A169" s="608">
        <f>A91+1</f>
        <v>60</v>
      </c>
      <c r="B169" s="480" t="s">
        <v>1603</v>
      </c>
      <c r="C169" s="479"/>
      <c r="D169" s="479"/>
      <c r="E169" s="479"/>
      <c r="F169" s="479"/>
      <c r="G169" s="479"/>
      <c r="H169" s="478"/>
    </row>
    <row r="170" spans="1:8" ht="30" x14ac:dyDescent="0.25">
      <c r="A170" s="608">
        <f>A169+1</f>
        <v>61</v>
      </c>
      <c r="B170" s="617" t="s">
        <v>3515</v>
      </c>
      <c r="C170" s="617"/>
      <c r="D170" s="617"/>
      <c r="E170" s="617"/>
      <c r="F170" s="617"/>
      <c r="G170" s="617"/>
      <c r="H170" s="381"/>
    </row>
    <row r="171" spans="1:8" ht="30" x14ac:dyDescent="0.25">
      <c r="A171" s="608">
        <f>A170+1</f>
        <v>62</v>
      </c>
      <c r="B171" s="617" t="s">
        <v>1602</v>
      </c>
      <c r="C171" s="617"/>
      <c r="D171" s="617"/>
      <c r="E171" s="617"/>
      <c r="F171" s="617"/>
      <c r="G171" s="617"/>
      <c r="H171" s="381"/>
    </row>
    <row r="172" spans="1:8" ht="45" x14ac:dyDescent="0.25">
      <c r="A172" s="608">
        <f>A171+1</f>
        <v>63</v>
      </c>
      <c r="B172" s="617" t="s">
        <v>1601</v>
      </c>
      <c r="C172" s="617"/>
      <c r="D172" s="617"/>
      <c r="E172" s="617"/>
      <c r="F172" s="617"/>
      <c r="G172" s="617"/>
      <c r="H172" s="381"/>
    </row>
    <row r="173" spans="1:8" ht="15" x14ac:dyDescent="0.2">
      <c r="A173" s="608">
        <v>64</v>
      </c>
      <c r="B173" s="480" t="s">
        <v>3514</v>
      </c>
      <c r="C173" s="479"/>
      <c r="D173" s="479"/>
      <c r="E173" s="479"/>
      <c r="F173" s="479"/>
      <c r="G173" s="479"/>
      <c r="H173" s="478"/>
    </row>
    <row r="174" spans="1:8" ht="30" x14ac:dyDescent="0.25">
      <c r="A174" s="608">
        <f t="shared" ref="A174:A187" si="5">A173+1</f>
        <v>65</v>
      </c>
      <c r="B174" s="580" t="s">
        <v>1600</v>
      </c>
      <c r="C174" s="580"/>
      <c r="D174" s="580"/>
      <c r="E174" s="580"/>
      <c r="F174" s="580"/>
      <c r="G174" s="580"/>
      <c r="H174" s="381"/>
    </row>
    <row r="175" spans="1:8" ht="45" x14ac:dyDescent="0.25">
      <c r="A175" s="608">
        <f t="shared" si="5"/>
        <v>66</v>
      </c>
      <c r="B175" s="580" t="s">
        <v>1599</v>
      </c>
      <c r="C175" s="580"/>
      <c r="D175" s="580"/>
      <c r="E175" s="580"/>
      <c r="F175" s="580"/>
      <c r="G175" s="580"/>
      <c r="H175" s="381"/>
    </row>
    <row r="176" spans="1:8" ht="30" x14ac:dyDescent="0.2">
      <c r="A176" s="608">
        <f t="shared" si="5"/>
        <v>67</v>
      </c>
      <c r="B176" s="354" t="s">
        <v>1598</v>
      </c>
      <c r="C176" s="332"/>
      <c r="D176" s="332"/>
      <c r="E176" s="332"/>
      <c r="F176" s="332"/>
      <c r="G176" s="332"/>
      <c r="H176" s="381"/>
    </row>
    <row r="177" spans="1:8" ht="30" x14ac:dyDescent="0.2">
      <c r="A177" s="608">
        <f t="shared" si="5"/>
        <v>68</v>
      </c>
      <c r="B177" s="378" t="s">
        <v>1597</v>
      </c>
      <c r="C177" s="334"/>
      <c r="D177" s="334"/>
      <c r="E177" s="334"/>
      <c r="F177" s="334"/>
      <c r="G177" s="334"/>
      <c r="H177" s="381"/>
    </row>
    <row r="178" spans="1:8" ht="15" x14ac:dyDescent="0.2">
      <c r="A178" s="608">
        <f t="shared" si="5"/>
        <v>69</v>
      </c>
      <c r="B178" s="480" t="s">
        <v>1596</v>
      </c>
      <c r="C178" s="479"/>
      <c r="D178" s="479"/>
      <c r="E178" s="479"/>
      <c r="F178" s="479"/>
      <c r="G178" s="479"/>
      <c r="H178" s="478"/>
    </row>
    <row r="179" spans="1:8" ht="30" x14ac:dyDescent="0.2">
      <c r="A179" s="608">
        <f t="shared" si="5"/>
        <v>70</v>
      </c>
      <c r="B179" s="615" t="s">
        <v>1595</v>
      </c>
      <c r="C179" s="614"/>
      <c r="D179" s="614"/>
      <c r="E179" s="614"/>
      <c r="F179" s="614"/>
      <c r="G179" s="614"/>
      <c r="H179" s="381"/>
    </row>
    <row r="180" spans="1:8" ht="15" x14ac:dyDescent="0.2">
      <c r="A180" s="608">
        <f t="shared" si="5"/>
        <v>71</v>
      </c>
      <c r="B180" s="615" t="s">
        <v>1594</v>
      </c>
      <c r="C180" s="614"/>
      <c r="D180" s="614"/>
      <c r="E180" s="614"/>
      <c r="F180" s="614"/>
      <c r="G180" s="614"/>
      <c r="H180" s="381"/>
    </row>
    <row r="181" spans="1:8" ht="15" x14ac:dyDescent="0.2">
      <c r="A181" s="608">
        <f t="shared" si="5"/>
        <v>72</v>
      </c>
      <c r="B181" s="615" t="s">
        <v>1593</v>
      </c>
      <c r="C181" s="614"/>
      <c r="D181" s="614"/>
      <c r="E181" s="614"/>
      <c r="F181" s="614"/>
      <c r="G181" s="614"/>
      <c r="H181" s="381"/>
    </row>
    <row r="182" spans="1:8" ht="30" x14ac:dyDescent="0.2">
      <c r="A182" s="608">
        <f t="shared" si="5"/>
        <v>73</v>
      </c>
      <c r="B182" s="615" t="s">
        <v>1592</v>
      </c>
      <c r="C182" s="614"/>
      <c r="D182" s="614"/>
      <c r="E182" s="614"/>
      <c r="F182" s="614"/>
      <c r="G182" s="614"/>
      <c r="H182" s="381"/>
    </row>
    <row r="183" spans="1:8" ht="30" x14ac:dyDescent="0.25">
      <c r="A183" s="608">
        <f t="shared" si="5"/>
        <v>74</v>
      </c>
      <c r="B183" s="616" t="s">
        <v>1591</v>
      </c>
      <c r="C183" s="614"/>
      <c r="D183" s="614"/>
      <c r="E183" s="614"/>
      <c r="F183" s="614"/>
      <c r="G183" s="614"/>
      <c r="H183" s="381"/>
    </row>
    <row r="184" spans="1:8" ht="45" x14ac:dyDescent="0.25">
      <c r="A184" s="608">
        <f t="shared" si="5"/>
        <v>75</v>
      </c>
      <c r="B184" s="616" t="s">
        <v>1590</v>
      </c>
      <c r="C184" s="614"/>
      <c r="D184" s="614"/>
      <c r="E184" s="614"/>
      <c r="F184" s="614"/>
      <c r="G184" s="614"/>
      <c r="H184" s="381"/>
    </row>
    <row r="185" spans="1:8" ht="45" x14ac:dyDescent="0.25">
      <c r="A185" s="608">
        <f t="shared" si="5"/>
        <v>76</v>
      </c>
      <c r="B185" s="616" t="s">
        <v>1589</v>
      </c>
      <c r="C185" s="614"/>
      <c r="D185" s="614"/>
      <c r="E185" s="614"/>
      <c r="F185" s="614"/>
      <c r="G185" s="614"/>
      <c r="H185" s="381"/>
    </row>
    <row r="186" spans="1:8" ht="15" x14ac:dyDescent="0.2">
      <c r="A186" s="608">
        <f t="shared" si="5"/>
        <v>77</v>
      </c>
      <c r="B186" s="615" t="s">
        <v>1588</v>
      </c>
      <c r="C186" s="614"/>
      <c r="D186" s="614"/>
      <c r="E186" s="614"/>
      <c r="F186" s="614"/>
      <c r="G186" s="614"/>
      <c r="H186" s="381"/>
    </row>
    <row r="187" spans="1:8" ht="15" x14ac:dyDescent="0.2">
      <c r="A187" s="608">
        <f t="shared" si="5"/>
        <v>78</v>
      </c>
      <c r="B187" s="615" t="s">
        <v>1587</v>
      </c>
      <c r="C187" s="614"/>
      <c r="D187" s="614"/>
      <c r="E187" s="614"/>
      <c r="F187" s="614"/>
      <c r="G187" s="614"/>
      <c r="H187" s="381"/>
    </row>
    <row r="188" spans="1:8" ht="15" x14ac:dyDescent="0.2">
      <c r="A188" s="608">
        <f>A210+1</f>
        <v>97</v>
      </c>
      <c r="B188" s="480" t="s">
        <v>1577</v>
      </c>
      <c r="C188" s="479"/>
      <c r="D188" s="479"/>
      <c r="E188" s="479"/>
      <c r="F188" s="479"/>
      <c r="G188" s="479"/>
      <c r="H188" s="478"/>
    </row>
    <row r="189" spans="1:8" ht="30" x14ac:dyDescent="0.2">
      <c r="A189" s="608">
        <f t="shared" ref="A189:A194" si="6">A188+1</f>
        <v>98</v>
      </c>
      <c r="B189" s="610" t="s">
        <v>3518</v>
      </c>
      <c r="C189" s="324"/>
      <c r="D189" s="324"/>
      <c r="E189" s="324"/>
      <c r="F189" s="324"/>
      <c r="G189" s="324"/>
      <c r="H189" s="381"/>
    </row>
    <row r="190" spans="1:8" ht="15" x14ac:dyDescent="0.2">
      <c r="A190" s="608">
        <f t="shared" si="6"/>
        <v>99</v>
      </c>
      <c r="B190" s="354" t="s">
        <v>1576</v>
      </c>
      <c r="C190" s="607"/>
      <c r="D190" s="607"/>
      <c r="E190" s="607"/>
      <c r="F190" s="606"/>
      <c r="G190" s="606"/>
      <c r="H190" s="381"/>
    </row>
    <row r="191" spans="1:8" ht="15" x14ac:dyDescent="0.2">
      <c r="A191" s="608">
        <f t="shared" si="6"/>
        <v>100</v>
      </c>
      <c r="B191" s="376" t="s">
        <v>1575</v>
      </c>
      <c r="C191" s="332"/>
      <c r="D191" s="332"/>
      <c r="E191" s="332"/>
      <c r="F191" s="332"/>
      <c r="G191" s="332"/>
      <c r="H191" s="381"/>
    </row>
    <row r="192" spans="1:8" ht="15" x14ac:dyDescent="0.2">
      <c r="A192" s="608">
        <f t="shared" si="6"/>
        <v>101</v>
      </c>
      <c r="B192" s="376" t="s">
        <v>1574</v>
      </c>
      <c r="C192" s="332"/>
      <c r="D192" s="332"/>
      <c r="E192" s="332"/>
      <c r="F192" s="332"/>
      <c r="G192" s="332"/>
      <c r="H192" s="381"/>
    </row>
    <row r="193" spans="1:8" ht="15" x14ac:dyDescent="0.2">
      <c r="A193" s="608">
        <f t="shared" si="6"/>
        <v>102</v>
      </c>
      <c r="B193" s="480" t="s">
        <v>666</v>
      </c>
      <c r="C193" s="479"/>
      <c r="D193" s="479"/>
      <c r="E193" s="479"/>
      <c r="F193" s="479"/>
      <c r="G193" s="479"/>
      <c r="H193" s="478"/>
    </row>
    <row r="194" spans="1:8" ht="30" x14ac:dyDescent="0.2">
      <c r="A194" s="608">
        <f t="shared" si="6"/>
        <v>103</v>
      </c>
      <c r="B194" s="623" t="s">
        <v>3603</v>
      </c>
      <c r="C194" s="288"/>
      <c r="D194" s="288"/>
      <c r="E194" s="288"/>
      <c r="F194" s="288"/>
      <c r="G194" s="288"/>
      <c r="H194" s="412"/>
    </row>
    <row r="195" spans="1:8" ht="15" x14ac:dyDescent="0.2">
      <c r="A195" s="608"/>
      <c r="B195" s="480" t="s">
        <v>3510</v>
      </c>
      <c r="C195" s="479"/>
      <c r="D195" s="479"/>
      <c r="E195" s="479"/>
      <c r="F195" s="479"/>
      <c r="G195" s="479"/>
      <c r="H195" s="478"/>
    </row>
    <row r="196" spans="1:8" ht="30" x14ac:dyDescent="0.2">
      <c r="A196" s="608"/>
      <c r="B196" s="623" t="s">
        <v>3604</v>
      </c>
      <c r="C196" s="288"/>
      <c r="D196" s="288"/>
      <c r="E196" s="288"/>
      <c r="F196" s="288"/>
      <c r="G196" s="288"/>
      <c r="H196" s="412"/>
    </row>
    <row r="197" spans="1:8" ht="15" x14ac:dyDescent="0.2">
      <c r="A197" s="608">
        <v>84</v>
      </c>
      <c r="B197" s="480" t="s">
        <v>1586</v>
      </c>
      <c r="C197" s="479"/>
      <c r="D197" s="479"/>
      <c r="E197" s="479"/>
      <c r="F197" s="479"/>
      <c r="G197" s="479"/>
      <c r="H197" s="478"/>
    </row>
    <row r="198" spans="1:8" ht="30" x14ac:dyDescent="0.2">
      <c r="A198" s="608">
        <f t="shared" ref="A198:A207" si="7">A197+1</f>
        <v>85</v>
      </c>
      <c r="B198" s="610" t="s">
        <v>3516</v>
      </c>
      <c r="C198" s="324"/>
      <c r="D198" s="324"/>
      <c r="E198" s="324"/>
      <c r="F198" s="324"/>
      <c r="G198" s="324"/>
      <c r="H198" s="381" t="s">
        <v>3522</v>
      </c>
    </row>
    <row r="199" spans="1:8" ht="30" x14ac:dyDescent="0.25">
      <c r="A199" s="608">
        <f t="shared" si="7"/>
        <v>86</v>
      </c>
      <c r="B199" s="579" t="s">
        <v>1585</v>
      </c>
      <c r="C199" s="324"/>
      <c r="D199" s="324"/>
      <c r="E199" s="324"/>
      <c r="F199" s="324"/>
      <c r="G199" s="324"/>
      <c r="H199" s="381"/>
    </row>
    <row r="200" spans="1:8" ht="45" x14ac:dyDescent="0.2">
      <c r="A200" s="608">
        <f t="shared" si="7"/>
        <v>87</v>
      </c>
      <c r="B200" s="610" t="s">
        <v>1584</v>
      </c>
      <c r="C200" s="324"/>
      <c r="D200" s="324"/>
      <c r="E200" s="324"/>
      <c r="F200" s="324"/>
      <c r="G200" s="324"/>
      <c r="H200" s="381"/>
    </row>
    <row r="201" spans="1:8" ht="30" x14ac:dyDescent="0.2">
      <c r="A201" s="608">
        <f t="shared" si="7"/>
        <v>88</v>
      </c>
      <c r="B201" s="610" t="s">
        <v>1583</v>
      </c>
      <c r="C201" s="324"/>
      <c r="D201" s="324"/>
      <c r="E201" s="324"/>
      <c r="F201" s="324"/>
      <c r="G201" s="324"/>
      <c r="H201" s="381"/>
    </row>
    <row r="202" spans="1:8" ht="30" x14ac:dyDescent="0.25">
      <c r="A202" s="608">
        <f t="shared" si="7"/>
        <v>89</v>
      </c>
      <c r="B202" s="610" t="s">
        <v>1582</v>
      </c>
      <c r="C202" s="579"/>
      <c r="D202" s="579"/>
      <c r="E202" s="579"/>
      <c r="F202" s="579"/>
      <c r="G202" s="579"/>
      <c r="H202" s="381"/>
    </row>
    <row r="203" spans="1:8" ht="15" x14ac:dyDescent="0.25">
      <c r="A203" s="608">
        <f t="shared" si="7"/>
        <v>90</v>
      </c>
      <c r="B203" s="610" t="s">
        <v>1581</v>
      </c>
      <c r="C203" s="579"/>
      <c r="D203" s="579"/>
      <c r="E203" s="579"/>
      <c r="F203" s="579"/>
      <c r="G203" s="579"/>
      <c r="H203" s="381"/>
    </row>
    <row r="204" spans="1:8" ht="15" x14ac:dyDescent="0.25">
      <c r="A204" s="608">
        <f t="shared" si="7"/>
        <v>91</v>
      </c>
      <c r="B204" s="610" t="s">
        <v>1580</v>
      </c>
      <c r="C204" s="612"/>
      <c r="D204" s="612"/>
      <c r="E204" s="612"/>
      <c r="F204" s="612"/>
      <c r="G204" s="612"/>
      <c r="H204" s="381"/>
    </row>
    <row r="205" spans="1:8" ht="15" x14ac:dyDescent="0.25">
      <c r="A205" s="608">
        <f t="shared" si="7"/>
        <v>92</v>
      </c>
      <c r="B205" s="611" t="s">
        <v>402</v>
      </c>
      <c r="C205" s="579"/>
      <c r="D205" s="579"/>
      <c r="E205" s="579"/>
      <c r="F205" s="579"/>
      <c r="G205" s="579"/>
      <c r="H205" s="381"/>
    </row>
    <row r="206" spans="1:8" ht="15" x14ac:dyDescent="0.25">
      <c r="A206" s="608">
        <f t="shared" si="7"/>
        <v>93</v>
      </c>
      <c r="B206" s="611" t="s">
        <v>190</v>
      </c>
      <c r="C206" s="579"/>
      <c r="D206" s="579"/>
      <c r="E206" s="579"/>
      <c r="F206" s="579"/>
      <c r="G206" s="579"/>
      <c r="H206" s="381"/>
    </row>
    <row r="207" spans="1:8" ht="15" x14ac:dyDescent="0.25">
      <c r="A207" s="608">
        <f t="shared" si="7"/>
        <v>94</v>
      </c>
      <c r="B207" s="611" t="s">
        <v>1059</v>
      </c>
      <c r="C207" s="579"/>
      <c r="D207" s="579"/>
      <c r="E207" s="579"/>
      <c r="F207" s="579"/>
      <c r="G207" s="579"/>
      <c r="H207" s="381"/>
    </row>
    <row r="208" spans="1:8" ht="15" x14ac:dyDescent="0.25">
      <c r="A208" s="608">
        <v>95</v>
      </c>
      <c r="B208" s="611" t="s">
        <v>3517</v>
      </c>
      <c r="C208" s="579"/>
      <c r="D208" s="579"/>
      <c r="E208" s="579"/>
      <c r="F208" s="579"/>
      <c r="G208" s="579"/>
      <c r="H208" s="381"/>
    </row>
    <row r="209" spans="1:8" ht="45" x14ac:dyDescent="0.25">
      <c r="A209" s="608">
        <f>A207+1</f>
        <v>95</v>
      </c>
      <c r="B209" s="610" t="s">
        <v>1579</v>
      </c>
      <c r="C209" s="579"/>
      <c r="D209" s="579"/>
      <c r="E209" s="579"/>
      <c r="F209" s="579"/>
      <c r="G209" s="579"/>
      <c r="H209" s="381"/>
    </row>
    <row r="210" spans="1:8" ht="15" x14ac:dyDescent="0.25">
      <c r="A210" s="608">
        <f>A209+1</f>
        <v>96</v>
      </c>
      <c r="B210" s="610" t="s">
        <v>1578</v>
      </c>
      <c r="C210" s="579"/>
      <c r="D210" s="579"/>
      <c r="E210" s="579"/>
      <c r="F210" s="579"/>
      <c r="G210" s="579"/>
      <c r="H210" s="381"/>
    </row>
  </sheetData>
  <customSheetViews>
    <customSheetView guid="{D97329D5-B649-4B2F-86D7-C6BEAE913806}" scale="125" fitToPage="1" topLeftCell="A194">
      <selection activeCell="C163" sqref="C163"/>
      <pageMargins left="0.7" right="0.7" top="0.75" bottom="0.75" header="0.3" footer="0.3"/>
      <pageSetup scale="94" fitToHeight="21" orientation="landscape" r:id="rId1"/>
    </customSheetView>
    <customSheetView guid="{9208F210-2ED8-4398-A0D6-491045D9FDEB}" scale="80" showPageBreaks="1" fitToPage="1" printArea="1" topLeftCell="A177">
      <selection activeCell="B212" sqref="B212"/>
      <pageMargins left="0.7" right="0.7" top="0.75" bottom="0.75" header="0.3" footer="0.3"/>
      <pageSetup scale="94" fitToHeight="21" orientation="landscape" r:id="rId2"/>
    </customSheetView>
    <customSheetView guid="{A68BF0CC-C2ED-4B16-81B1-1B708EA22356}" scale="125" showPageBreaks="1" fitToPage="1" printArea="1" topLeftCell="A158">
      <selection activeCell="H157" sqref="H157"/>
      <pageMargins left="0.7" right="0.7" top="0.75" bottom="0.75" header="0.3" footer="0.3"/>
      <pageSetup scale="94" fitToHeight="21" orientation="landscape" r:id="rId3"/>
    </customSheetView>
    <customSheetView guid="{FF37031A-F1B7-4AA7-A7E7-E41A94ECF4B1}" scale="125" fitToPage="1" topLeftCell="A194">
      <selection activeCell="C163" sqref="C163"/>
      <pageMargins left="0.7" right="0.7" top="0.75" bottom="0.75" header="0.3" footer="0.3"/>
      <pageSetup scale="94" fitToHeight="21" orientation="landscape" r:id="rId4"/>
    </customSheetView>
    <customSheetView guid="{C0DA29AC-16E2-4A15-8C4F-F71595E8BC75}" scale="110" fitToPage="1" topLeftCell="A184">
      <selection activeCell="C163" sqref="C163"/>
      <pageMargins left="0.7" right="0.7" top="0.75" bottom="0.75" header="0.3" footer="0.3"/>
      <pageSetup scale="94" fitToHeight="21" orientation="landscape" r:id="rId5"/>
    </customSheetView>
  </customSheetViews>
  <mergeCells count="30">
    <mergeCell ref="C30:H30"/>
    <mergeCell ref="C26:H26"/>
    <mergeCell ref="C27:H27"/>
    <mergeCell ref="C28:H28"/>
    <mergeCell ref="C29:H29"/>
    <mergeCell ref="C21:H21"/>
    <mergeCell ref="C22:H22"/>
    <mergeCell ref="C23:H23"/>
    <mergeCell ref="C24:H24"/>
    <mergeCell ref="C25:H25"/>
    <mergeCell ref="C16:H16"/>
    <mergeCell ref="C17:H17"/>
    <mergeCell ref="C18:H18"/>
    <mergeCell ref="C19:H19"/>
    <mergeCell ref="C20:H20"/>
    <mergeCell ref="C11:H11"/>
    <mergeCell ref="C12:H12"/>
    <mergeCell ref="C13:H13"/>
    <mergeCell ref="C14:H14"/>
    <mergeCell ref="C15:H15"/>
    <mergeCell ref="C6:H6"/>
    <mergeCell ref="C7:H7"/>
    <mergeCell ref="C8:H8"/>
    <mergeCell ref="C9:H9"/>
    <mergeCell ref="C10:H10"/>
    <mergeCell ref="A1:H1"/>
    <mergeCell ref="A2:H2"/>
    <mergeCell ref="A3:H3"/>
    <mergeCell ref="A4:H4"/>
    <mergeCell ref="C5:H5"/>
  </mergeCells>
  <pageMargins left="0.7" right="0.7" top="0.75" bottom="0.75" header="0.3" footer="0.3"/>
  <pageSetup scale="61" fitToHeight="21" orientation="landscape" r:id="rId6"/>
  <headerFooter>
    <oddFooter>&amp;LATTACHMENT  F  -  Spokane County RFP No. P8705</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
  <sheetViews>
    <sheetView workbookViewId="0">
      <selection activeCell="D18" sqref="D18"/>
    </sheetView>
  </sheetViews>
  <sheetFormatPr defaultRowHeight="15" x14ac:dyDescent="0.25"/>
  <cols>
    <col min="1" max="1" width="4" customWidth="1"/>
    <col min="2" max="2" width="60.28515625" bestFit="1" customWidth="1"/>
    <col min="3" max="3" width="15.7109375" style="1021" customWidth="1"/>
    <col min="4" max="4" width="30.5703125" customWidth="1"/>
    <col min="5" max="5" width="16.140625" customWidth="1"/>
  </cols>
  <sheetData/>
  <customSheetViews>
    <customSheetView guid="{D97329D5-B649-4B2F-86D7-C6BEAE913806}">
      <selection activeCell="D11" sqref="D11:D12"/>
      <pageMargins left="0.7" right="0.7" top="0.75" bottom="0.75" header="0.3" footer="0.3"/>
    </customSheetView>
    <customSheetView guid="{9208F210-2ED8-4398-A0D6-491045D9FDEB}">
      <selection activeCell="E5" sqref="E5"/>
      <pageMargins left="0.7" right="0.7" top="0.75" bottom="0.75" header="0.3" footer="0.3"/>
    </customSheetView>
    <customSheetView guid="{A68BF0CC-C2ED-4B16-81B1-1B708EA22356}">
      <selection activeCell="C13" sqref="C13"/>
      <pageMargins left="0.7" right="0.7" top="0.75" bottom="0.75" header="0.3" footer="0.3"/>
    </customSheetView>
    <customSheetView guid="{FF37031A-F1B7-4AA7-A7E7-E41A94ECF4B1}">
      <selection activeCell="D18" sqref="D18"/>
      <pageMargins left="0.7" right="0.7" top="0.75" bottom="0.75" header="0.3" footer="0.3"/>
    </customSheetView>
    <customSheetView guid="{C0DA29AC-16E2-4A15-8C4F-F71595E8BC75}">
      <selection activeCell="D18" sqref="D18"/>
      <pageMargins left="0.7" right="0.7" top="0.75" bottom="0.75" header="0.3" footer="0.3"/>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859EA4015EDF42AB658AB4FC31121E" ma:contentTypeVersion="0" ma:contentTypeDescription="Create a new document." ma:contentTypeScope="" ma:versionID="fa8d9ae4e955626def1876a7c5def27c">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F68D09-89F5-4C31-9EB6-36A8F9018DF4}">
  <ds:schemaRefs>
    <ds:schemaRef ds:uri="http://schemas.microsoft.com/sharepoint/v3/contenttype/forms"/>
  </ds:schemaRefs>
</ds:datastoreItem>
</file>

<file path=customXml/itemProps2.xml><?xml version="1.0" encoding="utf-8"?>
<ds:datastoreItem xmlns:ds="http://schemas.openxmlformats.org/officeDocument/2006/customXml" ds:itemID="{E4D3F0BF-8F2A-485E-966D-6812CC688E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C514FB72-D498-45A6-9C8D-0A5815C2865D}">
  <ds:schemaRefs>
    <ds:schemaRef ds:uri="http://schemas.microsoft.com/office/2006/metadata/properties"/>
    <ds:schemaRef ds:uri="http://purl.org/dc/elements/1.1/"/>
    <ds:schemaRef ds:uri="http://purl.org/dc/dcmityp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84</vt:i4>
      </vt:variant>
    </vt:vector>
  </HeadingPairs>
  <TitlesOfParts>
    <vt:vector size="92" baseType="lpstr">
      <vt:lpstr>Instructions</vt:lpstr>
      <vt:lpstr>Global</vt:lpstr>
      <vt:lpstr>CAD</vt:lpstr>
      <vt:lpstr>CAD Mobile</vt:lpstr>
      <vt:lpstr>RMS</vt:lpstr>
      <vt:lpstr>RMS Field Reporting</vt:lpstr>
      <vt:lpstr>Interfaces</vt:lpstr>
      <vt:lpstr> </vt:lpstr>
      <vt:lpstr>Additional_Report_Forms</vt:lpstr>
      <vt:lpstr>'CAD Mobile'!Application_Integration</vt:lpstr>
      <vt:lpstr>Audit_Trails</vt:lpstr>
      <vt:lpstr>CAD!Automatic_Vehicle_Location__AVL</vt:lpstr>
      <vt:lpstr>CAD!BOLOs</vt:lpstr>
      <vt:lpstr>CAD!CAD_and_Mobile_Messaging</vt:lpstr>
      <vt:lpstr>CAD!CAD_AVL</vt:lpstr>
      <vt:lpstr>CAD!CAD_BOLOs</vt:lpstr>
      <vt:lpstr>CAD!CAD_Call_Disposition</vt:lpstr>
      <vt:lpstr>CAD!CAD_Call_Management</vt:lpstr>
      <vt:lpstr>CAD!CAD_Communications_Supervisor_Report</vt:lpstr>
      <vt:lpstr>CAD!CAD_Communications_Supervisor_Support</vt:lpstr>
      <vt:lpstr>CAD!CAD_Dispatching</vt:lpstr>
      <vt:lpstr>CAD!CAD_Mapping</vt:lpstr>
      <vt:lpstr>CAD!CAD_Mapping_Requirements</vt:lpstr>
      <vt:lpstr>CAD!CAD_Reporting_And_Query</vt:lpstr>
      <vt:lpstr>CAD!CAD_Reporting_and_Query_Features</vt:lpstr>
      <vt:lpstr>CAD!CAD_System_Admin</vt:lpstr>
      <vt:lpstr>CAD!CAD_Towed_Vehicles</vt:lpstr>
      <vt:lpstr>CAD!CAD_Unit_Management</vt:lpstr>
      <vt:lpstr>CAD!Call_Disposition</vt:lpstr>
      <vt:lpstr>CAD!Call_Management</vt:lpstr>
      <vt:lpstr>CAD!Call_Taking</vt:lpstr>
      <vt:lpstr>Code_Table_Admin</vt:lpstr>
      <vt:lpstr>CAD!Communications_Supervisor_Support</vt:lpstr>
      <vt:lpstr>Create_Supplementa</vt:lpstr>
      <vt:lpstr>'RMS Field Reporting'!Data_Entry</vt:lpstr>
      <vt:lpstr>CAD!Dispatching</vt:lpstr>
      <vt:lpstr>'CAD Mobile'!Emergency_Key</vt:lpstr>
      <vt:lpstr>'CAD Mobile'!Emergency_Key_Functionality</vt:lpstr>
      <vt:lpstr>'RMS Field Reporting'!Field_Contacts</vt:lpstr>
      <vt:lpstr>Field_Reporting_Functional_Requirements</vt:lpstr>
      <vt:lpstr>'CAD Mobile'!Function_Keys</vt:lpstr>
      <vt:lpstr>'CAD Mobile'!Function_Keys_Commands</vt:lpstr>
      <vt:lpstr>'CAD Mobile'!General__Mobile_Data_Computing_Features</vt:lpstr>
      <vt:lpstr>'RMS Field Reporting'!General_AFR_Requirements</vt:lpstr>
      <vt:lpstr>CAD!General_CAD_Requirements</vt:lpstr>
      <vt:lpstr>'CAD Mobile'!General_Mobile_Requirements</vt:lpstr>
      <vt:lpstr>CAD!Global_CAD_Features</vt:lpstr>
      <vt:lpstr>Global_Features</vt:lpstr>
      <vt:lpstr>Global_Report_and_Query</vt:lpstr>
      <vt:lpstr>Global_System_Features</vt:lpstr>
      <vt:lpstr>Logons</vt:lpstr>
      <vt:lpstr>CAD!Map_Data</vt:lpstr>
      <vt:lpstr>CAD!Map_Functionality</vt:lpstr>
      <vt:lpstr>CAD!Map_Nav</vt:lpstr>
      <vt:lpstr>CAD!Messaging</vt:lpstr>
      <vt:lpstr>'CAD Mobile'!Mobile_Application_Integration</vt:lpstr>
      <vt:lpstr>'CAD Mobile'!Mobile_Application_User_Interface</vt:lpstr>
      <vt:lpstr>'CAD Mobile'!Mobile_Dispatch_Operations</vt:lpstr>
      <vt:lpstr>Mobile_Integration</vt:lpstr>
      <vt:lpstr>'CAD Mobile'!Mobile_Mapping</vt:lpstr>
      <vt:lpstr>'CAD Mobile'!Mobile_Mobile_Mapping</vt:lpstr>
      <vt:lpstr>'CAD Mobile'!Mobile_Security</vt:lpstr>
      <vt:lpstr>'CAD Mobile'!Mobile_User_Interface</vt:lpstr>
      <vt:lpstr>Online_Documentation</vt:lpstr>
      <vt:lpstr>CAD!Operational_Queries</vt:lpstr>
      <vt:lpstr>CAD!Print_Area</vt:lpstr>
      <vt:lpstr>'CAD Mobile'!Print_Area</vt:lpstr>
      <vt:lpstr>Global!Print_Area</vt:lpstr>
      <vt:lpstr>Interfaces!Print_Area</vt:lpstr>
      <vt:lpstr>RMS!Print_Area</vt:lpstr>
      <vt:lpstr>'RMS Field Reporting'!Print_Area</vt:lpstr>
      <vt:lpstr>CAD!Print_Titles</vt:lpstr>
      <vt:lpstr>'CAD Mobile'!Print_Titles</vt:lpstr>
      <vt:lpstr>Global!Print_Titles</vt:lpstr>
      <vt:lpstr>'RMS Field Reporting'!Print_Titles</vt:lpstr>
      <vt:lpstr>'CAD Mobile'!Queries</vt:lpstr>
      <vt:lpstr>'RMS Field Reporting'!Report_Access</vt:lpstr>
      <vt:lpstr>'RMS Field Reporting'!Report_Approval</vt:lpstr>
      <vt:lpstr>'RMS Field Reporting'!Report_Initiation</vt:lpstr>
      <vt:lpstr>'RMS Field Reporting'!Report_Submission</vt:lpstr>
      <vt:lpstr>'RMS Field Reporting'!Report_Workload_Management</vt:lpstr>
      <vt:lpstr>RMS_General_Requirements</vt:lpstr>
      <vt:lpstr>RMS_Integration</vt:lpstr>
      <vt:lpstr>'CAD Mobile'!Security</vt:lpstr>
      <vt:lpstr>Security_Admin</vt:lpstr>
      <vt:lpstr>'CAD Mobile'!Status_Views</vt:lpstr>
      <vt:lpstr>CAD!Supplemental_Resource</vt:lpstr>
      <vt:lpstr>Towed</vt:lpstr>
      <vt:lpstr>CAD!Towed_Vehicles</vt:lpstr>
      <vt:lpstr>CAD!Unit_Management</vt:lpstr>
      <vt:lpstr>User_IDs</vt:lpstr>
      <vt:lpstr>CAD!User_interface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DELTAWRX</dc:creator>
  <cp:lastModifiedBy>Bruce H Price</cp:lastModifiedBy>
  <cp:lastPrinted>2014-05-08T19:24:56Z</cp:lastPrinted>
  <dcterms:created xsi:type="dcterms:W3CDTF">2011-07-05T16:31:11Z</dcterms:created>
  <dcterms:modified xsi:type="dcterms:W3CDTF">2014-05-08T19:28:34Z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0x0101000D859EA4015EDF42AB658AB4FC31121E</vt:lpwstr>
  </property>
</Properties>
</file>