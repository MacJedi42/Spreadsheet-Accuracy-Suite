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565"/>
  </bookViews>
  <sheets>
    <sheet name="March 15th Payment-Final AC" sheetId="1" r:id="rId1"/>
  </sheets>
  <externalReferences>
    <externalReference r:id="rId2"/>
  </externalReferences>
  <definedNames>
    <definedName name="_xlnm.Print_Titles" localSheetId="0">'March 15th Payment-Final AC'!$B:$D,'March 15th Payment-Final AC'!$1:$11</definedName>
    <definedName name="TitleRegion1.a2.i496.1">'March 15th Payment-Final AC'!$I$496</definedName>
  </definedNames>
  <calcPr calcId="145621"/>
</workbook>
</file>

<file path=xl/calcChain.xml><?xml version="1.0" encoding="utf-8"?>
<calcChain xmlns="http://schemas.openxmlformats.org/spreadsheetml/2006/main">
  <c r="G496" i="1" l="1"/>
  <c r="I496" i="1" s="1"/>
  <c r="G495" i="1"/>
  <c r="I495" i="1" s="1"/>
  <c r="G494" i="1"/>
  <c r="I494" i="1" s="1"/>
  <c r="G493" i="1"/>
  <c r="I493" i="1" s="1"/>
  <c r="G492" i="1"/>
  <c r="I492" i="1" s="1"/>
  <c r="G491" i="1"/>
  <c r="I491" i="1" s="1"/>
  <c r="G490" i="1"/>
  <c r="I490" i="1" s="1"/>
  <c r="G489" i="1"/>
  <c r="I489" i="1" s="1"/>
  <c r="G488" i="1"/>
  <c r="I488" i="1" s="1"/>
  <c r="G487" i="1"/>
  <c r="I487" i="1" s="1"/>
  <c r="G486" i="1"/>
  <c r="I486" i="1" s="1"/>
  <c r="G485" i="1"/>
  <c r="I485" i="1" s="1"/>
  <c r="G484" i="1"/>
  <c r="I484" i="1" s="1"/>
  <c r="G483" i="1"/>
  <c r="I483" i="1" s="1"/>
  <c r="G482" i="1"/>
  <c r="I482" i="1" s="1"/>
  <c r="G481" i="1"/>
  <c r="I481" i="1" s="1"/>
  <c r="G480" i="1"/>
  <c r="I480" i="1" s="1"/>
  <c r="G479" i="1"/>
  <c r="I479" i="1" s="1"/>
  <c r="G478" i="1"/>
  <c r="I478" i="1" s="1"/>
  <c r="G477" i="1"/>
  <c r="I477" i="1" s="1"/>
  <c r="G476" i="1"/>
  <c r="I476" i="1" s="1"/>
  <c r="G475" i="1"/>
  <c r="I475" i="1" s="1"/>
  <c r="G474" i="1"/>
  <c r="I474" i="1" s="1"/>
  <c r="G473" i="1"/>
  <c r="I473" i="1" s="1"/>
  <c r="G472" i="1"/>
  <c r="I472" i="1" s="1"/>
  <c r="G471" i="1"/>
  <c r="I471" i="1" s="1"/>
  <c r="I470" i="1"/>
  <c r="G470" i="1"/>
  <c r="G469" i="1"/>
  <c r="I469" i="1" s="1"/>
  <c r="G468" i="1"/>
  <c r="I468" i="1" s="1"/>
  <c r="G467" i="1"/>
  <c r="I467" i="1" s="1"/>
  <c r="G466" i="1"/>
  <c r="I466" i="1" s="1"/>
  <c r="G465" i="1"/>
  <c r="I465" i="1" s="1"/>
  <c r="I464" i="1"/>
  <c r="I463" i="1"/>
  <c r="G463" i="1"/>
  <c r="G462" i="1"/>
  <c r="I462" i="1" s="1"/>
  <c r="I461" i="1"/>
  <c r="G461" i="1"/>
  <c r="G460" i="1"/>
  <c r="I460" i="1" s="1"/>
  <c r="I459" i="1"/>
  <c r="G459" i="1"/>
  <c r="G458" i="1"/>
  <c r="I458" i="1" s="1"/>
  <c r="I457" i="1"/>
  <c r="G457" i="1"/>
  <c r="G456" i="1"/>
  <c r="I456" i="1" s="1"/>
  <c r="I455" i="1"/>
  <c r="G455" i="1"/>
  <c r="G454" i="1"/>
  <c r="I454" i="1" s="1"/>
  <c r="I453" i="1"/>
  <c r="G453" i="1"/>
  <c r="G452" i="1"/>
  <c r="I452" i="1" s="1"/>
  <c r="I451" i="1"/>
  <c r="G451" i="1"/>
  <c r="G450" i="1"/>
  <c r="I450" i="1" s="1"/>
  <c r="I449" i="1"/>
  <c r="G449" i="1"/>
  <c r="G448" i="1"/>
  <c r="I448" i="1" s="1"/>
  <c r="I447" i="1"/>
  <c r="G447" i="1"/>
  <c r="G446" i="1"/>
  <c r="I446" i="1" s="1"/>
  <c r="I445" i="1"/>
  <c r="G445" i="1"/>
  <c r="G444" i="1"/>
  <c r="I444" i="1" s="1"/>
  <c r="I443" i="1"/>
  <c r="G443" i="1"/>
  <c r="G442" i="1"/>
  <c r="I442" i="1" s="1"/>
  <c r="I441" i="1"/>
  <c r="G441" i="1"/>
  <c r="G440" i="1"/>
  <c r="I440" i="1" s="1"/>
  <c r="I439" i="1"/>
  <c r="G439" i="1"/>
  <c r="G438" i="1"/>
  <c r="I438" i="1" s="1"/>
  <c r="I437" i="1"/>
  <c r="G437" i="1"/>
  <c r="G436" i="1"/>
  <c r="I436" i="1" s="1"/>
  <c r="I435" i="1"/>
  <c r="G435" i="1"/>
  <c r="G434" i="1"/>
  <c r="I434" i="1" s="1"/>
  <c r="I433" i="1"/>
  <c r="G433" i="1"/>
  <c r="G432" i="1"/>
  <c r="I432" i="1" s="1"/>
  <c r="I431" i="1"/>
  <c r="G431" i="1"/>
  <c r="G430" i="1"/>
  <c r="I430" i="1" s="1"/>
  <c r="I429" i="1"/>
  <c r="G429" i="1"/>
  <c r="G428" i="1"/>
  <c r="I428" i="1" s="1"/>
  <c r="I427" i="1"/>
  <c r="G427" i="1"/>
  <c r="G426" i="1"/>
  <c r="I426" i="1" s="1"/>
  <c r="I425" i="1"/>
  <c r="G425" i="1"/>
  <c r="G424" i="1"/>
  <c r="I424" i="1" s="1"/>
  <c r="I423" i="1"/>
  <c r="G423" i="1"/>
  <c r="G422" i="1"/>
  <c r="I422" i="1" s="1"/>
  <c r="I421" i="1"/>
  <c r="G421" i="1"/>
  <c r="G420" i="1"/>
  <c r="I420" i="1" s="1"/>
  <c r="I419" i="1"/>
  <c r="G419" i="1"/>
  <c r="G418" i="1"/>
  <c r="I418" i="1" s="1"/>
  <c r="I417" i="1"/>
  <c r="G417" i="1"/>
  <c r="G416" i="1"/>
  <c r="I416" i="1" s="1"/>
  <c r="I415" i="1"/>
  <c r="G415" i="1"/>
  <c r="G414" i="1"/>
  <c r="I414" i="1" s="1"/>
  <c r="I413" i="1"/>
  <c r="G413" i="1"/>
  <c r="G412" i="1"/>
  <c r="I412" i="1" s="1"/>
  <c r="I411" i="1"/>
  <c r="G411" i="1"/>
  <c r="G410" i="1"/>
  <c r="I410" i="1" s="1"/>
  <c r="I409" i="1"/>
  <c r="G409" i="1"/>
  <c r="G408" i="1"/>
  <c r="I408" i="1" s="1"/>
  <c r="I407" i="1"/>
  <c r="G407" i="1"/>
  <c r="G406" i="1"/>
  <c r="I406" i="1" s="1"/>
  <c r="I405" i="1"/>
  <c r="G405" i="1"/>
  <c r="G404" i="1"/>
  <c r="I404" i="1" s="1"/>
  <c r="I403" i="1"/>
  <c r="G403" i="1"/>
  <c r="G402" i="1"/>
  <c r="I402" i="1" s="1"/>
  <c r="I401" i="1"/>
  <c r="G401" i="1"/>
  <c r="G400" i="1"/>
  <c r="I400" i="1" s="1"/>
  <c r="I399" i="1"/>
  <c r="G399" i="1"/>
  <c r="G398" i="1"/>
  <c r="I398" i="1" s="1"/>
  <c r="I397" i="1"/>
  <c r="G397" i="1"/>
  <c r="G396" i="1"/>
  <c r="I396" i="1" s="1"/>
  <c r="I395" i="1"/>
  <c r="G395" i="1"/>
  <c r="G394" i="1"/>
  <c r="I394" i="1" s="1"/>
  <c r="I393" i="1"/>
  <c r="G393" i="1"/>
  <c r="G392" i="1"/>
  <c r="I392" i="1" s="1"/>
  <c r="I391" i="1"/>
  <c r="G391" i="1"/>
  <c r="G390" i="1"/>
  <c r="I390" i="1" s="1"/>
  <c r="I389" i="1"/>
  <c r="G389" i="1"/>
  <c r="G388" i="1"/>
  <c r="I388" i="1" s="1"/>
  <c r="I387" i="1"/>
  <c r="G387" i="1"/>
  <c r="G386" i="1"/>
  <c r="I386" i="1" s="1"/>
  <c r="I385" i="1"/>
  <c r="G385" i="1"/>
  <c r="G384" i="1"/>
  <c r="I384" i="1" s="1"/>
  <c r="I383" i="1"/>
  <c r="G383" i="1"/>
  <c r="G382" i="1"/>
  <c r="I382" i="1" s="1"/>
  <c r="I381" i="1"/>
  <c r="G381" i="1"/>
  <c r="G380" i="1"/>
  <c r="I380" i="1" s="1"/>
  <c r="I379" i="1"/>
  <c r="G379" i="1"/>
  <c r="G378" i="1"/>
  <c r="I378" i="1" s="1"/>
  <c r="I377" i="1"/>
  <c r="G377" i="1"/>
  <c r="G376" i="1"/>
  <c r="I376" i="1" s="1"/>
  <c r="I375" i="1"/>
  <c r="G375" i="1"/>
  <c r="G374" i="1"/>
  <c r="I374" i="1" s="1"/>
  <c r="I373" i="1"/>
  <c r="G373" i="1"/>
  <c r="G372" i="1"/>
  <c r="I372" i="1" s="1"/>
  <c r="I371" i="1"/>
  <c r="G371" i="1"/>
  <c r="G370" i="1"/>
  <c r="I370" i="1" s="1"/>
  <c r="I369" i="1"/>
  <c r="G369" i="1"/>
  <c r="G368" i="1"/>
  <c r="I368" i="1" s="1"/>
  <c r="I367" i="1"/>
  <c r="G367" i="1"/>
  <c r="G366" i="1"/>
  <c r="I366" i="1" s="1"/>
  <c r="I365" i="1"/>
  <c r="G365" i="1"/>
  <c r="G364" i="1"/>
  <c r="I364" i="1" s="1"/>
  <c r="I363" i="1"/>
  <c r="G363" i="1"/>
  <c r="G362" i="1"/>
  <c r="I362" i="1" s="1"/>
  <c r="I361" i="1"/>
  <c r="G361" i="1"/>
  <c r="G360" i="1"/>
  <c r="I360" i="1" s="1"/>
  <c r="I359" i="1"/>
  <c r="G359" i="1"/>
  <c r="G358" i="1"/>
  <c r="I358" i="1" s="1"/>
  <c r="I357" i="1"/>
  <c r="G357" i="1"/>
  <c r="G356" i="1"/>
  <c r="I356" i="1" s="1"/>
  <c r="I355" i="1"/>
  <c r="G355" i="1"/>
  <c r="G354" i="1"/>
  <c r="I354" i="1" s="1"/>
  <c r="I353" i="1"/>
  <c r="G353" i="1"/>
  <c r="G352" i="1"/>
  <c r="I352" i="1" s="1"/>
  <c r="I351" i="1"/>
  <c r="G351" i="1"/>
  <c r="G350" i="1"/>
  <c r="I350" i="1" s="1"/>
  <c r="I349" i="1"/>
  <c r="G349" i="1"/>
  <c r="G348" i="1"/>
  <c r="I348" i="1" s="1"/>
  <c r="I347" i="1"/>
  <c r="G347" i="1"/>
  <c r="G346" i="1"/>
  <c r="I346" i="1" s="1"/>
  <c r="I345" i="1"/>
  <c r="G345" i="1"/>
  <c r="G344" i="1"/>
  <c r="I344" i="1" s="1"/>
  <c r="I343" i="1"/>
  <c r="G343" i="1"/>
  <c r="G342" i="1"/>
  <c r="I342" i="1" s="1"/>
  <c r="I341" i="1"/>
  <c r="G341" i="1"/>
  <c r="G340" i="1"/>
  <c r="I340" i="1" s="1"/>
  <c r="I339" i="1"/>
  <c r="G339" i="1"/>
  <c r="G338" i="1"/>
  <c r="I338" i="1" s="1"/>
  <c r="I337" i="1"/>
  <c r="G337" i="1"/>
  <c r="G336" i="1"/>
  <c r="I336" i="1" s="1"/>
  <c r="I335" i="1"/>
  <c r="G335" i="1"/>
  <c r="G334" i="1"/>
  <c r="I334" i="1" s="1"/>
  <c r="I333" i="1"/>
  <c r="G333" i="1"/>
  <c r="G332" i="1"/>
  <c r="I332" i="1" s="1"/>
  <c r="I331" i="1"/>
  <c r="G331" i="1"/>
  <c r="G330" i="1"/>
  <c r="I330" i="1" s="1"/>
  <c r="I329" i="1"/>
  <c r="G329" i="1"/>
  <c r="G328" i="1"/>
  <c r="I328" i="1" s="1"/>
  <c r="I327" i="1"/>
  <c r="G327" i="1"/>
  <c r="G326" i="1"/>
  <c r="I326" i="1" s="1"/>
  <c r="I325" i="1"/>
  <c r="G325" i="1"/>
  <c r="G324" i="1"/>
  <c r="I324" i="1" s="1"/>
  <c r="I323" i="1"/>
  <c r="G323" i="1"/>
  <c r="G322" i="1"/>
  <c r="I322" i="1" s="1"/>
  <c r="I321" i="1"/>
  <c r="G321" i="1"/>
  <c r="G320" i="1"/>
  <c r="I320" i="1" s="1"/>
  <c r="I319" i="1"/>
  <c r="G319" i="1"/>
  <c r="G318" i="1"/>
  <c r="I318" i="1" s="1"/>
  <c r="I317" i="1"/>
  <c r="G317" i="1"/>
  <c r="G316" i="1"/>
  <c r="I316" i="1" s="1"/>
  <c r="I315" i="1"/>
  <c r="G315" i="1"/>
  <c r="G314" i="1"/>
  <c r="I314" i="1" s="1"/>
  <c r="I313" i="1"/>
  <c r="G313" i="1"/>
  <c r="G312" i="1"/>
  <c r="I312" i="1" s="1"/>
  <c r="I311" i="1"/>
  <c r="G311" i="1"/>
  <c r="G310" i="1"/>
  <c r="I310" i="1" s="1"/>
  <c r="I309" i="1"/>
  <c r="G309" i="1"/>
  <c r="G308" i="1"/>
  <c r="I308" i="1" s="1"/>
  <c r="I307" i="1"/>
  <c r="G307" i="1"/>
  <c r="G306" i="1"/>
  <c r="I306" i="1" s="1"/>
  <c r="I305" i="1"/>
  <c r="G305" i="1"/>
  <c r="G304" i="1"/>
  <c r="I304" i="1" s="1"/>
  <c r="I303" i="1"/>
  <c r="G303" i="1"/>
  <c r="G302" i="1"/>
  <c r="I302" i="1" s="1"/>
  <c r="I301" i="1"/>
  <c r="G301" i="1"/>
  <c r="G300" i="1"/>
  <c r="I300" i="1" s="1"/>
  <c r="I299" i="1"/>
  <c r="G299" i="1"/>
  <c r="G298" i="1"/>
  <c r="I298" i="1" s="1"/>
  <c r="I297" i="1"/>
  <c r="G297" i="1"/>
  <c r="G296" i="1"/>
  <c r="I296" i="1" s="1"/>
  <c r="I295" i="1"/>
  <c r="G295" i="1"/>
  <c r="G294" i="1"/>
  <c r="I294" i="1" s="1"/>
  <c r="I293" i="1"/>
  <c r="G293" i="1"/>
  <c r="G292" i="1"/>
  <c r="I292" i="1" s="1"/>
  <c r="I291" i="1"/>
  <c r="G291" i="1"/>
  <c r="G290" i="1"/>
  <c r="I290" i="1" s="1"/>
  <c r="I289" i="1"/>
  <c r="G289" i="1"/>
  <c r="G288" i="1"/>
  <c r="I288" i="1" s="1"/>
  <c r="I287" i="1"/>
  <c r="G287" i="1"/>
  <c r="G286" i="1"/>
  <c r="I286" i="1" s="1"/>
  <c r="I285" i="1"/>
  <c r="G285" i="1"/>
  <c r="G284" i="1"/>
  <c r="I284" i="1" s="1"/>
  <c r="I283" i="1"/>
  <c r="G283" i="1"/>
  <c r="G282" i="1"/>
  <c r="I282" i="1" s="1"/>
  <c r="I281" i="1"/>
  <c r="G281" i="1"/>
  <c r="G280" i="1"/>
  <c r="I280" i="1" s="1"/>
  <c r="I279" i="1"/>
  <c r="G279" i="1"/>
  <c r="G278" i="1"/>
  <c r="I278" i="1" s="1"/>
  <c r="I277" i="1"/>
  <c r="G277" i="1"/>
  <c r="G276" i="1"/>
  <c r="I276" i="1" s="1"/>
  <c r="I275" i="1"/>
  <c r="G275" i="1"/>
  <c r="G274" i="1"/>
  <c r="I274" i="1" s="1"/>
  <c r="I273" i="1"/>
  <c r="G273" i="1"/>
  <c r="G272" i="1"/>
  <c r="I272" i="1" s="1"/>
  <c r="I271" i="1"/>
  <c r="G271" i="1"/>
  <c r="G270" i="1"/>
  <c r="I270" i="1" s="1"/>
  <c r="I269" i="1"/>
  <c r="G269" i="1"/>
  <c r="G268" i="1"/>
  <c r="I268" i="1" s="1"/>
  <c r="I267" i="1"/>
  <c r="G267" i="1"/>
  <c r="G266" i="1"/>
  <c r="I266" i="1" s="1"/>
  <c r="I265" i="1"/>
  <c r="G265" i="1"/>
  <c r="G264" i="1"/>
  <c r="I264" i="1" s="1"/>
  <c r="I263" i="1"/>
  <c r="G263" i="1"/>
  <c r="G262" i="1"/>
  <c r="I262" i="1" s="1"/>
  <c r="I261" i="1"/>
  <c r="G261" i="1"/>
  <c r="G260" i="1"/>
  <c r="I260" i="1" s="1"/>
  <c r="I259" i="1"/>
  <c r="G259" i="1"/>
  <c r="G258" i="1"/>
  <c r="I258" i="1" s="1"/>
  <c r="I257" i="1"/>
  <c r="G257" i="1"/>
  <c r="G256" i="1"/>
  <c r="I256" i="1" s="1"/>
  <c r="I255" i="1"/>
  <c r="G255" i="1"/>
  <c r="G254" i="1"/>
  <c r="I254" i="1" s="1"/>
  <c r="I253" i="1"/>
  <c r="G253" i="1"/>
  <c r="G252" i="1"/>
  <c r="I252" i="1" s="1"/>
  <c r="I251" i="1"/>
  <c r="G251" i="1"/>
  <c r="G250" i="1"/>
  <c r="I250" i="1" s="1"/>
  <c r="I249" i="1"/>
  <c r="G249" i="1"/>
  <c r="G248" i="1"/>
  <c r="I248" i="1" s="1"/>
  <c r="I247" i="1"/>
  <c r="G247" i="1"/>
  <c r="G246" i="1"/>
  <c r="I246" i="1" s="1"/>
  <c r="I245" i="1"/>
  <c r="G245" i="1"/>
  <c r="G244" i="1"/>
  <c r="I244" i="1" s="1"/>
  <c r="I243" i="1"/>
  <c r="G243" i="1"/>
  <c r="G242" i="1"/>
  <c r="I242" i="1" s="1"/>
  <c r="I241" i="1"/>
  <c r="G241" i="1"/>
  <c r="G240" i="1"/>
  <c r="I240" i="1" s="1"/>
  <c r="I239" i="1"/>
  <c r="G239" i="1"/>
  <c r="G238" i="1"/>
  <c r="I238" i="1" s="1"/>
  <c r="I237" i="1"/>
  <c r="G237" i="1"/>
  <c r="G236" i="1"/>
  <c r="I236" i="1" s="1"/>
  <c r="I235" i="1"/>
  <c r="G235" i="1"/>
  <c r="G234" i="1"/>
  <c r="I234" i="1" s="1"/>
  <c r="I233" i="1"/>
  <c r="G233" i="1"/>
  <c r="G232" i="1"/>
  <c r="I232" i="1" s="1"/>
  <c r="I231" i="1"/>
  <c r="G231" i="1"/>
  <c r="G230" i="1"/>
  <c r="I230" i="1" s="1"/>
  <c r="I229" i="1"/>
  <c r="G229" i="1"/>
  <c r="G228" i="1"/>
  <c r="I228" i="1" s="1"/>
  <c r="I227" i="1"/>
  <c r="G227" i="1"/>
  <c r="G226" i="1"/>
  <c r="I226" i="1" s="1"/>
  <c r="I225" i="1"/>
  <c r="G225" i="1"/>
  <c r="G224" i="1"/>
  <c r="I224" i="1" s="1"/>
  <c r="I223" i="1"/>
  <c r="G223" i="1"/>
  <c r="G222" i="1"/>
  <c r="I222" i="1" s="1"/>
  <c r="I221" i="1"/>
  <c r="G221" i="1"/>
  <c r="G220" i="1"/>
  <c r="I220" i="1" s="1"/>
  <c r="I219" i="1"/>
  <c r="G219" i="1"/>
  <c r="G218" i="1"/>
  <c r="I218" i="1" s="1"/>
  <c r="I217" i="1"/>
  <c r="G217" i="1"/>
  <c r="G216" i="1"/>
  <c r="I216" i="1" s="1"/>
  <c r="I215" i="1"/>
  <c r="G215" i="1"/>
  <c r="G214" i="1"/>
  <c r="I214" i="1" s="1"/>
  <c r="I213" i="1"/>
  <c r="G213" i="1"/>
  <c r="G212" i="1"/>
  <c r="I212" i="1" s="1"/>
  <c r="I211" i="1"/>
  <c r="G211" i="1"/>
  <c r="G210" i="1"/>
  <c r="I210" i="1" s="1"/>
  <c r="I209" i="1"/>
  <c r="G209" i="1"/>
  <c r="G208" i="1"/>
  <c r="I208" i="1" s="1"/>
  <c r="I207" i="1"/>
  <c r="G207" i="1"/>
  <c r="G206" i="1"/>
  <c r="I206" i="1" s="1"/>
  <c r="I205" i="1"/>
  <c r="G205" i="1"/>
  <c r="G204" i="1"/>
  <c r="I204" i="1" s="1"/>
  <c r="I203" i="1"/>
  <c r="G203" i="1"/>
  <c r="G202" i="1"/>
  <c r="I202" i="1" s="1"/>
  <c r="I201" i="1"/>
  <c r="G201" i="1"/>
  <c r="G200" i="1"/>
  <c r="I200" i="1" s="1"/>
  <c r="I199" i="1"/>
  <c r="G199" i="1"/>
  <c r="G198" i="1"/>
  <c r="I198" i="1" s="1"/>
  <c r="I197" i="1"/>
  <c r="G197" i="1"/>
  <c r="G196" i="1"/>
  <c r="I196" i="1" s="1"/>
  <c r="I195" i="1"/>
  <c r="G195" i="1"/>
  <c r="G194" i="1"/>
  <c r="I194" i="1" s="1"/>
  <c r="I193" i="1"/>
  <c r="G193" i="1"/>
  <c r="G192" i="1"/>
  <c r="I192" i="1" s="1"/>
  <c r="I191" i="1"/>
  <c r="G191" i="1"/>
  <c r="G190" i="1"/>
  <c r="I190" i="1" s="1"/>
  <c r="I189" i="1"/>
  <c r="G189" i="1"/>
  <c r="G188" i="1"/>
  <c r="I188" i="1" s="1"/>
  <c r="I187" i="1"/>
  <c r="G187" i="1"/>
  <c r="G186" i="1"/>
  <c r="I186" i="1" s="1"/>
  <c r="I185" i="1"/>
  <c r="G185" i="1"/>
  <c r="G184" i="1"/>
  <c r="I184" i="1" s="1"/>
  <c r="I183" i="1"/>
  <c r="G183" i="1"/>
  <c r="G182" i="1"/>
  <c r="I182" i="1" s="1"/>
  <c r="I181" i="1"/>
  <c r="G181" i="1"/>
  <c r="G180" i="1"/>
  <c r="I180" i="1" s="1"/>
  <c r="I179" i="1"/>
  <c r="G179" i="1"/>
  <c r="G178" i="1"/>
  <c r="I178" i="1" s="1"/>
  <c r="I177" i="1"/>
  <c r="G177" i="1"/>
  <c r="G176" i="1"/>
  <c r="I176" i="1" s="1"/>
  <c r="I175" i="1"/>
  <c r="G175" i="1"/>
  <c r="G174" i="1"/>
  <c r="I174" i="1" s="1"/>
  <c r="I173" i="1"/>
  <c r="G173" i="1"/>
  <c r="G172" i="1"/>
  <c r="I172" i="1" s="1"/>
  <c r="I171" i="1"/>
  <c r="G171" i="1"/>
  <c r="G170" i="1"/>
  <c r="I170" i="1" s="1"/>
  <c r="I169" i="1"/>
  <c r="G169" i="1"/>
  <c r="G168" i="1"/>
  <c r="I168" i="1" s="1"/>
  <c r="G167" i="1"/>
  <c r="I167" i="1" s="1"/>
  <c r="M167" i="1" s="1"/>
  <c r="G166" i="1"/>
  <c r="I166" i="1" s="1"/>
  <c r="G165" i="1"/>
  <c r="I165" i="1" s="1"/>
  <c r="G164" i="1"/>
  <c r="I164" i="1" s="1"/>
  <c r="G163" i="1"/>
  <c r="I163" i="1" s="1"/>
  <c r="G162" i="1"/>
  <c r="I162" i="1" s="1"/>
  <c r="G161" i="1"/>
  <c r="I161" i="1" s="1"/>
  <c r="G160" i="1"/>
  <c r="I160" i="1" s="1"/>
  <c r="G159" i="1"/>
  <c r="I159" i="1" s="1"/>
  <c r="I158" i="1"/>
  <c r="G158" i="1"/>
  <c r="G157" i="1"/>
  <c r="I157" i="1" s="1"/>
  <c r="G156" i="1"/>
  <c r="I156" i="1" s="1"/>
  <c r="G155" i="1"/>
  <c r="I155" i="1" s="1"/>
  <c r="G154" i="1"/>
  <c r="I154" i="1" s="1"/>
  <c r="G153" i="1"/>
  <c r="I153" i="1" s="1"/>
  <c r="G152" i="1"/>
  <c r="I152" i="1" s="1"/>
  <c r="G151" i="1"/>
  <c r="I151" i="1" s="1"/>
  <c r="G150" i="1"/>
  <c r="I150" i="1" s="1"/>
  <c r="G149" i="1"/>
  <c r="I149" i="1" s="1"/>
  <c r="G148" i="1"/>
  <c r="I148" i="1" s="1"/>
  <c r="G147" i="1"/>
  <c r="I147" i="1" s="1"/>
  <c r="G146" i="1"/>
  <c r="I146" i="1" s="1"/>
  <c r="G145" i="1"/>
  <c r="I145" i="1" s="1"/>
  <c r="G144" i="1"/>
  <c r="I144" i="1" s="1"/>
  <c r="G143" i="1"/>
  <c r="I143" i="1" s="1"/>
  <c r="I142" i="1"/>
  <c r="G142" i="1"/>
  <c r="G141" i="1"/>
  <c r="I141" i="1" s="1"/>
  <c r="G140" i="1"/>
  <c r="I140" i="1" s="1"/>
  <c r="G139" i="1"/>
  <c r="I139" i="1" s="1"/>
  <c r="G138" i="1"/>
  <c r="I138" i="1" s="1"/>
  <c r="G137" i="1"/>
  <c r="I137" i="1" s="1"/>
  <c r="G136" i="1"/>
  <c r="I136" i="1" s="1"/>
  <c r="G135" i="1"/>
  <c r="I135" i="1" s="1"/>
  <c r="G134" i="1"/>
  <c r="I134" i="1" s="1"/>
  <c r="G133" i="1"/>
  <c r="I133" i="1" s="1"/>
  <c r="G132" i="1"/>
  <c r="I132" i="1" s="1"/>
  <c r="G131" i="1"/>
  <c r="I131" i="1" s="1"/>
  <c r="G130" i="1"/>
  <c r="I130" i="1" s="1"/>
  <c r="G129" i="1"/>
  <c r="I129" i="1" s="1"/>
  <c r="G128" i="1"/>
  <c r="I128" i="1" s="1"/>
  <c r="G127" i="1"/>
  <c r="I127" i="1" s="1"/>
  <c r="I126" i="1"/>
  <c r="G126" i="1"/>
  <c r="G125" i="1"/>
  <c r="I125" i="1" s="1"/>
  <c r="G124" i="1"/>
  <c r="I124" i="1" s="1"/>
  <c r="G123" i="1"/>
  <c r="I123" i="1" s="1"/>
  <c r="G122" i="1"/>
  <c r="I122" i="1" s="1"/>
  <c r="G121" i="1"/>
  <c r="I121" i="1" s="1"/>
  <c r="G120" i="1"/>
  <c r="I120" i="1" s="1"/>
  <c r="G119" i="1"/>
  <c r="I119" i="1" s="1"/>
  <c r="I118" i="1"/>
  <c r="G118" i="1"/>
  <c r="G117" i="1"/>
  <c r="I117" i="1" s="1"/>
  <c r="G116" i="1"/>
  <c r="I116" i="1" s="1"/>
  <c r="G115" i="1"/>
  <c r="I115" i="1" s="1"/>
  <c r="G114" i="1"/>
  <c r="I114" i="1" s="1"/>
  <c r="G113" i="1"/>
  <c r="I113" i="1" s="1"/>
  <c r="G112" i="1"/>
  <c r="I112" i="1" s="1"/>
  <c r="G111" i="1"/>
  <c r="I111" i="1" s="1"/>
  <c r="I110" i="1"/>
  <c r="G110" i="1"/>
  <c r="G109" i="1"/>
  <c r="I109" i="1" s="1"/>
  <c r="G108" i="1"/>
  <c r="I108" i="1" s="1"/>
  <c r="G107" i="1"/>
  <c r="I107" i="1" s="1"/>
  <c r="G106" i="1"/>
  <c r="I106" i="1" s="1"/>
  <c r="G105" i="1"/>
  <c r="I105" i="1" s="1"/>
  <c r="G104" i="1"/>
  <c r="I104" i="1" s="1"/>
  <c r="G103" i="1"/>
  <c r="I103" i="1" s="1"/>
  <c r="G102" i="1"/>
  <c r="I102" i="1" s="1"/>
  <c r="G101" i="1"/>
  <c r="I101" i="1" s="1"/>
  <c r="G100" i="1"/>
  <c r="I100" i="1" s="1"/>
  <c r="G99" i="1"/>
  <c r="I99" i="1" s="1"/>
  <c r="G98" i="1"/>
  <c r="I98" i="1" s="1"/>
  <c r="G97" i="1"/>
  <c r="I97" i="1" s="1"/>
  <c r="G96" i="1"/>
  <c r="I96" i="1" s="1"/>
  <c r="G95" i="1"/>
  <c r="I95" i="1" s="1"/>
  <c r="G94" i="1"/>
  <c r="I94" i="1" s="1"/>
  <c r="G93" i="1"/>
  <c r="I93" i="1" s="1"/>
  <c r="G92" i="1"/>
  <c r="I92" i="1" s="1"/>
  <c r="G91" i="1"/>
  <c r="I91" i="1" s="1"/>
  <c r="G90" i="1"/>
  <c r="I90" i="1" s="1"/>
  <c r="G89" i="1"/>
  <c r="I89" i="1" s="1"/>
  <c r="G88" i="1"/>
  <c r="I88" i="1" s="1"/>
  <c r="G87" i="1"/>
  <c r="I87" i="1" s="1"/>
  <c r="I86" i="1"/>
  <c r="G86" i="1"/>
  <c r="G85" i="1"/>
  <c r="I85" i="1" s="1"/>
  <c r="G84" i="1"/>
  <c r="I84" i="1" s="1"/>
  <c r="G83" i="1"/>
  <c r="I83" i="1" s="1"/>
  <c r="G82" i="1"/>
  <c r="I82" i="1" s="1"/>
  <c r="G81" i="1"/>
  <c r="I81" i="1" s="1"/>
  <c r="G80" i="1"/>
  <c r="I80" i="1" s="1"/>
  <c r="G79" i="1"/>
  <c r="I79" i="1" s="1"/>
  <c r="I78" i="1"/>
  <c r="G78" i="1"/>
  <c r="G77" i="1"/>
  <c r="I77" i="1" s="1"/>
  <c r="G76" i="1"/>
  <c r="I76" i="1" s="1"/>
  <c r="G75" i="1"/>
  <c r="I75" i="1" s="1"/>
  <c r="G74" i="1"/>
  <c r="I74" i="1" s="1"/>
  <c r="G73" i="1"/>
  <c r="I73" i="1" s="1"/>
  <c r="G72" i="1"/>
  <c r="I72" i="1" s="1"/>
  <c r="G71" i="1"/>
  <c r="I71" i="1" s="1"/>
  <c r="G70" i="1"/>
  <c r="I70" i="1" s="1"/>
  <c r="G69" i="1"/>
  <c r="I69" i="1" s="1"/>
  <c r="G68" i="1"/>
  <c r="I68" i="1" s="1"/>
  <c r="G67" i="1"/>
  <c r="I67" i="1" s="1"/>
  <c r="G66" i="1"/>
  <c r="I66" i="1" s="1"/>
  <c r="G65" i="1"/>
  <c r="I65" i="1" s="1"/>
  <c r="G64" i="1"/>
  <c r="I64" i="1" s="1"/>
  <c r="G63" i="1"/>
  <c r="I63" i="1" s="1"/>
  <c r="G62" i="1"/>
  <c r="I62" i="1" s="1"/>
  <c r="G61" i="1"/>
  <c r="I61" i="1" s="1"/>
  <c r="G60" i="1"/>
  <c r="I60" i="1" s="1"/>
  <c r="G59" i="1"/>
  <c r="I59" i="1" s="1"/>
  <c r="G58" i="1"/>
  <c r="I58" i="1" s="1"/>
  <c r="G57" i="1"/>
  <c r="I57" i="1" s="1"/>
  <c r="G56" i="1"/>
  <c r="I56" i="1" s="1"/>
  <c r="G55" i="1"/>
  <c r="I55" i="1" s="1"/>
  <c r="G54" i="1"/>
  <c r="I54" i="1" s="1"/>
  <c r="G53" i="1"/>
  <c r="I53" i="1" s="1"/>
  <c r="G52" i="1"/>
  <c r="I52" i="1" s="1"/>
  <c r="G51" i="1"/>
  <c r="I51" i="1" s="1"/>
  <c r="G50" i="1"/>
  <c r="I50" i="1" s="1"/>
  <c r="G49" i="1"/>
  <c r="I49" i="1" s="1"/>
  <c r="G48" i="1"/>
  <c r="I48" i="1" s="1"/>
  <c r="G47" i="1"/>
  <c r="I47" i="1" s="1"/>
  <c r="I46" i="1"/>
  <c r="G46" i="1"/>
  <c r="G45" i="1"/>
  <c r="I45" i="1" s="1"/>
  <c r="G44" i="1"/>
  <c r="I44" i="1" s="1"/>
  <c r="G43" i="1"/>
  <c r="I43" i="1" s="1"/>
  <c r="G42" i="1"/>
  <c r="I42" i="1" s="1"/>
  <c r="G41" i="1"/>
  <c r="I41" i="1" s="1"/>
  <c r="G40" i="1"/>
  <c r="I40" i="1" s="1"/>
  <c r="G39" i="1"/>
  <c r="I39" i="1" s="1"/>
  <c r="G38" i="1"/>
  <c r="I38" i="1" s="1"/>
  <c r="G37" i="1"/>
  <c r="I37" i="1" s="1"/>
  <c r="G36" i="1"/>
  <c r="I36" i="1" s="1"/>
  <c r="G35" i="1"/>
  <c r="I35" i="1" s="1"/>
  <c r="G34" i="1"/>
  <c r="I34" i="1" s="1"/>
  <c r="G33" i="1"/>
  <c r="I33" i="1" s="1"/>
  <c r="G32" i="1"/>
  <c r="I32" i="1" s="1"/>
  <c r="G31" i="1"/>
  <c r="I31" i="1" s="1"/>
  <c r="I30" i="1"/>
  <c r="G30" i="1"/>
  <c r="G29" i="1"/>
  <c r="I29" i="1" s="1"/>
  <c r="G28" i="1"/>
  <c r="I28" i="1" s="1"/>
  <c r="G27" i="1"/>
  <c r="I27" i="1" s="1"/>
  <c r="I26" i="1"/>
  <c r="G26" i="1"/>
  <c r="G25" i="1"/>
  <c r="I25" i="1" s="1"/>
  <c r="I24" i="1"/>
  <c r="G24" i="1"/>
  <c r="G23" i="1"/>
  <c r="I23" i="1" s="1"/>
  <c r="I22" i="1"/>
  <c r="G22" i="1"/>
  <c r="G21" i="1"/>
  <c r="I21" i="1" s="1"/>
  <c r="G20" i="1"/>
  <c r="I20" i="1" s="1"/>
  <c r="G19" i="1"/>
  <c r="I19" i="1" s="1"/>
  <c r="I18" i="1"/>
  <c r="G18" i="1"/>
  <c r="G17" i="1"/>
  <c r="I17" i="1" s="1"/>
  <c r="I16" i="1"/>
  <c r="G16" i="1"/>
  <c r="G15" i="1"/>
  <c r="I15" i="1" s="1"/>
  <c r="H12" i="1"/>
  <c r="E12" i="1"/>
  <c r="E5" i="1" s="1"/>
  <c r="E2" i="1"/>
  <c r="E4" i="1" s="1"/>
  <c r="E6" i="1" l="1"/>
  <c r="I12" i="1"/>
  <c r="G4" i="1" s="1"/>
  <c r="G12" i="1"/>
</calcChain>
</file>

<file path=xl/sharedStrings.xml><?xml version="1.0" encoding="utf-8"?>
<sst xmlns="http://schemas.openxmlformats.org/spreadsheetml/2006/main" count="1034" uniqueCount="512">
  <si>
    <t>March 2014 and FY 2014 Final Full Year School Land Trust Endowment Payment</t>
  </si>
  <si>
    <t>Sept 2013 Endowment (Actual)</t>
  </si>
  <si>
    <t>March 2014 Endowment (Actual)</t>
  </si>
  <si>
    <t>FY 2014 Full Year Endowment</t>
  </si>
  <si>
    <t>2012-13 Resident ADM (Final)</t>
  </si>
  <si>
    <t>Full Year Earnings/ADM</t>
  </si>
  <si>
    <t>Estimated</t>
  </si>
  <si>
    <t>Actual</t>
  </si>
  <si>
    <t>School</t>
  </si>
  <si>
    <t>District</t>
  </si>
  <si>
    <t>Earnings Due</t>
  </si>
  <si>
    <t>Earnings</t>
  </si>
  <si>
    <t>District #</t>
  </si>
  <si>
    <t>Type</t>
  </si>
  <si>
    <t>Name</t>
  </si>
  <si>
    <t>Resident ADM</t>
  </si>
  <si>
    <t>Full Year</t>
  </si>
  <si>
    <t>Paid Sept 15</t>
  </si>
  <si>
    <t>Due March 15</t>
  </si>
  <si>
    <t>STATE TOTALS</t>
  </si>
  <si>
    <t>dat_yer</t>
  </si>
  <si>
    <t>dst_num</t>
  </si>
  <si>
    <t>dst_tye</t>
  </si>
  <si>
    <t>uni_nam</t>
  </si>
  <si>
    <t>a10_adm_tot_est_1</t>
  </si>
  <si>
    <t>13-14</t>
  </si>
  <si>
    <t>AITKIN PUBLIC SCHOOL DISTRICT</t>
  </si>
  <si>
    <t>MINNEAPOLIS PUBLIC SCHOOL DIST.</t>
  </si>
  <si>
    <t>HILL CITY PUBLIC SCHOOL DISTRICT</t>
  </si>
  <si>
    <t>MCGREGOR PUBLIC SCHOOL DISTRICT</t>
  </si>
  <si>
    <t>SOUTH ST. PAUL PUBLIC SCHOOL DIST.</t>
  </si>
  <si>
    <t>ANOKA-HENNEPIN PUBLIC SCHOOL DIST.</t>
  </si>
  <si>
    <t>CENTENNIAL PUBLIC SCHOOL DISTRICT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</si>
  <si>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</si>
  <si>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</si>
  <si>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</si>
  <si>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</si>
  <si>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</si>
  <si>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</si>
  <si>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</si>
  <si>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</si>
  <si>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</si>
  <si>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</si>
  <si>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</si>
  <si>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RAPIDS-RICE PUBLIC SCHOOLS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</si>
  <si>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</si>
  <si>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</si>
  <si>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</si>
  <si>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</si>
  <si>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</si>
  <si>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</si>
  <si>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</si>
  <si>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</si>
  <si>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</si>
  <si>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</si>
  <si>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</si>
  <si>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</si>
  <si>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</si>
  <si>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</si>
  <si>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CENTRAL PUBLIC SCHOOL DISTRICT</t>
  </si>
  <si>
    <t>WACONIA PUBLIC SCHOOL DISTRICT</t>
  </si>
  <si>
    <t>WATERTOWN-MAYER PUBLIC SCHOOL DIST.</t>
  </si>
  <si>
    <t>EASTERN CARVER COUNTY PUBLIC SCHOOL</t>
  </si>
  <si>
    <t>WALKER-HACKENSACK-AKELEY SCHL. DIST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</si>
  <si>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</si>
  <si>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</si>
  <si>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</si>
  <si>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</si>
  <si>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</si>
  <si>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</si>
  <si>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</si>
  <si>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</si>
  <si>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</si>
  <si>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</si>
  <si>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</si>
  <si>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</si>
  <si>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</si>
  <si>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</si>
  <si>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</si>
  <si>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</si>
  <si>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</si>
  <si>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</si>
  <si>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</si>
  <si>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</si>
  <si>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</si>
  <si>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</si>
  <si>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</si>
  <si>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</si>
  <si>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</si>
  <si>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DISTRICT</t>
  </si>
  <si>
    <t>ALEXANDRIA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</si>
  <si>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</si>
  <si>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</si>
  <si>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</si>
  <si>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</si>
  <si>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SCHOOLS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</si>
  <si>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</si>
  <si>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</si>
  <si>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</si>
  <si>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</si>
  <si>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</si>
  <si>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</si>
  <si>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</si>
  <si>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</si>
  <si>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</si>
  <si>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</si>
  <si>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</si>
  <si>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</si>
  <si>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</si>
  <si>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</si>
  <si>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</si>
  <si>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</si>
  <si>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</si>
  <si>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</si>
  <si>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</si>
  <si>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</si>
  <si>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</si>
  <si>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</si>
  <si>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</si>
  <si>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</si>
  <si>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</si>
  <si>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 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</si>
  <si>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</si>
  <si>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</si>
  <si>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</si>
  <si>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</si>
  <si>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</si>
  <si>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</si>
  <si>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</si>
  <si>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</si>
  <si>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FRANCONIA PUBLIC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</si>
  <si>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</si>
  <si>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</si>
  <si>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</si>
  <si>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</si>
  <si>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</si>
  <si>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</si>
  <si>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</si>
  <si>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</si>
  <si>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</si>
  <si>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</si>
  <si>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</si>
  <si>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</si>
  <si>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</si>
  <si>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</si>
  <si>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</si>
  <si>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</si>
  <si>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</si>
  <si>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</si>
  <si>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</si>
  <si>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</si>
  <si>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</si>
  <si>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</si>
  <si>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WAUBUN-OGEMA-WHITE EARTH PUBLIC SCH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</si>
  <si>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</si>
  <si>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</si>
  <si>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</si>
  <si>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</si>
  <si>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</si>
  <si>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</si>
  <si>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</si>
  <si>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</si>
  <si>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</si>
  <si>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</si>
  <si>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</si>
  <si>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</si>
  <si>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</si>
  <si>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</si>
  <si>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</si>
  <si>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</si>
  <si>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</si>
  <si>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LEROY-OSTRANDER PUBLIC SCHOOLS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</si>
  <si>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</si>
  <si>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</si>
  <si>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</si>
  <si>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</si>
  <si>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</si>
  <si>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ELLSWORTH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</si>
  <si>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</si>
  <si>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</si>
  <si>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</si>
  <si>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</si>
  <si>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</si>
  <si>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</si>
  <si>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</si>
  <si>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</si>
  <si>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</si>
  <si>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</si>
  <si>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PERHAM-DENT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</si>
  <si>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</si>
  <si>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</si>
  <si>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</si>
  <si>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</si>
  <si>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</si>
  <si>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</si>
  <si>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</si>
  <si>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CLIMAX-SHELLY PUBLIC SCHOOLS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</si>
  <si>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</si>
  <si>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</si>
  <si>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</si>
  <si>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</si>
  <si>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</si>
  <si>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MOUNDS VIEW PUBLIC SCHOOL DISTRICT</t>
  </si>
  <si>
    <t>NORTH ST PAUL-MAPLEWOOD OAKDALE DIS</t>
  </si>
  <si>
    <t>ROSEVILLE PUBLIC SCHOOL DISTRICT</t>
  </si>
  <si>
    <t>WHITE BEAR LAKE SCHOOL DISTRICT</t>
  </si>
  <si>
    <t>ST. PAUL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</si>
  <si>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</si>
  <si>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</si>
  <si>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</si>
  <si>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</si>
  <si>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</si>
  <si>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</si>
  <si>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</si>
  <si>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</si>
  <si>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</si>
  <si>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</si>
  <si>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</si>
  <si>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</si>
  <si>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</si>
  <si>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</si>
  <si>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</si>
  <si>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</si>
  <si>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</si>
  <si>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</si>
  <si>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</si>
  <si>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</si>
  <si>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</si>
  <si>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</si>
  <si>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</si>
  <si>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</si>
  <si>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</si>
  <si>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</si>
  <si>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</si>
  <si>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</si>
  <si>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</si>
  <si>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</si>
  <si>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</si>
  <si>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</si>
  <si>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</si>
  <si>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</si>
  <si>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</si>
  <si>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</si>
  <si>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</si>
  <si>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</si>
  <si>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</si>
  <si>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</si>
  <si>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</si>
  <si>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</si>
  <si>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</si>
  <si>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</si>
  <si>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</si>
  <si>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</si>
  <si>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</si>
  <si>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</si>
  <si>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</si>
  <si>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PRINSBURG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</si>
  <si>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</si>
  <si>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</si>
  <si>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</si>
  <si>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</si>
  <si>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</si>
  <si>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</si>
  <si>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</si>
  <si>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</si>
  <si>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</si>
  <si>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</si>
  <si>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</si>
  <si>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</si>
  <si>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</si>
  <si>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</si>
  <si>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</si>
  <si>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</si>
  <si>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</si>
  <si>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</si>
  <si>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BUFFALO-HANOVER-MONTROSE PUBLIC SCH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</si>
  <si>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</si>
  <si>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</si>
  <si>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</si>
  <si>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</si>
  <si>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</si>
  <si>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</si>
  <si>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</si>
  <si>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</si>
  <si>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</si>
  <si>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</si>
  <si>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</si>
  <si>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</si>
  <si>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</si>
  <si>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</si>
  <si>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</si>
  <si>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</si>
  <si>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</si>
  <si>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</si>
  <si>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</si>
  <si>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</si>
  <si>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BUFFALO LK-HECTOR-STEWART PUBLIC SC</t>
  </si>
  <si>
    <t>DILWORTH-GLYNDON-FELTON</t>
  </si>
  <si>
    <t>HINCKLEY-FINLAYSON SCHOOL DISTRICT</t>
  </si>
  <si>
    <t>LAKEVIEW SCHOOL DISTRICT</t>
  </si>
  <si>
    <t>NRHEG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</si>
  <si>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</si>
  <si>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</si>
  <si>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</si>
  <si>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</si>
  <si>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</si>
  <si>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</si>
  <si>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</si>
  <si>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</si>
  <si>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</si>
  <si>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</si>
  <si>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</si>
  <si>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</si>
  <si>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</si>
  <si>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</si>
  <si>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</si>
  <si>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BELGRADE-BROOTEN-ELROSA SCHOOL DIST</t>
  </si>
  <si>
    <t>G.F.W.</t>
  </si>
  <si>
    <t>A.C.G.C. PUBLIC SCHOOL DISTRICT</t>
  </si>
  <si>
    <t>LE SUEUR-HENDERSON SCHOOL DISTRICT</t>
  </si>
  <si>
    <t>MARTIN COUNTY WEST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</si>
  <si>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</si>
  <si>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</si>
  <si>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</si>
  <si>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</si>
  <si>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</si>
  <si>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GREENBUSH-MIDDLE RIVER SCHOOL DIST.</t>
  </si>
  <si>
    <t>HOWARD LAKE-WAVERLY-WINSTED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</si>
  <si>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</si>
  <si>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</si>
  <si>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</si>
  <si>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</si>
  <si>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</si>
  <si>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</si>
  <si>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MORRIS AREA PUBLIC SCHOOLS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</si>
  <si>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</si>
  <si>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</si>
  <si>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</si>
  <si>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</si>
  <si>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</si>
  <si>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GLENCOE-SILVER LAKE SCHOOL DISTRICT</t>
  </si>
  <si>
    <t>BLUE EARTH AREA PUBLIC SCHOOL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</si>
  <si>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</si>
  <si>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</si>
  <si>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</si>
  <si>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</si>
  <si>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</si>
  <si>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</si>
  <si>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 DISTRICT</t>
  </si>
  <si>
    <t>WESTBROOK-WALNUT GROVE SCHOOLS</t>
  </si>
  <si>
    <t>PLAINVIEW-ELGIN-MILLVILLE</t>
  </si>
  <si>
    <t>RTR PUBLIC SCHOOLS</t>
  </si>
  <si>
    <t>ORTONVILLE PUBLIC SCHOOLS</t>
  </si>
  <si>
    <t>TRACY AREA PUBLIC SCHOOL DISTRICT</t>
  </si>
  <si>
    <t>TRI-CITY UNITED SCHOOL DISTRICT</t>
  </si>
  <si>
    <t>RED LAKE COUNTY CENTRAL PUBLIC SCH</t>
  </si>
  <si>
    <t>ROUND LAKE-BREWSTER PUBLIC SCHOOLS</t>
  </si>
  <si>
    <t>BRANDON-EVANSVILLE PUBLIC SCHOOLS</t>
  </si>
  <si>
    <t>CITY ACADEMY</t>
  </si>
  <si>
    <t>BLUFFVIEW MONTESSORI</t>
  </si>
  <si>
    <t>NEW HEIGHTS SCHOOL, INC.</t>
  </si>
  <si>
    <t>CEDAR RIVERSIDE COMMUNITY SCHOOL</t>
  </si>
  <si>
    <t>METRO DEAF SCHOOL</t>
  </si>
  <si>
    <t>MINNESOTA NEW COUNTRY SCHOOL</t>
  </si>
  <si>
    <t>PACT CHARTER SCHOOL</t>
  </si>
  <si>
    <t>ATHLOS LEADERSHIP ACADEMY</t>
  </si>
  <si>
    <t>COMMUNITY OF PEACE ACADEMY</t>
  </si>
  <si>
    <t>WORLD LEARNER CHARTER SCHOOL</t>
  </si>
  <si>
    <t>MINNESOTA TRANSITIONS CHARTER SCH</t>
  </si>
  <si>
    <t>ACHIEVE LANGUAGE ACADEMY</t>
  </si>
  <si>
    <t>DULUTH PUBLIC SCHOOLS ACADEMY</t>
  </si>
  <si>
    <t>CYBER VILLAGE ACADEMY</t>
  </si>
  <si>
    <t>E.C.H.O. CHARTER SCHOOL</t>
  </si>
  <si>
    <t>HIGHER GROUND ACADEMY</t>
  </si>
  <si>
    <t>ST. PAUL CITY SCHOOL</t>
  </si>
  <si>
    <t>ODYSSEY ACADEMY</t>
  </si>
  <si>
    <t>JENNINGS COMMUNITY LEARNING CENTER</t>
  </si>
  <si>
    <t>HARVEST PREPARATORY SCHOOL</t>
  </si>
  <si>
    <t>LIFE PREP</t>
  </si>
  <si>
    <t>FACE TO FACE ACADEMY</t>
  </si>
  <si>
    <t>SOJOURNER TRUTH ACADEMY</t>
  </si>
  <si>
    <t>HIGH SCHOOL FOR RECORDING ARTS</t>
  </si>
  <si>
    <t>TWIN CITIES ACADEMY</t>
  </si>
  <si>
    <t>MATH AND SCIENCE ACADEMY</t>
  </si>
  <si>
    <t>NORTHWEST PASSAGE HIGH SCHOOL</t>
  </si>
  <si>
    <t>LAFAYETTE PUBLIC CHARTER SCHOOL</t>
  </si>
  <si>
    <t>NORTH LAKES ACADEMY</t>
  </si>
  <si>
    <t>LACRESCENT MONTESSORI ACADEMY</t>
  </si>
  <si>
    <t>NERSTRAND CHARTER SCHOOL</t>
  </si>
  <si>
    <t>ROCHESTER OFF-CAMPUS CHARTER HIGH</t>
  </si>
  <si>
    <t>EL COLEGIO CHARTER SCHOOL</t>
  </si>
  <si>
    <t>SCHOOLCRAFT LEARNING COMMUNITY CHTR</t>
  </si>
  <si>
    <t>CROSSLAKE COMMUNITY CHARTER SCHOOL</t>
  </si>
  <si>
    <t>RIVERWAY LEARNING COMMUNITY CHTR</t>
  </si>
  <si>
    <t>RIVERBEND ACADEMY</t>
  </si>
  <si>
    <t>AURORA CHARTER SCHOOL</t>
  </si>
  <si>
    <t>EXCELL ACADEMY CHARTER</t>
  </si>
  <si>
    <t>HOPE COMMUNITY ACADEMY</t>
  </si>
  <si>
    <t>ACADEMIA CESAR CHAVEZ CHARTER SCH.</t>
  </si>
  <si>
    <t>AFSA HIGH SCHOOL</t>
  </si>
  <si>
    <t>AVALON SCHOOL</t>
  </si>
  <si>
    <t>TWIN CITIES INTERNATIONAL ELEM SCH.</t>
  </si>
  <si>
    <t>MN INTERNATIONAL MIDDLE CHARTER</t>
  </si>
  <si>
    <t>FRIENDSHIP ACDMY OF FINE ARTS CHTR.</t>
  </si>
  <si>
    <t>PILLAGER AREA CHARTER SCHOOL</t>
  </si>
  <si>
    <t>DISCOVERY PUBLIC SCHOOL FARIBAULT</t>
  </si>
  <si>
    <t>BLUESKY CHARTER SCHOOL</t>
  </si>
  <si>
    <t>RIDGEWAY COMMUNITY SCHOOL</t>
  </si>
  <si>
    <t>NORTH SHORE COMMUNITY SCHOOL</t>
  </si>
  <si>
    <t>HARBOR CITY INTERNATIONAL CHARTER</t>
  </si>
  <si>
    <t>WOODSON INSTITUTE FOR EXCELLENCE CH</t>
  </si>
  <si>
    <t>SAGE ACADEMY CHARTER SCHOOL</t>
  </si>
  <si>
    <t>URBAN ACADEMY CHARTER SCHOOL</t>
  </si>
  <si>
    <t>NEW CITY SCHOOL</t>
  </si>
  <si>
    <t>PRAIRIE CREEK COMMUNITY SCHOOL</t>
  </si>
  <si>
    <t>ARCADIA CHARTER SCHOOL</t>
  </si>
  <si>
    <t>WATERSHED HIGH SCHOOL</t>
  </si>
  <si>
    <t>NEW CENTURY ACADEMY</t>
  </si>
  <si>
    <t>TRIO WOLF CREEK DISTANCE LEARNING</t>
  </si>
  <si>
    <t>PARTNERSHIP ACADEMY, INC.</t>
  </si>
  <si>
    <t>NOVA CLASSICAL ACADEMY</t>
  </si>
  <si>
    <t>GREAT EXPECTATIONS</t>
  </si>
  <si>
    <t>MINNESOTA INTERNSHIP CENTER</t>
  </si>
  <si>
    <t>HMONG COLLEGE PREP ACADEMY</t>
  </si>
  <si>
    <t>PALADIN ACADEMY</t>
  </si>
  <si>
    <t>GREAT RIVER SCHOOL</t>
  </si>
  <si>
    <t>TREKNORTH HIGH SCHOOL</t>
  </si>
  <si>
    <t>VOYAGEURS EXPEDITIONARY</t>
  </si>
  <si>
    <t>MAIN STREET SCHOOL PERFORMING ARTS</t>
  </si>
  <si>
    <t>AUGSBURG FAIRVIEW ACADEMY</t>
  </si>
  <si>
    <t>ST PAUL CONSERVATORY PERFORMING ART</t>
  </si>
  <si>
    <t>FRASER ACADEMY</t>
  </si>
  <si>
    <t>MINNEAPOLIS ACADEMY CHARTER SCHOOL</t>
  </si>
  <si>
    <t>LAKES INTERNATIONAL LANGUAGE ADMY</t>
  </si>
  <si>
    <t>KALEIDOSCOPE CHARTER SCHOOL</t>
  </si>
  <si>
    <t>ACADEMIC ARTS HIGH SCHOOL</t>
  </si>
  <si>
    <t>ST. CROIX PREPARATORY ACADEMY</t>
  </si>
  <si>
    <t>UBAH MEDICAL ACADEMY CHARTER SCHOOL</t>
  </si>
  <si>
    <t>EAGLE RIDGE ACADEMY CHARTER SCHOOL</t>
  </si>
  <si>
    <t>DAKOTA AREA COMMUNITY CHARTER SCH</t>
  </si>
  <si>
    <t>BEACON ACADEMY</t>
  </si>
  <si>
    <t>PRAIRIE SEEDS ACADEMY</t>
  </si>
  <si>
    <t>TEAM ACADEMY</t>
  </si>
  <si>
    <t>METRO SCHOOLS CHARTER</t>
  </si>
  <si>
    <t>TWIN CITIES ACADEMY HIGH SCHOOL</t>
  </si>
  <si>
    <t>BEACON PREPARATORY SCHOOL</t>
  </si>
  <si>
    <t>ROCHESTER MATH AND SCIENCE ACADEMY</t>
  </si>
  <si>
    <t>SWAN RIVER MONTESSORI CHARTER SCH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</si>
  <si>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</si>
  <si>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</si>
  <si>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</si>
  <si>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</si>
  <si>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</si>
  <si>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</si>
  <si>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</si>
  <si>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</si>
  <si>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</si>
  <si>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MINNESOTA ONLINE HIGH SCHOOL</t>
  </si>
  <si>
    <t>EDVISIONS OFF CAMPUS SCHOOL</t>
  </si>
  <si>
    <t>TWIN CITIES GERMAN IMMERSION CHRTR</t>
  </si>
  <si>
    <t>DUGSI ACADEMY</t>
  </si>
  <si>
    <t>NAYTAHWAUSH COMMUNITY SCHOOL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</si>
  <si>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</si>
  <si>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</si>
  <si>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</si>
  <si>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</si>
  <si>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</si>
  <si>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LAURA JEFFREY ACADEMY CHARTER</t>
  </si>
  <si>
    <t>EAST RANGE ACADEMY OF TECH-SCIENCE</t>
  </si>
  <si>
    <t>INTERNATIONAL SPANISH LANGUAGE ACAD</t>
  </si>
  <si>
    <t>GLACIAL HILLS ELEMENTARY</t>
  </si>
  <si>
    <t>STONEBRIDGE COMMUNITY SCHOOL</t>
  </si>
  <si>
    <t>HIAWATHA ACADEMIES</t>
  </si>
  <si>
    <t>NOBLE ACADEMY</t>
  </si>
  <si>
    <t>CLARKFIELD CHARTER SCHOOL</t>
  </si>
  <si>
    <t>METRO TECH ACADEMY</t>
  </si>
  <si>
    <t>MINISINAAKWAANG LEADERSHIP ACADEMY</t>
  </si>
  <si>
    <t>LINCOLN INTERNATIONAL SCHOOL</t>
  </si>
  <si>
    <t>COMMUNITY SCHOOL OF EXCELLENCE</t>
  </si>
  <si>
    <t>LIONSGATE ACADEMY</t>
  </si>
  <si>
    <t>ASPEN ACADEMY</t>
  </si>
  <si>
    <t>DAVINCI ACADEMY</t>
  </si>
  <si>
    <t>GLOBAL ACADEMY</t>
  </si>
  <si>
    <t>NATURAL SCIENCE ACADEMY</t>
  </si>
  <si>
    <t>COLOGNE ACADEMY</t>
  </si>
  <si>
    <t>BRIGHT WATER ELEMENTARY</t>
  </si>
  <si>
    <t>RIVERS EDGE ACADEMY</t>
  </si>
  <si>
    <t>KIPP MINNESOTA CHARTER SCHOOL</t>
  </si>
  <si>
    <t>BEST ACADEMY</t>
  </si>
  <si>
    <t>COLLEGE PREPARATORY ELEMENTARY</t>
  </si>
  <si>
    <t>CANNON RIVER STEM SCHOOL</t>
  </si>
  <si>
    <t>OSHKI OGIMAAG CHARTER SCHOOL</t>
  </si>
  <si>
    <t>DISCOVERY WOODS MONTESSORI SCHOOL</t>
  </si>
  <si>
    <t>PARNASSUS PREPARATORY CHARTER SCH</t>
  </si>
  <si>
    <t>STEP ACADEMY CHARTER SCHOOL</t>
  </si>
  <si>
    <t>CORNERSTONE MONTESSORI ELEMENTARY</t>
  </si>
  <si>
    <t>MINNEAPOLIS COLLEGE PREPARATORY</t>
  </si>
  <si>
    <t>ROCHESTER STEM ACADEMY</t>
  </si>
  <si>
    <t>HENNEPIN ELEMENTARY SCHOOL</t>
  </si>
  <si>
    <t>VERMILION COUNTRY SCHOOL (13-14 Est.)</t>
  </si>
  <si>
    <t>NASHA SHKOLA CHARTER SCHOOL</t>
  </si>
  <si>
    <t>MASTERY SCHOOL</t>
  </si>
  <si>
    <t>UPPER MISSISSIPPI ACADEMY (13-14 Est.)</t>
  </si>
  <si>
    <t>ARC4H ACADEMY (13-14 Est.)</t>
  </si>
  <si>
    <t>WEST SIDE SUMMIT CHARTER SCHOOL (13-14 Est.)</t>
  </si>
  <si>
    <t>PRODEO ACADEMY (13-14 Est.)</t>
  </si>
  <si>
    <t>WEST CONCORD PUBLIC CHARTER SCHOOL (13-14 Est.)</t>
  </si>
  <si>
    <t>VENTURE ACADEMY (13-14 Est.)</t>
  </si>
  <si>
    <t>Final</t>
  </si>
  <si>
    <t>n/a</t>
  </si>
  <si>
    <t>line left blank intionally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</si>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</sst>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3" formatCode="_(* #,##0.00_);_(* \(#,##0.00\);_(* &quot;-&quot;??_);_(@_)"/>
    <numFmt numFmtId="164" formatCode="[$-409]mmmm\ d\,\ yyyy;@"/>
    <numFmt numFmtId="165" formatCode="0.000000000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theme="4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5"/>
      <color theme="3"/>
      <name val="Calibri"/>
      <family val="2"/>
      <scheme val="minor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>
      <alignment vertical="top"/>
    </xf>
    <xf numFmtId="0" fontId="5" fillId="0" borderId="0"/>
    <xf numFmtId="0" fontId="7" fillId="0" borderId="1" applyNumberFormat="0" applyFill="0" applyAlignment="0" applyProtection="0"/>
  </cellStyleXfs>
  <cellXfs count="22">
    <xf numFmtId="0" fontId="0" fillId="0" borderId="0" xfId="0"/>
    <xf numFmtId="0" fontId="1" fillId="0" borderId="0" xfId="0" applyFont="1"/>
    <xf numFmtId="164" fontId="0" fillId="0" borderId="0" xfId="0" applyNumberFormat="1"/>
    <xf numFmtId="43" fontId="2" fillId="0" borderId="0" xfId="1" applyFont="1"/>
    <xf numFmtId="4" fontId="2" fillId="0" borderId="0" xfId="0" applyNumberFormat="1" applyFont="1"/>
    <xf numFmtId="8" fontId="2" fillId="2" borderId="0" xfId="1" applyNumberFormat="1" applyFont="1" applyFill="1"/>
    <xf numFmtId="8" fontId="2" fillId="0" borderId="0" xfId="1" applyNumberFormat="1" applyFont="1"/>
    <xf numFmtId="43" fontId="0" fillId="0" borderId="0" xfId="0" applyNumberFormat="1"/>
    <xf numFmtId="2" fontId="2" fillId="0" borderId="0" xfId="0" applyNumberFormat="1" applyFont="1"/>
    <xf numFmtId="165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/>
    <xf numFmtId="43" fontId="2" fillId="0" borderId="0" xfId="0" applyNumberFormat="1" applyFont="1" applyAlignment="1">
      <alignment horizontal="right"/>
    </xf>
    <xf numFmtId="43" fontId="0" fillId="0" borderId="0" xfId="1" applyFont="1"/>
    <xf numFmtId="0" fontId="4" fillId="0" borderId="0" xfId="0" applyFont="1"/>
    <xf numFmtId="0" fontId="2" fillId="0" borderId="0" xfId="0" applyFont="1" applyBorder="1"/>
    <xf numFmtId="0" fontId="7" fillId="0" borderId="0" xfId="5" applyBorder="1"/>
    <xf numFmtId="0" fontId="8" fillId="0" borderId="0" xfId="0" applyFont="1"/>
  </cellXfs>
  <cellStyles count="6">
    <cellStyle name="Comma" xfId="1" builtinId="3"/>
    <cellStyle name="Comma 2" xfId="2"/>
    <cellStyle name="Heading 1" xfId="5" builtinId="16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Goebel\AppData\Local\Microsoft\Windows\Temporary%20Internet%20Files\Content.Outlook\F6QKKFHB\FY2014%20Endowment-Full%20Year%20Calculations-CORR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 15th Payment-Prelim ACU"/>
      <sheetName val="Adjustment"/>
      <sheetName val="Sept 15th Gened Load"/>
      <sheetName val="Sept 15th IDEAS Load"/>
      <sheetName val="Sheet1"/>
      <sheetName val="a10_adm_tot_acu Query"/>
      <sheetName val="March 15th Payment-Final ACU"/>
      <sheetName val="March 15th Gened Load"/>
      <sheetName val="March 15th IDEAS Load"/>
      <sheetName val="July 15th Load"/>
      <sheetName val="July 15th Estimate-EST-1"/>
    </sheetNames>
    <sheetDataSet>
      <sheetData sheetId="0">
        <row r="3">
          <cell r="E3">
            <v>11894044.859999999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M497"/>
  <sheetViews>
    <sheetView tabSelected="1" workbookViewId="0">
      <pane xSplit="4" ySplit="14" topLeftCell="E15" activePane="bottomRight" state="frozen"/>
      <selection activeCell="H36" sqref="H36"/>
      <selection pane="topRight" activeCell="H36" sqref="H36"/>
      <selection pane="bottomLeft" activeCell="H36" sqref="H36"/>
      <selection pane="bottomRight"/>
    </sheetView>
  </sheetViews>
  <sheetFormatPr defaultColWidth="0" defaultRowHeight="12.75" zeroHeight="1" x14ac:dyDescent="0.2"/>
  <cols>
    <col min="1" max="1" width="7.7109375" bestFit="1" customWidth="1"/>
    <col min="2" max="2" width="8.5703125" bestFit="1" customWidth="1"/>
    <col min="3" max="3" width="7.28515625" bestFit="1" customWidth="1"/>
    <col min="4" max="4" width="52.7109375" bestFit="1" customWidth="1"/>
    <col min="5" max="5" width="16.42578125" bestFit="1" customWidth="1"/>
    <col min="6" max="6" width="0.7109375" customWidth="1"/>
    <col min="7" max="7" width="17.85546875" customWidth="1"/>
    <col min="8" max="8" width="22.85546875" customWidth="1"/>
    <col min="9" max="9" width="15.7109375" customWidth="1"/>
    <col min="10" max="10" width="18" hidden="1" customWidth="1"/>
    <col min="11" max="12" width="9.140625" hidden="1" customWidth="1"/>
    <col min="13" max="13" width="10.28515625" hidden="1" customWidth="1"/>
    <col min="14" max="16384" width="9.140625" hidden="1"/>
  </cols>
  <sheetData>
    <row r="1" spans="1:11" ht="19.5" x14ac:dyDescent="0.3">
      <c r="A1" s="20" t="s">
        <v>0</v>
      </c>
      <c r="I1" s="2">
        <v>41703</v>
      </c>
    </row>
    <row r="2" spans="1:11" x14ac:dyDescent="0.2">
      <c r="A2" s="21" t="s">
        <v>509</v>
      </c>
      <c r="B2" s="21" t="s">
        <v>509</v>
      </c>
      <c r="C2" s="21" t="s">
        <v>509</v>
      </c>
      <c r="D2" s="1" t="s">
        <v>1</v>
      </c>
      <c r="E2" s="3">
        <f>'[1]Sept 15th Payment-Prelim ACU'!E3</f>
        <v>11894044.859999999</v>
      </c>
      <c r="F2" s="4"/>
      <c r="G2" s="21" t="s">
        <v>509</v>
      </c>
      <c r="H2" s="21" t="s">
        <v>509</v>
      </c>
    </row>
    <row r="3" spans="1:11" x14ac:dyDescent="0.2">
      <c r="A3" s="21" t="s">
        <v>509</v>
      </c>
      <c r="B3" s="21" t="s">
        <v>509</v>
      </c>
      <c r="C3" s="21" t="s">
        <v>509</v>
      </c>
      <c r="D3" s="1" t="s">
        <v>2</v>
      </c>
      <c r="E3" s="5">
        <v>11847029.83</v>
      </c>
      <c r="F3" s="4"/>
      <c r="G3" s="21" t="s">
        <v>509</v>
      </c>
      <c r="H3" s="21" t="s">
        <v>509</v>
      </c>
    </row>
    <row r="4" spans="1:11" x14ac:dyDescent="0.2">
      <c r="A4" s="21" t="s">
        <v>509</v>
      </c>
      <c r="B4" s="21" t="s">
        <v>509</v>
      </c>
      <c r="C4" s="21" t="s">
        <v>509</v>
      </c>
      <c r="D4" s="1" t="s">
        <v>3</v>
      </c>
      <c r="E4" s="6">
        <f>SUM(E2:E3)</f>
        <v>23741074.689999998</v>
      </c>
      <c r="F4" s="4"/>
      <c r="G4" s="7">
        <f>+H12+I12-E4</f>
        <v>0</v>
      </c>
      <c r="H4" s="21" t="s">
        <v>509</v>
      </c>
      <c r="J4" s="7"/>
    </row>
    <row r="5" spans="1:11" x14ac:dyDescent="0.2">
      <c r="A5" s="21" t="s">
        <v>509</v>
      </c>
      <c r="B5" s="21" t="s">
        <v>509</v>
      </c>
      <c r="C5" s="21" t="s">
        <v>509</v>
      </c>
      <c r="D5" s="1" t="s">
        <v>4</v>
      </c>
      <c r="E5" s="3">
        <f>E12</f>
        <v>826572.19999999879</v>
      </c>
      <c r="F5" s="4"/>
      <c r="G5" s="21" t="s">
        <v>509</v>
      </c>
      <c r="H5" s="21" t="s">
        <v>509</v>
      </c>
      <c r="J5" s="7"/>
    </row>
    <row r="6" spans="1:11" x14ac:dyDescent="0.2">
      <c r="A6" s="21" t="s">
        <v>509</v>
      </c>
      <c r="B6" s="21" t="s">
        <v>509</v>
      </c>
      <c r="C6" s="21" t="s">
        <v>509</v>
      </c>
      <c r="D6" s="1" t="s">
        <v>5</v>
      </c>
      <c r="E6" s="3">
        <f>ROUND(E4/E5,10)</f>
        <v>28.7223241841</v>
      </c>
      <c r="F6" s="8"/>
      <c r="G6" s="9">
        <v>28.72133367</v>
      </c>
      <c r="H6" s="21" t="s">
        <v>509</v>
      </c>
    </row>
    <row r="7" spans="1:11" x14ac:dyDescent="0.2">
      <c r="A7" s="21" t="s">
        <v>509</v>
      </c>
      <c r="B7" s="21" t="s">
        <v>509</v>
      </c>
      <c r="C7" s="21" t="s">
        <v>509</v>
      </c>
      <c r="D7" s="21" t="s">
        <v>509</v>
      </c>
      <c r="H7" s="21"/>
    </row>
    <row r="8" spans="1:11" x14ac:dyDescent="0.2">
      <c r="A8" s="21" t="s">
        <v>509</v>
      </c>
      <c r="B8" s="21" t="s">
        <v>509</v>
      </c>
      <c r="C8" s="21" t="s">
        <v>509</v>
      </c>
      <c r="D8" s="21" t="s">
        <v>509</v>
      </c>
      <c r="E8" s="10"/>
      <c r="G8" s="11" t="s">
        <v>6</v>
      </c>
      <c r="H8" s="11" t="s">
        <v>7</v>
      </c>
      <c r="I8" s="11" t="s">
        <v>7</v>
      </c>
    </row>
    <row r="9" spans="1:11" x14ac:dyDescent="0.2">
      <c r="A9" s="21" t="s">
        <v>509</v>
      </c>
      <c r="B9" s="1" t="s">
        <v>8</v>
      </c>
      <c r="C9" s="1" t="s">
        <v>9</v>
      </c>
      <c r="D9" s="1" t="s">
        <v>9</v>
      </c>
      <c r="E9" s="10" t="s">
        <v>508</v>
      </c>
      <c r="F9" s="10"/>
      <c r="G9" s="11" t="s">
        <v>10</v>
      </c>
      <c r="H9" s="11" t="s">
        <v>11</v>
      </c>
      <c r="I9" s="11" t="s">
        <v>11</v>
      </c>
    </row>
    <row r="10" spans="1:11" x14ac:dyDescent="0.2">
      <c r="A10" s="21" t="s">
        <v>509</v>
      </c>
      <c r="B10" s="12" t="s">
        <v>12</v>
      </c>
      <c r="C10" s="12" t="s">
        <v>13</v>
      </c>
      <c r="D10" s="12" t="s">
        <v>14</v>
      </c>
      <c r="E10" s="13" t="s">
        <v>15</v>
      </c>
      <c r="F10" s="13"/>
      <c r="G10" s="14" t="s">
        <v>16</v>
      </c>
      <c r="H10" s="14" t="s">
        <v>17</v>
      </c>
      <c r="I10" s="14" t="s">
        <v>18</v>
      </c>
    </row>
    <row r="11" spans="1:11" x14ac:dyDescent="0.2">
      <c r="A11" s="21" t="s">
        <v>510</v>
      </c>
      <c r="B11" s="21"/>
      <c r="C11" s="21"/>
      <c r="D11" s="12"/>
      <c r="E11" s="13"/>
      <c r="F11" s="13"/>
      <c r="G11" s="13"/>
      <c r="H11" s="13"/>
      <c r="I11" s="13"/>
    </row>
    <row r="12" spans="1:11" x14ac:dyDescent="0.2">
      <c r="A12" s="21" t="s">
        <v>509</v>
      </c>
      <c r="B12" s="21" t="s">
        <v>509</v>
      </c>
      <c r="C12" s="21" t="s">
        <v>509</v>
      </c>
      <c r="D12" s="15" t="s">
        <v>19</v>
      </c>
      <c r="E12" s="3">
        <f>+SUM(E15:E496)</f>
        <v>826572.19999999879</v>
      </c>
      <c r="F12" s="13"/>
      <c r="G12" s="16">
        <f>SUM(G15:G496)</f>
        <v>23741074.68999999</v>
      </c>
      <c r="H12" s="16">
        <f>SUM(H15:H496)</f>
        <v>11894044.85999999</v>
      </c>
      <c r="I12" s="16">
        <f>SUM(I15:I496)</f>
        <v>11847029.829999993</v>
      </c>
    </row>
    <row r="13" spans="1:11" x14ac:dyDescent="0.2">
      <c r="A13" s="21" t="s">
        <v>510</v>
      </c>
      <c r="B13" s="21" t="s">
        <v>509</v>
      </c>
      <c r="C13" s="21" t="s">
        <v>509</v>
      </c>
      <c r="E13" s="17"/>
    </row>
    <row r="14" spans="1:11" hidden="1" x14ac:dyDescent="0.2">
      <c r="A14" s="18" t="s">
        <v>20</v>
      </c>
      <c r="B14" s="18" t="s">
        <v>21</v>
      </c>
      <c r="C14" s="18" t="s">
        <v>22</v>
      </c>
      <c r="D14" s="18" t="s">
        <v>23</v>
      </c>
      <c r="E14" s="18" t="s">
        <v>24</v>
      </c>
    </row>
    <row r="15" spans="1:11" x14ac:dyDescent="0.2">
      <c r="A15" s="15" t="s">
        <v>25</v>
      </c>
      <c r="B15" s="15">
        <v>1</v>
      </c>
      <c r="C15" s="15">
        <v>1</v>
      </c>
      <c r="D15" s="15" t="s">
        <v>26</v>
      </c>
      <c r="E15" s="3">
        <v>1256.73</v>
      </c>
      <c r="G15" s="17">
        <f>ROUND(E15*$G$6,2)</f>
        <v>36094.959999999999</v>
      </c>
      <c r="H15" s="17">
        <v>18048.14</v>
      </c>
      <c r="I15" s="17">
        <f t="shared" ref="I15:I78" si="0">G15-H15</f>
        <v>18046.82</v>
      </c>
      <c r="K15" s="7"/>
    </row>
    <row r="16" spans="1:11" x14ac:dyDescent="0.2">
      <c r="A16" s="15" t="s">
        <v>25</v>
      </c>
      <c r="B16" s="15">
        <v>1</v>
      </c>
      <c r="C16" s="15">
        <v>3</v>
      </c>
      <c r="D16" s="15" t="s">
        <v>27</v>
      </c>
      <c r="E16" s="3">
        <v>34309.11</v>
      </c>
      <c r="G16" s="17">
        <f t="shared" ref="G16:G79" si="1">ROUND(E16*$G$6,2)</f>
        <v>985403.4</v>
      </c>
      <c r="H16" s="17">
        <v>490136.92</v>
      </c>
      <c r="I16" s="17">
        <f t="shared" si="0"/>
        <v>495266.48000000004</v>
      </c>
      <c r="K16" s="7"/>
    </row>
    <row r="17" spans="1:11" x14ac:dyDescent="0.2">
      <c r="A17" s="15" t="s">
        <v>25</v>
      </c>
      <c r="B17" s="15">
        <v>2</v>
      </c>
      <c r="C17" s="15">
        <v>1</v>
      </c>
      <c r="D17" s="15" t="s">
        <v>28</v>
      </c>
      <c r="E17" s="3">
        <v>272.05</v>
      </c>
      <c r="G17" s="17">
        <f t="shared" si="1"/>
        <v>7813.64</v>
      </c>
      <c r="H17" s="17">
        <v>3933.56</v>
      </c>
      <c r="I17" s="17">
        <f t="shared" si="0"/>
        <v>3880.0800000000004</v>
      </c>
      <c r="K17" s="7"/>
    </row>
    <row r="18" spans="1:11" x14ac:dyDescent="0.2">
      <c r="A18" s="15" t="s">
        <v>25</v>
      </c>
      <c r="B18" s="15">
        <v>4</v>
      </c>
      <c r="C18" s="15">
        <v>1</v>
      </c>
      <c r="D18" s="15" t="s">
        <v>29</v>
      </c>
      <c r="E18" s="3">
        <v>402.37</v>
      </c>
      <c r="G18" s="17">
        <f t="shared" si="1"/>
        <v>11556.6</v>
      </c>
      <c r="H18" s="17">
        <v>5771.94</v>
      </c>
      <c r="I18" s="17">
        <f t="shared" si="0"/>
        <v>5784.6600000000008</v>
      </c>
      <c r="K18" s="7"/>
    </row>
    <row r="19" spans="1:11" x14ac:dyDescent="0.2">
      <c r="A19" s="15" t="s">
        <v>25</v>
      </c>
      <c r="B19" s="15">
        <v>6</v>
      </c>
      <c r="C19" s="15">
        <v>3</v>
      </c>
      <c r="D19" s="15" t="s">
        <v>30</v>
      </c>
      <c r="E19" s="3">
        <v>3380.22</v>
      </c>
      <c r="G19" s="17">
        <f t="shared" si="1"/>
        <v>97084.43</v>
      </c>
      <c r="H19" s="17">
        <v>48699.21</v>
      </c>
      <c r="I19" s="17">
        <f t="shared" si="0"/>
        <v>48385.219999999994</v>
      </c>
      <c r="K19" s="7"/>
    </row>
    <row r="20" spans="1:11" x14ac:dyDescent="0.2">
      <c r="A20" s="15" t="s">
        <v>25</v>
      </c>
      <c r="B20" s="15">
        <v>11</v>
      </c>
      <c r="C20" s="15">
        <v>1</v>
      </c>
      <c r="D20" s="15" t="s">
        <v>31</v>
      </c>
      <c r="E20" s="3">
        <v>37546.480000000003</v>
      </c>
      <c r="G20" s="17">
        <f t="shared" si="1"/>
        <v>1078384.98</v>
      </c>
      <c r="H20" s="17">
        <v>541000.66</v>
      </c>
      <c r="I20" s="17">
        <f t="shared" si="0"/>
        <v>537384.31999999995</v>
      </c>
      <c r="K20" s="7"/>
    </row>
    <row r="21" spans="1:11" x14ac:dyDescent="0.2">
      <c r="A21" s="15" t="s">
        <v>25</v>
      </c>
      <c r="B21" s="15">
        <v>12</v>
      </c>
      <c r="C21" s="15">
        <v>1</v>
      </c>
      <c r="D21" s="15" t="s">
        <v>32</v>
      </c>
      <c r="E21" s="3">
        <v>6398.57</v>
      </c>
      <c r="G21" s="17">
        <f t="shared" si="1"/>
        <v>183775.46</v>
      </c>
      <c r="H21" s="17">
        <v>92230.33</v>
      </c>
      <c r="I21" s="17">
        <f t="shared" si="0"/>
        <v>91545.12999999999</v>
      </c>
      <c r="K21" s="7"/>
    </row>
    <row r="22" spans="1:11" x14ac:dyDescent="0.2">
      <c r="A22" s="15" t="s">
        <v>25</v>
      </c>
      <c r="B22" s="15">
        <v>13</v>
      </c>
      <c r="C22" s="15">
        <v>1</v>
      </c>
      <c r="D22" s="15" t="s">
        <v>33</v>
      </c>
      <c r="E22" s="3">
        <v>3049.14</v>
      </c>
      <c r="G22" s="17">
        <f t="shared" si="1"/>
        <v>87575.37</v>
      </c>
      <c r="H22" s="17">
        <v>43950.85</v>
      </c>
      <c r="I22" s="17">
        <f t="shared" si="0"/>
        <v>43624.52</v>
      </c>
      <c r="K22" s="7"/>
    </row>
    <row r="23" spans="1:11" x14ac:dyDescent="0.2">
      <c r="A23" s="15" t="s">
        <v>25</v>
      </c>
      <c r="B23" s="15">
        <v>14</v>
      </c>
      <c r="C23" s="15">
        <v>1</v>
      </c>
      <c r="D23" s="15" t="s">
        <v>34</v>
      </c>
      <c r="E23" s="3">
        <v>2903.42</v>
      </c>
      <c r="G23" s="17">
        <f t="shared" si="1"/>
        <v>83390.09</v>
      </c>
      <c r="H23" s="17">
        <v>41876</v>
      </c>
      <c r="I23" s="17">
        <f t="shared" si="0"/>
        <v>41514.089999999997</v>
      </c>
      <c r="K23" s="7"/>
    </row>
    <row r="24" spans="1:11" x14ac:dyDescent="0.2">
      <c r="A24" s="15" t="s">
        <v>25</v>
      </c>
      <c r="B24" s="15">
        <v>15</v>
      </c>
      <c r="C24" s="15">
        <v>1</v>
      </c>
      <c r="D24" s="15" t="s">
        <v>35</v>
      </c>
      <c r="E24" s="3">
        <v>4903.22</v>
      </c>
      <c r="G24" s="17">
        <f t="shared" si="1"/>
        <v>140827.01999999999</v>
      </c>
      <c r="H24" s="17">
        <v>70665.62</v>
      </c>
      <c r="I24" s="17">
        <f t="shared" si="0"/>
        <v>70161.399999999994</v>
      </c>
      <c r="K24" s="7"/>
    </row>
    <row r="25" spans="1:11" x14ac:dyDescent="0.2">
      <c r="A25" s="15" t="s">
        <v>25</v>
      </c>
      <c r="B25" s="15">
        <v>16</v>
      </c>
      <c r="C25" s="15">
        <v>1</v>
      </c>
      <c r="D25" s="15" t="s">
        <v>36</v>
      </c>
      <c r="E25" s="3">
        <v>5302.8</v>
      </c>
      <c r="G25" s="17">
        <f t="shared" si="1"/>
        <v>152303.49</v>
      </c>
      <c r="H25" s="17">
        <v>76432.66</v>
      </c>
      <c r="I25" s="17">
        <f t="shared" si="0"/>
        <v>75870.829999999987</v>
      </c>
      <c r="K25" s="7"/>
    </row>
    <row r="26" spans="1:11" x14ac:dyDescent="0.2">
      <c r="A26" s="15" t="s">
        <v>25</v>
      </c>
      <c r="B26" s="15">
        <v>22</v>
      </c>
      <c r="C26" s="15">
        <v>1</v>
      </c>
      <c r="D26" s="15" t="s">
        <v>37</v>
      </c>
      <c r="E26" s="3">
        <v>2861.83</v>
      </c>
      <c r="G26" s="17">
        <f t="shared" si="1"/>
        <v>82195.570000000007</v>
      </c>
      <c r="H26" s="17">
        <v>41323.769999999997</v>
      </c>
      <c r="I26" s="17">
        <f t="shared" si="0"/>
        <v>40871.80000000001</v>
      </c>
      <c r="K26" s="7"/>
    </row>
    <row r="27" spans="1:11" x14ac:dyDescent="0.2">
      <c r="A27" s="15" t="s">
        <v>25</v>
      </c>
      <c r="B27" s="15">
        <v>23</v>
      </c>
      <c r="C27" s="15">
        <v>1</v>
      </c>
      <c r="D27" s="15" t="s">
        <v>38</v>
      </c>
      <c r="E27" s="3">
        <v>899.53</v>
      </c>
      <c r="G27" s="17">
        <f t="shared" si="1"/>
        <v>25835.7</v>
      </c>
      <c r="H27" s="17">
        <v>12941.48</v>
      </c>
      <c r="I27" s="17">
        <f t="shared" si="0"/>
        <v>12894.220000000001</v>
      </c>
      <c r="K27" s="7"/>
    </row>
    <row r="28" spans="1:11" x14ac:dyDescent="0.2">
      <c r="A28" s="15" t="s">
        <v>25</v>
      </c>
      <c r="B28" s="15">
        <v>25</v>
      </c>
      <c r="C28" s="15">
        <v>1</v>
      </c>
      <c r="D28" s="15" t="s">
        <v>39</v>
      </c>
      <c r="E28" s="3">
        <v>59.67</v>
      </c>
      <c r="G28" s="17">
        <f t="shared" si="1"/>
        <v>1713.8</v>
      </c>
      <c r="H28" s="17">
        <v>860.36</v>
      </c>
      <c r="I28" s="17">
        <f t="shared" si="0"/>
        <v>853.43999999999994</v>
      </c>
      <c r="K28" s="7"/>
    </row>
    <row r="29" spans="1:11" x14ac:dyDescent="0.2">
      <c r="A29" s="15" t="s">
        <v>25</v>
      </c>
      <c r="B29" s="15">
        <v>31</v>
      </c>
      <c r="C29" s="15">
        <v>1</v>
      </c>
      <c r="D29" s="15" t="s">
        <v>40</v>
      </c>
      <c r="E29" s="3">
        <v>5024.78</v>
      </c>
      <c r="G29" s="17">
        <f t="shared" si="1"/>
        <v>144318.38</v>
      </c>
      <c r="H29" s="17">
        <v>72350.73</v>
      </c>
      <c r="I29" s="17">
        <f t="shared" si="0"/>
        <v>71967.650000000009</v>
      </c>
      <c r="K29" s="7"/>
    </row>
    <row r="30" spans="1:11" x14ac:dyDescent="0.2">
      <c r="A30" s="15" t="s">
        <v>25</v>
      </c>
      <c r="B30" s="15">
        <v>32</v>
      </c>
      <c r="C30" s="15">
        <v>1</v>
      </c>
      <c r="D30" s="15" t="s">
        <v>41</v>
      </c>
      <c r="E30" s="3">
        <v>599.91999999999996</v>
      </c>
      <c r="G30" s="17">
        <f t="shared" si="1"/>
        <v>17230.5</v>
      </c>
      <c r="H30" s="17">
        <v>8648.4599999999991</v>
      </c>
      <c r="I30" s="17">
        <f t="shared" si="0"/>
        <v>8582.0400000000009</v>
      </c>
      <c r="K30" s="7"/>
    </row>
    <row r="31" spans="1:11" x14ac:dyDescent="0.2">
      <c r="A31" s="15" t="s">
        <v>25</v>
      </c>
      <c r="B31" s="15">
        <v>36</v>
      </c>
      <c r="C31" s="15">
        <v>1</v>
      </c>
      <c r="D31" s="15" t="s">
        <v>42</v>
      </c>
      <c r="E31" s="3">
        <v>246.42</v>
      </c>
      <c r="G31" s="17">
        <f t="shared" si="1"/>
        <v>7077.51</v>
      </c>
      <c r="H31" s="17">
        <v>3553.05</v>
      </c>
      <c r="I31" s="17">
        <f t="shared" si="0"/>
        <v>3524.46</v>
      </c>
      <c r="K31" s="7"/>
    </row>
    <row r="32" spans="1:11" x14ac:dyDescent="0.2">
      <c r="A32" s="15" t="s">
        <v>25</v>
      </c>
      <c r="B32" s="15">
        <v>38</v>
      </c>
      <c r="C32" s="15">
        <v>1</v>
      </c>
      <c r="D32" s="15" t="s">
        <v>43</v>
      </c>
      <c r="E32" s="3">
        <v>1347.15</v>
      </c>
      <c r="G32" s="17">
        <f t="shared" si="1"/>
        <v>38691.94</v>
      </c>
      <c r="H32" s="17">
        <v>19242.580000000002</v>
      </c>
      <c r="I32" s="17">
        <f t="shared" si="0"/>
        <v>19449.36</v>
      </c>
      <c r="K32" s="7"/>
    </row>
    <row r="33" spans="1:11" x14ac:dyDescent="0.2">
      <c r="A33" s="15" t="s">
        <v>25</v>
      </c>
      <c r="B33" s="15">
        <v>47</v>
      </c>
      <c r="C33" s="15">
        <v>1</v>
      </c>
      <c r="D33" s="15" t="s">
        <v>44</v>
      </c>
      <c r="E33" s="3">
        <v>3938.33</v>
      </c>
      <c r="G33" s="17">
        <f t="shared" si="1"/>
        <v>113114.09</v>
      </c>
      <c r="H33" s="17">
        <v>56784.91</v>
      </c>
      <c r="I33" s="17">
        <f t="shared" si="0"/>
        <v>56329.179999999993</v>
      </c>
      <c r="K33" s="7"/>
    </row>
    <row r="34" spans="1:11" x14ac:dyDescent="0.2">
      <c r="A34" s="15" t="s">
        <v>25</v>
      </c>
      <c r="B34" s="15">
        <v>51</v>
      </c>
      <c r="C34" s="15">
        <v>1</v>
      </c>
      <c r="D34" s="15" t="s">
        <v>45</v>
      </c>
      <c r="E34" s="3">
        <v>1759.14</v>
      </c>
      <c r="G34" s="17">
        <f t="shared" si="1"/>
        <v>50524.85</v>
      </c>
      <c r="H34" s="17">
        <v>25362.880000000001</v>
      </c>
      <c r="I34" s="17">
        <f t="shared" si="0"/>
        <v>25161.969999999998</v>
      </c>
      <c r="K34" s="7"/>
    </row>
    <row r="35" spans="1:11" x14ac:dyDescent="0.2">
      <c r="A35" s="15" t="s">
        <v>25</v>
      </c>
      <c r="B35" s="15">
        <v>75</v>
      </c>
      <c r="C35" s="15">
        <v>1</v>
      </c>
      <c r="D35" s="15" t="s">
        <v>46</v>
      </c>
      <c r="E35" s="3">
        <v>633.11</v>
      </c>
      <c r="G35" s="17">
        <f t="shared" si="1"/>
        <v>18183.759999999998</v>
      </c>
      <c r="H35" s="17">
        <v>9083.6200000000008</v>
      </c>
      <c r="I35" s="17">
        <f t="shared" si="0"/>
        <v>9100.1399999999976</v>
      </c>
      <c r="K35" s="7"/>
    </row>
    <row r="36" spans="1:11" x14ac:dyDescent="0.2">
      <c r="A36" s="15" t="s">
        <v>25</v>
      </c>
      <c r="B36" s="15">
        <v>77</v>
      </c>
      <c r="C36" s="15">
        <v>1</v>
      </c>
      <c r="D36" s="15" t="s">
        <v>47</v>
      </c>
      <c r="E36" s="3">
        <v>7573.58</v>
      </c>
      <c r="G36" s="17">
        <f t="shared" si="1"/>
        <v>217523.32</v>
      </c>
      <c r="H36" s="17">
        <v>109204.13</v>
      </c>
      <c r="I36" s="17">
        <f t="shared" si="0"/>
        <v>108319.19</v>
      </c>
      <c r="K36" s="7"/>
    </row>
    <row r="37" spans="1:11" x14ac:dyDescent="0.2">
      <c r="A37" s="15" t="s">
        <v>25</v>
      </c>
      <c r="B37" s="15">
        <v>81</v>
      </c>
      <c r="C37" s="15">
        <v>1</v>
      </c>
      <c r="D37" s="15" t="s">
        <v>48</v>
      </c>
      <c r="E37" s="3">
        <v>164.23</v>
      </c>
      <c r="G37" s="17">
        <f t="shared" si="1"/>
        <v>4716.8999999999996</v>
      </c>
      <c r="H37" s="17">
        <v>2358.75</v>
      </c>
      <c r="I37" s="17">
        <f t="shared" si="0"/>
        <v>2358.1499999999996</v>
      </c>
      <c r="K37" s="7"/>
    </row>
    <row r="38" spans="1:11" x14ac:dyDescent="0.2">
      <c r="A38" s="15" t="s">
        <v>25</v>
      </c>
      <c r="B38" s="15">
        <v>84</v>
      </c>
      <c r="C38" s="15">
        <v>1</v>
      </c>
      <c r="D38" s="15" t="s">
        <v>49</v>
      </c>
      <c r="E38" s="3">
        <v>562.91999999999996</v>
      </c>
      <c r="G38" s="17">
        <f t="shared" si="1"/>
        <v>16167.81</v>
      </c>
      <c r="H38" s="17">
        <v>8134.15</v>
      </c>
      <c r="I38" s="17">
        <f t="shared" si="0"/>
        <v>8033.66</v>
      </c>
      <c r="K38" s="7"/>
    </row>
    <row r="39" spans="1:11" x14ac:dyDescent="0.2">
      <c r="A39" s="15" t="s">
        <v>25</v>
      </c>
      <c r="B39" s="15">
        <v>85</v>
      </c>
      <c r="C39" s="15">
        <v>1</v>
      </c>
      <c r="D39" s="15" t="s">
        <v>50</v>
      </c>
      <c r="E39" s="3">
        <v>608.57000000000005</v>
      </c>
      <c r="G39" s="17">
        <f t="shared" si="1"/>
        <v>17478.939999999999</v>
      </c>
      <c r="H39" s="17">
        <v>8774.77</v>
      </c>
      <c r="I39" s="17">
        <f t="shared" si="0"/>
        <v>8704.1699999999983</v>
      </c>
      <c r="K39" s="7"/>
    </row>
    <row r="40" spans="1:11" x14ac:dyDescent="0.2">
      <c r="A40" s="15" t="s">
        <v>25</v>
      </c>
      <c r="B40" s="15">
        <v>88</v>
      </c>
      <c r="C40" s="15">
        <v>1</v>
      </c>
      <c r="D40" s="15" t="s">
        <v>51</v>
      </c>
      <c r="E40" s="3">
        <v>1944.97</v>
      </c>
      <c r="G40" s="17">
        <f t="shared" si="1"/>
        <v>55862.13</v>
      </c>
      <c r="H40" s="17">
        <v>28036.67</v>
      </c>
      <c r="I40" s="17">
        <f t="shared" si="0"/>
        <v>27825.46</v>
      </c>
      <c r="K40" s="7"/>
    </row>
    <row r="41" spans="1:11" x14ac:dyDescent="0.2">
      <c r="A41" s="15" t="s">
        <v>25</v>
      </c>
      <c r="B41" s="15">
        <v>91</v>
      </c>
      <c r="C41" s="15">
        <v>1</v>
      </c>
      <c r="D41" s="15" t="s">
        <v>52</v>
      </c>
      <c r="E41" s="3">
        <v>791.83</v>
      </c>
      <c r="G41" s="17">
        <f t="shared" si="1"/>
        <v>22742.41</v>
      </c>
      <c r="H41" s="17">
        <v>11248.15</v>
      </c>
      <c r="I41" s="17">
        <f t="shared" si="0"/>
        <v>11494.26</v>
      </c>
      <c r="K41" s="7"/>
    </row>
    <row r="42" spans="1:11" x14ac:dyDescent="0.2">
      <c r="A42" s="15" t="s">
        <v>25</v>
      </c>
      <c r="B42" s="15">
        <v>93</v>
      </c>
      <c r="C42" s="15">
        <v>1</v>
      </c>
      <c r="D42" s="15" t="s">
        <v>53</v>
      </c>
      <c r="E42" s="3">
        <v>468.33</v>
      </c>
      <c r="G42" s="17">
        <f t="shared" si="1"/>
        <v>13451.06</v>
      </c>
      <c r="H42" s="17">
        <v>6729.48</v>
      </c>
      <c r="I42" s="17">
        <f t="shared" si="0"/>
        <v>6721.58</v>
      </c>
      <c r="K42" s="7"/>
    </row>
    <row r="43" spans="1:11" x14ac:dyDescent="0.2">
      <c r="A43" s="15" t="s">
        <v>25</v>
      </c>
      <c r="B43" s="15">
        <v>94</v>
      </c>
      <c r="C43" s="15">
        <v>1</v>
      </c>
      <c r="D43" s="15" t="s">
        <v>54</v>
      </c>
      <c r="E43" s="3">
        <v>2652.63</v>
      </c>
      <c r="G43" s="17">
        <f t="shared" si="1"/>
        <v>76187.070000000007</v>
      </c>
      <c r="H43" s="17">
        <v>38258.21</v>
      </c>
      <c r="I43" s="17">
        <f t="shared" si="0"/>
        <v>37928.860000000008</v>
      </c>
      <c r="K43" s="7"/>
    </row>
    <row r="44" spans="1:11" x14ac:dyDescent="0.2">
      <c r="A44" s="15" t="s">
        <v>25</v>
      </c>
      <c r="B44" s="15">
        <v>95</v>
      </c>
      <c r="C44" s="15">
        <v>1</v>
      </c>
      <c r="D44" s="15" t="s">
        <v>55</v>
      </c>
      <c r="E44" s="3">
        <v>317.89999999999998</v>
      </c>
      <c r="G44" s="17">
        <f t="shared" si="1"/>
        <v>9130.51</v>
      </c>
      <c r="H44" s="17">
        <v>4574.6099999999997</v>
      </c>
      <c r="I44" s="17">
        <f t="shared" si="0"/>
        <v>4555.9000000000005</v>
      </c>
      <c r="K44" s="7"/>
    </row>
    <row r="45" spans="1:11" x14ac:dyDescent="0.2">
      <c r="A45" s="15" t="s">
        <v>25</v>
      </c>
      <c r="B45" s="15">
        <v>97</v>
      </c>
      <c r="C45" s="15">
        <v>1</v>
      </c>
      <c r="D45" s="15" t="s">
        <v>56</v>
      </c>
      <c r="E45" s="3">
        <v>643.23</v>
      </c>
      <c r="G45" s="17">
        <f t="shared" si="1"/>
        <v>18474.419999999998</v>
      </c>
      <c r="H45" s="17">
        <v>9276.9699999999993</v>
      </c>
      <c r="I45" s="17">
        <f t="shared" si="0"/>
        <v>9197.4499999999989</v>
      </c>
      <c r="K45" s="7"/>
    </row>
    <row r="46" spans="1:11" x14ac:dyDescent="0.2">
      <c r="A46" s="15" t="s">
        <v>25</v>
      </c>
      <c r="B46" s="15">
        <v>99</v>
      </c>
      <c r="C46" s="15">
        <v>1</v>
      </c>
      <c r="D46" s="15" t="s">
        <v>57</v>
      </c>
      <c r="E46" s="3">
        <v>1219.3599999999999</v>
      </c>
      <c r="G46" s="17">
        <f t="shared" si="1"/>
        <v>35021.65</v>
      </c>
      <c r="H46" s="17">
        <v>17597.990000000002</v>
      </c>
      <c r="I46" s="17">
        <f t="shared" si="0"/>
        <v>17423.66</v>
      </c>
      <c r="K46" s="7"/>
    </row>
    <row r="47" spans="1:11" x14ac:dyDescent="0.2">
      <c r="A47" s="15" t="s">
        <v>25</v>
      </c>
      <c r="B47" s="15">
        <v>100</v>
      </c>
      <c r="C47" s="15">
        <v>1</v>
      </c>
      <c r="D47" s="15" t="s">
        <v>58</v>
      </c>
      <c r="E47" s="3">
        <v>326.27</v>
      </c>
      <c r="G47" s="17">
        <f t="shared" si="1"/>
        <v>9370.91</v>
      </c>
      <c r="H47" s="17">
        <v>4700.34</v>
      </c>
      <c r="I47" s="17">
        <f t="shared" si="0"/>
        <v>4670.57</v>
      </c>
      <c r="K47" s="7"/>
    </row>
    <row r="48" spans="1:11" x14ac:dyDescent="0.2">
      <c r="A48" s="15" t="s">
        <v>25</v>
      </c>
      <c r="B48" s="15">
        <v>108</v>
      </c>
      <c r="C48" s="15">
        <v>1</v>
      </c>
      <c r="D48" s="15" t="s">
        <v>59</v>
      </c>
      <c r="E48" s="3">
        <v>998.53</v>
      </c>
      <c r="G48" s="17">
        <f t="shared" si="1"/>
        <v>28679.11</v>
      </c>
      <c r="H48" s="17">
        <v>14434.1</v>
      </c>
      <c r="I48" s="17">
        <f t="shared" si="0"/>
        <v>14245.01</v>
      </c>
      <c r="K48" s="7"/>
    </row>
    <row r="49" spans="1:11" x14ac:dyDescent="0.2">
      <c r="A49" s="15" t="s">
        <v>25</v>
      </c>
      <c r="B49" s="15">
        <v>110</v>
      </c>
      <c r="C49" s="15">
        <v>1</v>
      </c>
      <c r="D49" s="15" t="s">
        <v>60</v>
      </c>
      <c r="E49" s="3">
        <v>3575.32</v>
      </c>
      <c r="G49" s="17">
        <f t="shared" si="1"/>
        <v>102687.96</v>
      </c>
      <c r="H49" s="17">
        <v>51560.59</v>
      </c>
      <c r="I49" s="17">
        <f t="shared" si="0"/>
        <v>51127.37000000001</v>
      </c>
      <c r="K49" s="7"/>
    </row>
    <row r="50" spans="1:11" x14ac:dyDescent="0.2">
      <c r="A50" s="15" t="s">
        <v>25</v>
      </c>
      <c r="B50" s="15">
        <v>111</v>
      </c>
      <c r="C50" s="15">
        <v>1</v>
      </c>
      <c r="D50" s="15" t="s">
        <v>61</v>
      </c>
      <c r="E50" s="3">
        <v>1593.93</v>
      </c>
      <c r="G50" s="17">
        <f t="shared" si="1"/>
        <v>45779.8</v>
      </c>
      <c r="H50" s="17">
        <v>22956.400000000001</v>
      </c>
      <c r="I50" s="17">
        <f t="shared" si="0"/>
        <v>22823.4</v>
      </c>
      <c r="K50" s="7"/>
    </row>
    <row r="51" spans="1:11" x14ac:dyDescent="0.2">
      <c r="A51" s="15" t="s">
        <v>25</v>
      </c>
      <c r="B51" s="15">
        <v>112</v>
      </c>
      <c r="C51" s="15">
        <v>1</v>
      </c>
      <c r="D51" s="15" t="s">
        <v>62</v>
      </c>
      <c r="E51" s="3">
        <v>9195.98</v>
      </c>
      <c r="G51" s="17">
        <f t="shared" si="1"/>
        <v>264120.81</v>
      </c>
      <c r="H51" s="17">
        <v>132619.48000000001</v>
      </c>
      <c r="I51" s="17">
        <f t="shared" si="0"/>
        <v>131501.32999999999</v>
      </c>
      <c r="K51" s="7"/>
    </row>
    <row r="52" spans="1:11" x14ac:dyDescent="0.2">
      <c r="A52" s="15" t="s">
        <v>25</v>
      </c>
      <c r="B52" s="15">
        <v>113</v>
      </c>
      <c r="C52" s="15">
        <v>1</v>
      </c>
      <c r="D52" s="15" t="s">
        <v>63</v>
      </c>
      <c r="E52" s="3">
        <v>767.86</v>
      </c>
      <c r="G52" s="17">
        <f t="shared" si="1"/>
        <v>22053.96</v>
      </c>
      <c r="H52" s="17">
        <v>10979.53</v>
      </c>
      <c r="I52" s="17">
        <f t="shared" si="0"/>
        <v>11074.429999999998</v>
      </c>
      <c r="K52" s="7"/>
    </row>
    <row r="53" spans="1:11" x14ac:dyDescent="0.2">
      <c r="A53" s="15" t="s">
        <v>25</v>
      </c>
      <c r="B53" s="15">
        <v>115</v>
      </c>
      <c r="C53" s="15">
        <v>1</v>
      </c>
      <c r="D53" s="15" t="s">
        <v>64</v>
      </c>
      <c r="E53" s="3">
        <v>1090.5899999999999</v>
      </c>
      <c r="G53" s="17">
        <f t="shared" si="1"/>
        <v>31323.200000000001</v>
      </c>
      <c r="H53" s="17">
        <v>15514.78</v>
      </c>
      <c r="I53" s="17">
        <f t="shared" si="0"/>
        <v>15808.42</v>
      </c>
      <c r="K53" s="7"/>
    </row>
    <row r="54" spans="1:11" x14ac:dyDescent="0.2">
      <c r="A54" s="15" t="s">
        <v>25</v>
      </c>
      <c r="B54" s="15">
        <v>116</v>
      </c>
      <c r="C54" s="15">
        <v>1</v>
      </c>
      <c r="D54" s="15" t="s">
        <v>65</v>
      </c>
      <c r="E54" s="3">
        <v>862.72</v>
      </c>
      <c r="G54" s="17">
        <f t="shared" si="1"/>
        <v>24778.47</v>
      </c>
      <c r="H54" s="17">
        <v>12439.28</v>
      </c>
      <c r="I54" s="17">
        <f t="shared" si="0"/>
        <v>12339.19</v>
      </c>
      <c r="K54" s="7"/>
    </row>
    <row r="55" spans="1:11" x14ac:dyDescent="0.2">
      <c r="A55" s="15" t="s">
        <v>25</v>
      </c>
      <c r="B55" s="15">
        <v>118</v>
      </c>
      <c r="C55" s="15">
        <v>1</v>
      </c>
      <c r="D55" s="15" t="s">
        <v>66</v>
      </c>
      <c r="E55" s="3">
        <v>354.37</v>
      </c>
      <c r="G55" s="17">
        <f t="shared" si="1"/>
        <v>10177.98</v>
      </c>
      <c r="H55" s="17">
        <v>5107.67</v>
      </c>
      <c r="I55" s="17">
        <f t="shared" si="0"/>
        <v>5070.3099999999995</v>
      </c>
      <c r="K55" s="7"/>
    </row>
    <row r="56" spans="1:11" x14ac:dyDescent="0.2">
      <c r="A56" s="15" t="s">
        <v>25</v>
      </c>
      <c r="B56" s="15">
        <v>129</v>
      </c>
      <c r="C56" s="15">
        <v>1</v>
      </c>
      <c r="D56" s="15" t="s">
        <v>67</v>
      </c>
      <c r="E56" s="3">
        <v>1400.42</v>
      </c>
      <c r="G56" s="17">
        <f t="shared" si="1"/>
        <v>40221.93</v>
      </c>
      <c r="H56" s="17">
        <v>20190.61</v>
      </c>
      <c r="I56" s="17">
        <f t="shared" si="0"/>
        <v>20031.32</v>
      </c>
      <c r="K56" s="7"/>
    </row>
    <row r="57" spans="1:11" x14ac:dyDescent="0.2">
      <c r="A57" s="15" t="s">
        <v>25</v>
      </c>
      <c r="B57" s="15">
        <v>138</v>
      </c>
      <c r="C57" s="15">
        <v>1</v>
      </c>
      <c r="D57" s="15" t="s">
        <v>68</v>
      </c>
      <c r="E57" s="3">
        <v>3127.44</v>
      </c>
      <c r="G57" s="17">
        <f t="shared" si="1"/>
        <v>89824.25</v>
      </c>
      <c r="H57" s="17">
        <v>45048.54</v>
      </c>
      <c r="I57" s="17">
        <f t="shared" si="0"/>
        <v>44775.71</v>
      </c>
      <c r="K57" s="7"/>
    </row>
    <row r="58" spans="1:11" x14ac:dyDescent="0.2">
      <c r="A58" s="15" t="s">
        <v>25</v>
      </c>
      <c r="B58" s="15">
        <v>139</v>
      </c>
      <c r="C58" s="15">
        <v>1</v>
      </c>
      <c r="D58" s="15" t="s">
        <v>69</v>
      </c>
      <c r="E58" s="3">
        <v>902.89</v>
      </c>
      <c r="G58" s="17">
        <f t="shared" si="1"/>
        <v>25932.2</v>
      </c>
      <c r="H58" s="17">
        <v>13002.18</v>
      </c>
      <c r="I58" s="17">
        <f t="shared" si="0"/>
        <v>12930.02</v>
      </c>
      <c r="K58" s="7"/>
    </row>
    <row r="59" spans="1:11" x14ac:dyDescent="0.2">
      <c r="A59" s="15" t="s">
        <v>25</v>
      </c>
      <c r="B59" s="15">
        <v>146</v>
      </c>
      <c r="C59" s="15">
        <v>1</v>
      </c>
      <c r="D59" s="15" t="s">
        <v>70</v>
      </c>
      <c r="E59" s="3">
        <v>859.27</v>
      </c>
      <c r="G59" s="17">
        <f t="shared" si="1"/>
        <v>24679.38</v>
      </c>
      <c r="H59" s="17">
        <v>12386.5</v>
      </c>
      <c r="I59" s="17">
        <f t="shared" si="0"/>
        <v>12292.880000000001</v>
      </c>
      <c r="K59" s="7"/>
    </row>
    <row r="60" spans="1:11" x14ac:dyDescent="0.2">
      <c r="A60" s="15" t="s">
        <v>25</v>
      </c>
      <c r="B60" s="15">
        <v>150</v>
      </c>
      <c r="C60" s="15">
        <v>1</v>
      </c>
      <c r="D60" s="15" t="s">
        <v>71</v>
      </c>
      <c r="E60" s="3">
        <v>934.61</v>
      </c>
      <c r="G60" s="17">
        <f t="shared" si="1"/>
        <v>26843.25</v>
      </c>
      <c r="H60" s="17">
        <v>13485.35</v>
      </c>
      <c r="I60" s="17">
        <f t="shared" si="0"/>
        <v>13357.9</v>
      </c>
      <c r="K60" s="7"/>
    </row>
    <row r="61" spans="1:11" x14ac:dyDescent="0.2">
      <c r="A61" s="15" t="s">
        <v>25</v>
      </c>
      <c r="B61" s="15">
        <v>152</v>
      </c>
      <c r="C61" s="15">
        <v>1</v>
      </c>
      <c r="D61" s="15" t="s">
        <v>72</v>
      </c>
      <c r="E61" s="3">
        <v>5582.84</v>
      </c>
      <c r="G61" s="17">
        <f t="shared" si="1"/>
        <v>160346.60999999999</v>
      </c>
      <c r="H61" s="17">
        <v>78637.990000000005</v>
      </c>
      <c r="I61" s="17">
        <f t="shared" si="0"/>
        <v>81708.619999999981</v>
      </c>
      <c r="K61" s="7"/>
    </row>
    <row r="62" spans="1:11" x14ac:dyDescent="0.2">
      <c r="A62" s="15" t="s">
        <v>25</v>
      </c>
      <c r="B62" s="15">
        <v>162</v>
      </c>
      <c r="C62" s="15">
        <v>1</v>
      </c>
      <c r="D62" s="15" t="s">
        <v>73</v>
      </c>
      <c r="E62" s="3">
        <v>1010.25</v>
      </c>
      <c r="G62" s="17">
        <f t="shared" si="1"/>
        <v>29015.73</v>
      </c>
      <c r="H62" s="17">
        <v>14562.43</v>
      </c>
      <c r="I62" s="17">
        <f t="shared" si="0"/>
        <v>14453.3</v>
      </c>
      <c r="K62" s="7"/>
    </row>
    <row r="63" spans="1:11" x14ac:dyDescent="0.2">
      <c r="A63" s="15" t="s">
        <v>25</v>
      </c>
      <c r="B63" s="15">
        <v>166</v>
      </c>
      <c r="C63" s="15">
        <v>1</v>
      </c>
      <c r="D63" s="15" t="s">
        <v>74</v>
      </c>
      <c r="E63" s="3">
        <v>460.08</v>
      </c>
      <c r="G63" s="17">
        <f t="shared" si="1"/>
        <v>13214.11</v>
      </c>
      <c r="H63" s="17">
        <v>6632.01</v>
      </c>
      <c r="I63" s="17">
        <f t="shared" si="0"/>
        <v>6582.1</v>
      </c>
      <c r="K63" s="7"/>
    </row>
    <row r="64" spans="1:11" x14ac:dyDescent="0.2">
      <c r="A64" s="15" t="s">
        <v>25</v>
      </c>
      <c r="B64" s="15">
        <v>173</v>
      </c>
      <c r="C64" s="15">
        <v>1</v>
      </c>
      <c r="D64" s="15" t="s">
        <v>75</v>
      </c>
      <c r="E64" s="3">
        <v>485.83</v>
      </c>
      <c r="G64" s="17">
        <f t="shared" si="1"/>
        <v>13953.69</v>
      </c>
      <c r="H64" s="17">
        <v>7005.02</v>
      </c>
      <c r="I64" s="17">
        <f t="shared" si="0"/>
        <v>6948.67</v>
      </c>
      <c r="K64" s="7"/>
    </row>
    <row r="65" spans="1:11" x14ac:dyDescent="0.2">
      <c r="A65" s="15" t="s">
        <v>25</v>
      </c>
      <c r="B65" s="15">
        <v>177</v>
      </c>
      <c r="C65" s="15">
        <v>1</v>
      </c>
      <c r="D65" s="15" t="s">
        <v>76</v>
      </c>
      <c r="E65" s="3">
        <v>985.77</v>
      </c>
      <c r="G65" s="17">
        <f t="shared" si="1"/>
        <v>28312.63</v>
      </c>
      <c r="H65" s="17">
        <v>14212.05</v>
      </c>
      <c r="I65" s="17">
        <f t="shared" si="0"/>
        <v>14100.580000000002</v>
      </c>
      <c r="K65" s="7"/>
    </row>
    <row r="66" spans="1:11" x14ac:dyDescent="0.2">
      <c r="A66" s="15" t="s">
        <v>25</v>
      </c>
      <c r="B66" s="15">
        <v>181</v>
      </c>
      <c r="C66" s="15">
        <v>1</v>
      </c>
      <c r="D66" s="15" t="s">
        <v>77</v>
      </c>
      <c r="E66" s="3">
        <v>6398.6</v>
      </c>
      <c r="G66" s="17">
        <f t="shared" si="1"/>
        <v>183776.33</v>
      </c>
      <c r="H66" s="17">
        <v>92265.08</v>
      </c>
      <c r="I66" s="17">
        <f t="shared" si="0"/>
        <v>91511.249999999985</v>
      </c>
      <c r="K66" s="7"/>
    </row>
    <row r="67" spans="1:11" x14ac:dyDescent="0.2">
      <c r="A67" s="15" t="s">
        <v>25</v>
      </c>
      <c r="B67" s="15">
        <v>182</v>
      </c>
      <c r="C67" s="15">
        <v>1</v>
      </c>
      <c r="D67" s="15" t="s">
        <v>78</v>
      </c>
      <c r="E67" s="3">
        <v>1143.24</v>
      </c>
      <c r="G67" s="17">
        <f t="shared" si="1"/>
        <v>32835.379999999997</v>
      </c>
      <c r="H67" s="17">
        <v>16500.87</v>
      </c>
      <c r="I67" s="17">
        <f t="shared" si="0"/>
        <v>16334.509999999998</v>
      </c>
      <c r="K67" s="7"/>
    </row>
    <row r="68" spans="1:11" x14ac:dyDescent="0.2">
      <c r="A68" s="15" t="s">
        <v>25</v>
      </c>
      <c r="B68" s="15">
        <v>186</v>
      </c>
      <c r="C68" s="15">
        <v>1</v>
      </c>
      <c r="D68" s="15" t="s">
        <v>79</v>
      </c>
      <c r="E68" s="3">
        <v>1617.25</v>
      </c>
      <c r="G68" s="17">
        <f t="shared" si="1"/>
        <v>46449.58</v>
      </c>
      <c r="H68" s="17">
        <v>23312.97</v>
      </c>
      <c r="I68" s="17">
        <f t="shared" si="0"/>
        <v>23136.61</v>
      </c>
      <c r="K68" s="7"/>
    </row>
    <row r="69" spans="1:11" x14ac:dyDescent="0.2">
      <c r="A69" s="15" t="s">
        <v>25</v>
      </c>
      <c r="B69" s="15">
        <v>191</v>
      </c>
      <c r="C69" s="15">
        <v>1</v>
      </c>
      <c r="D69" s="15" t="s">
        <v>80</v>
      </c>
      <c r="E69" s="3">
        <v>9578.58</v>
      </c>
      <c r="G69" s="17">
        <f t="shared" si="1"/>
        <v>275109.59000000003</v>
      </c>
      <c r="H69" s="17">
        <v>138078.96</v>
      </c>
      <c r="I69" s="17">
        <f t="shared" si="0"/>
        <v>137030.63000000003</v>
      </c>
      <c r="K69" s="7"/>
    </row>
    <row r="70" spans="1:11" x14ac:dyDescent="0.2">
      <c r="A70" s="15" t="s">
        <v>25</v>
      </c>
      <c r="B70" s="15">
        <v>192</v>
      </c>
      <c r="C70" s="15">
        <v>1</v>
      </c>
      <c r="D70" s="15" t="s">
        <v>81</v>
      </c>
      <c r="E70" s="3">
        <v>6756.27</v>
      </c>
      <c r="G70" s="17">
        <f t="shared" si="1"/>
        <v>194049.09</v>
      </c>
      <c r="H70" s="17">
        <v>97401.44</v>
      </c>
      <c r="I70" s="17">
        <f t="shared" si="0"/>
        <v>96647.65</v>
      </c>
      <c r="K70" s="7"/>
    </row>
    <row r="71" spans="1:11" x14ac:dyDescent="0.2">
      <c r="A71" s="15" t="s">
        <v>25</v>
      </c>
      <c r="B71" s="15">
        <v>194</v>
      </c>
      <c r="C71" s="15">
        <v>1</v>
      </c>
      <c r="D71" s="15" t="s">
        <v>82</v>
      </c>
      <c r="E71" s="3">
        <v>10766.72</v>
      </c>
      <c r="G71" s="17">
        <f t="shared" si="1"/>
        <v>309234.56</v>
      </c>
      <c r="H71" s="17">
        <v>155199.54999999999</v>
      </c>
      <c r="I71" s="17">
        <f t="shared" si="0"/>
        <v>154035.01</v>
      </c>
      <c r="K71" s="7"/>
    </row>
    <row r="72" spans="1:11" x14ac:dyDescent="0.2">
      <c r="A72" s="15" t="s">
        <v>25</v>
      </c>
      <c r="B72" s="15">
        <v>195</v>
      </c>
      <c r="C72" s="15">
        <v>1</v>
      </c>
      <c r="D72" s="15" t="s">
        <v>83</v>
      </c>
      <c r="E72" s="3">
        <v>576.39</v>
      </c>
      <c r="G72" s="17">
        <f t="shared" si="1"/>
        <v>16554.689999999999</v>
      </c>
      <c r="H72" s="17">
        <v>8310.7800000000007</v>
      </c>
      <c r="I72" s="17">
        <f t="shared" si="0"/>
        <v>8243.909999999998</v>
      </c>
      <c r="K72" s="7"/>
    </row>
    <row r="73" spans="1:11" x14ac:dyDescent="0.2">
      <c r="A73" s="15" t="s">
        <v>25</v>
      </c>
      <c r="B73" s="15">
        <v>196</v>
      </c>
      <c r="C73" s="15">
        <v>1</v>
      </c>
      <c r="D73" s="15" t="s">
        <v>84</v>
      </c>
      <c r="E73" s="3">
        <v>26792.81</v>
      </c>
      <c r="G73" s="17">
        <f t="shared" si="1"/>
        <v>769525.24</v>
      </c>
      <c r="H73" s="17">
        <v>386280.53</v>
      </c>
      <c r="I73" s="17">
        <f t="shared" si="0"/>
        <v>383244.70999999996</v>
      </c>
      <c r="K73" s="7"/>
    </row>
    <row r="74" spans="1:11" x14ac:dyDescent="0.2">
      <c r="A74" s="15" t="s">
        <v>25</v>
      </c>
      <c r="B74" s="15">
        <v>197</v>
      </c>
      <c r="C74" s="15">
        <v>1</v>
      </c>
      <c r="D74" s="15" t="s">
        <v>85</v>
      </c>
      <c r="E74" s="3">
        <v>4749.0600000000004</v>
      </c>
      <c r="G74" s="17">
        <f t="shared" si="1"/>
        <v>136399.34</v>
      </c>
      <c r="H74" s="17">
        <v>68592.5</v>
      </c>
      <c r="I74" s="17">
        <f t="shared" si="0"/>
        <v>67806.84</v>
      </c>
      <c r="K74" s="7"/>
    </row>
    <row r="75" spans="1:11" x14ac:dyDescent="0.2">
      <c r="A75" s="15" t="s">
        <v>25</v>
      </c>
      <c r="B75" s="15">
        <v>199</v>
      </c>
      <c r="C75" s="15">
        <v>1</v>
      </c>
      <c r="D75" s="15" t="s">
        <v>86</v>
      </c>
      <c r="E75" s="3">
        <v>3795.27</v>
      </c>
      <c r="G75" s="17">
        <f t="shared" si="1"/>
        <v>109005.22</v>
      </c>
      <c r="H75" s="17">
        <v>54707.9</v>
      </c>
      <c r="I75" s="17">
        <f t="shared" si="0"/>
        <v>54297.32</v>
      </c>
      <c r="K75" s="7"/>
    </row>
    <row r="76" spans="1:11" x14ac:dyDescent="0.2">
      <c r="A76" s="15" t="s">
        <v>25</v>
      </c>
      <c r="B76" s="15">
        <v>200</v>
      </c>
      <c r="C76" s="15">
        <v>1</v>
      </c>
      <c r="D76" s="15" t="s">
        <v>87</v>
      </c>
      <c r="E76" s="3">
        <v>4618.17</v>
      </c>
      <c r="G76" s="17">
        <f t="shared" si="1"/>
        <v>132640</v>
      </c>
      <c r="H76" s="17">
        <v>66582.539999999994</v>
      </c>
      <c r="I76" s="17">
        <f t="shared" si="0"/>
        <v>66057.460000000006</v>
      </c>
      <c r="K76" s="7"/>
    </row>
    <row r="77" spans="1:11" x14ac:dyDescent="0.2">
      <c r="A77" s="15" t="s">
        <v>25</v>
      </c>
      <c r="B77" s="15">
        <v>203</v>
      </c>
      <c r="C77" s="15">
        <v>1</v>
      </c>
      <c r="D77" s="15" t="s">
        <v>88</v>
      </c>
      <c r="E77" s="3">
        <v>772.52</v>
      </c>
      <c r="G77" s="17">
        <f t="shared" si="1"/>
        <v>22187.8</v>
      </c>
      <c r="H77" s="17">
        <v>11152.99</v>
      </c>
      <c r="I77" s="17">
        <f t="shared" si="0"/>
        <v>11034.81</v>
      </c>
      <c r="K77" s="7"/>
    </row>
    <row r="78" spans="1:11" x14ac:dyDescent="0.2">
      <c r="A78" s="15" t="s">
        <v>25</v>
      </c>
      <c r="B78" s="15">
        <v>204</v>
      </c>
      <c r="C78" s="15">
        <v>1</v>
      </c>
      <c r="D78" s="15" t="s">
        <v>89</v>
      </c>
      <c r="E78" s="3">
        <v>2095.9299999999998</v>
      </c>
      <c r="G78" s="17">
        <f t="shared" si="1"/>
        <v>60197.9</v>
      </c>
      <c r="H78" s="17">
        <v>30201.35</v>
      </c>
      <c r="I78" s="17">
        <f t="shared" si="0"/>
        <v>29996.550000000003</v>
      </c>
      <c r="K78" s="7"/>
    </row>
    <row r="79" spans="1:11" x14ac:dyDescent="0.2">
      <c r="A79" s="15" t="s">
        <v>25</v>
      </c>
      <c r="B79" s="15">
        <v>206</v>
      </c>
      <c r="C79" s="15">
        <v>1</v>
      </c>
      <c r="D79" s="15" t="s">
        <v>90</v>
      </c>
      <c r="E79" s="3">
        <v>3923.67</v>
      </c>
      <c r="G79" s="17">
        <f t="shared" si="1"/>
        <v>112693.04</v>
      </c>
      <c r="H79" s="17">
        <v>56586.22</v>
      </c>
      <c r="I79" s="17">
        <f t="shared" ref="I79:I142" si="2">G79-H79</f>
        <v>56106.819999999992</v>
      </c>
      <c r="K79" s="7"/>
    </row>
    <row r="80" spans="1:11" x14ac:dyDescent="0.2">
      <c r="A80" s="15" t="s">
        <v>25</v>
      </c>
      <c r="B80" s="15">
        <v>213</v>
      </c>
      <c r="C80" s="15">
        <v>1</v>
      </c>
      <c r="D80" s="15" t="s">
        <v>91</v>
      </c>
      <c r="E80" s="3">
        <v>866.13</v>
      </c>
      <c r="G80" s="17">
        <f t="shared" ref="G80:G143" si="3">ROUND(E80*$G$6,2)</f>
        <v>24876.41</v>
      </c>
      <c r="H80" s="17">
        <v>12472.01</v>
      </c>
      <c r="I80" s="17">
        <f t="shared" si="2"/>
        <v>12404.4</v>
      </c>
      <c r="K80" s="7"/>
    </row>
    <row r="81" spans="1:11" x14ac:dyDescent="0.2">
      <c r="A81" s="15" t="s">
        <v>25</v>
      </c>
      <c r="B81" s="15">
        <v>227</v>
      </c>
      <c r="C81" s="15">
        <v>1</v>
      </c>
      <c r="D81" s="15" t="s">
        <v>92</v>
      </c>
      <c r="E81" s="3">
        <v>894.33</v>
      </c>
      <c r="G81" s="17">
        <f t="shared" si="3"/>
        <v>25686.35</v>
      </c>
      <c r="H81" s="17">
        <v>12895.05</v>
      </c>
      <c r="I81" s="17">
        <f t="shared" si="2"/>
        <v>12791.3</v>
      </c>
      <c r="K81" s="7"/>
    </row>
    <row r="82" spans="1:11" x14ac:dyDescent="0.2">
      <c r="A82" s="15" t="s">
        <v>25</v>
      </c>
      <c r="B82" s="15">
        <v>229</v>
      </c>
      <c r="C82" s="15">
        <v>1</v>
      </c>
      <c r="D82" s="15" t="s">
        <v>93</v>
      </c>
      <c r="E82" s="3">
        <v>336.43</v>
      </c>
      <c r="G82" s="17">
        <f t="shared" si="3"/>
        <v>9662.7199999999993</v>
      </c>
      <c r="H82" s="17">
        <v>4851.88</v>
      </c>
      <c r="I82" s="17">
        <f t="shared" si="2"/>
        <v>4810.8399999999992</v>
      </c>
      <c r="K82" s="7"/>
    </row>
    <row r="83" spans="1:11" x14ac:dyDescent="0.2">
      <c r="A83" s="15" t="s">
        <v>25</v>
      </c>
      <c r="B83" s="15">
        <v>238</v>
      </c>
      <c r="C83" s="15">
        <v>1</v>
      </c>
      <c r="D83" s="15" t="s">
        <v>94</v>
      </c>
      <c r="E83" s="3">
        <v>252.77</v>
      </c>
      <c r="G83" s="17">
        <f t="shared" si="3"/>
        <v>7259.89</v>
      </c>
      <c r="H83" s="17">
        <v>3631.63</v>
      </c>
      <c r="I83" s="17">
        <f t="shared" si="2"/>
        <v>3628.26</v>
      </c>
      <c r="K83" s="7"/>
    </row>
    <row r="84" spans="1:11" x14ac:dyDescent="0.2">
      <c r="A84" s="15" t="s">
        <v>25</v>
      </c>
      <c r="B84" s="15">
        <v>239</v>
      </c>
      <c r="C84" s="15">
        <v>1</v>
      </c>
      <c r="D84" s="15" t="s">
        <v>95</v>
      </c>
      <c r="E84" s="3">
        <v>661.32</v>
      </c>
      <c r="G84" s="17">
        <f t="shared" si="3"/>
        <v>18993.990000000002</v>
      </c>
      <c r="H84" s="17">
        <v>9517.91</v>
      </c>
      <c r="I84" s="17">
        <f t="shared" si="2"/>
        <v>9476.0800000000017</v>
      </c>
      <c r="K84" s="7"/>
    </row>
    <row r="85" spans="1:11" x14ac:dyDescent="0.2">
      <c r="A85" s="15" t="s">
        <v>25</v>
      </c>
      <c r="B85" s="15">
        <v>241</v>
      </c>
      <c r="C85" s="15">
        <v>1</v>
      </c>
      <c r="D85" s="15" t="s">
        <v>96</v>
      </c>
      <c r="E85" s="3">
        <v>3224.96</v>
      </c>
      <c r="G85" s="17">
        <f t="shared" si="3"/>
        <v>92625.15</v>
      </c>
      <c r="H85" s="17">
        <v>46371.31</v>
      </c>
      <c r="I85" s="17">
        <f t="shared" si="2"/>
        <v>46253.84</v>
      </c>
      <c r="K85" s="7"/>
    </row>
    <row r="86" spans="1:11" x14ac:dyDescent="0.2">
      <c r="A86" s="15" t="s">
        <v>25</v>
      </c>
      <c r="B86" s="15">
        <v>242</v>
      </c>
      <c r="C86" s="15">
        <v>1</v>
      </c>
      <c r="D86" s="15" t="s">
        <v>97</v>
      </c>
      <c r="E86" s="3">
        <v>493.27</v>
      </c>
      <c r="G86" s="17">
        <f t="shared" si="3"/>
        <v>14167.37</v>
      </c>
      <c r="H86" s="17">
        <v>7104.51</v>
      </c>
      <c r="I86" s="17">
        <f t="shared" si="2"/>
        <v>7062.8600000000006</v>
      </c>
      <c r="K86" s="7"/>
    </row>
    <row r="87" spans="1:11" x14ac:dyDescent="0.2">
      <c r="A87" s="15" t="s">
        <v>25</v>
      </c>
      <c r="B87" s="15">
        <v>252</v>
      </c>
      <c r="C87" s="15">
        <v>1</v>
      </c>
      <c r="D87" s="15" t="s">
        <v>98</v>
      </c>
      <c r="E87" s="3">
        <v>1182</v>
      </c>
      <c r="G87" s="17">
        <f t="shared" si="3"/>
        <v>33948.620000000003</v>
      </c>
      <c r="H87" s="17">
        <v>17043.59</v>
      </c>
      <c r="I87" s="17">
        <f t="shared" si="2"/>
        <v>16905.030000000002</v>
      </c>
      <c r="K87" s="7"/>
    </row>
    <row r="88" spans="1:11" x14ac:dyDescent="0.2">
      <c r="A88" s="15" t="s">
        <v>25</v>
      </c>
      <c r="B88" s="15">
        <v>253</v>
      </c>
      <c r="C88" s="15">
        <v>1</v>
      </c>
      <c r="D88" s="15" t="s">
        <v>99</v>
      </c>
      <c r="E88" s="3">
        <v>652.74</v>
      </c>
      <c r="G88" s="17">
        <f t="shared" si="3"/>
        <v>18747.560000000001</v>
      </c>
      <c r="H88" s="17">
        <v>9372.57</v>
      </c>
      <c r="I88" s="17">
        <f t="shared" si="2"/>
        <v>9374.9900000000016</v>
      </c>
      <c r="K88" s="7"/>
    </row>
    <row r="89" spans="1:11" x14ac:dyDescent="0.2">
      <c r="A89" s="15" t="s">
        <v>25</v>
      </c>
      <c r="B89" s="15">
        <v>255</v>
      </c>
      <c r="C89" s="15">
        <v>1</v>
      </c>
      <c r="D89" s="15" t="s">
        <v>100</v>
      </c>
      <c r="E89" s="3">
        <v>1180.81</v>
      </c>
      <c r="G89" s="17">
        <f t="shared" si="3"/>
        <v>33914.44</v>
      </c>
      <c r="H89" s="17">
        <v>17025.71</v>
      </c>
      <c r="I89" s="17">
        <f t="shared" si="2"/>
        <v>16888.730000000003</v>
      </c>
      <c r="K89" s="7"/>
    </row>
    <row r="90" spans="1:11" x14ac:dyDescent="0.2">
      <c r="A90" s="15" t="s">
        <v>25</v>
      </c>
      <c r="B90" s="15">
        <v>256</v>
      </c>
      <c r="C90" s="15">
        <v>1</v>
      </c>
      <c r="D90" s="15" t="s">
        <v>101</v>
      </c>
      <c r="E90" s="3">
        <v>2796.4</v>
      </c>
      <c r="G90" s="17">
        <f t="shared" si="3"/>
        <v>80316.34</v>
      </c>
      <c r="H90" s="17">
        <v>40371.56</v>
      </c>
      <c r="I90" s="17">
        <f t="shared" si="2"/>
        <v>39944.78</v>
      </c>
      <c r="K90" s="7"/>
    </row>
    <row r="91" spans="1:11" x14ac:dyDescent="0.2">
      <c r="A91" s="15" t="s">
        <v>25</v>
      </c>
      <c r="B91" s="15">
        <v>261</v>
      </c>
      <c r="C91" s="15">
        <v>1</v>
      </c>
      <c r="D91" s="15" t="s">
        <v>102</v>
      </c>
      <c r="E91" s="3">
        <v>242.15</v>
      </c>
      <c r="G91" s="17">
        <f t="shared" si="3"/>
        <v>6954.87</v>
      </c>
      <c r="H91" s="17">
        <v>3430.78</v>
      </c>
      <c r="I91" s="17">
        <f t="shared" si="2"/>
        <v>3524.0899999999997</v>
      </c>
      <c r="K91" s="7"/>
    </row>
    <row r="92" spans="1:11" x14ac:dyDescent="0.2">
      <c r="A92" s="15" t="s">
        <v>25</v>
      </c>
      <c r="B92" s="15">
        <v>264</v>
      </c>
      <c r="C92" s="15">
        <v>1</v>
      </c>
      <c r="D92" s="15" t="s">
        <v>103</v>
      </c>
      <c r="E92" s="3">
        <v>93.47</v>
      </c>
      <c r="G92" s="17">
        <f t="shared" si="3"/>
        <v>2684.58</v>
      </c>
      <c r="H92" s="17">
        <v>1350.02</v>
      </c>
      <c r="I92" s="17">
        <f t="shared" si="2"/>
        <v>1334.56</v>
      </c>
      <c r="K92" s="7"/>
    </row>
    <row r="93" spans="1:11" x14ac:dyDescent="0.2">
      <c r="A93" s="15" t="s">
        <v>25</v>
      </c>
      <c r="B93" s="15">
        <v>270</v>
      </c>
      <c r="C93" s="15">
        <v>1</v>
      </c>
      <c r="D93" s="15" t="s">
        <v>104</v>
      </c>
      <c r="E93" s="3">
        <v>7037.73</v>
      </c>
      <c r="G93" s="17">
        <f t="shared" si="3"/>
        <v>202132.99</v>
      </c>
      <c r="H93" s="17">
        <v>100514.86</v>
      </c>
      <c r="I93" s="17">
        <f t="shared" si="2"/>
        <v>101618.12999999999</v>
      </c>
      <c r="K93" s="7"/>
    </row>
    <row r="94" spans="1:11" x14ac:dyDescent="0.2">
      <c r="A94" s="15" t="s">
        <v>25</v>
      </c>
      <c r="B94" s="15">
        <v>271</v>
      </c>
      <c r="C94" s="15">
        <v>1</v>
      </c>
      <c r="D94" s="15" t="s">
        <v>105</v>
      </c>
      <c r="E94" s="3">
        <v>10342.98</v>
      </c>
      <c r="G94" s="17">
        <f t="shared" si="3"/>
        <v>297064.18</v>
      </c>
      <c r="H94" s="17">
        <v>149126.26</v>
      </c>
      <c r="I94" s="17">
        <f t="shared" si="2"/>
        <v>147937.91999999998</v>
      </c>
      <c r="K94" s="7"/>
    </row>
    <row r="95" spans="1:11" x14ac:dyDescent="0.2">
      <c r="A95" s="15" t="s">
        <v>25</v>
      </c>
      <c r="B95" s="15">
        <v>272</v>
      </c>
      <c r="C95" s="15">
        <v>1</v>
      </c>
      <c r="D95" s="15" t="s">
        <v>106</v>
      </c>
      <c r="E95" s="3">
        <v>9317.23</v>
      </c>
      <c r="G95" s="17">
        <f t="shared" si="3"/>
        <v>267603.27</v>
      </c>
      <c r="H95" s="17">
        <v>134191.4</v>
      </c>
      <c r="I95" s="17">
        <f t="shared" si="2"/>
        <v>133411.87000000002</v>
      </c>
      <c r="K95" s="7"/>
    </row>
    <row r="96" spans="1:11" x14ac:dyDescent="0.2">
      <c r="A96" s="15" t="s">
        <v>25</v>
      </c>
      <c r="B96" s="15">
        <v>273</v>
      </c>
      <c r="C96" s="15">
        <v>1</v>
      </c>
      <c r="D96" s="15" t="s">
        <v>107</v>
      </c>
      <c r="E96" s="3">
        <v>8368.75</v>
      </c>
      <c r="G96" s="17">
        <f t="shared" si="3"/>
        <v>240361.66</v>
      </c>
      <c r="H96" s="17">
        <v>120608.58</v>
      </c>
      <c r="I96" s="17">
        <f t="shared" si="2"/>
        <v>119753.08</v>
      </c>
      <c r="K96" s="7"/>
    </row>
    <row r="97" spans="1:11" x14ac:dyDescent="0.2">
      <c r="A97" s="15" t="s">
        <v>25</v>
      </c>
      <c r="B97" s="15">
        <v>276</v>
      </c>
      <c r="C97" s="15">
        <v>1</v>
      </c>
      <c r="D97" s="15" t="s">
        <v>108</v>
      </c>
      <c r="E97" s="3">
        <v>9468.2199999999993</v>
      </c>
      <c r="G97" s="17">
        <f t="shared" si="3"/>
        <v>271939.90999999997</v>
      </c>
      <c r="H97" s="17">
        <v>136467.39000000001</v>
      </c>
      <c r="I97" s="17">
        <f t="shared" si="2"/>
        <v>135472.51999999996</v>
      </c>
      <c r="K97" s="7"/>
    </row>
    <row r="98" spans="1:11" ht="12.75" customHeight="1" x14ac:dyDescent="0.2">
      <c r="A98" s="15" t="s">
        <v>25</v>
      </c>
      <c r="B98" s="15">
        <v>277</v>
      </c>
      <c r="C98" s="15">
        <v>1</v>
      </c>
      <c r="D98" s="15" t="s">
        <v>109</v>
      </c>
      <c r="E98" s="3">
        <v>2272.04</v>
      </c>
      <c r="G98" s="17">
        <f t="shared" si="3"/>
        <v>65256.02</v>
      </c>
      <c r="H98" s="17">
        <v>32764.27</v>
      </c>
      <c r="I98" s="17">
        <f t="shared" si="2"/>
        <v>32491.749999999996</v>
      </c>
      <c r="K98" s="7"/>
    </row>
    <row r="99" spans="1:11" x14ac:dyDescent="0.2">
      <c r="A99" s="15" t="s">
        <v>25</v>
      </c>
      <c r="B99" s="15">
        <v>278</v>
      </c>
      <c r="C99" s="15">
        <v>1</v>
      </c>
      <c r="D99" s="15" t="s">
        <v>110</v>
      </c>
      <c r="E99" s="3">
        <v>2762.24</v>
      </c>
      <c r="G99" s="17">
        <f t="shared" si="3"/>
        <v>79335.22</v>
      </c>
      <c r="H99" s="17">
        <v>39827.83</v>
      </c>
      <c r="I99" s="17">
        <f t="shared" si="2"/>
        <v>39507.39</v>
      </c>
      <c r="K99" s="7"/>
    </row>
    <row r="100" spans="1:11" x14ac:dyDescent="0.2">
      <c r="A100" s="15" t="s">
        <v>25</v>
      </c>
      <c r="B100" s="15">
        <v>279</v>
      </c>
      <c r="C100" s="15">
        <v>1</v>
      </c>
      <c r="D100" s="15" t="s">
        <v>111</v>
      </c>
      <c r="E100" s="3">
        <v>20548.919999999998</v>
      </c>
      <c r="G100" s="17">
        <f t="shared" si="3"/>
        <v>590192.39</v>
      </c>
      <c r="H100" s="17">
        <v>296082.08</v>
      </c>
      <c r="I100" s="17">
        <f t="shared" si="2"/>
        <v>294110.31</v>
      </c>
      <c r="K100" s="7"/>
    </row>
    <row r="101" spans="1:11" x14ac:dyDescent="0.2">
      <c r="A101" s="15" t="s">
        <v>25</v>
      </c>
      <c r="B101" s="15">
        <v>280</v>
      </c>
      <c r="C101" s="15">
        <v>1</v>
      </c>
      <c r="D101" s="15" t="s">
        <v>112</v>
      </c>
      <c r="E101" s="3">
        <v>4422.04</v>
      </c>
      <c r="G101" s="17">
        <f t="shared" si="3"/>
        <v>127006.89</v>
      </c>
      <c r="H101" s="17">
        <v>63623.97</v>
      </c>
      <c r="I101" s="17">
        <f t="shared" si="2"/>
        <v>63382.92</v>
      </c>
      <c r="K101" s="7"/>
    </row>
    <row r="102" spans="1:11" x14ac:dyDescent="0.2">
      <c r="A102" s="15" t="s">
        <v>25</v>
      </c>
      <c r="B102" s="15">
        <v>281</v>
      </c>
      <c r="C102" s="15">
        <v>1</v>
      </c>
      <c r="D102" s="15" t="s">
        <v>113</v>
      </c>
      <c r="E102" s="3">
        <v>12181.21</v>
      </c>
      <c r="G102" s="17">
        <f t="shared" si="3"/>
        <v>349860.6</v>
      </c>
      <c r="H102" s="17">
        <v>175525.12</v>
      </c>
      <c r="I102" s="17">
        <f t="shared" si="2"/>
        <v>174335.47999999998</v>
      </c>
      <c r="K102" s="7"/>
    </row>
    <row r="103" spans="1:11" x14ac:dyDescent="0.2">
      <c r="A103" s="15" t="s">
        <v>25</v>
      </c>
      <c r="B103" s="15">
        <v>282</v>
      </c>
      <c r="C103" s="15">
        <v>1</v>
      </c>
      <c r="D103" s="15" t="s">
        <v>114</v>
      </c>
      <c r="E103" s="3">
        <v>1761.23</v>
      </c>
      <c r="G103" s="17">
        <f t="shared" si="3"/>
        <v>50584.87</v>
      </c>
      <c r="H103" s="17">
        <v>25391.14</v>
      </c>
      <c r="I103" s="17">
        <f t="shared" si="2"/>
        <v>25193.730000000003</v>
      </c>
      <c r="K103" s="7"/>
    </row>
    <row r="104" spans="1:11" x14ac:dyDescent="0.2">
      <c r="A104" s="15" t="s">
        <v>25</v>
      </c>
      <c r="B104" s="15">
        <v>283</v>
      </c>
      <c r="C104" s="15">
        <v>1</v>
      </c>
      <c r="D104" s="15" t="s">
        <v>115</v>
      </c>
      <c r="E104" s="3">
        <v>4539.88</v>
      </c>
      <c r="G104" s="17">
        <f t="shared" si="3"/>
        <v>130391.41</v>
      </c>
      <c r="H104" s="17">
        <v>65322.49</v>
      </c>
      <c r="I104" s="17">
        <f t="shared" si="2"/>
        <v>65068.920000000006</v>
      </c>
      <c r="K104" s="7"/>
    </row>
    <row r="105" spans="1:11" x14ac:dyDescent="0.2">
      <c r="A105" s="15" t="s">
        <v>25</v>
      </c>
      <c r="B105" s="15">
        <v>284</v>
      </c>
      <c r="C105" s="15">
        <v>1</v>
      </c>
      <c r="D105" s="15" t="s">
        <v>116</v>
      </c>
      <c r="E105" s="3">
        <v>10660.33</v>
      </c>
      <c r="G105" s="17">
        <f t="shared" si="3"/>
        <v>306178.89</v>
      </c>
      <c r="H105" s="17">
        <v>153688.76</v>
      </c>
      <c r="I105" s="17">
        <f t="shared" si="2"/>
        <v>152490.13</v>
      </c>
      <c r="K105" s="7"/>
    </row>
    <row r="106" spans="1:11" x14ac:dyDescent="0.2">
      <c r="A106" s="15" t="s">
        <v>25</v>
      </c>
      <c r="B106" s="15">
        <v>286</v>
      </c>
      <c r="C106" s="15">
        <v>1</v>
      </c>
      <c r="D106" s="15" t="s">
        <v>117</v>
      </c>
      <c r="E106" s="3">
        <v>2219.66</v>
      </c>
      <c r="G106" s="17">
        <f t="shared" si="3"/>
        <v>63751.6</v>
      </c>
      <c r="H106" s="17">
        <v>31969.51</v>
      </c>
      <c r="I106" s="17">
        <f t="shared" si="2"/>
        <v>31782.09</v>
      </c>
      <c r="K106" s="7"/>
    </row>
    <row r="107" spans="1:11" x14ac:dyDescent="0.2">
      <c r="A107" s="15" t="s">
        <v>25</v>
      </c>
      <c r="B107" s="15">
        <v>294</v>
      </c>
      <c r="C107" s="15">
        <v>1</v>
      </c>
      <c r="D107" s="15" t="s">
        <v>118</v>
      </c>
      <c r="E107" s="3">
        <v>2523.06</v>
      </c>
      <c r="G107" s="17">
        <f t="shared" si="3"/>
        <v>72465.649999999994</v>
      </c>
      <c r="H107" s="17">
        <v>36341.11</v>
      </c>
      <c r="I107" s="17">
        <f t="shared" si="2"/>
        <v>36124.539999999994</v>
      </c>
      <c r="K107" s="7"/>
    </row>
    <row r="108" spans="1:11" x14ac:dyDescent="0.2">
      <c r="A108" s="15" t="s">
        <v>25</v>
      </c>
      <c r="B108" s="15">
        <v>297</v>
      </c>
      <c r="C108" s="15">
        <v>1</v>
      </c>
      <c r="D108" s="15" t="s">
        <v>119</v>
      </c>
      <c r="E108" s="3">
        <v>332.19</v>
      </c>
      <c r="G108" s="17">
        <f t="shared" si="3"/>
        <v>9540.94</v>
      </c>
      <c r="H108" s="17">
        <v>4781.66</v>
      </c>
      <c r="I108" s="17">
        <f t="shared" si="2"/>
        <v>4759.2800000000007</v>
      </c>
      <c r="K108" s="7"/>
    </row>
    <row r="109" spans="1:11" x14ac:dyDescent="0.2">
      <c r="A109" s="15" t="s">
        <v>25</v>
      </c>
      <c r="B109" s="15">
        <v>299</v>
      </c>
      <c r="C109" s="15">
        <v>1</v>
      </c>
      <c r="D109" s="15" t="s">
        <v>120</v>
      </c>
      <c r="E109" s="3">
        <v>690.6</v>
      </c>
      <c r="G109" s="17">
        <f t="shared" si="3"/>
        <v>19834.95</v>
      </c>
      <c r="H109" s="17">
        <v>9953.35</v>
      </c>
      <c r="I109" s="17">
        <f t="shared" si="2"/>
        <v>9881.6</v>
      </c>
      <c r="K109" s="7"/>
    </row>
    <row r="110" spans="1:11" x14ac:dyDescent="0.2">
      <c r="A110" s="15" t="s">
        <v>25</v>
      </c>
      <c r="B110" s="15">
        <v>300</v>
      </c>
      <c r="C110" s="15">
        <v>1</v>
      </c>
      <c r="D110" s="15" t="s">
        <v>121</v>
      </c>
      <c r="E110" s="3">
        <v>1240.6300000000001</v>
      </c>
      <c r="G110" s="17">
        <f t="shared" si="3"/>
        <v>35632.550000000003</v>
      </c>
      <c r="H110" s="17">
        <v>17889.39</v>
      </c>
      <c r="I110" s="17">
        <f t="shared" si="2"/>
        <v>17743.160000000003</v>
      </c>
      <c r="K110" s="7"/>
    </row>
    <row r="111" spans="1:11" x14ac:dyDescent="0.2">
      <c r="A111" s="15" t="s">
        <v>25</v>
      </c>
      <c r="B111" s="15">
        <v>306</v>
      </c>
      <c r="C111" s="15">
        <v>1</v>
      </c>
      <c r="D111" s="15" t="s">
        <v>122</v>
      </c>
      <c r="E111" s="3">
        <v>267.13</v>
      </c>
      <c r="G111" s="17">
        <f t="shared" si="3"/>
        <v>7672.33</v>
      </c>
      <c r="H111" s="17">
        <v>3819.65</v>
      </c>
      <c r="I111" s="17">
        <f t="shared" si="2"/>
        <v>3852.68</v>
      </c>
      <c r="K111" s="7"/>
    </row>
    <row r="112" spans="1:11" x14ac:dyDescent="0.2">
      <c r="A112" s="15" t="s">
        <v>25</v>
      </c>
      <c r="B112" s="15">
        <v>308</v>
      </c>
      <c r="C112" s="15">
        <v>1</v>
      </c>
      <c r="D112" s="15" t="s">
        <v>123</v>
      </c>
      <c r="E112" s="3">
        <v>550.53</v>
      </c>
      <c r="G112" s="17">
        <f t="shared" si="3"/>
        <v>15811.96</v>
      </c>
      <c r="H112" s="17">
        <v>7939.21</v>
      </c>
      <c r="I112" s="17">
        <f t="shared" si="2"/>
        <v>7872.7499999999991</v>
      </c>
      <c r="K112" s="7"/>
    </row>
    <row r="113" spans="1:11" x14ac:dyDescent="0.2">
      <c r="A113" s="15" t="s">
        <v>25</v>
      </c>
      <c r="B113" s="15">
        <v>309</v>
      </c>
      <c r="C113" s="15">
        <v>1</v>
      </c>
      <c r="D113" s="15" t="s">
        <v>124</v>
      </c>
      <c r="E113" s="3">
        <v>1512.22</v>
      </c>
      <c r="G113" s="17">
        <f t="shared" si="3"/>
        <v>43432.98</v>
      </c>
      <c r="H113" s="17">
        <v>21815.88</v>
      </c>
      <c r="I113" s="17">
        <f t="shared" si="2"/>
        <v>21617.100000000002</v>
      </c>
      <c r="K113" s="7"/>
    </row>
    <row r="114" spans="1:11" x14ac:dyDescent="0.2">
      <c r="A114" s="15" t="s">
        <v>25</v>
      </c>
      <c r="B114" s="15">
        <v>314</v>
      </c>
      <c r="C114" s="15">
        <v>1</v>
      </c>
      <c r="D114" s="15" t="s">
        <v>125</v>
      </c>
      <c r="E114" s="3">
        <v>829.57</v>
      </c>
      <c r="G114" s="17">
        <f t="shared" si="3"/>
        <v>23826.36</v>
      </c>
      <c r="H114" s="17">
        <v>11906.07</v>
      </c>
      <c r="I114" s="17">
        <f t="shared" si="2"/>
        <v>11920.29</v>
      </c>
      <c r="K114" s="7"/>
    </row>
    <row r="115" spans="1:11" x14ac:dyDescent="0.2">
      <c r="A115" s="15" t="s">
        <v>25</v>
      </c>
      <c r="B115" s="15">
        <v>316</v>
      </c>
      <c r="C115" s="15">
        <v>1</v>
      </c>
      <c r="D115" s="15" t="s">
        <v>126</v>
      </c>
      <c r="E115" s="3">
        <v>1056.3699999999999</v>
      </c>
      <c r="G115" s="17">
        <f t="shared" si="3"/>
        <v>30340.36</v>
      </c>
      <c r="H115" s="17">
        <v>15226.69</v>
      </c>
      <c r="I115" s="17">
        <f t="shared" si="2"/>
        <v>15113.67</v>
      </c>
      <c r="K115" s="7"/>
    </row>
    <row r="116" spans="1:11" x14ac:dyDescent="0.2">
      <c r="A116" s="15" t="s">
        <v>25</v>
      </c>
      <c r="B116" s="15">
        <v>317</v>
      </c>
      <c r="C116" s="15">
        <v>1</v>
      </c>
      <c r="D116" s="15" t="s">
        <v>127</v>
      </c>
      <c r="E116" s="3">
        <v>887.35</v>
      </c>
      <c r="G116" s="17">
        <f t="shared" si="3"/>
        <v>25485.88</v>
      </c>
      <c r="H116" s="17">
        <v>12794.84</v>
      </c>
      <c r="I116" s="17">
        <f t="shared" si="2"/>
        <v>12691.04</v>
      </c>
      <c r="K116" s="7"/>
    </row>
    <row r="117" spans="1:11" x14ac:dyDescent="0.2">
      <c r="A117" s="15" t="s">
        <v>25</v>
      </c>
      <c r="B117" s="15">
        <v>318</v>
      </c>
      <c r="C117" s="15">
        <v>1</v>
      </c>
      <c r="D117" s="15" t="s">
        <v>128</v>
      </c>
      <c r="E117" s="3">
        <v>3882.22</v>
      </c>
      <c r="G117" s="17">
        <f t="shared" si="3"/>
        <v>111502.54</v>
      </c>
      <c r="H117" s="17">
        <v>55957.57</v>
      </c>
      <c r="I117" s="17">
        <f t="shared" si="2"/>
        <v>55544.969999999994</v>
      </c>
      <c r="K117" s="7"/>
    </row>
    <row r="118" spans="1:11" x14ac:dyDescent="0.2">
      <c r="A118" s="15" t="s">
        <v>25</v>
      </c>
      <c r="B118" s="15">
        <v>319</v>
      </c>
      <c r="C118" s="15">
        <v>1</v>
      </c>
      <c r="D118" s="15" t="s">
        <v>129</v>
      </c>
      <c r="E118" s="3">
        <v>559.21</v>
      </c>
      <c r="G118" s="17">
        <f t="shared" si="3"/>
        <v>16061.26</v>
      </c>
      <c r="H118" s="17">
        <v>8079.07</v>
      </c>
      <c r="I118" s="17">
        <f t="shared" si="2"/>
        <v>7982.1900000000005</v>
      </c>
      <c r="K118" s="7"/>
    </row>
    <row r="119" spans="1:11" x14ac:dyDescent="0.2">
      <c r="A119" s="15" t="s">
        <v>25</v>
      </c>
      <c r="B119" s="15">
        <v>323</v>
      </c>
      <c r="C119" s="15">
        <v>2</v>
      </c>
      <c r="D119" s="15" t="s">
        <v>130</v>
      </c>
      <c r="E119" s="3">
        <v>30.3</v>
      </c>
      <c r="G119" s="17">
        <f t="shared" si="3"/>
        <v>870.26</v>
      </c>
      <c r="H119" s="17">
        <v>436.89</v>
      </c>
      <c r="I119" s="17">
        <f t="shared" si="2"/>
        <v>433.37</v>
      </c>
      <c r="K119" s="7"/>
    </row>
    <row r="120" spans="1:11" x14ac:dyDescent="0.2">
      <c r="A120" s="15" t="s">
        <v>25</v>
      </c>
      <c r="B120" s="15">
        <v>330</v>
      </c>
      <c r="C120" s="15">
        <v>1</v>
      </c>
      <c r="D120" s="15" t="s">
        <v>131</v>
      </c>
      <c r="E120" s="3">
        <v>339.64</v>
      </c>
      <c r="G120" s="17">
        <f t="shared" si="3"/>
        <v>9754.91</v>
      </c>
      <c r="H120" s="17">
        <v>4897.16</v>
      </c>
      <c r="I120" s="17">
        <f t="shared" si="2"/>
        <v>4857.75</v>
      </c>
      <c r="K120" s="7"/>
    </row>
    <row r="121" spans="1:11" x14ac:dyDescent="0.2">
      <c r="A121" s="15" t="s">
        <v>25</v>
      </c>
      <c r="B121" s="15">
        <v>332</v>
      </c>
      <c r="C121" s="15">
        <v>1</v>
      </c>
      <c r="D121" s="15" t="s">
        <v>132</v>
      </c>
      <c r="E121" s="3">
        <v>1758.84</v>
      </c>
      <c r="G121" s="17">
        <f t="shared" si="3"/>
        <v>50516.23</v>
      </c>
      <c r="H121" s="17">
        <v>25332.02</v>
      </c>
      <c r="I121" s="17">
        <f t="shared" si="2"/>
        <v>25184.210000000003</v>
      </c>
      <c r="K121" s="7"/>
    </row>
    <row r="122" spans="1:11" x14ac:dyDescent="0.2">
      <c r="A122" s="15" t="s">
        <v>25</v>
      </c>
      <c r="B122" s="15">
        <v>333</v>
      </c>
      <c r="C122" s="15">
        <v>1</v>
      </c>
      <c r="D122" s="15" t="s">
        <v>133</v>
      </c>
      <c r="E122" s="3">
        <v>545.47</v>
      </c>
      <c r="G122" s="17">
        <f t="shared" si="3"/>
        <v>15666.63</v>
      </c>
      <c r="H122" s="17">
        <v>7852.26</v>
      </c>
      <c r="I122" s="17">
        <f t="shared" si="2"/>
        <v>7814.369999999999</v>
      </c>
      <c r="K122" s="7"/>
    </row>
    <row r="123" spans="1:11" x14ac:dyDescent="0.2">
      <c r="A123" s="15" t="s">
        <v>25</v>
      </c>
      <c r="B123" s="15">
        <v>345</v>
      </c>
      <c r="C123" s="15">
        <v>1</v>
      </c>
      <c r="D123" s="15" t="s">
        <v>134</v>
      </c>
      <c r="E123" s="3">
        <v>1393.89</v>
      </c>
      <c r="G123" s="17">
        <f t="shared" si="3"/>
        <v>40034.379999999997</v>
      </c>
      <c r="H123" s="17">
        <v>19994.66</v>
      </c>
      <c r="I123" s="17">
        <f t="shared" si="2"/>
        <v>20039.719999999998</v>
      </c>
      <c r="K123" s="7"/>
    </row>
    <row r="124" spans="1:11" x14ac:dyDescent="0.2">
      <c r="A124" s="15" t="s">
        <v>25</v>
      </c>
      <c r="B124" s="15">
        <v>347</v>
      </c>
      <c r="C124" s="15">
        <v>1</v>
      </c>
      <c r="D124" s="15" t="s">
        <v>135</v>
      </c>
      <c r="E124" s="3">
        <v>4121.7299999999996</v>
      </c>
      <c r="G124" s="17">
        <f t="shared" si="3"/>
        <v>118381.58</v>
      </c>
      <c r="H124" s="17">
        <v>59433.04</v>
      </c>
      <c r="I124" s="17">
        <f t="shared" si="2"/>
        <v>58948.54</v>
      </c>
      <c r="K124" s="7"/>
    </row>
    <row r="125" spans="1:11" x14ac:dyDescent="0.2">
      <c r="A125" s="15" t="s">
        <v>25</v>
      </c>
      <c r="B125" s="15">
        <v>356</v>
      </c>
      <c r="C125" s="15">
        <v>1</v>
      </c>
      <c r="D125" s="15" t="s">
        <v>136</v>
      </c>
      <c r="E125" s="3">
        <v>159.77000000000001</v>
      </c>
      <c r="G125" s="17">
        <f t="shared" si="3"/>
        <v>4588.8100000000004</v>
      </c>
      <c r="H125" s="17">
        <v>2305.2600000000002</v>
      </c>
      <c r="I125" s="17">
        <f t="shared" si="2"/>
        <v>2283.5500000000002</v>
      </c>
      <c r="K125" s="7"/>
    </row>
    <row r="126" spans="1:11" x14ac:dyDescent="0.2">
      <c r="A126" s="15" t="s">
        <v>25</v>
      </c>
      <c r="B126" s="15">
        <v>361</v>
      </c>
      <c r="C126" s="15">
        <v>1</v>
      </c>
      <c r="D126" s="15" t="s">
        <v>137</v>
      </c>
      <c r="E126" s="3">
        <v>1167.2</v>
      </c>
      <c r="G126" s="17">
        <f t="shared" si="3"/>
        <v>33523.54</v>
      </c>
      <c r="H126" s="17">
        <v>7832.8</v>
      </c>
      <c r="I126" s="17">
        <f t="shared" si="2"/>
        <v>25690.74</v>
      </c>
      <c r="K126" s="7"/>
    </row>
    <row r="127" spans="1:11" x14ac:dyDescent="0.2">
      <c r="A127" s="15" t="s">
        <v>25</v>
      </c>
      <c r="B127" s="15">
        <v>362</v>
      </c>
      <c r="C127" s="15">
        <v>1</v>
      </c>
      <c r="D127" s="15" t="s">
        <v>138</v>
      </c>
      <c r="E127" s="3">
        <v>300.87</v>
      </c>
      <c r="G127" s="17">
        <f t="shared" si="3"/>
        <v>8641.39</v>
      </c>
      <c r="H127" s="17">
        <v>4338.1499999999996</v>
      </c>
      <c r="I127" s="17">
        <f t="shared" si="2"/>
        <v>4303.24</v>
      </c>
      <c r="K127" s="7"/>
    </row>
    <row r="128" spans="1:11" x14ac:dyDescent="0.2">
      <c r="A128" s="15" t="s">
        <v>25</v>
      </c>
      <c r="B128" s="15">
        <v>363</v>
      </c>
      <c r="C128" s="15">
        <v>1</v>
      </c>
      <c r="D128" s="15" t="s">
        <v>139</v>
      </c>
      <c r="E128" s="3">
        <v>354.88</v>
      </c>
      <c r="G128" s="17">
        <f t="shared" si="3"/>
        <v>10192.629999999999</v>
      </c>
      <c r="H128" s="17">
        <v>5116.8999999999996</v>
      </c>
      <c r="I128" s="17">
        <f t="shared" si="2"/>
        <v>5075.7299999999996</v>
      </c>
      <c r="K128" s="7"/>
    </row>
    <row r="129" spans="1:11" x14ac:dyDescent="0.2">
      <c r="A129" s="15" t="s">
        <v>25</v>
      </c>
      <c r="B129" s="15">
        <v>378</v>
      </c>
      <c r="C129" s="15">
        <v>1</v>
      </c>
      <c r="D129" s="15" t="s">
        <v>140</v>
      </c>
      <c r="E129" s="3">
        <v>496.68</v>
      </c>
      <c r="G129" s="17">
        <f t="shared" si="3"/>
        <v>14265.31</v>
      </c>
      <c r="H129" s="17">
        <v>7163.92</v>
      </c>
      <c r="I129" s="17">
        <f t="shared" si="2"/>
        <v>7101.3899999999994</v>
      </c>
      <c r="K129" s="7"/>
    </row>
    <row r="130" spans="1:11" x14ac:dyDescent="0.2">
      <c r="A130" s="15" t="s">
        <v>25</v>
      </c>
      <c r="B130" s="15">
        <v>381</v>
      </c>
      <c r="C130" s="15">
        <v>1</v>
      </c>
      <c r="D130" s="15" t="s">
        <v>141</v>
      </c>
      <c r="E130" s="3">
        <v>1388.94</v>
      </c>
      <c r="G130" s="17">
        <f t="shared" si="3"/>
        <v>39892.21</v>
      </c>
      <c r="H130" s="17">
        <v>20027.68</v>
      </c>
      <c r="I130" s="17">
        <f t="shared" si="2"/>
        <v>19864.53</v>
      </c>
      <c r="K130" s="7"/>
    </row>
    <row r="131" spans="1:11" x14ac:dyDescent="0.2">
      <c r="A131" s="15" t="s">
        <v>25</v>
      </c>
      <c r="B131" s="15">
        <v>390</v>
      </c>
      <c r="C131" s="15">
        <v>1</v>
      </c>
      <c r="D131" s="15" t="s">
        <v>142</v>
      </c>
      <c r="E131" s="3">
        <v>476.28</v>
      </c>
      <c r="G131" s="17">
        <f t="shared" si="3"/>
        <v>13679.4</v>
      </c>
      <c r="H131" s="17">
        <v>6866.03</v>
      </c>
      <c r="I131" s="17">
        <f t="shared" si="2"/>
        <v>6813.37</v>
      </c>
      <c r="K131" s="7"/>
    </row>
    <row r="132" spans="1:11" x14ac:dyDescent="0.2">
      <c r="A132" s="15" t="s">
        <v>25</v>
      </c>
      <c r="B132" s="15">
        <v>391</v>
      </c>
      <c r="C132" s="15">
        <v>1</v>
      </c>
      <c r="D132" s="15" t="s">
        <v>143</v>
      </c>
      <c r="E132" s="3">
        <v>436.86</v>
      </c>
      <c r="G132" s="17">
        <f t="shared" si="3"/>
        <v>12547.2</v>
      </c>
      <c r="H132" s="17">
        <v>6298.94</v>
      </c>
      <c r="I132" s="17">
        <f t="shared" si="2"/>
        <v>6248.2600000000011</v>
      </c>
      <c r="K132" s="7"/>
    </row>
    <row r="133" spans="1:11" x14ac:dyDescent="0.2">
      <c r="A133" s="15" t="s">
        <v>25</v>
      </c>
      <c r="B133" s="15">
        <v>402</v>
      </c>
      <c r="C133" s="15">
        <v>1</v>
      </c>
      <c r="D133" s="15" t="s">
        <v>144</v>
      </c>
      <c r="E133" s="3">
        <v>92.63</v>
      </c>
      <c r="G133" s="17">
        <f t="shared" si="3"/>
        <v>2660.46</v>
      </c>
      <c r="H133" s="17">
        <v>1350.02</v>
      </c>
      <c r="I133" s="17">
        <f t="shared" si="2"/>
        <v>1310.44</v>
      </c>
      <c r="K133" s="7"/>
    </row>
    <row r="134" spans="1:11" x14ac:dyDescent="0.2">
      <c r="A134" s="15" t="s">
        <v>25</v>
      </c>
      <c r="B134" s="15">
        <v>403</v>
      </c>
      <c r="C134" s="15">
        <v>1</v>
      </c>
      <c r="D134" s="15" t="s">
        <v>145</v>
      </c>
      <c r="E134" s="3">
        <v>193.89</v>
      </c>
      <c r="G134" s="17">
        <f t="shared" si="3"/>
        <v>5568.78</v>
      </c>
      <c r="H134" s="17">
        <v>2795.64</v>
      </c>
      <c r="I134" s="17">
        <f t="shared" si="2"/>
        <v>2773.14</v>
      </c>
      <c r="K134" s="7"/>
    </row>
    <row r="135" spans="1:11" x14ac:dyDescent="0.2">
      <c r="A135" s="15" t="s">
        <v>25</v>
      </c>
      <c r="B135" s="15">
        <v>404</v>
      </c>
      <c r="C135" s="15">
        <v>1</v>
      </c>
      <c r="D135" s="15" t="s">
        <v>146</v>
      </c>
      <c r="E135" s="3">
        <v>163.07</v>
      </c>
      <c r="G135" s="17">
        <f t="shared" si="3"/>
        <v>4683.59</v>
      </c>
      <c r="H135" s="17">
        <v>2351.25</v>
      </c>
      <c r="I135" s="17">
        <f t="shared" si="2"/>
        <v>2332.34</v>
      </c>
      <c r="K135" s="7"/>
    </row>
    <row r="136" spans="1:11" x14ac:dyDescent="0.2">
      <c r="A136" s="15" t="s">
        <v>25</v>
      </c>
      <c r="B136" s="15">
        <v>413</v>
      </c>
      <c r="C136" s="15">
        <v>1</v>
      </c>
      <c r="D136" s="15" t="s">
        <v>147</v>
      </c>
      <c r="E136" s="3">
        <v>2186.48</v>
      </c>
      <c r="G136" s="17">
        <f t="shared" si="3"/>
        <v>62798.62</v>
      </c>
      <c r="H136" s="17">
        <v>31510.71</v>
      </c>
      <c r="I136" s="17">
        <f t="shared" si="2"/>
        <v>31287.910000000003</v>
      </c>
      <c r="K136" s="7"/>
    </row>
    <row r="137" spans="1:11" x14ac:dyDescent="0.2">
      <c r="A137" s="15" t="s">
        <v>25</v>
      </c>
      <c r="B137" s="15">
        <v>414</v>
      </c>
      <c r="C137" s="15">
        <v>1</v>
      </c>
      <c r="D137" s="15" t="s">
        <v>148</v>
      </c>
      <c r="E137" s="3">
        <v>431.1</v>
      </c>
      <c r="G137" s="17">
        <f t="shared" si="3"/>
        <v>12381.77</v>
      </c>
      <c r="H137" s="17">
        <v>6215.89</v>
      </c>
      <c r="I137" s="17">
        <f t="shared" si="2"/>
        <v>6165.88</v>
      </c>
      <c r="K137" s="7"/>
    </row>
    <row r="138" spans="1:11" x14ac:dyDescent="0.2">
      <c r="A138" s="15" t="s">
        <v>25</v>
      </c>
      <c r="B138" s="15">
        <v>415</v>
      </c>
      <c r="C138" s="15">
        <v>1</v>
      </c>
      <c r="D138" s="15" t="s">
        <v>149</v>
      </c>
      <c r="E138" s="3">
        <v>162.91</v>
      </c>
      <c r="G138" s="17">
        <f t="shared" si="3"/>
        <v>4678.99</v>
      </c>
      <c r="H138" s="17">
        <v>2248.02</v>
      </c>
      <c r="I138" s="17">
        <f t="shared" si="2"/>
        <v>2430.9699999999998</v>
      </c>
      <c r="K138" s="7"/>
    </row>
    <row r="139" spans="1:11" x14ac:dyDescent="0.2">
      <c r="A139" s="15" t="s">
        <v>25</v>
      </c>
      <c r="B139" s="15">
        <v>423</v>
      </c>
      <c r="C139" s="15">
        <v>1</v>
      </c>
      <c r="D139" s="15" t="s">
        <v>150</v>
      </c>
      <c r="E139" s="3">
        <v>2900.94</v>
      </c>
      <c r="G139" s="17">
        <f t="shared" si="3"/>
        <v>83318.87</v>
      </c>
      <c r="H139" s="17">
        <v>41811.699999999997</v>
      </c>
      <c r="I139" s="17">
        <f t="shared" si="2"/>
        <v>41507.17</v>
      </c>
      <c r="K139" s="7"/>
    </row>
    <row r="140" spans="1:11" x14ac:dyDescent="0.2">
      <c r="A140" s="15" t="s">
        <v>25</v>
      </c>
      <c r="B140" s="15">
        <v>424</v>
      </c>
      <c r="C140" s="15">
        <v>1</v>
      </c>
      <c r="D140" s="15" t="s">
        <v>151</v>
      </c>
      <c r="E140" s="3">
        <v>413.95</v>
      </c>
      <c r="G140" s="17">
        <f t="shared" si="3"/>
        <v>11889.2</v>
      </c>
      <c r="H140" s="17">
        <v>5968.61</v>
      </c>
      <c r="I140" s="17">
        <f t="shared" si="2"/>
        <v>5920.5900000000011</v>
      </c>
      <c r="K140" s="7"/>
    </row>
    <row r="141" spans="1:11" x14ac:dyDescent="0.2">
      <c r="A141" s="15" t="s">
        <v>25</v>
      </c>
      <c r="B141" s="15">
        <v>432</v>
      </c>
      <c r="C141" s="15">
        <v>1</v>
      </c>
      <c r="D141" s="15" t="s">
        <v>152</v>
      </c>
      <c r="E141" s="3">
        <v>584.41999999999996</v>
      </c>
      <c r="G141" s="17">
        <f t="shared" si="3"/>
        <v>16785.32</v>
      </c>
      <c r="H141" s="17">
        <v>8426.56</v>
      </c>
      <c r="I141" s="17">
        <f t="shared" si="2"/>
        <v>8358.76</v>
      </c>
      <c r="K141" s="7"/>
    </row>
    <row r="142" spans="1:11" x14ac:dyDescent="0.2">
      <c r="A142" s="15" t="s">
        <v>25</v>
      </c>
      <c r="B142" s="15">
        <v>435</v>
      </c>
      <c r="C142" s="15">
        <v>1</v>
      </c>
      <c r="D142" s="15" t="s">
        <v>153</v>
      </c>
      <c r="E142" s="3">
        <v>557.85</v>
      </c>
      <c r="G142" s="17">
        <f t="shared" si="3"/>
        <v>16022.2</v>
      </c>
      <c r="H142" s="17">
        <v>8037.69</v>
      </c>
      <c r="I142" s="17">
        <f t="shared" si="2"/>
        <v>7984.5100000000011</v>
      </c>
      <c r="K142" s="7"/>
    </row>
    <row r="143" spans="1:11" x14ac:dyDescent="0.2">
      <c r="A143" s="15" t="s">
        <v>25</v>
      </c>
      <c r="B143" s="15">
        <v>441</v>
      </c>
      <c r="C143" s="15">
        <v>1</v>
      </c>
      <c r="D143" s="15" t="s">
        <v>154</v>
      </c>
      <c r="E143" s="3">
        <v>401.83</v>
      </c>
      <c r="G143" s="17">
        <f t="shared" si="3"/>
        <v>11541.09</v>
      </c>
      <c r="H143" s="17">
        <v>5793.85</v>
      </c>
      <c r="I143" s="17">
        <f t="shared" ref="I143:I206" si="4">G143-H143</f>
        <v>5747.24</v>
      </c>
      <c r="K143" s="7"/>
    </row>
    <row r="144" spans="1:11" x14ac:dyDescent="0.2">
      <c r="A144" s="15" t="s">
        <v>25</v>
      </c>
      <c r="B144" s="15">
        <v>447</v>
      </c>
      <c r="C144" s="15">
        <v>1</v>
      </c>
      <c r="D144" s="15" t="s">
        <v>155</v>
      </c>
      <c r="E144" s="3">
        <v>165.53</v>
      </c>
      <c r="G144" s="17">
        <f t="shared" ref="G144:G207" si="5">ROUND(E144*$G$6,2)</f>
        <v>4754.24</v>
      </c>
      <c r="H144" s="17">
        <v>2386.7199999999998</v>
      </c>
      <c r="I144" s="17">
        <f t="shared" si="4"/>
        <v>2367.52</v>
      </c>
      <c r="K144" s="7"/>
    </row>
    <row r="145" spans="1:11" x14ac:dyDescent="0.2">
      <c r="A145" s="15" t="s">
        <v>25</v>
      </c>
      <c r="B145" s="15">
        <v>458</v>
      </c>
      <c r="C145" s="15">
        <v>1</v>
      </c>
      <c r="D145" s="15" t="s">
        <v>156</v>
      </c>
      <c r="E145" s="3">
        <v>257.08999999999997</v>
      </c>
      <c r="G145" s="17">
        <f t="shared" si="5"/>
        <v>7383.97</v>
      </c>
      <c r="H145" s="17">
        <v>3703.72</v>
      </c>
      <c r="I145" s="17">
        <f t="shared" si="4"/>
        <v>3680.2500000000005</v>
      </c>
      <c r="K145" s="7"/>
    </row>
    <row r="146" spans="1:11" x14ac:dyDescent="0.2">
      <c r="A146" s="15" t="s">
        <v>25</v>
      </c>
      <c r="B146" s="15">
        <v>463</v>
      </c>
      <c r="C146" s="15">
        <v>1</v>
      </c>
      <c r="D146" s="15" t="s">
        <v>157</v>
      </c>
      <c r="E146" s="3">
        <v>935.48</v>
      </c>
      <c r="G146" s="17">
        <f t="shared" si="5"/>
        <v>26868.23</v>
      </c>
      <c r="H146" s="17">
        <v>13486.94</v>
      </c>
      <c r="I146" s="17">
        <f t="shared" si="4"/>
        <v>13381.289999999999</v>
      </c>
      <c r="K146" s="7"/>
    </row>
    <row r="147" spans="1:11" x14ac:dyDescent="0.2">
      <c r="A147" s="15" t="s">
        <v>25</v>
      </c>
      <c r="B147" s="15">
        <v>465</v>
      </c>
      <c r="C147" s="15">
        <v>1</v>
      </c>
      <c r="D147" s="15" t="s">
        <v>158</v>
      </c>
      <c r="E147" s="3">
        <v>1723.39</v>
      </c>
      <c r="G147" s="17">
        <f t="shared" si="5"/>
        <v>49498.06</v>
      </c>
      <c r="H147" s="17">
        <v>24898.59</v>
      </c>
      <c r="I147" s="17">
        <f t="shared" si="4"/>
        <v>24599.469999999998</v>
      </c>
      <c r="K147" s="7"/>
    </row>
    <row r="148" spans="1:11" x14ac:dyDescent="0.2">
      <c r="A148" s="15" t="s">
        <v>25</v>
      </c>
      <c r="B148" s="15">
        <v>466</v>
      </c>
      <c r="C148" s="15">
        <v>1</v>
      </c>
      <c r="D148" s="15" t="s">
        <v>159</v>
      </c>
      <c r="E148" s="3">
        <v>2230.42</v>
      </c>
      <c r="G148" s="17">
        <f t="shared" si="5"/>
        <v>64060.639999999999</v>
      </c>
      <c r="H148" s="17">
        <v>32103.32</v>
      </c>
      <c r="I148" s="17">
        <f t="shared" si="4"/>
        <v>31957.32</v>
      </c>
      <c r="K148" s="7"/>
    </row>
    <row r="149" spans="1:11" x14ac:dyDescent="0.2">
      <c r="A149" s="15" t="s">
        <v>25</v>
      </c>
      <c r="B149" s="15">
        <v>473</v>
      </c>
      <c r="C149" s="15">
        <v>1</v>
      </c>
      <c r="D149" s="15" t="s">
        <v>160</v>
      </c>
      <c r="E149" s="3">
        <v>479.44</v>
      </c>
      <c r="G149" s="17">
        <f t="shared" si="5"/>
        <v>13770.16</v>
      </c>
      <c r="H149" s="17">
        <v>6940.28</v>
      </c>
      <c r="I149" s="17">
        <f t="shared" si="4"/>
        <v>6829.88</v>
      </c>
      <c r="K149" s="7"/>
    </row>
    <row r="150" spans="1:11" x14ac:dyDescent="0.2">
      <c r="A150" s="15" t="s">
        <v>25</v>
      </c>
      <c r="B150" s="15">
        <v>477</v>
      </c>
      <c r="C150" s="15">
        <v>1</v>
      </c>
      <c r="D150" s="15" t="s">
        <v>161</v>
      </c>
      <c r="E150" s="3">
        <v>3267.12</v>
      </c>
      <c r="G150" s="17">
        <f t="shared" si="5"/>
        <v>93836.04</v>
      </c>
      <c r="H150" s="17">
        <v>46934.79</v>
      </c>
      <c r="I150" s="17">
        <f t="shared" si="4"/>
        <v>46901.249999999993</v>
      </c>
      <c r="K150" s="7"/>
    </row>
    <row r="151" spans="1:11" x14ac:dyDescent="0.2">
      <c r="A151" s="15" t="s">
        <v>25</v>
      </c>
      <c r="B151" s="15">
        <v>480</v>
      </c>
      <c r="C151" s="15">
        <v>1</v>
      </c>
      <c r="D151" s="15" t="s">
        <v>162</v>
      </c>
      <c r="E151" s="3">
        <v>602.73</v>
      </c>
      <c r="G151" s="17">
        <f t="shared" si="5"/>
        <v>17311.21</v>
      </c>
      <c r="H151" s="17">
        <v>8687.25</v>
      </c>
      <c r="I151" s="17">
        <f t="shared" si="4"/>
        <v>8623.9599999999991</v>
      </c>
      <c r="K151" s="7"/>
    </row>
    <row r="152" spans="1:11" x14ac:dyDescent="0.2">
      <c r="A152" s="15" t="s">
        <v>25</v>
      </c>
      <c r="B152" s="15">
        <v>482</v>
      </c>
      <c r="C152" s="15">
        <v>1</v>
      </c>
      <c r="D152" s="15" t="s">
        <v>163</v>
      </c>
      <c r="E152" s="3">
        <v>2464.12</v>
      </c>
      <c r="G152" s="17">
        <f t="shared" si="5"/>
        <v>70772.81</v>
      </c>
      <c r="H152" s="17">
        <v>35531.07</v>
      </c>
      <c r="I152" s="17">
        <f t="shared" si="4"/>
        <v>35241.74</v>
      </c>
      <c r="K152" s="7"/>
    </row>
    <row r="153" spans="1:11" x14ac:dyDescent="0.2">
      <c r="A153" s="15" t="s">
        <v>25</v>
      </c>
      <c r="B153" s="15">
        <v>484</v>
      </c>
      <c r="C153" s="15">
        <v>1</v>
      </c>
      <c r="D153" s="15" t="s">
        <v>164</v>
      </c>
      <c r="E153" s="3">
        <v>1105.54</v>
      </c>
      <c r="G153" s="17">
        <f t="shared" si="5"/>
        <v>31752.58</v>
      </c>
      <c r="H153" s="17">
        <v>15939.26</v>
      </c>
      <c r="I153" s="17">
        <f t="shared" si="4"/>
        <v>15813.320000000002</v>
      </c>
      <c r="K153" s="7"/>
    </row>
    <row r="154" spans="1:11" x14ac:dyDescent="0.2">
      <c r="A154" s="15" t="s">
        <v>25</v>
      </c>
      <c r="B154" s="15">
        <v>485</v>
      </c>
      <c r="C154" s="15">
        <v>1</v>
      </c>
      <c r="D154" s="15" t="s">
        <v>165</v>
      </c>
      <c r="E154" s="3">
        <v>875.42</v>
      </c>
      <c r="G154" s="17">
        <f t="shared" si="5"/>
        <v>25143.23</v>
      </c>
      <c r="H154" s="17">
        <v>12618.21</v>
      </c>
      <c r="I154" s="17">
        <f t="shared" si="4"/>
        <v>12525.02</v>
      </c>
      <c r="K154" s="7"/>
    </row>
    <row r="155" spans="1:11" x14ac:dyDescent="0.2">
      <c r="A155" s="15" t="s">
        <v>25</v>
      </c>
      <c r="B155" s="15">
        <v>486</v>
      </c>
      <c r="C155" s="15">
        <v>1</v>
      </c>
      <c r="D155" s="15" t="s">
        <v>166</v>
      </c>
      <c r="E155" s="3">
        <v>325.08999999999997</v>
      </c>
      <c r="G155" s="17">
        <f t="shared" si="5"/>
        <v>9337.02</v>
      </c>
      <c r="H155" s="17">
        <v>4687.37</v>
      </c>
      <c r="I155" s="17">
        <f t="shared" si="4"/>
        <v>4649.6500000000005</v>
      </c>
      <c r="K155" s="7"/>
    </row>
    <row r="156" spans="1:11" x14ac:dyDescent="0.2">
      <c r="A156" s="15" t="s">
        <v>25</v>
      </c>
      <c r="B156" s="15">
        <v>487</v>
      </c>
      <c r="C156" s="15">
        <v>1</v>
      </c>
      <c r="D156" s="15" t="s">
        <v>167</v>
      </c>
      <c r="E156" s="3">
        <v>373.7</v>
      </c>
      <c r="G156" s="17">
        <f t="shared" si="5"/>
        <v>10733.16</v>
      </c>
      <c r="H156" s="17">
        <v>5372.54</v>
      </c>
      <c r="I156" s="17">
        <f t="shared" si="4"/>
        <v>5360.62</v>
      </c>
      <c r="K156" s="7"/>
    </row>
    <row r="157" spans="1:11" x14ac:dyDescent="0.2">
      <c r="A157" s="15" t="s">
        <v>25</v>
      </c>
      <c r="B157" s="15">
        <v>492</v>
      </c>
      <c r="C157" s="15">
        <v>1</v>
      </c>
      <c r="D157" s="15" t="s">
        <v>168</v>
      </c>
      <c r="E157" s="3">
        <v>4506.92</v>
      </c>
      <c r="G157" s="17">
        <f t="shared" si="5"/>
        <v>129444.75</v>
      </c>
      <c r="H157" s="17">
        <v>64972.41</v>
      </c>
      <c r="I157" s="17">
        <f t="shared" si="4"/>
        <v>64472.34</v>
      </c>
      <c r="K157" s="7"/>
    </row>
    <row r="158" spans="1:11" x14ac:dyDescent="0.2">
      <c r="A158" s="15" t="s">
        <v>25</v>
      </c>
      <c r="B158" s="15">
        <v>495</v>
      </c>
      <c r="C158" s="15">
        <v>1</v>
      </c>
      <c r="D158" s="15" t="s">
        <v>169</v>
      </c>
      <c r="E158" s="3">
        <v>394.84</v>
      </c>
      <c r="G158" s="17">
        <f t="shared" si="5"/>
        <v>11340.33</v>
      </c>
      <c r="H158" s="17">
        <v>5693.07</v>
      </c>
      <c r="I158" s="17">
        <f t="shared" si="4"/>
        <v>5647.26</v>
      </c>
      <c r="K158" s="7"/>
    </row>
    <row r="159" spans="1:11" x14ac:dyDescent="0.2">
      <c r="A159" s="15" t="s">
        <v>25</v>
      </c>
      <c r="B159" s="15">
        <v>497</v>
      </c>
      <c r="C159" s="15">
        <v>1</v>
      </c>
      <c r="D159" s="15" t="s">
        <v>170</v>
      </c>
      <c r="E159" s="3">
        <v>240.18</v>
      </c>
      <c r="G159" s="17">
        <f t="shared" si="5"/>
        <v>6898.29</v>
      </c>
      <c r="H159" s="17">
        <v>3448.66</v>
      </c>
      <c r="I159" s="17">
        <f t="shared" si="4"/>
        <v>3449.63</v>
      </c>
      <c r="K159" s="7"/>
    </row>
    <row r="160" spans="1:11" x14ac:dyDescent="0.2">
      <c r="A160" s="15" t="s">
        <v>25</v>
      </c>
      <c r="B160" s="15">
        <v>499</v>
      </c>
      <c r="C160" s="15">
        <v>1</v>
      </c>
      <c r="D160" s="15" t="s">
        <v>171</v>
      </c>
      <c r="E160" s="3">
        <v>291.10000000000002</v>
      </c>
      <c r="G160" s="17">
        <f t="shared" si="5"/>
        <v>8360.7800000000007</v>
      </c>
      <c r="H160" s="17">
        <v>4182.8599999999997</v>
      </c>
      <c r="I160" s="17">
        <f t="shared" si="4"/>
        <v>4177.920000000001</v>
      </c>
      <c r="K160" s="7"/>
    </row>
    <row r="161" spans="1:13" x14ac:dyDescent="0.2">
      <c r="A161" s="15" t="s">
        <v>25</v>
      </c>
      <c r="B161" s="15">
        <v>500</v>
      </c>
      <c r="C161" s="15">
        <v>1</v>
      </c>
      <c r="D161" s="15" t="s">
        <v>172</v>
      </c>
      <c r="E161" s="3">
        <v>480.58</v>
      </c>
      <c r="G161" s="17">
        <f t="shared" si="5"/>
        <v>13802.9</v>
      </c>
      <c r="H161" s="17">
        <v>6901.79</v>
      </c>
      <c r="I161" s="17">
        <f t="shared" si="4"/>
        <v>6901.11</v>
      </c>
      <c r="K161" s="7"/>
    </row>
    <row r="162" spans="1:13" x14ac:dyDescent="0.2">
      <c r="A162" s="15" t="s">
        <v>25</v>
      </c>
      <c r="B162" s="15">
        <v>505</v>
      </c>
      <c r="C162" s="15">
        <v>1</v>
      </c>
      <c r="D162" s="15" t="s">
        <v>173</v>
      </c>
      <c r="E162" s="3">
        <v>303.2</v>
      </c>
      <c r="G162" s="17">
        <f t="shared" si="5"/>
        <v>8708.31</v>
      </c>
      <c r="H162" s="17">
        <v>4371.74</v>
      </c>
      <c r="I162" s="17">
        <f t="shared" si="4"/>
        <v>4336.57</v>
      </c>
      <c r="K162" s="7"/>
    </row>
    <row r="163" spans="1:13" x14ac:dyDescent="0.2">
      <c r="A163" s="15" t="s">
        <v>25</v>
      </c>
      <c r="B163" s="15">
        <v>507</v>
      </c>
      <c r="C163" s="15">
        <v>1</v>
      </c>
      <c r="D163" s="15" t="s">
        <v>174</v>
      </c>
      <c r="E163" s="3">
        <v>332.73</v>
      </c>
      <c r="G163" s="17">
        <f t="shared" si="5"/>
        <v>9556.4500000000007</v>
      </c>
      <c r="H163" s="17">
        <v>4787.58</v>
      </c>
      <c r="I163" s="17">
        <f t="shared" si="4"/>
        <v>4768.8700000000008</v>
      </c>
      <c r="K163" s="7"/>
    </row>
    <row r="164" spans="1:13" x14ac:dyDescent="0.2">
      <c r="A164" s="15" t="s">
        <v>25</v>
      </c>
      <c r="B164" s="15">
        <v>508</v>
      </c>
      <c r="C164" s="15">
        <v>1</v>
      </c>
      <c r="D164" s="15" t="s">
        <v>175</v>
      </c>
      <c r="E164" s="3">
        <v>1923.42</v>
      </c>
      <c r="G164" s="17">
        <f t="shared" si="5"/>
        <v>55243.19</v>
      </c>
      <c r="H164" s="17">
        <v>27755.8</v>
      </c>
      <c r="I164" s="17">
        <f t="shared" si="4"/>
        <v>27487.390000000003</v>
      </c>
      <c r="K164" s="7"/>
    </row>
    <row r="165" spans="1:13" x14ac:dyDescent="0.2">
      <c r="A165" s="15" t="s">
        <v>25</v>
      </c>
      <c r="B165" s="15">
        <v>511</v>
      </c>
      <c r="C165" s="15">
        <v>1</v>
      </c>
      <c r="D165" s="15" t="s">
        <v>176</v>
      </c>
      <c r="E165" s="3">
        <v>606.30999999999995</v>
      </c>
      <c r="G165" s="17">
        <f t="shared" si="5"/>
        <v>17414.03</v>
      </c>
      <c r="H165" s="17">
        <v>8742.18</v>
      </c>
      <c r="I165" s="17">
        <f t="shared" si="4"/>
        <v>8671.8499999999985</v>
      </c>
      <c r="K165" s="7"/>
    </row>
    <row r="166" spans="1:13" x14ac:dyDescent="0.2">
      <c r="A166" s="15" t="s">
        <v>25</v>
      </c>
      <c r="B166" s="15">
        <v>514</v>
      </c>
      <c r="C166" s="15">
        <v>1</v>
      </c>
      <c r="D166" s="15" t="s">
        <v>177</v>
      </c>
      <c r="E166" s="3">
        <v>170.97</v>
      </c>
      <c r="G166" s="17">
        <f t="shared" si="5"/>
        <v>4910.49</v>
      </c>
      <c r="H166" s="17">
        <v>2465.16</v>
      </c>
      <c r="I166" s="17">
        <f t="shared" si="4"/>
        <v>2445.33</v>
      </c>
      <c r="K166" s="7"/>
    </row>
    <row r="167" spans="1:13" x14ac:dyDescent="0.2">
      <c r="A167" s="15" t="s">
        <v>25</v>
      </c>
      <c r="B167" s="15">
        <v>518</v>
      </c>
      <c r="C167" s="15">
        <v>1</v>
      </c>
      <c r="D167" s="15" t="s">
        <v>178</v>
      </c>
      <c r="E167" s="3">
        <v>2693.91</v>
      </c>
      <c r="G167" s="17">
        <f t="shared" si="5"/>
        <v>77372.69</v>
      </c>
      <c r="H167" s="17">
        <v>37610.82</v>
      </c>
      <c r="I167" s="17">
        <f>G167-H167</f>
        <v>39761.870000000003</v>
      </c>
      <c r="K167" s="7"/>
      <c r="L167" s="7"/>
      <c r="M167" s="7">
        <f>+I167-1118.6</f>
        <v>38643.270000000004</v>
      </c>
    </row>
    <row r="168" spans="1:13" x14ac:dyDescent="0.2">
      <c r="A168" s="15" t="s">
        <v>25</v>
      </c>
      <c r="B168" s="15">
        <v>531</v>
      </c>
      <c r="C168" s="15">
        <v>1</v>
      </c>
      <c r="D168" s="15" t="s">
        <v>179</v>
      </c>
      <c r="E168" s="3">
        <v>1861.84</v>
      </c>
      <c r="G168" s="17">
        <f t="shared" si="5"/>
        <v>53474.53</v>
      </c>
      <c r="H168" s="17">
        <v>26840.21</v>
      </c>
      <c r="I168" s="17">
        <f t="shared" si="4"/>
        <v>26634.32</v>
      </c>
      <c r="K168" s="7"/>
    </row>
    <row r="169" spans="1:13" x14ac:dyDescent="0.2">
      <c r="A169" s="15" t="s">
        <v>25</v>
      </c>
      <c r="B169" s="15">
        <v>533</v>
      </c>
      <c r="C169" s="15">
        <v>1</v>
      </c>
      <c r="D169" s="15" t="s">
        <v>180</v>
      </c>
      <c r="E169" s="3">
        <v>1210.78</v>
      </c>
      <c r="G169" s="17">
        <f t="shared" si="5"/>
        <v>34775.22</v>
      </c>
      <c r="H169" s="17">
        <v>17306.439999999999</v>
      </c>
      <c r="I169" s="17">
        <f t="shared" si="4"/>
        <v>17468.780000000002</v>
      </c>
      <c r="K169" s="7"/>
    </row>
    <row r="170" spans="1:13" x14ac:dyDescent="0.2">
      <c r="A170" s="15" t="s">
        <v>25</v>
      </c>
      <c r="B170" s="15">
        <v>534</v>
      </c>
      <c r="C170" s="15">
        <v>1</v>
      </c>
      <c r="D170" s="15" t="s">
        <v>181</v>
      </c>
      <c r="E170" s="3">
        <v>1941.77</v>
      </c>
      <c r="G170" s="17">
        <f t="shared" si="5"/>
        <v>55770.22</v>
      </c>
      <c r="H170" s="17">
        <v>27997.02</v>
      </c>
      <c r="I170" s="17">
        <f t="shared" si="4"/>
        <v>27773.200000000001</v>
      </c>
      <c r="K170" s="7"/>
    </row>
    <row r="171" spans="1:13" x14ac:dyDescent="0.2">
      <c r="A171" s="15" t="s">
        <v>25</v>
      </c>
      <c r="B171" s="15">
        <v>535</v>
      </c>
      <c r="C171" s="15">
        <v>1</v>
      </c>
      <c r="D171" s="15" t="s">
        <v>182</v>
      </c>
      <c r="E171" s="3">
        <v>16172.8</v>
      </c>
      <c r="G171" s="17">
        <f t="shared" si="5"/>
        <v>464504.39</v>
      </c>
      <c r="H171" s="17">
        <v>233402.53</v>
      </c>
      <c r="I171" s="17">
        <f t="shared" si="4"/>
        <v>231101.86000000002</v>
      </c>
      <c r="K171" s="7"/>
    </row>
    <row r="172" spans="1:13" x14ac:dyDescent="0.2">
      <c r="A172" s="15" t="s">
        <v>25</v>
      </c>
      <c r="B172" s="15">
        <v>542</v>
      </c>
      <c r="C172" s="15">
        <v>1</v>
      </c>
      <c r="D172" s="15" t="s">
        <v>183</v>
      </c>
      <c r="E172" s="3">
        <v>453.02</v>
      </c>
      <c r="G172" s="17">
        <f t="shared" si="5"/>
        <v>13011.34</v>
      </c>
      <c r="H172" s="17">
        <v>6530.07</v>
      </c>
      <c r="I172" s="17">
        <f t="shared" si="4"/>
        <v>6481.27</v>
      </c>
      <c r="K172" s="7"/>
    </row>
    <row r="173" spans="1:13" x14ac:dyDescent="0.2">
      <c r="A173" s="15" t="s">
        <v>25</v>
      </c>
      <c r="B173" s="15">
        <v>544</v>
      </c>
      <c r="C173" s="15">
        <v>1</v>
      </c>
      <c r="D173" s="15" t="s">
        <v>184</v>
      </c>
      <c r="E173" s="3">
        <v>2519.5500000000002</v>
      </c>
      <c r="G173" s="17">
        <f t="shared" si="5"/>
        <v>72364.84</v>
      </c>
      <c r="H173" s="17">
        <v>36319.910000000003</v>
      </c>
      <c r="I173" s="17">
        <f t="shared" si="4"/>
        <v>36044.929999999993</v>
      </c>
      <c r="K173" s="7"/>
    </row>
    <row r="174" spans="1:13" x14ac:dyDescent="0.2">
      <c r="A174" s="15" t="s">
        <v>25</v>
      </c>
      <c r="B174" s="15">
        <v>545</v>
      </c>
      <c r="C174" s="15">
        <v>1</v>
      </c>
      <c r="D174" s="15" t="s">
        <v>185</v>
      </c>
      <c r="E174" s="3">
        <v>374.33</v>
      </c>
      <c r="G174" s="17">
        <f t="shared" si="5"/>
        <v>10751.26</v>
      </c>
      <c r="H174" s="17">
        <v>5410.89</v>
      </c>
      <c r="I174" s="17">
        <f t="shared" si="4"/>
        <v>5340.37</v>
      </c>
      <c r="K174" s="7"/>
    </row>
    <row r="175" spans="1:13" x14ac:dyDescent="0.2">
      <c r="A175" s="15" t="s">
        <v>25</v>
      </c>
      <c r="B175" s="15">
        <v>547</v>
      </c>
      <c r="C175" s="15">
        <v>1</v>
      </c>
      <c r="D175" s="15" t="s">
        <v>186</v>
      </c>
      <c r="E175" s="3">
        <v>523.12</v>
      </c>
      <c r="G175" s="17">
        <f t="shared" si="5"/>
        <v>15024.7</v>
      </c>
      <c r="H175" s="17">
        <v>7542.7</v>
      </c>
      <c r="I175" s="17">
        <f t="shared" si="4"/>
        <v>7482.0000000000009</v>
      </c>
      <c r="K175" s="7"/>
    </row>
    <row r="176" spans="1:13" x14ac:dyDescent="0.2">
      <c r="A176" s="15" t="s">
        <v>25</v>
      </c>
      <c r="B176" s="15">
        <v>548</v>
      </c>
      <c r="C176" s="15">
        <v>1</v>
      </c>
      <c r="D176" s="15" t="s">
        <v>187</v>
      </c>
      <c r="E176" s="3">
        <v>904.9</v>
      </c>
      <c r="G176" s="17">
        <f t="shared" si="5"/>
        <v>25989.93</v>
      </c>
      <c r="H176" s="17">
        <v>13031.6</v>
      </c>
      <c r="I176" s="17">
        <f t="shared" si="4"/>
        <v>12958.33</v>
      </c>
      <c r="K176" s="7"/>
    </row>
    <row r="177" spans="1:11" x14ac:dyDescent="0.2">
      <c r="A177" s="15" t="s">
        <v>25</v>
      </c>
      <c r="B177" s="15">
        <v>549</v>
      </c>
      <c r="C177" s="15">
        <v>1</v>
      </c>
      <c r="D177" s="15" t="s">
        <v>188</v>
      </c>
      <c r="E177" s="3">
        <v>1352.12</v>
      </c>
      <c r="G177" s="17">
        <f t="shared" si="5"/>
        <v>38834.69</v>
      </c>
      <c r="H177" s="17">
        <v>19445.310000000001</v>
      </c>
      <c r="I177" s="17">
        <f t="shared" si="4"/>
        <v>19389.38</v>
      </c>
      <c r="K177" s="7"/>
    </row>
    <row r="178" spans="1:11" x14ac:dyDescent="0.2">
      <c r="A178" s="15" t="s">
        <v>25</v>
      </c>
      <c r="B178" s="15">
        <v>550</v>
      </c>
      <c r="C178" s="15">
        <v>1</v>
      </c>
      <c r="D178" s="15" t="s">
        <v>189</v>
      </c>
      <c r="E178" s="3">
        <v>594.1</v>
      </c>
      <c r="G178" s="17">
        <f t="shared" si="5"/>
        <v>17063.34</v>
      </c>
      <c r="H178" s="17">
        <v>8566.1299999999992</v>
      </c>
      <c r="I178" s="17">
        <f t="shared" si="4"/>
        <v>8497.2100000000009</v>
      </c>
      <c r="K178" s="7"/>
    </row>
    <row r="179" spans="1:11" x14ac:dyDescent="0.2">
      <c r="A179" s="15" t="s">
        <v>25</v>
      </c>
      <c r="B179" s="15">
        <v>553</v>
      </c>
      <c r="C179" s="15">
        <v>1</v>
      </c>
      <c r="D179" s="15" t="s">
        <v>190</v>
      </c>
      <c r="E179" s="3">
        <v>695.4</v>
      </c>
      <c r="G179" s="17">
        <f t="shared" si="5"/>
        <v>19972.82</v>
      </c>
      <c r="H179" s="17">
        <v>10026.74</v>
      </c>
      <c r="I179" s="17">
        <f t="shared" si="4"/>
        <v>9946.08</v>
      </c>
      <c r="K179" s="7"/>
    </row>
    <row r="180" spans="1:11" x14ac:dyDescent="0.2">
      <c r="A180" s="15" t="s">
        <v>25</v>
      </c>
      <c r="B180" s="15">
        <v>561</v>
      </c>
      <c r="C180" s="15">
        <v>1</v>
      </c>
      <c r="D180" s="15" t="s">
        <v>191</v>
      </c>
      <c r="E180" s="3">
        <v>177.82</v>
      </c>
      <c r="G180" s="17">
        <f t="shared" si="5"/>
        <v>5107.2299999999996</v>
      </c>
      <c r="H180" s="17">
        <v>2563.9299999999998</v>
      </c>
      <c r="I180" s="17">
        <f t="shared" si="4"/>
        <v>2543.2999999999997</v>
      </c>
      <c r="K180" s="7"/>
    </row>
    <row r="181" spans="1:11" x14ac:dyDescent="0.2">
      <c r="A181" s="15" t="s">
        <v>25</v>
      </c>
      <c r="B181" s="15">
        <v>564</v>
      </c>
      <c r="C181" s="15">
        <v>1</v>
      </c>
      <c r="D181" s="15" t="s">
        <v>192</v>
      </c>
      <c r="E181" s="3">
        <v>1975.59</v>
      </c>
      <c r="G181" s="17">
        <f t="shared" si="5"/>
        <v>56741.58</v>
      </c>
      <c r="H181" s="17">
        <v>28476.880000000001</v>
      </c>
      <c r="I181" s="17">
        <f t="shared" si="4"/>
        <v>28264.7</v>
      </c>
      <c r="K181" s="7"/>
    </row>
    <row r="182" spans="1:11" x14ac:dyDescent="0.2">
      <c r="A182" s="15" t="s">
        <v>25</v>
      </c>
      <c r="B182" s="15">
        <v>577</v>
      </c>
      <c r="C182" s="15">
        <v>1</v>
      </c>
      <c r="D182" s="15" t="s">
        <v>193</v>
      </c>
      <c r="E182" s="3">
        <v>430.66</v>
      </c>
      <c r="G182" s="17">
        <f t="shared" si="5"/>
        <v>12369.13</v>
      </c>
      <c r="H182" s="17">
        <v>6213.01</v>
      </c>
      <c r="I182" s="17">
        <f t="shared" si="4"/>
        <v>6156.119999999999</v>
      </c>
      <c r="K182" s="7"/>
    </row>
    <row r="183" spans="1:11" x14ac:dyDescent="0.2">
      <c r="A183" s="15" t="s">
        <v>25</v>
      </c>
      <c r="B183" s="15">
        <v>578</v>
      </c>
      <c r="C183" s="15">
        <v>1</v>
      </c>
      <c r="D183" s="15" t="s">
        <v>194</v>
      </c>
      <c r="E183" s="3">
        <v>1643.48</v>
      </c>
      <c r="G183" s="17">
        <f t="shared" si="5"/>
        <v>47202.94</v>
      </c>
      <c r="H183" s="17">
        <v>23715.11</v>
      </c>
      <c r="I183" s="17">
        <f t="shared" si="4"/>
        <v>23487.83</v>
      </c>
      <c r="K183" s="7"/>
    </row>
    <row r="184" spans="1:11" x14ac:dyDescent="0.2">
      <c r="A184" s="15" t="s">
        <v>25</v>
      </c>
      <c r="B184" s="15">
        <v>581</v>
      </c>
      <c r="C184" s="15">
        <v>1</v>
      </c>
      <c r="D184" s="15" t="s">
        <v>195</v>
      </c>
      <c r="E184" s="3">
        <v>340.18</v>
      </c>
      <c r="G184" s="17">
        <f t="shared" si="5"/>
        <v>9770.42</v>
      </c>
      <c r="H184" s="17">
        <v>4904.8</v>
      </c>
      <c r="I184" s="17">
        <f t="shared" si="4"/>
        <v>4865.62</v>
      </c>
      <c r="K184" s="7"/>
    </row>
    <row r="185" spans="1:11" x14ac:dyDescent="0.2">
      <c r="A185" s="15" t="s">
        <v>25</v>
      </c>
      <c r="B185" s="15">
        <v>592</v>
      </c>
      <c r="C185" s="15">
        <v>1</v>
      </c>
      <c r="D185" s="15" t="s">
        <v>196</v>
      </c>
      <c r="E185" s="3">
        <v>175.37</v>
      </c>
      <c r="G185" s="17">
        <f t="shared" si="5"/>
        <v>5036.8599999999997</v>
      </c>
      <c r="H185" s="17">
        <v>2528.6</v>
      </c>
      <c r="I185" s="17">
        <f t="shared" si="4"/>
        <v>2508.2599999999998</v>
      </c>
      <c r="K185" s="7"/>
    </row>
    <row r="186" spans="1:11" x14ac:dyDescent="0.2">
      <c r="A186" s="15" t="s">
        <v>25</v>
      </c>
      <c r="B186" s="15">
        <v>593</v>
      </c>
      <c r="C186" s="15">
        <v>1</v>
      </c>
      <c r="D186" s="15" t="s">
        <v>197</v>
      </c>
      <c r="E186" s="3">
        <v>1251.3499999999999</v>
      </c>
      <c r="G186" s="17">
        <f t="shared" si="5"/>
        <v>35940.44</v>
      </c>
      <c r="H186" s="17">
        <v>18068.47</v>
      </c>
      <c r="I186" s="17">
        <f t="shared" si="4"/>
        <v>17871.97</v>
      </c>
      <c r="K186" s="7"/>
    </row>
    <row r="187" spans="1:11" x14ac:dyDescent="0.2">
      <c r="A187" s="15" t="s">
        <v>25</v>
      </c>
      <c r="B187" s="15">
        <v>595</v>
      </c>
      <c r="C187" s="15">
        <v>1</v>
      </c>
      <c r="D187" s="15" t="s">
        <v>198</v>
      </c>
      <c r="E187" s="3">
        <v>1726.31</v>
      </c>
      <c r="G187" s="17">
        <f t="shared" si="5"/>
        <v>49581.93</v>
      </c>
      <c r="H187" s="17">
        <v>24867.31</v>
      </c>
      <c r="I187" s="17">
        <f t="shared" si="4"/>
        <v>24714.62</v>
      </c>
      <c r="K187" s="7"/>
    </row>
    <row r="188" spans="1:11" x14ac:dyDescent="0.2">
      <c r="A188" s="15" t="s">
        <v>25</v>
      </c>
      <c r="B188" s="15">
        <v>599</v>
      </c>
      <c r="C188" s="15">
        <v>1</v>
      </c>
      <c r="D188" s="15" t="s">
        <v>199</v>
      </c>
      <c r="E188" s="3">
        <v>443.52</v>
      </c>
      <c r="G188" s="17">
        <f t="shared" si="5"/>
        <v>12738.49</v>
      </c>
      <c r="H188" s="17">
        <v>6407.37</v>
      </c>
      <c r="I188" s="17">
        <f t="shared" si="4"/>
        <v>6331.12</v>
      </c>
      <c r="K188" s="7"/>
    </row>
    <row r="189" spans="1:11" x14ac:dyDescent="0.2">
      <c r="A189" s="15" t="s">
        <v>25</v>
      </c>
      <c r="B189" s="15">
        <v>600</v>
      </c>
      <c r="C189" s="15">
        <v>1</v>
      </c>
      <c r="D189" s="15" t="s">
        <v>200</v>
      </c>
      <c r="E189" s="3">
        <v>264.37</v>
      </c>
      <c r="G189" s="17">
        <f t="shared" si="5"/>
        <v>7593.06</v>
      </c>
      <c r="H189" s="17">
        <v>3811.86</v>
      </c>
      <c r="I189" s="17">
        <f t="shared" si="4"/>
        <v>3781.2000000000003</v>
      </c>
      <c r="K189" s="7"/>
    </row>
    <row r="190" spans="1:11" x14ac:dyDescent="0.2">
      <c r="A190" s="15" t="s">
        <v>25</v>
      </c>
      <c r="B190" s="15">
        <v>601</v>
      </c>
      <c r="C190" s="15">
        <v>1</v>
      </c>
      <c r="D190" s="15" t="s">
        <v>201</v>
      </c>
      <c r="E190" s="3">
        <v>676.7</v>
      </c>
      <c r="G190" s="17">
        <f t="shared" si="5"/>
        <v>19435.73</v>
      </c>
      <c r="H190" s="17">
        <v>9755.67</v>
      </c>
      <c r="I190" s="17">
        <f t="shared" si="4"/>
        <v>9680.06</v>
      </c>
      <c r="K190" s="7"/>
    </row>
    <row r="191" spans="1:11" x14ac:dyDescent="0.2">
      <c r="A191" s="15" t="s">
        <v>25</v>
      </c>
      <c r="B191" s="15">
        <v>621</v>
      </c>
      <c r="C191" s="15">
        <v>1</v>
      </c>
      <c r="D191" s="15" t="s">
        <v>202</v>
      </c>
      <c r="E191" s="3">
        <v>10232.42</v>
      </c>
      <c r="G191" s="17">
        <f t="shared" si="5"/>
        <v>293888.75</v>
      </c>
      <c r="H191" s="17">
        <v>147549.57999999999</v>
      </c>
      <c r="I191" s="17">
        <f t="shared" si="4"/>
        <v>146339.17000000001</v>
      </c>
      <c r="K191" s="7"/>
    </row>
    <row r="192" spans="1:11" x14ac:dyDescent="0.2">
      <c r="A192" s="15" t="s">
        <v>25</v>
      </c>
      <c r="B192" s="15">
        <v>622</v>
      </c>
      <c r="C192" s="15">
        <v>1</v>
      </c>
      <c r="D192" s="15" t="s">
        <v>203</v>
      </c>
      <c r="E192" s="3">
        <v>10912.27</v>
      </c>
      <c r="G192" s="17">
        <f t="shared" si="5"/>
        <v>313414.95</v>
      </c>
      <c r="H192" s="17">
        <v>157284.49</v>
      </c>
      <c r="I192" s="17">
        <f t="shared" si="4"/>
        <v>156130.46000000002</v>
      </c>
      <c r="K192" s="7"/>
    </row>
    <row r="193" spans="1:11" x14ac:dyDescent="0.2">
      <c r="A193" s="15" t="s">
        <v>25</v>
      </c>
      <c r="B193" s="15">
        <v>623</v>
      </c>
      <c r="C193" s="15">
        <v>1</v>
      </c>
      <c r="D193" s="15" t="s">
        <v>204</v>
      </c>
      <c r="E193" s="3">
        <v>7195.64</v>
      </c>
      <c r="G193" s="17">
        <f t="shared" si="5"/>
        <v>206668.38</v>
      </c>
      <c r="H193" s="17">
        <v>103482.37</v>
      </c>
      <c r="I193" s="17">
        <f t="shared" si="4"/>
        <v>103186.01000000001</v>
      </c>
      <c r="K193" s="7"/>
    </row>
    <row r="194" spans="1:11" x14ac:dyDescent="0.2">
      <c r="A194" s="15" t="s">
        <v>25</v>
      </c>
      <c r="B194" s="15">
        <v>624</v>
      </c>
      <c r="C194" s="15">
        <v>1</v>
      </c>
      <c r="D194" s="15" t="s">
        <v>205</v>
      </c>
      <c r="E194" s="3">
        <v>8027.51</v>
      </c>
      <c r="G194" s="17">
        <f t="shared" si="5"/>
        <v>230560.79</v>
      </c>
      <c r="H194" s="17">
        <v>115376.48</v>
      </c>
      <c r="I194" s="17">
        <f t="shared" si="4"/>
        <v>115184.31000000001</v>
      </c>
      <c r="K194" s="7"/>
    </row>
    <row r="195" spans="1:11" x14ac:dyDescent="0.2">
      <c r="A195" s="15" t="s">
        <v>25</v>
      </c>
      <c r="B195" s="15">
        <v>625</v>
      </c>
      <c r="C195" s="15">
        <v>1</v>
      </c>
      <c r="D195" s="15" t="s">
        <v>206</v>
      </c>
      <c r="E195" s="3">
        <v>37755.89</v>
      </c>
      <c r="G195" s="17">
        <f t="shared" si="5"/>
        <v>1084399.51</v>
      </c>
      <c r="H195" s="17">
        <v>543423.29</v>
      </c>
      <c r="I195" s="17">
        <f t="shared" si="4"/>
        <v>540976.22</v>
      </c>
      <c r="K195" s="7"/>
    </row>
    <row r="196" spans="1:11" x14ac:dyDescent="0.2">
      <c r="A196" s="15" t="s">
        <v>25</v>
      </c>
      <c r="B196" s="15">
        <v>630</v>
      </c>
      <c r="C196" s="15">
        <v>1</v>
      </c>
      <c r="D196" s="15" t="s">
        <v>207</v>
      </c>
      <c r="E196" s="3">
        <v>373.37</v>
      </c>
      <c r="G196" s="17">
        <f t="shared" si="5"/>
        <v>10723.68</v>
      </c>
      <c r="H196" s="17">
        <v>5383.5</v>
      </c>
      <c r="I196" s="17">
        <f t="shared" si="4"/>
        <v>5340.18</v>
      </c>
      <c r="K196" s="7"/>
    </row>
    <row r="197" spans="1:11" x14ac:dyDescent="0.2">
      <c r="A197" s="15" t="s">
        <v>25</v>
      </c>
      <c r="B197" s="15">
        <v>635</v>
      </c>
      <c r="C197" s="15">
        <v>1</v>
      </c>
      <c r="D197" s="15" t="s">
        <v>208</v>
      </c>
      <c r="E197" s="3">
        <v>55.33</v>
      </c>
      <c r="G197" s="17">
        <f t="shared" si="5"/>
        <v>1589.15</v>
      </c>
      <c r="H197" s="17">
        <v>793.75</v>
      </c>
      <c r="I197" s="17">
        <f t="shared" si="4"/>
        <v>795.40000000000009</v>
      </c>
      <c r="K197" s="7"/>
    </row>
    <row r="198" spans="1:11" x14ac:dyDescent="0.2">
      <c r="A198" s="15" t="s">
        <v>25</v>
      </c>
      <c r="B198" s="15">
        <v>640</v>
      </c>
      <c r="C198" s="15">
        <v>1</v>
      </c>
      <c r="D198" s="15" t="s">
        <v>209</v>
      </c>
      <c r="E198" s="3">
        <v>375</v>
      </c>
      <c r="G198" s="17">
        <f t="shared" si="5"/>
        <v>10770.5</v>
      </c>
      <c r="H198" s="17">
        <v>5393.16</v>
      </c>
      <c r="I198" s="17">
        <f t="shared" si="4"/>
        <v>5377.34</v>
      </c>
      <c r="K198" s="7"/>
    </row>
    <row r="199" spans="1:11" x14ac:dyDescent="0.2">
      <c r="A199" s="15" t="s">
        <v>25</v>
      </c>
      <c r="B199" s="15">
        <v>656</v>
      </c>
      <c r="C199" s="15">
        <v>1</v>
      </c>
      <c r="D199" s="15" t="s">
        <v>210</v>
      </c>
      <c r="E199" s="3">
        <v>3931.86</v>
      </c>
      <c r="G199" s="17">
        <f t="shared" si="5"/>
        <v>112928.26</v>
      </c>
      <c r="H199" s="17">
        <v>56652.98</v>
      </c>
      <c r="I199" s="17">
        <f t="shared" si="4"/>
        <v>56275.279999999992</v>
      </c>
      <c r="K199" s="7"/>
    </row>
    <row r="200" spans="1:11" x14ac:dyDescent="0.2">
      <c r="A200" s="15" t="s">
        <v>25</v>
      </c>
      <c r="B200" s="15">
        <v>659</v>
      </c>
      <c r="C200" s="15">
        <v>1</v>
      </c>
      <c r="D200" s="15" t="s">
        <v>211</v>
      </c>
      <c r="E200" s="3">
        <v>3817.51</v>
      </c>
      <c r="G200" s="17">
        <f t="shared" si="5"/>
        <v>109643.98</v>
      </c>
      <c r="H200" s="17">
        <v>55045.440000000002</v>
      </c>
      <c r="I200" s="17">
        <f t="shared" si="4"/>
        <v>54598.539999999994</v>
      </c>
      <c r="K200" s="7"/>
    </row>
    <row r="201" spans="1:11" x14ac:dyDescent="0.2">
      <c r="A201" s="15" t="s">
        <v>25</v>
      </c>
      <c r="B201" s="15">
        <v>671</v>
      </c>
      <c r="C201" s="15">
        <v>1</v>
      </c>
      <c r="D201" s="15" t="s">
        <v>212</v>
      </c>
      <c r="E201" s="3">
        <v>337.41</v>
      </c>
      <c r="G201" s="17">
        <f t="shared" si="5"/>
        <v>9690.8700000000008</v>
      </c>
      <c r="H201" s="17">
        <v>4870.4799999999996</v>
      </c>
      <c r="I201" s="17">
        <f t="shared" si="4"/>
        <v>4820.3900000000012</v>
      </c>
      <c r="K201" s="7"/>
    </row>
    <row r="202" spans="1:11" x14ac:dyDescent="0.2">
      <c r="A202" s="15" t="s">
        <v>25</v>
      </c>
      <c r="B202" s="15">
        <v>676</v>
      </c>
      <c r="C202" s="15">
        <v>1</v>
      </c>
      <c r="D202" s="15" t="s">
        <v>213</v>
      </c>
      <c r="E202" s="3">
        <v>250.98</v>
      </c>
      <c r="G202" s="17">
        <f t="shared" si="5"/>
        <v>7208.48</v>
      </c>
      <c r="H202" s="17">
        <v>3556.8</v>
      </c>
      <c r="I202" s="17">
        <f t="shared" si="4"/>
        <v>3651.6799999999994</v>
      </c>
      <c r="K202" s="7"/>
    </row>
    <row r="203" spans="1:11" x14ac:dyDescent="0.2">
      <c r="A203" s="15" t="s">
        <v>25</v>
      </c>
      <c r="B203" s="15">
        <v>682</v>
      </c>
      <c r="C203" s="15">
        <v>1</v>
      </c>
      <c r="D203" s="15" t="s">
        <v>214</v>
      </c>
      <c r="E203" s="3">
        <v>1222.26</v>
      </c>
      <c r="G203" s="17">
        <f t="shared" si="5"/>
        <v>35104.94</v>
      </c>
      <c r="H203" s="17">
        <v>17623.650000000001</v>
      </c>
      <c r="I203" s="17">
        <f t="shared" si="4"/>
        <v>17481.29</v>
      </c>
      <c r="K203" s="7"/>
    </row>
    <row r="204" spans="1:11" x14ac:dyDescent="0.2">
      <c r="A204" s="15" t="s">
        <v>25</v>
      </c>
      <c r="B204" s="15">
        <v>690</v>
      </c>
      <c r="C204" s="15">
        <v>1</v>
      </c>
      <c r="D204" s="15" t="s">
        <v>215</v>
      </c>
      <c r="E204" s="3">
        <v>990.89</v>
      </c>
      <c r="G204" s="17">
        <f t="shared" si="5"/>
        <v>28459.68</v>
      </c>
      <c r="H204" s="17">
        <v>14268.28</v>
      </c>
      <c r="I204" s="17">
        <f t="shared" si="4"/>
        <v>14191.4</v>
      </c>
      <c r="K204" s="7"/>
    </row>
    <row r="205" spans="1:11" x14ac:dyDescent="0.2">
      <c r="A205" s="15" t="s">
        <v>25</v>
      </c>
      <c r="B205" s="15">
        <v>695</v>
      </c>
      <c r="C205" s="15">
        <v>1</v>
      </c>
      <c r="D205" s="15" t="s">
        <v>216</v>
      </c>
      <c r="E205" s="3">
        <v>745.04</v>
      </c>
      <c r="G205" s="17">
        <f t="shared" si="5"/>
        <v>21398.54</v>
      </c>
      <c r="H205" s="17">
        <v>10743.64</v>
      </c>
      <c r="I205" s="17">
        <f t="shared" si="4"/>
        <v>10654.900000000001</v>
      </c>
      <c r="K205" s="7"/>
    </row>
    <row r="206" spans="1:11" x14ac:dyDescent="0.2">
      <c r="A206" s="15" t="s">
        <v>25</v>
      </c>
      <c r="B206" s="15">
        <v>696</v>
      </c>
      <c r="C206" s="15">
        <v>1</v>
      </c>
      <c r="D206" s="15" t="s">
        <v>217</v>
      </c>
      <c r="E206" s="3">
        <v>549.41999999999996</v>
      </c>
      <c r="G206" s="17">
        <f t="shared" si="5"/>
        <v>15780.08</v>
      </c>
      <c r="H206" s="17">
        <v>7907.49</v>
      </c>
      <c r="I206" s="17">
        <f t="shared" si="4"/>
        <v>7872.59</v>
      </c>
      <c r="K206" s="7"/>
    </row>
    <row r="207" spans="1:11" x14ac:dyDescent="0.2">
      <c r="A207" s="15" t="s">
        <v>25</v>
      </c>
      <c r="B207" s="15">
        <v>698</v>
      </c>
      <c r="C207" s="15">
        <v>1</v>
      </c>
      <c r="D207" s="15" t="s">
        <v>218</v>
      </c>
      <c r="E207" s="3">
        <v>263.10000000000002</v>
      </c>
      <c r="G207" s="17">
        <f t="shared" si="5"/>
        <v>7556.58</v>
      </c>
      <c r="H207" s="17">
        <v>3743.09</v>
      </c>
      <c r="I207" s="17">
        <f t="shared" ref="I207:I270" si="6">G207-H207</f>
        <v>3813.49</v>
      </c>
      <c r="K207" s="7"/>
    </row>
    <row r="208" spans="1:11" x14ac:dyDescent="0.2">
      <c r="A208" s="15" t="s">
        <v>25</v>
      </c>
      <c r="B208" s="15">
        <v>700</v>
      </c>
      <c r="C208" s="15">
        <v>1</v>
      </c>
      <c r="D208" s="15" t="s">
        <v>219</v>
      </c>
      <c r="E208" s="3">
        <v>2013.21</v>
      </c>
      <c r="G208" s="17">
        <f t="shared" ref="G208:G271" si="7">ROUND(E208*$G$6,2)</f>
        <v>57822.080000000002</v>
      </c>
      <c r="H208" s="17">
        <v>29026.37</v>
      </c>
      <c r="I208" s="17">
        <f t="shared" si="6"/>
        <v>28795.710000000003</v>
      </c>
      <c r="K208" s="7"/>
    </row>
    <row r="209" spans="1:11" x14ac:dyDescent="0.2">
      <c r="A209" s="15" t="s">
        <v>25</v>
      </c>
      <c r="B209" s="15">
        <v>701</v>
      </c>
      <c r="C209" s="15">
        <v>1</v>
      </c>
      <c r="D209" s="15" t="s">
        <v>220</v>
      </c>
      <c r="E209" s="3">
        <v>2382.79</v>
      </c>
      <c r="G209" s="17">
        <f t="shared" si="7"/>
        <v>68436.91</v>
      </c>
      <c r="H209" s="17">
        <v>34353.93</v>
      </c>
      <c r="I209" s="17">
        <f t="shared" si="6"/>
        <v>34082.980000000003</v>
      </c>
      <c r="K209" s="7"/>
    </row>
    <row r="210" spans="1:11" x14ac:dyDescent="0.2">
      <c r="A210" s="15" t="s">
        <v>25</v>
      </c>
      <c r="B210" s="15">
        <v>704</v>
      </c>
      <c r="C210" s="15">
        <v>1</v>
      </c>
      <c r="D210" s="15" t="s">
        <v>221</v>
      </c>
      <c r="E210" s="3">
        <v>1702.77</v>
      </c>
      <c r="G210" s="17">
        <f t="shared" si="7"/>
        <v>48905.83</v>
      </c>
      <c r="H210" s="17">
        <v>24541.88</v>
      </c>
      <c r="I210" s="17">
        <f t="shared" si="6"/>
        <v>24363.95</v>
      </c>
      <c r="K210" s="7"/>
    </row>
    <row r="211" spans="1:11" x14ac:dyDescent="0.2">
      <c r="A211" s="15" t="s">
        <v>25</v>
      </c>
      <c r="B211" s="15">
        <v>706</v>
      </c>
      <c r="C211" s="15">
        <v>1</v>
      </c>
      <c r="D211" s="15" t="s">
        <v>222</v>
      </c>
      <c r="E211" s="3">
        <v>1693.09</v>
      </c>
      <c r="G211" s="17">
        <f t="shared" si="7"/>
        <v>48627.8</v>
      </c>
      <c r="H211" s="17">
        <v>24398.84</v>
      </c>
      <c r="I211" s="17">
        <f t="shared" si="6"/>
        <v>24228.960000000003</v>
      </c>
      <c r="K211" s="7"/>
    </row>
    <row r="212" spans="1:11" x14ac:dyDescent="0.2">
      <c r="A212" s="15" t="s">
        <v>25</v>
      </c>
      <c r="B212" s="15">
        <v>707</v>
      </c>
      <c r="C212" s="15">
        <v>1</v>
      </c>
      <c r="D212" s="15" t="s">
        <v>223</v>
      </c>
      <c r="E212" s="3">
        <v>123.87</v>
      </c>
      <c r="G212" s="17">
        <f t="shared" si="7"/>
        <v>3557.71</v>
      </c>
      <c r="H212" s="17">
        <v>1801.9</v>
      </c>
      <c r="I212" s="17">
        <f t="shared" si="6"/>
        <v>1755.81</v>
      </c>
      <c r="K212" s="7"/>
    </row>
    <row r="213" spans="1:11" x14ac:dyDescent="0.2">
      <c r="A213" s="15" t="s">
        <v>25</v>
      </c>
      <c r="B213" s="15">
        <v>709</v>
      </c>
      <c r="C213" s="15">
        <v>1</v>
      </c>
      <c r="D213" s="15" t="s">
        <v>224</v>
      </c>
      <c r="E213" s="3">
        <v>8516.77</v>
      </c>
      <c r="G213" s="17">
        <f t="shared" si="7"/>
        <v>244612.99</v>
      </c>
      <c r="H213" s="17">
        <v>122706.93</v>
      </c>
      <c r="I213" s="17">
        <f t="shared" si="6"/>
        <v>121906.06</v>
      </c>
      <c r="K213" s="7"/>
    </row>
    <row r="214" spans="1:11" x14ac:dyDescent="0.2">
      <c r="A214" s="15" t="s">
        <v>25</v>
      </c>
      <c r="B214" s="15">
        <v>712</v>
      </c>
      <c r="C214" s="15">
        <v>1</v>
      </c>
      <c r="D214" s="15" t="s">
        <v>225</v>
      </c>
      <c r="E214" s="3">
        <v>490.83</v>
      </c>
      <c r="G214" s="17">
        <f t="shared" si="7"/>
        <v>14097.29</v>
      </c>
      <c r="H214" s="17">
        <v>7083.75</v>
      </c>
      <c r="I214" s="17">
        <f t="shared" si="6"/>
        <v>7013.5400000000009</v>
      </c>
      <c r="K214" s="7"/>
    </row>
    <row r="215" spans="1:11" x14ac:dyDescent="0.2">
      <c r="A215" s="15" t="s">
        <v>25</v>
      </c>
      <c r="B215" s="15">
        <v>716</v>
      </c>
      <c r="C215" s="15">
        <v>1</v>
      </c>
      <c r="D215" s="15" t="s">
        <v>226</v>
      </c>
      <c r="E215" s="3">
        <v>1625.55</v>
      </c>
      <c r="G215" s="17">
        <f t="shared" si="7"/>
        <v>46687.96</v>
      </c>
      <c r="H215" s="17">
        <v>23464.51</v>
      </c>
      <c r="I215" s="17">
        <f t="shared" si="6"/>
        <v>23223.45</v>
      </c>
      <c r="K215" s="7"/>
    </row>
    <row r="216" spans="1:11" x14ac:dyDescent="0.2">
      <c r="A216" s="15" t="s">
        <v>25</v>
      </c>
      <c r="B216" s="15">
        <v>717</v>
      </c>
      <c r="C216" s="15">
        <v>1</v>
      </c>
      <c r="D216" s="15" t="s">
        <v>227</v>
      </c>
      <c r="E216" s="3">
        <v>1761.39</v>
      </c>
      <c r="G216" s="17">
        <f t="shared" si="7"/>
        <v>50589.47</v>
      </c>
      <c r="H216" s="17">
        <v>25396.18</v>
      </c>
      <c r="I216" s="17">
        <f t="shared" si="6"/>
        <v>25193.29</v>
      </c>
      <c r="K216" s="7"/>
    </row>
    <row r="217" spans="1:11" x14ac:dyDescent="0.2">
      <c r="A217" s="15" t="s">
        <v>25</v>
      </c>
      <c r="B217" s="15">
        <v>719</v>
      </c>
      <c r="C217" s="15">
        <v>1</v>
      </c>
      <c r="D217" s="15" t="s">
        <v>228</v>
      </c>
      <c r="E217" s="3">
        <v>7210.85</v>
      </c>
      <c r="G217" s="17">
        <f t="shared" si="7"/>
        <v>207105.23</v>
      </c>
      <c r="H217" s="17">
        <v>104000.15</v>
      </c>
      <c r="I217" s="17">
        <f t="shared" si="6"/>
        <v>103105.08000000002</v>
      </c>
      <c r="K217" s="7"/>
    </row>
    <row r="218" spans="1:11" x14ac:dyDescent="0.2">
      <c r="A218" s="15" t="s">
        <v>25</v>
      </c>
      <c r="B218" s="15">
        <v>720</v>
      </c>
      <c r="C218" s="15">
        <v>1</v>
      </c>
      <c r="D218" s="15" t="s">
        <v>229</v>
      </c>
      <c r="E218" s="3">
        <v>7480.28</v>
      </c>
      <c r="G218" s="17">
        <f t="shared" si="7"/>
        <v>214843.62</v>
      </c>
      <c r="H218" s="17">
        <v>107104.77</v>
      </c>
      <c r="I218" s="17">
        <f t="shared" si="6"/>
        <v>107738.84999999999</v>
      </c>
      <c r="K218" s="7"/>
    </row>
    <row r="219" spans="1:11" x14ac:dyDescent="0.2">
      <c r="A219" s="15" t="s">
        <v>25</v>
      </c>
      <c r="B219" s="15">
        <v>721</v>
      </c>
      <c r="C219" s="15">
        <v>1</v>
      </c>
      <c r="D219" s="15" t="s">
        <v>230</v>
      </c>
      <c r="E219" s="3">
        <v>3879.43</v>
      </c>
      <c r="G219" s="17">
        <f t="shared" si="7"/>
        <v>111422.39999999999</v>
      </c>
      <c r="H219" s="17">
        <v>55931.61</v>
      </c>
      <c r="I219" s="17">
        <f t="shared" si="6"/>
        <v>55490.789999999994</v>
      </c>
      <c r="K219" s="7"/>
    </row>
    <row r="220" spans="1:11" x14ac:dyDescent="0.2">
      <c r="A220" s="15" t="s">
        <v>25</v>
      </c>
      <c r="B220" s="15">
        <v>726</v>
      </c>
      <c r="C220" s="15">
        <v>1</v>
      </c>
      <c r="D220" s="15" t="s">
        <v>231</v>
      </c>
      <c r="E220" s="3">
        <v>2732.09</v>
      </c>
      <c r="G220" s="17">
        <f t="shared" si="7"/>
        <v>78469.27</v>
      </c>
      <c r="H220" s="17">
        <v>37227.279999999999</v>
      </c>
      <c r="I220" s="17">
        <f t="shared" si="6"/>
        <v>41241.990000000005</v>
      </c>
      <c r="K220" s="7"/>
    </row>
    <row r="221" spans="1:11" x14ac:dyDescent="0.2">
      <c r="A221" s="15" t="s">
        <v>25</v>
      </c>
      <c r="B221" s="15">
        <v>727</v>
      </c>
      <c r="C221" s="15">
        <v>1</v>
      </c>
      <c r="D221" s="15" t="s">
        <v>232</v>
      </c>
      <c r="E221" s="3">
        <v>3304.9</v>
      </c>
      <c r="G221" s="17">
        <f t="shared" si="7"/>
        <v>94921.14</v>
      </c>
      <c r="H221" s="17">
        <v>47626.6</v>
      </c>
      <c r="I221" s="17">
        <f t="shared" si="6"/>
        <v>47294.54</v>
      </c>
      <c r="K221" s="7"/>
    </row>
    <row r="222" spans="1:11" x14ac:dyDescent="0.2">
      <c r="A222" s="15" t="s">
        <v>25</v>
      </c>
      <c r="B222" s="15">
        <v>728</v>
      </c>
      <c r="C222" s="15">
        <v>1</v>
      </c>
      <c r="D222" s="15" t="s">
        <v>233</v>
      </c>
      <c r="E222" s="3">
        <v>12457.39</v>
      </c>
      <c r="G222" s="17">
        <f t="shared" si="7"/>
        <v>357792.85</v>
      </c>
      <c r="H222" s="17">
        <v>179558.89</v>
      </c>
      <c r="I222" s="17">
        <f t="shared" si="6"/>
        <v>178233.95999999996</v>
      </c>
      <c r="K222" s="7"/>
    </row>
    <row r="223" spans="1:11" x14ac:dyDescent="0.2">
      <c r="A223" s="15" t="s">
        <v>25</v>
      </c>
      <c r="B223" s="15">
        <v>738</v>
      </c>
      <c r="C223" s="15">
        <v>1</v>
      </c>
      <c r="D223" s="15" t="s">
        <v>234</v>
      </c>
      <c r="E223" s="3">
        <v>992.66</v>
      </c>
      <c r="G223" s="17">
        <f t="shared" si="7"/>
        <v>28510.52</v>
      </c>
      <c r="H223" s="17">
        <v>14312.84</v>
      </c>
      <c r="I223" s="17">
        <f t="shared" si="6"/>
        <v>14197.68</v>
      </c>
      <c r="K223" s="7"/>
    </row>
    <row r="224" spans="1:11" x14ac:dyDescent="0.2">
      <c r="A224" s="15" t="s">
        <v>25</v>
      </c>
      <c r="B224" s="15">
        <v>739</v>
      </c>
      <c r="C224" s="15">
        <v>1</v>
      </c>
      <c r="D224" s="15" t="s">
        <v>235</v>
      </c>
      <c r="E224" s="3">
        <v>669.29</v>
      </c>
      <c r="G224" s="17">
        <f t="shared" si="7"/>
        <v>19222.900000000001</v>
      </c>
      <c r="H224" s="17">
        <v>9650.27</v>
      </c>
      <c r="I224" s="17">
        <f t="shared" si="6"/>
        <v>9572.630000000001</v>
      </c>
      <c r="K224" s="7"/>
    </row>
    <row r="225" spans="1:11" x14ac:dyDescent="0.2">
      <c r="A225" s="15" t="s">
        <v>25</v>
      </c>
      <c r="B225" s="15">
        <v>740</v>
      </c>
      <c r="C225" s="15">
        <v>1</v>
      </c>
      <c r="D225" s="15" t="s">
        <v>236</v>
      </c>
      <c r="E225" s="3">
        <v>1365.56</v>
      </c>
      <c r="G225" s="17">
        <f t="shared" si="7"/>
        <v>39220.699999999997</v>
      </c>
      <c r="H225" s="17">
        <v>19687.97</v>
      </c>
      <c r="I225" s="17">
        <f t="shared" si="6"/>
        <v>19532.729999999996</v>
      </c>
      <c r="K225" s="7"/>
    </row>
    <row r="226" spans="1:11" x14ac:dyDescent="0.2">
      <c r="A226" s="15" t="s">
        <v>25</v>
      </c>
      <c r="B226" s="15">
        <v>741</v>
      </c>
      <c r="C226" s="15">
        <v>1</v>
      </c>
      <c r="D226" s="15" t="s">
        <v>237</v>
      </c>
      <c r="E226" s="3">
        <v>999.76</v>
      </c>
      <c r="G226" s="17">
        <f t="shared" si="7"/>
        <v>28714.44</v>
      </c>
      <c r="H226" s="17">
        <v>14419.1</v>
      </c>
      <c r="I226" s="17">
        <f t="shared" si="6"/>
        <v>14295.339999999998</v>
      </c>
      <c r="K226" s="7"/>
    </row>
    <row r="227" spans="1:11" x14ac:dyDescent="0.2">
      <c r="A227" s="15" t="s">
        <v>25</v>
      </c>
      <c r="B227" s="15">
        <v>742</v>
      </c>
      <c r="C227" s="15">
        <v>1</v>
      </c>
      <c r="D227" s="15" t="s">
        <v>238</v>
      </c>
      <c r="E227" s="3">
        <v>9545.01</v>
      </c>
      <c r="G227" s="17">
        <f t="shared" si="7"/>
        <v>274145.42</v>
      </c>
      <c r="H227" s="17">
        <v>137625.64000000001</v>
      </c>
      <c r="I227" s="17">
        <f t="shared" si="6"/>
        <v>136519.77999999997</v>
      </c>
      <c r="K227" s="7"/>
    </row>
    <row r="228" spans="1:11" x14ac:dyDescent="0.2">
      <c r="A228" s="15" t="s">
        <v>25</v>
      </c>
      <c r="B228" s="15">
        <v>743</v>
      </c>
      <c r="C228" s="15">
        <v>1</v>
      </c>
      <c r="D228" s="15" t="s">
        <v>239</v>
      </c>
      <c r="E228" s="3">
        <v>953.64</v>
      </c>
      <c r="G228" s="17">
        <f t="shared" si="7"/>
        <v>27389.81</v>
      </c>
      <c r="H228" s="17">
        <v>13755.27</v>
      </c>
      <c r="I228" s="17">
        <f t="shared" si="6"/>
        <v>13634.54</v>
      </c>
      <c r="K228" s="7"/>
    </row>
    <row r="229" spans="1:11" x14ac:dyDescent="0.2">
      <c r="A229" s="15" t="s">
        <v>25</v>
      </c>
      <c r="B229" s="15">
        <v>745</v>
      </c>
      <c r="C229" s="15">
        <v>1</v>
      </c>
      <c r="D229" s="15" t="s">
        <v>240</v>
      </c>
      <c r="E229" s="3">
        <v>1695.44</v>
      </c>
      <c r="G229" s="17">
        <f t="shared" si="7"/>
        <v>48695.3</v>
      </c>
      <c r="H229" s="17">
        <v>24454.5</v>
      </c>
      <c r="I229" s="17">
        <f t="shared" si="6"/>
        <v>24240.800000000003</v>
      </c>
      <c r="K229" s="7"/>
    </row>
    <row r="230" spans="1:11" x14ac:dyDescent="0.2">
      <c r="A230" s="15" t="s">
        <v>25</v>
      </c>
      <c r="B230" s="15">
        <v>748</v>
      </c>
      <c r="C230" s="15">
        <v>1</v>
      </c>
      <c r="D230" s="15" t="s">
        <v>241</v>
      </c>
      <c r="E230" s="3">
        <v>3613.37</v>
      </c>
      <c r="G230" s="17">
        <f t="shared" si="7"/>
        <v>103780.81</v>
      </c>
      <c r="H230" s="17">
        <v>52087.02</v>
      </c>
      <c r="I230" s="17">
        <f t="shared" si="6"/>
        <v>51693.79</v>
      </c>
      <c r="K230" s="7"/>
    </row>
    <row r="231" spans="1:11" x14ac:dyDescent="0.2">
      <c r="A231" s="15" t="s">
        <v>25</v>
      </c>
      <c r="B231" s="15">
        <v>750</v>
      </c>
      <c r="C231" s="15">
        <v>1</v>
      </c>
      <c r="D231" s="15" t="s">
        <v>242</v>
      </c>
      <c r="E231" s="3">
        <v>2011.98</v>
      </c>
      <c r="G231" s="17">
        <f t="shared" si="7"/>
        <v>57786.75</v>
      </c>
      <c r="H231" s="17">
        <v>28964.52</v>
      </c>
      <c r="I231" s="17">
        <f t="shared" si="6"/>
        <v>28822.23</v>
      </c>
      <c r="K231" s="7"/>
    </row>
    <row r="232" spans="1:11" x14ac:dyDescent="0.2">
      <c r="A232" s="15" t="s">
        <v>25</v>
      </c>
      <c r="B232" s="15">
        <v>756</v>
      </c>
      <c r="C232" s="15">
        <v>1</v>
      </c>
      <c r="D232" s="15" t="s">
        <v>243</v>
      </c>
      <c r="E232" s="3">
        <v>717.29</v>
      </c>
      <c r="G232" s="17">
        <f t="shared" si="7"/>
        <v>20601.53</v>
      </c>
      <c r="H232" s="17">
        <v>10342.370000000001</v>
      </c>
      <c r="I232" s="17">
        <f t="shared" si="6"/>
        <v>10259.159999999998</v>
      </c>
      <c r="K232" s="7"/>
    </row>
    <row r="233" spans="1:11" x14ac:dyDescent="0.2">
      <c r="A233" s="15" t="s">
        <v>25</v>
      </c>
      <c r="B233" s="15">
        <v>761</v>
      </c>
      <c r="C233" s="15">
        <v>1</v>
      </c>
      <c r="D233" s="15" t="s">
        <v>244</v>
      </c>
      <c r="E233" s="3">
        <v>4788.13</v>
      </c>
      <c r="G233" s="17">
        <f t="shared" si="7"/>
        <v>137521.48000000001</v>
      </c>
      <c r="H233" s="17">
        <v>68694.149999999994</v>
      </c>
      <c r="I233" s="17">
        <f t="shared" si="6"/>
        <v>68827.330000000016</v>
      </c>
      <c r="K233" s="7"/>
    </row>
    <row r="234" spans="1:11" x14ac:dyDescent="0.2">
      <c r="A234" s="15" t="s">
        <v>25</v>
      </c>
      <c r="B234" s="15">
        <v>763</v>
      </c>
      <c r="C234" s="15">
        <v>1</v>
      </c>
      <c r="D234" s="15" t="s">
        <v>245</v>
      </c>
      <c r="E234" s="3">
        <v>866.38</v>
      </c>
      <c r="G234" s="17">
        <f t="shared" si="7"/>
        <v>24883.59</v>
      </c>
      <c r="H234" s="17">
        <v>12492.05</v>
      </c>
      <c r="I234" s="17">
        <f t="shared" si="6"/>
        <v>12391.54</v>
      </c>
      <c r="K234" s="7"/>
    </row>
    <row r="235" spans="1:11" x14ac:dyDescent="0.2">
      <c r="A235" s="15" t="s">
        <v>25</v>
      </c>
      <c r="B235" s="15">
        <v>768</v>
      </c>
      <c r="C235" s="15">
        <v>1</v>
      </c>
      <c r="D235" s="15" t="s">
        <v>246</v>
      </c>
      <c r="E235" s="3">
        <v>286.37</v>
      </c>
      <c r="G235" s="17">
        <f t="shared" si="7"/>
        <v>8224.93</v>
      </c>
      <c r="H235" s="17">
        <v>4143.6400000000003</v>
      </c>
      <c r="I235" s="17">
        <f t="shared" si="6"/>
        <v>4081.29</v>
      </c>
      <c r="K235" s="7"/>
    </row>
    <row r="236" spans="1:11" x14ac:dyDescent="0.2">
      <c r="A236" s="15" t="s">
        <v>25</v>
      </c>
      <c r="B236" s="15">
        <v>771</v>
      </c>
      <c r="C236" s="15">
        <v>1</v>
      </c>
      <c r="D236" s="15" t="s">
        <v>247</v>
      </c>
      <c r="E236" s="3">
        <v>150.59</v>
      </c>
      <c r="G236" s="17">
        <f t="shared" si="7"/>
        <v>4325.1499999999996</v>
      </c>
      <c r="H236" s="17">
        <v>2170.15</v>
      </c>
      <c r="I236" s="17">
        <f t="shared" si="6"/>
        <v>2154.9999999999995</v>
      </c>
      <c r="K236" s="7"/>
    </row>
    <row r="237" spans="1:11" x14ac:dyDescent="0.2">
      <c r="A237" s="15" t="s">
        <v>25</v>
      </c>
      <c r="B237" s="15">
        <v>775</v>
      </c>
      <c r="C237" s="15">
        <v>1</v>
      </c>
      <c r="D237" s="15" t="s">
        <v>248</v>
      </c>
      <c r="E237" s="3">
        <v>595.82000000000005</v>
      </c>
      <c r="G237" s="17">
        <f t="shared" si="7"/>
        <v>17112.75</v>
      </c>
      <c r="H237" s="17">
        <v>8590.93</v>
      </c>
      <c r="I237" s="17">
        <f t="shared" si="6"/>
        <v>8521.82</v>
      </c>
      <c r="K237" s="7"/>
    </row>
    <row r="238" spans="1:11" x14ac:dyDescent="0.2">
      <c r="A238" s="15" t="s">
        <v>25</v>
      </c>
      <c r="B238" s="15">
        <v>777</v>
      </c>
      <c r="C238" s="15">
        <v>1</v>
      </c>
      <c r="D238" s="15" t="s">
        <v>249</v>
      </c>
      <c r="E238" s="3">
        <v>865.57</v>
      </c>
      <c r="G238" s="17">
        <f t="shared" si="7"/>
        <v>24860.32</v>
      </c>
      <c r="H238" s="17">
        <v>12481.67</v>
      </c>
      <c r="I238" s="17">
        <f t="shared" si="6"/>
        <v>12378.65</v>
      </c>
      <c r="K238" s="7"/>
    </row>
    <row r="239" spans="1:11" x14ac:dyDescent="0.2">
      <c r="A239" s="15" t="s">
        <v>25</v>
      </c>
      <c r="B239" s="15">
        <v>786</v>
      </c>
      <c r="C239" s="15">
        <v>1</v>
      </c>
      <c r="D239" s="15" t="s">
        <v>250</v>
      </c>
      <c r="E239" s="3">
        <v>411.1</v>
      </c>
      <c r="G239" s="17">
        <f t="shared" si="7"/>
        <v>11807.34</v>
      </c>
      <c r="H239" s="17">
        <v>5940.2</v>
      </c>
      <c r="I239" s="17">
        <f t="shared" si="6"/>
        <v>5867.14</v>
      </c>
      <c r="K239" s="7"/>
    </row>
    <row r="240" spans="1:11" x14ac:dyDescent="0.2">
      <c r="A240" s="15" t="s">
        <v>25</v>
      </c>
      <c r="B240" s="15">
        <v>787</v>
      </c>
      <c r="C240" s="15">
        <v>1</v>
      </c>
      <c r="D240" s="15" t="s">
        <v>251</v>
      </c>
      <c r="E240" s="3">
        <v>406.27</v>
      </c>
      <c r="G240" s="17">
        <f t="shared" si="7"/>
        <v>11668.62</v>
      </c>
      <c r="H240" s="17">
        <v>5810.15</v>
      </c>
      <c r="I240" s="17">
        <f t="shared" si="6"/>
        <v>5858.4700000000012</v>
      </c>
      <c r="K240" s="7"/>
    </row>
    <row r="241" spans="1:11" x14ac:dyDescent="0.2">
      <c r="A241" s="15" t="s">
        <v>25</v>
      </c>
      <c r="B241" s="15">
        <v>801</v>
      </c>
      <c r="C241" s="15">
        <v>1</v>
      </c>
      <c r="D241" s="15" t="s">
        <v>252</v>
      </c>
      <c r="E241" s="3">
        <v>94.24</v>
      </c>
      <c r="G241" s="17">
        <f t="shared" si="7"/>
        <v>2706.7</v>
      </c>
      <c r="H241" s="17">
        <v>1360.11</v>
      </c>
      <c r="I241" s="17">
        <f t="shared" si="6"/>
        <v>1346.59</v>
      </c>
      <c r="K241" s="7"/>
    </row>
    <row r="242" spans="1:11" x14ac:dyDescent="0.2">
      <c r="A242" s="15" t="s">
        <v>25</v>
      </c>
      <c r="B242" s="15">
        <v>803</v>
      </c>
      <c r="C242" s="15">
        <v>1</v>
      </c>
      <c r="D242" s="15" t="s">
        <v>253</v>
      </c>
      <c r="E242" s="3">
        <v>398.92</v>
      </c>
      <c r="G242" s="17">
        <f t="shared" si="7"/>
        <v>11457.51</v>
      </c>
      <c r="H242" s="17">
        <v>5751.9</v>
      </c>
      <c r="I242" s="17">
        <f t="shared" si="6"/>
        <v>5705.6100000000006</v>
      </c>
      <c r="K242" s="7"/>
    </row>
    <row r="243" spans="1:11" x14ac:dyDescent="0.2">
      <c r="A243" s="15" t="s">
        <v>25</v>
      </c>
      <c r="B243" s="15">
        <v>811</v>
      </c>
      <c r="C243" s="15">
        <v>1</v>
      </c>
      <c r="D243" s="15" t="s">
        <v>254</v>
      </c>
      <c r="E243" s="3">
        <v>584.05999999999995</v>
      </c>
      <c r="G243" s="17">
        <f t="shared" si="7"/>
        <v>16774.98</v>
      </c>
      <c r="H243" s="17">
        <v>8421.3700000000008</v>
      </c>
      <c r="I243" s="17">
        <f t="shared" si="6"/>
        <v>8353.6099999999988</v>
      </c>
      <c r="K243" s="7"/>
    </row>
    <row r="244" spans="1:11" x14ac:dyDescent="0.2">
      <c r="A244" s="15" t="s">
        <v>25</v>
      </c>
      <c r="B244" s="15">
        <v>813</v>
      </c>
      <c r="C244" s="15">
        <v>1</v>
      </c>
      <c r="D244" s="15" t="s">
        <v>255</v>
      </c>
      <c r="E244" s="3">
        <v>1243.96</v>
      </c>
      <c r="G244" s="17">
        <f t="shared" si="7"/>
        <v>35728.19</v>
      </c>
      <c r="H244" s="17">
        <v>17922.259999999998</v>
      </c>
      <c r="I244" s="17">
        <f t="shared" si="6"/>
        <v>17805.930000000004</v>
      </c>
      <c r="K244" s="7"/>
    </row>
    <row r="245" spans="1:11" x14ac:dyDescent="0.2">
      <c r="A245" s="15" t="s">
        <v>25</v>
      </c>
      <c r="B245" s="15">
        <v>815</v>
      </c>
      <c r="C245" s="15">
        <v>2</v>
      </c>
      <c r="D245" s="15" t="s">
        <v>256</v>
      </c>
      <c r="E245" s="3">
        <v>1.17</v>
      </c>
      <c r="G245" s="17">
        <f t="shared" si="7"/>
        <v>33.6</v>
      </c>
      <c r="H245" s="17">
        <v>16.87</v>
      </c>
      <c r="I245" s="17">
        <f t="shared" si="6"/>
        <v>16.73</v>
      </c>
      <c r="K245" s="7"/>
    </row>
    <row r="246" spans="1:11" x14ac:dyDescent="0.2">
      <c r="A246" s="15" t="s">
        <v>25</v>
      </c>
      <c r="B246" s="15">
        <v>818</v>
      </c>
      <c r="C246" s="15">
        <v>1</v>
      </c>
      <c r="D246" s="15" t="s">
        <v>257</v>
      </c>
      <c r="E246" s="3">
        <v>487.66</v>
      </c>
      <c r="G246" s="17">
        <f t="shared" si="7"/>
        <v>14006.25</v>
      </c>
      <c r="H246" s="17">
        <v>7041.07</v>
      </c>
      <c r="I246" s="17">
        <f t="shared" si="6"/>
        <v>6965.18</v>
      </c>
      <c r="K246" s="7"/>
    </row>
    <row r="247" spans="1:11" x14ac:dyDescent="0.2">
      <c r="A247" s="15" t="s">
        <v>25</v>
      </c>
      <c r="B247" s="15">
        <v>820</v>
      </c>
      <c r="C247" s="15">
        <v>1</v>
      </c>
      <c r="D247" s="15" t="s">
        <v>258</v>
      </c>
      <c r="E247" s="3">
        <v>507.48</v>
      </c>
      <c r="G247" s="17">
        <f t="shared" si="7"/>
        <v>14575.5</v>
      </c>
      <c r="H247" s="17">
        <v>7314.88</v>
      </c>
      <c r="I247" s="17">
        <f t="shared" si="6"/>
        <v>7260.62</v>
      </c>
      <c r="K247" s="7"/>
    </row>
    <row r="248" spans="1:11" x14ac:dyDescent="0.2">
      <c r="A248" s="15" t="s">
        <v>25</v>
      </c>
      <c r="B248" s="15">
        <v>821</v>
      </c>
      <c r="C248" s="15">
        <v>1</v>
      </c>
      <c r="D248" s="15" t="s">
        <v>259</v>
      </c>
      <c r="E248" s="3">
        <v>890.4</v>
      </c>
      <c r="G248" s="17">
        <f t="shared" si="7"/>
        <v>25573.48</v>
      </c>
      <c r="H248" s="17">
        <v>12770.76</v>
      </c>
      <c r="I248" s="17">
        <f t="shared" si="6"/>
        <v>12802.72</v>
      </c>
      <c r="K248" s="7"/>
    </row>
    <row r="249" spans="1:11" x14ac:dyDescent="0.2">
      <c r="A249" s="15" t="s">
        <v>25</v>
      </c>
      <c r="B249" s="15">
        <v>829</v>
      </c>
      <c r="C249" s="15">
        <v>1</v>
      </c>
      <c r="D249" s="15" t="s">
        <v>260</v>
      </c>
      <c r="E249" s="3">
        <v>1814.19</v>
      </c>
      <c r="G249" s="17">
        <f t="shared" si="7"/>
        <v>52105.96</v>
      </c>
      <c r="H249" s="17">
        <v>26175.37</v>
      </c>
      <c r="I249" s="17">
        <f t="shared" si="6"/>
        <v>25930.59</v>
      </c>
      <c r="K249" s="7"/>
    </row>
    <row r="250" spans="1:11" x14ac:dyDescent="0.2">
      <c r="A250" s="15" t="s">
        <v>25</v>
      </c>
      <c r="B250" s="15">
        <v>831</v>
      </c>
      <c r="C250" s="15">
        <v>1</v>
      </c>
      <c r="D250" s="15" t="s">
        <v>261</v>
      </c>
      <c r="E250" s="3">
        <v>6661.57</v>
      </c>
      <c r="G250" s="17">
        <f t="shared" si="7"/>
        <v>191329.17</v>
      </c>
      <c r="H250" s="17">
        <v>96799.75</v>
      </c>
      <c r="I250" s="17">
        <f t="shared" si="6"/>
        <v>94529.420000000013</v>
      </c>
      <c r="K250" s="7"/>
    </row>
    <row r="251" spans="1:11" x14ac:dyDescent="0.2">
      <c r="A251" s="15" t="s">
        <v>25</v>
      </c>
      <c r="B251" s="15">
        <v>832</v>
      </c>
      <c r="C251" s="15">
        <v>1</v>
      </c>
      <c r="D251" s="15" t="s">
        <v>262</v>
      </c>
      <c r="E251" s="3">
        <v>3251.88</v>
      </c>
      <c r="G251" s="17">
        <f t="shared" si="7"/>
        <v>93398.33</v>
      </c>
      <c r="H251" s="17">
        <v>46889.52</v>
      </c>
      <c r="I251" s="17">
        <f t="shared" si="6"/>
        <v>46508.810000000005</v>
      </c>
      <c r="K251" s="7"/>
    </row>
    <row r="252" spans="1:11" x14ac:dyDescent="0.2">
      <c r="A252" s="15" t="s">
        <v>25</v>
      </c>
      <c r="B252" s="15">
        <v>833</v>
      </c>
      <c r="C252" s="15">
        <v>1</v>
      </c>
      <c r="D252" s="15" t="s">
        <v>263</v>
      </c>
      <c r="E252" s="3">
        <v>17649.400000000001</v>
      </c>
      <c r="G252" s="17">
        <f t="shared" si="7"/>
        <v>506914.31</v>
      </c>
      <c r="H252" s="17">
        <v>253663.79</v>
      </c>
      <c r="I252" s="17">
        <f t="shared" si="6"/>
        <v>253250.52</v>
      </c>
      <c r="K252" s="7"/>
    </row>
    <row r="253" spans="1:11" x14ac:dyDescent="0.2">
      <c r="A253" s="15" t="s">
        <v>25</v>
      </c>
      <c r="B253" s="15">
        <v>834</v>
      </c>
      <c r="C253" s="15">
        <v>1</v>
      </c>
      <c r="D253" s="15" t="s">
        <v>264</v>
      </c>
      <c r="E253" s="3">
        <v>8488.75</v>
      </c>
      <c r="G253" s="17">
        <f t="shared" si="7"/>
        <v>243808.22</v>
      </c>
      <c r="H253" s="17">
        <v>122395.78</v>
      </c>
      <c r="I253" s="17">
        <f t="shared" si="6"/>
        <v>121412.44</v>
      </c>
      <c r="K253" s="7"/>
    </row>
    <row r="254" spans="1:11" x14ac:dyDescent="0.2">
      <c r="A254" s="15" t="s">
        <v>25</v>
      </c>
      <c r="B254" s="15">
        <v>836</v>
      </c>
      <c r="C254" s="15">
        <v>1</v>
      </c>
      <c r="D254" s="15" t="s">
        <v>265</v>
      </c>
      <c r="E254" s="3">
        <v>228.07</v>
      </c>
      <c r="G254" s="17">
        <f t="shared" si="7"/>
        <v>6550.47</v>
      </c>
      <c r="H254" s="17">
        <v>3289.19</v>
      </c>
      <c r="I254" s="17">
        <f t="shared" si="6"/>
        <v>3261.28</v>
      </c>
      <c r="K254" s="7"/>
    </row>
    <row r="255" spans="1:11" x14ac:dyDescent="0.2">
      <c r="A255" s="15" t="s">
        <v>25</v>
      </c>
      <c r="B255" s="15">
        <v>837</v>
      </c>
      <c r="C255" s="15">
        <v>1</v>
      </c>
      <c r="D255" s="15" t="s">
        <v>266</v>
      </c>
      <c r="E255" s="3">
        <v>531.78</v>
      </c>
      <c r="G255" s="17">
        <f t="shared" si="7"/>
        <v>15273.43</v>
      </c>
      <c r="H255" s="17">
        <v>7667.99</v>
      </c>
      <c r="I255" s="17">
        <f t="shared" si="6"/>
        <v>7605.4400000000005</v>
      </c>
      <c r="K255" s="7"/>
    </row>
    <row r="256" spans="1:11" x14ac:dyDescent="0.2">
      <c r="A256" s="15" t="s">
        <v>25</v>
      </c>
      <c r="B256" s="15">
        <v>840</v>
      </c>
      <c r="C256" s="15">
        <v>1</v>
      </c>
      <c r="D256" s="15" t="s">
        <v>267</v>
      </c>
      <c r="E256" s="3">
        <v>1047.9100000000001</v>
      </c>
      <c r="G256" s="17">
        <f t="shared" si="7"/>
        <v>30097.37</v>
      </c>
      <c r="H256" s="17">
        <v>15109.33</v>
      </c>
      <c r="I256" s="17">
        <f t="shared" si="6"/>
        <v>14988.039999999999</v>
      </c>
      <c r="K256" s="7"/>
    </row>
    <row r="257" spans="1:11" x14ac:dyDescent="0.2">
      <c r="A257" s="15" t="s">
        <v>25</v>
      </c>
      <c r="B257" s="15">
        <v>846</v>
      </c>
      <c r="C257" s="15">
        <v>1</v>
      </c>
      <c r="D257" s="15" t="s">
        <v>268</v>
      </c>
      <c r="E257" s="3">
        <v>672.2</v>
      </c>
      <c r="G257" s="17">
        <f t="shared" si="7"/>
        <v>19306.48</v>
      </c>
      <c r="H257" s="17">
        <v>9690.93</v>
      </c>
      <c r="I257" s="17">
        <f t="shared" si="6"/>
        <v>9615.5499999999993</v>
      </c>
      <c r="K257" s="7"/>
    </row>
    <row r="258" spans="1:11" x14ac:dyDescent="0.2">
      <c r="A258" s="15" t="s">
        <v>25</v>
      </c>
      <c r="B258" s="15">
        <v>850</v>
      </c>
      <c r="C258" s="15">
        <v>1</v>
      </c>
      <c r="D258" s="15" t="s">
        <v>269</v>
      </c>
      <c r="E258" s="3">
        <v>262.51</v>
      </c>
      <c r="G258" s="17">
        <f t="shared" si="7"/>
        <v>7539.64</v>
      </c>
      <c r="H258" s="17">
        <v>3781.15</v>
      </c>
      <c r="I258" s="17">
        <f t="shared" si="6"/>
        <v>3758.4900000000002</v>
      </c>
      <c r="K258" s="7"/>
    </row>
    <row r="259" spans="1:11" x14ac:dyDescent="0.2">
      <c r="A259" s="15" t="s">
        <v>25</v>
      </c>
      <c r="B259" s="15">
        <v>852</v>
      </c>
      <c r="C259" s="15">
        <v>1</v>
      </c>
      <c r="D259" s="15" t="s">
        <v>270</v>
      </c>
      <c r="E259" s="3">
        <v>133.30000000000001</v>
      </c>
      <c r="G259" s="17">
        <f t="shared" si="7"/>
        <v>3828.55</v>
      </c>
      <c r="H259" s="17">
        <v>1922.01</v>
      </c>
      <c r="I259" s="17">
        <f t="shared" si="6"/>
        <v>1906.5400000000002</v>
      </c>
      <c r="K259" s="7"/>
    </row>
    <row r="260" spans="1:11" x14ac:dyDescent="0.2">
      <c r="A260" s="15" t="s">
        <v>25</v>
      </c>
      <c r="B260" s="15">
        <v>857</v>
      </c>
      <c r="C260" s="15">
        <v>1</v>
      </c>
      <c r="D260" s="15" t="s">
        <v>271</v>
      </c>
      <c r="E260" s="3">
        <v>741.28</v>
      </c>
      <c r="G260" s="17">
        <f t="shared" si="7"/>
        <v>21290.55</v>
      </c>
      <c r="H260" s="17">
        <v>10688.27</v>
      </c>
      <c r="I260" s="17">
        <f t="shared" si="6"/>
        <v>10602.279999999999</v>
      </c>
      <c r="K260" s="7"/>
    </row>
    <row r="261" spans="1:11" x14ac:dyDescent="0.2">
      <c r="A261" s="15" t="s">
        <v>25</v>
      </c>
      <c r="B261" s="15">
        <v>858</v>
      </c>
      <c r="C261" s="15">
        <v>1</v>
      </c>
      <c r="D261" s="15" t="s">
        <v>272</v>
      </c>
      <c r="E261" s="3">
        <v>965.5</v>
      </c>
      <c r="G261" s="17">
        <f t="shared" si="7"/>
        <v>27730.45</v>
      </c>
      <c r="H261" s="17">
        <v>13903.92</v>
      </c>
      <c r="I261" s="17">
        <f t="shared" si="6"/>
        <v>13826.53</v>
      </c>
      <c r="K261" s="7"/>
    </row>
    <row r="262" spans="1:11" x14ac:dyDescent="0.2">
      <c r="A262" s="15" t="s">
        <v>25</v>
      </c>
      <c r="B262" s="15">
        <v>861</v>
      </c>
      <c r="C262" s="15">
        <v>1</v>
      </c>
      <c r="D262" s="15" t="s">
        <v>273</v>
      </c>
      <c r="E262" s="3">
        <v>3108.53</v>
      </c>
      <c r="G262" s="17">
        <f t="shared" si="7"/>
        <v>89281.13</v>
      </c>
      <c r="H262" s="17">
        <v>44841.49</v>
      </c>
      <c r="I262" s="17">
        <f t="shared" si="6"/>
        <v>44439.640000000007</v>
      </c>
      <c r="K262" s="7"/>
    </row>
    <row r="263" spans="1:11" x14ac:dyDescent="0.2">
      <c r="A263" s="15" t="s">
        <v>25</v>
      </c>
      <c r="B263" s="15">
        <v>876</v>
      </c>
      <c r="C263" s="15">
        <v>1</v>
      </c>
      <c r="D263" s="15" t="s">
        <v>274</v>
      </c>
      <c r="E263" s="3">
        <v>1652.19</v>
      </c>
      <c r="G263" s="17">
        <f t="shared" si="7"/>
        <v>47453.1</v>
      </c>
      <c r="H263" s="17">
        <v>23756.639999999999</v>
      </c>
      <c r="I263" s="17">
        <f t="shared" si="6"/>
        <v>23696.46</v>
      </c>
      <c r="K263" s="7"/>
    </row>
    <row r="264" spans="1:11" x14ac:dyDescent="0.2">
      <c r="A264" s="15" t="s">
        <v>25</v>
      </c>
      <c r="B264" s="15">
        <v>877</v>
      </c>
      <c r="C264" s="15">
        <v>1</v>
      </c>
      <c r="D264" s="15" t="s">
        <v>275</v>
      </c>
      <c r="E264" s="3">
        <v>5795.13</v>
      </c>
      <c r="G264" s="17">
        <f t="shared" si="7"/>
        <v>166443.85999999999</v>
      </c>
      <c r="H264" s="17">
        <v>83538.179999999993</v>
      </c>
      <c r="I264" s="17">
        <f t="shared" si="6"/>
        <v>82905.679999999993</v>
      </c>
      <c r="K264" s="7"/>
    </row>
    <row r="265" spans="1:11" x14ac:dyDescent="0.2">
      <c r="A265" s="15" t="s">
        <v>25</v>
      </c>
      <c r="B265" s="15">
        <v>879</v>
      </c>
      <c r="C265" s="15">
        <v>1</v>
      </c>
      <c r="D265" s="15" t="s">
        <v>276</v>
      </c>
      <c r="E265" s="3">
        <v>2329.14</v>
      </c>
      <c r="G265" s="17">
        <f t="shared" si="7"/>
        <v>66896.009999999995</v>
      </c>
      <c r="H265" s="17">
        <v>33631.120000000003</v>
      </c>
      <c r="I265" s="17">
        <f t="shared" si="6"/>
        <v>33264.889999999992</v>
      </c>
      <c r="K265" s="7"/>
    </row>
    <row r="266" spans="1:11" x14ac:dyDescent="0.2">
      <c r="A266" s="15" t="s">
        <v>25</v>
      </c>
      <c r="B266" s="15">
        <v>881</v>
      </c>
      <c r="C266" s="15">
        <v>1</v>
      </c>
      <c r="D266" s="15" t="s">
        <v>277</v>
      </c>
      <c r="E266" s="3">
        <v>917.09</v>
      </c>
      <c r="G266" s="17">
        <f t="shared" si="7"/>
        <v>26340.05</v>
      </c>
      <c r="H266" s="17">
        <v>13220.62</v>
      </c>
      <c r="I266" s="17">
        <f t="shared" si="6"/>
        <v>13119.429999999998</v>
      </c>
      <c r="K266" s="7"/>
    </row>
    <row r="267" spans="1:11" x14ac:dyDescent="0.2">
      <c r="A267" s="15" t="s">
        <v>25</v>
      </c>
      <c r="B267" s="15">
        <v>882</v>
      </c>
      <c r="C267" s="15">
        <v>1</v>
      </c>
      <c r="D267" s="15" t="s">
        <v>278</v>
      </c>
      <c r="E267" s="3">
        <v>4031.01</v>
      </c>
      <c r="G267" s="17">
        <f t="shared" si="7"/>
        <v>115775.98</v>
      </c>
      <c r="H267" s="17">
        <v>58116.47</v>
      </c>
      <c r="I267" s="17">
        <f t="shared" si="6"/>
        <v>57659.509999999995</v>
      </c>
      <c r="K267" s="7"/>
    </row>
    <row r="268" spans="1:11" x14ac:dyDescent="0.2">
      <c r="A268" s="15" t="s">
        <v>25</v>
      </c>
      <c r="B268" s="15">
        <v>883</v>
      </c>
      <c r="C268" s="15">
        <v>1</v>
      </c>
      <c r="D268" s="15" t="s">
        <v>279</v>
      </c>
      <c r="E268" s="3">
        <v>1596.02</v>
      </c>
      <c r="G268" s="17">
        <f t="shared" si="7"/>
        <v>45839.82</v>
      </c>
      <c r="H268" s="17">
        <v>22953.8</v>
      </c>
      <c r="I268" s="17">
        <f t="shared" si="6"/>
        <v>22886.02</v>
      </c>
      <c r="K268" s="7"/>
    </row>
    <row r="269" spans="1:11" x14ac:dyDescent="0.2">
      <c r="A269" s="15" t="s">
        <v>25</v>
      </c>
      <c r="B269" s="15">
        <v>885</v>
      </c>
      <c r="C269" s="15">
        <v>1</v>
      </c>
      <c r="D269" s="15" t="s">
        <v>280</v>
      </c>
      <c r="E269" s="3">
        <v>5572.35</v>
      </c>
      <c r="G269" s="17">
        <f t="shared" si="7"/>
        <v>160045.32</v>
      </c>
      <c r="H269" s="17">
        <v>80203.14</v>
      </c>
      <c r="I269" s="17">
        <f t="shared" si="6"/>
        <v>79842.180000000008</v>
      </c>
      <c r="K269" s="7"/>
    </row>
    <row r="270" spans="1:11" x14ac:dyDescent="0.2">
      <c r="A270" s="15" t="s">
        <v>25</v>
      </c>
      <c r="B270" s="15">
        <v>891</v>
      </c>
      <c r="C270" s="15">
        <v>1</v>
      </c>
      <c r="D270" s="15" t="s">
        <v>281</v>
      </c>
      <c r="E270" s="3">
        <v>497.1</v>
      </c>
      <c r="G270" s="17">
        <f t="shared" si="7"/>
        <v>14277.37</v>
      </c>
      <c r="H270" s="17">
        <v>7166.94</v>
      </c>
      <c r="I270" s="17">
        <f t="shared" si="6"/>
        <v>7110.4300000000012</v>
      </c>
      <c r="K270" s="7"/>
    </row>
    <row r="271" spans="1:11" x14ac:dyDescent="0.2">
      <c r="A271" s="15" t="s">
        <v>25</v>
      </c>
      <c r="B271" s="15">
        <v>911</v>
      </c>
      <c r="C271" s="15">
        <v>1</v>
      </c>
      <c r="D271" s="15" t="s">
        <v>282</v>
      </c>
      <c r="E271" s="3">
        <v>5124.83</v>
      </c>
      <c r="G271" s="17">
        <f t="shared" si="7"/>
        <v>147191.95000000001</v>
      </c>
      <c r="H271" s="17">
        <v>73853.440000000002</v>
      </c>
      <c r="I271" s="17">
        <f t="shared" ref="I271:I334" si="8">G271-H271</f>
        <v>73338.510000000009</v>
      </c>
      <c r="K271" s="7"/>
    </row>
    <row r="272" spans="1:11" x14ac:dyDescent="0.2">
      <c r="A272" s="15" t="s">
        <v>25</v>
      </c>
      <c r="B272" s="15">
        <v>912</v>
      </c>
      <c r="C272" s="15">
        <v>1</v>
      </c>
      <c r="D272" s="15" t="s">
        <v>283</v>
      </c>
      <c r="E272" s="3">
        <v>1879.16</v>
      </c>
      <c r="G272" s="17">
        <f t="shared" ref="G272:G335" si="9">ROUND(E272*$G$6,2)</f>
        <v>53971.98</v>
      </c>
      <c r="H272" s="17">
        <v>27100.04</v>
      </c>
      <c r="I272" s="17">
        <f t="shared" si="8"/>
        <v>26871.940000000002</v>
      </c>
      <c r="K272" s="7"/>
    </row>
    <row r="273" spans="1:11" x14ac:dyDescent="0.2">
      <c r="A273" s="15" t="s">
        <v>25</v>
      </c>
      <c r="B273" s="15">
        <v>914</v>
      </c>
      <c r="C273" s="15">
        <v>1</v>
      </c>
      <c r="D273" s="15" t="s">
        <v>284</v>
      </c>
      <c r="E273" s="3">
        <v>306.5</v>
      </c>
      <c r="G273" s="17">
        <f t="shared" si="9"/>
        <v>8803.09</v>
      </c>
      <c r="H273" s="17">
        <v>4418.03</v>
      </c>
      <c r="I273" s="17">
        <f t="shared" si="8"/>
        <v>4385.0600000000004</v>
      </c>
      <c r="K273" s="7"/>
    </row>
    <row r="274" spans="1:11" x14ac:dyDescent="0.2">
      <c r="A274" s="15" t="s">
        <v>25</v>
      </c>
      <c r="B274" s="15">
        <v>2071</v>
      </c>
      <c r="C274" s="15">
        <v>1</v>
      </c>
      <c r="D274" s="15" t="s">
        <v>285</v>
      </c>
      <c r="E274" s="3">
        <v>828.98</v>
      </c>
      <c r="G274" s="17">
        <f t="shared" si="9"/>
        <v>23809.41</v>
      </c>
      <c r="H274" s="17">
        <v>11952.79</v>
      </c>
      <c r="I274" s="17">
        <f t="shared" si="8"/>
        <v>11856.619999999999</v>
      </c>
      <c r="K274" s="7"/>
    </row>
    <row r="275" spans="1:11" x14ac:dyDescent="0.2">
      <c r="A275" s="15" t="s">
        <v>25</v>
      </c>
      <c r="B275" s="15">
        <v>2125</v>
      </c>
      <c r="C275" s="15">
        <v>1</v>
      </c>
      <c r="D275" s="15" t="s">
        <v>286</v>
      </c>
      <c r="E275" s="3">
        <v>1196.54</v>
      </c>
      <c r="G275" s="17">
        <f t="shared" si="9"/>
        <v>34366.22</v>
      </c>
      <c r="H275" s="17">
        <v>17252.080000000002</v>
      </c>
      <c r="I275" s="17">
        <f t="shared" si="8"/>
        <v>17114.14</v>
      </c>
      <c r="K275" s="7"/>
    </row>
    <row r="276" spans="1:11" x14ac:dyDescent="0.2">
      <c r="A276" s="15" t="s">
        <v>25</v>
      </c>
      <c r="B276" s="15">
        <v>2134</v>
      </c>
      <c r="C276" s="15">
        <v>1</v>
      </c>
      <c r="D276" s="15" t="s">
        <v>287</v>
      </c>
      <c r="E276" s="3">
        <v>635.29</v>
      </c>
      <c r="G276" s="17">
        <f t="shared" si="9"/>
        <v>18246.38</v>
      </c>
      <c r="H276" s="17">
        <v>9160.0400000000009</v>
      </c>
      <c r="I276" s="17">
        <f t="shared" si="8"/>
        <v>9086.34</v>
      </c>
      <c r="K276" s="7"/>
    </row>
    <row r="277" spans="1:11" x14ac:dyDescent="0.2">
      <c r="A277" s="15" t="s">
        <v>25</v>
      </c>
      <c r="B277" s="15">
        <v>2135</v>
      </c>
      <c r="C277" s="15">
        <v>1</v>
      </c>
      <c r="D277" s="15" t="s">
        <v>288</v>
      </c>
      <c r="E277" s="3">
        <v>1028.1600000000001</v>
      </c>
      <c r="G277" s="17">
        <f t="shared" si="9"/>
        <v>29530.13</v>
      </c>
      <c r="H277" s="17">
        <v>14824.41</v>
      </c>
      <c r="I277" s="17">
        <f t="shared" si="8"/>
        <v>14705.720000000001</v>
      </c>
      <c r="K277" s="7"/>
    </row>
    <row r="278" spans="1:11" x14ac:dyDescent="0.2">
      <c r="A278" s="15" t="s">
        <v>25</v>
      </c>
      <c r="B278" s="15">
        <v>2137</v>
      </c>
      <c r="C278" s="15">
        <v>1</v>
      </c>
      <c r="D278" s="15" t="s">
        <v>289</v>
      </c>
      <c r="E278" s="3">
        <v>610.13</v>
      </c>
      <c r="G278" s="17">
        <f t="shared" si="9"/>
        <v>17523.75</v>
      </c>
      <c r="H278" s="17">
        <v>8797.26</v>
      </c>
      <c r="I278" s="17">
        <f t="shared" si="8"/>
        <v>8726.49</v>
      </c>
      <c r="K278" s="7"/>
    </row>
    <row r="279" spans="1:11" x14ac:dyDescent="0.2">
      <c r="A279" s="15" t="s">
        <v>25</v>
      </c>
      <c r="B279" s="15">
        <v>2142</v>
      </c>
      <c r="C279" s="15">
        <v>1</v>
      </c>
      <c r="D279" s="15" t="s">
        <v>290</v>
      </c>
      <c r="E279" s="3">
        <v>1862.29</v>
      </c>
      <c r="G279" s="17">
        <f t="shared" si="9"/>
        <v>53487.45</v>
      </c>
      <c r="H279" s="17">
        <v>26833.29</v>
      </c>
      <c r="I279" s="17">
        <f t="shared" si="8"/>
        <v>26654.159999999996</v>
      </c>
      <c r="K279" s="7"/>
    </row>
    <row r="280" spans="1:11" x14ac:dyDescent="0.2">
      <c r="A280" s="15" t="s">
        <v>25</v>
      </c>
      <c r="B280" s="15">
        <v>2143</v>
      </c>
      <c r="C280" s="15">
        <v>1</v>
      </c>
      <c r="D280" s="15" t="s">
        <v>291</v>
      </c>
      <c r="E280" s="3">
        <v>855.99</v>
      </c>
      <c r="G280" s="17">
        <f t="shared" si="9"/>
        <v>24585.17</v>
      </c>
      <c r="H280" s="17">
        <v>12344.69</v>
      </c>
      <c r="I280" s="17">
        <f t="shared" si="8"/>
        <v>12240.479999999998</v>
      </c>
      <c r="K280" s="7"/>
    </row>
    <row r="281" spans="1:11" x14ac:dyDescent="0.2">
      <c r="A281" s="15" t="s">
        <v>25</v>
      </c>
      <c r="B281" s="15">
        <v>2144</v>
      </c>
      <c r="C281" s="15">
        <v>1</v>
      </c>
      <c r="D281" s="15" t="s">
        <v>292</v>
      </c>
      <c r="E281" s="3">
        <v>3324.47</v>
      </c>
      <c r="G281" s="17">
        <f t="shared" si="9"/>
        <v>95483.21</v>
      </c>
      <c r="H281" s="17">
        <v>47908.49</v>
      </c>
      <c r="I281" s="17">
        <f t="shared" si="8"/>
        <v>47574.720000000008</v>
      </c>
      <c r="K281" s="7"/>
    </row>
    <row r="282" spans="1:11" x14ac:dyDescent="0.2">
      <c r="A282" s="15" t="s">
        <v>25</v>
      </c>
      <c r="B282" s="15">
        <v>2149</v>
      </c>
      <c r="C282" s="15">
        <v>1</v>
      </c>
      <c r="D282" s="15" t="s">
        <v>293</v>
      </c>
      <c r="E282" s="3">
        <v>1046.3599999999999</v>
      </c>
      <c r="G282" s="17">
        <f t="shared" si="9"/>
        <v>30052.85</v>
      </c>
      <c r="H282" s="17">
        <v>15087.12</v>
      </c>
      <c r="I282" s="17">
        <f t="shared" si="8"/>
        <v>14965.729999999998</v>
      </c>
      <c r="K282" s="7"/>
    </row>
    <row r="283" spans="1:11" x14ac:dyDescent="0.2">
      <c r="A283" s="15" t="s">
        <v>25</v>
      </c>
      <c r="B283" s="15">
        <v>2154</v>
      </c>
      <c r="C283" s="15">
        <v>1</v>
      </c>
      <c r="D283" s="15" t="s">
        <v>294</v>
      </c>
      <c r="E283" s="3">
        <v>1083.47</v>
      </c>
      <c r="G283" s="17">
        <f t="shared" si="9"/>
        <v>31118.7</v>
      </c>
      <c r="H283" s="17">
        <v>15501.8</v>
      </c>
      <c r="I283" s="17">
        <f t="shared" si="8"/>
        <v>15616.900000000001</v>
      </c>
      <c r="K283" s="7"/>
    </row>
    <row r="284" spans="1:11" x14ac:dyDescent="0.2">
      <c r="A284" s="15" t="s">
        <v>25</v>
      </c>
      <c r="B284" s="15">
        <v>2155</v>
      </c>
      <c r="C284" s="15">
        <v>1</v>
      </c>
      <c r="D284" s="15" t="s">
        <v>295</v>
      </c>
      <c r="E284" s="3">
        <v>990.49</v>
      </c>
      <c r="G284" s="17">
        <f t="shared" si="9"/>
        <v>28448.19</v>
      </c>
      <c r="H284" s="17">
        <v>14242.33</v>
      </c>
      <c r="I284" s="17">
        <f t="shared" si="8"/>
        <v>14205.859999999999</v>
      </c>
      <c r="K284" s="7"/>
    </row>
    <row r="285" spans="1:11" x14ac:dyDescent="0.2">
      <c r="A285" s="15" t="s">
        <v>25</v>
      </c>
      <c r="B285" s="15">
        <v>2159</v>
      </c>
      <c r="C285" s="15">
        <v>1</v>
      </c>
      <c r="D285" s="15" t="s">
        <v>296</v>
      </c>
      <c r="E285" s="3">
        <v>560.62</v>
      </c>
      <c r="G285" s="17">
        <f t="shared" si="9"/>
        <v>16101.75</v>
      </c>
      <c r="H285" s="17">
        <v>8083.4</v>
      </c>
      <c r="I285" s="17">
        <f t="shared" si="8"/>
        <v>8018.35</v>
      </c>
      <c r="K285" s="7"/>
    </row>
    <row r="286" spans="1:11" x14ac:dyDescent="0.2">
      <c r="A286" s="15" t="s">
        <v>25</v>
      </c>
      <c r="B286" s="15">
        <v>2164</v>
      </c>
      <c r="C286" s="15">
        <v>1</v>
      </c>
      <c r="D286" s="15" t="s">
        <v>297</v>
      </c>
      <c r="E286" s="3">
        <v>1472.35</v>
      </c>
      <c r="G286" s="17">
        <f t="shared" si="9"/>
        <v>42287.86</v>
      </c>
      <c r="H286" s="17">
        <v>21214.62</v>
      </c>
      <c r="I286" s="17">
        <f t="shared" si="8"/>
        <v>21073.24</v>
      </c>
      <c r="K286" s="7"/>
    </row>
    <row r="287" spans="1:11" x14ac:dyDescent="0.2">
      <c r="A287" s="15" t="s">
        <v>25</v>
      </c>
      <c r="B287" s="15">
        <v>2165</v>
      </c>
      <c r="C287" s="15">
        <v>1</v>
      </c>
      <c r="D287" s="15" t="s">
        <v>298</v>
      </c>
      <c r="E287" s="3">
        <v>954.96</v>
      </c>
      <c r="G287" s="17">
        <f t="shared" si="9"/>
        <v>27427.72</v>
      </c>
      <c r="H287" s="17">
        <v>13723.84</v>
      </c>
      <c r="I287" s="17">
        <f t="shared" si="8"/>
        <v>13703.880000000001</v>
      </c>
      <c r="K287" s="7"/>
    </row>
    <row r="288" spans="1:11" x14ac:dyDescent="0.2">
      <c r="A288" s="15" t="s">
        <v>25</v>
      </c>
      <c r="B288" s="15">
        <v>2167</v>
      </c>
      <c r="C288" s="15">
        <v>1</v>
      </c>
      <c r="D288" s="15" t="s">
        <v>299</v>
      </c>
      <c r="E288" s="3">
        <v>598.92999999999995</v>
      </c>
      <c r="G288" s="17">
        <f t="shared" si="9"/>
        <v>17202.07</v>
      </c>
      <c r="H288" s="17">
        <v>8635.77</v>
      </c>
      <c r="I288" s="17">
        <f t="shared" si="8"/>
        <v>8566.2999999999993</v>
      </c>
      <c r="K288" s="7"/>
    </row>
    <row r="289" spans="1:11" x14ac:dyDescent="0.2">
      <c r="A289" s="15" t="s">
        <v>25</v>
      </c>
      <c r="B289" s="15">
        <v>2168</v>
      </c>
      <c r="C289" s="15">
        <v>1</v>
      </c>
      <c r="D289" s="15" t="s">
        <v>300</v>
      </c>
      <c r="E289" s="3">
        <v>931.83</v>
      </c>
      <c r="G289" s="17">
        <f t="shared" si="9"/>
        <v>26763.4</v>
      </c>
      <c r="H289" s="17">
        <v>13435.32</v>
      </c>
      <c r="I289" s="17">
        <f t="shared" si="8"/>
        <v>13328.080000000002</v>
      </c>
      <c r="K289" s="7"/>
    </row>
    <row r="290" spans="1:11" x14ac:dyDescent="0.2">
      <c r="A290" s="15" t="s">
        <v>25</v>
      </c>
      <c r="B290" s="15">
        <v>2169</v>
      </c>
      <c r="C290" s="15">
        <v>1</v>
      </c>
      <c r="D290" s="15" t="s">
        <v>301</v>
      </c>
      <c r="E290" s="3">
        <v>728.45</v>
      </c>
      <c r="G290" s="17">
        <f t="shared" si="9"/>
        <v>20922.060000000001</v>
      </c>
      <c r="H290" s="17">
        <v>10511.36</v>
      </c>
      <c r="I290" s="17">
        <f t="shared" si="8"/>
        <v>10410.700000000001</v>
      </c>
      <c r="K290" s="7"/>
    </row>
    <row r="291" spans="1:11" x14ac:dyDescent="0.2">
      <c r="A291" s="15" t="s">
        <v>25</v>
      </c>
      <c r="B291" s="15">
        <v>2170</v>
      </c>
      <c r="C291" s="15">
        <v>1</v>
      </c>
      <c r="D291" s="15" t="s">
        <v>302</v>
      </c>
      <c r="E291" s="3">
        <v>1171.21</v>
      </c>
      <c r="G291" s="17">
        <f t="shared" si="9"/>
        <v>33638.71</v>
      </c>
      <c r="H291" s="17">
        <v>16864.650000000001</v>
      </c>
      <c r="I291" s="17">
        <f t="shared" si="8"/>
        <v>16774.059999999998</v>
      </c>
      <c r="K291" s="7"/>
    </row>
    <row r="292" spans="1:11" x14ac:dyDescent="0.2">
      <c r="A292" s="15" t="s">
        <v>25</v>
      </c>
      <c r="B292" s="15">
        <v>2171</v>
      </c>
      <c r="C292" s="15">
        <v>1</v>
      </c>
      <c r="D292" s="15" t="s">
        <v>303</v>
      </c>
      <c r="E292" s="3">
        <v>286.27999999999997</v>
      </c>
      <c r="G292" s="17">
        <f t="shared" si="9"/>
        <v>8222.34</v>
      </c>
      <c r="H292" s="17">
        <v>4127.78</v>
      </c>
      <c r="I292" s="17">
        <f t="shared" si="8"/>
        <v>4094.5600000000004</v>
      </c>
      <c r="K292" s="7"/>
    </row>
    <row r="293" spans="1:11" x14ac:dyDescent="0.2">
      <c r="A293" s="15" t="s">
        <v>25</v>
      </c>
      <c r="B293" s="15">
        <v>2172</v>
      </c>
      <c r="C293" s="15">
        <v>1</v>
      </c>
      <c r="D293" s="15" t="s">
        <v>304</v>
      </c>
      <c r="E293" s="3">
        <v>841.32</v>
      </c>
      <c r="G293" s="17">
        <f t="shared" si="9"/>
        <v>24163.83</v>
      </c>
      <c r="H293" s="17">
        <v>12126.82</v>
      </c>
      <c r="I293" s="17">
        <f t="shared" si="8"/>
        <v>12037.010000000002</v>
      </c>
      <c r="K293" s="7"/>
    </row>
    <row r="294" spans="1:11" x14ac:dyDescent="0.2">
      <c r="A294" s="15" t="s">
        <v>25</v>
      </c>
      <c r="B294" s="15">
        <v>2174</v>
      </c>
      <c r="C294" s="15">
        <v>1</v>
      </c>
      <c r="D294" s="15" t="s">
        <v>305</v>
      </c>
      <c r="E294" s="3">
        <v>876.83</v>
      </c>
      <c r="G294" s="17">
        <f t="shared" si="9"/>
        <v>25183.73</v>
      </c>
      <c r="H294" s="17">
        <v>12630.47</v>
      </c>
      <c r="I294" s="17">
        <f t="shared" si="8"/>
        <v>12553.26</v>
      </c>
      <c r="K294" s="7"/>
    </row>
    <row r="295" spans="1:11" x14ac:dyDescent="0.2">
      <c r="A295" s="15" t="s">
        <v>25</v>
      </c>
      <c r="B295" s="15">
        <v>2176</v>
      </c>
      <c r="C295" s="15">
        <v>1</v>
      </c>
      <c r="D295" s="15" t="s">
        <v>306</v>
      </c>
      <c r="E295" s="3">
        <v>416.46</v>
      </c>
      <c r="G295" s="17">
        <f t="shared" si="9"/>
        <v>11961.29</v>
      </c>
      <c r="H295" s="17">
        <v>6004.8</v>
      </c>
      <c r="I295" s="17">
        <f t="shared" si="8"/>
        <v>5956.4900000000007</v>
      </c>
      <c r="K295" s="7"/>
    </row>
    <row r="296" spans="1:11" x14ac:dyDescent="0.2">
      <c r="A296" s="15" t="s">
        <v>25</v>
      </c>
      <c r="B296" s="15">
        <v>2180</v>
      </c>
      <c r="C296" s="15">
        <v>1</v>
      </c>
      <c r="D296" s="15" t="s">
        <v>307</v>
      </c>
      <c r="E296" s="3">
        <v>666.19</v>
      </c>
      <c r="G296" s="17">
        <f t="shared" si="9"/>
        <v>19133.87</v>
      </c>
      <c r="H296" s="17">
        <v>9615.3799999999992</v>
      </c>
      <c r="I296" s="17">
        <f t="shared" si="8"/>
        <v>9518.49</v>
      </c>
      <c r="K296" s="7"/>
    </row>
    <row r="297" spans="1:11" x14ac:dyDescent="0.2">
      <c r="A297" s="15" t="s">
        <v>25</v>
      </c>
      <c r="B297" s="15">
        <v>2184</v>
      </c>
      <c r="C297" s="15">
        <v>1</v>
      </c>
      <c r="D297" s="15" t="s">
        <v>308</v>
      </c>
      <c r="E297" s="3">
        <v>1180.47</v>
      </c>
      <c r="G297" s="17">
        <f t="shared" si="9"/>
        <v>33904.67</v>
      </c>
      <c r="H297" s="17">
        <v>17020.810000000001</v>
      </c>
      <c r="I297" s="17">
        <f t="shared" si="8"/>
        <v>16883.859999999997</v>
      </c>
      <c r="K297" s="7"/>
    </row>
    <row r="298" spans="1:11" x14ac:dyDescent="0.2">
      <c r="A298" s="15" t="s">
        <v>25</v>
      </c>
      <c r="B298" s="15">
        <v>2190</v>
      </c>
      <c r="C298" s="15">
        <v>1</v>
      </c>
      <c r="D298" s="15" t="s">
        <v>309</v>
      </c>
      <c r="E298" s="3">
        <v>810.76</v>
      </c>
      <c r="G298" s="17">
        <f t="shared" si="9"/>
        <v>23286.11</v>
      </c>
      <c r="H298" s="17">
        <v>11686.77</v>
      </c>
      <c r="I298" s="17">
        <f t="shared" si="8"/>
        <v>11599.34</v>
      </c>
      <c r="K298" s="7"/>
    </row>
    <row r="299" spans="1:11" x14ac:dyDescent="0.2">
      <c r="A299" s="15" t="s">
        <v>25</v>
      </c>
      <c r="B299" s="15">
        <v>2198</v>
      </c>
      <c r="C299" s="15">
        <v>1</v>
      </c>
      <c r="D299" s="15" t="s">
        <v>310</v>
      </c>
      <c r="E299" s="3">
        <v>560.23</v>
      </c>
      <c r="G299" s="17">
        <f t="shared" si="9"/>
        <v>16090.55</v>
      </c>
      <c r="H299" s="17">
        <v>8077.77</v>
      </c>
      <c r="I299" s="17">
        <f t="shared" si="8"/>
        <v>8012.7799999999988</v>
      </c>
      <c r="K299" s="7"/>
    </row>
    <row r="300" spans="1:11" x14ac:dyDescent="0.2">
      <c r="A300" s="15" t="s">
        <v>25</v>
      </c>
      <c r="B300" s="15">
        <v>2215</v>
      </c>
      <c r="C300" s="15">
        <v>1</v>
      </c>
      <c r="D300" s="15" t="s">
        <v>311</v>
      </c>
      <c r="E300" s="3">
        <v>304.52999999999997</v>
      </c>
      <c r="G300" s="17">
        <f t="shared" si="9"/>
        <v>8746.51</v>
      </c>
      <c r="H300" s="17">
        <v>4390.92</v>
      </c>
      <c r="I300" s="17">
        <f t="shared" si="8"/>
        <v>4355.59</v>
      </c>
      <c r="K300" s="7"/>
    </row>
    <row r="301" spans="1:11" x14ac:dyDescent="0.2">
      <c r="A301" s="15" t="s">
        <v>25</v>
      </c>
      <c r="B301" s="15">
        <v>2310</v>
      </c>
      <c r="C301" s="15">
        <v>1</v>
      </c>
      <c r="D301" s="15" t="s">
        <v>312</v>
      </c>
      <c r="E301" s="3">
        <v>1226.8800000000001</v>
      </c>
      <c r="G301" s="17">
        <f t="shared" si="9"/>
        <v>35237.629999999997</v>
      </c>
      <c r="H301" s="17">
        <v>17693.87</v>
      </c>
      <c r="I301" s="17">
        <f t="shared" si="8"/>
        <v>17543.759999999998</v>
      </c>
      <c r="K301" s="7"/>
    </row>
    <row r="302" spans="1:11" x14ac:dyDescent="0.2">
      <c r="A302" s="15" t="s">
        <v>25</v>
      </c>
      <c r="B302" s="15">
        <v>2311</v>
      </c>
      <c r="C302" s="15">
        <v>1</v>
      </c>
      <c r="D302" s="15" t="s">
        <v>313</v>
      </c>
      <c r="E302" s="3">
        <v>423.49</v>
      </c>
      <c r="G302" s="17">
        <f t="shared" si="9"/>
        <v>12163.2</v>
      </c>
      <c r="H302" s="17">
        <v>6106.16</v>
      </c>
      <c r="I302" s="17">
        <f t="shared" si="8"/>
        <v>6057.0400000000009</v>
      </c>
      <c r="K302" s="7"/>
    </row>
    <row r="303" spans="1:11" x14ac:dyDescent="0.2">
      <c r="A303" s="15" t="s">
        <v>25</v>
      </c>
      <c r="B303" s="15">
        <v>2342</v>
      </c>
      <c r="C303" s="15">
        <v>1</v>
      </c>
      <c r="D303" s="15" t="s">
        <v>314</v>
      </c>
      <c r="E303" s="3">
        <v>718.66</v>
      </c>
      <c r="G303" s="17">
        <f t="shared" si="9"/>
        <v>20640.87</v>
      </c>
      <c r="H303" s="17">
        <v>10347.700000000001</v>
      </c>
      <c r="I303" s="17">
        <f t="shared" si="8"/>
        <v>10293.169999999998</v>
      </c>
      <c r="K303" s="7"/>
    </row>
    <row r="304" spans="1:11" x14ac:dyDescent="0.2">
      <c r="A304" s="15" t="s">
        <v>25</v>
      </c>
      <c r="B304" s="15">
        <v>2358</v>
      </c>
      <c r="C304" s="15">
        <v>1</v>
      </c>
      <c r="D304" s="15" t="s">
        <v>315</v>
      </c>
      <c r="E304" s="3">
        <v>210.36</v>
      </c>
      <c r="G304" s="17">
        <f t="shared" si="9"/>
        <v>6041.82</v>
      </c>
      <c r="H304" s="17">
        <v>3033.11</v>
      </c>
      <c r="I304" s="17">
        <f t="shared" si="8"/>
        <v>3008.7099999999996</v>
      </c>
      <c r="K304" s="7"/>
    </row>
    <row r="305" spans="1:11" x14ac:dyDescent="0.2">
      <c r="A305" s="15" t="s">
        <v>25</v>
      </c>
      <c r="B305" s="15">
        <v>2364</v>
      </c>
      <c r="C305" s="15">
        <v>1</v>
      </c>
      <c r="D305" s="15" t="s">
        <v>316</v>
      </c>
      <c r="E305" s="3">
        <v>663.98</v>
      </c>
      <c r="G305" s="17">
        <f t="shared" si="9"/>
        <v>19070.39</v>
      </c>
      <c r="H305" s="17">
        <v>9562.9</v>
      </c>
      <c r="I305" s="17">
        <f t="shared" si="8"/>
        <v>9507.49</v>
      </c>
      <c r="K305" s="7"/>
    </row>
    <row r="306" spans="1:11" x14ac:dyDescent="0.2">
      <c r="A306" s="15" t="s">
        <v>25</v>
      </c>
      <c r="B306" s="15">
        <v>2365</v>
      </c>
      <c r="C306" s="15">
        <v>1</v>
      </c>
      <c r="D306" s="15" t="s">
        <v>317</v>
      </c>
      <c r="E306" s="3">
        <v>807.92</v>
      </c>
      <c r="G306" s="17">
        <f t="shared" si="9"/>
        <v>23204.54</v>
      </c>
      <c r="H306" s="17">
        <v>11650</v>
      </c>
      <c r="I306" s="17">
        <f t="shared" si="8"/>
        <v>11554.54</v>
      </c>
      <c r="K306" s="7"/>
    </row>
    <row r="307" spans="1:11" x14ac:dyDescent="0.2">
      <c r="A307" s="15" t="s">
        <v>25</v>
      </c>
      <c r="B307" s="15">
        <v>2396</v>
      </c>
      <c r="C307" s="15">
        <v>1</v>
      </c>
      <c r="D307" s="15" t="s">
        <v>318</v>
      </c>
      <c r="E307" s="3">
        <v>776.64</v>
      </c>
      <c r="G307" s="17">
        <f t="shared" si="9"/>
        <v>22306.14</v>
      </c>
      <c r="H307" s="17">
        <v>11198.12</v>
      </c>
      <c r="I307" s="17">
        <f t="shared" si="8"/>
        <v>11108.019999999999</v>
      </c>
      <c r="K307" s="7"/>
    </row>
    <row r="308" spans="1:11" x14ac:dyDescent="0.2">
      <c r="A308" s="15" t="s">
        <v>25</v>
      </c>
      <c r="B308" s="15">
        <v>2397</v>
      </c>
      <c r="C308" s="15">
        <v>1</v>
      </c>
      <c r="D308" s="15" t="s">
        <v>319</v>
      </c>
      <c r="E308" s="3">
        <v>1073.0999999999999</v>
      </c>
      <c r="G308" s="17">
        <f t="shared" si="9"/>
        <v>30820.86</v>
      </c>
      <c r="H308" s="17">
        <v>15461.72</v>
      </c>
      <c r="I308" s="17">
        <f t="shared" si="8"/>
        <v>15359.140000000001</v>
      </c>
      <c r="K308" s="7"/>
    </row>
    <row r="309" spans="1:11" x14ac:dyDescent="0.2">
      <c r="A309" s="15" t="s">
        <v>25</v>
      </c>
      <c r="B309" s="15">
        <v>2448</v>
      </c>
      <c r="C309" s="15">
        <v>1</v>
      </c>
      <c r="D309" s="15" t="s">
        <v>320</v>
      </c>
      <c r="E309" s="3">
        <v>760.35</v>
      </c>
      <c r="G309" s="17">
        <f t="shared" si="9"/>
        <v>21838.27</v>
      </c>
      <c r="H309" s="17">
        <v>10962.95</v>
      </c>
      <c r="I309" s="17">
        <f t="shared" si="8"/>
        <v>10875.32</v>
      </c>
      <c r="K309" s="7"/>
    </row>
    <row r="310" spans="1:11" x14ac:dyDescent="0.2">
      <c r="A310" s="15" t="s">
        <v>25</v>
      </c>
      <c r="B310" s="15">
        <v>2527</v>
      </c>
      <c r="C310" s="15">
        <v>1</v>
      </c>
      <c r="D310" s="15" t="s">
        <v>321</v>
      </c>
      <c r="E310" s="3">
        <v>281.95999999999998</v>
      </c>
      <c r="G310" s="17">
        <f t="shared" si="9"/>
        <v>8098.27</v>
      </c>
      <c r="H310" s="17">
        <v>4065.49</v>
      </c>
      <c r="I310" s="17">
        <f t="shared" si="8"/>
        <v>4032.7800000000007</v>
      </c>
      <c r="K310" s="7"/>
    </row>
    <row r="311" spans="1:11" x14ac:dyDescent="0.2">
      <c r="A311" s="15" t="s">
        <v>25</v>
      </c>
      <c r="B311" s="15">
        <v>2534</v>
      </c>
      <c r="C311" s="15">
        <v>1</v>
      </c>
      <c r="D311" s="15" t="s">
        <v>322</v>
      </c>
      <c r="E311" s="3">
        <v>693.52</v>
      </c>
      <c r="G311" s="17">
        <f t="shared" si="9"/>
        <v>19918.82</v>
      </c>
      <c r="H311" s="17">
        <v>9999.64</v>
      </c>
      <c r="I311" s="17">
        <f t="shared" si="8"/>
        <v>9919.18</v>
      </c>
      <c r="K311" s="7"/>
    </row>
    <row r="312" spans="1:11" x14ac:dyDescent="0.2">
      <c r="A312" s="15" t="s">
        <v>25</v>
      </c>
      <c r="B312" s="15">
        <v>2536</v>
      </c>
      <c r="C312" s="15">
        <v>1</v>
      </c>
      <c r="D312" s="15" t="s">
        <v>323</v>
      </c>
      <c r="E312" s="3">
        <v>207.73</v>
      </c>
      <c r="G312" s="17">
        <f t="shared" si="9"/>
        <v>5966.28</v>
      </c>
      <c r="H312" s="17">
        <v>2987.26</v>
      </c>
      <c r="I312" s="17">
        <f t="shared" si="8"/>
        <v>2979.0199999999995</v>
      </c>
      <c r="K312" s="7"/>
    </row>
    <row r="313" spans="1:11" x14ac:dyDescent="0.2">
      <c r="A313" s="15" t="s">
        <v>25</v>
      </c>
      <c r="B313" s="15">
        <v>2580</v>
      </c>
      <c r="C313" s="15">
        <v>1</v>
      </c>
      <c r="D313" s="15" t="s">
        <v>324</v>
      </c>
      <c r="E313" s="3">
        <v>760.97</v>
      </c>
      <c r="G313" s="17">
        <f t="shared" si="9"/>
        <v>21856.07</v>
      </c>
      <c r="H313" s="17">
        <v>10967.85</v>
      </c>
      <c r="I313" s="17">
        <f t="shared" si="8"/>
        <v>10888.22</v>
      </c>
      <c r="K313" s="7"/>
    </row>
    <row r="314" spans="1:11" x14ac:dyDescent="0.2">
      <c r="A314" s="15" t="s">
        <v>25</v>
      </c>
      <c r="B314" s="15">
        <v>2609</v>
      </c>
      <c r="C314" s="15">
        <v>1</v>
      </c>
      <c r="D314" s="15" t="s">
        <v>325</v>
      </c>
      <c r="E314" s="3">
        <v>421.54</v>
      </c>
      <c r="G314" s="17">
        <f t="shared" si="9"/>
        <v>12107.19</v>
      </c>
      <c r="H314" s="17">
        <v>6078.05</v>
      </c>
      <c r="I314" s="17">
        <f t="shared" si="8"/>
        <v>6029.14</v>
      </c>
      <c r="K314" s="7"/>
    </row>
    <row r="315" spans="1:11" x14ac:dyDescent="0.2">
      <c r="A315" s="15" t="s">
        <v>25</v>
      </c>
      <c r="B315" s="15">
        <v>2683</v>
      </c>
      <c r="C315" s="15">
        <v>1</v>
      </c>
      <c r="D315" s="15" t="s">
        <v>326</v>
      </c>
      <c r="E315" s="3">
        <v>448.77</v>
      </c>
      <c r="G315" s="17">
        <f t="shared" si="9"/>
        <v>12889.27</v>
      </c>
      <c r="H315" s="17">
        <v>6469.51</v>
      </c>
      <c r="I315" s="17">
        <f t="shared" si="8"/>
        <v>6419.76</v>
      </c>
      <c r="K315" s="7"/>
    </row>
    <row r="316" spans="1:11" x14ac:dyDescent="0.2">
      <c r="A316" s="15" t="s">
        <v>25</v>
      </c>
      <c r="B316" s="15">
        <v>2687</v>
      </c>
      <c r="C316" s="15">
        <v>1</v>
      </c>
      <c r="D316" s="15" t="s">
        <v>327</v>
      </c>
      <c r="E316" s="3">
        <v>1110.73</v>
      </c>
      <c r="G316" s="17">
        <f t="shared" si="9"/>
        <v>31901.65</v>
      </c>
      <c r="H316" s="17">
        <v>16003.72</v>
      </c>
      <c r="I316" s="17">
        <f t="shared" si="8"/>
        <v>15897.930000000002</v>
      </c>
      <c r="K316" s="7"/>
    </row>
    <row r="317" spans="1:11" x14ac:dyDescent="0.2">
      <c r="A317" s="15" t="s">
        <v>25</v>
      </c>
      <c r="B317" s="15">
        <v>2689</v>
      </c>
      <c r="C317" s="15">
        <v>1</v>
      </c>
      <c r="D317" s="15" t="s">
        <v>328</v>
      </c>
      <c r="E317" s="3">
        <v>1137.5999999999999</v>
      </c>
      <c r="G317" s="17">
        <f t="shared" si="9"/>
        <v>32673.39</v>
      </c>
      <c r="H317" s="17">
        <v>16402.68</v>
      </c>
      <c r="I317" s="17">
        <f t="shared" si="8"/>
        <v>16270.71</v>
      </c>
      <c r="K317" s="7"/>
    </row>
    <row r="318" spans="1:11" x14ac:dyDescent="0.2">
      <c r="A318" s="15" t="s">
        <v>25</v>
      </c>
      <c r="B318" s="15">
        <v>2711</v>
      </c>
      <c r="C318" s="15">
        <v>1</v>
      </c>
      <c r="D318" s="15" t="s">
        <v>329</v>
      </c>
      <c r="E318" s="3">
        <v>924.13</v>
      </c>
      <c r="G318" s="17">
        <f t="shared" si="9"/>
        <v>26542.25</v>
      </c>
      <c r="H318" s="17">
        <v>13326.31</v>
      </c>
      <c r="I318" s="17">
        <f t="shared" si="8"/>
        <v>13215.94</v>
      </c>
      <c r="K318" s="7"/>
    </row>
    <row r="319" spans="1:11" x14ac:dyDescent="0.2">
      <c r="A319" s="15" t="s">
        <v>25</v>
      </c>
      <c r="B319" s="15">
        <v>2752</v>
      </c>
      <c r="C319" s="15">
        <v>1</v>
      </c>
      <c r="D319" s="15" t="s">
        <v>330</v>
      </c>
      <c r="E319" s="3">
        <v>1737.41</v>
      </c>
      <c r="G319" s="17">
        <f t="shared" si="9"/>
        <v>49900.73</v>
      </c>
      <c r="H319" s="17">
        <v>24984.67</v>
      </c>
      <c r="I319" s="17">
        <f t="shared" si="8"/>
        <v>24916.060000000005</v>
      </c>
      <c r="K319" s="7"/>
    </row>
    <row r="320" spans="1:11" x14ac:dyDescent="0.2">
      <c r="A320" s="15" t="s">
        <v>25</v>
      </c>
      <c r="B320" s="15">
        <v>2753</v>
      </c>
      <c r="C320" s="15">
        <v>1</v>
      </c>
      <c r="D320" s="15" t="s">
        <v>331</v>
      </c>
      <c r="E320" s="3">
        <v>939.15</v>
      </c>
      <c r="G320" s="17">
        <f t="shared" si="9"/>
        <v>26973.64</v>
      </c>
      <c r="H320" s="17">
        <v>13514.62</v>
      </c>
      <c r="I320" s="17">
        <f t="shared" si="8"/>
        <v>13459.019999999999</v>
      </c>
      <c r="K320" s="7"/>
    </row>
    <row r="321" spans="1:11" x14ac:dyDescent="0.2">
      <c r="A321" s="15" t="s">
        <v>25</v>
      </c>
      <c r="B321" s="15">
        <v>2754</v>
      </c>
      <c r="C321" s="15">
        <v>1</v>
      </c>
      <c r="D321" s="15" t="s">
        <v>332</v>
      </c>
      <c r="E321" s="3">
        <v>513.33000000000004</v>
      </c>
      <c r="G321" s="17">
        <f t="shared" si="9"/>
        <v>14743.52</v>
      </c>
      <c r="H321" s="17">
        <v>7387.55</v>
      </c>
      <c r="I321" s="17">
        <f t="shared" si="8"/>
        <v>7355.97</v>
      </c>
      <c r="K321" s="7"/>
    </row>
    <row r="322" spans="1:11" x14ac:dyDescent="0.2">
      <c r="A322" s="15" t="s">
        <v>25</v>
      </c>
      <c r="B322" s="15">
        <v>2759</v>
      </c>
      <c r="C322" s="15">
        <v>1</v>
      </c>
      <c r="D322" s="15" t="s">
        <v>333</v>
      </c>
      <c r="E322" s="3">
        <v>267.38</v>
      </c>
      <c r="G322" s="17">
        <f t="shared" si="9"/>
        <v>7679.51</v>
      </c>
      <c r="H322" s="17">
        <v>3869.68</v>
      </c>
      <c r="I322" s="17">
        <f t="shared" si="8"/>
        <v>3809.8300000000004</v>
      </c>
      <c r="K322" s="7"/>
    </row>
    <row r="323" spans="1:11" x14ac:dyDescent="0.2">
      <c r="A323" s="15" t="s">
        <v>25</v>
      </c>
      <c r="B323" s="15">
        <v>2769</v>
      </c>
      <c r="C323" s="15">
        <v>1</v>
      </c>
      <c r="D323" s="15" t="s">
        <v>334</v>
      </c>
      <c r="E323" s="3">
        <v>1034.2</v>
      </c>
      <c r="G323" s="17">
        <f t="shared" si="9"/>
        <v>29703.599999999999</v>
      </c>
      <c r="H323" s="17">
        <v>14896.22</v>
      </c>
      <c r="I323" s="17">
        <f t="shared" si="8"/>
        <v>14807.38</v>
      </c>
      <c r="K323" s="7"/>
    </row>
    <row r="324" spans="1:11" x14ac:dyDescent="0.2">
      <c r="A324" s="15" t="s">
        <v>25</v>
      </c>
      <c r="B324" s="15">
        <v>2805</v>
      </c>
      <c r="C324" s="15">
        <v>1</v>
      </c>
      <c r="D324" s="15" t="s">
        <v>335</v>
      </c>
      <c r="E324" s="3">
        <v>1082.99</v>
      </c>
      <c r="G324" s="17">
        <f t="shared" si="9"/>
        <v>31104.92</v>
      </c>
      <c r="H324" s="17">
        <v>15617.15</v>
      </c>
      <c r="I324" s="17">
        <f t="shared" si="8"/>
        <v>15487.769999999999</v>
      </c>
      <c r="K324" s="7"/>
    </row>
    <row r="325" spans="1:11" x14ac:dyDescent="0.2">
      <c r="A325" s="15" t="s">
        <v>25</v>
      </c>
      <c r="B325" s="15">
        <v>2835</v>
      </c>
      <c r="C325" s="15">
        <v>1</v>
      </c>
      <c r="D325" s="15" t="s">
        <v>336</v>
      </c>
      <c r="E325" s="3">
        <v>596.29</v>
      </c>
      <c r="G325" s="17">
        <f t="shared" si="9"/>
        <v>17126.240000000002</v>
      </c>
      <c r="H325" s="17">
        <v>8597.7099999999991</v>
      </c>
      <c r="I325" s="17">
        <f t="shared" si="8"/>
        <v>8528.5300000000025</v>
      </c>
      <c r="K325" s="7"/>
    </row>
    <row r="326" spans="1:11" x14ac:dyDescent="0.2">
      <c r="A326" s="15" t="s">
        <v>25</v>
      </c>
      <c r="B326" s="15">
        <v>2853</v>
      </c>
      <c r="C326" s="15">
        <v>1</v>
      </c>
      <c r="D326" s="15" t="s">
        <v>337</v>
      </c>
      <c r="E326" s="3">
        <v>801.03</v>
      </c>
      <c r="G326" s="17">
        <f t="shared" si="9"/>
        <v>23006.65</v>
      </c>
      <c r="H326" s="17">
        <v>11550.08</v>
      </c>
      <c r="I326" s="17">
        <f t="shared" si="8"/>
        <v>11456.570000000002</v>
      </c>
      <c r="K326" s="7"/>
    </row>
    <row r="327" spans="1:11" x14ac:dyDescent="0.2">
      <c r="A327" s="15" t="s">
        <v>25</v>
      </c>
      <c r="B327" s="15">
        <v>2854</v>
      </c>
      <c r="C327" s="15">
        <v>1</v>
      </c>
      <c r="D327" s="15" t="s">
        <v>338</v>
      </c>
      <c r="E327" s="3">
        <v>493.72</v>
      </c>
      <c r="G327" s="17">
        <f t="shared" si="9"/>
        <v>14180.3</v>
      </c>
      <c r="H327" s="17">
        <v>7118.79</v>
      </c>
      <c r="I327" s="17">
        <f t="shared" si="8"/>
        <v>7061.5099999999993</v>
      </c>
      <c r="K327" s="7"/>
    </row>
    <row r="328" spans="1:11" x14ac:dyDescent="0.2">
      <c r="A328" s="15" t="s">
        <v>25</v>
      </c>
      <c r="B328" s="15">
        <v>2856</v>
      </c>
      <c r="C328" s="15">
        <v>1</v>
      </c>
      <c r="D328" s="15" t="s">
        <v>339</v>
      </c>
      <c r="E328" s="3">
        <v>320.7</v>
      </c>
      <c r="G328" s="17">
        <f t="shared" si="9"/>
        <v>9210.93</v>
      </c>
      <c r="H328" s="17">
        <v>4624.07</v>
      </c>
      <c r="I328" s="17">
        <f t="shared" si="8"/>
        <v>4586.8600000000006</v>
      </c>
      <c r="K328" s="7"/>
    </row>
    <row r="329" spans="1:11" x14ac:dyDescent="0.2">
      <c r="A329" s="15" t="s">
        <v>25</v>
      </c>
      <c r="B329" s="15">
        <v>2859</v>
      </c>
      <c r="C329" s="15">
        <v>1</v>
      </c>
      <c r="D329" s="15" t="s">
        <v>340</v>
      </c>
      <c r="E329" s="3">
        <v>1634.11</v>
      </c>
      <c r="G329" s="17">
        <f t="shared" si="9"/>
        <v>46933.82</v>
      </c>
      <c r="H329" s="17">
        <v>23561.26</v>
      </c>
      <c r="I329" s="17">
        <f t="shared" si="8"/>
        <v>23372.560000000001</v>
      </c>
      <c r="K329" s="7"/>
    </row>
    <row r="330" spans="1:11" x14ac:dyDescent="0.2">
      <c r="A330" s="15" t="s">
        <v>25</v>
      </c>
      <c r="B330" s="15">
        <v>2860</v>
      </c>
      <c r="C330" s="15">
        <v>1</v>
      </c>
      <c r="D330" s="15" t="s">
        <v>341</v>
      </c>
      <c r="E330" s="3">
        <v>1233.74</v>
      </c>
      <c r="G330" s="17">
        <f t="shared" si="9"/>
        <v>35434.660000000003</v>
      </c>
      <c r="H330" s="17">
        <v>17787.45</v>
      </c>
      <c r="I330" s="17">
        <f t="shared" si="8"/>
        <v>17647.210000000003</v>
      </c>
      <c r="K330" s="7"/>
    </row>
    <row r="331" spans="1:11" x14ac:dyDescent="0.2">
      <c r="A331" s="15" t="s">
        <v>25</v>
      </c>
      <c r="B331" s="15">
        <v>2884</v>
      </c>
      <c r="C331" s="15">
        <v>1</v>
      </c>
      <c r="D331" s="15" t="s">
        <v>342</v>
      </c>
      <c r="E331" s="3">
        <v>413.99</v>
      </c>
      <c r="G331" s="17">
        <f t="shared" si="9"/>
        <v>11890.34</v>
      </c>
      <c r="H331" s="17">
        <v>5954.77</v>
      </c>
      <c r="I331" s="17">
        <f t="shared" si="8"/>
        <v>5935.57</v>
      </c>
      <c r="K331" s="7"/>
    </row>
    <row r="332" spans="1:11" x14ac:dyDescent="0.2">
      <c r="A332" s="15" t="s">
        <v>25</v>
      </c>
      <c r="B332" s="15">
        <v>2886</v>
      </c>
      <c r="C332" s="15">
        <v>1</v>
      </c>
      <c r="D332" s="15" t="s">
        <v>343</v>
      </c>
      <c r="E332" s="3">
        <v>361.25</v>
      </c>
      <c r="G332" s="17">
        <f t="shared" si="9"/>
        <v>10375.58</v>
      </c>
      <c r="H332" s="17">
        <v>5208.75</v>
      </c>
      <c r="I332" s="17">
        <f t="shared" si="8"/>
        <v>5166.83</v>
      </c>
      <c r="K332" s="7"/>
    </row>
    <row r="333" spans="1:11" x14ac:dyDescent="0.2">
      <c r="A333" s="15" t="s">
        <v>25</v>
      </c>
      <c r="B333" s="15">
        <v>2888</v>
      </c>
      <c r="C333" s="15">
        <v>1</v>
      </c>
      <c r="D333" s="15" t="s">
        <v>344</v>
      </c>
      <c r="E333" s="3">
        <v>353.7</v>
      </c>
      <c r="G333" s="17">
        <f t="shared" si="9"/>
        <v>10158.74</v>
      </c>
      <c r="H333" s="17">
        <v>5040.33</v>
      </c>
      <c r="I333" s="17">
        <f t="shared" si="8"/>
        <v>5118.41</v>
      </c>
      <c r="K333" s="7"/>
    </row>
    <row r="334" spans="1:11" x14ac:dyDescent="0.2">
      <c r="A334" s="15" t="s">
        <v>25</v>
      </c>
      <c r="B334" s="15">
        <v>2889</v>
      </c>
      <c r="C334" s="15">
        <v>1</v>
      </c>
      <c r="D334" s="15" t="s">
        <v>345</v>
      </c>
      <c r="E334" s="3">
        <v>683.54</v>
      </c>
      <c r="G334" s="17">
        <f t="shared" si="9"/>
        <v>19632.18</v>
      </c>
      <c r="H334" s="17">
        <v>9843.19</v>
      </c>
      <c r="I334" s="17">
        <f t="shared" si="8"/>
        <v>9788.99</v>
      </c>
      <c r="K334" s="7"/>
    </row>
    <row r="335" spans="1:11" x14ac:dyDescent="0.2">
      <c r="A335" s="15" t="s">
        <v>25</v>
      </c>
      <c r="B335" s="15">
        <v>2890</v>
      </c>
      <c r="C335" s="15">
        <v>1</v>
      </c>
      <c r="D335" s="15" t="s">
        <v>346</v>
      </c>
      <c r="E335" s="3">
        <v>501.23</v>
      </c>
      <c r="G335" s="17">
        <f t="shared" si="9"/>
        <v>14395.99</v>
      </c>
      <c r="H335" s="17">
        <v>7227.07</v>
      </c>
      <c r="I335" s="17">
        <f t="shared" ref="I335:I351" si="10">G335-H335</f>
        <v>7168.92</v>
      </c>
      <c r="K335" s="7"/>
    </row>
    <row r="336" spans="1:11" x14ac:dyDescent="0.2">
      <c r="A336" s="15" t="s">
        <v>25</v>
      </c>
      <c r="B336" s="15">
        <v>2895</v>
      </c>
      <c r="C336" s="15">
        <v>1</v>
      </c>
      <c r="D336" s="15" t="s">
        <v>347</v>
      </c>
      <c r="E336" s="3">
        <v>1224.7</v>
      </c>
      <c r="G336" s="17">
        <f t="shared" ref="G336:G399" si="11">ROUND(E336*$G$6,2)</f>
        <v>35175.019999999997</v>
      </c>
      <c r="H336" s="17">
        <v>17660.28</v>
      </c>
      <c r="I336" s="17">
        <f t="shared" si="10"/>
        <v>17514.739999999998</v>
      </c>
      <c r="K336" s="7"/>
    </row>
    <row r="337" spans="1:11" x14ac:dyDescent="0.2">
      <c r="A337" s="15" t="s">
        <v>25</v>
      </c>
      <c r="B337" s="15">
        <v>2897</v>
      </c>
      <c r="C337" s="15">
        <v>1</v>
      </c>
      <c r="D337" s="15" t="s">
        <v>348</v>
      </c>
      <c r="E337" s="3">
        <v>1098.25</v>
      </c>
      <c r="G337" s="17">
        <f t="shared" si="11"/>
        <v>31543.200000000001</v>
      </c>
      <c r="H337" s="17">
        <v>15834.87</v>
      </c>
      <c r="I337" s="17">
        <f t="shared" si="10"/>
        <v>15708.33</v>
      </c>
      <c r="K337" s="7"/>
    </row>
    <row r="338" spans="1:11" x14ac:dyDescent="0.2">
      <c r="A338" s="15" t="s">
        <v>25</v>
      </c>
      <c r="B338" s="15">
        <v>2898</v>
      </c>
      <c r="C338" s="15">
        <v>1</v>
      </c>
      <c r="D338" s="15" t="s">
        <v>349</v>
      </c>
      <c r="E338" s="3">
        <v>425.45</v>
      </c>
      <c r="G338" s="17">
        <f t="shared" si="11"/>
        <v>12219.49</v>
      </c>
      <c r="H338" s="17">
        <v>6143.94</v>
      </c>
      <c r="I338" s="17">
        <f t="shared" si="10"/>
        <v>6075.55</v>
      </c>
      <c r="K338" s="7"/>
    </row>
    <row r="339" spans="1:11" x14ac:dyDescent="0.2">
      <c r="A339" s="15" t="s">
        <v>25</v>
      </c>
      <c r="B339" s="15">
        <v>2899</v>
      </c>
      <c r="C339" s="15">
        <v>1</v>
      </c>
      <c r="D339" s="15" t="s">
        <v>350</v>
      </c>
      <c r="E339" s="3">
        <v>1471.69</v>
      </c>
      <c r="G339" s="17">
        <f t="shared" si="11"/>
        <v>42268.9</v>
      </c>
      <c r="H339" s="17">
        <v>21221.98</v>
      </c>
      <c r="I339" s="17">
        <f t="shared" si="10"/>
        <v>21046.920000000002</v>
      </c>
      <c r="K339" s="7"/>
    </row>
    <row r="340" spans="1:11" x14ac:dyDescent="0.2">
      <c r="A340" s="15" t="s">
        <v>25</v>
      </c>
      <c r="B340" s="15">
        <v>2902</v>
      </c>
      <c r="C340" s="15">
        <v>1</v>
      </c>
      <c r="D340" s="15" t="s">
        <v>351</v>
      </c>
      <c r="E340" s="3">
        <v>548.32000000000005</v>
      </c>
      <c r="G340" s="17">
        <f t="shared" si="11"/>
        <v>15748.48</v>
      </c>
      <c r="H340" s="17">
        <v>7906.62</v>
      </c>
      <c r="I340" s="17">
        <f t="shared" si="10"/>
        <v>7841.86</v>
      </c>
      <c r="K340" s="7"/>
    </row>
    <row r="341" spans="1:11" x14ac:dyDescent="0.2">
      <c r="A341" s="15" t="s">
        <v>25</v>
      </c>
      <c r="B341" s="15">
        <v>2903</v>
      </c>
      <c r="C341" s="15">
        <v>1</v>
      </c>
      <c r="D341" s="15" t="s">
        <v>352</v>
      </c>
      <c r="E341" s="3">
        <v>481.97</v>
      </c>
      <c r="G341" s="17">
        <f t="shared" si="11"/>
        <v>13842.82</v>
      </c>
      <c r="H341" s="17">
        <v>6949.22</v>
      </c>
      <c r="I341" s="17">
        <f t="shared" si="10"/>
        <v>6893.5999999999995</v>
      </c>
      <c r="K341" s="7"/>
    </row>
    <row r="342" spans="1:11" x14ac:dyDescent="0.2">
      <c r="A342" s="15" t="s">
        <v>25</v>
      </c>
      <c r="B342" s="15">
        <v>2904</v>
      </c>
      <c r="C342" s="15">
        <v>1</v>
      </c>
      <c r="D342" s="15" t="s">
        <v>353</v>
      </c>
      <c r="E342" s="3">
        <v>755.96</v>
      </c>
      <c r="G342" s="17">
        <f t="shared" si="11"/>
        <v>21712.18</v>
      </c>
      <c r="H342" s="17">
        <v>10890.42</v>
      </c>
      <c r="I342" s="17">
        <f t="shared" si="10"/>
        <v>10821.76</v>
      </c>
      <c r="K342" s="7"/>
    </row>
    <row r="343" spans="1:11" x14ac:dyDescent="0.2">
      <c r="A343" s="15" t="s">
        <v>25</v>
      </c>
      <c r="B343" s="15">
        <v>2905</v>
      </c>
      <c r="C343" s="15">
        <v>1</v>
      </c>
      <c r="D343" s="15" t="s">
        <v>354</v>
      </c>
      <c r="E343" s="3">
        <v>1789.31</v>
      </c>
      <c r="G343" s="17">
        <f t="shared" si="11"/>
        <v>51391.37</v>
      </c>
      <c r="H343" s="17">
        <v>25807.84</v>
      </c>
      <c r="I343" s="17">
        <f t="shared" si="10"/>
        <v>25583.530000000002</v>
      </c>
      <c r="K343" s="7"/>
    </row>
    <row r="344" spans="1:11" x14ac:dyDescent="0.2">
      <c r="A344" s="15" t="s">
        <v>25</v>
      </c>
      <c r="B344" s="15">
        <v>2906</v>
      </c>
      <c r="C344" s="15">
        <v>1</v>
      </c>
      <c r="D344" s="15" t="s">
        <v>355</v>
      </c>
      <c r="E344" s="3">
        <v>377.97</v>
      </c>
      <c r="G344" s="17">
        <f t="shared" si="11"/>
        <v>10855.8</v>
      </c>
      <c r="H344" s="17">
        <v>5449.83</v>
      </c>
      <c r="I344" s="17">
        <f t="shared" si="10"/>
        <v>5405.9699999999993</v>
      </c>
      <c r="K344" s="7"/>
    </row>
    <row r="345" spans="1:11" x14ac:dyDescent="0.2">
      <c r="A345" s="15" t="s">
        <v>25</v>
      </c>
      <c r="B345" s="15">
        <v>2907</v>
      </c>
      <c r="C345" s="15">
        <v>1</v>
      </c>
      <c r="D345" s="15" t="s">
        <v>356</v>
      </c>
      <c r="E345" s="3">
        <v>443.6</v>
      </c>
      <c r="G345" s="17">
        <f t="shared" si="11"/>
        <v>12740.78</v>
      </c>
      <c r="H345" s="17">
        <v>3395.74</v>
      </c>
      <c r="I345" s="17">
        <f t="shared" si="10"/>
        <v>9345.0400000000009</v>
      </c>
      <c r="K345" s="7"/>
    </row>
    <row r="346" spans="1:11" x14ac:dyDescent="0.2">
      <c r="A346" s="15" t="s">
        <v>25</v>
      </c>
      <c r="B346" s="15">
        <v>2908</v>
      </c>
      <c r="C346" s="15">
        <v>1</v>
      </c>
      <c r="D346" s="15" t="s">
        <v>357</v>
      </c>
      <c r="E346" s="3">
        <v>235.51</v>
      </c>
      <c r="G346" s="17">
        <f t="shared" si="11"/>
        <v>6764.16</v>
      </c>
      <c r="H346" s="17">
        <v>6373.92</v>
      </c>
      <c r="I346" s="17">
        <f t="shared" si="10"/>
        <v>390.23999999999978</v>
      </c>
      <c r="K346" s="7"/>
    </row>
    <row r="347" spans="1:11" x14ac:dyDescent="0.2">
      <c r="A347" s="15" t="s">
        <v>25</v>
      </c>
      <c r="B347" s="15">
        <v>4000</v>
      </c>
      <c r="C347" s="15">
        <v>7</v>
      </c>
      <c r="D347" s="15" t="s">
        <v>358</v>
      </c>
      <c r="E347" s="3">
        <v>129.41</v>
      </c>
      <c r="G347" s="17">
        <f t="shared" si="11"/>
        <v>3716.83</v>
      </c>
      <c r="H347" s="17">
        <v>1865.92</v>
      </c>
      <c r="I347" s="17">
        <f t="shared" si="10"/>
        <v>1850.9099999999999</v>
      </c>
      <c r="K347" s="7"/>
    </row>
    <row r="348" spans="1:11" x14ac:dyDescent="0.2">
      <c r="A348" s="15" t="s">
        <v>25</v>
      </c>
      <c r="B348" s="15">
        <v>4001</v>
      </c>
      <c r="C348" s="15">
        <v>7</v>
      </c>
      <c r="D348" s="15" t="s">
        <v>359</v>
      </c>
      <c r="E348" s="3">
        <v>208.29</v>
      </c>
      <c r="G348" s="17">
        <f t="shared" si="11"/>
        <v>5982.37</v>
      </c>
      <c r="H348" s="17">
        <v>3003.27</v>
      </c>
      <c r="I348" s="17">
        <f t="shared" si="10"/>
        <v>2979.1</v>
      </c>
      <c r="K348" s="7"/>
    </row>
    <row r="349" spans="1:11" x14ac:dyDescent="0.2">
      <c r="A349" s="15" t="s">
        <v>25</v>
      </c>
      <c r="B349" s="15">
        <v>4003</v>
      </c>
      <c r="C349" s="15">
        <v>7</v>
      </c>
      <c r="D349" s="15" t="s">
        <v>360</v>
      </c>
      <c r="E349" s="3">
        <v>113.28</v>
      </c>
      <c r="G349" s="17">
        <f t="shared" si="11"/>
        <v>3253.55</v>
      </c>
      <c r="H349" s="17">
        <v>1633.35</v>
      </c>
      <c r="I349" s="17">
        <f t="shared" si="10"/>
        <v>1620.2000000000003</v>
      </c>
      <c r="K349" s="7"/>
    </row>
    <row r="350" spans="1:11" x14ac:dyDescent="0.2">
      <c r="A350" s="15" t="s">
        <v>25</v>
      </c>
      <c r="B350" s="15">
        <v>4004</v>
      </c>
      <c r="C350" s="15">
        <v>7</v>
      </c>
      <c r="D350" s="15" t="s">
        <v>361</v>
      </c>
      <c r="E350" s="3">
        <v>150.61000000000001</v>
      </c>
      <c r="G350" s="17">
        <f t="shared" si="11"/>
        <v>4325.72</v>
      </c>
      <c r="H350" s="17">
        <v>2174.77</v>
      </c>
      <c r="I350" s="17">
        <f t="shared" si="10"/>
        <v>2150.9500000000003</v>
      </c>
      <c r="K350" s="7"/>
    </row>
    <row r="351" spans="1:11" x14ac:dyDescent="0.2">
      <c r="A351" s="15" t="s">
        <v>25</v>
      </c>
      <c r="B351" s="15">
        <v>4005</v>
      </c>
      <c r="C351" s="15">
        <v>7</v>
      </c>
      <c r="D351" s="15" t="s">
        <v>362</v>
      </c>
      <c r="E351" s="3">
        <v>14.42</v>
      </c>
      <c r="G351" s="17">
        <f t="shared" si="11"/>
        <v>414.16</v>
      </c>
      <c r="H351" s="17">
        <v>207.92</v>
      </c>
      <c r="I351" s="17">
        <f t="shared" si="10"/>
        <v>206.24000000000004</v>
      </c>
      <c r="K351" s="7"/>
    </row>
    <row r="352" spans="1:11" x14ac:dyDescent="0.2">
      <c r="A352" s="19" t="s">
        <v>25</v>
      </c>
      <c r="B352" s="19">
        <v>4007</v>
      </c>
      <c r="C352" s="19">
        <v>7</v>
      </c>
      <c r="D352" s="19" t="s">
        <v>363</v>
      </c>
      <c r="E352" s="3">
        <v>110.24</v>
      </c>
      <c r="G352" s="17">
        <f t="shared" si="11"/>
        <v>3166.24</v>
      </c>
      <c r="H352" s="17">
        <v>1589.51</v>
      </c>
      <c r="I352" s="17">
        <f>G352-H352</f>
        <v>1576.7299999999998</v>
      </c>
      <c r="K352" s="7"/>
    </row>
    <row r="353" spans="1:11" x14ac:dyDescent="0.2">
      <c r="A353" s="15" t="s">
        <v>25</v>
      </c>
      <c r="B353" s="15">
        <v>4008</v>
      </c>
      <c r="C353" s="15">
        <v>7</v>
      </c>
      <c r="D353" s="15" t="s">
        <v>364</v>
      </c>
      <c r="E353" s="3">
        <v>625.45000000000005</v>
      </c>
      <c r="G353" s="17">
        <f t="shared" si="11"/>
        <v>17963.759999999998</v>
      </c>
      <c r="H353" s="17">
        <v>9023.2000000000007</v>
      </c>
      <c r="I353" s="17">
        <f t="shared" ref="I353:I416" si="12">G353-H353</f>
        <v>8940.5599999999977</v>
      </c>
      <c r="K353" s="7"/>
    </row>
    <row r="354" spans="1:11" x14ac:dyDescent="0.2">
      <c r="A354" s="15" t="s">
        <v>25</v>
      </c>
      <c r="B354" s="15">
        <v>4011</v>
      </c>
      <c r="C354" s="15">
        <v>7</v>
      </c>
      <c r="D354" s="15" t="s">
        <v>365</v>
      </c>
      <c r="E354" s="3">
        <v>203.77</v>
      </c>
      <c r="G354" s="17">
        <f t="shared" si="11"/>
        <v>5852.55</v>
      </c>
      <c r="H354" s="17">
        <v>2940.83</v>
      </c>
      <c r="I354" s="17">
        <f t="shared" si="12"/>
        <v>2911.7200000000003</v>
      </c>
      <c r="K354" s="7"/>
    </row>
    <row r="355" spans="1:11" x14ac:dyDescent="0.2">
      <c r="A355" s="15" t="s">
        <v>25</v>
      </c>
      <c r="B355" s="15">
        <v>4015</v>
      </c>
      <c r="C355" s="15">
        <v>7</v>
      </c>
      <c r="D355" s="15" t="s">
        <v>366</v>
      </c>
      <c r="E355" s="3">
        <v>753.6</v>
      </c>
      <c r="G355" s="17">
        <f t="shared" si="11"/>
        <v>21644.400000000001</v>
      </c>
      <c r="H355" s="17">
        <v>10865.91</v>
      </c>
      <c r="I355" s="17">
        <f t="shared" si="12"/>
        <v>10778.490000000002</v>
      </c>
      <c r="K355" s="7"/>
    </row>
    <row r="356" spans="1:11" x14ac:dyDescent="0.2">
      <c r="A356" s="15" t="s">
        <v>25</v>
      </c>
      <c r="B356" s="15">
        <v>4016</v>
      </c>
      <c r="C356" s="15">
        <v>7</v>
      </c>
      <c r="D356" s="15" t="s">
        <v>367</v>
      </c>
      <c r="E356" s="3">
        <v>202.88</v>
      </c>
      <c r="G356" s="17">
        <f t="shared" si="11"/>
        <v>5826.98</v>
      </c>
      <c r="H356" s="17">
        <v>2925.26</v>
      </c>
      <c r="I356" s="17">
        <f t="shared" si="12"/>
        <v>2901.7199999999993</v>
      </c>
      <c r="K356" s="7"/>
    </row>
    <row r="357" spans="1:11" x14ac:dyDescent="0.2">
      <c r="A357" s="15" t="s">
        <v>25</v>
      </c>
      <c r="B357" s="15">
        <v>4017</v>
      </c>
      <c r="C357" s="15">
        <v>7</v>
      </c>
      <c r="D357" s="15" t="s">
        <v>368</v>
      </c>
      <c r="E357" s="3">
        <v>2749.24</v>
      </c>
      <c r="G357" s="17">
        <f t="shared" si="11"/>
        <v>78961.84</v>
      </c>
      <c r="H357" s="17">
        <v>39596.699999999997</v>
      </c>
      <c r="I357" s="17">
        <f t="shared" si="12"/>
        <v>39365.14</v>
      </c>
      <c r="K357" s="7"/>
    </row>
    <row r="358" spans="1:11" x14ac:dyDescent="0.2">
      <c r="A358" s="15" t="s">
        <v>25</v>
      </c>
      <c r="B358" s="15">
        <v>4018</v>
      </c>
      <c r="C358" s="15">
        <v>7</v>
      </c>
      <c r="D358" s="15" t="s">
        <v>369</v>
      </c>
      <c r="E358" s="3">
        <v>402.25</v>
      </c>
      <c r="G358" s="17">
        <f t="shared" si="11"/>
        <v>11553.16</v>
      </c>
      <c r="H358" s="17">
        <v>5598.91</v>
      </c>
      <c r="I358" s="17">
        <f t="shared" si="12"/>
        <v>5954.25</v>
      </c>
      <c r="K358" s="7"/>
    </row>
    <row r="359" spans="1:11" x14ac:dyDescent="0.2">
      <c r="A359" s="15" t="s">
        <v>25</v>
      </c>
      <c r="B359" s="15">
        <v>4020</v>
      </c>
      <c r="C359" s="15">
        <v>7</v>
      </c>
      <c r="D359" s="15" t="s">
        <v>370</v>
      </c>
      <c r="E359" s="3">
        <v>1254.1099999999999</v>
      </c>
      <c r="G359" s="17">
        <f t="shared" si="11"/>
        <v>36019.71</v>
      </c>
      <c r="H359" s="17">
        <v>18082.599999999999</v>
      </c>
      <c r="I359" s="17">
        <f t="shared" si="12"/>
        <v>17937.11</v>
      </c>
      <c r="K359" s="7"/>
    </row>
    <row r="360" spans="1:11" x14ac:dyDescent="0.2">
      <c r="A360" s="15" t="s">
        <v>25</v>
      </c>
      <c r="B360" s="15">
        <v>4025</v>
      </c>
      <c r="C360" s="15">
        <v>7</v>
      </c>
      <c r="D360" s="15" t="s">
        <v>371</v>
      </c>
      <c r="E360" s="3">
        <v>154.93</v>
      </c>
      <c r="G360" s="17">
        <f t="shared" si="11"/>
        <v>4449.8</v>
      </c>
      <c r="H360" s="17">
        <v>2233.7399999999998</v>
      </c>
      <c r="I360" s="17">
        <f t="shared" si="12"/>
        <v>2216.0600000000004</v>
      </c>
      <c r="K360" s="7"/>
    </row>
    <row r="361" spans="1:11" x14ac:dyDescent="0.2">
      <c r="A361" s="15" t="s">
        <v>25</v>
      </c>
      <c r="B361" s="15">
        <v>4026</v>
      </c>
      <c r="C361" s="15">
        <v>7</v>
      </c>
      <c r="D361" s="15" t="s">
        <v>372</v>
      </c>
      <c r="E361" s="3">
        <v>156.54</v>
      </c>
      <c r="G361" s="17">
        <f t="shared" si="11"/>
        <v>4496.04</v>
      </c>
      <c r="H361" s="17">
        <v>2257.1</v>
      </c>
      <c r="I361" s="17">
        <f t="shared" si="12"/>
        <v>2238.94</v>
      </c>
      <c r="K361" s="7"/>
    </row>
    <row r="362" spans="1:11" x14ac:dyDescent="0.2">
      <c r="A362" s="15" t="s">
        <v>25</v>
      </c>
      <c r="B362" s="15">
        <v>4027</v>
      </c>
      <c r="C362" s="15">
        <v>7</v>
      </c>
      <c r="D362" s="15" t="s">
        <v>373</v>
      </c>
      <c r="E362" s="3">
        <v>726.09</v>
      </c>
      <c r="G362" s="17">
        <f t="shared" si="11"/>
        <v>20854.27</v>
      </c>
      <c r="H362" s="17">
        <v>10469.25</v>
      </c>
      <c r="I362" s="17">
        <f t="shared" si="12"/>
        <v>10385.02</v>
      </c>
      <c r="K362" s="7"/>
    </row>
    <row r="363" spans="1:11" x14ac:dyDescent="0.2">
      <c r="A363" s="15" t="s">
        <v>25</v>
      </c>
      <c r="B363" s="15">
        <v>4029</v>
      </c>
      <c r="C363" s="15">
        <v>7</v>
      </c>
      <c r="D363" s="15" t="s">
        <v>374</v>
      </c>
      <c r="E363" s="3">
        <v>347.06</v>
      </c>
      <c r="G363" s="17">
        <f t="shared" si="11"/>
        <v>9968.0300000000007</v>
      </c>
      <c r="H363" s="17">
        <v>5005.4399999999996</v>
      </c>
      <c r="I363" s="17">
        <f t="shared" si="12"/>
        <v>4962.5900000000011</v>
      </c>
      <c r="K363" s="7"/>
    </row>
    <row r="364" spans="1:11" x14ac:dyDescent="0.2">
      <c r="A364" s="15" t="s">
        <v>25</v>
      </c>
      <c r="B364" s="15">
        <v>4030</v>
      </c>
      <c r="C364" s="15">
        <v>7</v>
      </c>
      <c r="D364" s="15" t="s">
        <v>375</v>
      </c>
      <c r="E364" s="3">
        <v>277.14999999999998</v>
      </c>
      <c r="G364" s="17">
        <f t="shared" si="11"/>
        <v>7960.12</v>
      </c>
      <c r="H364" s="17">
        <v>4010.41</v>
      </c>
      <c r="I364" s="17">
        <f t="shared" si="12"/>
        <v>3949.71</v>
      </c>
      <c r="K364" s="7"/>
    </row>
    <row r="365" spans="1:11" x14ac:dyDescent="0.2">
      <c r="A365" s="15" t="s">
        <v>25</v>
      </c>
      <c r="B365" s="15">
        <v>4031</v>
      </c>
      <c r="C365" s="15">
        <v>7</v>
      </c>
      <c r="D365" s="15" t="s">
        <v>376</v>
      </c>
      <c r="E365" s="3">
        <v>62.61</v>
      </c>
      <c r="G365" s="17">
        <f t="shared" si="11"/>
        <v>1798.24</v>
      </c>
      <c r="H365" s="17">
        <v>930.15</v>
      </c>
      <c r="I365" s="17">
        <f t="shared" si="12"/>
        <v>868.09</v>
      </c>
      <c r="K365" s="7"/>
    </row>
    <row r="366" spans="1:11" x14ac:dyDescent="0.2">
      <c r="A366" s="15" t="s">
        <v>25</v>
      </c>
      <c r="B366" s="15">
        <v>4032</v>
      </c>
      <c r="C366" s="15">
        <v>7</v>
      </c>
      <c r="D366" s="15" t="s">
        <v>377</v>
      </c>
      <c r="E366" s="3">
        <v>434.34</v>
      </c>
      <c r="G366" s="17">
        <f t="shared" si="11"/>
        <v>12474.82</v>
      </c>
      <c r="H366" s="17">
        <v>6266.5</v>
      </c>
      <c r="I366" s="17">
        <f t="shared" si="12"/>
        <v>6208.32</v>
      </c>
      <c r="K366" s="7"/>
    </row>
    <row r="367" spans="1:11" x14ac:dyDescent="0.2">
      <c r="A367" s="15" t="s">
        <v>25</v>
      </c>
      <c r="B367" s="15">
        <v>4035</v>
      </c>
      <c r="C367" s="15">
        <v>7</v>
      </c>
      <c r="D367" s="15" t="s">
        <v>378</v>
      </c>
      <c r="E367" s="3">
        <v>361.22</v>
      </c>
      <c r="G367" s="17">
        <f t="shared" si="11"/>
        <v>10374.719999999999</v>
      </c>
      <c r="H367" s="17">
        <v>5205.8599999999997</v>
      </c>
      <c r="I367" s="17">
        <f t="shared" si="12"/>
        <v>5168.8599999999997</v>
      </c>
      <c r="K367" s="7"/>
    </row>
    <row r="368" spans="1:11" x14ac:dyDescent="0.2">
      <c r="A368" s="15" t="s">
        <v>25</v>
      </c>
      <c r="B368" s="15">
        <v>4036</v>
      </c>
      <c r="C368" s="15">
        <v>7</v>
      </c>
      <c r="D368" s="15" t="s">
        <v>379</v>
      </c>
      <c r="E368" s="3">
        <v>68.05</v>
      </c>
      <c r="G368" s="17">
        <f t="shared" si="11"/>
        <v>1954.49</v>
      </c>
      <c r="H368" s="17">
        <v>981.19</v>
      </c>
      <c r="I368" s="17">
        <f t="shared" si="12"/>
        <v>973.3</v>
      </c>
      <c r="K368" s="7"/>
    </row>
    <row r="369" spans="1:11" x14ac:dyDescent="0.2">
      <c r="A369" s="15" t="s">
        <v>25</v>
      </c>
      <c r="B369" s="15">
        <v>4038</v>
      </c>
      <c r="C369" s="15">
        <v>7</v>
      </c>
      <c r="D369" s="15" t="s">
        <v>380</v>
      </c>
      <c r="E369" s="3">
        <v>387.21</v>
      </c>
      <c r="G369" s="17">
        <f t="shared" si="11"/>
        <v>11121.19</v>
      </c>
      <c r="H369" s="17">
        <v>5577.72</v>
      </c>
      <c r="I369" s="17">
        <f t="shared" si="12"/>
        <v>5543.47</v>
      </c>
      <c r="K369" s="7"/>
    </row>
    <row r="370" spans="1:11" x14ac:dyDescent="0.2">
      <c r="A370" s="15" t="s">
        <v>25</v>
      </c>
      <c r="B370" s="15">
        <v>4039</v>
      </c>
      <c r="C370" s="15">
        <v>7</v>
      </c>
      <c r="D370" s="15" t="s">
        <v>381</v>
      </c>
      <c r="E370" s="3">
        <v>200.67</v>
      </c>
      <c r="G370" s="17">
        <f t="shared" si="11"/>
        <v>5763.51</v>
      </c>
      <c r="H370" s="17">
        <v>2855.47</v>
      </c>
      <c r="I370" s="17">
        <f t="shared" si="12"/>
        <v>2908.0400000000004</v>
      </c>
      <c r="K370" s="7"/>
    </row>
    <row r="371" spans="1:11" x14ac:dyDescent="0.2">
      <c r="A371" s="15" t="s">
        <v>25</v>
      </c>
      <c r="B371" s="15">
        <v>4042</v>
      </c>
      <c r="C371" s="15">
        <v>7</v>
      </c>
      <c r="D371" s="15" t="s">
        <v>382</v>
      </c>
      <c r="E371" s="3">
        <v>196.26</v>
      </c>
      <c r="G371" s="17">
        <f t="shared" si="11"/>
        <v>5636.85</v>
      </c>
      <c r="H371" s="17">
        <v>2821.73</v>
      </c>
      <c r="I371" s="17">
        <f t="shared" si="12"/>
        <v>2815.1200000000003</v>
      </c>
      <c r="K371" s="7"/>
    </row>
    <row r="372" spans="1:11" x14ac:dyDescent="0.2">
      <c r="A372" s="15" t="s">
        <v>25</v>
      </c>
      <c r="B372" s="15">
        <v>4043</v>
      </c>
      <c r="C372" s="15">
        <v>7</v>
      </c>
      <c r="D372" s="15" t="s">
        <v>383</v>
      </c>
      <c r="E372" s="3">
        <v>382.47</v>
      </c>
      <c r="G372" s="17">
        <f t="shared" si="11"/>
        <v>10985.05</v>
      </c>
      <c r="H372" s="17">
        <v>5509.23</v>
      </c>
      <c r="I372" s="17">
        <f t="shared" si="12"/>
        <v>5475.82</v>
      </c>
      <c r="K372" s="7"/>
    </row>
    <row r="373" spans="1:11" x14ac:dyDescent="0.2">
      <c r="A373" s="15" t="s">
        <v>25</v>
      </c>
      <c r="B373" s="15">
        <v>4049</v>
      </c>
      <c r="C373" s="15">
        <v>7</v>
      </c>
      <c r="D373" s="15" t="s">
        <v>384</v>
      </c>
      <c r="E373" s="3">
        <v>125.65</v>
      </c>
      <c r="G373" s="17">
        <f t="shared" si="11"/>
        <v>3608.84</v>
      </c>
      <c r="H373" s="17">
        <v>1797.29</v>
      </c>
      <c r="I373" s="17">
        <f t="shared" si="12"/>
        <v>1811.5500000000002</v>
      </c>
      <c r="K373" s="7"/>
    </row>
    <row r="374" spans="1:11" x14ac:dyDescent="0.2">
      <c r="A374" s="15" t="s">
        <v>25</v>
      </c>
      <c r="B374" s="15">
        <v>4050</v>
      </c>
      <c r="C374" s="15">
        <v>7</v>
      </c>
      <c r="D374" s="15" t="s">
        <v>385</v>
      </c>
      <c r="E374" s="3">
        <v>100.51</v>
      </c>
      <c r="G374" s="17">
        <f t="shared" si="11"/>
        <v>2886.78</v>
      </c>
      <c r="H374" s="17">
        <v>1449.22</v>
      </c>
      <c r="I374" s="17">
        <f t="shared" si="12"/>
        <v>1437.5600000000002</v>
      </c>
      <c r="K374" s="7"/>
    </row>
    <row r="375" spans="1:11" x14ac:dyDescent="0.2">
      <c r="A375" s="15" t="s">
        <v>25</v>
      </c>
      <c r="B375" s="15">
        <v>4053</v>
      </c>
      <c r="C375" s="15">
        <v>7</v>
      </c>
      <c r="D375" s="15" t="s">
        <v>386</v>
      </c>
      <c r="E375" s="3">
        <v>354.21</v>
      </c>
      <c r="G375" s="17">
        <f t="shared" si="11"/>
        <v>10173.379999999999</v>
      </c>
      <c r="H375" s="17">
        <v>5107.09</v>
      </c>
      <c r="I375" s="17">
        <f t="shared" si="12"/>
        <v>5066.2899999999991</v>
      </c>
      <c r="K375" s="7"/>
    </row>
    <row r="376" spans="1:11" x14ac:dyDescent="0.2">
      <c r="A376" s="15" t="s">
        <v>25</v>
      </c>
      <c r="B376" s="15">
        <v>4054</v>
      </c>
      <c r="C376" s="15">
        <v>7</v>
      </c>
      <c r="D376" s="15" t="s">
        <v>387</v>
      </c>
      <c r="E376" s="3">
        <v>49.08</v>
      </c>
      <c r="G376" s="17">
        <f t="shared" si="11"/>
        <v>1409.64</v>
      </c>
      <c r="H376" s="17">
        <v>707.67</v>
      </c>
      <c r="I376" s="17">
        <f t="shared" si="12"/>
        <v>701.97000000000014</v>
      </c>
      <c r="K376" s="7"/>
    </row>
    <row r="377" spans="1:11" x14ac:dyDescent="0.2">
      <c r="A377" s="15" t="s">
        <v>25</v>
      </c>
      <c r="B377" s="15">
        <v>4055</v>
      </c>
      <c r="C377" s="15">
        <v>7</v>
      </c>
      <c r="D377" s="15" t="s">
        <v>388</v>
      </c>
      <c r="E377" s="3">
        <v>153.80000000000001</v>
      </c>
      <c r="G377" s="17">
        <f t="shared" si="11"/>
        <v>4417.34</v>
      </c>
      <c r="H377" s="17">
        <v>2217.59</v>
      </c>
      <c r="I377" s="17">
        <f t="shared" si="12"/>
        <v>2199.75</v>
      </c>
      <c r="K377" s="7"/>
    </row>
    <row r="378" spans="1:11" x14ac:dyDescent="0.2">
      <c r="A378" s="15" t="s">
        <v>25</v>
      </c>
      <c r="B378" s="15">
        <v>4056</v>
      </c>
      <c r="C378" s="15">
        <v>7</v>
      </c>
      <c r="D378" s="15" t="s">
        <v>389</v>
      </c>
      <c r="E378" s="3">
        <v>108.28</v>
      </c>
      <c r="G378" s="17">
        <f t="shared" si="11"/>
        <v>3109.95</v>
      </c>
      <c r="H378" s="17">
        <v>1561.11</v>
      </c>
      <c r="I378" s="17">
        <f t="shared" si="12"/>
        <v>1548.84</v>
      </c>
      <c r="K378" s="7"/>
    </row>
    <row r="379" spans="1:11" x14ac:dyDescent="0.2">
      <c r="A379" s="15" t="s">
        <v>25</v>
      </c>
      <c r="B379" s="15">
        <v>4057</v>
      </c>
      <c r="C379" s="15">
        <v>7</v>
      </c>
      <c r="D379" s="15" t="s">
        <v>390</v>
      </c>
      <c r="E379" s="3">
        <v>66.239999999999995</v>
      </c>
      <c r="G379" s="17">
        <f t="shared" si="11"/>
        <v>1902.5</v>
      </c>
      <c r="H379" s="17">
        <v>948.17</v>
      </c>
      <c r="I379" s="17">
        <f t="shared" si="12"/>
        <v>954.33</v>
      </c>
      <c r="K379" s="7"/>
    </row>
    <row r="380" spans="1:11" x14ac:dyDescent="0.2">
      <c r="A380" s="15" t="s">
        <v>25</v>
      </c>
      <c r="B380" s="15">
        <v>4058</v>
      </c>
      <c r="C380" s="15">
        <v>7</v>
      </c>
      <c r="D380" s="15" t="s">
        <v>391</v>
      </c>
      <c r="E380" s="3">
        <v>193.27</v>
      </c>
      <c r="G380" s="17">
        <f t="shared" si="11"/>
        <v>5550.97</v>
      </c>
      <c r="H380" s="17">
        <v>2786.7</v>
      </c>
      <c r="I380" s="17">
        <f t="shared" si="12"/>
        <v>2764.2700000000004</v>
      </c>
      <c r="K380" s="7"/>
    </row>
    <row r="381" spans="1:11" x14ac:dyDescent="0.2">
      <c r="A381" s="15" t="s">
        <v>25</v>
      </c>
      <c r="B381" s="15">
        <v>4059</v>
      </c>
      <c r="C381" s="15">
        <v>7</v>
      </c>
      <c r="D381" s="15" t="s">
        <v>392</v>
      </c>
      <c r="E381" s="3">
        <v>125.17</v>
      </c>
      <c r="G381" s="17">
        <f t="shared" si="11"/>
        <v>3595.05</v>
      </c>
      <c r="H381" s="17">
        <v>1804.79</v>
      </c>
      <c r="I381" s="17">
        <f t="shared" si="12"/>
        <v>1790.2600000000002</v>
      </c>
      <c r="K381" s="7"/>
    </row>
    <row r="382" spans="1:11" x14ac:dyDescent="0.2">
      <c r="A382" s="15" t="s">
        <v>25</v>
      </c>
      <c r="B382" s="15">
        <v>4064</v>
      </c>
      <c r="C382" s="15">
        <v>7</v>
      </c>
      <c r="D382" s="15" t="s">
        <v>393</v>
      </c>
      <c r="E382" s="3">
        <v>95.77</v>
      </c>
      <c r="G382" s="17">
        <f t="shared" si="11"/>
        <v>2750.64</v>
      </c>
      <c r="H382" s="17">
        <v>1386.64</v>
      </c>
      <c r="I382" s="17">
        <f t="shared" si="12"/>
        <v>1363.9999999999998</v>
      </c>
      <c r="K382" s="7"/>
    </row>
    <row r="383" spans="1:11" x14ac:dyDescent="0.2">
      <c r="A383" s="15" t="s">
        <v>25</v>
      </c>
      <c r="B383" s="15">
        <v>4066</v>
      </c>
      <c r="C383" s="15">
        <v>7</v>
      </c>
      <c r="D383" s="15" t="s">
        <v>394</v>
      </c>
      <c r="E383" s="3">
        <v>61.07</v>
      </c>
      <c r="G383" s="17">
        <f t="shared" si="11"/>
        <v>1754.01</v>
      </c>
      <c r="H383" s="17">
        <v>879.97</v>
      </c>
      <c r="I383" s="17">
        <f t="shared" si="12"/>
        <v>874.04</v>
      </c>
      <c r="K383" s="7"/>
    </row>
    <row r="384" spans="1:11" x14ac:dyDescent="0.2">
      <c r="A384" s="15" t="s">
        <v>25</v>
      </c>
      <c r="B384" s="15">
        <v>4067</v>
      </c>
      <c r="C384" s="15">
        <v>7</v>
      </c>
      <c r="D384" s="15" t="s">
        <v>395</v>
      </c>
      <c r="E384" s="3">
        <v>305.64999999999998</v>
      </c>
      <c r="G384" s="17">
        <f t="shared" si="11"/>
        <v>8778.68</v>
      </c>
      <c r="H384" s="17">
        <v>4406.92</v>
      </c>
      <c r="I384" s="17">
        <f t="shared" si="12"/>
        <v>4371.76</v>
      </c>
      <c r="K384" s="7"/>
    </row>
    <row r="385" spans="1:11" x14ac:dyDescent="0.2">
      <c r="A385" s="15" t="s">
        <v>25</v>
      </c>
      <c r="B385" s="15">
        <v>4068</v>
      </c>
      <c r="C385" s="15">
        <v>7</v>
      </c>
      <c r="D385" s="15" t="s">
        <v>396</v>
      </c>
      <c r="E385" s="3">
        <v>386.92</v>
      </c>
      <c r="G385" s="17">
        <f t="shared" si="11"/>
        <v>11112.86</v>
      </c>
      <c r="H385" s="17">
        <v>5579.02</v>
      </c>
      <c r="I385" s="17">
        <f t="shared" si="12"/>
        <v>5533.84</v>
      </c>
      <c r="K385" s="7"/>
    </row>
    <row r="386" spans="1:11" x14ac:dyDescent="0.2">
      <c r="A386" s="15" t="s">
        <v>25</v>
      </c>
      <c r="B386" s="15">
        <v>4070</v>
      </c>
      <c r="C386" s="15">
        <v>7</v>
      </c>
      <c r="D386" s="15" t="s">
        <v>397</v>
      </c>
      <c r="E386" s="3">
        <v>485.59</v>
      </c>
      <c r="G386" s="17">
        <f t="shared" si="11"/>
        <v>13946.79</v>
      </c>
      <c r="H386" s="17">
        <v>7015.84</v>
      </c>
      <c r="I386" s="17">
        <f t="shared" si="12"/>
        <v>6930.9500000000007</v>
      </c>
      <c r="K386" s="7"/>
    </row>
    <row r="387" spans="1:11" x14ac:dyDescent="0.2">
      <c r="A387" s="15" t="s">
        <v>25</v>
      </c>
      <c r="B387" s="15">
        <v>4073</v>
      </c>
      <c r="C387" s="15">
        <v>7</v>
      </c>
      <c r="D387" s="15" t="s">
        <v>398</v>
      </c>
      <c r="E387" s="3">
        <v>369.85</v>
      </c>
      <c r="G387" s="17">
        <f t="shared" si="11"/>
        <v>10622.59</v>
      </c>
      <c r="H387" s="17">
        <v>5332.75</v>
      </c>
      <c r="I387" s="17">
        <f t="shared" si="12"/>
        <v>5289.84</v>
      </c>
      <c r="K387" s="7"/>
    </row>
    <row r="388" spans="1:11" x14ac:dyDescent="0.2">
      <c r="A388" s="15" t="s">
        <v>25</v>
      </c>
      <c r="B388" s="15">
        <v>4074</v>
      </c>
      <c r="C388" s="15">
        <v>7</v>
      </c>
      <c r="D388" s="15" t="s">
        <v>399</v>
      </c>
      <c r="E388" s="3">
        <v>287.64</v>
      </c>
      <c r="G388" s="17">
        <f t="shared" si="11"/>
        <v>8261.4</v>
      </c>
      <c r="H388" s="17">
        <v>4128.93</v>
      </c>
      <c r="I388" s="17">
        <f t="shared" si="12"/>
        <v>4132.4699999999993</v>
      </c>
      <c r="K388" s="7"/>
    </row>
    <row r="389" spans="1:11" x14ac:dyDescent="0.2">
      <c r="A389" s="15" t="s">
        <v>25</v>
      </c>
      <c r="B389" s="15">
        <v>4075</v>
      </c>
      <c r="C389" s="15">
        <v>7</v>
      </c>
      <c r="D389" s="15" t="s">
        <v>400</v>
      </c>
      <c r="E389" s="3">
        <v>173.54</v>
      </c>
      <c r="G389" s="17">
        <f t="shared" si="11"/>
        <v>4984.3</v>
      </c>
      <c r="H389" s="17">
        <v>2502.2199999999998</v>
      </c>
      <c r="I389" s="17">
        <f t="shared" si="12"/>
        <v>2482.0800000000004</v>
      </c>
      <c r="K389" s="7"/>
    </row>
    <row r="390" spans="1:11" x14ac:dyDescent="0.2">
      <c r="A390" s="15" t="s">
        <v>25</v>
      </c>
      <c r="B390" s="15">
        <v>4077</v>
      </c>
      <c r="C390" s="15">
        <v>7</v>
      </c>
      <c r="D390" s="15" t="s">
        <v>401</v>
      </c>
      <c r="E390" s="3">
        <v>604.24</v>
      </c>
      <c r="G390" s="17">
        <f t="shared" si="11"/>
        <v>17354.580000000002</v>
      </c>
      <c r="H390" s="17">
        <v>8726.76</v>
      </c>
      <c r="I390" s="17">
        <f t="shared" si="12"/>
        <v>8627.8200000000015</v>
      </c>
      <c r="K390" s="7"/>
    </row>
    <row r="391" spans="1:11" x14ac:dyDescent="0.2">
      <c r="A391" s="15" t="s">
        <v>25</v>
      </c>
      <c r="B391" s="15">
        <v>4078</v>
      </c>
      <c r="C391" s="15">
        <v>7</v>
      </c>
      <c r="D391" s="15" t="s">
        <v>402</v>
      </c>
      <c r="E391" s="3">
        <v>376.19</v>
      </c>
      <c r="G391" s="17">
        <f t="shared" si="11"/>
        <v>10804.68</v>
      </c>
      <c r="H391" s="17">
        <v>5422.57</v>
      </c>
      <c r="I391" s="17">
        <f t="shared" si="12"/>
        <v>5382.1100000000006</v>
      </c>
      <c r="K391" s="7"/>
    </row>
    <row r="392" spans="1:11" x14ac:dyDescent="0.2">
      <c r="A392" s="15" t="s">
        <v>25</v>
      </c>
      <c r="B392" s="15">
        <v>4079</v>
      </c>
      <c r="C392" s="15">
        <v>7</v>
      </c>
      <c r="D392" s="15" t="s">
        <v>403</v>
      </c>
      <c r="E392" s="3">
        <v>119.36</v>
      </c>
      <c r="G392" s="17">
        <f t="shared" si="11"/>
        <v>3428.18</v>
      </c>
      <c r="H392" s="17">
        <v>1721.01</v>
      </c>
      <c r="I392" s="17">
        <f t="shared" si="12"/>
        <v>1707.1699999999998</v>
      </c>
      <c r="K392" s="7"/>
    </row>
    <row r="393" spans="1:11" x14ac:dyDescent="0.2">
      <c r="A393" s="15" t="s">
        <v>25</v>
      </c>
      <c r="B393" s="15">
        <v>4080</v>
      </c>
      <c r="C393" s="15">
        <v>7</v>
      </c>
      <c r="D393" s="15" t="s">
        <v>404</v>
      </c>
      <c r="E393" s="3">
        <v>47.45</v>
      </c>
      <c r="G393" s="17">
        <f t="shared" si="11"/>
        <v>1362.83</v>
      </c>
      <c r="H393" s="17">
        <v>687.34</v>
      </c>
      <c r="I393" s="17">
        <f t="shared" si="12"/>
        <v>675.4899999999999</v>
      </c>
      <c r="K393" s="7"/>
    </row>
    <row r="394" spans="1:11" x14ac:dyDescent="0.2">
      <c r="A394" s="15" t="s">
        <v>25</v>
      </c>
      <c r="B394" s="15">
        <v>4081</v>
      </c>
      <c r="C394" s="15">
        <v>7</v>
      </c>
      <c r="D394" s="15" t="s">
        <v>405</v>
      </c>
      <c r="E394" s="3">
        <v>47.87</v>
      </c>
      <c r="G394" s="17">
        <f t="shared" si="11"/>
        <v>1374.89</v>
      </c>
      <c r="H394" s="17">
        <v>690.22</v>
      </c>
      <c r="I394" s="17">
        <f t="shared" si="12"/>
        <v>684.67000000000007</v>
      </c>
      <c r="K394" s="7"/>
    </row>
    <row r="395" spans="1:11" x14ac:dyDescent="0.2">
      <c r="A395" s="15" t="s">
        <v>25</v>
      </c>
      <c r="B395" s="15">
        <v>4082</v>
      </c>
      <c r="C395" s="15">
        <v>7</v>
      </c>
      <c r="D395" s="15" t="s">
        <v>406</v>
      </c>
      <c r="E395" s="3">
        <v>462.3</v>
      </c>
      <c r="G395" s="17">
        <f t="shared" si="11"/>
        <v>13277.87</v>
      </c>
      <c r="H395" s="17">
        <v>6657.82</v>
      </c>
      <c r="I395" s="17">
        <f t="shared" si="12"/>
        <v>6620.0500000000011</v>
      </c>
      <c r="K395" s="7"/>
    </row>
    <row r="396" spans="1:11" x14ac:dyDescent="0.2">
      <c r="A396" s="15" t="s">
        <v>25</v>
      </c>
      <c r="B396" s="15">
        <v>4083</v>
      </c>
      <c r="C396" s="15">
        <v>7</v>
      </c>
      <c r="D396" s="15" t="s">
        <v>407</v>
      </c>
      <c r="E396" s="3">
        <v>101.32</v>
      </c>
      <c r="G396" s="17">
        <f t="shared" si="11"/>
        <v>2910.05</v>
      </c>
      <c r="H396" s="17">
        <v>1460.9</v>
      </c>
      <c r="I396" s="17">
        <f t="shared" si="12"/>
        <v>1449.15</v>
      </c>
      <c r="K396" s="7"/>
    </row>
    <row r="397" spans="1:11" x14ac:dyDescent="0.2">
      <c r="A397" s="15" t="s">
        <v>25</v>
      </c>
      <c r="B397" s="15">
        <v>4084</v>
      </c>
      <c r="C397" s="15">
        <v>7</v>
      </c>
      <c r="D397" s="15" t="s">
        <v>408</v>
      </c>
      <c r="E397" s="3">
        <v>321.32</v>
      </c>
      <c r="G397" s="17">
        <f t="shared" si="11"/>
        <v>9228.74</v>
      </c>
      <c r="H397" s="17">
        <v>4633.01</v>
      </c>
      <c r="I397" s="17">
        <f t="shared" si="12"/>
        <v>4595.7299999999996</v>
      </c>
      <c r="K397" s="7"/>
    </row>
    <row r="398" spans="1:11" x14ac:dyDescent="0.2">
      <c r="A398" s="15" t="s">
        <v>25</v>
      </c>
      <c r="B398" s="15">
        <v>4085</v>
      </c>
      <c r="C398" s="15">
        <v>7</v>
      </c>
      <c r="D398" s="15" t="s">
        <v>409</v>
      </c>
      <c r="E398" s="3">
        <v>166.21</v>
      </c>
      <c r="G398" s="17">
        <f t="shared" si="11"/>
        <v>4773.7700000000004</v>
      </c>
      <c r="H398" s="17">
        <v>2396.8200000000002</v>
      </c>
      <c r="I398" s="17">
        <f t="shared" si="12"/>
        <v>2376.9500000000003</v>
      </c>
      <c r="K398" s="7"/>
    </row>
    <row r="399" spans="1:11" x14ac:dyDescent="0.2">
      <c r="A399" s="15" t="s">
        <v>25</v>
      </c>
      <c r="B399" s="15">
        <v>4086</v>
      </c>
      <c r="C399" s="15">
        <v>7</v>
      </c>
      <c r="D399" s="15" t="s">
        <v>410</v>
      </c>
      <c r="E399" s="3">
        <v>278.33</v>
      </c>
      <c r="G399" s="17">
        <f t="shared" si="11"/>
        <v>7994.01</v>
      </c>
      <c r="H399" s="17">
        <v>4003.06</v>
      </c>
      <c r="I399" s="17">
        <f t="shared" si="12"/>
        <v>3990.9500000000003</v>
      </c>
      <c r="K399" s="7"/>
    </row>
    <row r="400" spans="1:11" x14ac:dyDescent="0.2">
      <c r="A400" s="15" t="s">
        <v>25</v>
      </c>
      <c r="B400" s="15">
        <v>4087</v>
      </c>
      <c r="C400" s="15">
        <v>7</v>
      </c>
      <c r="D400" s="15" t="s">
        <v>411</v>
      </c>
      <c r="E400" s="3">
        <v>73.680000000000007</v>
      </c>
      <c r="G400" s="17">
        <f t="shared" ref="G400:G463" si="13">ROUND(E400*$G$6,2)</f>
        <v>2116.19</v>
      </c>
      <c r="H400" s="17">
        <v>1062.3699999999999</v>
      </c>
      <c r="I400" s="17">
        <f t="shared" si="12"/>
        <v>1053.8200000000002</v>
      </c>
      <c r="K400" s="7"/>
    </row>
    <row r="401" spans="1:11" x14ac:dyDescent="0.2">
      <c r="A401" s="15" t="s">
        <v>25</v>
      </c>
      <c r="B401" s="15">
        <v>4088</v>
      </c>
      <c r="C401" s="15">
        <v>7</v>
      </c>
      <c r="D401" s="15" t="s">
        <v>412</v>
      </c>
      <c r="E401" s="3">
        <v>261.10000000000002</v>
      </c>
      <c r="G401" s="17">
        <f t="shared" si="13"/>
        <v>7499.14</v>
      </c>
      <c r="H401" s="17">
        <v>3764.72</v>
      </c>
      <c r="I401" s="17">
        <f t="shared" si="12"/>
        <v>3734.4200000000005</v>
      </c>
      <c r="K401" s="7"/>
    </row>
    <row r="402" spans="1:11" x14ac:dyDescent="0.2">
      <c r="A402" s="15" t="s">
        <v>25</v>
      </c>
      <c r="B402" s="15">
        <v>4089</v>
      </c>
      <c r="C402" s="15">
        <v>7</v>
      </c>
      <c r="D402" s="15" t="s">
        <v>413</v>
      </c>
      <c r="E402" s="3">
        <v>140.03</v>
      </c>
      <c r="G402" s="17">
        <f t="shared" si="13"/>
        <v>4021.85</v>
      </c>
      <c r="H402" s="17">
        <v>2019.05</v>
      </c>
      <c r="I402" s="17">
        <f t="shared" si="12"/>
        <v>2002.8</v>
      </c>
      <c r="K402" s="7"/>
    </row>
    <row r="403" spans="1:11" x14ac:dyDescent="0.2">
      <c r="A403" s="15" t="s">
        <v>25</v>
      </c>
      <c r="B403" s="15">
        <v>4090</v>
      </c>
      <c r="C403" s="15">
        <v>7</v>
      </c>
      <c r="D403" s="15" t="s">
        <v>414</v>
      </c>
      <c r="E403" s="3">
        <v>178.71</v>
      </c>
      <c r="G403" s="17">
        <f t="shared" si="13"/>
        <v>5132.79</v>
      </c>
      <c r="H403" s="17">
        <v>2578.06</v>
      </c>
      <c r="I403" s="17">
        <f t="shared" si="12"/>
        <v>2554.73</v>
      </c>
      <c r="K403" s="7"/>
    </row>
    <row r="404" spans="1:11" x14ac:dyDescent="0.2">
      <c r="A404" s="15" t="s">
        <v>25</v>
      </c>
      <c r="B404" s="15">
        <v>4091</v>
      </c>
      <c r="C404" s="15">
        <v>7</v>
      </c>
      <c r="D404" s="15" t="s">
        <v>415</v>
      </c>
      <c r="E404" s="3">
        <v>121.01</v>
      </c>
      <c r="G404" s="17">
        <f t="shared" si="13"/>
        <v>3475.57</v>
      </c>
      <c r="H404" s="17">
        <v>1738.32</v>
      </c>
      <c r="I404" s="17">
        <f t="shared" si="12"/>
        <v>1737.2500000000002</v>
      </c>
      <c r="K404" s="7"/>
    </row>
    <row r="405" spans="1:11" x14ac:dyDescent="0.2">
      <c r="A405" s="15" t="s">
        <v>25</v>
      </c>
      <c r="B405" s="15">
        <v>4092</v>
      </c>
      <c r="C405" s="15">
        <v>7</v>
      </c>
      <c r="D405" s="15" t="s">
        <v>416</v>
      </c>
      <c r="E405" s="3">
        <v>70.989999999999995</v>
      </c>
      <c r="G405" s="17">
        <f t="shared" si="13"/>
        <v>2038.93</v>
      </c>
      <c r="H405" s="17">
        <v>1023.73</v>
      </c>
      <c r="I405" s="17">
        <f t="shared" si="12"/>
        <v>1015.2</v>
      </c>
      <c r="K405" s="7"/>
    </row>
    <row r="406" spans="1:11" x14ac:dyDescent="0.2">
      <c r="A406" s="15" t="s">
        <v>25</v>
      </c>
      <c r="B406" s="15">
        <v>4093</v>
      </c>
      <c r="C406" s="15">
        <v>7</v>
      </c>
      <c r="D406" s="15" t="s">
        <v>417</v>
      </c>
      <c r="E406" s="3">
        <v>141.38</v>
      </c>
      <c r="G406" s="17">
        <f t="shared" si="13"/>
        <v>4060.62</v>
      </c>
      <c r="H406" s="17">
        <v>2052.9299999999998</v>
      </c>
      <c r="I406" s="17">
        <f t="shared" si="12"/>
        <v>2007.69</v>
      </c>
      <c r="K406" s="7"/>
    </row>
    <row r="407" spans="1:11" x14ac:dyDescent="0.2">
      <c r="A407" s="15" t="s">
        <v>25</v>
      </c>
      <c r="B407" s="15">
        <v>4095</v>
      </c>
      <c r="C407" s="15">
        <v>7</v>
      </c>
      <c r="D407" s="15" t="s">
        <v>418</v>
      </c>
      <c r="E407" s="3">
        <v>138.6</v>
      </c>
      <c r="G407" s="17">
        <f t="shared" si="13"/>
        <v>3980.78</v>
      </c>
      <c r="H407" s="17">
        <v>1999.15</v>
      </c>
      <c r="I407" s="17">
        <f t="shared" si="12"/>
        <v>1981.63</v>
      </c>
      <c r="K407" s="7"/>
    </row>
    <row r="408" spans="1:11" x14ac:dyDescent="0.2">
      <c r="A408" s="15" t="s">
        <v>25</v>
      </c>
      <c r="B408" s="15">
        <v>4097</v>
      </c>
      <c r="C408" s="15">
        <v>7</v>
      </c>
      <c r="D408" s="15" t="s">
        <v>419</v>
      </c>
      <c r="E408" s="3">
        <v>258.89999999999998</v>
      </c>
      <c r="G408" s="17">
        <f t="shared" si="13"/>
        <v>7435.95</v>
      </c>
      <c r="H408" s="17">
        <v>3787.35</v>
      </c>
      <c r="I408" s="17">
        <f t="shared" si="12"/>
        <v>3648.6</v>
      </c>
      <c r="K408" s="7"/>
    </row>
    <row r="409" spans="1:11" x14ac:dyDescent="0.2">
      <c r="A409" s="15" t="s">
        <v>25</v>
      </c>
      <c r="B409" s="15">
        <v>4098</v>
      </c>
      <c r="C409" s="15">
        <v>7</v>
      </c>
      <c r="D409" s="15" t="s">
        <v>420</v>
      </c>
      <c r="E409" s="3">
        <v>837.16</v>
      </c>
      <c r="G409" s="17">
        <f t="shared" si="13"/>
        <v>24044.35</v>
      </c>
      <c r="H409" s="17">
        <v>12070.73</v>
      </c>
      <c r="I409" s="17">
        <f t="shared" si="12"/>
        <v>11973.619999999999</v>
      </c>
      <c r="K409" s="7"/>
    </row>
    <row r="410" spans="1:11" x14ac:dyDescent="0.2">
      <c r="A410" s="15" t="s">
        <v>25</v>
      </c>
      <c r="B410" s="15">
        <v>4100</v>
      </c>
      <c r="C410" s="15">
        <v>7</v>
      </c>
      <c r="D410" s="15" t="s">
        <v>421</v>
      </c>
      <c r="E410" s="3">
        <v>78.81</v>
      </c>
      <c r="G410" s="17">
        <f t="shared" si="13"/>
        <v>2263.5300000000002</v>
      </c>
      <c r="H410" s="17">
        <v>1136.3399999999999</v>
      </c>
      <c r="I410" s="17">
        <f>G410-H410</f>
        <v>1127.1900000000003</v>
      </c>
      <c r="K410" s="7"/>
    </row>
    <row r="411" spans="1:11" x14ac:dyDescent="0.2">
      <c r="A411" s="15" t="s">
        <v>25</v>
      </c>
      <c r="B411" s="15">
        <v>4102</v>
      </c>
      <c r="C411" s="15">
        <v>7</v>
      </c>
      <c r="D411" s="15" t="s">
        <v>422</v>
      </c>
      <c r="E411" s="3">
        <v>242.76</v>
      </c>
      <c r="G411" s="17">
        <f t="shared" si="13"/>
        <v>6972.39</v>
      </c>
      <c r="H411" s="17">
        <v>3505.9</v>
      </c>
      <c r="I411" s="17">
        <f t="shared" si="12"/>
        <v>3466.4900000000002</v>
      </c>
      <c r="K411" s="7"/>
    </row>
    <row r="412" spans="1:11" x14ac:dyDescent="0.2">
      <c r="A412" s="15" t="s">
        <v>25</v>
      </c>
      <c r="B412" s="15">
        <v>4103</v>
      </c>
      <c r="C412" s="15">
        <v>7</v>
      </c>
      <c r="D412" s="15" t="s">
        <v>423</v>
      </c>
      <c r="E412" s="3">
        <v>905.91</v>
      </c>
      <c r="G412" s="17">
        <f t="shared" si="13"/>
        <v>26018.94</v>
      </c>
      <c r="H412" s="17">
        <v>13062.02</v>
      </c>
      <c r="I412" s="17">
        <f t="shared" si="12"/>
        <v>12956.919999999998</v>
      </c>
      <c r="K412" s="7"/>
    </row>
    <row r="413" spans="1:11" x14ac:dyDescent="0.2">
      <c r="A413" s="15" t="s">
        <v>25</v>
      </c>
      <c r="B413" s="15">
        <v>4104</v>
      </c>
      <c r="C413" s="15">
        <v>7</v>
      </c>
      <c r="D413" s="15" t="s">
        <v>424</v>
      </c>
      <c r="E413" s="3">
        <v>204.5</v>
      </c>
      <c r="G413" s="17">
        <f t="shared" si="13"/>
        <v>5873.51</v>
      </c>
      <c r="H413" s="17">
        <v>2900.46</v>
      </c>
      <c r="I413" s="17">
        <f t="shared" si="12"/>
        <v>2973.05</v>
      </c>
      <c r="K413" s="7"/>
    </row>
    <row r="414" spans="1:11" x14ac:dyDescent="0.2">
      <c r="A414" s="15" t="s">
        <v>25</v>
      </c>
      <c r="B414" s="15">
        <v>4105</v>
      </c>
      <c r="C414" s="15">
        <v>7</v>
      </c>
      <c r="D414" s="15" t="s">
        <v>425</v>
      </c>
      <c r="E414" s="3">
        <v>326.47000000000003</v>
      </c>
      <c r="G414" s="17">
        <f t="shared" si="13"/>
        <v>9376.65</v>
      </c>
      <c r="H414" s="17">
        <v>4693.42</v>
      </c>
      <c r="I414" s="17">
        <f t="shared" si="12"/>
        <v>4683.2299999999996</v>
      </c>
      <c r="K414" s="7"/>
    </row>
    <row r="415" spans="1:11" x14ac:dyDescent="0.2">
      <c r="A415" s="15" t="s">
        <v>25</v>
      </c>
      <c r="B415" s="15">
        <v>4106</v>
      </c>
      <c r="C415" s="15">
        <v>7</v>
      </c>
      <c r="D415" s="15" t="s">
        <v>426</v>
      </c>
      <c r="E415" s="3">
        <v>186.72</v>
      </c>
      <c r="G415" s="17">
        <f t="shared" si="13"/>
        <v>5362.85</v>
      </c>
      <c r="H415" s="17">
        <v>2692.25</v>
      </c>
      <c r="I415" s="17">
        <f t="shared" si="12"/>
        <v>2670.6000000000004</v>
      </c>
      <c r="K415" s="7"/>
    </row>
    <row r="416" spans="1:11" x14ac:dyDescent="0.2">
      <c r="A416" s="15" t="s">
        <v>25</v>
      </c>
      <c r="B416" s="15">
        <v>4107</v>
      </c>
      <c r="C416" s="15">
        <v>7</v>
      </c>
      <c r="D416" s="15" t="s">
        <v>427</v>
      </c>
      <c r="E416" s="3">
        <v>72.37</v>
      </c>
      <c r="G416" s="17">
        <f t="shared" si="13"/>
        <v>2078.56</v>
      </c>
      <c r="H416" s="17">
        <v>1043.48</v>
      </c>
      <c r="I416" s="17">
        <f t="shared" si="12"/>
        <v>1035.08</v>
      </c>
      <c r="K416" s="7"/>
    </row>
    <row r="417" spans="1:11" x14ac:dyDescent="0.2">
      <c r="A417" s="15" t="s">
        <v>25</v>
      </c>
      <c r="B417" s="15">
        <v>4110</v>
      </c>
      <c r="C417" s="15">
        <v>7</v>
      </c>
      <c r="D417" s="15" t="s">
        <v>428</v>
      </c>
      <c r="E417" s="3">
        <v>263.04000000000002</v>
      </c>
      <c r="G417" s="17">
        <f t="shared" si="13"/>
        <v>7554.86</v>
      </c>
      <c r="H417" s="17">
        <v>3791.97</v>
      </c>
      <c r="I417" s="17">
        <f t="shared" ref="I417:I480" si="14">G417-H417</f>
        <v>3762.89</v>
      </c>
      <c r="K417" s="7"/>
    </row>
    <row r="418" spans="1:11" x14ac:dyDescent="0.2">
      <c r="A418" s="15" t="s">
        <v>25</v>
      </c>
      <c r="B418" s="15">
        <v>4111</v>
      </c>
      <c r="C418" s="15">
        <v>7</v>
      </c>
      <c r="D418" s="15" t="s">
        <v>429</v>
      </c>
      <c r="E418" s="3">
        <v>142.41999999999999</v>
      </c>
      <c r="G418" s="17">
        <f t="shared" si="13"/>
        <v>4090.49</v>
      </c>
      <c r="H418" s="17">
        <v>2066.34</v>
      </c>
      <c r="I418" s="17">
        <f t="shared" si="14"/>
        <v>2024.1499999999996</v>
      </c>
      <c r="K418" s="7"/>
    </row>
    <row r="419" spans="1:11" x14ac:dyDescent="0.2">
      <c r="A419" s="15" t="s">
        <v>25</v>
      </c>
      <c r="B419" s="15">
        <v>4112</v>
      </c>
      <c r="C419" s="15">
        <v>7</v>
      </c>
      <c r="D419" s="15" t="s">
        <v>430</v>
      </c>
      <c r="E419" s="3">
        <v>536.54</v>
      </c>
      <c r="G419" s="17">
        <f t="shared" si="13"/>
        <v>15410.14</v>
      </c>
      <c r="H419" s="17">
        <v>7736.19</v>
      </c>
      <c r="I419" s="17">
        <f t="shared" si="14"/>
        <v>7673.95</v>
      </c>
      <c r="K419" s="7"/>
    </row>
    <row r="420" spans="1:11" x14ac:dyDescent="0.2">
      <c r="A420" s="15" t="s">
        <v>25</v>
      </c>
      <c r="B420" s="15">
        <v>4113</v>
      </c>
      <c r="C420" s="15">
        <v>7</v>
      </c>
      <c r="D420" s="15" t="s">
        <v>431</v>
      </c>
      <c r="E420" s="3">
        <v>77.8</v>
      </c>
      <c r="G420" s="17">
        <f t="shared" si="13"/>
        <v>2234.52</v>
      </c>
      <c r="H420" s="17">
        <v>1121.6300000000001</v>
      </c>
      <c r="I420" s="17">
        <f t="shared" si="14"/>
        <v>1112.8899999999999</v>
      </c>
      <c r="K420" s="7"/>
    </row>
    <row r="421" spans="1:11" x14ac:dyDescent="0.2">
      <c r="A421" s="15" t="s">
        <v>25</v>
      </c>
      <c r="B421" s="15">
        <v>4115</v>
      </c>
      <c r="C421" s="15">
        <v>7</v>
      </c>
      <c r="D421" s="15" t="s">
        <v>432</v>
      </c>
      <c r="E421" s="3">
        <v>130.28</v>
      </c>
      <c r="G421" s="17">
        <f t="shared" si="13"/>
        <v>3741.82</v>
      </c>
      <c r="H421" s="17">
        <v>1878.46</v>
      </c>
      <c r="I421" s="17">
        <f t="shared" si="14"/>
        <v>1863.3600000000001</v>
      </c>
      <c r="K421" s="7"/>
    </row>
    <row r="422" spans="1:11" x14ac:dyDescent="0.2">
      <c r="A422" s="15" t="s">
        <v>25</v>
      </c>
      <c r="B422" s="15">
        <v>4116</v>
      </c>
      <c r="C422" s="15">
        <v>7</v>
      </c>
      <c r="D422" s="15" t="s">
        <v>433</v>
      </c>
      <c r="E422" s="3">
        <v>672.28</v>
      </c>
      <c r="G422" s="17">
        <f t="shared" si="13"/>
        <v>19308.78</v>
      </c>
      <c r="H422" s="17">
        <v>9736.2099999999991</v>
      </c>
      <c r="I422" s="17">
        <f t="shared" si="14"/>
        <v>9572.57</v>
      </c>
      <c r="K422" s="7"/>
    </row>
    <row r="423" spans="1:11" x14ac:dyDescent="0.2">
      <c r="A423" s="15" t="s">
        <v>25</v>
      </c>
      <c r="B423" s="15">
        <v>4118</v>
      </c>
      <c r="C423" s="15">
        <v>7</v>
      </c>
      <c r="D423" s="15" t="s">
        <v>434</v>
      </c>
      <c r="E423" s="3">
        <v>451.43</v>
      </c>
      <c r="G423" s="17">
        <f t="shared" si="13"/>
        <v>12965.67</v>
      </c>
      <c r="H423" s="17">
        <v>6505.99</v>
      </c>
      <c r="I423" s="17">
        <f t="shared" si="14"/>
        <v>6459.68</v>
      </c>
      <c r="K423" s="7"/>
    </row>
    <row r="424" spans="1:11" x14ac:dyDescent="0.2">
      <c r="A424" s="15" t="s">
        <v>25</v>
      </c>
      <c r="B424" s="15">
        <v>4119</v>
      </c>
      <c r="C424" s="15">
        <v>7</v>
      </c>
      <c r="D424" s="15" t="s">
        <v>435</v>
      </c>
      <c r="E424" s="3">
        <v>72.069999999999993</v>
      </c>
      <c r="G424" s="17">
        <f t="shared" si="13"/>
        <v>2069.9499999999998</v>
      </c>
      <c r="H424" s="17">
        <v>1039.1500000000001</v>
      </c>
      <c r="I424" s="17">
        <f t="shared" si="14"/>
        <v>1030.7999999999997</v>
      </c>
      <c r="K424" s="7"/>
    </row>
    <row r="425" spans="1:11" x14ac:dyDescent="0.2">
      <c r="A425" s="15" t="s">
        <v>25</v>
      </c>
      <c r="B425" s="15">
        <v>4120</v>
      </c>
      <c r="C425" s="15">
        <v>7</v>
      </c>
      <c r="D425" s="15" t="s">
        <v>436</v>
      </c>
      <c r="E425" s="3">
        <v>1054.49</v>
      </c>
      <c r="G425" s="17">
        <f t="shared" si="13"/>
        <v>30286.36</v>
      </c>
      <c r="H425" s="17">
        <v>15167.58</v>
      </c>
      <c r="I425" s="17">
        <f t="shared" si="14"/>
        <v>15118.78</v>
      </c>
      <c r="K425" s="7"/>
    </row>
    <row r="426" spans="1:11" x14ac:dyDescent="0.2">
      <c r="A426" s="15" t="s">
        <v>25</v>
      </c>
      <c r="B426" s="15">
        <v>4121</v>
      </c>
      <c r="C426" s="15">
        <v>7</v>
      </c>
      <c r="D426" s="15" t="s">
        <v>437</v>
      </c>
      <c r="E426" s="3">
        <v>316.41000000000003</v>
      </c>
      <c r="G426" s="17">
        <f t="shared" si="13"/>
        <v>9087.7199999999993</v>
      </c>
      <c r="H426" s="17">
        <v>4564.09</v>
      </c>
      <c r="I426" s="17">
        <f t="shared" si="14"/>
        <v>4523.6299999999992</v>
      </c>
      <c r="K426" s="7"/>
    </row>
    <row r="427" spans="1:11" x14ac:dyDescent="0.2">
      <c r="A427" s="15" t="s">
        <v>25</v>
      </c>
      <c r="B427" s="15">
        <v>4122</v>
      </c>
      <c r="C427" s="15">
        <v>7</v>
      </c>
      <c r="D427" s="15" t="s">
        <v>438</v>
      </c>
      <c r="E427" s="3">
        <v>795.68</v>
      </c>
      <c r="G427" s="17">
        <f t="shared" si="13"/>
        <v>22852.99</v>
      </c>
      <c r="H427" s="17">
        <v>11471.93</v>
      </c>
      <c r="I427" s="17">
        <f t="shared" si="14"/>
        <v>11381.060000000001</v>
      </c>
      <c r="K427" s="7"/>
    </row>
    <row r="428" spans="1:11" x14ac:dyDescent="0.2">
      <c r="A428" s="15" t="s">
        <v>25</v>
      </c>
      <c r="B428" s="15">
        <v>4123</v>
      </c>
      <c r="C428" s="15">
        <v>7</v>
      </c>
      <c r="D428" s="15" t="s">
        <v>439</v>
      </c>
      <c r="E428" s="3">
        <v>36.369999999999997</v>
      </c>
      <c r="G428" s="17">
        <f t="shared" si="13"/>
        <v>1044.5899999999999</v>
      </c>
      <c r="H428" s="17">
        <v>513.88</v>
      </c>
      <c r="I428" s="17">
        <f t="shared" si="14"/>
        <v>530.70999999999992</v>
      </c>
      <c r="K428" s="7"/>
    </row>
    <row r="429" spans="1:11" x14ac:dyDescent="0.2">
      <c r="A429" s="15" t="s">
        <v>25</v>
      </c>
      <c r="B429" s="15">
        <v>4124</v>
      </c>
      <c r="C429" s="15">
        <v>7</v>
      </c>
      <c r="D429" s="15" t="s">
        <v>440</v>
      </c>
      <c r="E429" s="3">
        <v>416.22</v>
      </c>
      <c r="G429" s="17">
        <f t="shared" si="13"/>
        <v>11954.39</v>
      </c>
      <c r="H429" s="17">
        <v>6001.48</v>
      </c>
      <c r="I429" s="17">
        <f t="shared" si="14"/>
        <v>5952.91</v>
      </c>
      <c r="K429" s="7"/>
    </row>
    <row r="430" spans="1:11" x14ac:dyDescent="0.2">
      <c r="A430" s="15" t="s">
        <v>25</v>
      </c>
      <c r="B430" s="15">
        <v>4126</v>
      </c>
      <c r="C430" s="15">
        <v>7</v>
      </c>
      <c r="D430" s="15" t="s">
        <v>441</v>
      </c>
      <c r="E430" s="3">
        <v>772.56</v>
      </c>
      <c r="G430" s="17">
        <f t="shared" si="13"/>
        <v>22188.95</v>
      </c>
      <c r="H430" s="17">
        <v>10982.99</v>
      </c>
      <c r="I430" s="17">
        <f t="shared" si="14"/>
        <v>11205.960000000001</v>
      </c>
      <c r="K430" s="7"/>
    </row>
    <row r="431" spans="1:11" x14ac:dyDescent="0.2">
      <c r="A431" s="15" t="s">
        <v>25</v>
      </c>
      <c r="B431" s="15">
        <v>4127</v>
      </c>
      <c r="C431" s="15">
        <v>7</v>
      </c>
      <c r="D431" s="15" t="s">
        <v>442</v>
      </c>
      <c r="E431" s="3">
        <v>139.33000000000001</v>
      </c>
      <c r="G431" s="17">
        <f t="shared" si="13"/>
        <v>4001.74</v>
      </c>
      <c r="H431" s="17">
        <v>2008.95</v>
      </c>
      <c r="I431" s="17">
        <f t="shared" si="14"/>
        <v>1992.7899999999997</v>
      </c>
      <c r="K431" s="7"/>
    </row>
    <row r="432" spans="1:11" x14ac:dyDescent="0.2">
      <c r="A432" s="15" t="s">
        <v>25</v>
      </c>
      <c r="B432" s="15">
        <v>4131</v>
      </c>
      <c r="C432" s="15">
        <v>7</v>
      </c>
      <c r="D432" s="15" t="s">
        <v>443</v>
      </c>
      <c r="E432" s="3">
        <v>257.79000000000002</v>
      </c>
      <c r="G432" s="17">
        <f t="shared" si="13"/>
        <v>7404.07</v>
      </c>
      <c r="H432" s="17">
        <v>3686.42</v>
      </c>
      <c r="I432" s="17">
        <f t="shared" si="14"/>
        <v>3717.6499999999996</v>
      </c>
      <c r="K432" s="7"/>
    </row>
    <row r="433" spans="1:11" x14ac:dyDescent="0.2">
      <c r="A433" s="15" t="s">
        <v>25</v>
      </c>
      <c r="B433" s="15">
        <v>4132</v>
      </c>
      <c r="C433" s="15">
        <v>7</v>
      </c>
      <c r="D433" s="15" t="s">
        <v>444</v>
      </c>
      <c r="E433" s="3">
        <v>184.71</v>
      </c>
      <c r="G433" s="17">
        <f t="shared" si="13"/>
        <v>5305.12</v>
      </c>
      <c r="H433" s="17">
        <v>2682.88</v>
      </c>
      <c r="I433" s="17">
        <f t="shared" si="14"/>
        <v>2622.24</v>
      </c>
      <c r="K433" s="7"/>
    </row>
    <row r="434" spans="1:11" x14ac:dyDescent="0.2">
      <c r="A434" s="15" t="s">
        <v>25</v>
      </c>
      <c r="B434" s="15">
        <v>4133</v>
      </c>
      <c r="C434" s="15">
        <v>7</v>
      </c>
      <c r="D434" s="15" t="s">
        <v>445</v>
      </c>
      <c r="E434" s="3">
        <v>162.63999999999999</v>
      </c>
      <c r="G434" s="17">
        <f t="shared" si="13"/>
        <v>4671.24</v>
      </c>
      <c r="H434" s="17">
        <v>2345.0500000000002</v>
      </c>
      <c r="I434" s="17">
        <f t="shared" si="14"/>
        <v>2326.1899999999996</v>
      </c>
      <c r="K434" s="7"/>
    </row>
    <row r="435" spans="1:11" x14ac:dyDescent="0.2">
      <c r="A435" s="15" t="s">
        <v>25</v>
      </c>
      <c r="B435" s="15">
        <v>4135</v>
      </c>
      <c r="C435" s="15">
        <v>7</v>
      </c>
      <c r="D435" s="15" t="s">
        <v>446</v>
      </c>
      <c r="E435" s="3">
        <v>246.14</v>
      </c>
      <c r="G435" s="17">
        <f t="shared" si="13"/>
        <v>7069.47</v>
      </c>
      <c r="H435" s="17">
        <v>3549.01</v>
      </c>
      <c r="I435" s="17">
        <f t="shared" si="14"/>
        <v>3520.46</v>
      </c>
      <c r="K435" s="7"/>
    </row>
    <row r="436" spans="1:11" x14ac:dyDescent="0.2">
      <c r="A436" s="15" t="s">
        <v>25</v>
      </c>
      <c r="B436" s="15">
        <v>4137</v>
      </c>
      <c r="C436" s="15">
        <v>7</v>
      </c>
      <c r="D436" s="15" t="s">
        <v>447</v>
      </c>
      <c r="E436" s="3">
        <v>144.56</v>
      </c>
      <c r="G436" s="17">
        <f t="shared" si="13"/>
        <v>4151.96</v>
      </c>
      <c r="H436" s="17">
        <v>2085.52</v>
      </c>
      <c r="I436" s="17">
        <f t="shared" si="14"/>
        <v>2066.44</v>
      </c>
      <c r="K436" s="7"/>
    </row>
    <row r="437" spans="1:11" x14ac:dyDescent="0.2">
      <c r="A437" s="15" t="s">
        <v>25</v>
      </c>
      <c r="B437" s="15">
        <v>4138</v>
      </c>
      <c r="C437" s="15">
        <v>7</v>
      </c>
      <c r="D437" s="15" t="s">
        <v>448</v>
      </c>
      <c r="E437" s="3">
        <v>44.85</v>
      </c>
      <c r="G437" s="17">
        <f t="shared" si="13"/>
        <v>1288.1500000000001</v>
      </c>
      <c r="H437" s="17">
        <v>646.67999999999995</v>
      </c>
      <c r="I437" s="17">
        <f t="shared" si="14"/>
        <v>641.47000000000014</v>
      </c>
      <c r="K437" s="7"/>
    </row>
    <row r="438" spans="1:11" x14ac:dyDescent="0.2">
      <c r="A438" s="15" t="s">
        <v>25</v>
      </c>
      <c r="B438" s="15">
        <v>4139</v>
      </c>
      <c r="C438" s="15">
        <v>7</v>
      </c>
      <c r="D438" s="15" t="s">
        <v>449</v>
      </c>
      <c r="E438" s="3">
        <v>223.41</v>
      </c>
      <c r="G438" s="17">
        <f t="shared" si="13"/>
        <v>6416.63</v>
      </c>
      <c r="H438" s="17">
        <v>3222.57</v>
      </c>
      <c r="I438" s="17">
        <f t="shared" si="14"/>
        <v>3194.06</v>
      </c>
      <c r="K438" s="7"/>
    </row>
    <row r="439" spans="1:11" x14ac:dyDescent="0.2">
      <c r="A439" s="15" t="s">
        <v>25</v>
      </c>
      <c r="B439" s="15">
        <v>4140</v>
      </c>
      <c r="C439" s="15">
        <v>7</v>
      </c>
      <c r="D439" s="15" t="s">
        <v>450</v>
      </c>
      <c r="E439" s="3">
        <v>513.59</v>
      </c>
      <c r="G439" s="17">
        <f t="shared" si="13"/>
        <v>14750.99</v>
      </c>
      <c r="H439" s="17">
        <v>7391.3</v>
      </c>
      <c r="I439" s="17">
        <f t="shared" si="14"/>
        <v>7359.69</v>
      </c>
      <c r="K439" s="7"/>
    </row>
    <row r="440" spans="1:11" x14ac:dyDescent="0.2">
      <c r="A440" s="15" t="s">
        <v>25</v>
      </c>
      <c r="B440" s="15">
        <v>4141</v>
      </c>
      <c r="C440" s="15">
        <v>7</v>
      </c>
      <c r="D440" s="15" t="s">
        <v>451</v>
      </c>
      <c r="E440" s="3">
        <v>377.03</v>
      </c>
      <c r="G440" s="17">
        <f t="shared" si="13"/>
        <v>10828.8</v>
      </c>
      <c r="H440" s="17">
        <v>5436.27</v>
      </c>
      <c r="I440" s="17">
        <f t="shared" si="14"/>
        <v>5392.5299999999988</v>
      </c>
      <c r="K440" s="7"/>
    </row>
    <row r="441" spans="1:11" x14ac:dyDescent="0.2">
      <c r="A441" s="15" t="s">
        <v>25</v>
      </c>
      <c r="B441" s="15">
        <v>4142</v>
      </c>
      <c r="C441" s="15">
        <v>7</v>
      </c>
      <c r="D441" s="15" t="s">
        <v>452</v>
      </c>
      <c r="E441" s="3">
        <v>472.99</v>
      </c>
      <c r="G441" s="17">
        <f t="shared" si="13"/>
        <v>13584.9</v>
      </c>
      <c r="H441" s="17">
        <v>6819.89</v>
      </c>
      <c r="I441" s="17">
        <f t="shared" si="14"/>
        <v>6765.0099999999993</v>
      </c>
      <c r="K441" s="7"/>
    </row>
    <row r="442" spans="1:11" x14ac:dyDescent="0.2">
      <c r="A442" s="15" t="s">
        <v>25</v>
      </c>
      <c r="B442" s="15">
        <v>4143</v>
      </c>
      <c r="C442" s="15">
        <v>7</v>
      </c>
      <c r="D442" s="15" t="s">
        <v>453</v>
      </c>
      <c r="E442" s="3">
        <v>468.47</v>
      </c>
      <c r="G442" s="17">
        <f t="shared" si="13"/>
        <v>13455.08</v>
      </c>
      <c r="H442" s="17">
        <v>6754.57</v>
      </c>
      <c r="I442" s="17">
        <f t="shared" si="14"/>
        <v>6700.51</v>
      </c>
      <c r="K442" s="7"/>
    </row>
    <row r="443" spans="1:11" x14ac:dyDescent="0.2">
      <c r="A443" s="15" t="s">
        <v>25</v>
      </c>
      <c r="B443" s="15">
        <v>4144</v>
      </c>
      <c r="C443" s="15">
        <v>7</v>
      </c>
      <c r="D443" s="15" t="s">
        <v>454</v>
      </c>
      <c r="E443" s="3">
        <v>65.599999999999994</v>
      </c>
      <c r="G443" s="17">
        <f t="shared" si="13"/>
        <v>1884.12</v>
      </c>
      <c r="H443" s="17">
        <v>945.86</v>
      </c>
      <c r="I443" s="17">
        <f t="shared" si="14"/>
        <v>938.25999999999988</v>
      </c>
      <c r="K443" s="7"/>
    </row>
    <row r="444" spans="1:11" x14ac:dyDescent="0.2">
      <c r="A444" s="15" t="s">
        <v>25</v>
      </c>
      <c r="B444" s="15">
        <v>4145</v>
      </c>
      <c r="C444" s="15">
        <v>7</v>
      </c>
      <c r="D444" s="15" t="s">
        <v>455</v>
      </c>
      <c r="E444" s="3">
        <v>28.07</v>
      </c>
      <c r="G444" s="17">
        <f t="shared" si="13"/>
        <v>806.21</v>
      </c>
      <c r="H444" s="17">
        <v>404.73</v>
      </c>
      <c r="I444" s="17">
        <f t="shared" si="14"/>
        <v>401.48</v>
      </c>
      <c r="K444" s="7"/>
    </row>
    <row r="445" spans="1:11" x14ac:dyDescent="0.2">
      <c r="A445" s="15" t="s">
        <v>25</v>
      </c>
      <c r="B445" s="15">
        <v>4146</v>
      </c>
      <c r="C445" s="15">
        <v>7</v>
      </c>
      <c r="D445" s="15" t="s">
        <v>456</v>
      </c>
      <c r="E445" s="3">
        <v>95.86</v>
      </c>
      <c r="G445" s="17">
        <f t="shared" si="13"/>
        <v>2753.23</v>
      </c>
      <c r="H445" s="17">
        <v>1375.54</v>
      </c>
      <c r="I445" s="17">
        <f t="shared" si="14"/>
        <v>1377.69</v>
      </c>
      <c r="K445" s="7"/>
    </row>
    <row r="446" spans="1:11" x14ac:dyDescent="0.2">
      <c r="A446" s="15" t="s">
        <v>25</v>
      </c>
      <c r="B446" s="15">
        <v>4150</v>
      </c>
      <c r="C446" s="15">
        <v>7</v>
      </c>
      <c r="D446" s="15" t="s">
        <v>457</v>
      </c>
      <c r="E446" s="3">
        <v>101.54</v>
      </c>
      <c r="G446" s="17">
        <f t="shared" si="13"/>
        <v>2916.36</v>
      </c>
      <c r="H446" s="17">
        <v>1418.94</v>
      </c>
      <c r="I446" s="17">
        <f t="shared" si="14"/>
        <v>1497.42</v>
      </c>
      <c r="K446" s="7"/>
    </row>
    <row r="447" spans="1:11" x14ac:dyDescent="0.2">
      <c r="A447" s="15" t="s">
        <v>25</v>
      </c>
      <c r="B447" s="15">
        <v>4151</v>
      </c>
      <c r="C447" s="15">
        <v>7</v>
      </c>
      <c r="D447" s="15" t="s">
        <v>458</v>
      </c>
      <c r="E447" s="3">
        <v>89.72</v>
      </c>
      <c r="G447" s="17">
        <f t="shared" si="13"/>
        <v>2576.88</v>
      </c>
      <c r="H447" s="17">
        <v>1293.6400000000001</v>
      </c>
      <c r="I447" s="17">
        <f t="shared" si="14"/>
        <v>1283.24</v>
      </c>
      <c r="K447" s="7"/>
    </row>
    <row r="448" spans="1:11" x14ac:dyDescent="0.2">
      <c r="A448" s="15" t="s">
        <v>25</v>
      </c>
      <c r="B448" s="15">
        <v>4152</v>
      </c>
      <c r="C448" s="15">
        <v>7</v>
      </c>
      <c r="D448" s="15" t="s">
        <v>459</v>
      </c>
      <c r="E448" s="3">
        <v>319.17</v>
      </c>
      <c r="G448" s="17">
        <f t="shared" si="13"/>
        <v>9166.99</v>
      </c>
      <c r="H448" s="17">
        <v>4602.1499999999996</v>
      </c>
      <c r="I448" s="17">
        <f t="shared" si="14"/>
        <v>4564.84</v>
      </c>
      <c r="K448" s="7"/>
    </row>
    <row r="449" spans="1:11" x14ac:dyDescent="0.2">
      <c r="A449" s="15" t="s">
        <v>25</v>
      </c>
      <c r="B449" s="15">
        <v>4153</v>
      </c>
      <c r="C449" s="15">
        <v>7</v>
      </c>
      <c r="D449" s="15" t="s">
        <v>460</v>
      </c>
      <c r="E449" s="3">
        <v>394.2</v>
      </c>
      <c r="G449" s="17">
        <f t="shared" si="13"/>
        <v>11321.95</v>
      </c>
      <c r="H449" s="17">
        <v>5684.71</v>
      </c>
      <c r="I449" s="17">
        <f t="shared" si="14"/>
        <v>5637.2400000000007</v>
      </c>
      <c r="K449" s="7"/>
    </row>
    <row r="450" spans="1:11" x14ac:dyDescent="0.2">
      <c r="A450" s="15" t="s">
        <v>25</v>
      </c>
      <c r="B450" s="15">
        <v>4155</v>
      </c>
      <c r="C450" s="15">
        <v>7</v>
      </c>
      <c r="D450" s="15" t="s">
        <v>461</v>
      </c>
      <c r="E450" s="3">
        <v>116.21</v>
      </c>
      <c r="G450" s="17">
        <f t="shared" si="13"/>
        <v>3337.71</v>
      </c>
      <c r="H450" s="17">
        <v>1675.59</v>
      </c>
      <c r="I450" s="17">
        <f t="shared" si="14"/>
        <v>1662.1200000000001</v>
      </c>
      <c r="K450" s="7"/>
    </row>
    <row r="451" spans="1:11" x14ac:dyDescent="0.2">
      <c r="A451" s="15" t="s">
        <v>25</v>
      </c>
      <c r="B451" s="15">
        <v>4159</v>
      </c>
      <c r="C451" s="15">
        <v>7</v>
      </c>
      <c r="D451" s="15" t="s">
        <v>462</v>
      </c>
      <c r="E451" s="3">
        <v>435.84</v>
      </c>
      <c r="G451" s="17">
        <f t="shared" si="13"/>
        <v>12517.91</v>
      </c>
      <c r="H451" s="17">
        <v>6254.82</v>
      </c>
      <c r="I451" s="17">
        <f t="shared" si="14"/>
        <v>6263.09</v>
      </c>
      <c r="K451" s="7"/>
    </row>
    <row r="452" spans="1:11" x14ac:dyDescent="0.2">
      <c r="A452" s="15" t="s">
        <v>25</v>
      </c>
      <c r="B452" s="15">
        <v>4160</v>
      </c>
      <c r="C452" s="15">
        <v>7</v>
      </c>
      <c r="D452" s="15" t="s">
        <v>463</v>
      </c>
      <c r="E452" s="3">
        <v>495.6</v>
      </c>
      <c r="G452" s="17">
        <f t="shared" si="13"/>
        <v>14234.29</v>
      </c>
      <c r="H452" s="17">
        <v>7149.79</v>
      </c>
      <c r="I452" s="17">
        <f t="shared" si="14"/>
        <v>7084.5000000000009</v>
      </c>
      <c r="K452" s="7"/>
    </row>
    <row r="453" spans="1:11" x14ac:dyDescent="0.2">
      <c r="A453" s="15" t="s">
        <v>25</v>
      </c>
      <c r="B453" s="15">
        <v>4161</v>
      </c>
      <c r="C453" s="15">
        <v>7</v>
      </c>
      <c r="D453" s="15" t="s">
        <v>464</v>
      </c>
      <c r="E453" s="3">
        <v>172.03</v>
      </c>
      <c r="G453" s="17">
        <f t="shared" si="13"/>
        <v>4940.93</v>
      </c>
      <c r="H453" s="17">
        <v>2480.44</v>
      </c>
      <c r="I453" s="17">
        <f t="shared" si="14"/>
        <v>2460.4900000000002</v>
      </c>
      <c r="K453" s="7"/>
    </row>
    <row r="454" spans="1:11" x14ac:dyDescent="0.2">
      <c r="A454" s="15" t="s">
        <v>25</v>
      </c>
      <c r="B454" s="15">
        <v>4162</v>
      </c>
      <c r="C454" s="15">
        <v>7</v>
      </c>
      <c r="D454" s="15" t="s">
        <v>465</v>
      </c>
      <c r="E454" s="3">
        <v>107.48</v>
      </c>
      <c r="G454" s="17">
        <f t="shared" si="13"/>
        <v>3086.97</v>
      </c>
      <c r="H454" s="17">
        <v>1520.88</v>
      </c>
      <c r="I454" s="17">
        <f t="shared" si="14"/>
        <v>1566.0899999999997</v>
      </c>
      <c r="K454" s="7"/>
    </row>
    <row r="455" spans="1:11" x14ac:dyDescent="0.2">
      <c r="A455" s="15" t="s">
        <v>25</v>
      </c>
      <c r="B455" s="15">
        <v>4163</v>
      </c>
      <c r="C455" s="15">
        <v>7</v>
      </c>
      <c r="D455" s="15" t="s">
        <v>466</v>
      </c>
      <c r="E455" s="3">
        <v>198.37</v>
      </c>
      <c r="G455" s="17">
        <f t="shared" si="13"/>
        <v>5697.45</v>
      </c>
      <c r="H455" s="17">
        <v>2860.95</v>
      </c>
      <c r="I455" s="17">
        <f t="shared" si="14"/>
        <v>2836.5</v>
      </c>
      <c r="K455" s="7"/>
    </row>
    <row r="456" spans="1:11" x14ac:dyDescent="0.2">
      <c r="A456" s="15" t="s">
        <v>25</v>
      </c>
      <c r="B456" s="15">
        <v>4164</v>
      </c>
      <c r="C456" s="15">
        <v>7</v>
      </c>
      <c r="D456" s="15" t="s">
        <v>467</v>
      </c>
      <c r="E456" s="3">
        <v>182.51</v>
      </c>
      <c r="G456" s="17">
        <f t="shared" si="13"/>
        <v>5241.93</v>
      </c>
      <c r="H456" s="17">
        <v>2622.47</v>
      </c>
      <c r="I456" s="17">
        <f t="shared" si="14"/>
        <v>2619.4600000000005</v>
      </c>
      <c r="K456" s="7"/>
    </row>
    <row r="457" spans="1:11" x14ac:dyDescent="0.2">
      <c r="A457" s="15" t="s">
        <v>25</v>
      </c>
      <c r="B457" s="15">
        <v>4166</v>
      </c>
      <c r="C457" s="15">
        <v>7</v>
      </c>
      <c r="D457" s="15" t="s">
        <v>468</v>
      </c>
      <c r="E457" s="3">
        <v>99.44</v>
      </c>
      <c r="G457" s="17">
        <f t="shared" si="13"/>
        <v>2856.05</v>
      </c>
      <c r="H457" s="17">
        <v>1434.08</v>
      </c>
      <c r="I457" s="17">
        <f t="shared" si="14"/>
        <v>1421.9700000000003</v>
      </c>
      <c r="K457" s="7"/>
    </row>
    <row r="458" spans="1:11" x14ac:dyDescent="0.2">
      <c r="A458" s="15" t="s">
        <v>25</v>
      </c>
      <c r="B458" s="15">
        <v>4167</v>
      </c>
      <c r="C458" s="15">
        <v>7</v>
      </c>
      <c r="D458" s="15" t="s">
        <v>469</v>
      </c>
      <c r="E458" s="3">
        <v>255.73</v>
      </c>
      <c r="G458" s="17">
        <f t="shared" si="13"/>
        <v>7344.91</v>
      </c>
      <c r="H458" s="17">
        <v>3687.29</v>
      </c>
      <c r="I458" s="17">
        <f t="shared" si="14"/>
        <v>3657.62</v>
      </c>
      <c r="K458" s="7"/>
    </row>
    <row r="459" spans="1:11" x14ac:dyDescent="0.2">
      <c r="A459" s="15" t="s">
        <v>25</v>
      </c>
      <c r="B459" s="15">
        <v>4168</v>
      </c>
      <c r="C459" s="15">
        <v>7</v>
      </c>
      <c r="D459" s="15" t="s">
        <v>470</v>
      </c>
      <c r="E459" s="3">
        <v>120.46</v>
      </c>
      <c r="G459" s="17">
        <f t="shared" si="13"/>
        <v>3459.77</v>
      </c>
      <c r="H459" s="17">
        <v>1736.87</v>
      </c>
      <c r="I459" s="17">
        <f t="shared" si="14"/>
        <v>1722.9</v>
      </c>
      <c r="K459" s="7"/>
    </row>
    <row r="460" spans="1:11" x14ac:dyDescent="0.2">
      <c r="A460" s="15" t="s">
        <v>25</v>
      </c>
      <c r="B460" s="15">
        <v>4169</v>
      </c>
      <c r="C460" s="15">
        <v>7</v>
      </c>
      <c r="D460" s="15" t="s">
        <v>471</v>
      </c>
      <c r="E460" s="3">
        <v>218.11</v>
      </c>
      <c r="G460" s="17">
        <f t="shared" si="13"/>
        <v>6264.41</v>
      </c>
      <c r="H460" s="17">
        <v>3149.61</v>
      </c>
      <c r="I460" s="17">
        <f t="shared" si="14"/>
        <v>3114.7999999999997</v>
      </c>
      <c r="K460" s="7"/>
    </row>
    <row r="461" spans="1:11" x14ac:dyDescent="0.2">
      <c r="A461" s="15" t="s">
        <v>25</v>
      </c>
      <c r="B461" s="15">
        <v>4170</v>
      </c>
      <c r="C461" s="15">
        <v>7</v>
      </c>
      <c r="D461" s="15" t="s">
        <v>472</v>
      </c>
      <c r="E461" s="3">
        <v>502.1</v>
      </c>
      <c r="G461" s="17">
        <f t="shared" si="13"/>
        <v>14420.98</v>
      </c>
      <c r="H461" s="17">
        <v>7249.13</v>
      </c>
      <c r="I461" s="17">
        <f t="shared" si="14"/>
        <v>7171.8499999999995</v>
      </c>
      <c r="K461" s="7"/>
    </row>
    <row r="462" spans="1:11" x14ac:dyDescent="0.2">
      <c r="A462" s="15" t="s">
        <v>25</v>
      </c>
      <c r="B462" s="15">
        <v>4171</v>
      </c>
      <c r="C462" s="15">
        <v>7</v>
      </c>
      <c r="D462" s="15" t="s">
        <v>473</v>
      </c>
      <c r="E462" s="3">
        <v>465.44</v>
      </c>
      <c r="G462" s="17">
        <f t="shared" si="13"/>
        <v>13368.06</v>
      </c>
      <c r="H462" s="17">
        <v>6653.78</v>
      </c>
      <c r="I462" s="17">
        <f t="shared" si="14"/>
        <v>6714.28</v>
      </c>
      <c r="K462" s="7"/>
    </row>
    <row r="463" spans="1:11" x14ac:dyDescent="0.2">
      <c r="A463" s="15" t="s">
        <v>25</v>
      </c>
      <c r="B463" s="15">
        <v>4172</v>
      </c>
      <c r="C463" s="15">
        <v>7</v>
      </c>
      <c r="D463" s="15" t="s">
        <v>474</v>
      </c>
      <c r="E463" s="3">
        <v>62.1</v>
      </c>
      <c r="G463" s="17">
        <f t="shared" si="13"/>
        <v>1783.59</v>
      </c>
      <c r="H463" s="17">
        <v>895.4</v>
      </c>
      <c r="I463" s="17">
        <f t="shared" si="14"/>
        <v>888.18999999999994</v>
      </c>
      <c r="K463" s="7"/>
    </row>
    <row r="464" spans="1:11" x14ac:dyDescent="0.2">
      <c r="A464" s="15" t="s">
        <v>25</v>
      </c>
      <c r="B464" s="15">
        <v>4173</v>
      </c>
      <c r="C464" s="15">
        <v>7</v>
      </c>
      <c r="D464" s="15" t="s">
        <v>475</v>
      </c>
      <c r="E464" s="3">
        <v>0</v>
      </c>
      <c r="G464" s="17">
        <v>818.69</v>
      </c>
      <c r="H464" s="17">
        <v>818.69</v>
      </c>
      <c r="I464" s="17">
        <f t="shared" si="14"/>
        <v>0</v>
      </c>
      <c r="K464" s="7"/>
    </row>
    <row r="465" spans="1:11" x14ac:dyDescent="0.2">
      <c r="A465" s="15" t="s">
        <v>25</v>
      </c>
      <c r="B465" s="15">
        <v>4177</v>
      </c>
      <c r="C465" s="15">
        <v>7</v>
      </c>
      <c r="D465" s="15" t="s">
        <v>476</v>
      </c>
      <c r="E465" s="3">
        <v>27</v>
      </c>
      <c r="G465" s="17">
        <f t="shared" ref="G465:G496" si="15">ROUND(E465*$G$6,2)</f>
        <v>775.48</v>
      </c>
      <c r="H465" s="17">
        <v>389.02</v>
      </c>
      <c r="I465" s="17">
        <f t="shared" si="14"/>
        <v>386.46000000000004</v>
      </c>
      <c r="K465" s="7"/>
    </row>
    <row r="466" spans="1:11" x14ac:dyDescent="0.2">
      <c r="A466" s="15" t="s">
        <v>25</v>
      </c>
      <c r="B466" s="15">
        <v>4178</v>
      </c>
      <c r="C466" s="15">
        <v>7</v>
      </c>
      <c r="D466" s="15" t="s">
        <v>477</v>
      </c>
      <c r="E466" s="3">
        <v>137.86000000000001</v>
      </c>
      <c r="G466" s="17">
        <f t="shared" si="15"/>
        <v>3959.52</v>
      </c>
      <c r="H466" s="17">
        <v>2001.74</v>
      </c>
      <c r="I466" s="17">
        <f t="shared" si="14"/>
        <v>1957.78</v>
      </c>
      <c r="K466" s="7"/>
    </row>
    <row r="467" spans="1:11" x14ac:dyDescent="0.2">
      <c r="A467" s="15" t="s">
        <v>25</v>
      </c>
      <c r="B467" s="15">
        <v>4181</v>
      </c>
      <c r="C467" s="15">
        <v>7</v>
      </c>
      <c r="D467" s="15" t="s">
        <v>478</v>
      </c>
      <c r="E467" s="3">
        <v>879.92</v>
      </c>
      <c r="G467" s="17">
        <f t="shared" si="15"/>
        <v>25272.48</v>
      </c>
      <c r="H467" s="17">
        <v>12684.97</v>
      </c>
      <c r="I467" s="17">
        <f t="shared" si="14"/>
        <v>12587.51</v>
      </c>
      <c r="K467" s="7"/>
    </row>
    <row r="468" spans="1:11" x14ac:dyDescent="0.2">
      <c r="A468" s="15" t="s">
        <v>25</v>
      </c>
      <c r="B468" s="15">
        <v>4183</v>
      </c>
      <c r="C468" s="15">
        <v>7</v>
      </c>
      <c r="D468" s="15" t="s">
        <v>479</v>
      </c>
      <c r="E468" s="3">
        <v>147.86000000000001</v>
      </c>
      <c r="G468" s="17">
        <f t="shared" si="15"/>
        <v>4246.74</v>
      </c>
      <c r="H468" s="17">
        <v>2131.8000000000002</v>
      </c>
      <c r="I468" s="17">
        <f t="shared" si="14"/>
        <v>2114.9399999999996</v>
      </c>
      <c r="K468" s="7"/>
    </row>
    <row r="469" spans="1:11" x14ac:dyDescent="0.2">
      <c r="A469" s="15" t="s">
        <v>25</v>
      </c>
      <c r="B469" s="15">
        <v>4184</v>
      </c>
      <c r="C469" s="15">
        <v>7</v>
      </c>
      <c r="D469" s="15" t="s">
        <v>480</v>
      </c>
      <c r="E469" s="3">
        <v>417.32</v>
      </c>
      <c r="G469" s="17">
        <f t="shared" si="15"/>
        <v>11985.99</v>
      </c>
      <c r="H469" s="17">
        <v>6017.2</v>
      </c>
      <c r="I469" s="17">
        <f t="shared" si="14"/>
        <v>5968.79</v>
      </c>
      <c r="K469" s="7"/>
    </row>
    <row r="470" spans="1:11" x14ac:dyDescent="0.2">
      <c r="A470" s="15" t="s">
        <v>25</v>
      </c>
      <c r="B470" s="15">
        <v>4185</v>
      </c>
      <c r="C470" s="15">
        <v>7</v>
      </c>
      <c r="D470" s="15" t="s">
        <v>481</v>
      </c>
      <c r="E470" s="3">
        <v>410.22</v>
      </c>
      <c r="G470" s="17">
        <f t="shared" si="15"/>
        <v>11782.07</v>
      </c>
      <c r="H470" s="17">
        <v>5913.1</v>
      </c>
      <c r="I470" s="17">
        <f t="shared" si="14"/>
        <v>5868.9699999999993</v>
      </c>
      <c r="K470" s="7"/>
    </row>
    <row r="471" spans="1:11" x14ac:dyDescent="0.2">
      <c r="A471" s="15" t="s">
        <v>25</v>
      </c>
      <c r="B471" s="15">
        <v>4186</v>
      </c>
      <c r="C471" s="15">
        <v>7</v>
      </c>
      <c r="D471" s="15" t="s">
        <v>482</v>
      </c>
      <c r="E471" s="3">
        <v>421.97</v>
      </c>
      <c r="G471" s="17">
        <f t="shared" si="15"/>
        <v>12119.54</v>
      </c>
      <c r="H471" s="17">
        <v>6073.58</v>
      </c>
      <c r="I471" s="17">
        <f t="shared" si="14"/>
        <v>6045.9600000000009</v>
      </c>
      <c r="K471" s="7"/>
    </row>
    <row r="472" spans="1:11" x14ac:dyDescent="0.2">
      <c r="A472" s="15" t="s">
        <v>25</v>
      </c>
      <c r="B472" s="15">
        <v>4187</v>
      </c>
      <c r="C472" s="15">
        <v>7</v>
      </c>
      <c r="D472" s="15" t="s">
        <v>483</v>
      </c>
      <c r="E472" s="3">
        <v>51.65</v>
      </c>
      <c r="G472" s="17">
        <f t="shared" si="15"/>
        <v>1483.46</v>
      </c>
      <c r="H472" s="17">
        <v>744.72</v>
      </c>
      <c r="I472" s="17">
        <f t="shared" si="14"/>
        <v>738.74</v>
      </c>
      <c r="K472" s="7"/>
    </row>
    <row r="473" spans="1:11" x14ac:dyDescent="0.2">
      <c r="A473" s="15" t="s">
        <v>25</v>
      </c>
      <c r="B473" s="15">
        <v>4188</v>
      </c>
      <c r="C473" s="15">
        <v>7</v>
      </c>
      <c r="D473" s="15" t="s">
        <v>484</v>
      </c>
      <c r="E473" s="3">
        <v>385.47</v>
      </c>
      <c r="G473" s="17">
        <f t="shared" si="15"/>
        <v>11071.21</v>
      </c>
      <c r="H473" s="17">
        <v>5557.97</v>
      </c>
      <c r="I473" s="17">
        <f t="shared" si="14"/>
        <v>5513.2399999999989</v>
      </c>
      <c r="K473" s="7"/>
    </row>
    <row r="474" spans="1:11" x14ac:dyDescent="0.2">
      <c r="A474" s="15" t="s">
        <v>25</v>
      </c>
      <c r="B474" s="15">
        <v>4189</v>
      </c>
      <c r="C474" s="15">
        <v>7</v>
      </c>
      <c r="D474" s="15" t="s">
        <v>485</v>
      </c>
      <c r="E474" s="3">
        <v>139.16999999999999</v>
      </c>
      <c r="G474" s="17">
        <f t="shared" si="15"/>
        <v>3997.15</v>
      </c>
      <c r="H474" s="17">
        <v>1926.19</v>
      </c>
      <c r="I474" s="17">
        <f t="shared" si="14"/>
        <v>2070.96</v>
      </c>
      <c r="K474" s="7"/>
    </row>
    <row r="475" spans="1:11" x14ac:dyDescent="0.2">
      <c r="A475" s="15" t="s">
        <v>25</v>
      </c>
      <c r="B475" s="15">
        <v>4190</v>
      </c>
      <c r="C475" s="15">
        <v>7</v>
      </c>
      <c r="D475" s="15" t="s">
        <v>486</v>
      </c>
      <c r="E475" s="3">
        <v>58.72</v>
      </c>
      <c r="G475" s="17">
        <f t="shared" si="15"/>
        <v>1686.52</v>
      </c>
      <c r="H475" s="17">
        <v>873.92</v>
      </c>
      <c r="I475" s="17">
        <f t="shared" si="14"/>
        <v>812.6</v>
      </c>
      <c r="K475" s="7"/>
    </row>
    <row r="476" spans="1:11" x14ac:dyDescent="0.2">
      <c r="A476" s="15" t="s">
        <v>25</v>
      </c>
      <c r="B476" s="15">
        <v>4191</v>
      </c>
      <c r="C476" s="15">
        <v>7</v>
      </c>
      <c r="D476" s="15" t="s">
        <v>487</v>
      </c>
      <c r="E476" s="3">
        <v>144.07</v>
      </c>
      <c r="G476" s="17">
        <f t="shared" si="15"/>
        <v>4137.88</v>
      </c>
      <c r="H476" s="17">
        <v>2080.04</v>
      </c>
      <c r="I476" s="17">
        <f t="shared" si="14"/>
        <v>2057.84</v>
      </c>
      <c r="K476" s="7"/>
    </row>
    <row r="477" spans="1:11" x14ac:dyDescent="0.2">
      <c r="A477" s="15" t="s">
        <v>25</v>
      </c>
      <c r="B477" s="15">
        <v>4192</v>
      </c>
      <c r="C477" s="15">
        <v>7</v>
      </c>
      <c r="D477" s="15" t="s">
        <v>488</v>
      </c>
      <c r="E477" s="3">
        <v>471.94</v>
      </c>
      <c r="G477" s="17">
        <f t="shared" si="15"/>
        <v>13554.75</v>
      </c>
      <c r="H477" s="17">
        <v>6804.75</v>
      </c>
      <c r="I477" s="17">
        <f t="shared" si="14"/>
        <v>6750</v>
      </c>
      <c r="K477" s="7"/>
    </row>
    <row r="478" spans="1:11" x14ac:dyDescent="0.2">
      <c r="A478" s="15" t="s">
        <v>25</v>
      </c>
      <c r="B478" s="15">
        <v>4193</v>
      </c>
      <c r="C478" s="15">
        <v>7</v>
      </c>
      <c r="D478" s="15" t="s">
        <v>489</v>
      </c>
      <c r="E478" s="3">
        <v>261.49</v>
      </c>
      <c r="G478" s="17">
        <f t="shared" si="15"/>
        <v>7510.34</v>
      </c>
      <c r="H478" s="17">
        <v>3770.34</v>
      </c>
      <c r="I478" s="17">
        <f t="shared" si="14"/>
        <v>3740</v>
      </c>
      <c r="K478" s="7"/>
    </row>
    <row r="479" spans="1:11" x14ac:dyDescent="0.2">
      <c r="A479" s="15" t="s">
        <v>25</v>
      </c>
      <c r="B479" s="15">
        <v>4194</v>
      </c>
      <c r="C479" s="15">
        <v>7</v>
      </c>
      <c r="D479" s="15" t="s">
        <v>490</v>
      </c>
      <c r="E479" s="3">
        <v>255.74</v>
      </c>
      <c r="G479" s="17">
        <f t="shared" si="15"/>
        <v>7345.19</v>
      </c>
      <c r="H479" s="17">
        <v>3687.43</v>
      </c>
      <c r="I479" s="17">
        <f t="shared" si="14"/>
        <v>3657.7599999999998</v>
      </c>
      <c r="K479" s="7"/>
    </row>
    <row r="480" spans="1:11" x14ac:dyDescent="0.2">
      <c r="A480" s="15" t="s">
        <v>25</v>
      </c>
      <c r="B480" s="15">
        <v>4195</v>
      </c>
      <c r="C480" s="15">
        <v>7</v>
      </c>
      <c r="D480" s="15" t="s">
        <v>491</v>
      </c>
      <c r="E480" s="3">
        <v>33.700000000000003</v>
      </c>
      <c r="G480" s="17">
        <f t="shared" si="15"/>
        <v>967.91</v>
      </c>
      <c r="H480" s="17">
        <v>485.91</v>
      </c>
      <c r="I480" s="17">
        <f t="shared" si="14"/>
        <v>481.99999999999994</v>
      </c>
      <c r="K480" s="7"/>
    </row>
    <row r="481" spans="1:11" x14ac:dyDescent="0.2">
      <c r="A481" s="15" t="s">
        <v>25</v>
      </c>
      <c r="B481" s="15">
        <v>4198</v>
      </c>
      <c r="C481" s="15">
        <v>7</v>
      </c>
      <c r="D481" s="15" t="s">
        <v>492</v>
      </c>
      <c r="E481" s="3">
        <v>109.49</v>
      </c>
      <c r="G481" s="17">
        <f t="shared" si="15"/>
        <v>3144.7</v>
      </c>
      <c r="H481" s="17">
        <v>1578.7</v>
      </c>
      <c r="I481" s="17">
        <f t="shared" ref="I481:I496" si="16">G481-H481</f>
        <v>1565.9999999999998</v>
      </c>
      <c r="K481" s="7"/>
    </row>
    <row r="482" spans="1:11" x14ac:dyDescent="0.2">
      <c r="A482" s="15" t="s">
        <v>25</v>
      </c>
      <c r="B482" s="15">
        <v>4199</v>
      </c>
      <c r="C482" s="15">
        <v>7</v>
      </c>
      <c r="D482" s="15" t="s">
        <v>493</v>
      </c>
      <c r="E482" s="3">
        <v>604.70000000000005</v>
      </c>
      <c r="G482" s="17">
        <f t="shared" si="15"/>
        <v>17367.79</v>
      </c>
      <c r="H482" s="17">
        <v>8740.74</v>
      </c>
      <c r="I482" s="17">
        <f t="shared" si="16"/>
        <v>8627.0500000000011</v>
      </c>
      <c r="K482" s="7"/>
    </row>
    <row r="483" spans="1:11" x14ac:dyDescent="0.2">
      <c r="A483" s="15" t="s">
        <v>25</v>
      </c>
      <c r="B483" s="15">
        <v>4200</v>
      </c>
      <c r="C483" s="15">
        <v>7</v>
      </c>
      <c r="D483" s="15" t="s">
        <v>494</v>
      </c>
      <c r="E483" s="3">
        <v>160.49</v>
      </c>
      <c r="G483" s="17">
        <f t="shared" si="15"/>
        <v>4609.49</v>
      </c>
      <c r="H483" s="17">
        <v>2314.0500000000002</v>
      </c>
      <c r="I483" s="17">
        <f t="shared" si="16"/>
        <v>2295.4399999999996</v>
      </c>
      <c r="K483" s="7"/>
    </row>
    <row r="484" spans="1:11" x14ac:dyDescent="0.2">
      <c r="A484" s="15" t="s">
        <v>25</v>
      </c>
      <c r="B484" s="15">
        <v>4201</v>
      </c>
      <c r="C484" s="15">
        <v>7</v>
      </c>
      <c r="D484" s="15" t="s">
        <v>495</v>
      </c>
      <c r="E484" s="3">
        <v>81.34</v>
      </c>
      <c r="G484" s="17">
        <f t="shared" si="15"/>
        <v>2336.19</v>
      </c>
      <c r="H484" s="17">
        <v>1172.81</v>
      </c>
      <c r="I484" s="17">
        <f t="shared" si="16"/>
        <v>1163.3800000000001</v>
      </c>
      <c r="K484" s="7"/>
    </row>
    <row r="485" spans="1:11" x14ac:dyDescent="0.2">
      <c r="A485" s="15" t="s">
        <v>25</v>
      </c>
      <c r="B485" s="15">
        <v>4203</v>
      </c>
      <c r="C485" s="15">
        <v>7</v>
      </c>
      <c r="D485" s="15" t="s">
        <v>496</v>
      </c>
      <c r="E485" s="3">
        <v>48.99</v>
      </c>
      <c r="G485" s="17">
        <f t="shared" si="15"/>
        <v>1407.06</v>
      </c>
      <c r="H485" s="17">
        <v>706.08</v>
      </c>
      <c r="I485" s="17">
        <f t="shared" si="16"/>
        <v>700.9799999999999</v>
      </c>
      <c r="K485" s="7"/>
    </row>
    <row r="486" spans="1:11" x14ac:dyDescent="0.2">
      <c r="A486" s="15" t="s">
        <v>25</v>
      </c>
      <c r="B486" s="15">
        <v>4204</v>
      </c>
      <c r="C486" s="15">
        <v>7</v>
      </c>
      <c r="D486" s="15" t="s">
        <v>497</v>
      </c>
      <c r="E486" s="3">
        <v>61.2</v>
      </c>
      <c r="G486" s="17">
        <f t="shared" si="15"/>
        <v>1757.75</v>
      </c>
      <c r="H486" s="17">
        <v>882.28</v>
      </c>
      <c r="I486" s="17">
        <f t="shared" si="16"/>
        <v>875.47</v>
      </c>
      <c r="K486" s="7"/>
    </row>
    <row r="487" spans="1:11" x14ac:dyDescent="0.2">
      <c r="A487" s="15" t="s">
        <v>25</v>
      </c>
      <c r="B487" s="15">
        <v>4205</v>
      </c>
      <c r="C487" s="15">
        <v>7</v>
      </c>
      <c r="D487" s="15" t="s">
        <v>498</v>
      </c>
      <c r="E487" s="3">
        <v>142.1</v>
      </c>
      <c r="G487" s="17">
        <f t="shared" si="15"/>
        <v>4081.3</v>
      </c>
      <c r="H487" s="17">
        <v>2017.6</v>
      </c>
      <c r="I487" s="17">
        <f t="shared" si="16"/>
        <v>2063.7000000000003</v>
      </c>
      <c r="K487" s="7"/>
    </row>
    <row r="488" spans="1:11" x14ac:dyDescent="0.2">
      <c r="A488" s="15" t="s">
        <v>25</v>
      </c>
      <c r="B488" s="15">
        <v>4207</v>
      </c>
      <c r="C488" s="15">
        <v>7</v>
      </c>
      <c r="D488" s="15" t="s">
        <v>499</v>
      </c>
      <c r="E488" s="3">
        <v>58</v>
      </c>
      <c r="G488" s="17">
        <f t="shared" si="15"/>
        <v>1665.84</v>
      </c>
      <c r="H488" s="17">
        <v>980.47</v>
      </c>
      <c r="I488" s="17">
        <f t="shared" si="16"/>
        <v>685.36999999999989</v>
      </c>
      <c r="K488" s="7"/>
    </row>
    <row r="489" spans="1:11" x14ac:dyDescent="0.2">
      <c r="A489" s="15" t="s">
        <v>25</v>
      </c>
      <c r="B489" s="15">
        <v>4208</v>
      </c>
      <c r="C489" s="15">
        <v>7</v>
      </c>
      <c r="D489" s="15" t="s">
        <v>500</v>
      </c>
      <c r="E489" s="3">
        <v>118.8</v>
      </c>
      <c r="G489" s="17">
        <f t="shared" si="15"/>
        <v>3412.09</v>
      </c>
      <c r="H489" s="17">
        <v>1712.94</v>
      </c>
      <c r="I489" s="17">
        <f t="shared" si="16"/>
        <v>1699.15</v>
      </c>
      <c r="K489" s="7"/>
    </row>
    <row r="490" spans="1:11" x14ac:dyDescent="0.2">
      <c r="A490" s="15" t="s">
        <v>25</v>
      </c>
      <c r="B490" s="15">
        <v>4209</v>
      </c>
      <c r="C490" s="15">
        <v>7</v>
      </c>
      <c r="D490" s="15" t="s">
        <v>501</v>
      </c>
      <c r="E490" s="3">
        <v>142.16</v>
      </c>
      <c r="G490" s="17">
        <f t="shared" si="15"/>
        <v>4083.02</v>
      </c>
      <c r="H490" s="17">
        <v>2045.14</v>
      </c>
      <c r="I490" s="17">
        <f t="shared" si="16"/>
        <v>2037.8799999999999</v>
      </c>
      <c r="K490" s="7"/>
    </row>
    <row r="491" spans="1:11" x14ac:dyDescent="0.2">
      <c r="A491" s="15" t="s">
        <v>25</v>
      </c>
      <c r="B491" s="15">
        <v>4210</v>
      </c>
      <c r="C491" s="15">
        <v>7</v>
      </c>
      <c r="D491" s="15" t="s">
        <v>502</v>
      </c>
      <c r="E491" s="3">
        <v>174</v>
      </c>
      <c r="G491" s="17">
        <f t="shared" si="15"/>
        <v>4997.51</v>
      </c>
      <c r="H491" s="17">
        <v>3835.37</v>
      </c>
      <c r="I491" s="17">
        <f t="shared" si="16"/>
        <v>1162.1400000000003</v>
      </c>
      <c r="K491" s="7"/>
    </row>
    <row r="492" spans="1:11" x14ac:dyDescent="0.2">
      <c r="A492" s="15" t="s">
        <v>25</v>
      </c>
      <c r="B492" s="15">
        <v>4211</v>
      </c>
      <c r="C492" s="15">
        <v>7</v>
      </c>
      <c r="D492" s="15" t="s">
        <v>503</v>
      </c>
      <c r="E492" s="3">
        <v>67</v>
      </c>
      <c r="G492" s="17">
        <f t="shared" si="15"/>
        <v>1924.33</v>
      </c>
      <c r="H492" s="17">
        <v>1513.96</v>
      </c>
      <c r="I492" s="17">
        <f t="shared" si="16"/>
        <v>410.36999999999989</v>
      </c>
      <c r="K492" s="7"/>
    </row>
    <row r="493" spans="1:11" x14ac:dyDescent="0.2">
      <c r="A493" s="15" t="s">
        <v>25</v>
      </c>
      <c r="B493" s="15">
        <v>4212</v>
      </c>
      <c r="C493" s="15">
        <v>7</v>
      </c>
      <c r="D493" s="15" t="s">
        <v>504</v>
      </c>
      <c r="E493" s="3">
        <v>96</v>
      </c>
      <c r="G493" s="17">
        <f t="shared" si="15"/>
        <v>2757.25</v>
      </c>
      <c r="H493" s="17">
        <v>1441.87</v>
      </c>
      <c r="I493" s="17">
        <f t="shared" si="16"/>
        <v>1315.38</v>
      </c>
      <c r="K493" s="7"/>
    </row>
    <row r="494" spans="1:11" x14ac:dyDescent="0.2">
      <c r="A494" s="15" t="s">
        <v>25</v>
      </c>
      <c r="B494" s="15">
        <v>4213</v>
      </c>
      <c r="C494" s="15">
        <v>7</v>
      </c>
      <c r="D494" s="15" t="s">
        <v>505</v>
      </c>
      <c r="E494" s="3">
        <v>63</v>
      </c>
      <c r="G494" s="17">
        <f t="shared" si="15"/>
        <v>1809.44</v>
      </c>
      <c r="H494" s="17">
        <v>1124.6600000000001</v>
      </c>
      <c r="I494" s="17">
        <f t="shared" si="16"/>
        <v>684.78</v>
      </c>
      <c r="K494" s="7"/>
    </row>
    <row r="495" spans="1:11" x14ac:dyDescent="0.2">
      <c r="A495" s="15" t="s">
        <v>25</v>
      </c>
      <c r="B495" s="15">
        <v>4214</v>
      </c>
      <c r="C495" s="15">
        <v>7</v>
      </c>
      <c r="D495" s="15" t="s">
        <v>506</v>
      </c>
      <c r="E495" s="3">
        <v>39</v>
      </c>
      <c r="G495" s="17">
        <f t="shared" si="15"/>
        <v>1120.1300000000001</v>
      </c>
      <c r="H495" s="17">
        <v>951.63</v>
      </c>
      <c r="I495" s="17">
        <f t="shared" si="16"/>
        <v>168.50000000000011</v>
      </c>
      <c r="K495" s="7"/>
    </row>
    <row r="496" spans="1:11" x14ac:dyDescent="0.2">
      <c r="A496" s="15" t="s">
        <v>25</v>
      </c>
      <c r="B496" s="15">
        <v>4218</v>
      </c>
      <c r="C496" s="15">
        <v>7</v>
      </c>
      <c r="D496" s="15" t="s">
        <v>507</v>
      </c>
      <c r="E496" s="3">
        <v>112</v>
      </c>
      <c r="G496" s="17">
        <f t="shared" si="15"/>
        <v>3216.79</v>
      </c>
      <c r="H496" s="17">
        <v>1730.24</v>
      </c>
      <c r="I496" s="17">
        <f t="shared" si="16"/>
        <v>1486.55</v>
      </c>
      <c r="K496" s="7"/>
    </row>
    <row r="497" spans="1:1" x14ac:dyDescent="0.2">
      <c r="A497" s="15" t="s">
        <v>511</v>
      </c>
    </row>
  </sheetData>
  <printOptions gridLines="1"/>
  <pageMargins left="0.75" right="0.5" top="0.6" bottom="0.5" header="0.3" footer="0.25"/>
  <pageSetup scale="58" fitToHeight="13" orientation="landscape" r:id="rId1"/>
  <headerFooter>
    <oddHeader>&amp;LMDE, Program Finance&amp;RCorrected October 10, 2013</oddHead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March 15th Payment-Final AC</vt:lpstr>
      <vt:lpstr>'March 15th Payment-Final AC'!Print_Titles</vt:lpstr>
      <vt:lpstr>TitleRegion1.a2.i496.1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VanOeveren, Jon</dc:creator>
  <cp:lastModifiedBy>Goebel, Chelsea</cp:lastModifiedBy>
  <dcterms:created xsi:type="dcterms:W3CDTF">2014-06-12T14:48:07Z</dcterms:created>
  <dcterms:modified xsi:type="dcterms:W3CDTF">2014-06-13T13:00:43Z</dcterms:modified>
</cp:coreProperties>
</file>