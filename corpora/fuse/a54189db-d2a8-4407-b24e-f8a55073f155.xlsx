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7560" windowHeight="7656"/>
  </bookViews>
  <sheets>
    <sheet name="Expense Report as of 1_1_13" sheetId="1" r:id="rId1"/>
    <sheet name="CHANGE RATE IN CELL" sheetId="2" state="hidden" r:id="rId2"/>
  </sheets>
  <calcPr calcId="145621"/>
</workbook>
</file>

<file path=xl/calcChain.xml><?xml version="1.0" encoding="utf-8"?>
<calcChain xmlns="http://schemas.openxmlformats.org/spreadsheetml/2006/main">
  <c r="J40" i="1" l="1"/>
  <c r="B23" i="1"/>
  <c r="B31" i="1"/>
  <c r="J41" i="1"/>
  <c r="C23" i="1"/>
  <c r="C31" i="1"/>
  <c r="J42" i="1"/>
  <c r="D23" i="1" s="1"/>
  <c r="D31" i="1" s="1"/>
  <c r="J43" i="1"/>
  <c r="E23" i="1"/>
  <c r="J44" i="1"/>
  <c r="F23" i="1"/>
  <c r="J45" i="1"/>
  <c r="G23" i="1"/>
  <c r="G31" i="1"/>
  <c r="J46" i="1"/>
  <c r="H23" i="1"/>
  <c r="H31" i="1"/>
  <c r="E3" i="1"/>
  <c r="E2" i="1"/>
  <c r="I27" i="1"/>
  <c r="I26" i="1"/>
  <c r="I15" i="1"/>
  <c r="I16" i="1"/>
  <c r="I17" i="1"/>
  <c r="I18" i="1"/>
  <c r="I19" i="1"/>
  <c r="I20" i="1"/>
  <c r="I21" i="1"/>
  <c r="I22" i="1"/>
  <c r="I24" i="1"/>
  <c r="I25" i="1"/>
  <c r="I28" i="1"/>
  <c r="I29" i="1"/>
  <c r="I30" i="1"/>
  <c r="F31" i="1"/>
  <c r="E31" i="1"/>
  <c r="I23" i="1" l="1"/>
  <c r="I31" i="1" s="1"/>
</calcChain>
</file>

<file path=xl/sharedStrings.xml><?xml version="1.0" encoding="utf-8"?>
<sst xmlns="http://schemas.openxmlformats.org/spreadsheetml/2006/main" count="102" uniqueCount="79">
  <si>
    <t>STATE OF MARYLAND EXPENSE ACCOUNT</t>
  </si>
  <si>
    <t>Department</t>
  </si>
  <si>
    <t xml:space="preserve"> </t>
  </si>
  <si>
    <t>Unit  or   Division</t>
  </si>
  <si>
    <t>Agency    Code</t>
  </si>
  <si>
    <t>Employee Social Security No.</t>
  </si>
  <si>
    <t>Employee   Name</t>
  </si>
  <si>
    <t>and    Address</t>
  </si>
  <si>
    <t>Assigned   Office   Location     (City)</t>
  </si>
  <si>
    <t xml:space="preserve">       One Way Commute Miles</t>
  </si>
  <si>
    <t>For   Period    Beginning</t>
  </si>
  <si>
    <t xml:space="preserve">     And Ending</t>
  </si>
  <si>
    <t xml:space="preserve">                               Date</t>
  </si>
  <si>
    <t xml:space="preserve">                               Day</t>
  </si>
  <si>
    <t>SUNDAY</t>
  </si>
  <si>
    <t>MONDAY</t>
  </si>
  <si>
    <t>TUESDAY</t>
  </si>
  <si>
    <t>WEDNESDAY</t>
  </si>
  <si>
    <t>THURSDAY</t>
  </si>
  <si>
    <t>FRIDAY</t>
  </si>
  <si>
    <t>SATURDAY</t>
  </si>
  <si>
    <t>TOTALS</t>
  </si>
  <si>
    <t>Hotel</t>
  </si>
  <si>
    <t>Breakfast</t>
  </si>
  <si>
    <t>Lunch</t>
  </si>
  <si>
    <t>Dinner</t>
  </si>
  <si>
    <t>Telephone</t>
  </si>
  <si>
    <t>Fare (Indicate below)</t>
  </si>
  <si>
    <t>Taxi</t>
  </si>
  <si>
    <t>Bridge or Road Tolls</t>
  </si>
  <si>
    <t>Mileage * (See Below)</t>
  </si>
  <si>
    <t>Parking</t>
  </si>
  <si>
    <t>Registration Fee</t>
  </si>
  <si>
    <t>Totals</t>
  </si>
  <si>
    <t>Method of Travel</t>
  </si>
  <si>
    <t xml:space="preserve">                      (Specify)</t>
  </si>
  <si>
    <t>Date</t>
  </si>
  <si>
    <t xml:space="preserve">                         Time</t>
  </si>
  <si>
    <t>Total</t>
  </si>
  <si>
    <t xml:space="preserve">Total  </t>
  </si>
  <si>
    <t>Reimb.</t>
  </si>
  <si>
    <t>Day</t>
  </si>
  <si>
    <t>Start</t>
  </si>
  <si>
    <t>End</t>
  </si>
  <si>
    <t xml:space="preserve">     TERRITORY COVERED INCURRING ABOVE EXPENSES</t>
  </si>
  <si>
    <t>Miles</t>
  </si>
  <si>
    <t>Commute Miles</t>
  </si>
  <si>
    <t>Miles*</t>
  </si>
  <si>
    <t>Sunday</t>
  </si>
  <si>
    <t>Monday</t>
  </si>
  <si>
    <t>Tuesday</t>
  </si>
  <si>
    <t>Wednesday</t>
  </si>
  <si>
    <t>Thursday</t>
  </si>
  <si>
    <t>Friday</t>
  </si>
  <si>
    <t>Saturday</t>
  </si>
  <si>
    <t>*Compute equal to total miles less total commute miles, if applicable.</t>
  </si>
  <si>
    <t xml:space="preserve">                 Date</t>
  </si>
  <si>
    <t>(Signature of employee)</t>
  </si>
  <si>
    <t xml:space="preserve">                        Approved by</t>
  </si>
  <si>
    <t xml:space="preserve">     Approved by</t>
  </si>
  <si>
    <t>Immediate Supervisor</t>
  </si>
  <si>
    <t>Authorized Signature</t>
  </si>
  <si>
    <t xml:space="preserve">             Title </t>
  </si>
  <si>
    <t>COTGAD - X-5  (3/92)</t>
  </si>
  <si>
    <r>
      <t xml:space="preserve">PREVIOUS RATE: </t>
    </r>
    <r>
      <rPr>
        <sz val="10"/>
        <rFont val="Arial"/>
      </rPr>
      <t xml:space="preserve">    </t>
    </r>
  </si>
  <si>
    <t xml:space="preserve">NEW RATE:  </t>
  </si>
  <si>
    <t xml:space="preserve">During Period:  </t>
  </si>
  <si>
    <t>to</t>
  </si>
  <si>
    <t>During Period:</t>
  </si>
  <si>
    <t xml:space="preserve">                 Purpose of Travel:</t>
  </si>
  <si>
    <t>CURRENT:</t>
  </si>
  <si>
    <t>XXX</t>
  </si>
  <si>
    <t xml:space="preserve">to </t>
  </si>
  <si>
    <t xml:space="preserve">  Certified just and correct and payment not received</t>
  </si>
  <si>
    <t>Use for reimbursement effective January 1, 2013</t>
  </si>
  <si>
    <t>56.5 ¢ per mile</t>
  </si>
  <si>
    <t>Coppin State University</t>
  </si>
  <si>
    <t>R27</t>
  </si>
  <si>
    <t>Baltimore,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</si>
</sst>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7" formatCode="0.000"/>
    <numFmt numFmtId="169" formatCode="0.0"/>
  </numFmts>
  <fonts count="19" x14ac:knownFonts="1">
    <font>
      <sz val="10"/>
      <name val="Arial"/>
    </font>
    <font>
      <sz val="11"/>
      <name val="Arial"/>
      <family val="2"/>
    </font>
    <font>
      <b/>
      <sz val="11"/>
      <name val="Times New Roman"/>
      <family val="1"/>
    </font>
    <font>
      <sz val="5.5"/>
      <name val="Small Fonts"/>
      <family val="2"/>
    </font>
    <font>
      <sz val="7"/>
      <name val="Small Fonts"/>
      <family val="2"/>
    </font>
    <font>
      <sz val="9"/>
      <name val="Arial"/>
      <family val="2"/>
    </font>
    <font>
      <sz val="7"/>
      <name val="Arial"/>
      <family val="2"/>
    </font>
    <font>
      <sz val="10"/>
      <name val="Arial"/>
      <family val="2"/>
    </font>
    <font>
      <sz val="6"/>
      <name val="Small Fonts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6" fillId="0" borderId="0" xfId="0" applyFont="1"/>
    <xf numFmtId="0" fontId="7" fillId="0" borderId="2" xfId="0" applyFont="1" applyBorder="1" applyProtection="1">
      <protection locked="0"/>
    </xf>
    <xf numFmtId="0" fontId="7" fillId="0" borderId="1" xfId="0" applyFont="1" applyBorder="1" applyProtection="1">
      <protection locked="0"/>
    </xf>
    <xf numFmtId="1" fontId="5" fillId="0" borderId="2" xfId="0" applyNumberFormat="1" applyFont="1" applyBorder="1" applyProtection="1">
      <protection locked="0"/>
    </xf>
    <xf numFmtId="15" fontId="7" fillId="0" borderId="1" xfId="0" applyNumberFormat="1" applyFont="1" applyBorder="1" applyProtection="1">
      <protection locked="0"/>
    </xf>
    <xf numFmtId="15" fontId="7" fillId="0" borderId="2" xfId="0" applyNumberFormat="1" applyFont="1" applyBorder="1" applyProtection="1">
      <protection locked="0"/>
    </xf>
    <xf numFmtId="0" fontId="4" fillId="0" borderId="3" xfId="0" applyFont="1" applyBorder="1" applyAlignment="1">
      <alignment horizontal="left"/>
    </xf>
    <xf numFmtId="14" fontId="5" fillId="0" borderId="3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/>
    </xf>
    <xf numFmtId="0" fontId="4" fillId="0" borderId="3" xfId="0" applyFont="1" applyBorder="1"/>
    <xf numFmtId="2" fontId="0" fillId="0" borderId="3" xfId="0" applyNumberFormat="1" applyBorder="1" applyProtection="1">
      <protection locked="0"/>
    </xf>
    <xf numFmtId="0" fontId="7" fillId="0" borderId="3" xfId="0" applyFont="1" applyBorder="1" applyProtection="1">
      <protection locked="0"/>
    </xf>
    <xf numFmtId="0" fontId="4" fillId="0" borderId="0" xfId="0" applyFont="1" applyBorder="1" applyAlignment="1">
      <alignment horizontal="center"/>
    </xf>
    <xf numFmtId="0" fontId="8" fillId="0" borderId="0" xfId="0" applyFont="1" applyProtection="1">
      <protection locked="0"/>
    </xf>
    <xf numFmtId="2" fontId="8" fillId="0" borderId="0" xfId="0" applyNumberFormat="1" applyFont="1" applyProtection="1">
      <protection locked="0"/>
    </xf>
    <xf numFmtId="2" fontId="5" fillId="0" borderId="2" xfId="0" applyNumberFormat="1" applyFont="1" applyBorder="1" applyProtection="1">
      <protection locked="0"/>
    </xf>
    <xf numFmtId="2" fontId="8" fillId="0" borderId="0" xfId="0" applyNumberFormat="1" applyFont="1"/>
    <xf numFmtId="0" fontId="8" fillId="0" borderId="0" xfId="0" applyFont="1" applyBorder="1"/>
    <xf numFmtId="0" fontId="4" fillId="0" borderId="0" xfId="0" applyFont="1" applyBorder="1"/>
    <xf numFmtId="2" fontId="5" fillId="0" borderId="1" xfId="0" applyNumberFormat="1" applyFont="1" applyBorder="1" applyProtection="1">
      <protection locked="0"/>
    </xf>
    <xf numFmtId="0" fontId="0" fillId="0" borderId="0" xfId="0" applyBorder="1"/>
    <xf numFmtId="2" fontId="0" fillId="0" borderId="0" xfId="0" applyNumberFormat="1" applyBorder="1"/>
    <xf numFmtId="2" fontId="0" fillId="0" borderId="1" xfId="0" applyNumberFormat="1" applyBorder="1"/>
    <xf numFmtId="2" fontId="8" fillId="0" borderId="1" xfId="0" applyNumberFormat="1" applyFont="1" applyBorder="1"/>
    <xf numFmtId="2" fontId="4" fillId="0" borderId="3" xfId="0" applyNumberFormat="1" applyFont="1" applyBorder="1" applyAlignment="1">
      <alignment horizontal="center"/>
    </xf>
    <xf numFmtId="0" fontId="0" fillId="0" borderId="3" xfId="0" applyBorder="1"/>
    <xf numFmtId="2" fontId="6" fillId="0" borderId="4" xfId="0" applyNumberFormat="1" applyFont="1" applyBorder="1"/>
    <xf numFmtId="2" fontId="8" fillId="0" borderId="2" xfId="0" applyNumberFormat="1" applyFont="1" applyBorder="1"/>
    <xf numFmtId="2" fontId="6" fillId="0" borderId="2" xfId="0" applyNumberFormat="1" applyFont="1" applyBorder="1"/>
    <xf numFmtId="2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8" fillId="0" borderId="4" xfId="0" applyNumberFormat="1" applyFont="1" applyBorder="1"/>
    <xf numFmtId="2" fontId="3" fillId="0" borderId="2" xfId="0" applyNumberFormat="1" applyFont="1" applyBorder="1"/>
    <xf numFmtId="2" fontId="6" fillId="0" borderId="6" xfId="0" applyNumberFormat="1" applyFont="1" applyBorder="1"/>
    <xf numFmtId="2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2" fontId="9" fillId="0" borderId="8" xfId="0" applyNumberFormat="1" applyFont="1" applyBorder="1" applyProtection="1">
      <protection locked="0"/>
    </xf>
    <xf numFmtId="2" fontId="9" fillId="0" borderId="1" xfId="0" applyNumberFormat="1" applyFont="1" applyBorder="1" applyProtection="1">
      <protection locked="0"/>
    </xf>
    <xf numFmtId="2" fontId="6" fillId="0" borderId="0" xfId="0" applyNumberFormat="1" applyFont="1"/>
    <xf numFmtId="2" fontId="6" fillId="0" borderId="0" xfId="0" applyNumberFormat="1" applyFont="1" applyAlignment="1"/>
    <xf numFmtId="2" fontId="6" fillId="0" borderId="1" xfId="0" applyNumberFormat="1" applyFont="1" applyBorder="1" applyProtection="1">
      <protection locked="0"/>
    </xf>
    <xf numFmtId="2" fontId="6" fillId="0" borderId="0" xfId="0" applyNumberFormat="1" applyFont="1" applyBorder="1"/>
    <xf numFmtId="0" fontId="0" fillId="0" borderId="1" xfId="0" applyBorder="1" applyProtection="1">
      <protection locked="0"/>
    </xf>
    <xf numFmtId="16" fontId="9" fillId="0" borderId="3" xfId="0" applyNumberFormat="1" applyFont="1" applyBorder="1" applyProtection="1">
      <protection locked="0"/>
    </xf>
    <xf numFmtId="169" fontId="9" fillId="0" borderId="3" xfId="0" applyNumberFormat="1" applyFont="1" applyFill="1" applyBorder="1" applyProtection="1">
      <protection locked="0"/>
    </xf>
    <xf numFmtId="169" fontId="10" fillId="0" borderId="3" xfId="0" applyNumberFormat="1" applyFont="1" applyFill="1" applyBorder="1" applyProtection="1">
      <protection locked="0"/>
    </xf>
    <xf numFmtId="0" fontId="4" fillId="0" borderId="0" xfId="0" applyFont="1" applyBorder="1" applyAlignment="1">
      <alignment vertical="top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167" fontId="7" fillId="0" borderId="0" xfId="0" applyNumberFormat="1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  <xf numFmtId="14" fontId="12" fillId="0" borderId="0" xfId="0" applyNumberFormat="1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167" fontId="0" fillId="2" borderId="0" xfId="0" applyNumberFormat="1" applyFill="1" applyProtection="1">
      <protection hidden="1"/>
    </xf>
    <xf numFmtId="14" fontId="12" fillId="0" borderId="0" xfId="0" applyNumberFormat="1" applyFont="1" applyAlignment="1" applyProtection="1">
      <alignment horizontal="right"/>
      <protection hidden="1"/>
    </xf>
    <xf numFmtId="0" fontId="13" fillId="0" borderId="0" xfId="0" applyFont="1" applyProtection="1">
      <protection hidden="1"/>
    </xf>
    <xf numFmtId="167" fontId="0" fillId="3" borderId="0" xfId="0" applyNumberFormat="1" applyFill="1" applyProtection="1">
      <protection hidden="1"/>
    </xf>
    <xf numFmtId="0" fontId="11" fillId="4" borderId="0" xfId="0" applyFont="1" applyFill="1" applyProtection="1">
      <protection hidden="1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0" fillId="2" borderId="0" xfId="0" applyFill="1"/>
    <xf numFmtId="0" fontId="15" fillId="2" borderId="0" xfId="0" applyFont="1" applyFill="1" applyAlignment="1">
      <alignment horizontal="center"/>
    </xf>
    <xf numFmtId="14" fontId="18" fillId="0" borderId="0" xfId="0" applyNumberFormat="1" applyFont="1"/>
    <xf numFmtId="164" fontId="11" fillId="0" borderId="3" xfId="0" applyNumberFormat="1" applyFont="1" applyFill="1" applyBorder="1" applyProtection="1">
      <protection hidden="1"/>
    </xf>
    <xf numFmtId="2" fontId="11" fillId="0" borderId="3" xfId="0" applyNumberFormat="1" applyFont="1" applyFill="1" applyBorder="1" applyAlignment="1" applyProtection="1">
      <alignment horizontal="right"/>
      <protection hidden="1"/>
    </xf>
    <xf numFmtId="169" fontId="14" fillId="0" borderId="3" xfId="0" applyNumberFormat="1" applyFont="1" applyFill="1" applyBorder="1" applyAlignment="1" applyProtection="1">
      <alignment horizontal="right"/>
      <protection hidden="1"/>
    </xf>
    <xf numFmtId="167" fontId="0" fillId="0" borderId="0" xfId="0" applyNumberFormat="1" applyFill="1" applyProtection="1">
      <protection hidden="1"/>
    </xf>
    <xf numFmtId="0" fontId="0" fillId="0" borderId="0" xfId="0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5"/>
  <sheetViews>
    <sheetView tabSelected="1" workbookViewId="0">
      <selection activeCell="B6" sqref="B6"/>
    </sheetView>
  </sheetViews>
  <sheetFormatPr defaultRowHeight="13.2" x14ac:dyDescent="0.25"/>
  <cols>
    <col min="1" max="1" width="16.6640625" customWidth="1"/>
    <col min="5" max="6" width="9.88671875" customWidth="1"/>
  </cols>
  <sheetData>
    <row r="1" spans="1:9" ht="13.8" x14ac:dyDescent="0.25">
      <c r="C1" s="1"/>
      <c r="D1" s="1"/>
      <c r="E1" s="2" t="s">
        <v>0</v>
      </c>
      <c r="F1" s="1"/>
      <c r="G1" s="1"/>
    </row>
    <row r="2" spans="1:9" ht="13.8" x14ac:dyDescent="0.25">
      <c r="B2" s="68"/>
      <c r="C2" s="69"/>
      <c r="D2" s="69"/>
      <c r="E2" s="67" t="str">
        <f>'CHANGE RATE IN CELL'!A15</f>
        <v>Use for reimbursement effective January 1, 2013</v>
      </c>
      <c r="F2" s="69"/>
      <c r="G2" s="69"/>
      <c r="H2" s="68"/>
    </row>
    <row r="3" spans="1:9" ht="13.8" x14ac:dyDescent="0.25">
      <c r="C3" s="1"/>
      <c r="D3" s="1"/>
      <c r="E3" s="67" t="str">
        <f>'CHANGE RATE IN CELL'!A16</f>
        <v>56.5 ¢ per mile</v>
      </c>
      <c r="F3" s="1"/>
      <c r="G3" s="1"/>
    </row>
    <row r="4" spans="1:9" x14ac:dyDescent="0.25">
      <c r="E4" s="3"/>
    </row>
    <row r="5" spans="1:9" x14ac:dyDescent="0.25">
      <c r="A5" s="4" t="s">
        <v>1</v>
      </c>
      <c r="B5" s="5" t="s">
        <v>76</v>
      </c>
      <c r="C5" s="5"/>
      <c r="D5" s="5"/>
      <c r="E5" s="5"/>
      <c r="F5" s="5"/>
      <c r="G5" s="5"/>
    </row>
    <row r="6" spans="1:9" x14ac:dyDescent="0.25">
      <c r="A6" s="4" t="s">
        <v>3</v>
      </c>
      <c r="B6" s="6"/>
      <c r="C6" s="6"/>
      <c r="D6" s="6"/>
      <c r="E6" s="6"/>
      <c r="F6" s="5"/>
      <c r="G6" s="6"/>
    </row>
    <row r="7" spans="1:9" x14ac:dyDescent="0.25">
      <c r="A7" s="4" t="s">
        <v>4</v>
      </c>
      <c r="B7" s="6" t="s">
        <v>77</v>
      </c>
      <c r="C7" s="6"/>
      <c r="D7" s="4" t="s">
        <v>5</v>
      </c>
      <c r="E7" s="7"/>
      <c r="F7" s="8"/>
      <c r="G7" s="8"/>
    </row>
    <row r="8" spans="1:9" x14ac:dyDescent="0.25">
      <c r="A8" s="4" t="s">
        <v>6</v>
      </c>
      <c r="B8" s="8"/>
      <c r="C8" s="8"/>
      <c r="D8" s="9"/>
      <c r="E8" s="9"/>
      <c r="F8" s="8"/>
      <c r="G8" s="8"/>
    </row>
    <row r="9" spans="1:9" x14ac:dyDescent="0.25">
      <c r="A9" s="4" t="s">
        <v>7</v>
      </c>
      <c r="B9" s="8"/>
      <c r="C9" s="8"/>
      <c r="D9" s="8"/>
      <c r="E9" s="8"/>
      <c r="F9" s="8"/>
      <c r="G9" s="8"/>
    </row>
    <row r="10" spans="1:9" x14ac:dyDescent="0.25">
      <c r="A10" s="4" t="s">
        <v>8</v>
      </c>
      <c r="B10" s="7"/>
      <c r="C10" s="6" t="s">
        <v>78</v>
      </c>
      <c r="D10" s="6"/>
      <c r="E10" s="4" t="s">
        <v>9</v>
      </c>
      <c r="F10" s="7"/>
      <c r="G10" s="10"/>
    </row>
    <row r="11" spans="1:9" x14ac:dyDescent="0.25">
      <c r="A11" s="4" t="s">
        <v>10</v>
      </c>
      <c r="B11" s="11"/>
      <c r="C11" s="12" t="s">
        <v>2</v>
      </c>
      <c r="D11" s="12" t="s">
        <v>2</v>
      </c>
      <c r="E11" s="4" t="s">
        <v>11</v>
      </c>
      <c r="F11" s="11"/>
      <c r="G11" s="12"/>
    </row>
    <row r="13" spans="1:9" x14ac:dyDescent="0.25">
      <c r="A13" s="13" t="s">
        <v>12</v>
      </c>
      <c r="B13" s="14" t="s">
        <v>2</v>
      </c>
      <c r="C13" s="14"/>
      <c r="D13" s="14"/>
      <c r="E13" s="14"/>
      <c r="F13" s="14"/>
      <c r="G13" s="14"/>
      <c r="H13" s="14"/>
      <c r="I13" s="14"/>
    </row>
    <row r="14" spans="1:9" x14ac:dyDescent="0.25">
      <c r="A14" s="13" t="s">
        <v>13</v>
      </c>
      <c r="B14" s="15" t="s">
        <v>14</v>
      </c>
      <c r="C14" s="15" t="s">
        <v>15</v>
      </c>
      <c r="D14" s="15" t="s">
        <v>16</v>
      </c>
      <c r="E14" s="15" t="s">
        <v>17</v>
      </c>
      <c r="F14" s="15" t="s">
        <v>18</v>
      </c>
      <c r="G14" s="15" t="s">
        <v>19</v>
      </c>
      <c r="H14" s="15" t="s">
        <v>20</v>
      </c>
      <c r="I14" s="15" t="s">
        <v>21</v>
      </c>
    </row>
    <row r="15" spans="1:9" x14ac:dyDescent="0.25">
      <c r="A15" s="16" t="s">
        <v>22</v>
      </c>
      <c r="B15" s="17"/>
      <c r="C15" s="17"/>
      <c r="D15" s="17"/>
      <c r="E15" s="17"/>
      <c r="F15" s="17"/>
      <c r="G15" s="17"/>
      <c r="H15" s="17"/>
      <c r="I15" s="73">
        <f t="shared" ref="I15:I30" si="0">SUM(B15:H15)</f>
        <v>0</v>
      </c>
    </row>
    <row r="16" spans="1:9" x14ac:dyDescent="0.25">
      <c r="A16" s="16" t="s">
        <v>23</v>
      </c>
      <c r="B16" s="17"/>
      <c r="C16" s="17"/>
      <c r="D16" s="17"/>
      <c r="E16" s="17"/>
      <c r="F16" s="17"/>
      <c r="G16" s="17"/>
      <c r="H16" s="17"/>
      <c r="I16" s="73">
        <f t="shared" si="0"/>
        <v>0</v>
      </c>
    </row>
    <row r="17" spans="1:9" x14ac:dyDescent="0.25">
      <c r="A17" s="16" t="s">
        <v>24</v>
      </c>
      <c r="B17" s="17"/>
      <c r="C17" s="17"/>
      <c r="D17" s="17"/>
      <c r="E17" s="17"/>
      <c r="F17" s="17"/>
      <c r="G17" s="17"/>
      <c r="H17" s="17"/>
      <c r="I17" s="73">
        <f t="shared" si="0"/>
        <v>0</v>
      </c>
    </row>
    <row r="18" spans="1:9" x14ac:dyDescent="0.25">
      <c r="A18" s="16" t="s">
        <v>25</v>
      </c>
      <c r="B18" s="17"/>
      <c r="C18" s="17"/>
      <c r="D18" s="17"/>
      <c r="E18" s="17"/>
      <c r="F18" s="17"/>
      <c r="G18" s="17"/>
      <c r="H18" s="17"/>
      <c r="I18" s="73">
        <f t="shared" si="0"/>
        <v>0</v>
      </c>
    </row>
    <row r="19" spans="1:9" x14ac:dyDescent="0.25">
      <c r="A19" s="16" t="s">
        <v>26</v>
      </c>
      <c r="B19" s="17"/>
      <c r="C19" s="17"/>
      <c r="D19" s="17"/>
      <c r="E19" s="17"/>
      <c r="F19" s="17"/>
      <c r="G19" s="17"/>
      <c r="H19" s="17"/>
      <c r="I19" s="73">
        <f t="shared" si="0"/>
        <v>0</v>
      </c>
    </row>
    <row r="20" spans="1:9" x14ac:dyDescent="0.25">
      <c r="A20" s="16" t="s">
        <v>27</v>
      </c>
      <c r="B20" s="17"/>
      <c r="C20" s="17"/>
      <c r="D20" s="17"/>
      <c r="E20" s="17"/>
      <c r="F20" s="17"/>
      <c r="G20" s="17"/>
      <c r="H20" s="17"/>
      <c r="I20" s="73">
        <f t="shared" si="0"/>
        <v>0</v>
      </c>
    </row>
    <row r="21" spans="1:9" x14ac:dyDescent="0.25">
      <c r="A21" s="16" t="s">
        <v>28</v>
      </c>
      <c r="B21" s="17"/>
      <c r="C21" s="17"/>
      <c r="D21" s="17"/>
      <c r="E21" s="17"/>
      <c r="F21" s="17"/>
      <c r="G21" s="17"/>
      <c r="H21" s="17"/>
      <c r="I21" s="73">
        <f t="shared" si="0"/>
        <v>0</v>
      </c>
    </row>
    <row r="22" spans="1:9" x14ac:dyDescent="0.25">
      <c r="A22" s="16" t="s">
        <v>29</v>
      </c>
      <c r="B22" s="17"/>
      <c r="C22" s="17"/>
      <c r="D22" s="17"/>
      <c r="E22" s="17"/>
      <c r="F22" s="17"/>
      <c r="G22" s="17"/>
      <c r="H22" s="17"/>
      <c r="I22" s="73">
        <f t="shared" si="0"/>
        <v>0</v>
      </c>
    </row>
    <row r="23" spans="1:9" x14ac:dyDescent="0.25">
      <c r="A23" s="16" t="s">
        <v>30</v>
      </c>
      <c r="B23" s="74">
        <f>ROUND(IF(J40&gt;0,J40*'CHANGE RATE IN CELL'!$C$10,"0.00"),2)</f>
        <v>0</v>
      </c>
      <c r="C23" s="74">
        <f>ROUND(IF(J41&gt;0,J41*'CHANGE RATE IN CELL'!$C$10,"0.00"),2)</f>
        <v>0</v>
      </c>
      <c r="D23" s="74">
        <f>ROUND(IF(J42&gt;0,J42*'CHANGE RATE IN CELL'!$C$10,"0.00"),2)</f>
        <v>0</v>
      </c>
      <c r="E23" s="74">
        <f>ROUND(IF(J43&gt;0,J43*'CHANGE RATE IN CELL'!$C$10,"0.00"),2)</f>
        <v>0</v>
      </c>
      <c r="F23" s="74">
        <f>ROUND(IF(J44&gt;0,J44*'CHANGE RATE IN CELL'!$C$10,"0.00"),2)</f>
        <v>0</v>
      </c>
      <c r="G23" s="74">
        <f>ROUND(IF(J45&gt;0,J45*'CHANGE RATE IN CELL'!$C$10,"0.00"),2)</f>
        <v>0</v>
      </c>
      <c r="H23" s="74">
        <f>ROUND(IF(J46&gt;0,J46*'CHANGE RATE IN CELL'!$C$10,"0.00"),2)</f>
        <v>0</v>
      </c>
      <c r="I23" s="73">
        <f t="shared" si="0"/>
        <v>0</v>
      </c>
    </row>
    <row r="24" spans="1:9" x14ac:dyDescent="0.25">
      <c r="A24" s="16" t="s">
        <v>31</v>
      </c>
      <c r="B24" s="17"/>
      <c r="C24" s="17"/>
      <c r="D24" s="17"/>
      <c r="E24" s="17"/>
      <c r="F24" s="17"/>
      <c r="G24" s="17"/>
      <c r="H24" s="17"/>
      <c r="I24" s="73">
        <f t="shared" si="0"/>
        <v>0</v>
      </c>
    </row>
    <row r="25" spans="1:9" x14ac:dyDescent="0.25">
      <c r="A25" s="16" t="s">
        <v>32</v>
      </c>
      <c r="B25" s="17"/>
      <c r="C25" s="17"/>
      <c r="D25" s="17"/>
      <c r="E25" s="17"/>
      <c r="F25" s="17"/>
      <c r="G25" s="17"/>
      <c r="H25" s="17"/>
      <c r="I25" s="73">
        <f t="shared" si="0"/>
        <v>0</v>
      </c>
    </row>
    <row r="26" spans="1:9" x14ac:dyDescent="0.25">
      <c r="A26" s="16"/>
      <c r="B26" s="17"/>
      <c r="C26" s="17"/>
      <c r="D26" s="17"/>
      <c r="E26" s="17"/>
      <c r="F26" s="17"/>
      <c r="G26" s="17"/>
      <c r="H26" s="17"/>
      <c r="I26" s="73">
        <f t="shared" si="0"/>
        <v>0</v>
      </c>
    </row>
    <row r="27" spans="1:9" x14ac:dyDescent="0.25">
      <c r="A27" s="16"/>
      <c r="B27" s="17"/>
      <c r="C27" s="17"/>
      <c r="D27" s="17"/>
      <c r="E27" s="17"/>
      <c r="F27" s="17"/>
      <c r="G27" s="17"/>
      <c r="H27" s="17"/>
      <c r="I27" s="73">
        <f t="shared" si="0"/>
        <v>0</v>
      </c>
    </row>
    <row r="28" spans="1:9" x14ac:dyDescent="0.25">
      <c r="A28" s="18" t="s">
        <v>2</v>
      </c>
      <c r="B28" s="17"/>
      <c r="C28" s="17"/>
      <c r="D28" s="17"/>
      <c r="E28" s="17"/>
      <c r="F28" s="17"/>
      <c r="G28" s="17"/>
      <c r="H28" s="17"/>
      <c r="I28" s="73">
        <f t="shared" si="0"/>
        <v>0</v>
      </c>
    </row>
    <row r="29" spans="1:9" x14ac:dyDescent="0.25">
      <c r="A29" s="18" t="s">
        <v>2</v>
      </c>
      <c r="B29" s="17"/>
      <c r="C29" s="17"/>
      <c r="D29" s="17"/>
      <c r="E29" s="17"/>
      <c r="F29" s="17"/>
      <c r="G29" s="17"/>
      <c r="H29" s="17"/>
      <c r="I29" s="73">
        <f t="shared" si="0"/>
        <v>0</v>
      </c>
    </row>
    <row r="30" spans="1:9" x14ac:dyDescent="0.25">
      <c r="A30" s="18" t="s">
        <v>2</v>
      </c>
      <c r="B30" s="17"/>
      <c r="C30" s="17"/>
      <c r="D30" s="17"/>
      <c r="E30" s="17"/>
      <c r="F30" s="17"/>
      <c r="G30" s="17"/>
      <c r="H30" s="17"/>
      <c r="I30" s="73">
        <f t="shared" si="0"/>
        <v>0</v>
      </c>
    </row>
    <row r="31" spans="1:9" x14ac:dyDescent="0.25">
      <c r="A31" s="16" t="s">
        <v>33</v>
      </c>
      <c r="B31" s="73">
        <f>SUM(B15:B30)</f>
        <v>0</v>
      </c>
      <c r="C31" s="73">
        <f t="shared" ref="C31:H31" si="1">SUM(C15:C30)</f>
        <v>0</v>
      </c>
      <c r="D31" s="73">
        <f t="shared" si="1"/>
        <v>0</v>
      </c>
      <c r="E31" s="73">
        <f t="shared" si="1"/>
        <v>0</v>
      </c>
      <c r="F31" s="73">
        <f t="shared" si="1"/>
        <v>0</v>
      </c>
      <c r="G31" s="73">
        <f t="shared" si="1"/>
        <v>0</v>
      </c>
      <c r="H31" s="73">
        <f t="shared" si="1"/>
        <v>0</v>
      </c>
      <c r="I31" s="73">
        <f>SUM(I15:I30)</f>
        <v>0</v>
      </c>
    </row>
    <row r="32" spans="1:9" x14ac:dyDescent="0.25">
      <c r="A32" s="19" t="s">
        <v>34</v>
      </c>
      <c r="B32" s="20"/>
      <c r="C32" s="21"/>
      <c r="D32" s="21"/>
      <c r="E32" s="21"/>
      <c r="F32" s="21"/>
      <c r="G32" s="22" t="s">
        <v>2</v>
      </c>
      <c r="H32" s="22"/>
      <c r="I32" s="23"/>
    </row>
    <row r="33" spans="1:10" x14ac:dyDescent="0.25">
      <c r="A33" s="24"/>
      <c r="B33" s="23"/>
      <c r="C33" s="23"/>
      <c r="D33" s="23"/>
      <c r="E33" s="23"/>
      <c r="F33" s="23"/>
      <c r="G33" s="23" t="s">
        <v>35</v>
      </c>
      <c r="H33" s="23"/>
      <c r="I33" s="23"/>
    </row>
    <row r="34" spans="1:10" ht="39.75" customHeight="1" x14ac:dyDescent="0.25">
      <c r="A34" s="54" t="s">
        <v>69</v>
      </c>
      <c r="B34" s="77"/>
      <c r="C34" s="77"/>
      <c r="D34" s="77"/>
      <c r="E34" s="77"/>
      <c r="F34" s="77"/>
      <c r="G34" s="77"/>
      <c r="H34" s="77"/>
      <c r="I34" s="77"/>
      <c r="J34" s="77"/>
    </row>
    <row r="35" spans="1:10" ht="3" customHeight="1" x14ac:dyDescent="0.25">
      <c r="A35" s="25"/>
    </row>
    <row r="36" spans="1:10" hidden="1" x14ac:dyDescent="0.25">
      <c r="A36" s="25"/>
    </row>
    <row r="37" spans="1:10" hidden="1" x14ac:dyDescent="0.25">
      <c r="A37" s="24"/>
      <c r="B37" s="29"/>
      <c r="C37" s="30"/>
      <c r="D37" s="29"/>
      <c r="E37" s="29"/>
      <c r="F37" s="29"/>
      <c r="G37" s="29"/>
      <c r="H37" s="29"/>
      <c r="I37" s="28"/>
    </row>
    <row r="38" spans="1:10" x14ac:dyDescent="0.25">
      <c r="A38" s="16" t="s">
        <v>36</v>
      </c>
      <c r="B38" s="31" t="s">
        <v>37</v>
      </c>
      <c r="C38" s="32"/>
      <c r="D38" s="33"/>
      <c r="E38" s="34" t="s">
        <v>2</v>
      </c>
      <c r="F38" s="35"/>
      <c r="G38" s="35"/>
      <c r="H38" s="36" t="s">
        <v>38</v>
      </c>
      <c r="I38" s="36" t="s">
        <v>39</v>
      </c>
      <c r="J38" s="37" t="s">
        <v>40</v>
      </c>
    </row>
    <row r="39" spans="1:10" x14ac:dyDescent="0.25">
      <c r="A39" s="16" t="s">
        <v>41</v>
      </c>
      <c r="B39" s="31" t="s">
        <v>42</v>
      </c>
      <c r="C39" s="38" t="s">
        <v>43</v>
      </c>
      <c r="D39" s="39" t="s">
        <v>44</v>
      </c>
      <c r="E39" s="40"/>
      <c r="F39" s="35"/>
      <c r="G39" s="41"/>
      <c r="H39" s="42" t="s">
        <v>45</v>
      </c>
      <c r="I39" s="42" t="s">
        <v>46</v>
      </c>
      <c r="J39" s="43" t="s">
        <v>47</v>
      </c>
    </row>
    <row r="40" spans="1:10" x14ac:dyDescent="0.25">
      <c r="A40" s="16" t="s">
        <v>48</v>
      </c>
      <c r="B40" s="51"/>
      <c r="C40" s="51"/>
      <c r="D40" s="44"/>
      <c r="E40" s="45"/>
      <c r="F40" s="45"/>
      <c r="G40" s="45"/>
      <c r="H40" s="52"/>
      <c r="I40" s="53"/>
      <c r="J40" s="75" t="str">
        <f t="shared" ref="J40:J46" si="2">IF(H40&gt;0,ROUND(H40,1)-ROUND(I40,1),"0.0")</f>
        <v>0.0</v>
      </c>
    </row>
    <row r="41" spans="1:10" x14ac:dyDescent="0.25">
      <c r="A41" s="16" t="s">
        <v>49</v>
      </c>
      <c r="B41" s="51"/>
      <c r="C41" s="51"/>
      <c r="D41" s="44"/>
      <c r="E41" s="45"/>
      <c r="F41" s="45"/>
      <c r="G41" s="45"/>
      <c r="H41" s="52"/>
      <c r="I41" s="53"/>
      <c r="J41" s="75" t="str">
        <f t="shared" si="2"/>
        <v>0.0</v>
      </c>
    </row>
    <row r="42" spans="1:10" x14ac:dyDescent="0.25">
      <c r="A42" s="16" t="s">
        <v>50</v>
      </c>
      <c r="B42" s="51"/>
      <c r="C42" s="51"/>
      <c r="D42" s="44"/>
      <c r="E42" s="45"/>
      <c r="F42" s="45"/>
      <c r="G42" s="45"/>
      <c r="H42" s="52"/>
      <c r="I42" s="53"/>
      <c r="J42" s="75" t="str">
        <f t="shared" si="2"/>
        <v>0.0</v>
      </c>
    </row>
    <row r="43" spans="1:10" x14ac:dyDescent="0.25">
      <c r="A43" s="16" t="s">
        <v>51</v>
      </c>
      <c r="B43" s="51"/>
      <c r="C43" s="51"/>
      <c r="D43" s="44"/>
      <c r="E43" s="45"/>
      <c r="F43" s="45"/>
      <c r="G43" s="45"/>
      <c r="H43" s="52"/>
      <c r="I43" s="53"/>
      <c r="J43" s="75" t="str">
        <f t="shared" si="2"/>
        <v>0.0</v>
      </c>
    </row>
    <row r="44" spans="1:10" x14ac:dyDescent="0.25">
      <c r="A44" s="16" t="s">
        <v>52</v>
      </c>
      <c r="B44" s="51"/>
      <c r="C44" s="51"/>
      <c r="D44" s="44"/>
      <c r="E44" s="45"/>
      <c r="F44" s="45"/>
      <c r="G44" s="45"/>
      <c r="H44" s="52"/>
      <c r="I44" s="53"/>
      <c r="J44" s="75" t="str">
        <f t="shared" si="2"/>
        <v>0.0</v>
      </c>
    </row>
    <row r="45" spans="1:10" x14ac:dyDescent="0.25">
      <c r="A45" s="16" t="s">
        <v>53</v>
      </c>
      <c r="B45" s="51"/>
      <c r="C45" s="51"/>
      <c r="D45" s="44"/>
      <c r="E45" s="45"/>
      <c r="F45" s="45"/>
      <c r="G45" s="45"/>
      <c r="H45" s="52"/>
      <c r="I45" s="53"/>
      <c r="J45" s="75" t="str">
        <f t="shared" si="2"/>
        <v>0.0</v>
      </c>
    </row>
    <row r="46" spans="1:10" x14ac:dyDescent="0.25">
      <c r="A46" s="16" t="s">
        <v>54</v>
      </c>
      <c r="B46" s="51"/>
      <c r="C46" s="51"/>
      <c r="D46" s="44"/>
      <c r="E46" s="45"/>
      <c r="F46" s="45"/>
      <c r="G46" s="45"/>
      <c r="H46" s="52"/>
      <c r="I46" s="53"/>
      <c r="J46" s="75" t="str">
        <f t="shared" si="2"/>
        <v>0.0</v>
      </c>
    </row>
    <row r="47" spans="1:10" x14ac:dyDescent="0.25">
      <c r="A47" s="24" t="s">
        <v>55</v>
      </c>
      <c r="B47" s="46"/>
      <c r="C47" s="46"/>
      <c r="D47" s="46"/>
      <c r="E47" s="46"/>
      <c r="F47" s="46"/>
      <c r="G47" s="46"/>
      <c r="H47" s="46"/>
      <c r="I47" s="46"/>
    </row>
    <row r="48" spans="1:10" x14ac:dyDescent="0.25">
      <c r="A48" s="24"/>
      <c r="B48" s="46"/>
      <c r="C48" s="46"/>
      <c r="D48" s="46"/>
      <c r="E48" s="46"/>
      <c r="F48" s="46"/>
      <c r="G48" s="47" t="s">
        <v>56</v>
      </c>
      <c r="H48" s="11"/>
      <c r="I48" s="11" t="s">
        <v>2</v>
      </c>
      <c r="J48" s="11"/>
    </row>
    <row r="49" spans="1:10" x14ac:dyDescent="0.25">
      <c r="A49" s="46" t="s">
        <v>73</v>
      </c>
      <c r="C49" s="46"/>
      <c r="D49" s="48"/>
      <c r="E49" s="48"/>
      <c r="F49" s="48"/>
      <c r="G49" s="48"/>
      <c r="H49" s="49"/>
      <c r="I49" s="49"/>
      <c r="J49" s="27"/>
    </row>
    <row r="50" spans="1:10" x14ac:dyDescent="0.25">
      <c r="A50" s="24"/>
      <c r="B50" s="46"/>
      <c r="C50" s="46"/>
      <c r="D50" s="46"/>
      <c r="E50" s="23" t="s">
        <v>57</v>
      </c>
      <c r="G50" s="46"/>
      <c r="I50" s="46"/>
    </row>
    <row r="51" spans="1:10" x14ac:dyDescent="0.25">
      <c r="A51" s="24"/>
      <c r="B51" s="46"/>
      <c r="C51" s="46"/>
      <c r="D51" s="46"/>
      <c r="E51" s="46"/>
      <c r="F51" s="46"/>
      <c r="G51" s="46"/>
      <c r="I51" s="46"/>
    </row>
    <row r="52" spans="1:10" x14ac:dyDescent="0.25">
      <c r="A52" s="25" t="s">
        <v>58</v>
      </c>
      <c r="B52" s="48"/>
      <c r="C52" s="48"/>
      <c r="D52" s="48"/>
      <c r="E52" s="50"/>
      <c r="F52" s="46" t="s">
        <v>59</v>
      </c>
      <c r="G52" s="48"/>
      <c r="H52" s="48"/>
      <c r="I52" s="48"/>
      <c r="J52" s="50"/>
    </row>
    <row r="53" spans="1:10" x14ac:dyDescent="0.25">
      <c r="A53" s="24"/>
      <c r="B53" s="46"/>
      <c r="C53" s="23" t="s">
        <v>60</v>
      </c>
      <c r="D53" s="46"/>
      <c r="E53" s="46"/>
      <c r="F53" s="46"/>
      <c r="H53" s="23" t="s">
        <v>61</v>
      </c>
      <c r="I53" s="46"/>
    </row>
    <row r="54" spans="1:10" x14ac:dyDescent="0.25">
      <c r="A54" s="24"/>
      <c r="B54" s="46"/>
      <c r="C54" s="46"/>
      <c r="D54" s="46"/>
      <c r="F54" s="46" t="s">
        <v>62</v>
      </c>
      <c r="G54" s="26"/>
      <c r="H54" s="26"/>
      <c r="I54" s="26"/>
      <c r="J54" s="26"/>
    </row>
    <row r="55" spans="1:10" x14ac:dyDescent="0.25">
      <c r="A55" s="24" t="s">
        <v>63</v>
      </c>
      <c r="B55" s="46"/>
      <c r="C55" s="46"/>
      <c r="D55" s="46"/>
      <c r="E55" s="46"/>
      <c r="F55" s="46"/>
      <c r="G55" s="46"/>
      <c r="H55" s="46"/>
      <c r="I55" s="46"/>
    </row>
  </sheetData>
  <sheetProtection password="D365" sheet="1" objects="1" scenarios="1" selectLockedCells="1"/>
  <mergeCells count="1">
    <mergeCell ref="B34:J34"/>
  </mergeCells>
  <phoneticPr fontId="9" type="noConversion"/>
  <pageMargins left="0.75" right="0.75" top="1" bottom="1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6"/>
  <sheetViews>
    <sheetView topLeftCell="A17" zoomScale="175" workbookViewId="0">
      <selection activeCell="A17" sqref="A17"/>
    </sheetView>
  </sheetViews>
  <sheetFormatPr defaultRowHeight="25.5" customHeight="1" x14ac:dyDescent="0.25"/>
  <cols>
    <col min="1" max="1" width="12.6640625" customWidth="1"/>
    <col min="2" max="2" width="11.33203125" customWidth="1"/>
    <col min="3" max="3" width="9.33203125" bestFit="1" customWidth="1"/>
    <col min="4" max="4" width="1.6640625" customWidth="1"/>
    <col min="5" max="5" width="13.6640625" customWidth="1"/>
    <col min="6" max="6" width="11.44140625" customWidth="1"/>
    <col min="7" max="7" width="4.109375" customWidth="1"/>
    <col min="8" max="8" width="10.6640625" bestFit="1" customWidth="1"/>
  </cols>
  <sheetData>
    <row r="1" spans="1:9" ht="25.5" hidden="1" customHeight="1" x14ac:dyDescent="0.25">
      <c r="A1" s="55" t="s">
        <v>64</v>
      </c>
      <c r="B1" s="56"/>
      <c r="C1" s="57">
        <v>0.48</v>
      </c>
      <c r="D1" s="58"/>
      <c r="E1" s="59" t="s">
        <v>66</v>
      </c>
      <c r="F1" s="60">
        <v>38616</v>
      </c>
      <c r="G1" s="61" t="s">
        <v>67</v>
      </c>
      <c r="H1" s="60">
        <v>38717</v>
      </c>
      <c r="I1" s="56"/>
    </row>
    <row r="2" spans="1:9" ht="25.5" hidden="1" customHeight="1" x14ac:dyDescent="0.25">
      <c r="A2" s="55"/>
      <c r="B2" s="56"/>
      <c r="C2" s="57">
        <v>0.44500000000000001</v>
      </c>
      <c r="D2" s="58"/>
      <c r="E2" s="59" t="s">
        <v>66</v>
      </c>
      <c r="F2" s="60">
        <v>38718</v>
      </c>
      <c r="G2" s="61"/>
      <c r="H2" s="60">
        <v>39082</v>
      </c>
      <c r="I2" s="56"/>
    </row>
    <row r="3" spans="1:9" ht="25.5" hidden="1" customHeight="1" x14ac:dyDescent="0.25">
      <c r="A3" s="55"/>
      <c r="B3" s="56"/>
      <c r="C3" s="57">
        <v>0.48499999999999999</v>
      </c>
      <c r="D3" s="58"/>
      <c r="E3" s="56" t="s">
        <v>68</v>
      </c>
      <c r="F3" s="60">
        <v>39083</v>
      </c>
      <c r="G3" s="61"/>
      <c r="H3" s="60">
        <v>39447</v>
      </c>
      <c r="I3" s="56"/>
    </row>
    <row r="4" spans="1:9" ht="25.5" hidden="1" customHeight="1" x14ac:dyDescent="0.25">
      <c r="A4" s="56"/>
      <c r="B4" s="56"/>
      <c r="C4" s="65">
        <v>0.505</v>
      </c>
      <c r="D4" s="56"/>
      <c r="E4" s="56" t="s">
        <v>68</v>
      </c>
      <c r="F4" s="60">
        <v>39448</v>
      </c>
      <c r="G4" s="61" t="s">
        <v>67</v>
      </c>
      <c r="H4" s="63">
        <v>39600</v>
      </c>
      <c r="I4" s="56"/>
    </row>
    <row r="5" spans="1:9" ht="25.5" hidden="1" customHeight="1" x14ac:dyDescent="0.25">
      <c r="A5" s="56"/>
      <c r="B5" s="56"/>
      <c r="C5" s="65">
        <v>0.58499999999999996</v>
      </c>
      <c r="D5" s="56"/>
      <c r="E5" s="56" t="s">
        <v>68</v>
      </c>
      <c r="F5" s="60">
        <v>39630</v>
      </c>
      <c r="G5" s="61" t="s">
        <v>67</v>
      </c>
      <c r="H5" s="63">
        <v>39813</v>
      </c>
      <c r="I5" s="56"/>
    </row>
    <row r="6" spans="1:9" ht="25.5" hidden="1" customHeight="1" x14ac:dyDescent="0.25">
      <c r="A6" s="56"/>
      <c r="C6" s="65">
        <v>0.55000000000000004</v>
      </c>
      <c r="D6" s="56"/>
      <c r="E6" s="56" t="s">
        <v>68</v>
      </c>
      <c r="F6" s="60">
        <v>39814</v>
      </c>
      <c r="G6" s="61" t="s">
        <v>67</v>
      </c>
      <c r="H6" s="63">
        <v>40178</v>
      </c>
      <c r="I6" s="56"/>
    </row>
    <row r="7" spans="1:9" ht="25.5" hidden="1" customHeight="1" x14ac:dyDescent="0.25">
      <c r="A7" s="56"/>
      <c r="C7" s="65">
        <v>0.5</v>
      </c>
      <c r="D7" s="56"/>
      <c r="E7" s="56" t="s">
        <v>68</v>
      </c>
      <c r="F7" s="60">
        <v>40179</v>
      </c>
      <c r="G7" s="61" t="s">
        <v>72</v>
      </c>
      <c r="H7" s="63">
        <v>40543</v>
      </c>
      <c r="I7" s="56"/>
    </row>
    <row r="8" spans="1:9" ht="25.5" hidden="1" customHeight="1" x14ac:dyDescent="0.25">
      <c r="A8" s="56"/>
      <c r="C8" s="65">
        <v>0.51</v>
      </c>
      <c r="D8" s="56"/>
      <c r="E8" s="56" t="s">
        <v>68</v>
      </c>
      <c r="F8" s="60">
        <v>40544</v>
      </c>
      <c r="G8" s="61" t="s">
        <v>67</v>
      </c>
      <c r="H8" s="63">
        <v>40724</v>
      </c>
      <c r="I8" s="56"/>
    </row>
    <row r="9" spans="1:9" ht="25.5" hidden="1" customHeight="1" x14ac:dyDescent="0.25">
      <c r="A9" s="56"/>
      <c r="C9" s="76">
        <v>0.55500000000000005</v>
      </c>
      <c r="D9" s="56"/>
      <c r="E9" s="56" t="s">
        <v>68</v>
      </c>
      <c r="F9" s="72">
        <v>40725</v>
      </c>
      <c r="G9" s="61" t="s">
        <v>67</v>
      </c>
      <c r="H9" s="63" t="s">
        <v>71</v>
      </c>
      <c r="I9" s="56"/>
    </row>
    <row r="10" spans="1:9" ht="23.25" hidden="1" customHeight="1" x14ac:dyDescent="0.25">
      <c r="A10" s="55" t="s">
        <v>65</v>
      </c>
      <c r="B10" s="66" t="s">
        <v>70</v>
      </c>
      <c r="C10" s="62">
        <v>0.56499999999999995</v>
      </c>
      <c r="E10" s="56" t="s">
        <v>68</v>
      </c>
      <c r="F10" s="72">
        <v>41275</v>
      </c>
      <c r="G10" s="61" t="s">
        <v>67</v>
      </c>
      <c r="H10" s="63" t="s">
        <v>71</v>
      </c>
      <c r="I10" s="56"/>
    </row>
    <row r="11" spans="1:9" ht="13.2" hidden="1" x14ac:dyDescent="0.25">
      <c r="A11" s="58"/>
      <c r="B11" s="64"/>
      <c r="C11" s="56"/>
      <c r="D11" s="56"/>
      <c r="E11" s="56"/>
      <c r="F11" s="56"/>
      <c r="G11" s="56"/>
      <c r="H11" s="56"/>
      <c r="I11" s="56"/>
    </row>
    <row r="12" spans="1:9" ht="13.2" hidden="1" x14ac:dyDescent="0.25">
      <c r="A12" s="58"/>
      <c r="B12" s="64"/>
      <c r="C12" s="56"/>
      <c r="D12" s="56"/>
      <c r="E12" s="56"/>
      <c r="F12" s="56"/>
      <c r="G12" s="56"/>
      <c r="H12" s="56"/>
      <c r="I12" s="56"/>
    </row>
    <row r="13" spans="1:9" ht="13.2" hidden="1" x14ac:dyDescent="0.25">
      <c r="A13" s="58"/>
      <c r="B13" s="64"/>
      <c r="C13" s="56"/>
      <c r="D13" s="56"/>
      <c r="E13" s="56"/>
      <c r="F13" s="56"/>
      <c r="G13" s="56"/>
      <c r="H13" s="56"/>
      <c r="I13" s="56"/>
    </row>
    <row r="14" spans="1:9" ht="13.2" hidden="1" x14ac:dyDescent="0.25">
      <c r="A14" s="58"/>
      <c r="B14" s="64"/>
      <c r="C14" s="56"/>
      <c r="D14" s="56"/>
      <c r="E14" s="56"/>
      <c r="F14" s="56"/>
      <c r="G14" s="56"/>
      <c r="H14" s="56"/>
      <c r="I14" s="56"/>
    </row>
    <row r="15" spans="1:9" ht="13.2" hidden="1" x14ac:dyDescent="0.25">
      <c r="A15" s="70" t="s">
        <v>74</v>
      </c>
    </row>
    <row r="16" spans="1:9" ht="13.2" hidden="1" x14ac:dyDescent="0.25">
      <c r="A16" s="71" t="s">
        <v>75</v>
      </c>
    </row>
  </sheetData>
  <sheetProtection password="D365" sheet="1" objects="1" scenarios="1" selectLockedCells="1"/>
  <phoneticPr fontId="9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33DF89F158D46B3E5C60123C4696C" ma:contentTypeVersion="1" ma:contentTypeDescription="Create a new document." ma:contentTypeScope="" ma:versionID="251ad2edc101bc5fa7b63a7cd6b7a59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447206dab0015f8b9f8924535193e8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A14E371-903E-4193-8609-FBF54CABD87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5236218-C7E1-4DDA-9ECB-F0350FB5C3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372B9E-71B1-45D7-862F-7A03F6536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D3610CA-C7B0-4A87-ACB7-171ED4515D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Report as of 1_1_13</vt:lpstr>
      <vt:lpstr>CHANGE RATE IN CELL</vt:lpstr>
    </vt:vector>
  </TitlesOfParts>
  <Company>State of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of Maryland Expense Account form FULL RATE for January 1,  2013 and Afterward</dc:title>
  <dc:subject>State of Maryland Expense Account form for January 1, 2010 and afterward</dc:subject>
  <dc:creator>DBM</dc:creator>
  <cp:lastModifiedBy>Anderson, Sharon M.</cp:lastModifiedBy>
  <cp:lastPrinted>2011-12-14T14:43:38Z</cp:lastPrinted>
  <dcterms:created xsi:type="dcterms:W3CDTF">2005-08-01T13:37:41Z</dcterms:created>
  <dcterms:modified xsi:type="dcterms:W3CDTF">2013-07-25T15:41:22Z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System Account</vt:lpwstr>
  </property>
  <property fmtid="{D5CDD505-2E9C-101B-9397-08002B2CF9AE}" pid="3" name="xd_Signature">
    <vt:lpwstr/>
  </property>
  <property fmtid="{D5CDD505-2E9C-101B-9397-08002B2CF9AE}" pid="4" name="Order">
    <vt:lpwstr>52800.0000000000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</Properties>
</file>