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28830" windowHeight="6405" tabRatio="838" activeTab="2"/>
  </bookViews>
  <sheets>
    <sheet name="Non-shuttle Bids" sheetId="3" r:id="rId1"/>
    <sheet name="Shuttle Bids" sheetId="4" r:id="rId2"/>
    <sheet name="New Fig. 4" sheetId="14" r:id="rId3"/>
    <sheet name="New Fig. 5" sheetId="18" r:id="rId4"/>
    <sheet name="New Fig. 6" sheetId="19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AU8" i="13" l="1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U20" i="13"/>
  <c r="AU19" i="13"/>
  <c r="AU18" i="13"/>
  <c r="AW17" i="13"/>
  <c r="AV17" i="13"/>
  <c r="AU17" i="13"/>
  <c r="AW16" i="13"/>
  <c r="AV16" i="13"/>
  <c r="AU16" i="13"/>
  <c r="AW15" i="13"/>
  <c r="AV15" i="13"/>
  <c r="AU15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I20" i="13"/>
  <c r="AI19" i="13"/>
  <c r="AI18" i="13"/>
  <c r="AK17" i="13"/>
  <c r="AJ17" i="13"/>
  <c r="AI17" i="13"/>
  <c r="AK16" i="13"/>
  <c r="AJ16" i="13"/>
  <c r="AI16" i="13"/>
  <c r="AK15" i="13"/>
  <c r="AJ15" i="13"/>
  <c r="AI15" i="13"/>
  <c r="AG17" i="13"/>
  <c r="AF17" i="13"/>
  <c r="AG16" i="13"/>
  <c r="AF16" i="13"/>
  <c r="AG15" i="13"/>
  <c r="AF15" i="13"/>
  <c r="AE20" i="13"/>
  <c r="AE19" i="13"/>
  <c r="AE18" i="13"/>
  <c r="AE17" i="13"/>
  <c r="AE16" i="13"/>
  <c r="AE15" i="13"/>
  <c r="AG5" i="13"/>
  <c r="AF5" i="13"/>
  <c r="AG4" i="13"/>
  <c r="AF4" i="13"/>
  <c r="AG3" i="13"/>
  <c r="AF3" i="13"/>
  <c r="AE8" i="13"/>
  <c r="AE7" i="13"/>
  <c r="AE6" i="13"/>
  <c r="AE5" i="13"/>
  <c r="AE4" i="13"/>
  <c r="AE3" i="13"/>
  <c r="AX906" i="4"/>
  <c r="AP906" i="4"/>
  <c r="AH906" i="4"/>
  <c r="AL906" i="3"/>
  <c r="AH906" i="3"/>
  <c r="AC17" i="13" l="1"/>
  <c r="AB17" i="13"/>
  <c r="AC16" i="13"/>
  <c r="AB16" i="13"/>
  <c r="AC15" i="13"/>
  <c r="AB15" i="13"/>
  <c r="AA20" i="13"/>
  <c r="AA19" i="13"/>
  <c r="AA18" i="13"/>
  <c r="AA17" i="13"/>
  <c r="AA16" i="13"/>
  <c r="AA15" i="13"/>
  <c r="AA8" i="13"/>
  <c r="AA7" i="13"/>
  <c r="AA6" i="13"/>
  <c r="AC5" i="13"/>
  <c r="AB5" i="13"/>
  <c r="AC4" i="13"/>
  <c r="AB4" i="13"/>
  <c r="AC3" i="13"/>
  <c r="AB3" i="13"/>
  <c r="AA5" i="13"/>
  <c r="AA4" i="13"/>
  <c r="AA3" i="13"/>
  <c r="AX905" i="4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Y17" i="13" l="1"/>
  <c r="X17" i="13"/>
  <c r="Y16" i="13"/>
  <c r="X16" i="13"/>
  <c r="Y15" i="13"/>
  <c r="X15" i="13"/>
  <c r="W20" i="13"/>
  <c r="W19" i="13"/>
  <c r="W18" i="13"/>
  <c r="W17" i="13"/>
  <c r="W16" i="13"/>
  <c r="W15" i="13"/>
  <c r="Y5" i="13"/>
  <c r="X5" i="13"/>
  <c r="Y4" i="13"/>
  <c r="X4" i="13"/>
  <c r="Y3" i="13"/>
  <c r="X3" i="13"/>
  <c r="W8" i="13"/>
  <c r="W7" i="13"/>
  <c r="W6" i="13"/>
  <c r="W5" i="13"/>
  <c r="W4" i="13"/>
  <c r="W3" i="13"/>
  <c r="AX901" i="4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U5" i="13" l="1"/>
  <c r="T5" i="13"/>
  <c r="U4" i="13"/>
  <c r="T4" i="13"/>
  <c r="U3" i="13"/>
  <c r="T3" i="13"/>
  <c r="U17" i="13"/>
  <c r="T17" i="13"/>
  <c r="U16" i="13"/>
  <c r="T16" i="13"/>
  <c r="U15" i="13"/>
  <c r="T15" i="13"/>
  <c r="S20" i="13"/>
  <c r="S19" i="13"/>
  <c r="S18" i="13"/>
  <c r="S17" i="13"/>
  <c r="S16" i="13"/>
  <c r="S15" i="13"/>
  <c r="S8" i="13"/>
  <c r="S7" i="13"/>
  <c r="S6" i="13"/>
  <c r="S5" i="13"/>
  <c r="S4" i="13"/>
  <c r="S3" i="13"/>
  <c r="AT896" i="4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Q17" i="13"/>
  <c r="P17" i="13"/>
  <c r="Q16" i="13"/>
  <c r="P16" i="13"/>
  <c r="Q15" i="13"/>
  <c r="P15" i="13"/>
  <c r="O20" i="13"/>
  <c r="O19" i="13"/>
  <c r="O18" i="13"/>
  <c r="O17" i="13"/>
  <c r="O16" i="13"/>
  <c r="O15" i="13"/>
  <c r="Q5" i="13"/>
  <c r="P5" i="13"/>
  <c r="Q4" i="13"/>
  <c r="P4" i="13"/>
  <c r="Q3" i="13"/>
  <c r="P3" i="13"/>
  <c r="O8" i="13"/>
  <c r="O7" i="13"/>
  <c r="O6" i="13"/>
  <c r="O5" i="13"/>
  <c r="O4" i="13"/>
  <c r="O3" i="13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M17" i="13" l="1"/>
  <c r="L17" i="13"/>
  <c r="M16" i="13"/>
  <c r="L16" i="13"/>
  <c r="M15" i="13"/>
  <c r="L15" i="13"/>
  <c r="M5" i="13"/>
  <c r="L5" i="13"/>
  <c r="M4" i="13"/>
  <c r="L4" i="13"/>
  <c r="M3" i="13"/>
  <c r="L3" i="13"/>
  <c r="K20" i="13"/>
  <c r="K19" i="13"/>
  <c r="K18" i="13"/>
  <c r="K17" i="13"/>
  <c r="K16" i="13"/>
  <c r="K15" i="13"/>
  <c r="K8" i="13"/>
  <c r="K7" i="13"/>
  <c r="K6" i="13"/>
  <c r="K5" i="13"/>
  <c r="K4" i="13"/>
  <c r="K3" i="13"/>
  <c r="V888" i="4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I5" i="13" l="1"/>
  <c r="H5" i="13"/>
  <c r="I4" i="13"/>
  <c r="H4" i="13"/>
  <c r="I3" i="13"/>
  <c r="H3" i="13"/>
  <c r="I17" i="13"/>
  <c r="H17" i="13"/>
  <c r="I16" i="13"/>
  <c r="H16" i="13"/>
  <c r="I15" i="13"/>
  <c r="H15" i="13"/>
  <c r="G20" i="13"/>
  <c r="G17" i="13"/>
  <c r="G19" i="13"/>
  <c r="G16" i="13"/>
  <c r="G18" i="13"/>
  <c r="G15" i="13"/>
  <c r="G8" i="13"/>
  <c r="G5" i="13"/>
  <c r="G7" i="13"/>
  <c r="G4" i="13"/>
  <c r="G6" i="13"/>
  <c r="G3" i="13"/>
  <c r="Z884" i="4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E17" i="13" l="1"/>
  <c r="D17" i="13"/>
  <c r="E16" i="13"/>
  <c r="D16" i="13"/>
  <c r="E15" i="13"/>
  <c r="D15" i="13"/>
  <c r="C20" i="13"/>
  <c r="C19" i="13"/>
  <c r="C18" i="13"/>
  <c r="C17" i="13"/>
  <c r="C16" i="13"/>
  <c r="C15" i="13"/>
  <c r="E5" i="13"/>
  <c r="D5" i="13"/>
  <c r="E4" i="13"/>
  <c r="D4" i="13"/>
  <c r="E3" i="13"/>
  <c r="D3" i="13"/>
  <c r="C8" i="13"/>
  <c r="C7" i="13"/>
  <c r="C6" i="13"/>
  <c r="C5" i="13"/>
  <c r="C4" i="13"/>
  <c r="C3" i="13"/>
  <c r="AD879" i="4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<sst xmlns="http://schemas.openxmlformats.org/spreadsheetml/2006/main" count="740" uniqueCount="308">
  <si>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</si>
  <si>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</si>
  <si>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</si>
  <si>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</si>
  <si>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</si>
  <si>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</si>
  <si>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</si>
  <si>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</si>
  <si>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</si>
  <si>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</si>
  <si>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</si>
  <si>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</si>
  <si>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</si>
  <si>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</si>
  <si>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</si>
  <si>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</si>
  <si>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</si>
  <si>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</si>
  <si>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</si>
  <si>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</si>
  <si>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</si>
  <si>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</si>
  <si>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</si>
  <si>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</si>
  <si>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</si>
  <si>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</si>
  <si>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</si>
  <si>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</si>
  <si>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</si>
  <si>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</si>
  <si>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</si>
  <si>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</si>
  <si>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</si>
  <si>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</si>
  <si>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</si>
  <si>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</si>
  <si>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</si>
  <si>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</si>
  <si>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</si>
  <si>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</si>
  <si>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</si>
  <si>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</si>
  <si>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</si>
  <si>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</si>
  <si>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</si>
  <si>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</si>
  <si>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</si>
  <si>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</si>
  <si>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</si>
  <si>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</si>
  <si>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</si>
  <si>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</si>
  <si>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</si>
  <si>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</si>
  <si>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</si>
  <si>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</si>
  <si>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</si>
  <si>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</si>
  <si>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</si>
  <si>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</si>
  <si>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</si>
  <si>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</si>
  <si>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</si>
  <si>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</si>
  <si>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</si>
  <si>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</si>
  <si>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</si>
  <si>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</si>
  <si>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</si>
  <si>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</si>
  <si>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</si>
  <si>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</si>
  <si>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</si>
  <si>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</si>
  <si>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</si>
  <si>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</si>
  <si>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</si>
  <si>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</si>
  <si>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</si>
  <si>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</si>
  <si>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</si>
  <si>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</si>
  <si>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</si>
  <si>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</si>
  <si>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</si>
  <si>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</si>
  <si>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</si>
  <si>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</si>
  <si>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</si>
  <si>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</si>
  <si>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</si>
  <si>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</si>
  <si>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</si>
  <si>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</si>
  <si>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</si>
  <si>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</si>
  <si>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</si>
  <si>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</si>
  <si>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</si>
  <si>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</si>
  <si>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</si>
  <si>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</si>
  <si>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</si>
  <si>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</si>
  <si>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</si>
  <si>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</si>
  <si>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</si>
  <si>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</si>
  <si>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</si>
  <si>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</si>
  <si>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</si>
  <si>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</si>
  <si>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</si>
  <si>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</si>
  <si>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</si>
  <si>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</si>
  <si>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</si>
  <si>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</si>
  <si>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</si>
  <si>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</si>
  <si>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</si>
  <si>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</si>
  <si>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</si>
  <si>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</si>
  <si>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</si>
  <si>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</si>
  <si>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</si>
  <si>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</si>
  <si>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</si>
  <si>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</si>
  <si>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</si>
  <si>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</si>
  <si>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</si>
  <si>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</si>
  <si>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</si>
  <si>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</si>
  <si>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</si>
  <si>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</si>
  <si>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</si>
  <si>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</si>
  <si>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</si>
  <si>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</si>
  <si>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</si>
  <si>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</si>
  <si>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</si>
  <si>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</si>
  <si>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</si>
  <si>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</si>
  <si>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</si>
  <si>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</si>
  <si>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</si>
  <si>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</si>
  <si>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</si>
  <si>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</si>
  <si>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</si>
  <si>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</si>
  <si>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</si>
  <si>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</si>
  <si>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</si>
  <si>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</si>
  <si>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</si>
  <si>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</si>
  <si>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</si>
  <si>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</si>
  <si>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</si>
  <si>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</si>
  <si>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</si>
  <si>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</si>
  <si>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</si>
  <si>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</si>
  <si>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</si>
  <si>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</si>
  <si>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</si>
  <si>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</si>
  <si>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</si>
  <si>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</si>
  <si>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</si>
  <si>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</si>
  <si>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</si>
  <si>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</si>
  <si>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</si>
  <si>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</si>
  <si>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</si>
  <si>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</si>
  <si>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</si>
  <si>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</si>
  <si>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</si>
  <si>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</si>
  <si>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</si>
  <si>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</si>
  <si>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</si>
  <si>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</si>
  <si>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</si>
  <si>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</si>
  <si>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</si>
  <si>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</si>
  <si>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</si>
  <si>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</si>
  <si>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</si>
  <si>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</si>
  <si>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</si>
  <si>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</si>
  <si>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</si>
  <si>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</si>
  <si>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</si>
  <si>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</si>
  <si>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</si>
  <si>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</si>
  <si>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</si>
  <si>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</si>
  <si>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</si>
  <si>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</si>
  <si>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</si>
  <si>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</si>
  <si>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</si>
  <si>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</si>
  <si>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</si>
  <si>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</si>
  <si>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</si>
  <si>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</si>
  <si>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</si>
  <si>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</si>
  <si>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</si>
  <si>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</si>
  <si>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</si>
  <si>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</si>
  <si>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</si>
  <si>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</si>
  <si>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</si>
  <si>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</si>
  <si>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</si>
  <si>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</si>
  <si>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</si>
  <si>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</si>
  <si>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</si>
  <si>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</si>
  <si>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</si>
  <si>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</si>
  <si>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</si>
  <si>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</si>
  <si>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</si>
  <si>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</si>
  <si>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</si>
  <si>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</si>
  <si>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</si>
  <si>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</si>
  <si>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</si>
  <si>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</si>
  <si>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</si>
  <si>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</si>
  <si>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</si>
  <si>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</si>
  <si>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</si>
  <si>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</si>
  <si>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</si>
  <si>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</si>
  <si>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</si>
  <si>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</si>
  <si>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</si>
  <si>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</si>
  <si>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</si>
  <si>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</si>
  <si>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</si>
  <si>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</si>
  <si>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</si>
  <si>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</si>
  <si>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</si>
  <si>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</si>
  <si>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</si>
  <si>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</si>
  <si>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</si>
  <si>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>Oct.  2011-13</t>
  </si>
  <si>
    <t>May. 2011-13</t>
  </si>
  <si>
    <t>Jun. 2011-13</t>
  </si>
  <si>
    <t>Oct. 2011-13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</si>
  <si>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</si>
  <si>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</si>
  <si>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</si>
  <si>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</si>
  <si>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</si>
  <si>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</si>
  <si>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</si>
  <si>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</si>
  <si>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</si>
  <si>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</si>
  <si>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</si>
  <si>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</si>
  <si>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</si>
  <si>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</si>
  <si>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</si>
  <si>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</si>
  <si>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</si>
  <si>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</si>
  <si>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</si>
  <si>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</si>
  <si>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</si>
  <si>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</si>
  <si>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</si>
  <si>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</si>
  <si>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</si>
  <si>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</si>
  <si>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</si>
  <si>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</si>
  <si>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</si>
  <si>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</si>
  <si>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August 2014, Secondary Market</t>
  </si>
  <si>
    <t>Bids/Offers for Railcars to be Delivered in September 2014, Secondary Market</t>
  </si>
  <si>
    <t>Bids/Offers for Railcars to be Delivered in October 2014, Secondary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</si>
</sst>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39480511621927"/>
          <c:y val="3.3897889629467957E-2"/>
          <c:w val="0.82901794156133946"/>
          <c:h val="0.6473001695683562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Bids'!$C$880:$C$910</c:f>
              <c:numCache>
                <c:formatCode>[$-409]d\-mmm\-yyyy;@</c:formatCode>
                <c:ptCount val="31"/>
                <c:pt idx="0">
                  <c:v>41655</c:v>
                </c:pt>
                <c:pt idx="1">
                  <c:v>41662</c:v>
                </c:pt>
                <c:pt idx="2">
                  <c:v>41669</c:v>
                </c:pt>
                <c:pt idx="3">
                  <c:v>41676</c:v>
                </c:pt>
                <c:pt idx="4">
                  <c:v>41683</c:v>
                </c:pt>
                <c:pt idx="5">
                  <c:v>41690</c:v>
                </c:pt>
                <c:pt idx="6">
                  <c:v>41697</c:v>
                </c:pt>
                <c:pt idx="7">
                  <c:v>41704</c:v>
                </c:pt>
                <c:pt idx="8">
                  <c:v>41711</c:v>
                </c:pt>
                <c:pt idx="9">
                  <c:v>41718</c:v>
                </c:pt>
                <c:pt idx="10">
                  <c:v>41725</c:v>
                </c:pt>
                <c:pt idx="11">
                  <c:v>41732</c:v>
                </c:pt>
                <c:pt idx="12">
                  <c:v>41739</c:v>
                </c:pt>
                <c:pt idx="13">
                  <c:v>41746</c:v>
                </c:pt>
                <c:pt idx="14">
                  <c:v>41753</c:v>
                </c:pt>
                <c:pt idx="15">
                  <c:v>41760</c:v>
                </c:pt>
                <c:pt idx="16">
                  <c:v>41767</c:v>
                </c:pt>
                <c:pt idx="17">
                  <c:v>41774</c:v>
                </c:pt>
                <c:pt idx="18">
                  <c:v>41781</c:v>
                </c:pt>
                <c:pt idx="19">
                  <c:v>41788</c:v>
                </c:pt>
                <c:pt idx="20">
                  <c:v>41795</c:v>
                </c:pt>
                <c:pt idx="21">
                  <c:v>41802</c:v>
                </c:pt>
                <c:pt idx="22">
                  <c:v>41809</c:v>
                </c:pt>
                <c:pt idx="23">
                  <c:v>41816</c:v>
                </c:pt>
                <c:pt idx="24">
                  <c:v>41823</c:v>
                </c:pt>
                <c:pt idx="25">
                  <c:v>41830</c:v>
                </c:pt>
                <c:pt idx="26">
                  <c:v>41837</c:v>
                </c:pt>
                <c:pt idx="27">
                  <c:v>41844</c:v>
                </c:pt>
                <c:pt idx="28">
                  <c:v>41851</c:v>
                </c:pt>
                <c:pt idx="29">
                  <c:v>41858</c:v>
                </c:pt>
                <c:pt idx="30">
                  <c:v>41865</c:v>
                </c:pt>
              </c:numCache>
            </c:numRef>
          </c:cat>
          <c:val>
            <c:numRef>
              <c:f>'Non-shuttle Bids'!$AH$880:$AH$910</c:f>
              <c:numCache>
                <c:formatCode>General</c:formatCode>
                <c:ptCount val="31"/>
                <c:pt idx="24">
                  <c:v>500</c:v>
                </c:pt>
                <c:pt idx="25">
                  <c:v>700</c:v>
                </c:pt>
                <c:pt idx="26">
                  <c:v>750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Bids'!$C$880:$C$910</c:f>
              <c:numCache>
                <c:formatCode>[$-409]d\-mmm\-yyyy;@</c:formatCode>
                <c:ptCount val="31"/>
                <c:pt idx="0">
                  <c:v>41655</c:v>
                </c:pt>
                <c:pt idx="1">
                  <c:v>41662</c:v>
                </c:pt>
                <c:pt idx="2">
                  <c:v>41669</c:v>
                </c:pt>
                <c:pt idx="3">
                  <c:v>41676</c:v>
                </c:pt>
                <c:pt idx="4">
                  <c:v>41683</c:v>
                </c:pt>
                <c:pt idx="5">
                  <c:v>41690</c:v>
                </c:pt>
                <c:pt idx="6">
                  <c:v>41697</c:v>
                </c:pt>
                <c:pt idx="7">
                  <c:v>41704</c:v>
                </c:pt>
                <c:pt idx="8">
                  <c:v>41711</c:v>
                </c:pt>
                <c:pt idx="9">
                  <c:v>41718</c:v>
                </c:pt>
                <c:pt idx="10">
                  <c:v>41725</c:v>
                </c:pt>
                <c:pt idx="11">
                  <c:v>41732</c:v>
                </c:pt>
                <c:pt idx="12">
                  <c:v>41739</c:v>
                </c:pt>
                <c:pt idx="13">
                  <c:v>41746</c:v>
                </c:pt>
                <c:pt idx="14">
                  <c:v>41753</c:v>
                </c:pt>
                <c:pt idx="15">
                  <c:v>41760</c:v>
                </c:pt>
                <c:pt idx="16">
                  <c:v>41767</c:v>
                </c:pt>
                <c:pt idx="17">
                  <c:v>41774</c:v>
                </c:pt>
                <c:pt idx="18">
                  <c:v>41781</c:v>
                </c:pt>
                <c:pt idx="19">
                  <c:v>41788</c:v>
                </c:pt>
                <c:pt idx="20">
                  <c:v>41795</c:v>
                </c:pt>
                <c:pt idx="21">
                  <c:v>41802</c:v>
                </c:pt>
                <c:pt idx="22">
                  <c:v>41809</c:v>
                </c:pt>
                <c:pt idx="23">
                  <c:v>41816</c:v>
                </c:pt>
                <c:pt idx="24">
                  <c:v>41823</c:v>
                </c:pt>
                <c:pt idx="25">
                  <c:v>41830</c:v>
                </c:pt>
                <c:pt idx="26">
                  <c:v>41837</c:v>
                </c:pt>
                <c:pt idx="27">
                  <c:v>41844</c:v>
                </c:pt>
                <c:pt idx="28">
                  <c:v>41851</c:v>
                </c:pt>
                <c:pt idx="29">
                  <c:v>41858</c:v>
                </c:pt>
                <c:pt idx="30">
                  <c:v>41865</c:v>
                </c:pt>
              </c:numCache>
            </c:numRef>
          </c:cat>
          <c:val>
            <c:numRef>
              <c:f>'Shuttle Bids'!$AH$880:$AH$910</c:f>
              <c:numCache>
                <c:formatCode>0.00</c:formatCode>
                <c:ptCount val="31"/>
                <c:pt idx="0">
                  <c:v>100</c:v>
                </c:pt>
                <c:pt idx="15" formatCode="General">
                  <c:v>200</c:v>
                </c:pt>
                <c:pt idx="16" formatCode="General">
                  <c:v>-300</c:v>
                </c:pt>
                <c:pt idx="17" formatCode="General">
                  <c:v>-300</c:v>
                </c:pt>
                <c:pt idx="18" formatCode="General">
                  <c:v>-100</c:v>
                </c:pt>
                <c:pt idx="19" formatCode="General">
                  <c:v>-200</c:v>
                </c:pt>
                <c:pt idx="20" formatCode="General">
                  <c:v>-150</c:v>
                </c:pt>
                <c:pt idx="21" formatCode="General">
                  <c:v>50</c:v>
                </c:pt>
                <c:pt idx="22" formatCode="General">
                  <c:v>375</c:v>
                </c:pt>
                <c:pt idx="23" formatCode="General">
                  <c:v>950</c:v>
                </c:pt>
                <c:pt idx="24" formatCode="General">
                  <c:v>200</c:v>
                </c:pt>
                <c:pt idx="25" formatCode="General">
                  <c:v>1150</c:v>
                </c:pt>
                <c:pt idx="26" formatCode="General">
                  <c:v>1769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Bids'!$C$880:$C$910</c:f>
              <c:numCache>
                <c:formatCode>[$-409]d\-mmm\-yyyy;@</c:formatCode>
                <c:ptCount val="31"/>
                <c:pt idx="0">
                  <c:v>41655</c:v>
                </c:pt>
                <c:pt idx="1">
                  <c:v>41662</c:v>
                </c:pt>
                <c:pt idx="2">
                  <c:v>41669</c:v>
                </c:pt>
                <c:pt idx="3">
                  <c:v>41676</c:v>
                </c:pt>
                <c:pt idx="4">
                  <c:v>41683</c:v>
                </c:pt>
                <c:pt idx="5">
                  <c:v>41690</c:v>
                </c:pt>
                <c:pt idx="6">
                  <c:v>41697</c:v>
                </c:pt>
                <c:pt idx="7">
                  <c:v>41704</c:v>
                </c:pt>
                <c:pt idx="8">
                  <c:v>41711</c:v>
                </c:pt>
                <c:pt idx="9">
                  <c:v>41718</c:v>
                </c:pt>
                <c:pt idx="10">
                  <c:v>41725</c:v>
                </c:pt>
                <c:pt idx="11">
                  <c:v>41732</c:v>
                </c:pt>
                <c:pt idx="12">
                  <c:v>41739</c:v>
                </c:pt>
                <c:pt idx="13">
                  <c:v>41746</c:v>
                </c:pt>
                <c:pt idx="14">
                  <c:v>41753</c:v>
                </c:pt>
                <c:pt idx="15">
                  <c:v>41760</c:v>
                </c:pt>
                <c:pt idx="16">
                  <c:v>41767</c:v>
                </c:pt>
                <c:pt idx="17">
                  <c:v>41774</c:v>
                </c:pt>
                <c:pt idx="18">
                  <c:v>41781</c:v>
                </c:pt>
                <c:pt idx="19">
                  <c:v>41788</c:v>
                </c:pt>
                <c:pt idx="20">
                  <c:v>41795</c:v>
                </c:pt>
                <c:pt idx="21">
                  <c:v>41802</c:v>
                </c:pt>
                <c:pt idx="22">
                  <c:v>41809</c:v>
                </c:pt>
                <c:pt idx="23">
                  <c:v>41816</c:v>
                </c:pt>
                <c:pt idx="24">
                  <c:v>41823</c:v>
                </c:pt>
                <c:pt idx="25">
                  <c:v>41830</c:v>
                </c:pt>
                <c:pt idx="26">
                  <c:v>41837</c:v>
                </c:pt>
                <c:pt idx="27">
                  <c:v>41844</c:v>
                </c:pt>
                <c:pt idx="28">
                  <c:v>41851</c:v>
                </c:pt>
                <c:pt idx="29">
                  <c:v>41858</c:v>
                </c:pt>
                <c:pt idx="30">
                  <c:v>41865</c:v>
                </c:pt>
              </c:numCache>
            </c:numRef>
          </c:cat>
          <c:val>
            <c:numRef>
              <c:f>'Prior 3-yr.Avg for Week'!$AA$44:$AA$73</c:f>
              <c:numCache>
                <c:formatCode>0.00</c:formatCode>
                <c:ptCount val="30"/>
                <c:pt idx="19">
                  <c:v>25</c:v>
                </c:pt>
                <c:pt idx="20">
                  <c:v>25</c:v>
                </c:pt>
                <c:pt idx="21">
                  <c:v>-18.75</c:v>
                </c:pt>
                <c:pt idx="22">
                  <c:v>25</c:v>
                </c:pt>
                <c:pt idx="23">
                  <c:v>15.75</c:v>
                </c:pt>
                <c:pt idx="24">
                  <c:v>19</c:v>
                </c:pt>
                <c:pt idx="25">
                  <c:v>22.333333333333332</c:v>
                </c:pt>
                <c:pt idx="26">
                  <c:v>15.333333333333334</c:v>
                </c:pt>
                <c:pt idx="27">
                  <c:v>-32.666666666666664</c:v>
                </c:pt>
                <c:pt idx="28">
                  <c:v>-32.833333333333336</c:v>
                </c:pt>
                <c:pt idx="29">
                  <c:v>-4.5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Bids'!$C$880:$C$910</c:f>
              <c:numCache>
                <c:formatCode>[$-409]d\-mmm\-yyyy;@</c:formatCode>
                <c:ptCount val="31"/>
                <c:pt idx="0">
                  <c:v>41655</c:v>
                </c:pt>
                <c:pt idx="1">
                  <c:v>41662</c:v>
                </c:pt>
                <c:pt idx="2">
                  <c:v>41669</c:v>
                </c:pt>
                <c:pt idx="3">
                  <c:v>41676</c:v>
                </c:pt>
                <c:pt idx="4">
                  <c:v>41683</c:v>
                </c:pt>
                <c:pt idx="5">
                  <c:v>41690</c:v>
                </c:pt>
                <c:pt idx="6">
                  <c:v>41697</c:v>
                </c:pt>
                <c:pt idx="7">
                  <c:v>41704</c:v>
                </c:pt>
                <c:pt idx="8">
                  <c:v>41711</c:v>
                </c:pt>
                <c:pt idx="9">
                  <c:v>41718</c:v>
                </c:pt>
                <c:pt idx="10">
                  <c:v>41725</c:v>
                </c:pt>
                <c:pt idx="11">
                  <c:v>41732</c:v>
                </c:pt>
                <c:pt idx="12">
                  <c:v>41739</c:v>
                </c:pt>
                <c:pt idx="13">
                  <c:v>41746</c:v>
                </c:pt>
                <c:pt idx="14">
                  <c:v>41753</c:v>
                </c:pt>
                <c:pt idx="15">
                  <c:v>41760</c:v>
                </c:pt>
                <c:pt idx="16">
                  <c:v>41767</c:v>
                </c:pt>
                <c:pt idx="17">
                  <c:v>41774</c:v>
                </c:pt>
                <c:pt idx="18">
                  <c:v>41781</c:v>
                </c:pt>
                <c:pt idx="19">
                  <c:v>41788</c:v>
                </c:pt>
                <c:pt idx="20">
                  <c:v>41795</c:v>
                </c:pt>
                <c:pt idx="21">
                  <c:v>41802</c:v>
                </c:pt>
                <c:pt idx="22">
                  <c:v>41809</c:v>
                </c:pt>
                <c:pt idx="23">
                  <c:v>41816</c:v>
                </c:pt>
                <c:pt idx="24">
                  <c:v>41823</c:v>
                </c:pt>
                <c:pt idx="25">
                  <c:v>41830</c:v>
                </c:pt>
                <c:pt idx="26">
                  <c:v>41837</c:v>
                </c:pt>
                <c:pt idx="27">
                  <c:v>41844</c:v>
                </c:pt>
                <c:pt idx="28">
                  <c:v>41851</c:v>
                </c:pt>
                <c:pt idx="29">
                  <c:v>41858</c:v>
                </c:pt>
                <c:pt idx="30">
                  <c:v>41865</c:v>
                </c:pt>
              </c:numCache>
            </c:numRef>
          </c:cat>
          <c:val>
            <c:numRef>
              <c:f>'Prior 3-yr.Avg for Week'!$BR$44:$BR$73</c:f>
              <c:numCache>
                <c:formatCode>0.00</c:formatCode>
                <c:ptCount val="30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-175</c:v>
                </c:pt>
                <c:pt idx="4">
                  <c:v>-175</c:v>
                </c:pt>
                <c:pt idx="5">
                  <c:v>-193.75</c:v>
                </c:pt>
                <c:pt idx="6">
                  <c:v>-175</c:v>
                </c:pt>
                <c:pt idx="7">
                  <c:v>-187.5</c:v>
                </c:pt>
                <c:pt idx="8">
                  <c:v>-175</c:v>
                </c:pt>
                <c:pt idx="9">
                  <c:v>-162.5</c:v>
                </c:pt>
                <c:pt idx="10">
                  <c:v>-200</c:v>
                </c:pt>
                <c:pt idx="11">
                  <c:v>-200</c:v>
                </c:pt>
                <c:pt idx="12">
                  <c:v>-200</c:v>
                </c:pt>
                <c:pt idx="13">
                  <c:v>-225</c:v>
                </c:pt>
                <c:pt idx="14">
                  <c:v>-237.5</c:v>
                </c:pt>
                <c:pt idx="15">
                  <c:v>-256.5</c:v>
                </c:pt>
                <c:pt idx="16">
                  <c:v>-308.33333333333331</c:v>
                </c:pt>
                <c:pt idx="17">
                  <c:v>-283.33333333333331</c:v>
                </c:pt>
                <c:pt idx="18">
                  <c:v>-275</c:v>
                </c:pt>
                <c:pt idx="19">
                  <c:v>-241.66666666666666</c:v>
                </c:pt>
                <c:pt idx="20">
                  <c:v>-283.33333333333331</c:v>
                </c:pt>
                <c:pt idx="21">
                  <c:v>-300</c:v>
                </c:pt>
                <c:pt idx="22">
                  <c:v>-387.5</c:v>
                </c:pt>
                <c:pt idx="23">
                  <c:v>-308.33333333333331</c:v>
                </c:pt>
                <c:pt idx="24">
                  <c:v>-285.5</c:v>
                </c:pt>
                <c:pt idx="25">
                  <c:v>-302.83333333333331</c:v>
                </c:pt>
                <c:pt idx="26">
                  <c:v>-364</c:v>
                </c:pt>
                <c:pt idx="27">
                  <c:v>-371.83333333333331</c:v>
                </c:pt>
                <c:pt idx="28">
                  <c:v>-300.5</c:v>
                </c:pt>
                <c:pt idx="29">
                  <c:v>-297.33333333333331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1664"/>
        <c:axId val="84163200"/>
      </c:lineChart>
      <c:dateAx>
        <c:axId val="8416166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163200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4163200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161664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'Non-shuttle Bids'!$AL$884:$AL$914</c:f>
              <c:numCache>
                <c:formatCode>0.00</c:formatCode>
                <c:ptCount val="31"/>
                <c:pt idx="22" formatCode="General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'Shuttle Bids'!$AL$884:$AL$914</c:f>
              <c:numCache>
                <c:formatCode>0.00</c:formatCode>
                <c:ptCount val="31"/>
                <c:pt idx="1">
                  <c:v>1200</c:v>
                </c:pt>
                <c:pt idx="2">
                  <c:v>1200</c:v>
                </c:pt>
                <c:pt idx="3">
                  <c:v>1300</c:v>
                </c:pt>
                <c:pt idx="5">
                  <c:v>1500</c:v>
                </c:pt>
                <c:pt idx="6">
                  <c:v>1500</c:v>
                </c:pt>
                <c:pt idx="7">
                  <c:v>1800</c:v>
                </c:pt>
                <c:pt idx="8">
                  <c:v>1700</c:v>
                </c:pt>
                <c:pt idx="9">
                  <c:v>1700</c:v>
                </c:pt>
                <c:pt idx="11">
                  <c:v>500</c:v>
                </c:pt>
                <c:pt idx="12">
                  <c:v>100</c:v>
                </c:pt>
                <c:pt idx="13">
                  <c:v>100</c:v>
                </c:pt>
                <c:pt idx="14">
                  <c:v>200</c:v>
                </c:pt>
                <c:pt idx="15">
                  <c:v>200</c:v>
                </c:pt>
                <c:pt idx="17">
                  <c:v>-100</c:v>
                </c:pt>
                <c:pt idx="19">
                  <c:v>400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Week'!$AD$48:$AD$78</c:f>
              <c:numCache>
                <c:formatCode>0.00</c:formatCode>
                <c:ptCount val="31"/>
                <c:pt idx="20">
                  <c:v>100</c:v>
                </c:pt>
                <c:pt idx="21">
                  <c:v>103</c:v>
                </c:pt>
                <c:pt idx="22">
                  <c:v>86.5</c:v>
                </c:pt>
                <c:pt idx="23">
                  <c:v>-17.5</c:v>
                </c:pt>
                <c:pt idx="24">
                  <c:v>39.5</c:v>
                </c:pt>
                <c:pt idx="25">
                  <c:v>28.833333333333332</c:v>
                </c:pt>
                <c:pt idx="26">
                  <c:v>22.5</c:v>
                </c:pt>
                <c:pt idx="27">
                  <c:v>33</c:v>
                </c:pt>
                <c:pt idx="28">
                  <c:v>66</c:v>
                </c:pt>
                <c:pt idx="29">
                  <c:v>29.166666666666668</c:v>
                </c:pt>
                <c:pt idx="30">
                  <c:v>148.75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Week'!$BU$48:$BU$78</c:f>
              <c:numCache>
                <c:formatCode>0.00</c:formatCode>
                <c:ptCount val="31"/>
                <c:pt idx="0">
                  <c:v>-200</c:v>
                </c:pt>
                <c:pt idx="1">
                  <c:v>-158.33333333333334</c:v>
                </c:pt>
                <c:pt idx="2">
                  <c:v>-187.5</c:v>
                </c:pt>
                <c:pt idx="3">
                  <c:v>-158.33333333333334</c:v>
                </c:pt>
                <c:pt idx="4">
                  <c:v>-166.66666666666666</c:v>
                </c:pt>
                <c:pt idx="5">
                  <c:v>-152.16666666666666</c:v>
                </c:pt>
                <c:pt idx="6">
                  <c:v>-135.5</c:v>
                </c:pt>
                <c:pt idx="7">
                  <c:v>-183.33333333333334</c:v>
                </c:pt>
                <c:pt idx="8">
                  <c:v>-191.66666666666666</c:v>
                </c:pt>
                <c:pt idx="9">
                  <c:v>-183.33333333333334</c:v>
                </c:pt>
                <c:pt idx="10">
                  <c:v>-50</c:v>
                </c:pt>
                <c:pt idx="11">
                  <c:v>-154.33333333333334</c:v>
                </c:pt>
                <c:pt idx="12">
                  <c:v>-225</c:v>
                </c:pt>
                <c:pt idx="13">
                  <c:v>-208.33333333333334</c:v>
                </c:pt>
                <c:pt idx="14">
                  <c:v>-116.66666666666667</c:v>
                </c:pt>
                <c:pt idx="15">
                  <c:v>-208.33333333333334</c:v>
                </c:pt>
                <c:pt idx="16">
                  <c:v>-208.33333333333334</c:v>
                </c:pt>
                <c:pt idx="17">
                  <c:v>-250</c:v>
                </c:pt>
                <c:pt idx="18">
                  <c:v>-175</c:v>
                </c:pt>
                <c:pt idx="19">
                  <c:v>-179.16666666666666</c:v>
                </c:pt>
                <c:pt idx="20">
                  <c:v>-233.33333333333334</c:v>
                </c:pt>
                <c:pt idx="21">
                  <c:v>-277.16666666666669</c:v>
                </c:pt>
                <c:pt idx="22">
                  <c:v>-335.5</c:v>
                </c:pt>
                <c:pt idx="23">
                  <c:v>-309.66666666666669</c:v>
                </c:pt>
                <c:pt idx="24">
                  <c:v>-268.66666666666669</c:v>
                </c:pt>
                <c:pt idx="25">
                  <c:v>-300.33333333333331</c:v>
                </c:pt>
                <c:pt idx="26">
                  <c:v>-304.66666666666669</c:v>
                </c:pt>
                <c:pt idx="27">
                  <c:v>-247.16666666666666</c:v>
                </c:pt>
                <c:pt idx="28">
                  <c:v>-226.83333333333334</c:v>
                </c:pt>
                <c:pt idx="29">
                  <c:v>-104.16666666666667</c:v>
                </c:pt>
                <c:pt idx="30">
                  <c:v>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12736"/>
        <c:axId val="85267200"/>
      </c:lineChart>
      <c:dateAx>
        <c:axId val="8421273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2672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5267200"/>
        <c:scaling>
          <c:orientation val="minMax"/>
          <c:max val="22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212736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'Non-shuttle Bids'!$AP$889:$AP$919</c:f>
              <c:numCache>
                <c:formatCode>0.00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'Shuttle Bids'!$AP$889:$AP$919</c:f>
              <c:numCache>
                <c:formatCode>General</c:formatCode>
                <c:ptCount val="31"/>
                <c:pt idx="0">
                  <c:v>1300</c:v>
                </c:pt>
                <c:pt idx="1">
                  <c:v>1300</c:v>
                </c:pt>
                <c:pt idx="2">
                  <c:v>2075</c:v>
                </c:pt>
                <c:pt idx="3">
                  <c:v>1978</c:v>
                </c:pt>
                <c:pt idx="4">
                  <c:v>1950</c:v>
                </c:pt>
                <c:pt idx="11">
                  <c:v>1350</c:v>
                </c:pt>
                <c:pt idx="12">
                  <c:v>975</c:v>
                </c:pt>
                <c:pt idx="13">
                  <c:v>1000</c:v>
                </c:pt>
                <c:pt idx="14">
                  <c:v>1200</c:v>
                </c:pt>
                <c:pt idx="16">
                  <c:v>3156.5</c:v>
                </c:pt>
                <c:pt idx="17">
                  <c:v>3250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Week'!$AH$10:$AH$40</c:f>
              <c:numCache>
                <c:formatCode>0.00</c:formatCode>
                <c:ptCount val="31"/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138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150</c:v>
                </c:pt>
                <c:pt idx="20">
                  <c:v>175</c:v>
                </c:pt>
                <c:pt idx="21">
                  <c:v>66.5</c:v>
                </c:pt>
                <c:pt idx="22">
                  <c:v>100</c:v>
                </c:pt>
                <c:pt idx="23">
                  <c:v>237.5</c:v>
                </c:pt>
                <c:pt idx="24">
                  <c:v>154.16666666666666</c:v>
                </c:pt>
                <c:pt idx="25">
                  <c:v>178.5</c:v>
                </c:pt>
                <c:pt idx="26">
                  <c:v>111.5</c:v>
                </c:pt>
                <c:pt idx="27">
                  <c:v>3</c:v>
                </c:pt>
                <c:pt idx="28">
                  <c:v>138.66666666666666</c:v>
                </c:pt>
                <c:pt idx="29">
                  <c:v>94.5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Week'!$BY$10:$BY$40</c:f>
              <c:numCache>
                <c:formatCode>0.00</c:formatCode>
                <c:ptCount val="31"/>
                <c:pt idx="0">
                  <c:v>500</c:v>
                </c:pt>
                <c:pt idx="1">
                  <c:v>500</c:v>
                </c:pt>
                <c:pt idx="2">
                  <c:v>600</c:v>
                </c:pt>
                <c:pt idx="3">
                  <c:v>606.25</c:v>
                </c:pt>
                <c:pt idx="4">
                  <c:v>493.75</c:v>
                </c:pt>
                <c:pt idx="5">
                  <c:v>575</c:v>
                </c:pt>
                <c:pt idx="6">
                  <c:v>675</c:v>
                </c:pt>
                <c:pt idx="7">
                  <c:v>625</c:v>
                </c:pt>
                <c:pt idx="8">
                  <c:v>550</c:v>
                </c:pt>
                <c:pt idx="9">
                  <c:v>587.5</c:v>
                </c:pt>
                <c:pt idx="10">
                  <c:v>575</c:v>
                </c:pt>
                <c:pt idx="11">
                  <c:v>512.5</c:v>
                </c:pt>
                <c:pt idx="12">
                  <c:v>412.5</c:v>
                </c:pt>
                <c:pt idx="13">
                  <c:v>394</c:v>
                </c:pt>
                <c:pt idx="14">
                  <c:v>408.33333333333331</c:v>
                </c:pt>
                <c:pt idx="15">
                  <c:v>391.66666666666669</c:v>
                </c:pt>
                <c:pt idx="16">
                  <c:v>350</c:v>
                </c:pt>
                <c:pt idx="17">
                  <c:v>412.5</c:v>
                </c:pt>
                <c:pt idx="18">
                  <c:v>362.5</c:v>
                </c:pt>
                <c:pt idx="19">
                  <c:v>196</c:v>
                </c:pt>
                <c:pt idx="20">
                  <c:v>325</c:v>
                </c:pt>
                <c:pt idx="21">
                  <c:v>425</c:v>
                </c:pt>
                <c:pt idx="22">
                  <c:v>333.33333333333331</c:v>
                </c:pt>
                <c:pt idx="23">
                  <c:v>491.66666666666669</c:v>
                </c:pt>
                <c:pt idx="24">
                  <c:v>379.16666666666669</c:v>
                </c:pt>
                <c:pt idx="25">
                  <c:v>462.5</c:v>
                </c:pt>
                <c:pt idx="26">
                  <c:v>274.33333333333331</c:v>
                </c:pt>
                <c:pt idx="27">
                  <c:v>495.16666666666669</c:v>
                </c:pt>
                <c:pt idx="28">
                  <c:v>511.16666666666669</c:v>
                </c:pt>
                <c:pt idx="29">
                  <c:v>211.16666666666666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2928"/>
        <c:axId val="48418816"/>
      </c:lineChart>
      <c:dateAx>
        <c:axId val="4841292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4188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8418816"/>
        <c:scaling>
          <c:orientation val="minMax"/>
          <c:max val="40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412928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85537152"/>
        <c:axId val="85538688"/>
      </c:stockChart>
      <c:catAx>
        <c:axId val="855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8553868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85538688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8553715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85582976"/>
        <c:axId val="85584512"/>
      </c:stockChart>
      <c:catAx>
        <c:axId val="855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584512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85584512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58297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07776"/>
        <c:axId val="85717760"/>
      </c:lineChart>
      <c:catAx>
        <c:axId val="8570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17760"/>
        <c:crosses val="autoZero"/>
        <c:auto val="1"/>
        <c:lblAlgn val="ctr"/>
        <c:lblOffset val="100"/>
        <c:noMultiLvlLbl val="0"/>
      </c:catAx>
      <c:valAx>
        <c:axId val="857177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57077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66336"/>
        <c:axId val="88767872"/>
      </c:lineChart>
      <c:catAx>
        <c:axId val="887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767872"/>
        <c:crosses val="autoZero"/>
        <c:auto val="1"/>
        <c:lblAlgn val="ctr"/>
        <c:lblOffset val="100"/>
        <c:noMultiLvlLbl val="0"/>
      </c:catAx>
      <c:valAx>
        <c:axId val="887678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8766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88480"/>
        <c:axId val="89590016"/>
      </c:lineChart>
      <c:dateAx>
        <c:axId val="8958848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89590016"/>
        <c:crosses val="autoZero"/>
        <c:auto val="1"/>
        <c:lblOffset val="100"/>
        <c:baseTimeUnit val="days"/>
        <c:majorUnit val="7"/>
        <c:majorTimeUnit val="days"/>
      </c:dateAx>
      <c:valAx>
        <c:axId val="89590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8958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0.14928</cdr:x>
      <cdr:y>0.5354</cdr:y>
    </cdr:from>
    <cdr:to>
      <cdr:x>0.39048</cdr:x>
      <cdr:y>0.67356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886" y="1594494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 $750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$2,000     $1,538</a:t>
          </a:r>
        </a:p>
      </cdr:txBody>
    </cdr:sp>
  </cdr:relSizeAnchor>
  <cdr:relSizeAnchor xmlns:cdr="http://schemas.openxmlformats.org/drawingml/2006/chartDrawing">
    <cdr:from>
      <cdr:x>0.01789</cdr:x>
      <cdr:y>0.05014</cdr:y>
    </cdr:from>
    <cdr:to>
      <cdr:x>0.0869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607" y="149324"/>
          <a:ext cx="364945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0.15346</cdr:x>
      <cdr:y>0.04446</cdr:y>
    </cdr:from>
    <cdr:to>
      <cdr:x>0.72154</cdr:x>
      <cdr:y>0.14249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634" y="132409"/>
          <a:ext cx="3089666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rose $50 this week and are at the peak.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rose $619 this week and are at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0.15392</cdr:x>
      <cdr:y>0.47005</cdr:y>
    </cdr:from>
    <cdr:to>
      <cdr:x>0.4087</cdr:x>
      <cdr:y>0.61313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2424" y="1399888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 n/a        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$1,000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  n/a           n/a</a:t>
          </a: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0.59539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67" y="116605"/>
          <a:ext cx="2400983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are $1,000 above tariff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There are no shuttle bids/offers this week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$3,500      $3,000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0.02933</cdr:y>
    </cdr:from>
    <cdr:to>
      <cdr:x>0.66313</cdr:x>
      <cdr:y>0.13146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273" y="87177"/>
          <a:ext cx="2730027" cy="3035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$93.50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this week and are at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Z876" activePane="bottomRight" state="frozen"/>
      <selection pane="topRight" activeCell="D1" sqref="D1"/>
      <selection pane="bottomLeft" activeCell="A8" sqref="A8"/>
      <selection pane="bottomRight" activeCell="AK902" sqref="AK902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6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2"/>
      <c r="AJ907" s="48"/>
      <c r="AK907" s="48"/>
      <c r="AL907" s="4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2"/>
      <c r="AJ908" s="48"/>
      <c r="AK908" s="48"/>
      <c r="AL908" s="4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2"/>
      <c r="AJ909" s="48"/>
      <c r="AK909" s="48"/>
      <c r="AL909" s="4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/>
      <c r="AK910" s="48"/>
      <c r="AL910" s="4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/>
      <c r="AL911" s="4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5" customHeight="1" x14ac:dyDescent="0.2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5" customHeight="1" x14ac:dyDescent="0.2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5" customHeight="1" x14ac:dyDescent="0.2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5" customHeight="1" x14ac:dyDescent="0.2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5" customHeight="1" x14ac:dyDescent="0.2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X876" activePane="bottomRight" state="frozen"/>
      <selection pane="topRight" activeCell="D1" sqref="D1"/>
      <selection pane="bottomLeft" activeCell="A7" sqref="A7"/>
      <selection pane="bottomRight" activeCell="AX905" sqref="AX905:AX906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03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06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05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06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06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14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14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48"/>
      <c r="AU907" s="14"/>
      <c r="AV907" s="14"/>
      <c r="AW907" s="14"/>
      <c r="AX907" s="14"/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48"/>
      <c r="AU908" s="14"/>
      <c r="AV908" s="14"/>
      <c r="AW908" s="14"/>
      <c r="AX908" s="14"/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48"/>
      <c r="AU909" s="14"/>
      <c r="AV909" s="14"/>
      <c r="AW909" s="14"/>
      <c r="AX909" s="14"/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48"/>
      <c r="AU910" s="14"/>
      <c r="AV910" s="14"/>
      <c r="AW910" s="14"/>
      <c r="AX910" s="14"/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48"/>
      <c r="AU911" s="14"/>
      <c r="AV911" s="14"/>
      <c r="AW911" s="14"/>
      <c r="AX911" s="14"/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48"/>
      <c r="AU912" s="14"/>
      <c r="AV912" s="14"/>
      <c r="AW912" s="14"/>
      <c r="AX912" s="14"/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48"/>
      <c r="AU913" s="14"/>
      <c r="AV913" s="14"/>
      <c r="AW913" s="14"/>
      <c r="AX913" s="14"/>
    </row>
    <row r="914" spans="1:50" ht="10.15" customHeight="1" x14ac:dyDescent="0.2">
      <c r="A914" s="14">
        <v>38</v>
      </c>
      <c r="B914" s="103">
        <v>41900</v>
      </c>
      <c r="C914" s="103">
        <v>41893</v>
      </c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48"/>
      <c r="AU914" s="14"/>
      <c r="AV914" s="14"/>
      <c r="AW914" s="14"/>
      <c r="AX914" s="14"/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tabSelected="1" zoomScaleNormal="100" workbookViewId="0">
      <selection activeCell="J10" sqref="J10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305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K10" sqref="K10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306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L11" sqref="L11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307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G1" zoomScaleNormal="100" workbookViewId="0">
      <pane ySplit="7" topLeftCell="A8" activePane="bottomLeft" state="frozen"/>
      <selection pane="bottomLeft" activeCell="CF12" sqref="CF12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262</v>
      </c>
      <c r="C6" s="143"/>
      <c r="D6" s="25"/>
      <c r="E6" s="143" t="s">
        <v>263</v>
      </c>
      <c r="F6" s="143"/>
      <c r="G6" s="25"/>
      <c r="H6" s="143" t="s">
        <v>264</v>
      </c>
      <c r="I6" s="143"/>
      <c r="J6" s="25"/>
      <c r="K6" s="96"/>
      <c r="L6" s="143" t="s">
        <v>265</v>
      </c>
      <c r="M6" s="143"/>
      <c r="N6" s="25"/>
      <c r="O6" s="143" t="s">
        <v>266</v>
      </c>
      <c r="P6" s="143"/>
      <c r="Q6" s="26"/>
      <c r="R6" s="143" t="s">
        <v>267</v>
      </c>
      <c r="S6" s="143"/>
      <c r="T6" s="25"/>
      <c r="U6" s="96"/>
      <c r="V6" s="143" t="s">
        <v>268</v>
      </c>
      <c r="W6" s="143"/>
      <c r="X6" s="25"/>
      <c r="Y6" s="143" t="s">
        <v>269</v>
      </c>
      <c r="Z6" s="143"/>
      <c r="AA6" s="25"/>
      <c r="AB6" s="143" t="s">
        <v>270</v>
      </c>
      <c r="AC6" s="143"/>
      <c r="AD6" s="25"/>
      <c r="AE6" s="25"/>
      <c r="AF6" s="143" t="s">
        <v>271</v>
      </c>
      <c r="AG6" s="143"/>
      <c r="AH6" s="25"/>
      <c r="AI6" s="25"/>
      <c r="AJ6" s="143" t="s">
        <v>290</v>
      </c>
      <c r="AK6" s="143"/>
      <c r="AL6" s="25"/>
      <c r="AM6" s="25"/>
      <c r="AN6" s="143" t="s">
        <v>292</v>
      </c>
      <c r="AO6" s="143"/>
      <c r="AP6" s="25"/>
      <c r="AS6" s="143" t="s">
        <v>262</v>
      </c>
      <c r="AT6" s="143"/>
      <c r="AU6" s="25"/>
      <c r="AV6" s="143" t="s">
        <v>263</v>
      </c>
      <c r="AW6" s="143"/>
      <c r="AX6" s="25"/>
      <c r="AY6" s="143" t="s">
        <v>264</v>
      </c>
      <c r="AZ6" s="143"/>
      <c r="BA6" s="25"/>
      <c r="BB6" s="96"/>
      <c r="BC6" s="143" t="s">
        <v>265</v>
      </c>
      <c r="BD6" s="143"/>
      <c r="BE6" s="25"/>
      <c r="BF6" s="144" t="s">
        <v>272</v>
      </c>
      <c r="BG6" s="144"/>
      <c r="BH6" s="26"/>
      <c r="BI6" s="143" t="s">
        <v>273</v>
      </c>
      <c r="BJ6" s="143"/>
      <c r="BK6" s="25"/>
      <c r="BL6" s="96"/>
      <c r="BM6" s="143" t="s">
        <v>268</v>
      </c>
      <c r="BN6" s="143"/>
      <c r="BO6" s="25"/>
      <c r="BP6" s="143" t="s">
        <v>269</v>
      </c>
      <c r="BQ6" s="143"/>
      <c r="BR6" s="25"/>
      <c r="BS6" s="143" t="s">
        <v>270</v>
      </c>
      <c r="BT6" s="143"/>
      <c r="BU6" s="25"/>
      <c r="BV6" s="88"/>
      <c r="BW6" s="143" t="s">
        <v>274</v>
      </c>
      <c r="BX6" s="143"/>
      <c r="BY6" s="25"/>
      <c r="BZ6" s="88"/>
      <c r="CA6" s="143" t="s">
        <v>290</v>
      </c>
      <c r="CB6" s="143"/>
      <c r="CC6" s="25"/>
      <c r="CD6" s="88"/>
      <c r="CE6" s="143" t="s">
        <v>292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275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276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277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278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279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280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75" thickBot="1" x14ac:dyDescent="0.25">
      <c r="A200" s="92" t="s">
        <v>281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282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283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284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285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286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293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294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295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296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297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298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299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300</v>
      </c>
      <c r="B213" s="64">
        <f>MAX('Non-shuttle Bids'!$AF880:$AG910)</f>
        <v>900</v>
      </c>
      <c r="C213" s="64">
        <f>MIN('Non-shuttle Bids'!$AF880:$AG910)</f>
        <v>200</v>
      </c>
      <c r="D213" s="64">
        <f>AVERAGE('Non-shuttle Bids'!$AF880:$AG910)</f>
        <v>630</v>
      </c>
      <c r="E213" s="64">
        <f>STDEV('Non-shuttle Bids'!$AF880:$AG910)</f>
        <v>281.95744359743367</v>
      </c>
      <c r="F213" s="56"/>
      <c r="G213" s="64">
        <f>MAX('Shuttle Bids'!$AF880:$AG910)</f>
        <v>2000</v>
      </c>
      <c r="H213" s="64">
        <f>MIN('Shuttle Bids'!$AF880:$AG910)</f>
        <v>-300</v>
      </c>
      <c r="I213" s="66">
        <f>AVERAGE('Shuttle Bids'!$AF880:$AG910)</f>
        <v>475.8125</v>
      </c>
      <c r="J213" s="66">
        <f>STDEV('Shuttle Bids'!$AF880:$AG910)</f>
        <v>761.08293185872105</v>
      </c>
    </row>
    <row r="214" spans="1:10" x14ac:dyDescent="0.2">
      <c r="A214" s="92" t="s">
        <v>301</v>
      </c>
      <c r="B214" s="64">
        <f>MAX('Non-shuttle Bids'!$AJ884:$AK914)</f>
        <v>1000</v>
      </c>
      <c r="C214" s="64">
        <f>MIN('Non-shuttle Bids'!$AJ884:$AK914)</f>
        <v>1000</v>
      </c>
      <c r="D214" s="142">
        <f>AVERAGE('Non-shuttle Bids'!$AJ884:$AK914)</f>
        <v>1000</v>
      </c>
      <c r="E214" s="142" t="e">
        <f>STDEV('Non-shuttle Bids'!$AJ884:$AK914)</f>
        <v>#DIV/0!</v>
      </c>
      <c r="F214" s="56"/>
      <c r="G214" s="64">
        <f>MAX('Shuttle Bids'!$AJ884:$AK914)</f>
        <v>1800</v>
      </c>
      <c r="H214" s="64">
        <f>MIN('Shuttle Bids'!$AJ884:$AK914)</f>
        <v>-100</v>
      </c>
      <c r="I214" s="66">
        <f>AVERAGE('Shuttle Bids'!$AJ884:$AK914)</f>
        <v>886.66666666666663</v>
      </c>
      <c r="J214" s="66">
        <f>STDEV('Shuttle Bids'!$AJ884:$AK914)</f>
        <v>697.81973385135859</v>
      </c>
    </row>
    <row r="215" spans="1:10" x14ac:dyDescent="0.2">
      <c r="A215" s="92" t="s">
        <v>302</v>
      </c>
      <c r="B215" s="64">
        <f>MAX('Non-shuttle Bids'!$AN889:$AO919)</f>
        <v>0</v>
      </c>
      <c r="C215" s="64">
        <f>MIN('Non-shuttle Bids'!$AN889:$AO919)</f>
        <v>0</v>
      </c>
      <c r="D215" s="142" t="e">
        <f>AVERAGE('Non-shuttle Bids'!$AN889:$AO919)</f>
        <v>#DIV/0!</v>
      </c>
      <c r="E215" s="142" t="e">
        <f>STDEV('Non-shuttle Bids'!$AN889:$AO919)</f>
        <v>#DIV/0!</v>
      </c>
      <c r="F215" s="56"/>
      <c r="G215" s="64">
        <f>MAX('Shuttle Bids'!$AN889:$AO919)</f>
        <v>3500</v>
      </c>
      <c r="H215" s="64">
        <f>MIN('Shuttle Bids'!$AN889:$AO919)</f>
        <v>975</v>
      </c>
      <c r="I215" s="66">
        <f>AVERAGE('Shuttle Bids'!$AN889:$AO919)</f>
        <v>1995.4615384615386</v>
      </c>
      <c r="J215" s="66">
        <f>STDEV('Shuttle Bids'!$AN889:$AO919)</f>
        <v>924.77182910025761</v>
      </c>
    </row>
    <row r="216" spans="1:10" x14ac:dyDescent="0.2">
      <c r="A216" s="92" t="s">
        <v>303</v>
      </c>
      <c r="B216" s="64">
        <f>MAX('Non-shuttle Bids'!$AR893:$AS923)</f>
        <v>0</v>
      </c>
      <c r="C216" s="64">
        <f>MIN('Non-shuttle Bids'!$AR893:$AS923)</f>
        <v>0</v>
      </c>
      <c r="D216" s="64" t="e">
        <f>AVERAGE('Non-shuttle Bids'!$AR893:$AS923)</f>
        <v>#DIV/0!</v>
      </c>
      <c r="E216" s="64" t="e">
        <f>STDEV('Non-shuttle Bids'!$AR893:$AS923)</f>
        <v>#DIV/0!</v>
      </c>
      <c r="G216" s="64">
        <f>MAX('Shuttle Bids'!$AR893:$AS923)</f>
        <v>2500</v>
      </c>
      <c r="H216" s="64">
        <f>MIN('Shuttle Bids'!$AR893:$AS923)</f>
        <v>250</v>
      </c>
      <c r="I216" s="66">
        <f>AVERAGE('Shuttle Bids'!$AR893:$AS923)</f>
        <v>817.5</v>
      </c>
      <c r="J216" s="66">
        <f>STDEV('Shuttle Bids'!$AR893:$AS923)</f>
        <v>657.86375658051134</v>
      </c>
    </row>
    <row r="217" spans="1:10" x14ac:dyDescent="0.2">
      <c r="A217" s="92" t="s">
        <v>304</v>
      </c>
      <c r="B217" s="64">
        <f>MAX('Non-shuttle Bids'!$AV897:$AW927)</f>
        <v>0</v>
      </c>
      <c r="C217" s="64">
        <f>MIN('Non-shuttle Bids'!$AV897:$AW927)</f>
        <v>0</v>
      </c>
      <c r="D217" s="64" t="e">
        <f>AVERAGE('Non-shuttle Bids'!$AV897:$AW927)</f>
        <v>#DIV/0!</v>
      </c>
      <c r="E217" s="64" t="e">
        <f>STDEV('Non-shuttle Bids'!$AV897:$AW927)</f>
        <v>#DIV/0!</v>
      </c>
      <c r="G217" s="64">
        <f>MAX('Shuttle Bids'!$AV897:$AW927)</f>
        <v>2100</v>
      </c>
      <c r="H217" s="64">
        <f>MIN('Shuttle Bids'!$AV897:$AW927)</f>
        <v>0</v>
      </c>
      <c r="I217" s="66">
        <f>AVERAGE('Shuttle Bids'!$AV897:$AW927)</f>
        <v>618.75</v>
      </c>
      <c r="J217" s="66">
        <f>STDEV('Shuttle Bids'!$AV897:$AW927)</f>
        <v>664.36731449660329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AD2" activePane="bottomRight" state="frozen"/>
      <selection pane="topRight" activeCell="D1" sqref="D1"/>
      <selection pane="bottomLeft" activeCell="A2" sqref="A2"/>
      <selection pane="bottomRight" activeCell="AL33" sqref="AL33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Bids'!D879="", "n/a", 'Non-shuttle Bids'!D879)</f>
        <v>n/a</v>
      </c>
      <c r="D3" s="117" t="str">
        <f>IF('Non-shuttle Bids'!E879="", "n/a", 'Non-shuttle Bids'!E879)</f>
        <v>n/a</v>
      </c>
      <c r="E3" s="117" t="str">
        <f>IF('Non-shuttle Bids'!F879="", "n/a", 'Non-shuttle Bids'!F879)</f>
        <v>n/a</v>
      </c>
      <c r="F3" s="12"/>
      <c r="G3" s="117" t="str">
        <f>IF('Non-shuttle Bids'!H884="", "n/a", 'Non-shuttle Bids'!H884)</f>
        <v>n/a</v>
      </c>
      <c r="H3" s="117" t="str">
        <f>IF('Non-shuttle Bids'!I884="", "n/a", 'Non-shuttle Bids'!I884)</f>
        <v>n/a</v>
      </c>
      <c r="I3" s="117" t="str">
        <f>IF('Non-shuttle Bids'!J884="", "n/a", 'Non-shuttle Bids'!J884)</f>
        <v>n/a</v>
      </c>
      <c r="J3" s="12"/>
      <c r="K3" s="117">
        <f>IF('Non-shuttle Bids'!L888="", "n/a", 'Non-shuttle Bids'!L888)</f>
        <v>1800</v>
      </c>
      <c r="L3" s="117">
        <f>IF('Non-shuttle Bids'!M888="", "n/a", 'Non-shuttle Bids'!M888)</f>
        <v>1200</v>
      </c>
      <c r="M3" s="117">
        <f>IF('Non-shuttle Bids'!N888="", "n/a", 'Non-shuttle Bids'!N888)</f>
        <v>1500</v>
      </c>
      <c r="N3" s="12"/>
      <c r="O3" s="117" t="str">
        <f>IF('Non-shuttle Bids'!P892="", "n/a", 'Non-shuttle Bids'!P892)</f>
        <v>n/a</v>
      </c>
      <c r="P3" s="117">
        <f>IF('Non-shuttle Bids'!Q892="", "n/a", 'Non-shuttle Bids'!Q892)</f>
        <v>1000</v>
      </c>
      <c r="Q3" s="117">
        <f>IF('Non-shuttle Bids'!R892="", "n/a", 'Non-shuttle Bids'!R892)</f>
        <v>1000</v>
      </c>
      <c r="R3" s="12"/>
      <c r="S3" s="117" t="str">
        <f>IF('Non-shuttle Bids'!T896="", "n/a", 'Non-shuttle Bids'!T896)</f>
        <v>n/a</v>
      </c>
      <c r="T3" s="117">
        <f>IF('Non-shuttle Bids'!U896="", "n/a", 'Non-shuttle Bids'!U896)</f>
        <v>200</v>
      </c>
      <c r="U3" s="117">
        <f>IF('Non-shuttle Bids'!V896="", "n/a", 'Non-shuttle Bids'!V896)</f>
        <v>200</v>
      </c>
      <c r="V3" s="12"/>
      <c r="W3" s="117" t="str">
        <f>IF('Non-shuttle Bids'!X901="", "n/a", 'Non-shuttle Bids'!X901)</f>
        <v>n/a</v>
      </c>
      <c r="X3" s="117">
        <f>IF('Non-shuttle Bids'!Y901="", "n/a", 'Non-shuttle Bids'!Y901)</f>
        <v>-50</v>
      </c>
      <c r="Y3" s="117">
        <f>IF('Non-shuttle Bids'!Z901="", "n/a", 'Non-shuttle Bids'!Z901)</f>
        <v>-50</v>
      </c>
      <c r="Z3" s="12"/>
      <c r="AA3" s="117">
        <f>IF('Non-shuttle Bids'!AB905="", "n/a", 'Non-shuttle Bids'!AB905)</f>
        <v>900</v>
      </c>
      <c r="AB3" s="117">
        <f>IF('Non-shuttle Bids'!AC905="", "n/a", 'Non-shuttle Bids'!AC905)</f>
        <v>800</v>
      </c>
      <c r="AC3" s="117">
        <f>IF('Non-shuttle Bids'!AD905="", "n/a", 'Non-shuttle Bids'!AD905)</f>
        <v>850</v>
      </c>
      <c r="AD3" s="12"/>
      <c r="AE3" s="117" t="str">
        <f>IF('Non-shuttle Bids'!AF906="", "n/a", 'Non-shuttle Bids'!AF906)</f>
        <v>n/a</v>
      </c>
      <c r="AF3" s="117">
        <f>IF('Non-shuttle Bids'!AG906="", "n/a", 'Non-shuttle Bids'!AG906)</f>
        <v>750</v>
      </c>
      <c r="AG3" s="117">
        <f>IF('Non-shuttle Bids'!AH906="", "n/a", 'Non-shuttle Bids'!AH906)</f>
        <v>750</v>
      </c>
      <c r="AH3" s="12"/>
      <c r="AI3" s="117" t="str">
        <f>IF('Non-shuttle Bids'!AJ906="", "n/a", 'Non-shuttle Bids'!AJ906)</f>
        <v>n/a</v>
      </c>
      <c r="AJ3" s="117">
        <f>IF('Non-shuttle Bids'!AK906="", "n/a", 'Non-shuttle Bids'!AK906)</f>
        <v>1000</v>
      </c>
      <c r="AK3" s="117">
        <f>IF('Non-shuttle Bids'!AL906="", "n/a", 'Non-shuttle Bids'!AL906)</f>
        <v>1000</v>
      </c>
      <c r="AL3" s="12"/>
      <c r="AM3" s="117" t="str">
        <f>IF('Non-shuttle Bids'!AN906="", "n/a", 'Non-shuttle Bids'!AN906)</f>
        <v>n/a</v>
      </c>
      <c r="AN3" s="117" t="str">
        <f>IF('Non-shuttle Bids'!AO906="", "n/a", 'Non-shuttle Bids'!AO906)</f>
        <v>n/a</v>
      </c>
      <c r="AO3" s="117" t="str">
        <f>IF('Non-shuttle Bids'!AP906="", "n/a", 'Non-shuttle Bids'!AP906)</f>
        <v>n/a</v>
      </c>
      <c r="AP3" s="12"/>
      <c r="AQ3" s="117" t="str">
        <f>IF('Non-shuttle Bids'!AR906="", "n/a", 'Non-shuttle Bids'!AR906)</f>
        <v>n/a</v>
      </c>
      <c r="AR3" s="117" t="str">
        <f>IF('Non-shuttle Bids'!AS906="", "n/a", 'Non-shuttle Bids'!AS906)</f>
        <v>n/a</v>
      </c>
      <c r="AS3" s="117" t="str">
        <f>IF('Non-shuttle Bids'!AT906="", "n/a", 'Non-shuttle Bids'!AT906)</f>
        <v>n/a</v>
      </c>
      <c r="AT3" s="12"/>
      <c r="AU3" s="117" t="str">
        <f>IF('Non-shuttle Bids'!AV906="", "n/a", 'Non-shuttle Bids'!AV906)</f>
        <v>n/a</v>
      </c>
      <c r="AV3" s="117" t="str">
        <f>IF('Non-shuttle Bids'!AW906="", "n/a", 'Non-shuttle Bids'!AW906)</f>
        <v>n/a</v>
      </c>
      <c r="AW3" s="117" t="str">
        <f>IF('Non-shuttle Bids'!AX906="", "n/a", 'Non-shuttle Bids'!AX906)</f>
        <v>n/a</v>
      </c>
    </row>
    <row r="4" spans="1:49" ht="15" x14ac:dyDescent="0.2">
      <c r="A4" s="12" t="s">
        <v>109</v>
      </c>
      <c r="B4" s="14"/>
      <c r="C4" s="117" t="str">
        <f>IF('Non-shuttle Bids'!D879="","n/a",IF('Non-shuttle Bids'!D878="","n/a",'Non-shuttle Bids'!D879-'Non-shuttle Bids'!D878))</f>
        <v>n/a</v>
      </c>
      <c r="D4" s="117" t="str">
        <f>IF('Non-shuttle Bids'!E879="","n/a",IF('Non-shuttle Bids'!E878="","n/a",'Non-shuttle Bids'!E879-'Non-shuttle Bids'!E878))</f>
        <v>n/a</v>
      </c>
      <c r="E4" s="117" t="str">
        <f>IF('Non-shuttle Bids'!F879="","n/a",IF('Non-shuttle Bids'!F878="","n/a",'Non-shuttle Bids'!F879-'Non-shuttle Bids'!F878))</f>
        <v>n/a</v>
      </c>
      <c r="F4" s="118"/>
      <c r="G4" s="117" t="str">
        <f>IF('Non-shuttle Bids'!H884="","n/a",IF('Non-shuttle Bids'!H883="","n/a",'Non-shuttle Bids'!H884-'Non-shuttle Bids'!H883))</f>
        <v>n/a</v>
      </c>
      <c r="H4" s="117" t="str">
        <f>IF('Non-shuttle Bids'!I884="","n/a",IF('Non-shuttle Bids'!I883="","n/a",'Non-shuttle Bids'!I884-'Non-shuttle Bids'!I883))</f>
        <v>n/a</v>
      </c>
      <c r="I4" s="117" t="str">
        <f>IF('Non-shuttle Bids'!J884="","n/a",IF('Non-shuttle Bids'!J883="","n/a",'Non-shuttle Bids'!J884-'Non-shuttle Bids'!J883))</f>
        <v>n/a</v>
      </c>
      <c r="J4" s="12"/>
      <c r="K4" s="117">
        <f>IF('Non-shuttle Bids'!L888="","n/a",IF('Non-shuttle Bids'!L887="","n/a",'Non-shuttle Bids'!L888-'Non-shuttle Bids'!L887))</f>
        <v>200</v>
      </c>
      <c r="L4" s="117">
        <f>IF('Non-shuttle Bids'!M888="","n/a",IF('Non-shuttle Bids'!M887="","n/a",'Non-shuttle Bids'!M888-'Non-shuttle Bids'!M887))</f>
        <v>400</v>
      </c>
      <c r="M4" s="117">
        <f>IF('Non-shuttle Bids'!N888="","n/a",IF('Non-shuttle Bids'!N887="","n/a",'Non-shuttle Bids'!N888-'Non-shuttle Bids'!N887))</f>
        <v>300</v>
      </c>
      <c r="N4" s="118"/>
      <c r="O4" s="117" t="str">
        <f>IF('Non-shuttle Bids'!P892="","n/a",IF('Non-shuttle Bids'!P891="","n/a",'Non-shuttle Bids'!P892-'Non-shuttle Bids'!P891))</f>
        <v>n/a</v>
      </c>
      <c r="P4" s="117">
        <f>IF('Non-shuttle Bids'!Q892="","n/a",IF('Non-shuttle Bids'!Q891="","n/a",'Non-shuttle Bids'!Q892-'Non-shuttle Bids'!Q891))</f>
        <v>-325</v>
      </c>
      <c r="Q4" s="117">
        <f>IF('Non-shuttle Bids'!R892="","n/a",IF('Non-shuttle Bids'!R891="","n/a",'Non-shuttle Bids'!R892-'Non-shuttle Bids'!R891))</f>
        <v>-325</v>
      </c>
      <c r="R4" s="118"/>
      <c r="S4" s="117" t="str">
        <f>IF('Non-shuttle Bids'!T896="","n/a",IF('Non-shuttle Bids'!T895="","n/a",'Non-shuttle Bids'!T896-'Non-shuttle Bids'!T895))</f>
        <v>n/a</v>
      </c>
      <c r="T4" s="117">
        <f>IF('Non-shuttle Bids'!U896="","n/a",IF('Non-shuttle Bids'!U895="","n/a",'Non-shuttle Bids'!U896-'Non-shuttle Bids'!U895))</f>
        <v>0</v>
      </c>
      <c r="U4" s="117">
        <f>IF('Non-shuttle Bids'!V896="","n/a",IF('Non-shuttle Bids'!V895="","n/a",'Non-shuttle Bids'!V896-'Non-shuttle Bids'!V895))</f>
        <v>-500</v>
      </c>
      <c r="V4" s="12"/>
      <c r="W4" s="117" t="str">
        <f>IF('Non-shuttle Bids'!X901="","n/a",IF('Non-shuttle Bids'!X900="","n/a",'Non-shuttle Bids'!X901-'Non-shuttle Bids'!X900))</f>
        <v>n/a</v>
      </c>
      <c r="X4" s="117">
        <f>IF('Non-shuttle Bids'!Y901="","n/a",IF('Non-shuttle Bids'!Y900="","n/a",'Non-shuttle Bids'!Y901-'Non-shuttle Bids'!Y900))</f>
        <v>-50</v>
      </c>
      <c r="Y4" s="117">
        <f>IF('Non-shuttle Bids'!Z901="","n/a",IF('Non-shuttle Bids'!Z900="","n/a",'Non-shuttle Bids'!Z901-'Non-shuttle Bids'!Z900))</f>
        <v>-50</v>
      </c>
      <c r="Z4" s="12"/>
      <c r="AA4" s="117">
        <f>IF('Non-shuttle Bids'!AB905="","n/a",IF('Non-shuttle Bids'!AB904="","n/a",'Non-shuttle Bids'!AB905-'Non-shuttle Bids'!AB904))</f>
        <v>100</v>
      </c>
      <c r="AB4" s="117">
        <f>IF('Non-shuttle Bids'!AC905="","n/a",IF('Non-shuttle Bids'!AC904="","n/a",'Non-shuttle Bids'!AC905-'Non-shuttle Bids'!AC904))</f>
        <v>600</v>
      </c>
      <c r="AC4" s="117">
        <f>IF('Non-shuttle Bids'!AD905="","n/a",IF('Non-shuttle Bids'!AD904="","n/a",'Non-shuttle Bids'!AD905-'Non-shuttle Bids'!AD904))</f>
        <v>350</v>
      </c>
      <c r="AD4" s="12"/>
      <c r="AE4" s="117" t="str">
        <f>IF('Non-shuttle Bids'!AF906="","n/a",IF('Non-shuttle Bids'!AF905="","n/a",'Non-shuttle Bids'!AF906-'Non-shuttle Bids'!AF905))</f>
        <v>n/a</v>
      </c>
      <c r="AF4" s="117">
        <f>IF('Non-shuttle Bids'!AG906="","n/a",IF('Non-shuttle Bids'!AG905="","n/a",'Non-shuttle Bids'!AG906-'Non-shuttle Bids'!AG905))</f>
        <v>250</v>
      </c>
      <c r="AG4" s="117">
        <f>IF('Non-shuttle Bids'!AH906="","n/a",IF('Non-shuttle Bids'!AH905="","n/a",'Non-shuttle Bids'!AH906-'Non-shuttle Bids'!AH905))</f>
        <v>50</v>
      </c>
      <c r="AH4" s="12"/>
      <c r="AI4" s="117" t="str">
        <f>IF('Non-shuttle Bids'!AJ906="","n/a",IF('Non-shuttle Bids'!AJ905="","n/a",'Non-shuttle Bids'!AJ906-'Non-shuttle Bids'!AJ905))</f>
        <v>n/a</v>
      </c>
      <c r="AJ4" s="117" t="str">
        <f>IF('Non-shuttle Bids'!AK906="","n/a",IF('Non-shuttle Bids'!AK905="","n/a",'Non-shuttle Bids'!AK906-'Non-shuttle Bids'!AK905))</f>
        <v>n/a</v>
      </c>
      <c r="AK4" s="117" t="str">
        <f>IF('Non-shuttle Bids'!AL906="","n/a",IF('Non-shuttle Bids'!AL905="","n/a",'Non-shuttle Bids'!AL906-'Non-shuttle Bids'!AL905))</f>
        <v>n/a</v>
      </c>
      <c r="AL4" s="84"/>
      <c r="AM4" s="117" t="str">
        <f>IF('Non-shuttle Bids'!AN906="","n/a",IF('Non-shuttle Bids'!AN905="","n/a",'Non-shuttle Bids'!AN906-'Non-shuttle Bids'!AN905))</f>
        <v>n/a</v>
      </c>
      <c r="AN4" s="117" t="str">
        <f>IF('Non-shuttle Bids'!AO906="","n/a",IF('Non-shuttle Bids'!AO905="","n/a",'Non-shuttle Bids'!AO906-'Non-shuttle Bids'!AO905))</f>
        <v>n/a</v>
      </c>
      <c r="AO4" s="117" t="str">
        <f>IF('Non-shuttle Bids'!AP906="","n/a",IF('Non-shuttle Bids'!AP905="","n/a",'Non-shuttle Bids'!AP906-'Non-shuttle Bids'!AP905))</f>
        <v>n/a</v>
      </c>
      <c r="AP4" s="84"/>
      <c r="AQ4" s="117" t="str">
        <f>IF('Non-shuttle Bids'!AR906="","n/a",IF('Non-shuttle Bids'!AR905="","n/a",'Non-shuttle Bids'!AR906-'Non-shuttle Bids'!AR905))</f>
        <v>n/a</v>
      </c>
      <c r="AR4" s="117" t="str">
        <f>IF('Non-shuttle Bids'!AS906="","n/a",IF('Non-shuttle Bids'!AS905="","n/a",'Non-shuttle Bids'!AS906-'Non-shuttle Bids'!AS905))</f>
        <v>n/a</v>
      </c>
      <c r="AS4" s="117" t="str">
        <f>IF('Non-shuttle Bids'!AT906="","n/a",IF('Non-shuttle Bids'!AT905="","n/a",'Non-shuttle Bids'!AT906-'Non-shuttle Bids'!AT905))</f>
        <v>n/a</v>
      </c>
      <c r="AT4" s="84"/>
      <c r="AU4" s="117" t="str">
        <f>IF('Non-shuttle Bids'!AV906="","n/a",IF('Non-shuttle Bids'!AV905="","n/a",'Non-shuttle Bids'!AV906-'Non-shuttle Bids'!AV905))</f>
        <v>n/a</v>
      </c>
      <c r="AV4" s="117" t="str">
        <f>IF('Non-shuttle Bids'!AW906="","n/a",IF('Non-shuttle Bids'!AW905="","n/a",'Non-shuttle Bids'!AW906-'Non-shuttle Bids'!AW905))</f>
        <v>n/a</v>
      </c>
      <c r="AW4" s="117" t="str">
        <f>IF('Non-shuttle Bids'!AX906="","n/a",IF('Non-shuttle Bids'!AX905="","n/a",'Non-shuttle Bids'!AX906-'Non-shuttle Bids'!AX905))</f>
        <v>n/a</v>
      </c>
    </row>
    <row r="5" spans="1:49" ht="15" x14ac:dyDescent="0.2">
      <c r="A5" s="114" t="s">
        <v>150</v>
      </c>
      <c r="B5" s="14"/>
      <c r="C5" s="117" t="str">
        <f>IF('Non-shuttle Bids'!D879="","n/a",IF('Non-shuttle Bids'!D827="","n/a",'Non-shuttle Bids'!D879-'Non-shuttle Bids'!D827))</f>
        <v>n/a</v>
      </c>
      <c r="D5" s="117" t="str">
        <f>IF('Non-shuttle Bids'!E879="","n/a",IF('Non-shuttle Bids'!E827="","n/a",'Non-shuttle Bids'!E879-'Non-shuttle Bids'!E827))</f>
        <v>n/a</v>
      </c>
      <c r="E5" s="117" t="str">
        <f>IF('Non-shuttle Bids'!F879="","n/a",IF('Non-shuttle Bids'!F827="","n/a",'Non-shuttle Bids'!F879-'Non-shuttle Bids'!F827))</f>
        <v>n/a</v>
      </c>
      <c r="F5" s="12"/>
      <c r="G5" s="117" t="str">
        <f>IF('Non-shuttle Bids'!H884="","n/a",IF('Non-shuttle Bids'!H832="","n/a",'Non-shuttle Bids'!H884-'Non-shuttle Bids'!H832))</f>
        <v>n/a</v>
      </c>
      <c r="H5" s="117" t="str">
        <f>IF('Non-shuttle Bids'!I884="","n/a",IF('Non-shuttle Bids'!I832="","n/a",'Non-shuttle Bids'!I884-'Non-shuttle Bids'!I832))</f>
        <v>n/a</v>
      </c>
      <c r="I5" s="117" t="str">
        <f>IF('Non-shuttle Bids'!J884="","n/a",IF('Non-shuttle Bids'!J832="","n/a",'Non-shuttle Bids'!J884-'Non-shuttle Bids'!J832))</f>
        <v>n/a</v>
      </c>
      <c r="J5" s="12"/>
      <c r="K5" s="117">
        <f>IF('Non-shuttle Bids'!L888="","n/a",IF('Non-shuttle Bids'!L836="","n/a",'Non-shuttle Bids'!L888-'Non-shuttle Bids'!L836))</f>
        <v>1825</v>
      </c>
      <c r="L5" s="117">
        <f>IF('Non-shuttle Bids'!M888="","n/a",IF('Non-shuttle Bids'!M836="","n/a",'Non-shuttle Bids'!M888-'Non-shuttle Bids'!M836))</f>
        <v>1200</v>
      </c>
      <c r="M5" s="117">
        <f>IF('Non-shuttle Bids'!N888="","n/a",IF('Non-shuttle Bids'!N836="","n/a",'Non-shuttle Bids'!N888-'Non-shuttle Bids'!N836))</f>
        <v>1512.5</v>
      </c>
      <c r="N5" s="12"/>
      <c r="O5" s="117" t="str">
        <f>IF('Non-shuttle Bids'!P892="","n/a",IF('Non-shuttle Bids'!P840="","n/a",'Non-shuttle Bids'!P892-'Non-shuttle Bids'!P840))</f>
        <v>n/a</v>
      </c>
      <c r="P5" s="117">
        <f>IF('Non-shuttle Bids'!Q892="","n/a",IF('Non-shuttle Bids'!Q840="","n/a",'Non-shuttle Bids'!Q892-'Non-shuttle Bids'!Q840))</f>
        <v>1000</v>
      </c>
      <c r="Q5" s="117">
        <f>IF('Non-shuttle Bids'!R892="","n/a",IF('Non-shuttle Bids'!R840="","n/a",'Non-shuttle Bids'!R892-'Non-shuttle Bids'!R840))</f>
        <v>1003</v>
      </c>
      <c r="R5" s="12"/>
      <c r="S5" s="117" t="str">
        <f>IF('Non-shuttle Bids'!T896="","n/a",IF('Non-shuttle Bids'!T844="","n/a",'Non-shuttle Bids'!T896-'Non-shuttle Bids'!T844))</f>
        <v>n/a</v>
      </c>
      <c r="T5" s="117">
        <f>IF('Non-shuttle Bids'!U896="","n/a",IF('Non-shuttle Bids'!U844="","n/a",'Non-shuttle Bids'!U896-'Non-shuttle Bids'!U844))</f>
        <v>200</v>
      </c>
      <c r="U5" s="117">
        <f>IF('Non-shuttle Bids'!V896="","n/a",IF('Non-shuttle Bids'!V844="","n/a",'Non-shuttle Bids'!V896-'Non-shuttle Bids'!V844))</f>
        <v>200</v>
      </c>
      <c r="V5" s="12"/>
      <c r="W5" s="117" t="str">
        <f>IF('Non-shuttle Bids'!X901="","n/a",IF('Non-shuttle Bids'!X849="","n/a",'Non-shuttle Bids'!X901-'Non-shuttle Bids'!X849))</f>
        <v>n/a</v>
      </c>
      <c r="X5" s="117">
        <f>IF('Non-shuttle Bids'!Y901="","n/a",IF('Non-shuttle Bids'!Y849="","n/a",'Non-shuttle Bids'!Y901-'Non-shuttle Bids'!Y849))</f>
        <v>-50</v>
      </c>
      <c r="Y5" s="117">
        <f>IF('Non-shuttle Bids'!Z901="","n/a",IF('Non-shuttle Bids'!Z849="","n/a",'Non-shuttle Bids'!Z901-'Non-shuttle Bids'!Z849))</f>
        <v>-50</v>
      </c>
      <c r="Z5" s="12"/>
      <c r="AA5" s="117">
        <f>IF('Non-shuttle Bids'!AB905="","n/a",IF('Non-shuttle Bids'!AB853="","n/a",'Non-shuttle Bids'!AB905-'Non-shuttle Bids'!AB853))</f>
        <v>899</v>
      </c>
      <c r="AB5" s="117">
        <f>IF('Non-shuttle Bids'!AC905="","n/a",IF('Non-shuttle Bids'!AC853="","n/a",'Non-shuttle Bids'!AC905-'Non-shuttle Bids'!AC853))</f>
        <v>800</v>
      </c>
      <c r="AC5" s="117">
        <f>IF('Non-shuttle Bids'!AD905="","n/a",IF('Non-shuttle Bids'!AD853="","n/a",'Non-shuttle Bids'!AD905-'Non-shuttle Bids'!AD853))</f>
        <v>849.5</v>
      </c>
      <c r="AD5" s="12"/>
      <c r="AE5" s="117" t="str">
        <f>IF('Non-shuttle Bids'!AF906="","n/a",IF('Non-shuttle Bids'!AF854="","n/a",'Non-shuttle Bids'!AF906-'Non-shuttle Bids'!AF854))</f>
        <v>n/a</v>
      </c>
      <c r="AF5" s="117">
        <f>IF('Non-shuttle Bids'!AG906="","n/a",IF('Non-shuttle Bids'!AG854="","n/a",'Non-shuttle Bids'!AG906-'Non-shuttle Bids'!AG854))</f>
        <v>750</v>
      </c>
      <c r="AG5" s="117">
        <f>IF('Non-shuttle Bids'!AH906="","n/a",IF('Non-shuttle Bids'!AH854="","n/a",'Non-shuttle Bids'!AH906-'Non-shuttle Bids'!AH854))</f>
        <v>750</v>
      </c>
      <c r="AH5" s="12"/>
      <c r="AI5" s="117" t="str">
        <f>IF('Non-shuttle Bids'!AJ906="","n/a",IF('Non-shuttle Bids'!AJ854="","n/a",'Non-shuttle Bids'!AJ906-'Non-shuttle Bids'!AJ854))</f>
        <v>n/a</v>
      </c>
      <c r="AJ5" s="117" t="str">
        <f>IF('Non-shuttle Bids'!AK906="","n/a",IF('Non-shuttle Bids'!AK854="","n/a",'Non-shuttle Bids'!AK906-'Non-shuttle Bids'!AK854))</f>
        <v>n/a</v>
      </c>
      <c r="AK5" s="117" t="str">
        <f>IF('Non-shuttle Bids'!AL906="","n/a",IF('Non-shuttle Bids'!AL854="","n/a",'Non-shuttle Bids'!AL906-'Non-shuttle Bids'!AL854))</f>
        <v>n/a</v>
      </c>
      <c r="AL5" s="84"/>
      <c r="AM5" s="117" t="str">
        <f>IF('Non-shuttle Bids'!AN906="","n/a",IF('Non-shuttle Bids'!AN854="","n/a",'Non-shuttle Bids'!AN906-'Non-shuttle Bids'!AN854))</f>
        <v>n/a</v>
      </c>
      <c r="AN5" s="117" t="str">
        <f>IF('Non-shuttle Bids'!AO906="","n/a",IF('Non-shuttle Bids'!AO854="","n/a",'Non-shuttle Bids'!AO906-'Non-shuttle Bids'!AO854))</f>
        <v>n/a</v>
      </c>
      <c r="AO5" s="117" t="str">
        <f>IF('Non-shuttle Bids'!AP906="","n/a",IF('Non-shuttle Bids'!AP854="","n/a",'Non-shuttle Bids'!AP906-'Non-shuttle Bids'!AP854))</f>
        <v>n/a</v>
      </c>
      <c r="AP5" s="84"/>
      <c r="AQ5" s="117" t="str">
        <f>IF('Non-shuttle Bids'!AR906="","n/a",IF('Non-shuttle Bids'!AR854="","n/a",'Non-shuttle Bids'!AR906-'Non-shuttle Bids'!AR854))</f>
        <v>n/a</v>
      </c>
      <c r="AR5" s="117" t="str">
        <f>IF('Non-shuttle Bids'!AS906="","n/a",IF('Non-shuttle Bids'!AS854="","n/a",'Non-shuttle Bids'!AS906-'Non-shuttle Bids'!AS854))</f>
        <v>n/a</v>
      </c>
      <c r="AS5" s="117" t="str">
        <f>IF('Non-shuttle Bids'!AT906="","n/a",IF('Non-shuttle Bids'!AT854="","n/a",'Non-shuttle Bids'!AT906-'Non-shuttle Bids'!AT854))</f>
        <v>n/a</v>
      </c>
      <c r="AT5" s="84"/>
      <c r="AU5" s="117" t="str">
        <f>IF('Non-shuttle Bids'!AV906="","n/a",IF('Non-shuttle Bids'!AV854="","n/a",'Non-shuttle Bids'!AV906-'Non-shuttle Bids'!AV854))</f>
        <v>n/a</v>
      </c>
      <c r="AV5" s="117" t="str">
        <f>IF('Non-shuttle Bids'!AW906="","n/a",IF('Non-shuttle Bids'!AW854="","n/a",'Non-shuttle Bids'!AW906-'Non-shuttle Bids'!AW854))</f>
        <v>n/a</v>
      </c>
      <c r="AW5" s="117" t="str">
        <f>IF('Non-shuttle Bids'!AX906="","n/a",IF('Non-shuttle Bids'!AX854="","n/a",'Non-shuttle Bids'!AX906-'Non-shuttle Bids'!AX854))</f>
        <v>n/a</v>
      </c>
    </row>
    <row r="6" spans="1:49" ht="15" x14ac:dyDescent="0.2">
      <c r="A6" s="12" t="s">
        <v>144</v>
      </c>
      <c r="B6" s="14"/>
      <c r="C6" s="147" t="str">
        <f>IF('Non-shuttle Bids'!F879="","n/a",'Non-shuttle Bids'!F879)</f>
        <v>n/a</v>
      </c>
      <c r="D6" s="147"/>
      <c r="E6" s="119"/>
      <c r="F6" s="12"/>
      <c r="G6" s="147" t="str">
        <f>IF('Non-shuttle Bids'!J884="","n/a",'Non-shuttle Bids'!J884)</f>
        <v>n/a</v>
      </c>
      <c r="H6" s="147"/>
      <c r="I6" s="119"/>
      <c r="J6" s="12"/>
      <c r="K6" s="147">
        <f>IF('Non-shuttle Bids'!N888="","n/a",'Non-shuttle Bids'!N888)</f>
        <v>1500</v>
      </c>
      <c r="L6" s="147"/>
      <c r="M6" s="119"/>
      <c r="N6" s="120"/>
      <c r="O6" s="147">
        <f>IF('Non-shuttle Bids'!R892="","n/a",'Non-shuttle Bids'!R892)</f>
        <v>1000</v>
      </c>
      <c r="P6" s="147"/>
      <c r="Q6" s="119"/>
      <c r="R6" s="120"/>
      <c r="S6" s="147">
        <f>IF('Non-shuttle Bids'!V896="","n/a",'Non-shuttle Bids'!V896)</f>
        <v>200</v>
      </c>
      <c r="T6" s="147"/>
      <c r="U6" s="119"/>
      <c r="V6" s="120"/>
      <c r="W6" s="147">
        <f>IF('Non-shuttle Bids'!Z901="","n/a",'Non-shuttle Bids'!Z901)</f>
        <v>-50</v>
      </c>
      <c r="X6" s="147"/>
      <c r="Y6" s="119"/>
      <c r="Z6" s="120"/>
      <c r="AA6" s="147">
        <f>IF('Non-shuttle Bids'!AD905="","n/a",'Non-shuttle Bids'!AD905)</f>
        <v>850</v>
      </c>
      <c r="AB6" s="147"/>
      <c r="AC6" s="119"/>
      <c r="AD6" s="120"/>
      <c r="AE6" s="147">
        <f>IF('Non-shuttle Bids'!AH906="","n/a",'Non-shuttle Bids'!AH906)</f>
        <v>750</v>
      </c>
      <c r="AF6" s="147"/>
      <c r="AG6" s="119"/>
      <c r="AH6" s="120"/>
      <c r="AI6" s="147">
        <f>IF('Non-shuttle Bids'!AL906="","n/a",'Non-shuttle Bids'!AL906)</f>
        <v>1000</v>
      </c>
      <c r="AJ6" s="147"/>
      <c r="AK6" s="119"/>
      <c r="AL6" s="121"/>
      <c r="AM6" s="147" t="str">
        <f>IF('Non-shuttle Bids'!AP906="","n/a",'Non-shuttle Bids'!AP906)</f>
        <v>n/a</v>
      </c>
      <c r="AN6" s="147"/>
      <c r="AO6" s="119"/>
      <c r="AP6" s="121"/>
      <c r="AQ6" s="147" t="str">
        <f>IF('Non-shuttle Bids'!AT906="","n/a",'Non-shuttle Bids'!AT906)</f>
        <v>n/a</v>
      </c>
      <c r="AR6" s="147"/>
      <c r="AS6" s="119"/>
      <c r="AT6" s="121"/>
      <c r="AU6" s="147" t="str">
        <f>IF('Non-shuttle Bids'!AX906="","n/a",'Non-shuttle Bids'!AX906)</f>
        <v>n/a</v>
      </c>
      <c r="AV6" s="147"/>
      <c r="AW6" s="119"/>
    </row>
    <row r="7" spans="1:49" ht="15" x14ac:dyDescent="0.2">
      <c r="A7" s="115" t="s">
        <v>145</v>
      </c>
      <c r="B7" s="14"/>
      <c r="C7" s="148" t="str">
        <f>IF('Non-shuttle Bids'!F879="","n/a",IF('Non-shuttle Bids'!F878="","n/a",'Non-shuttle Bids'!F879-'Non-shuttle Bids'!F878))</f>
        <v>n/a</v>
      </c>
      <c r="D7" s="148"/>
      <c r="E7" s="122"/>
      <c r="F7" s="12"/>
      <c r="G7" s="148" t="str">
        <f>IF('Non-shuttle Bids'!J884="","n/a",IF('Non-shuttle Bids'!J883="","n/a",'Non-shuttle Bids'!J884-'Non-shuttle Bids'!J883))</f>
        <v>n/a</v>
      </c>
      <c r="H7" s="148"/>
      <c r="I7" s="122"/>
      <c r="J7" s="12"/>
      <c r="K7" s="148">
        <f>IF('Non-shuttle Bids'!N888="","n/a",IF('Non-shuttle Bids'!N887="","n/a",'Non-shuttle Bids'!N888-'Non-shuttle Bids'!N887))</f>
        <v>300</v>
      </c>
      <c r="L7" s="148"/>
      <c r="M7" s="122"/>
      <c r="N7" s="123"/>
      <c r="O7" s="148">
        <f>IF('Non-shuttle Bids'!R892="","n/a",IF('Non-shuttle Bids'!R891="","n/a",'Non-shuttle Bids'!R892-'Non-shuttle Bids'!R891))</f>
        <v>-325</v>
      </c>
      <c r="P7" s="148"/>
      <c r="Q7" s="122"/>
      <c r="R7" s="123"/>
      <c r="S7" s="148">
        <f>IF('Non-shuttle Bids'!V896="","n/a",IF('Non-shuttle Bids'!V895="","n/a",'Non-shuttle Bids'!V896-'Non-shuttle Bids'!V895))</f>
        <v>-500</v>
      </c>
      <c r="T7" s="148"/>
      <c r="U7" s="122"/>
      <c r="V7" s="123"/>
      <c r="W7" s="148">
        <f>IF('Non-shuttle Bids'!Z901="","n/a",IF('Non-shuttle Bids'!Z900="","n/a",'Non-shuttle Bids'!Z901-'Non-shuttle Bids'!Z900))</f>
        <v>-50</v>
      </c>
      <c r="X7" s="148"/>
      <c r="Y7" s="122"/>
      <c r="Z7" s="123"/>
      <c r="AA7" s="148">
        <f>IF('Non-shuttle Bids'!AD905="","n/a",IF('Non-shuttle Bids'!AD904="","n/a",'Non-shuttle Bids'!AD905-'Non-shuttle Bids'!AD904))</f>
        <v>350</v>
      </c>
      <c r="AB7" s="148"/>
      <c r="AC7" s="122"/>
      <c r="AD7" s="124"/>
      <c r="AE7" s="148">
        <f>IF('Non-shuttle Bids'!AH906="","n/a",IF('Non-shuttle Bids'!AH905="","n/a",'Non-shuttle Bids'!AH906-'Non-shuttle Bids'!AH905))</f>
        <v>50</v>
      </c>
      <c r="AF7" s="148"/>
      <c r="AG7" s="122"/>
      <c r="AH7" s="124"/>
      <c r="AI7" s="148" t="str">
        <f>IF('Non-shuttle Bids'!AL906="","n/a",IF('Non-shuttle Bids'!AL905="","n/a",'Non-shuttle Bids'!AL906-'Non-shuttle Bids'!AL905))</f>
        <v>n/a</v>
      </c>
      <c r="AJ7" s="148"/>
      <c r="AK7" s="122"/>
      <c r="AL7" s="125"/>
      <c r="AM7" s="148" t="str">
        <f>IF('Non-shuttle Bids'!AP906="","n/a",IF('Non-shuttle Bids'!AP905="","n/a",'Non-shuttle Bids'!AP906-'Non-shuttle Bids'!AP905))</f>
        <v>n/a</v>
      </c>
      <c r="AN7" s="148"/>
      <c r="AO7" s="122"/>
      <c r="AP7" s="125"/>
      <c r="AQ7" s="148" t="str">
        <f>IF('Non-shuttle Bids'!AT906="","n/a",IF('Non-shuttle Bids'!AT905="","n/a",'Non-shuttle Bids'!AT906-'Non-shuttle Bids'!AT905))</f>
        <v>n/a</v>
      </c>
      <c r="AR7" s="148"/>
      <c r="AS7" s="122"/>
      <c r="AT7" s="125"/>
      <c r="AU7" s="148" t="str">
        <f>IF('Non-shuttle Bids'!AX906="","n/a",IF('Non-shuttle Bids'!AX905="","n/a",'Non-shuttle Bids'!AX906-'Non-shuttle Bids'!AX905))</f>
        <v>n/a</v>
      </c>
      <c r="AV7" s="148"/>
      <c r="AW7" s="122"/>
    </row>
    <row r="8" spans="1:49" ht="15" x14ac:dyDescent="0.2">
      <c r="A8" s="12" t="s">
        <v>146</v>
      </c>
      <c r="B8" s="14"/>
      <c r="C8" s="147" t="str">
        <f>IF('Non-shuttle Bids'!F879="","n/a",IF('Non-shuttle Bids'!F875="","n/a",'Non-shuttle Bids'!F879-'Non-shuttle Bids'!F875))</f>
        <v>n/a</v>
      </c>
      <c r="D8" s="147"/>
      <c r="E8" s="126"/>
      <c r="F8" s="12"/>
      <c r="G8" s="147" t="str">
        <f>IF('Non-shuttle Bids'!J884="","n/a",IF('Non-shuttle Bids'!J880="","n/a",'Non-shuttle Bids'!J884-'Non-shuttle Bids'!J880))</f>
        <v>n/a</v>
      </c>
      <c r="H8" s="147"/>
      <c r="I8" s="126"/>
      <c r="J8" s="12"/>
      <c r="K8" s="147" t="str">
        <f>IF('Non-shuttle Bids'!N888="","n/a",IF('Non-shuttle Bids'!N884="","n/a",'Non-shuttle Bids'!N888-'Non-shuttle Bids'!N884))</f>
        <v>n/a</v>
      </c>
      <c r="L8" s="147"/>
      <c r="M8" s="126"/>
      <c r="N8" s="127"/>
      <c r="O8" s="147">
        <f>IF('Non-shuttle Bids'!R892="","n/a",IF('Non-shuttle Bids'!R888="","n/a",'Non-shuttle Bids'!R892-'Non-shuttle Bids'!R888))</f>
        <v>-750</v>
      </c>
      <c r="P8" s="147"/>
      <c r="Q8" s="126"/>
      <c r="R8" s="127"/>
      <c r="S8" s="147">
        <f>IF('Non-shuttle Bids'!V896="","n/a",IF('Non-shuttle Bids'!V892="","n/a",'Non-shuttle Bids'!V896-'Non-shuttle Bids'!V892))</f>
        <v>-575</v>
      </c>
      <c r="T8" s="147"/>
      <c r="U8" s="126"/>
      <c r="V8" s="127"/>
      <c r="W8" s="147">
        <f>IF('Non-shuttle Bids'!Z901="","n/a",IF('Non-shuttle Bids'!Z897="","n/a",'Non-shuttle Bids'!Z901-'Non-shuttle Bids'!Z897))</f>
        <v>-500</v>
      </c>
      <c r="X8" s="147"/>
      <c r="Y8" s="126"/>
      <c r="Z8" s="127"/>
      <c r="AA8" s="147">
        <f>IF('Non-shuttle Bids'!AD905="","n/a",IF('Non-shuttle Bids'!AD901="","n/a",'Non-shuttle Bids'!AD905-'Non-shuttle Bids'!AD901))</f>
        <v>350</v>
      </c>
      <c r="AB8" s="147"/>
      <c r="AC8" s="126"/>
      <c r="AD8" s="127"/>
      <c r="AE8" s="147" t="str">
        <f>IF('Non-shuttle Bids'!AH906="","n/a",IF('Non-shuttle Bids'!AH902="","n/a",'Non-shuttle Bids'!AH906-'Non-shuttle Bids'!AH902))</f>
        <v>n/a</v>
      </c>
      <c r="AF8" s="147"/>
      <c r="AG8" s="126"/>
      <c r="AH8" s="127"/>
      <c r="AI8" s="147" t="str">
        <f>IF('Non-shuttle Bids'!AL906="","n/a",IF('Non-shuttle Bids'!AL902="","n/a",'Non-shuttle Bids'!AL906-'Non-shuttle Bids'!AL902))</f>
        <v>n/a</v>
      </c>
      <c r="AJ8" s="147"/>
      <c r="AK8" s="126"/>
      <c r="AL8" s="128"/>
      <c r="AM8" s="147" t="str">
        <f>IF('Non-shuttle Bids'!AP906="","n/a",IF('Non-shuttle Bids'!AP902="","n/a",'Non-shuttle Bids'!AP906-'Non-shuttle Bids'!AP902))</f>
        <v>n/a</v>
      </c>
      <c r="AN8" s="147"/>
      <c r="AO8" s="126"/>
      <c r="AP8" s="128"/>
      <c r="AQ8" s="147" t="str">
        <f>IF('Non-shuttle Bids'!AT906="","n/a",IF('Non-shuttle Bids'!AT902="","n/a",'Non-shuttle Bids'!AT906-'Non-shuttle Bids'!AT902))</f>
        <v>n/a</v>
      </c>
      <c r="AR8" s="147"/>
      <c r="AS8" s="126"/>
      <c r="AT8" s="128"/>
      <c r="AU8" s="147" t="str">
        <f>IF('Non-shuttle Bids'!AX906="","n/a",IF('Non-shuttle Bids'!AX902="","n/a",'Non-shuttle Bids'!AX906-'Non-shuttle Bids'!AX902))</f>
        <v>n/a</v>
      </c>
      <c r="AV8" s="147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9">
        <f>MAX('Non-shuttle Bids'!F850:F880)</f>
        <v>650</v>
      </c>
      <c r="D11" s="149"/>
      <c r="E11" s="141" t="s">
        <v>254</v>
      </c>
      <c r="F11" s="12"/>
      <c r="G11" s="149">
        <f>MAX('Non-shuttle Bids'!J854:J884)</f>
        <v>1000</v>
      </c>
      <c r="H11" s="149"/>
      <c r="I11" s="141" t="s">
        <v>255</v>
      </c>
      <c r="J11" s="12"/>
      <c r="K11" s="149">
        <f>MAX('Non-shuttle Bids'!N858:N888)</f>
        <v>1500</v>
      </c>
      <c r="L11" s="149"/>
      <c r="M11" s="141" t="s">
        <v>256</v>
      </c>
      <c r="N11" s="123"/>
      <c r="O11" s="149">
        <f>MAX('Non-shuttle Bids'!R863:R893)</f>
        <v>1875</v>
      </c>
      <c r="P11" s="149"/>
      <c r="Q11" s="141" t="s">
        <v>257</v>
      </c>
      <c r="R11" s="123"/>
      <c r="S11" s="149">
        <f>MAX('Non-shuttle Bids'!V867:V897)</f>
        <v>2500</v>
      </c>
      <c r="T11" s="149"/>
      <c r="U11" s="141" t="s">
        <v>258</v>
      </c>
      <c r="V11" s="123"/>
      <c r="W11" s="149">
        <f>MAX('Non-shuttle Bids'!Z871:Z901)</f>
        <v>1500</v>
      </c>
      <c r="X11" s="149"/>
      <c r="Y11" s="141" t="s">
        <v>259</v>
      </c>
      <c r="Z11" s="123"/>
      <c r="AA11" s="149">
        <f>MAX('Non-shuttle Bids'!AD876:AD906)</f>
        <v>850</v>
      </c>
      <c r="AB11" s="149"/>
      <c r="AC11" s="141" t="s">
        <v>260</v>
      </c>
      <c r="AD11" s="123"/>
      <c r="AE11" s="149">
        <f>MAX('Non-shuttle Bids'!AH880:AH910)</f>
        <v>750</v>
      </c>
      <c r="AF11" s="149"/>
      <c r="AG11" s="141" t="s">
        <v>261</v>
      </c>
      <c r="AH11" s="123"/>
      <c r="AI11" s="149">
        <f>MAX('Non-shuttle Bids'!AL884:AL914)</f>
        <v>1000</v>
      </c>
      <c r="AJ11" s="149"/>
      <c r="AK11" s="141" t="s">
        <v>287</v>
      </c>
      <c r="AL11" s="129"/>
      <c r="AM11" s="149">
        <f>MAX('Non-shuttle Bids'!AP889:AP919)</f>
        <v>0</v>
      </c>
      <c r="AN11" s="149"/>
      <c r="AO11" s="141" t="s">
        <v>288</v>
      </c>
      <c r="AP11" s="129"/>
      <c r="AQ11" s="149">
        <f>MAX('Non-shuttle Bids'!AT893:AT923)</f>
        <v>0</v>
      </c>
      <c r="AR11" s="149"/>
      <c r="AS11" s="141" t="s">
        <v>289</v>
      </c>
      <c r="AT11" s="129"/>
      <c r="AU11" s="149">
        <f>MAX('Non-shuttle Bids'!AX897:AX927)</f>
        <v>0</v>
      </c>
      <c r="AV11" s="149"/>
      <c r="AW11" s="140" t="s">
        <v>291</v>
      </c>
    </row>
    <row r="12" spans="1:49" ht="15" x14ac:dyDescent="0.2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>
        <f>K6-K11</f>
        <v>0</v>
      </c>
      <c r="L12" s="149"/>
      <c r="M12" s="140"/>
      <c r="N12" s="123"/>
      <c r="O12" s="149">
        <f>O6-O11</f>
        <v>-875</v>
      </c>
      <c r="P12" s="149"/>
      <c r="Q12" s="140"/>
      <c r="R12" s="123"/>
      <c r="S12" s="149">
        <f>S6-S11</f>
        <v>-2300</v>
      </c>
      <c r="T12" s="149"/>
      <c r="U12" s="140"/>
      <c r="V12" s="123"/>
      <c r="W12" s="149">
        <f>W6-W11</f>
        <v>-1550</v>
      </c>
      <c r="X12" s="149"/>
      <c r="Y12" s="140"/>
      <c r="Z12" s="123"/>
      <c r="AA12" s="149">
        <f>AA6-AA11</f>
        <v>0</v>
      </c>
      <c r="AB12" s="149"/>
      <c r="AC12" s="140"/>
      <c r="AD12" s="123"/>
      <c r="AE12" s="149">
        <f>AE6-AE11</f>
        <v>0</v>
      </c>
      <c r="AF12" s="149"/>
      <c r="AG12" s="140"/>
      <c r="AH12" s="123"/>
      <c r="AI12" s="149">
        <f>AI6-AI11</f>
        <v>0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 t="e">
        <f>AQ6-AQ11</f>
        <v>#VALUE!</v>
      </c>
      <c r="AR12" s="149"/>
      <c r="AS12" s="140"/>
      <c r="AT12" s="129"/>
      <c r="AU12" s="149" t="e">
        <f>AU6-AU11</f>
        <v>#VALUE!</v>
      </c>
      <c r="AV12" s="149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>
        <f>IF('Shuttle Bids'!D879="", "n/a", 'Shuttle Bids'!D879)</f>
        <v>3250</v>
      </c>
      <c r="D15" s="117">
        <f>IF('Shuttle Bids'!E879="", "n/a", 'Shuttle Bids'!E879)</f>
        <v>750</v>
      </c>
      <c r="E15" s="117">
        <f>IF('Shuttle Bids'!F879="", "n/a", 'Shuttle Bids'!F879)</f>
        <v>2000</v>
      </c>
      <c r="F15" s="12"/>
      <c r="G15" s="117">
        <f>IF('Shuttle Bids'!H884="", "n/a", 'Shuttle Bids'!H884)</f>
        <v>2500</v>
      </c>
      <c r="H15" s="117">
        <f>IF('Shuttle Bids'!I884="", "n/a", 'Shuttle Bids'!I884)</f>
        <v>600</v>
      </c>
      <c r="I15" s="117">
        <f>IF('Shuttle Bids'!J884="", "n/a", 'Shuttle Bids'!J884)</f>
        <v>1550</v>
      </c>
      <c r="J15" s="12"/>
      <c r="K15" s="117">
        <f>IF('Shuttle Bids'!L888="", "n/a", 'Shuttle Bids'!L888)</f>
        <v>5875</v>
      </c>
      <c r="L15" s="117">
        <f>IF('Shuttle Bids'!M888="", "n/a", 'Shuttle Bids'!M888)</f>
        <v>1800</v>
      </c>
      <c r="M15" s="117">
        <f>IF('Shuttle Bids'!N888="", "n/a", 'Shuttle Bids'!N888)</f>
        <v>3837.5</v>
      </c>
      <c r="N15" s="12"/>
      <c r="O15" s="117">
        <f>IF('Shuttle Bids'!P892="", "n/a", 'Shuttle Bids'!P892)</f>
        <v>1900</v>
      </c>
      <c r="P15" s="117">
        <f>IF('Shuttle Bids'!Q892="", "n/a", 'Shuttle Bids'!Q892)</f>
        <v>650</v>
      </c>
      <c r="Q15" s="117">
        <f>IF('Shuttle Bids'!R892="", "n/a", 'Shuttle Bids'!R892)</f>
        <v>1275</v>
      </c>
      <c r="R15" s="12"/>
      <c r="S15" s="117">
        <f>IF('Shuttle Bids'!T896="", "n/a", 'Shuttle Bids'!T896)</f>
        <v>0</v>
      </c>
      <c r="T15" s="117" t="str">
        <f>IF('Shuttle Bids'!U896="", "n/a", 'Shuttle Bids'!U896)</f>
        <v>n/a</v>
      </c>
      <c r="U15" s="117">
        <f>IF('Shuttle Bids'!V896="", "n/a", 'Shuttle Bids'!V896)</f>
        <v>0</v>
      </c>
      <c r="V15" s="12"/>
      <c r="W15" s="117">
        <f>IF('Shuttle Bids'!X901="", "n/a", 'Shuttle Bids'!X901)</f>
        <v>800</v>
      </c>
      <c r="X15" s="117" t="str">
        <f>IF('Shuttle Bids'!Y901="", "n/a", 'Shuttle Bids'!Y901)</f>
        <v>n/a</v>
      </c>
      <c r="Y15" s="117">
        <f>IF('Shuttle Bids'!Z901="", "n/a", 'Shuttle Bids'!Z901)</f>
        <v>800</v>
      </c>
      <c r="Z15" s="12"/>
      <c r="AA15" s="117">
        <f>IF('Shuttle Bids'!AB905="", "n/a", 'Shuttle Bids'!AB905)</f>
        <v>1900</v>
      </c>
      <c r="AB15" s="117" t="str">
        <f>IF('Shuttle Bids'!AC905="", "n/a", 'Shuttle Bids'!AC905)</f>
        <v>n/a</v>
      </c>
      <c r="AC15" s="117">
        <f>IF('Shuttle Bids'!AD905="", "n/a", 'Shuttle Bids'!AD905)</f>
        <v>1900</v>
      </c>
      <c r="AD15" s="12"/>
      <c r="AE15" s="117">
        <f>IF('Shuttle Bids'!AF906="", "n/a", 'Shuttle Bids'!AF906)</f>
        <v>2000</v>
      </c>
      <c r="AF15" s="117">
        <f>IF('Shuttle Bids'!AG906="", "n/a", 'Shuttle Bids'!AG906)</f>
        <v>1538</v>
      </c>
      <c r="AG15" s="117">
        <f>IF('Shuttle Bids'!AH906="", "n/a", 'Shuttle Bids'!AH906)</f>
        <v>1769</v>
      </c>
      <c r="AH15" s="12"/>
      <c r="AI15" s="117" t="str">
        <f>IF('Shuttle Bids'!AJ906="", "n/a", 'Shuttle Bids'!AJ906)</f>
        <v>n/a</v>
      </c>
      <c r="AJ15" s="117" t="str">
        <f>IF('Shuttle Bids'!AK906="", "n/a", 'Shuttle Bids'!AK906)</f>
        <v>n/a</v>
      </c>
      <c r="AK15" s="117" t="str">
        <f>IF('Shuttle Bids'!AL906="", "n/a", 'Shuttle Bids'!AL906)</f>
        <v>n/a</v>
      </c>
      <c r="AL15" s="12"/>
      <c r="AM15" s="117">
        <f>IF('Shuttle Bids'!AN906="", "n/a", 'Shuttle Bids'!AN906)</f>
        <v>3500</v>
      </c>
      <c r="AN15" s="117">
        <f>IF('Shuttle Bids'!AO906="", "n/a", 'Shuttle Bids'!AO906)</f>
        <v>3000</v>
      </c>
      <c r="AO15" s="117">
        <f>IF('Shuttle Bids'!AP906="", "n/a", 'Shuttle Bids'!AP906)</f>
        <v>3250</v>
      </c>
      <c r="AP15" s="12"/>
      <c r="AQ15" s="117" t="str">
        <f>IF('Shuttle Bids'!AR906="", "n/a", 'Shuttle Bids'!AR906)</f>
        <v>n/a</v>
      </c>
      <c r="AR15" s="117" t="str">
        <f>IF('Shuttle Bids'!AS906="", "n/a", 'Shuttle Bids'!AS906)</f>
        <v>n/a</v>
      </c>
      <c r="AS15" s="117" t="str">
        <f>IF('Shuttle Bids'!AT906="", "n/a", 'Shuttle Bids'!AT906)</f>
        <v>n/a</v>
      </c>
      <c r="AT15" s="12"/>
      <c r="AU15" s="117" t="str">
        <f>IF('Shuttle Bids'!AV906="", "n/a", 'Shuttle Bids'!AV906)</f>
        <v>n/a</v>
      </c>
      <c r="AV15" s="117">
        <f>IF('Shuttle Bids'!AW906="", "n/a", 'Shuttle Bids'!AW906)</f>
        <v>800</v>
      </c>
      <c r="AW15" s="117">
        <f>IF('Shuttle Bids'!AX906="", "n/a", 'Shuttle Bids'!AX906)</f>
        <v>800</v>
      </c>
    </row>
    <row r="16" spans="1:49" ht="15" x14ac:dyDescent="0.2">
      <c r="A16" s="12" t="s">
        <v>109</v>
      </c>
      <c r="B16" s="14"/>
      <c r="C16" s="117">
        <f>IF('Shuttle Bids'!D879="","n/a",IF('Shuttle Bids'!D878="","n/a",'Shuttle Bids'!D879-'Shuttle Bids'!D878))</f>
        <v>417</v>
      </c>
      <c r="D16" s="117">
        <f>IF('Shuttle Bids'!E879="","n/a",IF('Shuttle Bids'!E878="","n/a",'Shuttle Bids'!E879-'Shuttle Bids'!E878))</f>
        <v>225</v>
      </c>
      <c r="E16" s="117">
        <f>IF('Shuttle Bids'!F879="","n/a",IF('Shuttle Bids'!F878="","n/a",'Shuttle Bids'!F879-'Shuttle Bids'!F878))</f>
        <v>321</v>
      </c>
      <c r="F16" s="118"/>
      <c r="G16" s="117">
        <f>IF('Shuttle Bids'!H884="","n/a",IF('Shuttle Bids'!H883="","n/a",'Shuttle Bids'!H884-'Shuttle Bids'!H883))</f>
        <v>-600</v>
      </c>
      <c r="H16" s="117">
        <f>IF('Shuttle Bids'!I884="","n/a",IF('Shuttle Bids'!I883="","n/a",'Shuttle Bids'!I884-'Shuttle Bids'!I883))</f>
        <v>0</v>
      </c>
      <c r="I16" s="117">
        <f>IF('Shuttle Bids'!J884="","n/a",IF('Shuttle Bids'!J883="","n/a",'Shuttle Bids'!J884-'Shuttle Bids'!J883))</f>
        <v>-300</v>
      </c>
      <c r="J16" s="12"/>
      <c r="K16" s="117">
        <f>IF('Shuttle Bids'!L888="","n/a",IF('Shuttle Bids'!L887="","n/a",'Shuttle Bids'!L888-'Shuttle Bids'!L887))</f>
        <v>2000</v>
      </c>
      <c r="L16" s="117">
        <f>IF('Shuttle Bids'!M888="","n/a",IF('Shuttle Bids'!M887="","n/a",'Shuttle Bids'!M888-'Shuttle Bids'!M887))</f>
        <v>300</v>
      </c>
      <c r="M16" s="117">
        <f>IF('Shuttle Bids'!N888="","n/a",IF('Shuttle Bids'!N887="","n/a",'Shuttle Bids'!N888-'Shuttle Bids'!N887))</f>
        <v>1150</v>
      </c>
      <c r="N16" s="118"/>
      <c r="O16" s="117">
        <f>IF('Shuttle Bids'!P892="","n/a",IF('Shuttle Bids'!P891="","n/a",'Shuttle Bids'!P892-'Shuttle Bids'!P891))</f>
        <v>-567</v>
      </c>
      <c r="P16" s="117">
        <f>IF('Shuttle Bids'!Q892="","n/a",IF('Shuttle Bids'!Q891="","n/a",'Shuttle Bids'!Q892-'Shuttle Bids'!Q891))</f>
        <v>-750</v>
      </c>
      <c r="Q16" s="117">
        <f>IF('Shuttle Bids'!R892="","n/a",IF('Shuttle Bids'!R891="","n/a",'Shuttle Bids'!R892-'Shuttle Bids'!R891))</f>
        <v>-658.5</v>
      </c>
      <c r="R16" s="118"/>
      <c r="S16" s="117">
        <f>IF('Shuttle Bids'!T896="","n/a",IF('Shuttle Bids'!T895="","n/a",'Shuttle Bids'!T896-'Shuttle Bids'!T895))</f>
        <v>-1025</v>
      </c>
      <c r="T16" s="117" t="str">
        <f>IF('Shuttle Bids'!U896="","n/a",IF('Shuttle Bids'!U895="","n/a",'Shuttle Bids'!U896-'Shuttle Bids'!U895))</f>
        <v>n/a</v>
      </c>
      <c r="U16" s="117">
        <f>IF('Shuttle Bids'!V896="","n/a",IF('Shuttle Bids'!V895="","n/a",'Shuttle Bids'!V896-'Shuttle Bids'!V895))</f>
        <v>-537.5</v>
      </c>
      <c r="V16" s="12"/>
      <c r="W16" s="117">
        <f>IF('Shuttle Bids'!X901="","n/a",IF('Shuttle Bids'!X900="","n/a",'Shuttle Bids'!X901-'Shuttle Bids'!X900))</f>
        <v>-350</v>
      </c>
      <c r="X16" s="117" t="str">
        <f>IF('Shuttle Bids'!Y901="","n/a",IF('Shuttle Bids'!Y900="","n/a",'Shuttle Bids'!Y901-'Shuttle Bids'!Y900))</f>
        <v>n/a</v>
      </c>
      <c r="Y16" s="117">
        <f>IF('Shuttle Bids'!Z901="","n/a",IF('Shuttle Bids'!Z900="","n/a",'Shuttle Bids'!Z901-'Shuttle Bids'!Z900))</f>
        <v>375</v>
      </c>
      <c r="Z16" s="12"/>
      <c r="AA16" s="117">
        <f>IF('Shuttle Bids'!AB905="","n/a",IF('Shuttle Bids'!AB904="","n/a",'Shuttle Bids'!AB905-'Shuttle Bids'!AB904))</f>
        <v>1500</v>
      </c>
      <c r="AB16" s="117" t="str">
        <f>IF('Shuttle Bids'!AC905="","n/a",IF('Shuttle Bids'!AC904="","n/a",'Shuttle Bids'!AC905-'Shuttle Bids'!AC904))</f>
        <v>n/a</v>
      </c>
      <c r="AC16" s="117">
        <f>IF('Shuttle Bids'!AD905="","n/a",IF('Shuttle Bids'!AD904="","n/a",'Shuttle Bids'!AD905-'Shuttle Bids'!AD904))</f>
        <v>1600</v>
      </c>
      <c r="AD16" s="12"/>
      <c r="AE16" s="117">
        <f>IF('Shuttle Bids'!AF906="","n/a",IF('Shuttle Bids'!AF905="","n/a",'Shuttle Bids'!AF906-'Shuttle Bids'!AF905))</f>
        <v>400</v>
      </c>
      <c r="AF16" s="117">
        <f>IF('Shuttle Bids'!AG906="","n/a",IF('Shuttle Bids'!AG905="","n/a",'Shuttle Bids'!AG906-'Shuttle Bids'!AG905))</f>
        <v>838</v>
      </c>
      <c r="AG16" s="117">
        <f>IF('Shuttle Bids'!AH906="","n/a",IF('Shuttle Bids'!AH905="","n/a",'Shuttle Bids'!AH906-'Shuttle Bids'!AH905))</f>
        <v>619</v>
      </c>
      <c r="AH16" s="12"/>
      <c r="AI16" s="117" t="str">
        <f>IF('Shuttle Bids'!AJ906="","n/a",IF('Shuttle Bids'!AJ905="","n/a",'Shuttle Bids'!AJ906-'Shuttle Bids'!AJ905))</f>
        <v>n/a</v>
      </c>
      <c r="AJ16" s="117" t="str">
        <f>IF('Shuttle Bids'!AK906="","n/a",IF('Shuttle Bids'!AK905="","n/a",'Shuttle Bids'!AK906-'Shuttle Bids'!AK905))</f>
        <v>n/a</v>
      </c>
      <c r="AK16" s="117" t="str">
        <f>IF('Shuttle Bids'!AL906="","n/a",IF('Shuttle Bids'!AL905="","n/a",'Shuttle Bids'!AL906-'Shuttle Bids'!AL905))</f>
        <v>n/a</v>
      </c>
      <c r="AL16" s="84"/>
      <c r="AM16" s="117">
        <f>IF('Shuttle Bids'!AN906="","n/a",IF('Shuttle Bids'!AN905="","n/a",'Shuttle Bids'!AN906-'Shuttle Bids'!AN905))</f>
        <v>0</v>
      </c>
      <c r="AN16" s="117">
        <f>IF('Shuttle Bids'!AO906="","n/a",IF('Shuttle Bids'!AO905="","n/a",'Shuttle Bids'!AO906-'Shuttle Bids'!AO905))</f>
        <v>187</v>
      </c>
      <c r="AO16" s="117">
        <f>IF('Shuttle Bids'!AP906="","n/a",IF('Shuttle Bids'!AP905="","n/a",'Shuttle Bids'!AP906-'Shuttle Bids'!AP905))</f>
        <v>93.5</v>
      </c>
      <c r="AP16" s="84"/>
      <c r="AQ16" s="117" t="str">
        <f>IF('Shuttle Bids'!AR906="","n/a",IF('Shuttle Bids'!AR905="","n/a",'Shuttle Bids'!AR906-'Shuttle Bids'!AR905))</f>
        <v>n/a</v>
      </c>
      <c r="AR16" s="117" t="str">
        <f>IF('Shuttle Bids'!AS906="","n/a",IF('Shuttle Bids'!AS905="","n/a",'Shuttle Bids'!AS906-'Shuttle Bids'!AS905))</f>
        <v>n/a</v>
      </c>
      <c r="AS16" s="117" t="str">
        <f>IF('Shuttle Bids'!AT906="","n/a",IF('Shuttle Bids'!AT905="","n/a",'Shuttle Bids'!AT906-'Shuttle Bids'!AT905))</f>
        <v>n/a</v>
      </c>
      <c r="AT16" s="84"/>
      <c r="AU16" s="117" t="str">
        <f>IF('Shuttle Bids'!AV906="","n/a",IF('Shuttle Bids'!AV905="","n/a",'Shuttle Bids'!AV906-'Shuttle Bids'!AV905))</f>
        <v>n/a</v>
      </c>
      <c r="AV16" s="117">
        <f>IF('Shuttle Bids'!AW906="","n/a",IF('Shuttle Bids'!AW905="","n/a",'Shuttle Bids'!AW906-'Shuttle Bids'!AW905))</f>
        <v>350</v>
      </c>
      <c r="AW16" s="117">
        <f>IF('Shuttle Bids'!AX906="","n/a",IF('Shuttle Bids'!AX905="","n/a",'Shuttle Bids'!AX906-'Shuttle Bids'!AX905))</f>
        <v>-475</v>
      </c>
    </row>
    <row r="17" spans="1:49" ht="15" x14ac:dyDescent="0.2">
      <c r="A17" s="114" t="s">
        <v>151</v>
      </c>
      <c r="B17" s="14"/>
      <c r="C17" s="117">
        <f>IF('Shuttle Bids'!D879="","n/a",IF('Shuttle Bids'!D827="","n/a",'Shuttle Bids'!D879-'Shuttle Bids'!D827))</f>
        <v>3350</v>
      </c>
      <c r="D17" s="117">
        <f>IF('Shuttle Bids'!E879="","n/a",IF('Shuttle Bids'!E827="","n/a",'Shuttle Bids'!E879-'Shuttle Bids'!E827))</f>
        <v>775</v>
      </c>
      <c r="E17" s="117">
        <f>IF('Shuttle Bids'!F879="","n/a",IF('Shuttle Bids'!F827="","n/a",'Shuttle Bids'!F879-'Shuttle Bids'!F827))</f>
        <v>2062.5</v>
      </c>
      <c r="F17" s="12"/>
      <c r="G17" s="117">
        <f>IF('Shuttle Bids'!H884="","n/a",IF('Shuttle Bids'!H832="","n/a",'Shuttle Bids'!H884-'Shuttle Bids'!H832))</f>
        <v>2258</v>
      </c>
      <c r="H17" s="117">
        <f>IF('Shuttle Bids'!I884="","n/a",IF('Shuttle Bids'!I832="","n/a",'Shuttle Bids'!I884-'Shuttle Bids'!I832))</f>
        <v>500</v>
      </c>
      <c r="I17" s="117">
        <f>IF('Shuttle Bids'!J884="","n/a",IF('Shuttle Bids'!J832="","n/a",'Shuttle Bids'!J884-'Shuttle Bids'!J832))</f>
        <v>1379</v>
      </c>
      <c r="J17" s="12"/>
      <c r="K17" s="117">
        <f>IF('Shuttle Bids'!L888="","n/a",IF('Shuttle Bids'!L836="","n/a",'Shuttle Bids'!L888-'Shuttle Bids'!L836))</f>
        <v>5831</v>
      </c>
      <c r="L17" s="117">
        <f>IF('Shuttle Bids'!M888="","n/a",IF('Shuttle Bids'!M836="","n/a",'Shuttle Bids'!M888-'Shuttle Bids'!M836))</f>
        <v>1838</v>
      </c>
      <c r="M17" s="117">
        <f>IF('Shuttle Bids'!N888="","n/a",IF('Shuttle Bids'!N836="","n/a",'Shuttle Bids'!N888-'Shuttle Bids'!N836))</f>
        <v>3834.5</v>
      </c>
      <c r="N17" s="12"/>
      <c r="O17" s="117">
        <f>IF('Shuttle Bids'!P892="","n/a",IF('Shuttle Bids'!P840="","n/a",'Shuttle Bids'!P892-'Shuttle Bids'!P840))</f>
        <v>2116</v>
      </c>
      <c r="P17" s="117">
        <f>IF('Shuttle Bids'!Q892="","n/a",IF('Shuttle Bids'!Q840="","n/a",'Shuttle Bids'!Q892-'Shuttle Bids'!Q840))</f>
        <v>875</v>
      </c>
      <c r="Q17" s="117">
        <f>IF('Shuttle Bids'!R892="","n/a",IF('Shuttle Bids'!R840="","n/a",'Shuttle Bids'!R892-'Shuttle Bids'!R840))</f>
        <v>1495.5</v>
      </c>
      <c r="R17" s="12"/>
      <c r="S17" s="117">
        <f>IF('Shuttle Bids'!T896="","n/a",IF('Shuttle Bids'!T844="","n/a",'Shuttle Bids'!T896-'Shuttle Bids'!T844))</f>
        <v>106</v>
      </c>
      <c r="T17" s="117" t="str">
        <f>IF('Shuttle Bids'!U896="","n/a",IF('Shuttle Bids'!U844="","n/a",'Shuttle Bids'!U896-'Shuttle Bids'!U844))</f>
        <v>n/a</v>
      </c>
      <c r="U17" s="117">
        <f>IF('Shuttle Bids'!V896="","n/a",IF('Shuttle Bids'!V844="","n/a",'Shuttle Bids'!V896-'Shuttle Bids'!V844))</f>
        <v>90.5</v>
      </c>
      <c r="V17" s="12"/>
      <c r="W17" s="117">
        <f>IF('Shuttle Bids'!X901="","n/a",IF('Shuttle Bids'!X849="","n/a",'Shuttle Bids'!X901-'Shuttle Bids'!X849))</f>
        <v>700</v>
      </c>
      <c r="X17" s="117" t="str">
        <f>IF('Shuttle Bids'!Y901="","n/a",IF('Shuttle Bids'!Y849="","n/a",'Shuttle Bids'!Y901-'Shuttle Bids'!Y849))</f>
        <v>n/a</v>
      </c>
      <c r="Y17" s="117">
        <f>IF('Shuttle Bids'!Z901="","n/a",IF('Shuttle Bids'!Z849="","n/a",'Shuttle Bids'!Z901-'Shuttle Bids'!Z849))</f>
        <v>700</v>
      </c>
      <c r="Z17" s="12"/>
      <c r="AA17" s="117">
        <f>IF('Shuttle Bids'!AB905="","n/a",IF('Shuttle Bids'!AB853="","n/a",'Shuttle Bids'!AB905-'Shuttle Bids'!AB853))</f>
        <v>2000</v>
      </c>
      <c r="AB17" s="117" t="str">
        <f>IF('Shuttle Bids'!AC905="","n/a",IF('Shuttle Bids'!AC853="","n/a",'Shuttle Bids'!AC905-'Shuttle Bids'!AC853))</f>
        <v>n/a</v>
      </c>
      <c r="AC17" s="117">
        <f>IF('Shuttle Bids'!AD905="","n/a",IF('Shuttle Bids'!AD853="","n/a",'Shuttle Bids'!AD905-'Shuttle Bids'!AD853))</f>
        <v>2000</v>
      </c>
      <c r="AD17" s="12"/>
      <c r="AE17" s="117">
        <f>IF('Shuttle Bids'!AF906="","n/a",IF('Shuttle Bids'!AF854="","n/a",'Shuttle Bids'!AF906-'Shuttle Bids'!AF854))</f>
        <v>2092</v>
      </c>
      <c r="AF17" s="117">
        <f>IF('Shuttle Bids'!AG906="","n/a",IF('Shuttle Bids'!AG854="","n/a",'Shuttle Bids'!AG906-'Shuttle Bids'!AG854))</f>
        <v>1738</v>
      </c>
      <c r="AG17" s="117">
        <f>IF('Shuttle Bids'!AH906="","n/a",IF('Shuttle Bids'!AH854="","n/a",'Shuttle Bids'!AH906-'Shuttle Bids'!AH854))</f>
        <v>1915</v>
      </c>
      <c r="AH17" s="12"/>
      <c r="AI17" s="117" t="str">
        <f>IF('Shuttle Bids'!AJ906="","n/a",IF('Shuttle Bids'!AJ854="","n/a",'Shuttle Bids'!AJ906-'Shuttle Bids'!AJ854))</f>
        <v>n/a</v>
      </c>
      <c r="AJ17" s="117" t="str">
        <f>IF('Shuttle Bids'!AK906="","n/a",IF('Shuttle Bids'!AK854="","n/a",'Shuttle Bids'!AK906-'Shuttle Bids'!AK854))</f>
        <v>n/a</v>
      </c>
      <c r="AK17" s="117" t="str">
        <f>IF('Shuttle Bids'!AL906="","n/a",IF('Shuttle Bids'!AL854="","n/a",'Shuttle Bids'!AL906-'Shuttle Bids'!AL854))</f>
        <v>n/a</v>
      </c>
      <c r="AL17" s="84"/>
      <c r="AM17" s="117">
        <f>IF('Shuttle Bids'!AN906="","n/a",IF('Shuttle Bids'!AN854="","n/a",'Shuttle Bids'!AN906-'Shuttle Bids'!AN854))</f>
        <v>2925</v>
      </c>
      <c r="AN17" s="117">
        <f>IF('Shuttle Bids'!AO906="","n/a",IF('Shuttle Bids'!AO854="","n/a",'Shuttle Bids'!AO906-'Shuttle Bids'!AO854))</f>
        <v>2600</v>
      </c>
      <c r="AO17" s="117">
        <f>IF('Shuttle Bids'!AP906="","n/a",IF('Shuttle Bids'!AP854="","n/a",'Shuttle Bids'!AP906-'Shuttle Bids'!AP854))</f>
        <v>2762.5</v>
      </c>
      <c r="AP17" s="84"/>
      <c r="AQ17" s="117" t="str">
        <f>IF('Shuttle Bids'!AR906="","n/a",IF('Shuttle Bids'!AR854="","n/a",'Shuttle Bids'!AR906-'Shuttle Bids'!AR854))</f>
        <v>n/a</v>
      </c>
      <c r="AR17" s="117" t="str">
        <f>IF('Shuttle Bids'!AS906="","n/a",IF('Shuttle Bids'!AS854="","n/a",'Shuttle Bids'!AS906-'Shuttle Bids'!AS854))</f>
        <v>n/a</v>
      </c>
      <c r="AS17" s="117" t="str">
        <f>IF('Shuttle Bids'!AT906="","n/a",IF('Shuttle Bids'!AT854="","n/a",'Shuttle Bids'!AT906-'Shuttle Bids'!AT854))</f>
        <v>n/a</v>
      </c>
      <c r="AT17" s="84"/>
      <c r="AU17" s="117" t="str">
        <f>IF('Shuttle Bids'!AV906="","n/a",IF('Shuttle Bids'!AV854="","n/a",'Shuttle Bids'!AV906-'Shuttle Bids'!AV854))</f>
        <v>n/a</v>
      </c>
      <c r="AV17" s="117" t="str">
        <f>IF('Shuttle Bids'!AW906="","n/a",IF('Shuttle Bids'!AW854="","n/a",'Shuttle Bids'!AW906-'Shuttle Bids'!AW854))</f>
        <v>n/a</v>
      </c>
      <c r="AW17" s="117" t="str">
        <f>IF('Shuttle Bids'!AX906="","n/a",IF('Shuttle Bids'!AX854="","n/a",'Shuttle Bids'!AX906-'Shuttle Bids'!AX854))</f>
        <v>n/a</v>
      </c>
    </row>
    <row r="18" spans="1:49" ht="15" x14ac:dyDescent="0.2">
      <c r="A18" s="12" t="s">
        <v>144</v>
      </c>
      <c r="B18" s="14"/>
      <c r="C18" s="147">
        <f>IF('Shuttle Bids'!F879="","n/a",'Shuttle Bids'!F879)</f>
        <v>2000</v>
      </c>
      <c r="D18" s="147"/>
      <c r="E18" s="119"/>
      <c r="F18" s="12"/>
      <c r="G18" s="147">
        <f>IF('Shuttle Bids'!J884="","n/a",'Shuttle Bids'!J884)</f>
        <v>1550</v>
      </c>
      <c r="H18" s="147"/>
      <c r="I18" s="119"/>
      <c r="J18" s="12"/>
      <c r="K18" s="147">
        <f>IF('Shuttle Bids'!N888="","n/a",'Shuttle Bids'!N888)</f>
        <v>3837.5</v>
      </c>
      <c r="L18" s="147"/>
      <c r="M18" s="119"/>
      <c r="N18" s="120"/>
      <c r="O18" s="147">
        <f>IF('Shuttle Bids'!R892="","n/a",'Shuttle Bids'!R892)</f>
        <v>1275</v>
      </c>
      <c r="P18" s="147"/>
      <c r="Q18" s="119"/>
      <c r="R18" s="120"/>
      <c r="S18" s="147">
        <f>IF('Shuttle Bids'!V896="","n/a",'Shuttle Bids'!V896)</f>
        <v>0</v>
      </c>
      <c r="T18" s="147"/>
      <c r="U18" s="119"/>
      <c r="V18" s="120"/>
      <c r="W18" s="147">
        <f>IF('Shuttle Bids'!Z901="","n/a",'Shuttle Bids'!Z901)</f>
        <v>800</v>
      </c>
      <c r="X18" s="147"/>
      <c r="Y18" s="119"/>
      <c r="Z18" s="120"/>
      <c r="AA18" s="147">
        <f>IF('Shuttle Bids'!AD905="","n/a",'Shuttle Bids'!AD905)</f>
        <v>1900</v>
      </c>
      <c r="AB18" s="147"/>
      <c r="AC18" s="119"/>
      <c r="AD18" s="120"/>
      <c r="AE18" s="147">
        <f>IF('Shuttle Bids'!AH906="","n/a",'Shuttle Bids'!AH906)</f>
        <v>1769</v>
      </c>
      <c r="AF18" s="147"/>
      <c r="AG18" s="119"/>
      <c r="AH18" s="120"/>
      <c r="AI18" s="147" t="str">
        <f>IF('Shuttle Bids'!AL906="","n/a",'Shuttle Bids'!AL906)</f>
        <v>n/a</v>
      </c>
      <c r="AJ18" s="147"/>
      <c r="AK18" s="119"/>
      <c r="AL18" s="121"/>
      <c r="AM18" s="147">
        <f>IF('Shuttle Bids'!AP906="","n/a",'Shuttle Bids'!AP906)</f>
        <v>3250</v>
      </c>
      <c r="AN18" s="147"/>
      <c r="AO18" s="119"/>
      <c r="AP18" s="121"/>
      <c r="AQ18" s="147" t="str">
        <f>IF('Shuttle Bids'!AT906="","n/a",'Shuttle Bids'!AT906)</f>
        <v>n/a</v>
      </c>
      <c r="AR18" s="147"/>
      <c r="AS18" s="119"/>
      <c r="AT18" s="121"/>
      <c r="AU18" s="147">
        <f>IF('Shuttle Bids'!AX906="","n/a",'Shuttle Bids'!AX906)</f>
        <v>800</v>
      </c>
      <c r="AV18" s="147"/>
      <c r="AW18" s="119"/>
    </row>
    <row r="19" spans="1:49" ht="15" x14ac:dyDescent="0.2">
      <c r="A19" s="115" t="s">
        <v>145</v>
      </c>
      <c r="B19" s="14"/>
      <c r="C19" s="148">
        <f>IF('Shuttle Bids'!F879="","n/a",IF('Shuttle Bids'!F878="","n/a",'Shuttle Bids'!F879-'Shuttle Bids'!F878))</f>
        <v>321</v>
      </c>
      <c r="D19" s="148"/>
      <c r="E19" s="122"/>
      <c r="F19" s="12"/>
      <c r="G19" s="148">
        <f>IF('Shuttle Bids'!J884="","n/a",IF('Shuttle Bids'!J883="","n/a",'Shuttle Bids'!J884-'Shuttle Bids'!J883))</f>
        <v>-300</v>
      </c>
      <c r="H19" s="148"/>
      <c r="I19" s="122"/>
      <c r="J19" s="12"/>
      <c r="K19" s="148">
        <f>IF('Shuttle Bids'!N888="","n/a",IF('Shuttle Bids'!N887="","n/a",'Shuttle Bids'!N888-'Shuttle Bids'!N887))</f>
        <v>1150</v>
      </c>
      <c r="L19" s="148"/>
      <c r="M19" s="122"/>
      <c r="N19" s="123"/>
      <c r="O19" s="148">
        <f>IF('Shuttle Bids'!R892="","n/a",IF('Shuttle Bids'!R891="","n/a",'Shuttle Bids'!R892-'Shuttle Bids'!R891))</f>
        <v>-658.5</v>
      </c>
      <c r="P19" s="148"/>
      <c r="Q19" s="122"/>
      <c r="R19" s="123"/>
      <c r="S19" s="148">
        <f>IF('Shuttle Bids'!V896="","n/a",IF('Shuttle Bids'!V895="","n/a",'Shuttle Bids'!V896-'Shuttle Bids'!V895))</f>
        <v>-537.5</v>
      </c>
      <c r="T19" s="148"/>
      <c r="U19" s="122"/>
      <c r="V19" s="123"/>
      <c r="W19" s="148">
        <f>IF('Shuttle Bids'!Z901="","n/a",IF('Shuttle Bids'!Z900="","n/a",'Shuttle Bids'!Z901-'Shuttle Bids'!Z900))</f>
        <v>375</v>
      </c>
      <c r="X19" s="148"/>
      <c r="Y19" s="122"/>
      <c r="Z19" s="123"/>
      <c r="AA19" s="148">
        <f>IF('Shuttle Bids'!AD905="","n/a",IF('Shuttle Bids'!AD904="","n/a",'Shuttle Bids'!AD905-'Shuttle Bids'!AD904))</f>
        <v>1600</v>
      </c>
      <c r="AB19" s="148"/>
      <c r="AC19" s="122"/>
      <c r="AD19" s="124"/>
      <c r="AE19" s="148">
        <f>IF('Shuttle Bids'!AH906="","n/a",IF('Shuttle Bids'!AH905="","n/a",'Shuttle Bids'!AH906-'Shuttle Bids'!AH905))</f>
        <v>619</v>
      </c>
      <c r="AF19" s="148"/>
      <c r="AG19" s="122"/>
      <c r="AH19" s="124"/>
      <c r="AI19" s="148" t="str">
        <f>IF('Shuttle Bids'!AL906="","n/a",IF('Shuttle Bids'!AL905="","n/a",'Shuttle Bids'!AL906-'Shuttle Bids'!AL905))</f>
        <v>n/a</v>
      </c>
      <c r="AJ19" s="148"/>
      <c r="AK19" s="122"/>
      <c r="AL19" s="125"/>
      <c r="AM19" s="148">
        <f>IF('Shuttle Bids'!AP906="","n/a",IF('Shuttle Bids'!AP905="","n/a",'Shuttle Bids'!AP906-'Shuttle Bids'!AP905))</f>
        <v>93.5</v>
      </c>
      <c r="AN19" s="148"/>
      <c r="AO19" s="122"/>
      <c r="AP19" s="125"/>
      <c r="AQ19" s="148" t="str">
        <f>IF('Shuttle Bids'!AT906="","n/a",IF('Shuttle Bids'!AT905="","n/a",'Shuttle Bids'!AT906-'Shuttle Bids'!AT905))</f>
        <v>n/a</v>
      </c>
      <c r="AR19" s="148"/>
      <c r="AS19" s="122"/>
      <c r="AT19" s="125"/>
      <c r="AU19" s="148">
        <f>IF('Shuttle Bids'!AX906="","n/a",IF('Shuttle Bids'!AX905="","n/a",'Shuttle Bids'!AX906-'Shuttle Bids'!AX905))</f>
        <v>-475</v>
      </c>
      <c r="AV19" s="148"/>
      <c r="AW19" s="122"/>
    </row>
    <row r="20" spans="1:49" ht="15" x14ac:dyDescent="0.2">
      <c r="A20" s="12" t="s">
        <v>146</v>
      </c>
      <c r="B20" s="14"/>
      <c r="C20" s="147">
        <f>IF('Shuttle Bids'!F879="","n/a",IF('Shuttle Bids'!F875="","n/a",'Shuttle Bids'!F879-'Shuttle Bids'!F875))</f>
        <v>1225</v>
      </c>
      <c r="D20" s="147"/>
      <c r="E20" s="126"/>
      <c r="F20" s="12"/>
      <c r="G20" s="147">
        <f>IF('Shuttle Bids'!J884="","n/a",IF('Shuttle Bids'!J880="","n/a",'Shuttle Bids'!J884-'Shuttle Bids'!J880))</f>
        <v>-187.5</v>
      </c>
      <c r="H20" s="147"/>
      <c r="I20" s="126"/>
      <c r="J20" s="12"/>
      <c r="K20" s="147">
        <f>IF('Shuttle Bids'!N888="","n/a",IF('Shuttle Bids'!N884="","n/a",'Shuttle Bids'!N888-'Shuttle Bids'!N884))</f>
        <v>2737.5</v>
      </c>
      <c r="L20" s="147"/>
      <c r="M20" s="126"/>
      <c r="N20" s="127"/>
      <c r="O20" s="147">
        <f>IF('Shuttle Bids'!R892="","n/a",IF('Shuttle Bids'!R888="","n/a",'Shuttle Bids'!R892-'Shuttle Bids'!R888))</f>
        <v>-975</v>
      </c>
      <c r="P20" s="147"/>
      <c r="Q20" s="126"/>
      <c r="R20" s="127"/>
      <c r="S20" s="147">
        <f>IF('Shuttle Bids'!V896="","n/a",IF('Shuttle Bids'!V892="","n/a",'Shuttle Bids'!V896-'Shuttle Bids'!V892))</f>
        <v>-550</v>
      </c>
      <c r="T20" s="147"/>
      <c r="U20" s="126"/>
      <c r="V20" s="127"/>
      <c r="W20" s="147">
        <f>IF('Shuttle Bids'!Z901="","n/a",IF('Shuttle Bids'!Z897="","n/a",'Shuttle Bids'!Z901-'Shuttle Bids'!Z897))</f>
        <v>988</v>
      </c>
      <c r="X20" s="147"/>
      <c r="Y20" s="126"/>
      <c r="Z20" s="127"/>
      <c r="AA20" s="147">
        <f>IF('Shuttle Bids'!AD905="","n/a",IF('Shuttle Bids'!AD901="","n/a",'Shuttle Bids'!AD905-'Shuttle Bids'!AD901))</f>
        <v>1900</v>
      </c>
      <c r="AB20" s="147"/>
      <c r="AC20" s="126"/>
      <c r="AD20" s="127"/>
      <c r="AE20" s="147">
        <f>IF('Shuttle Bids'!AH906="","n/a",IF('Shuttle Bids'!AH902="","n/a",'Shuttle Bids'!AH906-'Shuttle Bids'!AH902))</f>
        <v>1394</v>
      </c>
      <c r="AF20" s="147"/>
      <c r="AG20" s="126"/>
      <c r="AH20" s="127"/>
      <c r="AI20" s="147" t="str">
        <f>IF('Shuttle Bids'!AL906="","n/a",IF('Shuttle Bids'!AL902="","n/a",'Shuttle Bids'!AL906-'Shuttle Bids'!AL902))</f>
        <v>n/a</v>
      </c>
      <c r="AJ20" s="147"/>
      <c r="AK20" s="126"/>
      <c r="AL20" s="128"/>
      <c r="AM20" s="147">
        <f>IF('Shuttle Bids'!AP906="","n/a",IF('Shuttle Bids'!AP902="","n/a",'Shuttle Bids'!AP906-'Shuttle Bids'!AP902))</f>
        <v>2250</v>
      </c>
      <c r="AN20" s="147"/>
      <c r="AO20" s="126"/>
      <c r="AP20" s="128"/>
      <c r="AQ20" s="147" t="str">
        <f>IF('Shuttle Bids'!AT906="","n/a",IF('Shuttle Bids'!AT902="","n/a",'Shuttle Bids'!AT906-'Shuttle Bids'!AT902))</f>
        <v>n/a</v>
      </c>
      <c r="AR20" s="147"/>
      <c r="AS20" s="126"/>
      <c r="AT20" s="128"/>
      <c r="AU20" s="147">
        <f>IF('Shuttle Bids'!AX906="","n/a",IF('Shuttle Bids'!AX902="","n/a",'Shuttle Bids'!AX906-'Shuttle Bids'!AX902))</f>
        <v>800</v>
      </c>
      <c r="AV20" s="147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9">
        <f>MAX('Shuttle Bids'!F850:F880)</f>
        <v>2000</v>
      </c>
      <c r="D23" s="149"/>
      <c r="E23" s="141" t="s">
        <v>254</v>
      </c>
      <c r="F23" s="12"/>
      <c r="G23" s="149">
        <f>MAX('Shuttle Bids'!J854:J884)</f>
        <v>1850</v>
      </c>
      <c r="H23" s="149"/>
      <c r="I23" s="141" t="s">
        <v>255</v>
      </c>
      <c r="J23" s="12"/>
      <c r="K23" s="149">
        <f>MAX('Shuttle Bids'!N858:N888)</f>
        <v>3837.5</v>
      </c>
      <c r="L23" s="149"/>
      <c r="M23" s="141" t="s">
        <v>256</v>
      </c>
      <c r="N23" s="123"/>
      <c r="O23" s="149">
        <f>MAX('Shuttle Bids'!R863:R893)</f>
        <v>2537.5</v>
      </c>
      <c r="P23" s="149"/>
      <c r="Q23" s="141" t="s">
        <v>257</v>
      </c>
      <c r="R23" s="123"/>
      <c r="S23" s="149">
        <f>MAX('Shuttle Bids'!V867:V897)</f>
        <v>1500</v>
      </c>
      <c r="T23" s="149"/>
      <c r="U23" s="141" t="s">
        <v>258</v>
      </c>
      <c r="V23" s="123"/>
      <c r="W23" s="149">
        <f>MAX('Shuttle Bids'!Z871:Z901)</f>
        <v>850</v>
      </c>
      <c r="X23" s="149"/>
      <c r="Y23" s="141" t="s">
        <v>259</v>
      </c>
      <c r="Z23" s="123"/>
      <c r="AA23" s="149">
        <f>MAX('Shuttle Bids'!AD876:AD906)</f>
        <v>1900</v>
      </c>
      <c r="AB23" s="149"/>
      <c r="AC23" s="141" t="s">
        <v>260</v>
      </c>
      <c r="AD23" s="123"/>
      <c r="AE23" s="149">
        <f>MAX('Shuttle Bids'!AH880:AH910)</f>
        <v>1769</v>
      </c>
      <c r="AF23" s="149"/>
      <c r="AG23" s="141" t="s">
        <v>261</v>
      </c>
      <c r="AH23" s="123"/>
      <c r="AI23" s="149">
        <f>MAX('Shuttle Bids'!AL884:AL914)</f>
        <v>1800</v>
      </c>
      <c r="AJ23" s="149"/>
      <c r="AK23" s="141" t="s">
        <v>287</v>
      </c>
      <c r="AL23" s="129"/>
      <c r="AM23" s="149">
        <f>MAX('Shuttle Bids'!AP889:AP919)</f>
        <v>3250</v>
      </c>
      <c r="AN23" s="149"/>
      <c r="AO23" s="141" t="s">
        <v>288</v>
      </c>
      <c r="AP23" s="129"/>
      <c r="AQ23" s="149">
        <f>MAX('Shuttle Bids'!AT893:AT923)</f>
        <v>1750</v>
      </c>
      <c r="AR23" s="149"/>
      <c r="AS23" s="141" t="s">
        <v>289</v>
      </c>
      <c r="AT23" s="129"/>
      <c r="AU23" s="149">
        <f>MAX('Shuttle Bids'!AX897:AX927)</f>
        <v>1275</v>
      </c>
      <c r="AV23" s="149"/>
      <c r="AW23" s="140" t="s">
        <v>291</v>
      </c>
    </row>
    <row r="24" spans="1:49" ht="15" x14ac:dyDescent="0.2">
      <c r="A24" s="115" t="s">
        <v>141</v>
      </c>
      <c r="B24" s="14"/>
      <c r="C24" s="149">
        <f>C18-C23</f>
        <v>0</v>
      </c>
      <c r="D24" s="149"/>
      <c r="E24" s="140"/>
      <c r="F24" s="12"/>
      <c r="G24" s="149">
        <f>G18-G23</f>
        <v>-300</v>
      </c>
      <c r="H24" s="149"/>
      <c r="I24" s="140"/>
      <c r="J24" s="12"/>
      <c r="K24" s="149">
        <f>K18-K23</f>
        <v>0</v>
      </c>
      <c r="L24" s="149"/>
      <c r="M24" s="140"/>
      <c r="N24" s="123"/>
      <c r="O24" s="149">
        <f>O18-O23</f>
        <v>-1262.5</v>
      </c>
      <c r="P24" s="149"/>
      <c r="Q24" s="140"/>
      <c r="R24" s="123"/>
      <c r="S24" s="149">
        <f>S18-S23</f>
        <v>-1500</v>
      </c>
      <c r="T24" s="149"/>
      <c r="U24" s="140"/>
      <c r="V24" s="123"/>
      <c r="W24" s="149">
        <f>W18-W23</f>
        <v>-50</v>
      </c>
      <c r="X24" s="149"/>
      <c r="Y24" s="140"/>
      <c r="Z24" s="123"/>
      <c r="AA24" s="149">
        <f>AA18-AA23</f>
        <v>0</v>
      </c>
      <c r="AB24" s="149"/>
      <c r="AC24" s="140"/>
      <c r="AD24" s="123"/>
      <c r="AE24" s="149">
        <f>AE18-AE23</f>
        <v>0</v>
      </c>
      <c r="AF24" s="149"/>
      <c r="AG24" s="140"/>
      <c r="AH24" s="123"/>
      <c r="AI24" s="149" t="e">
        <f>AI18-AI23</f>
        <v>#VALUE!</v>
      </c>
      <c r="AJ24" s="149"/>
      <c r="AK24" s="140"/>
      <c r="AL24" s="129"/>
      <c r="AM24" s="149">
        <f>AM18-AM23</f>
        <v>0</v>
      </c>
      <c r="AN24" s="149"/>
      <c r="AO24" s="140"/>
      <c r="AP24" s="129"/>
      <c r="AQ24" s="149" t="e">
        <f>AQ18-AQ23</f>
        <v>#VALUE!</v>
      </c>
      <c r="AR24" s="149"/>
      <c r="AS24" s="140"/>
      <c r="AT24" s="129"/>
      <c r="AU24" s="149">
        <f>AU18-AU23</f>
        <v>-475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D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2014-07-15T19:51:20Z</cp:lastPrinted>
  <dcterms:created xsi:type="dcterms:W3CDTF">2004-01-15T18:17:56Z</dcterms:created>
  <dcterms:modified xsi:type="dcterms:W3CDTF">2014-07-21T22:14:59Z</dcterms:modified>
</cp:coreProperties>
</file>