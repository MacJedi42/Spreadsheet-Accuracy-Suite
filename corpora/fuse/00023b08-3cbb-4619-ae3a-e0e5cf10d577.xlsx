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90" yWindow="1680" windowWidth="22170" windowHeight="7875" activeTab="1"/>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 name="Group Edges" sheetId="8" r:id="rId8"/>
    <sheet name="Words" sheetId="9" r:id="rId9"/>
    <sheet name="Word Pairs" sheetId="10" r:id="rId10"/>
    <sheet name="Twitter Search Ntwrk Top Items" sheetId="11" r:id="rId11"/>
    <sheet name="Top Items" sheetId="12" r:id="rId12"/>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Misc!$G$2:$G$5</definedName>
    <definedName name="ValidEdgeStyles">Misc!$B$2:$B$11</definedName>
    <definedName name="ValidEdgeVisibilities">Misc!$A$2:$A$7</definedName>
    <definedName name="ValidGroupShapes">Misc!$E$2:$E$19</definedName>
    <definedName name="ValidGroupVisibilities">Misc!$F$2:$F$7</definedName>
    <definedName name="ValidVertexLabelPositions">Misc!$H$2:$H$21</definedName>
    <definedName name="ValidVertexShapes">Misc!$D$2:$D$23</definedName>
    <definedName name="ValidVertexVisibilities">Misc!$C$2:$C$9</definedName>
  </definedNames>
  <calcPr calcId="145621"/>
</workbook>
</file>

<file path=xl/calcChain.xml><?xml version="1.0" encoding="utf-8"?>
<calcChain xmlns="http://schemas.openxmlformats.org/spreadsheetml/2006/main">
  <c r="C2" i="6" l="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B130" i="7"/>
  <c r="B129" i="7"/>
  <c r="P45" i="7"/>
  <c r="Q45" i="7" s="1"/>
  <c r="P2" i="7"/>
  <c r="B127" i="7" s="1"/>
  <c r="B144" i="7"/>
  <c r="B143" i="7"/>
  <c r="R45" i="7"/>
  <c r="S45" i="7" s="1"/>
  <c r="R2" i="7"/>
  <c r="B141" i="7" s="1"/>
  <c r="B116" i="7"/>
  <c r="B115" i="7"/>
  <c r="N45" i="7"/>
  <c r="O45" i="7" s="1"/>
  <c r="N2" i="7"/>
  <c r="B113" i="7" s="1"/>
  <c r="B102" i="7"/>
  <c r="B101" i="7"/>
  <c r="L45" i="7"/>
  <c r="M45" i="7" s="1"/>
  <c r="L2" i="7"/>
  <c r="B99" i="7" s="1"/>
  <c r="B88" i="7"/>
  <c r="B87" i="7"/>
  <c r="J45" i="7"/>
  <c r="K45" i="7" s="1"/>
  <c r="J2" i="7"/>
  <c r="B85" i="7" s="1"/>
  <c r="B74" i="7"/>
  <c r="B73" i="7"/>
  <c r="H45" i="7"/>
  <c r="I45" i="7" s="1"/>
  <c r="H2" i="7"/>
  <c r="B71" i="7" s="1"/>
  <c r="B60" i="7"/>
  <c r="B59" i="7"/>
  <c r="F45" i="7"/>
  <c r="G45" i="7" s="1"/>
  <c r="F2" i="7"/>
  <c r="B57" i="7" s="1"/>
  <c r="B44" i="7"/>
  <c r="B43" i="7"/>
  <c r="B46" i="7"/>
  <c r="B45" i="7"/>
  <c r="T45" i="7"/>
  <c r="T2" i="7"/>
  <c r="B142" i="7" l="1"/>
  <c r="B72" i="7"/>
  <c r="B58" i="7"/>
  <c r="B128" i="7"/>
  <c r="B100" i="7"/>
  <c r="B86" i="7"/>
  <c r="B114" i="7"/>
  <c r="X2" i="7"/>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Edge 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Edge 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You can tell NodeXL to calculate this and other graph metrics by going to NodeXL, Analysis, Graph Metrics in the Ribbon.</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Vertex 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S2" authorId="0">
      <text>
        <r>
          <rPr>
            <b/>
            <sz val="8"/>
            <color indexed="81"/>
            <rFont val="Tahoma"/>
            <family val="2"/>
          </rPr>
          <t xml:space="preserve">Vertex In-Degree
</t>
        </r>
        <r>
          <rPr>
            <sz val="8"/>
            <color indexed="81"/>
            <rFont val="Tahoma"/>
            <family val="2"/>
          </rPr>
          <t xml:space="preserve">You can tell NodeXL to calculate this and other graph metrics by going to NodeXL, Analysis, Graph Metrics in the Ribbon.
</t>
        </r>
      </text>
    </comment>
    <comment ref="T2" authorId="0">
      <text>
        <r>
          <rPr>
            <b/>
            <sz val="8"/>
            <color indexed="81"/>
            <rFont val="Tahoma"/>
            <family val="2"/>
          </rPr>
          <t xml:space="preserve">Vertex Out-Degree
</t>
        </r>
        <r>
          <rPr>
            <sz val="8"/>
            <color indexed="81"/>
            <rFont val="Tahoma"/>
            <family val="2"/>
          </rPr>
          <t xml:space="preserve">You can tell NodeXL to calculate this and other graph metrics by going to NodeXL, Analysis, Graph Metrics in the Ribbon.
</t>
        </r>
      </text>
    </comment>
    <comment ref="U2" authorId="0">
      <text>
        <r>
          <rPr>
            <b/>
            <sz val="8"/>
            <color indexed="81"/>
            <rFont val="Tahoma"/>
            <family val="2"/>
          </rPr>
          <t xml:space="preserve">Vertex Betweenness Centrality
</t>
        </r>
        <r>
          <rPr>
            <sz val="8"/>
            <color indexed="81"/>
            <rFont val="Tahoma"/>
            <family val="2"/>
          </rPr>
          <t xml:space="preserve">You can tell NodeXL to calculate this and other graph metrics by going to NodeXL, Analysis, Graph Metrics in the Ribbon.
</t>
        </r>
      </text>
    </comment>
    <comment ref="V2" authorId="0">
      <text>
        <r>
          <rPr>
            <b/>
            <sz val="8"/>
            <color indexed="81"/>
            <rFont val="Tahoma"/>
            <family val="2"/>
          </rPr>
          <t xml:space="preserve">Vertex Closeness Centrality
</t>
        </r>
        <r>
          <rPr>
            <sz val="8"/>
            <color indexed="81"/>
            <rFont val="Tahoma"/>
            <family val="2"/>
          </rPr>
          <t xml:space="preserve">You can tell NodeXL to calculate this and other graph metrics by going to NodeXL, Analysis, Graph Metrics in the Ribbon.
</t>
        </r>
      </text>
    </comment>
    <comment ref="W2" authorId="0">
      <text>
        <r>
          <rPr>
            <b/>
            <sz val="8"/>
            <color indexed="81"/>
            <rFont val="Tahoma"/>
            <family val="2"/>
          </rPr>
          <t xml:space="preserve">Vertex Eigenvector Centrality
</t>
        </r>
        <r>
          <rPr>
            <sz val="8"/>
            <color indexed="81"/>
            <rFont val="Tahoma"/>
            <family val="2"/>
          </rPr>
          <t xml:space="preserve">You can tell NodeXL to calculate this and other graph metrics by going to NodeXL, Analysis, Graph Metrics in the Ribbon.
</t>
        </r>
      </text>
    </comment>
    <comment ref="X2" authorId="2">
      <text>
        <r>
          <rPr>
            <b/>
            <sz val="8"/>
            <color indexed="81"/>
            <rFont val="Tahoma"/>
            <family val="2"/>
          </rPr>
          <t xml:space="preserve">Vertex PageRank
</t>
        </r>
        <r>
          <rPr>
            <sz val="8"/>
            <color indexed="81"/>
            <rFont val="Tahoma"/>
            <family val="2"/>
          </rPr>
          <t>You can tell NodeXL to calculate this and other graph metrics by going to NodeXL, Analysis, Graph Metrics in the Ribbon.</t>
        </r>
      </text>
    </comment>
    <comment ref="Y2" authorId="0">
      <text>
        <r>
          <rPr>
            <b/>
            <sz val="8"/>
            <color indexed="81"/>
            <rFont val="Tahoma"/>
            <family val="2"/>
          </rPr>
          <t xml:space="preserve">Vertex Clustering Coefficient
</t>
        </r>
        <r>
          <rPr>
            <sz val="8"/>
            <color indexed="81"/>
            <rFont val="Tahoma"/>
            <family val="2"/>
          </rPr>
          <t xml:space="preserve">You can tell NodeXL to calculate this and other graph metrics by going to NodeXL, Analysis, Graph Metrics in the Ribbon.
</t>
        </r>
      </text>
    </comment>
    <comment ref="Z2" authorId="2">
      <text>
        <r>
          <rPr>
            <b/>
            <sz val="8"/>
            <color indexed="81"/>
            <rFont val="Tahoma"/>
            <family val="2"/>
          </rPr>
          <t>Vertex Reciprocated Pair Ratio</t>
        </r>
        <r>
          <rPr>
            <sz val="8"/>
            <color indexed="81"/>
            <rFont val="Tahoma"/>
            <family val="2"/>
          </rPr>
          <t xml:space="preserve">
You can tell NodeXL to calculate this and other graph metrics by going to NodeXL, Analysis, Graph Metrics in the Ribbon.</t>
        </r>
      </text>
    </comment>
    <comment ref="AA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C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Group 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Group 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Group Visibility</t>
        </r>
        <r>
          <rPr>
            <sz val="8"/>
            <color indexed="81"/>
            <rFont val="Tahoma"/>
            <family val="2"/>
          </rPr>
          <t xml:space="preserve">
Select an optional group visibility.
</t>
        </r>
        <r>
          <rPr>
            <b/>
            <sz val="8"/>
            <color indexed="81"/>
            <rFont val="Tahoma"/>
            <family val="2"/>
          </rPr>
          <t>Show</t>
        </r>
        <r>
          <rPr>
            <sz val="8"/>
            <color indexed="81"/>
            <rFont val="Tahoma"/>
            <family val="2"/>
          </rPr>
          <t xml:space="preserve">
Show the group's vertices and edges when the graph is refreshed.  This is the default.
</t>
        </r>
        <r>
          <rPr>
            <b/>
            <sz val="8"/>
            <color indexed="81"/>
            <rFont val="Tahoma"/>
            <family val="2"/>
          </rPr>
          <t>Skip</t>
        </r>
        <r>
          <rPr>
            <sz val="8"/>
            <color indexed="81"/>
            <rFont val="Tahoma"/>
            <family val="2"/>
          </rPr>
          <t xml:space="preserve">
Skip the group's vertices and edges.
</t>
        </r>
        <r>
          <rPr>
            <b/>
            <sz val="8"/>
            <color indexed="81"/>
            <rFont val="Tahoma"/>
            <family val="2"/>
          </rPr>
          <t>Hide</t>
        </r>
        <r>
          <rPr>
            <sz val="8"/>
            <color indexed="81"/>
            <rFont val="Tahoma"/>
            <family val="2"/>
          </rPr>
          <t xml:space="preserve">
Use the group's vertices and edges when laying out the graph, but then hide the group's vertices and edges.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E2" authorId="1">
      <text>
        <r>
          <rPr>
            <b/>
            <sz val="8"/>
            <color indexed="81"/>
            <rFont val="Tahoma"/>
            <family val="2"/>
          </rPr>
          <t xml:space="preserve">Group 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F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G2" authorId="1">
      <text>
        <r>
          <rPr>
            <b/>
            <sz val="8"/>
            <color indexed="81"/>
            <rFont val="Tahoma"/>
            <family val="2"/>
          </rPr>
          <t xml:space="preserve">Collapsed Location
</t>
        </r>
        <r>
          <rPr>
            <sz val="8"/>
            <color indexed="81"/>
            <rFont val="Tahoma"/>
            <family val="2"/>
          </rPr>
          <t xml:space="preserve">
(In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H2" authorId="1">
      <text>
        <r>
          <rPr>
            <b/>
            <sz val="8"/>
            <color indexed="81"/>
            <rFont val="Tahoma"/>
            <family val="2"/>
          </rPr>
          <t xml:space="preserve">Collapsed Location
</t>
        </r>
        <r>
          <rPr>
            <sz val="8"/>
            <color indexed="81"/>
            <rFont val="Tahoma"/>
            <family val="2"/>
          </rPr>
          <t>(In most cases, you should not edit this worksheet.  Instead, use the items on the NodeXL, Analysis, Groups menu to create and work with groups.)
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K2" authorId="1">
      <text>
        <r>
          <rPr>
            <b/>
            <sz val="8"/>
            <color indexed="81"/>
            <rFont val="Tahoma"/>
            <family val="2"/>
          </rPr>
          <t xml:space="preserve">Group Vertices
</t>
        </r>
        <r>
          <rPr>
            <sz val="8"/>
            <color indexed="81"/>
            <rFont val="Tahoma"/>
            <family val="2"/>
          </rPr>
          <t xml:space="preserve">
You can tell NodeXL to calculate this and other graph metrics by going to NodeXL, Analysis, Graph Metrics in the Ribbon.</t>
        </r>
        <r>
          <rPr>
            <b/>
            <sz val="9"/>
            <color indexed="81"/>
            <rFont val="Tahoma"/>
            <charset val="1"/>
          </rPr>
          <t xml:space="preserve">
</t>
        </r>
        <r>
          <rPr>
            <sz val="9"/>
            <color indexed="81"/>
            <rFont val="Tahoma"/>
            <charset val="1"/>
          </rPr>
          <t xml:space="preserve">
</t>
        </r>
      </text>
    </comment>
    <comment ref="L2" authorId="1">
      <text>
        <r>
          <rPr>
            <b/>
            <sz val="8"/>
            <color indexed="81"/>
            <rFont val="Tahoma"/>
            <family val="2"/>
          </rPr>
          <t>Group Unique Edges</t>
        </r>
        <r>
          <rPr>
            <sz val="8"/>
            <color indexed="81"/>
            <rFont val="Tahoma"/>
            <family val="2"/>
          </rPr>
          <t xml:space="preserve">
You can tell NodeXL to calculate this and other graph metrics by going to NodeXL, Analysis, Graph Metrics in the Ribbon.</t>
        </r>
      </text>
    </comment>
    <comment ref="M2" authorId="1">
      <text>
        <r>
          <rPr>
            <b/>
            <sz val="8"/>
            <color indexed="81"/>
            <rFont val="Tahoma"/>
            <family val="2"/>
          </rPr>
          <t>Group Edges With Duplicates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N2" authorId="1">
      <text>
        <r>
          <rPr>
            <b/>
            <sz val="8"/>
            <color indexed="81"/>
            <rFont val="Tahoma"/>
            <family val="2"/>
          </rPr>
          <t>Group Total Edges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O2" authorId="1">
      <text>
        <r>
          <rPr>
            <b/>
            <sz val="8"/>
            <color indexed="81"/>
            <rFont val="Tahoma"/>
            <family val="2"/>
          </rPr>
          <t>Group Self-Loops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P2" authorId="1">
      <text>
        <r>
          <rPr>
            <b/>
            <sz val="8"/>
            <color indexed="81"/>
            <rFont val="Tahoma"/>
            <family val="2"/>
          </rPr>
          <t xml:space="preserve">Group Reciprocated Vertex Pair Ratio
</t>
        </r>
        <r>
          <rPr>
            <sz val="8"/>
            <color indexed="81"/>
            <rFont val="Tahoma"/>
            <family val="2"/>
          </rPr>
          <t>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Q2" authorId="1">
      <text>
        <r>
          <rPr>
            <b/>
            <sz val="8"/>
            <color indexed="81"/>
            <rFont val="Tahoma"/>
            <family val="2"/>
          </rPr>
          <t xml:space="preserve">Group Reciprocated Edge Ratio
</t>
        </r>
        <r>
          <rPr>
            <sz val="8"/>
            <color indexed="81"/>
            <rFont val="Tahoma"/>
            <family val="2"/>
          </rPr>
          <t>You can tell NodeXL to calculate this and other graph metrics by going to NodeXL, Analysis, Graph Metrics in the Ribbon.</t>
        </r>
      </text>
    </comment>
    <comment ref="R2" authorId="1">
      <text>
        <r>
          <rPr>
            <b/>
            <sz val="8"/>
            <color indexed="81"/>
            <rFont val="Tahoma"/>
            <family val="2"/>
          </rPr>
          <t>Group Connected Components</t>
        </r>
        <r>
          <rPr>
            <sz val="8"/>
            <color indexed="81"/>
            <rFont val="Tahoma"/>
            <family val="2"/>
          </rPr>
          <t xml:space="preserve">
You can tell NodeXL to calculate this and other graph metrics by going to NodeXL, Analysis, Graph Metrics in the Ribbon.</t>
        </r>
        <r>
          <rPr>
            <b/>
            <sz val="8"/>
            <color indexed="81"/>
            <rFont val="Tahoma"/>
            <family val="2"/>
          </rPr>
          <t xml:space="preserve">
</t>
        </r>
      </text>
    </comment>
    <comment ref="S2" authorId="1">
      <text>
        <r>
          <rPr>
            <b/>
            <sz val="8"/>
            <color indexed="81"/>
            <rFont val="Tahoma"/>
            <family val="2"/>
          </rPr>
          <t>Group Single-Vertex Connected Components</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T2" authorId="1">
      <text>
        <r>
          <rPr>
            <b/>
            <sz val="8"/>
            <color indexed="81"/>
            <rFont val="Tahoma"/>
            <family val="2"/>
          </rPr>
          <t>Group Maximum Vertices in a Connected Component</t>
        </r>
        <r>
          <rPr>
            <sz val="8"/>
            <color indexed="81"/>
            <rFont val="Tahoma"/>
            <family val="2"/>
          </rPr>
          <t xml:space="preserve">
You can tell NodeXL to calculate this and other graph metrics by going to NodeXL, Analysis, Graph Metrics in the Ribbon.
</t>
        </r>
        <r>
          <rPr>
            <sz val="9"/>
            <color indexed="81"/>
            <rFont val="Tahoma"/>
            <family val="2"/>
          </rPr>
          <t xml:space="preserve">
</t>
        </r>
      </text>
    </comment>
    <comment ref="U2" authorId="1">
      <text>
        <r>
          <rPr>
            <b/>
            <sz val="8"/>
            <color indexed="81"/>
            <rFont val="Tahoma"/>
            <family val="2"/>
          </rPr>
          <t>Group Maximum Edges in a Connected Component</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 ref="V2" authorId="1">
      <text>
        <r>
          <rPr>
            <b/>
            <sz val="8"/>
            <color indexed="81"/>
            <rFont val="Tahoma"/>
            <family val="2"/>
          </rPr>
          <t>Group Maximum Geodesic Distance (Diameter)</t>
        </r>
        <r>
          <rPr>
            <sz val="8"/>
            <color indexed="81"/>
            <rFont val="Tahoma"/>
            <family val="2"/>
          </rPr>
          <t xml:space="preserve">
You can tell NodeXL to calculate this and other graph metrics by going to NodeXL, Analysis, Graph Metrics in the Ribbon.</t>
        </r>
      </text>
    </comment>
    <comment ref="W2" authorId="1">
      <text>
        <r>
          <rPr>
            <b/>
            <sz val="8"/>
            <color indexed="81"/>
            <rFont val="Tahoma"/>
            <family val="2"/>
          </rPr>
          <t>Group Average Geodesic Distance</t>
        </r>
        <r>
          <rPr>
            <sz val="8"/>
            <color indexed="81"/>
            <rFont val="Tahoma"/>
            <family val="2"/>
          </rPr>
          <t xml:space="preserve">
You can tell NodeXL to calculate this and other graph metrics by going to NodeXL, Analysis, Graph Metrics in the Ribbon.</t>
        </r>
      </text>
    </comment>
    <comment ref="X2" authorId="1">
      <text>
        <r>
          <rPr>
            <b/>
            <sz val="8"/>
            <color indexed="81"/>
            <rFont val="Tahoma"/>
            <family val="2"/>
          </rPr>
          <t>Group Graph Density</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<sst xmlns="http://schemas.openxmlformats.org/spreadsheetml/2006/main" count="14513" uniqueCount="2791">
  <si>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</si>
  <si>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</si>
  <si>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</si>
  <si>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</si>
  <si>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</si>
  <si>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</si>
  <si>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</si>
  <si>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</si>
  <si>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</si>
  <si>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</si>
  <si>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</si>
  <si>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</si>
  <si>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</si>
  <si>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</si>
  <si>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</si>
  <si>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</si>
  <si>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</si>
  <si>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</si>
  <si>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</si>
  <si>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</si>
  <si>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</si>
  <si>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</si>
  <si>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</si>
  <si>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</si>
  <si>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</si>
  <si>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</si>
  <si>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</si>
  <si>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</si>
  <si>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</si>
  <si>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</si>
  <si>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</si>
  <si>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</si>
  <si>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</si>
  <si>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</si>
  <si>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</si>
  <si>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</si>
  <si>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</si>
  <si>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</si>
  <si>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</si>
  <si>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</si>
  <si>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</si>
  <si>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</si>
  <si>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</si>
  <si>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</si>
  <si>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</si>
  <si>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</si>
  <si>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</si>
  <si>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</si>
  <si>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</si>
  <si>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</si>
  <si>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</si>
  <si>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</si>
  <si>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</si>
  <si>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</si>
  <si>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</si>
  <si>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</si>
  <si>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</si>
  <si>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</si>
  <si>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</si>
  <si>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</si>
  <si>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</si>
  <si>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</si>
  <si>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</si>
  <si>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</si>
  <si>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</si>
  <si>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</si>
  <si>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</si>
  <si>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</si>
  <si>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</si>
  <si>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</si>
  <si>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</si>
  <si>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</si>
  <si>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</si>
  <si>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</si>
  <si>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</si>
  <si>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</si>
  <si>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</si>
  <si>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</si>
  <si>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</si>
  <si>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</si>
  <si>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</si>
  <si>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</si>
  <si>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</si>
  <si>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</si>
  <si>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</si>
  <si>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</si>
  <si>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</si>
  <si>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</si>
  <si>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</si>
  <si>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</si>
  <si>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</si>
  <si>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</si>
  <si>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</si>
  <si>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</si>
  <si>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</si>
  <si>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</si>
  <si>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</si>
  <si>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</si>
  <si>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</si>
  <si>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</si>
  <si>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</si>
  <si>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</si>
  <si>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</si>
  <si>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</si>
  <si>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</si>
  <si>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</si>
  <si>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</si>
  <si>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</si>
  <si>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</si>
  <si>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</si>
  <si>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</si>
  <si>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</si>
  <si>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</si>
  <si>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</si>
  <si>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</si>
  <si>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</si>
  <si>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</si>
  <si>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</si>
  <si>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</si>
  <si>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</si>
  <si>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</si>
  <si>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</si>
  <si>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</si>
  <si>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</si>
  <si>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</si>
  <si>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</si>
  <si>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</si>
  <si>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</si>
  <si>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</si>
  <si>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</si>
  <si>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</si>
  <si>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</si>
  <si>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</si>
  <si>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</si>
  <si>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</si>
  <si>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</si>
  <si>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</si>
  <si>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</si>
  <si>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</si>
  <si>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</si>
  <si>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</si>
  <si>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</si>
  <si>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</si>
  <si>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</si>
  <si>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</si>
  <si>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</si>
  <si>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</si>
  <si>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</si>
  <si>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</si>
  <si>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</si>
  <si>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</si>
  <si>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</si>
  <si>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</si>
  <si>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</si>
  <si>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</si>
  <si>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</si>
  <si>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</si>
  <si>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</si>
  <si>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</si>
  <si>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</si>
  <si>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</si>
  <si>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</si>
  <si>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</si>
  <si>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</si>
  <si>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</si>
  <si>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</si>
  <si>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Collapsed X</t>
  </si>
  <si>
    <t>Collapsed Y</t>
  </si>
  <si>
    <t>Valid Group Visibilities</t>
  </si>
  <si>
    <t>Reciprocated Vertex Pair Ratio</t>
  </si>
  <si>
    <t>Reciprocated Edge Ratio</t>
  </si>
  <si>
    <t>Workbook Settings 1</t>
  </si>
  <si>
    <t>Workbook Settings 2</t>
  </si>
  <si>
    <t>Workbook Settings 3</t>
  </si>
  <si>
    <t>Workbook Settings 4</t>
  </si>
  <si>
    <t>Workbook Settings Cell Count</t>
  </si>
  <si>
    <t>Autofill Workbook Results</t>
  </si>
  <si>
    <t>Graph History</t>
  </si>
  <si>
    <t>Relationship</t>
  </si>
  <si>
    <t>Relationship Date (UTC)</t>
  </si>
  <si>
    <t>Tweet</t>
  </si>
  <si>
    <t>URLs in Tweet</t>
  </si>
  <si>
    <t>Hashtags in Tweet</t>
  </si>
  <si>
    <t>Tweet Date (UTC)</t>
  </si>
  <si>
    <t>Twitter Page for Tweet</t>
  </si>
  <si>
    <t>Latitude</t>
  </si>
  <si>
    <t>Longitude</t>
  </si>
  <si>
    <t>Imported ID</t>
  </si>
  <si>
    <t>RawLinks</t>
  </si>
  <si>
    <t>Paul_Hanlin_Jr</t>
  </si>
  <si>
    <t>sweet_tWhits</t>
  </si>
  <si>
    <t>CharlieShield</t>
  </si>
  <si>
    <t>PaulMadrigal099</t>
  </si>
  <si>
    <t>Shmoe</t>
  </si>
  <si>
    <t>flocktard</t>
  </si>
  <si>
    <t>FATCA_Fallout</t>
  </si>
  <si>
    <t>jmachats</t>
  </si>
  <si>
    <t>AngryGamingSub</t>
  </si>
  <si>
    <t>spottythebeagle</t>
  </si>
  <si>
    <t>loganthomison</t>
  </si>
  <si>
    <t>andyfr8nk</t>
  </si>
  <si>
    <t>GrampaSparkles</t>
  </si>
  <si>
    <t>PuntaVerdeBK</t>
  </si>
  <si>
    <t>BothArmsUp</t>
  </si>
  <si>
    <t>StParmenide</t>
  </si>
  <si>
    <t>chagresgirl</t>
  </si>
  <si>
    <t>PricklyPete77</t>
  </si>
  <si>
    <t>msmilonich</t>
  </si>
  <si>
    <t>RepubliConMen</t>
  </si>
  <si>
    <t>i8dc</t>
  </si>
  <si>
    <t>jackrabbit0047</t>
  </si>
  <si>
    <t>mikepizzitola</t>
  </si>
  <si>
    <t>gvrtwpkwy</t>
  </si>
  <si>
    <t>MiddleClassTXN</t>
  </si>
  <si>
    <t>GotchaMedia</t>
  </si>
  <si>
    <t>GIFsFLN</t>
  </si>
  <si>
    <t>chrontelli</t>
  </si>
  <si>
    <t>GregWHoward</t>
  </si>
  <si>
    <t>ProudlyWeHail</t>
  </si>
  <si>
    <t>jedibrettski</t>
  </si>
  <si>
    <t>bigeasyWI</t>
  </si>
  <si>
    <t>strangep00rk</t>
  </si>
  <si>
    <t>Swauny</t>
  </si>
  <si>
    <t>ben_techpro</t>
  </si>
  <si>
    <t>tummler10</t>
  </si>
  <si>
    <t>gryffon57</t>
  </si>
  <si>
    <t>WisemanBill</t>
  </si>
  <si>
    <t>Bassmaster12</t>
  </si>
  <si>
    <t>connnutmeg</t>
  </si>
  <si>
    <t>CarefreeConserv</t>
  </si>
  <si>
    <t>BarddeBelmont</t>
  </si>
  <si>
    <t>JeremyDanilson</t>
  </si>
  <si>
    <t>Shortrosen</t>
  </si>
  <si>
    <t>Jlessard</t>
  </si>
  <si>
    <t>Brownasaur44</t>
  </si>
  <si>
    <t>totomovies</t>
  </si>
  <si>
    <t>eeyrehead</t>
  </si>
  <si>
    <t>talaroque</t>
  </si>
  <si>
    <t>zealousgranny</t>
  </si>
  <si>
    <t>sarahcgoldstein</t>
  </si>
  <si>
    <t>TIMENOUT</t>
  </si>
  <si>
    <t>HollywoodTParty</t>
  </si>
  <si>
    <t>dpkesq</t>
  </si>
  <si>
    <t>eagle17765</t>
  </si>
  <si>
    <t>AxelRugger</t>
  </si>
  <si>
    <t>bannerite</t>
  </si>
  <si>
    <t>DavidShuster</t>
  </si>
  <si>
    <t>bostonsboy87</t>
  </si>
  <si>
    <t>TaoistSoul</t>
  </si>
  <si>
    <t>jhf5</t>
  </si>
  <si>
    <t>jsmar</t>
  </si>
  <si>
    <t>sunsetarival</t>
  </si>
  <si>
    <t>trvlgk</t>
  </si>
  <si>
    <t>Darin_Driscoll</t>
  </si>
  <si>
    <t>ksmith474</t>
  </si>
  <si>
    <t>DefendWallSt</t>
  </si>
  <si>
    <t>AhTrini</t>
  </si>
  <si>
    <t>chefmike44</t>
  </si>
  <si>
    <t>the_Sabla</t>
  </si>
  <si>
    <t>ChristopherGary</t>
  </si>
  <si>
    <t>Loxodonta_s</t>
  </si>
  <si>
    <t>TuxcedoCat</t>
  </si>
  <si>
    <t>fabucat</t>
  </si>
  <si>
    <t>aDemocratKnows</t>
  </si>
  <si>
    <t>BlackMaxDesign</t>
  </si>
  <si>
    <t>RWwatchMA</t>
  </si>
  <si>
    <t>robteed</t>
  </si>
  <si>
    <t>sherijr</t>
  </si>
  <si>
    <t>turnapage</t>
  </si>
  <si>
    <t>DianeMNRN</t>
  </si>
  <si>
    <t>LennyJLem</t>
  </si>
  <si>
    <t>J_Rippel</t>
  </si>
  <si>
    <t>yewkalaylee</t>
  </si>
  <si>
    <t>JoAnnEileen</t>
  </si>
  <si>
    <t>dsunhawk</t>
  </si>
  <si>
    <t>DariMD</t>
  </si>
  <si>
    <t>havewhatusay</t>
  </si>
  <si>
    <t>_silversmith</t>
  </si>
  <si>
    <t>mattduss</t>
  </si>
  <si>
    <t>bobdobolina</t>
  </si>
  <si>
    <t>JoshDorner</t>
  </si>
  <si>
    <t>LeahAnakin</t>
  </si>
  <si>
    <t>jhseher</t>
  </si>
  <si>
    <t>Pilot9</t>
  </si>
  <si>
    <t>AshJen4Politics</t>
  </si>
  <si>
    <t>Timodc</t>
  </si>
  <si>
    <t>ZekeJMiller</t>
  </si>
  <si>
    <t>TIMEPolitics</t>
  </si>
  <si>
    <t>MisterSilverman</t>
  </si>
  <si>
    <t>tbogg</t>
  </si>
  <si>
    <t>Zenman1550</t>
  </si>
  <si>
    <t>OldBlackMajic</t>
  </si>
  <si>
    <t>SouthernLady328</t>
  </si>
  <si>
    <t>psalm82</t>
  </si>
  <si>
    <t>AWiseLatina</t>
  </si>
  <si>
    <t>dachdo</t>
  </si>
  <si>
    <t>Nanbp</t>
  </si>
  <si>
    <t>PolopersonGwen</t>
  </si>
  <si>
    <t>Indybluebird</t>
  </si>
  <si>
    <t>pretcap</t>
  </si>
  <si>
    <t>OccupyGay</t>
  </si>
  <si>
    <t>theonlyadult</t>
  </si>
  <si>
    <t>PeterLaCrosse</t>
  </si>
  <si>
    <t>buckaroo1260</t>
  </si>
  <si>
    <t>ThisisntEasy</t>
  </si>
  <si>
    <t>facepalm23</t>
  </si>
  <si>
    <t>ChristiMtl</t>
  </si>
  <si>
    <t>mummylal</t>
  </si>
  <si>
    <t>Newsericks</t>
  </si>
  <si>
    <t>spqr1052</t>
  </si>
  <si>
    <t>JacquelineHine1</t>
  </si>
  <si>
    <t>crankydem</t>
  </si>
  <si>
    <t>TeamOlbermann</t>
  </si>
  <si>
    <t>missb62</t>
  </si>
  <si>
    <t>wolfiemouse</t>
  </si>
  <si>
    <t>Gukorru</t>
  </si>
  <si>
    <t>MMBlosser</t>
  </si>
  <si>
    <t>DaveJensen7</t>
  </si>
  <si>
    <t>mike_truman</t>
  </si>
  <si>
    <t>Time2Standup80</t>
  </si>
  <si>
    <t>Black124</t>
  </si>
  <si>
    <t>AndrewHClark</t>
  </si>
  <si>
    <t>dcseth</t>
  </si>
  <si>
    <t>Dcarter888K</t>
  </si>
  <si>
    <t>SueWinMA</t>
  </si>
  <si>
    <t>John_Scott_G</t>
  </si>
  <si>
    <t>utahpioneer</t>
  </si>
  <si>
    <t>VictorB123</t>
  </si>
  <si>
    <t>gitmo62</t>
  </si>
  <si>
    <t>MissMarple2</t>
  </si>
  <si>
    <t>CindyCoops</t>
  </si>
  <si>
    <t>rterenzi1</t>
  </si>
  <si>
    <t>SayethSimon</t>
  </si>
  <si>
    <t>JNeumann54</t>
  </si>
  <si>
    <t>VandelayDelores</t>
  </si>
  <si>
    <t>scarylawyerguy</t>
  </si>
  <si>
    <t>beehonest50</t>
  </si>
  <si>
    <t>SrCal</t>
  </si>
  <si>
    <t>LisaTalmadge</t>
  </si>
  <si>
    <t>HiJCP</t>
  </si>
  <si>
    <t>8th_of_Branstad</t>
  </si>
  <si>
    <t>tikibandur</t>
  </si>
  <si>
    <t>AmPriorities</t>
  </si>
  <si>
    <t>mwoodward4</t>
  </si>
  <si>
    <t>JamesYontrofsky</t>
  </si>
  <si>
    <t>Imjetta</t>
  </si>
  <si>
    <t>TheWrightWingv2</t>
  </si>
  <si>
    <t>FJ473</t>
  </si>
  <si>
    <t>pmrushirish</t>
  </si>
  <si>
    <t>ACollinsByrnes</t>
  </si>
  <si>
    <t>davidwebbshow</t>
  </si>
  <si>
    <t>owendbanks</t>
  </si>
  <si>
    <t>Norsu2</t>
  </si>
  <si>
    <t>lymurp</t>
  </si>
  <si>
    <t>liars_never_win</t>
  </si>
  <si>
    <t>sigstarget</t>
  </si>
  <si>
    <t>AmericanMind</t>
  </si>
  <si>
    <t>juliagulia614</t>
  </si>
  <si>
    <t>DefeatObama</t>
  </si>
  <si>
    <t>canadians4mitt</t>
  </si>
  <si>
    <t>RJF_723</t>
  </si>
  <si>
    <t>mantone1</t>
  </si>
  <si>
    <t>IngerRobberstad</t>
  </si>
  <si>
    <t>lilmsunshne</t>
  </si>
  <si>
    <t>sidney_fife</t>
  </si>
  <si>
    <t>ChrisMatthewspu</t>
  </si>
  <si>
    <t>globeglen</t>
  </si>
  <si>
    <t>RomneyResponse</t>
  </si>
  <si>
    <t>RalstonFlash</t>
  </si>
  <si>
    <t>hkistemann</t>
  </si>
  <si>
    <t>coxwebdev</t>
  </si>
  <si>
    <t>ComfyPaws</t>
  </si>
  <si>
    <t>dysinger1231</t>
  </si>
  <si>
    <t>SierraDante</t>
  </si>
  <si>
    <t>TeamEmailSMS</t>
  </si>
  <si>
    <t>Anewhomestar</t>
  </si>
  <si>
    <t>BillHemmer</t>
  </si>
  <si>
    <t>NathanSFurtado</t>
  </si>
  <si>
    <t>CAP741776</t>
  </si>
  <si>
    <t>Patriot38</t>
  </si>
  <si>
    <t>Replies to</t>
  </si>
  <si>
    <t>Mentions</t>
  </si>
  <si>
    <t>Followed</t>
  </si>
  <si>
    <t>@EricFehrn @AndreaMSaul @GGitcho @ZacMoffatt @LanheeChen @RyanGOP @TeamRomney @MittRomney  Plz embrace the Tea Party!  http://t.co/6a9tHi0k</t>
  </si>
  <si>
    <t>@EricFehrn Yo Eric; wanna shut Harry Reid up?  Have your guy release his tax returns for the past 10 years &amp;amp; prove him wrong. STFU otherwise</t>
  </si>
  <si>
    <t>@EricFehrn And go on a legit media outlet for a change instead of False (Faux) News.</t>
  </si>
  <si>
    <t>hey @EricFehrn, why don't you dry your crocodile tears and #ShowUsTheTaxReturns!! lacking decency? #RomneyShambles http://t.co/v3g2RsZ2</t>
  </si>
  <si>
    <t>@BarddeBelmont @Timodc @EricFehrn @SenatorReid Does he combine the two?  And is that what is behind the pedophilia rumors?  He should addres</t>
  </si>
  <si>
    <t>I don't understand @EricFehrn . If charges against @MittRomney untrue, all U have to do is release some tax records to disprove. @teamromney</t>
  </si>
  <si>
    <t>.@EricFehrn Aww... is Harry beating up your guy for not releasing his tax returns? How about less whining, more transparency #SmallestViolin</t>
  </si>
  <si>
    <t>@EricFehrn Can you tell us if Romney filed IRS Form 8938 under FATCA rules, and did he utilize the Swiss tax amnesty?</t>
  </si>
  <si>
    <t>@FATCA_Fallout @EricFehrn Thank you.</t>
  </si>
  <si>
    <t>@FATCA_Fallout @EricFehrn Let him release his returns as they all do, and take the heat. Obviously, he's ashamed of SOMETHING.</t>
  </si>
  <si>
    <t>@FATCA_Fallout @EricFehrn My guess is he payed an even lower rate than what he has already disclosed on his 2010 return.</t>
  </si>
  <si>
    <t>@flocktard @EricFehrn  2011 wud be the first year FATCA form 8938 would be required. He probably has an extension until Oct 15th.</t>
  </si>
  <si>
    <t>@flocktard @EricFehrn   Senators oppose the IGAs.  Letter to Geithner http://t.co/PemVNiKG &amp;amp; House votes to delay  http://t.co/amF2z5ol</t>
  </si>
  <si>
    <t>@flocktard @EricFehrn Part 2 answer.  No one knows if he joined the 2009 OVDP.  I would think not, as all is just media speculation.</t>
  </si>
  <si>
    <t>@flocktard @EricFehrn I don't understand why he doesn't unless there is something unfavorable, like even a lower effective rate.</t>
  </si>
  <si>
    <t>@ericfehrn says asking @mittromney 2 do for Am ppl what he did 4 @senjohnmccain is "McCarthyism" - http://t.co/rzwq26Pp via @tpm</t>
  </si>
  <si>
    <t>@EricFehrn Reid would have the decency to release tax returns and not embarrass the country in a layup foreign relations moment. #WhyHide</t>
  </si>
  <si>
    <t>@ericfehrn Where are Mitt's tax returns, I am thinking he didn't pay any taxes. #romneyshambles</t>
  </si>
  <si>
    <t>@ericfehrn @reince @gop Quite possibly he got tax amnesty.. psst someone in the McCain  camp knows, Go get em' reporters.</t>
  </si>
  <si>
    <t>@EricFehrn Great job representing the US on the European tour.</t>
  </si>
  <si>
    <t>Can we have a debate btwn @davidaxelrod and @ericfehrn instead of an election? More fun &amp;amp; probably better for democracy.</t>
  </si>
  <si>
    <t>Why should we believe @EricFehrn on #Romney's Taxes when the #GOP won't believe Hawaii on #Obama's birth certificate - and we've see it?</t>
  </si>
  <si>
    <t>@ericfehrn methinks #romney protests too much.  Reminds me of derekfay http://t.co/nmYI7V1S #2012elections stop posturing #releasethereturns</t>
  </si>
  <si>
    <t>RT @bostonsboy87: @EricFehrn @MittRomney got rich firing ppl, dodging taxes, now refuses to release returns, + somehow @SenatorReid has no decency? #wakeup</t>
  </si>
  <si>
    <t>@EricFehrn So what's the goal, then? Let the Sunnis take over and genocide the minority (Shia) Alaouis and Christians?</t>
  </si>
  <si>
    <t>RT @havewhatusay RT @ZekeJMiller: RT @globeglen: MITT ROMNEY: @EricFehrn talking to Candy Crowley on CNN... #mapoli Talking AT Candy Crowley</t>
  </si>
  <si>
    <t>@EricFehrn out of his league; @davidaxelrod is having @MittRomney for lunch. #etchasketch #DemsInControlOfMessaging #ReelectionIsALayup</t>
  </si>
  <si>
    <t>@EricFehrn Where were you when George Bush took more vacation than any president in history? Abscent.</t>
  </si>
  <si>
    <t>@EricFehrn Then Romney features a "business" person who received millions of dollars from the government. If you hook me up, I'll pretend.</t>
  </si>
  <si>
    <t>@EricFehrn MORALLY BANKRUPT GOP HAS NO SENSE OF DECENCY, NEVER HAVE! IF ROMNEY PAID HIS TAXES HE'D PROVE IT! FKING LIARS THINK WE'RE STUPID!</t>
  </si>
  <si>
    <t>For @EricFehrn, saying Romney paid 0% tax (not a whopping 13.9%) is similar to attacking his patriotism &amp;amp; calling him a commie. Uh huh.</t>
  </si>
  <si>
    <t>@EricFehrn "Mitt the Twit" and the "You People" Ann are watching a horse dance!!  Your point is empty!</t>
  </si>
  <si>
    <t>@AxelRugger @EricFehrn And, POTUS paid taxes for the 10 years that "Mitt the Twit" did not.  Romney hides tax returns from "You People"!</t>
  </si>
  <si>
    <t>@EricFehrn The GOP might as well go play golf everyday.  They are USELESS.</t>
  </si>
  <si>
    <t>RT @AmPriorities: @EricFehrn Tell @SenatorReid that @MittRomney will release more tax returns if @BarackObama unseals his college transcripts!!!</t>
  </si>
  <si>
    <t>@rezaaslan @BostonGlobe @EricFehrn I wonder if his 3 years in France went any better? at least it got him out of Vietnam  #mittthetwit</t>
  </si>
  <si>
    <t>@BenjySarlin I think its nice we go for the juggler and not the capillaries, but #mittthetwit is certainly a cooperative victim @EricFehrn</t>
  </si>
  <si>
    <t>@anamariecox @politicalwire @EricFehrn miss him already I loved "this is a holy place you MF'ers!" #wordsmith</t>
  </si>
  <si>
    <t>RT @RomneyResponse: "The only thing this administration is transparent on is our national security secrets." - @EricFehrn</t>
  </si>
  <si>
    <t>On @FoxNews, @EricFehrn thinks he's Joseph "Have You No Decency, Sir?" Welch: http://t.co/mxGXVH71</t>
  </si>
  <si>
    <t>We found something that Mitt Romney advisor @EricFehrn and Jon Stewart agree on. http://t.co/GNqBeUml</t>
  </si>
  <si>
    <t>RT @TheWrightWingv2: So, why did Obama seal his College Transcripts, 1st day in Office? @Time2Standup80 @EricFehrn Why not release them? #obama2012 #tcot #p2</t>
  </si>
  <si>
    <t>@RalstonFlash @EricFehrn @SenatorReid Eric Fehrnstrom could easily put the whole issue to rest by releasing 10 years of returns. Story over.</t>
  </si>
  <si>
    <t>@BillHemmer @MittRomney @EricFehrn @SenatorReid Is a pig's @$$ pork?</t>
  </si>
  <si>
    <t>RT @BillHemmer: From the @MittRomney Camp and @EricFehrn:  @SenatorReid comments about taxes are "baseless and untrue... do you have no sense of decency?"</t>
  </si>
  <si>
    <t>.@MittRomney's very own @Michael_Steele, .@EricFehrn, compares Reid's call to release taxes "McCarthyite." HAHAHA! http://t.co/xaLr0qa1 #P2</t>
  </si>
  <si>
    <t>Hey, .@EricFehrn, speaking of McCarthy, your candidate have the backbone 2 rebuke @MicheleBachmann 4 HER witchhunt against Muslim Americans?</t>
  </si>
  <si>
    <t>@TheWrightWingv2 @ksmith474 @Time2Standup80 @EricFehrn Why won't everybody who wants to run open ALL records to public? Speculation sells.</t>
  </si>
  <si>
    <t>@TheWrightWingv2 @ksmith474 @Time2Standup80 @EricFehrn Would be a nice change. Maybe I could learn to trust our government for 1st time.</t>
  </si>
  <si>
    <t>@MittRomney Camp @EricFehrn Your response to @SenatorReid BS claims on not paying taxes for 10 yrs is not adequate. Geat tuff! w/ that jerk!</t>
  </si>
  <si>
    <t>RT @RomneyResponse: VIDEO: @EricFehrn weighs in on Harry Reid's baseless, unfounded attack on @MittRomney on behalf of the Obama campaign http://t.co/qrW3s3mA</t>
  </si>
  <si>
    <t>@Timodc @EricFehrn can't handle Tweeters. How can he handle Harry? @SenatorReid  #heardaboutharry</t>
  </si>
  <si>
    <t>@BarddeBelmont @Timodc @EricFehrn @SenatorReid loves Cowboy Poetry and Hog Calling Contests. #heardaboutharry</t>
  </si>
  <si>
    <t>@BarddeBelmont @Timodc @EricFehrn @SenatorReid I realize Twitter seems surreal and silly. Right until it smacks your cheeks #heardaboutharry</t>
  </si>
  <si>
    <t>@BarddeBelmont @Timodc @EricFehrn @SenatorReid The reality of this election? Whoever gains Social Media High Ground? Wins. #heardaboutharry</t>
  </si>
  <si>
    <t>@BarddeBelmont @Timodc @EricFehrn @SenatorReid @Jack is here to stay boys. Ya gotta play ball or sit on the bench. #heardaboutharry</t>
  </si>
  <si>
    <t>@BarddeBelmont @Timodc @EricFehrn @SenatorReid @Jack Both campaigms have 90 days to get their stuff together. So far? Nope.</t>
  </si>
  <si>
    <t>@BarddeBelmont @Timodc @EricFehrn @SenatorReid @Jack I always thought with all the money and stuff? It made people really smart. Fool I am.</t>
  </si>
  <si>
    <t>@BarddeBelmont @Timodc @EricFehrn @SenatorReid @Jack At this point? Someone like me? Should be worth? $250/hour.</t>
  </si>
  <si>
    <t>@BarddeBelmont @Timodc @EricFehrn @SenatorReid @Jack Whaddya think? Lawyers? get paid? Grand an hour? @newtgingrich gets like 30K a month.</t>
  </si>
  <si>
    <t>@BarddeBelmont @Timodc @EricFehrn @SenatorReid @Jack @newtgingrich Call me a Heckler? I will retire you.</t>
  </si>
  <si>
    <t>@BarddeBelmont @Timodc @EricFehrn @SenatorReid @Jack @newtgingrich Hecklers? Heckle. I call out lies and people who steal from my nation.</t>
  </si>
  <si>
    <t>@BarddeBelmont @Timodc @EricFehrn @SenatorReid @Jack @newtgingrich Generally I hate Lobbyists and Consultants of any form. I think? Hecklers</t>
  </si>
  <si>
    <t>@BarddeBelmont @Timodc @EricFehrn @SenatorReid @Jack @newtgingrich What you will find? The truth is the best defense against hecklers.</t>
  </si>
  <si>
    <t>@Timodc @EricFehrn @SenatorReid @Jack @newtgingrich I hate comedians too. Generally? Racist Morons who prey on insecure people. @ChrisRock</t>
  </si>
  <si>
    <t>@BarddeBelmont @Timodc @EricFehrn @SenatorReid @Jack @newtgingrich We the People! Built this and that. We built everything allowing ur greed</t>
  </si>
  <si>
    <t>@BarddeBelmont is a Banker. I have seen tens of thousands of Tax Returns. Senators, Governors, etc.@Timodc @EricFehrn @SenatorReid</t>
  </si>
  <si>
    <t>@BarddeBelmont @Timodc @EricFehrn @SenatorReid Hedge Funds funded by Big Banks caused the Banking Crisis. Who think the People are stupid?</t>
  </si>
  <si>
    <t>@BarddeBelmont @Timodc @EricFehrn @SenatorReid EVERYBODY is gonna come clean.</t>
  </si>
  <si>
    <t>@BarddeBelmont @Timodc @EricFehrn @SenatorReid All the TAX Money-Fucking is gonna be told the People! SO? We get tax Reform.</t>
  </si>
  <si>
    <t>@BillHemmer @MittRomney @EricFehrn But I heard from a reliable source, who shall remain nameless, that Reid has a drug addiction.</t>
  </si>
  <si>
    <t>@BillHemmer @MittRomney @EricFehrn Let's hear the story of how @SenatorReid made his fortune. #DirtyLandDeals @davidwebbshow #TITA</t>
  </si>
  <si>
    <t>@BillHemmer @mittromney @ericfehrn @senatorreid No he does not. The people need to get Reid out, real quick.</t>
  </si>
  <si>
    <t>@RomneyResponse @EricFehrn @MittRomney Reid is no statesman Just another dastardly disingenuous distraction from the REAL issue: the economy</t>
  </si>
  <si>
    <t>@dpkesq Romney is afraid to release Complete 10ys Tax Returns because he paid 0% Tax Rate @RomneyResponse @EricFehrn @MittRomney</t>
  </si>
  <si>
    <t>@dpkesq How Can American People Trust Romney When Romney is Too Afraid To Release 10yrs of Complete Tax Returns? @RomneyResponse @EricFehrn</t>
  </si>
  <si>
    <t>@EricFehrn At least Obama pays his taxes.</t>
  </si>
  <si>
    <t>RT @theonlyadult: The real joke is when you compare @EricFehrn to @davidaxelrod. It's almost as funny as comparing @mittromney to @BarackObama.</t>
  </si>
  <si>
    <t>@EricFehrn @MittRomney got rich firing ppl, dodging taxes, now refuses to release returns, + somehow @SenatorReid has no decency? #wakeup</t>
  </si>
  <si>
    <t>RT @DavidShuster: ,@ericfehrn, nice try on FNC.  But, if u really care about decency + not debasing public office -- release @mittromney's tax returns.</t>
  </si>
  <si>
    <t>@EricFehrn Where are Mitt's returns, surely he has nothing to hide from "you people"</t>
  </si>
  <si>
    <t>@DavidShuster @ericfehrn  How about not meeting in coffee shops to avoid records of White House visits? How about not hiding e-mails?</t>
  </si>
  <si>
    <t>RT @DavidShuster ,@ericfehrn, nice try on FNC.  But, if u really care about decency + not debasing public office -- release @mittromney's...</t>
  </si>
  <si>
    <t>.@EricFehrn You, sir, Have No Decency. You might think abt reminding us #GOP brought #US McCarthyism. http://t.co/QqSXTvf3 via @HuffPostPol</t>
  </si>
  <si>
    <t>RT @ZekeJMiller: An Obama campaign aide responds to @EricFehrn: "Apparently Mr. Fehrnstrom didn't go to law school." http://t.co/Jvmyg1Ul</t>
  </si>
  <si>
    <t>RT @JoshDorner: .@EricFehrn says Harry Reid is like McCarthy. Meanwhile, Romney camp is still mum on actual McCarthyite crusade of top supporters.</t>
  </si>
  <si>
    <t>@DavidShuster @ericfehrn @mittromney Red Herring, David. Reagan-Carter released one year. Interview some out of work Americans.</t>
  </si>
  <si>
    <t>RT @BillHemmer: From the @MittRomney Camp and @EricFehrn:  @SenatorReid comments about taxes are "baseless and untrue... do you have no  ...</t>
  </si>
  <si>
    <t>RT From @MittRomney Camp and @EricFehrn:  @SenatorReid comments about taxes "baseless and untrue... do you have no sense of decency?"</t>
  </si>
  <si>
    <t>@EricFehrn Read &amp;amp; RT&amp;gt; CNN: Romney Violating Federal Laws 'Coordinating' With Karl Rove http://t.co/VfC4H1sX @MichaelEDyson @EdShow @Lawrence</t>
  </si>
  <si>
    <t>@EricFehrn Read &amp;amp; RT&amp;gt; Romney's Tax Cuts Don't Trickle Down - They Float Off Shore http://t.co/S9o6uuw1 @MichaelEDyson @EdShow @Lawrence</t>
  </si>
  <si>
    <t>@EricFehrn knows Romney paid 0% Tax Rate for 10 years - that's why Romney won't release ANY full year Return let alone 10yrs of Tax Returns</t>
  </si>
  <si>
    <t>@EricFehrn is a paid LIAR (Etch-A-Sketcher) For Romney. Liars have Zero Credibility</t>
  </si>
  <si>
    <t>@EricFehrn If Romney had any decency he would not LIE about Obama and he would release 10yrs of Tax Returns. Romney has no decency</t>
  </si>
  <si>
    <t>@EricFehrn Romney could easily put this issue to bed. Unless whatever is in those returns is actually worse than Romney paying 0% Tax Rate.</t>
  </si>
  <si>
    <t>@EricFehrn Romney "Kiss My Ass This is a Holy Site" Complains that the People want to see his Tax Returns be4 they decide if he's qualified</t>
  </si>
  <si>
    <t>@EricFehrn Tell Romney to release 10yrs of COMPLETE Tax Returns. Tell Him His Fan Base will Love Him Even More for Paying 0% Tax Rate.</t>
  </si>
  <si>
    <t>@EricFehrn If Romney had an ounce of decency he would release 10yrs of Complete Tax Returns but Romney has NO decency  @JNeumann54</t>
  </si>
  <si>
    <t>@EricFehrn Read &amp;amp; RT&amp;gt;  CNN: Romney Violating Federal Laws 'Coordinating' With Karl Rove http://t.co/VfC4H1sX @MittRomney @JNeumann54</t>
  </si>
  <si>
    <t>@EricFehrn Read &amp;amp; RT&amp;gt;  CNN: Romney Violating Federal Laws 'Coordinating' With Karl Rove http://t.co/VfC4H1sX @dave_jamieson</t>
  </si>
  <si>
    <t>@ericFehrn tell Romney his 'report card' looks like a 3rd grader came up with it. BTW: Romney gets an "F" for FAILURE</t>
  </si>
  <si>
    <t>@EricFehrn Romney is afraid 2Release 10 full yrs of Tax Returns. Mitt's Returns will Prove Billionaires Victimize Middle Class via Tax Laws</t>
  </si>
  <si>
    <t>@EricFehrn Romney should put up 10yrs of Tax Returns or Shut Up about Revelation Mitt Paid 0% Tax Rate @Andreamsaul @TPM @DavidAxelrod</t>
  </si>
  <si>
    <t>@EricFehrn What will you do in October IF someone gives the Press Romney's Tax Returns u know the ones his accountant dropped on the street</t>
  </si>
  <si>
    <t>@DavidShuster U can call him out, David, but @ericfehrn &amp;amp; the @mittromney campaign are cowards. Afraid of more tough Qs from @JohnFugelsang</t>
  </si>
  <si>
    <t>uhhhhh errrrrrr uhhhhh RT @TIMEPolitics
.@EricFehrn on @CNN: "The President doesn't have a plan."</t>
  </si>
  <si>
    <t>.@EricFehrn to @CNN on @barackobama second term: "All he has is a short list of rehash proposals that have already been tried and failed."</t>
  </si>
  <si>
    <t>.@EricFehrn on @CNN: "The President doesn't have a plan."</t>
  </si>
  <si>
    <t>RT @jhseher: .@EricFehrn on @CNN: "The President doesn't have a plan."</t>
  </si>
  <si>
    <t>Cautionary tale 4 @mittromney @ericfehrn MT @DRUDGE_REPORT Man texts 'I need to quit texting' before driving off cliff http://t.co/doupVhrI</t>
  </si>
  <si>
    <t>@EricFehrn thinks Harry Reid has no shame. That would be this Eric Fehrnstrom http://t.co/0cvmMLpP</t>
  </si>
  <si>
    <t>RT @tbogg: @EricFehrn thinks Harry Reid has no shame. That would be this Eric Fehrnstrom http://t.co/0cvmMLpP</t>
  </si>
  <si>
    <t>RT @psalm82: Ha! This is FUNNY @EricFehrn spokesperson for MOST deceitful, false accusatory Prez candidate ever, thinks he can call out @SenatorReid ? NO</t>
  </si>
  <si>
    <t>RT @DariMD: Hypocrisy @EricFehrn! You can only accuse Messina of breaking law because his emails AVAILABLE 2B read. Your candidate? Took MA hard drives!</t>
  </si>
  <si>
    <t>.@EricFehrn says Harry Reid is like McCarthy. Meanwhile, Romney camp is still mum on actual McCarthyite crusade of top supporters.</t>
  </si>
  <si>
    <t>@RWwatchMA @EricFehrn @MittRomney Now he's pro-both!</t>
  </si>
  <si>
    <t>RT @AWiseLatina: @mittromney Your arrogance assumes you will be protected by the1% but We the ones you're trying to avoid?  will be your undoing. @ericfehrn</t>
  </si>
  <si>
    <t>@ZekeJMiller @EricFehrn link dznt go to Mr Messina's response &amp;amp; how hard is it to type his name instead of "an obama aid"? #disrespectful</t>
  </si>
  <si>
    <t>@EricFehrn  the conversation about @MittRomney 's 1040's is NOT about @SenatorReid "decency" it is about Romney's. @dnc @BarackObama @gop</t>
  </si>
  <si>
    <t>@EricFehrn:"That report is a joke"="@MittRomney thinks raising taxes on the middle class is hilarious" http://t.co/JW6XO6Av #EdShow</t>
  </si>
  <si>
    <t>RT @PuntaVerdeBK: @ericfehrn methinks #romney protests too much.  Reminds me of derekfay http://t.co/nmYI7V1S #2012elections stop posturing #releasethereturns</t>
  </si>
  <si>
    <t>@DavidShuster @ericfehrn @mittromney The Etch-A-Sketch stuff wasn't debasing enough?</t>
  </si>
  <si>
    <t>“@TIMEPolitics: .@EricFehrn on @CNN: "The President doesn't have a plan."”/ So does The Prime Minister?</t>
  </si>
  <si>
    <t>@TheWrightWingv2 @Time2Standup80 @Imjetta @EricFehrn Only reason he is a lying about birth he is not who he says he is or real sh***t grades</t>
  </si>
  <si>
    <t>RT @mike_truman: Sealed back to Kindergarten no less. What could he have done in Kindergarten? @TheWrightWingv2 @Time2Standup80 @Imjetta @EricFehrn</t>
  </si>
  <si>
    <t>RT @SayethSimon: "His charges are baseless and untrue." - @EricFehrn on Mitt Romney not paying taxes for ten years. Then prove it Eric. Release ten years.</t>
  </si>
  <si>
    <t>RT @JNeumann54: People are sick to death of @EricFehrn and @MittRomney patting people on the head and saying "trust me". WE DON'T. Stop patronizing us!</t>
  </si>
  <si>
    <t>@TheWrightWingv2 @Time2Standup80 @EricFehrn just face it, we have an honest president, just like GWB. ☺</t>
  </si>
  <si>
    <t>Mitt Romney used to say he was pro-choice, now "avidly pro-life." http://t.co/nxrIFOmK #RomneyFacts #mapoli #p2 #EtchASketch @EricFehrn</t>
  </si>
  <si>
    <t>@mittromney Your arrogance assumes you will be protected by the1% but We the ones you're trying to avoid?  will be your undoing. @ericfehrn</t>
  </si>
  <si>
    <t>RT @crankydem: @ericfehrn U R a joke.  A bush economist is one of the "questionable" authors.  Obfuscation is not a platform. #edshow #gopfail #Obama2012</t>
  </si>
  <si>
    <t>@DavidShuster @ericfehrn @mittromney HAHAHAHA!  Mitt,  do NOT release them!  It's driving them crazy! @CindyCoops</t>
  </si>
  <si>
    <t>Attacks against Romney are baseless http://t.co/hdruyZ25 #HeardAboutHarry  from @ericfehrn #tcot</t>
  </si>
  <si>
    <t>Mr. Fehrnstrom, I knew Joseph Welch. Joseph Welch was a friend of mine. And sir, you are no Joseph Welch. @EricFehrn</t>
  </si>
  <si>
    <t>RT @ZekeJMiller: RT @globeglen: MITT ROMNEY: @EricFehrn talking to Candy Crowley on CNN... #mapoli</t>
  </si>
  <si>
    <t>Right after Mitt RT @ElectJeffPerry Hey Harry Reid: "Put up or shut up" http://t.co/PnLlQSaV #MAPOLI @EricFehrn</t>
  </si>
  <si>
    <t>The real question @EricFehrn is whether @MittRomney has any decency?This can be done without any hysterics if he just RELEASES THE RETURNS.</t>
  </si>
  <si>
    <t>People are sick to death of @EricFehrn and @MittRomney patting people on the head and saying "trust me". WE DON'T. Stop patronizing us!</t>
  </si>
  <si>
    <t>Guy who outed a politician in MA (@ericfehrn) redefines "chutzpah" by hitting Reid with the "no decency" line lol http://t.co/cxOFQMxV</t>
  </si>
  <si>
    <t>Ha! This is FUNNY @EricFehrn spokesperson for MOST deceitful, false accusatory Prez candidate ever, thinks he can call out @SenatorReid ? NO</t>
  </si>
  <si>
    <t>Please @MittRomney team denier @EricFehrn - there aren't enough voters who just vote #Against PBO Put up solutions or go home!</t>
  </si>
  <si>
    <t>@ericfehrn U R a joke.  A bush economist is one of the "questionable" authors.  Obfuscation is not a platform. #edshow #gopfail #Obama2012</t>
  </si>
  <si>
    <t>RT @SayethSimon: Even if Reid revealed his source, it proves or disproves nothing. ONE THING WILL: @MittRomney's tax returns. @EricFehrn #ReleaseThemNow</t>
  </si>
  <si>
    <t>Hypocrisy @EricFehrn! You can only accuse Messina of breaking law because his emails AVAILABLE 2B read. Your candidate? Took MA hard drives!</t>
  </si>
  <si>
    <t>The real joke is when you compare @EricFehrn to @davidaxelrod. It's almost as funny as comparing @mittromney to @BarackObama.</t>
  </si>
  <si>
    <t>@TIMEPolitics @EricFehrn @CNN You'd think that even a fool like Eric would get by now that their lies about Obama really don't work.</t>
  </si>
  <si>
    <t>@EricFehrn Release the tax returns, talk about decency you're running a campaign calling the president a foreigner. #Obama2012</t>
  </si>
  <si>
    <t>@TheWrightWingv2 @ericfehrn not even one complete year. You can't say elect me I'll show you later. #whatismitthiding</t>
  </si>
  <si>
    <t>@TheWrightWingv2 @ericfehrn why did #Romney destroy his hard drives in ma? That's relevant to being pres not college transcripts</t>
  </si>
  <si>
    <t>@TheWrightWingv2 @wisemanbill @ksmith474 @ericfehrn agree with first part</t>
  </si>
  <si>
    <t>@Imjetta @thewrightwingv2 @ericfehrn neither is showing your Birth certificate which didn't stop psycho #GOP from begging for it</t>
  </si>
  <si>
    <t>@MMBlosser @thewrightwingv2 @imjetta @ericfehrn id take a foreigner over a cult leader like #Romney any day of the week</t>
  </si>
  <si>
    <t>"His charges are baseless and untrue." - @EricFehrn on Mitt Romney not paying taxes for ten years. Then prove it Eric. Release ten years.</t>
  </si>
  <si>
    <t>Even if Reid revealed his source, it proves or disproves nothing. ONE THING WILL: @MittRomney's tax returns. @EricFehrn #ReleaseThemNow</t>
  </si>
  <si>
    <t>RT @DavidShuster: .@ericfehrn nice try on FNC- if u really care about decency/not debasing public office -- release Romney's tax returns.</t>
  </si>
  <si>
    <t>@EricFehrn Tell @SenatorReid that @MittRomney will release more tax returns if @BarackObama unseals his college transcripts!!!</t>
  </si>
  <si>
    <t>An unknown source just informed us @SenatorReid secretly wears women's shoes!!! @EricFehrn @MittRomney</t>
  </si>
  <si>
    <t>It's @BarackObama 's MO. It's how he wins. Cheating, unsealing records, dig up info, distort/distract. See how he won IL Senate. @EricFehrn</t>
  </si>
  <si>
    <t>,@ericfehrn, nice try on FNC.  But, if u really care about decency + not debasing public office -- release @mittromney's tax returns.</t>
  </si>
  <si>
    <t>Ha! Your turn, @EricFehrn! #RomneyShambles RT @ABCPolitics Romney's 'Kiss My…' Spokesman Takes Time Off Campaign Trail http://t.co/xARUMUlF</t>
  </si>
  <si>
    <t>Great campaign you guys are running there, @EricFehrn. #mittmentum</t>
  </si>
  <si>
    <t>Sealed back to Kindergarten no less. What could he have done in Kindergarten? @TheWrightWingv2 @Time2Standup80 @Imjetta @EricFehrn</t>
  </si>
  <si>
    <t>@mike_truman @TheWrightWingv2 @Time2Standup80 @Imjetta @EricFehrn Kindergarten Choom Gang?</t>
  </si>
  <si>
    <t>@mike_truman @TheWrightWingv2 @Time2Standup80 @EricFehrn Recited the Communist Manifesto instead of the Qu'ran maybe?</t>
  </si>
  <si>
    <t>@JamesYontrofsky @mike_truman @TheWrightWingv2 @Time2Standup80 @EricFehrn Nothing would surprise at this point.</t>
  </si>
  <si>
    <t>@TheWrightWingv2 @Time2Standup80 @EricFehrn He released what is REQUIRED by law. You're not above the law.</t>
  </si>
  <si>
    <t>@TheWrightWingv2 @Time2Standup80 @EricFehrn Because they're mindless #Obots w/out a #Clue</t>
  </si>
  <si>
    <t>RT @TheWrightWingv2: Or, perhaps, Not Seal All Records 1st Day In Office, Like Obama? @WisemanBill @ksmith474 @Time2Standup80 @EricFehrn #obama2012 #tcot #p2</t>
  </si>
  <si>
    <t>RT @TheWrightWingv2: Democrats dont wonder why Obama sealed his College Transcripts. They dig Despots. @ksmith474 @Time2Standup80 @EricFehrn #obama2012 #tcot #p2</t>
  </si>
  <si>
    <t>Democrats dont wonder why Obama sealed his College Transcripts. They dig Despots. @ksmith474 @Time2Standup80 @EricFehrn #obama2012 #tcot #p2</t>
  </si>
  <si>
    <t>Or, perhaps, Not Seal All Records 1st Day In Office, Like Obama? @WisemanBill @ksmith474 @Time2Standup80 @EricFehrn #obama2012 #tcot #p2</t>
  </si>
  <si>
    <t>Government is meant to always be distrusted. Dems dont get that. @WisemanBill @ksmith474 @Time2Standup80 @EricFehrn #obama2012 #tcot #p2</t>
  </si>
  <si>
    <t>@TheWrightWingv2 @Time2Standup80 @EricFehrn asked @maddow perhaps she can shed light on @barackobama secret past.Y he hid all his pers docs</t>
  </si>
  <si>
    <t>#Mitt2012 — @MittRomney adviser @EricFehrn asks Senator Harry Reid, "Have you no sense of decency, sir?" http://t.co/K0GS7d2o Answer: No.</t>
  </si>
  <si>
    <t>RT @Timodc: .@EricFehrn laces into @SenatorReid http://t.co/UEOJFCWB #heardaboutharry</t>
  </si>
  <si>
    <t>RT @AndrewHClark: Romney adviser @EricFehrn calls out Harry Reid's baseless, unfounded attack on @MittRomney. http://t.co/8usmQRck</t>
  </si>
  <si>
    <t>Hey #Mitt2012 - try this: "My plan is to replace govt checks, with private sector paychecks, for people able to work" @EricFehrn</t>
  </si>
  <si>
    <t>#Mitt2012 - try this: "Harry Reid will say anything to distract attention from the trillions in new debt he's left our children" @EricFehrn</t>
  </si>
  <si>
    <t>RT @globeglen: MITT ROMNEY: @EricFehrn talking to Candy Crowley on CNN... #mapoli</t>
  </si>
  <si>
    <t>MITT ROMNEY: @EricFehrn talking to Candy Crowley on CNN... #mapoli</t>
  </si>
  <si>
    <t>MITT ROMNEY: @EricFehrn v. @CrowleyCNN is good TV... #mapoli</t>
  </si>
  <si>
    <t>Why is @EricFehrn talking to bottom feeders like @ZekeJMiller?  BuzzFeed works on behalf of OFA-- there is no reason to cooperate with them.</t>
  </si>
  <si>
    <t>Romney's press people should be kicking these journalist in in the fucking teeth, not giving them access. @RyanGOP @andreamsaul @EricFehrn</t>
  </si>
  <si>
    <t>Memo To Romney Press Team: When someone from BuzzFeed ask you a question-- Tell them to go fuck themselves. @RyanGOP @EricFehrn @andreamsaul</t>
  </si>
  <si>
    <t>RT @RyanGOP: RT @KatrinaTrinko: @EricFehrn: "The only thing this administration is transparent on is our national security secrets"</t>
  </si>
  <si>
    <t>Romney adviser @EricFehrn calls out Harry Reid's baseless, unfounded attack on @MittRomney. http://t.co/8usmQRck</t>
  </si>
  <si>
    <t>The guys at @buzzfeed must be dealt with..Now !!!  @andreamsaul @ryangop @ericfehrn @kevinmaddendc</t>
  </si>
  <si>
    <t>@EricFehrn has to go now! I have been saying this for months. Mitt is not handled well and it is going to cost us this election. #tcot</t>
  </si>
  <si>
    <t>@MittRomney has to sht can @EricFehrn now before it is too late!  He doesn't know what he's doing!</t>
  </si>
  <si>
    <t>31% of Americans r optimistic about the economy, yet the polls suggest the Kenyan is on track for reelection. That is why @EricFehrn must go</t>
  </si>
  <si>
    <t>@MittRomney should be Kenyan killing in the polls, but he's not. @EricFehrn must go now! #tcot.</t>
  </si>
  <si>
    <t>@MittRomney get rid of @EricFehrn now!</t>
  </si>
  <si>
    <t>@IngrahamAngle get rid of @EricFehrn now before it's too late. #tcot</t>
  </si>
  <si>
    <t>@MittRomney get rid of @EricFehrn now!  He's not getting the job done. Mitt is not well handled. Time to shake things up!</t>
  </si>
  <si>
    <t>An Obama campaign aide responds to @EricFehrn: "Apparently Mr. Fehrnstrom didn't go to law school." http://t.co/Jvmyg1Ul</t>
  </si>
  <si>
    <t>.@EricFehrn goes all Joseph Welch on @SenatorReid: http://t.co/TXqvp9Ku  #atlonglastsir</t>
  </si>
  <si>
    <t>@andreamsaul @EricFehrn Besides economy, advise Romney to address fears of people. Dispel rumor GOP doesn't care about poor.</t>
  </si>
  <si>
    <t>RT @RJF_723: Romney's press people should be kicking these journalist in in the fucking teeth, not giving them access. @RyanGOP @andreamsaul @EricFehrn</t>
  </si>
  <si>
    <t>RT @Dcarter888K: @EricFehrn @EdWGillespie @MittRomney SO DOES DIRTY HARRY WANT TO PLAY HARD BALL? Airing Harry Reid’s Dirty Laundry http://t.co/8DRrKq5Q TCOT</t>
  </si>
  <si>
    <t>@Shortrosen @BillHemmer @MittRomney @EricFehrn that would make a lot of sense!</t>
  </si>
  <si>
    <t>RT @RealMReynolds: RT @Ted_Newton: YES, YES: The Obama campaign "is like a bottomless pit - every day they reach a new low." - @EricFehrn</t>
  </si>
  <si>
    <t>@EricFehrn Mitt needs 2 go 2 a Chick-fi-la and buy a bunch of gift certificates for all the lame stream media who didn't report on it. #tcot</t>
  </si>
  <si>
    <t>RT @AndrewHClark: +1 RT @RomneyResponse: "The only thing this administration is transparent on is our national security secrets." - @EricFehrn</t>
  </si>
  <si>
    <t>.@EricFehrn laces into @SenatorReid http://t.co/UEOJFCWB #heardaboutharry</t>
  </si>
  <si>
    <t>@EricFehrn @EdWGillespie @RyanGOP @MittRomney More #Obama Wasting Tax payers $ #Forward #Seniors #Latinos #FL #PA #NV http://t.co/034EUhU9</t>
  </si>
  <si>
    <t>@Reince @EricFehrn SHOW HARRY BOSTON HARDBALL: SO IF @SenatorReid Wants to Play Hardball..... Bring It - Mob Ties more  http://t.co/UBuRQR8z</t>
  </si>
  <si>
    <t>@EricFehrn CALL BEN GINSBERG SUE THEM:DCCC apologizes 2 Adelson 4 'Chinese prostitution' comments AFTER LAW SUIT THREAT http://t.co/DpgmJtWz</t>
  </si>
  <si>
    <t>RT @AmericanMind: Hey #Mitt2012 - try this: "My plan is to replace govt checks, with private sector paychecks, for people able to work" @EricFehrn</t>
  </si>
  <si>
    <t>@EricFehrn Hi Eric! Glad 2 c u w/ Mitt's campaign! Sadly Sen Reid has no shame, is a liar &amp;amp; beyond contempt. Q2Reid: budget yet? #mitt2012</t>
  </si>
  <si>
    <t>RT @Norsu2: Under Romney, S&amp;amp;P gave Mass a credit rating upgrade for an improving economy and strong fiscal management. #tcot #p2 @EricFehrn #Mitt2012</t>
  </si>
  <si>
    <t>Tax returns released. @Time2Standup80 Now, about Obama's College Transcripts? @EricFehrn Well? #obama2012 #tcot #p2</t>
  </si>
  <si>
    <t>So, why did Obama seal his College Transcripts, 1st day in Office? @Time2Standup80 @EricFehrn Why not release them? #obama2012 #tcot #p2</t>
  </si>
  <si>
    <t>Destroying Hard Drives is basic Identity Theft protection. @Time2Standup80 Everyone should do it. @EricFehrn #obama2012 #tcot #p2</t>
  </si>
  <si>
    <t>So, uh why did Obama seal his College Transcripts 1st day in Office, again? @TheWrightWingv2 @Time2Standup80 @EricFehrn #obama2012 #tcot #p2</t>
  </si>
  <si>
    <t>So, why did Obama seal all his College Transcripts, 1st day in office? @Time2Standup80 @Imjetta @EricFehrn #obama2012 #tcot #p2 Any ideas?</t>
  </si>
  <si>
    <t>RT @Imjetta: @Time2Standup80 @TheWrightWingv2 @EricFehrn Proving you're a citizen IS Constitutionally mandated.Go read the Constitution, then we'll chat.</t>
  </si>
  <si>
    <t>@TheWrightWingv2 @time2standup80 @ericfehrn Tax returns R not even constitutionally mandated; nothing more than class warfare.</t>
  </si>
  <si>
    <t>@Time2Standup80 @MMBlosser @TheWrightWingv2 @EricFehrn Define cult...</t>
  </si>
  <si>
    <t>@MMBlosser @TheWrightWingv2 @Time2Standup80 @EricFehrn Exactly! If you have nothing to hide, why seal them.</t>
  </si>
  <si>
    <t>@Time2Standup80 @TheWrightWingv2 @EricFehrn Proving you're a citizen IS Constitutionally mandated.Go read the Constitution, then we'll chat.</t>
  </si>
  <si>
    <t>@TheWrightWingv2 @Time2Standup80 @EricFehrn Obvious he's hiding something; BC, falsified school rec's; Less obvious til now- Communist ties.</t>
  </si>
  <si>
    <t>From the @MittRomney Camp and @EricFehrn:  @SenatorReid comments about taxes are "baseless and untrue... do you have no sense of decency?"</t>
  </si>
  <si>
    <t>VIDEO: @EricFehrn weighs in on Harry Reid's baseless, unfounded attack on @MittRomney on behalf of the Obama campaign http://t.co/qrW3s3mA</t>
  </si>
  <si>
    <t>“@Norsu2: Under Romney, S&amp;amp;P gave Mass a credit rating upgrade for an improving economy and strong fiscal management.  @EricFehrn #Mitt2012”</t>
  </si>
  <si>
    <t>Under Romney, S&amp;amp;P gave Mass a credit rating upgrade for an improving economy and strong fiscal management. #tcot #p2 @EricFehrn #Mitt2012</t>
  </si>
  <si>
    <t>http://abcnews.go.com/Politics/OTUS/mitt-romney-move-emboldened-tea-party/story?id=16906367</t>
  </si>
  <si>
    <t>http://www.huffingtonpost.com/2012/08/02/eric-fehrnstrom-harry-reid-romney-taxes_n_1733085.html?utm_hp_ref=tw</t>
  </si>
  <si>
    <t>http://www.repealfatca.com/downloads/letter.pdf http://news.bostonherald.com/business/general/view/20120727house_votes_to_postpone_irs_rule_on_foreign_deposits_in_us_banks/srvc=home&amp;position=recent</t>
  </si>
  <si>
    <t>http://2012.talkingpointsmemo.com/2012/08/eric-fehrnstom-harry-reid-joesph-mccarthy.php?ref=fpnewsfeed</t>
  </si>
  <si>
    <t>http://www.youtube.com/watch?v=Z2sySORDLjo</t>
  </si>
  <si>
    <t>http://www.gotchamediablog.com/2012/08/fox-news-eric-fehrnstrom-thinks-hes.html</t>
  </si>
  <si>
    <t>http://www.tumblr.com/ZTjIFvQcNiF1</t>
  </si>
  <si>
    <t>http://romneyresponse.tumblr.com/post/28561244348/romney-senior-adviser-eric-fehrnstrom-weighs-in-on</t>
  </si>
  <si>
    <t>http://www.buzzfeed.com/zekejmiller/romney-campaign-obama-campaign-manager-apparently</t>
  </si>
  <si>
    <t>http://www.dailykos.com/story/2012/08/02/1116041/-CNN-Romney-Violating-Federal-Laws-Coordinating-With-Karl-Rove</t>
  </si>
  <si>
    <t>http://www.dailykos.com/story/2012/08/02/1116000/-Romney-s-Tax-Cuts-Don-t-Trickle-Down-They-Float-Off-Shore</t>
  </si>
  <si>
    <t>http://www.wlbt.com/story/19176838/man-who-drove-off-cliff-while-texting-warns-others</t>
  </si>
  <si>
    <t>http://bluemassgroup.com/2011/08/brown-2012-strateg/</t>
  </si>
  <si>
    <t>http://newsericks.com/tag/Bush-tax-cuts/</t>
  </si>
  <si>
    <t>http://siouxcityjournal.com/news/state-and-regional/article_c812a7d7-0cc3-50f1-a7c3-44a8fab4af10.html</t>
  </si>
  <si>
    <t>http://politics.foxnews.mobi/quickPage.html?page=23888&amp;content=77479652&amp;pageNum=-1</t>
  </si>
  <si>
    <t>http://www.huffingtonpost.com/2012/08/02/eric-fehrnstrom-harry-reid-romney-taxes_n_1733085.html</t>
  </si>
  <si>
    <t>http://abcnews.go.com/blogs/politics/2012/08/romneys-kiss-my-spokesman-takes-time-off-campaign-trail/?utm_source=twitterfeed&amp;utm_medium=twitter</t>
  </si>
  <si>
    <t>http://www.washingtontimes.com/blog/inside-politics/2012/aug/2/romney-adviser-reid-have-you-no-sense-decency/</t>
  </si>
  <si>
    <t>http://www.youtube.com/watch?v=d1kCT62p95o</t>
  </si>
  <si>
    <t>http://www.youtube.com/watch?v=d1kCT62p95o&amp;feature=youtu.be</t>
  </si>
  <si>
    <t>http://www.westernjournalism.com/exclusive-investigative-reports/harry-reids-dirty-laundry/</t>
  </si>
  <si>
    <t>http://freebeacon.com/government-motors-spends-600m-on-uk-soccer-promo/</t>
  </si>
  <si>
    <t>http://thehill.com/blogs/blog-briefing-room/news/241995-dccc-apologizes-to-adelson-over-chinese-prostitution-money-comments</t>
  </si>
  <si>
    <t>showusthetaxreturns romneyshambles</t>
  </si>
  <si>
    <t>smallestviolin</t>
  </si>
  <si>
    <t>whyhide</t>
  </si>
  <si>
    <t>romneyshambles</t>
  </si>
  <si>
    <t>romney gop obama</t>
  </si>
  <si>
    <t>romney 2012elections releasethereturns</t>
  </si>
  <si>
    <t>wakeup</t>
  </si>
  <si>
    <t>mapoli</t>
  </si>
  <si>
    <t>etchasketch demsincontrolofmessaging reelectionisalayup</t>
  </si>
  <si>
    <t>mittthetwit</t>
  </si>
  <si>
    <t>wordsmith</t>
  </si>
  <si>
    <t>obama2012 tcot p2</t>
  </si>
  <si>
    <t>p2</t>
  </si>
  <si>
    <t>heardaboutharry</t>
  </si>
  <si>
    <t>dirtylanddeals tita</t>
  </si>
  <si>
    <t>gop us</t>
  </si>
  <si>
    <t>disrespectful</t>
  </si>
  <si>
    <t>edshow</t>
  </si>
  <si>
    <t>romneyfacts mapoli p2 etchasketch</t>
  </si>
  <si>
    <t>edshow gopfail obama2012</t>
  </si>
  <si>
    <t>heardaboutharry tcot</t>
  </si>
  <si>
    <t>against</t>
  </si>
  <si>
    <t>releasethemnow</t>
  </si>
  <si>
    <t>obama2012</t>
  </si>
  <si>
    <t>whatismitthiding</t>
  </si>
  <si>
    <t>romney</t>
  </si>
  <si>
    <t>gop</t>
  </si>
  <si>
    <t>mittmentum</t>
  </si>
  <si>
    <t>obots clue</t>
  </si>
  <si>
    <t>mitt2012</t>
  </si>
  <si>
    <t>tcot</t>
  </si>
  <si>
    <t>atlonglastsir</t>
  </si>
  <si>
    <t>obama forward seniors latinos fl pa nv</t>
  </si>
  <si>
    <t>tcot p2 mitt2012</t>
  </si>
  <si>
    <t>https://twitter.com/#!/RawLinks/status/231051788185399296</t>
  </si>
  <si>
    <t>https://twitter.com/#!/Paul_Hanlin_Jr/status/231054597530206208</t>
  </si>
  <si>
    <t>https://twitter.com/#!/Paul_Hanlin_Jr/status/231055722912305152</t>
  </si>
  <si>
    <t>https://twitter.com/#!/sweet_tWhits/status/231056570333683712</t>
  </si>
  <si>
    <t>https://twitter.com/#!/CharlieShield/status/231063050332012545</t>
  </si>
  <si>
    <t>https://twitter.com/#!/PaulMadrigal099/status/231067265762742272</t>
  </si>
  <si>
    <t>https://twitter.com/#!/Shmoe/status/231072679942299648</t>
  </si>
  <si>
    <t>https://twitter.com/#!/flocktard/status/231067404887801856</t>
  </si>
  <si>
    <t>https://twitter.com/#!/flocktard/status/231074597263511552</t>
  </si>
  <si>
    <t>https://twitter.com/#!/flocktard/status/231080956004536320</t>
  </si>
  <si>
    <t>https://twitter.com/#!/flocktard/status/231081158274842625</t>
  </si>
  <si>
    <t>https://twitter.com/#!/FATCA_Fallout/status/231073864371822592</t>
  </si>
  <si>
    <t>https://twitter.com/#!/FATCA_Fallout/status/231080015847096320</t>
  </si>
  <si>
    <t>https://twitter.com/#!/FATCA_Fallout/status/231080481159008256</t>
  </si>
  <si>
    <t>https://twitter.com/#!/FATCA_Fallout/status/231081895507673088</t>
  </si>
  <si>
    <t>https://twitter.com/#!/jmachats/status/231083945356304384</t>
  </si>
  <si>
    <t>https://twitter.com/#!/AngryGamingSub/status/231092575925325824</t>
  </si>
  <si>
    <t>https://twitter.com/#!/spottythebeagle/status/231093451771494401</t>
  </si>
  <si>
    <t>https://twitter.com/#!/spottythebeagle/status/231094446102552576</t>
  </si>
  <si>
    <t>https://twitter.com/#!/loganthomison/status/231097908005568514</t>
  </si>
  <si>
    <t>https://twitter.com/#!/andyfr8nk/status/231103703497719808</t>
  </si>
  <si>
    <t>https://twitter.com/#!/GrampaSparkles/status/231106613220605953</t>
  </si>
  <si>
    <t>https://twitter.com/#!/PuntaVerdeBK/status/231111417753903105</t>
  </si>
  <si>
    <t>https://twitter.com/#!/BothArmsUp/status/231134161136652288</t>
  </si>
  <si>
    <t>https://twitter.com/#!/StParmenide/status/231134874130604032</t>
  </si>
  <si>
    <t>https://twitter.com/#!/chagresgirl/status/231143842060042240</t>
  </si>
  <si>
    <t>https://twitter.com/#!/PricklyPete77/status/231195065756835843</t>
  </si>
  <si>
    <t>https://twitter.com/#!/msmilonich/status/231210012658266113</t>
  </si>
  <si>
    <t>https://twitter.com/#!/msmilonich/status/231210525336432640</t>
  </si>
  <si>
    <t>https://twitter.com/#!/RepubliConMen/status/231212817636794369</t>
  </si>
  <si>
    <t>https://twitter.com/#!/i8dc/status/231215263918465025</t>
  </si>
  <si>
    <t>https://twitter.com/#!/jackrabbit0047/status/231167794278985728</t>
  </si>
  <si>
    <t>https://twitter.com/#!/jackrabbit0047/status/231196119286300673</t>
  </si>
  <si>
    <t>https://twitter.com/#!/jackrabbit0047/status/231220486951034880</t>
  </si>
  <si>
    <t>https://twitter.com/#!/mikepizzitola/status/231223242248048641</t>
  </si>
  <si>
    <t>https://twitter.com/#!/gvrtwpkwy/status/231148569040650242</t>
  </si>
  <si>
    <t>https://twitter.com/#!/gvrtwpkwy/status/231224510035148800</t>
  </si>
  <si>
    <t>https://twitter.com/#!/gvrtwpkwy/status/231233952126488576</t>
  </si>
  <si>
    <t>https://twitter.com/#!/MiddleClassTXN/status/231058607708450816</t>
  </si>
  <si>
    <t>https://twitter.com/#!/GotchaMedia/status/231057874825125889</t>
  </si>
  <si>
    <t>https://twitter.com/#!/GIFsFLN/status/231060209173413888</t>
  </si>
  <si>
    <t>https://twitter.com/#!/chrontelli/status/231060222729400321</t>
  </si>
  <si>
    <t>https://twitter.com/#!/jedibrettski/status/231060466393292800</t>
  </si>
  <si>
    <t>https://twitter.com/#!/bigeasyWI/status/231060901472641024</t>
  </si>
  <si>
    <t>https://twitter.com/#!/strangep00rk/status/231061537513676800</t>
  </si>
  <si>
    <t>https://twitter.com/#!/Swauny/status/231061689821450241</t>
  </si>
  <si>
    <t>https://twitter.com/#!/ben_techpro/status/231061776647745537</t>
  </si>
  <si>
    <t>https://twitter.com/#!/tummler10/status/231059949864747009</t>
  </si>
  <si>
    <t>https://twitter.com/#!/tummler10/status/231061806947393536</t>
  </si>
  <si>
    <t>https://twitter.com/#!/gryffon57/status/231063043612753922</t>
  </si>
  <si>
    <t>https://twitter.com/#!/WisemanBill/status/231061421188853760</t>
  </si>
  <si>
    <t>https://twitter.com/#!/WisemanBill/status/231063527929040896</t>
  </si>
  <si>
    <t>https://twitter.com/#!/Bassmaster12/status/231062416119721985</t>
  </si>
  <si>
    <t>https://twitter.com/#!/Bassmaster12/status/231064616241868801</t>
  </si>
  <si>
    <t>https://twitter.com/#!/CarefreeConserv/status/231065792509247489</t>
  </si>
  <si>
    <t>https://twitter.com/#!/BarddeBelmont/status/231061307598721024</t>
  </si>
  <si>
    <t>https://twitter.com/#!/BarddeBelmont/status/231061423755767808</t>
  </si>
  <si>
    <t>https://twitter.com/#!/BarddeBelmont/status/231061639477211136</t>
  </si>
  <si>
    <t>https://twitter.com/#!/BarddeBelmont/status/231063042127966208</t>
  </si>
  <si>
    <t>https://twitter.com/#!/BarddeBelmont/status/231063194813231105</t>
  </si>
  <si>
    <t>https://twitter.com/#!/BarddeBelmont/status/231063537571725313</t>
  </si>
  <si>
    <t>https://twitter.com/#!/BarddeBelmont/status/231063726902636544</t>
  </si>
  <si>
    <t>https://twitter.com/#!/BarddeBelmont/status/231064005769302017</t>
  </si>
  <si>
    <t>https://twitter.com/#!/BarddeBelmont/status/231064202637365248</t>
  </si>
  <si>
    <t>https://twitter.com/#!/BarddeBelmont/status/231064899047014400</t>
  </si>
  <si>
    <t>https://twitter.com/#!/BarddeBelmont/status/231065038453084160</t>
  </si>
  <si>
    <t>https://twitter.com/#!/BarddeBelmont/status/231065368234442752</t>
  </si>
  <si>
    <t>https://twitter.com/#!/BarddeBelmont/status/231065520454135809</t>
  </si>
  <si>
    <t>https://twitter.com/#!/BarddeBelmont/status/231065742521548800</t>
  </si>
  <si>
    <t>https://twitter.com/#!/BarddeBelmont/status/231065950248636417</t>
  </si>
  <si>
    <t>https://twitter.com/#!/BarddeBelmont/status/231066265156993025</t>
  </si>
  <si>
    <t>https://twitter.com/#!/BarddeBelmont/status/231066439455485952</t>
  </si>
  <si>
    <t>https://twitter.com/#!/BarddeBelmont/status/231066523526115329</t>
  </si>
  <si>
    <t>https://twitter.com/#!/BarddeBelmont/status/231066714417283072</t>
  </si>
  <si>
    <t>https://twitter.com/#!/JeremyDanilson/status/231068835388719104</t>
  </si>
  <si>
    <t>https://twitter.com/#!/Shortrosen/status/231068650747068416</t>
  </si>
  <si>
    <t>https://twitter.com/#!/Brownasaur44/status/231069835143024640</t>
  </si>
  <si>
    <t>https://twitter.com/#!/Brownasaur44/status/231074450727116800</t>
  </si>
  <si>
    <t>https://twitter.com/#!/totomovies/status/231068450242588674</t>
  </si>
  <si>
    <t>https://twitter.com/#!/talaroque/status/231080030090973184</t>
  </si>
  <si>
    <t>https://twitter.com/#!/zealousgranny/status/231077000700375040</t>
  </si>
  <si>
    <t>https://twitter.com/#!/HollywoodTParty/status/231087750093365248</t>
  </si>
  <si>
    <t>https://twitter.com/#!/dpkesq/status/231087798441099264</t>
  </si>
  <si>
    <t>https://twitter.com/#!/eagle17765/status/231092192624668672</t>
  </si>
  <si>
    <t>https://twitter.com/#!/eagle17765/status/231092774475280384</t>
  </si>
  <si>
    <t>https://twitter.com/#!/AxelRugger/status/231091789229072384</t>
  </si>
  <si>
    <t>https://twitter.com/#!/bannerite/status/231079286172430338</t>
  </si>
  <si>
    <t>https://twitter.com/#!/bostonsboy87/status/231092221053661184</t>
  </si>
  <si>
    <t>https://twitter.com/#!/bostonsboy87/status/231092281644572672</t>
  </si>
  <si>
    <t>https://twitter.com/#!/TaoistSoul/status/231092737389256704</t>
  </si>
  <si>
    <t>https://twitter.com/#!/jhf5/status/231092781060333568</t>
  </si>
  <si>
    <t>https://twitter.com/#!/jsmar/status/231093769095745536</t>
  </si>
  <si>
    <t>https://twitter.com/#!/sunsetarival/status/231094023278956544</t>
  </si>
  <si>
    <t>https://twitter.com/#!/trvlgk/status/231094040236548096</t>
  </si>
  <si>
    <t>https://twitter.com/#!/Darin_Driscoll/status/231092769052049408</t>
  </si>
  <si>
    <t>https://twitter.com/#!/AhTrini/status/231094345502191616</t>
  </si>
  <si>
    <t>https://twitter.com/#!/chefmike44/status/231094687996448770</t>
  </si>
  <si>
    <t>https://twitter.com/#!/the_Sabla/status/231102972124340224</t>
  </si>
  <si>
    <t>https://twitter.com/#!/ChristopherGary/status/231063335456624640</t>
  </si>
  <si>
    <t>https://twitter.com/#!/TuxcedoCat/status/231116637233872897</t>
  </si>
  <si>
    <t>https://twitter.com/#!/fabucat/status/231053372415938560</t>
  </si>
  <si>
    <t>https://twitter.com/#!/BlackMaxDesign/status/231066825503428608</t>
  </si>
  <si>
    <t>https://twitter.com/#!/robteed/status/231092340641636352</t>
  </si>
  <si>
    <t>https://twitter.com/#!/LennyJLem/status/231131970124525569</t>
  </si>
  <si>
    <t>https://twitter.com/#!/J_Rippel/status/231135878410555392</t>
  </si>
  <si>
    <t>https://twitter.com/#!/yewkalaylee/status/231059149197279232</t>
  </si>
  <si>
    <t>https://twitter.com/#!/dsunhawk/status/231138858836824064</t>
  </si>
  <si>
    <t>https://twitter.com/#!/dsunhawk/status/231139339134984192</t>
  </si>
  <si>
    <t>https://twitter.com/#!/eagle17765/status/231059356056182784</t>
  </si>
  <si>
    <t>https://twitter.com/#!/eagle17765/status/231059566165651456</t>
  </si>
  <si>
    <t>https://twitter.com/#!/eagle17765/status/231064153526263808</t>
  </si>
  <si>
    <t>https://twitter.com/#!/eagle17765/status/231064626706653184</t>
  </si>
  <si>
    <t>https://twitter.com/#!/eagle17765/status/231065019004100609</t>
  </si>
  <si>
    <t>https://twitter.com/#!/eagle17765/status/231065283123634177</t>
  </si>
  <si>
    <t>https://twitter.com/#!/eagle17765/status/231066011288367104</t>
  </si>
  <si>
    <t>https://twitter.com/#!/eagle17765/status/231091688016326656</t>
  </si>
  <si>
    <t>https://twitter.com/#!/eagle17765/status/231093173345210368</t>
  </si>
  <si>
    <t>https://twitter.com/#!/eagle17765/status/231093420167401472</t>
  </si>
  <si>
    <t>https://twitter.com/#!/eagle17765/status/231103568369831936</t>
  </si>
  <si>
    <t>https://twitter.com/#!/eagle17765/status/231104831551594496</t>
  </si>
  <si>
    <t>https://twitter.com/#!/eagle17765/status/231105662887792640</t>
  </si>
  <si>
    <t>https://twitter.com/#!/eagle17765/status/231158132754231298</t>
  </si>
  <si>
    <t>https://twitter.com/#!/eagle17765/status/231158542671937536</t>
  </si>
  <si>
    <t>https://twitter.com/#!/_silversmith/status/231104350536220672</t>
  </si>
  <si>
    <t>https://twitter.com/#!/_silversmith/status/231104748084920320</t>
  </si>
  <si>
    <t>https://twitter.com/#!/mattduss/status/231066428181188608</t>
  </si>
  <si>
    <t>https://twitter.com/#!/Pilot9/status/231141886239322112</t>
  </si>
  <si>
    <t>https://twitter.com/#!/jhseher/status/231141279529041920</t>
  </si>
  <si>
    <t>https://twitter.com/#!/jhseher/status/231141720459464704</t>
  </si>
  <si>
    <t>https://twitter.com/#!/AshJen4Politics/status/231142052837068801</t>
  </si>
  <si>
    <t>https://twitter.com/#!/MisterSilverman/status/231144740479971328</t>
  </si>
  <si>
    <t>https://twitter.com/#!/tbogg/status/231139065230155776</t>
  </si>
  <si>
    <t>https://twitter.com/#!/Zenman1550/status/231170797354491904</t>
  </si>
  <si>
    <t>https://twitter.com/#!/OldBlackMajic/status/231068833899745280</t>
  </si>
  <si>
    <t>https://twitter.com/#!/SouthernLady328/status/231083324595122176</t>
  </si>
  <si>
    <t>https://twitter.com/#!/JoshDorner/status/231066172081176576</t>
  </si>
  <si>
    <t>https://twitter.com/#!/buckaroo1260/status/231118672763183104</t>
  </si>
  <si>
    <t>https://twitter.com/#!/pretcap/status/231175119303741440</t>
  </si>
  <si>
    <t>https://twitter.com/#!/facepalm23/status/231057816817913858</t>
  </si>
  <si>
    <t>https://twitter.com/#!/spqr1052/status/231064581324300288</t>
  </si>
  <si>
    <t>https://twitter.com/#!/Newsericks/status/231178421558996994</t>
  </si>
  <si>
    <t>https://twitter.com/#!/ThisisntEasy/status/231113913117327360</t>
  </si>
  <si>
    <t>https://twitter.com/#!/aDemocratKnows/status/231117789908316160</t>
  </si>
  <si>
    <t>https://twitter.com/#!/TeamOlbermann/status/231092887889268736</t>
  </si>
  <si>
    <t>https://twitter.com/#!/Gukorru/status/231180522032869376</t>
  </si>
  <si>
    <t>https://twitter.com/#!/MMBlosser/status/231181904181862400</t>
  </si>
  <si>
    <t>https://twitter.com/#!/DaveJensen7/status/231184873367408640</t>
  </si>
  <si>
    <t>https://twitter.com/#!/mummylal/status/231109098769379328</t>
  </si>
  <si>
    <t>https://twitter.com/#!/JacquelineHine1/status/231079379214684160</t>
  </si>
  <si>
    <t>https://twitter.com/#!/Black124/status/231060675483541504</t>
  </si>
  <si>
    <t>https://twitter.com/#!/TIMEPolitics/status/231141722292375552</t>
  </si>
  <si>
    <t>https://twitter.com/#!/RWwatchMA/status/231118220101308417</t>
  </si>
  <si>
    <t>https://twitter.com/#!/Indybluebird/status/231135124769632256</t>
  </si>
  <si>
    <t>https://twitter.com/#!/AWiseLatina/status/231174987325767680</t>
  </si>
  <si>
    <t>https://twitter.com/#!/John_Scott_G/status/231193462584782849</t>
  </si>
  <si>
    <t>https://twitter.com/#!/utahpioneer/status/231112356271362049</t>
  </si>
  <si>
    <t>https://twitter.com/#!/utahpioneer/status/231113561945042944</t>
  </si>
  <si>
    <t>https://twitter.com/#!/MissMarple2/status/231097903140184066</t>
  </si>
  <si>
    <t>https://twitter.com/#!/VictorB123/status/231114084072968192</t>
  </si>
  <si>
    <t>https://twitter.com/#!/DefendWallSt/status/231094110424014848</t>
  </si>
  <si>
    <t>https://twitter.com/#!/LeahAnakin/status/231127589194969088</t>
  </si>
  <si>
    <t>https://twitter.com/#!/bobdobolina/status/231053951057944578</t>
  </si>
  <si>
    <t>https://twitter.com/#!/sherijr/status/231107744613154816</t>
  </si>
  <si>
    <t>https://twitter.com/#!/havewhatusay/status/231141698531647488</t>
  </si>
  <si>
    <t>https://twitter.com/#!/PolopersonGwen/status/231131093607251968</t>
  </si>
  <si>
    <t>https://twitter.com/#!/DianeMNRN/status/231121230491701248</t>
  </si>
  <si>
    <t>https://twitter.com/#!/SueWinMA/status/231191029586460672</t>
  </si>
  <si>
    <t>https://twitter.com/#!/JNeumann54/status/231076124719984643</t>
  </si>
  <si>
    <t>https://twitter.com/#!/JNeumann54/status/231076924838010880</t>
  </si>
  <si>
    <t>https://twitter.com/#!/OccupyGay/status/231052803261472769</t>
  </si>
  <si>
    <t>https://twitter.com/#!/scarylawyerguy/status/231191590616563712</t>
  </si>
  <si>
    <t>https://twitter.com/#!/psalm82/status/231066671585050624</t>
  </si>
  <si>
    <t>https://twitter.com/#!/psalm82/status/231160192010698753</t>
  </si>
  <si>
    <t>https://twitter.com/#!/Nanbp/status/231126906081267712</t>
  </si>
  <si>
    <t>https://twitter.com/#!/ChristiMtl/status/231078162342244352</t>
  </si>
  <si>
    <t>https://twitter.com/#!/crankydem/status/231178832516874240</t>
  </si>
  <si>
    <t>https://twitter.com/#!/wolfiemouse/status/231178994828054528</t>
  </si>
  <si>
    <t>https://twitter.com/#!/beehonest50/status/231100384956006400</t>
  </si>
  <si>
    <t>https://twitter.com/#!/dachdo/status/231116289421213698</t>
  </si>
  <si>
    <t>https://twitter.com/#!/VandelayDelores/status/231208758657814528</t>
  </si>
  <si>
    <t>https://twitter.com/#!/DariMD/status/231080454504189954</t>
  </si>
  <si>
    <t>https://twitter.com/#!/theonlyadult/status/231077676759281664</t>
  </si>
  <si>
    <t>https://twitter.com/#!/theonlyadult/status/231142475258023937</t>
  </si>
  <si>
    <t>https://twitter.com/#!/SrCal/status/231209185331789824</t>
  </si>
  <si>
    <t>https://twitter.com/#!/LisaTalmadge/status/231210893659209728</t>
  </si>
  <si>
    <t>https://twitter.com/#!/Time2Standup80/status/231054816288325633</t>
  </si>
  <si>
    <t>https://twitter.com/#!/Time2Standup80/status/231056133538848769</t>
  </si>
  <si>
    <t>https://twitter.com/#!/Time2Standup80/status/231058274202554369</t>
  </si>
  <si>
    <t>https://twitter.com/#!/Time2Standup80/status/231070507401871360</t>
  </si>
  <si>
    <t>https://twitter.com/#!/Time2Standup80/status/231179482415906816</t>
  </si>
  <si>
    <t>https://twitter.com/#!/Time2Standup80/status/231186067699687424</t>
  </si>
  <si>
    <t>https://twitter.com/#!/HiJCP/status/231212522672369665</t>
  </si>
  <si>
    <t>https://twitter.com/#!/SayethSimon/status/231107683787341824</t>
  </si>
  <si>
    <t>https://twitter.com/#!/SayethSimon/status/231208534698782720</t>
  </si>
  <si>
    <t>https://twitter.com/#!/missb62/status/231053519703134208</t>
  </si>
  <si>
    <t>https://twitter.com/#!/turnapage/status/231114150787571712</t>
  </si>
  <si>
    <t>https://twitter.com/#!/8th_of_Branstad/status/231214401045278721</t>
  </si>
  <si>
    <t>https://twitter.com/#!/tikibandur/status/231071542262513665</t>
  </si>
  <si>
    <t>https://twitter.com/#!/AmPriorities/status/231073421172285441</t>
  </si>
  <si>
    <t>https://twitter.com/#!/AmPriorities/status/231222233601810433</t>
  </si>
  <si>
    <t>https://twitter.com/#!/AmPriorities/status/231223024580452352</t>
  </si>
  <si>
    <t>https://twitter.com/#!/AmPriorities/status/231223830109093888</t>
  </si>
  <si>
    <t>https://twitter.com/#!/DavidShuster/status/231092114438623233</t>
  </si>
  <si>
    <t>https://twitter.com/#!/mwoodward4/status/231114145876045825</t>
  </si>
  <si>
    <t>https://twitter.com/#!/mwoodward4/status/231225415019143168</t>
  </si>
  <si>
    <t>https://twitter.com/#!/mike_truman/status/231180258827710465</t>
  </si>
  <si>
    <t>https://twitter.com/#!/JamesYontrofsky/status/231230491938926592</t>
  </si>
  <si>
    <t>https://twitter.com/#!/Imjetta/status/231225331451826176</t>
  </si>
  <si>
    <t>https://twitter.com/#!/Imjetta/status/231229262496165888</t>
  </si>
  <si>
    <t>https://twitter.com/#!/Imjetta/status/231232968235036672</t>
  </si>
  <si>
    <t>https://twitter.com/#!/ksmith474/status/231059215962210304</t>
  </si>
  <si>
    <t>https://twitter.com/#!/ksmith474/status/231059895791779840</t>
  </si>
  <si>
    <t>https://twitter.com/#!/ksmith474/status/231062587066970112</t>
  </si>
  <si>
    <t>https://twitter.com/#!/FJ473/status/231060715572715520</t>
  </si>
  <si>
    <t>https://twitter.com/#!/FJ473/status/231062616561311745</t>
  </si>
  <si>
    <t>https://twitter.com/#!/TheWrightWingv2/status/231059635774312449</t>
  </si>
  <si>
    <t>https://twitter.com/#!/TheWrightWingv2/status/231062318157537281</t>
  </si>
  <si>
    <t>https://twitter.com/#!/TheWrightWingv2/status/231063981547196417</t>
  </si>
  <si>
    <t>https://twitter.com/#!/Imjetta/status/231060844727914497</t>
  </si>
  <si>
    <t>https://twitter.com/#!/FJ473/status/231055724527104001</t>
  </si>
  <si>
    <t>https://twitter.com/#!/FJ473/status/231057126599053312</t>
  </si>
  <si>
    <t>https://twitter.com/#!/pmrushirish/status/231068767873032192</t>
  </si>
  <si>
    <t>https://twitter.com/#!/davidwebbshow/status/231062317834579969</t>
  </si>
  <si>
    <t>https://twitter.com/#!/Loxodonta_s/status/231106860558721024</t>
  </si>
  <si>
    <t>https://twitter.com/#!/GregWHoward/status/231058136822337537</t>
  </si>
  <si>
    <t>https://twitter.com/#!/owendbanks/status/231073360275202048</t>
  </si>
  <si>
    <t>https://twitter.com/#!/canadians4mitt/status/231063848910721026</t>
  </si>
  <si>
    <t>https://twitter.com/#!/AmericanMind/status/231137654522146816</t>
  </si>
  <si>
    <t>https://twitter.com/#!/AmericanMind/status/231140216860184576</t>
  </si>
  <si>
    <t>https://twitter.com/#!/lymurp/status/231061526348455936</t>
  </si>
  <si>
    <t>https://twitter.com/#!/connnutmeg/status/231062105208541184</t>
  </si>
  <si>
    <t>https://twitter.com/#!/ZekeJMiller/status/231140820873527296</t>
  </si>
  <si>
    <t>https://twitter.com/#!/globeglen/status/231140774971072512</t>
  </si>
  <si>
    <t>https://twitter.com/#!/globeglen/status/231145083792158721</t>
  </si>
  <si>
    <t>https://twitter.com/#!/RJF_723/status/231052867681792000</t>
  </si>
  <si>
    <t>https://twitter.com/#!/RJF_723/status/231053942564470784</t>
  </si>
  <si>
    <t>https://twitter.com/#!/RJF_723/status/231055296963940353</t>
  </si>
  <si>
    <t>https://twitter.com/#!/IngerRobberstad/status/231064743354441728</t>
  </si>
  <si>
    <t>https://twitter.com/#!/AndrewHClark/status/231062295986438144</t>
  </si>
  <si>
    <t>https://twitter.com/#!/lilmsunshne/status/231064109708374016</t>
  </si>
  <si>
    <t>https://twitter.com/#!/lilmsunshne/status/231066409994706944</t>
  </si>
  <si>
    <t>https://twitter.com/#!/mantone1/status/231059397625929728</t>
  </si>
  <si>
    <t>https://twitter.com/#!/gitmo62/status/231196524208590848</t>
  </si>
  <si>
    <t>https://twitter.com/#!/ChrisMatthewspu/status/231130991970897920</t>
  </si>
  <si>
    <t>https://twitter.com/#!/ChrisMatthewspu/status/231131516233736193</t>
  </si>
  <si>
    <t>https://twitter.com/#!/ChrisMatthewspu/status/231133981293309953</t>
  </si>
  <si>
    <t>https://twitter.com/#!/ChrisMatthewspu/status/231134423737847808</t>
  </si>
  <si>
    <t>https://twitter.com/#!/ChrisMatthewspu/status/231136409287798784</t>
  </si>
  <si>
    <t>https://twitter.com/#!/ChrisMatthewspu/status/231137291798732801</t>
  </si>
  <si>
    <t>https://twitter.com/#!/ChrisMatthewspu/status/231215739414147072</t>
  </si>
  <si>
    <t>https://twitter.com/#!/ZekeJMiller/status/231052070000672768</t>
  </si>
  <si>
    <t>https://twitter.com/#!/RalstonFlash/status/231059863260770304</t>
  </si>
  <si>
    <t>https://twitter.com/#!/ACollinsByrnes/status/231230363127668736</t>
  </si>
  <si>
    <t>https://twitter.com/#!/sidney_fife/status/231076132928245760</t>
  </si>
  <si>
    <t>https://twitter.com/#!/hkistemann/status/231051070913265666</t>
  </si>
  <si>
    <t>https://twitter.com/#!/sarahcgoldstein/status/231085994898767873</t>
  </si>
  <si>
    <t>https://twitter.com/#!/Jlessard/status/231071085586677761</t>
  </si>
  <si>
    <t>https://twitter.com/#!/coxwebdev/status/231056326007074816</t>
  </si>
  <si>
    <t>https://twitter.com/#!/juliagulia614/status/231184645436354560</t>
  </si>
  <si>
    <t>https://twitter.com/#!/rterenzi1/status/231201034058477568</t>
  </si>
  <si>
    <t>https://twitter.com/#!/Timodc/status/231061042023772160</t>
  </si>
  <si>
    <t>https://twitter.com/#!/Dcarter888K/status/231088202100916224</t>
  </si>
  <si>
    <t>https://twitter.com/#!/Dcarter888K/status/231172151116431360</t>
  </si>
  <si>
    <t>https://twitter.com/#!/Dcarter888K/status/231189214962798594</t>
  </si>
  <si>
    <t>https://twitter.com/#!/dysinger1231/status/231071643093581824</t>
  </si>
  <si>
    <t>https://twitter.com/#!/JoAnnEileen/status/231138823730524160</t>
  </si>
  <si>
    <t>https://twitter.com/#!/SierraDante/status/231062939229102080</t>
  </si>
  <si>
    <t>https://twitter.com/#!/sigstarget/status/231086628540657664</t>
  </si>
  <si>
    <t>https://twitter.com/#!/ProudlyWeHail/status/231060293252423681</t>
  </si>
  <si>
    <t>https://twitter.com/#!/dcseth/status/231062534487146496</t>
  </si>
  <si>
    <t>https://twitter.com/#!/ComfyPaws/status/231198701794775040</t>
  </si>
  <si>
    <t>https://twitter.com/#!/PeterLaCrosse/status/231162873617977345</t>
  </si>
  <si>
    <t>https://twitter.com/#!/TeamEmailSMS/status/231065323376373761</t>
  </si>
  <si>
    <t>https://twitter.com/#!/liars_never_win/status/231086497363808256</t>
  </si>
  <si>
    <t>https://twitter.com/#!/DefeatObama/status/231089860696477697</t>
  </si>
  <si>
    <t>https://twitter.com/#!/eeyrehead/status/231078691000705024</t>
  </si>
  <si>
    <t>https://twitter.com/#!/Anewhomestar/status/231232853185290240</t>
  </si>
  <si>
    <t>https://twitter.com/#!/CindyCoops/status/231096399608020993</t>
  </si>
  <si>
    <t>https://twitter.com/#!/TheWrightWingv2/status/231055188838985728</t>
  </si>
  <si>
    <t>https://twitter.com/#!/TheWrightWingv2/status/231056687107297280</t>
  </si>
  <si>
    <t>https://twitter.com/#!/TheWrightWingv2/status/231058925007552514</t>
  </si>
  <si>
    <t>https://twitter.com/#!/TheWrightWingv2/status/231059084454031360</t>
  </si>
  <si>
    <t>https://twitter.com/#!/TheWrightWingv2/status/231179786318401536</t>
  </si>
  <si>
    <t>https://twitter.com/#!/TheWrightWingv2/status/231226816331915264</t>
  </si>
  <si>
    <t>https://twitter.com/#!/Imjetta/status/231174667975667712</t>
  </si>
  <si>
    <t>https://twitter.com/#!/Imjetta/status/231224665639620608</t>
  </si>
  <si>
    <t>https://twitter.com/#!/Imjetta/status/231225491091230720</t>
  </si>
  <si>
    <t>https://twitter.com/#!/Imjetta/status/231226006000779264</t>
  </si>
  <si>
    <t>https://twitter.com/#!/Imjetta/status/231229668257316864</t>
  </si>
  <si>
    <t>https://twitter.com/#!/BillHemmer/status/231060963477049345</t>
  </si>
  <si>
    <t>https://twitter.com/#!/RomneyResponse/status/231062993474031617</t>
  </si>
  <si>
    <t>https://twitter.com/#!/NathanSFurtado/status/231233053253578753</t>
  </si>
  <si>
    <t>https://twitter.com/#!/TIMENOUT/status/231086394272002050</t>
  </si>
  <si>
    <t>https://twitter.com/#!/CAP741776/status/231233204881850368</t>
  </si>
  <si>
    <t>https://twitter.com/#!/CAP741776/status/231233262960381952</t>
  </si>
  <si>
    <t>https://twitter.com/#!/Norsu2/status/231232313550323713</t>
  </si>
  <si>
    <t>https://twitter.com/#!/Patriot38/status/231242996866240513</t>
  </si>
  <si>
    <t>231051788185399296</t>
  </si>
  <si>
    <t>231054597530206208</t>
  </si>
  <si>
    <t>231055722912305152</t>
  </si>
  <si>
    <t>231056570333683712</t>
  </si>
  <si>
    <t>231063050332012545</t>
  </si>
  <si>
    <t>231067265762742272</t>
  </si>
  <si>
    <t>231072679942299648</t>
  </si>
  <si>
    <t>231067404887801856</t>
  </si>
  <si>
    <t>231074597263511552</t>
  </si>
  <si>
    <t>231080956004536320</t>
  </si>
  <si>
    <t>231081158274842625</t>
  </si>
  <si>
    <t>231073864371822592</t>
  </si>
  <si>
    <t>231080015847096320</t>
  </si>
  <si>
    <t>231080481159008256</t>
  </si>
  <si>
    <t>231081895507673088</t>
  </si>
  <si>
    <t>231083945356304384</t>
  </si>
  <si>
    <t>231092575925325824</t>
  </si>
  <si>
    <t>231093451771494401</t>
  </si>
  <si>
    <t>231094446102552576</t>
  </si>
  <si>
    <t>231097908005568514</t>
  </si>
  <si>
    <t>231103703497719808</t>
  </si>
  <si>
    <t>231106613220605953</t>
  </si>
  <si>
    <t>231111417753903105</t>
  </si>
  <si>
    <t>231134161136652288</t>
  </si>
  <si>
    <t>231134874130604032</t>
  </si>
  <si>
    <t>231143842060042240</t>
  </si>
  <si>
    <t>231195065756835843</t>
  </si>
  <si>
    <t>231210012658266113</t>
  </si>
  <si>
    <t>231210525336432640</t>
  </si>
  <si>
    <t>231212817636794369</t>
  </si>
  <si>
    <t>231215263918465025</t>
  </si>
  <si>
    <t>231167794278985728</t>
  </si>
  <si>
    <t>231196119286300673</t>
  </si>
  <si>
    <t>231220486951034880</t>
  </si>
  <si>
    <t>231223242248048641</t>
  </si>
  <si>
    <t>231148569040650242</t>
  </si>
  <si>
    <t>231224510035148800</t>
  </si>
  <si>
    <t>231233952126488576</t>
  </si>
  <si>
    <t>231058607708450816</t>
  </si>
  <si>
    <t>231057874825125889</t>
  </si>
  <si>
    <t>231060209173413888</t>
  </si>
  <si>
    <t>231060222729400321</t>
  </si>
  <si>
    <t>231060466393292800</t>
  </si>
  <si>
    <t>231060901472641024</t>
  </si>
  <si>
    <t>231061537513676800</t>
  </si>
  <si>
    <t>231061689821450241</t>
  </si>
  <si>
    <t>231061776647745537</t>
  </si>
  <si>
    <t>231059949864747009</t>
  </si>
  <si>
    <t>231061806947393536</t>
  </si>
  <si>
    <t>231063043612753922</t>
  </si>
  <si>
    <t>231061421188853760</t>
  </si>
  <si>
    <t>231063527929040896</t>
  </si>
  <si>
    <t>231062416119721985</t>
  </si>
  <si>
    <t>231064616241868801</t>
  </si>
  <si>
    <t>231065792509247489</t>
  </si>
  <si>
    <t>231061307598721024</t>
  </si>
  <si>
    <t>231061423755767808</t>
  </si>
  <si>
    <t>231061639477211136</t>
  </si>
  <si>
    <t>231063042127966208</t>
  </si>
  <si>
    <t>231063194813231105</t>
  </si>
  <si>
    <t>231063537571725313</t>
  </si>
  <si>
    <t>231063726902636544</t>
  </si>
  <si>
    <t>231064005769302017</t>
  </si>
  <si>
    <t>231064202637365248</t>
  </si>
  <si>
    <t>231064899047014400</t>
  </si>
  <si>
    <t>231065038453084160</t>
  </si>
  <si>
    <t>231065368234442752</t>
  </si>
  <si>
    <t>231065520454135809</t>
  </si>
  <si>
    <t>231065742521548800</t>
  </si>
  <si>
    <t>231065950248636417</t>
  </si>
  <si>
    <t>231066265156993025</t>
  </si>
  <si>
    <t>231066439455485952</t>
  </si>
  <si>
    <t>231066523526115329</t>
  </si>
  <si>
    <t>231066714417283072</t>
  </si>
  <si>
    <t>231068835388719104</t>
  </si>
  <si>
    <t>231068650747068416</t>
  </si>
  <si>
    <t>231069835143024640</t>
  </si>
  <si>
    <t>231074450727116800</t>
  </si>
  <si>
    <t>231068450242588674</t>
  </si>
  <si>
    <t>231080030090973184</t>
  </si>
  <si>
    <t>231077000700375040</t>
  </si>
  <si>
    <t>231087750093365248</t>
  </si>
  <si>
    <t>231087798441099264</t>
  </si>
  <si>
    <t>231092192624668672</t>
  </si>
  <si>
    <t>231092774475280384</t>
  </si>
  <si>
    <t>231091789229072384</t>
  </si>
  <si>
    <t>231079286172430338</t>
  </si>
  <si>
    <t>231092221053661184</t>
  </si>
  <si>
    <t>231092281644572672</t>
  </si>
  <si>
    <t>231092737389256704</t>
  </si>
  <si>
    <t>231092781060333568</t>
  </si>
  <si>
    <t>231093769095745536</t>
  </si>
  <si>
    <t>231094023278956544</t>
  </si>
  <si>
    <t>231094040236548096</t>
  </si>
  <si>
    <t>231092769052049408</t>
  </si>
  <si>
    <t>231094345502191616</t>
  </si>
  <si>
    <t>231094687996448770</t>
  </si>
  <si>
    <t>231102972124340224</t>
  </si>
  <si>
    <t>231063335456624640</t>
  </si>
  <si>
    <t>231116637233872897</t>
  </si>
  <si>
    <t>231053372415938560</t>
  </si>
  <si>
    <t>231066825503428608</t>
  </si>
  <si>
    <t>231092340641636352</t>
  </si>
  <si>
    <t>231131970124525569</t>
  </si>
  <si>
    <t>231135878410555392</t>
  </si>
  <si>
    <t>231059149197279232</t>
  </si>
  <si>
    <t>231138858836824064</t>
  </si>
  <si>
    <t>231139339134984192</t>
  </si>
  <si>
    <t>231059356056182784</t>
  </si>
  <si>
    <t>231059566165651456</t>
  </si>
  <si>
    <t>231064153526263808</t>
  </si>
  <si>
    <t>231064626706653184</t>
  </si>
  <si>
    <t>231065019004100609</t>
  </si>
  <si>
    <t>231065283123634177</t>
  </si>
  <si>
    <t>231066011288367104</t>
  </si>
  <si>
    <t>231091688016326656</t>
  </si>
  <si>
    <t>231093173345210368</t>
  </si>
  <si>
    <t>231093420167401472</t>
  </si>
  <si>
    <t>231103568369831936</t>
  </si>
  <si>
    <t>231104831551594496</t>
  </si>
  <si>
    <t>231105662887792640</t>
  </si>
  <si>
    <t>231158132754231298</t>
  </si>
  <si>
    <t>231158542671937536</t>
  </si>
  <si>
    <t>231104350536220672</t>
  </si>
  <si>
    <t>231104748084920320</t>
  </si>
  <si>
    <t>231066428181188608</t>
  </si>
  <si>
    <t>231141886239322112</t>
  </si>
  <si>
    <t>231141279529041920</t>
  </si>
  <si>
    <t>231141720459464704</t>
  </si>
  <si>
    <t>231142052837068801</t>
  </si>
  <si>
    <t>231144740479971328</t>
  </si>
  <si>
    <t>231139065230155776</t>
  </si>
  <si>
    <t>231170797354491904</t>
  </si>
  <si>
    <t>231068833899745280</t>
  </si>
  <si>
    <t>231083324595122176</t>
  </si>
  <si>
    <t>231066172081176576</t>
  </si>
  <si>
    <t>231118672763183104</t>
  </si>
  <si>
    <t>231175119303741440</t>
  </si>
  <si>
    <t>231057816817913858</t>
  </si>
  <si>
    <t>231064581324300288</t>
  </si>
  <si>
    <t>231178421558996994</t>
  </si>
  <si>
    <t>231113913117327360</t>
  </si>
  <si>
    <t>231117789908316160</t>
  </si>
  <si>
    <t>231092887889268736</t>
  </si>
  <si>
    <t>231180522032869376</t>
  </si>
  <si>
    <t>231181904181862400</t>
  </si>
  <si>
    <t>231184873367408640</t>
  </si>
  <si>
    <t>231109098769379328</t>
  </si>
  <si>
    <t>231079379214684160</t>
  </si>
  <si>
    <t>231060675483541504</t>
  </si>
  <si>
    <t>231141722292375552</t>
  </si>
  <si>
    <t>231118220101308417</t>
  </si>
  <si>
    <t>231135124769632256</t>
  </si>
  <si>
    <t>231174987325767680</t>
  </si>
  <si>
    <t>231193462584782849</t>
  </si>
  <si>
    <t>231112356271362049</t>
  </si>
  <si>
    <t>231113561945042944</t>
  </si>
  <si>
    <t>231097903140184066</t>
  </si>
  <si>
    <t>231114084072968192</t>
  </si>
  <si>
    <t>231094110424014848</t>
  </si>
  <si>
    <t>231127589194969088</t>
  </si>
  <si>
    <t>231053951057944578</t>
  </si>
  <si>
    <t>231107744613154816</t>
  </si>
  <si>
    <t>231141698531647488</t>
  </si>
  <si>
    <t>231131093607251968</t>
  </si>
  <si>
    <t>231121230491701248</t>
  </si>
  <si>
    <t>231191029586460672</t>
  </si>
  <si>
    <t>231076124719984643</t>
  </si>
  <si>
    <t>231076924838010880</t>
  </si>
  <si>
    <t>231052803261472769</t>
  </si>
  <si>
    <t>231191590616563712</t>
  </si>
  <si>
    <t>231066671585050624</t>
  </si>
  <si>
    <t>231160192010698753</t>
  </si>
  <si>
    <t>231126906081267712</t>
  </si>
  <si>
    <t>231078162342244352</t>
  </si>
  <si>
    <t>231178832516874240</t>
  </si>
  <si>
    <t>231178994828054528</t>
  </si>
  <si>
    <t>231100384956006400</t>
  </si>
  <si>
    <t>231116289421213698</t>
  </si>
  <si>
    <t>231208758657814528</t>
  </si>
  <si>
    <t>231080454504189954</t>
  </si>
  <si>
    <t>231077676759281664</t>
  </si>
  <si>
    <t>231142475258023937</t>
  </si>
  <si>
    <t>231209185331789824</t>
  </si>
  <si>
    <t>231210893659209728</t>
  </si>
  <si>
    <t>231054816288325633</t>
  </si>
  <si>
    <t>231056133538848769</t>
  </si>
  <si>
    <t>231058274202554369</t>
  </si>
  <si>
    <t>231070507401871360</t>
  </si>
  <si>
    <t>231179482415906816</t>
  </si>
  <si>
    <t>231186067699687424</t>
  </si>
  <si>
    <t>231212522672369665</t>
  </si>
  <si>
    <t>231107683787341824</t>
  </si>
  <si>
    <t>231208534698782720</t>
  </si>
  <si>
    <t>231053519703134208</t>
  </si>
  <si>
    <t>231114150787571712</t>
  </si>
  <si>
    <t>231214401045278721</t>
  </si>
  <si>
    <t>231071542262513665</t>
  </si>
  <si>
    <t>231073421172285441</t>
  </si>
  <si>
    <t>231222233601810433</t>
  </si>
  <si>
    <t>231223024580452352</t>
  </si>
  <si>
    <t>231223830109093888</t>
  </si>
  <si>
    <t>231092114438623233</t>
  </si>
  <si>
    <t>231114145876045825</t>
  </si>
  <si>
    <t>231225415019143168</t>
  </si>
  <si>
    <t>231180258827710465</t>
  </si>
  <si>
    <t>231230491938926592</t>
  </si>
  <si>
    <t>231225331451826176</t>
  </si>
  <si>
    <t>231229262496165888</t>
  </si>
  <si>
    <t>231232968235036672</t>
  </si>
  <si>
    <t>231059215962210304</t>
  </si>
  <si>
    <t>231059895791779840</t>
  </si>
  <si>
    <t>231062587066970112</t>
  </si>
  <si>
    <t>231060715572715520</t>
  </si>
  <si>
    <t>231062616561311745</t>
  </si>
  <si>
    <t>231059635774312449</t>
  </si>
  <si>
    <t>231062318157537281</t>
  </si>
  <si>
    <t>231063981547196417</t>
  </si>
  <si>
    <t>231060844727914497</t>
  </si>
  <si>
    <t>231055724527104001</t>
  </si>
  <si>
    <t>231057126599053312</t>
  </si>
  <si>
    <t>231068767873032192</t>
  </si>
  <si>
    <t>231062317834579969</t>
  </si>
  <si>
    <t>231106860558721024</t>
  </si>
  <si>
    <t>231058136822337537</t>
  </si>
  <si>
    <t>231073360275202048</t>
  </si>
  <si>
    <t>231063848910721026</t>
  </si>
  <si>
    <t>231137654522146816</t>
  </si>
  <si>
    <t>231140216860184576</t>
  </si>
  <si>
    <t>231061526348455936</t>
  </si>
  <si>
    <t>231062105208541184</t>
  </si>
  <si>
    <t>231140820873527296</t>
  </si>
  <si>
    <t>231140774971072512</t>
  </si>
  <si>
    <t>231145083792158721</t>
  </si>
  <si>
    <t>231052867681792000</t>
  </si>
  <si>
    <t>231053942564470784</t>
  </si>
  <si>
    <t>231055296963940353</t>
  </si>
  <si>
    <t>231064743354441728</t>
  </si>
  <si>
    <t>231062295986438144</t>
  </si>
  <si>
    <t>231064109708374016</t>
  </si>
  <si>
    <t>231066409994706944</t>
  </si>
  <si>
    <t>231059397625929728</t>
  </si>
  <si>
    <t>231196524208590848</t>
  </si>
  <si>
    <t>231130991970897920</t>
  </si>
  <si>
    <t>231131516233736193</t>
  </si>
  <si>
    <t>231133981293309953</t>
  </si>
  <si>
    <t>231134423737847808</t>
  </si>
  <si>
    <t>231136409287798784</t>
  </si>
  <si>
    <t>231137291798732801</t>
  </si>
  <si>
    <t>231215739414147072</t>
  </si>
  <si>
    <t>231052070000672768</t>
  </si>
  <si>
    <t>231059863260770304</t>
  </si>
  <si>
    <t>231230363127668736</t>
  </si>
  <si>
    <t>231076132928245760</t>
  </si>
  <si>
    <t>231051070913265666</t>
  </si>
  <si>
    <t>231085994898767873</t>
  </si>
  <si>
    <t>231071085586677761</t>
  </si>
  <si>
    <t>231056326007074816</t>
  </si>
  <si>
    <t>231184645436354560</t>
  </si>
  <si>
    <t>231201034058477568</t>
  </si>
  <si>
    <t>231061042023772160</t>
  </si>
  <si>
    <t>231088202100916224</t>
  </si>
  <si>
    <t>231172151116431360</t>
  </si>
  <si>
    <t>231189214962798594</t>
  </si>
  <si>
    <t>231071643093581824</t>
  </si>
  <si>
    <t>231138823730524160</t>
  </si>
  <si>
    <t>231062939229102080</t>
  </si>
  <si>
    <t>231086628540657664</t>
  </si>
  <si>
    <t>231060293252423681</t>
  </si>
  <si>
    <t>231062534487146496</t>
  </si>
  <si>
    <t>231198701794775040</t>
  </si>
  <si>
    <t>231162873617977345</t>
  </si>
  <si>
    <t>231065323376373761</t>
  </si>
  <si>
    <t>231086497363808256</t>
  </si>
  <si>
    <t>231089860696477697</t>
  </si>
  <si>
    <t>231078691000705024</t>
  </si>
  <si>
    <t>231232853185290240</t>
  </si>
  <si>
    <t>231096399608020993</t>
  </si>
  <si>
    <t>231055188838985728</t>
  </si>
  <si>
    <t>231056687107297280</t>
  </si>
  <si>
    <t>231058925007552514</t>
  </si>
  <si>
    <t>231059084454031360</t>
  </si>
  <si>
    <t>231179786318401536</t>
  </si>
  <si>
    <t>231226816331915264</t>
  </si>
  <si>
    <t>231174667975667712</t>
  </si>
  <si>
    <t>231224665639620608</t>
  </si>
  <si>
    <t>231225491091230720</t>
  </si>
  <si>
    <t>231226006000779264</t>
  </si>
  <si>
    <t>231229668257316864</t>
  </si>
  <si>
    <t>231060963477049345</t>
  </si>
  <si>
    <t>231062993474031617</t>
  </si>
  <si>
    <t>231233053253578753</t>
  </si>
  <si>
    <t>231086394272002050</t>
  </si>
  <si>
    <t>231233204881850368</t>
  </si>
  <si>
    <t>231233262960381952</t>
  </si>
  <si>
    <t>231232313550323713</t>
  </si>
  <si>
    <t>231242996866240513</t>
  </si>
  <si>
    <t>Followers</t>
  </si>
  <si>
    <t>Tweets</t>
  </si>
  <si>
    <t>Favorites</t>
  </si>
  <si>
    <t>Description</t>
  </si>
  <si>
    <t>Location</t>
  </si>
  <si>
    <t>Web</t>
  </si>
  <si>
    <t>Time Zone</t>
  </si>
  <si>
    <t>Time Zone UTC Offset (Seconds)</t>
  </si>
  <si>
    <t>Joined Twitter Date (UTC)</t>
  </si>
  <si>
    <t>Custom Menu Item Text</t>
  </si>
  <si>
    <t>Custom Menu Item Action</t>
  </si>
  <si>
    <t xml:space="preserve">Fiercely libertarian.  </t>
  </si>
  <si>
    <t>Born 9/23/62, only child, loves to write, resigned that The One will never come for me.</t>
  </si>
  <si>
    <t>i believe in Love, above all things._x000D_
i believe in equality for all._x000D_
i believe that we must respect each other &amp; unite for a better future.</t>
  </si>
  <si>
    <t>Attempting to shine my light in the halls of Shambala.</t>
  </si>
  <si>
    <t>Anonymous Fixed Income Freak; Munis, Corporates, REITs, CEFs, Preferreds, etcetera, etcetera, etcetera</t>
  </si>
  <si>
    <t>Just Me, avg middle class guy, with Aussie wife who has returned to the U.S. from NZ after learning  painful lessons of Citizenship double taxation, FBAR/FATCA</t>
  </si>
  <si>
    <t>Eclectically Dialectical</t>
  </si>
  <si>
    <t>Clinically depressed, laid-off band director who passes the time until the next job by subbing and playing video games.</t>
  </si>
  <si>
    <t>Kids these days...with all these Internets and what not...go outside and walk uphill both ways like we used to! #TEAMORNERY</t>
  </si>
  <si>
    <t>i am your average power consumer</t>
  </si>
  <si>
    <t>die-hard Boston sports fan, UVM grad 2009, studied abroad in Africa, aspiring journalist/author, liberal democrat, love wilco</t>
  </si>
  <si>
    <t xml:space="preserve">I am a (Panama) Canal Zone brat and proud of it  </t>
  </si>
  <si>
    <t>I'm Politics Editor at boston.com. I blog and write about local, state, and national politics. I also enjoy cooking for myself and in pro kitchens.</t>
  </si>
  <si>
    <t>VSU ~ ENGLISH MASS COMMUNICATIONS RETWEETS ARE NOT ENDORSEMENTS</t>
  </si>
  <si>
    <t>Go forth and set the world aflame. St. Ignatius of Loyola.  These tweets are my own and do not reflect the views of anyone but me.</t>
  </si>
  <si>
    <t>Web application, web site designer, and runner (to eliminate the stress).</t>
  </si>
  <si>
    <t>No one of consequence. Professional writer &amp; project manager, unprofessional economist, wonk, seamhead, and humorist. But firstly Dad and hubby.</t>
  </si>
  <si>
    <t xml:space="preserve">New Orleans Saints 
Mississippi State 
Atlanta Braves
</t>
  </si>
  <si>
    <t>56 year old HHH/Wellstone DFL'er with an underwater Mortgage</t>
  </si>
  <si>
    <t>Public Affairs Consultant. Former U.S. Senate Staffer and Texas GOP Campaign Veteran.</t>
  </si>
  <si>
    <t>@FoxNews in #NYC. Host on America's Newsroom, 9am-11am ET, Mon-Fri.</t>
  </si>
  <si>
    <t>Finding the Comedy in Politics. By @TheMattWilstein</t>
  </si>
  <si>
    <t>@BuzzFeed Politics Reporter. Yale grad. Email: zekejmiller@gmail.com Links&amp;RTs≠Endorsements</t>
  </si>
  <si>
    <t>*JUSTICE FOR ALL not SOCIAL JUSTICE FOR SOME; *Social justice is codeword for communism; *Capitalism &amp; communism can’t co-exist; *Tweeting is self-therapy.</t>
  </si>
  <si>
    <t>Patriot bull charging through the china shop of party politics, shattering the lies. USMC vet, DAV, music ministry. Avatar and background copyright 2010.</t>
  </si>
  <si>
    <t>boomer,blue collar,irish,eng.,scotch.love fri nights crown royal+ginger, true stories,love my USA.</t>
  </si>
  <si>
    <t>An ordinary American mom fed up with a federal govt growing too powerful! I believe in the Constitution, free enterprise, and strong U.S. military.</t>
  </si>
  <si>
    <t>National Security Policy Analyst at the Center for American Progress. Proud son of Nyack. Electric guitar canonist. Personal account, opinions my own.</t>
  </si>
  <si>
    <t xml:space="preserve">Emmy award winning broadcast journalist based in Washington, D.C._x000D_
_x000D_
</t>
  </si>
  <si>
    <t>I am a political journalist in Nevada with a statewide TV program, email newsletter and columns. Email me at ralstonflash@gmail.com</t>
  </si>
  <si>
    <t>Deputy Communications Dir. at RNC. Former Huntsman Spox. I know @BlakeWilly. Complaint Box: TMiller at RNCHQ dot org</t>
  </si>
  <si>
    <t>A Pittsburgh native with Potomac Fever. Christian, conservative, a Bitter Clinger to the end. @AmericanU alum, all around good guy. Go Mitt!</t>
  </si>
  <si>
    <t>MSChE (chem engr)_x000D_
Univ. of Ark. '71_x000D_
Retired, Eagle scout + bronze , Christian TEA Party constitutional conservative</t>
  </si>
  <si>
    <t>Fed up with oversized, over demanding, over spending government. Hater of left wing liberals of any party. Time to terminate. Distrust ALL Muslims - all liars.</t>
  </si>
  <si>
    <t>Education Practitioner, a life dedicated to common sense and the real world. Political correctness is dangerous and I've no interest in it. Be 100%</t>
  </si>
  <si>
    <t xml:space="preserve">Cynical Idealist. Competitive Zen. 
AKA: Writer. Editor. Strategist. Producer. Certified Mediator. </t>
  </si>
  <si>
    <t>Best use of twitter I have found so far: when I need to bite back an acerbic remark, I tweet it ASAP.  This may save my tenuous grip on sanity.</t>
  </si>
  <si>
    <t>Fan of Jesus. 40 yr old husband, father of 2. Cardiovascular sonographer.Fiscally conservative independent voter.</t>
  </si>
  <si>
    <t>Concerned citizen.  I just want to be left to make a living and provide for my family without being taxed to death or regulated into oblivion... opins r my own</t>
  </si>
  <si>
    <t>Conservative news and blog posts. Annoy a liberal; retweet my posts. Follow me for interesting nuggets of moonbat deflating smackdown. #tcot #teaparty #ocra</t>
  </si>
  <si>
    <t xml:space="preserve">Palin-Reagan Conservative.  </t>
  </si>
  <si>
    <t>Outspoken conservative.  Small government, private sector advocate, low taxes, free speech, right to bear arms and Ben Quayle supporter in CD6!</t>
  </si>
  <si>
    <t xml:space="preserve">I seek not? For I am as you is to be! -Thee Palindrome Poet </t>
  </si>
  <si>
    <t>Attorney @ Proxymity, LLC. - Cyclone Fan, Golfer, Conservative</t>
  </si>
  <si>
    <t>You will see that I am very opinionated but sometimes, yes sometimes, my personal views are insightful...but of course, that's my opinion!!!</t>
  </si>
  <si>
    <t>The David Webb Show on SiriusXM Patriot 125 Mon-Fri 9pm-12am ET, replay 10am / 7pm ET Sat. TV &amp; Radio Commentator. TeaParty365 NYC Founder.</t>
  </si>
  <si>
    <t>I Like Old Stuff. I Saved Nails From Old Buildings That I Tore Down. I Don't Buy New Nails. New Nails Suck.</t>
  </si>
  <si>
    <t>Assistant Editor at Big Hollywood, contributor to The Dennis Miller Show, America's Morning News and The Mike Rosen Show.</t>
  </si>
  <si>
    <t>Conservative libertarian or libertarian conservative? and feisty protest babe. Newly minted American! I could live in about 30 countries but I choose here!</t>
  </si>
  <si>
    <t>Christ follower-believe n small govrmnt-freedom-constitution-support Israel's right to defend HER land. http://ttb.org/</t>
  </si>
  <si>
    <t xml:space="preserve">This nation, under God, shall have a new birth of freedom that government of the people, by the people, for the people, shall not perish from the earth.#LNYHBT </t>
  </si>
  <si>
    <t>Fighting the good fight here in the middle of Liberalism - Manhattan, NY.</t>
  </si>
  <si>
    <t>Blonde and smart! RN BscN JD. Republican. Jewish. Wall Street &amp; Stocks Junkie. Defender of Israel. Apologize for what?! #tcot #Breitbart  #RedEye #Mitt2012</t>
  </si>
  <si>
    <t>The Tea Party Movement of the Pop Culture. :: Part of Hollywood 2.0 - The Next BIG Thing. Restore America's greatness - Accelerate America's progress. GOD.</t>
  </si>
  <si>
    <t xml:space="preserve">Catholic, Small business professional,wife, recovering soccer mom &amp; stage mom, enjoying family and friends to the max </t>
  </si>
  <si>
    <t>Living the dream</t>
  </si>
  <si>
    <t>We stand with Keith Olbermann, the greatest political voice of all time! Account operated by Fans and Friends of Keith! #FOK</t>
  </si>
  <si>
    <t>60+wife, mother, school counselor, retired</t>
  </si>
  <si>
    <t>Dear RWNJ, don't bother following me. I'll block you faster than a Mitt Romney lie. Go shoot someone.</t>
  </si>
  <si>
    <t>wherever I go, there I am</t>
  </si>
  <si>
    <t>Cinematography and photography are my life, :)I make pictures. Techie,  drummer, I try at guitar. Hobby Programming C++, C#.</t>
  </si>
  <si>
    <t>Twitter feed for TIME's politics channel, Swampland and The Page by @MarkHalperin. Hosted by TIME's @jhseher.</t>
  </si>
  <si>
    <t>Faith.Country.Freedom. My Lab listens to Rush &amp; understands the Constitution better than any liberal.</t>
  </si>
  <si>
    <t>I am originally from Colorado, Pastor's Wife, mother, grandmother, who loves her country but is very concerned about it's future</t>
  </si>
  <si>
    <t>I tweet about people and topics that interest me. You know you wouldn't want it any other way.</t>
  </si>
  <si>
    <t xml:space="preserve">Wharton Study Prediction Forecaster. True Independent. VP. Retired MX Professional. </t>
  </si>
  <si>
    <t>some guy on Twitter or something..</t>
  </si>
  <si>
    <t>@FFA_PB is proud to be narrow-minded [bigot], as he claims Jesus was/is.</t>
  </si>
  <si>
    <t xml:space="preserve">Work in Oilfield, Conservative, Husband,father of five and I also play video games. Into Technology, video games, God and, of course, my family. #teaparty #nra </t>
  </si>
  <si>
    <t>Conservative Louisiana native with a passion for NASCAR and politics!!!!  Member of the Louisiana Republican State Central Committee.</t>
  </si>
  <si>
    <t>God, love, kindness, charity, civility, humility, patience &amp; humor help. † Catholic. Conservative Reagan Big Tent Republican. Cap Obama 2010. Trade Obama 2012.</t>
  </si>
  <si>
    <t>Stand for progress. Stand with Progressives!  I follow cats and block RWNJs &amp; trolls unless they show their birth certificate, tax return and drive a hybrid.</t>
  </si>
  <si>
    <t>FEMALE Mature Punk Raver Attorney. Loudmouth but sensible liberal.  Supporter of rights all over the world.  Fan of Revolutions in Egypt Syrian Libya etc.</t>
  </si>
  <si>
    <t xml:space="preserve">You Discriminate &amp; I Will Too._x000D_
2 Wrongs DO Make A Right! </t>
  </si>
  <si>
    <t>Very liberal grandma,wife,crochet addict!Former USPS worker,union VP &amp; Steward. Obama2012!Take Back The House!</t>
  </si>
  <si>
    <t>freelance Web designer, admin @ History Commons; I keep the politics and Web design stuff separate!</t>
  </si>
  <si>
    <t>People For the American Way monitors and exposes activities of Radical Right political orgs @RightWingWatch. I publish links to Massachusetts related articles.</t>
  </si>
  <si>
    <t>Proud Liberal Democrat, Solid Obama~Biden Supporter- I'm IN. Jewelry artist in Training :), Army Vet, mom/ grandma;  animal &amp; earth lover~VOTE!</t>
  </si>
  <si>
    <t>Late baby boomer, avid reader, progressive political junkie, retweets don't necessarily = endorsement //OBAMA 2012!</t>
  </si>
  <si>
    <t>Cat lover. Mother. Liberal. Obamacrat.</t>
  </si>
  <si>
    <t>Business owner</t>
  </si>
  <si>
    <t xml:space="preserve">If its related to technology, law, economics...or video games....im there. </t>
  </si>
  <si>
    <t>Praying for our country. The war is raging - good against evil. Colorado-born. Love God, family, country! love our cat &amp; 3 dogs!#NRA #SCUBA</t>
  </si>
  <si>
    <t>Dream it, then do it. Ideas?</t>
  </si>
  <si>
    <t>ARDENT supporter of President Obama. We MUST elect a Congress that will work WITH him &amp; 4 the USA. Proud member of #ConnectTheLeft  I BLOCK Spammers &amp; RWNJ's</t>
  </si>
  <si>
    <t>Radio Producer, Webmaster, Graphic Artist, Consultant, Journalist - and Jack of many other trades.</t>
  </si>
  <si>
    <t>I write songs and sing like a crow. The time of brightness has passed. It's fate.</t>
  </si>
  <si>
    <t>Often transmitting from the progressive mothership (http://j.mp/xwc83g), but all transmissions here are mine alone. RTs ≠ endorsements.</t>
  </si>
  <si>
    <t>TBogg is unable to whistle using his fingers...or anyone else's</t>
  </si>
  <si>
    <t>Center-Left</t>
  </si>
  <si>
    <t>Political journalist for @TIME. Helps run @Markhalperin's The Page. Caretaker of @TIMEPolitics feed.</t>
  </si>
  <si>
    <t>Human/Advocate for Sanity/Lover of Wife</t>
  </si>
  <si>
    <t>Blogger, political junkie, following the 2012 election circus &amp; everything politics.</t>
  </si>
  <si>
    <t>It's impossible to say something meaningful in 160 characters. That's why I use twitter.</t>
  </si>
  <si>
    <t xml:space="preserve">Never chase anyone. A person who appreciates you will walk with you. #teamcancer       #Forward #ObamaBiden2012 </t>
  </si>
  <si>
    <t>writer who believes too many people form their own character using ideology, instead of reality</t>
  </si>
  <si>
    <t>Let's Get Ready to Rumble! Obama2012 Currently in law school.Rockefeller Republican dying breed. Vanishing breed or not- Republicans of today are vicious liars.</t>
  </si>
  <si>
    <t>Jovial Liberal.</t>
  </si>
  <si>
    <t>The excessive amount of money going into GOP SuperPacs wouldn't matter if Americans weren't so STUPID, GULLIBLE, &amp; EASILY DISTRACTED!</t>
  </si>
  <si>
    <t>Writer..Liberal/Democrat.Staunch Obama Supporter. Equal Rights Advocate-99-#TD #TV  #ConnectTheLeft</t>
  </si>
  <si>
    <t>Christian, middle class, wife (married 42 yrs), mom, grandma. Staying politically informed. Strongly support Democrat Party...Obama 2012!!!</t>
  </si>
  <si>
    <t xml:space="preserve">Married, Mother of children 2&amp;4 legs,LIBERAL,Dem proud of it, curious, love-NYT watchl media except Faux Stories only real news followers don't ASK will block </t>
  </si>
  <si>
    <t>Left-handed, left leaning (politically) lawyer and sometime blogger living (and making observations) in the Dirty Jersey.</t>
  </si>
  <si>
    <t xml:space="preserve">I am a proud Dem married to a kind of Dem w/ a fab 25 yr old daughter.I have 2 hobbies;cake decorating &amp; politics.I'm a news junkie &amp; a political volun _x000D_
</t>
  </si>
  <si>
    <t xml:space="preserve">Swashbuckling, free-wheeling sophisticate and Renaissance man.  Independent politically and defender of freedom. </t>
  </si>
  <si>
    <t>Progressive Lib and BC survivor. Mom &amp; grandma! RWNJ's and sales comps are blocked.Lije is my pet's name. #ctl #topprog #p2</t>
  </si>
  <si>
    <t>Proud ferosh girlObot here! I support President Obama a bazilllion% He does what your favorites could never! If u hate him I hate U!</t>
  </si>
  <si>
    <t xml:space="preserve">Political junkie,animal lover. French Canadian and strong supporter of President Obama. Obama 2012, anything else is a travesty. The media suck!_x000D_
</t>
  </si>
  <si>
    <t>Obama/Biden 2012</t>
  </si>
  <si>
    <t>Welcome to Newsericks (as in News Limericks), a tongue-in-cheek rhyming account of the daily news (copyrighted; retweeting and use with permission OK)</t>
  </si>
  <si>
    <t xml:space="preserve">SPQR1052  Disabled American Veteran, artist, activist w/ allegiance to the republic. Lifetime Republican  as of 'O8  OBAMACAN </t>
  </si>
  <si>
    <t>Contemplating solutions with a win-win goal. Course heading; a peaceful, healthful, &amp; educated environment, with the other natives of this planet.</t>
  </si>
  <si>
    <t>There's no place like people</t>
  </si>
  <si>
    <t>Physician, progressive, your average NYC liberal trying to share interesting takes.  Fyi trolls: i have an extremely low block thresh-hold.</t>
  </si>
  <si>
    <t>Stroke survivor, Mother, Grandmother, liberal dem,blame Reagan for Econ. mess,am that nice lady @ church</t>
  </si>
  <si>
    <t xml:space="preserve">Im Mark a Conservative w/ my daughter Brittany who helps w/ typing. While my wife Amanda adds a few comments from time to time. </t>
  </si>
  <si>
    <t>Shaved head in '92 when clinton gave auth over our troops to un, knew we we're being destroyed from within. Politics to the right of Attila The Hun :O)</t>
  </si>
  <si>
    <t>I blog in the spirit of Bill Foster (Michael Douglas) from the movie Falling Down,1993, the quintessential movie about political correctness gone crazy</t>
  </si>
  <si>
    <t>#Progressive #DogLover #Obama #ConnectTheLeft #Dems2012 Make a difference in this world</t>
  </si>
  <si>
    <t xml:space="preserve">Love smart and funny people. Hate bigotry and ignorance. Passionate and progressive. Great Nana. </t>
  </si>
  <si>
    <t>Massachusetts Democrat. Supports President Barack Obama &amp; US Senate candidate Elizabeth Warren. Sox fan. Pats fan.</t>
  </si>
  <si>
    <t>Im a baddass! #Team Politics #TeamFollowback #TeamSteelers #TeamWeAreUK. #TeamWhiteSox  #CommonFolks #Team40 #Trucks #MOTORCYCLES!</t>
  </si>
  <si>
    <t xml:space="preserve">Digital/Comms staffer for #Romney 2012 campaign. M.A., Media &amp; Public Affairs, #GWU '12. Southern California born/raised. Living in Boston. </t>
  </si>
  <si>
    <t>Retired Wall St. Conservative Political Junkie  UT State Delegate For Romney because we must stop sending legislators who made the mess to oval office</t>
  </si>
  <si>
    <t>Official JSG profile. Owns G-Man Marketing and Golosio music publishing. Writes for eNewsChannels and Music Industry Newswire.</t>
  </si>
  <si>
    <t xml:space="preserve">Middle Class TAXPAYER, Live Free or Die, Political Junkie, Conservative, USMC, Proud Ancestor of Mormon Pioneers, Save our Republic #Mitt2012 </t>
  </si>
  <si>
    <t xml:space="preserve">USMC Veteran, Married 50 Yrs, Proud Father 2 Air National Guard Sons, Pro-Israel, Gun Toter, Blue Collar Red Neck, 1st #Recon Bn #MITT2012 </t>
  </si>
  <si>
    <t>Opinionated single parent. Silicon Valley network engineer. Army veteran. Mostly just Dad.</t>
  </si>
  <si>
    <t>Wife, Mom, Daughter, Sister, American, Housewife, Cheesehead</t>
  </si>
  <si>
    <t>Wife, mother, nurse, conservative, above all, an American. Worked at ground zero. #LNYHBT#tcot#twisters@seanhannity@keder@PatDollard@jjarthur#Resist44</t>
  </si>
  <si>
    <t>Progressive politics, social justice, and things that make me laugh. I'm a technologist, cocktail drinker and dog-toting liberal. Small business owner. #forward</t>
  </si>
  <si>
    <t>Liberal democrat, agnostic, wife, mother</t>
  </si>
  <si>
    <t>Democrat or Republican, we all need to question them and hold them accountable.</t>
  </si>
  <si>
    <t>Amazed that people of any intelligence whatsoever can be duped by RW extremists.  Rich ppl pay FOX ppl to get poor ppl to vote against their own best interests!</t>
  </si>
  <si>
    <t xml:space="preserve">Governor Terry Branstad's 8th pay hike. Official PR contact for all 8 pay hikes Terry gave himself 82 - 98. TEB: Collecting Iowa Govt paychecks since 1972. _x000D_
_x000D_
</t>
  </si>
  <si>
    <t>LGBTI and Human Rights activist, nurse, writer, progressive, feminist</t>
  </si>
  <si>
    <t xml:space="preserve">Brainy beauty from the Bay Area. Follow at your own risk! If James Lipton asked me i'd say the F word is my favorite. I am the RT queen! I often ignore DM's. </t>
  </si>
  <si>
    <t>AmericanPriorities.Org is political action committee which independently supports federal candidates who share its values.</t>
  </si>
  <si>
    <t>Without prefix, without suffix, without apology.</t>
  </si>
  <si>
    <t>Photographer, Writer, Teacher, Conservative, Swimmer, and really annoyed by Tyrants.</t>
  </si>
  <si>
    <t>Christian mom and grammy; Constitutional originalist and passionate about it! Clinging to my God and my gun.</t>
  </si>
  <si>
    <t>can you stay civil?</t>
  </si>
  <si>
    <t>Proud American, United States Air Force Vet, Penn State 1982</t>
  </si>
  <si>
    <t>Owner consulting firm. Education advocate. Ran for local office as Independent. Today, proud Republican supporting Mitt Romney. AKA CheckWise &amp; TappyWise.</t>
  </si>
  <si>
    <t xml:space="preserve">Unapologetically Conservative,Christian, Wife, Mom, Constitutionalist. Disgusted W/Our Current Admins Political Strategy Of Hate &amp; Racism </t>
  </si>
  <si>
    <t xml:space="preserve">Conservative American, taking our Country back one seat at a time. On Mission to turn the State of Mass Red, Taking the Senate in Nov!   #Mitt2012   #LNYHBT </t>
  </si>
  <si>
    <t xml:space="preserve">I love this country. I am a Christian. I stand for what this country was founded on. God bless the USA. I Love our freedom and what we stand for. </t>
  </si>
  <si>
    <t>Love my country, my kids &amp; my fellow patriots who use audacity of reason to advocate for free markets, free speech &amp; free people everywhere. #TeaParty #Mitt2012</t>
  </si>
  <si>
    <t>Just plain tired of all the crap coming from Washington DC. Not Anti-Gov. Just Anti-Corrupt, Communist, Socialist Gov.</t>
  </si>
  <si>
    <t xml:space="preserve">The tears of Liberals sweeten my morning coffee. </t>
  </si>
  <si>
    <t>Mom of 2 AMAZING kids. Watch out, my son IS Iron Man. Likes news, politics, sports &amp; entertainment. Conservative. #tcot #gop</t>
  </si>
  <si>
    <t>Dedicated to making Obama a one-term (or less) President—i.e., resignation or impeachment. Supporting Romney</t>
  </si>
  <si>
    <t xml:space="preserve">Tweets 4 America's neighbour to the north that supports Mitt Romney and what he stands for. </t>
  </si>
  <si>
    <t xml:space="preserve">Turning white powder (flour) into $$$... #Mitt2012 #MUFC, #NYY, #USMNT, #TDF, #GOP  -The truth is not for all men but only for those who seek it. — Ayn Rand </t>
  </si>
  <si>
    <t>I Didn't Build It But I'm Doing Fine.I Made Enough So I'm Going To Pitch In My Fair Share For Some More Thingamajigs And Vote #Mitt2012</t>
  </si>
  <si>
    <t xml:space="preserve"> I neither accept nor reject the existence of a diety. I just don't know.  U don't know either!</t>
  </si>
  <si>
    <t>Huge Ann &amp; Mitt Romney Fan. America needs Mitt. NOW!</t>
  </si>
  <si>
    <t>Mitt Romney Supporter-Conservative-Mitt2012</t>
  </si>
  <si>
    <t>Husband and Father of 5. Political junkie, Manchester United fan. Conservative supporter of Mitt Romney</t>
  </si>
  <si>
    <t>BYU fan, web developer, father, American, Conservative, Mormon.</t>
  </si>
  <si>
    <t>Back to basics, black belt in Al-Anon. Enjoy Ridgebacks, gardening, cheese/soap making, dairy goats, chickens, etc. Higher Powered</t>
  </si>
  <si>
    <t>Loyal American,I believe in God,our constitution,our founding fathers vision for America &amp; I will fight for our freedom! AND I'm NOT a racist!</t>
  </si>
  <si>
    <t>Fine Art of Sierra Dante, Independent Thinker, Married, Love Art, Politics, Free Markets, Music and Tampa Rays. I also balance my checkbook every month!</t>
  </si>
  <si>
    <t xml:space="preserve">Reaching voters where they are: on their computers, smart phones and other digital devices. </t>
  </si>
  <si>
    <t>Financial analyst @DisneyParks. Constitutional conservative sick of both political parties. Thoughts are my own.</t>
  </si>
  <si>
    <t>I am a Conservative American Patriot (CAP) who is totally fed up with Liberalism's screwed up moral compass and erosion of American traditional values.</t>
  </si>
  <si>
    <t xml:space="preserve">IM AN AMERICAN, A FATHER, A HUSBAND </t>
  </si>
  <si>
    <t>SE Pennsylvania</t>
  </si>
  <si>
    <t>City of Angels</t>
  </si>
  <si>
    <t>USA</t>
  </si>
  <si>
    <t>Marlton, NJ</t>
  </si>
  <si>
    <t>Long Island NY</t>
  </si>
  <si>
    <t>New Zealand</t>
  </si>
  <si>
    <t>The Island of Manhattan</t>
  </si>
  <si>
    <t>Napa, CA</t>
  </si>
  <si>
    <t>Here, isn't that enough?</t>
  </si>
  <si>
    <t>Not too far from the gutter</t>
  </si>
  <si>
    <t>Crimea</t>
  </si>
  <si>
    <t>Boston, Mass.</t>
  </si>
  <si>
    <t xml:space="preserve">Washington DC Metro Area </t>
  </si>
  <si>
    <t>Columbus, OH</t>
  </si>
  <si>
    <t>Juuust a bit outside (DC).</t>
  </si>
  <si>
    <t>Minneapolis, MN 45 n 19 w</t>
  </si>
  <si>
    <t>New York, NY</t>
  </si>
  <si>
    <t>New York</t>
  </si>
  <si>
    <t>Wash D.C.</t>
  </si>
  <si>
    <t>Headland, AL</t>
  </si>
  <si>
    <t>CONNECTICUT</t>
  </si>
  <si>
    <t>dca</t>
  </si>
  <si>
    <t>Washington, DC</t>
  </si>
  <si>
    <t>Washington, D.C.</t>
  </si>
  <si>
    <t>Las Vegas, NV</t>
  </si>
  <si>
    <t>ÜT: 38.912236,-77.026297</t>
  </si>
  <si>
    <t>Washington, DC via Pittsburgh</t>
  </si>
  <si>
    <t>Pascagoula, MS</t>
  </si>
  <si>
    <t>We're everywhere.</t>
  </si>
  <si>
    <t>Santa Monica, California</t>
  </si>
  <si>
    <t>iPhone: 40.730186,-73.987709</t>
  </si>
  <si>
    <t>Cheyenne, Wyoming</t>
  </si>
  <si>
    <t>Greenville, NC</t>
  </si>
  <si>
    <t>Seattle</t>
  </si>
  <si>
    <t>Tennessee</t>
  </si>
  <si>
    <t>Netherworld</t>
  </si>
  <si>
    <t>Grimes, Iowa</t>
  </si>
  <si>
    <t>New York City</t>
  </si>
  <si>
    <t>Denver, CO</t>
  </si>
  <si>
    <t>Marietta, GA</t>
  </si>
  <si>
    <t xml:space="preserve">So. Calif. </t>
  </si>
  <si>
    <t>#VETTHEPREZ</t>
  </si>
  <si>
    <t>New York, New York</t>
  </si>
  <si>
    <t>LA/Orlando/BC</t>
  </si>
  <si>
    <t>Beverly Hills, CA</t>
  </si>
  <si>
    <t>Southern California</t>
  </si>
  <si>
    <t>Portland, OR</t>
  </si>
  <si>
    <t>way outside the matrix</t>
  </si>
  <si>
    <t>Ithaca, NY</t>
  </si>
  <si>
    <t>The Great Lone Star State</t>
  </si>
  <si>
    <t>Chicago, Il</t>
  </si>
  <si>
    <t>United States</t>
  </si>
  <si>
    <t>U.S.</t>
  </si>
  <si>
    <t>Maryland/Virgina/DC metro area</t>
  </si>
  <si>
    <t>Berkeley</t>
  </si>
  <si>
    <t>Oklahoma City, Ok</t>
  </si>
  <si>
    <t>ÜT: 29.957866,-91.846813</t>
  </si>
  <si>
    <t>In a far too Liberal area, USA</t>
  </si>
  <si>
    <t>Golden State of mind</t>
  </si>
  <si>
    <t>Bethesda Maryland USA</t>
  </si>
  <si>
    <t>KOLOB</t>
  </si>
  <si>
    <t>Illinois</t>
  </si>
  <si>
    <t>Hurricane Alley, USA</t>
  </si>
  <si>
    <t>Massachusetts</t>
  </si>
  <si>
    <t>nd</t>
  </si>
  <si>
    <t>Pennsylvania</t>
  </si>
  <si>
    <t>midwest</t>
  </si>
  <si>
    <t>Indian Harbour Beach, FL</t>
  </si>
  <si>
    <t>Bay Area, CA</t>
  </si>
  <si>
    <t>St. Louis, MO</t>
  </si>
  <si>
    <t>today...TN</t>
  </si>
  <si>
    <t>Far from madding D.C.</t>
  </si>
  <si>
    <t>Closer than you think</t>
  </si>
  <si>
    <t>44.824927,-107.905612</t>
  </si>
  <si>
    <t>38.907165, -77.0282327</t>
  </si>
  <si>
    <t>Pacific Beach</t>
  </si>
  <si>
    <t>miami</t>
  </si>
  <si>
    <t>Denver, Colorado</t>
  </si>
  <si>
    <t>Las Vegas</t>
  </si>
  <si>
    <t>CA District52</t>
  </si>
  <si>
    <t>Where tranquility abounds.</t>
  </si>
  <si>
    <t>California</t>
  </si>
  <si>
    <t>D.C. Metro Area/ Le Nord AB ON</t>
  </si>
  <si>
    <t>Indiana</t>
  </si>
  <si>
    <t>Boston,MA</t>
  </si>
  <si>
    <t>Western Massachusetts</t>
  </si>
  <si>
    <t>Midwest</t>
  </si>
  <si>
    <t>Top of the heap.</t>
  </si>
  <si>
    <t>Montreal</t>
  </si>
  <si>
    <t>New York, Brooklyn</t>
  </si>
  <si>
    <t>The Eastern Pass, S. CA</t>
  </si>
  <si>
    <t>Gold Canyon, AZ</t>
  </si>
  <si>
    <t>Colorado</t>
  </si>
  <si>
    <t>S..GA  &amp; SLC. UT</t>
  </si>
  <si>
    <t>Great North 'Wet' USA</t>
  </si>
  <si>
    <t>Boston, Massachusetts USA</t>
  </si>
  <si>
    <t>Boston, Ma</t>
  </si>
  <si>
    <t>ON A MOTORCYCLE SOMEWHERE</t>
  </si>
  <si>
    <t>Boston, MA</t>
  </si>
  <si>
    <t>Los Angeles</t>
  </si>
  <si>
    <t>At Large</t>
  </si>
  <si>
    <t>Native of UTAH--Living in OHIO</t>
  </si>
  <si>
    <t>Tucson, Arizona</t>
  </si>
  <si>
    <t>NY</t>
  </si>
  <si>
    <t>Atlanta, GA</t>
  </si>
  <si>
    <t>Nebraska</t>
  </si>
  <si>
    <t>Weston, WI</t>
  </si>
  <si>
    <t>Des Moines, IA</t>
  </si>
  <si>
    <t>Vermont, USA</t>
  </si>
  <si>
    <t>San Francisco</t>
  </si>
  <si>
    <t>riverside, ca</t>
  </si>
  <si>
    <t>Long Island, New York</t>
  </si>
  <si>
    <t>Frisco, Texas USA</t>
  </si>
  <si>
    <t>Oregon</t>
  </si>
  <si>
    <t>Metro Boston</t>
  </si>
  <si>
    <t>VA Commonwealth</t>
  </si>
  <si>
    <t>South East</t>
  </si>
  <si>
    <t>Ontario, Canada</t>
  </si>
  <si>
    <t>Connecticut, U.S</t>
  </si>
  <si>
    <t>New Jersey</t>
  </si>
  <si>
    <t>Orange County, California</t>
  </si>
  <si>
    <t>The Ardennes</t>
  </si>
  <si>
    <t>A Happy Place</t>
  </si>
  <si>
    <t>Los Angeles, CA</t>
  </si>
  <si>
    <t>Utah</t>
  </si>
  <si>
    <t>Nashville, TN</t>
  </si>
  <si>
    <t>Florida</t>
  </si>
  <si>
    <t>Alexandria, VA</t>
  </si>
  <si>
    <t>Orlando, FL</t>
  </si>
  <si>
    <t>Apple Valley</t>
  </si>
  <si>
    <t>http://www.rawlinks.com</t>
  </si>
  <si>
    <t>http://kony2012.com/watch</t>
  </si>
  <si>
    <t>http://flavors.me/Shmoe</t>
  </si>
  <si>
    <t>http://www.loganthomison.com</t>
  </si>
  <si>
    <t>http://botharmsup.tumblr.com/</t>
  </si>
  <si>
    <t>http://www.boston.com/politics</t>
  </si>
  <si>
    <t>http://www.snazzo.com</t>
  </si>
  <si>
    <t>http://voxrationalis.wordpress.com</t>
  </si>
  <si>
    <t>http://www.foxnews.com/on-air/personalities/bill-hemmer/bio/#s=h-l</t>
  </si>
  <si>
    <t>http://romneyresponse.tumblr.com/</t>
  </si>
  <si>
    <t>http://www.gotchamediablog.com/</t>
  </si>
  <si>
    <t>http://www.buzzfeed.com/politics</t>
  </si>
  <si>
    <t>http://gifsfln.tumblr.com</t>
  </si>
  <si>
    <t>http://www.entelliworld.com</t>
  </si>
  <si>
    <t>http://www.gregwhoward.com</t>
  </si>
  <si>
    <t>http://www.americanprogress.org/aboutus/staff/DussMatthew.html</t>
  </si>
  <si>
    <t>http://takeactionnews.com</t>
  </si>
  <si>
    <t>http://ralstonflash.com</t>
  </si>
  <si>
    <t>http://www.politico.com/playbook-2012/family-tree/inside-the-circus/</t>
  </si>
  <si>
    <t>http://thewrightwing.wordpress.com/</t>
  </si>
  <si>
    <t>http://www.flwoutdoors.com/bassfishing/flw/</t>
  </si>
  <si>
    <t>http://www.davidwebbshow.com</t>
  </si>
  <si>
    <t>http://www.wix.com/brownasaur/ltte-2012</t>
  </si>
  <si>
    <t>http://breitbart.com</t>
  </si>
  <si>
    <t>http://elisabeth-eyrehead.blogspot.com</t>
  </si>
  <si>
    <t>http://www.gotquestions.org/</t>
  </si>
  <si>
    <t>http://youtu.be/qXBswFfh6AY</t>
  </si>
  <si>
    <t>http://www.breitbart.com/</t>
  </si>
  <si>
    <t>http://hollywoodteaparty.us</t>
  </si>
  <si>
    <t>http://bannergirl-60plus.blogspot.com/</t>
  </si>
  <si>
    <t>http://www.taoistsoul.com/vaw.htm</t>
  </si>
  <si>
    <t>http://swampland.time.com</t>
  </si>
  <si>
    <t>http://sunsethappycamper.blogspot.com/</t>
  </si>
  <si>
    <t>http://cajunconservatism.wordpress.com/</t>
  </si>
  <si>
    <t>http://twitter.com/OccupyGay</t>
  </si>
  <si>
    <t>http://www.iraqtimeline.com/maxdesign</t>
  </si>
  <si>
    <t>http://www.silversmithproductions.com</t>
  </si>
  <si>
    <t>http://tbogg.firedoglake.com/</t>
  </si>
  <si>
    <t>http://thepage.time.com</t>
  </si>
  <si>
    <t>http://www.youtube.com/watch?v=ZtRGQRtwh2U</t>
  </si>
  <si>
    <t>http://scarylawyerguy.blogspot.com</t>
  </si>
  <si>
    <t>http://www.examiner.com/x-9442-Riverside-County-Progressive-Examiner</t>
  </si>
  <si>
    <t>http://www.politicalcowardice.com</t>
  </si>
  <si>
    <t>http://www.johnscottg.com</t>
  </si>
  <si>
    <t>https://my.barackobama.com/page/outreach/view/2012/simonsays</t>
  </si>
  <si>
    <t>http://www.americanpriorities.org</t>
  </si>
  <si>
    <t>http://mybookofcommondays.blogspot.com</t>
  </si>
  <si>
    <t>http://httpmyblogblogspotcom-norsu.blogspot.com/</t>
  </si>
  <si>
    <t>http://look2thewest.wordpress.com/2010/03/31/an-expression-of-the-american-mind/</t>
  </si>
  <si>
    <t>http://www.twylah.com/liars_never_win</t>
  </si>
  <si>
    <t>http://www.youtube.com/user/ObamaBC?feature=mhee</t>
  </si>
  <si>
    <t>http://canadiansformitt.blogspot.com/</t>
  </si>
  <si>
    <t>http://computers.coxcrew.org</t>
  </si>
  <si>
    <t>http://lesliedysinger.com</t>
  </si>
  <si>
    <t>http://sierradante.com</t>
  </si>
  <si>
    <t>http://TeamEmailSMS.com</t>
  </si>
  <si>
    <t>Central Time (US &amp; Canada)</t>
  </si>
  <si>
    <t>Eastern Time (US &amp; Canada)</t>
  </si>
  <si>
    <t>Pacific Time (US &amp; Canada)</t>
  </si>
  <si>
    <t>Quito</t>
  </si>
  <si>
    <t>Ekaterinburg</t>
  </si>
  <si>
    <t>Arizona</t>
  </si>
  <si>
    <t>Atlantic Time (Canada)</t>
  </si>
  <si>
    <t>Mountain Time (US &amp; Canada)</t>
  </si>
  <si>
    <t>Hawaii</t>
  </si>
  <si>
    <t>Alaska</t>
  </si>
  <si>
    <t>Bern</t>
  </si>
  <si>
    <t>http://a0.twimg.com/profile_images/1555297821/links_1__normal.JPG</t>
  </si>
  <si>
    <t>http://a0.twimg.com/profile_images/1827562536/PaulKristen_normal.jpg</t>
  </si>
  <si>
    <t>http://a0.twimg.com/profile_images/1681605078/35E5563FB333DD934EAFDA2EE0D1ED_1__normal.jpg</t>
  </si>
  <si>
    <t>http://a0.twimg.com/profile_images/1547388788/haloween_007_Thumbnail_Web_view_normal.jpg</t>
  </si>
  <si>
    <t>http://a0.twimg.com/sticky/default_profile_images/default_profile_6_normal.png</t>
  </si>
  <si>
    <t>http://a0.twimg.com/profile_images/666182573/OrchidLogo_normal.jpg</t>
  </si>
  <si>
    <t>http://a0.twimg.com/profile_images/1907906273/0329chart_normal.jpg</t>
  </si>
  <si>
    <t>http://a0.twimg.com/profile_images/1863075910/IMG_1745_normal.JPG</t>
  </si>
  <si>
    <t>http://a0.twimg.com/profile_images/429106460/iPhotoiPhoto-mailtmp-0_normal.jpg</t>
  </si>
  <si>
    <t>http://a0.twimg.com/sticky/default_profile_images/default_profile_4_normal.png</t>
  </si>
  <si>
    <t>http://a0.twimg.com/sticky/default_profile_images/default_profile_0_normal.png</t>
  </si>
  <si>
    <t>http://a0.twimg.com/profile_images/1734540531/IMG_0199_normal.jpg</t>
  </si>
  <si>
    <t>http://a0.twimg.com/profile_images/434446893/master_shake_normal.png</t>
  </si>
  <si>
    <t>http://a0.twimg.com/profile_images/2426520588/nacg2gcatoc9x049cxoz_normal.png</t>
  </si>
  <si>
    <t>http://a0.twimg.com/profile_images/1523964460/newtownchurn_normal.jpeg</t>
  </si>
  <si>
    <t>http://a0.twimg.com/profile_images/2455321320/image_normal.jpg</t>
  </si>
  <si>
    <t>http://a0.twimg.com/profile_images/1708848312/15362_594840208360_6908491_35901997_7169834_n_normal.jpg</t>
  </si>
  <si>
    <t>http://a0.twimg.com/profile_images/1569562800/Et_M_re_B_normal.jpg</t>
  </si>
  <si>
    <t>http://a0.twimg.com/profile_images/1262800837/Head_shot_3-5-11_normal.jpg</t>
  </si>
  <si>
    <t>http://a0.twimg.com/profile_images/2181863615/jG4j6H0A_normal</t>
  </si>
  <si>
    <t>http://a0.twimg.com/profile_images/1876732419/McGruff_normal</t>
  </si>
  <si>
    <t>http://a0.twimg.com/profile_images/1479081950/VancouverMike_normal.jpg</t>
  </si>
  <si>
    <t>http://a0.twimg.com/profile_images/2203024923/GOP_Elephant_normal.jpg</t>
  </si>
  <si>
    <t>http://a0.twimg.com/profile_images/1652459014/thinkchimplogo2_normal.png</t>
  </si>
  <si>
    <t>http://a0.twimg.com/sticky/default_profile_images/default_profile_5_normal.png</t>
  </si>
  <si>
    <t>http://a0.twimg.com/profile_images/2259220466/mikepizzitola_normal.jpg</t>
  </si>
  <si>
    <t>http://a0.twimg.com/profile_images/1882229621/angrywhopper_normal.jpg</t>
  </si>
  <si>
    <t>http://a0.twimg.com/profile_images/2226741858/OLV__2_normal.JPG</t>
  </si>
  <si>
    <t>http://a0.twimg.com/profile_images/2448487204/26a2rd84ipmyryvihety_normal.png</t>
  </si>
  <si>
    <t>http://a0.twimg.com/profile_images/1824588920/Picture_2_normal.png</t>
  </si>
  <si>
    <t>http://a0.twimg.com/profile_images/1365129853/P1030150_normal.JPG</t>
  </si>
  <si>
    <t>http://a0.twimg.com/profile_images/2281015117/7wzi4jsqxacwndn0k5rm_normal.gif</t>
  </si>
  <si>
    <t>http://a0.twimg.com/profile_images/519685110/tpaine105f_r1j_normal.jpg</t>
  </si>
  <si>
    <t>http://a0.twimg.com/profile_images/1615891430/avatar_normal.png</t>
  </si>
  <si>
    <t>http://a0.twimg.com/profile_images/1520565545/1a0d3994-fa14-43aa-a321-0c4ff30b6fb2_normal.png</t>
  </si>
  <si>
    <t>http://a0.twimg.com/profile_images/2360385008/rIsn30YX_normal</t>
  </si>
  <si>
    <t>http://a0.twimg.com/profile_images/935619228/TeaParty_Pic_of_me_normal.jpg</t>
  </si>
  <si>
    <t>http://a0.twimg.com/profile_images/1303513019/110406_mobama_ovechkin_522_tw_regular_normal.jpg</t>
  </si>
  <si>
    <t>http://a0.twimg.com/profile_images/1875511146/rafah_tunnel_normal.jpg</t>
  </si>
  <si>
    <t>http://a0.twimg.com/profile_images/1564239188/Shuster-Current-bio_normal.jpg</t>
  </si>
  <si>
    <t>http://a0.twimg.com/profile_images/907778349/MaddyDad_normal.JPG</t>
  </si>
  <si>
    <t>http://a0.twimg.com/profile_images/2074524303/twitterpic2_normal.jpg</t>
  </si>
  <si>
    <t>http://a0.twimg.com/profile_images/2188339536/MeDonKing2004_normal.jpg</t>
  </si>
  <si>
    <t>http://a0.twimg.com/profile_images/1938422577/Pigs_in_Space_Logo_by_CmdrKerner_normal.png</t>
  </si>
  <si>
    <t>http://a0.twimg.com/profile_images/1585095109/image_normal.jpg</t>
  </si>
  <si>
    <t>http://a0.twimg.com/profile_images/2162345272/image_normal.jpg</t>
  </si>
  <si>
    <t>http://a0.twimg.com/profile_images/643963899/JerRockClimb_normal.jpg</t>
  </si>
  <si>
    <t>http://a0.twimg.com/profile_images/701119703/lrsMBR061BertoliniMax-BlackPrincess_normal.jpg</t>
  </si>
  <si>
    <t>http://a0.twimg.com/profile_images/2369947127/Qv8THw2h_normal</t>
  </si>
  <si>
    <t>http://a0.twimg.com/profile_images/2413172992/33l1v27aylzhr6y35o16_normal.jpeg</t>
  </si>
  <si>
    <t>http://a0.twimg.com/profile_images/2402764047/dwg2mhsj7mn2gbctoofs_normal.jpeg</t>
  </si>
  <si>
    <t>http://a0.twimg.com/profile_images/1705204659/024_normal.jpg</t>
  </si>
  <si>
    <t>http://a0.twimg.com/profile_images/2218270530/Nobody_owes_you...._normal.jpg</t>
  </si>
  <si>
    <t>http://a0.twimg.com/profile_images/1565309394/Shakespeare_Inkblot_normal.jpg</t>
  </si>
  <si>
    <t>http://a0.twimg.com/profile_images/2132473410/Drake_formal_photo_normal.jpg</t>
  </si>
  <si>
    <t>http://a0.twimg.com/profile_images/1632415330/JR_02_normal.jpg</t>
  </si>
  <si>
    <t>http://a0.twimg.com/profile_images/2310365484/h4akev1cgbnpb2omsv8p_normal.jpeg</t>
  </si>
  <si>
    <t>http://a0.twimg.com/profile_images/2274891190/IMG_1273_normal.JPG</t>
  </si>
  <si>
    <t>http://a0.twimg.com/profile_images/2058792108/camxing_normal.jpg</t>
  </si>
  <si>
    <t>http://a0.twimg.com/profile_images/1389171675/Toto_Mug_normal.jpg</t>
  </si>
  <si>
    <t>http://a0.twimg.com/profile_images/1099300023/206b_normal.jpg</t>
  </si>
  <si>
    <t>http://a0.twimg.com/sticky/default_profile_images/default_profile_2_normal.png</t>
  </si>
  <si>
    <t>http://a0.twimg.com/profile_images/2417602329/6zy7k858zwi0ry9if0b8_normal.jpeg</t>
  </si>
  <si>
    <t>http://a0.twimg.com/profile_images/2271825329/108itu00m3ut633fwqnh_normal.jpeg</t>
  </si>
  <si>
    <t>http://a0.twimg.com/profile_images/2311966226/bi9dadfcubytvy3ky849_normal.jpeg</t>
  </si>
  <si>
    <t>http://a0.twimg.com/profile_images/2430936454/u63vevgvx3rc2d2hj3pf_normal.jpeg</t>
  </si>
  <si>
    <t>http://a0.twimg.com/profile_images/1840758373/star_normal.jpg</t>
  </si>
  <si>
    <t>http://a0.twimg.com/profile_images/1948728327/dpkesq__normal.jpg</t>
  </si>
  <si>
    <t>http://a0.twimg.com/profile_images/1330497660/calvin_normal.png</t>
  </si>
  <si>
    <t>http://a0.twimg.com/profile_images/1494097293/image_normal.jpg</t>
  </si>
  <si>
    <t>http://a0.twimg.com/profile_images/2300432767/tn5amce2h9dwtc6sc2l7_normal.jpeg</t>
  </si>
  <si>
    <t>http://a0.twimg.com/profile_images/2340155880/7hq3xfdr45clyqpnhgr6_normal.jpeg</t>
  </si>
  <si>
    <t>http://a0.twimg.com/profile_images/1387660315/9d4e2e69-54a2-43eb-b4ee-022969448ea0_normal.png</t>
  </si>
  <si>
    <t>http://a0.twimg.com/profile_images/2458322575/hx2o6rv5ttwl7h9et8ma_normal.png</t>
  </si>
  <si>
    <t>http://a0.twimg.com/profile_images/1490659970/beagle-0175_normal.jpg</t>
  </si>
  <si>
    <t>http://a0.twimg.com/profile_images/1318652607/125_swampland_0831_normal.jpg</t>
  </si>
  <si>
    <t>http://a0.twimg.com/profile_images/2314583044/image_normal.jpg</t>
  </si>
  <si>
    <t>http://a0.twimg.com/profile_images/1420528110/268675_211187725591492_100001007989571_577526_4472484_n_normal.jpg</t>
  </si>
  <si>
    <t>http://a0.twimg.com/profile_images/1742941897/images__4__normal.jpg</t>
  </si>
  <si>
    <t>http://a0.twimg.com/profile_images/1746201477/17df4229-78ed-4aef-8b05-d0c25e3c7a5e_normal.gif</t>
  </si>
  <si>
    <t>http://a0.twimg.com/profile_images/2454141093/s0wtqzqcvyi6i4p96z8y_normal.jpeg</t>
  </si>
  <si>
    <t>http://a0.twimg.com/profile_images/2423280755/nIMurUG7_normal</t>
  </si>
  <si>
    <t>http://a0.twimg.com/profile_images/688482654/IMG_0017_normal.JPG</t>
  </si>
  <si>
    <t>http://a0.twimg.com/profile_images/2451979515/A7EA5340-2BC2-4FAC-8DA8-978E2D593E43_normal</t>
  </si>
  <si>
    <t>http://a0.twimg.com/profile_images/2213235374/image_normal.jpg</t>
  </si>
  <si>
    <t>http://a0.twimg.com/profile_images/643082317/Candle_St_Francis_normal.jpg</t>
  </si>
  <si>
    <t>http://a0.twimg.com/profile_images/2148467971/TuxcedoCat_normal.jpg</t>
  </si>
  <si>
    <t>http://a0.twimg.com/profile_images/1238106275/35ec2d00-090b-4cb8-bbba-31f784eebe33_normal.png</t>
  </si>
  <si>
    <t>http://a0.twimg.com/profile_images/2144625840/mitty1_normal.jpg</t>
  </si>
  <si>
    <t>http://a0.twimg.com/profile_images/2258006952/Vote_DEM_normal.jpg</t>
  </si>
  <si>
    <t>http://a0.twimg.com/profile_images/1162963229/dgm_logo2_normal.jpg</t>
  </si>
  <si>
    <t>http://a0.twimg.com/profile_images/1246915961/RWwatchMA-121_normal.jpg</t>
  </si>
  <si>
    <t>http://a0.twimg.com/profile_images/1498232564/273382_612369275_4267052_n-1_normal.jpg</t>
  </si>
  <si>
    <t>http://a0.twimg.com/profile_images/1931322471/fb40af13-3148-4945-8798-e1652b1b2ef8_normal.png</t>
  </si>
  <si>
    <t>http://a0.twimg.com/profile_images/2178732160/aaf5b92c-6c6a-423f-b532-8fc8451ed957_normal.png</t>
  </si>
  <si>
    <t>http://a0.twimg.com/profile_images/2315928930/8bdfw7di0v1krmvzt2ji_normal.jpeg</t>
  </si>
  <si>
    <t>http://a0.twimg.com/profile_images/380422560/IMG_0132_1__normal.jpg</t>
  </si>
  <si>
    <t>http://a0.twimg.com/profile_images/2429455258/image_normal.jpg</t>
  </si>
  <si>
    <t>http://a0.twimg.com/profile_images/2207838880/0M5h02QI_normal</t>
  </si>
  <si>
    <t>http://a0.twimg.com/profile_images/2153977072/sun_halo_normal.jpg</t>
  </si>
  <si>
    <t>http://a0.twimg.com/profile_images/855495148/happy_webmonkey_normal.jpg</t>
  </si>
  <si>
    <t>http://a0.twimg.com/profile_images/2394276845/of1nr3wcc8styzkfapbw_normal.jpeg</t>
  </si>
  <si>
    <t>http://a0.twimg.com/profile_images/2047311126/FBPhoto_normal.jpg</t>
  </si>
  <si>
    <t>http://a0.twimg.com/profile_images/1765714267/08012010a_normal.jpg</t>
  </si>
  <si>
    <t>http://a0.twimg.com/profile_images/1159675136/chart_normal.jpg</t>
  </si>
  <si>
    <t>http://a0.twimg.com/profile_images/629135204/117441851_300_normal.jpg</t>
  </si>
  <si>
    <t>http://a0.twimg.com/profile_images/2289820358/5g2eauydkbgfjjueg1x4_normal.jpeg</t>
  </si>
  <si>
    <t>http://a0.twimg.com/profile_images/1737557478/1_normal.png</t>
  </si>
  <si>
    <t>http://a0.twimg.com/profile_images/2364759464/image_normal.jpg</t>
  </si>
  <si>
    <t>http://a0.twimg.com/profile_images/1497868422/yinYang_normal.gif</t>
  </si>
  <si>
    <t>http://a0.twimg.com/profile_images/2211227295/Fpw4Iglp_normal</t>
  </si>
  <si>
    <t>http://a0.twimg.com/profile_images/1610970689/family_pics_6_normal.jpg</t>
  </si>
  <si>
    <t>http://a0.twimg.com/profile_images/2098953813/BW_for_Twitter_normal.jpg</t>
  </si>
  <si>
    <t>http://a0.twimg.com/profile_images/1681617621/Hydrangeas_normal.jpg</t>
  </si>
  <si>
    <t>http://a0.twimg.com/profile_images/1835246996/image_normal.jpg</t>
  </si>
  <si>
    <t>http://a0.twimg.com/profile_images/2134548138/d4baf8c3-f29a-48fd-85de-51bc3815be6a_normal.png</t>
  </si>
  <si>
    <t>http://a0.twimg.com/profile_images/2183512789/BO-2012-14_1__normal.jpg</t>
  </si>
  <si>
    <t>http://a0.twimg.com/profile_images/2189400816/Polo0001_normal.jpg</t>
  </si>
  <si>
    <t>http://a0.twimg.com/profile_images/1635994214/a0001l_normal.jpg</t>
  </si>
  <si>
    <t>http://a0.twimg.com/profile_images/1905729675/70a262bb-cec1-43f4-924a-d243ed13e038_normal.png</t>
  </si>
  <si>
    <t>http://a0.twimg.com/profile_images/1260365028/mt1170187005_normal.jpg</t>
  </si>
  <si>
    <t>http://a0.twimg.com/profile_images/2283606605/53c95918-e015-4194-8dcd-dc0e1722e323_normal.png</t>
  </si>
  <si>
    <t>http://a0.twimg.com/profile_images/1690918811/b51b6022-6b46-4ad3-84cf-9ffafad0cd6c_normal.png</t>
  </si>
  <si>
    <t>http://a0.twimg.com/profile_images/1416614286/canadians._normal.jpg</t>
  </si>
  <si>
    <t>http://a0.twimg.com/profile_images/1263015229/Lou_s_photos_066_normal.jpg</t>
  </si>
  <si>
    <t>http://a0.twimg.com/profile_images/302488805/newspaper_3_normal.jpg</t>
  </si>
  <si>
    <t>http://a0.twimg.com/profile_images/1449876825/photoabout_normal.jpg</t>
  </si>
  <si>
    <t>http://a0.twimg.com/profile_images/1591505511/9383fb6b-9f5d-4ce2-ae41-eeac8a3cdf02_normal.png</t>
  </si>
  <si>
    <t>http://a0.twimg.com/profile_images/1564696987/Pansies_in_Richard_s_yard_normal.jpg</t>
  </si>
  <si>
    <t>http://a0.twimg.com/profile_images/1571407365/image_normal.jpg</t>
  </si>
  <si>
    <t>http://a0.twimg.com/profile_images/1309634395/ebc9001c-a294-4c56-a740-7c7f6e0b6887_normal.png</t>
  </si>
  <si>
    <t>http://a0.twimg.com/profile_images/1637774857/w1_normal.jpg</t>
  </si>
  <si>
    <t>http://a0.twimg.com/profile_images/2373121067/qusfgyoanyn3j2ph0efj_normal.jpeg</t>
  </si>
  <si>
    <t>http://a0.twimg.com/profile_images/2408131144/6nbsj9469yqiofg7u9um_normal.jpeg</t>
  </si>
  <si>
    <t>http://a0.twimg.com/profile_images/1369626133/falling-down_normal.jpg</t>
  </si>
  <si>
    <t>http://a0.twimg.com/profile_images/2431818532/u97i1lvlfr3angaete91_normal.jpeg</t>
  </si>
  <si>
    <t>http://a0.twimg.com/profile_images/1531022841/Jan_1983_normal.jpg</t>
  </si>
  <si>
    <t>http://a0.twimg.com/profile_images/2275270801/83kbxotfahciu2d5ihpb_normal.png</t>
  </si>
  <si>
    <t>http://a0.twimg.com/profile_images/2445475914/343441822_normal.jpg</t>
  </si>
  <si>
    <t>http://a0.twimg.com/profile_images/2269076273/gb5u8s8va9qhpal8hmly_normal.jpeg</t>
  </si>
  <si>
    <t>http://a0.twimg.com/profile_images/1959052515/Dorth___Dixie_normal.jpg</t>
  </si>
  <si>
    <t>http://a0.twimg.com/profile_images/129242724/g_op_fb_normal.jpg</t>
  </si>
  <si>
    <t>http://a0.twimg.com/profile_images/2442963393/5hy367urko1s9dedzbv5_normal.jpeg</t>
  </si>
  <si>
    <t>http://a0.twimg.com/profile_images/2453336115/obhmz9om00hd0ueodvbh_normal.jpeg</t>
  </si>
  <si>
    <t>http://a0.twimg.com/profile_images/122380648/IMG_0081_normal.jpg</t>
  </si>
  <si>
    <t>http://a0.twimg.com/profile_images/1157460468/gallery_53_5_4734_normal.jpg</t>
  </si>
  <si>
    <t>http://a0.twimg.com/profile_images/2361155215/IMG_0439_normal.jpg</t>
  </si>
  <si>
    <t>http://a0.twimg.com/profile_images/1907270185/131386445172k2M8_normal.jpg</t>
  </si>
  <si>
    <t>http://a0.twimg.com/profile_images/2435502687/image_normal.jpg</t>
  </si>
  <si>
    <t>http://a0.twimg.com/profile_images/2427678420/image_normal.jpg</t>
  </si>
  <si>
    <t>http://a0.twimg.com/profile_images/2459920767/image_normal.jpg</t>
  </si>
  <si>
    <t>http://a0.twimg.com/profile_images/649888618/cat_face_normal.jpg</t>
  </si>
  <si>
    <t>http://a0.twimg.com/profile_images/1227598251/slide-raise-recession-1-md_normal.jpg</t>
  </si>
  <si>
    <t>http://a0.twimg.com/profile_images/1803362941/8f209dea-31ec-46d5-a4e1-420766ec85ce_normal.png</t>
  </si>
  <si>
    <t>http://a0.twimg.com/profile_images/2007192867/1_normal.jpg</t>
  </si>
  <si>
    <t>http://a0.twimg.com/profile_images/2179922022/1_normal.JPG</t>
  </si>
  <si>
    <t>http://a0.twimg.com/profile_images/2205178651/kzv80k8j60s7jc5d2b0v_normal.jpeg</t>
  </si>
  <si>
    <t>http://a0.twimg.com/profile_images/2398551541/image_normal.jpg</t>
  </si>
  <si>
    <t>http://a0.twimg.com/profile_images/2439528352/18ek1ehxtbv55i7g54na_normal.jpeg</t>
  </si>
  <si>
    <t>http://a0.twimg.com/profile_images/804784730/Picture_4_normal.jpg</t>
  </si>
  <si>
    <t>http://a0.twimg.com/profile_images/2270084071/amd785ezxzy48r1tnz7n_normal.jpeg</t>
  </si>
  <si>
    <t>http://a0.twimg.com/profile_images/1867886939/image_normal.jpg</t>
  </si>
  <si>
    <t>http://a0.twimg.com/profile_images/2453136219/mpm4za7tffxadkfluy5x_normal.jpeg</t>
  </si>
  <si>
    <t>http://a0.twimg.com/profile_images/1949784963/Lion_normal.JPG</t>
  </si>
  <si>
    <t>http://a0.twimg.com/profile_images/1935303990/003zzz2_normal.jpg</t>
  </si>
  <si>
    <t>http://a0.twimg.com/profile_images/1420009313/e2e2c628-8371-4c15-b4bd-6c75628b0b9d_normal.png</t>
  </si>
  <si>
    <t>http://a0.twimg.com/profile_images/2241422709/sq6k_normal.jpg</t>
  </si>
  <si>
    <t>http://a0.twimg.com/profile_images/1070094956/icon_stupid_normal.jpg</t>
  </si>
  <si>
    <t>http://a0.twimg.com/profile_images/2410788602/tw_14688642_1342664073_normal.jpg</t>
  </si>
  <si>
    <t>http://a0.twimg.com/profile_images/2136398055/image_normal.jpg</t>
  </si>
  <si>
    <t>http://a0.twimg.com/profile_images/2095307778/Kris_at_TeaPAC_Newt_Gingrich_speech_normal.jpg</t>
  </si>
  <si>
    <t>http://a0.twimg.com/profile_images/1237582622/streaming_resize_normal.jpg</t>
  </si>
  <si>
    <t>http://a0.twimg.com/profile_images/1587310366/diogenes2_normal.jpg</t>
  </si>
  <si>
    <t>http://a0.twimg.com/profile_images/1942208211/marc_2_badge_normal.png</t>
  </si>
  <si>
    <t>http://a0.twimg.com/profile_images/1614635216/tw_6360476_1320015880_normal.jpg</t>
  </si>
  <si>
    <t>http://a0.twimg.com/profile_images/324527914/matthews-obama_normal.jpg</t>
  </si>
  <si>
    <t>http://a0.twimg.com/profile_images/1877306196/10e68a52-2973-4d7d-bdd1-285b74cacdcd-small_normal.jpg</t>
  </si>
  <si>
    <t>http://a0.twimg.com/profile_images/1877711961/Mitt_2012_2_normal.png</t>
  </si>
  <si>
    <t>http://a0.twimg.com/profile_images/1981984950/image_normal.jpg</t>
  </si>
  <si>
    <t>http://a0.twimg.com/profile_images/1863212453/obama-like_romney_normal.jpg</t>
  </si>
  <si>
    <t>http://a0.twimg.com/profile_images/1145189605/fallmonkey_normal.jpg</t>
  </si>
  <si>
    <t>http://a0.twimg.com/profile_images/2051783154/Leslie_at_BB_Kings_normal.jpg</t>
  </si>
  <si>
    <t>http://a0.twimg.com/profile_images/1784149447/image_normal.jpg</t>
  </si>
  <si>
    <t>http://a0.twimg.com/profile_images/2290942322/xll7by23nrk51e4s9so2_normal.gif</t>
  </si>
  <si>
    <t>http://a0.twimg.com/profile_images/2397493733/image_normal.jpg</t>
  </si>
  <si>
    <t>http://a0.twimg.com/profile_images/2461221325/27u9roz37bwxownt3ly1_normal.jpeg</t>
  </si>
  <si>
    <t>http://a0.twimg.com/profile_images/2388664856/IMG_95751_normal.jpg</t>
  </si>
  <si>
    <t>http://a0.twimg.com/profile_images/2169182831/qP99D6in_normal</t>
  </si>
  <si>
    <t>Open Twitter Page for This Person</t>
  </si>
  <si>
    <t>http://twitter.com/RawLinks</t>
  </si>
  <si>
    <t>http://twitter.com/Paul_Hanlin_Jr</t>
  </si>
  <si>
    <t>http://twitter.com/sweet_tWhits</t>
  </si>
  <si>
    <t>http://twitter.com/CharlieShield</t>
  </si>
  <si>
    <t>http://twitter.com/PaulMadrigal099</t>
  </si>
  <si>
    <t>http://twitter.com/Shmoe</t>
  </si>
  <si>
    <t>http://twitter.com/flocktard</t>
  </si>
  <si>
    <t>http://twitter.com/FATCA_Fallout</t>
  </si>
  <si>
    <t>http://twitter.com/jmachats</t>
  </si>
  <si>
    <t>http://twitter.com/AngryGamingSub</t>
  </si>
  <si>
    <t>http://twitter.com/spottythebeagle</t>
  </si>
  <si>
    <t>http://twitter.com/loganthomison</t>
  </si>
  <si>
    <t>http://twitter.com/andyfr8nk</t>
  </si>
  <si>
    <t>http://twitter.com/GrampaSparkles</t>
  </si>
  <si>
    <t>http://twitter.com/PuntaVerdeBK</t>
  </si>
  <si>
    <t>http://twitter.com/BothArmsUp</t>
  </si>
  <si>
    <t>http://twitter.com/bostonsboy87</t>
  </si>
  <si>
    <t>http://twitter.com/StParmenide</t>
  </si>
  <si>
    <t>http://twitter.com/chagresgirl</t>
  </si>
  <si>
    <t>http://twitter.com/globeglen</t>
  </si>
  <si>
    <t>http://twitter.com/havewhatusay</t>
  </si>
  <si>
    <t>http://twitter.com/PricklyPete77</t>
  </si>
  <si>
    <t>http://twitter.com/msmilonich</t>
  </si>
  <si>
    <t>http://twitter.com/RepubliConMen</t>
  </si>
  <si>
    <t>http://twitter.com/i8dc</t>
  </si>
  <si>
    <t>http://twitter.com/jackrabbit0047</t>
  </si>
  <si>
    <t>http://twitter.com/mikepizzitola</t>
  </si>
  <si>
    <t>http://twitter.com/gvrtwpkwy</t>
  </si>
  <si>
    <t>http://twitter.com/MiddleClassTXN</t>
  </si>
  <si>
    <t>http://twitter.com/BillHemmer</t>
  </si>
  <si>
    <t>http://twitter.com/RomneyResponse</t>
  </si>
  <si>
    <t>http://twitter.com/GotchaMedia</t>
  </si>
  <si>
    <t>http://twitter.com/ZekeJMiller</t>
  </si>
  <si>
    <t>http://twitter.com/GIFsFLN</t>
  </si>
  <si>
    <t>http://twitter.com/chrontelli</t>
  </si>
  <si>
    <t>http://twitter.com/GregWHoward</t>
  </si>
  <si>
    <t>http://twitter.com/connnutmeg</t>
  </si>
  <si>
    <t>http://twitter.com/yewkalaylee</t>
  </si>
  <si>
    <t>http://twitter.com/ProudlyWeHail</t>
  </si>
  <si>
    <t>http://twitter.com/jedibrettski</t>
  </si>
  <si>
    <t>http://twitter.com/bigeasyWI</t>
  </si>
  <si>
    <t>http://twitter.com/mattduss</t>
  </si>
  <si>
    <t>http://twitter.com/DavidShuster</t>
  </si>
  <si>
    <t>http://twitter.com/RalstonFlash</t>
  </si>
  <si>
    <t>http://twitter.com/Timodc</t>
  </si>
  <si>
    <t>http://twitter.com/dcseth</t>
  </si>
  <si>
    <t>http://twitter.com/strangep00rk</t>
  </si>
  <si>
    <t>http://twitter.com/Swauny</t>
  </si>
  <si>
    <t>http://twitter.com/ben_techpro</t>
  </si>
  <si>
    <t>http://twitter.com/tummler10</t>
  </si>
  <si>
    <t>http://twitter.com/gryffon57</t>
  </si>
  <si>
    <t>http://twitter.com/WisemanBill</t>
  </si>
  <si>
    <t>http://twitter.com/ksmith474</t>
  </si>
  <si>
    <t>http://twitter.com/TheWrightWingv2</t>
  </si>
  <si>
    <t>http://twitter.com/Bassmaster12</t>
  </si>
  <si>
    <t>http://twitter.com/CarefreeConserv</t>
  </si>
  <si>
    <t>http://twitter.com/BarddeBelmont</t>
  </si>
  <si>
    <t>http://twitter.com/JeremyDanilson</t>
  </si>
  <si>
    <t>http://twitter.com/Shortrosen</t>
  </si>
  <si>
    <t>http://twitter.com/davidwebbshow</t>
  </si>
  <si>
    <t>http://twitter.com/Jlessard</t>
  </si>
  <si>
    <t>http://twitter.com/Brownasaur44</t>
  </si>
  <si>
    <t>http://twitter.com/totomovies</t>
  </si>
  <si>
    <t>http://twitter.com/eeyrehead</t>
  </si>
  <si>
    <t>http://twitter.com/talaroque</t>
  </si>
  <si>
    <t>http://twitter.com/zealousgranny</t>
  </si>
  <si>
    <t>http://twitter.com/TIMENOUT</t>
  </si>
  <si>
    <t>http://twitter.com/PeterLaCrosse</t>
  </si>
  <si>
    <t>http://twitter.com/sarahcgoldstein</t>
  </si>
  <si>
    <t>http://twitter.com/HollywoodTParty</t>
  </si>
  <si>
    <t>http://twitter.com/dpkesq</t>
  </si>
  <si>
    <t>http://twitter.com/eagle17765</t>
  </si>
  <si>
    <t>http://twitter.com/AxelRugger</t>
  </si>
  <si>
    <t>http://twitter.com/TeamOlbermann</t>
  </si>
  <si>
    <t>http://twitter.com/bannerite</t>
  </si>
  <si>
    <t>http://twitter.com/theonlyadult</t>
  </si>
  <si>
    <t>http://twitter.com/TaoistSoul</t>
  </si>
  <si>
    <t>http://twitter.com/jhf5</t>
  </si>
  <si>
    <t>http://twitter.com/TIMEPolitics</t>
  </si>
  <si>
    <t>http://twitter.com/jsmar</t>
  </si>
  <si>
    <t>http://twitter.com/sunsetarival</t>
  </si>
  <si>
    <t>http://twitter.com/trvlgk</t>
  </si>
  <si>
    <t>http://twitter.com/Darin_Driscoll</t>
  </si>
  <si>
    <t>http://twitter.com/DefendWallSt</t>
  </si>
  <si>
    <t>http://twitter.com/AhTrini</t>
  </si>
  <si>
    <t>http://twitter.com/chefmike44</t>
  </si>
  <si>
    <t>http://twitter.com/the_Sabla</t>
  </si>
  <si>
    <t>http://twitter.com/ChristopherGary</t>
  </si>
  <si>
    <t>http://twitter.com/Loxodonta_s</t>
  </si>
  <si>
    <t>http://twitter.com/TuxcedoCat</t>
  </si>
  <si>
    <t>http://twitter.com/fabucat</t>
  </si>
  <si>
    <t>http://twitter.com/aDemocratKnows</t>
  </si>
  <si>
    <t>http://twitter.com/BlackMaxDesign</t>
  </si>
  <si>
    <t>http://twitter.com/RWwatchMA</t>
  </si>
  <si>
    <t>http://twitter.com/robteed</t>
  </si>
  <si>
    <t>http://twitter.com/sherijr</t>
  </si>
  <si>
    <t>http://twitter.com/turnapage</t>
  </si>
  <si>
    <t>http://twitter.com/DianeMNRN</t>
  </si>
  <si>
    <t>http://twitter.com/LennyJLem</t>
  </si>
  <si>
    <t>http://twitter.com/J_Rippel</t>
  </si>
  <si>
    <t>http://twitter.com/JoAnnEileen</t>
  </si>
  <si>
    <t>http://twitter.com/dsunhawk</t>
  </si>
  <si>
    <t>http://twitter.com/DariMD</t>
  </si>
  <si>
    <t>http://twitter.com/_silversmith</t>
  </si>
  <si>
    <t>http://twitter.com/bobdobolina</t>
  </si>
  <si>
    <t>http://twitter.com/JoshDorner</t>
  </si>
  <si>
    <t>http://twitter.com/tbogg</t>
  </si>
  <si>
    <t>http://twitter.com/LeahAnakin</t>
  </si>
  <si>
    <t>http://twitter.com/jhseher</t>
  </si>
  <si>
    <t>http://twitter.com/Pilot9</t>
  </si>
  <si>
    <t>http://twitter.com/AshJen4Politics</t>
  </si>
  <si>
    <t>http://twitter.com/MisterSilverman</t>
  </si>
  <si>
    <t>http://twitter.com/Zenman1550</t>
  </si>
  <si>
    <t>http://twitter.com/OldBlackMajic</t>
  </si>
  <si>
    <t>http://twitter.com/psalm82</t>
  </si>
  <si>
    <t>http://twitter.com/AWiseLatina</t>
  </si>
  <si>
    <t>http://twitter.com/SouthernLady328</t>
  </si>
  <si>
    <t>http://twitter.com/dachdo</t>
  </si>
  <si>
    <t>http://twitter.com/pretcap</t>
  </si>
  <si>
    <t>http://twitter.com/Indybluebird</t>
  </si>
  <si>
    <t>http://twitter.com/PolopersonGwen</t>
  </si>
  <si>
    <t>http://twitter.com/scarylawyerguy</t>
  </si>
  <si>
    <t>http://twitter.com/Nanbp</t>
  </si>
  <si>
    <t>http://twitter.com/buckaroo1260</t>
  </si>
  <si>
    <t>http://twitter.com/ThisisntEasy</t>
  </si>
  <si>
    <t>http://twitter.com/facepalm23</t>
  </si>
  <si>
    <t>http://twitter.com/ChristiMtl</t>
  </si>
  <si>
    <t>http://twitter.com/mummylal</t>
  </si>
  <si>
    <t>http://twitter.com/Newsericks</t>
  </si>
  <si>
    <t>http://twitter.com/spqr1052</t>
  </si>
  <si>
    <t>http://twitter.com/wolfiemouse</t>
  </si>
  <si>
    <t>http://twitter.com/JacquelineHine1</t>
  </si>
  <si>
    <t>http://twitter.com/crankydem</t>
  </si>
  <si>
    <t>http://twitter.com/missb62</t>
  </si>
  <si>
    <t>http://twitter.com/Gukorru</t>
  </si>
  <si>
    <t>http://twitter.com/MMBlosser</t>
  </si>
  <si>
    <t>http://twitter.com/DaveJensen7</t>
  </si>
  <si>
    <t>http://twitter.com/mike_truman</t>
  </si>
  <si>
    <t>http://twitter.com/Time2Standup80</t>
  </si>
  <si>
    <t>http://twitter.com/JNeumann54</t>
  </si>
  <si>
    <t>http://twitter.com/SueWinMA</t>
  </si>
  <si>
    <t>http://twitter.com/Black124</t>
  </si>
  <si>
    <t>http://twitter.com/AndrewHClark</t>
  </si>
  <si>
    <t>http://twitter.com/Dcarter888K</t>
  </si>
  <si>
    <t>http://twitter.com/John_Scott_G</t>
  </si>
  <si>
    <t>http://twitter.com/utahpioneer</t>
  </si>
  <si>
    <t>http://twitter.com/gitmo62</t>
  </si>
  <si>
    <t>http://twitter.com/VictorB123</t>
  </si>
  <si>
    <t>http://twitter.com/MissMarple2</t>
  </si>
  <si>
    <t>http://twitter.com/CindyCoops</t>
  </si>
  <si>
    <t>http://twitter.com/rterenzi1</t>
  </si>
  <si>
    <t>http://twitter.com/SayethSimon</t>
  </si>
  <si>
    <t>http://twitter.com/VandelayDelores</t>
  </si>
  <si>
    <t>http://twitter.com/beehonest50</t>
  </si>
  <si>
    <t>http://twitter.com/SrCal</t>
  </si>
  <si>
    <t>http://twitter.com/8th_of_Branstad</t>
  </si>
  <si>
    <t>http://twitter.com/LisaTalmadge</t>
  </si>
  <si>
    <t>http://twitter.com/HiJCP</t>
  </si>
  <si>
    <t>http://twitter.com/tikibandur</t>
  </si>
  <si>
    <t>http://twitter.com/AmPriorities</t>
  </si>
  <si>
    <t>http://twitter.com/mwoodward4</t>
  </si>
  <si>
    <t>http://twitter.com/JamesYontrofsky</t>
  </si>
  <si>
    <t>http://twitter.com/Imjetta</t>
  </si>
  <si>
    <t>http://twitter.com/FJ473</t>
  </si>
  <si>
    <t>http://twitter.com/pmrushirish</t>
  </si>
  <si>
    <t>http://twitter.com/ACollinsByrnes</t>
  </si>
  <si>
    <t>http://twitter.com/owendbanks</t>
  </si>
  <si>
    <t>http://twitter.com/Norsu2</t>
  </si>
  <si>
    <t>http://twitter.com/sigstarget</t>
  </si>
  <si>
    <t>http://twitter.com/AmericanMind</t>
  </si>
  <si>
    <t>http://twitter.com/lymurp</t>
  </si>
  <si>
    <t>http://twitter.com/liars_never_win</t>
  </si>
  <si>
    <t>http://twitter.com/juliagulia614</t>
  </si>
  <si>
    <t>http://twitter.com/DefeatObama</t>
  </si>
  <si>
    <t>http://twitter.com/canadians4mitt</t>
  </si>
  <si>
    <t>http://twitter.com/RJF_723</t>
  </si>
  <si>
    <t>http://twitter.com/mantone1</t>
  </si>
  <si>
    <t>http://twitter.com/IngerRobberstad</t>
  </si>
  <si>
    <t>http://twitter.com/ChrisMatthewspu</t>
  </si>
  <si>
    <t>http://twitter.com/lilmsunshne</t>
  </si>
  <si>
    <t>http://twitter.com/sidney_fife</t>
  </si>
  <si>
    <t>http://twitter.com/hkistemann</t>
  </si>
  <si>
    <t>http://twitter.com/coxwebdev</t>
  </si>
  <si>
    <t>http://twitter.com/ComfyPaws</t>
  </si>
  <si>
    <t>http://twitter.com/dysinger1231</t>
  </si>
  <si>
    <t>http://twitter.com/SierraDante</t>
  </si>
  <si>
    <t>http://twitter.com/TeamEmailSMS</t>
  </si>
  <si>
    <t>http://twitter.com/Anewhomestar</t>
  </si>
  <si>
    <t>http://twitter.com/NathanSFurtado</t>
  </si>
  <si>
    <t>http://twitter.com/CAP741776</t>
  </si>
  <si>
    <t>http://twitter.com/Patriot38</t>
  </si>
  <si>
    <t>RawLinks
@EricFehrn @AndreaMSaul @GGitcho
@ZacMoffatt @LanheeChen @RyanGOP
@TeamRomney @MittRomney Plz embrace
the Tea Party! http://t.co/6a9tHi0k</t>
  </si>
  <si>
    <t>Paul_Hanlin_Jr
@EricFehrn And go on a legit media
outlet for a change instead of
False (Faux) News.</t>
  </si>
  <si>
    <t>sweet_tWhits
hey @EricFehrn, why don't you dry
your crocodile tears and #ShowUsTheTaxReturns!!
lacking decency? #RomneyShambles
http://t.co/v3g2RsZ2</t>
  </si>
  <si>
    <t>CharlieShield
@BarddeBelmont @Timodc @EricFehrn
@SenatorReid Does he combine the
two? And is that what is behind
the pedophilia rumors? He should
addres</t>
  </si>
  <si>
    <t>PaulMadrigal099
I don't understand @EricFehrn .
If charges against @MittRomney
untrue, all U have to do is release
some tax records to disprove. @teamromney</t>
  </si>
  <si>
    <t>Shmoe
.@EricFehrn Aww... is Harry beating
up your guy for not releasing his
tax returns? How about less whining,
more transparency #SmallestViolin</t>
  </si>
  <si>
    <t>flocktard
@FATCA_Fallout @EricFehrn My guess
is he payed an even lower rate
than what he has already disclosed
on his 2010 return.</t>
  </si>
  <si>
    <t>FATCA_Fallout
@flocktard @EricFehrn I don't understand
why he doesn't unless there is
something unfavorable, like even
a lower effective rate.</t>
  </si>
  <si>
    <t>jmachats
@ericfehrn says asking @mittromney
2 do for Am ppl what he did 4 @senjohnmccain
is "McCarthyism" - http://t.co/rzwq26Pp
via @tpm</t>
  </si>
  <si>
    <t>AngryGamingSub
@EricFehrn Reid would have the
decency to release tax returns
and not embarrass the country in
a layup foreign relations moment.
#WhyHide</t>
  </si>
  <si>
    <t>spottythebeagle
@ericfehrn @reince @gop Quite possibly
he got tax amnesty.. psst someone
in the McCain camp knows, Go get
em' reporters.</t>
  </si>
  <si>
    <t>loganthomison
@EricFehrn Great job representing
the US on the European tour.</t>
  </si>
  <si>
    <t>andyfr8nk
Can we have a debate btwn @davidaxelrod
and @ericfehrn instead of an election?
More fun &amp;amp; probably better
for democracy.</t>
  </si>
  <si>
    <t>GrampaSparkles
Why should we believe @EricFehrn
on #Romney's Taxes when the #GOP
won't believe Hawaii on #Obama's
birth certificate - and we've see
it?</t>
  </si>
  <si>
    <t>PuntaVerdeBK
@ericfehrn methinks #romney protests
too much. Reminds me of derekfay
http://t.co/nmYI7V1S #2012elections
stop posturing #releasethereturns</t>
  </si>
  <si>
    <t>BothArmsUp
RT @bostonsboy87: @EricFehrn @MittRomney
got rich firing ppl, dodging taxes,
now refuses to release returns,
+ somehow @SenatorReid has no decency?
#wakeup</t>
  </si>
  <si>
    <t>bostonsboy87
RT @DavidShuster: ,@ericfehrn,
nice try on FNC. But, if u really
care about decency + not debasing
public office -- release @mittromney's
tax returns.</t>
  </si>
  <si>
    <t>StParmenide
@EricFehrn So what's the goal,
then? Let the Sunnis take over
and genocide the minority (Shia)
Alaouis and Christians?</t>
  </si>
  <si>
    <t>chagresgirl
RT @havewhatusay RT @ZekeJMiller:
RT @globeglen: MITT ROMNEY: @EricFehrn
talking to Candy Crowley on CNN...
#mapoli Talking AT Candy Crowley</t>
  </si>
  <si>
    <t>globeglen
MITT ROMNEY: @EricFehrn v. @CrowleyCNN
is good TV... #mapoli</t>
  </si>
  <si>
    <t>havewhatusay
RT @ZekeJMiller: RT @globeglen:
MITT ROMNEY: @EricFehrn talking
to Candy Crowley on CNN... #mapoli</t>
  </si>
  <si>
    <t>PricklyPete77
@EricFehrn out of his league; @davidaxelrod
is having @MittRomney for lunch.
#etchasketch #DemsInControlOfMessaging
#ReelectionIsALayup</t>
  </si>
  <si>
    <t>msmilonich
@EricFehrn Then Romney features
a "business" person who received
millions of dollars from the government.
If you hook me up, I'll pretend.</t>
  </si>
  <si>
    <t>RepubliConMen
@EricFehrn MORALLY BANKRUPT GOP
HAS NO SENSE OF DECENCY, NEVER
HAVE! IF ROMNEY PAID HIS TAXES
HE'D PROVE IT! FKING LIARS THINK
WE'RE STUPID!</t>
  </si>
  <si>
    <t>i8dc
For @EricFehrn, saying Romney paid
0% tax (not a whopping 13.9%) is
similar to attacking his patriotism
&amp;amp; calling him a commie. Uh
huh.</t>
  </si>
  <si>
    <t>jackrabbit0047
@EricFehrn The GOP might as well
go play golf everyday. They are
USELESS.</t>
  </si>
  <si>
    <t>mikepizzitola
RT @AmPriorities: @EricFehrn Tell
@SenatorReid that @MittRomney will
release more tax returns if @BarackObama
unseals his college transcripts!!!</t>
  </si>
  <si>
    <t>gvrtwpkwy
@anamariecox @politicalwire @EricFehrn
miss him already I loved "this
is a holy place you MF'ers!" #wordsmith</t>
  </si>
  <si>
    <t>MiddleClassTXN
RT @RomneyResponse: "The only thing
this administration is transparent
on is our national security secrets."
- @EricFehrn</t>
  </si>
  <si>
    <t>BillHemmer
From the @MittRomney Camp and @EricFehrn:
@SenatorReid comments about taxes
are "baseless and untrue... do
you have no sense of decency?"</t>
  </si>
  <si>
    <t>RomneyResponse
VIDEO: @EricFehrn weighs in on
Harry Reid's baseless, unfounded
attack on @MittRomney on behalf
of the Obama campaign http://t.co/qrW3s3mA</t>
  </si>
  <si>
    <t>GotchaMedia
On @FoxNews, @EricFehrn thinks
he's Joseph "Have You No Decency,
Sir?" Welch: http://t.co/mxGXVH71</t>
  </si>
  <si>
    <t>ZekeJMiller
RT @globeglen: MITT ROMNEY: @EricFehrn
talking to Candy Crowley on CNN...
#mapoli</t>
  </si>
  <si>
    <t>GIFsFLN
We found something that Mitt Romney
advisor @EricFehrn and Jon Stewart
agree on. http://t.co/GNqBeUml</t>
  </si>
  <si>
    <t>chrontelli
RT @TheWrightWingv2: So, why did
Obama seal his College Transcripts,
1st day in Office? @Time2Standup80
@EricFehrn Why not release them?
#obama2012 #tcot #p2</t>
  </si>
  <si>
    <t>GregWHoward
RT @TheWrightWingv2: So, why did
Obama seal his College Transcripts,
1st day in Office? @Time2Standup80
@EricFehrn Why not release them?
#obama2012 #tcot #p2</t>
  </si>
  <si>
    <t>connnutmeg
RT @BillHemmer: From the @MittRomney
Camp and @EricFehrn: @SenatorReid
comments about taxes are "baseless
and untrue... do you have no sense
of decency?"</t>
  </si>
  <si>
    <t>yewkalaylee
RT @TheWrightWingv2: So, why did
Obama seal his College Transcripts,
1st day in Office? @Time2Standup80
@EricFehrn Why not release them?
#obama2012 #tcot #p2</t>
  </si>
  <si>
    <t>ProudlyWeHail
RT @TheWrightWingv2: So, why did
Obama seal his College Transcripts,
1st day in Office? @Time2Standup80
@EricFehrn Why not release them?
#obama2012 #tcot #p2</t>
  </si>
  <si>
    <t>jedibrettski
RT @RomneyResponse: "The only thing
this administration is transparent
on is our national security secrets."
- @EricFehrn</t>
  </si>
  <si>
    <t>bigeasyWI
@RalstonFlash @EricFehrn @SenatorReid
Eric Fehrnstrom could easily put
the whole issue to rest by releasing
10 years of returns. Story over.</t>
  </si>
  <si>
    <t>mattduss
RT @JoshDorner: .@EricFehrn says
Harry Reid is like McCarthy. Meanwhile,
Romney camp is still mum on actual
McCarthyite crusade of top supporters.</t>
  </si>
  <si>
    <t>DavidShuster
,@ericfehrn, nice try on FNC. But,
if u really care about decency
+ not debasing public office --
release @mittromney's tax returns.</t>
  </si>
  <si>
    <t>RalstonFlash
.@EricFehrn goes all Joseph Welch
on @SenatorReid: http://t.co/TXqvp9Ku
#atlonglastsir</t>
  </si>
  <si>
    <t>Timodc
.@EricFehrn laces into @SenatorReid
http://t.co/UEOJFCWB #heardaboutharry</t>
  </si>
  <si>
    <t>dcseth
RT @AndrewHClark: Romney adviser
@EricFehrn calls out Harry Reid's
baseless, unfounded attack on @MittRomney.
http://t.co/8usmQRck</t>
  </si>
  <si>
    <t>strangep00rk
@BillHemmer @MittRomney @EricFehrn
@SenatorReid Is a pig's @$$ pork?</t>
  </si>
  <si>
    <t>Swauny
RT @BillHemmer: From the @MittRomney
Camp and @EricFehrn: @SenatorReid
comments about taxes are "baseless
and untrue... do you have no sense
of decency?"</t>
  </si>
  <si>
    <t>ben_techpro
RT @BillHemmer: From the @MittRomney
Camp and @EricFehrn: @SenatorReid
comments about taxes are "baseless
and untrue... do you have no sense
of decency?"</t>
  </si>
  <si>
    <t>tummler10
Hey, .@EricFehrn, speaking of McCarthy,
your candidate have the backbone
2 rebuke @MicheleBachmann 4 HER
witchhunt against Muslim Americans?</t>
  </si>
  <si>
    <t>gryffon57
RT @BillHemmer: From the @MittRomney
Camp and @EricFehrn: @SenatorReid
comments about taxes are "baseless
and untrue... do you have no sense
of decency?"</t>
  </si>
  <si>
    <t>WisemanBill
@TheWrightWingv2 @ksmith474 @Time2Standup80
@EricFehrn Would be a nice change.
Maybe I could learn to trust our
government for 1st time.</t>
  </si>
  <si>
    <t>ksmith474
RT @TheWrightWingv2: Or, perhaps,
Not Seal All Records 1st Day In
Office, Like Obama? @WisemanBill
@ksmith474 @Time2Standup80 @EricFehrn
#obama2012 #tcot #p2</t>
  </si>
  <si>
    <t>TheWrightWingv2
RT @Imjetta: @Time2Standup80 @TheWrightWingv2
@EricFehrn Proving you're a citizen
IS Constitutionally mandated.Go
read the Constitution, then we'll
chat.</t>
  </si>
  <si>
    <t>Bassmaster12
@MittRomney Camp @EricFehrn Your
response to @SenatorReid BS claims
on not paying taxes for 10 yrs
is not adequate. Geat tuff! w/
that jerk!</t>
  </si>
  <si>
    <t>CarefreeConserv
RT @RomneyResponse: VIDEO: @EricFehrn
weighs in on Harry Reid's baseless,
unfounded attack on @MittRomney
on behalf of the Obama campaign
http://t.co/qrW3s3mA</t>
  </si>
  <si>
    <t>BarddeBelmont
@BarddeBelmont @Timodc @EricFehrn
@SenatorReid All the TAX Money-Fucking
is gonna be told the People! SO?
We get tax Reform.</t>
  </si>
  <si>
    <t>JeremyDanilson
RT @BillHemmer: From the @MittRomney
Camp and @EricFehrn: @SenatorReid
comments about taxes are "baseless
and untrue... do you have no sense
of decency?"</t>
  </si>
  <si>
    <t>Shortrosen
@BillHemmer @MittRomney @EricFehrn
But I heard from a reliable source,
who shall remain nameless, that
Reid has a drug addiction.</t>
  </si>
  <si>
    <t>davidwebbshow
RT @BillHemmer: From the @MittRomney
Camp and @EricFehrn: @SenatorReid
comments about taxes are "baseless
and untrue... do you have no sense
of decency?"</t>
  </si>
  <si>
    <t>Jlessard
@Shortrosen @BillHemmer @MittRomney
@EricFehrn that would make a lot
of sense!</t>
  </si>
  <si>
    <t>Brownasaur44
@BillHemmer @MittRomney @EricFehrn
Let's hear the story of how @SenatorReid
made his fortune. #DirtyLandDeals
@davidwebbshow #TITA</t>
  </si>
  <si>
    <t>totomovies
RT @RomneyResponse: VIDEO: @EricFehrn
weighs in on Harry Reid's baseless,
unfounded attack on @MittRomney
on behalf of the Obama campaign
http://t.co/qrW3s3mA</t>
  </si>
  <si>
    <t>eeyrehead
RT @RomneyResponse: VIDEO: @EricFehrn
weighs in on Harry Reid's baseless,
unfounded attack on @MittRomney
on behalf of the Obama campaign
http://t.co/qrW3s3mA</t>
  </si>
  <si>
    <t>talaroque
@BillHemmer @mittromney @ericfehrn
@senatorreid No he does not. The
people need to get Reid out, real
quick.</t>
  </si>
  <si>
    <t>zealousgranny
RT @RomneyResponse: VIDEO: @EricFehrn
weighs in on Harry Reid's baseless,
unfounded attack on @MittRomney
on behalf of the Obama campaign
http://t.co/qrW3s3mA</t>
  </si>
  <si>
    <t>TIMENOUT
RT @RomneyResponse: VIDEO: @EricFehrn
weighs in on Harry Reid's baseless,
unfounded attack on @MittRomney
on behalf of the Obama campaign
http://t.co/qrW3s3mA</t>
  </si>
  <si>
    <t>PeterLaCrosse
@EricFehrn Hi Eric! Glad 2 c u
w/ Mitt's campaign! Sadly Sen Reid
has no shame, is a liar &amp;amp; beyond
contempt. Q2Reid: budget yet? #mitt2012</t>
  </si>
  <si>
    <t>sarahcgoldstein
RT @RomneyResponse: VIDEO: @EricFehrn
weighs in on Harry Reid's baseless,
unfounded attack on @MittRomney
on behalf of the Obama campaign
http://t.co/qrW3s3mA</t>
  </si>
  <si>
    <t>HollywoodTParty
RT @RomneyResponse: VIDEO: @EricFehrn
weighs in on Harry Reid's baseless,
unfounded attack on @MittRomney
on behalf of the Obama campaign
http://t.co/qrW3s3mA</t>
  </si>
  <si>
    <t>dpkesq
@RomneyResponse @EricFehrn @MittRomney
Reid is no statesman Just another
dastardly disingenuous distraction
from the REAL issue: the economy</t>
  </si>
  <si>
    <t>eagle17765
@EricFehrn What will you do in
October IF someone gives the Press
Romney's Tax Returns u know the
ones his accountant dropped on
the street</t>
  </si>
  <si>
    <t>AxelRugger
@EricFehrn At least Obama pays
his taxes.</t>
  </si>
  <si>
    <t>TeamOlbermann
@DavidShuster @ericfehrn @mittromney
The Etch-A-Sketch stuff wasn't
debasing enough?</t>
  </si>
  <si>
    <t>bannerite
RT @theonlyadult: The real joke
is when you compare @EricFehrn
to @davidaxelrod. It's almost as
funny as comparing @mittromney
to @BarackObama.</t>
  </si>
  <si>
    <t>theonlyadult
@TIMEPolitics @EricFehrn @CNN You'd
think that even a fool like Eric
would get by now that their lies
about Obama really don't work.</t>
  </si>
  <si>
    <t>TaoistSoul
RT @DavidShuster: ,@ericfehrn,
nice try on FNC. But, if u really
care about decency + not debasing
public office -- release @mittromney's
tax returns.</t>
  </si>
  <si>
    <t>jhf5
@EricFehrn Where are Mitt's returns,
surely he has nothing to hide from
"you people"</t>
  </si>
  <si>
    <t>TIMEPolitics
.@EricFehrn on @CNN: "The President
doesn't have a plan."</t>
  </si>
  <si>
    <t>jsmar
RT @RomneyResponse: VIDEO: @EricFehrn
weighs in on Harry Reid's baseless,
unfounded attack on @MittRomney
on behalf of the Obama campaign
http://t.co/qrW3s3mA</t>
  </si>
  <si>
    <t>sunsetarival
RT @BillHemmer: From the @MittRomney
Camp and @EricFehrn: @SenatorReid
comments about taxes are "baseless
and untrue... do you have no sense
of decency?"</t>
  </si>
  <si>
    <t>trvlgk
RT @DavidShuster: ,@ericfehrn,
nice try on FNC. But, if u really
care about decency + not debasing
public office -- release @mittromney's
tax returns.</t>
  </si>
  <si>
    <t>Darin_Driscoll
@DavidShuster @ericfehrn How about
not meeting in coffee shops to
avoid records of White House visits?
How about not hiding e-mails?</t>
  </si>
  <si>
    <t>DefendWallSt
Attacks against Romney are baseless
http://t.co/hdruyZ25 #HeardAboutHarry
from @ericfehrn #tcot</t>
  </si>
  <si>
    <t>AhTrini
RT @DavidShuster: ,@ericfehrn,
nice try on FNC. But, if u really
care about decency + not debasing
public office -- release @mittromney's
tax returns.</t>
  </si>
  <si>
    <t>chefmike44
RT @DavidShuster ,@ericfehrn, nice
try on FNC. But, if u really care
about decency + not debasing public
office -- release @mittromney's...</t>
  </si>
  <si>
    <t>the_Sabla
RT @RomneyResponse: "The only thing
this administration is transparent
on is our national security secrets."
- @EricFehrn</t>
  </si>
  <si>
    <t>ChristopherGary
RT @BillHemmer: From the @MittRomney
Camp and @EricFehrn: @SenatorReid
comments about taxes are "baseless
and untrue... do you have no sense
of decency?"</t>
  </si>
  <si>
    <t>Loxodonta_s
#Mitt2012 — @MittRomney adviser
@EricFehrn asks Senator Harry Reid,
"Have you no sense of decency,
sir?" http://t.co/K0GS7d2o Answer:
No.</t>
  </si>
  <si>
    <t>TuxcedoCat
.@EricFehrn You, sir, Have No Decency.
You might think abt reminding us
#GOP brought #US McCarthyism. http://t.co/QqSXTvf3
via @HuffPostPol</t>
  </si>
  <si>
    <t>fabucat
RT @ZekeJMiller: An Obama campaign
aide responds to @EricFehrn: "Apparently
Mr. Fehrnstrom didn't go to law
school." http://t.co/Jvmyg1Ul</t>
  </si>
  <si>
    <t>OccupyGay
RT @ZekeJMiller: An Obama campaign
aide responds to @EricFehrn: "Apparently
Mr. Fehrnstrom didn't go to law
school." http://t.co/Jvmyg1Ul</t>
  </si>
  <si>
    <t>aDemocratKnows
RT @PuntaVerdeBK: @ericfehrn methinks
#romney protests too much. Reminds
me of derekfay http://t.co/nmYI7V1S
#2012elections stop posturing #releasethereturns</t>
  </si>
  <si>
    <t>BlackMaxDesign
RT @JoshDorner: .@EricFehrn says
Harry Reid is like McCarthy. Meanwhile,
Romney camp is still mum on actual
McCarthyite crusade of top supporters.</t>
  </si>
  <si>
    <t>RWwatchMA
Mitt Romney used to say he was
pro-choice, now "avidly pro-life."
http://t.co/nxrIFOmK #RomneyFacts
#mapoli #p2 #EtchASketch @EricFehrn</t>
  </si>
  <si>
    <t>robteed
RT @DavidShuster: ,@ericfehrn,
nice try on FNC. But, if u really
care about decency + not debasing
public office -- release @mittromney's
tax returns.</t>
  </si>
  <si>
    <t>sherijr
RT @SayethSimon: "His charges are
baseless and untrue." - @EricFehrn
on Mitt Romney not paying taxes
for ten years. Then prove it Eric.
Release ten years.</t>
  </si>
  <si>
    <t>turnapage
RT @DavidShuster: .@ericfehrn nice
try on FNC- if u really care about
decency/not debasing public office
-- release Romney's tax returns.</t>
  </si>
  <si>
    <t>DianeMNRN
RT @SayethSimon: "His charges are
baseless and untrue." - @EricFehrn
on Mitt Romney not paying taxes
for ten years. Then prove it Eric.
Release ten years.</t>
  </si>
  <si>
    <t>LennyJLem
@DavidShuster @ericfehrn @mittromney
Red Herring, David. Reagan-Carter
released one year. Interview some
out of work Americans.</t>
  </si>
  <si>
    <t>J_Rippel
RT @JoshDorner: .@EricFehrn says
Harry Reid is like McCarthy. Meanwhile,
Romney camp is still mum on actual
McCarthyite crusade of top supporters.</t>
  </si>
  <si>
    <t>JoAnnEileen
RT @AmericanMind: Hey #Mitt2012
- try this: "My plan is to replace
govt checks, with private sector
paychecks, for people able to work"
@EricFehrn</t>
  </si>
  <si>
    <t>dsunhawk
RT From @MittRomney Camp and @EricFehrn:
@SenatorReid comments about taxes
"baseless and untrue... do you
have no sense of decency?"</t>
  </si>
  <si>
    <t>DariMD
Hypocrisy @EricFehrn! You can only
accuse Messina of breaking law
because his emails AVAILABLE 2B
read. Your candidate? Took MA hard
drives!</t>
  </si>
  <si>
    <t>_silversmith
@DavidShuster U can call him out,
David, but @ericfehrn &amp;amp; the
@mittromney campaign are cowards.
Afraid of more tough Qs from @JohnFugelsang</t>
  </si>
  <si>
    <t>bobdobolina
Mr. Fehrnstrom, I knew Joseph Welch.
Joseph Welch was a friend of mine.
And sir, you are no Joseph Welch.
@EricFehrn</t>
  </si>
  <si>
    <t>JoshDorner
.@EricFehrn says Harry Reid is
like McCarthy. Meanwhile, Romney
camp is still mum on actual McCarthyite
crusade of top supporters.</t>
  </si>
  <si>
    <t>tbogg
@EricFehrn thinks Harry Reid has
no shame. That would be this Eric
Fehrnstrom http://t.co/0cvmMLpP</t>
  </si>
  <si>
    <t>LeahAnakin
RT @SayethSimon: "His charges are
baseless and untrue." - @EricFehrn
on Mitt Romney not paying taxes
for ten years. Then prove it Eric.
Release ten years.</t>
  </si>
  <si>
    <t>jhseher
.@EricFehrn on @CNN: "The President
doesn't have a plan."</t>
  </si>
  <si>
    <t>Pilot9
uhhhhh errrrrrr uhhhhh RT @TIMEPolitics
.@EricFehrn on @CNN: "The President
doesn't have a plan."</t>
  </si>
  <si>
    <t>AshJen4Politics
RT @jhseher: .@EricFehrn on @CNN:
"The President doesn't have a plan."</t>
  </si>
  <si>
    <t>MisterSilverman
Cautionary tale 4 @mittromney @ericfehrn
MT @DRUDGE_REPORT Man texts 'I
need to quit texting' before driving
off cliff http://t.co/doupVhrI</t>
  </si>
  <si>
    <t>Zenman1550
RT @tbogg: @EricFehrn thinks Harry
Reid has no shame. That would be
this Eric Fehrnstrom http://t.co/0cvmMLpP</t>
  </si>
  <si>
    <t>OldBlackMajic
RT @psalm82: Ha! This is FUNNY
@EricFehrn spokesperson for MOST
deceitful, false accusatory Prez
candidate ever, thinks he can call
out @SenatorReid ? NO</t>
  </si>
  <si>
    <t>psalm82
Please @MittRomney team denier
@EricFehrn - there aren't enough
voters who just vote #Against PBO
Put up solutions or go home!</t>
  </si>
  <si>
    <t>AWiseLatina
@mittromney Your arrogance assumes
you will be protected by the1%
but We the ones you're trying to
avoid? will be your undoing. @ericfehrn</t>
  </si>
  <si>
    <t>SouthernLady328
RT @DariMD: Hypocrisy @EricFehrn!
You can only accuse Messina of
breaking law because his emails
AVAILABLE 2B read. Your candidate?
Took MA hard drives!</t>
  </si>
  <si>
    <t>dachdo
RT @DavidShuster: ,@ericfehrn,
nice try on FNC. But, if u really
care about decency + not debasing
public office -- release @mittromney's
tax returns.</t>
  </si>
  <si>
    <t>pretcap
RT @AWiseLatina: @mittromney Your
arrogance assumes you will be protected
by the1% but We the ones you're
trying to avoid? will be your undoing.
@ericfehrn</t>
  </si>
  <si>
    <t>Indybluebird
RT @SayethSimon: "His charges are
baseless and untrue." - @EricFehrn
on Mitt Romney not paying taxes
for ten years. Then prove it Eric.
Release ten years.</t>
  </si>
  <si>
    <t>PolopersonGwen
RT @SayethSimon: "His charges are
baseless and untrue." - @EricFehrn
on Mitt Romney not paying taxes
for ten years. Then prove it Eric.
Release ten years.</t>
  </si>
  <si>
    <t>scarylawyerguy
Guy who outed a politician in MA
(@ericfehrn) redefines "chutzpah"
by hitting Reid with the "no decency"
line lol http://t.co/cxOFQMxV</t>
  </si>
  <si>
    <t>Nanbp
RT @DavidShuster: ,@ericfehrn,
nice try on FNC. But, if u really
care about decency + not debasing
public office -- release @mittromney's
tax returns.</t>
  </si>
  <si>
    <t>buckaroo1260
@RWwatchMA @EricFehrn @MittRomney
Now he's pro-both!</t>
  </si>
  <si>
    <t>ThisisntEasy
RT @PuntaVerdeBK: @ericfehrn methinks
#romney protests too much. Reminds
me of derekfay http://t.co/nmYI7V1S
#2012elections stop posturing #releasethereturns</t>
  </si>
  <si>
    <t>facepalm23
@ZekeJMiller @EricFehrn link dznt
go to Mr Messina's response &amp;amp;
how hard is it to type his name
instead of "an obama aid"? #disrespectful</t>
  </si>
  <si>
    <t>ChristiMtl
RT @theonlyadult: The real joke
is when you compare @EricFehrn
to @davidaxelrod. It's almost as
funny as comparing @mittromney
to @BarackObama.</t>
  </si>
  <si>
    <t>mummylal
RT @SayethSimon: "His charges are
baseless and untrue." - @EricFehrn
on Mitt Romney not paying taxes
for ten years. Then prove it Eric.
Release ten years.</t>
  </si>
  <si>
    <t>Newsericks
@EricFehrn:"That report is a joke"="@MittRomney
thinks raising taxes on the middle
class is hilarious" http://t.co/JW6XO6Av
#EdShow</t>
  </si>
  <si>
    <t>spqr1052
@EricFehrn the conversation about
@MittRomney 's 1040's is NOT about
@SenatorReid "decency" it is about
Romney's. @dnc @BarackObama @gop</t>
  </si>
  <si>
    <t>wolfiemouse
RT @crankydem: @ericfehrn U R a
joke. A bush economist is one of
the "questionable" authors. Obfuscation
is not a platform. #edshow #gopfail
#Obama2012</t>
  </si>
  <si>
    <t>JacquelineHine1
RT @JNeumann54: People are sick
to death of @EricFehrn and @MittRomney
patting people on the head and
saying "trust me". WE DON'T. Stop
patronizing us!</t>
  </si>
  <si>
    <t>crankydem
@ericfehrn U R a joke. A bush economist
is one of the "questionable" authors.
Obfuscation is not a platform.
#edshow #gopfail #Obama2012</t>
  </si>
  <si>
    <t>missb62
RT @ZekeJMiller: An Obama campaign
aide responds to @EricFehrn: "Apparently
Mr. Fehrnstrom didn't go to law
school." http://t.co/Jvmyg1Ul</t>
  </si>
  <si>
    <t>Gukorru
“@TIMEPolitics: .@EricFehrn on
@CNN: "The President doesn't have
a plan."”/ So does The Prime Minister?</t>
  </si>
  <si>
    <t>MMBlosser
@TheWrightWingv2 @Time2Standup80
@Imjetta @EricFehrn Only reason
he is a lying about birth he is
not who he says he is or real sh***t
grades</t>
  </si>
  <si>
    <t>DaveJensen7
RT @mike_truman: Sealed back to
Kindergarten no less. What could
he have done in Kindergarten? @TheWrightWingv2
@Time2Standup80 @Imjetta @EricFehrn</t>
  </si>
  <si>
    <t>mike_truman
Sealed back to Kindergarten no
less. What could he have done in
Kindergarten? @TheWrightWingv2
@Time2Standup80 @Imjetta @EricFehrn</t>
  </si>
  <si>
    <t>Time2Standup80
@MMBlosser @thewrightwingv2 @imjetta
@ericfehrn id take a foreigner
over a cult leader like #Romney
any day of the week</t>
  </si>
  <si>
    <t>JNeumann54
People are sick to death of @EricFehrn
and @MittRomney patting people
on the head and saying "trust me".
WE DON'T. Stop patronizing us!</t>
  </si>
  <si>
    <t>SueWinMA
Right after Mitt RT @ElectJeffPerry
Hey Harry Reid: "Put up or shut
up" http://t.co/PnLlQSaV #MAPOLI
@EricFehrn</t>
  </si>
  <si>
    <t>Black124
@TheWrightWingv2 @Time2Standup80
@EricFehrn just face it, we have
an honest president, just like
GWB. ☺</t>
  </si>
  <si>
    <t>AndrewHClark
Romney adviser @EricFehrn calls
out Harry Reid's baseless, unfounded
attack on @MittRomney. http://t.co/8usmQRck</t>
  </si>
  <si>
    <t>Dcarter888K
@EricFehrn CALL BEN GINSBERG SUE
THEM:DCCC apologizes 2 Adelson
4 'Chinese prostitution' comments
AFTER LAW SUIT THREAT http://t.co/DpgmJtWz</t>
  </si>
  <si>
    <t>John_Scott_G
RT @crankydem: @ericfehrn U R a
joke. A bush economist is one of
the "questionable" authors. Obfuscation
is not a platform. #edshow #gopfail
#Obama2012</t>
  </si>
  <si>
    <t>utahpioneer
RT @RomneyResponse: "The only thing
this administration is transparent
on is our national security secrets."
- @EricFehrn</t>
  </si>
  <si>
    <t>gitmo62
RT @RomneyResponse: VIDEO: @EricFehrn
weighs in on Harry Reid's baseless,
unfounded attack on @MittRomney
on behalf of the Obama campaign
http://t.co/qrW3s3mA</t>
  </si>
  <si>
    <t>VictorB123
RT @RomneyResponse: "The only thing
this administration is transparent
on is our national security secrets."
- @EricFehrn</t>
  </si>
  <si>
    <t>MissMarple2
@DavidShuster @ericfehrn @mittromney
HAHAHAHA! Mitt, do NOT release
them! It's driving them crazy!
@CindyCoops</t>
  </si>
  <si>
    <t>CindyCoops
RT @DavidShuster: ,@ericfehrn,
nice try on FNC. But, if u really
care about decency + not debasing
public office -- release @mittromney's
tax returns.</t>
  </si>
  <si>
    <t>rterenzi1
RT @AndrewHClark: +1 RT @RomneyResponse:
"The only thing this administration
is transparent on is our national
security secrets." - @EricFehrn</t>
  </si>
  <si>
    <t>SayethSimon
Even if Reid revealed his source,
it proves or disproves nothing.
ONE THING WILL: @MittRomney's tax
returns. @EricFehrn #ReleaseThemNow</t>
  </si>
  <si>
    <t>VandelayDelores
RT @SayethSimon: Even if Reid revealed
his source, it proves or disproves
nothing. ONE THING WILL: @MittRomney's
tax returns. @EricFehrn #ReleaseThemNow</t>
  </si>
  <si>
    <t>beehonest50
RT @DavidShuster: ,@ericfehrn,
nice try on FNC. But, if u really
care about decency + not debasing
public office -- release @mittromney's
tax returns.</t>
  </si>
  <si>
    <t>SrCal
RT @SayethSimon: Even if Reid revealed
his source, it proves or disproves
nothing. ONE THING WILL: @MittRomney's
tax returns. @EricFehrn #ReleaseThemNow</t>
  </si>
  <si>
    <t>8th_of_Branstad
RT @SayethSimon: Even if Reid revealed
his source, it proves or disproves
nothing. ONE THING WILL: @MittRomney's
tax returns. @EricFehrn #ReleaseThemNow</t>
  </si>
  <si>
    <t>LisaTalmadge
RT @SayethSimon: Even if Reid revealed
his source, it proves or disproves
nothing. ONE THING WILL: @MittRomney's
tax returns. @EricFehrn #ReleaseThemNow</t>
  </si>
  <si>
    <t>HiJCP
RT @SayethSimon: Even if Reid revealed
his source, it proves or disproves
nothing. ONE THING WILL: @MittRomney's
tax returns. @EricFehrn #ReleaseThemNow</t>
  </si>
  <si>
    <t>tikibandur
RT @TheWrightWingv2: So, why did
Obama seal his College Transcripts,
1st day in Office? @Time2Standup80
@EricFehrn Why not release them?
#obama2012 #tcot #p2</t>
  </si>
  <si>
    <t>AmPriorities
It's @BarackObama 's MO. It's how
he wins. Cheating, unsealing records,
dig up info, distort/distract.
See how he won IL Senate. @EricFehrn</t>
  </si>
  <si>
    <t>mwoodward4
Great campaign you guys are running
there, @EricFehrn. #mittmentum</t>
  </si>
  <si>
    <t>JamesYontrofsky
@mike_truman @TheWrightWingv2 @Time2Standup80
@Imjetta @EricFehrn Kindergarten
Choom Gang?</t>
  </si>
  <si>
    <t>Imjetta
@JamesYontrofsky @mike_truman @TheWrightWingv2
@Time2Standup80 @EricFehrn Nothing
would surprise at this point.</t>
  </si>
  <si>
    <t>FJ473
RT @TheWrightWingv2: Or, perhaps,
Not Seal All Records 1st Day In
Office, Like Obama? @WisemanBill
@ksmith474 @Time2Standup80 @EricFehrn
#obama2012 #tcot #p2</t>
  </si>
  <si>
    <t>pmrushirish
RT @BillHemmer: From the @MittRomney
Camp and @EricFehrn: @SenatorReid
comments about taxes are "baseless
and untrue... do you have no sense
of decency?"</t>
  </si>
  <si>
    <t>ACollinsByrnes
@andreamsaul @EricFehrn Besides
economy, advise Romney to address
fears of people. Dispel rumor GOP
doesn't care about poor.</t>
  </si>
  <si>
    <t>owendbanks
RT @Timodc: .@EricFehrn laces into
@SenatorReid http://t.co/UEOJFCWB
#heardaboutharry</t>
  </si>
  <si>
    <t>Norsu2
Under Romney, S&amp;amp;P gave Mass
a credit rating upgrade for an
improving economy and strong fiscal
management. #tcot #p2 @EricFehrn
#Mitt2012</t>
  </si>
  <si>
    <t>sigstarget
RT @RomneyResponse: VIDEO: @EricFehrn
weighs in on Harry Reid's baseless,
unfounded attack on @MittRomney
on behalf of the Obama campaign
http://t.co/qrW3s3mA</t>
  </si>
  <si>
    <t>AmericanMind
#Mitt2012 - try this: "Harry Reid
will say anything to distract attention
from the trillions in new debt
he's left our children" @EricFehrn</t>
  </si>
  <si>
    <t>lymurp
RT @BillHemmer: From the @MittRomney
Camp and @EricFehrn: @SenatorReid
comments about taxes are "baseless
and untrue... do you have no sense
of decency?"</t>
  </si>
  <si>
    <t>liars_never_win
RT @RomneyResponse: VIDEO: @EricFehrn
weighs in on Harry Reid's baseless,
unfounded attack on @MittRomney
on behalf of the Obama campaign
http://t.co/qrW3s3mA</t>
  </si>
  <si>
    <t>juliagulia614
@EricFehrn Mitt needs 2 go 2 a
Chick-fi-la and buy a bunch of
gift certificates for all the lame
stream media who didn't report
on it. #tcot</t>
  </si>
  <si>
    <t>DefeatObama
RT @RomneyResponse: VIDEO: @EricFehrn
weighs in on Harry Reid's baseless,
unfounded attack on @MittRomney
on behalf of the Obama campaign
http://t.co/qrW3s3mA</t>
  </si>
  <si>
    <t>canadians4mitt
RT @AndrewHClark: Romney adviser
@EricFehrn calls out Harry Reid's
baseless, unfounded attack on @MittRomney.
http://t.co/8usmQRck</t>
  </si>
  <si>
    <t>RJF_723
Memo To Romney Press Team: When
someone from BuzzFeed ask you a
question-- Tell them to go fuck
themselves. @RyanGOP @EricFehrn
@andreamsaul</t>
  </si>
  <si>
    <t>mantone1
The guys at @buzzfeed must be dealt
with..Now !!! @andreamsaul @ryangop
@ericfehrn @kevinmaddendc</t>
  </si>
  <si>
    <t>IngerRobberstad
RT @RyanGOP: RT @KatrinaTrinko:
@EricFehrn: "The only thing this
administration is transparent on
is our national security secrets"</t>
  </si>
  <si>
    <t>ChrisMatthewspu
@MittRomney get rid of @EricFehrn
now! He's not getting the job done.
Mitt is not well handled. Time
to shake things up!</t>
  </si>
  <si>
    <t>lilmsunshne
RT @AndrewHClark: Romney adviser
@EricFehrn calls out Harry Reid's
baseless, unfounded attack on @MittRomney.
http://t.co/8usmQRck</t>
  </si>
  <si>
    <t>sidney_fife
RT @RJF_723: Romney's press people
should be kicking these journalist
in in the fucking teeth, not giving
them access. @RyanGOP @andreamsaul
@EricFehrn</t>
  </si>
  <si>
    <t>hkistemann
RT @Dcarter888K: @EricFehrn @EdWGillespie
@MittRomney SO DOES DIRTY HARRY
WANT TO PLAY HARD BALL? Airing
Harry Reid’s Dirty Laundry http://t.co/8DRrKq5Q
TCOT</t>
  </si>
  <si>
    <t>coxwebdev
RT @RealMReynolds: RT @Ted_Newton:
YES, YES: The Obama campaign "is
like a bottomless pit - every day
they reach a new low." - @EricFehrn</t>
  </si>
  <si>
    <t>ComfyPaws
RT @AndrewHClark: +1 RT @RomneyResponse:
"The only thing this administration
is transparent on is our national
security secrets." - @EricFehrn</t>
  </si>
  <si>
    <t>dysinger1231
RT @BillHemmer: From the @MittRomney
Camp and @EricFehrn: @SenatorReid
comments about taxes are "baseless
and untrue... do you have no sense
of decency?"</t>
  </si>
  <si>
    <t>SierraDante
RT @BillHemmer: From the @MittRomney
Camp and @EricFehrn: @SenatorReid
comments about taxes are "baseless
and untrue... do you have no sense
of decency?"</t>
  </si>
  <si>
    <t>TeamEmailSMS
RT @RealMReynolds: RT @Ted_Newton:
YES, YES: The Obama campaign "is
like a bottomless pit - every day
they reach a new low." - @EricFehrn</t>
  </si>
  <si>
    <t>Anewhomestar
RT @Norsu2: Under Romney, S&amp;amp;P
gave Mass a credit rating upgrade
for an improving economy and strong
fiscal management. #tcot #p2 @EricFehrn
#Mitt2012</t>
  </si>
  <si>
    <t>NathanSFurtado
RT @Norsu2: Under Romney, S&amp;amp;P
gave Mass a credit rating upgrade
for an improving economy and strong
fiscal management. #tcot #p2 @EricFehrn
#Mitt2012</t>
  </si>
  <si>
    <t>CAP741776
“@Norsu2: Under Romney, S&amp;amp;P
gave Mass a credit rating upgrade
for an improving economy and strong
fiscal management. @EricFehrn #Mitt2012”</t>
  </si>
  <si>
    <t>Patriot38
RT @Norsu2: Under Romney, S&amp;amp;P
gave Mass a credit rating upgrade
for an improving economy and strong
fiscal management. #tcot #p2 @EricFehrn
#Mitt2012</t>
  </si>
  <si>
    <t>Directed</t>
  </si>
  <si>
    <t xml:space="preserve">&lt;?xml version="1.0" encoding="utf-8"?&gt;_x000D_
&lt;configuration&gt;_x000D_
  &lt;configSections&gt;_x000D_
    &lt;sectionGroup name="userSettings" type="System.Configuration.UserSettingsGroup, System, Version=2.0.0.0, Culture=neutral, PublicKeyToken=b77a5c561934e089"&gt;_x000D_
      &lt;section name="ImportDataUserSettings" type="System.Configuration.ClientSettingsSection, System, Version=2.0.0.0, Culture=neutral, PublicKeyToken=b77a5c561934e089" allowExeDefinition="MachineToLocalUser" requirePermission="false" /&gt;_x000D_
      &lt;section name="ClusterUserSettings" type="System.Configuration.ClientSettingsSection, System, Version=2.0.0.0, Culture=neutral, PublicKeyToken=b77a5c561934e089" allowExeDefinition="MachineToLocalUser" requirePermission="false" /&gt;_x000D_
      &lt;section name="ColumnGroupUserSettings" type="System.Configuration.ClientSettingsSection, System, Version=2.0.0.0, Culture=neutral, PublicKeyToken=b77a5c561934e089" allowExeDefinition="MachineToLocalUser" requirePermission="false" /&gt;_x000D_
      &lt;section name="GroupUserSettings" type="System.Configuration.ClientSettingsSection, System, Version=2.0.0.0, Culture=neutral, PublicKeyToken=b77a5c561934e089" allowExeDefinition="MachineToLocalUser" requirePermission="false" /&gt;_x000D_
      &lt;section name="AutomatedGraphImageUserSettings" type="System.Configuration.ClientSettingsSection, System, Version=2.0.0.0, Culture=neutral, PublicKeyToken=b77a5c561934e089" allowExeDefinition="MachineToLocalUser" requirePermission="false" /&gt;_x000D_
      &lt;section name="GraphMetricUserSettings" type="System.Configuration.ClientSettingsSection, System, Version=2.0.0.0, Culture=neutral, PublicKeyToken=b77a5c561934e089" allowExeDefinition="MachineToLocalUser" requirePermission="false" /&gt;_x000D_
      &lt;section name="AutomateTasksUserSettings" type="System.Configuration.ClientSettingsSection, System, Version=2.0.0.0, Culture=neutral, PublicKeyToken=b77a5c561934e089" allowExeDefinition="MachineToLocalUser" requirePermission="false" /&gt;_x000D_
      &lt;section name="AutoFillUserSettings3"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 name="GraphImageUserSettings2" type="System.Configuration.ClientSettingsSection, System, Version=2.0.0.0, Culture=neutral, PublicKeyToken=b77a5c561934e089" allowExeDefinition="MachineToLocalUser" requirePermission="false" /&gt;_x000D_
      &lt;section name="DynamicFiltersUserSettings" type="System.Configuration.ClientSettingsSection, System, Version=2.0.0.0, Culture=neutral, PublicKeyToken=b77a5c561934e089" allowExeDefinition="MachineToLocalUser" requirePermission="false" /&gt;_x000D_
      &lt;section name="MergeDuplicateEdgesUserSettings" type="System.Configuration.ClientSettingsSection, System, Version=2.0.0.0, Culture=neutral, PublicKeyToken=b77a5c561934e089" allowExeDefinition="MachineToLocalUser" requirePermission="false" /&gt;_x000D_
    &lt;/sectionGroup&gt;_x000D_
  &lt;/configSections&gt;_x000D_
  &lt;userSettings&gt;_x000D_
    &lt;ImportDataUserSettings&gt;_x000D_
      &lt;setting name="SaveImportDescription" serializeAs="String"&gt;_x000D_
        &lt;value&gt;True&lt;/value&gt;_x000D_
      &lt;/setting&gt;_x000D_
      &lt;setting name="ClearTablesBeforeImport" serializeAs="String"&gt;_x000D_
        &lt;value&gt;True&lt;/value&gt;_x000D_
      &lt;/setting&gt;_x000D_
      &lt;setting name="AutomateAfterImport" serializeAs="String"&gt;_x000D_
        &lt;value&gt;True&lt;/value&gt;_x000D_
      &lt;/setting&gt;_x000D_
    &lt;/ImportDataUserSettings&gt;_x000D_
    &lt;ClusterUserSettings&gt;_x000D_
      &lt;setting name="ClusterAlgorithm" serializeAs="String"&gt;_x000D_
        &lt;value&gt;ClausetNewmanMoore&lt;/value&gt;_x000D_
      &lt;/setting&gt;_x000D_
      &lt;setting name="PutNeighborlessVerticesInOneCluster" serializeAs="String"&gt;_x000D_
        &lt;value&gt;True&lt;/value&gt;_x000D_
      &lt;/setting&gt;_x000D_
    &lt;/ClusterUserSettings&gt;_x000D_
    &lt;ColumnGroupUserSettings&gt;_x000D_
      &lt;setting name="ColumnGroupsToShow" serializeAs="String"&gt;_x000D_
        &lt;value&gt;EdgeDoNotHide, EdgeGraphMetrics, EdgeOtherColumns, VertexDoNotHide, VertexGraphMetrics, VertexOtherColumns, GroupDoNotHide, GroupGraphMetrics, GroupOtherColumns, GroupEdgeGraphMetrics&lt;/value&gt;_x000D_
      &lt;/setting&gt;_x000D_
    &lt;/ColumnGroupUserSettings&gt;_x000D_
    &lt;GroupUserSettings&gt;_x000D_
      &lt;setting name="ReadGroups" serializeAs="String"&gt;_x000D_
        &lt;value&gt;True&lt;/value&gt;_x000D_
      &lt;/setting&gt;_x000D_
      &lt;setting name="ReadVertexShapeFromGroups" serializeAs="String"&gt;_x000D_
        &lt;value&gt;False&lt;/value&gt;_x000D_
      &lt;/setting&gt;_x000D_
      &lt;setting name="ReadVertexColorFromGroups" serializeAs="String"&gt;_x000D_
        &lt;value&gt;True&lt;/value&gt;_x000D_
      &lt;/setting&gt;_x000D_
    &lt;/GroupUserSettings&gt;_x000D_
    &lt;AutomatedGraphImageUserSettings&gt;_x000D_
      &lt;setting name="ImageFormat" serializeAs="String"&gt;_x000D_
        &lt;value&gt;Png&lt;/value&gt;_x000D_
      &lt;/setting&gt;_x000D_
      &lt;setting name="IncludeFooter" serializeAs="String"&gt;_x000D_
        &lt;value&gt;True&lt;/value&gt;_x000D_
      &lt;/setting&gt;_x000D_
      &lt;setting name="HeaderText" serializeAs="String"&gt;_x000D_
        &lt;value&gt;Social media network map of connections among Twitter Users&lt;/value&gt;_x000D_
      &lt;/setting&gt;_x000D_
      &lt;setting name="FooterText" serializeAs="String"&gt;_x000D_
        &lt;value&gt;Created with NodeXL (http://nodexl.codeplex.com) from the Social Media Research Foundation (http://www.smrfoundation.org)&lt;/value&gt;_x000D_
      &lt;/setting&gt;_x000D_
      &lt;setting name="HeaderFooterFont" serializeAs="String"&gt;_x000D_
        &lt;value&gt;Microsoft Sans Serif, 8.25pt&lt;/value&gt;_x000D_
      &lt;/setting&gt;_x000D_
      &lt;setting name="IncludeHeader" serializeAs="String"&gt;_x000D_
        &lt;value&gt;True&lt;/value&gt;_x000D_
      &lt;/setting&gt;_x000D_
    </t>
  </si>
  <si>
    <t xml:space="preserve">  &lt;setting name="ImageSizePx" serializeAs="String"&gt;_x000D_
        &lt;value&gt;4096, 3072&lt;/value&gt;_x000D_
      &lt;/setting&gt;_x000D_
    &lt;/AutomatedGraphImageUserSettings&gt;_x000D_
    &lt;GraphMetricUserSettings&gt;_x000D_
      &lt;setting name="GraphMetricsToCalculate" serializeAs="String"&gt;_x000D_
        &lt;value&gt;InDegree, OutDegree, Degree, ClusteringCoefficient, BrandesFastCentralities, EigenvectorCentrality, PageRank, OverallMetrics, GroupMetrics, EdgeReciprocation, TopNBy, TwitterSearchNetworkTopItems, Words, ReciprocatedVertexPairRatio&lt;/value&gt;_x000D_
      &lt;/setting&gt;_x000D_
      &lt;setting name="TopNByMetricsToCalculate" serializeAs="Xml"&gt;_x000D_
        &lt;value&gt;_x000D_
          &lt;ArrayOfTopNByMetricUserSettings xmlns:xsi="http://www.w3.org/2001/XMLSchema-instance" xmlns:xsd="http://www.w3.org/2001/XMLSchema"&gt;_x000D_
            &lt;TopNByMetricUserSettings&gt;_x000D_
              &lt;N&gt;10&lt;/N&gt;_x000D_
              &lt;WorksheetName&gt;Vertices&lt;/WorksheetName&gt;_x000D_
              &lt;TableName&gt;Vertices&lt;/TableName&gt;_x000D_
              &lt;RankedColumnName&gt;Betweenness Centrality&lt;/RankedColumnName&gt;_x000D_
              &lt;ItemNameColumnName&gt;Vertex&lt;/ItemNameColumnName&gt;_x000D_
            &lt;/TopNByMetricUserSettings&gt;_x000D_
          &lt;/ArrayOfTopNByMetricUserSettings&gt;_x000D_
        &lt;/value&gt;_x000D_
      &lt;/setting&gt;_x000D_
      &lt;setting name="WordPairMetricUserSettings" serializeAs="String"&gt;_x000D_
        &lt;value&gt;TextColumnIsOnEdgeWorksheet░True▓TextColumnName░Tweet▓CountByGroup░True▓SkipSinglePairs░True▓WordsToSkip░a able about across after ain't all almost also am among an and any are aren't as at be because been but by can can't cannot could could've couldn't did didn't do does doesn't don't either else ever every for from get got had has hasn't have he he'd he'll he's her hers him his how how'd how'll how's however i i'd i'll i'm i've if in into is isn't it it's its just least let like likely may me might might've most must must've mustn't my neither no nor not of off often on only or other our own rather said say says she she'd she'll she's should should've shouldn't since so some than that that'll that's the their them then there there's these they they'd they'll they're they've this to too us wants was wasn't we we'd we'll we're were weren't what what's when where where'd where'll where's which while who who'd who'll who's whom why why'd will with won't would would've wouldn't yet you you'd you'll you're you've your&lt;/value&gt;_x000D_
      &lt;/setting&gt;_x000D_
      &lt;setting name="WordMetricUserSettings" serializeAs="String"&gt;_x000D_
        &lt;value&gt;TextColumnIsOnEdgeWorksheet░True▓TextColumnName░Tweet▓CountByGroup░True▓SkipSingleTerms░True▓WordsToSkip░a able about across after ain't all almost also am among an and any are aren't as at be because been but by can can't cannot could could've couldn't did didn't do does doesn't don't either else ever every for from get got had has hasn't have he he'd he'll he's her hers him his how how'd how'll how's however i i'd i'll i'm i've if in into is isn't it it's its just least let like likely may me might might've most must must've mustn't my neither no nor not of off often on only or other our own rather said say says she she'd she'll she's should should've shouldn't since so some than that that'll that's the their them then there there's these they they'd they'll they're they've this to too us wants was wasn't we we'd we'll we're were weren't what what's when where where'd where'll where's which while who who'd who'll who's whom why why'd will with won't would would've wouldn't yet you you'd you'll you're you've your&lt;/value&gt;_x000D_
      &lt;/setting&gt;_x000D_
    &lt;/GraphMetricUserSettings&gt;_x000D_
    &lt;AutomateTasksUserSettings&gt;_x000D_
      &lt;setting name="FolderToAutomate" serializeAs="String"&gt;_x000D_
        &lt;value /&gt;_x000D_
      &lt;/setting&gt;_x000D_
      &lt;setting name="TasksToRun" serializeAs="String"&gt;_x000D_
        &lt;value&gt;MergeDuplicateEdges, CalculateGraphMetrics, AutoFillWorkbook, CreateSubgraphImages, CalculateClusters, ReadWorkbook, SaveGraphImageFile&lt;/value&gt;_x000D_
      &lt;/setting&gt;_x000D_
      &lt;setting name="AutomateThisWorkbookOnly" serializeAs="String"&gt;_x000D_
        &lt;value&gt;True&lt;/value&gt;_x000D_
      &lt;/setting&gt;_x000D_
    &lt;/AutomateTasksUserSettings&gt;_x000D_
    &lt;AutoFillUserSettings3&gt;_x000D_
      &lt;setting name="VertexLabelSourceColumnName" serializeAs="String"&gt;_x000D_
        &lt;value&gt;Vertex&lt;/value&gt;_x000D_
      &lt;/setting&gt;_x000D_
      &lt;setting name="EdgeAlphaSourceColumnName" serializeAs="String"&gt;_x000D_
        &lt;value&gt;Edge Weight&lt;/value&gt;_x000D_
      &lt;/setting&gt;_x000D_
      &lt;setting name="VertexRadiusSourceColumnName" serializeAs="String"&gt;_x000D_
        &lt;value&gt;Followers&lt;/value&gt;_x000D_
      &lt;/setting&gt;_x000D_
      &lt;setting name="VertexYSourceColumnName" serializeAs="String"&gt;_x000D_
        &lt;value /&gt;_x000D_
      &lt;/setting&gt;_x000D_
      &lt;setting name="VertexXSourceColumnName" serializeAs="String"&gt;_x000D_
        &lt;value /&gt;_x000D_
      &lt;/setting&gt;_x000D_
      &lt;setting name="VertexLabelPositionSourceColumnName" serializeAs="String"&gt;_x000D_
        &lt;value /&gt;_x000D_
      &lt;/setting&gt;_x000D_
      &lt;setting name="EdgeLabelSourceColumnName" serializeAs="String"&gt;_x000D_
        &lt;value /&gt;_x000D_
      &lt;/setting&gt;_x000D_
      &lt;setting name="VertexColorSourceColumnName" serializeAs="String"&gt;_x000D_
        &lt;value /&gt;_x000D_
      &lt;/setting&gt;_x000D_
      &lt;setting name="EdgeVisibilitySourceColumnName" serializeAs="String"&gt;_x000D_
        &lt;value /&gt;_x000D_
      &lt;/setting&gt;_x000D_
      &lt;setting name="VertexLayoutOrderSourceColumnName" serializeAs="String"&gt;_x000D_
        &lt;value&gt;Followers&lt;/value&gt;_x000D_
      &lt;/setting&gt;_x000D_
      &lt;setting name="VertexToolTipSourceColumnName" serializeAs="String"&gt;_x000D_
        &lt;value /&gt;_x000D_
      &lt;/setting&gt;_x000D_
      &lt;setting name="VertexAlphaSourceColumnName" serializeAs="String"&gt;_x000D_
        &lt;value&gt;Followers&lt;/value&gt;_x000D_
      &lt;/setting&gt;_x000D_
      &lt;setting name="GroupCollapsedSourceColumnName" serializeAs="String"&gt;_x000D_
        &lt;value /&gt;_x000D_
      &lt;/setting&gt;_x000D_
      &lt;setting name="VertexPolarRSourceColumnName" serializeAs="String"&gt;_x000D_
        &lt;value /&gt;_x000D_
      &lt;/setting&gt;_x000D_
      &lt;setting name="EdgeWidthSourceColumnName" serializeAs="String"&gt;_x000D_
        &lt;value&gt;Edge Weight&lt;/value&gt;_x000D_
      &lt;/setting&gt;_x000D_
      &lt;setting name="VertexShapeSourceColumnName" serializeAs="String"&gt;_x000D_
        &lt;value&gt;In-Degree&lt;/value&gt;_x000D_
      &lt;/setting&gt;_x000D_
      &lt;setting name="EdgeStyleSourceColumnName" serializeAs="String"&gt;_x000D_
        &lt;value&gt;</t>
  </si>
  <si>
    <t xml:space="preserve">Relationship&lt;/value&gt;_x000D_
      &lt;/setting&gt;_x000D_
      &lt;setting name="EdgeColorSourceColumnName" serializeAs="String"&gt;_x000D_
        &lt;value&gt;Relationship&lt;/value&gt;_x000D_
      &lt;/setting&gt;_x000D_
      &lt;setting name="VertexPolarAngleSourceColumnName" serializeAs="String"&gt;_x000D_
        &lt;value /&gt;_x000D_
      &lt;/setting&gt;_x000D_
      &lt;setting name="VertexLabelFillColorSourceColumnName" serializeAs="String"&gt;_x000D_
        &lt;value /&gt;_x000D_
      &lt;/setting&gt;_x000D_
      &lt;setting name="VertexVisibilitySourceColumnName" serializeAs="String"&gt;_x000D_
        &lt;value /&gt;_x000D_
      &lt;/setting&gt;_x000D_
      &lt;setting name="VertexShapeDetails" serializeAs="String"&gt;_x000D_
        &lt;value&gt;GreaterThan	0	Image	Image&lt;/value&gt;_x000D_
      &lt;/setting&gt;_x000D_
      &lt;setting name="VertexYDetails" serializeAs="String"&gt;_x000D_
        &lt;value&gt;False	False	0	0	0	9999	False	False&lt;/value&gt;_x000D_
      &lt;/setting&gt;_x000D_
      &lt;setting name="VertexLayoutOrderDetails" serializeAs="String"&gt;_x000D_
        &lt;value&gt;False	False	0	0	1	9999	False	False&lt;/value&gt;_x000D_
      &lt;/setting&gt;_x000D_
      &lt;setting name="EdgeStyleDetails" serializeAs="String"&gt;_x000D_
        &lt;value&gt;GreaterThan	0	Solid	Dash&lt;/value&gt;_x000D_
      &lt;/setting&gt;_x000D_
      &lt;setting name="VertexColorDetails" serializeAs="String"&gt;_x000D_
        &lt;value&gt;False	False	0	10	Red	Green	False	False	True&lt;/value&gt;_x000D_
      &lt;/setting&gt;_x000D_
      &lt;setting name="EdgeAlphaDetails" serializeAs="String"&gt;_x000D_
        &lt;value&gt;False	False	0	0	100	60	False	False&lt;/value&gt;_x000D_
      &lt;/setting&gt;_x000D_
      &lt;setting name="VertexLabelPositionDetails" serializeAs="String"&gt;_x000D_
        &lt;value&gt;GreaterThan	0	Bottom Center	Nowhere&lt;/value&gt;_x000D_
      &lt;/setting&gt;_x000D_
      &lt;setting name="VertexVisibilityDetails" serializeAs="String"&gt;_x000D_
        &lt;value&gt;GreaterThan	0	Show if in an Edge	Skip&lt;/value&gt;_x000D_
      &lt;/setting&gt;_x000D_
      &lt;setting name="VertexPolarAngleDetails" serializeAs="String"&gt;_x000D_
        &lt;value&gt;False	False	0	0	0	359	False	False&lt;/value&gt;_x000D_
      &lt;/setting&gt;_x000D_
      &lt;setting name="VertexAlphaDetails" serializeAs="String"&gt;_x000D_
        &lt;value&gt;False	False	0	0	100	70	False	False&lt;/value&gt;_x000D_
      &lt;/setting&gt;_x000D_
      &lt;setting name="EdgeWidthDetails" serializeAs="String"&gt;_x000D_
        &lt;value&gt;False	False	1	10	1	10	False	False&lt;/value&gt;_x000D_
      &lt;/setting&gt;_x000D_
      &lt;setting name="GroupCollapsedDetails" serializeAs="String"&gt;_x000D_
        &lt;value&gt;GreaterThan	0	Yes	No&lt;/value&gt;_x000D_
      &lt;/setting&gt;_x000D_
      &lt;setting name="VertexRadiusDetails" serializeAs="String"&gt;_x000D_
        &lt;value&gt;False	False	0	0	1.5	10	True	False&lt;/value&gt;_x000D_
      &lt;/setting&gt;_x000D_
      &lt;setting name="VertexXDetails" serializeAs="String"&gt;_x000D_
        &lt;value&gt;False	False	0	0	0	9999	False	False&lt;/value&gt;_x000D_
      &lt;/setting&gt;_x000D_
      &lt;setting name="EdgeColorDetails" serializeAs="String"&gt;_x000D_
        &lt;value&gt;False	False	0	10	Red	Green	False	False	False&lt;/value&gt;_x000D_
      &lt;/setting&gt;_x000D_
      &lt;setting name="VertexLabelFillColorDetails" serializeAs="String"&gt;_x000D_
        &lt;value&gt;False	False	0	10	Red	Green	False	False	True&lt;/value&gt;_x000D_
      &lt;/setting&gt;_x000D_
      &lt;setting name="EdgeVisibilityDetails" serializeAs="String"&gt;_x000D_
        &lt;value&gt;GreaterThan	0	Show	Skip&lt;/value&gt;_x000D_
      &lt;/setting&gt;_x000D_
      &lt;setting name="VertexPolarRDetails" serializeAs="String"&gt;_x000D_
        &lt;value&gt;False	False	0	0	0	1	False	False&lt;/value&gt;_x000D_
      &lt;/setting&gt;_x000D_
      &lt;setting name="GroupLabelSourceColumnName" serializeAs="String"&gt;_x000D_
        &lt;value&gt;Top Hashtags in Tweet&lt;/value&gt;_x000D_
      &lt;/setting&gt;_x000D_
    &lt;/AutoFillUserSettings3&gt;_x000D_
    &lt;LayoutUserSettings&gt;_x000D_
      &lt;setting name="Layout" serializeAs="String"&gt;_x000D_
        &lt;value&gt;HarelKorenFastMultiscale&lt;/value&gt;_x000D_
      &lt;/setting&gt;_x000D_
      &lt;setting name="LayoutStyle" serializeAs="String"&gt;_x000D_
        &lt;value&gt;UseGroups&lt;/value&gt;_x000D_
      &lt;/setting&gt;_x000D_
      &lt;setting name="GroupRectanglePenWidth" serializeAs="String"&gt;_x000D_
        &lt;value&gt;1&lt;/value&gt;_x000D_
      &lt;/setting&gt;_x000D_
      &lt;setting name="FruchtermanReingoldC" serializeAs="String"&gt;_x000D_
        &lt;value&gt;3&lt;/value&gt;_x000D_
      &lt;/setting&gt;_x000D_
      &lt;setting name="HideIntergroupEdges" serializeAs="String"&gt;_x000D_
        &lt;value&gt;False&lt;/value&gt;_x000D_
      &lt;/setting&gt;_x000D_
      &lt;setting name="ImproveLayoutOfGroups" serializeAs="String"&gt;_x000D_
        &lt;value&gt;True&lt;/value&gt;_x000D_
      &lt;/setting&gt;_x000D_
      &lt;setting name="Margin" serializeAs="String"&gt;_x000D_
        &lt;value&gt;15&lt;/value&gt;_x000D_
      &lt;/setting&gt;_x000D_
      &lt;setting name="FruchtermanReingoldIterations" serializeAs="String"&gt;_x000D_
        &lt;value&gt;10&lt;/value&gt;_x000D_
      &lt;/setting&gt;_x000D_
      &lt;setting name="IntergroupEdgeStyle" serializeAs="String"&gt;_x000D_
        &lt;value&gt;Show&lt;/value&gt;_x000D_
      &lt;/setting&gt;_x000D_
    &lt;/LayoutUserSettings&gt;_x000D_
    &lt;GeneralUserSettings4&gt;_x000D_
      &lt;setting name="ReadEdgeLabels" serializeAs="String"&gt;_x000D_
        &lt;value&gt;True&lt;/value&gt;_x000D_
      &lt;/setting&gt;_x000D_
      &lt;setting name="ShowGraphLegend" serializeAs="String"&gt;_x000D_
        &lt;value&gt;False&lt;/value&gt;_x000D_
      &lt;/setting&gt;_x000D_
      &lt;setting name="ShowGraphAxes" serializeAs="String"&gt;_x000D_
        &lt;value&gt;False&lt;/value&gt;_x000D_
      &lt;/setting&gt;_x000D_
      &lt;setting name="ReadVertexLabels" serializeAs="String"&gt;_x000D_
        &lt;value&gt;True&lt;/value&gt;_x000D_
      &lt;/setting&gt;_x000D_
      &lt;setting name="ClearTablesBeforeImport" serializeAs="String"&gt;_x000D_
        &lt;value&gt;True&lt;/value&gt;_x000D_
      &lt;/setting&gt;_x000D_
      &lt;setting name="ClusterAlgorithm" serializeAs="String"&gt;_x000D_
        &lt;value&gt;ClausetNewmanMoore&lt;/value&gt;_x000D_
      &lt;/setting&gt;_x000D_
      &lt;setting name="BackColor" serializeAs="String"&gt;_x000D_
        &lt;value&gt;White&lt;/value&gt;_x000D_
      &lt;/setting&gt;_x000D_
      &lt;setting name="BackgroundImageUri" serializeAs="String"&gt;_x000D_
        &lt;value /&gt;_x000D_
      &lt;/setting&gt;_x000D_
      &lt;setting name="VertexRadius" serializeAs="String"&gt;_x000D_
        &lt;value&gt;1.5&lt;/value&gt;_x000D_
      &lt;/setting&gt;_x000D_
      &lt;setting name="AutoReadWorkbook" serializeAs="String"&gt;_x000D_
        &lt;value&gt;True&lt;/value&gt;_x000D_
      &lt;/setting&gt;_x000D_
      &lt;setting name="SelectedEdgeColor" serializeAs="String"&gt;_x000D_
        &lt;value&gt;Red&lt;/value&gt;_x000D_
      &lt;/setting&gt;_x000D_
      &lt;setting name="VertexAlpha" serializeAs="String"&gt;_x000D_
        &lt;value&gt;100&lt;/value&gt;_x000D_
      &lt;/setting&gt;_x000D_
      &lt;setting name="AxisFont" serializeAs="String"&gt;_x000D_
        &lt;value&gt;Microsoft Sans Serif, 24pt&lt;/value&gt;_x000D_
      &lt;/setting&gt;_x000D_
      &lt;setting name="EdgeCurveStyle" serializeAs="String"&gt;_x000D_
        &lt;value&gt;Bezier&lt;/value&gt;_x000D_
      &lt;/setting&gt;_x000D_
      &lt;setting name="EdgeWidth" serializeAs="String"&gt;_x000D_
        &lt;value&gt;2&lt;/value&gt;_x000D_
      &lt;/setting&gt;_x000D_
      &lt;setting name="AutoSelect" serializeAs="String"&gt;_x000D_
</t>
  </si>
  <si>
    <t>Edge Weight</t>
  </si>
  <si>
    <t>G1</t>
  </si>
  <si>
    <t>G2</t>
  </si>
  <si>
    <t>G3</t>
  </si>
  <si>
    <t>G4</t>
  </si>
  <si>
    <t>G5</t>
  </si>
  <si>
    <t>G6</t>
  </si>
  <si>
    <t>G7</t>
  </si>
  <si>
    <t>0, 12, 96</t>
  </si>
  <si>
    <t>0, 136, 227</t>
  </si>
  <si>
    <t>0, 100, 50</t>
  </si>
  <si>
    <t>0, 176, 22</t>
  </si>
  <si>
    <t>191, 0, 0</t>
  </si>
  <si>
    <t>230, 120, 0</t>
  </si>
  <si>
    <t>255, 191, 0</t>
  </si>
  <si>
    <t>Graph Type</t>
  </si>
  <si>
    <t>Modularity</t>
  </si>
  <si>
    <t>NodeXL Version</t>
  </si>
  <si>
    <t>1.0.1.220</t>
  </si>
  <si>
    <t>Group 1</t>
  </si>
  <si>
    <t>Group 2</t>
  </si>
  <si>
    <t>Edges</t>
  </si>
  <si>
    <t>Not Applicable</t>
  </si>
  <si>
    <t>Word</t>
  </si>
  <si>
    <t>ericfehrn</t>
  </si>
  <si>
    <t>rt</t>
  </si>
  <si>
    <t>mittromney</t>
  </si>
  <si>
    <t>senatorreid</t>
  </si>
  <si>
    <t>tax</t>
  </si>
  <si>
    <t>returns</t>
  </si>
  <si>
    <t>decency</t>
  </si>
  <si>
    <t>release</t>
  </si>
  <si>
    <t>baseless</t>
  </si>
  <si>
    <t>obama</t>
  </si>
  <si>
    <t>time2standup80</t>
  </si>
  <si>
    <t>thewrightwingv2</t>
  </si>
  <si>
    <t>taxes</t>
  </si>
  <si>
    <t>harry</t>
  </si>
  <si>
    <t>office</t>
  </si>
  <si>
    <t>campaign</t>
  </si>
  <si>
    <t>untrue</t>
  </si>
  <si>
    <t>camp</t>
  </si>
  <si>
    <t>romneyresponse</t>
  </si>
  <si>
    <t>reid</t>
  </si>
  <si>
    <t>mitt</t>
  </si>
  <si>
    <t>people</t>
  </si>
  <si>
    <t>timodc</t>
  </si>
  <si>
    <t>billhemmer</t>
  </si>
  <si>
    <t>u</t>
  </si>
  <si>
    <t>sense</t>
  </si>
  <si>
    <t>reid's</t>
  </si>
  <si>
    <t>mittromney's</t>
  </si>
  <si>
    <t>years</t>
  </si>
  <si>
    <t>comments</t>
  </si>
  <si>
    <t>unfounded</t>
  </si>
  <si>
    <t>attack</t>
  </si>
  <si>
    <t>barddebelmont</t>
  </si>
  <si>
    <t>amp</t>
  </si>
  <si>
    <t>go</t>
  </si>
  <si>
    <t>college</t>
  </si>
  <si>
    <t>transcripts</t>
  </si>
  <si>
    <t>davidshuster</t>
  </si>
  <si>
    <t>day</t>
  </si>
  <si>
    <t>try</t>
  </si>
  <si>
    <t>thing</t>
  </si>
  <si>
    <t>behalf</t>
  </si>
  <si>
    <t>nice</t>
  </si>
  <si>
    <t>really</t>
  </si>
  <si>
    <t>now</t>
  </si>
  <si>
    <t>video</t>
  </si>
  <si>
    <t>weighs</t>
  </si>
  <si>
    <t>care</t>
  </si>
  <si>
    <t>seal</t>
  </si>
  <si>
    <t>1st</t>
  </si>
  <si>
    <t>debasing</t>
  </si>
  <si>
    <t>public</t>
  </si>
  <si>
    <t>ten</t>
  </si>
  <si>
    <t>cnn</t>
  </si>
  <si>
    <t>out</t>
  </si>
  <si>
    <t>fnc</t>
  </si>
  <si>
    <t>eric</t>
  </si>
  <si>
    <t>even</t>
  </si>
  <si>
    <t>one</t>
  </si>
  <si>
    <t>up</t>
  </si>
  <si>
    <t>sayethsimon</t>
  </si>
  <si>
    <t>jack</t>
  </si>
  <si>
    <t>nothing</t>
  </si>
  <si>
    <t>more</t>
  </si>
  <si>
    <t>paying</t>
  </si>
  <si>
    <t>prove</t>
  </si>
  <si>
    <t>economy</t>
  </si>
  <si>
    <t>administration</t>
  </si>
  <si>
    <t>transparent</t>
  </si>
  <si>
    <t>national</t>
  </si>
  <si>
    <t>security</t>
  </si>
  <si>
    <t>secrets</t>
  </si>
  <si>
    <t>barackobama</t>
  </si>
  <si>
    <t>imjetta</t>
  </si>
  <si>
    <t>law</t>
  </si>
  <si>
    <t>romney's</t>
  </si>
  <si>
    <t>ryangop</t>
  </si>
  <si>
    <t>read</t>
  </si>
  <si>
    <t>source</t>
  </si>
  <si>
    <t>charges</t>
  </si>
  <si>
    <t>president</t>
  </si>
  <si>
    <t>fehrnstrom</t>
  </si>
  <si>
    <t>think</t>
  </si>
  <si>
    <t>paid</t>
  </si>
  <si>
    <t>under</t>
  </si>
  <si>
    <t>s</t>
  </si>
  <si>
    <t>andreamsaul</t>
  </si>
  <si>
    <t>tell</t>
  </si>
  <si>
    <t>zekejmiller</t>
  </si>
  <si>
    <t>2</t>
  </si>
  <si>
    <t>plan</t>
  </si>
  <si>
    <t>records</t>
  </si>
  <si>
    <t>kindergarten</t>
  </si>
  <si>
    <t>joke</t>
  </si>
  <si>
    <t>call</t>
  </si>
  <si>
    <t>real</t>
  </si>
  <si>
    <t>rate</t>
  </si>
  <si>
    <t>newtgingrich</t>
  </si>
  <si>
    <t>p</t>
  </si>
  <si>
    <t>gave</t>
  </si>
  <si>
    <t>mass</t>
  </si>
  <si>
    <t>credit</t>
  </si>
  <si>
    <t>rating</t>
  </si>
  <si>
    <t>upgrade</t>
  </si>
  <si>
    <t>improving</t>
  </si>
  <si>
    <t>strong</t>
  </si>
  <si>
    <t>fiscal</t>
  </si>
  <si>
    <t>management</t>
  </si>
  <si>
    <t>hard</t>
  </si>
  <si>
    <t>talking</t>
  </si>
  <si>
    <t>sealed</t>
  </si>
  <si>
    <t>revealed</t>
  </si>
  <si>
    <t>proves</t>
  </si>
  <si>
    <t>disproves</t>
  </si>
  <si>
    <t>stop</t>
  </si>
  <si>
    <t>mr</t>
  </si>
  <si>
    <t>thinks</t>
  </si>
  <si>
    <t>davidaxelrod</t>
  </si>
  <si>
    <t>10yrs</t>
  </si>
  <si>
    <t>0</t>
  </si>
  <si>
    <t>10</t>
  </si>
  <si>
    <t>norsu2</t>
  </si>
  <si>
    <t>andrewhclark</t>
  </si>
  <si>
    <t>adviser</t>
  </si>
  <si>
    <t>done</t>
  </si>
  <si>
    <t>r</t>
  </si>
  <si>
    <t>hey</t>
  </si>
  <si>
    <t>wisemanbill</t>
  </si>
  <si>
    <t>school</t>
  </si>
  <si>
    <t>less</t>
  </si>
  <si>
    <t>put</t>
  </si>
  <si>
    <t>complete</t>
  </si>
  <si>
    <t>funny</t>
  </si>
  <si>
    <t>candidate</t>
  </si>
  <si>
    <t>mccarthy</t>
  </si>
  <si>
    <t>mccarthyite</t>
  </si>
  <si>
    <t>joseph</t>
  </si>
  <si>
    <t>welch</t>
  </si>
  <si>
    <t>candy</t>
  </si>
  <si>
    <t>crowley</t>
  </si>
  <si>
    <t>yes</t>
  </si>
  <si>
    <t>play</t>
  </si>
  <si>
    <t>press</t>
  </si>
  <si>
    <t>calls</t>
  </si>
  <si>
    <t>well</t>
  </si>
  <si>
    <t>saying</t>
  </si>
  <si>
    <t>someone</t>
  </si>
  <si>
    <t>media</t>
  </si>
  <si>
    <t>work</t>
  </si>
  <si>
    <t>perhaps</t>
  </si>
  <si>
    <t>dont</t>
  </si>
  <si>
    <t>wonder</t>
  </si>
  <si>
    <t>dig</t>
  </si>
  <si>
    <t>something</t>
  </si>
  <si>
    <t>instead</t>
  </si>
  <si>
    <t>bush</t>
  </si>
  <si>
    <t>4</t>
  </si>
  <si>
    <t>trust</t>
  </si>
  <si>
    <t>drives</t>
  </si>
  <si>
    <t>ma</t>
  </si>
  <si>
    <t>year</t>
  </si>
  <si>
    <t>aide</t>
  </si>
  <si>
    <t>responds</t>
  </si>
  <si>
    <t>apparently</t>
  </si>
  <si>
    <t>meanwhile</t>
  </si>
  <si>
    <t>still</t>
  </si>
  <si>
    <t>mum</t>
  </si>
  <si>
    <t>actual</t>
  </si>
  <si>
    <t>crusade</t>
  </si>
  <si>
    <t>top</t>
  </si>
  <si>
    <t>supporters</t>
  </si>
  <si>
    <t>sir</t>
  </si>
  <si>
    <t>afraid</t>
  </si>
  <si>
    <t>mitt's</t>
  </si>
  <si>
    <t>laws</t>
  </si>
  <si>
    <t>gt</t>
  </si>
  <si>
    <t>new</t>
  </si>
  <si>
    <t>fucking</t>
  </si>
  <si>
    <t>rid</t>
  </si>
  <si>
    <t>time</t>
  </si>
  <si>
    <t>before</t>
  </si>
  <si>
    <t>americans</t>
  </si>
  <si>
    <t>election</t>
  </si>
  <si>
    <t>buzzfeed</t>
  </si>
  <si>
    <t>democrats</t>
  </si>
  <si>
    <t>despots</t>
  </si>
  <si>
    <t>constitutionally</t>
  </si>
  <si>
    <t>mandated</t>
  </si>
  <si>
    <t>mmblosser</t>
  </si>
  <si>
    <t>class</t>
  </si>
  <si>
    <t>point</t>
  </si>
  <si>
    <t>back</t>
  </si>
  <si>
    <t>ha</t>
  </si>
  <si>
    <t>see</t>
  </si>
  <si>
    <t>economist</t>
  </si>
  <si>
    <t>questionable</t>
  </si>
  <si>
    <t>authors</t>
  </si>
  <si>
    <t>obfuscation</t>
  </si>
  <si>
    <t>platform</t>
  </si>
  <si>
    <t>gopfail</t>
  </si>
  <si>
    <t>shut</t>
  </si>
  <si>
    <t>take</t>
  </si>
  <si>
    <t>over</t>
  </si>
  <si>
    <t>birth</t>
  </si>
  <si>
    <t>calling</t>
  </si>
  <si>
    <t>timepolitics</t>
  </si>
  <si>
    <t>jneumann54</t>
  </si>
  <si>
    <t>compare</t>
  </si>
  <si>
    <t>comparing</t>
  </si>
  <si>
    <t>methinks</t>
  </si>
  <si>
    <t>protests</t>
  </si>
  <si>
    <t>much</t>
  </si>
  <si>
    <t>reminds</t>
  </si>
  <si>
    <t>derekfay</t>
  </si>
  <si>
    <t>2012elections</t>
  </si>
  <si>
    <t>posturing</t>
  </si>
  <si>
    <t>releasethereturns</t>
  </si>
  <si>
    <t>pro</t>
  </si>
  <si>
    <t>guy</t>
  </si>
  <si>
    <t>ones</t>
  </si>
  <si>
    <t>avoid</t>
  </si>
  <si>
    <t>took</t>
  </si>
  <si>
    <t>false</t>
  </si>
  <si>
    <t>shame</t>
  </si>
  <si>
    <t>already</t>
  </si>
  <si>
    <t>joshdorner</t>
  </si>
  <si>
    <t>released</t>
  </si>
  <si>
    <t>via</t>
  </si>
  <si>
    <t>stuff</t>
  </si>
  <si>
    <t>violating</t>
  </si>
  <si>
    <t>federal</t>
  </si>
  <si>
    <t>'coordinating'</t>
  </si>
  <si>
    <t>karl</t>
  </si>
  <si>
    <t>rove</t>
  </si>
  <si>
    <t>issue</t>
  </si>
  <si>
    <t>knows</t>
  </si>
  <si>
    <t>w</t>
  </si>
  <si>
    <t>hecklers</t>
  </si>
  <si>
    <t>form</t>
  </si>
  <si>
    <t>government</t>
  </si>
  <si>
    <t>ppl</t>
  </si>
  <si>
    <t>fatca_fallout</t>
  </si>
  <si>
    <t>realmreynolds</t>
  </si>
  <si>
    <t>ted_newton</t>
  </si>
  <si>
    <t>bottomless</t>
  </si>
  <si>
    <t>pit</t>
  </si>
  <si>
    <t>reach</t>
  </si>
  <si>
    <t>low</t>
  </si>
  <si>
    <t>1</t>
  </si>
  <si>
    <t>edwgillespie</t>
  </si>
  <si>
    <t>dirty</t>
  </si>
  <si>
    <t>want</t>
  </si>
  <si>
    <t>ball</t>
  </si>
  <si>
    <t>kicking</t>
  </si>
  <si>
    <t>journalist</t>
  </si>
  <si>
    <t>teeth</t>
  </si>
  <si>
    <t>giving</t>
  </si>
  <si>
    <t>access</t>
  </si>
  <si>
    <t>katrinatrinko</t>
  </si>
  <si>
    <t>job</t>
  </si>
  <si>
    <t>handled</t>
  </si>
  <si>
    <t>late</t>
  </si>
  <si>
    <t>kenyan</t>
  </si>
  <si>
    <t>polls</t>
  </si>
  <si>
    <t>know</t>
  </si>
  <si>
    <t>guys</t>
  </si>
  <si>
    <t>team</t>
  </si>
  <si>
    <t>question</t>
  </si>
  <si>
    <t>reason</t>
  </si>
  <si>
    <t>report</t>
  </si>
  <si>
    <t>distract</t>
  </si>
  <si>
    <t>replace</t>
  </si>
  <si>
    <t>govt</t>
  </si>
  <si>
    <t>checks</t>
  </si>
  <si>
    <t>private</t>
  </si>
  <si>
    <t>sector</t>
  </si>
  <si>
    <t>paychecks</t>
  </si>
  <si>
    <t>laces</t>
  </si>
  <si>
    <t>past</t>
  </si>
  <si>
    <t>obvious</t>
  </si>
  <si>
    <t>hiding</t>
  </si>
  <si>
    <t>communist</t>
  </si>
  <si>
    <t>ties</t>
  </si>
  <si>
    <t>proving</t>
  </si>
  <si>
    <t>citizen</t>
  </si>
  <si>
    <t>constitution</t>
  </si>
  <si>
    <t>chat</t>
  </si>
  <si>
    <t>hide</t>
  </si>
  <si>
    <t>cult</t>
  </si>
  <si>
    <t>maybe</t>
  </si>
  <si>
    <t>great</t>
  </si>
  <si>
    <t>running</t>
  </si>
  <si>
    <t>'s</t>
  </si>
  <si>
    <t>wins</t>
  </si>
  <si>
    <t>unseals</t>
  </si>
  <si>
    <t>driving</t>
  </si>
  <si>
    <t>reince</t>
  </si>
  <si>
    <t>show</t>
  </si>
  <si>
    <t>hardball</t>
  </si>
  <si>
    <t>right</t>
  </si>
  <si>
    <t>sick</t>
  </si>
  <si>
    <t>death</t>
  </si>
  <si>
    <t>patting</t>
  </si>
  <si>
    <t>head</t>
  </si>
  <si>
    <t>patronizing</t>
  </si>
  <si>
    <t>foreigner</t>
  </si>
  <si>
    <t>certificate</t>
  </si>
  <si>
    <t>agree</t>
  </si>
  <si>
    <t>first</t>
  </si>
  <si>
    <t>part</t>
  </si>
  <si>
    <t>middle</t>
  </si>
  <si>
    <t>response</t>
  </si>
  <si>
    <t>puntaverdebk</t>
  </si>
  <si>
    <t>both</t>
  </si>
  <si>
    <t>arrogance</t>
  </si>
  <si>
    <t>assumes</t>
  </si>
  <si>
    <t>protected</t>
  </si>
  <si>
    <t>the1</t>
  </si>
  <si>
    <t>trying</t>
  </si>
  <si>
    <t>undoing</t>
  </si>
  <si>
    <t>hypocrisy</t>
  </si>
  <si>
    <t>accuse</t>
  </si>
  <si>
    <t>messina</t>
  </si>
  <si>
    <t>breaking</t>
  </si>
  <si>
    <t>emails</t>
  </si>
  <si>
    <t>available</t>
  </si>
  <si>
    <t>2b</t>
  </si>
  <si>
    <t>enough</t>
  </si>
  <si>
    <t>spokesperson</t>
  </si>
  <si>
    <t>deceitful</t>
  </si>
  <si>
    <t>accusatory</t>
  </si>
  <si>
    <t>prez</t>
  </si>
  <si>
    <t>need</t>
  </si>
  <si>
    <t>uhhhhh</t>
  </si>
  <si>
    <t>david</t>
  </si>
  <si>
    <t>etchasketch</t>
  </si>
  <si>
    <t>mccarthyism</t>
  </si>
  <si>
    <t>answer</t>
  </si>
  <si>
    <t>house</t>
  </si>
  <si>
    <t>fool</t>
  </si>
  <si>
    <t>lies</t>
  </si>
  <si>
    <t>etch</t>
  </si>
  <si>
    <t>tpm</t>
  </si>
  <si>
    <t>full</t>
  </si>
  <si>
    <t>yrs</t>
  </si>
  <si>
    <t>gets</t>
  </si>
  <si>
    <t>holy</t>
  </si>
  <si>
    <t>easily</t>
  </si>
  <si>
    <t>unless</t>
  </si>
  <si>
    <t>liar</t>
  </si>
  <si>
    <t>liars</t>
  </si>
  <si>
    <t>return</t>
  </si>
  <si>
    <t>michaeledyson</t>
  </si>
  <si>
    <t>lawrence</t>
  </si>
  <si>
    <t>story</t>
  </si>
  <si>
    <t>made</t>
  </si>
  <si>
    <t>money</t>
  </si>
  <si>
    <t>gonna</t>
  </si>
  <si>
    <t>everybody</t>
  </si>
  <si>
    <t>stupid</t>
  </si>
  <si>
    <t>senators</t>
  </si>
  <si>
    <t>built</t>
  </si>
  <si>
    <t>hate</t>
  </si>
  <si>
    <t>generally</t>
  </si>
  <si>
    <t>hour</t>
  </si>
  <si>
    <t>always</t>
  </si>
  <si>
    <t>until</t>
  </si>
  <si>
    <t>handle</t>
  </si>
  <si>
    <t>uh</t>
  </si>
  <si>
    <t>obama's</t>
  </si>
  <si>
    <t>required</t>
  </si>
  <si>
    <t>change</t>
  </si>
  <si>
    <t>speculation</t>
  </si>
  <si>
    <t>releasing</t>
  </si>
  <si>
    <t>better</t>
  </si>
  <si>
    <t>twit</t>
  </si>
  <si>
    <t>rich</t>
  </si>
  <si>
    <t>firing</t>
  </si>
  <si>
    <t>dodging</t>
  </si>
  <si>
    <t>refuses</t>
  </si>
  <si>
    <t>somehow</t>
  </si>
  <si>
    <t>believe</t>
  </si>
  <si>
    <t>probably</t>
  </si>
  <si>
    <t>amnesty</t>
  </si>
  <si>
    <t>understand</t>
  </si>
  <si>
    <t>lower</t>
  </si>
  <si>
    <t>fatca</t>
  </si>
  <si>
    <t>8938</t>
  </si>
  <si>
    <t>teamromney</t>
  </si>
  <si>
    <t>Count</t>
  </si>
  <si>
    <t>Salience</t>
  </si>
  <si>
    <t>(Entire graph)</t>
  </si>
  <si>
    <t>Word 1</t>
  </si>
  <si>
    <t>Word 2</t>
  </si>
  <si>
    <t>errrrrrr</t>
  </si>
  <si>
    <t>tweeters</t>
  </si>
  <si>
    <t>above</t>
  </si>
  <si>
    <t>Top Replied-To in Entire Graph</t>
  </si>
  <si>
    <t>Entire Graph Count</t>
  </si>
  <si>
    <t>Top Mentioned in Entire Graph</t>
  </si>
  <si>
    <t>Top Replied-To in G1</t>
  </si>
  <si>
    <t>ingrahamangle</t>
  </si>
  <si>
    <t>shortrosen</t>
  </si>
  <si>
    <t>Top Replied-To in G2</t>
  </si>
  <si>
    <t>G1 Count</t>
  </si>
  <si>
    <t>Top Mentioned in G1</t>
  </si>
  <si>
    <t>Top Mentioned in G2</t>
  </si>
  <si>
    <t>rwwatchma</t>
  </si>
  <si>
    <t>Top Replied-To in G3</t>
  </si>
  <si>
    <t>G2 Count</t>
  </si>
  <si>
    <t>Top Mentioned in G3</t>
  </si>
  <si>
    <t>axelrugger</t>
  </si>
  <si>
    <t>anamariecox</t>
  </si>
  <si>
    <t>rezaaslan</t>
  </si>
  <si>
    <t>benjysarlin</t>
  </si>
  <si>
    <t>Top Replied-To in G4</t>
  </si>
  <si>
    <t>G3 Count</t>
  </si>
  <si>
    <t>ggitcho</t>
  </si>
  <si>
    <t>zacmoffatt</t>
  </si>
  <si>
    <t>lanheechen</t>
  </si>
  <si>
    <t>Top Mentioned in G4</t>
  </si>
  <si>
    <t>ralstonflash</t>
  </si>
  <si>
    <t>Top Replied-To in G5</t>
  </si>
  <si>
    <t>G4 Count</t>
  </si>
  <si>
    <t>crowleycnn</t>
  </si>
  <si>
    <t>cindycoops</t>
  </si>
  <si>
    <t>Top Mentioned in G5</t>
  </si>
  <si>
    <t>jamesyontrofsky</t>
  </si>
  <si>
    <t>Top Replied-To in G6</t>
  </si>
  <si>
    <t>G5 Count</t>
  </si>
  <si>
    <t>maddow</t>
  </si>
  <si>
    <t>Top Mentioned in G6</t>
  </si>
  <si>
    <t>Top Replied-To in G7</t>
  </si>
  <si>
    <t>G6 Count</t>
  </si>
  <si>
    <t>Top Mentioned in G7</t>
  </si>
  <si>
    <t>G7 Count</t>
  </si>
  <si>
    <t>Top URLs in Tweet in Entire Graph</t>
  </si>
  <si>
    <t>Top URLs in Tweet in G1</t>
  </si>
  <si>
    <t>Top URLs in Tweet in G2</t>
  </si>
  <si>
    <t>Top URLs in Tweet in G3</t>
  </si>
  <si>
    <t>Top URLs in Tweet in G4</t>
  </si>
  <si>
    <t>Top URLs in Tweet in G5</t>
  </si>
  <si>
    <t>Top URLs in Tweet in G6</t>
  </si>
  <si>
    <t>Top URLs in Tweet in G7</t>
  </si>
  <si>
    <t>http://www.repealfatca.com/downloads/letter.pdf</t>
  </si>
  <si>
    <t>http://news.bostonherald.com/business/general/view/20120727house_votes_to_postpone_irs_rule_on_foreign_deposits_in_us_banks/srvc=home&amp;position=recent</t>
  </si>
  <si>
    <t>Top Hashtags in Tweet in Entire Graph</t>
  </si>
  <si>
    <t>Top Hashtags in Tweet in G1</t>
  </si>
  <si>
    <t>forward</t>
  </si>
  <si>
    <t>seniors</t>
  </si>
  <si>
    <t>latinos</t>
  </si>
  <si>
    <t>fl</t>
  </si>
  <si>
    <t>Top Hashtags in Tweet in G2</t>
  </si>
  <si>
    <t>Top Hashtags in Tweet in G3</t>
  </si>
  <si>
    <t>showusthetaxreturns</t>
  </si>
  <si>
    <t>Top Hashtags in Tweet in G4</t>
  </si>
  <si>
    <t>Top Hashtags in Tweet in G5</t>
  </si>
  <si>
    <t>obots</t>
  </si>
  <si>
    <t>clue</t>
  </si>
  <si>
    <t>Top Hashtags in Tweet in G6</t>
  </si>
  <si>
    <t>Top Hashtags in Tweet in G7</t>
  </si>
  <si>
    <t>Top Words in Tweet in Entire Graph</t>
  </si>
  <si>
    <t>Top Words in Tweet in G1</t>
  </si>
  <si>
    <t>Top Words in Tweet in G2</t>
  </si>
  <si>
    <t>Top Words in Tweet in G3</t>
  </si>
  <si>
    <t>Top Words in Tweet in G4</t>
  </si>
  <si>
    <t>Top Words in Tweet in G5</t>
  </si>
  <si>
    <t>Top Words in Tweet in G6</t>
  </si>
  <si>
    <t>Top Words in Tweet in G7</t>
  </si>
  <si>
    <t>Top Word Pairs in Tweet in Entire Graph</t>
  </si>
  <si>
    <t>ericfehrn, senatorreid</t>
  </si>
  <si>
    <t>tax, returns</t>
  </si>
  <si>
    <t>time2standup80, ericfehrn</t>
  </si>
  <si>
    <t>tcot, p2</t>
  </si>
  <si>
    <t>baseless, untrue</t>
  </si>
  <si>
    <t>timodc, ericfehrn</t>
  </si>
  <si>
    <t>obama, campaign</t>
  </si>
  <si>
    <t>billhemmer, mittromney</t>
  </si>
  <si>
    <t>rt, romneyresponse</t>
  </si>
  <si>
    <t>obama2012, tcot</t>
  </si>
  <si>
    <t>Top Word Pairs in Tweet in G1</t>
  </si>
  <si>
    <t>mittromney, camp</t>
  </si>
  <si>
    <t>camp, ericfehrn</t>
  </si>
  <si>
    <t>harry, reid's</t>
  </si>
  <si>
    <t>reid's, baseless</t>
  </si>
  <si>
    <t>baseless, unfounded</t>
  </si>
  <si>
    <t>Top Word Pairs in Tweet in G2</t>
  </si>
  <si>
    <t>mittromney's, tax</t>
  </si>
  <si>
    <t>ten, years</t>
  </si>
  <si>
    <t>davidshuster, ericfehrn</t>
  </si>
  <si>
    <t>ericfehrn, nice</t>
  </si>
  <si>
    <t>nice, try</t>
  </si>
  <si>
    <t>try, fnc</t>
  </si>
  <si>
    <t>fnc, u</t>
  </si>
  <si>
    <t>u, really</t>
  </si>
  <si>
    <t>really, care</t>
  </si>
  <si>
    <t>Top Word Pairs in Tweet in G3</t>
  </si>
  <si>
    <t>release, tax</t>
  </si>
  <si>
    <t>up, guy</t>
  </si>
  <si>
    <t>10, years</t>
  </si>
  <si>
    <t>romney, paid</t>
  </si>
  <si>
    <t>paid, taxes</t>
  </si>
  <si>
    <t>mitt, twit</t>
  </si>
  <si>
    <t>Top Word Pairs in Tweet in G4</t>
  </si>
  <si>
    <t>ericfehrn, cnn</t>
  </si>
  <si>
    <t>mitt, romney</t>
  </si>
  <si>
    <t>cnn, president</t>
  </si>
  <si>
    <t>president, plan</t>
  </si>
  <si>
    <t>harry, reid</t>
  </si>
  <si>
    <t>romney, ericfehrn</t>
  </si>
  <si>
    <t>talking, candy</t>
  </si>
  <si>
    <t>candy, crowley</t>
  </si>
  <si>
    <t>ericfehrn, talking</t>
  </si>
  <si>
    <t>crowley, cnn</t>
  </si>
  <si>
    <t>Top Word Pairs in Tweet in G5</t>
  </si>
  <si>
    <t>thewrightwingv2, time2standup80</t>
  </si>
  <si>
    <t>ksmith474, time2standup80</t>
  </si>
  <si>
    <t>rt, thewrightwingv2</t>
  </si>
  <si>
    <t>ericfehrn, obama2012</t>
  </si>
  <si>
    <t>sealed, back</t>
  </si>
  <si>
    <t>back, kindergarten</t>
  </si>
  <si>
    <t>kindergarten, less</t>
  </si>
  <si>
    <t>Top Word Pairs in Tweet in G6</t>
  </si>
  <si>
    <t>ericfehrn, mittromney</t>
  </si>
  <si>
    <t>mittromney, rich</t>
  </si>
  <si>
    <t>rich, firing</t>
  </si>
  <si>
    <t>firing, ppl</t>
  </si>
  <si>
    <t>ppl, dodging</t>
  </si>
  <si>
    <t>dodging, taxes</t>
  </si>
  <si>
    <t>taxes, now</t>
  </si>
  <si>
    <t>now, refuses</t>
  </si>
  <si>
    <t>refuses, release</t>
  </si>
  <si>
    <t>release, returns</t>
  </si>
  <si>
    <t>Top Word Pairs in Tweet in G7</t>
  </si>
  <si>
    <t>flocktard, ericfehrn</t>
  </si>
  <si>
    <t>fatca_fallout, ericfehrn</t>
  </si>
  <si>
    <t>even, lower</t>
  </si>
  <si>
    <t>form, 8938</t>
  </si>
  <si>
    <t>Top Tweeters in Entire Graph</t>
  </si>
  <si>
    <t>Top Tweeters in G1</t>
  </si>
  <si>
    <t>Top Tweeters in G2</t>
  </si>
  <si>
    <t>Top Tweeters in G3</t>
  </si>
  <si>
    <t>Top Tweeters in G4</t>
  </si>
  <si>
    <t>Top Tweeters in G5</t>
  </si>
  <si>
    <t>Top Tweeters in G6</t>
  </si>
  <si>
    <t>Top Tweeters in G7</t>
  </si>
  <si>
    <t>Top Hashtags in Tweet</t>
  </si>
  <si>
    <t>tcot p2 obama2012 mitt2012 heardaboutharry obama forward seniors latinos fl</t>
  </si>
  <si>
    <t>releasethemnow obama2012 romney edshow gopfail mapoli gop p2 2012elections releasethereturns</t>
  </si>
  <si>
    <t>romneyshambles romney mittthetwit showusthetaxreturns smallestviolin whyhide gop obama 2012elections releasethereturns</t>
  </si>
  <si>
    <t>obama2012 tcot p2 obots clue</t>
  </si>
  <si>
    <t>Top 10 Vertices, Ranked by Betweenness Centrality</t>
  </si>
  <si>
    <t>Relationship▓0▓1▓0▓False▓Red▓Green▓Tweet░Replies to░Mentions░Followed▓Edge Weight▓1▓19▓0▓1▓10▓False▓Edge Weight▓1▓19▓0▓100▓60▓False▓▓0▓0▓0▓True▓Black▓Black▓▓Followers▓0▓8278▓0▓1.5▓10▓False▓Followers▓0▓62666▓0▓100▓70▓False▓▓0▓0▓0▓0▓0▓False▓▓0▓0▓0▓0▓0▓False</t>
  </si>
  <si>
    <t>Subgraph</t>
  </si>
  <si>
    <t>ImportDescription░The graph represents a network of up to 1500 Twitter users whose recent tweets contained "ericfehrn".  The network was obtained on Friday, 03 August 2012 at 06:11 UTC.  There is an edge for each follows relationship.  There is an edge for each "replies-to" relationship in a tweet.  There is an edge for each "mentions" relationship in a tweet.  There is a self-loop edge for each tweet that is not a "replies-to" or "mentions".  The tweets were made over the 2-day period from Thursday, 02 August 2012 at 15:37 UTC to Friday, 03 August 2012 at 04:20 UTC.▓GroupingDescription░The graph's vertices were grouped by cluster using the Clauset-Newman-Moore cluster algorithm.▓LayoutAlgorithm░The graph was laid out using the Harel-Koren Fast Multiscale layout algorithm.▓GraphDirectedness░The graph is directed.</t>
  </si>
  <si>
    <t xml:space="preserve">        &lt;value&gt;True&lt;/value&gt;_x000D_
      &lt;/setting&gt;_x000D_
      &lt;setting name="LabelUserSettings" serializeAs="String"&gt;_x000D_
        &lt;value&gt;Microsoft Sans Serif, 28.2pt	White	BottomCenter	2147483647	2147483647	Black	True	200	Black	86	TopLeft&lt;/value&gt;_x000D_
      &lt;/setting&gt;_x000D_
      &lt;setting name="EdgeAlpha" serializeAs="String"&gt;_x000D_
        &lt;value&gt;62&lt;/value&gt;_x000D_
      &lt;/setting&gt;_x000D_
      &lt;setting name="SelectedVertexColor" serializeAs="String"&gt;_x000D_
        &lt;value&gt;Red&lt;/value&gt;_x000D_
      &lt;/setting&gt;_x000D_
      &lt;setting name="VertexColor" serializeAs="String"&gt;_x000D_
        &lt;value&gt;Black&lt;/value&gt;_x000D_
      &lt;/setting&gt;_x000D_
      &lt;setting name="VertexShape" serializeAs="String"&gt;_x000D_
        &lt;value&gt;Disk&lt;/value&gt;_x000D_
      &lt;/setting&gt;_x000D_
      &lt;setting name="RelativeArrowSize" serializeAs="String"&gt;_x000D_
        &lt;value&gt;3&lt;/value&gt;_x000D_
      &lt;/setting&gt;_x000D_
      &lt;setting name="VertexImageSize" serializeAs="String"&gt;_x000D_
        &lt;value&gt;3&lt;/value&gt;_x000D_
      &lt;/setting&gt;_x000D_
      &lt;setting name="EdgeColor" serializeAs="String"&gt;_x000D_
        &lt;value&gt;Gray&lt;/value&gt;_x000D_
      &lt;/setting&gt;_x000D_
      &lt;setting name="EdgeBezierDisplacementFactor" serializeAs="String"&gt;_x000D_
        &lt;value&gt;0.6&lt;/value&gt;_x000D_
      &lt;/setting&gt;_x000D_
      &lt;setting name="NewWorkbookGraphDirectedness" serializeAs="String"&gt;_x000D_
        &lt;value&gt;Directed&lt;/value&gt;_x000D_
      &lt;/setting&gt;_x000D_
      &lt;setting name="SaveImportDescription" serializeAs="String"&gt;_x000D_
        &lt;value&gt;True&lt;/value&gt;_x000D_
      &lt;/setting&gt;_x000D_
      &lt;setting name="ReadGroupLabels" serializeAs="String"&gt;_x000D_
        &lt;value&gt;True&lt;/value&gt;_x000D_
      &lt;/setting&gt;_x000D_
      &lt;setting name="VertexRelativeOuterGlowSize" serializeAs="String"&gt;_x000D_
        &lt;value&gt;3&lt;/value&gt;_x000D_
      &lt;/setting&gt;_x000D_
      &lt;setting name="VertexEffect" serializeAs="String"&gt;_x000D_
        &lt;value&gt;DropShadow&lt;/value&gt;_x000D_
      &lt;/setting&gt;_x000D_
      &lt;setting name="EdgeBundlerStraightening" serializeAs="String"&gt;_x000D_
        &lt;value&gt;0.15&lt;/value&gt;_x000D_
      &lt;/setting&gt;_x000D_
    &lt;/GeneralUserSettings4&gt;_x000D_
    &lt;GraphZoomAndScaleUserSettings&gt;_x000D_
      &lt;setting name="GraphScale" serializeAs="String"&gt;_x000D_
        &lt;value&gt;0.18&lt;/value&gt;_x000D_
      &lt;/setting&gt;_x000D_
    &lt;/GraphZoomAndScaleUserSettings&gt;_x000D_
    &lt;GraphImageUserSettings2&gt;_x000D_
      &lt;setting name="ImageSize" serializeAs="String"&gt;_x000D_
        &lt;value&gt;4096, 3072&lt;/value&gt;_x000D_
      &lt;/setting&gt;_x000D_
      &lt;setting name="IncludeFooter" serializeAs="String"&gt;_x000D_
        &lt;value&gt;True&lt;/value&gt;_x000D_
      &lt;/setting&gt;_x000D_
      &lt;setting name="IncludeHeader" serializeAs="String"&gt;_x000D_
        &lt;value&gt;True&lt;/value&gt;_x000D_
      &lt;/setting&gt;_x000D_
      &lt;setting name="UseControlSize" serializeAs="String"&gt;_x000D_
        &lt;value&gt;False&lt;/value&gt;_x000D_
      &lt;/setting&gt;_x000D_
      &lt;setting name="FooterText" serializeAs="String"&gt;_x000D_
        &lt;value&gt;Created with NodeXL (http://nodexl.codeplex.com) from the Social Media Research Foundation (http://www.smrfoundation.org)&lt;/value&gt;_x000D_
      &lt;/setting&gt;_x000D_
      &lt;setting name="HeaderFooterFont" serializeAs="String"&gt;_x000D_
        &lt;value&gt;Microsoft Sans Serif, 27.75pt&lt;/value&gt;_x000D_
      &lt;/setting&gt;_x000D_
      &lt;setting name="HeaderText" serializeAs="String"&gt;_x000D_
        &lt;value&gt;Social media network connections among Twitter users&lt;/value&gt;_x000D_
      &lt;/setting&gt;_x000D_
    &lt;/GraphImageUserSettings2&gt;_x000D_
    &lt;DynamicFiltersUserSettings&gt;_x000D_
      &lt;setting name="FilterNonNumericCells" serializeAs="String"&gt;_x000D_
        &lt;value&gt;False&lt;/value&gt;_x000D_
      &lt;/setting&gt;_x000D_
      &lt;setting name="FilteredAlpha" serializeAs="String"&gt;_x000D_
        &lt;value&gt;0&lt;/value&gt;_x000D_
      &lt;/setting&gt;_x000D_
    &lt;/DynamicFiltersUserSettings&gt;_x000D_
    &lt;MergeDuplicateEdgesUserSettings&gt;_x000D_
      &lt;setting name="ThirdColumnNameForDuplicateDetection" serializeAs="String"&gt;_x000D_
        &lt;value&gt;Relationship&lt;/value&gt;_x000D_
      &lt;/setting&gt;_x000D_
      &lt;setting name="CountDuplicates" serializeAs="String"&gt;_x000D_
        &lt;value&gt;True&lt;/value&gt;_x000D_
      &lt;/setting&gt;_x000D_
      &lt;setting name="DeleteDuplicates" serializeAs="String"&gt;_x000D_
        &lt;value&gt;False&lt;/value&gt;_x000D_
      &lt;/setting&gt;_x000D_
    &lt;/MergeDuplicateEdgesUserSettings&gt;_x000D_
  &lt;/userSettings&gt;_x000D_
&lt;/configuration&gt;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</si>
</sst>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4"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
      <u/>
      <sz val="11"/>
      <color theme="10"/>
      <name val="Calibri"/>
      <family val="2"/>
      <scheme val="minor"/>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10">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xf numFmtId="0" fontId="13" fillId="0" borderId="0" applyNumberFormat="0" applyFill="0" applyBorder="0" applyAlignment="0" applyProtection="0"/>
  </cellStyleXfs>
  <cellXfs count="115">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1" fontId="5" fillId="4" borderId="1" xfId="5" applyNumberFormat="1" applyAlignment="1"/>
    <xf numFmtId="167" fontId="5" fillId="4" borderId="1" xfId="5" applyNumberFormat="1" applyAlignment="1"/>
    <xf numFmtId="0" fontId="6" fillId="6" borderId="1" xfId="6"/>
    <xf numFmtId="0" fontId="6" fillId="6" borderId="1" xfId="6" applyNumberFormat="1"/>
    <xf numFmtId="0" fontId="5" fillId="4" borderId="1" xfId="5" applyNumberFormat="1" applyAlignment="1">
      <alignment wrapText="1"/>
    </xf>
    <xf numFmtId="0" fontId="0" fillId="5" borderId="8" xfId="4" applyNumberFormat="1" applyFont="1" applyBorder="1"/>
    <xf numFmtId="0" fontId="0" fillId="5" borderId="9" xfId="4" applyNumberFormat="1" applyFont="1" applyBorder="1"/>
    <xf numFmtId="0" fontId="0" fillId="5" borderId="10" xfId="4" applyNumberFormat="1" applyFont="1" applyBorder="1"/>
    <xf numFmtId="0" fontId="0" fillId="3" borderId="8" xfId="7" applyNumberFormat="1" applyFont="1" applyBorder="1"/>
    <xf numFmtId="0" fontId="6" fillId="3" borderId="10" xfId="7" applyNumberFormat="1" applyFont="1" applyBorder="1"/>
    <xf numFmtId="0" fontId="5" fillId="2" borderId="8" xfId="1" applyNumberFormat="1" applyBorder="1"/>
    <xf numFmtId="0" fontId="5" fillId="2" borderId="10" xfId="1" applyNumberFormat="1" applyBorder="1"/>
    <xf numFmtId="0" fontId="5" fillId="4" borderId="8" xfId="5" applyNumberFormat="1" applyBorder="1"/>
    <xf numFmtId="0" fontId="5" fillId="4" borderId="9" xfId="5" applyNumberFormat="1" applyBorder="1"/>
    <xf numFmtId="49" fontId="0" fillId="0" borderId="0" xfId="3" applyNumberFormat="1" applyFont="1" applyAlignment="1"/>
    <xf numFmtId="0" fontId="0" fillId="5" borderId="1" xfId="4" applyNumberFormat="1" applyFont="1" applyAlignment="1"/>
    <xf numFmtId="164" fontId="0" fillId="5" borderId="1" xfId="4" applyNumberFormat="1" applyFont="1" applyAlignment="1"/>
    <xf numFmtId="0" fontId="11" fillId="5" borderId="1" xfId="4" applyNumberFormat="1" applyFont="1" applyAlignment="1"/>
    <xf numFmtId="1" fontId="0" fillId="5" borderId="1" xfId="4" applyNumberFormat="1" applyFont="1" applyAlignment="1"/>
    <xf numFmtId="49" fontId="6" fillId="6" borderId="1" xfId="6" applyNumberFormat="1" applyAlignment="1"/>
    <xf numFmtId="0" fontId="6" fillId="6" borderId="1" xfId="6" applyNumberFormat="1" applyAlignment="1"/>
    <xf numFmtId="0" fontId="0" fillId="2" borderId="1" xfId="1" applyNumberFormat="1" applyFont="1" applyAlignment="1"/>
    <xf numFmtId="0" fontId="0" fillId="0" borderId="0" xfId="2" applyNumberFormat="1" applyFont="1" applyAlignment="1"/>
    <xf numFmtId="164" fontId="0" fillId="3" borderId="1" xfId="7" applyNumberFormat="1" applyFont="1" applyAlignment="1"/>
    <xf numFmtId="165" fontId="0" fillId="3" borderId="1" xfId="7" applyNumberFormat="1" applyFont="1" applyAlignment="1"/>
    <xf numFmtId="0" fontId="0" fillId="3" borderId="1" xfId="7" applyNumberFormat="1" applyFont="1" applyAlignment="1"/>
    <xf numFmtId="166" fontId="0" fillId="3" borderId="1" xfId="7" applyNumberFormat="1" applyFont="1" applyAlignment="1"/>
    <xf numFmtId="0" fontId="11" fillId="2" borderId="1" xfId="1" applyNumberFormat="1" applyFont="1" applyAlignment="1"/>
    <xf numFmtId="0" fontId="0" fillId="0" borderId="0" xfId="0" applyAlignment="1"/>
    <xf numFmtId="0" fontId="0" fillId="0" borderId="0" xfId="0" applyFill="1" applyAlignment="1"/>
    <xf numFmtId="22" fontId="0" fillId="0" borderId="0" xfId="0" applyNumberFormat="1" applyAlignment="1"/>
    <xf numFmtId="22" fontId="0" fillId="0" borderId="0" xfId="0" applyNumberFormat="1" applyFill="1" applyAlignment="1"/>
    <xf numFmtId="0" fontId="13" fillId="0" borderId="0" xfId="9" applyAlignment="1"/>
    <xf numFmtId="0" fontId="13" fillId="0" borderId="0" xfId="9" applyFill="1" applyAlignment="1"/>
    <xf numFmtId="0" fontId="0" fillId="0" borderId="0" xfId="0" quotePrefix="1"/>
    <xf numFmtId="0" fontId="0" fillId="0" borderId="0" xfId="0" quotePrefix="1" applyAlignment="1"/>
    <xf numFmtId="0" fontId="0" fillId="0" borderId="0" xfId="0" quotePrefix="1" applyFill="1" applyAlignment="1"/>
    <xf numFmtId="49" fontId="0" fillId="0" borderId="0" xfId="3" applyNumberFormat="1" applyFont="1" applyBorder="1" applyAlignment="1"/>
    <xf numFmtId="0" fontId="0" fillId="5" borderId="11" xfId="4" applyNumberFormat="1" applyFont="1" applyBorder="1" applyAlignment="1"/>
    <xf numFmtId="164" fontId="0" fillId="5" borderId="11" xfId="4" applyNumberFormat="1" applyFont="1" applyBorder="1" applyAlignment="1"/>
    <xf numFmtId="1" fontId="0" fillId="5" borderId="11" xfId="4" applyNumberFormat="1" applyFont="1" applyBorder="1" applyAlignment="1"/>
    <xf numFmtId="49" fontId="6" fillId="6" borderId="11" xfId="6" applyNumberFormat="1" applyBorder="1" applyAlignment="1"/>
    <xf numFmtId="0" fontId="6" fillId="6" borderId="11" xfId="6" applyNumberFormat="1" applyBorder="1" applyAlignment="1"/>
    <xf numFmtId="164" fontId="0" fillId="3" borderId="11" xfId="7" applyNumberFormat="1" applyFont="1" applyBorder="1" applyAlignment="1"/>
    <xf numFmtId="165" fontId="0" fillId="3" borderId="11" xfId="7" applyNumberFormat="1" applyFont="1" applyBorder="1" applyAlignment="1"/>
    <xf numFmtId="0" fontId="0" fillId="3" borderId="11" xfId="7" applyNumberFormat="1" applyFont="1" applyBorder="1" applyAlignment="1"/>
    <xf numFmtId="166" fontId="0" fillId="3" borderId="11" xfId="7" applyNumberFormat="1" applyFont="1" applyBorder="1" applyAlignment="1"/>
    <xf numFmtId="0" fontId="0" fillId="2" borderId="11" xfId="1" applyNumberFormat="1" applyFont="1" applyBorder="1" applyAlignment="1"/>
    <xf numFmtId="0" fontId="0" fillId="0" borderId="0" xfId="2" applyNumberFormat="1" applyFont="1" applyBorder="1" applyAlignment="1"/>
    <xf numFmtId="0" fontId="13" fillId="5" borderId="1" xfId="9" applyNumberFormat="1" applyFill="1" applyBorder="1" applyAlignment="1"/>
    <xf numFmtId="0" fontId="13" fillId="5" borderId="11" xfId="9" applyNumberFormat="1" applyFill="1" applyBorder="1" applyAlignment="1"/>
    <xf numFmtId="0" fontId="0" fillId="5" borderId="12" xfId="4" applyNumberFormat="1" applyFont="1" applyBorder="1"/>
    <xf numFmtId="0" fontId="11" fillId="5" borderId="12" xfId="4" applyNumberFormat="1" applyFont="1" applyBorder="1"/>
    <xf numFmtId="49" fontId="6" fillId="6" borderId="12" xfId="6" applyNumberFormat="1" applyBorder="1"/>
    <xf numFmtId="0" fontId="0" fillId="3" borderId="12" xfId="7" applyNumberFormat="1" applyFont="1" applyBorder="1"/>
    <xf numFmtId="0" fontId="11" fillId="2" borderId="12" xfId="1" applyNumberFormat="1" applyFont="1" applyBorder="1"/>
    <xf numFmtId="0" fontId="5" fillId="2" borderId="12" xfId="1" applyNumberFormat="1" applyBorder="1"/>
    <xf numFmtId="0" fontId="0" fillId="5" borderId="11" xfId="4" applyNumberFormat="1" applyFont="1" applyBorder="1"/>
    <xf numFmtId="0" fontId="11" fillId="5" borderId="11" xfId="4" applyNumberFormat="1" applyFont="1" applyBorder="1"/>
    <xf numFmtId="49" fontId="6" fillId="6" borderId="11" xfId="6" applyNumberFormat="1" applyBorder="1"/>
    <xf numFmtId="0" fontId="0" fillId="3" borderId="11" xfId="7" applyNumberFormat="1" applyFont="1" applyBorder="1"/>
    <xf numFmtId="0" fontId="11" fillId="2" borderId="11" xfId="1" applyNumberFormat="1" applyFont="1" applyBorder="1"/>
    <xf numFmtId="0" fontId="0" fillId="2" borderId="11" xfId="1" applyNumberFormat="1" applyFont="1" applyBorder="1"/>
    <xf numFmtId="0" fontId="5" fillId="5" borderId="1" xfId="8" applyNumberFormat="1" applyAlignment="1"/>
    <xf numFmtId="0" fontId="0" fillId="0" borderId="0" xfId="3" applyFont="1" applyAlignment="1"/>
    <xf numFmtId="0" fontId="0" fillId="0" borderId="0" xfId="3" applyFont="1" applyAlignment="1">
      <alignment wrapText="1"/>
    </xf>
    <xf numFmtId="167" fontId="0" fillId="0" borderId="0" xfId="0" quotePrefix="1" applyNumberFormat="1" applyAlignment="1"/>
  </cellXfs>
  <cellStyles count="10">
    <cellStyle name="Hyperlink" xfId="9" builtinId="8"/>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268">
    <dxf>
      <font>
        <b val="0"/>
        <i val="0"/>
        <strike val="0"/>
        <condense val="0"/>
        <extend val="0"/>
        <outline val="0"/>
        <shadow val="0"/>
        <u val="none"/>
        <vertAlign val="baseline"/>
        <sz val="11"/>
        <color theme="1"/>
        <name val="Calibri"/>
        <scheme val="minor"/>
      </font>
      <numFmt numFmtId="166" formatCode="#,##0.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left style="thin">
          <color theme="0"/>
        </left>
      </border>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left style="thin">
          <color theme="0"/>
        </left>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left style="thin">
          <color theme="0"/>
        </left>
        <right style="thin">
          <color theme="0"/>
        </right>
      </border>
    </dxf>
    <dxf>
      <numFmt numFmtId="167" formatCode="0.000"/>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0" formatCode="General"/>
      <border outline="0">
        <right style="thin">
          <color theme="0"/>
        </right>
      </border>
    </dxf>
    <dxf>
      <alignment horizontal="general" vertical="bottom" textRotation="0" wrapText="0" indent="0" justifyLastLine="0" shrinkToFit="0" readingOrder="0"/>
    </dxf>
    <dxf>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0.0"/>
      <alignment horizontal="general" vertical="bottom" textRotation="0" wrapText="0" indent="0" justifyLastLine="0" shrinkToFit="0" readingOrder="0"/>
      <border outline="0">
        <left style="thin">
          <color theme="0"/>
        </left>
      </border>
    </dxf>
    <dxf>
      <numFmt numFmtId="0" formatCode="General"/>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border outline="0">
        <left style="thin">
          <color theme="0"/>
        </left>
      </border>
    </dxf>
    <dxf>
      <numFmt numFmtId="1" formatCode="0"/>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6" formatCode="#,##0.000"/>
      <alignment horizontal="general" vertical="bottom" textRotation="0" wrapText="0" indent="0" justifyLastLine="0" shrinkToFit="0" readingOrder="0"/>
    </dxf>
    <dxf>
      <numFmt numFmtId="166" formatCode="#,##0.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5" formatCode="#,##0.0"/>
      <alignment horizontal="general" vertical="bottom" textRotation="0" wrapText="0" indent="0" justifyLastLine="0" shrinkToFit="0" readingOrder="0"/>
    </dxf>
    <dxf>
      <numFmt numFmtId="165" formatCode="#,##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164" formatCode="0.0"/>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numFmt numFmtId="30" formatCode="@"/>
    </dxf>
    <dxf>
      <numFmt numFmtId="30" formatCode="@"/>
    </dxf>
    <dxf>
      <font>
        <b val="0"/>
        <i val="0"/>
        <strike val="0"/>
        <condense val="0"/>
        <extend val="0"/>
        <outline val="0"/>
        <shadow val="0"/>
        <u val="none"/>
        <vertAlign val="baseline"/>
        <sz val="11"/>
        <color theme="1"/>
        <name val="Calibri"/>
        <scheme val="minor"/>
      </font>
      <numFmt numFmtId="0" formatCode="General"/>
    </dxf>
    <dxf>
      <numFmt numFmtId="30" formatCode="@"/>
    </dxf>
    <dxf>
      <font>
        <b val="0"/>
        <i val="0"/>
        <strike val="0"/>
        <condense val="0"/>
        <extend val="0"/>
        <outline val="0"/>
        <shadow val="0"/>
        <u val="none"/>
        <vertAlign val="baseline"/>
        <sz val="11"/>
        <color theme="1"/>
        <name val="Calibri"/>
        <scheme val="minor"/>
      </font>
      <numFmt numFmtId="0" formatCode="General"/>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26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#REF!</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79257600"/>
        <c:axId val="79259520"/>
      </c:barChart>
      <c:catAx>
        <c:axId val="79257600"/>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79259520"/>
        <c:crosses val="autoZero"/>
        <c:auto val="1"/>
        <c:lblAlgn val="ctr"/>
        <c:lblOffset val="100"/>
        <c:noMultiLvlLbl val="0"/>
      </c:catAx>
      <c:valAx>
        <c:axId val="7925952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92576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57</c:v>
                </c:pt>
              </c:strCache>
            </c:strRef>
          </c:tx>
          <c:spPr>
            <a:solidFill>
              <a:schemeClr val="accent1"/>
            </a:solidFill>
          </c:spPr>
          <c:invertIfNegative val="0"/>
          <c:cat>
            <c:numRef>
              <c:f>'Overall Metrics'!$F$2:$F$45</c:f>
              <c:numCache>
                <c:formatCode>#,##0.00</c:formatCode>
                <c:ptCount val="44"/>
                <c:pt idx="0">
                  <c:v>0</c:v>
                </c:pt>
                <c:pt idx="1">
                  <c:v>1.2093023255813953</c:v>
                </c:pt>
                <c:pt idx="2">
                  <c:v>2.4186046511627906</c:v>
                </c:pt>
                <c:pt idx="3">
                  <c:v>3.6279069767441858</c:v>
                </c:pt>
                <c:pt idx="4">
                  <c:v>4.8372093023255811</c:v>
                </c:pt>
                <c:pt idx="5">
                  <c:v>6.0465116279069768</c:v>
                </c:pt>
                <c:pt idx="6">
                  <c:v>7.2558139534883725</c:v>
                </c:pt>
                <c:pt idx="7">
                  <c:v>8.4651162790697683</c:v>
                </c:pt>
                <c:pt idx="8">
                  <c:v>9.674418604651164</c:v>
                </c:pt>
                <c:pt idx="9">
                  <c:v>10.88372093023256</c:v>
                </c:pt>
                <c:pt idx="10">
                  <c:v>12.093023255813955</c:v>
                </c:pt>
                <c:pt idx="11">
                  <c:v>13.302325581395351</c:v>
                </c:pt>
                <c:pt idx="12">
                  <c:v>14.511627906976747</c:v>
                </c:pt>
                <c:pt idx="13">
                  <c:v>15.720930232558143</c:v>
                </c:pt>
                <c:pt idx="14">
                  <c:v>16.930232558139537</c:v>
                </c:pt>
                <c:pt idx="15">
                  <c:v>18.13953488372093</c:v>
                </c:pt>
                <c:pt idx="16">
                  <c:v>19.348837209302324</c:v>
                </c:pt>
                <c:pt idx="17">
                  <c:v>20.558139534883718</c:v>
                </c:pt>
                <c:pt idx="18">
                  <c:v>21.767441860465112</c:v>
                </c:pt>
                <c:pt idx="19">
                  <c:v>22.976744186046506</c:v>
                </c:pt>
                <c:pt idx="20">
                  <c:v>24.1860465116279</c:v>
                </c:pt>
                <c:pt idx="21">
                  <c:v>25.395348837209294</c:v>
                </c:pt>
                <c:pt idx="22">
                  <c:v>26.604651162790688</c:v>
                </c:pt>
                <c:pt idx="23">
                  <c:v>27.813953488372082</c:v>
                </c:pt>
                <c:pt idx="24">
                  <c:v>29.023255813953476</c:v>
                </c:pt>
                <c:pt idx="25">
                  <c:v>30.23255813953487</c:v>
                </c:pt>
                <c:pt idx="26">
                  <c:v>31.441860465116264</c:v>
                </c:pt>
                <c:pt idx="27">
                  <c:v>32.651162790697661</c:v>
                </c:pt>
                <c:pt idx="28">
                  <c:v>33.860465116279059</c:v>
                </c:pt>
                <c:pt idx="29">
                  <c:v>35.069767441860456</c:v>
                </c:pt>
                <c:pt idx="30">
                  <c:v>36.279069767441854</c:v>
                </c:pt>
                <c:pt idx="31">
                  <c:v>37.488372093023251</c:v>
                </c:pt>
                <c:pt idx="32">
                  <c:v>38.697674418604649</c:v>
                </c:pt>
                <c:pt idx="33">
                  <c:v>39.906976744186046</c:v>
                </c:pt>
                <c:pt idx="34">
                  <c:v>41.116279069767444</c:v>
                </c:pt>
                <c:pt idx="35">
                  <c:v>42.325581395348841</c:v>
                </c:pt>
                <c:pt idx="36">
                  <c:v>43.534883720930239</c:v>
                </c:pt>
                <c:pt idx="37">
                  <c:v>44.744186046511636</c:v>
                </c:pt>
                <c:pt idx="38">
                  <c:v>45.953488372093034</c:v>
                </c:pt>
                <c:pt idx="39">
                  <c:v>47.162790697674431</c:v>
                </c:pt>
                <c:pt idx="40">
                  <c:v>48.372093023255829</c:v>
                </c:pt>
                <c:pt idx="41">
                  <c:v>49.581395348837226</c:v>
                </c:pt>
                <c:pt idx="42">
                  <c:v>50.790697674418624</c:v>
                </c:pt>
                <c:pt idx="43">
                  <c:v>52</c:v>
                </c:pt>
              </c:numCache>
            </c:numRef>
          </c:cat>
          <c:val>
            <c:numRef>
              <c:f>'Overall Metrics'!$G$2:$G$45</c:f>
              <c:numCache>
                <c:formatCode>General</c:formatCode>
                <c:ptCount val="44"/>
                <c:pt idx="0">
                  <c:v>57</c:v>
                </c:pt>
                <c:pt idx="1">
                  <c:v>27</c:v>
                </c:pt>
                <c:pt idx="2">
                  <c:v>22</c:v>
                </c:pt>
                <c:pt idx="3">
                  <c:v>9</c:v>
                </c:pt>
                <c:pt idx="4">
                  <c:v>21</c:v>
                </c:pt>
                <c:pt idx="5">
                  <c:v>8</c:v>
                </c:pt>
                <c:pt idx="6">
                  <c:v>6</c:v>
                </c:pt>
                <c:pt idx="7">
                  <c:v>4</c:v>
                </c:pt>
                <c:pt idx="8">
                  <c:v>12</c:v>
                </c:pt>
                <c:pt idx="9">
                  <c:v>7</c:v>
                </c:pt>
                <c:pt idx="10">
                  <c:v>1</c:v>
                </c:pt>
                <c:pt idx="11">
                  <c:v>2</c:v>
                </c:pt>
                <c:pt idx="12">
                  <c:v>2</c:v>
                </c:pt>
                <c:pt idx="13">
                  <c:v>1</c:v>
                </c:pt>
                <c:pt idx="14">
                  <c:v>3</c:v>
                </c:pt>
                <c:pt idx="15">
                  <c:v>1</c:v>
                </c:pt>
                <c:pt idx="16">
                  <c:v>1</c:v>
                </c:pt>
                <c:pt idx="17">
                  <c:v>0</c:v>
                </c:pt>
                <c:pt idx="18">
                  <c:v>1</c:v>
                </c:pt>
                <c:pt idx="19">
                  <c:v>1</c:v>
                </c:pt>
                <c:pt idx="20">
                  <c:v>0</c:v>
                </c:pt>
                <c:pt idx="21">
                  <c:v>0</c:v>
                </c:pt>
                <c:pt idx="22">
                  <c:v>0</c:v>
                </c:pt>
                <c:pt idx="23">
                  <c:v>0</c:v>
                </c:pt>
                <c:pt idx="24">
                  <c:v>1</c:v>
                </c:pt>
                <c:pt idx="25">
                  <c:v>0</c:v>
                </c:pt>
                <c:pt idx="26">
                  <c:v>2</c:v>
                </c:pt>
                <c:pt idx="27">
                  <c:v>0</c:v>
                </c:pt>
                <c:pt idx="28">
                  <c:v>2</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79296768"/>
        <c:axId val="60162432"/>
      </c:barChart>
      <c:catAx>
        <c:axId val="79296768"/>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60162432"/>
        <c:crosses val="autoZero"/>
        <c:auto val="1"/>
        <c:lblAlgn val="ctr"/>
        <c:lblOffset val="100"/>
        <c:noMultiLvlLbl val="0"/>
      </c:catAx>
      <c:valAx>
        <c:axId val="6016243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929676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69</c:v>
                </c:pt>
              </c:strCache>
            </c:strRef>
          </c:tx>
          <c:spPr>
            <a:solidFill>
              <a:schemeClr val="accent1"/>
            </a:solidFill>
          </c:spPr>
          <c:invertIfNegative val="0"/>
          <c:cat>
            <c:numRef>
              <c:f>'Overall Metrics'!$H$2:$H$45</c:f>
              <c:numCache>
                <c:formatCode>#,##0.00</c:formatCode>
                <c:ptCount val="44"/>
                <c:pt idx="0">
                  <c:v>1</c:v>
                </c:pt>
                <c:pt idx="1">
                  <c:v>2.1162790697674421</c:v>
                </c:pt>
                <c:pt idx="2">
                  <c:v>3.2325581395348841</c:v>
                </c:pt>
                <c:pt idx="3">
                  <c:v>4.3488372093023262</c:v>
                </c:pt>
                <c:pt idx="4">
                  <c:v>5.4651162790697683</c:v>
                </c:pt>
                <c:pt idx="5">
                  <c:v>6.5813953488372103</c:v>
                </c:pt>
                <c:pt idx="6">
                  <c:v>7.6976744186046524</c:v>
                </c:pt>
                <c:pt idx="7">
                  <c:v>8.8139534883720945</c:v>
                </c:pt>
                <c:pt idx="8">
                  <c:v>9.9302325581395365</c:v>
                </c:pt>
                <c:pt idx="9">
                  <c:v>11.046511627906979</c:v>
                </c:pt>
                <c:pt idx="10">
                  <c:v>12.162790697674421</c:v>
                </c:pt>
                <c:pt idx="11">
                  <c:v>13.279069767441863</c:v>
                </c:pt>
                <c:pt idx="12">
                  <c:v>14.395348837209305</c:v>
                </c:pt>
                <c:pt idx="13">
                  <c:v>15.511627906976747</c:v>
                </c:pt>
                <c:pt idx="14">
                  <c:v>16.627906976744189</c:v>
                </c:pt>
                <c:pt idx="15">
                  <c:v>17.744186046511629</c:v>
                </c:pt>
                <c:pt idx="16">
                  <c:v>18.86046511627907</c:v>
                </c:pt>
                <c:pt idx="17">
                  <c:v>19.97674418604651</c:v>
                </c:pt>
                <c:pt idx="18">
                  <c:v>21.09302325581395</c:v>
                </c:pt>
                <c:pt idx="19">
                  <c:v>22.20930232558139</c:v>
                </c:pt>
                <c:pt idx="20">
                  <c:v>23.325581395348831</c:v>
                </c:pt>
                <c:pt idx="21">
                  <c:v>24.441860465116271</c:v>
                </c:pt>
                <c:pt idx="22">
                  <c:v>25.558139534883711</c:v>
                </c:pt>
                <c:pt idx="23">
                  <c:v>26.674418604651152</c:v>
                </c:pt>
                <c:pt idx="24">
                  <c:v>27.790697674418592</c:v>
                </c:pt>
                <c:pt idx="25">
                  <c:v>28.906976744186032</c:v>
                </c:pt>
                <c:pt idx="26">
                  <c:v>30.023255813953472</c:v>
                </c:pt>
                <c:pt idx="27">
                  <c:v>31.139534883720913</c:v>
                </c:pt>
                <c:pt idx="28">
                  <c:v>32.255813953488357</c:v>
                </c:pt>
                <c:pt idx="29">
                  <c:v>33.3720930232558</c:v>
                </c:pt>
                <c:pt idx="30">
                  <c:v>34.488372093023244</c:v>
                </c:pt>
                <c:pt idx="31">
                  <c:v>35.604651162790688</c:v>
                </c:pt>
                <c:pt idx="32">
                  <c:v>36.720930232558132</c:v>
                </c:pt>
                <c:pt idx="33">
                  <c:v>37.837209302325576</c:v>
                </c:pt>
                <c:pt idx="34">
                  <c:v>38.95348837209302</c:v>
                </c:pt>
                <c:pt idx="35">
                  <c:v>40.069767441860463</c:v>
                </c:pt>
                <c:pt idx="36">
                  <c:v>41.186046511627907</c:v>
                </c:pt>
                <c:pt idx="37">
                  <c:v>42.302325581395351</c:v>
                </c:pt>
                <c:pt idx="38">
                  <c:v>43.418604651162795</c:v>
                </c:pt>
                <c:pt idx="39">
                  <c:v>44.534883720930239</c:v>
                </c:pt>
                <c:pt idx="40">
                  <c:v>45.651162790697683</c:v>
                </c:pt>
                <c:pt idx="41">
                  <c:v>46.767441860465127</c:v>
                </c:pt>
                <c:pt idx="42">
                  <c:v>47.88372093023257</c:v>
                </c:pt>
                <c:pt idx="43">
                  <c:v>49</c:v>
                </c:pt>
              </c:numCache>
            </c:numRef>
          </c:cat>
          <c:val>
            <c:numRef>
              <c:f>'Overall Metrics'!$I$2:$I$45</c:f>
              <c:numCache>
                <c:formatCode>General</c:formatCode>
                <c:ptCount val="44"/>
                <c:pt idx="0">
                  <c:v>69</c:v>
                </c:pt>
                <c:pt idx="1">
                  <c:v>26</c:v>
                </c:pt>
                <c:pt idx="2">
                  <c:v>14</c:v>
                </c:pt>
                <c:pt idx="3">
                  <c:v>15</c:v>
                </c:pt>
                <c:pt idx="4">
                  <c:v>13</c:v>
                </c:pt>
                <c:pt idx="5">
                  <c:v>10</c:v>
                </c:pt>
                <c:pt idx="6">
                  <c:v>2</c:v>
                </c:pt>
                <c:pt idx="7">
                  <c:v>4</c:v>
                </c:pt>
                <c:pt idx="8">
                  <c:v>11</c:v>
                </c:pt>
                <c:pt idx="9">
                  <c:v>8</c:v>
                </c:pt>
                <c:pt idx="10">
                  <c:v>1</c:v>
                </c:pt>
                <c:pt idx="11">
                  <c:v>5</c:v>
                </c:pt>
                <c:pt idx="12">
                  <c:v>3</c:v>
                </c:pt>
                <c:pt idx="13">
                  <c:v>2</c:v>
                </c:pt>
                <c:pt idx="14">
                  <c:v>3</c:v>
                </c:pt>
                <c:pt idx="15">
                  <c:v>2</c:v>
                </c:pt>
                <c:pt idx="16">
                  <c:v>1</c:v>
                </c:pt>
                <c:pt idx="17">
                  <c:v>0</c:v>
                </c:pt>
                <c:pt idx="18">
                  <c:v>0</c:v>
                </c:pt>
                <c:pt idx="19">
                  <c:v>1</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60191488"/>
        <c:axId val="60193408"/>
      </c:barChart>
      <c:catAx>
        <c:axId val="60191488"/>
        <c:scaling>
          <c:orientation val="minMax"/>
        </c:scaling>
        <c:delete val="1"/>
        <c:axPos val="b"/>
        <c:title>
          <c:tx>
            <c:rich>
              <a:bodyPr/>
              <a:lstStyle/>
              <a:p>
                <a:pPr>
                  <a:defRPr/>
                </a:pPr>
                <a:r>
                  <a:rPr lang="en-US"/>
                  <a:t>Out-Degree</a:t>
                </a:r>
              </a:p>
            </c:rich>
          </c:tx>
          <c:layout>
            <c:manualLayout>
              <c:xMode val="edge"/>
              <c:yMode val="edge"/>
              <c:x val="0.41379516818709683"/>
              <c:y val="0.80898890864450268"/>
            </c:manualLayout>
          </c:layout>
          <c:overlay val="0"/>
        </c:title>
        <c:numFmt formatCode="#,##0.00" sourceLinked="1"/>
        <c:majorTickMark val="out"/>
        <c:minorTickMark val="none"/>
        <c:tickLblPos val="none"/>
        <c:crossAx val="60193408"/>
        <c:crosses val="autoZero"/>
        <c:auto val="1"/>
        <c:lblAlgn val="ctr"/>
        <c:lblOffset val="100"/>
        <c:noMultiLvlLbl val="0"/>
      </c:catAx>
      <c:valAx>
        <c:axId val="6019340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6019148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140</c:v>
                </c:pt>
              </c:strCache>
            </c:strRef>
          </c:tx>
          <c:spPr>
            <a:solidFill>
              <a:schemeClr val="accent1"/>
            </a:solidFill>
          </c:spPr>
          <c:invertIfNegative val="0"/>
          <c:cat>
            <c:numRef>
              <c:f>'Overall Metrics'!$J$2:$J$45</c:f>
              <c:numCache>
                <c:formatCode>#,##0.00</c:formatCode>
                <c:ptCount val="44"/>
                <c:pt idx="0">
                  <c:v>0</c:v>
                </c:pt>
                <c:pt idx="1">
                  <c:v>182.62984611627908</c:v>
                </c:pt>
                <c:pt idx="2">
                  <c:v>365.25969223255817</c:v>
                </c:pt>
                <c:pt idx="3">
                  <c:v>547.88953834883728</c:v>
                </c:pt>
                <c:pt idx="4">
                  <c:v>730.51938446511633</c:v>
                </c:pt>
                <c:pt idx="5">
                  <c:v>913.14923058139539</c:v>
                </c:pt>
                <c:pt idx="6">
                  <c:v>1095.7790766976746</c:v>
                </c:pt>
                <c:pt idx="7">
                  <c:v>1278.4089228139537</c:v>
                </c:pt>
                <c:pt idx="8">
                  <c:v>1461.0387689302329</c:v>
                </c:pt>
                <c:pt idx="9">
                  <c:v>1643.6686150465121</c:v>
                </c:pt>
                <c:pt idx="10">
                  <c:v>1826.2984611627912</c:v>
                </c:pt>
                <c:pt idx="11">
                  <c:v>2008.9283072790704</c:v>
                </c:pt>
                <c:pt idx="12">
                  <c:v>2191.5581533953496</c:v>
                </c:pt>
                <c:pt idx="13">
                  <c:v>2374.1879995116287</c:v>
                </c:pt>
                <c:pt idx="14">
                  <c:v>2556.8178456279079</c:v>
                </c:pt>
                <c:pt idx="15">
                  <c:v>2739.4476917441871</c:v>
                </c:pt>
                <c:pt idx="16">
                  <c:v>2922.0775378604662</c:v>
                </c:pt>
                <c:pt idx="17">
                  <c:v>3104.7073839767454</c:v>
                </c:pt>
                <c:pt idx="18">
                  <c:v>3287.3372300930246</c:v>
                </c:pt>
                <c:pt idx="19">
                  <c:v>3469.9670762093037</c:v>
                </c:pt>
                <c:pt idx="20">
                  <c:v>3652.5969223255829</c:v>
                </c:pt>
                <c:pt idx="21">
                  <c:v>3835.2267684418621</c:v>
                </c:pt>
                <c:pt idx="22">
                  <c:v>4017.8566145581412</c:v>
                </c:pt>
                <c:pt idx="23">
                  <c:v>4200.4864606744204</c:v>
                </c:pt>
                <c:pt idx="24">
                  <c:v>4383.1163067906991</c:v>
                </c:pt>
                <c:pt idx="25">
                  <c:v>4565.7461529069778</c:v>
                </c:pt>
                <c:pt idx="26">
                  <c:v>4748.3759990232566</c:v>
                </c:pt>
                <c:pt idx="27">
                  <c:v>4931.0058451395353</c:v>
                </c:pt>
                <c:pt idx="28">
                  <c:v>5113.635691255814</c:v>
                </c:pt>
                <c:pt idx="29">
                  <c:v>5296.2655373720927</c:v>
                </c:pt>
                <c:pt idx="30">
                  <c:v>5478.8953834883714</c:v>
                </c:pt>
                <c:pt idx="31">
                  <c:v>5661.5252296046501</c:v>
                </c:pt>
                <c:pt idx="32">
                  <c:v>5844.1550757209288</c:v>
                </c:pt>
                <c:pt idx="33">
                  <c:v>6026.7849218372075</c:v>
                </c:pt>
                <c:pt idx="34">
                  <c:v>6209.4147679534863</c:v>
                </c:pt>
                <c:pt idx="35">
                  <c:v>6392.044614069765</c:v>
                </c:pt>
                <c:pt idx="36">
                  <c:v>6574.6744601860437</c:v>
                </c:pt>
                <c:pt idx="37">
                  <c:v>6757.3043063023224</c:v>
                </c:pt>
                <c:pt idx="38">
                  <c:v>6939.9341524186011</c:v>
                </c:pt>
                <c:pt idx="39">
                  <c:v>7122.5639985348798</c:v>
                </c:pt>
                <c:pt idx="40">
                  <c:v>7305.1938446511585</c:v>
                </c:pt>
                <c:pt idx="41">
                  <c:v>7487.8236907674373</c:v>
                </c:pt>
                <c:pt idx="42">
                  <c:v>7670.453536883716</c:v>
                </c:pt>
                <c:pt idx="43">
                  <c:v>7853.0833830000001</c:v>
                </c:pt>
              </c:numCache>
            </c:numRef>
          </c:cat>
          <c:val>
            <c:numRef>
              <c:f>'Overall Metrics'!$K$2:$K$45</c:f>
              <c:numCache>
                <c:formatCode>General</c:formatCode>
                <c:ptCount val="44"/>
                <c:pt idx="0">
                  <c:v>140</c:v>
                </c:pt>
                <c:pt idx="1">
                  <c:v>18</c:v>
                </c:pt>
                <c:pt idx="2">
                  <c:v>10</c:v>
                </c:pt>
                <c:pt idx="3">
                  <c:v>8</c:v>
                </c:pt>
                <c:pt idx="4">
                  <c:v>4</c:v>
                </c:pt>
                <c:pt idx="5">
                  <c:v>2</c:v>
                </c:pt>
                <c:pt idx="6">
                  <c:v>2</c:v>
                </c:pt>
                <c:pt idx="7">
                  <c:v>0</c:v>
                </c:pt>
                <c:pt idx="8">
                  <c:v>0</c:v>
                </c:pt>
                <c:pt idx="9">
                  <c:v>2</c:v>
                </c:pt>
                <c:pt idx="10">
                  <c:v>0</c:v>
                </c:pt>
                <c:pt idx="11">
                  <c:v>0</c:v>
                </c:pt>
                <c:pt idx="12">
                  <c:v>0</c:v>
                </c:pt>
                <c:pt idx="13">
                  <c:v>2</c:v>
                </c:pt>
                <c:pt idx="14">
                  <c:v>0</c:v>
                </c:pt>
                <c:pt idx="15">
                  <c:v>0</c:v>
                </c:pt>
                <c:pt idx="16">
                  <c:v>0</c:v>
                </c:pt>
                <c:pt idx="17">
                  <c:v>0</c:v>
                </c:pt>
                <c:pt idx="18">
                  <c:v>0</c:v>
                </c:pt>
                <c:pt idx="19">
                  <c:v>0</c:v>
                </c:pt>
                <c:pt idx="20">
                  <c:v>0</c:v>
                </c:pt>
                <c:pt idx="21">
                  <c:v>0</c:v>
                </c:pt>
                <c:pt idx="22">
                  <c:v>0</c:v>
                </c:pt>
                <c:pt idx="23">
                  <c:v>0</c:v>
                </c:pt>
                <c:pt idx="24">
                  <c:v>0</c:v>
                </c:pt>
                <c:pt idx="25">
                  <c:v>1</c:v>
                </c:pt>
                <c:pt idx="26">
                  <c:v>1</c:v>
                </c:pt>
                <c:pt idx="27">
                  <c:v>0</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60201984"/>
        <c:axId val="60212352"/>
      </c:barChart>
      <c:catAx>
        <c:axId val="60201984"/>
        <c:scaling>
          <c:orientation val="minMax"/>
        </c:scaling>
        <c:delete val="1"/>
        <c:axPos val="b"/>
        <c:title>
          <c:tx>
            <c:rich>
              <a:bodyPr/>
              <a:lstStyle/>
              <a:p>
                <a:pPr>
                  <a:defRPr/>
                </a:pPr>
                <a:r>
                  <a:rPr lang="en-US"/>
                  <a:t>Betweenness Centrality</a:t>
                </a:r>
              </a:p>
            </c:rich>
          </c:tx>
          <c:layout>
            <c:manualLayout>
              <c:xMode val="edge"/>
              <c:yMode val="edge"/>
              <c:x val="0.32728710116056114"/>
              <c:y val="0.82619320971975252"/>
            </c:manualLayout>
          </c:layout>
          <c:overlay val="0"/>
        </c:title>
        <c:numFmt formatCode="#,##0.00" sourceLinked="1"/>
        <c:majorTickMark val="out"/>
        <c:minorTickMark val="none"/>
        <c:tickLblPos val="none"/>
        <c:crossAx val="60212352"/>
        <c:crosses val="autoZero"/>
        <c:auto val="1"/>
        <c:lblAlgn val="ctr"/>
        <c:lblOffset val="100"/>
        <c:noMultiLvlLbl val="0"/>
      </c:catAx>
      <c:valAx>
        <c:axId val="6021235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6020198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190</c:v>
                </c:pt>
              </c:strCache>
            </c:strRef>
          </c:tx>
          <c:spPr>
            <a:solidFill>
              <a:schemeClr val="accent1"/>
            </a:solidFill>
          </c:spPr>
          <c:invertIfNegative val="0"/>
          <c:cat>
            <c:numRef>
              <c:f>'Overall Metrics'!$L$2:$L$45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Metrics'!$M$2:$M$45</c:f>
              <c:numCache>
                <c:formatCode>General</c:formatCode>
                <c:ptCount val="44"/>
                <c:pt idx="0">
                  <c:v>190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2</c:v>
                </c:pt>
              </c:numCache>
            </c:numRef>
          </c:val>
        </c:ser>
        <c:dLbls>
          <c:showLegendKey val="0"/>
          <c:showVal val="0"/>
          <c:showCatName val="0"/>
          <c:showSerName val="0"/>
          <c:showPercent val="0"/>
          <c:showBubbleSize val="0"/>
        </c:dLbls>
        <c:gapWidth val="0"/>
        <c:axId val="73684480"/>
        <c:axId val="73686400"/>
      </c:barChart>
      <c:catAx>
        <c:axId val="73684480"/>
        <c:scaling>
          <c:orientation val="minMax"/>
        </c:scaling>
        <c:delete val="1"/>
        <c:axPos val="b"/>
        <c:title>
          <c:tx>
            <c:rich>
              <a:bodyPr/>
              <a:lstStyle/>
              <a:p>
                <a:pPr>
                  <a:defRPr/>
                </a:pPr>
                <a:r>
                  <a:rPr lang="en-US"/>
                  <a:t>Closeness Centrality</a:t>
                </a:r>
              </a:p>
            </c:rich>
          </c:tx>
          <c:layout>
            <c:manualLayout>
              <c:xMode val="edge"/>
              <c:yMode val="edge"/>
              <c:x val="0.35406086287408578"/>
              <c:y val="0.82619320971975252"/>
            </c:manualLayout>
          </c:layout>
          <c:overlay val="0"/>
        </c:title>
        <c:numFmt formatCode="#,##0.00" sourceLinked="1"/>
        <c:majorTickMark val="out"/>
        <c:minorTickMark val="none"/>
        <c:tickLblPos val="none"/>
        <c:crossAx val="73686400"/>
        <c:crosses val="autoZero"/>
        <c:auto val="1"/>
        <c:lblAlgn val="ctr"/>
        <c:lblOffset val="100"/>
        <c:noMultiLvlLbl val="0"/>
      </c:catAx>
      <c:valAx>
        <c:axId val="7368640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368448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48</c:v>
                </c:pt>
              </c:strCache>
            </c:strRef>
          </c:tx>
          <c:spPr>
            <a:solidFill>
              <a:schemeClr val="accent1"/>
            </a:solidFill>
          </c:spPr>
          <c:invertIfNegative val="0"/>
          <c:cat>
            <c:numRef>
              <c:f>'Overall Metrics'!$N$2:$N$45</c:f>
              <c:numCache>
                <c:formatCode>#,##0.00</c:formatCode>
                <c:ptCount val="44"/>
                <c:pt idx="0">
                  <c:v>0</c:v>
                </c:pt>
                <c:pt idx="1">
                  <c:v>9.5534883720930228E-4</c:v>
                </c:pt>
                <c:pt idx="2">
                  <c:v>1.9106976744186046E-3</c:v>
                </c:pt>
                <c:pt idx="3">
                  <c:v>2.8660465116279068E-3</c:v>
                </c:pt>
                <c:pt idx="4">
                  <c:v>3.8213953488372091E-3</c:v>
                </c:pt>
                <c:pt idx="5">
                  <c:v>4.776744186046511E-3</c:v>
                </c:pt>
                <c:pt idx="6">
                  <c:v>5.7320930232558128E-3</c:v>
                </c:pt>
                <c:pt idx="7">
                  <c:v>6.6874418604651147E-3</c:v>
                </c:pt>
                <c:pt idx="8">
                  <c:v>7.6427906976744165E-3</c:v>
                </c:pt>
                <c:pt idx="9">
                  <c:v>8.5981395348837183E-3</c:v>
                </c:pt>
                <c:pt idx="10">
                  <c:v>9.5534883720930202E-3</c:v>
                </c:pt>
                <c:pt idx="11">
                  <c:v>1.0508837209302322E-2</c:v>
                </c:pt>
                <c:pt idx="12">
                  <c:v>1.1464186046511624E-2</c:v>
                </c:pt>
                <c:pt idx="13">
                  <c:v>1.2419534883720926E-2</c:v>
                </c:pt>
                <c:pt idx="14">
                  <c:v>1.3374883720930228E-2</c:v>
                </c:pt>
                <c:pt idx="15">
                  <c:v>1.4330232558139529E-2</c:v>
                </c:pt>
                <c:pt idx="16">
                  <c:v>1.5285581395348831E-2</c:v>
                </c:pt>
                <c:pt idx="17">
                  <c:v>1.6240930232558133E-2</c:v>
                </c:pt>
                <c:pt idx="18">
                  <c:v>1.7196279069767437E-2</c:v>
                </c:pt>
                <c:pt idx="19">
                  <c:v>1.815162790697674E-2</c:v>
                </c:pt>
                <c:pt idx="20">
                  <c:v>1.9106976744186044E-2</c:v>
                </c:pt>
                <c:pt idx="21">
                  <c:v>2.0062325581395347E-2</c:v>
                </c:pt>
                <c:pt idx="22">
                  <c:v>2.1017674418604651E-2</c:v>
                </c:pt>
                <c:pt idx="23">
                  <c:v>2.1973023255813955E-2</c:v>
                </c:pt>
                <c:pt idx="24">
                  <c:v>2.2928372093023258E-2</c:v>
                </c:pt>
                <c:pt idx="25">
                  <c:v>2.3883720930232562E-2</c:v>
                </c:pt>
                <c:pt idx="26">
                  <c:v>2.4839069767441865E-2</c:v>
                </c:pt>
                <c:pt idx="27">
                  <c:v>2.5794418604651169E-2</c:v>
                </c:pt>
                <c:pt idx="28">
                  <c:v>2.6749767441860473E-2</c:v>
                </c:pt>
                <c:pt idx="29">
                  <c:v>2.7705116279069776E-2</c:v>
                </c:pt>
                <c:pt idx="30">
                  <c:v>2.866046511627908E-2</c:v>
                </c:pt>
                <c:pt idx="31">
                  <c:v>2.9615813953488383E-2</c:v>
                </c:pt>
                <c:pt idx="32">
                  <c:v>3.0571162790697687E-2</c:v>
                </c:pt>
                <c:pt idx="33">
                  <c:v>3.152651162790699E-2</c:v>
                </c:pt>
                <c:pt idx="34">
                  <c:v>3.2481860465116294E-2</c:v>
                </c:pt>
                <c:pt idx="35">
                  <c:v>3.3437209302325598E-2</c:v>
                </c:pt>
                <c:pt idx="36">
                  <c:v>3.4392558139534901E-2</c:v>
                </c:pt>
                <c:pt idx="37">
                  <c:v>3.5347906976744205E-2</c:v>
                </c:pt>
                <c:pt idx="38">
                  <c:v>3.6303255813953508E-2</c:v>
                </c:pt>
                <c:pt idx="39">
                  <c:v>3.7258604651162812E-2</c:v>
                </c:pt>
                <c:pt idx="40">
                  <c:v>3.8213953488372115E-2</c:v>
                </c:pt>
                <c:pt idx="41">
                  <c:v>3.9169302325581419E-2</c:v>
                </c:pt>
                <c:pt idx="42">
                  <c:v>4.0124651162790723E-2</c:v>
                </c:pt>
                <c:pt idx="43">
                  <c:v>4.1079999999999998E-2</c:v>
                </c:pt>
              </c:numCache>
            </c:numRef>
          </c:cat>
          <c:val>
            <c:numRef>
              <c:f>'Overall Metrics'!$O$2:$O$45</c:f>
              <c:numCache>
                <c:formatCode>General</c:formatCode>
                <c:ptCount val="44"/>
                <c:pt idx="0">
                  <c:v>48</c:v>
                </c:pt>
                <c:pt idx="1">
                  <c:v>33</c:v>
                </c:pt>
                <c:pt idx="2">
                  <c:v>19</c:v>
                </c:pt>
                <c:pt idx="3">
                  <c:v>19</c:v>
                </c:pt>
                <c:pt idx="4">
                  <c:v>11</c:v>
                </c:pt>
                <c:pt idx="5">
                  <c:v>6</c:v>
                </c:pt>
                <c:pt idx="6">
                  <c:v>10</c:v>
                </c:pt>
                <c:pt idx="7">
                  <c:v>5</c:v>
                </c:pt>
                <c:pt idx="8">
                  <c:v>3</c:v>
                </c:pt>
                <c:pt idx="9">
                  <c:v>4</c:v>
                </c:pt>
                <c:pt idx="10">
                  <c:v>3</c:v>
                </c:pt>
                <c:pt idx="11">
                  <c:v>3</c:v>
                </c:pt>
                <c:pt idx="12">
                  <c:v>2</c:v>
                </c:pt>
                <c:pt idx="13">
                  <c:v>0</c:v>
                </c:pt>
                <c:pt idx="14">
                  <c:v>4</c:v>
                </c:pt>
                <c:pt idx="15">
                  <c:v>1</c:v>
                </c:pt>
                <c:pt idx="16">
                  <c:v>4</c:v>
                </c:pt>
                <c:pt idx="17">
                  <c:v>2</c:v>
                </c:pt>
                <c:pt idx="18">
                  <c:v>1</c:v>
                </c:pt>
                <c:pt idx="19">
                  <c:v>3</c:v>
                </c:pt>
                <c:pt idx="20">
                  <c:v>1</c:v>
                </c:pt>
                <c:pt idx="21">
                  <c:v>0</c:v>
                </c:pt>
                <c:pt idx="22">
                  <c:v>1</c:v>
                </c:pt>
                <c:pt idx="23">
                  <c:v>3</c:v>
                </c:pt>
                <c:pt idx="24">
                  <c:v>2</c:v>
                </c:pt>
                <c:pt idx="25">
                  <c:v>0</c:v>
                </c:pt>
                <c:pt idx="26">
                  <c:v>2</c:v>
                </c:pt>
                <c:pt idx="27">
                  <c:v>0</c:v>
                </c:pt>
                <c:pt idx="28">
                  <c:v>0</c:v>
                </c:pt>
                <c:pt idx="29">
                  <c:v>0</c:v>
                </c:pt>
                <c:pt idx="30">
                  <c:v>1</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79574912"/>
        <c:axId val="79581184"/>
      </c:barChart>
      <c:catAx>
        <c:axId val="79574912"/>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355"/>
              <c:y val="0.82619320971975252"/>
            </c:manualLayout>
          </c:layout>
          <c:overlay val="0"/>
        </c:title>
        <c:numFmt formatCode="#,##0.00" sourceLinked="1"/>
        <c:majorTickMark val="out"/>
        <c:minorTickMark val="none"/>
        <c:tickLblPos val="none"/>
        <c:crossAx val="79581184"/>
        <c:crosses val="autoZero"/>
        <c:auto val="1"/>
        <c:lblAlgn val="ctr"/>
        <c:lblOffset val="100"/>
        <c:noMultiLvlLbl val="0"/>
      </c:catAx>
      <c:valAx>
        <c:axId val="7958118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957491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74</c:v>
                </c:pt>
              </c:strCache>
            </c:strRef>
          </c:tx>
          <c:spPr>
            <a:solidFill>
              <a:schemeClr val="accent1"/>
            </a:solidFill>
          </c:spPr>
          <c:invertIfNegative val="0"/>
          <c:cat>
            <c:numRef>
              <c:f>'Overall Metrics'!$R$2:$R$45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Metrics'!$S$2:$S$45</c:f>
              <c:numCache>
                <c:formatCode>General</c:formatCode>
                <c:ptCount val="44"/>
                <c:pt idx="0">
                  <c:v>74</c:v>
                </c:pt>
                <c:pt idx="1">
                  <c:v>0</c:v>
                </c:pt>
                <c:pt idx="2">
                  <c:v>2</c:v>
                </c:pt>
                <c:pt idx="3">
                  <c:v>1</c:v>
                </c:pt>
                <c:pt idx="4">
                  <c:v>9</c:v>
                </c:pt>
                <c:pt idx="5">
                  <c:v>7</c:v>
                </c:pt>
                <c:pt idx="6">
                  <c:v>10</c:v>
                </c:pt>
                <c:pt idx="7">
                  <c:v>12</c:v>
                </c:pt>
                <c:pt idx="8">
                  <c:v>5</c:v>
                </c:pt>
                <c:pt idx="9">
                  <c:v>3</c:v>
                </c:pt>
                <c:pt idx="10">
                  <c:v>11</c:v>
                </c:pt>
                <c:pt idx="11">
                  <c:v>5</c:v>
                </c:pt>
                <c:pt idx="12">
                  <c:v>4</c:v>
                </c:pt>
                <c:pt idx="13">
                  <c:v>3</c:v>
                </c:pt>
                <c:pt idx="14">
                  <c:v>7</c:v>
                </c:pt>
                <c:pt idx="15">
                  <c:v>4</c:v>
                </c:pt>
                <c:pt idx="16">
                  <c:v>2</c:v>
                </c:pt>
                <c:pt idx="17">
                  <c:v>4</c:v>
                </c:pt>
                <c:pt idx="18">
                  <c:v>1</c:v>
                </c:pt>
                <c:pt idx="19">
                  <c:v>1</c:v>
                </c:pt>
                <c:pt idx="20">
                  <c:v>1</c:v>
                </c:pt>
                <c:pt idx="21">
                  <c:v>12</c:v>
                </c:pt>
                <c:pt idx="22">
                  <c:v>1</c:v>
                </c:pt>
                <c:pt idx="23">
                  <c:v>2</c:v>
                </c:pt>
                <c:pt idx="24">
                  <c:v>0</c:v>
                </c:pt>
                <c:pt idx="25">
                  <c:v>1</c:v>
                </c:pt>
                <c:pt idx="26">
                  <c:v>1</c:v>
                </c:pt>
                <c:pt idx="27">
                  <c:v>1</c:v>
                </c:pt>
                <c:pt idx="28">
                  <c:v>3</c:v>
                </c:pt>
                <c:pt idx="29">
                  <c:v>0</c:v>
                </c:pt>
                <c:pt idx="30">
                  <c:v>0</c:v>
                </c:pt>
                <c:pt idx="31">
                  <c:v>0</c:v>
                </c:pt>
                <c:pt idx="32">
                  <c:v>0</c:v>
                </c:pt>
                <c:pt idx="33">
                  <c:v>0</c:v>
                </c:pt>
                <c:pt idx="34">
                  <c:v>0</c:v>
                </c:pt>
                <c:pt idx="35">
                  <c:v>1</c:v>
                </c:pt>
                <c:pt idx="36">
                  <c:v>0</c:v>
                </c:pt>
                <c:pt idx="37">
                  <c:v>0</c:v>
                </c:pt>
                <c:pt idx="38">
                  <c:v>0</c:v>
                </c:pt>
                <c:pt idx="39">
                  <c:v>0</c:v>
                </c:pt>
                <c:pt idx="40">
                  <c:v>0</c:v>
                </c:pt>
                <c:pt idx="41">
                  <c:v>0</c:v>
                </c:pt>
                <c:pt idx="42">
                  <c:v>0</c:v>
                </c:pt>
                <c:pt idx="43">
                  <c:v>4</c:v>
                </c:pt>
              </c:numCache>
            </c:numRef>
          </c:val>
        </c:ser>
        <c:dLbls>
          <c:showLegendKey val="0"/>
          <c:showVal val="0"/>
          <c:showCatName val="0"/>
          <c:showSerName val="0"/>
          <c:showPercent val="0"/>
          <c:showBubbleSize val="0"/>
        </c:dLbls>
        <c:gapWidth val="0"/>
        <c:axId val="79595776"/>
        <c:axId val="79614336"/>
      </c:barChart>
      <c:catAx>
        <c:axId val="79595776"/>
        <c:scaling>
          <c:orientation val="minMax"/>
        </c:scaling>
        <c:delete val="1"/>
        <c:axPos val="b"/>
        <c:title>
          <c:tx>
            <c:rich>
              <a:bodyPr/>
              <a:lstStyle/>
              <a:p>
                <a:pPr>
                  <a:defRPr/>
                </a:pPr>
                <a:r>
                  <a:rPr lang="en-US"/>
                  <a:t>Clustering Coefficient</a:t>
                </a:r>
              </a:p>
            </c:rich>
          </c:tx>
          <c:layout>
            <c:manualLayout>
              <c:xMode val="edge"/>
              <c:yMode val="edge"/>
              <c:x val="0.33732726180313377"/>
              <c:y val="0.82619320971975252"/>
            </c:manualLayout>
          </c:layout>
          <c:overlay val="0"/>
        </c:title>
        <c:numFmt formatCode="#,##0.00" sourceLinked="1"/>
        <c:majorTickMark val="out"/>
        <c:minorTickMark val="none"/>
        <c:tickLblPos val="none"/>
        <c:crossAx val="79614336"/>
        <c:crosses val="autoZero"/>
        <c:auto val="1"/>
        <c:lblAlgn val="ctr"/>
        <c:lblOffset val="100"/>
        <c:noMultiLvlLbl val="0"/>
      </c:catAx>
      <c:valAx>
        <c:axId val="7961433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95957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37</c:v>
                </c:pt>
              </c:strCache>
            </c:strRef>
          </c:tx>
          <c:spPr>
            <a:solidFill>
              <a:schemeClr val="accent1"/>
            </a:solidFill>
          </c:spPr>
          <c:invertIfNegative val="0"/>
          <c:cat>
            <c:numRef>
              <c:f>'Overall Metrics'!$R$2:$R$45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Metrics'!$Q$2:$Q$45</c:f>
              <c:numCache>
                <c:formatCode>General</c:formatCode>
                <c:ptCount val="44"/>
                <c:pt idx="0">
                  <c:v>37</c:v>
                </c:pt>
                <c:pt idx="1">
                  <c:v>32</c:v>
                </c:pt>
                <c:pt idx="2">
                  <c:v>17</c:v>
                </c:pt>
                <c:pt idx="3">
                  <c:v>16</c:v>
                </c:pt>
                <c:pt idx="4">
                  <c:v>31</c:v>
                </c:pt>
                <c:pt idx="5">
                  <c:v>12</c:v>
                </c:pt>
                <c:pt idx="6">
                  <c:v>12</c:v>
                </c:pt>
                <c:pt idx="7">
                  <c:v>5</c:v>
                </c:pt>
                <c:pt idx="8">
                  <c:v>7</c:v>
                </c:pt>
                <c:pt idx="9">
                  <c:v>7</c:v>
                </c:pt>
                <c:pt idx="10">
                  <c:v>6</c:v>
                </c:pt>
                <c:pt idx="11">
                  <c:v>0</c:v>
                </c:pt>
                <c:pt idx="12">
                  <c:v>1</c:v>
                </c:pt>
                <c:pt idx="13">
                  <c:v>1</c:v>
                </c:pt>
                <c:pt idx="14">
                  <c:v>0</c:v>
                </c:pt>
                <c:pt idx="15">
                  <c:v>1</c:v>
                </c:pt>
                <c:pt idx="16">
                  <c:v>1</c:v>
                </c:pt>
                <c:pt idx="17">
                  <c:v>0</c:v>
                </c:pt>
                <c:pt idx="18">
                  <c:v>0</c:v>
                </c:pt>
                <c:pt idx="19">
                  <c:v>0</c:v>
                </c:pt>
                <c:pt idx="20">
                  <c:v>1</c:v>
                </c:pt>
                <c:pt idx="21">
                  <c:v>1</c:v>
                </c:pt>
                <c:pt idx="22">
                  <c:v>1</c:v>
                </c:pt>
                <c:pt idx="23">
                  <c:v>0</c:v>
                </c:pt>
                <c:pt idx="24">
                  <c:v>0</c:v>
                </c:pt>
                <c:pt idx="25">
                  <c:v>0</c:v>
                </c:pt>
                <c:pt idx="26">
                  <c:v>0</c:v>
                </c:pt>
                <c:pt idx="27">
                  <c:v>0</c:v>
                </c:pt>
                <c:pt idx="28">
                  <c:v>0</c:v>
                </c:pt>
                <c:pt idx="29">
                  <c:v>0</c:v>
                </c:pt>
                <c:pt idx="30">
                  <c:v>1</c:v>
                </c:pt>
                <c:pt idx="31">
                  <c:v>0</c:v>
                </c:pt>
                <c:pt idx="32">
                  <c:v>1</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79708928"/>
        <c:axId val="79710848"/>
      </c:barChart>
      <c:catAx>
        <c:axId val="79708928"/>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79710848"/>
        <c:crosses val="autoZero"/>
        <c:auto val="1"/>
        <c:lblAlgn val="ctr"/>
        <c:lblOffset val="100"/>
        <c:noMultiLvlLbl val="0"/>
      </c:catAx>
      <c:valAx>
        <c:axId val="7971084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7970892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837E-3"/>
          <c:y val="8.0430855234004828E-3"/>
          <c:w val="0.99723592884220325"/>
          <c:h val="0.9839124654872371"/>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79835520"/>
        <c:axId val="79837056"/>
      </c:barChart>
      <c:catAx>
        <c:axId val="79835520"/>
        <c:scaling>
          <c:orientation val="minMax"/>
        </c:scaling>
        <c:delete val="1"/>
        <c:axPos val="b"/>
        <c:numFmt formatCode="#,##0.00" sourceLinked="1"/>
        <c:majorTickMark val="out"/>
        <c:minorTickMark val="none"/>
        <c:tickLblPos val="none"/>
        <c:crossAx val="79837056"/>
        <c:crosses val="autoZero"/>
        <c:auto val="1"/>
        <c:lblAlgn val="ctr"/>
        <c:lblOffset val="100"/>
        <c:noMultiLvlLbl val="0"/>
      </c:catAx>
      <c:valAx>
        <c:axId val="79837056"/>
        <c:scaling>
          <c:orientation val="minMax"/>
        </c:scaling>
        <c:delete val="1"/>
        <c:axPos val="l"/>
        <c:numFmt formatCode="General" sourceLinked="1"/>
        <c:majorTickMark val="out"/>
        <c:minorTickMark val="none"/>
        <c:tickLblPos val="none"/>
        <c:crossAx val="79835520"/>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38" Type="http://schemas.openxmlformats.org/officeDocument/2006/relationships/image" Target="../media/image138.png"/><Relationship Id="rId154" Type="http://schemas.openxmlformats.org/officeDocument/2006/relationships/image" Target="../media/image154.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144" Type="http://schemas.openxmlformats.org/officeDocument/2006/relationships/image" Target="../media/image144.png"/><Relationship Id="rId149" Type="http://schemas.openxmlformats.org/officeDocument/2006/relationships/image" Target="../media/image14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50" Type="http://schemas.openxmlformats.org/officeDocument/2006/relationships/image" Target="../media/image150.png"/><Relationship Id="rId155" Type="http://schemas.openxmlformats.org/officeDocument/2006/relationships/image" Target="../media/image15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11" Type="http://schemas.openxmlformats.org/officeDocument/2006/relationships/image" Target="../media/image111.png"/><Relationship Id="rId132" Type="http://schemas.openxmlformats.org/officeDocument/2006/relationships/image" Target="../media/image132.png"/><Relationship Id="rId140" Type="http://schemas.openxmlformats.org/officeDocument/2006/relationships/image" Target="../media/image140.png"/><Relationship Id="rId145" Type="http://schemas.openxmlformats.org/officeDocument/2006/relationships/image" Target="../media/image145.png"/><Relationship Id="rId153" Type="http://schemas.openxmlformats.org/officeDocument/2006/relationships/image" Target="../media/image153.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png"/><Relationship Id="rId114" Type="http://schemas.openxmlformats.org/officeDocument/2006/relationships/image" Target="../media/image114.png"/><Relationship Id="rId119" Type="http://schemas.openxmlformats.org/officeDocument/2006/relationships/image" Target="../media/image119.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30" Type="http://schemas.openxmlformats.org/officeDocument/2006/relationships/image" Target="../media/image130.png"/><Relationship Id="rId135" Type="http://schemas.openxmlformats.org/officeDocument/2006/relationships/image" Target="../media/image135.png"/><Relationship Id="rId143" Type="http://schemas.openxmlformats.org/officeDocument/2006/relationships/image" Target="../media/image143.png"/><Relationship Id="rId148" Type="http://schemas.openxmlformats.org/officeDocument/2006/relationships/image" Target="../media/image148.png"/><Relationship Id="rId151" Type="http://schemas.openxmlformats.org/officeDocument/2006/relationships/image" Target="../media/image151.png"/><Relationship Id="rId156" Type="http://schemas.openxmlformats.org/officeDocument/2006/relationships/image" Target="../media/image15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17</xdr:col>
      <xdr:colOff>25400</xdr:colOff>
      <xdr:row>128</xdr:row>
      <xdr:rowOff>25400</xdr:rowOff>
    </xdr:from>
    <xdr:to>
      <xdr:col>17</xdr:col>
      <xdr:colOff>749300</xdr:colOff>
      <xdr:row>128</xdr:row>
      <xdr:rowOff>501650</xdr:rowOff>
    </xdr:to>
    <xdr:pic>
      <xdr:nvPicPr>
        <xdr:cNvPr id="2" name="Subgraph-RawLinks"/>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596900"/>
          <a:ext cx="723900" cy="476250"/>
        </a:xfrm>
        <a:prstGeom prst="rect">
          <a:avLst/>
        </a:prstGeom>
      </xdr:spPr>
    </xdr:pic>
    <xdr:clientData/>
  </xdr:twoCellAnchor>
  <xdr:twoCellAnchor editAs="oneCell">
    <xdr:from>
      <xdr:col>17</xdr:col>
      <xdr:colOff>25400</xdr:colOff>
      <xdr:row>129</xdr:row>
      <xdr:rowOff>25400</xdr:rowOff>
    </xdr:from>
    <xdr:to>
      <xdr:col>17</xdr:col>
      <xdr:colOff>749300</xdr:colOff>
      <xdr:row>129</xdr:row>
      <xdr:rowOff>501650</xdr:rowOff>
    </xdr:to>
    <xdr:pic>
      <xdr:nvPicPr>
        <xdr:cNvPr id="3" name="Subgraph-Paul_Hanlin_J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5925" y="1120775"/>
          <a:ext cx="723900" cy="476250"/>
        </a:xfrm>
        <a:prstGeom prst="rect">
          <a:avLst/>
        </a:prstGeom>
      </xdr:spPr>
    </xdr:pic>
    <xdr:clientData/>
  </xdr:twoCellAnchor>
  <xdr:twoCellAnchor editAs="oneCell">
    <xdr:from>
      <xdr:col>17</xdr:col>
      <xdr:colOff>25400</xdr:colOff>
      <xdr:row>130</xdr:row>
      <xdr:rowOff>25400</xdr:rowOff>
    </xdr:from>
    <xdr:to>
      <xdr:col>17</xdr:col>
      <xdr:colOff>749300</xdr:colOff>
      <xdr:row>130</xdr:row>
      <xdr:rowOff>501650</xdr:rowOff>
    </xdr:to>
    <xdr:pic>
      <xdr:nvPicPr>
        <xdr:cNvPr id="4" name="Subgraph-sweet_tWhits"/>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1644650"/>
          <a:ext cx="723900" cy="476250"/>
        </a:xfrm>
        <a:prstGeom prst="rect">
          <a:avLst/>
        </a:prstGeom>
      </xdr:spPr>
    </xdr:pic>
    <xdr:clientData/>
  </xdr:twoCellAnchor>
  <xdr:twoCellAnchor editAs="oneCell">
    <xdr:from>
      <xdr:col>17</xdr:col>
      <xdr:colOff>25400</xdr:colOff>
      <xdr:row>131</xdr:row>
      <xdr:rowOff>25400</xdr:rowOff>
    </xdr:from>
    <xdr:to>
      <xdr:col>17</xdr:col>
      <xdr:colOff>749300</xdr:colOff>
      <xdr:row>131</xdr:row>
      <xdr:rowOff>501650</xdr:rowOff>
    </xdr:to>
    <xdr:pic>
      <xdr:nvPicPr>
        <xdr:cNvPr id="5" name="Subgraph-CharlieShield"/>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2168525"/>
          <a:ext cx="723900" cy="476250"/>
        </a:xfrm>
        <a:prstGeom prst="rect">
          <a:avLst/>
        </a:prstGeom>
      </xdr:spPr>
    </xdr:pic>
    <xdr:clientData/>
  </xdr:twoCellAnchor>
  <xdr:twoCellAnchor editAs="oneCell">
    <xdr:from>
      <xdr:col>17</xdr:col>
      <xdr:colOff>25400</xdr:colOff>
      <xdr:row>132</xdr:row>
      <xdr:rowOff>25400</xdr:rowOff>
    </xdr:from>
    <xdr:to>
      <xdr:col>17</xdr:col>
      <xdr:colOff>749300</xdr:colOff>
      <xdr:row>132</xdr:row>
      <xdr:rowOff>501650</xdr:rowOff>
    </xdr:to>
    <xdr:pic>
      <xdr:nvPicPr>
        <xdr:cNvPr id="6" name="Subgraph-PaulMadrigal099"/>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2692400"/>
          <a:ext cx="723900" cy="476250"/>
        </a:xfrm>
        <a:prstGeom prst="rect">
          <a:avLst/>
        </a:prstGeom>
      </xdr:spPr>
    </xdr:pic>
    <xdr:clientData/>
  </xdr:twoCellAnchor>
  <xdr:twoCellAnchor editAs="oneCell">
    <xdr:from>
      <xdr:col>17</xdr:col>
      <xdr:colOff>25400</xdr:colOff>
      <xdr:row>133</xdr:row>
      <xdr:rowOff>25400</xdr:rowOff>
    </xdr:from>
    <xdr:to>
      <xdr:col>17</xdr:col>
      <xdr:colOff>749300</xdr:colOff>
      <xdr:row>133</xdr:row>
      <xdr:rowOff>501650</xdr:rowOff>
    </xdr:to>
    <xdr:pic>
      <xdr:nvPicPr>
        <xdr:cNvPr id="7" name="Subgraph-Shmoe"/>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3216275"/>
          <a:ext cx="723900" cy="476250"/>
        </a:xfrm>
        <a:prstGeom prst="rect">
          <a:avLst/>
        </a:prstGeom>
      </xdr:spPr>
    </xdr:pic>
    <xdr:clientData/>
  </xdr:twoCellAnchor>
  <xdr:twoCellAnchor editAs="oneCell">
    <xdr:from>
      <xdr:col>17</xdr:col>
      <xdr:colOff>25400</xdr:colOff>
      <xdr:row>134</xdr:row>
      <xdr:rowOff>25400</xdr:rowOff>
    </xdr:from>
    <xdr:to>
      <xdr:col>17</xdr:col>
      <xdr:colOff>749300</xdr:colOff>
      <xdr:row>134</xdr:row>
      <xdr:rowOff>501650</xdr:rowOff>
    </xdr:to>
    <xdr:pic>
      <xdr:nvPicPr>
        <xdr:cNvPr id="8" name="Subgraph-flocktard"/>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465925" y="3740150"/>
          <a:ext cx="723900" cy="476250"/>
        </a:xfrm>
        <a:prstGeom prst="rect">
          <a:avLst/>
        </a:prstGeom>
      </xdr:spPr>
    </xdr:pic>
    <xdr:clientData/>
  </xdr:twoCellAnchor>
  <xdr:twoCellAnchor editAs="oneCell">
    <xdr:from>
      <xdr:col>17</xdr:col>
      <xdr:colOff>25400</xdr:colOff>
      <xdr:row>135</xdr:row>
      <xdr:rowOff>25400</xdr:rowOff>
    </xdr:from>
    <xdr:to>
      <xdr:col>17</xdr:col>
      <xdr:colOff>749300</xdr:colOff>
      <xdr:row>135</xdr:row>
      <xdr:rowOff>501650</xdr:rowOff>
    </xdr:to>
    <xdr:pic>
      <xdr:nvPicPr>
        <xdr:cNvPr id="9" name="Subgraph-FATCA_Fallout"/>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465925" y="4264025"/>
          <a:ext cx="723900" cy="476250"/>
        </a:xfrm>
        <a:prstGeom prst="rect">
          <a:avLst/>
        </a:prstGeom>
      </xdr:spPr>
    </xdr:pic>
    <xdr:clientData/>
  </xdr:twoCellAnchor>
  <xdr:twoCellAnchor editAs="oneCell">
    <xdr:from>
      <xdr:col>17</xdr:col>
      <xdr:colOff>25400</xdr:colOff>
      <xdr:row>136</xdr:row>
      <xdr:rowOff>25400</xdr:rowOff>
    </xdr:from>
    <xdr:to>
      <xdr:col>17</xdr:col>
      <xdr:colOff>749300</xdr:colOff>
      <xdr:row>136</xdr:row>
      <xdr:rowOff>501650</xdr:rowOff>
    </xdr:to>
    <xdr:pic>
      <xdr:nvPicPr>
        <xdr:cNvPr id="10" name="Subgraph-jmachats"/>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4787900"/>
          <a:ext cx="723900" cy="476250"/>
        </a:xfrm>
        <a:prstGeom prst="rect">
          <a:avLst/>
        </a:prstGeom>
      </xdr:spPr>
    </xdr:pic>
    <xdr:clientData/>
  </xdr:twoCellAnchor>
  <xdr:twoCellAnchor editAs="oneCell">
    <xdr:from>
      <xdr:col>17</xdr:col>
      <xdr:colOff>25400</xdr:colOff>
      <xdr:row>137</xdr:row>
      <xdr:rowOff>25400</xdr:rowOff>
    </xdr:from>
    <xdr:to>
      <xdr:col>17</xdr:col>
      <xdr:colOff>749300</xdr:colOff>
      <xdr:row>137</xdr:row>
      <xdr:rowOff>501650</xdr:rowOff>
    </xdr:to>
    <xdr:pic>
      <xdr:nvPicPr>
        <xdr:cNvPr id="11" name="Subgraph-AngryGamingSub"/>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5311775"/>
          <a:ext cx="723900" cy="476250"/>
        </a:xfrm>
        <a:prstGeom prst="rect">
          <a:avLst/>
        </a:prstGeom>
      </xdr:spPr>
    </xdr:pic>
    <xdr:clientData/>
  </xdr:twoCellAnchor>
  <xdr:twoCellAnchor editAs="oneCell">
    <xdr:from>
      <xdr:col>17</xdr:col>
      <xdr:colOff>25400</xdr:colOff>
      <xdr:row>138</xdr:row>
      <xdr:rowOff>25400</xdr:rowOff>
    </xdr:from>
    <xdr:to>
      <xdr:col>17</xdr:col>
      <xdr:colOff>749300</xdr:colOff>
      <xdr:row>138</xdr:row>
      <xdr:rowOff>501650</xdr:rowOff>
    </xdr:to>
    <xdr:pic>
      <xdr:nvPicPr>
        <xdr:cNvPr id="12" name="Subgraph-spottythebeagle"/>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5925" y="5835650"/>
          <a:ext cx="723900" cy="476250"/>
        </a:xfrm>
        <a:prstGeom prst="rect">
          <a:avLst/>
        </a:prstGeom>
      </xdr:spPr>
    </xdr:pic>
    <xdr:clientData/>
  </xdr:twoCellAnchor>
  <xdr:twoCellAnchor editAs="oneCell">
    <xdr:from>
      <xdr:col>17</xdr:col>
      <xdr:colOff>25400</xdr:colOff>
      <xdr:row>139</xdr:row>
      <xdr:rowOff>25400</xdr:rowOff>
    </xdr:from>
    <xdr:to>
      <xdr:col>17</xdr:col>
      <xdr:colOff>749300</xdr:colOff>
      <xdr:row>139</xdr:row>
      <xdr:rowOff>501650</xdr:rowOff>
    </xdr:to>
    <xdr:pic>
      <xdr:nvPicPr>
        <xdr:cNvPr id="13" name="Subgraph-loganthomison"/>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6359525"/>
          <a:ext cx="723900" cy="476250"/>
        </a:xfrm>
        <a:prstGeom prst="rect">
          <a:avLst/>
        </a:prstGeom>
      </xdr:spPr>
    </xdr:pic>
    <xdr:clientData/>
  </xdr:twoCellAnchor>
  <xdr:twoCellAnchor editAs="oneCell">
    <xdr:from>
      <xdr:col>17</xdr:col>
      <xdr:colOff>25400</xdr:colOff>
      <xdr:row>140</xdr:row>
      <xdr:rowOff>25400</xdr:rowOff>
    </xdr:from>
    <xdr:to>
      <xdr:col>17</xdr:col>
      <xdr:colOff>749300</xdr:colOff>
      <xdr:row>140</xdr:row>
      <xdr:rowOff>501650</xdr:rowOff>
    </xdr:to>
    <xdr:pic>
      <xdr:nvPicPr>
        <xdr:cNvPr id="14" name="Subgraph-andyfr8nk"/>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6883400"/>
          <a:ext cx="723900" cy="476250"/>
        </a:xfrm>
        <a:prstGeom prst="rect">
          <a:avLst/>
        </a:prstGeom>
      </xdr:spPr>
    </xdr:pic>
    <xdr:clientData/>
  </xdr:twoCellAnchor>
  <xdr:twoCellAnchor editAs="oneCell">
    <xdr:from>
      <xdr:col>17</xdr:col>
      <xdr:colOff>25400</xdr:colOff>
      <xdr:row>141</xdr:row>
      <xdr:rowOff>25400</xdr:rowOff>
    </xdr:from>
    <xdr:to>
      <xdr:col>17</xdr:col>
      <xdr:colOff>749300</xdr:colOff>
      <xdr:row>141</xdr:row>
      <xdr:rowOff>501650</xdr:rowOff>
    </xdr:to>
    <xdr:pic>
      <xdr:nvPicPr>
        <xdr:cNvPr id="15" name="Subgraph-GrampaSparkles"/>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7407275"/>
          <a:ext cx="723900" cy="476250"/>
        </a:xfrm>
        <a:prstGeom prst="rect">
          <a:avLst/>
        </a:prstGeom>
      </xdr:spPr>
    </xdr:pic>
    <xdr:clientData/>
  </xdr:twoCellAnchor>
  <xdr:twoCellAnchor editAs="oneCell">
    <xdr:from>
      <xdr:col>17</xdr:col>
      <xdr:colOff>25400</xdr:colOff>
      <xdr:row>142</xdr:row>
      <xdr:rowOff>25400</xdr:rowOff>
    </xdr:from>
    <xdr:to>
      <xdr:col>17</xdr:col>
      <xdr:colOff>749300</xdr:colOff>
      <xdr:row>142</xdr:row>
      <xdr:rowOff>501650</xdr:rowOff>
    </xdr:to>
    <xdr:pic>
      <xdr:nvPicPr>
        <xdr:cNvPr id="16" name="Subgraph-PuntaVerdeBK"/>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7931150"/>
          <a:ext cx="723900" cy="476250"/>
        </a:xfrm>
        <a:prstGeom prst="rect">
          <a:avLst/>
        </a:prstGeom>
      </xdr:spPr>
    </xdr:pic>
    <xdr:clientData/>
  </xdr:twoCellAnchor>
  <xdr:twoCellAnchor editAs="oneCell">
    <xdr:from>
      <xdr:col>17</xdr:col>
      <xdr:colOff>25400</xdr:colOff>
      <xdr:row>143</xdr:row>
      <xdr:rowOff>25400</xdr:rowOff>
    </xdr:from>
    <xdr:to>
      <xdr:col>17</xdr:col>
      <xdr:colOff>749300</xdr:colOff>
      <xdr:row>143</xdr:row>
      <xdr:rowOff>501650</xdr:rowOff>
    </xdr:to>
    <xdr:pic>
      <xdr:nvPicPr>
        <xdr:cNvPr id="17" name="Subgraph-BothArmsUp"/>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465925" y="8455025"/>
          <a:ext cx="723900" cy="476250"/>
        </a:xfrm>
        <a:prstGeom prst="rect">
          <a:avLst/>
        </a:prstGeom>
      </xdr:spPr>
    </xdr:pic>
    <xdr:clientData/>
  </xdr:twoCellAnchor>
  <xdr:twoCellAnchor editAs="oneCell">
    <xdr:from>
      <xdr:col>17</xdr:col>
      <xdr:colOff>25400</xdr:colOff>
      <xdr:row>40</xdr:row>
      <xdr:rowOff>25400</xdr:rowOff>
    </xdr:from>
    <xdr:to>
      <xdr:col>17</xdr:col>
      <xdr:colOff>749300</xdr:colOff>
      <xdr:row>40</xdr:row>
      <xdr:rowOff>501650</xdr:rowOff>
    </xdr:to>
    <xdr:pic>
      <xdr:nvPicPr>
        <xdr:cNvPr id="18" name="Subgraph-bostonsboy87"/>
        <xdr:cNvPicPr>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465925" y="8978900"/>
          <a:ext cx="723900" cy="476250"/>
        </a:xfrm>
        <a:prstGeom prst="rect">
          <a:avLst/>
        </a:prstGeom>
      </xdr:spPr>
    </xdr:pic>
    <xdr:clientData/>
  </xdr:twoCellAnchor>
  <xdr:twoCellAnchor editAs="oneCell">
    <xdr:from>
      <xdr:col>17</xdr:col>
      <xdr:colOff>25400</xdr:colOff>
      <xdr:row>144</xdr:row>
      <xdr:rowOff>25400</xdr:rowOff>
    </xdr:from>
    <xdr:to>
      <xdr:col>17</xdr:col>
      <xdr:colOff>749300</xdr:colOff>
      <xdr:row>144</xdr:row>
      <xdr:rowOff>501650</xdr:rowOff>
    </xdr:to>
    <xdr:pic>
      <xdr:nvPicPr>
        <xdr:cNvPr id="19" name="Subgraph-StParmenide"/>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9502775"/>
          <a:ext cx="723900" cy="476250"/>
        </a:xfrm>
        <a:prstGeom prst="rect">
          <a:avLst/>
        </a:prstGeom>
      </xdr:spPr>
    </xdr:pic>
    <xdr:clientData/>
  </xdr:twoCellAnchor>
  <xdr:twoCellAnchor editAs="oneCell">
    <xdr:from>
      <xdr:col>17</xdr:col>
      <xdr:colOff>25400</xdr:colOff>
      <xdr:row>145</xdr:row>
      <xdr:rowOff>25400</xdr:rowOff>
    </xdr:from>
    <xdr:to>
      <xdr:col>17</xdr:col>
      <xdr:colOff>749300</xdr:colOff>
      <xdr:row>145</xdr:row>
      <xdr:rowOff>501650</xdr:rowOff>
    </xdr:to>
    <xdr:pic>
      <xdr:nvPicPr>
        <xdr:cNvPr id="20" name="Subgraph-chagresgirl"/>
        <xdr:cNvPicPr>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465925" y="10026650"/>
          <a:ext cx="723900" cy="476250"/>
        </a:xfrm>
        <a:prstGeom prst="rect">
          <a:avLst/>
        </a:prstGeom>
      </xdr:spPr>
    </xdr:pic>
    <xdr:clientData/>
  </xdr:twoCellAnchor>
  <xdr:twoCellAnchor editAs="oneCell">
    <xdr:from>
      <xdr:col>17</xdr:col>
      <xdr:colOff>25400</xdr:colOff>
      <xdr:row>33</xdr:row>
      <xdr:rowOff>25400</xdr:rowOff>
    </xdr:from>
    <xdr:to>
      <xdr:col>17</xdr:col>
      <xdr:colOff>749300</xdr:colOff>
      <xdr:row>33</xdr:row>
      <xdr:rowOff>501650</xdr:rowOff>
    </xdr:to>
    <xdr:pic>
      <xdr:nvPicPr>
        <xdr:cNvPr id="21" name="Subgraph-globeglen"/>
        <xdr:cNvPicPr>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9465925" y="10550525"/>
          <a:ext cx="723900" cy="476250"/>
        </a:xfrm>
        <a:prstGeom prst="rect">
          <a:avLst/>
        </a:prstGeom>
      </xdr:spPr>
    </xdr:pic>
    <xdr:clientData/>
  </xdr:twoCellAnchor>
  <xdr:twoCellAnchor editAs="oneCell">
    <xdr:from>
      <xdr:col>17</xdr:col>
      <xdr:colOff>25400</xdr:colOff>
      <xdr:row>21</xdr:row>
      <xdr:rowOff>25400</xdr:rowOff>
    </xdr:from>
    <xdr:to>
      <xdr:col>17</xdr:col>
      <xdr:colOff>749300</xdr:colOff>
      <xdr:row>21</xdr:row>
      <xdr:rowOff>501650</xdr:rowOff>
    </xdr:to>
    <xdr:pic>
      <xdr:nvPicPr>
        <xdr:cNvPr id="22" name="Subgraph-havewhatusay"/>
        <xdr:cNvPicPr>
          <a:picLocks/>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9465925" y="11074400"/>
          <a:ext cx="723900" cy="476250"/>
        </a:xfrm>
        <a:prstGeom prst="rect">
          <a:avLst/>
        </a:prstGeom>
      </xdr:spPr>
    </xdr:pic>
    <xdr:clientData/>
  </xdr:twoCellAnchor>
  <xdr:twoCellAnchor editAs="oneCell">
    <xdr:from>
      <xdr:col>17</xdr:col>
      <xdr:colOff>25400</xdr:colOff>
      <xdr:row>146</xdr:row>
      <xdr:rowOff>25400</xdr:rowOff>
    </xdr:from>
    <xdr:to>
      <xdr:col>17</xdr:col>
      <xdr:colOff>749300</xdr:colOff>
      <xdr:row>146</xdr:row>
      <xdr:rowOff>501650</xdr:rowOff>
    </xdr:to>
    <xdr:pic>
      <xdr:nvPicPr>
        <xdr:cNvPr id="23" name="Subgraph-PricklyPete77"/>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11598275"/>
          <a:ext cx="723900" cy="476250"/>
        </a:xfrm>
        <a:prstGeom prst="rect">
          <a:avLst/>
        </a:prstGeom>
      </xdr:spPr>
    </xdr:pic>
    <xdr:clientData/>
  </xdr:twoCellAnchor>
  <xdr:twoCellAnchor editAs="oneCell">
    <xdr:from>
      <xdr:col>17</xdr:col>
      <xdr:colOff>25400</xdr:colOff>
      <xdr:row>147</xdr:row>
      <xdr:rowOff>25400</xdr:rowOff>
    </xdr:from>
    <xdr:to>
      <xdr:col>17</xdr:col>
      <xdr:colOff>749300</xdr:colOff>
      <xdr:row>147</xdr:row>
      <xdr:rowOff>501650</xdr:rowOff>
    </xdr:to>
    <xdr:pic>
      <xdr:nvPicPr>
        <xdr:cNvPr id="24" name="Subgraph-msmilonich"/>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5925" y="12122150"/>
          <a:ext cx="723900" cy="476250"/>
        </a:xfrm>
        <a:prstGeom prst="rect">
          <a:avLst/>
        </a:prstGeom>
      </xdr:spPr>
    </xdr:pic>
    <xdr:clientData/>
  </xdr:twoCellAnchor>
  <xdr:twoCellAnchor editAs="oneCell">
    <xdr:from>
      <xdr:col>17</xdr:col>
      <xdr:colOff>25400</xdr:colOff>
      <xdr:row>148</xdr:row>
      <xdr:rowOff>25400</xdr:rowOff>
    </xdr:from>
    <xdr:to>
      <xdr:col>17</xdr:col>
      <xdr:colOff>749300</xdr:colOff>
      <xdr:row>148</xdr:row>
      <xdr:rowOff>501650</xdr:rowOff>
    </xdr:to>
    <xdr:pic>
      <xdr:nvPicPr>
        <xdr:cNvPr id="25" name="Subgraph-RepubliConMen"/>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12646025"/>
          <a:ext cx="723900" cy="476250"/>
        </a:xfrm>
        <a:prstGeom prst="rect">
          <a:avLst/>
        </a:prstGeom>
      </xdr:spPr>
    </xdr:pic>
    <xdr:clientData/>
  </xdr:twoCellAnchor>
  <xdr:twoCellAnchor editAs="oneCell">
    <xdr:from>
      <xdr:col>17</xdr:col>
      <xdr:colOff>25400</xdr:colOff>
      <xdr:row>149</xdr:row>
      <xdr:rowOff>25400</xdr:rowOff>
    </xdr:from>
    <xdr:to>
      <xdr:col>17</xdr:col>
      <xdr:colOff>749300</xdr:colOff>
      <xdr:row>149</xdr:row>
      <xdr:rowOff>501650</xdr:rowOff>
    </xdr:to>
    <xdr:pic>
      <xdr:nvPicPr>
        <xdr:cNvPr id="26" name="Subgraph-i8dc"/>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13169900"/>
          <a:ext cx="723900" cy="476250"/>
        </a:xfrm>
        <a:prstGeom prst="rect">
          <a:avLst/>
        </a:prstGeom>
      </xdr:spPr>
    </xdr:pic>
    <xdr:clientData/>
  </xdr:twoCellAnchor>
  <xdr:twoCellAnchor editAs="oneCell">
    <xdr:from>
      <xdr:col>17</xdr:col>
      <xdr:colOff>25400</xdr:colOff>
      <xdr:row>150</xdr:row>
      <xdr:rowOff>25400</xdr:rowOff>
    </xdr:from>
    <xdr:to>
      <xdr:col>17</xdr:col>
      <xdr:colOff>749300</xdr:colOff>
      <xdr:row>150</xdr:row>
      <xdr:rowOff>501650</xdr:rowOff>
    </xdr:to>
    <xdr:pic>
      <xdr:nvPicPr>
        <xdr:cNvPr id="27" name="Subgraph-jackrabbit0047"/>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9465925" y="13693775"/>
          <a:ext cx="723900" cy="476250"/>
        </a:xfrm>
        <a:prstGeom prst="rect">
          <a:avLst/>
        </a:prstGeom>
      </xdr:spPr>
    </xdr:pic>
    <xdr:clientData/>
  </xdr:twoCellAnchor>
  <xdr:twoCellAnchor editAs="oneCell">
    <xdr:from>
      <xdr:col>17</xdr:col>
      <xdr:colOff>25400</xdr:colOff>
      <xdr:row>151</xdr:row>
      <xdr:rowOff>25400</xdr:rowOff>
    </xdr:from>
    <xdr:to>
      <xdr:col>17</xdr:col>
      <xdr:colOff>749300</xdr:colOff>
      <xdr:row>151</xdr:row>
      <xdr:rowOff>501650</xdr:rowOff>
    </xdr:to>
    <xdr:pic>
      <xdr:nvPicPr>
        <xdr:cNvPr id="28" name="Subgraph-mikepizzitola"/>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5925" y="14217650"/>
          <a:ext cx="723900" cy="476250"/>
        </a:xfrm>
        <a:prstGeom prst="rect">
          <a:avLst/>
        </a:prstGeom>
      </xdr:spPr>
    </xdr:pic>
    <xdr:clientData/>
  </xdr:twoCellAnchor>
  <xdr:twoCellAnchor editAs="oneCell">
    <xdr:from>
      <xdr:col>17</xdr:col>
      <xdr:colOff>25400</xdr:colOff>
      <xdr:row>152</xdr:row>
      <xdr:rowOff>25400</xdr:rowOff>
    </xdr:from>
    <xdr:to>
      <xdr:col>17</xdr:col>
      <xdr:colOff>749300</xdr:colOff>
      <xdr:row>152</xdr:row>
      <xdr:rowOff>501650</xdr:rowOff>
    </xdr:to>
    <xdr:pic>
      <xdr:nvPicPr>
        <xdr:cNvPr id="29" name="Subgraph-gvrtwpkwy"/>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9465925" y="14741525"/>
          <a:ext cx="723900" cy="476250"/>
        </a:xfrm>
        <a:prstGeom prst="rect">
          <a:avLst/>
        </a:prstGeom>
      </xdr:spPr>
    </xdr:pic>
    <xdr:clientData/>
  </xdr:twoCellAnchor>
  <xdr:twoCellAnchor editAs="oneCell">
    <xdr:from>
      <xdr:col>17</xdr:col>
      <xdr:colOff>25400</xdr:colOff>
      <xdr:row>103</xdr:row>
      <xdr:rowOff>25400</xdr:rowOff>
    </xdr:from>
    <xdr:to>
      <xdr:col>17</xdr:col>
      <xdr:colOff>749300</xdr:colOff>
      <xdr:row>103</xdr:row>
      <xdr:rowOff>501650</xdr:rowOff>
    </xdr:to>
    <xdr:pic>
      <xdr:nvPicPr>
        <xdr:cNvPr id="30" name="Subgraph-MiddleClassTXN"/>
        <xdr:cNvPicPr>
          <a:picLocks/>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9465925" y="15265400"/>
          <a:ext cx="723900" cy="476250"/>
        </a:xfrm>
        <a:prstGeom prst="rect">
          <a:avLst/>
        </a:prstGeom>
      </xdr:spPr>
    </xdr:pic>
    <xdr:clientData/>
  </xdr:twoCellAnchor>
  <xdr:twoCellAnchor editAs="oneCell">
    <xdr:from>
      <xdr:col>17</xdr:col>
      <xdr:colOff>25400</xdr:colOff>
      <xdr:row>4</xdr:row>
      <xdr:rowOff>25400</xdr:rowOff>
    </xdr:from>
    <xdr:to>
      <xdr:col>17</xdr:col>
      <xdr:colOff>749300</xdr:colOff>
      <xdr:row>4</xdr:row>
      <xdr:rowOff>501650</xdr:rowOff>
    </xdr:to>
    <xdr:pic>
      <xdr:nvPicPr>
        <xdr:cNvPr id="31" name="Subgraph-BillHemmer"/>
        <xdr:cNvPicPr>
          <a:picLocks/>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9465925" y="15789275"/>
          <a:ext cx="723900" cy="476250"/>
        </a:xfrm>
        <a:prstGeom prst="rect">
          <a:avLst/>
        </a:prstGeom>
      </xdr:spPr>
    </xdr:pic>
    <xdr:clientData/>
  </xdr:twoCellAnchor>
  <xdr:twoCellAnchor editAs="oneCell">
    <xdr:from>
      <xdr:col>17</xdr:col>
      <xdr:colOff>25400</xdr:colOff>
      <xdr:row>6</xdr:row>
      <xdr:rowOff>25400</xdr:rowOff>
    </xdr:from>
    <xdr:to>
      <xdr:col>17</xdr:col>
      <xdr:colOff>749300</xdr:colOff>
      <xdr:row>6</xdr:row>
      <xdr:rowOff>501650</xdr:rowOff>
    </xdr:to>
    <xdr:pic>
      <xdr:nvPicPr>
        <xdr:cNvPr id="32" name="Subgraph-RomneyResponse"/>
        <xdr:cNvPicPr>
          <a:picLocks/>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465925" y="16313150"/>
          <a:ext cx="723900" cy="476250"/>
        </a:xfrm>
        <a:prstGeom prst="rect">
          <a:avLst/>
        </a:prstGeom>
      </xdr:spPr>
    </xdr:pic>
    <xdr:clientData/>
  </xdr:twoCellAnchor>
  <xdr:twoCellAnchor editAs="oneCell">
    <xdr:from>
      <xdr:col>17</xdr:col>
      <xdr:colOff>25400</xdr:colOff>
      <xdr:row>41</xdr:row>
      <xdr:rowOff>25400</xdr:rowOff>
    </xdr:from>
    <xdr:to>
      <xdr:col>17</xdr:col>
      <xdr:colOff>749300</xdr:colOff>
      <xdr:row>41</xdr:row>
      <xdr:rowOff>501650</xdr:rowOff>
    </xdr:to>
    <xdr:pic>
      <xdr:nvPicPr>
        <xdr:cNvPr id="33" name="Subgraph-GotchaMedia"/>
        <xdr:cNvPicPr>
          <a:picLocks/>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9465925" y="16837025"/>
          <a:ext cx="723900" cy="476250"/>
        </a:xfrm>
        <a:prstGeom prst="rect">
          <a:avLst/>
        </a:prstGeom>
      </xdr:spPr>
    </xdr:pic>
    <xdr:clientData/>
  </xdr:twoCellAnchor>
  <xdr:twoCellAnchor editAs="oneCell">
    <xdr:from>
      <xdr:col>17</xdr:col>
      <xdr:colOff>25400</xdr:colOff>
      <xdr:row>3</xdr:row>
      <xdr:rowOff>25400</xdr:rowOff>
    </xdr:from>
    <xdr:to>
      <xdr:col>17</xdr:col>
      <xdr:colOff>749300</xdr:colOff>
      <xdr:row>3</xdr:row>
      <xdr:rowOff>501650</xdr:rowOff>
    </xdr:to>
    <xdr:pic>
      <xdr:nvPicPr>
        <xdr:cNvPr id="34" name="Subgraph-ZekeJMiller"/>
        <xdr:cNvPicPr>
          <a:picLocks/>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9465925" y="17360900"/>
          <a:ext cx="723900" cy="476250"/>
        </a:xfrm>
        <a:prstGeom prst="rect">
          <a:avLst/>
        </a:prstGeom>
      </xdr:spPr>
    </xdr:pic>
    <xdr:clientData/>
  </xdr:twoCellAnchor>
  <xdr:twoCellAnchor editAs="oneCell">
    <xdr:from>
      <xdr:col>17</xdr:col>
      <xdr:colOff>25400</xdr:colOff>
      <xdr:row>153</xdr:row>
      <xdr:rowOff>25400</xdr:rowOff>
    </xdr:from>
    <xdr:to>
      <xdr:col>17</xdr:col>
      <xdr:colOff>749300</xdr:colOff>
      <xdr:row>153</xdr:row>
      <xdr:rowOff>501650</xdr:rowOff>
    </xdr:to>
    <xdr:pic>
      <xdr:nvPicPr>
        <xdr:cNvPr id="35" name="Subgraph-GIFsFLN"/>
        <xdr:cNvPicPr>
          <a:picLocks/>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9465925" y="17884775"/>
          <a:ext cx="723900" cy="476250"/>
        </a:xfrm>
        <a:prstGeom prst="rect">
          <a:avLst/>
        </a:prstGeom>
      </xdr:spPr>
    </xdr:pic>
    <xdr:clientData/>
  </xdr:twoCellAnchor>
  <xdr:twoCellAnchor editAs="oneCell">
    <xdr:from>
      <xdr:col>17</xdr:col>
      <xdr:colOff>25400</xdr:colOff>
      <xdr:row>73</xdr:row>
      <xdr:rowOff>25400</xdr:rowOff>
    </xdr:from>
    <xdr:to>
      <xdr:col>17</xdr:col>
      <xdr:colOff>749300</xdr:colOff>
      <xdr:row>73</xdr:row>
      <xdr:rowOff>501650</xdr:rowOff>
    </xdr:to>
    <xdr:pic>
      <xdr:nvPicPr>
        <xdr:cNvPr id="36" name="Subgraph-chrontelli"/>
        <xdr:cNvPicPr>
          <a:picLocks/>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9465925" y="18408650"/>
          <a:ext cx="723900" cy="476250"/>
        </a:xfrm>
        <a:prstGeom prst="rect">
          <a:avLst/>
        </a:prstGeom>
      </xdr:spPr>
    </xdr:pic>
    <xdr:clientData/>
  </xdr:twoCellAnchor>
  <xdr:twoCellAnchor editAs="oneCell">
    <xdr:from>
      <xdr:col>17</xdr:col>
      <xdr:colOff>25400</xdr:colOff>
      <xdr:row>14</xdr:row>
      <xdr:rowOff>25400</xdr:rowOff>
    </xdr:from>
    <xdr:to>
      <xdr:col>17</xdr:col>
      <xdr:colOff>749300</xdr:colOff>
      <xdr:row>14</xdr:row>
      <xdr:rowOff>501650</xdr:rowOff>
    </xdr:to>
    <xdr:pic>
      <xdr:nvPicPr>
        <xdr:cNvPr id="37" name="Subgraph-GregWHoward"/>
        <xdr:cNvPicPr>
          <a:picLocks/>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9465925" y="18932525"/>
          <a:ext cx="723900" cy="476250"/>
        </a:xfrm>
        <a:prstGeom prst="rect">
          <a:avLst/>
        </a:prstGeom>
      </xdr:spPr>
    </xdr:pic>
    <xdr:clientData/>
  </xdr:twoCellAnchor>
  <xdr:twoCellAnchor editAs="oneCell">
    <xdr:from>
      <xdr:col>17</xdr:col>
      <xdr:colOff>25400</xdr:colOff>
      <xdr:row>34</xdr:row>
      <xdr:rowOff>25400</xdr:rowOff>
    </xdr:from>
    <xdr:to>
      <xdr:col>17</xdr:col>
      <xdr:colOff>749300</xdr:colOff>
      <xdr:row>34</xdr:row>
      <xdr:rowOff>501650</xdr:rowOff>
    </xdr:to>
    <xdr:pic>
      <xdr:nvPicPr>
        <xdr:cNvPr id="38" name="Subgraph-connnutmeg"/>
        <xdr:cNvPicPr>
          <a:picLocks/>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9465925" y="19456400"/>
          <a:ext cx="723900" cy="476250"/>
        </a:xfrm>
        <a:prstGeom prst="rect">
          <a:avLst/>
        </a:prstGeom>
      </xdr:spPr>
    </xdr:pic>
    <xdr:clientData/>
  </xdr:twoCellAnchor>
  <xdr:twoCellAnchor editAs="oneCell">
    <xdr:from>
      <xdr:col>17</xdr:col>
      <xdr:colOff>25400</xdr:colOff>
      <xdr:row>126</xdr:row>
      <xdr:rowOff>25400</xdr:rowOff>
    </xdr:from>
    <xdr:to>
      <xdr:col>17</xdr:col>
      <xdr:colOff>749300</xdr:colOff>
      <xdr:row>126</xdr:row>
      <xdr:rowOff>501650</xdr:rowOff>
    </xdr:to>
    <xdr:pic>
      <xdr:nvPicPr>
        <xdr:cNvPr id="39" name="Subgraph-yewkalaylee"/>
        <xdr:cNvPicPr>
          <a:picLocks/>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9465925" y="19980275"/>
          <a:ext cx="723900" cy="476250"/>
        </a:xfrm>
        <a:prstGeom prst="rect">
          <a:avLst/>
        </a:prstGeom>
      </xdr:spPr>
    </xdr:pic>
    <xdr:clientData/>
  </xdr:twoCellAnchor>
  <xdr:twoCellAnchor editAs="oneCell">
    <xdr:from>
      <xdr:col>17</xdr:col>
      <xdr:colOff>25400</xdr:colOff>
      <xdr:row>61</xdr:row>
      <xdr:rowOff>25400</xdr:rowOff>
    </xdr:from>
    <xdr:to>
      <xdr:col>17</xdr:col>
      <xdr:colOff>749300</xdr:colOff>
      <xdr:row>61</xdr:row>
      <xdr:rowOff>501650</xdr:rowOff>
    </xdr:to>
    <xdr:pic>
      <xdr:nvPicPr>
        <xdr:cNvPr id="40" name="Subgraph-ProudlyWeHail"/>
        <xdr:cNvPicPr>
          <a:picLocks/>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465925" y="20504150"/>
          <a:ext cx="723900" cy="476250"/>
        </a:xfrm>
        <a:prstGeom prst="rect">
          <a:avLst/>
        </a:prstGeom>
      </xdr:spPr>
    </xdr:pic>
    <xdr:clientData/>
  </xdr:twoCellAnchor>
  <xdr:twoCellAnchor editAs="oneCell">
    <xdr:from>
      <xdr:col>17</xdr:col>
      <xdr:colOff>25400</xdr:colOff>
      <xdr:row>154</xdr:row>
      <xdr:rowOff>25400</xdr:rowOff>
    </xdr:from>
    <xdr:to>
      <xdr:col>17</xdr:col>
      <xdr:colOff>749300</xdr:colOff>
      <xdr:row>154</xdr:row>
      <xdr:rowOff>501650</xdr:rowOff>
    </xdr:to>
    <xdr:pic>
      <xdr:nvPicPr>
        <xdr:cNvPr id="41" name="Subgraph-jedibrettski"/>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21028025"/>
          <a:ext cx="723900" cy="476250"/>
        </a:xfrm>
        <a:prstGeom prst="rect">
          <a:avLst/>
        </a:prstGeom>
      </xdr:spPr>
    </xdr:pic>
    <xdr:clientData/>
  </xdr:twoCellAnchor>
  <xdr:twoCellAnchor editAs="oneCell">
    <xdr:from>
      <xdr:col>17</xdr:col>
      <xdr:colOff>25400</xdr:colOff>
      <xdr:row>20</xdr:row>
      <xdr:rowOff>25400</xdr:rowOff>
    </xdr:from>
    <xdr:to>
      <xdr:col>17</xdr:col>
      <xdr:colOff>749300</xdr:colOff>
      <xdr:row>20</xdr:row>
      <xdr:rowOff>501650</xdr:rowOff>
    </xdr:to>
    <xdr:pic>
      <xdr:nvPicPr>
        <xdr:cNvPr id="42" name="Subgraph-bigeasyWI"/>
        <xdr:cNvPicPr>
          <a:picLocks/>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9465925" y="21551900"/>
          <a:ext cx="723900" cy="476250"/>
        </a:xfrm>
        <a:prstGeom prst="rect">
          <a:avLst/>
        </a:prstGeom>
      </xdr:spPr>
    </xdr:pic>
    <xdr:clientData/>
  </xdr:twoCellAnchor>
  <xdr:twoCellAnchor editAs="oneCell">
    <xdr:from>
      <xdr:col>17</xdr:col>
      <xdr:colOff>25400</xdr:colOff>
      <xdr:row>24</xdr:row>
      <xdr:rowOff>25400</xdr:rowOff>
    </xdr:from>
    <xdr:to>
      <xdr:col>17</xdr:col>
      <xdr:colOff>749300</xdr:colOff>
      <xdr:row>24</xdr:row>
      <xdr:rowOff>501650</xdr:rowOff>
    </xdr:to>
    <xdr:pic>
      <xdr:nvPicPr>
        <xdr:cNvPr id="43" name="Subgraph-mattduss"/>
        <xdr:cNvPicPr>
          <a:picLocks/>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9465925" y="22075775"/>
          <a:ext cx="723900" cy="476250"/>
        </a:xfrm>
        <a:prstGeom prst="rect">
          <a:avLst/>
        </a:prstGeom>
      </xdr:spPr>
    </xdr:pic>
    <xdr:clientData/>
  </xdr:twoCellAnchor>
  <xdr:twoCellAnchor editAs="oneCell">
    <xdr:from>
      <xdr:col>17</xdr:col>
      <xdr:colOff>25400</xdr:colOff>
      <xdr:row>2</xdr:row>
      <xdr:rowOff>25400</xdr:rowOff>
    </xdr:from>
    <xdr:to>
      <xdr:col>17</xdr:col>
      <xdr:colOff>749300</xdr:colOff>
      <xdr:row>2</xdr:row>
      <xdr:rowOff>501650</xdr:rowOff>
    </xdr:to>
    <xdr:pic>
      <xdr:nvPicPr>
        <xdr:cNvPr id="44" name="Subgraph-DavidShuster"/>
        <xdr:cNvPicPr>
          <a:picLocks/>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9465925" y="22599650"/>
          <a:ext cx="723900" cy="476250"/>
        </a:xfrm>
        <a:prstGeom prst="rect">
          <a:avLst/>
        </a:prstGeom>
      </xdr:spPr>
    </xdr:pic>
    <xdr:clientData/>
  </xdr:twoCellAnchor>
  <xdr:twoCellAnchor editAs="oneCell">
    <xdr:from>
      <xdr:col>17</xdr:col>
      <xdr:colOff>25400</xdr:colOff>
      <xdr:row>8</xdr:row>
      <xdr:rowOff>25400</xdr:rowOff>
    </xdr:from>
    <xdr:to>
      <xdr:col>17</xdr:col>
      <xdr:colOff>749300</xdr:colOff>
      <xdr:row>8</xdr:row>
      <xdr:rowOff>501650</xdr:rowOff>
    </xdr:to>
    <xdr:pic>
      <xdr:nvPicPr>
        <xdr:cNvPr id="45" name="Subgraph-RalstonFlash"/>
        <xdr:cNvPicPr>
          <a:picLocks/>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9465925" y="23123525"/>
          <a:ext cx="723900" cy="476250"/>
        </a:xfrm>
        <a:prstGeom prst="rect">
          <a:avLst/>
        </a:prstGeom>
      </xdr:spPr>
    </xdr:pic>
    <xdr:clientData/>
  </xdr:twoCellAnchor>
  <xdr:twoCellAnchor editAs="oneCell">
    <xdr:from>
      <xdr:col>17</xdr:col>
      <xdr:colOff>25400</xdr:colOff>
      <xdr:row>19</xdr:row>
      <xdr:rowOff>25400</xdr:rowOff>
    </xdr:from>
    <xdr:to>
      <xdr:col>17</xdr:col>
      <xdr:colOff>749300</xdr:colOff>
      <xdr:row>19</xdr:row>
      <xdr:rowOff>501650</xdr:rowOff>
    </xdr:to>
    <xdr:pic>
      <xdr:nvPicPr>
        <xdr:cNvPr id="46" name="Subgraph-Timodc"/>
        <xdr:cNvPicPr>
          <a:picLocks/>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9465925" y="23647400"/>
          <a:ext cx="723900" cy="476250"/>
        </a:xfrm>
        <a:prstGeom prst="rect">
          <a:avLst/>
        </a:prstGeom>
      </xdr:spPr>
    </xdr:pic>
    <xdr:clientData/>
  </xdr:twoCellAnchor>
  <xdr:twoCellAnchor editAs="oneCell">
    <xdr:from>
      <xdr:col>17</xdr:col>
      <xdr:colOff>25400</xdr:colOff>
      <xdr:row>23</xdr:row>
      <xdr:rowOff>25400</xdr:rowOff>
    </xdr:from>
    <xdr:to>
      <xdr:col>17</xdr:col>
      <xdr:colOff>749300</xdr:colOff>
      <xdr:row>23</xdr:row>
      <xdr:rowOff>501650</xdr:rowOff>
    </xdr:to>
    <xdr:pic>
      <xdr:nvPicPr>
        <xdr:cNvPr id="47" name="Subgraph-dcseth"/>
        <xdr:cNvPicPr>
          <a:picLocks/>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9465925" y="24171275"/>
          <a:ext cx="723900" cy="476250"/>
        </a:xfrm>
        <a:prstGeom prst="rect">
          <a:avLst/>
        </a:prstGeom>
      </xdr:spPr>
    </xdr:pic>
    <xdr:clientData/>
  </xdr:twoCellAnchor>
  <xdr:twoCellAnchor editAs="oneCell">
    <xdr:from>
      <xdr:col>17</xdr:col>
      <xdr:colOff>25400</xdr:colOff>
      <xdr:row>155</xdr:row>
      <xdr:rowOff>25400</xdr:rowOff>
    </xdr:from>
    <xdr:to>
      <xdr:col>17</xdr:col>
      <xdr:colOff>749300</xdr:colOff>
      <xdr:row>155</xdr:row>
      <xdr:rowOff>501650</xdr:rowOff>
    </xdr:to>
    <xdr:pic>
      <xdr:nvPicPr>
        <xdr:cNvPr id="48" name="Subgraph-strangep00rk"/>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24695150"/>
          <a:ext cx="723900" cy="476250"/>
        </a:xfrm>
        <a:prstGeom prst="rect">
          <a:avLst/>
        </a:prstGeom>
      </xdr:spPr>
    </xdr:pic>
    <xdr:clientData/>
  </xdr:twoCellAnchor>
  <xdr:twoCellAnchor editAs="oneCell">
    <xdr:from>
      <xdr:col>17</xdr:col>
      <xdr:colOff>25400</xdr:colOff>
      <xdr:row>156</xdr:row>
      <xdr:rowOff>25400</xdr:rowOff>
    </xdr:from>
    <xdr:to>
      <xdr:col>17</xdr:col>
      <xdr:colOff>749300</xdr:colOff>
      <xdr:row>156</xdr:row>
      <xdr:rowOff>501650</xdr:rowOff>
    </xdr:to>
    <xdr:pic>
      <xdr:nvPicPr>
        <xdr:cNvPr id="49" name="Subgraph-Swauny"/>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25219025"/>
          <a:ext cx="723900" cy="476250"/>
        </a:xfrm>
        <a:prstGeom prst="rect">
          <a:avLst/>
        </a:prstGeom>
      </xdr:spPr>
    </xdr:pic>
    <xdr:clientData/>
  </xdr:twoCellAnchor>
  <xdr:twoCellAnchor editAs="oneCell">
    <xdr:from>
      <xdr:col>17</xdr:col>
      <xdr:colOff>25400</xdr:colOff>
      <xdr:row>157</xdr:row>
      <xdr:rowOff>25400</xdr:rowOff>
    </xdr:from>
    <xdr:to>
      <xdr:col>17</xdr:col>
      <xdr:colOff>749300</xdr:colOff>
      <xdr:row>157</xdr:row>
      <xdr:rowOff>501650</xdr:rowOff>
    </xdr:to>
    <xdr:pic>
      <xdr:nvPicPr>
        <xdr:cNvPr id="50" name="Subgraph-ben_techpro"/>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25742900"/>
          <a:ext cx="723900" cy="476250"/>
        </a:xfrm>
        <a:prstGeom prst="rect">
          <a:avLst/>
        </a:prstGeom>
      </xdr:spPr>
    </xdr:pic>
    <xdr:clientData/>
  </xdr:twoCellAnchor>
  <xdr:twoCellAnchor editAs="oneCell">
    <xdr:from>
      <xdr:col>17</xdr:col>
      <xdr:colOff>25400</xdr:colOff>
      <xdr:row>158</xdr:row>
      <xdr:rowOff>25400</xdr:rowOff>
    </xdr:from>
    <xdr:to>
      <xdr:col>17</xdr:col>
      <xdr:colOff>749300</xdr:colOff>
      <xdr:row>158</xdr:row>
      <xdr:rowOff>501650</xdr:rowOff>
    </xdr:to>
    <xdr:pic>
      <xdr:nvPicPr>
        <xdr:cNvPr id="51" name="Subgraph-tummler10"/>
        <xdr:cNvPicPr>
          <a:picLocks/>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9465925" y="26266775"/>
          <a:ext cx="723900" cy="476250"/>
        </a:xfrm>
        <a:prstGeom prst="rect">
          <a:avLst/>
        </a:prstGeom>
      </xdr:spPr>
    </xdr:pic>
    <xdr:clientData/>
  </xdr:twoCellAnchor>
  <xdr:twoCellAnchor editAs="oneCell">
    <xdr:from>
      <xdr:col>17</xdr:col>
      <xdr:colOff>25400</xdr:colOff>
      <xdr:row>159</xdr:row>
      <xdr:rowOff>25400</xdr:rowOff>
    </xdr:from>
    <xdr:to>
      <xdr:col>17</xdr:col>
      <xdr:colOff>749300</xdr:colOff>
      <xdr:row>159</xdr:row>
      <xdr:rowOff>501650</xdr:rowOff>
    </xdr:to>
    <xdr:pic>
      <xdr:nvPicPr>
        <xdr:cNvPr id="52" name="Subgraph-gryffon57"/>
        <xdr:cNvPicPr>
          <a:picLocks/>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9465925" y="26790650"/>
          <a:ext cx="723900" cy="476250"/>
        </a:xfrm>
        <a:prstGeom prst="rect">
          <a:avLst/>
        </a:prstGeom>
      </xdr:spPr>
    </xdr:pic>
    <xdr:clientData/>
  </xdr:twoCellAnchor>
  <xdr:twoCellAnchor editAs="oneCell">
    <xdr:from>
      <xdr:col>17</xdr:col>
      <xdr:colOff>25400</xdr:colOff>
      <xdr:row>160</xdr:row>
      <xdr:rowOff>25400</xdr:rowOff>
    </xdr:from>
    <xdr:to>
      <xdr:col>17</xdr:col>
      <xdr:colOff>749300</xdr:colOff>
      <xdr:row>160</xdr:row>
      <xdr:rowOff>501650</xdr:rowOff>
    </xdr:to>
    <xdr:pic>
      <xdr:nvPicPr>
        <xdr:cNvPr id="53" name="Subgraph-WisemanBill"/>
        <xdr:cNvPicPr>
          <a:picLocks/>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9465925" y="27314525"/>
          <a:ext cx="723900" cy="476250"/>
        </a:xfrm>
        <a:prstGeom prst="rect">
          <a:avLst/>
        </a:prstGeom>
      </xdr:spPr>
    </xdr:pic>
    <xdr:clientData/>
  </xdr:twoCellAnchor>
  <xdr:twoCellAnchor editAs="oneCell">
    <xdr:from>
      <xdr:col>17</xdr:col>
      <xdr:colOff>25400</xdr:colOff>
      <xdr:row>27</xdr:row>
      <xdr:rowOff>25400</xdr:rowOff>
    </xdr:from>
    <xdr:to>
      <xdr:col>17</xdr:col>
      <xdr:colOff>749300</xdr:colOff>
      <xdr:row>27</xdr:row>
      <xdr:rowOff>501650</xdr:rowOff>
    </xdr:to>
    <xdr:pic>
      <xdr:nvPicPr>
        <xdr:cNvPr id="54" name="Subgraph-ksmith474"/>
        <xdr:cNvPicPr>
          <a:picLocks/>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9465925" y="27838400"/>
          <a:ext cx="723900" cy="476250"/>
        </a:xfrm>
        <a:prstGeom prst="rect">
          <a:avLst/>
        </a:prstGeom>
      </xdr:spPr>
    </xdr:pic>
    <xdr:clientData/>
  </xdr:twoCellAnchor>
  <xdr:twoCellAnchor editAs="oneCell">
    <xdr:from>
      <xdr:col>17</xdr:col>
      <xdr:colOff>25400</xdr:colOff>
      <xdr:row>12</xdr:row>
      <xdr:rowOff>25400</xdr:rowOff>
    </xdr:from>
    <xdr:to>
      <xdr:col>17</xdr:col>
      <xdr:colOff>749300</xdr:colOff>
      <xdr:row>12</xdr:row>
      <xdr:rowOff>501650</xdr:rowOff>
    </xdr:to>
    <xdr:pic>
      <xdr:nvPicPr>
        <xdr:cNvPr id="55" name="Subgraph-TheWrightWingv2"/>
        <xdr:cNvPicPr>
          <a:picLocks/>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9465925" y="28362275"/>
          <a:ext cx="723900" cy="476250"/>
        </a:xfrm>
        <a:prstGeom prst="rect">
          <a:avLst/>
        </a:prstGeom>
      </xdr:spPr>
    </xdr:pic>
    <xdr:clientData/>
  </xdr:twoCellAnchor>
  <xdr:twoCellAnchor editAs="oneCell">
    <xdr:from>
      <xdr:col>17</xdr:col>
      <xdr:colOff>25400</xdr:colOff>
      <xdr:row>161</xdr:row>
      <xdr:rowOff>25400</xdr:rowOff>
    </xdr:from>
    <xdr:to>
      <xdr:col>17</xdr:col>
      <xdr:colOff>749300</xdr:colOff>
      <xdr:row>161</xdr:row>
      <xdr:rowOff>501650</xdr:rowOff>
    </xdr:to>
    <xdr:pic>
      <xdr:nvPicPr>
        <xdr:cNvPr id="56" name="Subgraph-Bassmaster12"/>
        <xdr:cNvPicPr>
          <a:picLocks/>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9465925" y="28886150"/>
          <a:ext cx="723900" cy="476250"/>
        </a:xfrm>
        <a:prstGeom prst="rect">
          <a:avLst/>
        </a:prstGeom>
      </xdr:spPr>
    </xdr:pic>
    <xdr:clientData/>
  </xdr:twoCellAnchor>
  <xdr:twoCellAnchor editAs="oneCell">
    <xdr:from>
      <xdr:col>17</xdr:col>
      <xdr:colOff>25400</xdr:colOff>
      <xdr:row>162</xdr:row>
      <xdr:rowOff>25400</xdr:rowOff>
    </xdr:from>
    <xdr:to>
      <xdr:col>17</xdr:col>
      <xdr:colOff>749300</xdr:colOff>
      <xdr:row>162</xdr:row>
      <xdr:rowOff>501650</xdr:rowOff>
    </xdr:to>
    <xdr:pic>
      <xdr:nvPicPr>
        <xdr:cNvPr id="57" name="Subgraph-CarefreeConserv"/>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29410025"/>
          <a:ext cx="723900" cy="476250"/>
        </a:xfrm>
        <a:prstGeom prst="rect">
          <a:avLst/>
        </a:prstGeom>
      </xdr:spPr>
    </xdr:pic>
    <xdr:clientData/>
  </xdr:twoCellAnchor>
  <xdr:twoCellAnchor editAs="oneCell">
    <xdr:from>
      <xdr:col>17</xdr:col>
      <xdr:colOff>25400</xdr:colOff>
      <xdr:row>163</xdr:row>
      <xdr:rowOff>25400</xdr:rowOff>
    </xdr:from>
    <xdr:to>
      <xdr:col>17</xdr:col>
      <xdr:colOff>749300</xdr:colOff>
      <xdr:row>163</xdr:row>
      <xdr:rowOff>501650</xdr:rowOff>
    </xdr:to>
    <xdr:pic>
      <xdr:nvPicPr>
        <xdr:cNvPr id="58" name="Subgraph-BarddeBelmont"/>
        <xdr:cNvPicPr>
          <a:picLocks/>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9465925" y="29933900"/>
          <a:ext cx="723900" cy="476250"/>
        </a:xfrm>
        <a:prstGeom prst="rect">
          <a:avLst/>
        </a:prstGeom>
      </xdr:spPr>
    </xdr:pic>
    <xdr:clientData/>
  </xdr:twoCellAnchor>
  <xdr:twoCellAnchor editAs="oneCell">
    <xdr:from>
      <xdr:col>17</xdr:col>
      <xdr:colOff>25400</xdr:colOff>
      <xdr:row>164</xdr:row>
      <xdr:rowOff>25400</xdr:rowOff>
    </xdr:from>
    <xdr:to>
      <xdr:col>17</xdr:col>
      <xdr:colOff>749300</xdr:colOff>
      <xdr:row>164</xdr:row>
      <xdr:rowOff>501650</xdr:rowOff>
    </xdr:to>
    <xdr:pic>
      <xdr:nvPicPr>
        <xdr:cNvPr id="59" name="Subgraph-JeremyDanilson"/>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30457775"/>
          <a:ext cx="723900" cy="476250"/>
        </a:xfrm>
        <a:prstGeom prst="rect">
          <a:avLst/>
        </a:prstGeom>
      </xdr:spPr>
    </xdr:pic>
    <xdr:clientData/>
  </xdr:twoCellAnchor>
  <xdr:twoCellAnchor editAs="oneCell">
    <xdr:from>
      <xdr:col>17</xdr:col>
      <xdr:colOff>25400</xdr:colOff>
      <xdr:row>120</xdr:row>
      <xdr:rowOff>25400</xdr:rowOff>
    </xdr:from>
    <xdr:to>
      <xdr:col>17</xdr:col>
      <xdr:colOff>749300</xdr:colOff>
      <xdr:row>120</xdr:row>
      <xdr:rowOff>501650</xdr:rowOff>
    </xdr:to>
    <xdr:pic>
      <xdr:nvPicPr>
        <xdr:cNvPr id="60" name="Subgraph-Shortrosen"/>
        <xdr:cNvPicPr>
          <a:picLocks/>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9465925" y="30981650"/>
          <a:ext cx="723900" cy="476250"/>
        </a:xfrm>
        <a:prstGeom prst="rect">
          <a:avLst/>
        </a:prstGeom>
      </xdr:spPr>
    </xdr:pic>
    <xdr:clientData/>
  </xdr:twoCellAnchor>
  <xdr:twoCellAnchor editAs="oneCell">
    <xdr:from>
      <xdr:col>17</xdr:col>
      <xdr:colOff>25400</xdr:colOff>
      <xdr:row>16</xdr:row>
      <xdr:rowOff>25400</xdr:rowOff>
    </xdr:from>
    <xdr:to>
      <xdr:col>17</xdr:col>
      <xdr:colOff>749300</xdr:colOff>
      <xdr:row>16</xdr:row>
      <xdr:rowOff>501650</xdr:rowOff>
    </xdr:to>
    <xdr:pic>
      <xdr:nvPicPr>
        <xdr:cNvPr id="61" name="Subgraph-davidwebbshow"/>
        <xdr:cNvPicPr>
          <a:picLocks/>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19465925" y="31505525"/>
          <a:ext cx="723900" cy="476250"/>
        </a:xfrm>
        <a:prstGeom prst="rect">
          <a:avLst/>
        </a:prstGeom>
      </xdr:spPr>
    </xdr:pic>
    <xdr:clientData/>
  </xdr:twoCellAnchor>
  <xdr:twoCellAnchor editAs="oneCell">
    <xdr:from>
      <xdr:col>17</xdr:col>
      <xdr:colOff>25400</xdr:colOff>
      <xdr:row>81</xdr:row>
      <xdr:rowOff>25400</xdr:rowOff>
    </xdr:from>
    <xdr:to>
      <xdr:col>17</xdr:col>
      <xdr:colOff>749300</xdr:colOff>
      <xdr:row>81</xdr:row>
      <xdr:rowOff>501650</xdr:rowOff>
    </xdr:to>
    <xdr:pic>
      <xdr:nvPicPr>
        <xdr:cNvPr id="62" name="Subgraph-Jlessard"/>
        <xdr:cNvPicPr>
          <a:picLocks/>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19465925" y="32029400"/>
          <a:ext cx="723900" cy="476250"/>
        </a:xfrm>
        <a:prstGeom prst="rect">
          <a:avLst/>
        </a:prstGeom>
      </xdr:spPr>
    </xdr:pic>
    <xdr:clientData/>
  </xdr:twoCellAnchor>
  <xdr:twoCellAnchor editAs="oneCell">
    <xdr:from>
      <xdr:col>17</xdr:col>
      <xdr:colOff>25400</xdr:colOff>
      <xdr:row>165</xdr:row>
      <xdr:rowOff>25400</xdr:rowOff>
    </xdr:from>
    <xdr:to>
      <xdr:col>17</xdr:col>
      <xdr:colOff>749300</xdr:colOff>
      <xdr:row>165</xdr:row>
      <xdr:rowOff>501650</xdr:rowOff>
    </xdr:to>
    <xdr:pic>
      <xdr:nvPicPr>
        <xdr:cNvPr id="63" name="Subgraph-Brownasaur44"/>
        <xdr:cNvPicPr>
          <a:picLocks/>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19465925" y="32553275"/>
          <a:ext cx="723900" cy="476250"/>
        </a:xfrm>
        <a:prstGeom prst="rect">
          <a:avLst/>
        </a:prstGeom>
      </xdr:spPr>
    </xdr:pic>
    <xdr:clientData/>
  </xdr:twoCellAnchor>
  <xdr:twoCellAnchor editAs="oneCell">
    <xdr:from>
      <xdr:col>17</xdr:col>
      <xdr:colOff>25400</xdr:colOff>
      <xdr:row>125</xdr:row>
      <xdr:rowOff>25400</xdr:rowOff>
    </xdr:from>
    <xdr:to>
      <xdr:col>17</xdr:col>
      <xdr:colOff>749300</xdr:colOff>
      <xdr:row>125</xdr:row>
      <xdr:rowOff>501650</xdr:rowOff>
    </xdr:to>
    <xdr:pic>
      <xdr:nvPicPr>
        <xdr:cNvPr id="64" name="Subgraph-totomovies"/>
        <xdr:cNvPicPr>
          <a:picLocks/>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19465925" y="33077150"/>
          <a:ext cx="723900" cy="476250"/>
        </a:xfrm>
        <a:prstGeom prst="rect">
          <a:avLst/>
        </a:prstGeom>
      </xdr:spPr>
    </xdr:pic>
    <xdr:clientData/>
  </xdr:twoCellAnchor>
  <xdr:twoCellAnchor editAs="oneCell">
    <xdr:from>
      <xdr:col>17</xdr:col>
      <xdr:colOff>25400</xdr:colOff>
      <xdr:row>54</xdr:row>
      <xdr:rowOff>25400</xdr:rowOff>
    </xdr:from>
    <xdr:to>
      <xdr:col>17</xdr:col>
      <xdr:colOff>749300</xdr:colOff>
      <xdr:row>54</xdr:row>
      <xdr:rowOff>501650</xdr:rowOff>
    </xdr:to>
    <xdr:pic>
      <xdr:nvPicPr>
        <xdr:cNvPr id="65" name="Subgraph-eeyrehead"/>
        <xdr:cNvPicPr>
          <a:picLocks/>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19465925" y="33601025"/>
          <a:ext cx="723900" cy="476250"/>
        </a:xfrm>
        <a:prstGeom prst="rect">
          <a:avLst/>
        </a:prstGeom>
      </xdr:spPr>
    </xdr:pic>
    <xdr:clientData/>
  </xdr:twoCellAnchor>
  <xdr:twoCellAnchor editAs="oneCell">
    <xdr:from>
      <xdr:col>17</xdr:col>
      <xdr:colOff>25400</xdr:colOff>
      <xdr:row>166</xdr:row>
      <xdr:rowOff>25400</xdr:rowOff>
    </xdr:from>
    <xdr:to>
      <xdr:col>17</xdr:col>
      <xdr:colOff>749300</xdr:colOff>
      <xdr:row>166</xdr:row>
      <xdr:rowOff>501650</xdr:rowOff>
    </xdr:to>
    <xdr:pic>
      <xdr:nvPicPr>
        <xdr:cNvPr id="66" name="Subgraph-talaroque"/>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34124900"/>
          <a:ext cx="723900" cy="476250"/>
        </a:xfrm>
        <a:prstGeom prst="rect">
          <a:avLst/>
        </a:prstGeom>
      </xdr:spPr>
    </xdr:pic>
    <xdr:clientData/>
  </xdr:twoCellAnchor>
  <xdr:twoCellAnchor editAs="oneCell">
    <xdr:from>
      <xdr:col>17</xdr:col>
      <xdr:colOff>25400</xdr:colOff>
      <xdr:row>124</xdr:row>
      <xdr:rowOff>25400</xdr:rowOff>
    </xdr:from>
    <xdr:to>
      <xdr:col>17</xdr:col>
      <xdr:colOff>749300</xdr:colOff>
      <xdr:row>124</xdr:row>
      <xdr:rowOff>501650</xdr:rowOff>
    </xdr:to>
    <xdr:pic>
      <xdr:nvPicPr>
        <xdr:cNvPr id="67" name="Subgraph-zealousgranny"/>
        <xdr:cNvPicPr>
          <a:picLocks/>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19465925" y="34648775"/>
          <a:ext cx="723900" cy="476250"/>
        </a:xfrm>
        <a:prstGeom prst="rect">
          <a:avLst/>
        </a:prstGeom>
      </xdr:spPr>
    </xdr:pic>
    <xdr:clientData/>
  </xdr:twoCellAnchor>
  <xdr:twoCellAnchor editAs="oneCell">
    <xdr:from>
      <xdr:col>17</xdr:col>
      <xdr:colOff>25400</xdr:colOff>
      <xdr:row>11</xdr:row>
      <xdr:rowOff>25400</xdr:rowOff>
    </xdr:from>
    <xdr:to>
      <xdr:col>17</xdr:col>
      <xdr:colOff>749300</xdr:colOff>
      <xdr:row>11</xdr:row>
      <xdr:rowOff>501650</xdr:rowOff>
    </xdr:to>
    <xdr:pic>
      <xdr:nvPicPr>
        <xdr:cNvPr id="68" name="Subgraph-TIMENOUT"/>
        <xdr:cNvPicPr>
          <a:picLocks/>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19465925" y="35172650"/>
          <a:ext cx="723900" cy="476250"/>
        </a:xfrm>
        <a:prstGeom prst="rect">
          <a:avLst/>
        </a:prstGeom>
      </xdr:spPr>
    </xdr:pic>
    <xdr:clientData/>
  </xdr:twoCellAnchor>
  <xdr:twoCellAnchor editAs="oneCell">
    <xdr:from>
      <xdr:col>17</xdr:col>
      <xdr:colOff>25400</xdr:colOff>
      <xdr:row>17</xdr:row>
      <xdr:rowOff>25400</xdr:rowOff>
    </xdr:from>
    <xdr:to>
      <xdr:col>17</xdr:col>
      <xdr:colOff>749300</xdr:colOff>
      <xdr:row>17</xdr:row>
      <xdr:rowOff>501650</xdr:rowOff>
    </xdr:to>
    <xdr:pic>
      <xdr:nvPicPr>
        <xdr:cNvPr id="69" name="Subgraph-PeterLaCrosse"/>
        <xdr:cNvPicPr>
          <a:picLocks/>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19465925" y="35696525"/>
          <a:ext cx="723900" cy="476250"/>
        </a:xfrm>
        <a:prstGeom prst="rect">
          <a:avLst/>
        </a:prstGeom>
      </xdr:spPr>
    </xdr:pic>
    <xdr:clientData/>
  </xdr:twoCellAnchor>
  <xdr:twoCellAnchor editAs="oneCell">
    <xdr:from>
      <xdr:col>17</xdr:col>
      <xdr:colOff>25400</xdr:colOff>
      <xdr:row>51</xdr:row>
      <xdr:rowOff>25400</xdr:rowOff>
    </xdr:from>
    <xdr:to>
      <xdr:col>17</xdr:col>
      <xdr:colOff>749300</xdr:colOff>
      <xdr:row>51</xdr:row>
      <xdr:rowOff>501650</xdr:rowOff>
    </xdr:to>
    <xdr:pic>
      <xdr:nvPicPr>
        <xdr:cNvPr id="70" name="Subgraph-sarahcgoldstein"/>
        <xdr:cNvPicPr>
          <a:picLocks/>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19465925" y="36220400"/>
          <a:ext cx="723900" cy="476250"/>
        </a:xfrm>
        <a:prstGeom prst="rect">
          <a:avLst/>
        </a:prstGeom>
      </xdr:spPr>
    </xdr:pic>
    <xdr:clientData/>
  </xdr:twoCellAnchor>
  <xdr:twoCellAnchor editAs="oneCell">
    <xdr:from>
      <xdr:col>17</xdr:col>
      <xdr:colOff>25400</xdr:colOff>
      <xdr:row>80</xdr:row>
      <xdr:rowOff>25400</xdr:rowOff>
    </xdr:from>
    <xdr:to>
      <xdr:col>17</xdr:col>
      <xdr:colOff>749300</xdr:colOff>
      <xdr:row>80</xdr:row>
      <xdr:rowOff>501650</xdr:rowOff>
    </xdr:to>
    <xdr:pic>
      <xdr:nvPicPr>
        <xdr:cNvPr id="71" name="Subgraph-HollywoodTParty"/>
        <xdr:cNvPicPr>
          <a:picLocks/>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19465925" y="36744275"/>
          <a:ext cx="723900" cy="476250"/>
        </a:xfrm>
        <a:prstGeom prst="rect">
          <a:avLst/>
        </a:prstGeom>
      </xdr:spPr>
    </xdr:pic>
    <xdr:clientData/>
  </xdr:twoCellAnchor>
  <xdr:twoCellAnchor editAs="oneCell">
    <xdr:from>
      <xdr:col>17</xdr:col>
      <xdr:colOff>25400</xdr:colOff>
      <xdr:row>49</xdr:row>
      <xdr:rowOff>25400</xdr:rowOff>
    </xdr:from>
    <xdr:to>
      <xdr:col>17</xdr:col>
      <xdr:colOff>749300</xdr:colOff>
      <xdr:row>49</xdr:row>
      <xdr:rowOff>501650</xdr:rowOff>
    </xdr:to>
    <xdr:pic>
      <xdr:nvPicPr>
        <xdr:cNvPr id="72" name="Subgraph-dpkesq"/>
        <xdr:cNvPicPr>
          <a:picLocks/>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19465925" y="37268150"/>
          <a:ext cx="723900" cy="476250"/>
        </a:xfrm>
        <a:prstGeom prst="rect">
          <a:avLst/>
        </a:prstGeom>
      </xdr:spPr>
    </xdr:pic>
    <xdr:clientData/>
  </xdr:twoCellAnchor>
  <xdr:twoCellAnchor editAs="oneCell">
    <xdr:from>
      <xdr:col>17</xdr:col>
      <xdr:colOff>25400</xdr:colOff>
      <xdr:row>71</xdr:row>
      <xdr:rowOff>25400</xdr:rowOff>
    </xdr:from>
    <xdr:to>
      <xdr:col>17</xdr:col>
      <xdr:colOff>749300</xdr:colOff>
      <xdr:row>71</xdr:row>
      <xdr:rowOff>501650</xdr:rowOff>
    </xdr:to>
    <xdr:pic>
      <xdr:nvPicPr>
        <xdr:cNvPr id="73" name="Subgraph-eagle17765"/>
        <xdr:cNvPicPr>
          <a:picLocks/>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9465925" y="37792025"/>
          <a:ext cx="723900" cy="476250"/>
        </a:xfrm>
        <a:prstGeom prst="rect">
          <a:avLst/>
        </a:prstGeom>
      </xdr:spPr>
    </xdr:pic>
    <xdr:clientData/>
  </xdr:twoCellAnchor>
  <xdr:twoCellAnchor editAs="oneCell">
    <xdr:from>
      <xdr:col>17</xdr:col>
      <xdr:colOff>25400</xdr:colOff>
      <xdr:row>167</xdr:row>
      <xdr:rowOff>25400</xdr:rowOff>
    </xdr:from>
    <xdr:to>
      <xdr:col>17</xdr:col>
      <xdr:colOff>749300</xdr:colOff>
      <xdr:row>167</xdr:row>
      <xdr:rowOff>501650</xdr:rowOff>
    </xdr:to>
    <xdr:pic>
      <xdr:nvPicPr>
        <xdr:cNvPr id="74" name="Subgraph-AxelRugger"/>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38315900"/>
          <a:ext cx="723900" cy="476250"/>
        </a:xfrm>
        <a:prstGeom prst="rect">
          <a:avLst/>
        </a:prstGeom>
      </xdr:spPr>
    </xdr:pic>
    <xdr:clientData/>
  </xdr:twoCellAnchor>
  <xdr:twoCellAnchor editAs="oneCell">
    <xdr:from>
      <xdr:col>17</xdr:col>
      <xdr:colOff>25400</xdr:colOff>
      <xdr:row>35</xdr:row>
      <xdr:rowOff>25400</xdr:rowOff>
    </xdr:from>
    <xdr:to>
      <xdr:col>17</xdr:col>
      <xdr:colOff>749300</xdr:colOff>
      <xdr:row>35</xdr:row>
      <xdr:rowOff>501650</xdr:rowOff>
    </xdr:to>
    <xdr:pic>
      <xdr:nvPicPr>
        <xdr:cNvPr id="75" name="Subgraph-TeamOlbermann"/>
        <xdr:cNvPicPr>
          <a:picLocks/>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19465925" y="38839775"/>
          <a:ext cx="723900" cy="476250"/>
        </a:xfrm>
        <a:prstGeom prst="rect">
          <a:avLst/>
        </a:prstGeom>
      </xdr:spPr>
    </xdr:pic>
    <xdr:clientData/>
  </xdr:twoCellAnchor>
  <xdr:twoCellAnchor editAs="oneCell">
    <xdr:from>
      <xdr:col>17</xdr:col>
      <xdr:colOff>25400</xdr:colOff>
      <xdr:row>168</xdr:row>
      <xdr:rowOff>25400</xdr:rowOff>
    </xdr:from>
    <xdr:to>
      <xdr:col>17</xdr:col>
      <xdr:colOff>749300</xdr:colOff>
      <xdr:row>168</xdr:row>
      <xdr:rowOff>501650</xdr:rowOff>
    </xdr:to>
    <xdr:pic>
      <xdr:nvPicPr>
        <xdr:cNvPr id="76" name="Subgraph-bannerite"/>
        <xdr:cNvPicPr>
          <a:picLocks/>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19465925" y="39363650"/>
          <a:ext cx="723900" cy="476250"/>
        </a:xfrm>
        <a:prstGeom prst="rect">
          <a:avLst/>
        </a:prstGeom>
      </xdr:spPr>
    </xdr:pic>
    <xdr:clientData/>
  </xdr:twoCellAnchor>
  <xdr:twoCellAnchor editAs="oneCell">
    <xdr:from>
      <xdr:col>17</xdr:col>
      <xdr:colOff>25400</xdr:colOff>
      <xdr:row>9</xdr:row>
      <xdr:rowOff>25400</xdr:rowOff>
    </xdr:from>
    <xdr:to>
      <xdr:col>17</xdr:col>
      <xdr:colOff>749300</xdr:colOff>
      <xdr:row>9</xdr:row>
      <xdr:rowOff>501650</xdr:rowOff>
    </xdr:to>
    <xdr:pic>
      <xdr:nvPicPr>
        <xdr:cNvPr id="77" name="Subgraph-theonlyadult"/>
        <xdr:cNvPicPr>
          <a:picLocks/>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19465925" y="39887525"/>
          <a:ext cx="723900" cy="476250"/>
        </a:xfrm>
        <a:prstGeom prst="rect">
          <a:avLst/>
        </a:prstGeom>
      </xdr:spPr>
    </xdr:pic>
    <xdr:clientData/>
  </xdr:twoCellAnchor>
  <xdr:twoCellAnchor editAs="oneCell">
    <xdr:from>
      <xdr:col>17</xdr:col>
      <xdr:colOff>25400</xdr:colOff>
      <xdr:row>169</xdr:row>
      <xdr:rowOff>25400</xdr:rowOff>
    </xdr:from>
    <xdr:to>
      <xdr:col>17</xdr:col>
      <xdr:colOff>749300</xdr:colOff>
      <xdr:row>169</xdr:row>
      <xdr:rowOff>501650</xdr:rowOff>
    </xdr:to>
    <xdr:pic>
      <xdr:nvPicPr>
        <xdr:cNvPr id="78" name="Subgraph-TaoistSoul"/>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40411400"/>
          <a:ext cx="723900" cy="476250"/>
        </a:xfrm>
        <a:prstGeom prst="rect">
          <a:avLst/>
        </a:prstGeom>
      </xdr:spPr>
    </xdr:pic>
    <xdr:clientData/>
  </xdr:twoCellAnchor>
  <xdr:twoCellAnchor editAs="oneCell">
    <xdr:from>
      <xdr:col>17</xdr:col>
      <xdr:colOff>25400</xdr:colOff>
      <xdr:row>111</xdr:row>
      <xdr:rowOff>25400</xdr:rowOff>
    </xdr:from>
    <xdr:to>
      <xdr:col>17</xdr:col>
      <xdr:colOff>749300</xdr:colOff>
      <xdr:row>111</xdr:row>
      <xdr:rowOff>501650</xdr:rowOff>
    </xdr:to>
    <xdr:pic>
      <xdr:nvPicPr>
        <xdr:cNvPr id="79" name="Subgraph-jhf5"/>
        <xdr:cNvPicPr>
          <a:picLocks/>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19465925" y="40935275"/>
          <a:ext cx="723900" cy="476250"/>
        </a:xfrm>
        <a:prstGeom prst="rect">
          <a:avLst/>
        </a:prstGeom>
      </xdr:spPr>
    </xdr:pic>
    <xdr:clientData/>
  </xdr:twoCellAnchor>
  <xdr:twoCellAnchor editAs="oneCell">
    <xdr:from>
      <xdr:col>17</xdr:col>
      <xdr:colOff>25400</xdr:colOff>
      <xdr:row>13</xdr:row>
      <xdr:rowOff>25400</xdr:rowOff>
    </xdr:from>
    <xdr:to>
      <xdr:col>17</xdr:col>
      <xdr:colOff>749300</xdr:colOff>
      <xdr:row>13</xdr:row>
      <xdr:rowOff>501650</xdr:rowOff>
    </xdr:to>
    <xdr:pic>
      <xdr:nvPicPr>
        <xdr:cNvPr id="80" name="Subgraph-TIMEPolitics"/>
        <xdr:cNvPicPr>
          <a:picLocks/>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19465925" y="41459150"/>
          <a:ext cx="723900" cy="476250"/>
        </a:xfrm>
        <a:prstGeom prst="rect">
          <a:avLst/>
        </a:prstGeom>
      </xdr:spPr>
    </xdr:pic>
    <xdr:clientData/>
  </xdr:twoCellAnchor>
  <xdr:twoCellAnchor editAs="oneCell">
    <xdr:from>
      <xdr:col>17</xdr:col>
      <xdr:colOff>25400</xdr:colOff>
      <xdr:row>113</xdr:row>
      <xdr:rowOff>25400</xdr:rowOff>
    </xdr:from>
    <xdr:to>
      <xdr:col>17</xdr:col>
      <xdr:colOff>749300</xdr:colOff>
      <xdr:row>113</xdr:row>
      <xdr:rowOff>501650</xdr:rowOff>
    </xdr:to>
    <xdr:pic>
      <xdr:nvPicPr>
        <xdr:cNvPr id="81" name="Subgraph-jsmar"/>
        <xdr:cNvPicPr>
          <a:picLocks/>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19465925" y="41983025"/>
          <a:ext cx="723900" cy="476250"/>
        </a:xfrm>
        <a:prstGeom prst="rect">
          <a:avLst/>
        </a:prstGeom>
      </xdr:spPr>
    </xdr:pic>
    <xdr:clientData/>
  </xdr:twoCellAnchor>
  <xdr:twoCellAnchor editAs="oneCell">
    <xdr:from>
      <xdr:col>17</xdr:col>
      <xdr:colOff>25400</xdr:colOff>
      <xdr:row>170</xdr:row>
      <xdr:rowOff>25400</xdr:rowOff>
    </xdr:from>
    <xdr:to>
      <xdr:col>17</xdr:col>
      <xdr:colOff>749300</xdr:colOff>
      <xdr:row>170</xdr:row>
      <xdr:rowOff>501650</xdr:rowOff>
    </xdr:to>
    <xdr:pic>
      <xdr:nvPicPr>
        <xdr:cNvPr id="82" name="Subgraph-sunsetarival"/>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42506900"/>
          <a:ext cx="723900" cy="476250"/>
        </a:xfrm>
        <a:prstGeom prst="rect">
          <a:avLst/>
        </a:prstGeom>
      </xdr:spPr>
    </xdr:pic>
    <xdr:clientData/>
  </xdr:twoCellAnchor>
  <xdr:twoCellAnchor editAs="oneCell">
    <xdr:from>
      <xdr:col>17</xdr:col>
      <xdr:colOff>25400</xdr:colOff>
      <xdr:row>171</xdr:row>
      <xdr:rowOff>25400</xdr:rowOff>
    </xdr:from>
    <xdr:to>
      <xdr:col>17</xdr:col>
      <xdr:colOff>749300</xdr:colOff>
      <xdr:row>171</xdr:row>
      <xdr:rowOff>501650</xdr:rowOff>
    </xdr:to>
    <xdr:pic>
      <xdr:nvPicPr>
        <xdr:cNvPr id="83" name="Subgraph-trvlgk"/>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43030775"/>
          <a:ext cx="723900" cy="476250"/>
        </a:xfrm>
        <a:prstGeom prst="rect">
          <a:avLst/>
        </a:prstGeom>
      </xdr:spPr>
    </xdr:pic>
    <xdr:clientData/>
  </xdr:twoCellAnchor>
  <xdr:twoCellAnchor editAs="oneCell">
    <xdr:from>
      <xdr:col>17</xdr:col>
      <xdr:colOff>25400</xdr:colOff>
      <xdr:row>69</xdr:row>
      <xdr:rowOff>25400</xdr:rowOff>
    </xdr:from>
    <xdr:to>
      <xdr:col>17</xdr:col>
      <xdr:colOff>749300</xdr:colOff>
      <xdr:row>69</xdr:row>
      <xdr:rowOff>501650</xdr:rowOff>
    </xdr:to>
    <xdr:pic>
      <xdr:nvPicPr>
        <xdr:cNvPr id="84" name="Subgraph-Darin_Driscoll"/>
        <xdr:cNvPicPr>
          <a:picLocks/>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19465925" y="43554650"/>
          <a:ext cx="723900" cy="476250"/>
        </a:xfrm>
        <a:prstGeom prst="rect">
          <a:avLst/>
        </a:prstGeom>
      </xdr:spPr>
    </xdr:pic>
    <xdr:clientData/>
  </xdr:twoCellAnchor>
  <xdr:twoCellAnchor editAs="oneCell">
    <xdr:from>
      <xdr:col>17</xdr:col>
      <xdr:colOff>25400</xdr:colOff>
      <xdr:row>87</xdr:row>
      <xdr:rowOff>25400</xdr:rowOff>
    </xdr:from>
    <xdr:to>
      <xdr:col>17</xdr:col>
      <xdr:colOff>749300</xdr:colOff>
      <xdr:row>87</xdr:row>
      <xdr:rowOff>501650</xdr:rowOff>
    </xdr:to>
    <xdr:pic>
      <xdr:nvPicPr>
        <xdr:cNvPr id="85" name="Subgraph-DefendWallSt"/>
        <xdr:cNvPicPr>
          <a:picLocks/>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19465925" y="44078525"/>
          <a:ext cx="723900" cy="476250"/>
        </a:xfrm>
        <a:prstGeom prst="rect">
          <a:avLst/>
        </a:prstGeom>
      </xdr:spPr>
    </xdr:pic>
    <xdr:clientData/>
  </xdr:twoCellAnchor>
  <xdr:twoCellAnchor editAs="oneCell">
    <xdr:from>
      <xdr:col>17</xdr:col>
      <xdr:colOff>25400</xdr:colOff>
      <xdr:row>172</xdr:row>
      <xdr:rowOff>25400</xdr:rowOff>
    </xdr:from>
    <xdr:to>
      <xdr:col>17</xdr:col>
      <xdr:colOff>749300</xdr:colOff>
      <xdr:row>172</xdr:row>
      <xdr:rowOff>501650</xdr:rowOff>
    </xdr:to>
    <xdr:pic>
      <xdr:nvPicPr>
        <xdr:cNvPr id="86" name="Subgraph-AhTrini"/>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44602400"/>
          <a:ext cx="723900" cy="476250"/>
        </a:xfrm>
        <a:prstGeom prst="rect">
          <a:avLst/>
        </a:prstGeom>
      </xdr:spPr>
    </xdr:pic>
    <xdr:clientData/>
  </xdr:twoCellAnchor>
  <xdr:twoCellAnchor editAs="oneCell">
    <xdr:from>
      <xdr:col>17</xdr:col>
      <xdr:colOff>25400</xdr:colOff>
      <xdr:row>173</xdr:row>
      <xdr:rowOff>25400</xdr:rowOff>
    </xdr:from>
    <xdr:to>
      <xdr:col>17</xdr:col>
      <xdr:colOff>749300</xdr:colOff>
      <xdr:row>173</xdr:row>
      <xdr:rowOff>501650</xdr:rowOff>
    </xdr:to>
    <xdr:pic>
      <xdr:nvPicPr>
        <xdr:cNvPr id="87" name="Subgraph-chefmike44"/>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45126275"/>
          <a:ext cx="723900" cy="476250"/>
        </a:xfrm>
        <a:prstGeom prst="rect">
          <a:avLst/>
        </a:prstGeom>
      </xdr:spPr>
    </xdr:pic>
    <xdr:clientData/>
  </xdr:twoCellAnchor>
  <xdr:twoCellAnchor editAs="oneCell">
    <xdr:from>
      <xdr:col>17</xdr:col>
      <xdr:colOff>25400</xdr:colOff>
      <xdr:row>174</xdr:row>
      <xdr:rowOff>25400</xdr:rowOff>
    </xdr:from>
    <xdr:to>
      <xdr:col>17</xdr:col>
      <xdr:colOff>749300</xdr:colOff>
      <xdr:row>174</xdr:row>
      <xdr:rowOff>501650</xdr:rowOff>
    </xdr:to>
    <xdr:pic>
      <xdr:nvPicPr>
        <xdr:cNvPr id="88" name="Subgraph-the_Sabla"/>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45650150"/>
          <a:ext cx="723900" cy="476250"/>
        </a:xfrm>
        <a:prstGeom prst="rect">
          <a:avLst/>
        </a:prstGeom>
      </xdr:spPr>
    </xdr:pic>
    <xdr:clientData/>
  </xdr:twoCellAnchor>
  <xdr:twoCellAnchor editAs="oneCell">
    <xdr:from>
      <xdr:col>17</xdr:col>
      <xdr:colOff>25400</xdr:colOff>
      <xdr:row>26</xdr:row>
      <xdr:rowOff>25400</xdr:rowOff>
    </xdr:from>
    <xdr:to>
      <xdr:col>17</xdr:col>
      <xdr:colOff>749300</xdr:colOff>
      <xdr:row>26</xdr:row>
      <xdr:rowOff>501650</xdr:rowOff>
    </xdr:to>
    <xdr:pic>
      <xdr:nvPicPr>
        <xdr:cNvPr id="89" name="Subgraph-ChristopherGary"/>
        <xdr:cNvPicPr>
          <a:picLocks/>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19465925" y="46174025"/>
          <a:ext cx="723900" cy="476250"/>
        </a:xfrm>
        <a:prstGeom prst="rect">
          <a:avLst/>
        </a:prstGeom>
      </xdr:spPr>
    </xdr:pic>
    <xdr:clientData/>
  </xdr:twoCellAnchor>
  <xdr:twoCellAnchor editAs="oneCell">
    <xdr:from>
      <xdr:col>17</xdr:col>
      <xdr:colOff>25400</xdr:colOff>
      <xdr:row>60</xdr:row>
      <xdr:rowOff>25400</xdr:rowOff>
    </xdr:from>
    <xdr:to>
      <xdr:col>17</xdr:col>
      <xdr:colOff>749300</xdr:colOff>
      <xdr:row>60</xdr:row>
      <xdr:rowOff>501650</xdr:rowOff>
    </xdr:to>
    <xdr:pic>
      <xdr:nvPicPr>
        <xdr:cNvPr id="90" name="Subgraph-Loxodonta_s"/>
        <xdr:cNvPicPr>
          <a:picLocks/>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19465925" y="46697900"/>
          <a:ext cx="723900" cy="476250"/>
        </a:xfrm>
        <a:prstGeom prst="rect">
          <a:avLst/>
        </a:prstGeom>
      </xdr:spPr>
    </xdr:pic>
    <xdr:clientData/>
  </xdr:twoCellAnchor>
  <xdr:twoCellAnchor editAs="oneCell">
    <xdr:from>
      <xdr:col>17</xdr:col>
      <xdr:colOff>25400</xdr:colOff>
      <xdr:row>175</xdr:row>
      <xdr:rowOff>25400</xdr:rowOff>
    </xdr:from>
    <xdr:to>
      <xdr:col>17</xdr:col>
      <xdr:colOff>749300</xdr:colOff>
      <xdr:row>175</xdr:row>
      <xdr:rowOff>501650</xdr:rowOff>
    </xdr:to>
    <xdr:pic>
      <xdr:nvPicPr>
        <xdr:cNvPr id="91" name="Subgraph-TuxcedoCat"/>
        <xdr:cNvPicPr>
          <a:picLocks/>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19465925" y="47221775"/>
          <a:ext cx="723900" cy="476250"/>
        </a:xfrm>
        <a:prstGeom prst="rect">
          <a:avLst/>
        </a:prstGeom>
      </xdr:spPr>
    </xdr:pic>
    <xdr:clientData/>
  </xdr:twoCellAnchor>
  <xdr:twoCellAnchor editAs="oneCell">
    <xdr:from>
      <xdr:col>17</xdr:col>
      <xdr:colOff>25400</xdr:colOff>
      <xdr:row>114</xdr:row>
      <xdr:rowOff>25400</xdr:rowOff>
    </xdr:from>
    <xdr:to>
      <xdr:col>17</xdr:col>
      <xdr:colOff>749300</xdr:colOff>
      <xdr:row>114</xdr:row>
      <xdr:rowOff>501650</xdr:rowOff>
    </xdr:to>
    <xdr:pic>
      <xdr:nvPicPr>
        <xdr:cNvPr id="92" name="Subgraph-fabucat"/>
        <xdr:cNvPicPr>
          <a:picLocks/>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9465925" y="47745650"/>
          <a:ext cx="723900" cy="476250"/>
        </a:xfrm>
        <a:prstGeom prst="rect">
          <a:avLst/>
        </a:prstGeom>
      </xdr:spPr>
    </xdr:pic>
    <xdr:clientData/>
  </xdr:twoCellAnchor>
  <xdr:twoCellAnchor editAs="oneCell">
    <xdr:from>
      <xdr:col>17</xdr:col>
      <xdr:colOff>25400</xdr:colOff>
      <xdr:row>18</xdr:row>
      <xdr:rowOff>25400</xdr:rowOff>
    </xdr:from>
    <xdr:to>
      <xdr:col>17</xdr:col>
      <xdr:colOff>749300</xdr:colOff>
      <xdr:row>18</xdr:row>
      <xdr:rowOff>501650</xdr:rowOff>
    </xdr:to>
    <xdr:pic>
      <xdr:nvPicPr>
        <xdr:cNvPr id="93" name="Subgraph-OccupyGay"/>
        <xdr:cNvPicPr>
          <a:picLocks/>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19465925" y="48269525"/>
          <a:ext cx="723900" cy="476250"/>
        </a:xfrm>
        <a:prstGeom prst="rect">
          <a:avLst/>
        </a:prstGeom>
      </xdr:spPr>
    </xdr:pic>
    <xdr:clientData/>
  </xdr:twoCellAnchor>
  <xdr:twoCellAnchor editAs="oneCell">
    <xdr:from>
      <xdr:col>17</xdr:col>
      <xdr:colOff>25400</xdr:colOff>
      <xdr:row>93</xdr:row>
      <xdr:rowOff>25400</xdr:rowOff>
    </xdr:from>
    <xdr:to>
      <xdr:col>17</xdr:col>
      <xdr:colOff>749300</xdr:colOff>
      <xdr:row>93</xdr:row>
      <xdr:rowOff>501650</xdr:rowOff>
    </xdr:to>
    <xdr:pic>
      <xdr:nvPicPr>
        <xdr:cNvPr id="94" name="Subgraph-aDemocratKnows"/>
        <xdr:cNvPicPr>
          <a:picLocks/>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19465925" y="48793400"/>
          <a:ext cx="723900" cy="476250"/>
        </a:xfrm>
        <a:prstGeom prst="rect">
          <a:avLst/>
        </a:prstGeom>
      </xdr:spPr>
    </xdr:pic>
    <xdr:clientData/>
  </xdr:twoCellAnchor>
  <xdr:twoCellAnchor editAs="oneCell">
    <xdr:from>
      <xdr:col>17</xdr:col>
      <xdr:colOff>25400</xdr:colOff>
      <xdr:row>176</xdr:row>
      <xdr:rowOff>25400</xdr:rowOff>
    </xdr:from>
    <xdr:to>
      <xdr:col>17</xdr:col>
      <xdr:colOff>749300</xdr:colOff>
      <xdr:row>176</xdr:row>
      <xdr:rowOff>501650</xdr:rowOff>
    </xdr:to>
    <xdr:pic>
      <xdr:nvPicPr>
        <xdr:cNvPr id="95" name="Subgraph-BlackMaxDesign"/>
        <xdr:cNvPicPr>
          <a:picLocks/>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19465925" y="49317275"/>
          <a:ext cx="723900" cy="476250"/>
        </a:xfrm>
        <a:prstGeom prst="rect">
          <a:avLst/>
        </a:prstGeom>
      </xdr:spPr>
    </xdr:pic>
    <xdr:clientData/>
  </xdr:twoCellAnchor>
  <xdr:twoCellAnchor editAs="oneCell">
    <xdr:from>
      <xdr:col>17</xdr:col>
      <xdr:colOff>25400</xdr:colOff>
      <xdr:row>50</xdr:row>
      <xdr:rowOff>25400</xdr:rowOff>
    </xdr:from>
    <xdr:to>
      <xdr:col>17</xdr:col>
      <xdr:colOff>749300</xdr:colOff>
      <xdr:row>50</xdr:row>
      <xdr:rowOff>501650</xdr:rowOff>
    </xdr:to>
    <xdr:pic>
      <xdr:nvPicPr>
        <xdr:cNvPr id="96" name="Subgraph-RWwatchMA"/>
        <xdr:cNvPicPr>
          <a:picLocks/>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19465925" y="49841150"/>
          <a:ext cx="723900" cy="476250"/>
        </a:xfrm>
        <a:prstGeom prst="rect">
          <a:avLst/>
        </a:prstGeom>
      </xdr:spPr>
    </xdr:pic>
    <xdr:clientData/>
  </xdr:twoCellAnchor>
  <xdr:twoCellAnchor editAs="oneCell">
    <xdr:from>
      <xdr:col>17</xdr:col>
      <xdr:colOff>25400</xdr:colOff>
      <xdr:row>98</xdr:row>
      <xdr:rowOff>25400</xdr:rowOff>
    </xdr:from>
    <xdr:to>
      <xdr:col>17</xdr:col>
      <xdr:colOff>749300</xdr:colOff>
      <xdr:row>98</xdr:row>
      <xdr:rowOff>501650</xdr:rowOff>
    </xdr:to>
    <xdr:pic>
      <xdr:nvPicPr>
        <xdr:cNvPr id="97" name="Subgraph-robteed"/>
        <xdr:cNvPicPr>
          <a:picLocks/>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19465925" y="50365025"/>
          <a:ext cx="723900" cy="476250"/>
        </a:xfrm>
        <a:prstGeom prst="rect">
          <a:avLst/>
        </a:prstGeom>
      </xdr:spPr>
    </xdr:pic>
    <xdr:clientData/>
  </xdr:twoCellAnchor>
  <xdr:twoCellAnchor editAs="oneCell">
    <xdr:from>
      <xdr:col>17</xdr:col>
      <xdr:colOff>25400</xdr:colOff>
      <xdr:row>85</xdr:row>
      <xdr:rowOff>25400</xdr:rowOff>
    </xdr:from>
    <xdr:to>
      <xdr:col>17</xdr:col>
      <xdr:colOff>749300</xdr:colOff>
      <xdr:row>85</xdr:row>
      <xdr:rowOff>501650</xdr:rowOff>
    </xdr:to>
    <xdr:pic>
      <xdr:nvPicPr>
        <xdr:cNvPr id="98" name="Subgraph-sherijr"/>
        <xdr:cNvPicPr>
          <a:picLocks/>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19465925" y="50888900"/>
          <a:ext cx="723900" cy="476250"/>
        </a:xfrm>
        <a:prstGeom prst="rect">
          <a:avLst/>
        </a:prstGeom>
      </xdr:spPr>
    </xdr:pic>
    <xdr:clientData/>
  </xdr:twoCellAnchor>
  <xdr:twoCellAnchor editAs="oneCell">
    <xdr:from>
      <xdr:col>17</xdr:col>
      <xdr:colOff>25400</xdr:colOff>
      <xdr:row>82</xdr:row>
      <xdr:rowOff>25400</xdr:rowOff>
    </xdr:from>
    <xdr:to>
      <xdr:col>17</xdr:col>
      <xdr:colOff>749300</xdr:colOff>
      <xdr:row>82</xdr:row>
      <xdr:rowOff>501650</xdr:rowOff>
    </xdr:to>
    <xdr:pic>
      <xdr:nvPicPr>
        <xdr:cNvPr id="99" name="Subgraph-turnapage"/>
        <xdr:cNvPicPr>
          <a:picLocks/>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9465925" y="51412775"/>
          <a:ext cx="723900" cy="476250"/>
        </a:xfrm>
        <a:prstGeom prst="rect">
          <a:avLst/>
        </a:prstGeom>
      </xdr:spPr>
    </xdr:pic>
    <xdr:clientData/>
  </xdr:twoCellAnchor>
  <xdr:twoCellAnchor editAs="oneCell">
    <xdr:from>
      <xdr:col>17</xdr:col>
      <xdr:colOff>25400</xdr:colOff>
      <xdr:row>58</xdr:row>
      <xdr:rowOff>25400</xdr:rowOff>
    </xdr:from>
    <xdr:to>
      <xdr:col>17</xdr:col>
      <xdr:colOff>749300</xdr:colOff>
      <xdr:row>58</xdr:row>
      <xdr:rowOff>501650</xdr:rowOff>
    </xdr:to>
    <xdr:pic>
      <xdr:nvPicPr>
        <xdr:cNvPr id="100" name="Subgraph-DianeMNRN"/>
        <xdr:cNvPicPr>
          <a:picLocks/>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9465925" y="51936650"/>
          <a:ext cx="723900" cy="476250"/>
        </a:xfrm>
        <a:prstGeom prst="rect">
          <a:avLst/>
        </a:prstGeom>
      </xdr:spPr>
    </xdr:pic>
    <xdr:clientData/>
  </xdr:twoCellAnchor>
  <xdr:twoCellAnchor editAs="oneCell">
    <xdr:from>
      <xdr:col>17</xdr:col>
      <xdr:colOff>25400</xdr:colOff>
      <xdr:row>177</xdr:row>
      <xdr:rowOff>25400</xdr:rowOff>
    </xdr:from>
    <xdr:to>
      <xdr:col>17</xdr:col>
      <xdr:colOff>749300</xdr:colOff>
      <xdr:row>177</xdr:row>
      <xdr:rowOff>501650</xdr:rowOff>
    </xdr:to>
    <xdr:pic>
      <xdr:nvPicPr>
        <xdr:cNvPr id="101" name="Subgraph-LennyJLem"/>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9465925" y="52460525"/>
          <a:ext cx="723900" cy="476250"/>
        </a:xfrm>
        <a:prstGeom prst="rect">
          <a:avLst/>
        </a:prstGeom>
      </xdr:spPr>
    </xdr:pic>
    <xdr:clientData/>
  </xdr:twoCellAnchor>
  <xdr:twoCellAnchor editAs="oneCell">
    <xdr:from>
      <xdr:col>17</xdr:col>
      <xdr:colOff>25400</xdr:colOff>
      <xdr:row>178</xdr:row>
      <xdr:rowOff>25400</xdr:rowOff>
    </xdr:from>
    <xdr:to>
      <xdr:col>17</xdr:col>
      <xdr:colOff>749300</xdr:colOff>
      <xdr:row>178</xdr:row>
      <xdr:rowOff>501650</xdr:rowOff>
    </xdr:to>
    <xdr:pic>
      <xdr:nvPicPr>
        <xdr:cNvPr id="102" name="Subgraph-J_Rippel"/>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9465925" y="52984400"/>
          <a:ext cx="723900" cy="476250"/>
        </a:xfrm>
        <a:prstGeom prst="rect">
          <a:avLst/>
        </a:prstGeom>
      </xdr:spPr>
    </xdr:pic>
    <xdr:clientData/>
  </xdr:twoCellAnchor>
  <xdr:twoCellAnchor editAs="oneCell">
    <xdr:from>
      <xdr:col>17</xdr:col>
      <xdr:colOff>25400</xdr:colOff>
      <xdr:row>44</xdr:row>
      <xdr:rowOff>25400</xdr:rowOff>
    </xdr:from>
    <xdr:to>
      <xdr:col>17</xdr:col>
      <xdr:colOff>749300</xdr:colOff>
      <xdr:row>44</xdr:row>
      <xdr:rowOff>501650</xdr:rowOff>
    </xdr:to>
    <xdr:pic>
      <xdr:nvPicPr>
        <xdr:cNvPr id="103" name="Subgraph-JoAnnEileen"/>
        <xdr:cNvPicPr>
          <a:picLocks/>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9465925" y="53508275"/>
          <a:ext cx="723900" cy="476250"/>
        </a:xfrm>
        <a:prstGeom prst="rect">
          <a:avLst/>
        </a:prstGeom>
      </xdr:spPr>
    </xdr:pic>
    <xdr:clientData/>
  </xdr:twoCellAnchor>
  <xdr:twoCellAnchor editAs="oneCell">
    <xdr:from>
      <xdr:col>17</xdr:col>
      <xdr:colOff>25400</xdr:colOff>
      <xdr:row>179</xdr:row>
      <xdr:rowOff>25400</xdr:rowOff>
    </xdr:from>
    <xdr:to>
      <xdr:col>17</xdr:col>
      <xdr:colOff>749300</xdr:colOff>
      <xdr:row>179</xdr:row>
      <xdr:rowOff>501650</xdr:rowOff>
    </xdr:to>
    <xdr:pic>
      <xdr:nvPicPr>
        <xdr:cNvPr id="104" name="Subgraph-dsunhawk"/>
        <xdr:cNvPicPr>
          <a:picLocks/>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9465925" y="54032150"/>
          <a:ext cx="723900" cy="476250"/>
        </a:xfrm>
        <a:prstGeom prst="rect">
          <a:avLst/>
        </a:prstGeom>
      </xdr:spPr>
    </xdr:pic>
    <xdr:clientData/>
  </xdr:twoCellAnchor>
  <xdr:twoCellAnchor editAs="oneCell">
    <xdr:from>
      <xdr:col>17</xdr:col>
      <xdr:colOff>25400</xdr:colOff>
      <xdr:row>47</xdr:row>
      <xdr:rowOff>25400</xdr:rowOff>
    </xdr:from>
    <xdr:to>
      <xdr:col>17</xdr:col>
      <xdr:colOff>749300</xdr:colOff>
      <xdr:row>47</xdr:row>
      <xdr:rowOff>501650</xdr:rowOff>
    </xdr:to>
    <xdr:pic>
      <xdr:nvPicPr>
        <xdr:cNvPr id="105" name="Subgraph-DariMD"/>
        <xdr:cNvPicPr>
          <a:picLocks/>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9465925" y="54556025"/>
          <a:ext cx="723900" cy="476250"/>
        </a:xfrm>
        <a:prstGeom prst="rect">
          <a:avLst/>
        </a:prstGeom>
      </xdr:spPr>
    </xdr:pic>
    <xdr:clientData/>
  </xdr:twoCellAnchor>
  <xdr:twoCellAnchor editAs="oneCell">
    <xdr:from>
      <xdr:col>17</xdr:col>
      <xdr:colOff>25400</xdr:colOff>
      <xdr:row>180</xdr:row>
      <xdr:rowOff>25400</xdr:rowOff>
    </xdr:from>
    <xdr:to>
      <xdr:col>17</xdr:col>
      <xdr:colOff>749300</xdr:colOff>
      <xdr:row>180</xdr:row>
      <xdr:rowOff>501650</xdr:rowOff>
    </xdr:to>
    <xdr:pic>
      <xdr:nvPicPr>
        <xdr:cNvPr id="106" name="Subgraph-_silversmith"/>
        <xdr:cNvPicPr>
          <a:picLocks/>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9465925" y="55079900"/>
          <a:ext cx="723900" cy="476250"/>
        </a:xfrm>
        <a:prstGeom prst="rect">
          <a:avLst/>
        </a:prstGeom>
      </xdr:spPr>
    </xdr:pic>
    <xdr:clientData/>
  </xdr:twoCellAnchor>
  <xdr:twoCellAnchor editAs="oneCell">
    <xdr:from>
      <xdr:col>17</xdr:col>
      <xdr:colOff>25400</xdr:colOff>
      <xdr:row>64</xdr:row>
      <xdr:rowOff>25400</xdr:rowOff>
    </xdr:from>
    <xdr:to>
      <xdr:col>17</xdr:col>
      <xdr:colOff>749300</xdr:colOff>
      <xdr:row>64</xdr:row>
      <xdr:rowOff>501650</xdr:rowOff>
    </xdr:to>
    <xdr:pic>
      <xdr:nvPicPr>
        <xdr:cNvPr id="107" name="Subgraph-bobdobolina"/>
        <xdr:cNvPicPr>
          <a:picLocks/>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19465925" y="55603775"/>
          <a:ext cx="723900" cy="476250"/>
        </a:xfrm>
        <a:prstGeom prst="rect">
          <a:avLst/>
        </a:prstGeom>
      </xdr:spPr>
    </xdr:pic>
    <xdr:clientData/>
  </xdr:twoCellAnchor>
  <xdr:twoCellAnchor editAs="oneCell">
    <xdr:from>
      <xdr:col>17</xdr:col>
      <xdr:colOff>25400</xdr:colOff>
      <xdr:row>7</xdr:row>
      <xdr:rowOff>25400</xdr:rowOff>
    </xdr:from>
    <xdr:to>
      <xdr:col>17</xdr:col>
      <xdr:colOff>749300</xdr:colOff>
      <xdr:row>7</xdr:row>
      <xdr:rowOff>501650</xdr:rowOff>
    </xdr:to>
    <xdr:pic>
      <xdr:nvPicPr>
        <xdr:cNvPr id="108" name="Subgraph-JoshDorner"/>
        <xdr:cNvPicPr>
          <a:picLocks/>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19465925" y="56127650"/>
          <a:ext cx="723900" cy="476250"/>
        </a:xfrm>
        <a:prstGeom prst="rect">
          <a:avLst/>
        </a:prstGeom>
      </xdr:spPr>
    </xdr:pic>
    <xdr:clientData/>
  </xdr:twoCellAnchor>
  <xdr:twoCellAnchor editAs="oneCell">
    <xdr:from>
      <xdr:col>17</xdr:col>
      <xdr:colOff>25400</xdr:colOff>
      <xdr:row>115</xdr:row>
      <xdr:rowOff>25400</xdr:rowOff>
    </xdr:from>
    <xdr:to>
      <xdr:col>17</xdr:col>
      <xdr:colOff>749300</xdr:colOff>
      <xdr:row>115</xdr:row>
      <xdr:rowOff>501650</xdr:rowOff>
    </xdr:to>
    <xdr:pic>
      <xdr:nvPicPr>
        <xdr:cNvPr id="109" name="Subgraph-tbogg"/>
        <xdr:cNvPicPr>
          <a:picLocks/>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19465925" y="56651525"/>
          <a:ext cx="723900" cy="476250"/>
        </a:xfrm>
        <a:prstGeom prst="rect">
          <a:avLst/>
        </a:prstGeom>
      </xdr:spPr>
    </xdr:pic>
    <xdr:clientData/>
  </xdr:twoCellAnchor>
  <xdr:twoCellAnchor editAs="oneCell">
    <xdr:from>
      <xdr:col>17</xdr:col>
      <xdr:colOff>25400</xdr:colOff>
      <xdr:row>31</xdr:row>
      <xdr:rowOff>25400</xdr:rowOff>
    </xdr:from>
    <xdr:to>
      <xdr:col>17</xdr:col>
      <xdr:colOff>749300</xdr:colOff>
      <xdr:row>31</xdr:row>
      <xdr:rowOff>501650</xdr:rowOff>
    </xdr:to>
    <xdr:pic>
      <xdr:nvPicPr>
        <xdr:cNvPr id="110" name="Subgraph-LeahAnakin"/>
        <xdr:cNvPicPr>
          <a:picLocks/>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9465925" y="57175400"/>
          <a:ext cx="723900" cy="476250"/>
        </a:xfrm>
        <a:prstGeom prst="rect">
          <a:avLst/>
        </a:prstGeom>
      </xdr:spPr>
    </xdr:pic>
    <xdr:clientData/>
  </xdr:twoCellAnchor>
  <xdr:twoCellAnchor editAs="oneCell">
    <xdr:from>
      <xdr:col>17</xdr:col>
      <xdr:colOff>25400</xdr:colOff>
      <xdr:row>15</xdr:row>
      <xdr:rowOff>25400</xdr:rowOff>
    </xdr:from>
    <xdr:to>
      <xdr:col>17</xdr:col>
      <xdr:colOff>749300</xdr:colOff>
      <xdr:row>15</xdr:row>
      <xdr:rowOff>501650</xdr:rowOff>
    </xdr:to>
    <xdr:pic>
      <xdr:nvPicPr>
        <xdr:cNvPr id="111" name="Subgraph-jhseher"/>
        <xdr:cNvPicPr>
          <a:picLocks/>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9465925" y="57699275"/>
          <a:ext cx="723900" cy="476250"/>
        </a:xfrm>
        <a:prstGeom prst="rect">
          <a:avLst/>
        </a:prstGeom>
      </xdr:spPr>
    </xdr:pic>
    <xdr:clientData/>
  </xdr:twoCellAnchor>
  <xdr:twoCellAnchor editAs="oneCell">
    <xdr:from>
      <xdr:col>17</xdr:col>
      <xdr:colOff>25400</xdr:colOff>
      <xdr:row>112</xdr:row>
      <xdr:rowOff>25400</xdr:rowOff>
    </xdr:from>
    <xdr:to>
      <xdr:col>17</xdr:col>
      <xdr:colOff>749300</xdr:colOff>
      <xdr:row>112</xdr:row>
      <xdr:rowOff>501650</xdr:rowOff>
    </xdr:to>
    <xdr:pic>
      <xdr:nvPicPr>
        <xdr:cNvPr id="112" name="Subgraph-Pilot9"/>
        <xdr:cNvPicPr>
          <a:picLocks/>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19465925" y="58223150"/>
          <a:ext cx="723900" cy="476250"/>
        </a:xfrm>
        <a:prstGeom prst="rect">
          <a:avLst/>
        </a:prstGeom>
      </xdr:spPr>
    </xdr:pic>
    <xdr:clientData/>
  </xdr:twoCellAnchor>
  <xdr:twoCellAnchor editAs="oneCell">
    <xdr:from>
      <xdr:col>17</xdr:col>
      <xdr:colOff>25400</xdr:colOff>
      <xdr:row>32</xdr:row>
      <xdr:rowOff>25400</xdr:rowOff>
    </xdr:from>
    <xdr:to>
      <xdr:col>17</xdr:col>
      <xdr:colOff>749300</xdr:colOff>
      <xdr:row>32</xdr:row>
      <xdr:rowOff>501650</xdr:rowOff>
    </xdr:to>
    <xdr:pic>
      <xdr:nvPicPr>
        <xdr:cNvPr id="113" name="Subgraph-AshJen4Politics"/>
        <xdr:cNvPicPr>
          <a:picLocks/>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19465925" y="58747025"/>
          <a:ext cx="723900" cy="476250"/>
        </a:xfrm>
        <a:prstGeom prst="rect">
          <a:avLst/>
        </a:prstGeom>
      </xdr:spPr>
    </xdr:pic>
    <xdr:clientData/>
  </xdr:twoCellAnchor>
  <xdr:twoCellAnchor editAs="oneCell">
    <xdr:from>
      <xdr:col>17</xdr:col>
      <xdr:colOff>25400</xdr:colOff>
      <xdr:row>181</xdr:row>
      <xdr:rowOff>25400</xdr:rowOff>
    </xdr:from>
    <xdr:to>
      <xdr:col>17</xdr:col>
      <xdr:colOff>749300</xdr:colOff>
      <xdr:row>181</xdr:row>
      <xdr:rowOff>501650</xdr:rowOff>
    </xdr:to>
    <xdr:pic>
      <xdr:nvPicPr>
        <xdr:cNvPr id="114" name="Subgraph-MisterSilverman"/>
        <xdr:cNvPicPr>
          <a:picLocks/>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9465925" y="59270900"/>
          <a:ext cx="723900" cy="476250"/>
        </a:xfrm>
        <a:prstGeom prst="rect">
          <a:avLst/>
        </a:prstGeom>
      </xdr:spPr>
    </xdr:pic>
    <xdr:clientData/>
  </xdr:twoCellAnchor>
  <xdr:twoCellAnchor editAs="oneCell">
    <xdr:from>
      <xdr:col>17</xdr:col>
      <xdr:colOff>25400</xdr:colOff>
      <xdr:row>59</xdr:row>
      <xdr:rowOff>25400</xdr:rowOff>
    </xdr:from>
    <xdr:to>
      <xdr:col>17</xdr:col>
      <xdr:colOff>749300</xdr:colOff>
      <xdr:row>59</xdr:row>
      <xdr:rowOff>501650</xdr:rowOff>
    </xdr:to>
    <xdr:pic>
      <xdr:nvPicPr>
        <xdr:cNvPr id="115" name="Subgraph-Zenman1550"/>
        <xdr:cNvPicPr>
          <a:picLocks/>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19465925" y="59794775"/>
          <a:ext cx="723900" cy="476250"/>
        </a:xfrm>
        <a:prstGeom prst="rect">
          <a:avLst/>
        </a:prstGeom>
      </xdr:spPr>
    </xdr:pic>
    <xdr:clientData/>
  </xdr:twoCellAnchor>
  <xdr:twoCellAnchor editAs="oneCell">
    <xdr:from>
      <xdr:col>17</xdr:col>
      <xdr:colOff>25400</xdr:colOff>
      <xdr:row>122</xdr:row>
      <xdr:rowOff>25400</xdr:rowOff>
    </xdr:from>
    <xdr:to>
      <xdr:col>17</xdr:col>
      <xdr:colOff>749300</xdr:colOff>
      <xdr:row>122</xdr:row>
      <xdr:rowOff>501650</xdr:rowOff>
    </xdr:to>
    <xdr:pic>
      <xdr:nvPicPr>
        <xdr:cNvPr id="116" name="Subgraph-OldBlackMajic"/>
        <xdr:cNvPicPr>
          <a:picLocks/>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19465925" y="60318650"/>
          <a:ext cx="723900" cy="476250"/>
        </a:xfrm>
        <a:prstGeom prst="rect">
          <a:avLst/>
        </a:prstGeom>
      </xdr:spPr>
    </xdr:pic>
    <xdr:clientData/>
  </xdr:twoCellAnchor>
  <xdr:twoCellAnchor editAs="oneCell">
    <xdr:from>
      <xdr:col>17</xdr:col>
      <xdr:colOff>25400</xdr:colOff>
      <xdr:row>38</xdr:row>
      <xdr:rowOff>25400</xdr:rowOff>
    </xdr:from>
    <xdr:to>
      <xdr:col>17</xdr:col>
      <xdr:colOff>749300</xdr:colOff>
      <xdr:row>38</xdr:row>
      <xdr:rowOff>501650</xdr:rowOff>
    </xdr:to>
    <xdr:pic>
      <xdr:nvPicPr>
        <xdr:cNvPr id="117" name="Subgraph-psalm82"/>
        <xdr:cNvPicPr>
          <a:picLocks/>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19465925" y="60842525"/>
          <a:ext cx="723900" cy="476250"/>
        </a:xfrm>
        <a:prstGeom prst="rect">
          <a:avLst/>
        </a:prstGeom>
      </xdr:spPr>
    </xdr:pic>
    <xdr:clientData/>
  </xdr:twoCellAnchor>
  <xdr:twoCellAnchor editAs="oneCell">
    <xdr:from>
      <xdr:col>17</xdr:col>
      <xdr:colOff>25400</xdr:colOff>
      <xdr:row>76</xdr:row>
      <xdr:rowOff>25400</xdr:rowOff>
    </xdr:from>
    <xdr:to>
      <xdr:col>17</xdr:col>
      <xdr:colOff>749300</xdr:colOff>
      <xdr:row>76</xdr:row>
      <xdr:rowOff>501650</xdr:rowOff>
    </xdr:to>
    <xdr:pic>
      <xdr:nvPicPr>
        <xdr:cNvPr id="118" name="Subgraph-AWiseLatina"/>
        <xdr:cNvPicPr>
          <a:picLocks/>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19465925" y="61366400"/>
          <a:ext cx="723900" cy="476250"/>
        </a:xfrm>
        <a:prstGeom prst="rect">
          <a:avLst/>
        </a:prstGeom>
      </xdr:spPr>
    </xdr:pic>
    <xdr:clientData/>
  </xdr:twoCellAnchor>
  <xdr:twoCellAnchor editAs="oneCell">
    <xdr:from>
      <xdr:col>17</xdr:col>
      <xdr:colOff>25400</xdr:colOff>
      <xdr:row>56</xdr:row>
      <xdr:rowOff>25400</xdr:rowOff>
    </xdr:from>
    <xdr:to>
      <xdr:col>17</xdr:col>
      <xdr:colOff>749300</xdr:colOff>
      <xdr:row>56</xdr:row>
      <xdr:rowOff>501650</xdr:rowOff>
    </xdr:to>
    <xdr:pic>
      <xdr:nvPicPr>
        <xdr:cNvPr id="119" name="Subgraph-SouthernLady328"/>
        <xdr:cNvPicPr>
          <a:picLocks/>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19465925" y="61890275"/>
          <a:ext cx="723900" cy="476250"/>
        </a:xfrm>
        <a:prstGeom prst="rect">
          <a:avLst/>
        </a:prstGeom>
      </xdr:spPr>
    </xdr:pic>
    <xdr:clientData/>
  </xdr:twoCellAnchor>
  <xdr:twoCellAnchor editAs="oneCell">
    <xdr:from>
      <xdr:col>17</xdr:col>
      <xdr:colOff>25400</xdr:colOff>
      <xdr:row>84</xdr:row>
      <xdr:rowOff>25400</xdr:rowOff>
    </xdr:from>
    <xdr:to>
      <xdr:col>17</xdr:col>
      <xdr:colOff>749300</xdr:colOff>
      <xdr:row>84</xdr:row>
      <xdr:rowOff>501650</xdr:rowOff>
    </xdr:to>
    <xdr:pic>
      <xdr:nvPicPr>
        <xdr:cNvPr id="120" name="Subgraph-dachdo"/>
        <xdr:cNvPicPr>
          <a:picLocks/>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19465925" y="62414150"/>
          <a:ext cx="723900" cy="476250"/>
        </a:xfrm>
        <a:prstGeom prst="rect">
          <a:avLst/>
        </a:prstGeom>
      </xdr:spPr>
    </xdr:pic>
    <xdr:clientData/>
  </xdr:twoCellAnchor>
  <xdr:twoCellAnchor editAs="oneCell">
    <xdr:from>
      <xdr:col>17</xdr:col>
      <xdr:colOff>25400</xdr:colOff>
      <xdr:row>25</xdr:row>
      <xdr:rowOff>25400</xdr:rowOff>
    </xdr:from>
    <xdr:to>
      <xdr:col>17</xdr:col>
      <xdr:colOff>749300</xdr:colOff>
      <xdr:row>25</xdr:row>
      <xdr:rowOff>501650</xdr:rowOff>
    </xdr:to>
    <xdr:pic>
      <xdr:nvPicPr>
        <xdr:cNvPr id="121" name="Subgraph-pretcap"/>
        <xdr:cNvPicPr>
          <a:picLocks/>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9465925" y="62938025"/>
          <a:ext cx="723900" cy="476250"/>
        </a:xfrm>
        <a:prstGeom prst="rect">
          <a:avLst/>
        </a:prstGeom>
      </xdr:spPr>
    </xdr:pic>
    <xdr:clientData/>
  </xdr:twoCellAnchor>
  <xdr:twoCellAnchor editAs="oneCell">
    <xdr:from>
      <xdr:col>17</xdr:col>
      <xdr:colOff>25400</xdr:colOff>
      <xdr:row>46</xdr:row>
      <xdr:rowOff>25400</xdr:rowOff>
    </xdr:from>
    <xdr:to>
      <xdr:col>17</xdr:col>
      <xdr:colOff>749300</xdr:colOff>
      <xdr:row>46</xdr:row>
      <xdr:rowOff>501650</xdr:rowOff>
    </xdr:to>
    <xdr:pic>
      <xdr:nvPicPr>
        <xdr:cNvPr id="122" name="Subgraph-Indybluebird"/>
        <xdr:cNvPicPr>
          <a:picLocks/>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9465925" y="63461900"/>
          <a:ext cx="723900" cy="476250"/>
        </a:xfrm>
        <a:prstGeom prst="rect">
          <a:avLst/>
        </a:prstGeom>
      </xdr:spPr>
    </xdr:pic>
    <xdr:clientData/>
  </xdr:twoCellAnchor>
  <xdr:twoCellAnchor editAs="oneCell">
    <xdr:from>
      <xdr:col>17</xdr:col>
      <xdr:colOff>25400</xdr:colOff>
      <xdr:row>39</xdr:row>
      <xdr:rowOff>25400</xdr:rowOff>
    </xdr:from>
    <xdr:to>
      <xdr:col>17</xdr:col>
      <xdr:colOff>749300</xdr:colOff>
      <xdr:row>39</xdr:row>
      <xdr:rowOff>501650</xdr:rowOff>
    </xdr:to>
    <xdr:pic>
      <xdr:nvPicPr>
        <xdr:cNvPr id="123" name="Subgraph-PolopersonGwen"/>
        <xdr:cNvPicPr>
          <a:picLocks/>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19465925" y="63985775"/>
          <a:ext cx="723900" cy="476250"/>
        </a:xfrm>
        <a:prstGeom prst="rect">
          <a:avLst/>
        </a:prstGeom>
      </xdr:spPr>
    </xdr:pic>
    <xdr:clientData/>
  </xdr:twoCellAnchor>
  <xdr:twoCellAnchor editAs="oneCell">
    <xdr:from>
      <xdr:col>17</xdr:col>
      <xdr:colOff>25400</xdr:colOff>
      <xdr:row>90</xdr:row>
      <xdr:rowOff>25400</xdr:rowOff>
    </xdr:from>
    <xdr:to>
      <xdr:col>17</xdr:col>
      <xdr:colOff>749300</xdr:colOff>
      <xdr:row>90</xdr:row>
      <xdr:rowOff>501650</xdr:rowOff>
    </xdr:to>
    <xdr:pic>
      <xdr:nvPicPr>
        <xdr:cNvPr id="124" name="Subgraph-scarylawyerguy"/>
        <xdr:cNvPicPr>
          <a:picLocks/>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19465925" y="64509650"/>
          <a:ext cx="723900" cy="476250"/>
        </a:xfrm>
        <a:prstGeom prst="rect">
          <a:avLst/>
        </a:prstGeom>
      </xdr:spPr>
    </xdr:pic>
    <xdr:clientData/>
  </xdr:twoCellAnchor>
  <xdr:twoCellAnchor editAs="oneCell">
    <xdr:from>
      <xdr:col>17</xdr:col>
      <xdr:colOff>25400</xdr:colOff>
      <xdr:row>68</xdr:row>
      <xdr:rowOff>25400</xdr:rowOff>
    </xdr:from>
    <xdr:to>
      <xdr:col>17</xdr:col>
      <xdr:colOff>749300</xdr:colOff>
      <xdr:row>68</xdr:row>
      <xdr:rowOff>501650</xdr:rowOff>
    </xdr:to>
    <xdr:pic>
      <xdr:nvPicPr>
        <xdr:cNvPr id="125" name="Subgraph-Nanbp"/>
        <xdr:cNvPicPr>
          <a:picLocks/>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19465925" y="65033525"/>
          <a:ext cx="723900" cy="476250"/>
        </a:xfrm>
        <a:prstGeom prst="rect">
          <a:avLst/>
        </a:prstGeom>
      </xdr:spPr>
    </xdr:pic>
    <xdr:clientData/>
  </xdr:twoCellAnchor>
  <xdr:twoCellAnchor editAs="oneCell">
    <xdr:from>
      <xdr:col>17</xdr:col>
      <xdr:colOff>25400</xdr:colOff>
      <xdr:row>127</xdr:row>
      <xdr:rowOff>25400</xdr:rowOff>
    </xdr:from>
    <xdr:to>
      <xdr:col>17</xdr:col>
      <xdr:colOff>749300</xdr:colOff>
      <xdr:row>127</xdr:row>
      <xdr:rowOff>501650</xdr:rowOff>
    </xdr:to>
    <xdr:pic>
      <xdr:nvPicPr>
        <xdr:cNvPr id="126" name="Subgraph-buckaroo1260"/>
        <xdr:cNvPicPr>
          <a:picLocks/>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19465925" y="65557400"/>
          <a:ext cx="723900" cy="476250"/>
        </a:xfrm>
        <a:prstGeom prst="rect">
          <a:avLst/>
        </a:prstGeom>
      </xdr:spPr>
    </xdr:pic>
    <xdr:clientData/>
  </xdr:twoCellAnchor>
  <xdr:twoCellAnchor editAs="oneCell">
    <xdr:from>
      <xdr:col>17</xdr:col>
      <xdr:colOff>25400</xdr:colOff>
      <xdr:row>74</xdr:row>
      <xdr:rowOff>25400</xdr:rowOff>
    </xdr:from>
    <xdr:to>
      <xdr:col>17</xdr:col>
      <xdr:colOff>749300</xdr:colOff>
      <xdr:row>74</xdr:row>
      <xdr:rowOff>501650</xdr:rowOff>
    </xdr:to>
    <xdr:pic>
      <xdr:nvPicPr>
        <xdr:cNvPr id="127" name="Subgraph-ThisisntEasy"/>
        <xdr:cNvPicPr>
          <a:picLocks/>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19465925" y="66081275"/>
          <a:ext cx="723900" cy="476250"/>
        </a:xfrm>
        <a:prstGeom prst="rect">
          <a:avLst/>
        </a:prstGeom>
      </xdr:spPr>
    </xdr:pic>
    <xdr:clientData/>
  </xdr:twoCellAnchor>
  <xdr:twoCellAnchor editAs="oneCell">
    <xdr:from>
      <xdr:col>17</xdr:col>
      <xdr:colOff>25400</xdr:colOff>
      <xdr:row>102</xdr:row>
      <xdr:rowOff>25400</xdr:rowOff>
    </xdr:from>
    <xdr:to>
      <xdr:col>17</xdr:col>
      <xdr:colOff>749300</xdr:colOff>
      <xdr:row>102</xdr:row>
      <xdr:rowOff>501650</xdr:rowOff>
    </xdr:to>
    <xdr:pic>
      <xdr:nvPicPr>
        <xdr:cNvPr id="128" name="Subgraph-facepalm23"/>
        <xdr:cNvPicPr>
          <a:picLocks/>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19465925" y="66605150"/>
          <a:ext cx="723900" cy="476250"/>
        </a:xfrm>
        <a:prstGeom prst="rect">
          <a:avLst/>
        </a:prstGeom>
      </xdr:spPr>
    </xdr:pic>
    <xdr:clientData/>
  </xdr:twoCellAnchor>
  <xdr:twoCellAnchor editAs="oneCell">
    <xdr:from>
      <xdr:col>17</xdr:col>
      <xdr:colOff>25400</xdr:colOff>
      <xdr:row>77</xdr:row>
      <xdr:rowOff>25400</xdr:rowOff>
    </xdr:from>
    <xdr:to>
      <xdr:col>17</xdr:col>
      <xdr:colOff>749300</xdr:colOff>
      <xdr:row>77</xdr:row>
      <xdr:rowOff>501650</xdr:rowOff>
    </xdr:to>
    <xdr:pic>
      <xdr:nvPicPr>
        <xdr:cNvPr id="129" name="Subgraph-ChristiMtl"/>
        <xdr:cNvPicPr>
          <a:picLocks/>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19465925" y="67129025"/>
          <a:ext cx="723900" cy="476250"/>
        </a:xfrm>
        <a:prstGeom prst="rect">
          <a:avLst/>
        </a:prstGeom>
      </xdr:spPr>
    </xdr:pic>
    <xdr:clientData/>
  </xdr:twoCellAnchor>
  <xdr:twoCellAnchor editAs="oneCell">
    <xdr:from>
      <xdr:col>17</xdr:col>
      <xdr:colOff>25400</xdr:colOff>
      <xdr:row>79</xdr:row>
      <xdr:rowOff>25400</xdr:rowOff>
    </xdr:from>
    <xdr:to>
      <xdr:col>17</xdr:col>
      <xdr:colOff>749300</xdr:colOff>
      <xdr:row>79</xdr:row>
      <xdr:rowOff>501650</xdr:rowOff>
    </xdr:to>
    <xdr:pic>
      <xdr:nvPicPr>
        <xdr:cNvPr id="130" name="Subgraph-mummylal"/>
        <xdr:cNvPicPr>
          <a:picLocks/>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19465925" y="67652900"/>
          <a:ext cx="723900" cy="476250"/>
        </a:xfrm>
        <a:prstGeom prst="rect">
          <a:avLst/>
        </a:prstGeom>
      </xdr:spPr>
    </xdr:pic>
    <xdr:clientData/>
  </xdr:twoCellAnchor>
  <xdr:twoCellAnchor editAs="oneCell">
    <xdr:from>
      <xdr:col>17</xdr:col>
      <xdr:colOff>25400</xdr:colOff>
      <xdr:row>83</xdr:row>
      <xdr:rowOff>25400</xdr:rowOff>
    </xdr:from>
    <xdr:to>
      <xdr:col>17</xdr:col>
      <xdr:colOff>749300</xdr:colOff>
      <xdr:row>83</xdr:row>
      <xdr:rowOff>501650</xdr:rowOff>
    </xdr:to>
    <xdr:pic>
      <xdr:nvPicPr>
        <xdr:cNvPr id="131" name="Subgraph-Newsericks"/>
        <xdr:cNvPicPr>
          <a:picLocks/>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19465925" y="68176775"/>
          <a:ext cx="723900" cy="476250"/>
        </a:xfrm>
        <a:prstGeom prst="rect">
          <a:avLst/>
        </a:prstGeom>
      </xdr:spPr>
    </xdr:pic>
    <xdr:clientData/>
  </xdr:twoCellAnchor>
  <xdr:twoCellAnchor editAs="oneCell">
    <xdr:from>
      <xdr:col>17</xdr:col>
      <xdr:colOff>25400</xdr:colOff>
      <xdr:row>182</xdr:row>
      <xdr:rowOff>25400</xdr:rowOff>
    </xdr:from>
    <xdr:to>
      <xdr:col>17</xdr:col>
      <xdr:colOff>749300</xdr:colOff>
      <xdr:row>182</xdr:row>
      <xdr:rowOff>501650</xdr:rowOff>
    </xdr:to>
    <xdr:pic>
      <xdr:nvPicPr>
        <xdr:cNvPr id="132" name="Subgraph-spqr1052"/>
        <xdr:cNvPicPr>
          <a:picLocks/>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19465925" y="68700650"/>
          <a:ext cx="723900" cy="476250"/>
        </a:xfrm>
        <a:prstGeom prst="rect">
          <a:avLst/>
        </a:prstGeom>
      </xdr:spPr>
    </xdr:pic>
    <xdr:clientData/>
  </xdr:twoCellAnchor>
  <xdr:twoCellAnchor editAs="oneCell">
    <xdr:from>
      <xdr:col>17</xdr:col>
      <xdr:colOff>25400</xdr:colOff>
      <xdr:row>55</xdr:row>
      <xdr:rowOff>25400</xdr:rowOff>
    </xdr:from>
    <xdr:to>
      <xdr:col>17</xdr:col>
      <xdr:colOff>749300</xdr:colOff>
      <xdr:row>55</xdr:row>
      <xdr:rowOff>501650</xdr:rowOff>
    </xdr:to>
    <xdr:pic>
      <xdr:nvPicPr>
        <xdr:cNvPr id="133" name="Subgraph-wolfiemouse"/>
        <xdr:cNvPicPr>
          <a:picLocks/>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19465925" y="69224525"/>
          <a:ext cx="723900" cy="476250"/>
        </a:xfrm>
        <a:prstGeom prst="rect">
          <a:avLst/>
        </a:prstGeom>
      </xdr:spPr>
    </xdr:pic>
    <xdr:clientData/>
  </xdr:twoCellAnchor>
  <xdr:twoCellAnchor editAs="oneCell">
    <xdr:from>
      <xdr:col>17</xdr:col>
      <xdr:colOff>25400</xdr:colOff>
      <xdr:row>57</xdr:row>
      <xdr:rowOff>25400</xdr:rowOff>
    </xdr:from>
    <xdr:to>
      <xdr:col>17</xdr:col>
      <xdr:colOff>749300</xdr:colOff>
      <xdr:row>57</xdr:row>
      <xdr:rowOff>501650</xdr:rowOff>
    </xdr:to>
    <xdr:pic>
      <xdr:nvPicPr>
        <xdr:cNvPr id="134" name="Subgraph-JacquelineHine1"/>
        <xdr:cNvPicPr>
          <a:picLocks/>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19465925" y="69748400"/>
          <a:ext cx="723900" cy="476250"/>
        </a:xfrm>
        <a:prstGeom prst="rect">
          <a:avLst/>
        </a:prstGeom>
      </xdr:spPr>
    </xdr:pic>
    <xdr:clientData/>
  </xdr:twoCellAnchor>
  <xdr:twoCellAnchor editAs="oneCell">
    <xdr:from>
      <xdr:col>17</xdr:col>
      <xdr:colOff>25400</xdr:colOff>
      <xdr:row>86</xdr:row>
      <xdr:rowOff>25400</xdr:rowOff>
    </xdr:from>
    <xdr:to>
      <xdr:col>17</xdr:col>
      <xdr:colOff>749300</xdr:colOff>
      <xdr:row>86</xdr:row>
      <xdr:rowOff>501650</xdr:rowOff>
    </xdr:to>
    <xdr:pic>
      <xdr:nvPicPr>
        <xdr:cNvPr id="135" name="Subgraph-crankydem"/>
        <xdr:cNvPicPr>
          <a:picLocks/>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19465925" y="70272275"/>
          <a:ext cx="723900" cy="476250"/>
        </a:xfrm>
        <a:prstGeom prst="rect">
          <a:avLst/>
        </a:prstGeom>
      </xdr:spPr>
    </xdr:pic>
    <xdr:clientData/>
  </xdr:twoCellAnchor>
  <xdr:twoCellAnchor editAs="oneCell">
    <xdr:from>
      <xdr:col>17</xdr:col>
      <xdr:colOff>25400</xdr:colOff>
      <xdr:row>45</xdr:row>
      <xdr:rowOff>25400</xdr:rowOff>
    </xdr:from>
    <xdr:to>
      <xdr:col>17</xdr:col>
      <xdr:colOff>749300</xdr:colOff>
      <xdr:row>45</xdr:row>
      <xdr:rowOff>501650</xdr:rowOff>
    </xdr:to>
    <xdr:pic>
      <xdr:nvPicPr>
        <xdr:cNvPr id="136" name="Subgraph-missb62"/>
        <xdr:cNvPicPr>
          <a:picLocks/>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19465925" y="70796150"/>
          <a:ext cx="723900" cy="476250"/>
        </a:xfrm>
        <a:prstGeom prst="rect">
          <a:avLst/>
        </a:prstGeom>
      </xdr:spPr>
    </xdr:pic>
    <xdr:clientData/>
  </xdr:twoCellAnchor>
  <xdr:twoCellAnchor editAs="oneCell">
    <xdr:from>
      <xdr:col>17</xdr:col>
      <xdr:colOff>25400</xdr:colOff>
      <xdr:row>183</xdr:row>
      <xdr:rowOff>25400</xdr:rowOff>
    </xdr:from>
    <xdr:to>
      <xdr:col>17</xdr:col>
      <xdr:colOff>749300</xdr:colOff>
      <xdr:row>183</xdr:row>
      <xdr:rowOff>501650</xdr:rowOff>
    </xdr:to>
    <xdr:pic>
      <xdr:nvPicPr>
        <xdr:cNvPr id="137" name="Subgraph-Gukorru"/>
        <xdr:cNvPicPr>
          <a:picLocks/>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19465925" y="71320025"/>
          <a:ext cx="723900" cy="476250"/>
        </a:xfrm>
        <a:prstGeom prst="rect">
          <a:avLst/>
        </a:prstGeom>
      </xdr:spPr>
    </xdr:pic>
    <xdr:clientData/>
  </xdr:twoCellAnchor>
  <xdr:twoCellAnchor editAs="oneCell">
    <xdr:from>
      <xdr:col>17</xdr:col>
      <xdr:colOff>25400</xdr:colOff>
      <xdr:row>184</xdr:row>
      <xdr:rowOff>25400</xdr:rowOff>
    </xdr:from>
    <xdr:to>
      <xdr:col>17</xdr:col>
      <xdr:colOff>749300</xdr:colOff>
      <xdr:row>184</xdr:row>
      <xdr:rowOff>501650</xdr:rowOff>
    </xdr:to>
    <xdr:pic>
      <xdr:nvPicPr>
        <xdr:cNvPr id="138" name="Subgraph-MMBlosser"/>
        <xdr:cNvPicPr>
          <a:picLocks/>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19465925" y="71843900"/>
          <a:ext cx="723900" cy="476250"/>
        </a:xfrm>
        <a:prstGeom prst="rect">
          <a:avLst/>
        </a:prstGeom>
      </xdr:spPr>
    </xdr:pic>
    <xdr:clientData/>
  </xdr:twoCellAnchor>
  <xdr:twoCellAnchor editAs="oneCell">
    <xdr:from>
      <xdr:col>17</xdr:col>
      <xdr:colOff>25400</xdr:colOff>
      <xdr:row>110</xdr:row>
      <xdr:rowOff>25400</xdr:rowOff>
    </xdr:from>
    <xdr:to>
      <xdr:col>17</xdr:col>
      <xdr:colOff>749300</xdr:colOff>
      <xdr:row>110</xdr:row>
      <xdr:rowOff>501650</xdr:rowOff>
    </xdr:to>
    <xdr:pic>
      <xdr:nvPicPr>
        <xdr:cNvPr id="139" name="Subgraph-DaveJensen7"/>
        <xdr:cNvPicPr>
          <a:picLocks/>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19465925" y="72367775"/>
          <a:ext cx="723900" cy="476250"/>
        </a:xfrm>
        <a:prstGeom prst="rect">
          <a:avLst/>
        </a:prstGeom>
      </xdr:spPr>
    </xdr:pic>
    <xdr:clientData/>
  </xdr:twoCellAnchor>
  <xdr:twoCellAnchor editAs="oneCell">
    <xdr:from>
      <xdr:col>17</xdr:col>
      <xdr:colOff>25400</xdr:colOff>
      <xdr:row>97</xdr:row>
      <xdr:rowOff>25400</xdr:rowOff>
    </xdr:from>
    <xdr:to>
      <xdr:col>17</xdr:col>
      <xdr:colOff>749300</xdr:colOff>
      <xdr:row>97</xdr:row>
      <xdr:rowOff>501650</xdr:rowOff>
    </xdr:to>
    <xdr:pic>
      <xdr:nvPicPr>
        <xdr:cNvPr id="140" name="Subgraph-mike_truman"/>
        <xdr:cNvPicPr>
          <a:picLocks/>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19465925" y="72891650"/>
          <a:ext cx="723900" cy="476250"/>
        </a:xfrm>
        <a:prstGeom prst="rect">
          <a:avLst/>
        </a:prstGeom>
      </xdr:spPr>
    </xdr:pic>
    <xdr:clientData/>
  </xdr:twoCellAnchor>
  <xdr:twoCellAnchor editAs="oneCell">
    <xdr:from>
      <xdr:col>17</xdr:col>
      <xdr:colOff>25400</xdr:colOff>
      <xdr:row>10</xdr:row>
      <xdr:rowOff>25400</xdr:rowOff>
    </xdr:from>
    <xdr:to>
      <xdr:col>17</xdr:col>
      <xdr:colOff>749300</xdr:colOff>
      <xdr:row>10</xdr:row>
      <xdr:rowOff>501650</xdr:rowOff>
    </xdr:to>
    <xdr:pic>
      <xdr:nvPicPr>
        <xdr:cNvPr id="141" name="Subgraph-Time2Standup80"/>
        <xdr:cNvPicPr>
          <a:picLocks/>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19465925" y="73415525"/>
          <a:ext cx="723900" cy="476250"/>
        </a:xfrm>
        <a:prstGeom prst="rect">
          <a:avLst/>
        </a:prstGeom>
      </xdr:spPr>
    </xdr:pic>
    <xdr:clientData/>
  </xdr:twoCellAnchor>
  <xdr:twoCellAnchor editAs="oneCell">
    <xdr:from>
      <xdr:col>17</xdr:col>
      <xdr:colOff>25400</xdr:colOff>
      <xdr:row>109</xdr:row>
      <xdr:rowOff>25400</xdr:rowOff>
    </xdr:from>
    <xdr:to>
      <xdr:col>17</xdr:col>
      <xdr:colOff>749300</xdr:colOff>
      <xdr:row>109</xdr:row>
      <xdr:rowOff>501650</xdr:rowOff>
    </xdr:to>
    <xdr:pic>
      <xdr:nvPicPr>
        <xdr:cNvPr id="142" name="Subgraph-JNeumann54"/>
        <xdr:cNvPicPr>
          <a:picLocks/>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19465925" y="73939400"/>
          <a:ext cx="723900" cy="476250"/>
        </a:xfrm>
        <a:prstGeom prst="rect">
          <a:avLst/>
        </a:prstGeom>
      </xdr:spPr>
    </xdr:pic>
    <xdr:clientData/>
  </xdr:twoCellAnchor>
  <xdr:twoCellAnchor editAs="oneCell">
    <xdr:from>
      <xdr:col>17</xdr:col>
      <xdr:colOff>25400</xdr:colOff>
      <xdr:row>67</xdr:row>
      <xdr:rowOff>25400</xdr:rowOff>
    </xdr:from>
    <xdr:to>
      <xdr:col>17</xdr:col>
      <xdr:colOff>749300</xdr:colOff>
      <xdr:row>67</xdr:row>
      <xdr:rowOff>501650</xdr:rowOff>
    </xdr:to>
    <xdr:pic>
      <xdr:nvPicPr>
        <xdr:cNvPr id="143" name="Subgraph-SueWinMA"/>
        <xdr:cNvPicPr>
          <a:picLocks/>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19465925" y="74463275"/>
          <a:ext cx="723900" cy="476250"/>
        </a:xfrm>
        <a:prstGeom prst="rect">
          <a:avLst/>
        </a:prstGeom>
      </xdr:spPr>
    </xdr:pic>
    <xdr:clientData/>
  </xdr:twoCellAnchor>
  <xdr:twoCellAnchor editAs="oneCell">
    <xdr:from>
      <xdr:col>17</xdr:col>
      <xdr:colOff>25400</xdr:colOff>
      <xdr:row>62</xdr:row>
      <xdr:rowOff>25400</xdr:rowOff>
    </xdr:from>
    <xdr:to>
      <xdr:col>17</xdr:col>
      <xdr:colOff>749300</xdr:colOff>
      <xdr:row>62</xdr:row>
      <xdr:rowOff>501650</xdr:rowOff>
    </xdr:to>
    <xdr:pic>
      <xdr:nvPicPr>
        <xdr:cNvPr id="144" name="Subgraph-Black124"/>
        <xdr:cNvPicPr>
          <a:picLocks/>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19465925" y="74987150"/>
          <a:ext cx="723900" cy="476250"/>
        </a:xfrm>
        <a:prstGeom prst="rect">
          <a:avLst/>
        </a:prstGeom>
      </xdr:spPr>
    </xdr:pic>
    <xdr:clientData/>
  </xdr:twoCellAnchor>
  <xdr:twoCellAnchor editAs="oneCell">
    <xdr:from>
      <xdr:col>17</xdr:col>
      <xdr:colOff>25400</xdr:colOff>
      <xdr:row>37</xdr:row>
      <xdr:rowOff>25400</xdr:rowOff>
    </xdr:from>
    <xdr:to>
      <xdr:col>17</xdr:col>
      <xdr:colOff>749300</xdr:colOff>
      <xdr:row>37</xdr:row>
      <xdr:rowOff>501650</xdr:rowOff>
    </xdr:to>
    <xdr:pic>
      <xdr:nvPicPr>
        <xdr:cNvPr id="145" name="Subgraph-AndrewHClark"/>
        <xdr:cNvPicPr>
          <a:picLocks/>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19465925" y="75511025"/>
          <a:ext cx="723900" cy="476250"/>
        </a:xfrm>
        <a:prstGeom prst="rect">
          <a:avLst/>
        </a:prstGeom>
      </xdr:spPr>
    </xdr:pic>
    <xdr:clientData/>
  </xdr:twoCellAnchor>
  <xdr:twoCellAnchor editAs="oneCell">
    <xdr:from>
      <xdr:col>17</xdr:col>
      <xdr:colOff>25400</xdr:colOff>
      <xdr:row>28</xdr:row>
      <xdr:rowOff>25400</xdr:rowOff>
    </xdr:from>
    <xdr:to>
      <xdr:col>17</xdr:col>
      <xdr:colOff>749300</xdr:colOff>
      <xdr:row>28</xdr:row>
      <xdr:rowOff>501650</xdr:rowOff>
    </xdr:to>
    <xdr:pic>
      <xdr:nvPicPr>
        <xdr:cNvPr id="146" name="Subgraph-Dcarter888K"/>
        <xdr:cNvPicPr>
          <a:picLocks/>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19465925" y="76034900"/>
          <a:ext cx="723900" cy="476250"/>
        </a:xfrm>
        <a:prstGeom prst="rect">
          <a:avLst/>
        </a:prstGeom>
      </xdr:spPr>
    </xdr:pic>
    <xdr:clientData/>
  </xdr:twoCellAnchor>
  <xdr:twoCellAnchor editAs="oneCell">
    <xdr:from>
      <xdr:col>17</xdr:col>
      <xdr:colOff>25400</xdr:colOff>
      <xdr:row>106</xdr:row>
      <xdr:rowOff>25400</xdr:rowOff>
    </xdr:from>
    <xdr:to>
      <xdr:col>17</xdr:col>
      <xdr:colOff>749300</xdr:colOff>
      <xdr:row>106</xdr:row>
      <xdr:rowOff>501650</xdr:rowOff>
    </xdr:to>
    <xdr:pic>
      <xdr:nvPicPr>
        <xdr:cNvPr id="147" name="Subgraph-John_Scott_G"/>
        <xdr:cNvPicPr>
          <a:picLocks/>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19465925" y="76558775"/>
          <a:ext cx="723900" cy="476250"/>
        </a:xfrm>
        <a:prstGeom prst="rect">
          <a:avLst/>
        </a:prstGeom>
      </xdr:spPr>
    </xdr:pic>
    <xdr:clientData/>
  </xdr:twoCellAnchor>
  <xdr:twoCellAnchor editAs="oneCell">
    <xdr:from>
      <xdr:col>17</xdr:col>
      <xdr:colOff>25400</xdr:colOff>
      <xdr:row>52</xdr:row>
      <xdr:rowOff>25400</xdr:rowOff>
    </xdr:from>
    <xdr:to>
      <xdr:col>17</xdr:col>
      <xdr:colOff>749300</xdr:colOff>
      <xdr:row>52</xdr:row>
      <xdr:rowOff>501650</xdr:rowOff>
    </xdr:to>
    <xdr:pic>
      <xdr:nvPicPr>
        <xdr:cNvPr id="148" name="Subgraph-utahpioneer"/>
        <xdr:cNvPicPr>
          <a:picLocks/>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19465925" y="77082650"/>
          <a:ext cx="723900" cy="476250"/>
        </a:xfrm>
        <a:prstGeom prst="rect">
          <a:avLst/>
        </a:prstGeom>
      </xdr:spPr>
    </xdr:pic>
    <xdr:clientData/>
  </xdr:twoCellAnchor>
  <xdr:twoCellAnchor editAs="oneCell">
    <xdr:from>
      <xdr:col>17</xdr:col>
      <xdr:colOff>25400</xdr:colOff>
      <xdr:row>43</xdr:row>
      <xdr:rowOff>25400</xdr:rowOff>
    </xdr:from>
    <xdr:to>
      <xdr:col>17</xdr:col>
      <xdr:colOff>749300</xdr:colOff>
      <xdr:row>43</xdr:row>
      <xdr:rowOff>501650</xdr:rowOff>
    </xdr:to>
    <xdr:pic>
      <xdr:nvPicPr>
        <xdr:cNvPr id="149" name="Subgraph-gitmo62"/>
        <xdr:cNvPicPr>
          <a:picLocks/>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19465925" y="77606525"/>
          <a:ext cx="723900" cy="476250"/>
        </a:xfrm>
        <a:prstGeom prst="rect">
          <a:avLst/>
        </a:prstGeom>
      </xdr:spPr>
    </xdr:pic>
    <xdr:clientData/>
  </xdr:twoCellAnchor>
  <xdr:twoCellAnchor editAs="oneCell">
    <xdr:from>
      <xdr:col>17</xdr:col>
      <xdr:colOff>25400</xdr:colOff>
      <xdr:row>123</xdr:row>
      <xdr:rowOff>25400</xdr:rowOff>
    </xdr:from>
    <xdr:to>
      <xdr:col>17</xdr:col>
      <xdr:colOff>749300</xdr:colOff>
      <xdr:row>123</xdr:row>
      <xdr:rowOff>501650</xdr:rowOff>
    </xdr:to>
    <xdr:pic>
      <xdr:nvPicPr>
        <xdr:cNvPr id="150" name="Subgraph-VictorB123"/>
        <xdr:cNvPicPr>
          <a:picLocks/>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19465925" y="78130400"/>
          <a:ext cx="723900" cy="476250"/>
        </a:xfrm>
        <a:prstGeom prst="rect">
          <a:avLst/>
        </a:prstGeom>
      </xdr:spPr>
    </xdr:pic>
    <xdr:clientData/>
  </xdr:twoCellAnchor>
  <xdr:twoCellAnchor editAs="oneCell">
    <xdr:from>
      <xdr:col>17</xdr:col>
      <xdr:colOff>25400</xdr:colOff>
      <xdr:row>91</xdr:row>
      <xdr:rowOff>25400</xdr:rowOff>
    </xdr:from>
    <xdr:to>
      <xdr:col>17</xdr:col>
      <xdr:colOff>749300</xdr:colOff>
      <xdr:row>91</xdr:row>
      <xdr:rowOff>501650</xdr:rowOff>
    </xdr:to>
    <xdr:pic>
      <xdr:nvPicPr>
        <xdr:cNvPr id="151" name="Subgraph-MissMarple2"/>
        <xdr:cNvPicPr>
          <a:picLocks/>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19465925" y="78654275"/>
          <a:ext cx="723900" cy="476250"/>
        </a:xfrm>
        <a:prstGeom prst="rect">
          <a:avLst/>
        </a:prstGeom>
      </xdr:spPr>
    </xdr:pic>
    <xdr:clientData/>
  </xdr:twoCellAnchor>
  <xdr:twoCellAnchor editAs="oneCell">
    <xdr:from>
      <xdr:col>17</xdr:col>
      <xdr:colOff>25400</xdr:colOff>
      <xdr:row>22</xdr:row>
      <xdr:rowOff>25400</xdr:rowOff>
    </xdr:from>
    <xdr:to>
      <xdr:col>17</xdr:col>
      <xdr:colOff>749300</xdr:colOff>
      <xdr:row>22</xdr:row>
      <xdr:rowOff>501650</xdr:rowOff>
    </xdr:to>
    <xdr:pic>
      <xdr:nvPicPr>
        <xdr:cNvPr id="152" name="Subgraph-CindyCoops"/>
        <xdr:cNvPicPr>
          <a:picLocks/>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19465925" y="79178150"/>
          <a:ext cx="723900" cy="476250"/>
        </a:xfrm>
        <a:prstGeom prst="rect">
          <a:avLst/>
        </a:prstGeom>
      </xdr:spPr>
    </xdr:pic>
    <xdr:clientData/>
  </xdr:twoCellAnchor>
  <xdr:twoCellAnchor editAs="oneCell">
    <xdr:from>
      <xdr:col>17</xdr:col>
      <xdr:colOff>25400</xdr:colOff>
      <xdr:row>30</xdr:row>
      <xdr:rowOff>25400</xdr:rowOff>
    </xdr:from>
    <xdr:to>
      <xdr:col>17</xdr:col>
      <xdr:colOff>749300</xdr:colOff>
      <xdr:row>30</xdr:row>
      <xdr:rowOff>501650</xdr:rowOff>
    </xdr:to>
    <xdr:pic>
      <xdr:nvPicPr>
        <xdr:cNvPr id="153" name="Subgraph-rterenzi1"/>
        <xdr:cNvPicPr>
          <a:picLocks/>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19465925" y="79702025"/>
          <a:ext cx="723900" cy="476250"/>
        </a:xfrm>
        <a:prstGeom prst="rect">
          <a:avLst/>
        </a:prstGeom>
      </xdr:spPr>
    </xdr:pic>
    <xdr:clientData/>
  </xdr:twoCellAnchor>
  <xdr:twoCellAnchor editAs="oneCell">
    <xdr:from>
      <xdr:col>17</xdr:col>
      <xdr:colOff>25400</xdr:colOff>
      <xdr:row>29</xdr:row>
      <xdr:rowOff>25400</xdr:rowOff>
    </xdr:from>
    <xdr:to>
      <xdr:col>17</xdr:col>
      <xdr:colOff>749300</xdr:colOff>
      <xdr:row>29</xdr:row>
      <xdr:rowOff>501650</xdr:rowOff>
    </xdr:to>
    <xdr:pic>
      <xdr:nvPicPr>
        <xdr:cNvPr id="154" name="Subgraph-SayethSimon"/>
        <xdr:cNvPicPr>
          <a:picLocks/>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19465925" y="80225900"/>
          <a:ext cx="723900" cy="476250"/>
        </a:xfrm>
        <a:prstGeom prst="rect">
          <a:avLst/>
        </a:prstGeom>
      </xdr:spPr>
    </xdr:pic>
    <xdr:clientData/>
  </xdr:twoCellAnchor>
  <xdr:twoCellAnchor editAs="oneCell">
    <xdr:from>
      <xdr:col>17</xdr:col>
      <xdr:colOff>25400</xdr:colOff>
      <xdr:row>66</xdr:row>
      <xdr:rowOff>25400</xdr:rowOff>
    </xdr:from>
    <xdr:to>
      <xdr:col>17</xdr:col>
      <xdr:colOff>749300</xdr:colOff>
      <xdr:row>66</xdr:row>
      <xdr:rowOff>501650</xdr:rowOff>
    </xdr:to>
    <xdr:pic>
      <xdr:nvPicPr>
        <xdr:cNvPr id="155" name="Subgraph-VandelayDelores"/>
        <xdr:cNvPicPr>
          <a:picLocks/>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19465925" y="80749775"/>
          <a:ext cx="723900" cy="476250"/>
        </a:xfrm>
        <a:prstGeom prst="rect">
          <a:avLst/>
        </a:prstGeom>
      </xdr:spPr>
    </xdr:pic>
    <xdr:clientData/>
  </xdr:twoCellAnchor>
  <xdr:twoCellAnchor editAs="oneCell">
    <xdr:from>
      <xdr:col>17</xdr:col>
      <xdr:colOff>25400</xdr:colOff>
      <xdr:row>75</xdr:row>
      <xdr:rowOff>25400</xdr:rowOff>
    </xdr:from>
    <xdr:to>
      <xdr:col>17</xdr:col>
      <xdr:colOff>749300</xdr:colOff>
      <xdr:row>75</xdr:row>
      <xdr:rowOff>501650</xdr:rowOff>
    </xdr:to>
    <xdr:pic>
      <xdr:nvPicPr>
        <xdr:cNvPr id="156" name="Subgraph-beehonest50"/>
        <xdr:cNvPicPr>
          <a:picLocks/>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19465925" y="81273650"/>
          <a:ext cx="723900" cy="476250"/>
        </a:xfrm>
        <a:prstGeom prst="rect">
          <a:avLst/>
        </a:prstGeom>
      </xdr:spPr>
    </xdr:pic>
    <xdr:clientData/>
  </xdr:twoCellAnchor>
  <xdr:twoCellAnchor editAs="oneCell">
    <xdr:from>
      <xdr:col>17</xdr:col>
      <xdr:colOff>25400</xdr:colOff>
      <xdr:row>185</xdr:row>
      <xdr:rowOff>25400</xdr:rowOff>
    </xdr:from>
    <xdr:to>
      <xdr:col>17</xdr:col>
      <xdr:colOff>749300</xdr:colOff>
      <xdr:row>185</xdr:row>
      <xdr:rowOff>501650</xdr:rowOff>
    </xdr:to>
    <xdr:pic>
      <xdr:nvPicPr>
        <xdr:cNvPr id="157" name="Subgraph-SrCal"/>
        <xdr:cNvPicPr>
          <a:picLocks/>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19465925" y="81797525"/>
          <a:ext cx="723900" cy="476250"/>
        </a:xfrm>
        <a:prstGeom prst="rect">
          <a:avLst/>
        </a:prstGeom>
      </xdr:spPr>
    </xdr:pic>
    <xdr:clientData/>
  </xdr:twoCellAnchor>
  <xdr:twoCellAnchor editAs="oneCell">
    <xdr:from>
      <xdr:col>17</xdr:col>
      <xdr:colOff>25400</xdr:colOff>
      <xdr:row>95</xdr:row>
      <xdr:rowOff>25400</xdr:rowOff>
    </xdr:from>
    <xdr:to>
      <xdr:col>17</xdr:col>
      <xdr:colOff>749300</xdr:colOff>
      <xdr:row>95</xdr:row>
      <xdr:rowOff>501650</xdr:rowOff>
    </xdr:to>
    <xdr:pic>
      <xdr:nvPicPr>
        <xdr:cNvPr id="158" name="Subgraph-8th_of_Branstad"/>
        <xdr:cNvPicPr>
          <a:picLocks/>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19465925" y="82321400"/>
          <a:ext cx="723900" cy="476250"/>
        </a:xfrm>
        <a:prstGeom prst="rect">
          <a:avLst/>
        </a:prstGeom>
      </xdr:spPr>
    </xdr:pic>
    <xdr:clientData/>
  </xdr:twoCellAnchor>
  <xdr:twoCellAnchor editAs="oneCell">
    <xdr:from>
      <xdr:col>17</xdr:col>
      <xdr:colOff>25400</xdr:colOff>
      <xdr:row>105</xdr:row>
      <xdr:rowOff>25400</xdr:rowOff>
    </xdr:from>
    <xdr:to>
      <xdr:col>17</xdr:col>
      <xdr:colOff>749300</xdr:colOff>
      <xdr:row>105</xdr:row>
      <xdr:rowOff>501650</xdr:rowOff>
    </xdr:to>
    <xdr:pic>
      <xdr:nvPicPr>
        <xdr:cNvPr id="159" name="Subgraph-LisaTalmadge"/>
        <xdr:cNvPicPr>
          <a:picLocks/>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9465925" y="82845275"/>
          <a:ext cx="723900" cy="476250"/>
        </a:xfrm>
        <a:prstGeom prst="rect">
          <a:avLst/>
        </a:prstGeom>
      </xdr:spPr>
    </xdr:pic>
    <xdr:clientData/>
  </xdr:twoCellAnchor>
  <xdr:twoCellAnchor editAs="oneCell">
    <xdr:from>
      <xdr:col>17</xdr:col>
      <xdr:colOff>25400</xdr:colOff>
      <xdr:row>92</xdr:row>
      <xdr:rowOff>25400</xdr:rowOff>
    </xdr:from>
    <xdr:to>
      <xdr:col>17</xdr:col>
      <xdr:colOff>749300</xdr:colOff>
      <xdr:row>92</xdr:row>
      <xdr:rowOff>501650</xdr:rowOff>
    </xdr:to>
    <xdr:pic>
      <xdr:nvPicPr>
        <xdr:cNvPr id="160" name="Subgraph-HiJCP"/>
        <xdr:cNvPicPr>
          <a:picLocks/>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9465925" y="83369150"/>
          <a:ext cx="723900" cy="476250"/>
        </a:xfrm>
        <a:prstGeom prst="rect">
          <a:avLst/>
        </a:prstGeom>
      </xdr:spPr>
    </xdr:pic>
    <xdr:clientData/>
  </xdr:twoCellAnchor>
  <xdr:twoCellAnchor editAs="oneCell">
    <xdr:from>
      <xdr:col>17</xdr:col>
      <xdr:colOff>25400</xdr:colOff>
      <xdr:row>89</xdr:row>
      <xdr:rowOff>25400</xdr:rowOff>
    </xdr:from>
    <xdr:to>
      <xdr:col>17</xdr:col>
      <xdr:colOff>749300</xdr:colOff>
      <xdr:row>89</xdr:row>
      <xdr:rowOff>501650</xdr:rowOff>
    </xdr:to>
    <xdr:pic>
      <xdr:nvPicPr>
        <xdr:cNvPr id="161" name="Subgraph-tikibandur"/>
        <xdr:cNvPicPr>
          <a:picLocks/>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19465925" y="83893025"/>
          <a:ext cx="723900" cy="476250"/>
        </a:xfrm>
        <a:prstGeom prst="rect">
          <a:avLst/>
        </a:prstGeom>
      </xdr:spPr>
    </xdr:pic>
    <xdr:clientData/>
  </xdr:twoCellAnchor>
  <xdr:twoCellAnchor editAs="oneCell">
    <xdr:from>
      <xdr:col>17</xdr:col>
      <xdr:colOff>25400</xdr:colOff>
      <xdr:row>88</xdr:row>
      <xdr:rowOff>25400</xdr:rowOff>
    </xdr:from>
    <xdr:to>
      <xdr:col>17</xdr:col>
      <xdr:colOff>749300</xdr:colOff>
      <xdr:row>88</xdr:row>
      <xdr:rowOff>501650</xdr:rowOff>
    </xdr:to>
    <xdr:pic>
      <xdr:nvPicPr>
        <xdr:cNvPr id="162" name="Subgraph-AmPriorities"/>
        <xdr:cNvPicPr>
          <a:picLocks/>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19465925" y="84416900"/>
          <a:ext cx="723900" cy="476250"/>
        </a:xfrm>
        <a:prstGeom prst="rect">
          <a:avLst/>
        </a:prstGeom>
      </xdr:spPr>
    </xdr:pic>
    <xdr:clientData/>
  </xdr:twoCellAnchor>
  <xdr:twoCellAnchor editAs="oneCell">
    <xdr:from>
      <xdr:col>17</xdr:col>
      <xdr:colOff>25400</xdr:colOff>
      <xdr:row>186</xdr:row>
      <xdr:rowOff>25400</xdr:rowOff>
    </xdr:from>
    <xdr:to>
      <xdr:col>17</xdr:col>
      <xdr:colOff>749300</xdr:colOff>
      <xdr:row>186</xdr:row>
      <xdr:rowOff>501650</xdr:rowOff>
    </xdr:to>
    <xdr:pic>
      <xdr:nvPicPr>
        <xdr:cNvPr id="163" name="Subgraph-mwoodward4"/>
        <xdr:cNvPicPr>
          <a:picLocks/>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19465925" y="84940775"/>
          <a:ext cx="723900" cy="476250"/>
        </a:xfrm>
        <a:prstGeom prst="rect">
          <a:avLst/>
        </a:prstGeom>
      </xdr:spPr>
    </xdr:pic>
    <xdr:clientData/>
  </xdr:twoCellAnchor>
  <xdr:twoCellAnchor editAs="oneCell">
    <xdr:from>
      <xdr:col>17</xdr:col>
      <xdr:colOff>25400</xdr:colOff>
      <xdr:row>94</xdr:row>
      <xdr:rowOff>25400</xdr:rowOff>
    </xdr:from>
    <xdr:to>
      <xdr:col>17</xdr:col>
      <xdr:colOff>749300</xdr:colOff>
      <xdr:row>94</xdr:row>
      <xdr:rowOff>501650</xdr:rowOff>
    </xdr:to>
    <xdr:pic>
      <xdr:nvPicPr>
        <xdr:cNvPr id="164" name="Subgraph-JamesYontrofsky"/>
        <xdr:cNvPicPr>
          <a:picLocks/>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19465925" y="85464650"/>
          <a:ext cx="723900" cy="476250"/>
        </a:xfrm>
        <a:prstGeom prst="rect">
          <a:avLst/>
        </a:prstGeom>
      </xdr:spPr>
    </xdr:pic>
    <xdr:clientData/>
  </xdr:twoCellAnchor>
  <xdr:twoCellAnchor editAs="oneCell">
    <xdr:from>
      <xdr:col>17</xdr:col>
      <xdr:colOff>25400</xdr:colOff>
      <xdr:row>48</xdr:row>
      <xdr:rowOff>25400</xdr:rowOff>
    </xdr:from>
    <xdr:to>
      <xdr:col>17</xdr:col>
      <xdr:colOff>749300</xdr:colOff>
      <xdr:row>48</xdr:row>
      <xdr:rowOff>501650</xdr:rowOff>
    </xdr:to>
    <xdr:pic>
      <xdr:nvPicPr>
        <xdr:cNvPr id="165" name="Subgraph-Imjetta"/>
        <xdr:cNvPicPr>
          <a:picLocks/>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19465925" y="85988525"/>
          <a:ext cx="723900" cy="476250"/>
        </a:xfrm>
        <a:prstGeom prst="rect">
          <a:avLst/>
        </a:prstGeom>
      </xdr:spPr>
    </xdr:pic>
    <xdr:clientData/>
  </xdr:twoCellAnchor>
  <xdr:twoCellAnchor editAs="oneCell">
    <xdr:from>
      <xdr:col>17</xdr:col>
      <xdr:colOff>25400</xdr:colOff>
      <xdr:row>107</xdr:row>
      <xdr:rowOff>25400</xdr:rowOff>
    </xdr:from>
    <xdr:to>
      <xdr:col>17</xdr:col>
      <xdr:colOff>749300</xdr:colOff>
      <xdr:row>107</xdr:row>
      <xdr:rowOff>501650</xdr:rowOff>
    </xdr:to>
    <xdr:pic>
      <xdr:nvPicPr>
        <xdr:cNvPr id="166" name="Subgraph-FJ473"/>
        <xdr:cNvPicPr>
          <a:picLocks/>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19465925" y="86512400"/>
          <a:ext cx="723900" cy="476250"/>
        </a:xfrm>
        <a:prstGeom prst="rect">
          <a:avLst/>
        </a:prstGeom>
      </xdr:spPr>
    </xdr:pic>
    <xdr:clientData/>
  </xdr:twoCellAnchor>
  <xdr:twoCellAnchor editAs="oneCell">
    <xdr:from>
      <xdr:col>17</xdr:col>
      <xdr:colOff>25400</xdr:colOff>
      <xdr:row>121</xdr:row>
      <xdr:rowOff>25400</xdr:rowOff>
    </xdr:from>
    <xdr:to>
      <xdr:col>17</xdr:col>
      <xdr:colOff>749300</xdr:colOff>
      <xdr:row>121</xdr:row>
      <xdr:rowOff>501650</xdr:rowOff>
    </xdr:to>
    <xdr:pic>
      <xdr:nvPicPr>
        <xdr:cNvPr id="167" name="Subgraph-pmrushirish"/>
        <xdr:cNvPicPr>
          <a:picLocks/>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19465925" y="87036275"/>
          <a:ext cx="723900" cy="476250"/>
        </a:xfrm>
        <a:prstGeom prst="rect">
          <a:avLst/>
        </a:prstGeom>
      </xdr:spPr>
    </xdr:pic>
    <xdr:clientData/>
  </xdr:twoCellAnchor>
  <xdr:twoCellAnchor editAs="oneCell">
    <xdr:from>
      <xdr:col>17</xdr:col>
      <xdr:colOff>25400</xdr:colOff>
      <xdr:row>36</xdr:row>
      <xdr:rowOff>25400</xdr:rowOff>
    </xdr:from>
    <xdr:to>
      <xdr:col>17</xdr:col>
      <xdr:colOff>749300</xdr:colOff>
      <xdr:row>36</xdr:row>
      <xdr:rowOff>501650</xdr:rowOff>
    </xdr:to>
    <xdr:pic>
      <xdr:nvPicPr>
        <xdr:cNvPr id="168" name="Subgraph-ACollinsByrnes"/>
        <xdr:cNvPicPr>
          <a:picLocks/>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19465925" y="87560150"/>
          <a:ext cx="723900" cy="476250"/>
        </a:xfrm>
        <a:prstGeom prst="rect">
          <a:avLst/>
        </a:prstGeom>
      </xdr:spPr>
    </xdr:pic>
    <xdr:clientData/>
  </xdr:twoCellAnchor>
  <xdr:twoCellAnchor editAs="oneCell">
    <xdr:from>
      <xdr:col>17</xdr:col>
      <xdr:colOff>25400</xdr:colOff>
      <xdr:row>96</xdr:row>
      <xdr:rowOff>25400</xdr:rowOff>
    </xdr:from>
    <xdr:to>
      <xdr:col>17</xdr:col>
      <xdr:colOff>749300</xdr:colOff>
      <xdr:row>96</xdr:row>
      <xdr:rowOff>501650</xdr:rowOff>
    </xdr:to>
    <xdr:pic>
      <xdr:nvPicPr>
        <xdr:cNvPr id="169" name="Subgraph-owendbanks"/>
        <xdr:cNvPicPr>
          <a:picLocks/>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19465925" y="88084025"/>
          <a:ext cx="723900" cy="476250"/>
        </a:xfrm>
        <a:prstGeom prst="rect">
          <a:avLst/>
        </a:prstGeom>
      </xdr:spPr>
    </xdr:pic>
    <xdr:clientData/>
  </xdr:twoCellAnchor>
  <xdr:twoCellAnchor editAs="oneCell">
    <xdr:from>
      <xdr:col>17</xdr:col>
      <xdr:colOff>25400</xdr:colOff>
      <xdr:row>5</xdr:row>
      <xdr:rowOff>25400</xdr:rowOff>
    </xdr:from>
    <xdr:to>
      <xdr:col>17</xdr:col>
      <xdr:colOff>749300</xdr:colOff>
      <xdr:row>5</xdr:row>
      <xdr:rowOff>501650</xdr:rowOff>
    </xdr:to>
    <xdr:pic>
      <xdr:nvPicPr>
        <xdr:cNvPr id="170" name="Subgraph-Norsu2"/>
        <xdr:cNvPicPr>
          <a:picLocks/>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19465925" y="88607900"/>
          <a:ext cx="723900" cy="476250"/>
        </a:xfrm>
        <a:prstGeom prst="rect">
          <a:avLst/>
        </a:prstGeom>
      </xdr:spPr>
    </xdr:pic>
    <xdr:clientData/>
  </xdr:twoCellAnchor>
  <xdr:twoCellAnchor editAs="oneCell">
    <xdr:from>
      <xdr:col>17</xdr:col>
      <xdr:colOff>25400</xdr:colOff>
      <xdr:row>187</xdr:row>
      <xdr:rowOff>25400</xdr:rowOff>
    </xdr:from>
    <xdr:to>
      <xdr:col>17</xdr:col>
      <xdr:colOff>749300</xdr:colOff>
      <xdr:row>187</xdr:row>
      <xdr:rowOff>501650</xdr:rowOff>
    </xdr:to>
    <xdr:pic>
      <xdr:nvPicPr>
        <xdr:cNvPr id="171" name="Subgraph-sigstarget"/>
        <xdr:cNvPicPr>
          <a:picLocks/>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19465925" y="89131775"/>
          <a:ext cx="723900" cy="476250"/>
        </a:xfrm>
        <a:prstGeom prst="rect">
          <a:avLst/>
        </a:prstGeom>
      </xdr:spPr>
    </xdr:pic>
    <xdr:clientData/>
  </xdr:twoCellAnchor>
  <xdr:twoCellAnchor editAs="oneCell">
    <xdr:from>
      <xdr:col>17</xdr:col>
      <xdr:colOff>25400</xdr:colOff>
      <xdr:row>78</xdr:row>
      <xdr:rowOff>25400</xdr:rowOff>
    </xdr:from>
    <xdr:to>
      <xdr:col>17</xdr:col>
      <xdr:colOff>749300</xdr:colOff>
      <xdr:row>78</xdr:row>
      <xdr:rowOff>501650</xdr:rowOff>
    </xdr:to>
    <xdr:pic>
      <xdr:nvPicPr>
        <xdr:cNvPr id="172" name="Subgraph-AmericanMind"/>
        <xdr:cNvPicPr>
          <a:picLocks/>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19465925" y="89655650"/>
          <a:ext cx="723900" cy="476250"/>
        </a:xfrm>
        <a:prstGeom prst="rect">
          <a:avLst/>
        </a:prstGeom>
      </xdr:spPr>
    </xdr:pic>
    <xdr:clientData/>
  </xdr:twoCellAnchor>
  <xdr:twoCellAnchor editAs="oneCell">
    <xdr:from>
      <xdr:col>17</xdr:col>
      <xdr:colOff>25400</xdr:colOff>
      <xdr:row>72</xdr:row>
      <xdr:rowOff>25400</xdr:rowOff>
    </xdr:from>
    <xdr:to>
      <xdr:col>17</xdr:col>
      <xdr:colOff>749300</xdr:colOff>
      <xdr:row>72</xdr:row>
      <xdr:rowOff>501650</xdr:rowOff>
    </xdr:to>
    <xdr:pic>
      <xdr:nvPicPr>
        <xdr:cNvPr id="173" name="Subgraph-lymurp"/>
        <xdr:cNvPicPr>
          <a:picLocks/>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19465925" y="90179525"/>
          <a:ext cx="723900" cy="476250"/>
        </a:xfrm>
        <a:prstGeom prst="rect">
          <a:avLst/>
        </a:prstGeom>
      </xdr:spPr>
    </xdr:pic>
    <xdr:clientData/>
  </xdr:twoCellAnchor>
  <xdr:twoCellAnchor editAs="oneCell">
    <xdr:from>
      <xdr:col>17</xdr:col>
      <xdr:colOff>25400</xdr:colOff>
      <xdr:row>108</xdr:row>
      <xdr:rowOff>25400</xdr:rowOff>
    </xdr:from>
    <xdr:to>
      <xdr:col>17</xdr:col>
      <xdr:colOff>749300</xdr:colOff>
      <xdr:row>108</xdr:row>
      <xdr:rowOff>501650</xdr:rowOff>
    </xdr:to>
    <xdr:pic>
      <xdr:nvPicPr>
        <xdr:cNvPr id="174" name="Subgraph-liars_never_win"/>
        <xdr:cNvPicPr>
          <a:picLocks/>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19465925" y="90703400"/>
          <a:ext cx="723900" cy="476250"/>
        </a:xfrm>
        <a:prstGeom prst="rect">
          <a:avLst/>
        </a:prstGeom>
      </xdr:spPr>
    </xdr:pic>
    <xdr:clientData/>
  </xdr:twoCellAnchor>
  <xdr:twoCellAnchor editAs="oneCell">
    <xdr:from>
      <xdr:col>17</xdr:col>
      <xdr:colOff>25400</xdr:colOff>
      <xdr:row>70</xdr:row>
      <xdr:rowOff>25400</xdr:rowOff>
    </xdr:from>
    <xdr:to>
      <xdr:col>17</xdr:col>
      <xdr:colOff>749300</xdr:colOff>
      <xdr:row>70</xdr:row>
      <xdr:rowOff>501650</xdr:rowOff>
    </xdr:to>
    <xdr:pic>
      <xdr:nvPicPr>
        <xdr:cNvPr id="175" name="Subgraph-juliagulia614"/>
        <xdr:cNvPicPr>
          <a:picLocks/>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19465925" y="91227275"/>
          <a:ext cx="723900" cy="476250"/>
        </a:xfrm>
        <a:prstGeom prst="rect">
          <a:avLst/>
        </a:prstGeom>
      </xdr:spPr>
    </xdr:pic>
    <xdr:clientData/>
  </xdr:twoCellAnchor>
  <xdr:twoCellAnchor editAs="oneCell">
    <xdr:from>
      <xdr:col>17</xdr:col>
      <xdr:colOff>25400</xdr:colOff>
      <xdr:row>116</xdr:row>
      <xdr:rowOff>25400</xdr:rowOff>
    </xdr:from>
    <xdr:to>
      <xdr:col>17</xdr:col>
      <xdr:colOff>749300</xdr:colOff>
      <xdr:row>116</xdr:row>
      <xdr:rowOff>501650</xdr:rowOff>
    </xdr:to>
    <xdr:pic>
      <xdr:nvPicPr>
        <xdr:cNvPr id="176" name="Subgraph-DefeatObama"/>
        <xdr:cNvPicPr>
          <a:picLocks/>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19465925" y="91751150"/>
          <a:ext cx="723900" cy="476250"/>
        </a:xfrm>
        <a:prstGeom prst="rect">
          <a:avLst/>
        </a:prstGeom>
      </xdr:spPr>
    </xdr:pic>
    <xdr:clientData/>
  </xdr:twoCellAnchor>
  <xdr:twoCellAnchor editAs="oneCell">
    <xdr:from>
      <xdr:col>17</xdr:col>
      <xdr:colOff>25400</xdr:colOff>
      <xdr:row>65</xdr:row>
      <xdr:rowOff>25400</xdr:rowOff>
    </xdr:from>
    <xdr:to>
      <xdr:col>17</xdr:col>
      <xdr:colOff>749300</xdr:colOff>
      <xdr:row>65</xdr:row>
      <xdr:rowOff>501650</xdr:rowOff>
    </xdr:to>
    <xdr:pic>
      <xdr:nvPicPr>
        <xdr:cNvPr id="177" name="Subgraph-canadians4mitt"/>
        <xdr:cNvPicPr>
          <a:picLocks/>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19465925" y="92275025"/>
          <a:ext cx="723900" cy="476250"/>
        </a:xfrm>
        <a:prstGeom prst="rect">
          <a:avLst/>
        </a:prstGeom>
      </xdr:spPr>
    </xdr:pic>
    <xdr:clientData/>
  </xdr:twoCellAnchor>
  <xdr:twoCellAnchor editAs="oneCell">
    <xdr:from>
      <xdr:col>17</xdr:col>
      <xdr:colOff>25400</xdr:colOff>
      <xdr:row>53</xdr:row>
      <xdr:rowOff>25400</xdr:rowOff>
    </xdr:from>
    <xdr:to>
      <xdr:col>17</xdr:col>
      <xdr:colOff>749300</xdr:colOff>
      <xdr:row>53</xdr:row>
      <xdr:rowOff>501650</xdr:rowOff>
    </xdr:to>
    <xdr:pic>
      <xdr:nvPicPr>
        <xdr:cNvPr id="178" name="Subgraph-RJF_723"/>
        <xdr:cNvPicPr>
          <a:picLocks/>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19465925" y="92798900"/>
          <a:ext cx="723900" cy="476250"/>
        </a:xfrm>
        <a:prstGeom prst="rect">
          <a:avLst/>
        </a:prstGeom>
      </xdr:spPr>
    </xdr:pic>
    <xdr:clientData/>
  </xdr:twoCellAnchor>
  <xdr:twoCellAnchor editAs="oneCell">
    <xdr:from>
      <xdr:col>17</xdr:col>
      <xdr:colOff>25400</xdr:colOff>
      <xdr:row>63</xdr:row>
      <xdr:rowOff>25400</xdr:rowOff>
    </xdr:from>
    <xdr:to>
      <xdr:col>17</xdr:col>
      <xdr:colOff>749300</xdr:colOff>
      <xdr:row>63</xdr:row>
      <xdr:rowOff>501650</xdr:rowOff>
    </xdr:to>
    <xdr:pic>
      <xdr:nvPicPr>
        <xdr:cNvPr id="179" name="Subgraph-mantone1"/>
        <xdr:cNvPicPr>
          <a:picLocks/>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19465925" y="93322775"/>
          <a:ext cx="723900" cy="476250"/>
        </a:xfrm>
        <a:prstGeom prst="rect">
          <a:avLst/>
        </a:prstGeom>
      </xdr:spPr>
    </xdr:pic>
    <xdr:clientData/>
  </xdr:twoCellAnchor>
  <xdr:twoCellAnchor editAs="oneCell">
    <xdr:from>
      <xdr:col>17</xdr:col>
      <xdr:colOff>25400</xdr:colOff>
      <xdr:row>42</xdr:row>
      <xdr:rowOff>25400</xdr:rowOff>
    </xdr:from>
    <xdr:to>
      <xdr:col>17</xdr:col>
      <xdr:colOff>749300</xdr:colOff>
      <xdr:row>42</xdr:row>
      <xdr:rowOff>501650</xdr:rowOff>
    </xdr:to>
    <xdr:pic>
      <xdr:nvPicPr>
        <xdr:cNvPr id="180" name="Subgraph-IngerRobberstad"/>
        <xdr:cNvPicPr>
          <a:picLocks/>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19465925" y="93846650"/>
          <a:ext cx="723900" cy="476250"/>
        </a:xfrm>
        <a:prstGeom prst="rect">
          <a:avLst/>
        </a:prstGeom>
      </xdr:spPr>
    </xdr:pic>
    <xdr:clientData/>
  </xdr:twoCellAnchor>
  <xdr:twoCellAnchor editAs="oneCell">
    <xdr:from>
      <xdr:col>17</xdr:col>
      <xdr:colOff>25400</xdr:colOff>
      <xdr:row>117</xdr:row>
      <xdr:rowOff>25400</xdr:rowOff>
    </xdr:from>
    <xdr:to>
      <xdr:col>17</xdr:col>
      <xdr:colOff>749300</xdr:colOff>
      <xdr:row>117</xdr:row>
      <xdr:rowOff>501650</xdr:rowOff>
    </xdr:to>
    <xdr:pic>
      <xdr:nvPicPr>
        <xdr:cNvPr id="181" name="Subgraph-ChrisMatthewspu"/>
        <xdr:cNvPicPr>
          <a:picLocks/>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19465925" y="94370525"/>
          <a:ext cx="723900" cy="476250"/>
        </a:xfrm>
        <a:prstGeom prst="rect">
          <a:avLst/>
        </a:prstGeom>
      </xdr:spPr>
    </xdr:pic>
    <xdr:clientData/>
  </xdr:twoCellAnchor>
  <xdr:twoCellAnchor editAs="oneCell">
    <xdr:from>
      <xdr:col>17</xdr:col>
      <xdr:colOff>25400</xdr:colOff>
      <xdr:row>99</xdr:row>
      <xdr:rowOff>25400</xdr:rowOff>
    </xdr:from>
    <xdr:to>
      <xdr:col>17</xdr:col>
      <xdr:colOff>749300</xdr:colOff>
      <xdr:row>99</xdr:row>
      <xdr:rowOff>501650</xdr:rowOff>
    </xdr:to>
    <xdr:pic>
      <xdr:nvPicPr>
        <xdr:cNvPr id="182" name="Subgraph-lilmsunshne"/>
        <xdr:cNvPicPr>
          <a:picLocks/>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19465925" y="94894400"/>
          <a:ext cx="723900" cy="476250"/>
        </a:xfrm>
        <a:prstGeom prst="rect">
          <a:avLst/>
        </a:prstGeom>
      </xdr:spPr>
    </xdr:pic>
    <xdr:clientData/>
  </xdr:twoCellAnchor>
  <xdr:twoCellAnchor editAs="oneCell">
    <xdr:from>
      <xdr:col>17</xdr:col>
      <xdr:colOff>25400</xdr:colOff>
      <xdr:row>118</xdr:row>
      <xdr:rowOff>25400</xdr:rowOff>
    </xdr:from>
    <xdr:to>
      <xdr:col>17</xdr:col>
      <xdr:colOff>749300</xdr:colOff>
      <xdr:row>118</xdr:row>
      <xdr:rowOff>501650</xdr:rowOff>
    </xdr:to>
    <xdr:pic>
      <xdr:nvPicPr>
        <xdr:cNvPr id="183" name="Subgraph-sidney_fife"/>
        <xdr:cNvPicPr>
          <a:picLocks/>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19465925" y="95418275"/>
          <a:ext cx="723900" cy="476250"/>
        </a:xfrm>
        <a:prstGeom prst="rect">
          <a:avLst/>
        </a:prstGeom>
      </xdr:spPr>
    </xdr:pic>
    <xdr:clientData/>
  </xdr:twoCellAnchor>
  <xdr:twoCellAnchor editAs="oneCell">
    <xdr:from>
      <xdr:col>17</xdr:col>
      <xdr:colOff>25400</xdr:colOff>
      <xdr:row>188</xdr:row>
      <xdr:rowOff>25400</xdr:rowOff>
    </xdr:from>
    <xdr:to>
      <xdr:col>17</xdr:col>
      <xdr:colOff>749300</xdr:colOff>
      <xdr:row>188</xdr:row>
      <xdr:rowOff>501650</xdr:rowOff>
    </xdr:to>
    <xdr:pic>
      <xdr:nvPicPr>
        <xdr:cNvPr id="184" name="Subgraph-hkistemann"/>
        <xdr:cNvPicPr>
          <a:picLocks/>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19465925" y="95942150"/>
          <a:ext cx="723900" cy="476250"/>
        </a:xfrm>
        <a:prstGeom prst="rect">
          <a:avLst/>
        </a:prstGeom>
      </xdr:spPr>
    </xdr:pic>
    <xdr:clientData/>
  </xdr:twoCellAnchor>
  <xdr:twoCellAnchor editAs="oneCell">
    <xdr:from>
      <xdr:col>17</xdr:col>
      <xdr:colOff>25400</xdr:colOff>
      <xdr:row>189</xdr:row>
      <xdr:rowOff>25400</xdr:rowOff>
    </xdr:from>
    <xdr:to>
      <xdr:col>17</xdr:col>
      <xdr:colOff>749300</xdr:colOff>
      <xdr:row>189</xdr:row>
      <xdr:rowOff>501650</xdr:rowOff>
    </xdr:to>
    <xdr:pic>
      <xdr:nvPicPr>
        <xdr:cNvPr id="185" name="Subgraph-coxwebdev"/>
        <xdr:cNvPicPr>
          <a:picLocks/>
        </xdr:cNvPicPr>
      </xdr:nvPicPr>
      <xdr:blipFill>
        <a:blip xmlns:r="http://schemas.openxmlformats.org/officeDocument/2006/relationships" r:embed="rId150">
          <a:extLst>
            <a:ext uri="{28A0092B-C50C-407E-A947-70E740481C1C}">
              <a14:useLocalDpi xmlns:a14="http://schemas.microsoft.com/office/drawing/2010/main" val="0"/>
            </a:ext>
          </a:extLst>
        </a:blip>
        <a:stretch>
          <a:fillRect/>
        </a:stretch>
      </xdr:blipFill>
      <xdr:spPr>
        <a:xfrm>
          <a:off x="19465925" y="96466025"/>
          <a:ext cx="723900" cy="476250"/>
        </a:xfrm>
        <a:prstGeom prst="rect">
          <a:avLst/>
        </a:prstGeom>
      </xdr:spPr>
    </xdr:pic>
    <xdr:clientData/>
  </xdr:twoCellAnchor>
  <xdr:twoCellAnchor editAs="oneCell">
    <xdr:from>
      <xdr:col>17</xdr:col>
      <xdr:colOff>25400</xdr:colOff>
      <xdr:row>119</xdr:row>
      <xdr:rowOff>25400</xdr:rowOff>
    </xdr:from>
    <xdr:to>
      <xdr:col>17</xdr:col>
      <xdr:colOff>749300</xdr:colOff>
      <xdr:row>119</xdr:row>
      <xdr:rowOff>501650</xdr:rowOff>
    </xdr:to>
    <xdr:pic>
      <xdr:nvPicPr>
        <xdr:cNvPr id="186" name="Subgraph-ComfyPaws"/>
        <xdr:cNvPicPr>
          <a:picLocks/>
        </xdr:cNvPicPr>
      </xdr:nvPicPr>
      <xdr:blipFill>
        <a:blip xmlns:r="http://schemas.openxmlformats.org/officeDocument/2006/relationships" r:embed="rId151">
          <a:extLst>
            <a:ext uri="{28A0092B-C50C-407E-A947-70E740481C1C}">
              <a14:useLocalDpi xmlns:a14="http://schemas.microsoft.com/office/drawing/2010/main" val="0"/>
            </a:ext>
          </a:extLst>
        </a:blip>
        <a:stretch>
          <a:fillRect/>
        </a:stretch>
      </xdr:blipFill>
      <xdr:spPr>
        <a:xfrm>
          <a:off x="19465925" y="96989900"/>
          <a:ext cx="723900" cy="476250"/>
        </a:xfrm>
        <a:prstGeom prst="rect">
          <a:avLst/>
        </a:prstGeom>
      </xdr:spPr>
    </xdr:pic>
    <xdr:clientData/>
  </xdr:twoCellAnchor>
  <xdr:twoCellAnchor editAs="oneCell">
    <xdr:from>
      <xdr:col>17</xdr:col>
      <xdr:colOff>25400</xdr:colOff>
      <xdr:row>100</xdr:row>
      <xdr:rowOff>25400</xdr:rowOff>
    </xdr:from>
    <xdr:to>
      <xdr:col>17</xdr:col>
      <xdr:colOff>749300</xdr:colOff>
      <xdr:row>100</xdr:row>
      <xdr:rowOff>501650</xdr:rowOff>
    </xdr:to>
    <xdr:pic>
      <xdr:nvPicPr>
        <xdr:cNvPr id="187" name="Subgraph-dysinger1231"/>
        <xdr:cNvPicPr>
          <a:picLocks/>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19465925" y="97513775"/>
          <a:ext cx="723900" cy="476250"/>
        </a:xfrm>
        <a:prstGeom prst="rect">
          <a:avLst/>
        </a:prstGeom>
      </xdr:spPr>
    </xdr:pic>
    <xdr:clientData/>
  </xdr:twoCellAnchor>
  <xdr:twoCellAnchor editAs="oneCell">
    <xdr:from>
      <xdr:col>17</xdr:col>
      <xdr:colOff>25400</xdr:colOff>
      <xdr:row>101</xdr:row>
      <xdr:rowOff>25400</xdr:rowOff>
    </xdr:from>
    <xdr:to>
      <xdr:col>17</xdr:col>
      <xdr:colOff>749300</xdr:colOff>
      <xdr:row>101</xdr:row>
      <xdr:rowOff>501650</xdr:rowOff>
    </xdr:to>
    <xdr:pic>
      <xdr:nvPicPr>
        <xdr:cNvPr id="188" name="Subgraph-SierraDante"/>
        <xdr:cNvPicPr>
          <a:picLocks/>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19465925" y="98037650"/>
          <a:ext cx="723900" cy="476250"/>
        </a:xfrm>
        <a:prstGeom prst="rect">
          <a:avLst/>
        </a:prstGeom>
      </xdr:spPr>
    </xdr:pic>
    <xdr:clientData/>
  </xdr:twoCellAnchor>
  <xdr:twoCellAnchor editAs="oneCell">
    <xdr:from>
      <xdr:col>17</xdr:col>
      <xdr:colOff>25400</xdr:colOff>
      <xdr:row>190</xdr:row>
      <xdr:rowOff>25400</xdr:rowOff>
    </xdr:from>
    <xdr:to>
      <xdr:col>17</xdr:col>
      <xdr:colOff>749300</xdr:colOff>
      <xdr:row>190</xdr:row>
      <xdr:rowOff>501650</xdr:rowOff>
    </xdr:to>
    <xdr:pic>
      <xdr:nvPicPr>
        <xdr:cNvPr id="189" name="Subgraph-TeamEmailSMS"/>
        <xdr:cNvPicPr>
          <a:picLocks/>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19465925" y="98561525"/>
          <a:ext cx="723900" cy="476250"/>
        </a:xfrm>
        <a:prstGeom prst="rect">
          <a:avLst/>
        </a:prstGeom>
      </xdr:spPr>
    </xdr:pic>
    <xdr:clientData/>
  </xdr:twoCellAnchor>
  <xdr:twoCellAnchor editAs="oneCell">
    <xdr:from>
      <xdr:col>17</xdr:col>
      <xdr:colOff>25400</xdr:colOff>
      <xdr:row>191</xdr:row>
      <xdr:rowOff>25400</xdr:rowOff>
    </xdr:from>
    <xdr:to>
      <xdr:col>17</xdr:col>
      <xdr:colOff>749300</xdr:colOff>
      <xdr:row>191</xdr:row>
      <xdr:rowOff>501650</xdr:rowOff>
    </xdr:to>
    <xdr:pic>
      <xdr:nvPicPr>
        <xdr:cNvPr id="190" name="Subgraph-Anewhomestar"/>
        <xdr:cNvPicPr>
          <a:picLocks/>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19465925" y="99085400"/>
          <a:ext cx="723900" cy="476250"/>
        </a:xfrm>
        <a:prstGeom prst="rect">
          <a:avLst/>
        </a:prstGeom>
      </xdr:spPr>
    </xdr:pic>
    <xdr:clientData/>
  </xdr:twoCellAnchor>
  <xdr:twoCellAnchor editAs="oneCell">
    <xdr:from>
      <xdr:col>17</xdr:col>
      <xdr:colOff>25400</xdr:colOff>
      <xdr:row>104</xdr:row>
      <xdr:rowOff>25400</xdr:rowOff>
    </xdr:from>
    <xdr:to>
      <xdr:col>17</xdr:col>
      <xdr:colOff>749300</xdr:colOff>
      <xdr:row>104</xdr:row>
      <xdr:rowOff>501650</xdr:rowOff>
    </xdr:to>
    <xdr:pic>
      <xdr:nvPicPr>
        <xdr:cNvPr id="191" name="Subgraph-NathanSFurtado"/>
        <xdr:cNvPicPr>
          <a:picLocks/>
        </xdr:cNvPicPr>
      </xdr:nvPicPr>
      <xdr:blipFill>
        <a:blip xmlns:r="http://schemas.openxmlformats.org/officeDocument/2006/relationships" r:embed="rId156">
          <a:extLst>
            <a:ext uri="{28A0092B-C50C-407E-A947-70E740481C1C}">
              <a14:useLocalDpi xmlns:a14="http://schemas.microsoft.com/office/drawing/2010/main" val="0"/>
            </a:ext>
          </a:extLst>
        </a:blip>
        <a:stretch>
          <a:fillRect/>
        </a:stretch>
      </xdr:blipFill>
      <xdr:spPr>
        <a:xfrm>
          <a:off x="19465925" y="99609275"/>
          <a:ext cx="723900" cy="476250"/>
        </a:xfrm>
        <a:prstGeom prst="rect">
          <a:avLst/>
        </a:prstGeom>
      </xdr:spPr>
    </xdr:pic>
    <xdr:clientData/>
  </xdr:twoCellAnchor>
  <xdr:twoCellAnchor editAs="oneCell">
    <xdr:from>
      <xdr:col>17</xdr:col>
      <xdr:colOff>25400</xdr:colOff>
      <xdr:row>192</xdr:row>
      <xdr:rowOff>25400</xdr:rowOff>
    </xdr:from>
    <xdr:to>
      <xdr:col>17</xdr:col>
      <xdr:colOff>749300</xdr:colOff>
      <xdr:row>192</xdr:row>
      <xdr:rowOff>501650</xdr:rowOff>
    </xdr:to>
    <xdr:pic>
      <xdr:nvPicPr>
        <xdr:cNvPr id="192" name="Subgraph-CAP741776"/>
        <xdr:cNvPicPr>
          <a:picLocks/>
        </xdr:cNvPicPr>
      </xdr:nvPicPr>
      <xdr:blipFill>
        <a:blip xmlns:r="http://schemas.openxmlformats.org/officeDocument/2006/relationships" r:embed="rId157">
          <a:extLst>
            <a:ext uri="{28A0092B-C50C-407E-A947-70E740481C1C}">
              <a14:useLocalDpi xmlns:a14="http://schemas.microsoft.com/office/drawing/2010/main" val="0"/>
            </a:ext>
          </a:extLst>
        </a:blip>
        <a:stretch>
          <a:fillRect/>
        </a:stretch>
      </xdr:blipFill>
      <xdr:spPr>
        <a:xfrm>
          <a:off x="19465925" y="100133150"/>
          <a:ext cx="723900" cy="476250"/>
        </a:xfrm>
        <a:prstGeom prst="rect">
          <a:avLst/>
        </a:prstGeom>
      </xdr:spPr>
    </xdr:pic>
    <xdr:clientData/>
  </xdr:twoCellAnchor>
  <xdr:twoCellAnchor editAs="oneCell">
    <xdr:from>
      <xdr:col>17</xdr:col>
      <xdr:colOff>25400</xdr:colOff>
      <xdr:row>193</xdr:row>
      <xdr:rowOff>25400</xdr:rowOff>
    </xdr:from>
    <xdr:to>
      <xdr:col>17</xdr:col>
      <xdr:colOff>749300</xdr:colOff>
      <xdr:row>193</xdr:row>
      <xdr:rowOff>501650</xdr:rowOff>
    </xdr:to>
    <xdr:pic>
      <xdr:nvPicPr>
        <xdr:cNvPr id="193" name="Subgraph-Patriot38"/>
        <xdr:cNvPicPr>
          <a:picLocks/>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19465925" y="100657025"/>
          <a:ext cx="723900" cy="476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34</xdr:row>
      <xdr:rowOff>38100</xdr:rowOff>
    </xdr:from>
    <xdr:to>
      <xdr:col>1</xdr:col>
      <xdr:colOff>918209</xdr:colOff>
      <xdr:row>41</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48</xdr:row>
      <xdr:rowOff>38100</xdr:rowOff>
    </xdr:from>
    <xdr:to>
      <xdr:col>1</xdr:col>
      <xdr:colOff>918209</xdr:colOff>
      <xdr:row>55</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62</xdr:row>
      <xdr:rowOff>28575</xdr:rowOff>
    </xdr:from>
    <xdr:to>
      <xdr:col>1</xdr:col>
      <xdr:colOff>918209</xdr:colOff>
      <xdr:row>69</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9525</xdr:rowOff>
    </xdr:from>
    <xdr:to>
      <xdr:col>1</xdr:col>
      <xdr:colOff>918210</xdr:colOff>
      <xdr:row>83</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90</xdr:row>
      <xdr:rowOff>19050</xdr:rowOff>
    </xdr:from>
    <xdr:to>
      <xdr:col>2</xdr:col>
      <xdr:colOff>0</xdr:colOff>
      <xdr:row>97</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104</xdr:row>
      <xdr:rowOff>19050</xdr:rowOff>
    </xdr:from>
    <xdr:to>
      <xdr:col>1</xdr:col>
      <xdr:colOff>918210</xdr:colOff>
      <xdr:row>111</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9525</xdr:rowOff>
    </xdr:from>
    <xdr:to>
      <xdr:col>1</xdr:col>
      <xdr:colOff>918210</xdr:colOff>
      <xdr:row>139</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118</xdr:row>
      <xdr:rowOff>0</xdr:rowOff>
    </xdr:from>
    <xdr:to>
      <xdr:col>1</xdr:col>
      <xdr:colOff>918210</xdr:colOff>
      <xdr:row>125</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1</xdr:row>
      <xdr:rowOff>0</xdr:rowOff>
    </xdr:from>
    <xdr:to>
      <xdr:col>22</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Y1207" totalsRowShown="0" headerRowDxfId="266" dataDxfId="229">
  <autoFilter ref="A2:Y1207"/>
  <tableColumns count="25">
    <tableColumn id="1" name="Vertex 1" dataDxfId="214" dataCellStyle="NodeXL Required"/>
    <tableColumn id="2" name="Vertex 2" dataDxfId="212" dataCellStyle="NodeXL Required"/>
    <tableColumn id="3" name="Color" dataDxfId="213" dataCellStyle="NodeXL Visual Property"/>
    <tableColumn id="4" name="Width" dataDxfId="238" dataCellStyle="NodeXL Visual Property"/>
    <tableColumn id="11" name="Style" dataDxfId="237" dataCellStyle="NodeXL Visual Property"/>
    <tableColumn id="5" name="Opacity" dataDxfId="236" dataCellStyle="NodeXL Visual Property"/>
    <tableColumn id="6" name="Visibility" dataDxfId="235" dataCellStyle="NodeXL Visual Property"/>
    <tableColumn id="10" name="Label" dataDxfId="234" dataCellStyle="NodeXL Label"/>
    <tableColumn id="12" name="Label Text Color" dataDxfId="233" dataCellStyle="NodeXL Label"/>
    <tableColumn id="13" name="Label Font Size" dataDxfId="232" dataCellStyle="NodeXL Label"/>
    <tableColumn id="14" name="Reciprocated?" dataDxfId="141" dataCellStyle="NodeXL Graph Metric"/>
    <tableColumn id="7" name="ID" dataDxfId="231" dataCellStyle="NodeXL Do Not Edit"/>
    <tableColumn id="9" name="Dynamic Filter" dataDxfId="230" dataCellStyle="NodeXL Do Not Edit"/>
    <tableColumn id="8" name="Add Your Own Columns Here" dataDxfId="211" dataCellStyle="NodeXL Other Column"/>
    <tableColumn id="15" name="Relationship" dataDxfId="210" dataCellStyle="Normal"/>
    <tableColumn id="16" name="Relationship Date (UTC)" dataDxfId="209" dataCellStyle="Normal"/>
    <tableColumn id="17" name="Tweet" dataDxfId="208" dataCellStyle="Normal"/>
    <tableColumn id="18" name="URLs in Tweet" dataDxfId="207" dataCellStyle="Normal"/>
    <tableColumn id="19" name="Hashtags in Tweet" dataDxfId="206" dataCellStyle="Normal"/>
    <tableColumn id="20" name="Tweet Date (UTC)" dataDxfId="205" dataCellStyle="Normal"/>
    <tableColumn id="21" name="Twitter Page for Tweet" dataDxfId="204" dataCellStyle="Normal"/>
    <tableColumn id="22" name="Latitude" dataDxfId="203" dataCellStyle="Normal"/>
    <tableColumn id="23" name="Longitude" dataDxfId="202" dataCellStyle="Normal"/>
    <tableColumn id="24" name="Imported ID" dataDxfId="201" dataCellStyle="Normal"/>
    <tableColumn id="25" name="Edge Weight" dataCellStyle="Normal"/>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O194" totalsRowShown="0" headerRowDxfId="265" dataDxfId="215">
  <autoFilter ref="A2:AO194"/>
  <sortState ref="A3:AQ194">
    <sortCondition descending="1" ref="U2:U194"/>
  </sortState>
  <tableColumns count="41">
    <tableColumn id="1" name="Vertex" dataDxfId="228" dataCellStyle="NodeXL Required"/>
    <tableColumn id="2" name="Color" dataDxfId="227" dataCellStyle="NodeXL Visual Property"/>
    <tableColumn id="5" name="Shape" dataDxfId="226" dataCellStyle="NodeXL Visual Property"/>
    <tableColumn id="6" name="Size" dataDxfId="225" dataCellStyle="NodeXL Visual Property"/>
    <tableColumn id="4" name="Opacity" dataDxfId="190" dataCellStyle="NodeXL Visual Property"/>
    <tableColumn id="7" name="Image File" dataDxfId="188" dataCellStyle="NodeXL Visual Property"/>
    <tableColumn id="3" name="Visibility" dataDxfId="189" dataCellStyle="NodeXL Visual Property"/>
    <tableColumn id="10" name="Label" dataDxfId="224" dataCellStyle="NodeXL Label"/>
    <tableColumn id="16" name="Label Fill Color" dataDxfId="223" dataCellStyle="NodeXL Label"/>
    <tableColumn id="9" name="Label Position" dataDxfId="184" dataCellStyle="NodeXL Label"/>
    <tableColumn id="8" name="Tooltip" dataDxfId="182" dataCellStyle="NodeXL Label"/>
    <tableColumn id="18" name="Layout Order" dataDxfId="183" dataCellStyle="NodeXL Layout"/>
    <tableColumn id="13" name="X" dataDxfId="222" dataCellStyle="NodeXL Layout"/>
    <tableColumn id="14" name="Y" dataDxfId="221" dataCellStyle="NodeXL Layout"/>
    <tableColumn id="12" name="Locked?" dataDxfId="220" dataCellStyle="NodeXL Layout"/>
    <tableColumn id="19" name="Polar R" dataDxfId="219" dataCellStyle="NodeXL Layout"/>
    <tableColumn id="20" name="Polar Angle" dataDxfId="218" dataCellStyle="NodeXL Layout"/>
    <tableColumn id="42" name="Subgraph" dataDxfId="0" dataCellStyle="NodeXL Layout"/>
    <tableColumn id="22" name="In-Degree" dataDxfId="10" dataCellStyle="NodeXL Graph Metric"/>
    <tableColumn id="23" name="Out-Degree" dataDxfId="8" dataCellStyle="NodeXL Graph Metric"/>
    <tableColumn id="24" name="Betweenness Centrality" dataDxfId="9" dataCellStyle="NodeXL Graph Metric"/>
    <tableColumn id="25" name="Closeness Centrality" dataDxfId="12" dataCellStyle="NodeXL Graph Metric"/>
    <tableColumn id="26" name="Eigenvector Centrality" dataDxfId="11" dataCellStyle="NodeXL Graph Metric"/>
    <tableColumn id="15" name="PageRank" dataDxfId="7" dataCellStyle="NodeXL Graph Metric"/>
    <tableColumn id="27" name="Clustering Coefficient" dataDxfId="5" dataCellStyle="NodeXL Graph Metric"/>
    <tableColumn id="29" name="Reciprocated Vertex Pair Ratio" dataDxfId="6" dataCellStyle="NodeXL Graph Metric"/>
    <tableColumn id="11" name="ID" dataDxfId="217" dataCellStyle="NodeXL Do Not Edit"/>
    <tableColumn id="28" name="Dynamic Filter" dataDxfId="216" dataCellStyle="NodeXL Do Not Edit"/>
    <tableColumn id="17" name="Add Your Own Columns Here" dataDxfId="200" dataCellStyle="NodeXL Other Column"/>
    <tableColumn id="30" name="Followed" dataDxfId="199" dataCellStyle="Normal"/>
    <tableColumn id="31" name="Followers" dataDxfId="198" dataCellStyle="Normal"/>
    <tableColumn id="32" name="Tweets" dataDxfId="197" dataCellStyle="Normal"/>
    <tableColumn id="33" name="Favorites" dataDxfId="196" dataCellStyle="Normal"/>
    <tableColumn id="34" name="Description" dataDxfId="195" dataCellStyle="Normal"/>
    <tableColumn id="35" name="Location" dataDxfId="194" dataCellStyle="Normal"/>
    <tableColumn id="36" name="Web" dataDxfId="193" dataCellStyle="Normal"/>
    <tableColumn id="37" name="Time Zone" dataDxfId="192" dataCellStyle="Normal"/>
    <tableColumn id="38" name="Time Zone UTC Offset (Seconds)" dataDxfId="191" dataCellStyle="Normal"/>
    <tableColumn id="39" name="Joined Twitter Date (UTC)" dataDxfId="187" dataCellStyle="Normal"/>
    <tableColumn id="40" name="Custom Menu Item Text" dataDxfId="186" dataCellStyle="Normal"/>
    <tableColumn id="41" name="Custom Menu Item Action" dataDxfId="185" dataCellStyle="Normal"/>
  </tableColumns>
  <tableStyleInfo name="NodeXL Table" showFirstColumn="0" showLastColumn="0" showRowStripes="0" showColumnStripes="0"/>
</table>
</file>

<file path=xl/tables/table3.xml><?xml version="1.0" encoding="utf-8"?>
<table xmlns="http://schemas.openxmlformats.org/spreadsheetml/2006/main" id="4" name="Groups" displayName="Groups" ref="A2:Y9" totalsRowShown="0" headerRowDxfId="264">
  <autoFilter ref="A2:Y9"/>
  <tableColumns count="25">
    <tableColumn id="1" name="Group" dataDxfId="181" dataCellStyle="NodeXL Required"/>
    <tableColumn id="2" name="Vertex Color" dataDxfId="180" dataCellStyle="NodeXL Visual Property"/>
    <tableColumn id="3" name="Vertex Shape" dataDxfId="179" dataCellStyle="NodeXL Visual Property"/>
    <tableColumn id="22" name="Visibility" dataDxfId="263" dataCellStyle="NodeXL Visual Property"/>
    <tableColumn id="4" name="Collapsed?" dataCellStyle="NodeXL Visual Property"/>
    <tableColumn id="18" name="Label" dataDxfId="262" dataCellStyle="NodeXL Label"/>
    <tableColumn id="20" name="Collapsed X" dataCellStyle="NodeXL Layout"/>
    <tableColumn id="21" name="Collapsed Y" dataCellStyle="NodeXL Layout"/>
    <tableColumn id="6" name="ID" dataDxfId="261" dataCellStyle="NodeXL Do Not Edit"/>
    <tableColumn id="19" name="Collapsed Properties" dataDxfId="168" dataCellStyle="NodeXL Do Not Edit"/>
    <tableColumn id="5" name="Vertices" dataDxfId="167" dataCellStyle="NodeXL Graph Metric"/>
    <tableColumn id="7" name="Unique Edges" dataDxfId="166" dataCellStyle="NodeXL Graph Metric"/>
    <tableColumn id="8" name="Edges With Duplicates" dataDxfId="165" dataCellStyle="NodeXL Graph Metric"/>
    <tableColumn id="9" name="Total Edges" dataDxfId="164" dataCellStyle="NodeXL Graph Metric"/>
    <tableColumn id="10" name="Self-Loops" dataDxfId="163" dataCellStyle="NodeXL Graph Metric"/>
    <tableColumn id="24" name="Reciprocated Vertex Pair Ratio" dataDxfId="162" dataCellStyle="NodeXL Graph Metric"/>
    <tableColumn id="25" name="Reciprocated Edge Ratio" dataDxfId="161" dataCellStyle="NodeXL Graph Metric"/>
    <tableColumn id="11" name="Connected Components" dataDxfId="160" dataCellStyle="NodeXL Graph Metric"/>
    <tableColumn id="12" name="Single-Vertex Connected Components" dataDxfId="159" dataCellStyle="NodeXL Graph Metric"/>
    <tableColumn id="13" name="Maximum Vertices in a Connected Component" dataDxfId="158" dataCellStyle="NodeXL Graph Metric"/>
    <tableColumn id="14" name="Maximum Edges in a Connected Component" dataDxfId="157" dataCellStyle="NodeXL Graph Metric"/>
    <tableColumn id="15" name="Maximum Geodesic Distance (Diameter)" dataDxfId="156" dataCellStyle="NodeXL Graph Metric"/>
    <tableColumn id="16" name="Average Geodesic Distance" dataDxfId="155" dataCellStyle="NodeXL Graph Metric"/>
    <tableColumn id="17" name="Graph Density" dataDxfId="14" dataCellStyle="NodeXL Graph Metric"/>
    <tableColumn id="23" name="Top Hashtags in Tweet" dataDxfId="13" dataCellStyle="Normal"/>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193" totalsRowShown="0" headerRowDxfId="260" dataDxfId="259">
  <autoFilter ref="A1:C193"/>
  <tableColumns count="3">
    <tableColumn id="1" name="Group" dataDxfId="178" dataCellStyle="Normal"/>
    <tableColumn id="2" name="Vertex" dataDxfId="177" dataCellStyle="Normal"/>
    <tableColumn id="3" name="Vertex ID" dataDxfId="176" dataCellStyle="Normal">
      <calculatedColumnFormula>VLOOKUP(GroupVertices[[#This Row],[Vertex]], Vertices[], MATCH("ID", Vertices[#Headers], 0), FALSE)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6" totalsRowShown="0" dataCellStyle="NodeXL Graph Metric">
  <autoFilter ref="A1:B26"/>
  <tableColumns count="2">
    <tableColumn id="1" name="Graph Metric" dataDxfId="175" dataCellStyle="NodeXL Graph Metric"/>
    <tableColumn id="2" name="Value" dataDxfId="174"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258"/>
    <tableColumn id="2" name="Degree Frequency" dataDxfId="257">
      <calculatedColumnFormula>COUNTIF(#REF!, "&gt;= " &amp; D2) - COUNTIF(#REF!, "&gt;=" &amp; D3)</calculatedColumnFormula>
    </tableColumn>
    <tableColumn id="3" name="In-Degree Bin" dataDxfId="256"/>
    <tableColumn id="4" name="In-Degree Frequency" dataDxfId="255">
      <calculatedColumnFormula>COUNTIF(Vertices[In-Degree], "&gt;= " &amp; F2) - COUNTIF(Vertices[In-Degree], "&gt;=" &amp; F3)</calculatedColumnFormula>
    </tableColumn>
    <tableColumn id="5" name="Out-Degree Bin" dataDxfId="254"/>
    <tableColumn id="6" name="Out-Degree Frequency" dataDxfId="253">
      <calculatedColumnFormula>COUNTIF(Vertices[Out-Degree], "&gt;= " &amp; H2) - COUNTIF(Vertices[Out-Degree], "&gt;=" &amp; H3)</calculatedColumnFormula>
    </tableColumn>
    <tableColumn id="7" name="Betweenness Centrality Bin" dataDxfId="252"/>
    <tableColumn id="8" name="Betweenness Centrality Frequency" dataDxfId="251">
      <calculatedColumnFormula>COUNTIF(Vertices[Betweenness Centrality], "&gt;= " &amp; J2) - COUNTIF(Vertices[Betweenness Centrality], "&gt;=" &amp; J3)</calculatedColumnFormula>
    </tableColumn>
    <tableColumn id="9" name="Closeness Centrality Bin" dataDxfId="250"/>
    <tableColumn id="10" name="Closeness Centrality Frequency" dataDxfId="249">
      <calculatedColumnFormula>COUNTIF(Vertices[Closeness Centrality], "&gt;= " &amp; L2) - COUNTIF(Vertices[Closeness Centrality], "&gt;=" &amp; L3)</calculatedColumnFormula>
    </tableColumn>
    <tableColumn id="11" name="Eigenvector Centrality Bin" dataDxfId="248"/>
    <tableColumn id="12" name="Eigenvector Centrality Frequency" dataDxfId="247">
      <calculatedColumnFormula>COUNTIF(Vertices[Eigenvector Centrality], "&gt;= " &amp; N2) - COUNTIF(Vertices[Eigenvector Centrality], "&gt;=" &amp; N3)</calculatedColumnFormula>
    </tableColumn>
    <tableColumn id="18" name="PageRank Bin" dataDxfId="246"/>
    <tableColumn id="17" name="PageRank Frequency" dataDxfId="245">
      <calculatedColumnFormula>COUNTIF(Vertices[Eigenvector Centrality], "&gt;= " &amp; P2) - COUNTIF(Vertices[Eigenvector Centrality], "&gt;=" &amp; P3)</calculatedColumnFormula>
    </tableColumn>
    <tableColumn id="13" name="Clustering Coefficient Bin" dataDxfId="244"/>
    <tableColumn id="14" name="Clustering Coefficient Frequency" dataDxfId="243">
      <calculatedColumnFormula>COUNTIF(Vertices[Clustering Coefficient], "&gt;= " &amp; R2) - COUNTIF(Vertices[Clustering Coefficient], "&gt;=" &amp; R3)</calculatedColumnFormula>
    </tableColumn>
    <tableColumn id="15" name="Dynamic Filter Bin" dataDxfId="242"/>
    <tableColumn id="16" name="Dynamic Filter Frequency" dataDxfId="241">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9:B30" insertRow="1" totalsRowShown="0" dataCellStyle="NodeXL Graph Metric">
  <autoFilter ref="A29:B30"/>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J1:K11" totalsRowShown="0" headerRowDxfId="240">
  <autoFilter ref="J1:K11"/>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M1:P2" totalsRowShown="0" headerRowDxfId="239">
  <autoFilter ref="M1:P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ables/table11.xml><?xml version="1.0" encoding="utf-8"?>
<table xmlns="http://schemas.openxmlformats.org/spreadsheetml/2006/main" id="10" name="GroupEdges" displayName="GroupEdges" ref="A2:C20" totalsRowShown="0" headerRowDxfId="172" dataDxfId="173" dataCellStyle="NodeXL Required">
  <autoFilter ref="A2:C20"/>
  <tableColumns count="3">
    <tableColumn id="1" name="Group 1" dataDxfId="171" dataCellStyle="NodeXL Required"/>
    <tableColumn id="2" name="Group 2" dataDxfId="170" dataCellStyle="NodeXL Required"/>
    <tableColumn id="3" name="Edges" dataDxfId="169" dataCellStyle="NodeXL Graph Metric"/>
  </tableColumns>
  <tableStyleInfo name="NodeXL Table" showFirstColumn="0" showLastColumn="0" showRowStripes="1" showColumnStripes="0"/>
</table>
</file>

<file path=xl/tables/table12.xml><?xml version="1.0" encoding="utf-8"?>
<table xmlns="http://schemas.openxmlformats.org/spreadsheetml/2006/main" id="11" name="Words" displayName="Words" ref="A1:D874" totalsRowShown="0" headerRowDxfId="153" dataDxfId="154" dataCellStyle="Normal">
  <autoFilter ref="A1:D874"/>
  <tableColumns count="4">
    <tableColumn id="1" name="Word" dataDxfId="152" dataCellStyle="Normal"/>
    <tableColumn id="2" name="Count" dataDxfId="151" dataCellStyle="Normal"/>
    <tableColumn id="3" name="Salience" dataDxfId="150" dataCellStyle="Normal"/>
    <tableColumn id="4" name="Group" dataDxfId="149" dataCellStyle="Normal"/>
  </tableColumns>
  <tableStyleInfo name="NodeXL Table" showFirstColumn="0" showLastColumn="0" showRowStripes="1" showColumnStripes="0"/>
</table>
</file>

<file path=xl/tables/table13.xml><?xml version="1.0" encoding="utf-8"?>
<table xmlns="http://schemas.openxmlformats.org/spreadsheetml/2006/main" id="12" name="WordPairs" displayName="WordPairs" ref="A1:E848" totalsRowShown="0" headerRowDxfId="147" dataDxfId="148" dataCellStyle="Normal">
  <autoFilter ref="A1:E848"/>
  <tableColumns count="5">
    <tableColumn id="1" name="Word 1" dataDxfId="146" dataCellStyle="Normal"/>
    <tableColumn id="2" name="Word 2" dataDxfId="145" dataCellStyle="Normal"/>
    <tableColumn id="3" name="Count" dataDxfId="144" dataCellStyle="Normal"/>
    <tableColumn id="4" name="Salience" dataDxfId="143" dataCellStyle="Normal"/>
    <tableColumn id="5" name="Group" dataDxfId="142" dataCellStyle="Normal"/>
  </tableColumns>
  <tableStyleInfo name="NodeXL Table" showFirstColumn="0" showLastColumn="0" showRowStripes="1" showColumnStripes="0"/>
</table>
</file>

<file path=xl/tables/table14.xml><?xml version="1.0" encoding="utf-8"?>
<table xmlns="http://schemas.openxmlformats.org/spreadsheetml/2006/main" id="13" name="TwitterSearchNetworkTopItems_1" displayName="TwitterSearchNetworkTopItems_1" ref="A1:P11" totalsRowShown="0" headerRowDxfId="139" dataDxfId="140" dataCellStyle="Normal">
  <autoFilter ref="A1:P11"/>
  <tableColumns count="16">
    <tableColumn id="1" name="Top Replied-To in Entire Graph" dataDxfId="138" dataCellStyle="Normal"/>
    <tableColumn id="2" name="Entire Graph Count" dataDxfId="134" dataCellStyle="Normal"/>
    <tableColumn id="3" name="Top Replied-To in G1" dataDxfId="133" dataCellStyle="Normal"/>
    <tableColumn id="4" name="G1 Count" dataDxfId="130" dataCellStyle="Normal"/>
    <tableColumn id="5" name="Top Replied-To in G2" dataDxfId="129" dataCellStyle="Normal"/>
    <tableColumn id="6" name="G2 Count" dataDxfId="126" dataCellStyle="Normal"/>
    <tableColumn id="7" name="Top Replied-To in G3" dataDxfId="125" dataCellStyle="Normal"/>
    <tableColumn id="8" name="G3 Count" dataDxfId="122" dataCellStyle="Normal"/>
    <tableColumn id="9" name="Top Replied-To in G4" dataDxfId="121" dataCellStyle="Normal"/>
    <tableColumn id="10" name="G4 Count" dataDxfId="118" dataCellStyle="Normal"/>
    <tableColumn id="11" name="Top Replied-To in G5" dataDxfId="117" dataCellStyle="Normal"/>
    <tableColumn id="12" name="G5 Count" dataDxfId="114" dataCellStyle="Normal"/>
    <tableColumn id="13" name="Top Replied-To in G6" dataDxfId="113" dataCellStyle="Normal"/>
    <tableColumn id="14" name="G6 Count" dataDxfId="110" dataCellStyle="Normal"/>
    <tableColumn id="15" name="Top Replied-To in G7" dataDxfId="109" dataCellStyle="Normal"/>
    <tableColumn id="16" name="G7 Count" dataDxfId="108" dataCellStyle="Normal"/>
  </tableColumns>
  <tableStyleInfo name="NodeXL Table" showFirstColumn="0" showLastColumn="0" showRowStripes="1" showColumnStripes="0"/>
</table>
</file>

<file path=xl/tables/table15.xml><?xml version="1.0" encoding="utf-8"?>
<table xmlns="http://schemas.openxmlformats.org/spreadsheetml/2006/main" id="14" name="TwitterSearchNetworkTopItems_2" displayName="TwitterSearchNetworkTopItems_2" ref="A14:P24" totalsRowShown="0" headerRowDxfId="136" dataDxfId="137" dataCellStyle="Normal">
  <autoFilter ref="A14:P24"/>
  <tableColumns count="16">
    <tableColumn id="1" name="Top Mentioned in Entire Graph" dataDxfId="135" dataCellStyle="Normal"/>
    <tableColumn id="2" name="Entire Graph Count" dataDxfId="132" dataCellStyle="Normal"/>
    <tableColumn id="3" name="Top Mentioned in G1" dataDxfId="131" dataCellStyle="Normal"/>
    <tableColumn id="4" name="G1 Count" dataDxfId="128" dataCellStyle="Normal"/>
    <tableColumn id="5" name="Top Mentioned in G2" dataDxfId="127" dataCellStyle="Normal"/>
    <tableColumn id="6" name="G2 Count" dataDxfId="124" dataCellStyle="Normal"/>
    <tableColumn id="7" name="Top Mentioned in G3" dataDxfId="123" dataCellStyle="Normal"/>
    <tableColumn id="8" name="G3 Count" dataDxfId="120" dataCellStyle="Normal"/>
    <tableColumn id="9" name="Top Mentioned in G4" dataDxfId="119" dataCellStyle="Normal"/>
    <tableColumn id="10" name="G4 Count" dataDxfId="116" dataCellStyle="Normal"/>
    <tableColumn id="11" name="Top Mentioned in G5" dataDxfId="115" dataCellStyle="Normal"/>
    <tableColumn id="12" name="G5 Count" dataDxfId="112" dataCellStyle="Normal"/>
    <tableColumn id="13" name="Top Mentioned in G6" dataDxfId="111" dataCellStyle="Normal"/>
    <tableColumn id="14" name="G6 Count" dataDxfId="107" dataCellStyle="Normal"/>
    <tableColumn id="15" name="Top Mentioned in G7" dataDxfId="106" dataCellStyle="Normal"/>
    <tableColumn id="16" name="G7 Count" dataDxfId="105" dataCellStyle="Normal"/>
  </tableColumns>
  <tableStyleInfo name="NodeXL Table" showFirstColumn="0" showLastColumn="0" showRowStripes="1" showColumnStripes="0"/>
</table>
</file>

<file path=xl/tables/table16.xml><?xml version="1.0" encoding="utf-8"?>
<table xmlns="http://schemas.openxmlformats.org/spreadsheetml/2006/main" id="16" name="TwitterSearchNetworkTopItems_3" displayName="TwitterSearchNetworkTopItems_3" ref="A27:P37" totalsRowShown="0" headerRowDxfId="103" dataDxfId="104" dataCellStyle="Normal">
  <autoFilter ref="A27:P37"/>
  <tableColumns count="16">
    <tableColumn id="1" name="Top URLs in Tweet in Entire Graph" dataDxfId="102" dataCellStyle="Normal"/>
    <tableColumn id="2" name="Entire Graph Count" dataDxfId="101" dataCellStyle="Normal"/>
    <tableColumn id="3" name="Top URLs in Tweet in G1" dataDxfId="100" dataCellStyle="Normal"/>
    <tableColumn id="4" name="G1 Count" dataDxfId="99" dataCellStyle="Normal"/>
    <tableColumn id="5" name="Top URLs in Tweet in G2" dataDxfId="98" dataCellStyle="Normal"/>
    <tableColumn id="6" name="G2 Count" dataDxfId="97" dataCellStyle="Normal"/>
    <tableColumn id="7" name="Top URLs in Tweet in G3" dataDxfId="96" dataCellStyle="Normal"/>
    <tableColumn id="8" name="G3 Count" dataDxfId="95" dataCellStyle="Normal"/>
    <tableColumn id="9" name="Top URLs in Tweet in G4" dataDxfId="94" dataCellStyle="Normal"/>
    <tableColumn id="10" name="G4 Count" dataDxfId="93" dataCellStyle="Normal"/>
    <tableColumn id="11" name="Top URLs in Tweet in G5" dataDxfId="92" dataCellStyle="Normal"/>
    <tableColumn id="12" name="G5 Count" dataDxfId="91" dataCellStyle="Normal"/>
    <tableColumn id="13" name="Top URLs in Tweet in G6" dataDxfId="90" dataCellStyle="Normal"/>
    <tableColumn id="14" name="G6 Count" dataDxfId="89" dataCellStyle="Normal"/>
    <tableColumn id="15" name="Top URLs in Tweet in G7" dataDxfId="88" dataCellStyle="Normal"/>
    <tableColumn id="16" name="G7 Count" dataDxfId="87" dataCellStyle="Normal"/>
  </tableColumns>
  <tableStyleInfo name="NodeXL Table" showFirstColumn="0" showLastColumn="0" showRowStripes="1" showColumnStripes="0"/>
</table>
</file>

<file path=xl/tables/table17.xml><?xml version="1.0" encoding="utf-8"?>
<table xmlns="http://schemas.openxmlformats.org/spreadsheetml/2006/main" id="17" name="TwitterSearchNetworkTopItems_4" displayName="TwitterSearchNetworkTopItems_4" ref="A40:P50" totalsRowShown="0" headerRowDxfId="85" dataDxfId="86" dataCellStyle="Normal">
  <autoFilter ref="A40:P50"/>
  <tableColumns count="16">
    <tableColumn id="1" name="Top Hashtags in Tweet in Entire Graph" dataDxfId="84" dataCellStyle="Normal"/>
    <tableColumn id="2" name="Entire Graph Count" dataDxfId="83" dataCellStyle="Normal"/>
    <tableColumn id="3" name="Top Hashtags in Tweet in G1" dataDxfId="82" dataCellStyle="Normal"/>
    <tableColumn id="4" name="G1 Count" dataDxfId="81" dataCellStyle="Normal"/>
    <tableColumn id="5" name="Top Hashtags in Tweet in G2" dataDxfId="80" dataCellStyle="Normal"/>
    <tableColumn id="6" name="G2 Count" dataDxfId="79" dataCellStyle="Normal"/>
    <tableColumn id="7" name="Top Hashtags in Tweet in G3" dataDxfId="78" dataCellStyle="Normal"/>
    <tableColumn id="8" name="G3 Count" dataDxfId="77" dataCellStyle="Normal"/>
    <tableColumn id="9" name="Top Hashtags in Tweet in G4" dataDxfId="76" dataCellStyle="Normal"/>
    <tableColumn id="10" name="G4 Count" dataDxfId="75" dataCellStyle="Normal"/>
    <tableColumn id="11" name="Top Hashtags in Tweet in G5" dataDxfId="74" dataCellStyle="Normal"/>
    <tableColumn id="12" name="G5 Count" dataDxfId="73" dataCellStyle="Normal"/>
    <tableColumn id="13" name="Top Hashtags in Tweet in G6" dataDxfId="72" dataCellStyle="Normal"/>
    <tableColumn id="14" name="G6 Count" dataDxfId="71" dataCellStyle="Normal"/>
    <tableColumn id="15" name="Top Hashtags in Tweet in G7" dataDxfId="70" dataCellStyle="Normal"/>
    <tableColumn id="16" name="G7 Count" dataDxfId="69" dataCellStyle="Normal"/>
  </tableColumns>
  <tableStyleInfo name="NodeXL Table" showFirstColumn="0" showLastColumn="0" showRowStripes="1" showColumnStripes="0"/>
</table>
</file>

<file path=xl/tables/table18.xml><?xml version="1.0" encoding="utf-8"?>
<table xmlns="http://schemas.openxmlformats.org/spreadsheetml/2006/main" id="18" name="TwitterSearchNetworkTopItems_5" displayName="TwitterSearchNetworkTopItems_5" ref="A53:P63" totalsRowShown="0" headerRowDxfId="67" dataDxfId="68" dataCellStyle="Normal">
  <autoFilter ref="A53:P63"/>
  <tableColumns count="16">
    <tableColumn id="1" name="Top Words in Tweet in Entire Graph" dataDxfId="66" dataCellStyle="Normal"/>
    <tableColumn id="2" name="Entire Graph Count" dataDxfId="65" dataCellStyle="Normal"/>
    <tableColumn id="3" name="Top Words in Tweet in G1" dataDxfId="64" dataCellStyle="Normal"/>
    <tableColumn id="4" name="G1 Count" dataDxfId="63" dataCellStyle="Normal"/>
    <tableColumn id="5" name="Top Words in Tweet in G2" dataDxfId="62" dataCellStyle="Normal"/>
    <tableColumn id="6" name="G2 Count" dataDxfId="61" dataCellStyle="Normal"/>
    <tableColumn id="7" name="Top Words in Tweet in G3" dataDxfId="60" dataCellStyle="Normal"/>
    <tableColumn id="8" name="G3 Count" dataDxfId="59" dataCellStyle="Normal"/>
    <tableColumn id="9" name="Top Words in Tweet in G4" dataDxfId="58" dataCellStyle="Normal"/>
    <tableColumn id="10" name="G4 Count" dataDxfId="57" dataCellStyle="Normal"/>
    <tableColumn id="11" name="Top Words in Tweet in G5" dataDxfId="56" dataCellStyle="Normal"/>
    <tableColumn id="12" name="G5 Count" dataDxfId="55" dataCellStyle="Normal"/>
    <tableColumn id="13" name="Top Words in Tweet in G6" dataDxfId="54" dataCellStyle="Normal"/>
    <tableColumn id="14" name="G6 Count" dataDxfId="53" dataCellStyle="Normal"/>
    <tableColumn id="15" name="Top Words in Tweet in G7" dataDxfId="52" dataCellStyle="Normal"/>
    <tableColumn id="16" name="G7 Count" dataDxfId="51" dataCellStyle="Normal"/>
  </tableColumns>
  <tableStyleInfo name="NodeXL Table" showFirstColumn="0" showLastColumn="0" showRowStripes="1" showColumnStripes="0"/>
</table>
</file>

<file path=xl/tables/table19.xml><?xml version="1.0" encoding="utf-8"?>
<table xmlns="http://schemas.openxmlformats.org/spreadsheetml/2006/main" id="19" name="TwitterSearchNetworkTopItems_6" displayName="TwitterSearchNetworkTopItems_6" ref="A66:P76" totalsRowShown="0" headerRowDxfId="49" dataDxfId="50" dataCellStyle="Normal">
  <autoFilter ref="A66:P76"/>
  <tableColumns count="16">
    <tableColumn id="1" name="Top Word Pairs in Tweet in Entire Graph" dataDxfId="48" dataCellStyle="Normal"/>
    <tableColumn id="2" name="Entire Graph Count" dataDxfId="47" dataCellStyle="Normal"/>
    <tableColumn id="3" name="Top Word Pairs in Tweet in G1" dataDxfId="46" dataCellStyle="Normal"/>
    <tableColumn id="4" name="G1 Count" dataDxfId="45" dataCellStyle="Normal"/>
    <tableColumn id="5" name="Top Word Pairs in Tweet in G2" dataDxfId="44" dataCellStyle="Normal"/>
    <tableColumn id="6" name="G2 Count" dataDxfId="43" dataCellStyle="Normal"/>
    <tableColumn id="7" name="Top Word Pairs in Tweet in G3" dataDxfId="42" dataCellStyle="Normal"/>
    <tableColumn id="8" name="G3 Count" dataDxfId="41" dataCellStyle="Normal"/>
    <tableColumn id="9" name="Top Word Pairs in Tweet in G4" dataDxfId="40" dataCellStyle="Normal"/>
    <tableColumn id="10" name="G4 Count" dataDxfId="39" dataCellStyle="Normal"/>
    <tableColumn id="11" name="Top Word Pairs in Tweet in G5" dataDxfId="38" dataCellStyle="Normal"/>
    <tableColumn id="12" name="G5 Count" dataDxfId="37" dataCellStyle="Normal"/>
    <tableColumn id="13" name="Top Word Pairs in Tweet in G6" dataDxfId="36" dataCellStyle="Normal"/>
    <tableColumn id="14" name="G6 Count" dataDxfId="35" dataCellStyle="Normal"/>
    <tableColumn id="15" name="Top Word Pairs in Tweet in G7" dataDxfId="34" dataCellStyle="Normal"/>
    <tableColumn id="16" name="G7 Count" dataDxfId="33" dataCellStyle="Normal"/>
  </tableColumns>
  <tableStyleInfo name="NodeXL Table" showFirstColumn="0" showLastColumn="0" showRowStripes="1" showColumnStripes="0"/>
</table>
</file>

<file path=xl/tables/table20.xml><?xml version="1.0" encoding="utf-8"?>
<table xmlns="http://schemas.openxmlformats.org/spreadsheetml/2006/main" id="20" name="TwitterSearchNetworkTopItems_7" displayName="TwitterSearchNetworkTopItems_7" ref="A79:P89" totalsRowShown="0" headerRowDxfId="31" dataDxfId="32" dataCellStyle="Normal">
  <autoFilter ref="A79:P89"/>
  <tableColumns count="16">
    <tableColumn id="1" name="Top Tweeters in Entire Graph" dataDxfId="30" dataCellStyle="Normal"/>
    <tableColumn id="2" name="Entire Graph Count" dataDxfId="29" dataCellStyle="Normal"/>
    <tableColumn id="3" name="Top Tweeters in G1" dataDxfId="28" dataCellStyle="Normal"/>
    <tableColumn id="4" name="G1 Count" dataDxfId="27" dataCellStyle="Normal"/>
    <tableColumn id="5" name="Top Tweeters in G2" dataDxfId="26" dataCellStyle="Normal"/>
    <tableColumn id="6" name="G2 Count" dataDxfId="25" dataCellStyle="Normal"/>
    <tableColumn id="7" name="Top Tweeters in G3" dataDxfId="24" dataCellStyle="Normal"/>
    <tableColumn id="8" name="G3 Count" dataDxfId="23" dataCellStyle="Normal"/>
    <tableColumn id="9" name="Top Tweeters in G4" dataDxfId="22" dataCellStyle="Normal"/>
    <tableColumn id="10" name="G4 Count" dataDxfId="21" dataCellStyle="Normal"/>
    <tableColumn id="11" name="Top Tweeters in G5" dataDxfId="20" dataCellStyle="Normal"/>
    <tableColumn id="12" name="G5 Count" dataDxfId="19" dataCellStyle="Normal"/>
    <tableColumn id="13" name="Top Tweeters in G6" dataDxfId="18" dataCellStyle="Normal"/>
    <tableColumn id="14" name="G6 Count" dataDxfId="17" dataCellStyle="Normal"/>
    <tableColumn id="15" name="Top Tweeters in G7" dataDxfId="16" dataCellStyle="Normal"/>
    <tableColumn id="16" name="G7 Count" dataDxfId="15" dataCellStyle="Normal"/>
  </tableColumns>
  <tableStyleInfo name="NodeXL Table" showFirstColumn="0" showLastColumn="0" showRowStripes="1" showColumnStripes="0"/>
</table>
</file>

<file path=xl/tables/table21.xml><?xml version="1.0" encoding="utf-8"?>
<table xmlns="http://schemas.openxmlformats.org/spreadsheetml/2006/main" id="21" name="TopItems_1" displayName="TopItems_1" ref="A1:B11" totalsRowShown="0" headerRowDxfId="3" dataDxfId="4" dataCellStyle="Normal">
  <autoFilter ref="A1:B11"/>
  <tableColumns count="2">
    <tableColumn id="1" name="Top 10 Vertices, Ranked by Betweenness Centrality" dataDxfId="2" dataCellStyle="Normal"/>
    <tableColumn id="2" name="Betweenness Centrality" dataDxfId="1" dataCellStyle="Normal"/>
  </tableColumns>
  <tableStyleInfo name="NodeXL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witter.com/" TargetMode="External"/><Relationship Id="rId299" Type="http://schemas.openxmlformats.org/officeDocument/2006/relationships/hyperlink" Target="https://twitter.com/" TargetMode="External"/><Relationship Id="rId303" Type="http://schemas.openxmlformats.org/officeDocument/2006/relationships/hyperlink" Target="https://twitter.com/" TargetMode="External"/><Relationship Id="rId21" Type="http://schemas.openxmlformats.org/officeDocument/2006/relationships/hyperlink" Target="http://bluemassgroup.com/2011/08/brown-2012-strateg/" TargetMode="External"/><Relationship Id="rId42" Type="http://schemas.openxmlformats.org/officeDocument/2006/relationships/hyperlink" Target="http://romneyresponse.tumblr.com/post/28561244348/romney-senior-adviser-eric-fehrnstrom-weighs-in-on" TargetMode="External"/><Relationship Id="rId63" Type="http://schemas.openxmlformats.org/officeDocument/2006/relationships/hyperlink" Target="https://twitter.com/" TargetMode="External"/><Relationship Id="rId84" Type="http://schemas.openxmlformats.org/officeDocument/2006/relationships/hyperlink" Target="https://twitter.com/" TargetMode="External"/><Relationship Id="rId138" Type="http://schemas.openxmlformats.org/officeDocument/2006/relationships/hyperlink" Target="https://twitter.com/" TargetMode="External"/><Relationship Id="rId159" Type="http://schemas.openxmlformats.org/officeDocument/2006/relationships/hyperlink" Target="https://twitter.com/" TargetMode="External"/><Relationship Id="rId324" Type="http://schemas.openxmlformats.org/officeDocument/2006/relationships/hyperlink" Target="https://twitter.com/" TargetMode="External"/><Relationship Id="rId345" Type="http://schemas.openxmlformats.org/officeDocument/2006/relationships/hyperlink" Target="https://twitter.com/" TargetMode="External"/><Relationship Id="rId170" Type="http://schemas.openxmlformats.org/officeDocument/2006/relationships/hyperlink" Target="https://twitter.com/" TargetMode="External"/><Relationship Id="rId191" Type="http://schemas.openxmlformats.org/officeDocument/2006/relationships/hyperlink" Target="https://twitter.com/" TargetMode="External"/><Relationship Id="rId205" Type="http://schemas.openxmlformats.org/officeDocument/2006/relationships/hyperlink" Target="https://twitter.com/" TargetMode="External"/><Relationship Id="rId226" Type="http://schemas.openxmlformats.org/officeDocument/2006/relationships/hyperlink" Target="https://twitter.com/" TargetMode="External"/><Relationship Id="rId247" Type="http://schemas.openxmlformats.org/officeDocument/2006/relationships/hyperlink" Target="https://twitter.com/" TargetMode="External"/><Relationship Id="rId107" Type="http://schemas.openxmlformats.org/officeDocument/2006/relationships/hyperlink" Target="https://twitter.com/" TargetMode="External"/><Relationship Id="rId268" Type="http://schemas.openxmlformats.org/officeDocument/2006/relationships/hyperlink" Target="https://twitter.com/" TargetMode="External"/><Relationship Id="rId289" Type="http://schemas.openxmlformats.org/officeDocument/2006/relationships/hyperlink" Target="https://twitter.com/" TargetMode="External"/><Relationship Id="rId11" Type="http://schemas.openxmlformats.org/officeDocument/2006/relationships/hyperlink" Target="http://romneyresponse.tumblr.com/post/28561244348/romney-senior-adviser-eric-fehrnstrom-weighs-in-on" TargetMode="External"/><Relationship Id="rId32" Type="http://schemas.openxmlformats.org/officeDocument/2006/relationships/hyperlink" Target="http://abcnews.go.com/blogs/politics/2012/08/romneys-kiss-my-spokesman-takes-time-off-campaign-trail/?utm_source=twitterfeed&amp;utm_medium=twitter" TargetMode="External"/><Relationship Id="rId53" Type="http://schemas.openxmlformats.org/officeDocument/2006/relationships/hyperlink" Target="http://romneyresponse.tumblr.com/post/28561244348/romney-senior-adviser-eric-fehrnstrom-weighs-in-on" TargetMode="External"/><Relationship Id="rId74" Type="http://schemas.openxmlformats.org/officeDocument/2006/relationships/hyperlink" Target="https://twitter.com/" TargetMode="External"/><Relationship Id="rId128" Type="http://schemas.openxmlformats.org/officeDocument/2006/relationships/hyperlink" Target="https://twitter.com/" TargetMode="External"/><Relationship Id="rId149" Type="http://schemas.openxmlformats.org/officeDocument/2006/relationships/hyperlink" Target="https://twitter.com/" TargetMode="External"/><Relationship Id="rId314" Type="http://schemas.openxmlformats.org/officeDocument/2006/relationships/hyperlink" Target="https://twitter.com/" TargetMode="External"/><Relationship Id="rId335" Type="http://schemas.openxmlformats.org/officeDocument/2006/relationships/hyperlink" Target="https://twitter.com/" TargetMode="External"/><Relationship Id="rId5" Type="http://schemas.openxmlformats.org/officeDocument/2006/relationships/hyperlink" Target="http://www.gotchamediablog.com/2012/08/fox-news-eric-fehrnstrom-thinks-hes.html" TargetMode="External"/><Relationship Id="rId95" Type="http://schemas.openxmlformats.org/officeDocument/2006/relationships/hyperlink" Target="https://twitter.com/" TargetMode="External"/><Relationship Id="rId160" Type="http://schemas.openxmlformats.org/officeDocument/2006/relationships/hyperlink" Target="https://twitter.com/" TargetMode="External"/><Relationship Id="rId181" Type="http://schemas.openxmlformats.org/officeDocument/2006/relationships/hyperlink" Target="https://twitter.com/" TargetMode="External"/><Relationship Id="rId216" Type="http://schemas.openxmlformats.org/officeDocument/2006/relationships/hyperlink" Target="https://twitter.com/" TargetMode="External"/><Relationship Id="rId237" Type="http://schemas.openxmlformats.org/officeDocument/2006/relationships/hyperlink" Target="https://twitter.com/" TargetMode="External"/><Relationship Id="rId258" Type="http://schemas.openxmlformats.org/officeDocument/2006/relationships/hyperlink" Target="https://twitter.com/" TargetMode="External"/><Relationship Id="rId279" Type="http://schemas.openxmlformats.org/officeDocument/2006/relationships/hyperlink" Target="https://twitter.com/" TargetMode="External"/><Relationship Id="rId22" Type="http://schemas.openxmlformats.org/officeDocument/2006/relationships/hyperlink" Target="http://newsericks.com/tag/Bush-tax-cuts/" TargetMode="External"/><Relationship Id="rId43" Type="http://schemas.openxmlformats.org/officeDocument/2006/relationships/hyperlink" Target="http://www.youtube.com/watch?v=d1kCT62p95o" TargetMode="External"/><Relationship Id="rId64" Type="http://schemas.openxmlformats.org/officeDocument/2006/relationships/hyperlink" Target="https://twitter.com/" TargetMode="External"/><Relationship Id="rId118" Type="http://schemas.openxmlformats.org/officeDocument/2006/relationships/hyperlink" Target="https://twitter.com/" TargetMode="External"/><Relationship Id="rId139" Type="http://schemas.openxmlformats.org/officeDocument/2006/relationships/hyperlink" Target="https://twitter.com/" TargetMode="External"/><Relationship Id="rId290" Type="http://schemas.openxmlformats.org/officeDocument/2006/relationships/hyperlink" Target="https://twitter.com/" TargetMode="External"/><Relationship Id="rId304" Type="http://schemas.openxmlformats.org/officeDocument/2006/relationships/hyperlink" Target="https://twitter.com/" TargetMode="External"/><Relationship Id="rId325" Type="http://schemas.openxmlformats.org/officeDocument/2006/relationships/hyperlink" Target="https://twitter.com/" TargetMode="External"/><Relationship Id="rId346" Type="http://schemas.openxmlformats.org/officeDocument/2006/relationships/hyperlink" Target="https://twitter.com/" TargetMode="External"/><Relationship Id="rId85" Type="http://schemas.openxmlformats.org/officeDocument/2006/relationships/hyperlink" Target="https://twitter.com/" TargetMode="External"/><Relationship Id="rId150" Type="http://schemas.openxmlformats.org/officeDocument/2006/relationships/hyperlink" Target="https://twitter.com/" TargetMode="External"/><Relationship Id="rId171" Type="http://schemas.openxmlformats.org/officeDocument/2006/relationships/hyperlink" Target="https://twitter.com/" TargetMode="External"/><Relationship Id="rId192" Type="http://schemas.openxmlformats.org/officeDocument/2006/relationships/hyperlink" Target="https://twitter.com/" TargetMode="External"/><Relationship Id="rId206" Type="http://schemas.openxmlformats.org/officeDocument/2006/relationships/hyperlink" Target="https://twitter.com/" TargetMode="External"/><Relationship Id="rId227" Type="http://schemas.openxmlformats.org/officeDocument/2006/relationships/hyperlink" Target="https://twitter.com/" TargetMode="External"/><Relationship Id="rId248" Type="http://schemas.openxmlformats.org/officeDocument/2006/relationships/hyperlink" Target="https://twitter.com/" TargetMode="External"/><Relationship Id="rId269" Type="http://schemas.openxmlformats.org/officeDocument/2006/relationships/hyperlink" Target="https://twitter.com/" TargetMode="External"/><Relationship Id="rId12" Type="http://schemas.openxmlformats.org/officeDocument/2006/relationships/hyperlink" Target="http://romneyresponse.tumblr.com/post/28561244348/romney-senior-adviser-eric-fehrnstrom-weighs-in-on" TargetMode="External"/><Relationship Id="rId33" Type="http://schemas.openxmlformats.org/officeDocument/2006/relationships/hyperlink" Target="http://www.washingtontimes.com/blog/inside-politics/2012/aug/2/romney-adviser-reid-have-you-no-sense-decency/" TargetMode="External"/><Relationship Id="rId108" Type="http://schemas.openxmlformats.org/officeDocument/2006/relationships/hyperlink" Target="https://twitter.com/" TargetMode="External"/><Relationship Id="rId129" Type="http://schemas.openxmlformats.org/officeDocument/2006/relationships/hyperlink" Target="https://twitter.com/" TargetMode="External"/><Relationship Id="rId280" Type="http://schemas.openxmlformats.org/officeDocument/2006/relationships/hyperlink" Target="https://twitter.com/" TargetMode="External"/><Relationship Id="rId315" Type="http://schemas.openxmlformats.org/officeDocument/2006/relationships/hyperlink" Target="https://twitter.com/" TargetMode="External"/><Relationship Id="rId336" Type="http://schemas.openxmlformats.org/officeDocument/2006/relationships/hyperlink" Target="https://twitter.com/" TargetMode="External"/><Relationship Id="rId54" Type="http://schemas.openxmlformats.org/officeDocument/2006/relationships/hyperlink" Target="https://twitter.com/" TargetMode="External"/><Relationship Id="rId75" Type="http://schemas.openxmlformats.org/officeDocument/2006/relationships/hyperlink" Target="https://twitter.com/" TargetMode="External"/><Relationship Id="rId96" Type="http://schemas.openxmlformats.org/officeDocument/2006/relationships/hyperlink" Target="https://twitter.com/" TargetMode="External"/><Relationship Id="rId140" Type="http://schemas.openxmlformats.org/officeDocument/2006/relationships/hyperlink" Target="https://twitter.com/" TargetMode="External"/><Relationship Id="rId161" Type="http://schemas.openxmlformats.org/officeDocument/2006/relationships/hyperlink" Target="https://twitter.com/" TargetMode="External"/><Relationship Id="rId182" Type="http://schemas.openxmlformats.org/officeDocument/2006/relationships/hyperlink" Target="https://twitter.com/" TargetMode="External"/><Relationship Id="rId217" Type="http://schemas.openxmlformats.org/officeDocument/2006/relationships/hyperlink" Target="https://twitter.com/" TargetMode="External"/><Relationship Id="rId6" Type="http://schemas.openxmlformats.org/officeDocument/2006/relationships/hyperlink" Target="http://www.tumblr.com/ZTjIFvQcNiF1" TargetMode="External"/><Relationship Id="rId238" Type="http://schemas.openxmlformats.org/officeDocument/2006/relationships/hyperlink" Target="https://twitter.com/" TargetMode="External"/><Relationship Id="rId259" Type="http://schemas.openxmlformats.org/officeDocument/2006/relationships/hyperlink" Target="https://twitter.com/" TargetMode="External"/><Relationship Id="rId23" Type="http://schemas.openxmlformats.org/officeDocument/2006/relationships/hyperlink" Target="http://www.youtube.com/watch?v=Z2sySORDLjo" TargetMode="External"/><Relationship Id="rId119" Type="http://schemas.openxmlformats.org/officeDocument/2006/relationships/hyperlink" Target="https://twitter.com/" TargetMode="External"/><Relationship Id="rId270" Type="http://schemas.openxmlformats.org/officeDocument/2006/relationships/hyperlink" Target="https://twitter.com/" TargetMode="External"/><Relationship Id="rId291" Type="http://schemas.openxmlformats.org/officeDocument/2006/relationships/hyperlink" Target="https://twitter.com/" TargetMode="External"/><Relationship Id="rId305" Type="http://schemas.openxmlformats.org/officeDocument/2006/relationships/hyperlink" Target="https://twitter.com/" TargetMode="External"/><Relationship Id="rId326" Type="http://schemas.openxmlformats.org/officeDocument/2006/relationships/hyperlink" Target="https://twitter.com/" TargetMode="External"/><Relationship Id="rId347" Type="http://schemas.openxmlformats.org/officeDocument/2006/relationships/hyperlink" Target="https://twitter.com/" TargetMode="External"/><Relationship Id="rId44" Type="http://schemas.openxmlformats.org/officeDocument/2006/relationships/hyperlink" Target="http://freebeacon.com/government-motors-spends-600m-on-uk-soccer-promo/" TargetMode="External"/><Relationship Id="rId65" Type="http://schemas.openxmlformats.org/officeDocument/2006/relationships/hyperlink" Target="https://twitter.com/" TargetMode="External"/><Relationship Id="rId86" Type="http://schemas.openxmlformats.org/officeDocument/2006/relationships/hyperlink" Target="https://twitter.com/" TargetMode="External"/><Relationship Id="rId130" Type="http://schemas.openxmlformats.org/officeDocument/2006/relationships/hyperlink" Target="https://twitter.com/" TargetMode="External"/><Relationship Id="rId151" Type="http://schemas.openxmlformats.org/officeDocument/2006/relationships/hyperlink" Target="https://twitter.com/" TargetMode="External"/><Relationship Id="rId172" Type="http://schemas.openxmlformats.org/officeDocument/2006/relationships/hyperlink" Target="https://twitter.com/" TargetMode="External"/><Relationship Id="rId193" Type="http://schemas.openxmlformats.org/officeDocument/2006/relationships/hyperlink" Target="https://twitter.com/" TargetMode="External"/><Relationship Id="rId207" Type="http://schemas.openxmlformats.org/officeDocument/2006/relationships/hyperlink" Target="https://twitter.com/" TargetMode="External"/><Relationship Id="rId228" Type="http://schemas.openxmlformats.org/officeDocument/2006/relationships/hyperlink" Target="https://twitter.com/" TargetMode="External"/><Relationship Id="rId249" Type="http://schemas.openxmlformats.org/officeDocument/2006/relationships/hyperlink" Target="https://twitter.com/" TargetMode="External"/><Relationship Id="rId13" Type="http://schemas.openxmlformats.org/officeDocument/2006/relationships/hyperlink" Target="http://www.huffingtonpost.com/2012/08/02/eric-fehrnstrom-harry-reid-romney-taxes_n_1733085.html?utm_hp_ref=tw" TargetMode="External"/><Relationship Id="rId109" Type="http://schemas.openxmlformats.org/officeDocument/2006/relationships/hyperlink" Target="https://twitter.com/" TargetMode="External"/><Relationship Id="rId260" Type="http://schemas.openxmlformats.org/officeDocument/2006/relationships/hyperlink" Target="https://twitter.com/" TargetMode="External"/><Relationship Id="rId281" Type="http://schemas.openxmlformats.org/officeDocument/2006/relationships/hyperlink" Target="https://twitter.com/" TargetMode="External"/><Relationship Id="rId316" Type="http://schemas.openxmlformats.org/officeDocument/2006/relationships/hyperlink" Target="https://twitter.com/" TargetMode="External"/><Relationship Id="rId337" Type="http://schemas.openxmlformats.org/officeDocument/2006/relationships/hyperlink" Target="https://twitter.com/" TargetMode="External"/><Relationship Id="rId34" Type="http://schemas.openxmlformats.org/officeDocument/2006/relationships/hyperlink" Target="http://www.youtube.com/watch?v=d1kCT62p95o" TargetMode="External"/><Relationship Id="rId55" Type="http://schemas.openxmlformats.org/officeDocument/2006/relationships/hyperlink" Target="https://twitter.com/" TargetMode="External"/><Relationship Id="rId76" Type="http://schemas.openxmlformats.org/officeDocument/2006/relationships/hyperlink" Target="https://twitter.com/" TargetMode="External"/><Relationship Id="rId97" Type="http://schemas.openxmlformats.org/officeDocument/2006/relationships/hyperlink" Target="https://twitter.com/" TargetMode="External"/><Relationship Id="rId120" Type="http://schemas.openxmlformats.org/officeDocument/2006/relationships/hyperlink" Target="https://twitter.com/" TargetMode="External"/><Relationship Id="rId141" Type="http://schemas.openxmlformats.org/officeDocument/2006/relationships/hyperlink" Target="https://twitter.com/" TargetMode="External"/><Relationship Id="rId7" Type="http://schemas.openxmlformats.org/officeDocument/2006/relationships/hyperlink" Target="http://2012.talkingpointsmemo.com/2012/08/eric-fehrnstom-harry-reid-joesph-mccarthy.php?ref=fpnewsfeed" TargetMode="External"/><Relationship Id="rId162" Type="http://schemas.openxmlformats.org/officeDocument/2006/relationships/hyperlink" Target="https://twitter.com/" TargetMode="External"/><Relationship Id="rId183" Type="http://schemas.openxmlformats.org/officeDocument/2006/relationships/hyperlink" Target="https://twitter.com/" TargetMode="External"/><Relationship Id="rId218" Type="http://schemas.openxmlformats.org/officeDocument/2006/relationships/hyperlink" Target="https://twitter.com/" TargetMode="External"/><Relationship Id="rId239" Type="http://schemas.openxmlformats.org/officeDocument/2006/relationships/hyperlink" Target="https://twitter.com/" TargetMode="External"/><Relationship Id="rId250" Type="http://schemas.openxmlformats.org/officeDocument/2006/relationships/hyperlink" Target="https://twitter.com/" TargetMode="External"/><Relationship Id="rId271" Type="http://schemas.openxmlformats.org/officeDocument/2006/relationships/hyperlink" Target="https://twitter.com/" TargetMode="External"/><Relationship Id="rId292" Type="http://schemas.openxmlformats.org/officeDocument/2006/relationships/hyperlink" Target="https://twitter.com/" TargetMode="External"/><Relationship Id="rId306" Type="http://schemas.openxmlformats.org/officeDocument/2006/relationships/hyperlink" Target="https://twitter.com/" TargetMode="External"/><Relationship Id="rId24" Type="http://schemas.openxmlformats.org/officeDocument/2006/relationships/hyperlink" Target="http://www.youtube.com/watch?v=Z2sySORDLjo" TargetMode="External"/><Relationship Id="rId45" Type="http://schemas.openxmlformats.org/officeDocument/2006/relationships/hyperlink" Target="http://www.westernjournalism.com/exclusive-investigative-reports/harry-reids-dirty-laundry/" TargetMode="External"/><Relationship Id="rId66" Type="http://schemas.openxmlformats.org/officeDocument/2006/relationships/hyperlink" Target="https://twitter.com/" TargetMode="External"/><Relationship Id="rId87" Type="http://schemas.openxmlformats.org/officeDocument/2006/relationships/hyperlink" Target="https://twitter.com/" TargetMode="External"/><Relationship Id="rId110" Type="http://schemas.openxmlformats.org/officeDocument/2006/relationships/hyperlink" Target="https://twitter.com/" TargetMode="External"/><Relationship Id="rId131" Type="http://schemas.openxmlformats.org/officeDocument/2006/relationships/hyperlink" Target="https://twitter.com/" TargetMode="External"/><Relationship Id="rId327" Type="http://schemas.openxmlformats.org/officeDocument/2006/relationships/hyperlink" Target="https://twitter.com/" TargetMode="External"/><Relationship Id="rId348" Type="http://schemas.openxmlformats.org/officeDocument/2006/relationships/hyperlink" Target="https://twitter.com/" TargetMode="External"/><Relationship Id="rId152" Type="http://schemas.openxmlformats.org/officeDocument/2006/relationships/hyperlink" Target="https://twitter.com/" TargetMode="External"/><Relationship Id="rId173" Type="http://schemas.openxmlformats.org/officeDocument/2006/relationships/hyperlink" Target="https://twitter.com/" TargetMode="External"/><Relationship Id="rId194" Type="http://schemas.openxmlformats.org/officeDocument/2006/relationships/hyperlink" Target="https://twitter.com/" TargetMode="External"/><Relationship Id="rId208" Type="http://schemas.openxmlformats.org/officeDocument/2006/relationships/hyperlink" Target="https://twitter.com/" TargetMode="External"/><Relationship Id="rId229" Type="http://schemas.openxmlformats.org/officeDocument/2006/relationships/hyperlink" Target="https://twitter.com/" TargetMode="External"/><Relationship Id="rId240" Type="http://schemas.openxmlformats.org/officeDocument/2006/relationships/hyperlink" Target="https://twitter.com/" TargetMode="External"/><Relationship Id="rId261" Type="http://schemas.openxmlformats.org/officeDocument/2006/relationships/hyperlink" Target="https://twitter.com/" TargetMode="External"/><Relationship Id="rId14" Type="http://schemas.openxmlformats.org/officeDocument/2006/relationships/hyperlink" Target="http://www.buzzfeed.com/zekejmiller/romney-campaign-obama-campaign-manager-apparently" TargetMode="External"/><Relationship Id="rId35" Type="http://schemas.openxmlformats.org/officeDocument/2006/relationships/hyperlink" Target="http://romneyresponse.tumblr.com/post/28561244348/romney-senior-adviser-eric-fehrnstrom-weighs-in-on" TargetMode="External"/><Relationship Id="rId56" Type="http://schemas.openxmlformats.org/officeDocument/2006/relationships/hyperlink" Target="https://twitter.com/" TargetMode="External"/><Relationship Id="rId77" Type="http://schemas.openxmlformats.org/officeDocument/2006/relationships/hyperlink" Target="https://twitter.com/" TargetMode="External"/><Relationship Id="rId100" Type="http://schemas.openxmlformats.org/officeDocument/2006/relationships/hyperlink" Target="https://twitter.com/" TargetMode="External"/><Relationship Id="rId282" Type="http://schemas.openxmlformats.org/officeDocument/2006/relationships/hyperlink" Target="https://twitter.com/" TargetMode="External"/><Relationship Id="rId317" Type="http://schemas.openxmlformats.org/officeDocument/2006/relationships/hyperlink" Target="https://twitter.com/" TargetMode="External"/><Relationship Id="rId338" Type="http://schemas.openxmlformats.org/officeDocument/2006/relationships/hyperlink" Target="https://twitter.com/" TargetMode="External"/><Relationship Id="rId8" Type="http://schemas.openxmlformats.org/officeDocument/2006/relationships/hyperlink" Target="http://romneyresponse.tumblr.com/post/28561244348/romney-senior-adviser-eric-fehrnstrom-weighs-in-on" TargetMode="External"/><Relationship Id="rId98" Type="http://schemas.openxmlformats.org/officeDocument/2006/relationships/hyperlink" Target="https://twitter.com/" TargetMode="External"/><Relationship Id="rId121" Type="http://schemas.openxmlformats.org/officeDocument/2006/relationships/hyperlink" Target="https://twitter.com/" TargetMode="External"/><Relationship Id="rId142" Type="http://schemas.openxmlformats.org/officeDocument/2006/relationships/hyperlink" Target="https://twitter.com/" TargetMode="External"/><Relationship Id="rId163" Type="http://schemas.openxmlformats.org/officeDocument/2006/relationships/hyperlink" Target="https://twitter.com/" TargetMode="External"/><Relationship Id="rId184" Type="http://schemas.openxmlformats.org/officeDocument/2006/relationships/hyperlink" Target="https://twitter.com/" TargetMode="External"/><Relationship Id="rId219" Type="http://schemas.openxmlformats.org/officeDocument/2006/relationships/hyperlink" Target="https://twitter.com/" TargetMode="External"/><Relationship Id="rId230" Type="http://schemas.openxmlformats.org/officeDocument/2006/relationships/hyperlink" Target="https://twitter.com/" TargetMode="External"/><Relationship Id="rId251" Type="http://schemas.openxmlformats.org/officeDocument/2006/relationships/hyperlink" Target="https://twitter.com/" TargetMode="External"/><Relationship Id="rId25" Type="http://schemas.openxmlformats.org/officeDocument/2006/relationships/hyperlink" Target="http://siouxcityjournal.com/news/state-and-regional/article_c812a7d7-0cc3-50f1-a7c3-44a8fab4af10.html" TargetMode="External"/><Relationship Id="rId46" Type="http://schemas.openxmlformats.org/officeDocument/2006/relationships/hyperlink" Target="http://thehill.com/blogs/blog-briefing-room/news/241995-dccc-apologizes-to-adelson-over-chinese-prostitution-money-comments" TargetMode="External"/><Relationship Id="rId67" Type="http://schemas.openxmlformats.org/officeDocument/2006/relationships/hyperlink" Target="https://twitter.com/" TargetMode="External"/><Relationship Id="rId272" Type="http://schemas.openxmlformats.org/officeDocument/2006/relationships/hyperlink" Target="https://twitter.com/" TargetMode="External"/><Relationship Id="rId293" Type="http://schemas.openxmlformats.org/officeDocument/2006/relationships/hyperlink" Target="https://twitter.com/" TargetMode="External"/><Relationship Id="rId307" Type="http://schemas.openxmlformats.org/officeDocument/2006/relationships/hyperlink" Target="https://twitter.com/" TargetMode="External"/><Relationship Id="rId328" Type="http://schemas.openxmlformats.org/officeDocument/2006/relationships/hyperlink" Target="https://twitter.com/" TargetMode="External"/><Relationship Id="rId349" Type="http://schemas.openxmlformats.org/officeDocument/2006/relationships/hyperlink" Target="https://twitter.com/" TargetMode="External"/><Relationship Id="rId88" Type="http://schemas.openxmlformats.org/officeDocument/2006/relationships/hyperlink" Target="https://twitter.com/" TargetMode="External"/><Relationship Id="rId111" Type="http://schemas.openxmlformats.org/officeDocument/2006/relationships/hyperlink" Target="https://twitter.com/" TargetMode="External"/><Relationship Id="rId132" Type="http://schemas.openxmlformats.org/officeDocument/2006/relationships/hyperlink" Target="https://twitter.com/" TargetMode="External"/><Relationship Id="rId153" Type="http://schemas.openxmlformats.org/officeDocument/2006/relationships/hyperlink" Target="https://twitter.com/" TargetMode="External"/><Relationship Id="rId174" Type="http://schemas.openxmlformats.org/officeDocument/2006/relationships/hyperlink" Target="https://twitter.com/" TargetMode="External"/><Relationship Id="rId195" Type="http://schemas.openxmlformats.org/officeDocument/2006/relationships/hyperlink" Target="https://twitter.com/" TargetMode="External"/><Relationship Id="rId209" Type="http://schemas.openxmlformats.org/officeDocument/2006/relationships/hyperlink" Target="https://twitter.com/" TargetMode="External"/><Relationship Id="rId190" Type="http://schemas.openxmlformats.org/officeDocument/2006/relationships/hyperlink" Target="https://twitter.com/" TargetMode="External"/><Relationship Id="rId204" Type="http://schemas.openxmlformats.org/officeDocument/2006/relationships/hyperlink" Target="https://twitter.com/" TargetMode="External"/><Relationship Id="rId220" Type="http://schemas.openxmlformats.org/officeDocument/2006/relationships/hyperlink" Target="https://twitter.com/" TargetMode="External"/><Relationship Id="rId225" Type="http://schemas.openxmlformats.org/officeDocument/2006/relationships/hyperlink" Target="https://twitter.com/" TargetMode="External"/><Relationship Id="rId241" Type="http://schemas.openxmlformats.org/officeDocument/2006/relationships/hyperlink" Target="https://twitter.com/" TargetMode="External"/><Relationship Id="rId246" Type="http://schemas.openxmlformats.org/officeDocument/2006/relationships/hyperlink" Target="https://twitter.com/" TargetMode="External"/><Relationship Id="rId267" Type="http://schemas.openxmlformats.org/officeDocument/2006/relationships/hyperlink" Target="https://twitter.com/" TargetMode="External"/><Relationship Id="rId288" Type="http://schemas.openxmlformats.org/officeDocument/2006/relationships/hyperlink" Target="https://twitter.com/" TargetMode="External"/><Relationship Id="rId15" Type="http://schemas.openxmlformats.org/officeDocument/2006/relationships/hyperlink" Target="http://www.dailykos.com/story/2012/08/02/1116041/-CNN-Romney-Violating-Federal-Laws-Coordinating-With-Karl-Rove" TargetMode="External"/><Relationship Id="rId36" Type="http://schemas.openxmlformats.org/officeDocument/2006/relationships/hyperlink" Target="http://romneyresponse.tumblr.com/post/28561244348/romney-senior-adviser-eric-fehrnstrom-weighs-in-on" TargetMode="External"/><Relationship Id="rId57" Type="http://schemas.openxmlformats.org/officeDocument/2006/relationships/hyperlink" Target="https://twitter.com/" TargetMode="External"/><Relationship Id="rId106" Type="http://schemas.openxmlformats.org/officeDocument/2006/relationships/hyperlink" Target="https://twitter.com/" TargetMode="External"/><Relationship Id="rId127" Type="http://schemas.openxmlformats.org/officeDocument/2006/relationships/hyperlink" Target="https://twitter.com/" TargetMode="External"/><Relationship Id="rId262" Type="http://schemas.openxmlformats.org/officeDocument/2006/relationships/hyperlink" Target="https://twitter.com/" TargetMode="External"/><Relationship Id="rId283" Type="http://schemas.openxmlformats.org/officeDocument/2006/relationships/hyperlink" Target="https://twitter.com/" TargetMode="External"/><Relationship Id="rId313" Type="http://schemas.openxmlformats.org/officeDocument/2006/relationships/hyperlink" Target="https://twitter.com/" TargetMode="External"/><Relationship Id="rId318" Type="http://schemas.openxmlformats.org/officeDocument/2006/relationships/hyperlink" Target="https://twitter.com/" TargetMode="External"/><Relationship Id="rId339" Type="http://schemas.openxmlformats.org/officeDocument/2006/relationships/hyperlink" Target="https://twitter.com/" TargetMode="External"/><Relationship Id="rId10" Type="http://schemas.openxmlformats.org/officeDocument/2006/relationships/hyperlink" Target="http://romneyresponse.tumblr.com/post/28561244348/romney-senior-adviser-eric-fehrnstrom-weighs-in-on" TargetMode="External"/><Relationship Id="rId31" Type="http://schemas.openxmlformats.org/officeDocument/2006/relationships/hyperlink" Target="http://www.buzzfeed.com/zekejmiller/romney-campaign-obama-campaign-manager-apparently" TargetMode="External"/><Relationship Id="rId52" Type="http://schemas.openxmlformats.org/officeDocument/2006/relationships/hyperlink" Target="http://romneyresponse.tumblr.com/post/28561244348/romney-senior-adviser-eric-fehrnstrom-weighs-in-on" TargetMode="External"/><Relationship Id="rId73" Type="http://schemas.openxmlformats.org/officeDocument/2006/relationships/hyperlink" Target="https://twitter.com/" TargetMode="External"/><Relationship Id="rId78" Type="http://schemas.openxmlformats.org/officeDocument/2006/relationships/hyperlink" Target="https://twitter.com/" TargetMode="External"/><Relationship Id="rId94" Type="http://schemas.openxmlformats.org/officeDocument/2006/relationships/hyperlink" Target="https://twitter.com/" TargetMode="External"/><Relationship Id="rId99" Type="http://schemas.openxmlformats.org/officeDocument/2006/relationships/hyperlink" Target="https://twitter.com/" TargetMode="External"/><Relationship Id="rId101" Type="http://schemas.openxmlformats.org/officeDocument/2006/relationships/hyperlink" Target="https://twitter.com/" TargetMode="External"/><Relationship Id="rId122" Type="http://schemas.openxmlformats.org/officeDocument/2006/relationships/hyperlink" Target="https://twitter.com/" TargetMode="External"/><Relationship Id="rId143" Type="http://schemas.openxmlformats.org/officeDocument/2006/relationships/hyperlink" Target="https://twitter.com/" TargetMode="External"/><Relationship Id="rId148" Type="http://schemas.openxmlformats.org/officeDocument/2006/relationships/hyperlink" Target="https://twitter.com/" TargetMode="External"/><Relationship Id="rId164" Type="http://schemas.openxmlformats.org/officeDocument/2006/relationships/hyperlink" Target="https://twitter.com/" TargetMode="External"/><Relationship Id="rId169" Type="http://schemas.openxmlformats.org/officeDocument/2006/relationships/hyperlink" Target="https://twitter.com/" TargetMode="External"/><Relationship Id="rId185" Type="http://schemas.openxmlformats.org/officeDocument/2006/relationships/hyperlink" Target="https://twitter.com/" TargetMode="External"/><Relationship Id="rId334" Type="http://schemas.openxmlformats.org/officeDocument/2006/relationships/hyperlink" Target="https://twitter.com/" TargetMode="External"/><Relationship Id="rId350" Type="http://schemas.openxmlformats.org/officeDocument/2006/relationships/hyperlink" Target="https://twitter.com/" TargetMode="External"/><Relationship Id="rId355" Type="http://schemas.openxmlformats.org/officeDocument/2006/relationships/comments" Target="../comments1.xml"/><Relationship Id="rId4" Type="http://schemas.openxmlformats.org/officeDocument/2006/relationships/hyperlink" Target="http://www.youtube.com/watch?v=Z2sySORDLjo" TargetMode="External"/><Relationship Id="rId9" Type="http://schemas.openxmlformats.org/officeDocument/2006/relationships/hyperlink" Target="http://romneyresponse.tumblr.com/post/28561244348/romney-senior-adviser-eric-fehrnstrom-weighs-in-on" TargetMode="External"/><Relationship Id="rId180" Type="http://schemas.openxmlformats.org/officeDocument/2006/relationships/hyperlink" Target="https://twitter.com/" TargetMode="External"/><Relationship Id="rId210" Type="http://schemas.openxmlformats.org/officeDocument/2006/relationships/hyperlink" Target="https://twitter.com/" TargetMode="External"/><Relationship Id="rId215" Type="http://schemas.openxmlformats.org/officeDocument/2006/relationships/hyperlink" Target="https://twitter.com/" TargetMode="External"/><Relationship Id="rId236" Type="http://schemas.openxmlformats.org/officeDocument/2006/relationships/hyperlink" Target="https://twitter.com/" TargetMode="External"/><Relationship Id="rId257" Type="http://schemas.openxmlformats.org/officeDocument/2006/relationships/hyperlink" Target="https://twitter.com/" TargetMode="External"/><Relationship Id="rId278" Type="http://schemas.openxmlformats.org/officeDocument/2006/relationships/hyperlink" Target="https://twitter.com/" TargetMode="External"/><Relationship Id="rId26" Type="http://schemas.openxmlformats.org/officeDocument/2006/relationships/hyperlink" Target="http://romneyresponse.tumblr.com/post/28561244348/romney-senior-adviser-eric-fehrnstrom-weighs-in-on" TargetMode="External"/><Relationship Id="rId231" Type="http://schemas.openxmlformats.org/officeDocument/2006/relationships/hyperlink" Target="https://twitter.com/" TargetMode="External"/><Relationship Id="rId252" Type="http://schemas.openxmlformats.org/officeDocument/2006/relationships/hyperlink" Target="https://twitter.com/" TargetMode="External"/><Relationship Id="rId273" Type="http://schemas.openxmlformats.org/officeDocument/2006/relationships/hyperlink" Target="https://twitter.com/" TargetMode="External"/><Relationship Id="rId294" Type="http://schemas.openxmlformats.org/officeDocument/2006/relationships/hyperlink" Target="https://twitter.com/" TargetMode="External"/><Relationship Id="rId308" Type="http://schemas.openxmlformats.org/officeDocument/2006/relationships/hyperlink" Target="https://twitter.com/" TargetMode="External"/><Relationship Id="rId329" Type="http://schemas.openxmlformats.org/officeDocument/2006/relationships/hyperlink" Target="https://twitter.com/" TargetMode="External"/><Relationship Id="rId47" Type="http://schemas.openxmlformats.org/officeDocument/2006/relationships/hyperlink" Target="http://romneyresponse.tumblr.com/post/28561244348/romney-senior-adviser-eric-fehrnstrom-weighs-in-on" TargetMode="External"/><Relationship Id="rId68" Type="http://schemas.openxmlformats.org/officeDocument/2006/relationships/hyperlink" Target="https://twitter.com/" TargetMode="External"/><Relationship Id="rId89" Type="http://schemas.openxmlformats.org/officeDocument/2006/relationships/hyperlink" Target="https://twitter.com/" TargetMode="External"/><Relationship Id="rId112" Type="http://schemas.openxmlformats.org/officeDocument/2006/relationships/hyperlink" Target="https://twitter.com/" TargetMode="External"/><Relationship Id="rId133" Type="http://schemas.openxmlformats.org/officeDocument/2006/relationships/hyperlink" Target="https://twitter.com/" TargetMode="External"/><Relationship Id="rId154" Type="http://schemas.openxmlformats.org/officeDocument/2006/relationships/hyperlink" Target="https://twitter.com/" TargetMode="External"/><Relationship Id="rId175" Type="http://schemas.openxmlformats.org/officeDocument/2006/relationships/hyperlink" Target="https://twitter.com/" TargetMode="External"/><Relationship Id="rId340" Type="http://schemas.openxmlformats.org/officeDocument/2006/relationships/hyperlink" Target="https://twitter.com/" TargetMode="External"/><Relationship Id="rId196" Type="http://schemas.openxmlformats.org/officeDocument/2006/relationships/hyperlink" Target="https://twitter.com/" TargetMode="External"/><Relationship Id="rId200" Type="http://schemas.openxmlformats.org/officeDocument/2006/relationships/hyperlink" Target="https://twitter.com/" TargetMode="External"/><Relationship Id="rId16" Type="http://schemas.openxmlformats.org/officeDocument/2006/relationships/hyperlink" Target="http://www.dailykos.com/story/2012/08/02/1116000/-Romney-s-Tax-Cuts-Don-t-Trickle-Down-They-Float-Off-Shore" TargetMode="External"/><Relationship Id="rId221" Type="http://schemas.openxmlformats.org/officeDocument/2006/relationships/hyperlink" Target="https://twitter.com/" TargetMode="External"/><Relationship Id="rId242" Type="http://schemas.openxmlformats.org/officeDocument/2006/relationships/hyperlink" Target="https://twitter.com/" TargetMode="External"/><Relationship Id="rId263" Type="http://schemas.openxmlformats.org/officeDocument/2006/relationships/hyperlink" Target="https://twitter.com/" TargetMode="External"/><Relationship Id="rId284" Type="http://schemas.openxmlformats.org/officeDocument/2006/relationships/hyperlink" Target="https://twitter.com/" TargetMode="External"/><Relationship Id="rId319" Type="http://schemas.openxmlformats.org/officeDocument/2006/relationships/hyperlink" Target="https://twitter.com/" TargetMode="External"/><Relationship Id="rId37" Type="http://schemas.openxmlformats.org/officeDocument/2006/relationships/hyperlink" Target="http://romneyresponse.tumblr.com/post/28561244348/romney-senior-adviser-eric-fehrnstrom-weighs-in-on" TargetMode="External"/><Relationship Id="rId58" Type="http://schemas.openxmlformats.org/officeDocument/2006/relationships/hyperlink" Target="https://twitter.com/" TargetMode="External"/><Relationship Id="rId79" Type="http://schemas.openxmlformats.org/officeDocument/2006/relationships/hyperlink" Target="https://twitter.com/" TargetMode="External"/><Relationship Id="rId102" Type="http://schemas.openxmlformats.org/officeDocument/2006/relationships/hyperlink" Target="https://twitter.com/" TargetMode="External"/><Relationship Id="rId123" Type="http://schemas.openxmlformats.org/officeDocument/2006/relationships/hyperlink" Target="https://twitter.com/" TargetMode="External"/><Relationship Id="rId144" Type="http://schemas.openxmlformats.org/officeDocument/2006/relationships/hyperlink" Target="https://twitter.com/" TargetMode="External"/><Relationship Id="rId330" Type="http://schemas.openxmlformats.org/officeDocument/2006/relationships/hyperlink" Target="https://twitter.com/" TargetMode="External"/><Relationship Id="rId90" Type="http://schemas.openxmlformats.org/officeDocument/2006/relationships/hyperlink" Target="https://twitter.com/" TargetMode="External"/><Relationship Id="rId165" Type="http://schemas.openxmlformats.org/officeDocument/2006/relationships/hyperlink" Target="https://twitter.com/" TargetMode="External"/><Relationship Id="rId186" Type="http://schemas.openxmlformats.org/officeDocument/2006/relationships/hyperlink" Target="https://twitter.com/" TargetMode="External"/><Relationship Id="rId351" Type="http://schemas.openxmlformats.org/officeDocument/2006/relationships/hyperlink" Target="https://twitter.com/" TargetMode="External"/><Relationship Id="rId211" Type="http://schemas.openxmlformats.org/officeDocument/2006/relationships/hyperlink" Target="https://twitter.com/" TargetMode="External"/><Relationship Id="rId232" Type="http://schemas.openxmlformats.org/officeDocument/2006/relationships/hyperlink" Target="https://twitter.com/" TargetMode="External"/><Relationship Id="rId253" Type="http://schemas.openxmlformats.org/officeDocument/2006/relationships/hyperlink" Target="https://twitter.com/" TargetMode="External"/><Relationship Id="rId274" Type="http://schemas.openxmlformats.org/officeDocument/2006/relationships/hyperlink" Target="https://twitter.com/" TargetMode="External"/><Relationship Id="rId295" Type="http://schemas.openxmlformats.org/officeDocument/2006/relationships/hyperlink" Target="https://twitter.com/" TargetMode="External"/><Relationship Id="rId309" Type="http://schemas.openxmlformats.org/officeDocument/2006/relationships/hyperlink" Target="https://twitter.com/" TargetMode="External"/><Relationship Id="rId27" Type="http://schemas.openxmlformats.org/officeDocument/2006/relationships/hyperlink" Target="http://romneyresponse.tumblr.com/post/28561244348/romney-senior-adviser-eric-fehrnstrom-weighs-in-on" TargetMode="External"/><Relationship Id="rId48" Type="http://schemas.openxmlformats.org/officeDocument/2006/relationships/hyperlink" Target="http://romneyresponse.tumblr.com/post/28561244348/romney-senior-adviser-eric-fehrnstrom-weighs-in-on" TargetMode="External"/><Relationship Id="rId69" Type="http://schemas.openxmlformats.org/officeDocument/2006/relationships/hyperlink" Target="https://twitter.com/" TargetMode="External"/><Relationship Id="rId113" Type="http://schemas.openxmlformats.org/officeDocument/2006/relationships/hyperlink" Target="https://twitter.com/" TargetMode="External"/><Relationship Id="rId134" Type="http://schemas.openxmlformats.org/officeDocument/2006/relationships/hyperlink" Target="https://twitter.com/" TargetMode="External"/><Relationship Id="rId320" Type="http://schemas.openxmlformats.org/officeDocument/2006/relationships/hyperlink" Target="https://twitter.com/" TargetMode="External"/><Relationship Id="rId80" Type="http://schemas.openxmlformats.org/officeDocument/2006/relationships/hyperlink" Target="https://twitter.com/" TargetMode="External"/><Relationship Id="rId155" Type="http://schemas.openxmlformats.org/officeDocument/2006/relationships/hyperlink" Target="https://twitter.com/" TargetMode="External"/><Relationship Id="rId176" Type="http://schemas.openxmlformats.org/officeDocument/2006/relationships/hyperlink" Target="https://twitter.com/" TargetMode="External"/><Relationship Id="rId197" Type="http://schemas.openxmlformats.org/officeDocument/2006/relationships/hyperlink" Target="https://twitter.com/" TargetMode="External"/><Relationship Id="rId341" Type="http://schemas.openxmlformats.org/officeDocument/2006/relationships/hyperlink" Target="https://twitter.com/" TargetMode="External"/><Relationship Id="rId201" Type="http://schemas.openxmlformats.org/officeDocument/2006/relationships/hyperlink" Target="https://twitter.com/" TargetMode="External"/><Relationship Id="rId222" Type="http://schemas.openxmlformats.org/officeDocument/2006/relationships/hyperlink" Target="https://twitter.com/" TargetMode="External"/><Relationship Id="rId243" Type="http://schemas.openxmlformats.org/officeDocument/2006/relationships/hyperlink" Target="https://twitter.com/" TargetMode="External"/><Relationship Id="rId264" Type="http://schemas.openxmlformats.org/officeDocument/2006/relationships/hyperlink" Target="https://twitter.com/" TargetMode="External"/><Relationship Id="rId285" Type="http://schemas.openxmlformats.org/officeDocument/2006/relationships/hyperlink" Target="https://twitter.com/" TargetMode="External"/><Relationship Id="rId17" Type="http://schemas.openxmlformats.org/officeDocument/2006/relationships/hyperlink" Target="http://www.dailykos.com/story/2012/08/02/1116041/-CNN-Romney-Violating-Federal-Laws-Coordinating-With-Karl-Rove" TargetMode="External"/><Relationship Id="rId38" Type="http://schemas.openxmlformats.org/officeDocument/2006/relationships/hyperlink" Target="http://romneyresponse.tumblr.com/post/28561244348/romney-senior-adviser-eric-fehrnstrom-weighs-in-on" TargetMode="External"/><Relationship Id="rId59" Type="http://schemas.openxmlformats.org/officeDocument/2006/relationships/hyperlink" Target="https://twitter.com/" TargetMode="External"/><Relationship Id="rId103" Type="http://schemas.openxmlformats.org/officeDocument/2006/relationships/hyperlink" Target="https://twitter.com/" TargetMode="External"/><Relationship Id="rId124" Type="http://schemas.openxmlformats.org/officeDocument/2006/relationships/hyperlink" Target="https://twitter.com/" TargetMode="External"/><Relationship Id="rId310" Type="http://schemas.openxmlformats.org/officeDocument/2006/relationships/hyperlink" Target="https://twitter.com/" TargetMode="External"/><Relationship Id="rId70" Type="http://schemas.openxmlformats.org/officeDocument/2006/relationships/hyperlink" Target="https://twitter.com/" TargetMode="External"/><Relationship Id="rId91" Type="http://schemas.openxmlformats.org/officeDocument/2006/relationships/hyperlink" Target="https://twitter.com/" TargetMode="External"/><Relationship Id="rId145" Type="http://schemas.openxmlformats.org/officeDocument/2006/relationships/hyperlink" Target="https://twitter.com/" TargetMode="External"/><Relationship Id="rId166" Type="http://schemas.openxmlformats.org/officeDocument/2006/relationships/hyperlink" Target="https://twitter.com/" TargetMode="External"/><Relationship Id="rId187" Type="http://schemas.openxmlformats.org/officeDocument/2006/relationships/hyperlink" Target="https://twitter.com/" TargetMode="External"/><Relationship Id="rId331" Type="http://schemas.openxmlformats.org/officeDocument/2006/relationships/hyperlink" Target="https://twitter.com/" TargetMode="External"/><Relationship Id="rId352" Type="http://schemas.openxmlformats.org/officeDocument/2006/relationships/printerSettings" Target="../printerSettings/printerSettings1.bin"/><Relationship Id="rId1" Type="http://schemas.openxmlformats.org/officeDocument/2006/relationships/hyperlink" Target="http://abcnews.go.com/Politics/OTUS/mitt-romney-move-emboldened-tea-party/story?id=16906367" TargetMode="External"/><Relationship Id="rId212" Type="http://schemas.openxmlformats.org/officeDocument/2006/relationships/hyperlink" Target="https://twitter.com/" TargetMode="External"/><Relationship Id="rId233" Type="http://schemas.openxmlformats.org/officeDocument/2006/relationships/hyperlink" Target="https://twitter.com/" TargetMode="External"/><Relationship Id="rId254" Type="http://schemas.openxmlformats.org/officeDocument/2006/relationships/hyperlink" Target="https://twitter.com/" TargetMode="External"/><Relationship Id="rId28" Type="http://schemas.openxmlformats.org/officeDocument/2006/relationships/hyperlink" Target="http://politics.foxnews.mobi/quickPage.html?page=23888&amp;content=77479652&amp;pageNum=-1" TargetMode="External"/><Relationship Id="rId49" Type="http://schemas.openxmlformats.org/officeDocument/2006/relationships/hyperlink" Target="http://romneyresponse.tumblr.com/post/28561244348/romney-senior-adviser-eric-fehrnstrom-weighs-in-on" TargetMode="External"/><Relationship Id="rId114" Type="http://schemas.openxmlformats.org/officeDocument/2006/relationships/hyperlink" Target="https://twitter.com/" TargetMode="External"/><Relationship Id="rId275" Type="http://schemas.openxmlformats.org/officeDocument/2006/relationships/hyperlink" Target="https://twitter.com/" TargetMode="External"/><Relationship Id="rId296" Type="http://schemas.openxmlformats.org/officeDocument/2006/relationships/hyperlink" Target="https://twitter.com/" TargetMode="External"/><Relationship Id="rId300" Type="http://schemas.openxmlformats.org/officeDocument/2006/relationships/hyperlink" Target="https://twitter.com/" TargetMode="External"/><Relationship Id="rId60" Type="http://schemas.openxmlformats.org/officeDocument/2006/relationships/hyperlink" Target="https://twitter.com/" TargetMode="External"/><Relationship Id="rId81" Type="http://schemas.openxmlformats.org/officeDocument/2006/relationships/hyperlink" Target="https://twitter.com/" TargetMode="External"/><Relationship Id="rId135" Type="http://schemas.openxmlformats.org/officeDocument/2006/relationships/hyperlink" Target="https://twitter.com/" TargetMode="External"/><Relationship Id="rId156" Type="http://schemas.openxmlformats.org/officeDocument/2006/relationships/hyperlink" Target="https://twitter.com/" TargetMode="External"/><Relationship Id="rId177" Type="http://schemas.openxmlformats.org/officeDocument/2006/relationships/hyperlink" Target="https://twitter.com/" TargetMode="External"/><Relationship Id="rId198" Type="http://schemas.openxmlformats.org/officeDocument/2006/relationships/hyperlink" Target="https://twitter.com/" TargetMode="External"/><Relationship Id="rId321" Type="http://schemas.openxmlformats.org/officeDocument/2006/relationships/hyperlink" Target="https://twitter.com/" TargetMode="External"/><Relationship Id="rId342" Type="http://schemas.openxmlformats.org/officeDocument/2006/relationships/hyperlink" Target="https://twitter.com/" TargetMode="External"/><Relationship Id="rId202" Type="http://schemas.openxmlformats.org/officeDocument/2006/relationships/hyperlink" Target="https://twitter.com/" TargetMode="External"/><Relationship Id="rId223" Type="http://schemas.openxmlformats.org/officeDocument/2006/relationships/hyperlink" Target="https://twitter.com/" TargetMode="External"/><Relationship Id="rId244" Type="http://schemas.openxmlformats.org/officeDocument/2006/relationships/hyperlink" Target="https://twitter.com/" TargetMode="External"/><Relationship Id="rId18" Type="http://schemas.openxmlformats.org/officeDocument/2006/relationships/hyperlink" Target="http://www.dailykos.com/story/2012/08/02/1116041/-CNN-Romney-Violating-Federal-Laws-Coordinating-With-Karl-Rove" TargetMode="External"/><Relationship Id="rId39" Type="http://schemas.openxmlformats.org/officeDocument/2006/relationships/hyperlink" Target="http://www.buzzfeed.com/zekejmiller/romney-campaign-obama-campaign-manager-apparently" TargetMode="External"/><Relationship Id="rId265" Type="http://schemas.openxmlformats.org/officeDocument/2006/relationships/hyperlink" Target="https://twitter.com/" TargetMode="External"/><Relationship Id="rId286" Type="http://schemas.openxmlformats.org/officeDocument/2006/relationships/hyperlink" Target="https://twitter.com/" TargetMode="External"/><Relationship Id="rId50" Type="http://schemas.openxmlformats.org/officeDocument/2006/relationships/hyperlink" Target="http://romneyresponse.tumblr.com/post/28561244348/romney-senior-adviser-eric-fehrnstrom-weighs-in-on" TargetMode="External"/><Relationship Id="rId104" Type="http://schemas.openxmlformats.org/officeDocument/2006/relationships/hyperlink" Target="https://twitter.com/" TargetMode="External"/><Relationship Id="rId125" Type="http://schemas.openxmlformats.org/officeDocument/2006/relationships/hyperlink" Target="https://twitter.com/" TargetMode="External"/><Relationship Id="rId146" Type="http://schemas.openxmlformats.org/officeDocument/2006/relationships/hyperlink" Target="https://twitter.com/" TargetMode="External"/><Relationship Id="rId167" Type="http://schemas.openxmlformats.org/officeDocument/2006/relationships/hyperlink" Target="https://twitter.com/" TargetMode="External"/><Relationship Id="rId188" Type="http://schemas.openxmlformats.org/officeDocument/2006/relationships/hyperlink" Target="https://twitter.com/" TargetMode="External"/><Relationship Id="rId311" Type="http://schemas.openxmlformats.org/officeDocument/2006/relationships/hyperlink" Target="https://twitter.com/" TargetMode="External"/><Relationship Id="rId332" Type="http://schemas.openxmlformats.org/officeDocument/2006/relationships/hyperlink" Target="https://twitter.com/" TargetMode="External"/><Relationship Id="rId353" Type="http://schemas.openxmlformats.org/officeDocument/2006/relationships/vmlDrawing" Target="../drawings/vmlDrawing1.vml"/><Relationship Id="rId71" Type="http://schemas.openxmlformats.org/officeDocument/2006/relationships/hyperlink" Target="https://twitter.com/" TargetMode="External"/><Relationship Id="rId92" Type="http://schemas.openxmlformats.org/officeDocument/2006/relationships/hyperlink" Target="https://twitter.com/" TargetMode="External"/><Relationship Id="rId213" Type="http://schemas.openxmlformats.org/officeDocument/2006/relationships/hyperlink" Target="https://twitter.com/" TargetMode="External"/><Relationship Id="rId234" Type="http://schemas.openxmlformats.org/officeDocument/2006/relationships/hyperlink" Target="https://twitter.com/" TargetMode="External"/><Relationship Id="rId2" Type="http://schemas.openxmlformats.org/officeDocument/2006/relationships/hyperlink" Target="http://www.huffingtonpost.com/2012/08/02/eric-fehrnstrom-harry-reid-romney-taxes_n_1733085.html?utm_hp_ref=tw" TargetMode="External"/><Relationship Id="rId29" Type="http://schemas.openxmlformats.org/officeDocument/2006/relationships/hyperlink" Target="http://www.buzzfeed.com/zekejmiller/romney-campaign-obama-campaign-manager-apparently" TargetMode="External"/><Relationship Id="rId255" Type="http://schemas.openxmlformats.org/officeDocument/2006/relationships/hyperlink" Target="https://twitter.com/" TargetMode="External"/><Relationship Id="rId276" Type="http://schemas.openxmlformats.org/officeDocument/2006/relationships/hyperlink" Target="https://twitter.com/" TargetMode="External"/><Relationship Id="rId297" Type="http://schemas.openxmlformats.org/officeDocument/2006/relationships/hyperlink" Target="https://twitter.com/" TargetMode="External"/><Relationship Id="rId40" Type="http://schemas.openxmlformats.org/officeDocument/2006/relationships/hyperlink" Target="http://www.youtube.com/watch?v=d1kCT62p95o&amp;feature=youtu.be" TargetMode="External"/><Relationship Id="rId115" Type="http://schemas.openxmlformats.org/officeDocument/2006/relationships/hyperlink" Target="https://twitter.com/" TargetMode="External"/><Relationship Id="rId136" Type="http://schemas.openxmlformats.org/officeDocument/2006/relationships/hyperlink" Target="https://twitter.com/" TargetMode="External"/><Relationship Id="rId157" Type="http://schemas.openxmlformats.org/officeDocument/2006/relationships/hyperlink" Target="https://twitter.com/" TargetMode="External"/><Relationship Id="rId178" Type="http://schemas.openxmlformats.org/officeDocument/2006/relationships/hyperlink" Target="https://twitter.com/" TargetMode="External"/><Relationship Id="rId301" Type="http://schemas.openxmlformats.org/officeDocument/2006/relationships/hyperlink" Target="https://twitter.com/" TargetMode="External"/><Relationship Id="rId322" Type="http://schemas.openxmlformats.org/officeDocument/2006/relationships/hyperlink" Target="https://twitter.com/" TargetMode="External"/><Relationship Id="rId343" Type="http://schemas.openxmlformats.org/officeDocument/2006/relationships/hyperlink" Target="https://twitter.com/" TargetMode="External"/><Relationship Id="rId61" Type="http://schemas.openxmlformats.org/officeDocument/2006/relationships/hyperlink" Target="https://twitter.com/" TargetMode="External"/><Relationship Id="rId82" Type="http://schemas.openxmlformats.org/officeDocument/2006/relationships/hyperlink" Target="https://twitter.com/" TargetMode="External"/><Relationship Id="rId199" Type="http://schemas.openxmlformats.org/officeDocument/2006/relationships/hyperlink" Target="https://twitter.com/" TargetMode="External"/><Relationship Id="rId203" Type="http://schemas.openxmlformats.org/officeDocument/2006/relationships/hyperlink" Target="https://twitter.com/" TargetMode="External"/><Relationship Id="rId19" Type="http://schemas.openxmlformats.org/officeDocument/2006/relationships/hyperlink" Target="http://www.wlbt.com/story/19176838/man-who-drove-off-cliff-while-texting-warns-others" TargetMode="External"/><Relationship Id="rId224" Type="http://schemas.openxmlformats.org/officeDocument/2006/relationships/hyperlink" Target="https://twitter.com/" TargetMode="External"/><Relationship Id="rId245" Type="http://schemas.openxmlformats.org/officeDocument/2006/relationships/hyperlink" Target="https://twitter.com/" TargetMode="External"/><Relationship Id="rId266" Type="http://schemas.openxmlformats.org/officeDocument/2006/relationships/hyperlink" Target="https://twitter.com/" TargetMode="External"/><Relationship Id="rId287" Type="http://schemas.openxmlformats.org/officeDocument/2006/relationships/hyperlink" Target="https://twitter.com/" TargetMode="External"/><Relationship Id="rId30" Type="http://schemas.openxmlformats.org/officeDocument/2006/relationships/hyperlink" Target="http://www.huffingtonpost.com/2012/08/02/eric-fehrnstrom-harry-reid-romney-taxes_n_1733085.html" TargetMode="External"/><Relationship Id="rId105" Type="http://schemas.openxmlformats.org/officeDocument/2006/relationships/hyperlink" Target="https://twitter.com/" TargetMode="External"/><Relationship Id="rId126" Type="http://schemas.openxmlformats.org/officeDocument/2006/relationships/hyperlink" Target="https://twitter.com/" TargetMode="External"/><Relationship Id="rId147" Type="http://schemas.openxmlformats.org/officeDocument/2006/relationships/hyperlink" Target="https://twitter.com/" TargetMode="External"/><Relationship Id="rId168" Type="http://schemas.openxmlformats.org/officeDocument/2006/relationships/hyperlink" Target="https://twitter.com/" TargetMode="External"/><Relationship Id="rId312" Type="http://schemas.openxmlformats.org/officeDocument/2006/relationships/hyperlink" Target="https://twitter.com/" TargetMode="External"/><Relationship Id="rId333" Type="http://schemas.openxmlformats.org/officeDocument/2006/relationships/hyperlink" Target="https://twitter.com/" TargetMode="External"/><Relationship Id="rId354" Type="http://schemas.openxmlformats.org/officeDocument/2006/relationships/table" Target="../tables/table1.xml"/><Relationship Id="rId51" Type="http://schemas.openxmlformats.org/officeDocument/2006/relationships/hyperlink" Target="http://romneyresponse.tumblr.com/post/28561244348/romney-senior-adviser-eric-fehrnstrom-weighs-in-on" TargetMode="External"/><Relationship Id="rId72" Type="http://schemas.openxmlformats.org/officeDocument/2006/relationships/hyperlink" Target="https://twitter.com/" TargetMode="External"/><Relationship Id="rId93" Type="http://schemas.openxmlformats.org/officeDocument/2006/relationships/hyperlink" Target="https://twitter.com/" TargetMode="External"/><Relationship Id="rId189" Type="http://schemas.openxmlformats.org/officeDocument/2006/relationships/hyperlink" Target="https://twitter.com/" TargetMode="External"/><Relationship Id="rId3" Type="http://schemas.openxmlformats.org/officeDocument/2006/relationships/hyperlink" Target="http://2012.talkingpointsmemo.com/2012/08/eric-fehrnstom-harry-reid-joesph-mccarthy.php?ref=fpnewsfeed" TargetMode="External"/><Relationship Id="rId214" Type="http://schemas.openxmlformats.org/officeDocument/2006/relationships/hyperlink" Target="https://twitter.com/" TargetMode="External"/><Relationship Id="rId235" Type="http://schemas.openxmlformats.org/officeDocument/2006/relationships/hyperlink" Target="https://twitter.com/" TargetMode="External"/><Relationship Id="rId256" Type="http://schemas.openxmlformats.org/officeDocument/2006/relationships/hyperlink" Target="https://twitter.com/" TargetMode="External"/><Relationship Id="rId277" Type="http://schemas.openxmlformats.org/officeDocument/2006/relationships/hyperlink" Target="https://twitter.com/" TargetMode="External"/><Relationship Id="rId298" Type="http://schemas.openxmlformats.org/officeDocument/2006/relationships/hyperlink" Target="https://twitter.com/" TargetMode="External"/><Relationship Id="rId116" Type="http://schemas.openxmlformats.org/officeDocument/2006/relationships/hyperlink" Target="https://twitter.com/" TargetMode="External"/><Relationship Id="rId137" Type="http://schemas.openxmlformats.org/officeDocument/2006/relationships/hyperlink" Target="https://twitter.com/" TargetMode="External"/><Relationship Id="rId158" Type="http://schemas.openxmlformats.org/officeDocument/2006/relationships/hyperlink" Target="https://twitter.com/" TargetMode="External"/><Relationship Id="rId302" Type="http://schemas.openxmlformats.org/officeDocument/2006/relationships/hyperlink" Target="https://twitter.com/" TargetMode="External"/><Relationship Id="rId323" Type="http://schemas.openxmlformats.org/officeDocument/2006/relationships/hyperlink" Target="https://twitter.com/" TargetMode="External"/><Relationship Id="rId344" Type="http://schemas.openxmlformats.org/officeDocument/2006/relationships/hyperlink" Target="https://twitter.com/" TargetMode="External"/><Relationship Id="rId20" Type="http://schemas.openxmlformats.org/officeDocument/2006/relationships/hyperlink" Target="http://bluemassgroup.com/2011/08/brown-2012-strateg/" TargetMode="External"/><Relationship Id="rId41" Type="http://schemas.openxmlformats.org/officeDocument/2006/relationships/hyperlink" Target="http://www.westernjournalism.com/exclusive-investigative-reports/harry-reids-dirty-laundry/" TargetMode="External"/><Relationship Id="rId62" Type="http://schemas.openxmlformats.org/officeDocument/2006/relationships/hyperlink" Target="https://twitter.com/" TargetMode="External"/><Relationship Id="rId83" Type="http://schemas.openxmlformats.org/officeDocument/2006/relationships/hyperlink" Target="https://twitter.com/" TargetMode="External"/><Relationship Id="rId179" Type="http://schemas.openxmlformats.org/officeDocument/2006/relationships/hyperlink" Target="https://twitter.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a0.twimg.com/profile_images/2274891190/IMG_1273_normal.JPG" TargetMode="External"/><Relationship Id="rId299" Type="http://schemas.openxmlformats.org/officeDocument/2006/relationships/hyperlink" Target="http://twitter.com/gryffon57" TargetMode="External"/><Relationship Id="rId21" Type="http://schemas.openxmlformats.org/officeDocument/2006/relationships/hyperlink" Target="http://www.flwoutdoors.com/bassfishing/flw/" TargetMode="External"/><Relationship Id="rId63" Type="http://schemas.openxmlformats.org/officeDocument/2006/relationships/hyperlink" Target="http://a0.twimg.com/profile_images/1907906273/0329chart_normal.jpg" TargetMode="External"/><Relationship Id="rId159" Type="http://schemas.openxmlformats.org/officeDocument/2006/relationships/hyperlink" Target="http://a0.twimg.com/profile_images/2207838880/0M5h02QI_normal" TargetMode="External"/><Relationship Id="rId324" Type="http://schemas.openxmlformats.org/officeDocument/2006/relationships/hyperlink" Target="http://twitter.com/theonlyadult" TargetMode="External"/><Relationship Id="rId366" Type="http://schemas.openxmlformats.org/officeDocument/2006/relationships/hyperlink" Target="http://twitter.com/SouthernLady328" TargetMode="External"/><Relationship Id="rId170" Type="http://schemas.openxmlformats.org/officeDocument/2006/relationships/hyperlink" Target="http://a0.twimg.com/profile_images/1497868422/yinYang_normal.gif" TargetMode="External"/><Relationship Id="rId226" Type="http://schemas.openxmlformats.org/officeDocument/2006/relationships/hyperlink" Target="http://a0.twimg.com/profile_images/1420009313/e2e2c628-8371-4c15-b4bd-6c75628b0b9d_normal.png" TargetMode="External"/><Relationship Id="rId433" Type="http://schemas.openxmlformats.org/officeDocument/2006/relationships/hyperlink" Target="http://twitter.com/ComfyPaws" TargetMode="External"/><Relationship Id="rId268" Type="http://schemas.openxmlformats.org/officeDocument/2006/relationships/hyperlink" Target="http://twitter.com/globeglen" TargetMode="External"/><Relationship Id="rId32" Type="http://schemas.openxmlformats.org/officeDocument/2006/relationships/hyperlink" Target="http://swampland.time.com/" TargetMode="External"/><Relationship Id="rId74" Type="http://schemas.openxmlformats.org/officeDocument/2006/relationships/hyperlink" Target="http://a0.twimg.com/profile_images/1569562800/Et_M_re_B_normal.jpg" TargetMode="External"/><Relationship Id="rId128" Type="http://schemas.openxmlformats.org/officeDocument/2006/relationships/hyperlink" Target="http://a0.twimg.com/profile_images/1330497660/calvin_normal.png" TargetMode="External"/><Relationship Id="rId335" Type="http://schemas.openxmlformats.org/officeDocument/2006/relationships/hyperlink" Target="http://twitter.com/the_Sabla" TargetMode="External"/><Relationship Id="rId377" Type="http://schemas.openxmlformats.org/officeDocument/2006/relationships/hyperlink" Target="http://twitter.com/mummylal" TargetMode="External"/><Relationship Id="rId5" Type="http://schemas.openxmlformats.org/officeDocument/2006/relationships/hyperlink" Target="http://botharmsup.tumblr.com/" TargetMode="External"/><Relationship Id="rId181" Type="http://schemas.openxmlformats.org/officeDocument/2006/relationships/hyperlink" Target="http://a0.twimg.com/profile_images/1260365028/mt1170187005_normal.jpg" TargetMode="External"/><Relationship Id="rId237" Type="http://schemas.openxmlformats.org/officeDocument/2006/relationships/hyperlink" Target="http://a0.twimg.com/profile_images/1877306196/10e68a52-2973-4d7d-bdd1-285b74cacdcd-small_normal.jpg" TargetMode="External"/><Relationship Id="rId402" Type="http://schemas.openxmlformats.org/officeDocument/2006/relationships/hyperlink" Target="http://twitter.com/VandelayDelores" TargetMode="External"/><Relationship Id="rId279" Type="http://schemas.openxmlformats.org/officeDocument/2006/relationships/hyperlink" Target="http://twitter.com/RomneyResponse" TargetMode="External"/><Relationship Id="rId444" Type="http://schemas.openxmlformats.org/officeDocument/2006/relationships/table" Target="../tables/table2.xml"/><Relationship Id="rId43" Type="http://schemas.openxmlformats.org/officeDocument/2006/relationships/hyperlink" Target="http://www.politicalcowardice.com/" TargetMode="External"/><Relationship Id="rId139" Type="http://schemas.openxmlformats.org/officeDocument/2006/relationships/hyperlink" Target="http://a0.twimg.com/profile_images/1746201477/17df4229-78ed-4aef-8b05-d0c25e3c7a5e_normal.gif" TargetMode="External"/><Relationship Id="rId290" Type="http://schemas.openxmlformats.org/officeDocument/2006/relationships/hyperlink" Target="http://twitter.com/mattduss" TargetMode="External"/><Relationship Id="rId304" Type="http://schemas.openxmlformats.org/officeDocument/2006/relationships/hyperlink" Target="http://twitter.com/CarefreeConserv" TargetMode="External"/><Relationship Id="rId346" Type="http://schemas.openxmlformats.org/officeDocument/2006/relationships/hyperlink" Target="http://twitter.com/turnapage" TargetMode="External"/><Relationship Id="rId388" Type="http://schemas.openxmlformats.org/officeDocument/2006/relationships/hyperlink" Target="http://twitter.com/Time2Standup80" TargetMode="External"/><Relationship Id="rId85" Type="http://schemas.openxmlformats.org/officeDocument/2006/relationships/hyperlink" Target="http://a0.twimg.com/sticky/default_profile_images/default_profile_4_normal.png" TargetMode="External"/><Relationship Id="rId150" Type="http://schemas.openxmlformats.org/officeDocument/2006/relationships/hyperlink" Target="http://a0.twimg.com/profile_images/1162963229/dgm_logo2_normal.jpg" TargetMode="External"/><Relationship Id="rId192" Type="http://schemas.openxmlformats.org/officeDocument/2006/relationships/hyperlink" Target="http://a0.twimg.com/profile_images/1637774857/w1_normal.jpg" TargetMode="External"/><Relationship Id="rId206" Type="http://schemas.openxmlformats.org/officeDocument/2006/relationships/hyperlink" Target="http://a0.twimg.com/profile_images/1157460468/gallery_53_5_4734_normal.jpg" TargetMode="External"/><Relationship Id="rId413" Type="http://schemas.openxmlformats.org/officeDocument/2006/relationships/hyperlink" Target="http://twitter.com/FJ473" TargetMode="External"/><Relationship Id="rId248" Type="http://schemas.openxmlformats.org/officeDocument/2006/relationships/hyperlink" Target="http://a0.twimg.com/profile_images/2169182831/qP99D6in_normal" TargetMode="External"/><Relationship Id="rId12" Type="http://schemas.openxmlformats.org/officeDocument/2006/relationships/hyperlink" Target="http://www.buzzfeed.com/politics" TargetMode="External"/><Relationship Id="rId108" Type="http://schemas.openxmlformats.org/officeDocument/2006/relationships/hyperlink" Target="http://a0.twimg.com/profile_images/2369947127/Qv8THw2h_normal" TargetMode="External"/><Relationship Id="rId315" Type="http://schemas.openxmlformats.org/officeDocument/2006/relationships/hyperlink" Target="http://twitter.com/TIMENOUT" TargetMode="External"/><Relationship Id="rId357" Type="http://schemas.openxmlformats.org/officeDocument/2006/relationships/hyperlink" Target="http://twitter.com/LeahAnakin" TargetMode="External"/><Relationship Id="rId54" Type="http://schemas.openxmlformats.org/officeDocument/2006/relationships/hyperlink" Target="http://lesliedysinger.com/" TargetMode="External"/><Relationship Id="rId75" Type="http://schemas.openxmlformats.org/officeDocument/2006/relationships/hyperlink" Target="http://a0.twimg.com/sticky/default_profile_images/default_profile_4_normal.png" TargetMode="External"/><Relationship Id="rId96" Type="http://schemas.openxmlformats.org/officeDocument/2006/relationships/hyperlink" Target="http://a0.twimg.com/sticky/default_profile_images/default_profile_6_normal.png" TargetMode="External"/><Relationship Id="rId140" Type="http://schemas.openxmlformats.org/officeDocument/2006/relationships/hyperlink" Target="http://a0.twimg.com/profile_images/2454141093/s0wtqzqcvyi6i4p96z8y_normal.jpeg" TargetMode="External"/><Relationship Id="rId161" Type="http://schemas.openxmlformats.org/officeDocument/2006/relationships/hyperlink" Target="http://a0.twimg.com/profile_images/855495148/happy_webmonkey_normal.jpg" TargetMode="External"/><Relationship Id="rId182" Type="http://schemas.openxmlformats.org/officeDocument/2006/relationships/hyperlink" Target="http://a0.twimg.com/profile_images/2283606605/53c95918-e015-4194-8dcd-dc0e1722e323_normal.png" TargetMode="External"/><Relationship Id="rId217" Type="http://schemas.openxmlformats.org/officeDocument/2006/relationships/hyperlink" Target="http://a0.twimg.com/profile_images/2205178651/kzv80k8j60s7jc5d2b0v_normal.jpeg" TargetMode="External"/><Relationship Id="rId378" Type="http://schemas.openxmlformats.org/officeDocument/2006/relationships/hyperlink" Target="http://twitter.com/Newsericks" TargetMode="External"/><Relationship Id="rId399" Type="http://schemas.openxmlformats.org/officeDocument/2006/relationships/hyperlink" Target="http://twitter.com/CindyCoops" TargetMode="External"/><Relationship Id="rId403" Type="http://schemas.openxmlformats.org/officeDocument/2006/relationships/hyperlink" Target="http://twitter.com/beehonest50" TargetMode="External"/><Relationship Id="rId6" Type="http://schemas.openxmlformats.org/officeDocument/2006/relationships/hyperlink" Target="http://www.boston.com/politics" TargetMode="External"/><Relationship Id="rId238" Type="http://schemas.openxmlformats.org/officeDocument/2006/relationships/hyperlink" Target="http://a0.twimg.com/profile_images/1877711961/Mitt_2012_2_normal.png" TargetMode="External"/><Relationship Id="rId259" Type="http://schemas.openxmlformats.org/officeDocument/2006/relationships/hyperlink" Target="http://twitter.com/spottythebeagle" TargetMode="External"/><Relationship Id="rId424" Type="http://schemas.openxmlformats.org/officeDocument/2006/relationships/hyperlink" Target="http://twitter.com/canadians4mitt" TargetMode="External"/><Relationship Id="rId445" Type="http://schemas.openxmlformats.org/officeDocument/2006/relationships/comments" Target="../comments2.xml"/><Relationship Id="rId23" Type="http://schemas.openxmlformats.org/officeDocument/2006/relationships/hyperlink" Target="http://www.wix.com/brownasaur/ltte-2012" TargetMode="External"/><Relationship Id="rId119" Type="http://schemas.openxmlformats.org/officeDocument/2006/relationships/hyperlink" Target="http://a0.twimg.com/profile_images/1389171675/Toto_Mug_normal.jpg" TargetMode="External"/><Relationship Id="rId270" Type="http://schemas.openxmlformats.org/officeDocument/2006/relationships/hyperlink" Target="http://twitter.com/PricklyPete77" TargetMode="External"/><Relationship Id="rId291" Type="http://schemas.openxmlformats.org/officeDocument/2006/relationships/hyperlink" Target="http://twitter.com/DavidShuster" TargetMode="External"/><Relationship Id="rId305" Type="http://schemas.openxmlformats.org/officeDocument/2006/relationships/hyperlink" Target="http://twitter.com/BarddeBelmont" TargetMode="External"/><Relationship Id="rId326" Type="http://schemas.openxmlformats.org/officeDocument/2006/relationships/hyperlink" Target="http://twitter.com/jhf5" TargetMode="External"/><Relationship Id="rId347" Type="http://schemas.openxmlformats.org/officeDocument/2006/relationships/hyperlink" Target="http://twitter.com/DianeMNRN" TargetMode="External"/><Relationship Id="rId44" Type="http://schemas.openxmlformats.org/officeDocument/2006/relationships/hyperlink" Target="http://www.johnscottg.com/" TargetMode="External"/><Relationship Id="rId65" Type="http://schemas.openxmlformats.org/officeDocument/2006/relationships/hyperlink" Target="http://a0.twimg.com/profile_images/429106460/iPhotoiPhoto-mailtmp-0_normal.jpg" TargetMode="External"/><Relationship Id="rId86" Type="http://schemas.openxmlformats.org/officeDocument/2006/relationships/hyperlink" Target="http://a0.twimg.com/profile_images/2226741858/OLV__2_normal.JPG" TargetMode="External"/><Relationship Id="rId130" Type="http://schemas.openxmlformats.org/officeDocument/2006/relationships/hyperlink" Target="http://a0.twimg.com/profile_images/2300432767/tn5amce2h9dwtc6sc2l7_normal.jpeg" TargetMode="External"/><Relationship Id="rId151" Type="http://schemas.openxmlformats.org/officeDocument/2006/relationships/hyperlink" Target="http://a0.twimg.com/profile_images/1246915961/RWwatchMA-121_normal.jpg" TargetMode="External"/><Relationship Id="rId368" Type="http://schemas.openxmlformats.org/officeDocument/2006/relationships/hyperlink" Target="http://twitter.com/pretcap" TargetMode="External"/><Relationship Id="rId389" Type="http://schemas.openxmlformats.org/officeDocument/2006/relationships/hyperlink" Target="http://twitter.com/JNeumann54" TargetMode="External"/><Relationship Id="rId172" Type="http://schemas.openxmlformats.org/officeDocument/2006/relationships/hyperlink" Target="http://a0.twimg.com/profile_images/1610970689/family_pics_6_normal.jpg" TargetMode="External"/><Relationship Id="rId193" Type="http://schemas.openxmlformats.org/officeDocument/2006/relationships/hyperlink" Target="http://a0.twimg.com/profile_images/2373121067/qusfgyoanyn3j2ph0efj_normal.jpeg" TargetMode="External"/><Relationship Id="rId207" Type="http://schemas.openxmlformats.org/officeDocument/2006/relationships/hyperlink" Target="http://a0.twimg.com/profile_images/2361155215/IMG_0439_normal.jpg" TargetMode="External"/><Relationship Id="rId228" Type="http://schemas.openxmlformats.org/officeDocument/2006/relationships/hyperlink" Target="http://a0.twimg.com/profile_images/1070094956/icon_stupid_normal.jpg" TargetMode="External"/><Relationship Id="rId249" Type="http://schemas.openxmlformats.org/officeDocument/2006/relationships/hyperlink" Target="http://twitter.com/RawLinks" TargetMode="External"/><Relationship Id="rId414" Type="http://schemas.openxmlformats.org/officeDocument/2006/relationships/hyperlink" Target="http://twitter.com/pmrushirish" TargetMode="External"/><Relationship Id="rId435" Type="http://schemas.openxmlformats.org/officeDocument/2006/relationships/hyperlink" Target="http://twitter.com/SierraDante" TargetMode="External"/><Relationship Id="rId13" Type="http://schemas.openxmlformats.org/officeDocument/2006/relationships/hyperlink" Target="http://gifsfln.tumblr.com/" TargetMode="External"/><Relationship Id="rId109" Type="http://schemas.openxmlformats.org/officeDocument/2006/relationships/hyperlink" Target="http://a0.twimg.com/profile_images/2413172992/33l1v27aylzhr6y35o16_normal.jpeg" TargetMode="External"/><Relationship Id="rId260" Type="http://schemas.openxmlformats.org/officeDocument/2006/relationships/hyperlink" Target="http://twitter.com/loganthomison" TargetMode="External"/><Relationship Id="rId281" Type="http://schemas.openxmlformats.org/officeDocument/2006/relationships/hyperlink" Target="http://twitter.com/ZekeJMiller" TargetMode="External"/><Relationship Id="rId316" Type="http://schemas.openxmlformats.org/officeDocument/2006/relationships/hyperlink" Target="http://twitter.com/PeterLaCrosse" TargetMode="External"/><Relationship Id="rId337" Type="http://schemas.openxmlformats.org/officeDocument/2006/relationships/hyperlink" Target="http://twitter.com/Loxodonta_s" TargetMode="External"/><Relationship Id="rId34" Type="http://schemas.openxmlformats.org/officeDocument/2006/relationships/hyperlink" Target="http://cajunconservatism.wordpress.com/" TargetMode="External"/><Relationship Id="rId55" Type="http://schemas.openxmlformats.org/officeDocument/2006/relationships/hyperlink" Target="http://sierradante.com/" TargetMode="External"/><Relationship Id="rId76" Type="http://schemas.openxmlformats.org/officeDocument/2006/relationships/hyperlink" Target="http://a0.twimg.com/profile_images/1262800837/Head_shot_3-5-11_normal.jpg" TargetMode="External"/><Relationship Id="rId97" Type="http://schemas.openxmlformats.org/officeDocument/2006/relationships/hyperlink" Target="http://a0.twimg.com/profile_images/1303513019/110406_mobama_ovechkin_522_tw_regular_normal.jpg" TargetMode="External"/><Relationship Id="rId120" Type="http://schemas.openxmlformats.org/officeDocument/2006/relationships/hyperlink" Target="http://a0.twimg.com/profile_images/1099300023/206b_normal.jpg" TargetMode="External"/><Relationship Id="rId141" Type="http://schemas.openxmlformats.org/officeDocument/2006/relationships/hyperlink" Target="http://a0.twimg.com/profile_images/2423280755/nIMurUG7_normal" TargetMode="External"/><Relationship Id="rId358" Type="http://schemas.openxmlformats.org/officeDocument/2006/relationships/hyperlink" Target="http://twitter.com/jhseher" TargetMode="External"/><Relationship Id="rId379" Type="http://schemas.openxmlformats.org/officeDocument/2006/relationships/hyperlink" Target="http://twitter.com/spqr1052" TargetMode="External"/><Relationship Id="rId7" Type="http://schemas.openxmlformats.org/officeDocument/2006/relationships/hyperlink" Target="http://www.snazzo.com/" TargetMode="External"/><Relationship Id="rId162" Type="http://schemas.openxmlformats.org/officeDocument/2006/relationships/hyperlink" Target="http://a0.twimg.com/profile_images/2394276845/of1nr3wcc8styzkfapbw_normal.jpeg" TargetMode="External"/><Relationship Id="rId183" Type="http://schemas.openxmlformats.org/officeDocument/2006/relationships/hyperlink" Target="http://a0.twimg.com/profile_images/1690918811/b51b6022-6b46-4ad3-84cf-9ffafad0cd6c_normal.png" TargetMode="External"/><Relationship Id="rId218" Type="http://schemas.openxmlformats.org/officeDocument/2006/relationships/hyperlink" Target="http://a0.twimg.com/profile_images/2398551541/image_normal.jpg" TargetMode="External"/><Relationship Id="rId239" Type="http://schemas.openxmlformats.org/officeDocument/2006/relationships/hyperlink" Target="http://a0.twimg.com/profile_images/1981984950/image_normal.jpg" TargetMode="External"/><Relationship Id="rId390" Type="http://schemas.openxmlformats.org/officeDocument/2006/relationships/hyperlink" Target="http://twitter.com/SueWinMA" TargetMode="External"/><Relationship Id="rId404" Type="http://schemas.openxmlformats.org/officeDocument/2006/relationships/hyperlink" Target="http://twitter.com/SrCal" TargetMode="External"/><Relationship Id="rId425" Type="http://schemas.openxmlformats.org/officeDocument/2006/relationships/hyperlink" Target="http://twitter.com/RJF_723" TargetMode="External"/><Relationship Id="rId250" Type="http://schemas.openxmlformats.org/officeDocument/2006/relationships/hyperlink" Target="http://twitter.com/Paul_Hanlin_Jr" TargetMode="External"/><Relationship Id="rId271" Type="http://schemas.openxmlformats.org/officeDocument/2006/relationships/hyperlink" Target="http://twitter.com/msmilonich" TargetMode="External"/><Relationship Id="rId292" Type="http://schemas.openxmlformats.org/officeDocument/2006/relationships/hyperlink" Target="http://twitter.com/RalstonFlash" TargetMode="External"/><Relationship Id="rId306" Type="http://schemas.openxmlformats.org/officeDocument/2006/relationships/hyperlink" Target="http://twitter.com/JeremyDanilson" TargetMode="External"/><Relationship Id="rId24" Type="http://schemas.openxmlformats.org/officeDocument/2006/relationships/hyperlink" Target="http://breitbart.com/" TargetMode="External"/><Relationship Id="rId45" Type="http://schemas.openxmlformats.org/officeDocument/2006/relationships/hyperlink" Target="https://my.barackobama.com/page/outreach/view/2012/simonsays" TargetMode="External"/><Relationship Id="rId66" Type="http://schemas.openxmlformats.org/officeDocument/2006/relationships/hyperlink" Target="http://a0.twimg.com/sticky/default_profile_images/default_profile_4_normal.png" TargetMode="External"/><Relationship Id="rId87" Type="http://schemas.openxmlformats.org/officeDocument/2006/relationships/hyperlink" Target="http://a0.twimg.com/profile_images/2448487204/26a2rd84ipmyryvihety_normal.png" TargetMode="External"/><Relationship Id="rId110" Type="http://schemas.openxmlformats.org/officeDocument/2006/relationships/hyperlink" Target="http://a0.twimg.com/profile_images/2402764047/dwg2mhsj7mn2gbctoofs_normal.jpeg" TargetMode="External"/><Relationship Id="rId131" Type="http://schemas.openxmlformats.org/officeDocument/2006/relationships/hyperlink" Target="http://a0.twimg.com/profile_images/2340155880/7hq3xfdr45clyqpnhgr6_normal.jpeg" TargetMode="External"/><Relationship Id="rId327" Type="http://schemas.openxmlformats.org/officeDocument/2006/relationships/hyperlink" Target="http://twitter.com/TIMEPolitics" TargetMode="External"/><Relationship Id="rId348" Type="http://schemas.openxmlformats.org/officeDocument/2006/relationships/hyperlink" Target="http://twitter.com/LennyJLem" TargetMode="External"/><Relationship Id="rId369" Type="http://schemas.openxmlformats.org/officeDocument/2006/relationships/hyperlink" Target="http://twitter.com/Indybluebird" TargetMode="External"/><Relationship Id="rId152" Type="http://schemas.openxmlformats.org/officeDocument/2006/relationships/hyperlink" Target="http://a0.twimg.com/profile_images/1498232564/273382_612369275_4267052_n-1_normal.jpg" TargetMode="External"/><Relationship Id="rId173" Type="http://schemas.openxmlformats.org/officeDocument/2006/relationships/hyperlink" Target="http://a0.twimg.com/profile_images/2098953813/BW_for_Twitter_normal.jpg" TargetMode="External"/><Relationship Id="rId194" Type="http://schemas.openxmlformats.org/officeDocument/2006/relationships/hyperlink" Target="http://a0.twimg.com/profile_images/2408131144/6nbsj9469yqiofg7u9um_normal.jpeg" TargetMode="External"/><Relationship Id="rId208" Type="http://schemas.openxmlformats.org/officeDocument/2006/relationships/hyperlink" Target="http://a0.twimg.com/profile_images/1907270185/131386445172k2M8_normal.jpg" TargetMode="External"/><Relationship Id="rId229" Type="http://schemas.openxmlformats.org/officeDocument/2006/relationships/hyperlink" Target="http://a0.twimg.com/profile_images/2410788602/tw_14688642_1342664073_normal.jpg" TargetMode="External"/><Relationship Id="rId380" Type="http://schemas.openxmlformats.org/officeDocument/2006/relationships/hyperlink" Target="http://twitter.com/wolfiemouse" TargetMode="External"/><Relationship Id="rId415" Type="http://schemas.openxmlformats.org/officeDocument/2006/relationships/hyperlink" Target="http://twitter.com/ACollinsByrnes" TargetMode="External"/><Relationship Id="rId436" Type="http://schemas.openxmlformats.org/officeDocument/2006/relationships/hyperlink" Target="http://twitter.com/TeamEmailSMS" TargetMode="External"/><Relationship Id="rId240" Type="http://schemas.openxmlformats.org/officeDocument/2006/relationships/hyperlink" Target="http://a0.twimg.com/profile_images/1863212453/obama-like_romney_normal.jpg" TargetMode="External"/><Relationship Id="rId261" Type="http://schemas.openxmlformats.org/officeDocument/2006/relationships/hyperlink" Target="http://twitter.com/andyfr8nk" TargetMode="External"/><Relationship Id="rId14" Type="http://schemas.openxmlformats.org/officeDocument/2006/relationships/hyperlink" Target="http://www.entelliworld.com/" TargetMode="External"/><Relationship Id="rId35" Type="http://schemas.openxmlformats.org/officeDocument/2006/relationships/hyperlink" Target="http://twitter.com/OccupyGay" TargetMode="External"/><Relationship Id="rId56" Type="http://schemas.openxmlformats.org/officeDocument/2006/relationships/hyperlink" Target="http://teamemailsms.com/" TargetMode="External"/><Relationship Id="rId77" Type="http://schemas.openxmlformats.org/officeDocument/2006/relationships/hyperlink" Target="http://a0.twimg.com/profile_images/2181863615/jG4j6H0A_normal" TargetMode="External"/><Relationship Id="rId100" Type="http://schemas.openxmlformats.org/officeDocument/2006/relationships/hyperlink" Target="http://a0.twimg.com/profile_images/907778349/MaddyDad_normal.JPG" TargetMode="External"/><Relationship Id="rId282" Type="http://schemas.openxmlformats.org/officeDocument/2006/relationships/hyperlink" Target="http://twitter.com/GIFsFLN" TargetMode="External"/><Relationship Id="rId317" Type="http://schemas.openxmlformats.org/officeDocument/2006/relationships/hyperlink" Target="http://twitter.com/sarahcgoldstein" TargetMode="External"/><Relationship Id="rId338" Type="http://schemas.openxmlformats.org/officeDocument/2006/relationships/hyperlink" Target="http://twitter.com/TuxcedoCat" TargetMode="External"/><Relationship Id="rId359" Type="http://schemas.openxmlformats.org/officeDocument/2006/relationships/hyperlink" Target="http://twitter.com/Pilot9" TargetMode="External"/><Relationship Id="rId8" Type="http://schemas.openxmlformats.org/officeDocument/2006/relationships/hyperlink" Target="http://voxrationalis.wordpress.com/" TargetMode="External"/><Relationship Id="rId98" Type="http://schemas.openxmlformats.org/officeDocument/2006/relationships/hyperlink" Target="http://a0.twimg.com/profile_images/1875511146/rafah_tunnel_normal.jpg" TargetMode="External"/><Relationship Id="rId121" Type="http://schemas.openxmlformats.org/officeDocument/2006/relationships/hyperlink" Target="http://a0.twimg.com/sticky/default_profile_images/default_profile_2_normal.png" TargetMode="External"/><Relationship Id="rId142" Type="http://schemas.openxmlformats.org/officeDocument/2006/relationships/hyperlink" Target="http://a0.twimg.com/profile_images/688482654/IMG_0017_normal.JPG" TargetMode="External"/><Relationship Id="rId163" Type="http://schemas.openxmlformats.org/officeDocument/2006/relationships/hyperlink" Target="http://a0.twimg.com/profile_images/2047311126/FBPhoto_normal.jpg" TargetMode="External"/><Relationship Id="rId184" Type="http://schemas.openxmlformats.org/officeDocument/2006/relationships/hyperlink" Target="http://a0.twimg.com/profile_images/1416614286/canadians._normal.jpg" TargetMode="External"/><Relationship Id="rId219" Type="http://schemas.openxmlformats.org/officeDocument/2006/relationships/hyperlink" Target="http://a0.twimg.com/profile_images/2439528352/18ek1ehxtbv55i7g54na_normal.jpeg" TargetMode="External"/><Relationship Id="rId370" Type="http://schemas.openxmlformats.org/officeDocument/2006/relationships/hyperlink" Target="http://twitter.com/PolopersonGwen" TargetMode="External"/><Relationship Id="rId391" Type="http://schemas.openxmlformats.org/officeDocument/2006/relationships/hyperlink" Target="http://twitter.com/Black124" TargetMode="External"/><Relationship Id="rId405" Type="http://schemas.openxmlformats.org/officeDocument/2006/relationships/hyperlink" Target="http://twitter.com/8th_of_Branstad" TargetMode="External"/><Relationship Id="rId426" Type="http://schemas.openxmlformats.org/officeDocument/2006/relationships/hyperlink" Target="http://twitter.com/mantone1" TargetMode="External"/><Relationship Id="rId230" Type="http://schemas.openxmlformats.org/officeDocument/2006/relationships/hyperlink" Target="http://a0.twimg.com/profile_images/2136398055/image_normal.jpg" TargetMode="External"/><Relationship Id="rId251" Type="http://schemas.openxmlformats.org/officeDocument/2006/relationships/hyperlink" Target="http://twitter.com/sweet_tWhits" TargetMode="External"/><Relationship Id="rId25" Type="http://schemas.openxmlformats.org/officeDocument/2006/relationships/hyperlink" Target="http://elisabeth-eyrehead.blogspot.com/" TargetMode="External"/><Relationship Id="rId46" Type="http://schemas.openxmlformats.org/officeDocument/2006/relationships/hyperlink" Target="http://www.americanpriorities.org/" TargetMode="External"/><Relationship Id="rId67" Type="http://schemas.openxmlformats.org/officeDocument/2006/relationships/hyperlink" Target="http://a0.twimg.com/sticky/default_profile_images/default_profile_0_normal.png" TargetMode="External"/><Relationship Id="rId272" Type="http://schemas.openxmlformats.org/officeDocument/2006/relationships/hyperlink" Target="http://twitter.com/RepubliConMen" TargetMode="External"/><Relationship Id="rId293" Type="http://schemas.openxmlformats.org/officeDocument/2006/relationships/hyperlink" Target="http://twitter.com/Timodc" TargetMode="External"/><Relationship Id="rId307" Type="http://schemas.openxmlformats.org/officeDocument/2006/relationships/hyperlink" Target="http://twitter.com/Shortrosen" TargetMode="External"/><Relationship Id="rId328" Type="http://schemas.openxmlformats.org/officeDocument/2006/relationships/hyperlink" Target="http://twitter.com/jsmar" TargetMode="External"/><Relationship Id="rId349" Type="http://schemas.openxmlformats.org/officeDocument/2006/relationships/hyperlink" Target="http://twitter.com/J_Rippel" TargetMode="External"/><Relationship Id="rId88" Type="http://schemas.openxmlformats.org/officeDocument/2006/relationships/hyperlink" Target="http://a0.twimg.com/profile_images/1824588920/Picture_2_normal.png" TargetMode="External"/><Relationship Id="rId111" Type="http://schemas.openxmlformats.org/officeDocument/2006/relationships/hyperlink" Target="http://a0.twimg.com/profile_images/1705204659/024_normal.jpg" TargetMode="External"/><Relationship Id="rId132" Type="http://schemas.openxmlformats.org/officeDocument/2006/relationships/hyperlink" Target="http://a0.twimg.com/profile_images/1387660315/9d4e2e69-54a2-43eb-b4ee-022969448ea0_normal.png" TargetMode="External"/><Relationship Id="rId153" Type="http://schemas.openxmlformats.org/officeDocument/2006/relationships/hyperlink" Target="http://a0.twimg.com/profile_images/1931322471/fb40af13-3148-4945-8798-e1652b1b2ef8_normal.png" TargetMode="External"/><Relationship Id="rId174" Type="http://schemas.openxmlformats.org/officeDocument/2006/relationships/hyperlink" Target="http://a0.twimg.com/profile_images/1681617621/Hydrangeas_normal.jpg" TargetMode="External"/><Relationship Id="rId195" Type="http://schemas.openxmlformats.org/officeDocument/2006/relationships/hyperlink" Target="http://a0.twimg.com/profile_images/1369626133/falling-down_normal.jpg" TargetMode="External"/><Relationship Id="rId209" Type="http://schemas.openxmlformats.org/officeDocument/2006/relationships/hyperlink" Target="http://a0.twimg.com/profile_images/2435502687/image_normal.jpg" TargetMode="External"/><Relationship Id="rId360" Type="http://schemas.openxmlformats.org/officeDocument/2006/relationships/hyperlink" Target="http://twitter.com/AshJen4Politics" TargetMode="External"/><Relationship Id="rId381" Type="http://schemas.openxmlformats.org/officeDocument/2006/relationships/hyperlink" Target="http://twitter.com/JacquelineHine1" TargetMode="External"/><Relationship Id="rId416" Type="http://schemas.openxmlformats.org/officeDocument/2006/relationships/hyperlink" Target="http://twitter.com/owendbanks" TargetMode="External"/><Relationship Id="rId220" Type="http://schemas.openxmlformats.org/officeDocument/2006/relationships/hyperlink" Target="http://a0.twimg.com/profile_images/804784730/Picture_4_normal.jpg" TargetMode="External"/><Relationship Id="rId241" Type="http://schemas.openxmlformats.org/officeDocument/2006/relationships/hyperlink" Target="http://a0.twimg.com/profile_images/1145189605/fallmonkey_normal.jpg" TargetMode="External"/><Relationship Id="rId437" Type="http://schemas.openxmlformats.org/officeDocument/2006/relationships/hyperlink" Target="http://twitter.com/Anewhomestar" TargetMode="External"/><Relationship Id="rId15" Type="http://schemas.openxmlformats.org/officeDocument/2006/relationships/hyperlink" Target="http://www.gregwhoward.com/" TargetMode="External"/><Relationship Id="rId36" Type="http://schemas.openxmlformats.org/officeDocument/2006/relationships/hyperlink" Target="http://www.iraqtimeline.com/maxdesign" TargetMode="External"/><Relationship Id="rId57" Type="http://schemas.openxmlformats.org/officeDocument/2006/relationships/hyperlink" Target="http://a0.twimg.com/profile_images/1555297821/links_1__normal.JPG" TargetMode="External"/><Relationship Id="rId262" Type="http://schemas.openxmlformats.org/officeDocument/2006/relationships/hyperlink" Target="http://twitter.com/GrampaSparkles" TargetMode="External"/><Relationship Id="rId283" Type="http://schemas.openxmlformats.org/officeDocument/2006/relationships/hyperlink" Target="http://twitter.com/chrontelli" TargetMode="External"/><Relationship Id="rId318" Type="http://schemas.openxmlformats.org/officeDocument/2006/relationships/hyperlink" Target="http://twitter.com/HollywoodTParty" TargetMode="External"/><Relationship Id="rId339" Type="http://schemas.openxmlformats.org/officeDocument/2006/relationships/hyperlink" Target="http://twitter.com/fabucat" TargetMode="External"/><Relationship Id="rId78" Type="http://schemas.openxmlformats.org/officeDocument/2006/relationships/hyperlink" Target="http://a0.twimg.com/profile_images/1876732419/McGruff_normal" TargetMode="External"/><Relationship Id="rId99" Type="http://schemas.openxmlformats.org/officeDocument/2006/relationships/hyperlink" Target="http://a0.twimg.com/profile_images/1564239188/Shuster-Current-bio_normal.jpg" TargetMode="External"/><Relationship Id="rId101" Type="http://schemas.openxmlformats.org/officeDocument/2006/relationships/hyperlink" Target="http://a0.twimg.com/profile_images/2074524303/twitterpic2_normal.jpg" TargetMode="External"/><Relationship Id="rId122" Type="http://schemas.openxmlformats.org/officeDocument/2006/relationships/hyperlink" Target="http://a0.twimg.com/profile_images/2417602329/6zy7k858zwi0ry9if0b8_normal.jpeg" TargetMode="External"/><Relationship Id="rId143" Type="http://schemas.openxmlformats.org/officeDocument/2006/relationships/hyperlink" Target="http://a0.twimg.com/profile_images/2451979515/A7EA5340-2BC2-4FAC-8DA8-978E2D593E43_normal" TargetMode="External"/><Relationship Id="rId164" Type="http://schemas.openxmlformats.org/officeDocument/2006/relationships/hyperlink" Target="http://a0.twimg.com/profile_images/1765714267/08012010a_normal.jpg" TargetMode="External"/><Relationship Id="rId185" Type="http://schemas.openxmlformats.org/officeDocument/2006/relationships/hyperlink" Target="http://a0.twimg.com/profile_images/1263015229/Lou_s_photos_066_normal.jpg" TargetMode="External"/><Relationship Id="rId350" Type="http://schemas.openxmlformats.org/officeDocument/2006/relationships/hyperlink" Target="http://twitter.com/JoAnnEileen" TargetMode="External"/><Relationship Id="rId371" Type="http://schemas.openxmlformats.org/officeDocument/2006/relationships/hyperlink" Target="http://twitter.com/scarylawyerguy" TargetMode="External"/><Relationship Id="rId406" Type="http://schemas.openxmlformats.org/officeDocument/2006/relationships/hyperlink" Target="http://twitter.com/LisaTalmadge" TargetMode="External"/><Relationship Id="rId9" Type="http://schemas.openxmlformats.org/officeDocument/2006/relationships/hyperlink" Target="http://www.foxnews.com/on-air/personalities/bill-hemmer/bio/" TargetMode="External"/><Relationship Id="rId210" Type="http://schemas.openxmlformats.org/officeDocument/2006/relationships/hyperlink" Target="http://a0.twimg.com/profile_images/2427678420/image_normal.jpg" TargetMode="External"/><Relationship Id="rId392" Type="http://schemas.openxmlformats.org/officeDocument/2006/relationships/hyperlink" Target="http://twitter.com/AndrewHClark" TargetMode="External"/><Relationship Id="rId427" Type="http://schemas.openxmlformats.org/officeDocument/2006/relationships/hyperlink" Target="http://twitter.com/IngerRobberstad" TargetMode="External"/><Relationship Id="rId26" Type="http://schemas.openxmlformats.org/officeDocument/2006/relationships/hyperlink" Target="http://www.gotquestions.org/" TargetMode="External"/><Relationship Id="rId231" Type="http://schemas.openxmlformats.org/officeDocument/2006/relationships/hyperlink" Target="http://a0.twimg.com/profile_images/2095307778/Kris_at_TeaPAC_Newt_Gingrich_speech_normal.jpg" TargetMode="External"/><Relationship Id="rId252" Type="http://schemas.openxmlformats.org/officeDocument/2006/relationships/hyperlink" Target="http://twitter.com/CharlieShield" TargetMode="External"/><Relationship Id="rId273" Type="http://schemas.openxmlformats.org/officeDocument/2006/relationships/hyperlink" Target="http://twitter.com/i8dc" TargetMode="External"/><Relationship Id="rId294" Type="http://schemas.openxmlformats.org/officeDocument/2006/relationships/hyperlink" Target="http://twitter.com/dcseth" TargetMode="External"/><Relationship Id="rId308" Type="http://schemas.openxmlformats.org/officeDocument/2006/relationships/hyperlink" Target="http://twitter.com/davidwebbshow" TargetMode="External"/><Relationship Id="rId329" Type="http://schemas.openxmlformats.org/officeDocument/2006/relationships/hyperlink" Target="http://twitter.com/sunsetarival" TargetMode="External"/><Relationship Id="rId47" Type="http://schemas.openxmlformats.org/officeDocument/2006/relationships/hyperlink" Target="http://mybookofcommondays.blogspot.com/" TargetMode="External"/><Relationship Id="rId68" Type="http://schemas.openxmlformats.org/officeDocument/2006/relationships/hyperlink" Target="http://a0.twimg.com/profile_images/1734540531/IMG_0199_normal.jpg" TargetMode="External"/><Relationship Id="rId89" Type="http://schemas.openxmlformats.org/officeDocument/2006/relationships/hyperlink" Target="http://a0.twimg.com/profile_images/1365129853/P1030150_normal.JPG" TargetMode="External"/><Relationship Id="rId112" Type="http://schemas.openxmlformats.org/officeDocument/2006/relationships/hyperlink" Target="http://a0.twimg.com/profile_images/2218270530/Nobody_owes_you...._normal.jpg" TargetMode="External"/><Relationship Id="rId133" Type="http://schemas.openxmlformats.org/officeDocument/2006/relationships/hyperlink" Target="http://a0.twimg.com/profile_images/2458322575/hx2o6rv5ttwl7h9et8ma_normal.png" TargetMode="External"/><Relationship Id="rId154" Type="http://schemas.openxmlformats.org/officeDocument/2006/relationships/hyperlink" Target="http://a0.twimg.com/profile_images/2178732160/aaf5b92c-6c6a-423f-b532-8fc8451ed957_normal.png" TargetMode="External"/><Relationship Id="rId175" Type="http://schemas.openxmlformats.org/officeDocument/2006/relationships/hyperlink" Target="http://a0.twimg.com/profile_images/1835246996/image_normal.jpg" TargetMode="External"/><Relationship Id="rId340" Type="http://schemas.openxmlformats.org/officeDocument/2006/relationships/hyperlink" Target="http://twitter.com/OccupyGay" TargetMode="External"/><Relationship Id="rId361" Type="http://schemas.openxmlformats.org/officeDocument/2006/relationships/hyperlink" Target="http://twitter.com/MisterSilverman" TargetMode="External"/><Relationship Id="rId196" Type="http://schemas.openxmlformats.org/officeDocument/2006/relationships/hyperlink" Target="http://a0.twimg.com/profile_images/2431818532/u97i1lvlfr3angaete91_normal.jpeg" TargetMode="External"/><Relationship Id="rId200" Type="http://schemas.openxmlformats.org/officeDocument/2006/relationships/hyperlink" Target="http://a0.twimg.com/profile_images/2269076273/gb5u8s8va9qhpal8hmly_normal.jpeg" TargetMode="External"/><Relationship Id="rId382" Type="http://schemas.openxmlformats.org/officeDocument/2006/relationships/hyperlink" Target="http://twitter.com/crankydem" TargetMode="External"/><Relationship Id="rId417" Type="http://schemas.openxmlformats.org/officeDocument/2006/relationships/hyperlink" Target="http://twitter.com/Norsu2" TargetMode="External"/><Relationship Id="rId438" Type="http://schemas.openxmlformats.org/officeDocument/2006/relationships/hyperlink" Target="http://twitter.com/NathanSFurtado" TargetMode="External"/><Relationship Id="rId16" Type="http://schemas.openxmlformats.org/officeDocument/2006/relationships/hyperlink" Target="http://www.americanprogress.org/aboutus/staff/DussMatthew.html" TargetMode="External"/><Relationship Id="rId221" Type="http://schemas.openxmlformats.org/officeDocument/2006/relationships/hyperlink" Target="http://a0.twimg.com/profile_images/2270084071/amd785ezxzy48r1tnz7n_normal.jpeg" TargetMode="External"/><Relationship Id="rId242" Type="http://schemas.openxmlformats.org/officeDocument/2006/relationships/hyperlink" Target="http://a0.twimg.com/profile_images/2051783154/Leslie_at_BB_Kings_normal.jpg" TargetMode="External"/><Relationship Id="rId263" Type="http://schemas.openxmlformats.org/officeDocument/2006/relationships/hyperlink" Target="http://twitter.com/PuntaVerdeBK" TargetMode="External"/><Relationship Id="rId284" Type="http://schemas.openxmlformats.org/officeDocument/2006/relationships/hyperlink" Target="http://twitter.com/GregWHoward" TargetMode="External"/><Relationship Id="rId319" Type="http://schemas.openxmlformats.org/officeDocument/2006/relationships/hyperlink" Target="http://twitter.com/dpkesq" TargetMode="External"/><Relationship Id="rId37" Type="http://schemas.openxmlformats.org/officeDocument/2006/relationships/hyperlink" Target="http://www.silversmithproductions.com/" TargetMode="External"/><Relationship Id="rId58" Type="http://schemas.openxmlformats.org/officeDocument/2006/relationships/hyperlink" Target="http://a0.twimg.com/profile_images/1827562536/PaulKristen_normal.jpg" TargetMode="External"/><Relationship Id="rId79" Type="http://schemas.openxmlformats.org/officeDocument/2006/relationships/hyperlink" Target="http://a0.twimg.com/profile_images/1479081950/VancouverMike_normal.jpg" TargetMode="External"/><Relationship Id="rId102" Type="http://schemas.openxmlformats.org/officeDocument/2006/relationships/hyperlink" Target="http://a0.twimg.com/profile_images/2188339536/MeDonKing2004_normal.jpg" TargetMode="External"/><Relationship Id="rId123" Type="http://schemas.openxmlformats.org/officeDocument/2006/relationships/hyperlink" Target="http://a0.twimg.com/profile_images/2271825329/108itu00m3ut633fwqnh_normal.jpeg" TargetMode="External"/><Relationship Id="rId144" Type="http://schemas.openxmlformats.org/officeDocument/2006/relationships/hyperlink" Target="http://a0.twimg.com/profile_images/2213235374/image_normal.jpg" TargetMode="External"/><Relationship Id="rId330" Type="http://schemas.openxmlformats.org/officeDocument/2006/relationships/hyperlink" Target="http://twitter.com/trvlgk" TargetMode="External"/><Relationship Id="rId90" Type="http://schemas.openxmlformats.org/officeDocument/2006/relationships/hyperlink" Target="http://a0.twimg.com/profile_images/2281015117/7wzi4jsqxacwndn0k5rm_normal.gif" TargetMode="External"/><Relationship Id="rId165" Type="http://schemas.openxmlformats.org/officeDocument/2006/relationships/hyperlink" Target="http://a0.twimg.com/profile_images/1159675136/chart_normal.jpg" TargetMode="External"/><Relationship Id="rId186" Type="http://schemas.openxmlformats.org/officeDocument/2006/relationships/hyperlink" Target="http://a0.twimg.com/profile_images/302488805/newspaper_3_normal.jpg" TargetMode="External"/><Relationship Id="rId351" Type="http://schemas.openxmlformats.org/officeDocument/2006/relationships/hyperlink" Target="http://twitter.com/dsunhawk" TargetMode="External"/><Relationship Id="rId372" Type="http://schemas.openxmlformats.org/officeDocument/2006/relationships/hyperlink" Target="http://twitter.com/Nanbp" TargetMode="External"/><Relationship Id="rId393" Type="http://schemas.openxmlformats.org/officeDocument/2006/relationships/hyperlink" Target="http://twitter.com/Dcarter888K" TargetMode="External"/><Relationship Id="rId407" Type="http://schemas.openxmlformats.org/officeDocument/2006/relationships/hyperlink" Target="http://twitter.com/HiJCP" TargetMode="External"/><Relationship Id="rId428" Type="http://schemas.openxmlformats.org/officeDocument/2006/relationships/hyperlink" Target="http://twitter.com/ChrisMatthewspu" TargetMode="External"/><Relationship Id="rId211" Type="http://schemas.openxmlformats.org/officeDocument/2006/relationships/hyperlink" Target="http://a0.twimg.com/profile_images/2459920767/image_normal.jpg" TargetMode="External"/><Relationship Id="rId232" Type="http://schemas.openxmlformats.org/officeDocument/2006/relationships/hyperlink" Target="http://a0.twimg.com/profile_images/1237582622/streaming_resize_normal.jpg" TargetMode="External"/><Relationship Id="rId253" Type="http://schemas.openxmlformats.org/officeDocument/2006/relationships/hyperlink" Target="http://twitter.com/PaulMadrigal099" TargetMode="External"/><Relationship Id="rId274" Type="http://schemas.openxmlformats.org/officeDocument/2006/relationships/hyperlink" Target="http://twitter.com/jackrabbit0047" TargetMode="External"/><Relationship Id="rId295" Type="http://schemas.openxmlformats.org/officeDocument/2006/relationships/hyperlink" Target="http://twitter.com/strangep00rk" TargetMode="External"/><Relationship Id="rId309" Type="http://schemas.openxmlformats.org/officeDocument/2006/relationships/hyperlink" Target="http://twitter.com/Jlessard" TargetMode="External"/><Relationship Id="rId27" Type="http://schemas.openxmlformats.org/officeDocument/2006/relationships/hyperlink" Target="http://youtu.be/qXBswFfh6AY" TargetMode="External"/><Relationship Id="rId48" Type="http://schemas.openxmlformats.org/officeDocument/2006/relationships/hyperlink" Target="http://httpmyblogblogspotcom-norsu.blogspot.com/" TargetMode="External"/><Relationship Id="rId69" Type="http://schemas.openxmlformats.org/officeDocument/2006/relationships/hyperlink" Target="http://a0.twimg.com/profile_images/434446893/master_shake_normal.png" TargetMode="External"/><Relationship Id="rId113" Type="http://schemas.openxmlformats.org/officeDocument/2006/relationships/hyperlink" Target="http://a0.twimg.com/profile_images/1565309394/Shakespeare_Inkblot_normal.jpg" TargetMode="External"/><Relationship Id="rId134" Type="http://schemas.openxmlformats.org/officeDocument/2006/relationships/hyperlink" Target="http://a0.twimg.com/profile_images/1490659970/beagle-0175_normal.jpg" TargetMode="External"/><Relationship Id="rId320" Type="http://schemas.openxmlformats.org/officeDocument/2006/relationships/hyperlink" Target="http://twitter.com/eagle17765" TargetMode="External"/><Relationship Id="rId80" Type="http://schemas.openxmlformats.org/officeDocument/2006/relationships/hyperlink" Target="http://a0.twimg.com/profile_images/2203024923/GOP_Elephant_normal.jpg" TargetMode="External"/><Relationship Id="rId155" Type="http://schemas.openxmlformats.org/officeDocument/2006/relationships/hyperlink" Target="http://a0.twimg.com/profile_images/2315928930/8bdfw7di0v1krmvzt2ji_normal.jpeg" TargetMode="External"/><Relationship Id="rId176" Type="http://schemas.openxmlformats.org/officeDocument/2006/relationships/hyperlink" Target="http://a0.twimg.com/profile_images/2134548138/d4baf8c3-f29a-48fd-85de-51bc3815be6a_normal.png" TargetMode="External"/><Relationship Id="rId197" Type="http://schemas.openxmlformats.org/officeDocument/2006/relationships/hyperlink" Target="http://a0.twimg.com/profile_images/1531022841/Jan_1983_normal.jpg" TargetMode="External"/><Relationship Id="rId341" Type="http://schemas.openxmlformats.org/officeDocument/2006/relationships/hyperlink" Target="http://twitter.com/aDemocratKnows" TargetMode="External"/><Relationship Id="rId362" Type="http://schemas.openxmlformats.org/officeDocument/2006/relationships/hyperlink" Target="http://twitter.com/Zenman1550" TargetMode="External"/><Relationship Id="rId383" Type="http://schemas.openxmlformats.org/officeDocument/2006/relationships/hyperlink" Target="http://twitter.com/missb62" TargetMode="External"/><Relationship Id="rId418" Type="http://schemas.openxmlformats.org/officeDocument/2006/relationships/hyperlink" Target="http://twitter.com/sigstarget" TargetMode="External"/><Relationship Id="rId439" Type="http://schemas.openxmlformats.org/officeDocument/2006/relationships/hyperlink" Target="http://twitter.com/CAP741776" TargetMode="External"/><Relationship Id="rId201" Type="http://schemas.openxmlformats.org/officeDocument/2006/relationships/hyperlink" Target="http://a0.twimg.com/profile_images/1959052515/Dorth___Dixie_normal.jpg" TargetMode="External"/><Relationship Id="rId222" Type="http://schemas.openxmlformats.org/officeDocument/2006/relationships/hyperlink" Target="http://a0.twimg.com/profile_images/1867886939/image_normal.jpg" TargetMode="External"/><Relationship Id="rId243" Type="http://schemas.openxmlformats.org/officeDocument/2006/relationships/hyperlink" Target="http://a0.twimg.com/profile_images/1784149447/image_normal.jpg" TargetMode="External"/><Relationship Id="rId264" Type="http://schemas.openxmlformats.org/officeDocument/2006/relationships/hyperlink" Target="http://twitter.com/BothArmsUp" TargetMode="External"/><Relationship Id="rId285" Type="http://schemas.openxmlformats.org/officeDocument/2006/relationships/hyperlink" Target="http://twitter.com/connnutmeg" TargetMode="External"/><Relationship Id="rId17" Type="http://schemas.openxmlformats.org/officeDocument/2006/relationships/hyperlink" Target="http://takeactionnews.com/" TargetMode="External"/><Relationship Id="rId38" Type="http://schemas.openxmlformats.org/officeDocument/2006/relationships/hyperlink" Target="http://tbogg.firedoglake.com/" TargetMode="External"/><Relationship Id="rId59" Type="http://schemas.openxmlformats.org/officeDocument/2006/relationships/hyperlink" Target="http://a0.twimg.com/profile_images/1681605078/35E5563FB333DD934EAFDA2EE0D1ED_1__normal.jpg" TargetMode="External"/><Relationship Id="rId103" Type="http://schemas.openxmlformats.org/officeDocument/2006/relationships/hyperlink" Target="http://a0.twimg.com/profile_images/1938422577/Pigs_in_Space_Logo_by_CmdrKerner_normal.png" TargetMode="External"/><Relationship Id="rId124" Type="http://schemas.openxmlformats.org/officeDocument/2006/relationships/hyperlink" Target="http://a0.twimg.com/profile_images/2311966226/bi9dadfcubytvy3ky849_normal.jpeg" TargetMode="External"/><Relationship Id="rId310" Type="http://schemas.openxmlformats.org/officeDocument/2006/relationships/hyperlink" Target="http://twitter.com/Brownasaur44" TargetMode="External"/><Relationship Id="rId70" Type="http://schemas.openxmlformats.org/officeDocument/2006/relationships/hyperlink" Target="http://a0.twimg.com/profile_images/2426520588/nacg2gcatoc9x049cxoz_normal.png" TargetMode="External"/><Relationship Id="rId91" Type="http://schemas.openxmlformats.org/officeDocument/2006/relationships/hyperlink" Target="http://a0.twimg.com/profile_images/519685110/tpaine105f_r1j_normal.jpg" TargetMode="External"/><Relationship Id="rId145" Type="http://schemas.openxmlformats.org/officeDocument/2006/relationships/hyperlink" Target="http://a0.twimg.com/profile_images/643082317/Candle_St_Francis_normal.jpg" TargetMode="External"/><Relationship Id="rId166" Type="http://schemas.openxmlformats.org/officeDocument/2006/relationships/hyperlink" Target="http://a0.twimg.com/profile_images/629135204/117441851_300_normal.jpg" TargetMode="External"/><Relationship Id="rId187" Type="http://schemas.openxmlformats.org/officeDocument/2006/relationships/hyperlink" Target="http://a0.twimg.com/profile_images/1449876825/photoabout_normal.jpg" TargetMode="External"/><Relationship Id="rId331" Type="http://schemas.openxmlformats.org/officeDocument/2006/relationships/hyperlink" Target="http://twitter.com/Darin_Driscoll" TargetMode="External"/><Relationship Id="rId352" Type="http://schemas.openxmlformats.org/officeDocument/2006/relationships/hyperlink" Target="http://twitter.com/DariMD" TargetMode="External"/><Relationship Id="rId373" Type="http://schemas.openxmlformats.org/officeDocument/2006/relationships/hyperlink" Target="http://twitter.com/buckaroo1260" TargetMode="External"/><Relationship Id="rId394" Type="http://schemas.openxmlformats.org/officeDocument/2006/relationships/hyperlink" Target="http://twitter.com/John_Scott_G" TargetMode="External"/><Relationship Id="rId408" Type="http://schemas.openxmlformats.org/officeDocument/2006/relationships/hyperlink" Target="http://twitter.com/tikibandur" TargetMode="External"/><Relationship Id="rId429" Type="http://schemas.openxmlformats.org/officeDocument/2006/relationships/hyperlink" Target="http://twitter.com/lilmsunshne" TargetMode="External"/><Relationship Id="rId1" Type="http://schemas.openxmlformats.org/officeDocument/2006/relationships/hyperlink" Target="http://www.rawlinks.com/" TargetMode="External"/><Relationship Id="rId212" Type="http://schemas.openxmlformats.org/officeDocument/2006/relationships/hyperlink" Target="http://a0.twimg.com/profile_images/649888618/cat_face_normal.jpg" TargetMode="External"/><Relationship Id="rId233" Type="http://schemas.openxmlformats.org/officeDocument/2006/relationships/hyperlink" Target="http://a0.twimg.com/profile_images/1587310366/diogenes2_normal.jpg" TargetMode="External"/><Relationship Id="rId254" Type="http://schemas.openxmlformats.org/officeDocument/2006/relationships/hyperlink" Target="http://twitter.com/Shmoe" TargetMode="External"/><Relationship Id="rId440" Type="http://schemas.openxmlformats.org/officeDocument/2006/relationships/hyperlink" Target="http://twitter.com/Patriot38" TargetMode="External"/><Relationship Id="rId28" Type="http://schemas.openxmlformats.org/officeDocument/2006/relationships/hyperlink" Target="http://www.breitbart.com/" TargetMode="External"/><Relationship Id="rId49" Type="http://schemas.openxmlformats.org/officeDocument/2006/relationships/hyperlink" Target="http://look2thewest.wordpress.com/2010/03/31/an-expression-of-the-american-mind/" TargetMode="External"/><Relationship Id="rId114" Type="http://schemas.openxmlformats.org/officeDocument/2006/relationships/hyperlink" Target="http://a0.twimg.com/profile_images/2132473410/Drake_formal_photo_normal.jpg" TargetMode="External"/><Relationship Id="rId275" Type="http://schemas.openxmlformats.org/officeDocument/2006/relationships/hyperlink" Target="http://twitter.com/mikepizzitola" TargetMode="External"/><Relationship Id="rId296" Type="http://schemas.openxmlformats.org/officeDocument/2006/relationships/hyperlink" Target="http://twitter.com/Swauny" TargetMode="External"/><Relationship Id="rId300" Type="http://schemas.openxmlformats.org/officeDocument/2006/relationships/hyperlink" Target="http://twitter.com/WisemanBill" TargetMode="External"/><Relationship Id="rId60" Type="http://schemas.openxmlformats.org/officeDocument/2006/relationships/hyperlink" Target="http://a0.twimg.com/profile_images/1547388788/haloween_007_Thumbnail_Web_view_normal.jpg" TargetMode="External"/><Relationship Id="rId81" Type="http://schemas.openxmlformats.org/officeDocument/2006/relationships/hyperlink" Target="http://a0.twimg.com/profile_images/1652459014/thinkchimplogo2_normal.png" TargetMode="External"/><Relationship Id="rId135" Type="http://schemas.openxmlformats.org/officeDocument/2006/relationships/hyperlink" Target="http://a0.twimg.com/profile_images/1318652607/125_swampland_0831_normal.jpg" TargetMode="External"/><Relationship Id="rId156" Type="http://schemas.openxmlformats.org/officeDocument/2006/relationships/hyperlink" Target="http://a0.twimg.com/sticky/default_profile_images/default_profile_0_normal.png" TargetMode="External"/><Relationship Id="rId177" Type="http://schemas.openxmlformats.org/officeDocument/2006/relationships/hyperlink" Target="http://a0.twimg.com/profile_images/2183512789/BO-2012-14_1__normal.jpg" TargetMode="External"/><Relationship Id="rId198" Type="http://schemas.openxmlformats.org/officeDocument/2006/relationships/hyperlink" Target="http://a0.twimg.com/profile_images/2275270801/83kbxotfahciu2d5ihpb_normal.png" TargetMode="External"/><Relationship Id="rId321" Type="http://schemas.openxmlformats.org/officeDocument/2006/relationships/hyperlink" Target="http://twitter.com/AxelRugger" TargetMode="External"/><Relationship Id="rId342" Type="http://schemas.openxmlformats.org/officeDocument/2006/relationships/hyperlink" Target="http://twitter.com/BlackMaxDesign" TargetMode="External"/><Relationship Id="rId363" Type="http://schemas.openxmlformats.org/officeDocument/2006/relationships/hyperlink" Target="http://twitter.com/OldBlackMajic" TargetMode="External"/><Relationship Id="rId384" Type="http://schemas.openxmlformats.org/officeDocument/2006/relationships/hyperlink" Target="http://twitter.com/Gukorru" TargetMode="External"/><Relationship Id="rId419" Type="http://schemas.openxmlformats.org/officeDocument/2006/relationships/hyperlink" Target="http://twitter.com/AmericanMind" TargetMode="External"/><Relationship Id="rId202" Type="http://schemas.openxmlformats.org/officeDocument/2006/relationships/hyperlink" Target="http://a0.twimg.com/profile_images/129242724/g_op_fb_normal.jpg" TargetMode="External"/><Relationship Id="rId223" Type="http://schemas.openxmlformats.org/officeDocument/2006/relationships/hyperlink" Target="http://a0.twimg.com/profile_images/2453136219/mpm4za7tffxadkfluy5x_normal.jpeg" TargetMode="External"/><Relationship Id="rId244" Type="http://schemas.openxmlformats.org/officeDocument/2006/relationships/hyperlink" Target="http://a0.twimg.com/profile_images/2290942322/xll7by23nrk51e4s9so2_normal.gif" TargetMode="External"/><Relationship Id="rId430" Type="http://schemas.openxmlformats.org/officeDocument/2006/relationships/hyperlink" Target="http://twitter.com/sidney_fife" TargetMode="External"/><Relationship Id="rId18" Type="http://schemas.openxmlformats.org/officeDocument/2006/relationships/hyperlink" Target="http://ralstonflash.com/" TargetMode="External"/><Relationship Id="rId39" Type="http://schemas.openxmlformats.org/officeDocument/2006/relationships/hyperlink" Target="http://thepage.time.com/" TargetMode="External"/><Relationship Id="rId265" Type="http://schemas.openxmlformats.org/officeDocument/2006/relationships/hyperlink" Target="http://twitter.com/bostonsboy87" TargetMode="External"/><Relationship Id="rId286" Type="http://schemas.openxmlformats.org/officeDocument/2006/relationships/hyperlink" Target="http://twitter.com/yewkalaylee" TargetMode="External"/><Relationship Id="rId50" Type="http://schemas.openxmlformats.org/officeDocument/2006/relationships/hyperlink" Target="http://www.twylah.com/liars_never_win" TargetMode="External"/><Relationship Id="rId104" Type="http://schemas.openxmlformats.org/officeDocument/2006/relationships/hyperlink" Target="http://a0.twimg.com/profile_images/1585095109/image_normal.jpg" TargetMode="External"/><Relationship Id="rId125" Type="http://schemas.openxmlformats.org/officeDocument/2006/relationships/hyperlink" Target="http://a0.twimg.com/profile_images/2430936454/u63vevgvx3rc2d2hj3pf_normal.jpeg" TargetMode="External"/><Relationship Id="rId146" Type="http://schemas.openxmlformats.org/officeDocument/2006/relationships/hyperlink" Target="http://a0.twimg.com/profile_images/2148467971/TuxcedoCat_normal.jpg" TargetMode="External"/><Relationship Id="rId167" Type="http://schemas.openxmlformats.org/officeDocument/2006/relationships/hyperlink" Target="http://a0.twimg.com/profile_images/2289820358/5g2eauydkbgfjjueg1x4_normal.jpeg" TargetMode="External"/><Relationship Id="rId188" Type="http://schemas.openxmlformats.org/officeDocument/2006/relationships/hyperlink" Target="http://a0.twimg.com/profile_images/1591505511/9383fb6b-9f5d-4ce2-ae41-eeac8a3cdf02_normal.png" TargetMode="External"/><Relationship Id="rId311" Type="http://schemas.openxmlformats.org/officeDocument/2006/relationships/hyperlink" Target="http://twitter.com/totomovies" TargetMode="External"/><Relationship Id="rId332" Type="http://schemas.openxmlformats.org/officeDocument/2006/relationships/hyperlink" Target="http://twitter.com/DefendWallSt" TargetMode="External"/><Relationship Id="rId353" Type="http://schemas.openxmlformats.org/officeDocument/2006/relationships/hyperlink" Target="http://twitter.com/_silversmith" TargetMode="External"/><Relationship Id="rId374" Type="http://schemas.openxmlformats.org/officeDocument/2006/relationships/hyperlink" Target="http://twitter.com/ThisisntEasy" TargetMode="External"/><Relationship Id="rId395" Type="http://schemas.openxmlformats.org/officeDocument/2006/relationships/hyperlink" Target="http://twitter.com/utahpioneer" TargetMode="External"/><Relationship Id="rId409" Type="http://schemas.openxmlformats.org/officeDocument/2006/relationships/hyperlink" Target="http://twitter.com/AmPriorities" TargetMode="External"/><Relationship Id="rId71" Type="http://schemas.openxmlformats.org/officeDocument/2006/relationships/hyperlink" Target="http://a0.twimg.com/profile_images/1523964460/newtownchurn_normal.jpeg" TargetMode="External"/><Relationship Id="rId92" Type="http://schemas.openxmlformats.org/officeDocument/2006/relationships/hyperlink" Target="http://a0.twimg.com/profile_images/1615891430/avatar_normal.png" TargetMode="External"/><Relationship Id="rId213" Type="http://schemas.openxmlformats.org/officeDocument/2006/relationships/hyperlink" Target="http://a0.twimg.com/profile_images/1227598251/slide-raise-recession-1-md_normal.jpg" TargetMode="External"/><Relationship Id="rId234" Type="http://schemas.openxmlformats.org/officeDocument/2006/relationships/hyperlink" Target="http://a0.twimg.com/profile_images/1942208211/marc_2_badge_normal.png" TargetMode="External"/><Relationship Id="rId420" Type="http://schemas.openxmlformats.org/officeDocument/2006/relationships/hyperlink" Target="http://twitter.com/lymurp" TargetMode="External"/><Relationship Id="rId2" Type="http://schemas.openxmlformats.org/officeDocument/2006/relationships/hyperlink" Target="http://kony2012.com/watch" TargetMode="External"/><Relationship Id="rId29" Type="http://schemas.openxmlformats.org/officeDocument/2006/relationships/hyperlink" Target="http://hollywoodteaparty.us/" TargetMode="External"/><Relationship Id="rId255" Type="http://schemas.openxmlformats.org/officeDocument/2006/relationships/hyperlink" Target="http://twitter.com/flocktard" TargetMode="External"/><Relationship Id="rId276" Type="http://schemas.openxmlformats.org/officeDocument/2006/relationships/hyperlink" Target="http://twitter.com/gvrtwpkwy" TargetMode="External"/><Relationship Id="rId297" Type="http://schemas.openxmlformats.org/officeDocument/2006/relationships/hyperlink" Target="http://twitter.com/ben_techpro" TargetMode="External"/><Relationship Id="rId441" Type="http://schemas.openxmlformats.org/officeDocument/2006/relationships/printerSettings" Target="../printerSettings/printerSettings2.bin"/><Relationship Id="rId40" Type="http://schemas.openxmlformats.org/officeDocument/2006/relationships/hyperlink" Target="http://www.youtube.com/watch?v=ZtRGQRtwh2U" TargetMode="External"/><Relationship Id="rId115" Type="http://schemas.openxmlformats.org/officeDocument/2006/relationships/hyperlink" Target="http://a0.twimg.com/profile_images/1632415330/JR_02_normal.jpg" TargetMode="External"/><Relationship Id="rId136" Type="http://schemas.openxmlformats.org/officeDocument/2006/relationships/hyperlink" Target="http://a0.twimg.com/profile_images/2314583044/image_normal.jpg" TargetMode="External"/><Relationship Id="rId157" Type="http://schemas.openxmlformats.org/officeDocument/2006/relationships/hyperlink" Target="http://a0.twimg.com/profile_images/380422560/IMG_0132_1__normal.jpg" TargetMode="External"/><Relationship Id="rId178" Type="http://schemas.openxmlformats.org/officeDocument/2006/relationships/hyperlink" Target="http://a0.twimg.com/profile_images/2189400816/Polo0001_normal.jpg" TargetMode="External"/><Relationship Id="rId301" Type="http://schemas.openxmlformats.org/officeDocument/2006/relationships/hyperlink" Target="http://twitter.com/ksmith474" TargetMode="External"/><Relationship Id="rId322" Type="http://schemas.openxmlformats.org/officeDocument/2006/relationships/hyperlink" Target="http://twitter.com/TeamOlbermann" TargetMode="External"/><Relationship Id="rId343" Type="http://schemas.openxmlformats.org/officeDocument/2006/relationships/hyperlink" Target="http://twitter.com/RWwatchMA" TargetMode="External"/><Relationship Id="rId364" Type="http://schemas.openxmlformats.org/officeDocument/2006/relationships/hyperlink" Target="http://twitter.com/psalm82" TargetMode="External"/><Relationship Id="rId61" Type="http://schemas.openxmlformats.org/officeDocument/2006/relationships/hyperlink" Target="http://a0.twimg.com/sticky/default_profile_images/default_profile_6_normal.png" TargetMode="External"/><Relationship Id="rId82" Type="http://schemas.openxmlformats.org/officeDocument/2006/relationships/hyperlink" Target="http://a0.twimg.com/sticky/default_profile_images/default_profile_5_normal.png" TargetMode="External"/><Relationship Id="rId199" Type="http://schemas.openxmlformats.org/officeDocument/2006/relationships/hyperlink" Target="http://a0.twimg.com/profile_images/2445475914/343441822_normal.jpg" TargetMode="External"/><Relationship Id="rId203" Type="http://schemas.openxmlformats.org/officeDocument/2006/relationships/hyperlink" Target="http://a0.twimg.com/profile_images/2442963393/5hy367urko1s9dedzbv5_normal.jpeg" TargetMode="External"/><Relationship Id="rId385" Type="http://schemas.openxmlformats.org/officeDocument/2006/relationships/hyperlink" Target="http://twitter.com/MMBlosser" TargetMode="External"/><Relationship Id="rId19" Type="http://schemas.openxmlformats.org/officeDocument/2006/relationships/hyperlink" Target="http://www.politico.com/playbook-2012/family-tree/inside-the-circus/" TargetMode="External"/><Relationship Id="rId224" Type="http://schemas.openxmlformats.org/officeDocument/2006/relationships/hyperlink" Target="http://a0.twimg.com/profile_images/1949784963/Lion_normal.JPG" TargetMode="External"/><Relationship Id="rId245" Type="http://schemas.openxmlformats.org/officeDocument/2006/relationships/hyperlink" Target="http://a0.twimg.com/profile_images/2397493733/image_normal.jpg" TargetMode="External"/><Relationship Id="rId266" Type="http://schemas.openxmlformats.org/officeDocument/2006/relationships/hyperlink" Target="http://twitter.com/StParmenide" TargetMode="External"/><Relationship Id="rId287" Type="http://schemas.openxmlformats.org/officeDocument/2006/relationships/hyperlink" Target="http://twitter.com/ProudlyWeHail" TargetMode="External"/><Relationship Id="rId410" Type="http://schemas.openxmlformats.org/officeDocument/2006/relationships/hyperlink" Target="http://twitter.com/mwoodward4" TargetMode="External"/><Relationship Id="rId431" Type="http://schemas.openxmlformats.org/officeDocument/2006/relationships/hyperlink" Target="http://twitter.com/hkistemann" TargetMode="External"/><Relationship Id="rId30" Type="http://schemas.openxmlformats.org/officeDocument/2006/relationships/hyperlink" Target="http://bannergirl-60plus.blogspot.com/" TargetMode="External"/><Relationship Id="rId105" Type="http://schemas.openxmlformats.org/officeDocument/2006/relationships/hyperlink" Target="http://a0.twimg.com/profile_images/2162345272/image_normal.jpg" TargetMode="External"/><Relationship Id="rId126" Type="http://schemas.openxmlformats.org/officeDocument/2006/relationships/hyperlink" Target="http://a0.twimg.com/profile_images/1840758373/star_normal.jpg" TargetMode="External"/><Relationship Id="rId147" Type="http://schemas.openxmlformats.org/officeDocument/2006/relationships/hyperlink" Target="http://a0.twimg.com/profile_images/1238106275/35ec2d00-090b-4cb8-bbba-31f784eebe33_normal.png" TargetMode="External"/><Relationship Id="rId168" Type="http://schemas.openxmlformats.org/officeDocument/2006/relationships/hyperlink" Target="http://a0.twimg.com/profile_images/1737557478/1_normal.png" TargetMode="External"/><Relationship Id="rId312" Type="http://schemas.openxmlformats.org/officeDocument/2006/relationships/hyperlink" Target="http://twitter.com/eeyrehead" TargetMode="External"/><Relationship Id="rId333" Type="http://schemas.openxmlformats.org/officeDocument/2006/relationships/hyperlink" Target="http://twitter.com/AhTrini" TargetMode="External"/><Relationship Id="rId354" Type="http://schemas.openxmlformats.org/officeDocument/2006/relationships/hyperlink" Target="http://twitter.com/bobdobolina" TargetMode="External"/><Relationship Id="rId51" Type="http://schemas.openxmlformats.org/officeDocument/2006/relationships/hyperlink" Target="http://www.youtube.com/user/ObamaBC?feature=mhee" TargetMode="External"/><Relationship Id="rId72" Type="http://schemas.openxmlformats.org/officeDocument/2006/relationships/hyperlink" Target="http://a0.twimg.com/profile_images/2455321320/image_normal.jpg" TargetMode="External"/><Relationship Id="rId93" Type="http://schemas.openxmlformats.org/officeDocument/2006/relationships/hyperlink" Target="http://a0.twimg.com/profile_images/1520565545/1a0d3994-fa14-43aa-a321-0c4ff30b6fb2_normal.png" TargetMode="External"/><Relationship Id="rId189" Type="http://schemas.openxmlformats.org/officeDocument/2006/relationships/hyperlink" Target="http://a0.twimg.com/profile_images/1564696987/Pansies_in_Richard_s_yard_normal.jpg" TargetMode="External"/><Relationship Id="rId375" Type="http://schemas.openxmlformats.org/officeDocument/2006/relationships/hyperlink" Target="http://twitter.com/facepalm23" TargetMode="External"/><Relationship Id="rId396" Type="http://schemas.openxmlformats.org/officeDocument/2006/relationships/hyperlink" Target="http://twitter.com/gitmo62" TargetMode="External"/><Relationship Id="rId3" Type="http://schemas.openxmlformats.org/officeDocument/2006/relationships/hyperlink" Target="http://flavors.me/Shmoe" TargetMode="External"/><Relationship Id="rId214" Type="http://schemas.openxmlformats.org/officeDocument/2006/relationships/hyperlink" Target="http://a0.twimg.com/profile_images/1803362941/8f209dea-31ec-46d5-a4e1-420766ec85ce_normal.png" TargetMode="External"/><Relationship Id="rId235" Type="http://schemas.openxmlformats.org/officeDocument/2006/relationships/hyperlink" Target="http://a0.twimg.com/profile_images/1614635216/tw_6360476_1320015880_normal.jpg" TargetMode="External"/><Relationship Id="rId256" Type="http://schemas.openxmlformats.org/officeDocument/2006/relationships/hyperlink" Target="http://twitter.com/FATCA_Fallout" TargetMode="External"/><Relationship Id="rId277" Type="http://schemas.openxmlformats.org/officeDocument/2006/relationships/hyperlink" Target="http://twitter.com/MiddleClassTXN" TargetMode="External"/><Relationship Id="rId298" Type="http://schemas.openxmlformats.org/officeDocument/2006/relationships/hyperlink" Target="http://twitter.com/tummler10" TargetMode="External"/><Relationship Id="rId400" Type="http://schemas.openxmlformats.org/officeDocument/2006/relationships/hyperlink" Target="http://twitter.com/rterenzi1" TargetMode="External"/><Relationship Id="rId421" Type="http://schemas.openxmlformats.org/officeDocument/2006/relationships/hyperlink" Target="http://twitter.com/liars_never_win" TargetMode="External"/><Relationship Id="rId442" Type="http://schemas.openxmlformats.org/officeDocument/2006/relationships/drawing" Target="../drawings/drawing1.xml"/><Relationship Id="rId116" Type="http://schemas.openxmlformats.org/officeDocument/2006/relationships/hyperlink" Target="http://a0.twimg.com/profile_images/2310365484/h4akev1cgbnpb2omsv8p_normal.jpeg" TargetMode="External"/><Relationship Id="rId137" Type="http://schemas.openxmlformats.org/officeDocument/2006/relationships/hyperlink" Target="http://a0.twimg.com/profile_images/1420528110/268675_211187725591492_100001007989571_577526_4472484_n_normal.jpg" TargetMode="External"/><Relationship Id="rId158" Type="http://schemas.openxmlformats.org/officeDocument/2006/relationships/hyperlink" Target="http://a0.twimg.com/profile_images/2429455258/image_normal.jpg" TargetMode="External"/><Relationship Id="rId302" Type="http://schemas.openxmlformats.org/officeDocument/2006/relationships/hyperlink" Target="http://twitter.com/TheWrightWingv2" TargetMode="External"/><Relationship Id="rId323" Type="http://schemas.openxmlformats.org/officeDocument/2006/relationships/hyperlink" Target="http://twitter.com/bannerite" TargetMode="External"/><Relationship Id="rId344" Type="http://schemas.openxmlformats.org/officeDocument/2006/relationships/hyperlink" Target="http://twitter.com/robteed" TargetMode="External"/><Relationship Id="rId20" Type="http://schemas.openxmlformats.org/officeDocument/2006/relationships/hyperlink" Target="http://thewrightwing.wordpress.com/" TargetMode="External"/><Relationship Id="rId41" Type="http://schemas.openxmlformats.org/officeDocument/2006/relationships/hyperlink" Target="http://scarylawyerguy.blogspot.com/" TargetMode="External"/><Relationship Id="rId62" Type="http://schemas.openxmlformats.org/officeDocument/2006/relationships/hyperlink" Target="http://a0.twimg.com/profile_images/666182573/OrchidLogo_normal.jpg" TargetMode="External"/><Relationship Id="rId83" Type="http://schemas.openxmlformats.org/officeDocument/2006/relationships/hyperlink" Target="http://a0.twimg.com/profile_images/2259220466/mikepizzitola_normal.jpg" TargetMode="External"/><Relationship Id="rId179" Type="http://schemas.openxmlformats.org/officeDocument/2006/relationships/hyperlink" Target="http://a0.twimg.com/profile_images/1635994214/a0001l_normal.jpg" TargetMode="External"/><Relationship Id="rId365" Type="http://schemas.openxmlformats.org/officeDocument/2006/relationships/hyperlink" Target="http://twitter.com/AWiseLatina" TargetMode="External"/><Relationship Id="rId386" Type="http://schemas.openxmlformats.org/officeDocument/2006/relationships/hyperlink" Target="http://twitter.com/DaveJensen7" TargetMode="External"/><Relationship Id="rId190" Type="http://schemas.openxmlformats.org/officeDocument/2006/relationships/hyperlink" Target="http://a0.twimg.com/profile_images/1571407365/image_normal.jpg" TargetMode="External"/><Relationship Id="rId204" Type="http://schemas.openxmlformats.org/officeDocument/2006/relationships/hyperlink" Target="http://a0.twimg.com/profile_images/2453336115/obhmz9om00hd0ueodvbh_normal.jpeg" TargetMode="External"/><Relationship Id="rId225" Type="http://schemas.openxmlformats.org/officeDocument/2006/relationships/hyperlink" Target="http://a0.twimg.com/profile_images/1935303990/003zzz2_normal.jpg" TargetMode="External"/><Relationship Id="rId246" Type="http://schemas.openxmlformats.org/officeDocument/2006/relationships/hyperlink" Target="http://a0.twimg.com/profile_images/2461221325/27u9roz37bwxownt3ly1_normal.jpeg" TargetMode="External"/><Relationship Id="rId267" Type="http://schemas.openxmlformats.org/officeDocument/2006/relationships/hyperlink" Target="http://twitter.com/chagresgirl" TargetMode="External"/><Relationship Id="rId288" Type="http://schemas.openxmlformats.org/officeDocument/2006/relationships/hyperlink" Target="http://twitter.com/jedibrettski" TargetMode="External"/><Relationship Id="rId411" Type="http://schemas.openxmlformats.org/officeDocument/2006/relationships/hyperlink" Target="http://twitter.com/JamesYontrofsky" TargetMode="External"/><Relationship Id="rId432" Type="http://schemas.openxmlformats.org/officeDocument/2006/relationships/hyperlink" Target="http://twitter.com/coxwebdev" TargetMode="External"/><Relationship Id="rId106" Type="http://schemas.openxmlformats.org/officeDocument/2006/relationships/hyperlink" Target="http://a0.twimg.com/profile_images/643963899/JerRockClimb_normal.jpg" TargetMode="External"/><Relationship Id="rId127" Type="http://schemas.openxmlformats.org/officeDocument/2006/relationships/hyperlink" Target="http://a0.twimg.com/profile_images/1948728327/dpkesq__normal.jpg" TargetMode="External"/><Relationship Id="rId313" Type="http://schemas.openxmlformats.org/officeDocument/2006/relationships/hyperlink" Target="http://twitter.com/talaroque" TargetMode="External"/><Relationship Id="rId10" Type="http://schemas.openxmlformats.org/officeDocument/2006/relationships/hyperlink" Target="http://romneyresponse.tumblr.com/" TargetMode="External"/><Relationship Id="rId31" Type="http://schemas.openxmlformats.org/officeDocument/2006/relationships/hyperlink" Target="http://www.taoistsoul.com/vaw.htm" TargetMode="External"/><Relationship Id="rId52" Type="http://schemas.openxmlformats.org/officeDocument/2006/relationships/hyperlink" Target="http://canadiansformitt.blogspot.com/" TargetMode="External"/><Relationship Id="rId73" Type="http://schemas.openxmlformats.org/officeDocument/2006/relationships/hyperlink" Target="http://a0.twimg.com/profile_images/1708848312/15362_594840208360_6908491_35901997_7169834_n_normal.jpg" TargetMode="External"/><Relationship Id="rId94" Type="http://schemas.openxmlformats.org/officeDocument/2006/relationships/hyperlink" Target="http://a0.twimg.com/profile_images/2360385008/rIsn30YX_normal" TargetMode="External"/><Relationship Id="rId148" Type="http://schemas.openxmlformats.org/officeDocument/2006/relationships/hyperlink" Target="http://a0.twimg.com/profile_images/2144625840/mitty1_normal.jpg" TargetMode="External"/><Relationship Id="rId169" Type="http://schemas.openxmlformats.org/officeDocument/2006/relationships/hyperlink" Target="http://a0.twimg.com/profile_images/2364759464/image_normal.jpg" TargetMode="External"/><Relationship Id="rId334" Type="http://schemas.openxmlformats.org/officeDocument/2006/relationships/hyperlink" Target="http://twitter.com/chefmike44" TargetMode="External"/><Relationship Id="rId355" Type="http://schemas.openxmlformats.org/officeDocument/2006/relationships/hyperlink" Target="http://twitter.com/JoshDorner" TargetMode="External"/><Relationship Id="rId376" Type="http://schemas.openxmlformats.org/officeDocument/2006/relationships/hyperlink" Target="http://twitter.com/ChristiMtl" TargetMode="External"/><Relationship Id="rId397" Type="http://schemas.openxmlformats.org/officeDocument/2006/relationships/hyperlink" Target="http://twitter.com/VictorB123" TargetMode="External"/><Relationship Id="rId4" Type="http://schemas.openxmlformats.org/officeDocument/2006/relationships/hyperlink" Target="http://www.loganthomison.com/" TargetMode="External"/><Relationship Id="rId180" Type="http://schemas.openxmlformats.org/officeDocument/2006/relationships/hyperlink" Target="http://a0.twimg.com/profile_images/1905729675/70a262bb-cec1-43f4-924a-d243ed13e038_normal.png" TargetMode="External"/><Relationship Id="rId215" Type="http://schemas.openxmlformats.org/officeDocument/2006/relationships/hyperlink" Target="http://a0.twimg.com/profile_images/2007192867/1_normal.jpg" TargetMode="External"/><Relationship Id="rId236" Type="http://schemas.openxmlformats.org/officeDocument/2006/relationships/hyperlink" Target="http://a0.twimg.com/profile_images/324527914/matthews-obama_normal.jpg" TargetMode="External"/><Relationship Id="rId257" Type="http://schemas.openxmlformats.org/officeDocument/2006/relationships/hyperlink" Target="http://twitter.com/jmachats" TargetMode="External"/><Relationship Id="rId278" Type="http://schemas.openxmlformats.org/officeDocument/2006/relationships/hyperlink" Target="http://twitter.com/BillHemmer" TargetMode="External"/><Relationship Id="rId401" Type="http://schemas.openxmlformats.org/officeDocument/2006/relationships/hyperlink" Target="http://twitter.com/SayethSimon" TargetMode="External"/><Relationship Id="rId422" Type="http://schemas.openxmlformats.org/officeDocument/2006/relationships/hyperlink" Target="http://twitter.com/juliagulia614" TargetMode="External"/><Relationship Id="rId443" Type="http://schemas.openxmlformats.org/officeDocument/2006/relationships/vmlDrawing" Target="../drawings/vmlDrawing2.vml"/><Relationship Id="rId303" Type="http://schemas.openxmlformats.org/officeDocument/2006/relationships/hyperlink" Target="http://twitter.com/Bassmaster12" TargetMode="External"/><Relationship Id="rId42" Type="http://schemas.openxmlformats.org/officeDocument/2006/relationships/hyperlink" Target="http://www.examiner.com/x-9442-Riverside-County-Progressive-Examiner" TargetMode="External"/><Relationship Id="rId84" Type="http://schemas.openxmlformats.org/officeDocument/2006/relationships/hyperlink" Target="http://a0.twimg.com/profile_images/1882229621/angrywhopper_normal.jpg" TargetMode="External"/><Relationship Id="rId138" Type="http://schemas.openxmlformats.org/officeDocument/2006/relationships/hyperlink" Target="http://a0.twimg.com/profile_images/1742941897/images__4__normal.jpg" TargetMode="External"/><Relationship Id="rId345" Type="http://schemas.openxmlformats.org/officeDocument/2006/relationships/hyperlink" Target="http://twitter.com/sherijr" TargetMode="External"/><Relationship Id="rId387" Type="http://schemas.openxmlformats.org/officeDocument/2006/relationships/hyperlink" Target="http://twitter.com/mike_truman" TargetMode="External"/><Relationship Id="rId191" Type="http://schemas.openxmlformats.org/officeDocument/2006/relationships/hyperlink" Target="http://a0.twimg.com/profile_images/1309634395/ebc9001c-a294-4c56-a740-7c7f6e0b6887_normal.png" TargetMode="External"/><Relationship Id="rId205" Type="http://schemas.openxmlformats.org/officeDocument/2006/relationships/hyperlink" Target="http://a0.twimg.com/profile_images/122380648/IMG_0081_normal.jpg" TargetMode="External"/><Relationship Id="rId247" Type="http://schemas.openxmlformats.org/officeDocument/2006/relationships/hyperlink" Target="http://a0.twimg.com/profile_images/2388664856/IMG_95751_normal.jpg" TargetMode="External"/><Relationship Id="rId412" Type="http://schemas.openxmlformats.org/officeDocument/2006/relationships/hyperlink" Target="http://twitter.com/Imjetta" TargetMode="External"/><Relationship Id="rId107" Type="http://schemas.openxmlformats.org/officeDocument/2006/relationships/hyperlink" Target="http://a0.twimg.com/profile_images/701119703/lrsMBR061BertoliniMax-BlackPrincess_normal.jpg" TargetMode="External"/><Relationship Id="rId289" Type="http://schemas.openxmlformats.org/officeDocument/2006/relationships/hyperlink" Target="http://twitter.com/bigeasyWI" TargetMode="External"/><Relationship Id="rId11" Type="http://schemas.openxmlformats.org/officeDocument/2006/relationships/hyperlink" Target="http://www.gotchamediablog.com/" TargetMode="External"/><Relationship Id="rId53" Type="http://schemas.openxmlformats.org/officeDocument/2006/relationships/hyperlink" Target="http://computers.coxcrew.org/" TargetMode="External"/><Relationship Id="rId149" Type="http://schemas.openxmlformats.org/officeDocument/2006/relationships/hyperlink" Target="http://a0.twimg.com/profile_images/2258006952/Vote_DEM_normal.jpg" TargetMode="External"/><Relationship Id="rId314" Type="http://schemas.openxmlformats.org/officeDocument/2006/relationships/hyperlink" Target="http://twitter.com/zealousgranny" TargetMode="External"/><Relationship Id="rId356" Type="http://schemas.openxmlformats.org/officeDocument/2006/relationships/hyperlink" Target="http://twitter.com/tbogg" TargetMode="External"/><Relationship Id="rId398" Type="http://schemas.openxmlformats.org/officeDocument/2006/relationships/hyperlink" Target="http://twitter.com/MissMarple2" TargetMode="External"/><Relationship Id="rId95" Type="http://schemas.openxmlformats.org/officeDocument/2006/relationships/hyperlink" Target="http://a0.twimg.com/profile_images/935619228/TeaParty_Pic_of_me_normal.jpg" TargetMode="External"/><Relationship Id="rId160" Type="http://schemas.openxmlformats.org/officeDocument/2006/relationships/hyperlink" Target="http://a0.twimg.com/profile_images/2153977072/sun_halo_normal.jpg" TargetMode="External"/><Relationship Id="rId216" Type="http://schemas.openxmlformats.org/officeDocument/2006/relationships/hyperlink" Target="http://a0.twimg.com/profile_images/2179922022/1_normal.JPG" TargetMode="External"/><Relationship Id="rId423" Type="http://schemas.openxmlformats.org/officeDocument/2006/relationships/hyperlink" Target="http://twitter.com/DefeatObama" TargetMode="External"/><Relationship Id="rId258" Type="http://schemas.openxmlformats.org/officeDocument/2006/relationships/hyperlink" Target="http://twitter.com/AngryGamingSub" TargetMode="External"/><Relationship Id="rId22" Type="http://schemas.openxmlformats.org/officeDocument/2006/relationships/hyperlink" Target="http://www.davidwebbshow.com/" TargetMode="External"/><Relationship Id="rId64" Type="http://schemas.openxmlformats.org/officeDocument/2006/relationships/hyperlink" Target="http://a0.twimg.com/profile_images/1863075910/IMG_1745_normal.JPG" TargetMode="External"/><Relationship Id="rId118" Type="http://schemas.openxmlformats.org/officeDocument/2006/relationships/hyperlink" Target="http://a0.twimg.com/profile_images/2058792108/camxing_normal.jpg" TargetMode="External"/><Relationship Id="rId325" Type="http://schemas.openxmlformats.org/officeDocument/2006/relationships/hyperlink" Target="http://twitter.com/TaoistSoul" TargetMode="External"/><Relationship Id="rId367" Type="http://schemas.openxmlformats.org/officeDocument/2006/relationships/hyperlink" Target="http://twitter.com/dachdo" TargetMode="External"/><Relationship Id="rId171" Type="http://schemas.openxmlformats.org/officeDocument/2006/relationships/hyperlink" Target="http://a0.twimg.com/profile_images/2211227295/Fpw4Iglp_normal" TargetMode="External"/><Relationship Id="rId227" Type="http://schemas.openxmlformats.org/officeDocument/2006/relationships/hyperlink" Target="http://a0.twimg.com/profile_images/2241422709/sq6k_normal.jpg" TargetMode="External"/><Relationship Id="rId269" Type="http://schemas.openxmlformats.org/officeDocument/2006/relationships/hyperlink" Target="http://twitter.com/havewhatusay" TargetMode="External"/><Relationship Id="rId434" Type="http://schemas.openxmlformats.org/officeDocument/2006/relationships/hyperlink" Target="http://twitter.com/dysinger1231" TargetMode="External"/><Relationship Id="rId33" Type="http://schemas.openxmlformats.org/officeDocument/2006/relationships/hyperlink" Target="http://sunsethappycamper.blogspot.com/" TargetMode="External"/><Relationship Id="rId129" Type="http://schemas.openxmlformats.org/officeDocument/2006/relationships/hyperlink" Target="http://a0.twimg.com/profile_images/1494097293/image_normal.jpg" TargetMode="External"/><Relationship Id="rId280" Type="http://schemas.openxmlformats.org/officeDocument/2006/relationships/hyperlink" Target="http://twitter.com/GotchaMedia" TargetMode="External"/><Relationship Id="rId336" Type="http://schemas.openxmlformats.org/officeDocument/2006/relationships/hyperlink" Target="http://twitter.com/ChristopherGar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8" Type="http://schemas.openxmlformats.org/officeDocument/2006/relationships/hyperlink" Target="http://www.huffingtonpost.com/2012/08/02/eric-fehrnstrom-harry-reid-romney-taxes_n_1733085.html?utm_hp_ref=tw" TargetMode="External"/><Relationship Id="rId13" Type="http://schemas.openxmlformats.org/officeDocument/2006/relationships/hyperlink" Target="http://www.westernjournalism.com/exclusive-investigative-reports/harry-reids-dirty-laundry/" TargetMode="External"/><Relationship Id="rId18" Type="http://schemas.openxmlformats.org/officeDocument/2006/relationships/hyperlink" Target="http://www.dailykos.com/story/2012/08/02/1116041/-CNN-Romney-Violating-Federal-Laws-Coordinating-With-Karl-Rove" TargetMode="External"/><Relationship Id="rId26" Type="http://schemas.openxmlformats.org/officeDocument/2006/relationships/hyperlink" Target="http://www.wlbt.com/story/19176838/man-who-drove-off-cliff-while-texting-warns-others" TargetMode="External"/><Relationship Id="rId39" Type="http://schemas.openxmlformats.org/officeDocument/2006/relationships/table" Target="../tables/table15.xml"/><Relationship Id="rId3" Type="http://schemas.openxmlformats.org/officeDocument/2006/relationships/hyperlink" Target="http://www.youtube.com/watch?v=Z2sySORDLjo" TargetMode="External"/><Relationship Id="rId21" Type="http://schemas.openxmlformats.org/officeDocument/2006/relationships/hyperlink" Target="http://abcnews.go.com/blogs/politics/2012/08/romneys-kiss-my-spokesman-takes-time-off-campaign-trail/?utm_source=twitterfeed&amp;utm_medium=twitter" TargetMode="External"/><Relationship Id="rId34" Type="http://schemas.openxmlformats.org/officeDocument/2006/relationships/hyperlink" Target="http://www.tumblr.com/ZTjIFvQcNiF1" TargetMode="External"/><Relationship Id="rId42" Type="http://schemas.openxmlformats.org/officeDocument/2006/relationships/table" Target="../tables/table18.xml"/><Relationship Id="rId7" Type="http://schemas.openxmlformats.org/officeDocument/2006/relationships/hyperlink" Target="http://bluemassgroup.com/2011/08/brown-2012-strateg/" TargetMode="External"/><Relationship Id="rId12" Type="http://schemas.openxmlformats.org/officeDocument/2006/relationships/hyperlink" Target="http://www.youtube.com/watch?v=d1kCT62p95o" TargetMode="External"/><Relationship Id="rId17" Type="http://schemas.openxmlformats.org/officeDocument/2006/relationships/hyperlink" Target="http://www.buzzfeed.com/zekejmiller/romney-campaign-obama-campaign-manager-apparently" TargetMode="External"/><Relationship Id="rId25" Type="http://schemas.openxmlformats.org/officeDocument/2006/relationships/hyperlink" Target="http://newsericks.com/tag/Bush-tax-cuts/" TargetMode="External"/><Relationship Id="rId33" Type="http://schemas.openxmlformats.org/officeDocument/2006/relationships/hyperlink" Target="http://romneyresponse.tumblr.com/post/28561244348/romney-senior-adviser-eric-fehrnstrom-weighs-in-on" TargetMode="External"/><Relationship Id="rId38" Type="http://schemas.openxmlformats.org/officeDocument/2006/relationships/table" Target="../tables/table14.xml"/><Relationship Id="rId2" Type="http://schemas.openxmlformats.org/officeDocument/2006/relationships/hyperlink" Target="http://www.buzzfeed.com/zekejmiller/romney-campaign-obama-campaign-manager-apparently" TargetMode="External"/><Relationship Id="rId16" Type="http://schemas.openxmlformats.org/officeDocument/2006/relationships/hyperlink" Target="http://www.washingtontimes.com/blog/inside-politics/2012/aug/2/romney-adviser-reid-have-you-no-sense-decency/" TargetMode="External"/><Relationship Id="rId20" Type="http://schemas.openxmlformats.org/officeDocument/2006/relationships/hyperlink" Target="http://www.youtube.com/watch?v=d1kCT62p95o&amp;feature=youtu.be" TargetMode="External"/><Relationship Id="rId29" Type="http://schemas.openxmlformats.org/officeDocument/2006/relationships/hyperlink" Target="http://2012.talkingpointsmemo.com/2012/08/eric-fehrnstom-harry-reid-joesph-mccarthy.php?ref=fpnewsfeed" TargetMode="External"/><Relationship Id="rId41" Type="http://schemas.openxmlformats.org/officeDocument/2006/relationships/table" Target="../tables/table17.xml"/><Relationship Id="rId1" Type="http://schemas.openxmlformats.org/officeDocument/2006/relationships/hyperlink" Target="http://romneyresponse.tumblr.com/post/28561244348/romney-senior-adviser-eric-fehrnstrom-weighs-in-on" TargetMode="External"/><Relationship Id="rId6" Type="http://schemas.openxmlformats.org/officeDocument/2006/relationships/hyperlink" Target="http://www.youtube.com/watch?v=d1kCT62p95o" TargetMode="External"/><Relationship Id="rId11" Type="http://schemas.openxmlformats.org/officeDocument/2006/relationships/hyperlink" Target="http://romneyresponse.tumblr.com/post/28561244348/romney-senior-adviser-eric-fehrnstrom-weighs-in-on" TargetMode="External"/><Relationship Id="rId24" Type="http://schemas.openxmlformats.org/officeDocument/2006/relationships/hyperlink" Target="http://siouxcityjournal.com/news/state-and-regional/article_c812a7d7-0cc3-50f1-a7c3-44a8fab4af10.html" TargetMode="External"/><Relationship Id="rId32" Type="http://schemas.openxmlformats.org/officeDocument/2006/relationships/hyperlink" Target="http://www.buzzfeed.com/zekejmiller/romney-campaign-obama-campaign-manager-apparently" TargetMode="External"/><Relationship Id="rId37" Type="http://schemas.openxmlformats.org/officeDocument/2006/relationships/hyperlink" Target="http://news.bostonherald.com/business/general/view/20120727house_votes_to_postpone_irs_rule_on_foreign_deposits_in_us_banks/srvc=home&amp;position=recent" TargetMode="External"/><Relationship Id="rId40" Type="http://schemas.openxmlformats.org/officeDocument/2006/relationships/table" Target="../tables/table16.xml"/><Relationship Id="rId5" Type="http://schemas.openxmlformats.org/officeDocument/2006/relationships/hyperlink" Target="http://www.westernjournalism.com/exclusive-investigative-reports/harry-reids-dirty-laundry/" TargetMode="External"/><Relationship Id="rId15" Type="http://schemas.openxmlformats.org/officeDocument/2006/relationships/hyperlink" Target="http://thehill.com/blogs/blog-briefing-room/news/241995-dccc-apologizes-to-adelson-over-chinese-prostitution-money-comments" TargetMode="External"/><Relationship Id="rId23" Type="http://schemas.openxmlformats.org/officeDocument/2006/relationships/hyperlink" Target="http://politics.foxnews.mobi/quickPage.html?page=23888&amp;content=77479652&amp;pageNum=-1" TargetMode="External"/><Relationship Id="rId28" Type="http://schemas.openxmlformats.org/officeDocument/2006/relationships/hyperlink" Target="http://www.huffingtonpost.com/2012/08/02/eric-fehrnstrom-harry-reid-romney-taxes_n_1733085.html?utm_hp_ref=tw" TargetMode="External"/><Relationship Id="rId36" Type="http://schemas.openxmlformats.org/officeDocument/2006/relationships/hyperlink" Target="http://www.repealfatca.com/downloads/letter.pdf" TargetMode="External"/><Relationship Id="rId10" Type="http://schemas.openxmlformats.org/officeDocument/2006/relationships/hyperlink" Target="http://abcnews.go.com/blogs/politics/2012/08/romneys-kiss-my-spokesman-takes-time-off-campaign-trail/?utm_source=twitterfeed&amp;utm_medium=twitter" TargetMode="External"/><Relationship Id="rId19" Type="http://schemas.openxmlformats.org/officeDocument/2006/relationships/hyperlink" Target="http://www.youtube.com/watch?v=Z2sySORDLjo" TargetMode="External"/><Relationship Id="rId31" Type="http://schemas.openxmlformats.org/officeDocument/2006/relationships/hyperlink" Target="http://bluemassgroup.com/2011/08/brown-2012-strateg/" TargetMode="External"/><Relationship Id="rId44" Type="http://schemas.openxmlformats.org/officeDocument/2006/relationships/table" Target="../tables/table20.xml"/><Relationship Id="rId4" Type="http://schemas.openxmlformats.org/officeDocument/2006/relationships/hyperlink" Target="http://www.dailykos.com/story/2012/08/02/1116041/-CNN-Romney-Violating-Federal-Laws-Coordinating-With-Karl-Rove" TargetMode="External"/><Relationship Id="rId9" Type="http://schemas.openxmlformats.org/officeDocument/2006/relationships/hyperlink" Target="http://2012.talkingpointsmemo.com/2012/08/eric-fehrnstom-harry-reid-joesph-mccarthy.php?ref=fpnewsfeed" TargetMode="External"/><Relationship Id="rId14" Type="http://schemas.openxmlformats.org/officeDocument/2006/relationships/hyperlink" Target="http://freebeacon.com/government-motors-spends-600m-on-uk-soccer-promo/" TargetMode="External"/><Relationship Id="rId22" Type="http://schemas.openxmlformats.org/officeDocument/2006/relationships/hyperlink" Target="http://www.huffingtonpost.com/2012/08/02/eric-fehrnstrom-harry-reid-romney-taxes_n_1733085.html" TargetMode="External"/><Relationship Id="rId27" Type="http://schemas.openxmlformats.org/officeDocument/2006/relationships/hyperlink" Target="http://abcnews.go.com/Politics/OTUS/mitt-romney-move-emboldened-tea-party/story?id=16906367" TargetMode="External"/><Relationship Id="rId30" Type="http://schemas.openxmlformats.org/officeDocument/2006/relationships/hyperlink" Target="http://www.youtube.com/watch?v=Z2sySORDLjo" TargetMode="External"/><Relationship Id="rId35" Type="http://schemas.openxmlformats.org/officeDocument/2006/relationships/hyperlink" Target="http://www.gotchamediablog.com/2012/08/fox-news-eric-fehrnstrom-thinks-hes.html" TargetMode="External"/><Relationship Id="rId43"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Y1207"/>
  <sheetViews>
    <sheetView workbookViewId="0">
      <pane xSplit="2" ySplit="2" topLeftCell="C3" activePane="bottomRight" state="frozen"/>
      <selection pane="topRight" activeCell="C1" sqref="C1"/>
      <selection pane="bottomLeft" activeCell="A3" sqref="A3"/>
      <selection pane="bottomRight" activeCell="A3" sqref="A3"/>
    </sheetView>
  </sheetViews>
  <sheetFormatPr defaultRowHeight="15" x14ac:dyDescent="0.25"/>
  <cols>
    <col min="1" max="2" width="10.42578125" style="1" customWidth="1"/>
    <col min="3" max="3" width="7.85546875" style="3" hidden="1" customWidth="1"/>
    <col min="4" max="4" width="8.7109375" style="2" hidden="1" customWidth="1"/>
    <col min="5" max="5" width="7.7109375" style="2" hidden="1" customWidth="1"/>
    <col min="6" max="6" width="9.85546875" style="2" hidden="1" customWidth="1"/>
    <col min="7" max="7" width="11" style="3" hidden="1" customWidth="1"/>
    <col min="8" max="8" width="8" style="1" hidden="1" customWidth="1"/>
    <col min="9" max="9" width="12.28515625" style="3" hidden="1" customWidth="1"/>
    <col min="10" max="10" width="12.42578125" style="3" hidden="1" customWidth="1"/>
    <col min="11" max="11" width="15.5703125" style="3" customWidth="1"/>
    <col min="12" max="12" width="11" hidden="1" customWidth="1"/>
    <col min="13" max="13" width="10.85546875" hidden="1" customWidth="1"/>
    <col min="14" max="14" width="16" bestFit="1" customWidth="1"/>
    <col min="15" max="15" width="12.5703125" bestFit="1" customWidth="1"/>
    <col min="16" max="16" width="14.28515625" bestFit="1" customWidth="1"/>
    <col min="17" max="17" width="8.7109375" bestFit="1" customWidth="1"/>
    <col min="18" max="18" width="9.42578125" bestFit="1" customWidth="1"/>
    <col min="19" max="19" width="13.140625" bestFit="1" customWidth="1"/>
    <col min="20" max="20" width="13.28515625" bestFit="1" customWidth="1"/>
    <col min="21" max="21" width="14.28515625" bestFit="1" customWidth="1"/>
    <col min="22" max="22" width="10.42578125" bestFit="1" customWidth="1"/>
    <col min="23" max="23" width="12" bestFit="1" customWidth="1"/>
    <col min="24" max="24" width="11.42578125" bestFit="1" customWidth="1"/>
    <col min="25" max="25" width="14.42578125" customWidth="1"/>
  </cols>
  <sheetData>
    <row r="1" spans="1:25" x14ac:dyDescent="0.25">
      <c r="C1" s="16" t="s">
        <v>38</v>
      </c>
      <c r="D1" s="17"/>
      <c r="E1" s="17"/>
      <c r="F1" s="17"/>
      <c r="G1" s="16"/>
      <c r="H1" s="14" t="s">
        <v>42</v>
      </c>
      <c r="I1" s="50"/>
      <c r="J1" s="50"/>
      <c r="K1" s="33" t="s">
        <v>41</v>
      </c>
      <c r="L1" s="18" t="s">
        <v>39</v>
      </c>
      <c r="M1" s="18"/>
      <c r="N1" s="15" t="s">
        <v>40</v>
      </c>
    </row>
    <row r="2" spans="1:25" ht="30" customHeight="1" x14ac:dyDescent="0.25">
      <c r="A2" s="11" t="s">
        <v>0</v>
      </c>
      <c r="B2" s="11" t="s">
        <v>1</v>
      </c>
      <c r="C2" s="13" t="s">
        <v>2</v>
      </c>
      <c r="D2" s="13" t="s">
        <v>3</v>
      </c>
      <c r="E2" s="13" t="s">
        <v>129</v>
      </c>
      <c r="F2" s="13" t="s">
        <v>4</v>
      </c>
      <c r="G2" s="13" t="s">
        <v>11</v>
      </c>
      <c r="H2" s="11" t="s">
        <v>45</v>
      </c>
      <c r="I2" s="13" t="s">
        <v>159</v>
      </c>
      <c r="J2" s="13" t="s">
        <v>160</v>
      </c>
      <c r="K2" s="13" t="s">
        <v>164</v>
      </c>
      <c r="L2" s="13" t="s">
        <v>12</v>
      </c>
      <c r="M2" s="13" t="s">
        <v>37</v>
      </c>
      <c r="N2" s="13" t="s">
        <v>26</v>
      </c>
      <c r="O2" s="13" t="s">
        <v>178</v>
      </c>
      <c r="P2" s="13" t="s">
        <v>179</v>
      </c>
      <c r="Q2" s="13" t="s">
        <v>180</v>
      </c>
      <c r="R2" s="13" t="s">
        <v>181</v>
      </c>
      <c r="S2" s="13" t="s">
        <v>182</v>
      </c>
      <c r="T2" s="13" t="s">
        <v>183</v>
      </c>
      <c r="U2" s="13" t="s">
        <v>184</v>
      </c>
      <c r="V2" s="13" t="s">
        <v>185</v>
      </c>
      <c r="W2" s="13" t="s">
        <v>186</v>
      </c>
      <c r="X2" s="13" t="s">
        <v>187</v>
      </c>
      <c r="Y2" t="s">
        <v>2211</v>
      </c>
    </row>
    <row r="3" spans="1:25" ht="15" customHeight="1" x14ac:dyDescent="0.25">
      <c r="A3" s="62" t="s">
        <v>188</v>
      </c>
      <c r="B3" s="62" t="s">
        <v>188</v>
      </c>
      <c r="C3" s="63" t="s">
        <v>2219</v>
      </c>
      <c r="D3" s="64">
        <v>1</v>
      </c>
      <c r="E3" s="65"/>
      <c r="F3" s="66">
        <v>100</v>
      </c>
      <c r="G3" s="63"/>
      <c r="H3" s="67"/>
      <c r="I3" s="68"/>
      <c r="J3" s="68"/>
      <c r="K3" s="34" t="s">
        <v>64</v>
      </c>
      <c r="L3" s="69">
        <v>3</v>
      </c>
      <c r="M3" s="69"/>
      <c r="N3" s="70"/>
      <c r="O3" s="76" t="s">
        <v>180</v>
      </c>
      <c r="P3" s="78">
        <v>41123.652928240743</v>
      </c>
      <c r="Q3" s="76" t="s">
        <v>383</v>
      </c>
      <c r="R3" s="80" t="s">
        <v>608</v>
      </c>
      <c r="S3" s="76"/>
      <c r="T3" s="78">
        <v>41123.652928240743</v>
      </c>
      <c r="U3" s="80" t="s">
        <v>666</v>
      </c>
      <c r="V3" s="76"/>
      <c r="W3" s="76"/>
      <c r="X3" s="83" t="s">
        <v>963</v>
      </c>
      <c r="Y3" s="82">
        <v>1</v>
      </c>
    </row>
    <row r="4" spans="1:25" ht="15" customHeight="1" x14ac:dyDescent="0.25">
      <c r="A4" s="62" t="s">
        <v>189</v>
      </c>
      <c r="B4" s="62" t="s">
        <v>189</v>
      </c>
      <c r="C4" s="63" t="s">
        <v>2219</v>
      </c>
      <c r="D4" s="64">
        <v>1.5</v>
      </c>
      <c r="E4" s="65"/>
      <c r="F4" s="66">
        <v>97.777777777777771</v>
      </c>
      <c r="G4" s="63"/>
      <c r="H4" s="67"/>
      <c r="I4" s="68"/>
      <c r="J4" s="68"/>
      <c r="K4" s="34" t="s">
        <v>64</v>
      </c>
      <c r="L4" s="75">
        <v>4</v>
      </c>
      <c r="M4" s="75"/>
      <c r="N4" s="70"/>
      <c r="O4" s="77" t="s">
        <v>180</v>
      </c>
      <c r="P4" s="79">
        <v>41123.660682870373</v>
      </c>
      <c r="Q4" s="77" t="s">
        <v>384</v>
      </c>
      <c r="R4" s="77"/>
      <c r="S4" s="77"/>
      <c r="T4" s="79">
        <v>41123.660682870373</v>
      </c>
      <c r="U4" s="81" t="s">
        <v>667</v>
      </c>
      <c r="V4" s="77"/>
      <c r="W4" s="77"/>
      <c r="X4" s="84" t="s">
        <v>964</v>
      </c>
      <c r="Y4" s="82">
        <v>2</v>
      </c>
    </row>
    <row r="5" spans="1:25" x14ac:dyDescent="0.25">
      <c r="A5" s="62" t="s">
        <v>189</v>
      </c>
      <c r="B5" s="62" t="s">
        <v>189</v>
      </c>
      <c r="C5" s="63" t="s">
        <v>2219</v>
      </c>
      <c r="D5" s="64">
        <v>1.5</v>
      </c>
      <c r="E5" s="65"/>
      <c r="F5" s="66">
        <v>97.777777777777771</v>
      </c>
      <c r="G5" s="63"/>
      <c r="H5" s="67"/>
      <c r="I5" s="68"/>
      <c r="J5" s="68"/>
      <c r="K5" s="34" t="s">
        <v>64</v>
      </c>
      <c r="L5" s="75">
        <v>5</v>
      </c>
      <c r="M5" s="75"/>
      <c r="N5" s="70"/>
      <c r="O5" s="77" t="s">
        <v>180</v>
      </c>
      <c r="P5" s="79">
        <v>41123.663784722223</v>
      </c>
      <c r="Q5" s="77" t="s">
        <v>385</v>
      </c>
      <c r="R5" s="77"/>
      <c r="S5" s="77"/>
      <c r="T5" s="79">
        <v>41123.663784722223</v>
      </c>
      <c r="U5" s="81" t="s">
        <v>668</v>
      </c>
      <c r="V5" s="77"/>
      <c r="W5" s="77"/>
      <c r="X5" s="84" t="s">
        <v>965</v>
      </c>
      <c r="Y5" s="82">
        <v>2</v>
      </c>
    </row>
    <row r="6" spans="1:25" x14ac:dyDescent="0.25">
      <c r="A6" s="62" t="s">
        <v>190</v>
      </c>
      <c r="B6" s="62" t="s">
        <v>190</v>
      </c>
      <c r="C6" s="63" t="s">
        <v>2219</v>
      </c>
      <c r="D6" s="64">
        <v>1</v>
      </c>
      <c r="E6" s="65"/>
      <c r="F6" s="66">
        <v>100</v>
      </c>
      <c r="G6" s="63"/>
      <c r="H6" s="67"/>
      <c r="I6" s="68"/>
      <c r="J6" s="68"/>
      <c r="K6" s="34" t="s">
        <v>64</v>
      </c>
      <c r="L6" s="75">
        <v>6</v>
      </c>
      <c r="M6" s="75"/>
      <c r="N6" s="70"/>
      <c r="O6" s="77" t="s">
        <v>180</v>
      </c>
      <c r="P6" s="79">
        <v>41123.666122685187</v>
      </c>
      <c r="Q6" s="77" t="s">
        <v>386</v>
      </c>
      <c r="R6" s="81" t="s">
        <v>609</v>
      </c>
      <c r="S6" s="77" t="s">
        <v>632</v>
      </c>
      <c r="T6" s="79">
        <v>41123.666122685187</v>
      </c>
      <c r="U6" s="81" t="s">
        <v>669</v>
      </c>
      <c r="V6" s="77"/>
      <c r="W6" s="77"/>
      <c r="X6" s="84" t="s">
        <v>966</v>
      </c>
      <c r="Y6" s="82">
        <v>1</v>
      </c>
    </row>
    <row r="7" spans="1:25" x14ac:dyDescent="0.25">
      <c r="A7" s="62" t="s">
        <v>191</v>
      </c>
      <c r="B7" s="62" t="s">
        <v>191</v>
      </c>
      <c r="C7" s="63" t="s">
        <v>2219</v>
      </c>
      <c r="D7" s="64">
        <v>1</v>
      </c>
      <c r="E7" s="65"/>
      <c r="F7" s="66">
        <v>100</v>
      </c>
      <c r="G7" s="63"/>
      <c r="H7" s="67"/>
      <c r="I7" s="68"/>
      <c r="J7" s="68"/>
      <c r="K7" s="34" t="s">
        <v>64</v>
      </c>
      <c r="L7" s="75">
        <v>7</v>
      </c>
      <c r="M7" s="75"/>
      <c r="N7" s="70"/>
      <c r="O7" s="77" t="s">
        <v>180</v>
      </c>
      <c r="P7" s="79">
        <v>41123.684004629627</v>
      </c>
      <c r="Q7" s="77" t="s">
        <v>387</v>
      </c>
      <c r="R7" s="77"/>
      <c r="S7" s="77"/>
      <c r="T7" s="79">
        <v>41123.684004629627</v>
      </c>
      <c r="U7" s="81" t="s">
        <v>670</v>
      </c>
      <c r="V7" s="77"/>
      <c r="W7" s="77"/>
      <c r="X7" s="84" t="s">
        <v>967</v>
      </c>
      <c r="Y7" s="82">
        <v>1</v>
      </c>
    </row>
    <row r="8" spans="1:25" x14ac:dyDescent="0.25">
      <c r="A8" s="62" t="s">
        <v>192</v>
      </c>
      <c r="B8" s="62" t="s">
        <v>192</v>
      </c>
      <c r="C8" s="63" t="s">
        <v>2219</v>
      </c>
      <c r="D8" s="64">
        <v>1</v>
      </c>
      <c r="E8" s="65"/>
      <c r="F8" s="66">
        <v>100</v>
      </c>
      <c r="G8" s="63"/>
      <c r="H8" s="67"/>
      <c r="I8" s="68"/>
      <c r="J8" s="68"/>
      <c r="K8" s="34" t="s">
        <v>64</v>
      </c>
      <c r="L8" s="75">
        <v>8</v>
      </c>
      <c r="M8" s="75"/>
      <c r="N8" s="70"/>
      <c r="O8" s="77" t="s">
        <v>180</v>
      </c>
      <c r="P8" s="79">
        <v>41123.695636574077</v>
      </c>
      <c r="Q8" s="77" t="s">
        <v>388</v>
      </c>
      <c r="R8" s="77"/>
      <c r="S8" s="77"/>
      <c r="T8" s="79">
        <v>41123.695636574077</v>
      </c>
      <c r="U8" s="81" t="s">
        <v>671</v>
      </c>
      <c r="V8" s="77"/>
      <c r="W8" s="77"/>
      <c r="X8" s="84" t="s">
        <v>968</v>
      </c>
      <c r="Y8" s="82">
        <v>1</v>
      </c>
    </row>
    <row r="9" spans="1:25" x14ac:dyDescent="0.25">
      <c r="A9" s="62" t="s">
        <v>193</v>
      </c>
      <c r="B9" s="62" t="s">
        <v>193</v>
      </c>
      <c r="C9" s="63" t="s">
        <v>2219</v>
      </c>
      <c r="D9" s="64">
        <v>1</v>
      </c>
      <c r="E9" s="65"/>
      <c r="F9" s="66">
        <v>100</v>
      </c>
      <c r="G9" s="63"/>
      <c r="H9" s="67"/>
      <c r="I9" s="68"/>
      <c r="J9" s="68"/>
      <c r="K9" s="34" t="s">
        <v>64</v>
      </c>
      <c r="L9" s="75">
        <v>9</v>
      </c>
      <c r="M9" s="75"/>
      <c r="N9" s="70"/>
      <c r="O9" s="77" t="s">
        <v>180</v>
      </c>
      <c r="P9" s="79">
        <v>41123.710578703707</v>
      </c>
      <c r="Q9" s="77" t="s">
        <v>389</v>
      </c>
      <c r="R9" s="77"/>
      <c r="S9" s="77" t="s">
        <v>633</v>
      </c>
      <c r="T9" s="79">
        <v>41123.710578703707</v>
      </c>
      <c r="U9" s="81" t="s">
        <v>672</v>
      </c>
      <c r="V9" s="77"/>
      <c r="W9" s="77"/>
      <c r="X9" s="84" t="s">
        <v>969</v>
      </c>
      <c r="Y9" s="82">
        <v>1</v>
      </c>
    </row>
    <row r="10" spans="1:25" x14ac:dyDescent="0.25">
      <c r="A10" s="62" t="s">
        <v>194</v>
      </c>
      <c r="B10" s="62" t="s">
        <v>194</v>
      </c>
      <c r="C10" s="63" t="s">
        <v>2219</v>
      </c>
      <c r="D10" s="64">
        <v>2.5</v>
      </c>
      <c r="E10" s="65"/>
      <c r="F10" s="66">
        <v>93.333333333333329</v>
      </c>
      <c r="G10" s="63"/>
      <c r="H10" s="67"/>
      <c r="I10" s="68"/>
      <c r="J10" s="68"/>
      <c r="K10" s="34" t="s">
        <v>64</v>
      </c>
      <c r="L10" s="75">
        <v>10</v>
      </c>
      <c r="M10" s="75"/>
      <c r="N10" s="70"/>
      <c r="O10" s="77" t="s">
        <v>180</v>
      </c>
      <c r="P10" s="79">
        <v>41123.696030092593</v>
      </c>
      <c r="Q10" s="77" t="s">
        <v>390</v>
      </c>
      <c r="R10" s="77"/>
      <c r="S10" s="77"/>
      <c r="T10" s="79">
        <v>41123.696030092593</v>
      </c>
      <c r="U10" s="81" t="s">
        <v>673</v>
      </c>
      <c r="V10" s="77"/>
      <c r="W10" s="77"/>
      <c r="X10" s="84" t="s">
        <v>970</v>
      </c>
      <c r="Y10" s="82">
        <v>4</v>
      </c>
    </row>
    <row r="11" spans="1:25" x14ac:dyDescent="0.25">
      <c r="A11" s="62" t="s">
        <v>194</v>
      </c>
      <c r="B11" s="62" t="s">
        <v>194</v>
      </c>
      <c r="C11" s="63" t="s">
        <v>2219</v>
      </c>
      <c r="D11" s="64">
        <v>2.5</v>
      </c>
      <c r="E11" s="65"/>
      <c r="F11" s="66">
        <v>93.333333333333329</v>
      </c>
      <c r="G11" s="63"/>
      <c r="H11" s="67"/>
      <c r="I11" s="68"/>
      <c r="J11" s="68"/>
      <c r="K11" s="34" t="s">
        <v>64</v>
      </c>
      <c r="L11" s="75">
        <v>11</v>
      </c>
      <c r="M11" s="75"/>
      <c r="N11" s="70"/>
      <c r="O11" s="77" t="s">
        <v>180</v>
      </c>
      <c r="P11" s="79">
        <v>41123.715868055559</v>
      </c>
      <c r="Q11" s="77" t="s">
        <v>391</v>
      </c>
      <c r="R11" s="77"/>
      <c r="S11" s="77"/>
      <c r="T11" s="79">
        <v>41123.715868055559</v>
      </c>
      <c r="U11" s="81" t="s">
        <v>674</v>
      </c>
      <c r="V11" s="77"/>
      <c r="W11" s="77"/>
      <c r="X11" s="84" t="s">
        <v>971</v>
      </c>
      <c r="Y11" s="82">
        <v>4</v>
      </c>
    </row>
    <row r="12" spans="1:25" x14ac:dyDescent="0.25">
      <c r="A12" s="62" t="s">
        <v>194</v>
      </c>
      <c r="B12" s="62" t="s">
        <v>194</v>
      </c>
      <c r="C12" s="63" t="s">
        <v>2219</v>
      </c>
      <c r="D12" s="64">
        <v>2.5</v>
      </c>
      <c r="E12" s="65"/>
      <c r="F12" s="66">
        <v>93.333333333333329</v>
      </c>
      <c r="G12" s="63"/>
      <c r="H12" s="67"/>
      <c r="I12" s="68"/>
      <c r="J12" s="68"/>
      <c r="K12" s="34" t="s">
        <v>64</v>
      </c>
      <c r="L12" s="75">
        <v>12</v>
      </c>
      <c r="M12" s="75"/>
      <c r="N12" s="70"/>
      <c r="O12" s="77" t="s">
        <v>180</v>
      </c>
      <c r="P12" s="79">
        <v>41123.733414351853</v>
      </c>
      <c r="Q12" s="77" t="s">
        <v>392</v>
      </c>
      <c r="R12" s="77"/>
      <c r="S12" s="77"/>
      <c r="T12" s="79">
        <v>41123.733414351853</v>
      </c>
      <c r="U12" s="81" t="s">
        <v>675</v>
      </c>
      <c r="V12" s="77"/>
      <c r="W12" s="77"/>
      <c r="X12" s="84" t="s">
        <v>972</v>
      </c>
      <c r="Y12" s="82">
        <v>4</v>
      </c>
    </row>
    <row r="13" spans="1:25" x14ac:dyDescent="0.25">
      <c r="A13" s="62" t="s">
        <v>194</v>
      </c>
      <c r="B13" s="62" t="s">
        <v>194</v>
      </c>
      <c r="C13" s="63" t="s">
        <v>2219</v>
      </c>
      <c r="D13" s="64">
        <v>2.5</v>
      </c>
      <c r="E13" s="65"/>
      <c r="F13" s="66">
        <v>93.333333333333329</v>
      </c>
      <c r="G13" s="63"/>
      <c r="H13" s="67"/>
      <c r="I13" s="68"/>
      <c r="J13" s="68"/>
      <c r="K13" s="34" t="s">
        <v>64</v>
      </c>
      <c r="L13" s="75">
        <v>13</v>
      </c>
      <c r="M13" s="75"/>
      <c r="N13" s="70"/>
      <c r="O13" s="77" t="s">
        <v>180</v>
      </c>
      <c r="P13" s="79">
        <v>41123.733981481484</v>
      </c>
      <c r="Q13" s="77" t="s">
        <v>393</v>
      </c>
      <c r="R13" s="77"/>
      <c r="S13" s="77"/>
      <c r="T13" s="79">
        <v>41123.733981481484</v>
      </c>
      <c r="U13" s="81" t="s">
        <v>676</v>
      </c>
      <c r="V13" s="77"/>
      <c r="W13" s="77"/>
      <c r="X13" s="84" t="s">
        <v>973</v>
      </c>
      <c r="Y13" s="82">
        <v>4</v>
      </c>
    </row>
    <row r="14" spans="1:25" x14ac:dyDescent="0.25">
      <c r="A14" s="62" t="s">
        <v>195</v>
      </c>
      <c r="B14" s="62" t="s">
        <v>194</v>
      </c>
      <c r="C14" s="63" t="s">
        <v>2220</v>
      </c>
      <c r="D14" s="64">
        <v>2.5</v>
      </c>
      <c r="E14" s="65"/>
      <c r="F14" s="66">
        <v>93.333333333333329</v>
      </c>
      <c r="G14" s="63"/>
      <c r="H14" s="67"/>
      <c r="I14" s="68"/>
      <c r="J14" s="68"/>
      <c r="K14" s="34" t="s">
        <v>64</v>
      </c>
      <c r="L14" s="75">
        <v>14</v>
      </c>
      <c r="M14" s="75"/>
      <c r="N14" s="70"/>
      <c r="O14" s="77" t="s">
        <v>380</v>
      </c>
      <c r="P14" s="79">
        <v>41123.713854166665</v>
      </c>
      <c r="Q14" s="77" t="s">
        <v>394</v>
      </c>
      <c r="R14" s="77"/>
      <c r="S14" s="77"/>
      <c r="T14" s="79">
        <v>41123.713854166665</v>
      </c>
      <c r="U14" s="81" t="s">
        <v>677</v>
      </c>
      <c r="V14" s="77"/>
      <c r="W14" s="77"/>
      <c r="X14" s="84" t="s">
        <v>974</v>
      </c>
      <c r="Y14" s="82">
        <v>4</v>
      </c>
    </row>
    <row r="15" spans="1:25" x14ac:dyDescent="0.25">
      <c r="A15" s="62" t="s">
        <v>195</v>
      </c>
      <c r="B15" s="62" t="s">
        <v>194</v>
      </c>
      <c r="C15" s="63" t="s">
        <v>2220</v>
      </c>
      <c r="D15" s="64">
        <v>2.5</v>
      </c>
      <c r="E15" s="65"/>
      <c r="F15" s="66">
        <v>93.333333333333329</v>
      </c>
      <c r="G15" s="63"/>
      <c r="H15" s="67"/>
      <c r="I15" s="68"/>
      <c r="J15" s="68"/>
      <c r="K15" s="34" t="s">
        <v>64</v>
      </c>
      <c r="L15" s="75">
        <v>15</v>
      </c>
      <c r="M15" s="75"/>
      <c r="N15" s="70"/>
      <c r="O15" s="77" t="s">
        <v>380</v>
      </c>
      <c r="P15" s="79">
        <v>41123.730821759258</v>
      </c>
      <c r="Q15" s="77" t="s">
        <v>395</v>
      </c>
      <c r="R15" s="77" t="s">
        <v>610</v>
      </c>
      <c r="S15" s="77"/>
      <c r="T15" s="79">
        <v>41123.730821759258</v>
      </c>
      <c r="U15" s="81" t="s">
        <v>678</v>
      </c>
      <c r="V15" s="77"/>
      <c r="W15" s="77"/>
      <c r="X15" s="84" t="s">
        <v>975</v>
      </c>
      <c r="Y15" s="82">
        <v>4</v>
      </c>
    </row>
    <row r="16" spans="1:25" x14ac:dyDescent="0.25">
      <c r="A16" s="62" t="s">
        <v>195</v>
      </c>
      <c r="B16" s="62" t="s">
        <v>194</v>
      </c>
      <c r="C16" s="63" t="s">
        <v>2220</v>
      </c>
      <c r="D16" s="64">
        <v>2.5</v>
      </c>
      <c r="E16" s="65"/>
      <c r="F16" s="66">
        <v>93.333333333333329</v>
      </c>
      <c r="G16" s="63"/>
      <c r="H16" s="67"/>
      <c r="I16" s="68"/>
      <c r="J16" s="68"/>
      <c r="K16" s="34" t="s">
        <v>64</v>
      </c>
      <c r="L16" s="75">
        <v>16</v>
      </c>
      <c r="M16" s="75"/>
      <c r="N16" s="70"/>
      <c r="O16" s="77" t="s">
        <v>380</v>
      </c>
      <c r="P16" s="79">
        <v>41123.732106481482</v>
      </c>
      <c r="Q16" s="77" t="s">
        <v>396</v>
      </c>
      <c r="R16" s="77"/>
      <c r="S16" s="77"/>
      <c r="T16" s="79">
        <v>41123.732106481482</v>
      </c>
      <c r="U16" s="81" t="s">
        <v>679</v>
      </c>
      <c r="V16" s="77"/>
      <c r="W16" s="77"/>
      <c r="X16" s="84" t="s">
        <v>976</v>
      </c>
      <c r="Y16" s="82">
        <v>4</v>
      </c>
    </row>
    <row r="17" spans="1:25" x14ac:dyDescent="0.25">
      <c r="A17" s="62" t="s">
        <v>195</v>
      </c>
      <c r="B17" s="62" t="s">
        <v>194</v>
      </c>
      <c r="C17" s="63" t="s">
        <v>2220</v>
      </c>
      <c r="D17" s="64">
        <v>2.5</v>
      </c>
      <c r="E17" s="65"/>
      <c r="F17" s="66">
        <v>93.333333333333329</v>
      </c>
      <c r="G17" s="63"/>
      <c r="H17" s="67"/>
      <c r="I17" s="68"/>
      <c r="J17" s="68"/>
      <c r="K17" s="34" t="s">
        <v>64</v>
      </c>
      <c r="L17" s="75">
        <v>17</v>
      </c>
      <c r="M17" s="75"/>
      <c r="N17" s="70"/>
      <c r="O17" s="77" t="s">
        <v>380</v>
      </c>
      <c r="P17" s="79">
        <v>41123.736006944448</v>
      </c>
      <c r="Q17" s="77" t="s">
        <v>397</v>
      </c>
      <c r="R17" s="77"/>
      <c r="S17" s="77"/>
      <c r="T17" s="79">
        <v>41123.736006944448</v>
      </c>
      <c r="U17" s="81" t="s">
        <v>680</v>
      </c>
      <c r="V17" s="77"/>
      <c r="W17" s="77"/>
      <c r="X17" s="84" t="s">
        <v>977</v>
      </c>
      <c r="Y17" s="82">
        <v>4</v>
      </c>
    </row>
    <row r="18" spans="1:25" x14ac:dyDescent="0.25">
      <c r="A18" s="62" t="s">
        <v>196</v>
      </c>
      <c r="B18" s="62" t="s">
        <v>196</v>
      </c>
      <c r="C18" s="63" t="s">
        <v>2219</v>
      </c>
      <c r="D18" s="64">
        <v>1</v>
      </c>
      <c r="E18" s="65"/>
      <c r="F18" s="66">
        <v>100</v>
      </c>
      <c r="G18" s="63"/>
      <c r="H18" s="67"/>
      <c r="I18" s="68"/>
      <c r="J18" s="68"/>
      <c r="K18" s="34" t="s">
        <v>64</v>
      </c>
      <c r="L18" s="75">
        <v>18</v>
      </c>
      <c r="M18" s="75"/>
      <c r="N18" s="70"/>
      <c r="O18" s="77" t="s">
        <v>180</v>
      </c>
      <c r="P18" s="79">
        <v>41123.741666666669</v>
      </c>
      <c r="Q18" s="77" t="s">
        <v>398</v>
      </c>
      <c r="R18" s="81" t="s">
        <v>611</v>
      </c>
      <c r="S18" s="77"/>
      <c r="T18" s="79">
        <v>41123.741666666669</v>
      </c>
      <c r="U18" s="81" t="s">
        <v>681</v>
      </c>
      <c r="V18" s="77"/>
      <c r="W18" s="77"/>
      <c r="X18" s="84" t="s">
        <v>978</v>
      </c>
      <c r="Y18" s="82">
        <v>1</v>
      </c>
    </row>
    <row r="19" spans="1:25" x14ac:dyDescent="0.25">
      <c r="A19" s="62" t="s">
        <v>197</v>
      </c>
      <c r="B19" s="62" t="s">
        <v>197</v>
      </c>
      <c r="C19" s="63" t="s">
        <v>2219</v>
      </c>
      <c r="D19" s="64">
        <v>1</v>
      </c>
      <c r="E19" s="65"/>
      <c r="F19" s="66">
        <v>100</v>
      </c>
      <c r="G19" s="63"/>
      <c r="H19" s="67"/>
      <c r="I19" s="68"/>
      <c r="J19" s="68"/>
      <c r="K19" s="34" t="s">
        <v>64</v>
      </c>
      <c r="L19" s="75">
        <v>19</v>
      </c>
      <c r="M19" s="75"/>
      <c r="N19" s="70"/>
      <c r="O19" s="77" t="s">
        <v>180</v>
      </c>
      <c r="P19" s="79">
        <v>41123.765486111108</v>
      </c>
      <c r="Q19" s="77" t="s">
        <v>399</v>
      </c>
      <c r="R19" s="77"/>
      <c r="S19" s="77" t="s">
        <v>634</v>
      </c>
      <c r="T19" s="79">
        <v>41123.765486111108</v>
      </c>
      <c r="U19" s="81" t="s">
        <v>682</v>
      </c>
      <c r="V19" s="77"/>
      <c r="W19" s="77"/>
      <c r="X19" s="84" t="s">
        <v>979</v>
      </c>
      <c r="Y19" s="82">
        <v>1</v>
      </c>
    </row>
    <row r="20" spans="1:25" x14ac:dyDescent="0.25">
      <c r="A20" s="62" t="s">
        <v>198</v>
      </c>
      <c r="B20" s="62" t="s">
        <v>198</v>
      </c>
      <c r="C20" s="63" t="s">
        <v>2219</v>
      </c>
      <c r="D20" s="64">
        <v>1.5</v>
      </c>
      <c r="E20" s="65"/>
      <c r="F20" s="66">
        <v>97.777777777777771</v>
      </c>
      <c r="G20" s="63"/>
      <c r="H20" s="67"/>
      <c r="I20" s="68"/>
      <c r="J20" s="68"/>
      <c r="K20" s="34" t="s">
        <v>64</v>
      </c>
      <c r="L20" s="75">
        <v>20</v>
      </c>
      <c r="M20" s="75"/>
      <c r="N20" s="70"/>
      <c r="O20" s="77" t="s">
        <v>180</v>
      </c>
      <c r="P20" s="79">
        <v>41123.767905092594</v>
      </c>
      <c r="Q20" s="77" t="s">
        <v>400</v>
      </c>
      <c r="R20" s="77"/>
      <c r="S20" s="77" t="s">
        <v>635</v>
      </c>
      <c r="T20" s="79">
        <v>41123.767905092594</v>
      </c>
      <c r="U20" s="81" t="s">
        <v>683</v>
      </c>
      <c r="V20" s="77"/>
      <c r="W20" s="77"/>
      <c r="X20" s="84" t="s">
        <v>980</v>
      </c>
      <c r="Y20" s="82">
        <v>2</v>
      </c>
    </row>
    <row r="21" spans="1:25" x14ac:dyDescent="0.25">
      <c r="A21" s="62" t="s">
        <v>198</v>
      </c>
      <c r="B21" s="62" t="s">
        <v>198</v>
      </c>
      <c r="C21" s="63" t="s">
        <v>2219</v>
      </c>
      <c r="D21" s="64">
        <v>1.5</v>
      </c>
      <c r="E21" s="65"/>
      <c r="F21" s="66">
        <v>97.777777777777771</v>
      </c>
      <c r="G21" s="63"/>
      <c r="H21" s="67"/>
      <c r="I21" s="68"/>
      <c r="J21" s="68"/>
      <c r="K21" s="34" t="s">
        <v>64</v>
      </c>
      <c r="L21" s="75">
        <v>21</v>
      </c>
      <c r="M21" s="75"/>
      <c r="N21" s="70"/>
      <c r="O21" s="77" t="s">
        <v>180</v>
      </c>
      <c r="P21" s="79">
        <v>41123.770648148151</v>
      </c>
      <c r="Q21" s="77" t="s">
        <v>401</v>
      </c>
      <c r="R21" s="77"/>
      <c r="S21" s="77"/>
      <c r="T21" s="79">
        <v>41123.770648148151</v>
      </c>
      <c r="U21" s="81" t="s">
        <v>684</v>
      </c>
      <c r="V21" s="77"/>
      <c r="W21" s="77"/>
      <c r="X21" s="84" t="s">
        <v>981</v>
      </c>
      <c r="Y21" s="82">
        <v>2</v>
      </c>
    </row>
    <row r="22" spans="1:25" x14ac:dyDescent="0.25">
      <c r="A22" s="62" t="s">
        <v>199</v>
      </c>
      <c r="B22" s="62" t="s">
        <v>199</v>
      </c>
      <c r="C22" s="63" t="s">
        <v>2219</v>
      </c>
      <c r="D22" s="64">
        <v>1</v>
      </c>
      <c r="E22" s="65"/>
      <c r="F22" s="66">
        <v>100</v>
      </c>
      <c r="G22" s="63"/>
      <c r="H22" s="67"/>
      <c r="I22" s="68"/>
      <c r="J22" s="68"/>
      <c r="K22" s="34" t="s">
        <v>64</v>
      </c>
      <c r="L22" s="75">
        <v>22</v>
      </c>
      <c r="M22" s="75"/>
      <c r="N22" s="70"/>
      <c r="O22" s="77" t="s">
        <v>180</v>
      </c>
      <c r="P22" s="79">
        <v>41123.78019675926</v>
      </c>
      <c r="Q22" s="77" t="s">
        <v>402</v>
      </c>
      <c r="R22" s="77"/>
      <c r="S22" s="77"/>
      <c r="T22" s="79">
        <v>41123.78019675926</v>
      </c>
      <c r="U22" s="81" t="s">
        <v>685</v>
      </c>
      <c r="V22" s="77"/>
      <c r="W22" s="77"/>
      <c r="X22" s="84" t="s">
        <v>982</v>
      </c>
      <c r="Y22" s="82">
        <v>1</v>
      </c>
    </row>
    <row r="23" spans="1:25" x14ac:dyDescent="0.25">
      <c r="A23" s="62" t="s">
        <v>200</v>
      </c>
      <c r="B23" s="62" t="s">
        <v>200</v>
      </c>
      <c r="C23" s="63" t="s">
        <v>2219</v>
      </c>
      <c r="D23" s="64">
        <v>1</v>
      </c>
      <c r="E23" s="65"/>
      <c r="F23" s="66">
        <v>100</v>
      </c>
      <c r="G23" s="63"/>
      <c r="H23" s="67"/>
      <c r="I23" s="68"/>
      <c r="J23" s="68"/>
      <c r="K23" s="34" t="s">
        <v>64</v>
      </c>
      <c r="L23" s="75">
        <v>23</v>
      </c>
      <c r="M23" s="75"/>
      <c r="N23" s="70"/>
      <c r="O23" s="77" t="s">
        <v>180</v>
      </c>
      <c r="P23" s="79">
        <v>41123.79619212963</v>
      </c>
      <c r="Q23" s="77" t="s">
        <v>403</v>
      </c>
      <c r="R23" s="77"/>
      <c r="S23" s="77"/>
      <c r="T23" s="79">
        <v>41123.79619212963</v>
      </c>
      <c r="U23" s="81" t="s">
        <v>686</v>
      </c>
      <c r="V23" s="77"/>
      <c r="W23" s="77"/>
      <c r="X23" s="84" t="s">
        <v>983</v>
      </c>
      <c r="Y23" s="82">
        <v>1</v>
      </c>
    </row>
    <row r="24" spans="1:25" x14ac:dyDescent="0.25">
      <c r="A24" s="62" t="s">
        <v>201</v>
      </c>
      <c r="B24" s="62" t="s">
        <v>201</v>
      </c>
      <c r="C24" s="63" t="s">
        <v>2219</v>
      </c>
      <c r="D24" s="64">
        <v>1</v>
      </c>
      <c r="E24" s="65"/>
      <c r="F24" s="66">
        <v>100</v>
      </c>
      <c r="G24" s="63"/>
      <c r="H24" s="67"/>
      <c r="I24" s="68"/>
      <c r="J24" s="68"/>
      <c r="K24" s="34" t="s">
        <v>64</v>
      </c>
      <c r="L24" s="75">
        <v>24</v>
      </c>
      <c r="M24" s="75"/>
      <c r="N24" s="70"/>
      <c r="O24" s="77" t="s">
        <v>180</v>
      </c>
      <c r="P24" s="79">
        <v>41123.804224537038</v>
      </c>
      <c r="Q24" s="77" t="s">
        <v>404</v>
      </c>
      <c r="R24" s="77"/>
      <c r="S24" s="77" t="s">
        <v>636</v>
      </c>
      <c r="T24" s="79">
        <v>41123.804224537038</v>
      </c>
      <c r="U24" s="81" t="s">
        <v>687</v>
      </c>
      <c r="V24" s="77"/>
      <c r="W24" s="77"/>
      <c r="X24" s="84" t="s">
        <v>984</v>
      </c>
      <c r="Y24" s="82">
        <v>1</v>
      </c>
    </row>
    <row r="25" spans="1:25" x14ac:dyDescent="0.25">
      <c r="A25" s="62" t="s">
        <v>202</v>
      </c>
      <c r="B25" s="62" t="s">
        <v>202</v>
      </c>
      <c r="C25" s="63" t="s">
        <v>2219</v>
      </c>
      <c r="D25" s="64">
        <v>1</v>
      </c>
      <c r="E25" s="65"/>
      <c r="F25" s="66">
        <v>100</v>
      </c>
      <c r="G25" s="63"/>
      <c r="H25" s="67"/>
      <c r="I25" s="68"/>
      <c r="J25" s="68"/>
      <c r="K25" s="34" t="s">
        <v>64</v>
      </c>
      <c r="L25" s="75">
        <v>25</v>
      </c>
      <c r="M25" s="75"/>
      <c r="N25" s="70"/>
      <c r="O25" s="77" t="s">
        <v>180</v>
      </c>
      <c r="P25" s="79">
        <v>41123.817476851851</v>
      </c>
      <c r="Q25" s="77" t="s">
        <v>405</v>
      </c>
      <c r="R25" s="81" t="s">
        <v>612</v>
      </c>
      <c r="S25" s="77" t="s">
        <v>637</v>
      </c>
      <c r="T25" s="79">
        <v>41123.817476851851</v>
      </c>
      <c r="U25" s="81" t="s">
        <v>688</v>
      </c>
      <c r="V25" s="77"/>
      <c r="W25" s="77"/>
      <c r="X25" s="84" t="s">
        <v>985</v>
      </c>
      <c r="Y25" s="82">
        <v>1</v>
      </c>
    </row>
    <row r="26" spans="1:25" x14ac:dyDescent="0.25">
      <c r="A26" s="62" t="s">
        <v>203</v>
      </c>
      <c r="B26" s="62" t="s">
        <v>247</v>
      </c>
      <c r="C26" s="63" t="s">
        <v>2221</v>
      </c>
      <c r="D26" s="64">
        <v>1</v>
      </c>
      <c r="E26" s="65"/>
      <c r="F26" s="66">
        <v>100</v>
      </c>
      <c r="G26" s="63"/>
      <c r="H26" s="67"/>
      <c r="I26" s="68"/>
      <c r="J26" s="68"/>
      <c r="K26" s="34" t="s">
        <v>64</v>
      </c>
      <c r="L26" s="75">
        <v>26</v>
      </c>
      <c r="M26" s="75"/>
      <c r="N26" s="70"/>
      <c r="O26" s="77" t="s">
        <v>381</v>
      </c>
      <c r="P26" s="79">
        <v>41123.880231481482</v>
      </c>
      <c r="Q26" s="77" t="s">
        <v>406</v>
      </c>
      <c r="R26" s="77"/>
      <c r="S26" s="77" t="s">
        <v>638</v>
      </c>
      <c r="T26" s="79">
        <v>41123.880231481482</v>
      </c>
      <c r="U26" s="81" t="s">
        <v>689</v>
      </c>
      <c r="V26" s="77"/>
      <c r="W26" s="77"/>
      <c r="X26" s="84" t="s">
        <v>986</v>
      </c>
      <c r="Y26" s="82">
        <v>1</v>
      </c>
    </row>
    <row r="27" spans="1:25" x14ac:dyDescent="0.25">
      <c r="A27" s="62" t="s">
        <v>204</v>
      </c>
      <c r="B27" s="62" t="s">
        <v>204</v>
      </c>
      <c r="C27" s="63" t="s">
        <v>2219</v>
      </c>
      <c r="D27" s="64">
        <v>1</v>
      </c>
      <c r="E27" s="65"/>
      <c r="F27" s="66">
        <v>100</v>
      </c>
      <c r="G27" s="63"/>
      <c r="H27" s="67"/>
      <c r="I27" s="68"/>
      <c r="J27" s="68"/>
      <c r="K27" s="34" t="s">
        <v>64</v>
      </c>
      <c r="L27" s="75">
        <v>27</v>
      </c>
      <c r="M27" s="75"/>
      <c r="N27" s="70"/>
      <c r="O27" s="77" t="s">
        <v>180</v>
      </c>
      <c r="P27" s="79">
        <v>41123.882199074076</v>
      </c>
      <c r="Q27" s="77" t="s">
        <v>407</v>
      </c>
      <c r="R27" s="77"/>
      <c r="S27" s="77"/>
      <c r="T27" s="79">
        <v>41123.882199074076</v>
      </c>
      <c r="U27" s="81" t="s">
        <v>690</v>
      </c>
      <c r="V27" s="77"/>
      <c r="W27" s="77"/>
      <c r="X27" s="84" t="s">
        <v>987</v>
      </c>
      <c r="Y27" s="82">
        <v>1</v>
      </c>
    </row>
    <row r="28" spans="1:25" x14ac:dyDescent="0.25">
      <c r="A28" s="62" t="s">
        <v>205</v>
      </c>
      <c r="B28" s="62" t="s">
        <v>366</v>
      </c>
      <c r="C28" s="63" t="s">
        <v>2221</v>
      </c>
      <c r="D28" s="64">
        <v>1</v>
      </c>
      <c r="E28" s="65"/>
      <c r="F28" s="66">
        <v>100</v>
      </c>
      <c r="G28" s="63"/>
      <c r="H28" s="67"/>
      <c r="I28" s="68"/>
      <c r="J28" s="68"/>
      <c r="K28" s="34" t="s">
        <v>64</v>
      </c>
      <c r="L28" s="75">
        <v>28</v>
      </c>
      <c r="M28" s="75"/>
      <c r="N28" s="70"/>
      <c r="O28" s="77" t="s">
        <v>381</v>
      </c>
      <c r="P28" s="79">
        <v>41123.906956018516</v>
      </c>
      <c r="Q28" s="77" t="s">
        <v>408</v>
      </c>
      <c r="R28" s="77"/>
      <c r="S28" s="77" t="s">
        <v>639</v>
      </c>
      <c r="T28" s="79">
        <v>41123.906956018516</v>
      </c>
      <c r="U28" s="81" t="s">
        <v>691</v>
      </c>
      <c r="V28" s="77"/>
      <c r="W28" s="77"/>
      <c r="X28" s="84" t="s">
        <v>988</v>
      </c>
      <c r="Y28" s="82">
        <v>1</v>
      </c>
    </row>
    <row r="29" spans="1:25" x14ac:dyDescent="0.25">
      <c r="A29" s="62" t="s">
        <v>205</v>
      </c>
      <c r="B29" s="62" t="s">
        <v>276</v>
      </c>
      <c r="C29" s="63" t="s">
        <v>2221</v>
      </c>
      <c r="D29" s="64">
        <v>1</v>
      </c>
      <c r="E29" s="65"/>
      <c r="F29" s="66">
        <v>100</v>
      </c>
      <c r="G29" s="63"/>
      <c r="H29" s="67"/>
      <c r="I29" s="68"/>
      <c r="J29" s="68"/>
      <c r="K29" s="34" t="s">
        <v>64</v>
      </c>
      <c r="L29" s="75">
        <v>29</v>
      </c>
      <c r="M29" s="75"/>
      <c r="N29" s="70"/>
      <c r="O29" s="77" t="s">
        <v>381</v>
      </c>
      <c r="P29" s="79">
        <v>41123.906956018516</v>
      </c>
      <c r="Q29" s="77" t="s">
        <v>408</v>
      </c>
      <c r="R29" s="77"/>
      <c r="S29" s="77" t="s">
        <v>639</v>
      </c>
      <c r="T29" s="79">
        <v>41123.906956018516</v>
      </c>
      <c r="U29" s="81" t="s">
        <v>691</v>
      </c>
      <c r="V29" s="77"/>
      <c r="W29" s="77"/>
      <c r="X29" s="84" t="s">
        <v>988</v>
      </c>
      <c r="Y29" s="82">
        <v>1</v>
      </c>
    </row>
    <row r="30" spans="1:25" x14ac:dyDescent="0.25">
      <c r="A30" s="62" t="s">
        <v>206</v>
      </c>
      <c r="B30" s="62" t="s">
        <v>206</v>
      </c>
      <c r="C30" s="63" t="s">
        <v>2219</v>
      </c>
      <c r="D30" s="64">
        <v>1</v>
      </c>
      <c r="E30" s="65"/>
      <c r="F30" s="66">
        <v>100</v>
      </c>
      <c r="G30" s="63"/>
      <c r="H30" s="67"/>
      <c r="I30" s="68"/>
      <c r="J30" s="68"/>
      <c r="K30" s="34" t="s">
        <v>64</v>
      </c>
      <c r="L30" s="75">
        <v>30</v>
      </c>
      <c r="M30" s="75"/>
      <c r="N30" s="70"/>
      <c r="O30" s="77" t="s">
        <v>180</v>
      </c>
      <c r="P30" s="79">
        <v>41124.048298611109</v>
      </c>
      <c r="Q30" s="77" t="s">
        <v>409</v>
      </c>
      <c r="R30" s="77"/>
      <c r="S30" s="77" t="s">
        <v>640</v>
      </c>
      <c r="T30" s="79">
        <v>41124.048298611109</v>
      </c>
      <c r="U30" s="81" t="s">
        <v>692</v>
      </c>
      <c r="V30" s="77"/>
      <c r="W30" s="77"/>
      <c r="X30" s="84" t="s">
        <v>989</v>
      </c>
      <c r="Y30" s="82">
        <v>1</v>
      </c>
    </row>
    <row r="31" spans="1:25" x14ac:dyDescent="0.25">
      <c r="A31" s="62" t="s">
        <v>207</v>
      </c>
      <c r="B31" s="62" t="s">
        <v>207</v>
      </c>
      <c r="C31" s="63" t="s">
        <v>2219</v>
      </c>
      <c r="D31" s="64">
        <v>1.5</v>
      </c>
      <c r="E31" s="65"/>
      <c r="F31" s="66">
        <v>97.777777777777771</v>
      </c>
      <c r="G31" s="63"/>
      <c r="H31" s="67"/>
      <c r="I31" s="68"/>
      <c r="J31" s="68"/>
      <c r="K31" s="34" t="s">
        <v>64</v>
      </c>
      <c r="L31" s="75">
        <v>31</v>
      </c>
      <c r="M31" s="75"/>
      <c r="N31" s="70"/>
      <c r="O31" s="77" t="s">
        <v>180</v>
      </c>
      <c r="P31" s="79">
        <v>41124.089548611111</v>
      </c>
      <c r="Q31" s="77" t="s">
        <v>410</v>
      </c>
      <c r="R31" s="77"/>
      <c r="S31" s="77"/>
      <c r="T31" s="79">
        <v>41124.089548611111</v>
      </c>
      <c r="U31" s="81" t="s">
        <v>693</v>
      </c>
      <c r="V31" s="77"/>
      <c r="W31" s="77"/>
      <c r="X31" s="84" t="s">
        <v>990</v>
      </c>
      <c r="Y31" s="82">
        <v>2</v>
      </c>
    </row>
    <row r="32" spans="1:25" x14ac:dyDescent="0.25">
      <c r="A32" s="62" t="s">
        <v>207</v>
      </c>
      <c r="B32" s="62" t="s">
        <v>207</v>
      </c>
      <c r="C32" s="63" t="s">
        <v>2219</v>
      </c>
      <c r="D32" s="64">
        <v>1.5</v>
      </c>
      <c r="E32" s="65"/>
      <c r="F32" s="66">
        <v>97.777777777777771</v>
      </c>
      <c r="G32" s="63"/>
      <c r="H32" s="67"/>
      <c r="I32" s="68"/>
      <c r="J32" s="68"/>
      <c r="K32" s="34" t="s">
        <v>64</v>
      </c>
      <c r="L32" s="75">
        <v>32</v>
      </c>
      <c r="M32" s="75"/>
      <c r="N32" s="70"/>
      <c r="O32" s="77" t="s">
        <v>180</v>
      </c>
      <c r="P32" s="79">
        <v>41124.090960648151</v>
      </c>
      <c r="Q32" s="77" t="s">
        <v>411</v>
      </c>
      <c r="R32" s="77"/>
      <c r="S32" s="77"/>
      <c r="T32" s="79">
        <v>41124.090960648151</v>
      </c>
      <c r="U32" s="81" t="s">
        <v>694</v>
      </c>
      <c r="V32" s="77"/>
      <c r="W32" s="77"/>
      <c r="X32" s="84" t="s">
        <v>991</v>
      </c>
      <c r="Y32" s="82">
        <v>2</v>
      </c>
    </row>
    <row r="33" spans="1:25" x14ac:dyDescent="0.25">
      <c r="A33" s="62" t="s">
        <v>208</v>
      </c>
      <c r="B33" s="62" t="s">
        <v>208</v>
      </c>
      <c r="C33" s="63" t="s">
        <v>2219</v>
      </c>
      <c r="D33" s="64">
        <v>1</v>
      </c>
      <c r="E33" s="65"/>
      <c r="F33" s="66">
        <v>100</v>
      </c>
      <c r="G33" s="63"/>
      <c r="H33" s="67"/>
      <c r="I33" s="68"/>
      <c r="J33" s="68"/>
      <c r="K33" s="34" t="s">
        <v>64</v>
      </c>
      <c r="L33" s="75">
        <v>33</v>
      </c>
      <c r="M33" s="75"/>
      <c r="N33" s="70"/>
      <c r="O33" s="77" t="s">
        <v>180</v>
      </c>
      <c r="P33" s="79">
        <v>41124.097291666665</v>
      </c>
      <c r="Q33" s="77" t="s">
        <v>412</v>
      </c>
      <c r="R33" s="77"/>
      <c r="S33" s="77"/>
      <c r="T33" s="79">
        <v>41124.097291666665</v>
      </c>
      <c r="U33" s="81" t="s">
        <v>695</v>
      </c>
      <c r="V33" s="77"/>
      <c r="W33" s="77"/>
      <c r="X33" s="84" t="s">
        <v>992</v>
      </c>
      <c r="Y33" s="82">
        <v>1</v>
      </c>
    </row>
    <row r="34" spans="1:25" x14ac:dyDescent="0.25">
      <c r="A34" s="62" t="s">
        <v>209</v>
      </c>
      <c r="B34" s="62" t="s">
        <v>209</v>
      </c>
      <c r="C34" s="63" t="s">
        <v>2219</v>
      </c>
      <c r="D34" s="64">
        <v>1</v>
      </c>
      <c r="E34" s="65"/>
      <c r="F34" s="66">
        <v>100</v>
      </c>
      <c r="G34" s="63"/>
      <c r="H34" s="67"/>
      <c r="I34" s="68"/>
      <c r="J34" s="68"/>
      <c r="K34" s="34" t="s">
        <v>64</v>
      </c>
      <c r="L34" s="75">
        <v>34</v>
      </c>
      <c r="M34" s="75"/>
      <c r="N34" s="70"/>
      <c r="O34" s="77" t="s">
        <v>180</v>
      </c>
      <c r="P34" s="79">
        <v>41124.104039351849</v>
      </c>
      <c r="Q34" s="77" t="s">
        <v>413</v>
      </c>
      <c r="R34" s="77"/>
      <c r="S34" s="77"/>
      <c r="T34" s="79">
        <v>41124.104039351849</v>
      </c>
      <c r="U34" s="81" t="s">
        <v>696</v>
      </c>
      <c r="V34" s="77"/>
      <c r="W34" s="77"/>
      <c r="X34" s="84" t="s">
        <v>993</v>
      </c>
      <c r="Y34" s="82">
        <v>1</v>
      </c>
    </row>
    <row r="35" spans="1:25" x14ac:dyDescent="0.25">
      <c r="A35" s="62" t="s">
        <v>210</v>
      </c>
      <c r="B35" s="62" t="s">
        <v>210</v>
      </c>
      <c r="C35" s="63" t="s">
        <v>2219</v>
      </c>
      <c r="D35" s="64">
        <v>2</v>
      </c>
      <c r="E35" s="65"/>
      <c r="F35" s="66">
        <v>95.555555555555557</v>
      </c>
      <c r="G35" s="63"/>
      <c r="H35" s="67"/>
      <c r="I35" s="68"/>
      <c r="J35" s="68"/>
      <c r="K35" s="34" t="s">
        <v>64</v>
      </c>
      <c r="L35" s="75">
        <v>35</v>
      </c>
      <c r="M35" s="75"/>
      <c r="N35" s="70"/>
      <c r="O35" s="77" t="s">
        <v>180</v>
      </c>
      <c r="P35" s="79">
        <v>41123.973043981481</v>
      </c>
      <c r="Q35" s="77" t="s">
        <v>414</v>
      </c>
      <c r="R35" s="77"/>
      <c r="S35" s="77"/>
      <c r="T35" s="79">
        <v>41123.973043981481</v>
      </c>
      <c r="U35" s="81" t="s">
        <v>697</v>
      </c>
      <c r="V35" s="77"/>
      <c r="W35" s="77"/>
      <c r="X35" s="84" t="s">
        <v>994</v>
      </c>
      <c r="Y35" s="82">
        <v>3</v>
      </c>
    </row>
    <row r="36" spans="1:25" x14ac:dyDescent="0.25">
      <c r="A36" s="62" t="s">
        <v>210</v>
      </c>
      <c r="B36" s="62" t="s">
        <v>210</v>
      </c>
      <c r="C36" s="63" t="s">
        <v>2219</v>
      </c>
      <c r="D36" s="64">
        <v>2</v>
      </c>
      <c r="E36" s="65"/>
      <c r="F36" s="66">
        <v>95.555555555555557</v>
      </c>
      <c r="G36" s="63"/>
      <c r="H36" s="67"/>
      <c r="I36" s="68"/>
      <c r="J36" s="68"/>
      <c r="K36" s="34" t="s">
        <v>64</v>
      </c>
      <c r="L36" s="75">
        <v>36</v>
      </c>
      <c r="M36" s="75"/>
      <c r="N36" s="70"/>
      <c r="O36" s="77" t="s">
        <v>180</v>
      </c>
      <c r="P36" s="79">
        <v>41124.051203703704</v>
      </c>
      <c r="Q36" s="77" t="s">
        <v>415</v>
      </c>
      <c r="R36" s="77"/>
      <c r="S36" s="77"/>
      <c r="T36" s="79">
        <v>41124.051203703704</v>
      </c>
      <c r="U36" s="81" t="s">
        <v>698</v>
      </c>
      <c r="V36" s="77"/>
      <c r="W36" s="77"/>
      <c r="X36" s="84" t="s">
        <v>995</v>
      </c>
      <c r="Y36" s="82">
        <v>3</v>
      </c>
    </row>
    <row r="37" spans="1:25" x14ac:dyDescent="0.25">
      <c r="A37" s="62" t="s">
        <v>210</v>
      </c>
      <c r="B37" s="62" t="s">
        <v>210</v>
      </c>
      <c r="C37" s="63" t="s">
        <v>2219</v>
      </c>
      <c r="D37" s="64">
        <v>2</v>
      </c>
      <c r="E37" s="65"/>
      <c r="F37" s="66">
        <v>95.555555555555557</v>
      </c>
      <c r="G37" s="63"/>
      <c r="H37" s="67"/>
      <c r="I37" s="68"/>
      <c r="J37" s="68"/>
      <c r="K37" s="34" t="s">
        <v>64</v>
      </c>
      <c r="L37" s="75">
        <v>37</v>
      </c>
      <c r="M37" s="75"/>
      <c r="N37" s="70"/>
      <c r="O37" s="77" t="s">
        <v>180</v>
      </c>
      <c r="P37" s="79">
        <v>41124.118449074071</v>
      </c>
      <c r="Q37" s="77" t="s">
        <v>416</v>
      </c>
      <c r="R37" s="77"/>
      <c r="S37" s="77"/>
      <c r="T37" s="79">
        <v>41124.118449074071</v>
      </c>
      <c r="U37" s="81" t="s">
        <v>699</v>
      </c>
      <c r="V37" s="77"/>
      <c r="W37" s="77"/>
      <c r="X37" s="84" t="s">
        <v>996</v>
      </c>
      <c r="Y37" s="82">
        <v>3</v>
      </c>
    </row>
    <row r="38" spans="1:25" x14ac:dyDescent="0.25">
      <c r="A38" s="62" t="s">
        <v>211</v>
      </c>
      <c r="B38" s="62" t="s">
        <v>211</v>
      </c>
      <c r="C38" s="63" t="s">
        <v>2219</v>
      </c>
      <c r="D38" s="64">
        <v>1</v>
      </c>
      <c r="E38" s="65"/>
      <c r="F38" s="66">
        <v>100</v>
      </c>
      <c r="G38" s="63"/>
      <c r="H38" s="67"/>
      <c r="I38" s="68"/>
      <c r="J38" s="68"/>
      <c r="K38" s="34" t="s">
        <v>64</v>
      </c>
      <c r="L38" s="75">
        <v>38</v>
      </c>
      <c r="M38" s="75"/>
      <c r="N38" s="70"/>
      <c r="O38" s="77" t="s">
        <v>180</v>
      </c>
      <c r="P38" s="79">
        <v>41124.12605324074</v>
      </c>
      <c r="Q38" s="77" t="s">
        <v>417</v>
      </c>
      <c r="R38" s="77"/>
      <c r="S38" s="77"/>
      <c r="T38" s="79">
        <v>41124.12605324074</v>
      </c>
      <c r="U38" s="81" t="s">
        <v>700</v>
      </c>
      <c r="V38" s="77"/>
      <c r="W38" s="77"/>
      <c r="X38" s="84" t="s">
        <v>997</v>
      </c>
      <c r="Y38" s="82">
        <v>1</v>
      </c>
    </row>
    <row r="39" spans="1:25" x14ac:dyDescent="0.25">
      <c r="A39" s="62" t="s">
        <v>212</v>
      </c>
      <c r="B39" s="62" t="s">
        <v>212</v>
      </c>
      <c r="C39" s="63" t="s">
        <v>2219</v>
      </c>
      <c r="D39" s="64">
        <v>2</v>
      </c>
      <c r="E39" s="65"/>
      <c r="F39" s="66">
        <v>95.555555555555557</v>
      </c>
      <c r="G39" s="63"/>
      <c r="H39" s="67"/>
      <c r="I39" s="68"/>
      <c r="J39" s="68"/>
      <c r="K39" s="34" t="s">
        <v>64</v>
      </c>
      <c r="L39" s="75">
        <v>39</v>
      </c>
      <c r="M39" s="75"/>
      <c r="N39" s="70"/>
      <c r="O39" s="77" t="s">
        <v>180</v>
      </c>
      <c r="P39" s="79">
        <v>41123.919999999998</v>
      </c>
      <c r="Q39" s="77" t="s">
        <v>418</v>
      </c>
      <c r="R39" s="77"/>
      <c r="S39" s="77" t="s">
        <v>641</v>
      </c>
      <c r="T39" s="79">
        <v>41123.919999999998</v>
      </c>
      <c r="U39" s="81" t="s">
        <v>701</v>
      </c>
      <c r="V39" s="77"/>
      <c r="W39" s="77"/>
      <c r="X39" s="84" t="s">
        <v>998</v>
      </c>
      <c r="Y39" s="82">
        <v>3</v>
      </c>
    </row>
    <row r="40" spans="1:25" x14ac:dyDescent="0.25">
      <c r="A40" s="62" t="s">
        <v>212</v>
      </c>
      <c r="B40" s="62" t="s">
        <v>212</v>
      </c>
      <c r="C40" s="63" t="s">
        <v>2219</v>
      </c>
      <c r="D40" s="64">
        <v>2</v>
      </c>
      <c r="E40" s="65"/>
      <c r="F40" s="66">
        <v>95.555555555555557</v>
      </c>
      <c r="G40" s="63"/>
      <c r="H40" s="67"/>
      <c r="I40" s="68"/>
      <c r="J40" s="68"/>
      <c r="K40" s="34" t="s">
        <v>64</v>
      </c>
      <c r="L40" s="75">
        <v>40</v>
      </c>
      <c r="M40" s="75"/>
      <c r="N40" s="70"/>
      <c r="O40" s="77" t="s">
        <v>180</v>
      </c>
      <c r="P40" s="79">
        <v>41124.129548611112</v>
      </c>
      <c r="Q40" s="77" t="s">
        <v>419</v>
      </c>
      <c r="R40" s="77"/>
      <c r="S40" s="77" t="s">
        <v>641</v>
      </c>
      <c r="T40" s="79">
        <v>41124.129548611112</v>
      </c>
      <c r="U40" s="81" t="s">
        <v>702</v>
      </c>
      <c r="V40" s="77"/>
      <c r="W40" s="77"/>
      <c r="X40" s="84" t="s">
        <v>999</v>
      </c>
      <c r="Y40" s="82">
        <v>3</v>
      </c>
    </row>
    <row r="41" spans="1:25" x14ac:dyDescent="0.25">
      <c r="A41" s="62" t="s">
        <v>212</v>
      </c>
      <c r="B41" s="62" t="s">
        <v>212</v>
      </c>
      <c r="C41" s="63" t="s">
        <v>2219</v>
      </c>
      <c r="D41" s="64">
        <v>2</v>
      </c>
      <c r="E41" s="65"/>
      <c r="F41" s="66">
        <v>95.555555555555557</v>
      </c>
      <c r="G41" s="63"/>
      <c r="H41" s="67"/>
      <c r="I41" s="68"/>
      <c r="J41" s="68"/>
      <c r="K41" s="34" t="s">
        <v>64</v>
      </c>
      <c r="L41" s="75">
        <v>41</v>
      </c>
      <c r="M41" s="75"/>
      <c r="N41" s="70"/>
      <c r="O41" s="77" t="s">
        <v>180</v>
      </c>
      <c r="P41" s="79">
        <v>41124.155601851853</v>
      </c>
      <c r="Q41" s="77" t="s">
        <v>420</v>
      </c>
      <c r="R41" s="77"/>
      <c r="S41" s="77" t="s">
        <v>642</v>
      </c>
      <c r="T41" s="79">
        <v>41124.155601851853</v>
      </c>
      <c r="U41" s="81" t="s">
        <v>703</v>
      </c>
      <c r="V41" s="77"/>
      <c r="W41" s="77"/>
      <c r="X41" s="84" t="s">
        <v>1000</v>
      </c>
      <c r="Y41" s="82">
        <v>3</v>
      </c>
    </row>
    <row r="42" spans="1:25" x14ac:dyDescent="0.25">
      <c r="A42" s="62" t="s">
        <v>213</v>
      </c>
      <c r="B42" s="62" t="s">
        <v>213</v>
      </c>
      <c r="C42" s="63" t="s">
        <v>2219</v>
      </c>
      <c r="D42" s="64">
        <v>1</v>
      </c>
      <c r="E42" s="65"/>
      <c r="F42" s="66">
        <v>100</v>
      </c>
      <c r="G42" s="63"/>
      <c r="H42" s="67"/>
      <c r="I42" s="68"/>
      <c r="J42" s="68"/>
      <c r="K42" s="34" t="s">
        <v>64</v>
      </c>
      <c r="L42" s="75">
        <v>42</v>
      </c>
      <c r="M42" s="75"/>
      <c r="N42" s="70"/>
      <c r="O42" s="77" t="s">
        <v>180</v>
      </c>
      <c r="P42" s="79">
        <v>41123.671747685185</v>
      </c>
      <c r="Q42" s="77" t="s">
        <v>421</v>
      </c>
      <c r="R42" s="77"/>
      <c r="S42" s="77"/>
      <c r="T42" s="79">
        <v>41123.671747685185</v>
      </c>
      <c r="U42" s="81" t="s">
        <v>704</v>
      </c>
      <c r="V42" s="77"/>
      <c r="W42" s="77"/>
      <c r="X42" s="84" t="s">
        <v>1001</v>
      </c>
      <c r="Y42" s="82">
        <v>1</v>
      </c>
    </row>
    <row r="43" spans="1:25" x14ac:dyDescent="0.25">
      <c r="A43" s="62" t="s">
        <v>213</v>
      </c>
      <c r="B43" s="62" t="s">
        <v>376</v>
      </c>
      <c r="C43" s="63" t="s">
        <v>2222</v>
      </c>
      <c r="D43" s="64">
        <v>1</v>
      </c>
      <c r="E43" s="65"/>
      <c r="F43" s="66">
        <v>100</v>
      </c>
      <c r="G43" s="63"/>
      <c r="H43" s="67"/>
      <c r="I43" s="68"/>
      <c r="J43" s="68"/>
      <c r="K43" s="34" t="s">
        <v>64</v>
      </c>
      <c r="L43" s="75">
        <v>43</v>
      </c>
      <c r="M43" s="75"/>
      <c r="N43" s="70"/>
      <c r="O43" s="77" t="s">
        <v>382</v>
      </c>
      <c r="P43" s="79">
        <v>41124.25708333333</v>
      </c>
      <c r="Q43" s="77"/>
      <c r="R43" s="77"/>
      <c r="S43" s="77"/>
      <c r="T43" s="77"/>
      <c r="U43" s="77"/>
      <c r="V43" s="77"/>
      <c r="W43" s="77"/>
      <c r="X43" s="77"/>
      <c r="Y43">
        <v>1</v>
      </c>
    </row>
    <row r="44" spans="1:25" x14ac:dyDescent="0.25">
      <c r="A44" s="62" t="s">
        <v>213</v>
      </c>
      <c r="B44" s="62" t="s">
        <v>367</v>
      </c>
      <c r="C44" s="63" t="s">
        <v>2222</v>
      </c>
      <c r="D44" s="64">
        <v>1</v>
      </c>
      <c r="E44" s="65"/>
      <c r="F44" s="66">
        <v>100</v>
      </c>
      <c r="G44" s="63"/>
      <c r="H44" s="67"/>
      <c r="I44" s="68"/>
      <c r="J44" s="68"/>
      <c r="K44" s="34" t="s">
        <v>64</v>
      </c>
      <c r="L44" s="75">
        <v>44</v>
      </c>
      <c r="M44" s="75"/>
      <c r="N44" s="70"/>
      <c r="O44" s="77" t="s">
        <v>382</v>
      </c>
      <c r="P44" s="79">
        <v>41124.25708333333</v>
      </c>
      <c r="Q44" s="77"/>
      <c r="R44" s="77"/>
      <c r="S44" s="77"/>
      <c r="T44" s="77"/>
      <c r="U44" s="77"/>
      <c r="V44" s="77"/>
      <c r="W44" s="77"/>
      <c r="X44" s="77"/>
      <c r="Y44">
        <v>1</v>
      </c>
    </row>
    <row r="45" spans="1:25" x14ac:dyDescent="0.25">
      <c r="A45" s="62" t="s">
        <v>214</v>
      </c>
      <c r="B45" s="62" t="s">
        <v>214</v>
      </c>
      <c r="C45" s="63" t="s">
        <v>2219</v>
      </c>
      <c r="D45" s="64">
        <v>1</v>
      </c>
      <c r="E45" s="65"/>
      <c r="F45" s="66">
        <v>100</v>
      </c>
      <c r="G45" s="63"/>
      <c r="H45" s="67"/>
      <c r="I45" s="68"/>
      <c r="J45" s="68"/>
      <c r="K45" s="34" t="s">
        <v>64</v>
      </c>
      <c r="L45" s="75">
        <v>45</v>
      </c>
      <c r="M45" s="75"/>
      <c r="N45" s="70"/>
      <c r="O45" s="77" t="s">
        <v>180</v>
      </c>
      <c r="P45" s="79">
        <v>41123.669722222221</v>
      </c>
      <c r="Q45" s="77" t="s">
        <v>422</v>
      </c>
      <c r="R45" s="81" t="s">
        <v>613</v>
      </c>
      <c r="S45" s="77"/>
      <c r="T45" s="79">
        <v>41123.669722222221</v>
      </c>
      <c r="U45" s="81" t="s">
        <v>705</v>
      </c>
      <c r="V45" s="77"/>
      <c r="W45" s="77"/>
      <c r="X45" s="84" t="s">
        <v>1002</v>
      </c>
      <c r="Y45" s="82">
        <v>1</v>
      </c>
    </row>
    <row r="46" spans="1:25" x14ac:dyDescent="0.25">
      <c r="A46" s="62" t="s">
        <v>214</v>
      </c>
      <c r="B46" s="62" t="s">
        <v>286</v>
      </c>
      <c r="C46" s="63" t="s">
        <v>2222</v>
      </c>
      <c r="D46" s="64">
        <v>1</v>
      </c>
      <c r="E46" s="65"/>
      <c r="F46" s="66">
        <v>100</v>
      </c>
      <c r="G46" s="63"/>
      <c r="H46" s="67"/>
      <c r="I46" s="68"/>
      <c r="J46" s="68"/>
      <c r="K46" s="34" t="s">
        <v>64</v>
      </c>
      <c r="L46" s="75">
        <v>46</v>
      </c>
      <c r="M46" s="75"/>
      <c r="N46" s="70"/>
      <c r="O46" s="77" t="s">
        <v>382</v>
      </c>
      <c r="P46" s="79">
        <v>41124.25708333333</v>
      </c>
      <c r="Q46" s="77"/>
      <c r="R46" s="77"/>
      <c r="S46" s="77"/>
      <c r="T46" s="77"/>
      <c r="U46" s="77"/>
      <c r="V46" s="77"/>
      <c r="W46" s="77"/>
      <c r="X46" s="77"/>
      <c r="Y46">
        <v>1</v>
      </c>
    </row>
    <row r="47" spans="1:25" x14ac:dyDescent="0.25">
      <c r="A47" s="62" t="s">
        <v>214</v>
      </c>
      <c r="B47" s="62" t="s">
        <v>215</v>
      </c>
      <c r="C47" s="63" t="s">
        <v>2222</v>
      </c>
      <c r="D47" s="64">
        <v>1</v>
      </c>
      <c r="E47" s="65"/>
      <c r="F47" s="66">
        <v>100</v>
      </c>
      <c r="G47" s="63"/>
      <c r="H47" s="67"/>
      <c r="I47" s="68"/>
      <c r="J47" s="68"/>
      <c r="K47" s="34" t="s">
        <v>65</v>
      </c>
      <c r="L47" s="75">
        <v>47</v>
      </c>
      <c r="M47" s="75"/>
      <c r="N47" s="70"/>
      <c r="O47" s="77" t="s">
        <v>382</v>
      </c>
      <c r="P47" s="79">
        <v>41124.25708333333</v>
      </c>
      <c r="Q47" s="77"/>
      <c r="R47" s="77"/>
      <c r="S47" s="77"/>
      <c r="T47" s="77"/>
      <c r="U47" s="77"/>
      <c r="V47" s="77"/>
      <c r="W47" s="77"/>
      <c r="X47" s="77"/>
      <c r="Y47">
        <v>1</v>
      </c>
    </row>
    <row r="48" spans="1:25" x14ac:dyDescent="0.25">
      <c r="A48" s="62" t="s">
        <v>215</v>
      </c>
      <c r="B48" s="62" t="s">
        <v>214</v>
      </c>
      <c r="C48" s="63" t="s">
        <v>2222</v>
      </c>
      <c r="D48" s="64">
        <v>1</v>
      </c>
      <c r="E48" s="65"/>
      <c r="F48" s="66">
        <v>100</v>
      </c>
      <c r="G48" s="63"/>
      <c r="H48" s="67"/>
      <c r="I48" s="68"/>
      <c r="J48" s="68"/>
      <c r="K48" s="34" t="s">
        <v>65</v>
      </c>
      <c r="L48" s="75">
        <v>48</v>
      </c>
      <c r="M48" s="75"/>
      <c r="N48" s="70"/>
      <c r="O48" s="77" t="s">
        <v>382</v>
      </c>
      <c r="P48" s="79">
        <v>41124.25708333333</v>
      </c>
      <c r="Q48" s="77"/>
      <c r="R48" s="77"/>
      <c r="S48" s="77"/>
      <c r="T48" s="77"/>
      <c r="U48" s="77"/>
      <c r="V48" s="77"/>
      <c r="W48" s="77"/>
      <c r="X48" s="77"/>
      <c r="Y48">
        <v>1</v>
      </c>
    </row>
    <row r="49" spans="1:25" x14ac:dyDescent="0.25">
      <c r="A49" s="62" t="s">
        <v>215</v>
      </c>
      <c r="B49" s="62" t="s">
        <v>215</v>
      </c>
      <c r="C49" s="63" t="s">
        <v>2219</v>
      </c>
      <c r="D49" s="64">
        <v>1</v>
      </c>
      <c r="E49" s="65"/>
      <c r="F49" s="66">
        <v>100</v>
      </c>
      <c r="G49" s="63"/>
      <c r="H49" s="67"/>
      <c r="I49" s="68"/>
      <c r="J49" s="68"/>
      <c r="K49" s="34" t="s">
        <v>64</v>
      </c>
      <c r="L49" s="75">
        <v>49</v>
      </c>
      <c r="M49" s="75"/>
      <c r="N49" s="70"/>
      <c r="O49" s="77" t="s">
        <v>180</v>
      </c>
      <c r="P49" s="79">
        <v>41123.676168981481</v>
      </c>
      <c r="Q49" s="77" t="s">
        <v>423</v>
      </c>
      <c r="R49" s="81" t="s">
        <v>614</v>
      </c>
      <c r="S49" s="77"/>
      <c r="T49" s="79">
        <v>41123.676168981481</v>
      </c>
      <c r="U49" s="81" t="s">
        <v>706</v>
      </c>
      <c r="V49" s="77"/>
      <c r="W49" s="77"/>
      <c r="X49" s="84" t="s">
        <v>1003</v>
      </c>
      <c r="Y49" s="82">
        <v>1</v>
      </c>
    </row>
    <row r="50" spans="1:25" x14ac:dyDescent="0.25">
      <c r="A50" s="62" t="s">
        <v>216</v>
      </c>
      <c r="B50" s="62" t="s">
        <v>216</v>
      </c>
      <c r="C50" s="63" t="s">
        <v>2219</v>
      </c>
      <c r="D50" s="64">
        <v>1</v>
      </c>
      <c r="E50" s="65"/>
      <c r="F50" s="66">
        <v>100</v>
      </c>
      <c r="G50" s="63"/>
      <c r="H50" s="67"/>
      <c r="I50" s="68"/>
      <c r="J50" s="68"/>
      <c r="K50" s="34" t="s">
        <v>64</v>
      </c>
      <c r="L50" s="75">
        <v>50</v>
      </c>
      <c r="M50" s="75"/>
      <c r="N50" s="70"/>
      <c r="O50" s="77" t="s">
        <v>180</v>
      </c>
      <c r="P50" s="79">
        <v>41123.676203703704</v>
      </c>
      <c r="Q50" s="77" t="s">
        <v>424</v>
      </c>
      <c r="R50" s="77"/>
      <c r="S50" s="77" t="s">
        <v>643</v>
      </c>
      <c r="T50" s="79">
        <v>41123.676203703704</v>
      </c>
      <c r="U50" s="81" t="s">
        <v>707</v>
      </c>
      <c r="V50" s="77"/>
      <c r="W50" s="77"/>
      <c r="X50" s="84" t="s">
        <v>1004</v>
      </c>
      <c r="Y50" s="82">
        <v>1</v>
      </c>
    </row>
    <row r="51" spans="1:25" x14ac:dyDescent="0.25">
      <c r="A51" s="62" t="s">
        <v>217</v>
      </c>
      <c r="B51" s="62" t="s">
        <v>216</v>
      </c>
      <c r="C51" s="63" t="s">
        <v>2222</v>
      </c>
      <c r="D51" s="64">
        <v>1</v>
      </c>
      <c r="E51" s="65"/>
      <c r="F51" s="66">
        <v>100</v>
      </c>
      <c r="G51" s="63"/>
      <c r="H51" s="67"/>
      <c r="I51" s="68"/>
      <c r="J51" s="68"/>
      <c r="K51" s="34" t="s">
        <v>65</v>
      </c>
      <c r="L51" s="75">
        <v>51</v>
      </c>
      <c r="M51" s="75"/>
      <c r="N51" s="70"/>
      <c r="O51" s="77" t="s">
        <v>382</v>
      </c>
      <c r="P51" s="79">
        <v>41124.25708333333</v>
      </c>
      <c r="Q51" s="77"/>
      <c r="R51" s="77"/>
      <c r="S51" s="77"/>
      <c r="T51" s="77"/>
      <c r="U51" s="77"/>
      <c r="V51" s="77"/>
      <c r="W51" s="77"/>
      <c r="X51" s="77"/>
      <c r="Y51">
        <v>1</v>
      </c>
    </row>
    <row r="52" spans="1:25" x14ac:dyDescent="0.25">
      <c r="A52" s="62" t="s">
        <v>216</v>
      </c>
      <c r="B52" s="62" t="s">
        <v>376</v>
      </c>
      <c r="C52" s="63" t="s">
        <v>2222</v>
      </c>
      <c r="D52" s="64">
        <v>1</v>
      </c>
      <c r="E52" s="65"/>
      <c r="F52" s="66">
        <v>100</v>
      </c>
      <c r="G52" s="63"/>
      <c r="H52" s="67"/>
      <c r="I52" s="68"/>
      <c r="J52" s="68"/>
      <c r="K52" s="34" t="s">
        <v>64</v>
      </c>
      <c r="L52" s="75">
        <v>52</v>
      </c>
      <c r="M52" s="75"/>
      <c r="N52" s="70"/>
      <c r="O52" s="77" t="s">
        <v>382</v>
      </c>
      <c r="P52" s="79">
        <v>41124.25708333333</v>
      </c>
      <c r="Q52" s="77"/>
      <c r="R52" s="77"/>
      <c r="S52" s="77"/>
      <c r="T52" s="77"/>
      <c r="U52" s="77"/>
      <c r="V52" s="77"/>
      <c r="W52" s="77"/>
      <c r="X52" s="77"/>
      <c r="Y52">
        <v>1</v>
      </c>
    </row>
    <row r="53" spans="1:25" x14ac:dyDescent="0.25">
      <c r="A53" s="62" t="s">
        <v>216</v>
      </c>
      <c r="B53" s="62" t="s">
        <v>228</v>
      </c>
      <c r="C53" s="63" t="s">
        <v>2222</v>
      </c>
      <c r="D53" s="64">
        <v>1</v>
      </c>
      <c r="E53" s="65"/>
      <c r="F53" s="66">
        <v>100</v>
      </c>
      <c r="G53" s="63"/>
      <c r="H53" s="67"/>
      <c r="I53" s="68"/>
      <c r="J53" s="68"/>
      <c r="K53" s="34" t="s">
        <v>64</v>
      </c>
      <c r="L53" s="75">
        <v>53</v>
      </c>
      <c r="M53" s="75"/>
      <c r="N53" s="70"/>
      <c r="O53" s="77" t="s">
        <v>382</v>
      </c>
      <c r="P53" s="79">
        <v>41124.25708333333</v>
      </c>
      <c r="Q53" s="77"/>
      <c r="R53" s="77"/>
      <c r="S53" s="77"/>
      <c r="T53" s="77"/>
      <c r="U53" s="77"/>
      <c r="V53" s="77"/>
      <c r="W53" s="77"/>
      <c r="X53" s="77"/>
      <c r="Y53">
        <v>1</v>
      </c>
    </row>
    <row r="54" spans="1:25" x14ac:dyDescent="0.25">
      <c r="A54" s="62" t="s">
        <v>216</v>
      </c>
      <c r="B54" s="62" t="s">
        <v>217</v>
      </c>
      <c r="C54" s="63" t="s">
        <v>2222</v>
      </c>
      <c r="D54" s="64">
        <v>1</v>
      </c>
      <c r="E54" s="65"/>
      <c r="F54" s="66">
        <v>100</v>
      </c>
      <c r="G54" s="63"/>
      <c r="H54" s="67"/>
      <c r="I54" s="68"/>
      <c r="J54" s="68"/>
      <c r="K54" s="34" t="s">
        <v>65</v>
      </c>
      <c r="L54" s="75">
        <v>54</v>
      </c>
      <c r="M54" s="75"/>
      <c r="N54" s="70"/>
      <c r="O54" s="77" t="s">
        <v>382</v>
      </c>
      <c r="P54" s="79">
        <v>41124.25708333333</v>
      </c>
      <c r="Q54" s="77"/>
      <c r="R54" s="77"/>
      <c r="S54" s="77"/>
      <c r="T54" s="77"/>
      <c r="U54" s="77"/>
      <c r="V54" s="77"/>
      <c r="W54" s="77"/>
      <c r="X54" s="77"/>
      <c r="Y54">
        <v>1</v>
      </c>
    </row>
    <row r="55" spans="1:25" x14ac:dyDescent="0.25">
      <c r="A55" s="62" t="s">
        <v>216</v>
      </c>
      <c r="B55" s="62" t="s">
        <v>272</v>
      </c>
      <c r="C55" s="63" t="s">
        <v>2222</v>
      </c>
      <c r="D55" s="64">
        <v>1</v>
      </c>
      <c r="E55" s="65"/>
      <c r="F55" s="66">
        <v>100</v>
      </c>
      <c r="G55" s="63"/>
      <c r="H55" s="67"/>
      <c r="I55" s="68"/>
      <c r="J55" s="68"/>
      <c r="K55" s="34" t="s">
        <v>64</v>
      </c>
      <c r="L55" s="75">
        <v>55</v>
      </c>
      <c r="M55" s="75"/>
      <c r="N55" s="70"/>
      <c r="O55" s="77" t="s">
        <v>382</v>
      </c>
      <c r="P55" s="79">
        <v>41124.25708333333</v>
      </c>
      <c r="Q55" s="77"/>
      <c r="R55" s="77"/>
      <c r="S55" s="77"/>
      <c r="T55" s="77"/>
      <c r="U55" s="77"/>
      <c r="V55" s="77"/>
      <c r="W55" s="77"/>
      <c r="X55" s="77"/>
      <c r="Y55">
        <v>1</v>
      </c>
    </row>
    <row r="56" spans="1:25" x14ac:dyDescent="0.25">
      <c r="A56" s="62" t="s">
        <v>218</v>
      </c>
      <c r="B56" s="62" t="s">
        <v>216</v>
      </c>
      <c r="C56" s="63" t="s">
        <v>2222</v>
      </c>
      <c r="D56" s="64">
        <v>1</v>
      </c>
      <c r="E56" s="65"/>
      <c r="F56" s="66">
        <v>100</v>
      </c>
      <c r="G56" s="63"/>
      <c r="H56" s="67"/>
      <c r="I56" s="68"/>
      <c r="J56" s="68"/>
      <c r="K56" s="34" t="s">
        <v>64</v>
      </c>
      <c r="L56" s="75">
        <v>56</v>
      </c>
      <c r="M56" s="75"/>
      <c r="N56" s="70"/>
      <c r="O56" s="77" t="s">
        <v>382</v>
      </c>
      <c r="P56" s="79">
        <v>41124.25708333333</v>
      </c>
      <c r="Q56" s="77"/>
      <c r="R56" s="77"/>
      <c r="S56" s="77"/>
      <c r="T56" s="77"/>
      <c r="U56" s="77"/>
      <c r="V56" s="77"/>
      <c r="W56" s="77"/>
      <c r="X56" s="77"/>
      <c r="Y56">
        <v>1</v>
      </c>
    </row>
    <row r="57" spans="1:25" x14ac:dyDescent="0.25">
      <c r="A57" s="62" t="s">
        <v>219</v>
      </c>
      <c r="B57" s="62" t="s">
        <v>219</v>
      </c>
      <c r="C57" s="63" t="s">
        <v>2219</v>
      </c>
      <c r="D57" s="64">
        <v>1</v>
      </c>
      <c r="E57" s="65"/>
      <c r="F57" s="66">
        <v>100</v>
      </c>
      <c r="G57" s="63"/>
      <c r="H57" s="67"/>
      <c r="I57" s="68"/>
      <c r="J57" s="68"/>
      <c r="K57" s="34" t="s">
        <v>64</v>
      </c>
      <c r="L57" s="75">
        <v>57</v>
      </c>
      <c r="M57" s="75"/>
      <c r="N57" s="70"/>
      <c r="O57" s="77" t="s">
        <v>180</v>
      </c>
      <c r="P57" s="79">
        <v>41123.676874999997</v>
      </c>
      <c r="Q57" s="77" t="s">
        <v>421</v>
      </c>
      <c r="R57" s="77"/>
      <c r="S57" s="77"/>
      <c r="T57" s="79">
        <v>41123.676874999997</v>
      </c>
      <c r="U57" s="81" t="s">
        <v>708</v>
      </c>
      <c r="V57" s="77"/>
      <c r="W57" s="77"/>
      <c r="X57" s="84" t="s">
        <v>1005</v>
      </c>
      <c r="Y57" s="82">
        <v>1</v>
      </c>
    </row>
    <row r="58" spans="1:25" x14ac:dyDescent="0.25">
      <c r="A58" s="62" t="s">
        <v>219</v>
      </c>
      <c r="B58" s="62" t="s">
        <v>367</v>
      </c>
      <c r="C58" s="63" t="s">
        <v>2222</v>
      </c>
      <c r="D58" s="64">
        <v>1</v>
      </c>
      <c r="E58" s="65"/>
      <c r="F58" s="66">
        <v>100</v>
      </c>
      <c r="G58" s="63"/>
      <c r="H58" s="67"/>
      <c r="I58" s="68"/>
      <c r="J58" s="68"/>
      <c r="K58" s="34" t="s">
        <v>64</v>
      </c>
      <c r="L58" s="75">
        <v>58</v>
      </c>
      <c r="M58" s="75"/>
      <c r="N58" s="70"/>
      <c r="O58" s="77" t="s">
        <v>382</v>
      </c>
      <c r="P58" s="79">
        <v>41124.25708333333</v>
      </c>
      <c r="Q58" s="77"/>
      <c r="R58" s="77"/>
      <c r="S58" s="77"/>
      <c r="T58" s="77"/>
      <c r="U58" s="77"/>
      <c r="V58" s="77"/>
      <c r="W58" s="77"/>
      <c r="X58" s="77"/>
      <c r="Y58">
        <v>1</v>
      </c>
    </row>
    <row r="59" spans="1:25" x14ac:dyDescent="0.25">
      <c r="A59" s="62" t="s">
        <v>220</v>
      </c>
      <c r="B59" s="62" t="s">
        <v>220</v>
      </c>
      <c r="C59" s="63" t="s">
        <v>2219</v>
      </c>
      <c r="D59" s="64">
        <v>1</v>
      </c>
      <c r="E59" s="65"/>
      <c r="F59" s="66">
        <v>100</v>
      </c>
      <c r="G59" s="63"/>
      <c r="H59" s="67"/>
      <c r="I59" s="68"/>
      <c r="J59" s="68"/>
      <c r="K59" s="34" t="s">
        <v>64</v>
      </c>
      <c r="L59" s="75">
        <v>59</v>
      </c>
      <c r="M59" s="75"/>
      <c r="N59" s="70"/>
      <c r="O59" s="77" t="s">
        <v>180</v>
      </c>
      <c r="P59" s="79">
        <v>41123.678078703706</v>
      </c>
      <c r="Q59" s="77" t="s">
        <v>425</v>
      </c>
      <c r="R59" s="77"/>
      <c r="S59" s="77"/>
      <c r="T59" s="79">
        <v>41123.678078703706</v>
      </c>
      <c r="U59" s="81" t="s">
        <v>709</v>
      </c>
      <c r="V59" s="77"/>
      <c r="W59" s="77"/>
      <c r="X59" s="84" t="s">
        <v>1006</v>
      </c>
      <c r="Y59" s="82">
        <v>1</v>
      </c>
    </row>
    <row r="60" spans="1:25" x14ac:dyDescent="0.25">
      <c r="A60" s="62" t="s">
        <v>220</v>
      </c>
      <c r="B60" s="62" t="s">
        <v>278</v>
      </c>
      <c r="C60" s="63" t="s">
        <v>2222</v>
      </c>
      <c r="D60" s="64">
        <v>1</v>
      </c>
      <c r="E60" s="65"/>
      <c r="F60" s="66">
        <v>100</v>
      </c>
      <c r="G60" s="63"/>
      <c r="H60" s="67"/>
      <c r="I60" s="68"/>
      <c r="J60" s="68"/>
      <c r="K60" s="34" t="s">
        <v>64</v>
      </c>
      <c r="L60" s="75">
        <v>60</v>
      </c>
      <c r="M60" s="75"/>
      <c r="N60" s="70"/>
      <c r="O60" s="77" t="s">
        <v>382</v>
      </c>
      <c r="P60" s="79">
        <v>41124.25708333333</v>
      </c>
      <c r="Q60" s="77"/>
      <c r="R60" s="77"/>
      <c r="S60" s="77"/>
      <c r="T60" s="77"/>
      <c r="U60" s="77"/>
      <c r="V60" s="77"/>
      <c r="W60" s="77"/>
      <c r="X60" s="77"/>
      <c r="Y60">
        <v>1</v>
      </c>
    </row>
    <row r="61" spans="1:25" x14ac:dyDescent="0.25">
      <c r="A61" s="62" t="s">
        <v>220</v>
      </c>
      <c r="B61" s="62" t="s">
        <v>246</v>
      </c>
      <c r="C61" s="63" t="s">
        <v>2222</v>
      </c>
      <c r="D61" s="64">
        <v>1</v>
      </c>
      <c r="E61" s="65"/>
      <c r="F61" s="66">
        <v>100</v>
      </c>
      <c r="G61" s="63"/>
      <c r="H61" s="67"/>
      <c r="I61" s="68"/>
      <c r="J61" s="68"/>
      <c r="K61" s="34" t="s">
        <v>64</v>
      </c>
      <c r="L61" s="75">
        <v>61</v>
      </c>
      <c r="M61" s="75"/>
      <c r="N61" s="70"/>
      <c r="O61" s="77" t="s">
        <v>382</v>
      </c>
      <c r="P61" s="79">
        <v>41124.25708333333</v>
      </c>
      <c r="Q61" s="77"/>
      <c r="R61" s="77"/>
      <c r="S61" s="77"/>
      <c r="T61" s="77"/>
      <c r="U61" s="77"/>
      <c r="V61" s="77"/>
      <c r="W61" s="77"/>
      <c r="X61" s="77"/>
      <c r="Y61">
        <v>1</v>
      </c>
    </row>
    <row r="62" spans="1:25" x14ac:dyDescent="0.25">
      <c r="A62" s="62" t="s">
        <v>220</v>
      </c>
      <c r="B62" s="62" t="s">
        <v>376</v>
      </c>
      <c r="C62" s="63" t="s">
        <v>2222</v>
      </c>
      <c r="D62" s="64">
        <v>1</v>
      </c>
      <c r="E62" s="65"/>
      <c r="F62" s="66">
        <v>100</v>
      </c>
      <c r="G62" s="63"/>
      <c r="H62" s="67"/>
      <c r="I62" s="68"/>
      <c r="J62" s="68"/>
      <c r="K62" s="34" t="s">
        <v>64</v>
      </c>
      <c r="L62" s="75">
        <v>62</v>
      </c>
      <c r="M62" s="75"/>
      <c r="N62" s="70"/>
      <c r="O62" s="77" t="s">
        <v>382</v>
      </c>
      <c r="P62" s="79">
        <v>41124.25708333333</v>
      </c>
      <c r="Q62" s="77"/>
      <c r="R62" s="77"/>
      <c r="S62" s="77"/>
      <c r="T62" s="77"/>
      <c r="U62" s="77"/>
      <c r="V62" s="77"/>
      <c r="W62" s="77"/>
      <c r="X62" s="77"/>
      <c r="Y62">
        <v>1</v>
      </c>
    </row>
    <row r="63" spans="1:25" x14ac:dyDescent="0.25">
      <c r="A63" s="62" t="s">
        <v>220</v>
      </c>
      <c r="B63" s="62" t="s">
        <v>368</v>
      </c>
      <c r="C63" s="63" t="s">
        <v>2222</v>
      </c>
      <c r="D63" s="64">
        <v>1</v>
      </c>
      <c r="E63" s="65"/>
      <c r="F63" s="66">
        <v>100</v>
      </c>
      <c r="G63" s="63"/>
      <c r="H63" s="67"/>
      <c r="I63" s="68"/>
      <c r="J63" s="68"/>
      <c r="K63" s="34" t="s">
        <v>64</v>
      </c>
      <c r="L63" s="75">
        <v>63</v>
      </c>
      <c r="M63" s="75"/>
      <c r="N63" s="70"/>
      <c r="O63" s="77" t="s">
        <v>382</v>
      </c>
      <c r="P63" s="79">
        <v>41124.25708333333</v>
      </c>
      <c r="Q63" s="77"/>
      <c r="R63" s="77"/>
      <c r="S63" s="77"/>
      <c r="T63" s="77"/>
      <c r="U63" s="77"/>
      <c r="V63" s="77"/>
      <c r="W63" s="77"/>
      <c r="X63" s="77"/>
      <c r="Y63">
        <v>1</v>
      </c>
    </row>
    <row r="64" spans="1:25" x14ac:dyDescent="0.25">
      <c r="A64" s="62" t="s">
        <v>220</v>
      </c>
      <c r="B64" s="62" t="s">
        <v>366</v>
      </c>
      <c r="C64" s="63" t="s">
        <v>2222</v>
      </c>
      <c r="D64" s="64">
        <v>1</v>
      </c>
      <c r="E64" s="65"/>
      <c r="F64" s="66">
        <v>100</v>
      </c>
      <c r="G64" s="63"/>
      <c r="H64" s="67"/>
      <c r="I64" s="68"/>
      <c r="J64" s="68"/>
      <c r="K64" s="34" t="s">
        <v>64</v>
      </c>
      <c r="L64" s="75">
        <v>64</v>
      </c>
      <c r="M64" s="75"/>
      <c r="N64" s="70"/>
      <c r="O64" s="77" t="s">
        <v>382</v>
      </c>
      <c r="P64" s="79">
        <v>41124.25708333333</v>
      </c>
      <c r="Q64" s="77"/>
      <c r="R64" s="77"/>
      <c r="S64" s="77"/>
      <c r="T64" s="77"/>
      <c r="U64" s="77"/>
      <c r="V64" s="77"/>
      <c r="W64" s="77"/>
      <c r="X64" s="77"/>
      <c r="Y64">
        <v>1</v>
      </c>
    </row>
    <row r="65" spans="1:25" x14ac:dyDescent="0.25">
      <c r="A65" s="62" t="s">
        <v>220</v>
      </c>
      <c r="B65" s="62" t="s">
        <v>285</v>
      </c>
      <c r="C65" s="63" t="s">
        <v>2222</v>
      </c>
      <c r="D65" s="64">
        <v>1</v>
      </c>
      <c r="E65" s="65"/>
      <c r="F65" s="66">
        <v>100</v>
      </c>
      <c r="G65" s="63"/>
      <c r="H65" s="67"/>
      <c r="I65" s="68"/>
      <c r="J65" s="68"/>
      <c r="K65" s="34" t="s">
        <v>64</v>
      </c>
      <c r="L65" s="75">
        <v>65</v>
      </c>
      <c r="M65" s="75"/>
      <c r="N65" s="70"/>
      <c r="O65" s="77" t="s">
        <v>382</v>
      </c>
      <c r="P65" s="79">
        <v>41124.25708333333</v>
      </c>
      <c r="Q65" s="77"/>
      <c r="R65" s="77"/>
      <c r="S65" s="77"/>
      <c r="T65" s="77"/>
      <c r="U65" s="77"/>
      <c r="V65" s="77"/>
      <c r="W65" s="77"/>
      <c r="X65" s="77"/>
      <c r="Y65">
        <v>1</v>
      </c>
    </row>
    <row r="66" spans="1:25" x14ac:dyDescent="0.25">
      <c r="A66" s="62" t="s">
        <v>220</v>
      </c>
      <c r="B66" s="62" t="s">
        <v>322</v>
      </c>
      <c r="C66" s="63" t="s">
        <v>2222</v>
      </c>
      <c r="D66" s="64">
        <v>1</v>
      </c>
      <c r="E66" s="65"/>
      <c r="F66" s="66">
        <v>100</v>
      </c>
      <c r="G66" s="63"/>
      <c r="H66" s="67"/>
      <c r="I66" s="68"/>
      <c r="J66" s="68"/>
      <c r="K66" s="34" t="s">
        <v>64</v>
      </c>
      <c r="L66" s="75">
        <v>66</v>
      </c>
      <c r="M66" s="75"/>
      <c r="N66" s="70"/>
      <c r="O66" s="77" t="s">
        <v>382</v>
      </c>
      <c r="P66" s="79">
        <v>41124.25708333333</v>
      </c>
      <c r="Q66" s="77"/>
      <c r="R66" s="77"/>
      <c r="S66" s="77"/>
      <c r="T66" s="77"/>
      <c r="U66" s="77"/>
      <c r="V66" s="77"/>
      <c r="W66" s="77"/>
      <c r="X66" s="77"/>
      <c r="Y66">
        <v>1</v>
      </c>
    </row>
    <row r="67" spans="1:25" x14ac:dyDescent="0.25">
      <c r="A67" s="62" t="s">
        <v>221</v>
      </c>
      <c r="B67" s="62" t="s">
        <v>221</v>
      </c>
      <c r="C67" s="63" t="s">
        <v>2219</v>
      </c>
      <c r="D67" s="64">
        <v>1</v>
      </c>
      <c r="E67" s="65"/>
      <c r="F67" s="66">
        <v>100</v>
      </c>
      <c r="G67" s="63"/>
      <c r="H67" s="67"/>
      <c r="I67" s="68"/>
      <c r="J67" s="68"/>
      <c r="K67" s="34" t="s">
        <v>64</v>
      </c>
      <c r="L67" s="75">
        <v>67</v>
      </c>
      <c r="M67" s="75"/>
      <c r="N67" s="70"/>
      <c r="O67" s="77" t="s">
        <v>180</v>
      </c>
      <c r="P67" s="79">
        <v>41123.679837962962</v>
      </c>
      <c r="Q67" s="77" t="s">
        <v>426</v>
      </c>
      <c r="R67" s="77"/>
      <c r="S67" s="77"/>
      <c r="T67" s="79">
        <v>41123.679837962962</v>
      </c>
      <c r="U67" s="81" t="s">
        <v>710</v>
      </c>
      <c r="V67" s="77"/>
      <c r="W67" s="77"/>
      <c r="X67" s="84" t="s">
        <v>1007</v>
      </c>
      <c r="Y67" s="82">
        <v>1</v>
      </c>
    </row>
    <row r="68" spans="1:25" x14ac:dyDescent="0.25">
      <c r="A68" s="62" t="s">
        <v>221</v>
      </c>
      <c r="B68" s="62" t="s">
        <v>376</v>
      </c>
      <c r="C68" s="63" t="s">
        <v>2222</v>
      </c>
      <c r="D68" s="64">
        <v>1</v>
      </c>
      <c r="E68" s="65"/>
      <c r="F68" s="66">
        <v>100</v>
      </c>
      <c r="G68" s="63"/>
      <c r="H68" s="67"/>
      <c r="I68" s="68"/>
      <c r="J68" s="68"/>
      <c r="K68" s="34" t="s">
        <v>64</v>
      </c>
      <c r="L68" s="75">
        <v>68</v>
      </c>
      <c r="M68" s="75"/>
      <c r="N68" s="70"/>
      <c r="O68" s="77" t="s">
        <v>382</v>
      </c>
      <c r="P68" s="79">
        <v>41124.25708333333</v>
      </c>
      <c r="Q68" s="77"/>
      <c r="R68" s="77"/>
      <c r="S68" s="77"/>
      <c r="T68" s="77"/>
      <c r="U68" s="77"/>
      <c r="V68" s="77"/>
      <c r="W68" s="77"/>
      <c r="X68" s="77"/>
      <c r="Y68">
        <v>1</v>
      </c>
    </row>
    <row r="69" spans="1:25" x14ac:dyDescent="0.25">
      <c r="A69" s="62" t="s">
        <v>222</v>
      </c>
      <c r="B69" s="62" t="s">
        <v>222</v>
      </c>
      <c r="C69" s="63" t="s">
        <v>2219</v>
      </c>
      <c r="D69" s="64">
        <v>1</v>
      </c>
      <c r="E69" s="65"/>
      <c r="F69" s="66">
        <v>100</v>
      </c>
      <c r="G69" s="63"/>
      <c r="H69" s="67"/>
      <c r="I69" s="68"/>
      <c r="J69" s="68"/>
      <c r="K69" s="34" t="s">
        <v>64</v>
      </c>
      <c r="L69" s="75">
        <v>69</v>
      </c>
      <c r="M69" s="75"/>
      <c r="N69" s="70"/>
      <c r="O69" s="77" t="s">
        <v>180</v>
      </c>
      <c r="P69" s="79">
        <v>41123.680254629631</v>
      </c>
      <c r="Q69" s="77" t="s">
        <v>427</v>
      </c>
      <c r="R69" s="77"/>
      <c r="S69" s="77"/>
      <c r="T69" s="79">
        <v>41123.680254629631</v>
      </c>
      <c r="U69" s="81" t="s">
        <v>711</v>
      </c>
      <c r="V69" s="77"/>
      <c r="W69" s="77"/>
      <c r="X69" s="84" t="s">
        <v>1008</v>
      </c>
      <c r="Y69" s="82">
        <v>1</v>
      </c>
    </row>
    <row r="70" spans="1:25" x14ac:dyDescent="0.25">
      <c r="A70" s="62" t="s">
        <v>222</v>
      </c>
      <c r="B70" s="62" t="s">
        <v>376</v>
      </c>
      <c r="C70" s="63" t="s">
        <v>2222</v>
      </c>
      <c r="D70" s="64">
        <v>1</v>
      </c>
      <c r="E70" s="65"/>
      <c r="F70" s="66">
        <v>100</v>
      </c>
      <c r="G70" s="63"/>
      <c r="H70" s="67"/>
      <c r="I70" s="68"/>
      <c r="J70" s="68"/>
      <c r="K70" s="34" t="s">
        <v>64</v>
      </c>
      <c r="L70" s="75">
        <v>70</v>
      </c>
      <c r="M70" s="75"/>
      <c r="N70" s="70"/>
      <c r="O70" s="77" t="s">
        <v>382</v>
      </c>
      <c r="P70" s="79">
        <v>41124.25708333333</v>
      </c>
      <c r="Q70" s="77"/>
      <c r="R70" s="77"/>
      <c r="S70" s="77"/>
      <c r="T70" s="77"/>
      <c r="U70" s="77"/>
      <c r="V70" s="77"/>
      <c r="W70" s="77"/>
      <c r="X70" s="77"/>
      <c r="Y70">
        <v>1</v>
      </c>
    </row>
    <row r="71" spans="1:25" x14ac:dyDescent="0.25">
      <c r="A71" s="62" t="s">
        <v>223</v>
      </c>
      <c r="B71" s="62" t="s">
        <v>223</v>
      </c>
      <c r="C71" s="63" t="s">
        <v>2219</v>
      </c>
      <c r="D71" s="64">
        <v>1</v>
      </c>
      <c r="E71" s="65"/>
      <c r="F71" s="66">
        <v>100</v>
      </c>
      <c r="G71" s="63"/>
      <c r="H71" s="67"/>
      <c r="I71" s="68"/>
      <c r="J71" s="68"/>
      <c r="K71" s="34" t="s">
        <v>64</v>
      </c>
      <c r="L71" s="75">
        <v>71</v>
      </c>
      <c r="M71" s="75"/>
      <c r="N71" s="70"/>
      <c r="O71" s="77" t="s">
        <v>180</v>
      </c>
      <c r="P71" s="79">
        <v>41123.680497685185</v>
      </c>
      <c r="Q71" s="77" t="s">
        <v>427</v>
      </c>
      <c r="R71" s="77"/>
      <c r="S71" s="77"/>
      <c r="T71" s="79">
        <v>41123.680497685185</v>
      </c>
      <c r="U71" s="81" t="s">
        <v>712</v>
      </c>
      <c r="V71" s="77"/>
      <c r="W71" s="77"/>
      <c r="X71" s="84" t="s">
        <v>1009</v>
      </c>
      <c r="Y71" s="82">
        <v>1</v>
      </c>
    </row>
    <row r="72" spans="1:25" x14ac:dyDescent="0.25">
      <c r="A72" s="62" t="s">
        <v>223</v>
      </c>
      <c r="B72" s="62" t="s">
        <v>376</v>
      </c>
      <c r="C72" s="63" t="s">
        <v>2222</v>
      </c>
      <c r="D72" s="64">
        <v>1</v>
      </c>
      <c r="E72" s="65"/>
      <c r="F72" s="66">
        <v>100</v>
      </c>
      <c r="G72" s="63"/>
      <c r="H72" s="67"/>
      <c r="I72" s="68"/>
      <c r="J72" s="68"/>
      <c r="K72" s="34" t="s">
        <v>64</v>
      </c>
      <c r="L72" s="75">
        <v>72</v>
      </c>
      <c r="M72" s="75"/>
      <c r="N72" s="70"/>
      <c r="O72" s="77" t="s">
        <v>382</v>
      </c>
      <c r="P72" s="79">
        <v>41124.25708333333</v>
      </c>
      <c r="Q72" s="77"/>
      <c r="R72" s="77"/>
      <c r="S72" s="77"/>
      <c r="T72" s="77"/>
      <c r="U72" s="77"/>
      <c r="V72" s="77"/>
      <c r="W72" s="77"/>
      <c r="X72" s="77"/>
      <c r="Y72">
        <v>1</v>
      </c>
    </row>
    <row r="73" spans="1:25" x14ac:dyDescent="0.25">
      <c r="A73" s="62" t="s">
        <v>224</v>
      </c>
      <c r="B73" s="62" t="s">
        <v>224</v>
      </c>
      <c r="C73" s="63" t="s">
        <v>2219</v>
      </c>
      <c r="D73" s="64">
        <v>1.5</v>
      </c>
      <c r="E73" s="65"/>
      <c r="F73" s="66">
        <v>97.777777777777771</v>
      </c>
      <c r="G73" s="63"/>
      <c r="H73" s="67"/>
      <c r="I73" s="68"/>
      <c r="J73" s="68"/>
      <c r="K73" s="34" t="s">
        <v>64</v>
      </c>
      <c r="L73" s="75">
        <v>73</v>
      </c>
      <c r="M73" s="75"/>
      <c r="N73" s="70"/>
      <c r="O73" s="77" t="s">
        <v>180</v>
      </c>
      <c r="P73" s="79">
        <v>41123.675451388888</v>
      </c>
      <c r="Q73" s="77" t="s">
        <v>428</v>
      </c>
      <c r="R73" s="81" t="s">
        <v>611</v>
      </c>
      <c r="S73" s="77" t="s">
        <v>644</v>
      </c>
      <c r="T73" s="79">
        <v>41123.675451388888</v>
      </c>
      <c r="U73" s="81" t="s">
        <v>713</v>
      </c>
      <c r="V73" s="77"/>
      <c r="W73" s="77"/>
      <c r="X73" s="84" t="s">
        <v>1010</v>
      </c>
      <c r="Y73" s="82">
        <v>2</v>
      </c>
    </row>
    <row r="74" spans="1:25" x14ac:dyDescent="0.25">
      <c r="A74" s="62" t="s">
        <v>224</v>
      </c>
      <c r="B74" s="62" t="s">
        <v>224</v>
      </c>
      <c r="C74" s="63" t="s">
        <v>2219</v>
      </c>
      <c r="D74" s="64">
        <v>1.5</v>
      </c>
      <c r="E74" s="65"/>
      <c r="F74" s="66">
        <v>97.777777777777771</v>
      </c>
      <c r="G74" s="63"/>
      <c r="H74" s="67"/>
      <c r="I74" s="68"/>
      <c r="J74" s="68"/>
      <c r="K74" s="34" t="s">
        <v>64</v>
      </c>
      <c r="L74" s="75">
        <v>74</v>
      </c>
      <c r="M74" s="75"/>
      <c r="N74" s="70"/>
      <c r="O74" s="77" t="s">
        <v>180</v>
      </c>
      <c r="P74" s="79">
        <v>41123.680578703701</v>
      </c>
      <c r="Q74" s="77" t="s">
        <v>429</v>
      </c>
      <c r="R74" s="77"/>
      <c r="S74" s="77"/>
      <c r="T74" s="79">
        <v>41123.680578703701</v>
      </c>
      <c r="U74" s="81" t="s">
        <v>714</v>
      </c>
      <c r="V74" s="77"/>
      <c r="W74" s="77"/>
      <c r="X74" s="84" t="s">
        <v>1011</v>
      </c>
      <c r="Y74" s="82">
        <v>2</v>
      </c>
    </row>
    <row r="75" spans="1:25" x14ac:dyDescent="0.25">
      <c r="A75" s="62" t="s">
        <v>224</v>
      </c>
      <c r="B75" s="62" t="s">
        <v>246</v>
      </c>
      <c r="C75" s="63" t="s">
        <v>2222</v>
      </c>
      <c r="D75" s="64">
        <v>1</v>
      </c>
      <c r="E75" s="65"/>
      <c r="F75" s="66">
        <v>100</v>
      </c>
      <c r="G75" s="63"/>
      <c r="H75" s="67"/>
      <c r="I75" s="68"/>
      <c r="J75" s="68"/>
      <c r="K75" s="34" t="s">
        <v>64</v>
      </c>
      <c r="L75" s="75">
        <v>75</v>
      </c>
      <c r="M75" s="75"/>
      <c r="N75" s="70"/>
      <c r="O75" s="77" t="s">
        <v>382</v>
      </c>
      <c r="P75" s="79">
        <v>41124.25708333333</v>
      </c>
      <c r="Q75" s="77"/>
      <c r="R75" s="77"/>
      <c r="S75" s="77"/>
      <c r="T75" s="77"/>
      <c r="U75" s="77"/>
      <c r="V75" s="77"/>
      <c r="W75" s="77"/>
      <c r="X75" s="77"/>
      <c r="Y75">
        <v>1</v>
      </c>
    </row>
    <row r="76" spans="1:25" x14ac:dyDescent="0.25">
      <c r="A76" s="62" t="s">
        <v>225</v>
      </c>
      <c r="B76" s="62" t="s">
        <v>225</v>
      </c>
      <c r="C76" s="63" t="s">
        <v>2219</v>
      </c>
      <c r="D76" s="64">
        <v>1</v>
      </c>
      <c r="E76" s="65"/>
      <c r="F76" s="66">
        <v>100</v>
      </c>
      <c r="G76" s="63"/>
      <c r="H76" s="67"/>
      <c r="I76" s="68"/>
      <c r="J76" s="68"/>
      <c r="K76" s="34" t="s">
        <v>64</v>
      </c>
      <c r="L76" s="75">
        <v>76</v>
      </c>
      <c r="M76" s="75"/>
      <c r="N76" s="70"/>
      <c r="O76" s="77" t="s">
        <v>180</v>
      </c>
      <c r="P76" s="79">
        <v>41123.683993055558</v>
      </c>
      <c r="Q76" s="77" t="s">
        <v>427</v>
      </c>
      <c r="R76" s="77"/>
      <c r="S76" s="77"/>
      <c r="T76" s="79">
        <v>41123.683993055558</v>
      </c>
      <c r="U76" s="81" t="s">
        <v>715</v>
      </c>
      <c r="V76" s="77"/>
      <c r="W76" s="77"/>
      <c r="X76" s="84" t="s">
        <v>1012</v>
      </c>
      <c r="Y76" s="82">
        <v>1</v>
      </c>
    </row>
    <row r="77" spans="1:25" x14ac:dyDescent="0.25">
      <c r="A77" s="62" t="s">
        <v>225</v>
      </c>
      <c r="B77" s="62" t="s">
        <v>376</v>
      </c>
      <c r="C77" s="63" t="s">
        <v>2222</v>
      </c>
      <c r="D77" s="64">
        <v>1</v>
      </c>
      <c r="E77" s="65"/>
      <c r="F77" s="66">
        <v>100</v>
      </c>
      <c r="G77" s="63"/>
      <c r="H77" s="67"/>
      <c r="I77" s="68"/>
      <c r="J77" s="68"/>
      <c r="K77" s="34" t="s">
        <v>64</v>
      </c>
      <c r="L77" s="75">
        <v>77</v>
      </c>
      <c r="M77" s="75"/>
      <c r="N77" s="70"/>
      <c r="O77" s="77" t="s">
        <v>382</v>
      </c>
      <c r="P77" s="79">
        <v>41124.25708333333</v>
      </c>
      <c r="Q77" s="77"/>
      <c r="R77" s="77"/>
      <c r="S77" s="77"/>
      <c r="T77" s="77"/>
      <c r="U77" s="77"/>
      <c r="V77" s="77"/>
      <c r="W77" s="77"/>
      <c r="X77" s="77"/>
      <c r="Y77">
        <v>1</v>
      </c>
    </row>
    <row r="78" spans="1:25" x14ac:dyDescent="0.25">
      <c r="A78" s="62" t="s">
        <v>226</v>
      </c>
      <c r="B78" s="62" t="s">
        <v>254</v>
      </c>
      <c r="C78" s="63" t="s">
        <v>2221</v>
      </c>
      <c r="D78" s="64">
        <v>1.5</v>
      </c>
      <c r="E78" s="65"/>
      <c r="F78" s="66">
        <v>97.777777777777771</v>
      </c>
      <c r="G78" s="63"/>
      <c r="H78" s="67"/>
      <c r="I78" s="68"/>
      <c r="J78" s="68"/>
      <c r="K78" s="34" t="s">
        <v>64</v>
      </c>
      <c r="L78" s="75">
        <v>78</v>
      </c>
      <c r="M78" s="75"/>
      <c r="N78" s="70"/>
      <c r="O78" s="77" t="s">
        <v>381</v>
      </c>
      <c r="P78" s="79">
        <v>41123.679513888892</v>
      </c>
      <c r="Q78" s="77" t="s">
        <v>430</v>
      </c>
      <c r="R78" s="77"/>
      <c r="S78" s="77"/>
      <c r="T78" s="79">
        <v>41123.679513888892</v>
      </c>
      <c r="U78" s="81" t="s">
        <v>716</v>
      </c>
      <c r="V78" s="77"/>
      <c r="W78" s="77"/>
      <c r="X78" s="84" t="s">
        <v>1013</v>
      </c>
      <c r="Y78" s="82">
        <v>2</v>
      </c>
    </row>
    <row r="79" spans="1:25" x14ac:dyDescent="0.25">
      <c r="A79" s="62" t="s">
        <v>226</v>
      </c>
      <c r="B79" s="62" t="s">
        <v>254</v>
      </c>
      <c r="C79" s="63" t="s">
        <v>2221</v>
      </c>
      <c r="D79" s="64">
        <v>1.5</v>
      </c>
      <c r="E79" s="65"/>
      <c r="F79" s="66">
        <v>97.777777777777771</v>
      </c>
      <c r="G79" s="63"/>
      <c r="H79" s="67"/>
      <c r="I79" s="68"/>
      <c r="J79" s="68"/>
      <c r="K79" s="34" t="s">
        <v>64</v>
      </c>
      <c r="L79" s="75">
        <v>79</v>
      </c>
      <c r="M79" s="75"/>
      <c r="N79" s="70"/>
      <c r="O79" s="77" t="s">
        <v>381</v>
      </c>
      <c r="P79" s="79">
        <v>41123.685324074075</v>
      </c>
      <c r="Q79" s="77" t="s">
        <v>431</v>
      </c>
      <c r="R79" s="77"/>
      <c r="S79" s="77"/>
      <c r="T79" s="79">
        <v>41123.685324074075</v>
      </c>
      <c r="U79" s="81" t="s">
        <v>717</v>
      </c>
      <c r="V79" s="77"/>
      <c r="W79" s="77"/>
      <c r="X79" s="84" t="s">
        <v>1014</v>
      </c>
      <c r="Y79" s="82">
        <v>2</v>
      </c>
    </row>
    <row r="80" spans="1:25" x14ac:dyDescent="0.25">
      <c r="A80" s="62" t="s">
        <v>226</v>
      </c>
      <c r="B80" s="62" t="s">
        <v>346</v>
      </c>
      <c r="C80" s="63" t="s">
        <v>2222</v>
      </c>
      <c r="D80" s="64">
        <v>1</v>
      </c>
      <c r="E80" s="65"/>
      <c r="F80" s="66">
        <v>100</v>
      </c>
      <c r="G80" s="63"/>
      <c r="H80" s="67"/>
      <c r="I80" s="68"/>
      <c r="J80" s="68"/>
      <c r="K80" s="34" t="s">
        <v>64</v>
      </c>
      <c r="L80" s="75">
        <v>80</v>
      </c>
      <c r="M80" s="75"/>
      <c r="N80" s="70"/>
      <c r="O80" s="77" t="s">
        <v>382</v>
      </c>
      <c r="P80" s="79">
        <v>41124.25708333333</v>
      </c>
      <c r="Q80" s="77"/>
      <c r="R80" s="77"/>
      <c r="S80" s="77"/>
      <c r="T80" s="77"/>
      <c r="U80" s="77"/>
      <c r="V80" s="77"/>
      <c r="W80" s="77"/>
      <c r="X80" s="77"/>
      <c r="Y80">
        <v>1</v>
      </c>
    </row>
    <row r="81" spans="1:25" x14ac:dyDescent="0.25">
      <c r="A81" s="62" t="s">
        <v>227</v>
      </c>
      <c r="B81" s="62" t="s">
        <v>227</v>
      </c>
      <c r="C81" s="63" t="s">
        <v>2219</v>
      </c>
      <c r="D81" s="64">
        <v>1.5</v>
      </c>
      <c r="E81" s="65"/>
      <c r="F81" s="66">
        <v>97.777777777777771</v>
      </c>
      <c r="G81" s="63"/>
      <c r="H81" s="67"/>
      <c r="I81" s="68"/>
      <c r="J81" s="68"/>
      <c r="K81" s="34" t="s">
        <v>64</v>
      </c>
      <c r="L81" s="75">
        <v>81</v>
      </c>
      <c r="M81" s="75"/>
      <c r="N81" s="70"/>
      <c r="O81" s="77" t="s">
        <v>180</v>
      </c>
      <c r="P81" s="79">
        <v>41123.682256944441</v>
      </c>
      <c r="Q81" s="77" t="s">
        <v>427</v>
      </c>
      <c r="R81" s="77"/>
      <c r="S81" s="77"/>
      <c r="T81" s="79">
        <v>41123.682256944441</v>
      </c>
      <c r="U81" s="81" t="s">
        <v>718</v>
      </c>
      <c r="V81" s="77"/>
      <c r="W81" s="77"/>
      <c r="X81" s="84" t="s">
        <v>1015</v>
      </c>
      <c r="Y81" s="82">
        <v>2</v>
      </c>
    </row>
    <row r="82" spans="1:25" x14ac:dyDescent="0.25">
      <c r="A82" s="62" t="s">
        <v>227</v>
      </c>
      <c r="B82" s="62" t="s">
        <v>227</v>
      </c>
      <c r="C82" s="63" t="s">
        <v>2219</v>
      </c>
      <c r="D82" s="64">
        <v>1.5</v>
      </c>
      <c r="E82" s="65"/>
      <c r="F82" s="66">
        <v>97.777777777777771</v>
      </c>
      <c r="G82" s="63"/>
      <c r="H82" s="67"/>
      <c r="I82" s="68"/>
      <c r="J82" s="68"/>
      <c r="K82" s="34" t="s">
        <v>64</v>
      </c>
      <c r="L82" s="75">
        <v>82</v>
      </c>
      <c r="M82" s="75"/>
      <c r="N82" s="70"/>
      <c r="O82" s="77" t="s">
        <v>180</v>
      </c>
      <c r="P82" s="79">
        <v>41123.688333333332</v>
      </c>
      <c r="Q82" s="77" t="s">
        <v>432</v>
      </c>
      <c r="R82" s="77"/>
      <c r="S82" s="77"/>
      <c r="T82" s="79">
        <v>41123.688333333332</v>
      </c>
      <c r="U82" s="81" t="s">
        <v>719</v>
      </c>
      <c r="V82" s="77"/>
      <c r="W82" s="77"/>
      <c r="X82" s="84" t="s">
        <v>1016</v>
      </c>
      <c r="Y82" s="82">
        <v>2</v>
      </c>
    </row>
    <row r="83" spans="1:25" x14ac:dyDescent="0.25">
      <c r="A83" s="62" t="s">
        <v>228</v>
      </c>
      <c r="B83" s="62" t="s">
        <v>227</v>
      </c>
      <c r="C83" s="63" t="s">
        <v>2222</v>
      </c>
      <c r="D83" s="64">
        <v>1</v>
      </c>
      <c r="E83" s="65"/>
      <c r="F83" s="66">
        <v>100</v>
      </c>
      <c r="G83" s="63"/>
      <c r="H83" s="67"/>
      <c r="I83" s="68"/>
      <c r="J83" s="68"/>
      <c r="K83" s="34" t="s">
        <v>65</v>
      </c>
      <c r="L83" s="75">
        <v>83</v>
      </c>
      <c r="M83" s="75"/>
      <c r="N83" s="70"/>
      <c r="O83" s="77" t="s">
        <v>382</v>
      </c>
      <c r="P83" s="79">
        <v>41124.25708333333</v>
      </c>
      <c r="Q83" s="77"/>
      <c r="R83" s="77"/>
      <c r="S83" s="77"/>
      <c r="T83" s="77"/>
      <c r="U83" s="77"/>
      <c r="V83" s="77"/>
      <c r="W83" s="77"/>
      <c r="X83" s="77"/>
      <c r="Y83">
        <v>1</v>
      </c>
    </row>
    <row r="84" spans="1:25" x14ac:dyDescent="0.25">
      <c r="A84" s="62" t="s">
        <v>227</v>
      </c>
      <c r="B84" s="62" t="s">
        <v>228</v>
      </c>
      <c r="C84" s="63" t="s">
        <v>2222</v>
      </c>
      <c r="D84" s="64">
        <v>1</v>
      </c>
      <c r="E84" s="65"/>
      <c r="F84" s="66">
        <v>100</v>
      </c>
      <c r="G84" s="63"/>
      <c r="H84" s="67"/>
      <c r="I84" s="68"/>
      <c r="J84" s="68"/>
      <c r="K84" s="34" t="s">
        <v>65</v>
      </c>
      <c r="L84" s="75">
        <v>84</v>
      </c>
      <c r="M84" s="75"/>
      <c r="N84" s="70"/>
      <c r="O84" s="77" t="s">
        <v>382</v>
      </c>
      <c r="P84" s="79">
        <v>41124.25708333333</v>
      </c>
      <c r="Q84" s="77"/>
      <c r="R84" s="77"/>
      <c r="S84" s="77"/>
      <c r="T84" s="77"/>
      <c r="U84" s="77"/>
      <c r="V84" s="77"/>
      <c r="W84" s="77"/>
      <c r="X84" s="77"/>
      <c r="Y84">
        <v>1</v>
      </c>
    </row>
    <row r="85" spans="1:25" x14ac:dyDescent="0.25">
      <c r="A85" s="62" t="s">
        <v>229</v>
      </c>
      <c r="B85" s="62" t="s">
        <v>229</v>
      </c>
      <c r="C85" s="63" t="s">
        <v>2219</v>
      </c>
      <c r="D85" s="64">
        <v>1</v>
      </c>
      <c r="E85" s="65"/>
      <c r="F85" s="66">
        <v>100</v>
      </c>
      <c r="G85" s="63"/>
      <c r="H85" s="67"/>
      <c r="I85" s="68"/>
      <c r="J85" s="68"/>
      <c r="K85" s="34" t="s">
        <v>64</v>
      </c>
      <c r="L85" s="75">
        <v>85</v>
      </c>
      <c r="M85" s="75"/>
      <c r="N85" s="70"/>
      <c r="O85" s="77" t="s">
        <v>180</v>
      </c>
      <c r="P85" s="79">
        <v>41123.691574074073</v>
      </c>
      <c r="Q85" s="77" t="s">
        <v>433</v>
      </c>
      <c r="R85" s="81" t="s">
        <v>615</v>
      </c>
      <c r="S85" s="77"/>
      <c r="T85" s="79">
        <v>41123.691574074073</v>
      </c>
      <c r="U85" s="81" t="s">
        <v>720</v>
      </c>
      <c r="V85" s="77"/>
      <c r="W85" s="77"/>
      <c r="X85" s="84" t="s">
        <v>1017</v>
      </c>
      <c r="Y85" s="82">
        <v>1</v>
      </c>
    </row>
    <row r="86" spans="1:25" x14ac:dyDescent="0.25">
      <c r="A86" s="62" t="s">
        <v>229</v>
      </c>
      <c r="B86" s="62" t="s">
        <v>367</v>
      </c>
      <c r="C86" s="63" t="s">
        <v>2222</v>
      </c>
      <c r="D86" s="64">
        <v>1</v>
      </c>
      <c r="E86" s="65"/>
      <c r="F86" s="66">
        <v>100</v>
      </c>
      <c r="G86" s="63"/>
      <c r="H86" s="67"/>
      <c r="I86" s="68"/>
      <c r="J86" s="68"/>
      <c r="K86" s="34" t="s">
        <v>64</v>
      </c>
      <c r="L86" s="75">
        <v>86</v>
      </c>
      <c r="M86" s="75"/>
      <c r="N86" s="70"/>
      <c r="O86" s="77" t="s">
        <v>382</v>
      </c>
      <c r="P86" s="79">
        <v>41124.25708333333</v>
      </c>
      <c r="Q86" s="77"/>
      <c r="R86" s="77"/>
      <c r="S86" s="77"/>
      <c r="T86" s="77"/>
      <c r="U86" s="77"/>
      <c r="V86" s="77"/>
      <c r="W86" s="77"/>
      <c r="X86" s="77"/>
      <c r="Y86">
        <v>1</v>
      </c>
    </row>
    <row r="87" spans="1:25" x14ac:dyDescent="0.25">
      <c r="A87" s="62" t="s">
        <v>230</v>
      </c>
      <c r="B87" s="62" t="s">
        <v>230</v>
      </c>
      <c r="C87" s="63" t="s">
        <v>2219</v>
      </c>
      <c r="D87" s="64">
        <v>10</v>
      </c>
      <c r="E87" s="65"/>
      <c r="F87" s="66">
        <v>60</v>
      </c>
      <c r="G87" s="63"/>
      <c r="H87" s="67"/>
      <c r="I87" s="68"/>
      <c r="J87" s="68"/>
      <c r="K87" s="34" t="s">
        <v>64</v>
      </c>
      <c r="L87" s="75">
        <v>87</v>
      </c>
      <c r="M87" s="75"/>
      <c r="N87" s="70"/>
      <c r="O87" s="77" t="s">
        <v>180</v>
      </c>
      <c r="P87" s="79">
        <v>41123.679201388892</v>
      </c>
      <c r="Q87" s="77" t="s">
        <v>434</v>
      </c>
      <c r="R87" s="77"/>
      <c r="S87" s="77" t="s">
        <v>645</v>
      </c>
      <c r="T87" s="79">
        <v>41123.679201388892</v>
      </c>
      <c r="U87" s="81" t="s">
        <v>721</v>
      </c>
      <c r="V87" s="77"/>
      <c r="W87" s="77"/>
      <c r="X87" s="84" t="s">
        <v>1018</v>
      </c>
      <c r="Y87" s="82">
        <v>19</v>
      </c>
    </row>
    <row r="88" spans="1:25" x14ac:dyDescent="0.25">
      <c r="A88" s="62" t="s">
        <v>230</v>
      </c>
      <c r="B88" s="62" t="s">
        <v>230</v>
      </c>
      <c r="C88" s="63" t="s">
        <v>2219</v>
      </c>
      <c r="D88" s="64">
        <v>10</v>
      </c>
      <c r="E88" s="65"/>
      <c r="F88" s="66">
        <v>60</v>
      </c>
      <c r="G88" s="63"/>
      <c r="H88" s="67"/>
      <c r="I88" s="68"/>
      <c r="J88" s="68"/>
      <c r="K88" s="34" t="s">
        <v>64</v>
      </c>
      <c r="L88" s="75">
        <v>88</v>
      </c>
      <c r="M88" s="75"/>
      <c r="N88" s="70"/>
      <c r="O88" s="77" t="s">
        <v>180</v>
      </c>
      <c r="P88" s="79">
        <v>41123.679513888892</v>
      </c>
      <c r="Q88" s="77" t="s">
        <v>435</v>
      </c>
      <c r="R88" s="77"/>
      <c r="S88" s="77" t="s">
        <v>645</v>
      </c>
      <c r="T88" s="79">
        <v>41123.679513888892</v>
      </c>
      <c r="U88" s="81" t="s">
        <v>722</v>
      </c>
      <c r="V88" s="77"/>
      <c r="W88" s="77"/>
      <c r="X88" s="84" t="s">
        <v>1019</v>
      </c>
      <c r="Y88" s="82">
        <v>19</v>
      </c>
    </row>
    <row r="89" spans="1:25" x14ac:dyDescent="0.25">
      <c r="A89" s="62" t="s">
        <v>230</v>
      </c>
      <c r="B89" s="62" t="s">
        <v>230</v>
      </c>
      <c r="C89" s="63" t="s">
        <v>2219</v>
      </c>
      <c r="D89" s="64">
        <v>10</v>
      </c>
      <c r="E89" s="65"/>
      <c r="F89" s="66">
        <v>60</v>
      </c>
      <c r="G89" s="63"/>
      <c r="H89" s="67"/>
      <c r="I89" s="68"/>
      <c r="J89" s="68"/>
      <c r="K89" s="34" t="s">
        <v>64</v>
      </c>
      <c r="L89" s="75">
        <v>89</v>
      </c>
      <c r="M89" s="75"/>
      <c r="N89" s="70"/>
      <c r="O89" s="77" t="s">
        <v>180</v>
      </c>
      <c r="P89" s="79">
        <v>41123.680115740739</v>
      </c>
      <c r="Q89" s="77" t="s">
        <v>436</v>
      </c>
      <c r="R89" s="77"/>
      <c r="S89" s="77" t="s">
        <v>645</v>
      </c>
      <c r="T89" s="79">
        <v>41123.680115740739</v>
      </c>
      <c r="U89" s="81" t="s">
        <v>723</v>
      </c>
      <c r="V89" s="77"/>
      <c r="W89" s="77"/>
      <c r="X89" s="84" t="s">
        <v>1020</v>
      </c>
      <c r="Y89" s="82">
        <v>19</v>
      </c>
    </row>
    <row r="90" spans="1:25" x14ac:dyDescent="0.25">
      <c r="A90" s="62" t="s">
        <v>230</v>
      </c>
      <c r="B90" s="62" t="s">
        <v>230</v>
      </c>
      <c r="C90" s="63" t="s">
        <v>2219</v>
      </c>
      <c r="D90" s="64">
        <v>10</v>
      </c>
      <c r="E90" s="65"/>
      <c r="F90" s="66">
        <v>60</v>
      </c>
      <c r="G90" s="63"/>
      <c r="H90" s="67"/>
      <c r="I90" s="68"/>
      <c r="J90" s="68"/>
      <c r="K90" s="34" t="s">
        <v>64</v>
      </c>
      <c r="L90" s="75">
        <v>90</v>
      </c>
      <c r="M90" s="75"/>
      <c r="N90" s="70"/>
      <c r="O90" s="77" t="s">
        <v>180</v>
      </c>
      <c r="P90" s="79">
        <v>41123.683981481481</v>
      </c>
      <c r="Q90" s="77" t="s">
        <v>437</v>
      </c>
      <c r="R90" s="77"/>
      <c r="S90" s="77" t="s">
        <v>645</v>
      </c>
      <c r="T90" s="79">
        <v>41123.683981481481</v>
      </c>
      <c r="U90" s="81" t="s">
        <v>724</v>
      </c>
      <c r="V90" s="77"/>
      <c r="W90" s="77"/>
      <c r="X90" s="84" t="s">
        <v>1021</v>
      </c>
      <c r="Y90" s="82">
        <v>19</v>
      </c>
    </row>
    <row r="91" spans="1:25" x14ac:dyDescent="0.25">
      <c r="A91" s="62" t="s">
        <v>230</v>
      </c>
      <c r="B91" s="62" t="s">
        <v>230</v>
      </c>
      <c r="C91" s="63" t="s">
        <v>2219</v>
      </c>
      <c r="D91" s="64">
        <v>10</v>
      </c>
      <c r="E91" s="65"/>
      <c r="F91" s="66">
        <v>60</v>
      </c>
      <c r="G91" s="63"/>
      <c r="H91" s="67"/>
      <c r="I91" s="68"/>
      <c r="J91" s="68"/>
      <c r="K91" s="34" t="s">
        <v>64</v>
      </c>
      <c r="L91" s="75">
        <v>91</v>
      </c>
      <c r="M91" s="75"/>
      <c r="N91" s="70"/>
      <c r="O91" s="77" t="s">
        <v>180</v>
      </c>
      <c r="P91" s="79">
        <v>41123.68440972222</v>
      </c>
      <c r="Q91" s="77" t="s">
        <v>438</v>
      </c>
      <c r="R91" s="77"/>
      <c r="S91" s="77" t="s">
        <v>645</v>
      </c>
      <c r="T91" s="79">
        <v>41123.68440972222</v>
      </c>
      <c r="U91" s="81" t="s">
        <v>725</v>
      </c>
      <c r="V91" s="77"/>
      <c r="W91" s="77"/>
      <c r="X91" s="84" t="s">
        <v>1022</v>
      </c>
      <c r="Y91" s="82">
        <v>19</v>
      </c>
    </row>
    <row r="92" spans="1:25" x14ac:dyDescent="0.25">
      <c r="A92" s="62" t="s">
        <v>230</v>
      </c>
      <c r="B92" s="62" t="s">
        <v>230</v>
      </c>
      <c r="C92" s="63" t="s">
        <v>2219</v>
      </c>
      <c r="D92" s="64">
        <v>10</v>
      </c>
      <c r="E92" s="65"/>
      <c r="F92" s="66">
        <v>60</v>
      </c>
      <c r="G92" s="63"/>
      <c r="H92" s="67"/>
      <c r="I92" s="68"/>
      <c r="J92" s="68"/>
      <c r="K92" s="34" t="s">
        <v>64</v>
      </c>
      <c r="L92" s="75">
        <v>92</v>
      </c>
      <c r="M92" s="75"/>
      <c r="N92" s="70"/>
      <c r="O92" s="77" t="s">
        <v>180</v>
      </c>
      <c r="P92" s="79">
        <v>41123.685347222221</v>
      </c>
      <c r="Q92" s="77" t="s">
        <v>439</v>
      </c>
      <c r="R92" s="77"/>
      <c r="S92" s="77"/>
      <c r="T92" s="79">
        <v>41123.685347222221</v>
      </c>
      <c r="U92" s="81" t="s">
        <v>726</v>
      </c>
      <c r="V92" s="77"/>
      <c r="W92" s="77"/>
      <c r="X92" s="84" t="s">
        <v>1023</v>
      </c>
      <c r="Y92" s="82">
        <v>19</v>
      </c>
    </row>
    <row r="93" spans="1:25" x14ac:dyDescent="0.25">
      <c r="A93" s="62" t="s">
        <v>230</v>
      </c>
      <c r="B93" s="62" t="s">
        <v>230</v>
      </c>
      <c r="C93" s="63" t="s">
        <v>2219</v>
      </c>
      <c r="D93" s="64">
        <v>10</v>
      </c>
      <c r="E93" s="65"/>
      <c r="F93" s="66">
        <v>60</v>
      </c>
      <c r="G93" s="63"/>
      <c r="H93" s="67"/>
      <c r="I93" s="68"/>
      <c r="J93" s="68"/>
      <c r="K93" s="34" t="s">
        <v>64</v>
      </c>
      <c r="L93" s="75">
        <v>93</v>
      </c>
      <c r="M93" s="75"/>
      <c r="N93" s="70"/>
      <c r="O93" s="77" t="s">
        <v>180</v>
      </c>
      <c r="P93" s="79">
        <v>41123.685879629629</v>
      </c>
      <c r="Q93" s="77" t="s">
        <v>440</v>
      </c>
      <c r="R93" s="77"/>
      <c r="S93" s="77"/>
      <c r="T93" s="79">
        <v>41123.685879629629</v>
      </c>
      <c r="U93" s="81" t="s">
        <v>727</v>
      </c>
      <c r="V93" s="77"/>
      <c r="W93" s="77"/>
      <c r="X93" s="84" t="s">
        <v>1024</v>
      </c>
      <c r="Y93" s="82">
        <v>19</v>
      </c>
    </row>
    <row r="94" spans="1:25" x14ac:dyDescent="0.25">
      <c r="A94" s="62" t="s">
        <v>230</v>
      </c>
      <c r="B94" s="62" t="s">
        <v>230</v>
      </c>
      <c r="C94" s="63" t="s">
        <v>2219</v>
      </c>
      <c r="D94" s="64">
        <v>10</v>
      </c>
      <c r="E94" s="65"/>
      <c r="F94" s="66">
        <v>60</v>
      </c>
      <c r="G94" s="63"/>
      <c r="H94" s="67"/>
      <c r="I94" s="68"/>
      <c r="J94" s="68"/>
      <c r="K94" s="34" t="s">
        <v>64</v>
      </c>
      <c r="L94" s="75">
        <v>94</v>
      </c>
      <c r="M94" s="75"/>
      <c r="N94" s="70"/>
      <c r="O94" s="77" t="s">
        <v>180</v>
      </c>
      <c r="P94" s="79">
        <v>41123.686643518522</v>
      </c>
      <c r="Q94" s="77" t="s">
        <v>441</v>
      </c>
      <c r="R94" s="77"/>
      <c r="S94" s="77"/>
      <c r="T94" s="79">
        <v>41123.686643518522</v>
      </c>
      <c r="U94" s="81" t="s">
        <v>728</v>
      </c>
      <c r="V94" s="77"/>
      <c r="W94" s="77"/>
      <c r="X94" s="84" t="s">
        <v>1025</v>
      </c>
      <c r="Y94" s="82">
        <v>19</v>
      </c>
    </row>
    <row r="95" spans="1:25" x14ac:dyDescent="0.25">
      <c r="A95" s="62" t="s">
        <v>230</v>
      </c>
      <c r="B95" s="62" t="s">
        <v>230</v>
      </c>
      <c r="C95" s="63" t="s">
        <v>2219</v>
      </c>
      <c r="D95" s="64">
        <v>10</v>
      </c>
      <c r="E95" s="65"/>
      <c r="F95" s="66">
        <v>60</v>
      </c>
      <c r="G95" s="63"/>
      <c r="H95" s="67"/>
      <c r="I95" s="68"/>
      <c r="J95" s="68"/>
      <c r="K95" s="34" t="s">
        <v>64</v>
      </c>
      <c r="L95" s="75">
        <v>95</v>
      </c>
      <c r="M95" s="75"/>
      <c r="N95" s="70"/>
      <c r="O95" s="77" t="s">
        <v>180</v>
      </c>
      <c r="P95" s="79">
        <v>41123.6871875</v>
      </c>
      <c r="Q95" s="77" t="s">
        <v>442</v>
      </c>
      <c r="R95" s="77"/>
      <c r="S95" s="77"/>
      <c r="T95" s="79">
        <v>41123.6871875</v>
      </c>
      <c r="U95" s="81" t="s">
        <v>729</v>
      </c>
      <c r="V95" s="77"/>
      <c r="W95" s="77"/>
      <c r="X95" s="84" t="s">
        <v>1026</v>
      </c>
      <c r="Y95" s="82">
        <v>19</v>
      </c>
    </row>
    <row r="96" spans="1:25" x14ac:dyDescent="0.25">
      <c r="A96" s="62" t="s">
        <v>230</v>
      </c>
      <c r="B96" s="62" t="s">
        <v>230</v>
      </c>
      <c r="C96" s="63" t="s">
        <v>2219</v>
      </c>
      <c r="D96" s="64">
        <v>10</v>
      </c>
      <c r="E96" s="65"/>
      <c r="F96" s="66">
        <v>60</v>
      </c>
      <c r="G96" s="63"/>
      <c r="H96" s="67"/>
      <c r="I96" s="68"/>
      <c r="J96" s="68"/>
      <c r="K96" s="34" t="s">
        <v>64</v>
      </c>
      <c r="L96" s="75">
        <v>96</v>
      </c>
      <c r="M96" s="75"/>
      <c r="N96" s="70"/>
      <c r="O96" s="77" t="s">
        <v>180</v>
      </c>
      <c r="P96" s="79">
        <v>41123.689108796294</v>
      </c>
      <c r="Q96" s="77" t="s">
        <v>443</v>
      </c>
      <c r="R96" s="77"/>
      <c r="S96" s="77"/>
      <c r="T96" s="79">
        <v>41123.689108796294</v>
      </c>
      <c r="U96" s="81" t="s">
        <v>730</v>
      </c>
      <c r="V96" s="77"/>
      <c r="W96" s="77"/>
      <c r="X96" s="84" t="s">
        <v>1027</v>
      </c>
      <c r="Y96" s="82">
        <v>19</v>
      </c>
    </row>
    <row r="97" spans="1:25" x14ac:dyDescent="0.25">
      <c r="A97" s="62" t="s">
        <v>230</v>
      </c>
      <c r="B97" s="62" t="s">
        <v>230</v>
      </c>
      <c r="C97" s="63" t="s">
        <v>2219</v>
      </c>
      <c r="D97" s="64">
        <v>10</v>
      </c>
      <c r="E97" s="65"/>
      <c r="F97" s="66">
        <v>60</v>
      </c>
      <c r="G97" s="63"/>
      <c r="H97" s="67"/>
      <c r="I97" s="68"/>
      <c r="J97" s="68"/>
      <c r="K97" s="34" t="s">
        <v>64</v>
      </c>
      <c r="L97" s="75">
        <v>97</v>
      </c>
      <c r="M97" s="75"/>
      <c r="N97" s="70"/>
      <c r="O97" s="77" t="s">
        <v>180</v>
      </c>
      <c r="P97" s="79">
        <v>41123.68949074074</v>
      </c>
      <c r="Q97" s="77" t="s">
        <v>444</v>
      </c>
      <c r="R97" s="77"/>
      <c r="S97" s="77"/>
      <c r="T97" s="79">
        <v>41123.68949074074</v>
      </c>
      <c r="U97" s="81" t="s">
        <v>731</v>
      </c>
      <c r="V97" s="77"/>
      <c r="W97" s="77"/>
      <c r="X97" s="84" t="s">
        <v>1028</v>
      </c>
      <c r="Y97" s="82">
        <v>19</v>
      </c>
    </row>
    <row r="98" spans="1:25" x14ac:dyDescent="0.25">
      <c r="A98" s="62" t="s">
        <v>230</v>
      </c>
      <c r="B98" s="62" t="s">
        <v>230</v>
      </c>
      <c r="C98" s="63" t="s">
        <v>2219</v>
      </c>
      <c r="D98" s="64">
        <v>10</v>
      </c>
      <c r="E98" s="65"/>
      <c r="F98" s="66">
        <v>60</v>
      </c>
      <c r="G98" s="63"/>
      <c r="H98" s="67"/>
      <c r="I98" s="68"/>
      <c r="J98" s="68"/>
      <c r="K98" s="34" t="s">
        <v>64</v>
      </c>
      <c r="L98" s="75">
        <v>98</v>
      </c>
      <c r="M98" s="75"/>
      <c r="N98" s="70"/>
      <c r="O98" s="77" t="s">
        <v>180</v>
      </c>
      <c r="P98" s="79">
        <v>41123.690405092595</v>
      </c>
      <c r="Q98" s="77" t="s">
        <v>445</v>
      </c>
      <c r="R98" s="77"/>
      <c r="S98" s="77"/>
      <c r="T98" s="79">
        <v>41123.690405092595</v>
      </c>
      <c r="U98" s="81" t="s">
        <v>732</v>
      </c>
      <c r="V98" s="77"/>
      <c r="W98" s="77"/>
      <c r="X98" s="84" t="s">
        <v>1029</v>
      </c>
      <c r="Y98" s="82">
        <v>19</v>
      </c>
    </row>
    <row r="99" spans="1:25" x14ac:dyDescent="0.25">
      <c r="A99" s="62" t="s">
        <v>230</v>
      </c>
      <c r="B99" s="62" t="s">
        <v>230</v>
      </c>
      <c r="C99" s="63" t="s">
        <v>2219</v>
      </c>
      <c r="D99" s="64">
        <v>10</v>
      </c>
      <c r="E99" s="65"/>
      <c r="F99" s="66">
        <v>60</v>
      </c>
      <c r="G99" s="63"/>
      <c r="H99" s="67"/>
      <c r="I99" s="68"/>
      <c r="J99" s="68"/>
      <c r="K99" s="34" t="s">
        <v>64</v>
      </c>
      <c r="L99" s="75">
        <v>99</v>
      </c>
      <c r="M99" s="75"/>
      <c r="N99" s="70"/>
      <c r="O99" s="77" t="s">
        <v>180</v>
      </c>
      <c r="P99" s="79">
        <v>41123.690821759257</v>
      </c>
      <c r="Q99" s="77" t="s">
        <v>446</v>
      </c>
      <c r="R99" s="77"/>
      <c r="S99" s="77"/>
      <c r="T99" s="79">
        <v>41123.690821759257</v>
      </c>
      <c r="U99" s="81" t="s">
        <v>733</v>
      </c>
      <c r="V99" s="77"/>
      <c r="W99" s="77"/>
      <c r="X99" s="84" t="s">
        <v>1030</v>
      </c>
      <c r="Y99" s="82">
        <v>19</v>
      </c>
    </row>
    <row r="100" spans="1:25" x14ac:dyDescent="0.25">
      <c r="A100" s="62" t="s">
        <v>230</v>
      </c>
      <c r="B100" s="62" t="s">
        <v>230</v>
      </c>
      <c r="C100" s="63" t="s">
        <v>2219</v>
      </c>
      <c r="D100" s="64">
        <v>10</v>
      </c>
      <c r="E100" s="65"/>
      <c r="F100" s="66">
        <v>60</v>
      </c>
      <c r="G100" s="63"/>
      <c r="H100" s="67"/>
      <c r="I100" s="68"/>
      <c r="J100" s="68"/>
      <c r="K100" s="34" t="s">
        <v>64</v>
      </c>
      <c r="L100" s="75">
        <v>100</v>
      </c>
      <c r="M100" s="75"/>
      <c r="N100" s="70"/>
      <c r="O100" s="77" t="s">
        <v>180</v>
      </c>
      <c r="P100" s="79">
        <v>41123.691435185188</v>
      </c>
      <c r="Q100" s="77" t="s">
        <v>447</v>
      </c>
      <c r="R100" s="77"/>
      <c r="S100" s="77"/>
      <c r="T100" s="79">
        <v>41123.691435185188</v>
      </c>
      <c r="U100" s="81" t="s">
        <v>734</v>
      </c>
      <c r="V100" s="77"/>
      <c r="W100" s="77"/>
      <c r="X100" s="84" t="s">
        <v>1031</v>
      </c>
      <c r="Y100" s="82">
        <v>19</v>
      </c>
    </row>
    <row r="101" spans="1:25" x14ac:dyDescent="0.25">
      <c r="A101" s="62" t="s">
        <v>230</v>
      </c>
      <c r="B101" s="62" t="s">
        <v>230</v>
      </c>
      <c r="C101" s="63" t="s">
        <v>2219</v>
      </c>
      <c r="D101" s="64">
        <v>10</v>
      </c>
      <c r="E101" s="65"/>
      <c r="F101" s="66">
        <v>60</v>
      </c>
      <c r="G101" s="63"/>
      <c r="H101" s="67"/>
      <c r="I101" s="68"/>
      <c r="J101" s="68"/>
      <c r="K101" s="34" t="s">
        <v>64</v>
      </c>
      <c r="L101" s="75">
        <v>101</v>
      </c>
      <c r="M101" s="75"/>
      <c r="N101" s="70"/>
      <c r="O101" s="77" t="s">
        <v>180</v>
      </c>
      <c r="P101" s="79">
        <v>41123.692013888889</v>
      </c>
      <c r="Q101" s="77" t="s">
        <v>448</v>
      </c>
      <c r="R101" s="77"/>
      <c r="S101" s="77"/>
      <c r="T101" s="79">
        <v>41123.692013888889</v>
      </c>
      <c r="U101" s="81" t="s">
        <v>735</v>
      </c>
      <c r="V101" s="77"/>
      <c r="W101" s="77"/>
      <c r="X101" s="84" t="s">
        <v>1032</v>
      </c>
      <c r="Y101" s="82">
        <v>19</v>
      </c>
    </row>
    <row r="102" spans="1:25" x14ac:dyDescent="0.25">
      <c r="A102" s="62" t="s">
        <v>230</v>
      </c>
      <c r="B102" s="62" t="s">
        <v>230</v>
      </c>
      <c r="C102" s="63" t="s">
        <v>2219</v>
      </c>
      <c r="D102" s="64">
        <v>10</v>
      </c>
      <c r="E102" s="65"/>
      <c r="F102" s="66">
        <v>60</v>
      </c>
      <c r="G102" s="63"/>
      <c r="H102" s="67"/>
      <c r="I102" s="68"/>
      <c r="J102" s="68"/>
      <c r="K102" s="34" t="s">
        <v>64</v>
      </c>
      <c r="L102" s="75">
        <v>102</v>
      </c>
      <c r="M102" s="75"/>
      <c r="N102" s="70"/>
      <c r="O102" s="77" t="s">
        <v>180</v>
      </c>
      <c r="P102" s="79">
        <v>41123.692881944444</v>
      </c>
      <c r="Q102" s="77" t="s">
        <v>449</v>
      </c>
      <c r="R102" s="77"/>
      <c r="S102" s="77"/>
      <c r="T102" s="79">
        <v>41123.692881944444</v>
      </c>
      <c r="U102" s="81" t="s">
        <v>736</v>
      </c>
      <c r="V102" s="77"/>
      <c r="W102" s="77"/>
      <c r="X102" s="84" t="s">
        <v>1033</v>
      </c>
      <c r="Y102" s="82">
        <v>19</v>
      </c>
    </row>
    <row r="103" spans="1:25" x14ac:dyDescent="0.25">
      <c r="A103" s="62" t="s">
        <v>230</v>
      </c>
      <c r="B103" s="62" t="s">
        <v>230</v>
      </c>
      <c r="C103" s="63" t="s">
        <v>2219</v>
      </c>
      <c r="D103" s="64">
        <v>10</v>
      </c>
      <c r="E103" s="65"/>
      <c r="F103" s="66">
        <v>60</v>
      </c>
      <c r="G103" s="63"/>
      <c r="H103" s="67"/>
      <c r="I103" s="68"/>
      <c r="J103" s="68"/>
      <c r="K103" s="34" t="s">
        <v>64</v>
      </c>
      <c r="L103" s="75">
        <v>103</v>
      </c>
      <c r="M103" s="75"/>
      <c r="N103" s="70"/>
      <c r="O103" s="77" t="s">
        <v>180</v>
      </c>
      <c r="P103" s="79">
        <v>41123.693356481483</v>
      </c>
      <c r="Q103" s="77" t="s">
        <v>450</v>
      </c>
      <c r="R103" s="77"/>
      <c r="S103" s="77"/>
      <c r="T103" s="79">
        <v>41123.693356481483</v>
      </c>
      <c r="U103" s="81" t="s">
        <v>737</v>
      </c>
      <c r="V103" s="77"/>
      <c r="W103" s="77"/>
      <c r="X103" s="84" t="s">
        <v>1034</v>
      </c>
      <c r="Y103" s="82">
        <v>19</v>
      </c>
    </row>
    <row r="104" spans="1:25" x14ac:dyDescent="0.25">
      <c r="A104" s="62" t="s">
        <v>230</v>
      </c>
      <c r="B104" s="62" t="s">
        <v>230</v>
      </c>
      <c r="C104" s="63" t="s">
        <v>2219</v>
      </c>
      <c r="D104" s="64">
        <v>10</v>
      </c>
      <c r="E104" s="65"/>
      <c r="F104" s="66">
        <v>60</v>
      </c>
      <c r="G104" s="63"/>
      <c r="H104" s="67"/>
      <c r="I104" s="68"/>
      <c r="J104" s="68"/>
      <c r="K104" s="34" t="s">
        <v>64</v>
      </c>
      <c r="L104" s="75">
        <v>104</v>
      </c>
      <c r="M104" s="75"/>
      <c r="N104" s="70"/>
      <c r="O104" s="77" t="s">
        <v>180</v>
      </c>
      <c r="P104" s="79">
        <v>41123.69358796296</v>
      </c>
      <c r="Q104" s="77" t="s">
        <v>451</v>
      </c>
      <c r="R104" s="77"/>
      <c r="S104" s="77"/>
      <c r="T104" s="79">
        <v>41123.69358796296</v>
      </c>
      <c r="U104" s="81" t="s">
        <v>738</v>
      </c>
      <c r="V104" s="77"/>
      <c r="W104" s="77"/>
      <c r="X104" s="84" t="s">
        <v>1035</v>
      </c>
      <c r="Y104" s="82">
        <v>19</v>
      </c>
    </row>
    <row r="105" spans="1:25" x14ac:dyDescent="0.25">
      <c r="A105" s="62" t="s">
        <v>230</v>
      </c>
      <c r="B105" s="62" t="s">
        <v>230</v>
      </c>
      <c r="C105" s="63" t="s">
        <v>2219</v>
      </c>
      <c r="D105" s="64">
        <v>10</v>
      </c>
      <c r="E105" s="65"/>
      <c r="F105" s="66">
        <v>60</v>
      </c>
      <c r="G105" s="63"/>
      <c r="H105" s="67"/>
      <c r="I105" s="68"/>
      <c r="J105" s="68"/>
      <c r="K105" s="34" t="s">
        <v>64</v>
      </c>
      <c r="L105" s="75">
        <v>105</v>
      </c>
      <c r="M105" s="75"/>
      <c r="N105" s="70"/>
      <c r="O105" s="77" t="s">
        <v>180</v>
      </c>
      <c r="P105" s="79">
        <v>41123.694120370368</v>
      </c>
      <c r="Q105" s="77" t="s">
        <v>452</v>
      </c>
      <c r="R105" s="77"/>
      <c r="S105" s="77"/>
      <c r="T105" s="79">
        <v>41123.694120370368</v>
      </c>
      <c r="U105" s="81" t="s">
        <v>739</v>
      </c>
      <c r="V105" s="77"/>
      <c r="W105" s="77"/>
      <c r="X105" s="84" t="s">
        <v>1036</v>
      </c>
      <c r="Y105" s="82">
        <v>19</v>
      </c>
    </row>
    <row r="106" spans="1:25" x14ac:dyDescent="0.25">
      <c r="A106" s="62" t="s">
        <v>230</v>
      </c>
      <c r="B106" s="62" t="s">
        <v>285</v>
      </c>
      <c r="C106" s="63" t="s">
        <v>2222</v>
      </c>
      <c r="D106" s="64">
        <v>1</v>
      </c>
      <c r="E106" s="65"/>
      <c r="F106" s="66">
        <v>100</v>
      </c>
      <c r="G106" s="63"/>
      <c r="H106" s="67"/>
      <c r="I106" s="68"/>
      <c r="J106" s="68"/>
      <c r="K106" s="34" t="s">
        <v>64</v>
      </c>
      <c r="L106" s="75">
        <v>106</v>
      </c>
      <c r="M106" s="75"/>
      <c r="N106" s="70"/>
      <c r="O106" s="77" t="s">
        <v>382</v>
      </c>
      <c r="P106" s="79">
        <v>41124.25708333333</v>
      </c>
      <c r="Q106" s="77"/>
      <c r="R106" s="77"/>
      <c r="S106" s="77"/>
      <c r="T106" s="77"/>
      <c r="U106" s="77"/>
      <c r="V106" s="77"/>
      <c r="W106" s="77"/>
      <c r="X106" s="77"/>
      <c r="Y106">
        <v>1</v>
      </c>
    </row>
    <row r="107" spans="1:25" x14ac:dyDescent="0.25">
      <c r="A107" s="62" t="s">
        <v>231</v>
      </c>
      <c r="B107" s="62" t="s">
        <v>231</v>
      </c>
      <c r="C107" s="63" t="s">
        <v>2219</v>
      </c>
      <c r="D107" s="64">
        <v>1</v>
      </c>
      <c r="E107" s="65"/>
      <c r="F107" s="66">
        <v>100</v>
      </c>
      <c r="G107" s="63"/>
      <c r="H107" s="67"/>
      <c r="I107" s="68"/>
      <c r="J107" s="68"/>
      <c r="K107" s="34" t="s">
        <v>64</v>
      </c>
      <c r="L107" s="75">
        <v>107</v>
      </c>
      <c r="M107" s="75"/>
      <c r="N107" s="70"/>
      <c r="O107" s="77" t="s">
        <v>180</v>
      </c>
      <c r="P107" s="79">
        <v>41123.699976851851</v>
      </c>
      <c r="Q107" s="77" t="s">
        <v>427</v>
      </c>
      <c r="R107" s="77"/>
      <c r="S107" s="77"/>
      <c r="T107" s="79">
        <v>41123.699976851851</v>
      </c>
      <c r="U107" s="81" t="s">
        <v>740</v>
      </c>
      <c r="V107" s="77"/>
      <c r="W107" s="77"/>
      <c r="X107" s="84" t="s">
        <v>1037</v>
      </c>
      <c r="Y107" s="82">
        <v>1</v>
      </c>
    </row>
    <row r="108" spans="1:25" x14ac:dyDescent="0.25">
      <c r="A108" s="62" t="s">
        <v>231</v>
      </c>
      <c r="B108" s="62" t="s">
        <v>376</v>
      </c>
      <c r="C108" s="63" t="s">
        <v>2222</v>
      </c>
      <c r="D108" s="64">
        <v>1</v>
      </c>
      <c r="E108" s="65"/>
      <c r="F108" s="66">
        <v>100</v>
      </c>
      <c r="G108" s="63"/>
      <c r="H108" s="67"/>
      <c r="I108" s="68"/>
      <c r="J108" s="68"/>
      <c r="K108" s="34" t="s">
        <v>64</v>
      </c>
      <c r="L108" s="75">
        <v>108</v>
      </c>
      <c r="M108" s="75"/>
      <c r="N108" s="70"/>
      <c r="O108" s="77" t="s">
        <v>382</v>
      </c>
      <c r="P108" s="79">
        <v>41124.25708333333</v>
      </c>
      <c r="Q108" s="77"/>
      <c r="R108" s="77"/>
      <c r="S108" s="77"/>
      <c r="T108" s="77"/>
      <c r="U108" s="77"/>
      <c r="V108" s="77"/>
      <c r="W108" s="77"/>
      <c r="X108" s="77"/>
      <c r="Y108">
        <v>1</v>
      </c>
    </row>
    <row r="109" spans="1:25" x14ac:dyDescent="0.25">
      <c r="A109" s="62" t="s">
        <v>232</v>
      </c>
      <c r="B109" s="62" t="s">
        <v>232</v>
      </c>
      <c r="C109" s="63" t="s">
        <v>2219</v>
      </c>
      <c r="D109" s="64">
        <v>1</v>
      </c>
      <c r="E109" s="65"/>
      <c r="F109" s="66">
        <v>100</v>
      </c>
      <c r="G109" s="63"/>
      <c r="H109" s="67"/>
      <c r="I109" s="68"/>
      <c r="J109" s="68"/>
      <c r="K109" s="34" t="s">
        <v>64</v>
      </c>
      <c r="L109" s="75">
        <v>109</v>
      </c>
      <c r="M109" s="75"/>
      <c r="N109" s="70"/>
      <c r="O109" s="77" t="s">
        <v>180</v>
      </c>
      <c r="P109" s="79">
        <v>41123.699467592596</v>
      </c>
      <c r="Q109" s="77" t="s">
        <v>453</v>
      </c>
      <c r="R109" s="77"/>
      <c r="S109" s="77"/>
      <c r="T109" s="79">
        <v>41123.699467592596</v>
      </c>
      <c r="U109" s="81" t="s">
        <v>741</v>
      </c>
      <c r="V109" s="77"/>
      <c r="W109" s="77"/>
      <c r="X109" s="84" t="s">
        <v>1038</v>
      </c>
      <c r="Y109" s="82">
        <v>1</v>
      </c>
    </row>
    <row r="110" spans="1:25" x14ac:dyDescent="0.25">
      <c r="A110" s="62" t="s">
        <v>232</v>
      </c>
      <c r="B110" s="62" t="s">
        <v>376</v>
      </c>
      <c r="C110" s="63" t="s">
        <v>2222</v>
      </c>
      <c r="D110" s="64">
        <v>1</v>
      </c>
      <c r="E110" s="65"/>
      <c r="F110" s="66">
        <v>100</v>
      </c>
      <c r="G110" s="63"/>
      <c r="H110" s="67"/>
      <c r="I110" s="68"/>
      <c r="J110" s="68"/>
      <c r="K110" s="34" t="s">
        <v>64</v>
      </c>
      <c r="L110" s="75">
        <v>110</v>
      </c>
      <c r="M110" s="75"/>
      <c r="N110" s="70"/>
      <c r="O110" s="77" t="s">
        <v>382</v>
      </c>
      <c r="P110" s="79">
        <v>41124.25708333333</v>
      </c>
      <c r="Q110" s="77"/>
      <c r="R110" s="77"/>
      <c r="S110" s="77"/>
      <c r="T110" s="77"/>
      <c r="U110" s="77"/>
      <c r="V110" s="77"/>
      <c r="W110" s="77"/>
      <c r="X110" s="77"/>
      <c r="Y110">
        <v>1</v>
      </c>
    </row>
    <row r="111" spans="1:25" x14ac:dyDescent="0.25">
      <c r="A111" s="62" t="s">
        <v>232</v>
      </c>
      <c r="B111" s="62" t="s">
        <v>350</v>
      </c>
      <c r="C111" s="63" t="s">
        <v>2222</v>
      </c>
      <c r="D111" s="64">
        <v>1</v>
      </c>
      <c r="E111" s="65"/>
      <c r="F111" s="66">
        <v>100</v>
      </c>
      <c r="G111" s="63"/>
      <c r="H111" s="67"/>
      <c r="I111" s="68"/>
      <c r="J111" s="68"/>
      <c r="K111" s="34" t="s">
        <v>64</v>
      </c>
      <c r="L111" s="75">
        <v>111</v>
      </c>
      <c r="M111" s="75"/>
      <c r="N111" s="70"/>
      <c r="O111" s="77" t="s">
        <v>382</v>
      </c>
      <c r="P111" s="79">
        <v>41124.25708333333</v>
      </c>
      <c r="Q111" s="77"/>
      <c r="R111" s="77"/>
      <c r="S111" s="77"/>
      <c r="T111" s="77"/>
      <c r="U111" s="77"/>
      <c r="V111" s="77"/>
      <c r="W111" s="77"/>
      <c r="X111" s="77"/>
      <c r="Y111">
        <v>1</v>
      </c>
    </row>
    <row r="112" spans="1:25" x14ac:dyDescent="0.25">
      <c r="A112" s="62" t="s">
        <v>232</v>
      </c>
      <c r="B112" s="62" t="s">
        <v>233</v>
      </c>
      <c r="C112" s="63" t="s">
        <v>2222</v>
      </c>
      <c r="D112" s="64">
        <v>1</v>
      </c>
      <c r="E112" s="65"/>
      <c r="F112" s="66">
        <v>100</v>
      </c>
      <c r="G112" s="63"/>
      <c r="H112" s="67"/>
      <c r="I112" s="68"/>
      <c r="J112" s="68"/>
      <c r="K112" s="34" t="s">
        <v>65</v>
      </c>
      <c r="L112" s="75">
        <v>112</v>
      </c>
      <c r="M112" s="75"/>
      <c r="N112" s="70"/>
      <c r="O112" s="77" t="s">
        <v>382</v>
      </c>
      <c r="P112" s="79">
        <v>41124.25708333333</v>
      </c>
      <c r="Q112" s="77"/>
      <c r="R112" s="77"/>
      <c r="S112" s="77"/>
      <c r="T112" s="77"/>
      <c r="U112" s="77"/>
      <c r="V112" s="77"/>
      <c r="W112" s="77"/>
      <c r="X112" s="77"/>
      <c r="Y112">
        <v>1</v>
      </c>
    </row>
    <row r="113" spans="1:25" x14ac:dyDescent="0.25">
      <c r="A113" s="62" t="s">
        <v>233</v>
      </c>
      <c r="B113" s="62" t="s">
        <v>232</v>
      </c>
      <c r="C113" s="63" t="s">
        <v>2222</v>
      </c>
      <c r="D113" s="64">
        <v>1</v>
      </c>
      <c r="E113" s="65"/>
      <c r="F113" s="66">
        <v>100</v>
      </c>
      <c r="G113" s="63"/>
      <c r="H113" s="67"/>
      <c r="I113" s="68"/>
      <c r="J113" s="68"/>
      <c r="K113" s="34" t="s">
        <v>65</v>
      </c>
      <c r="L113" s="75">
        <v>113</v>
      </c>
      <c r="M113" s="75"/>
      <c r="N113" s="70"/>
      <c r="O113" s="77" t="s">
        <v>382</v>
      </c>
      <c r="P113" s="79">
        <v>41124.25708333333</v>
      </c>
      <c r="Q113" s="77"/>
      <c r="R113" s="77"/>
      <c r="S113" s="77"/>
      <c r="T113" s="77"/>
      <c r="U113" s="77"/>
      <c r="V113" s="77"/>
      <c r="W113" s="77"/>
      <c r="X113" s="77"/>
      <c r="Y113">
        <v>1</v>
      </c>
    </row>
    <row r="114" spans="1:25" x14ac:dyDescent="0.25">
      <c r="A114" s="62" t="s">
        <v>234</v>
      </c>
      <c r="B114" s="62" t="s">
        <v>234</v>
      </c>
      <c r="C114" s="63" t="s">
        <v>2219</v>
      </c>
      <c r="D114" s="64">
        <v>1</v>
      </c>
      <c r="E114" s="65"/>
      <c r="F114" s="66">
        <v>100</v>
      </c>
      <c r="G114" s="63"/>
      <c r="H114" s="67"/>
      <c r="I114" s="68"/>
      <c r="J114" s="68"/>
      <c r="K114" s="34" t="s">
        <v>64</v>
      </c>
      <c r="L114" s="75">
        <v>114</v>
      </c>
      <c r="M114" s="75"/>
      <c r="N114" s="70"/>
      <c r="O114" s="77" t="s">
        <v>180</v>
      </c>
      <c r="P114" s="79">
        <v>41123.702731481484</v>
      </c>
      <c r="Q114" s="77" t="s">
        <v>427</v>
      </c>
      <c r="R114" s="77"/>
      <c r="S114" s="77"/>
      <c r="T114" s="79">
        <v>41123.702731481484</v>
      </c>
      <c r="U114" s="81" t="s">
        <v>742</v>
      </c>
      <c r="V114" s="77"/>
      <c r="W114" s="77"/>
      <c r="X114" s="84" t="s">
        <v>1039</v>
      </c>
      <c r="Y114" s="82">
        <v>1</v>
      </c>
    </row>
    <row r="115" spans="1:25" x14ac:dyDescent="0.25">
      <c r="A115" s="62" t="s">
        <v>234</v>
      </c>
      <c r="B115" s="62" t="s">
        <v>350</v>
      </c>
      <c r="C115" s="63" t="s">
        <v>2221</v>
      </c>
      <c r="D115" s="64">
        <v>1</v>
      </c>
      <c r="E115" s="65"/>
      <c r="F115" s="66">
        <v>100</v>
      </c>
      <c r="G115" s="63"/>
      <c r="H115" s="67"/>
      <c r="I115" s="68"/>
      <c r="J115" s="68"/>
      <c r="K115" s="34" t="s">
        <v>64</v>
      </c>
      <c r="L115" s="75">
        <v>115</v>
      </c>
      <c r="M115" s="75"/>
      <c r="N115" s="70"/>
      <c r="O115" s="77" t="s">
        <v>381</v>
      </c>
      <c r="P115" s="79">
        <v>41123.715462962966</v>
      </c>
      <c r="Q115" s="77" t="s">
        <v>454</v>
      </c>
      <c r="R115" s="77"/>
      <c r="S115" s="77" t="s">
        <v>646</v>
      </c>
      <c r="T115" s="79">
        <v>41123.715462962966</v>
      </c>
      <c r="U115" s="81" t="s">
        <v>743</v>
      </c>
      <c r="V115" s="77"/>
      <c r="W115" s="77"/>
      <c r="X115" s="84" t="s">
        <v>1040</v>
      </c>
      <c r="Y115" s="82">
        <v>1</v>
      </c>
    </row>
    <row r="116" spans="1:25" x14ac:dyDescent="0.25">
      <c r="A116" s="62" t="s">
        <v>234</v>
      </c>
      <c r="B116" s="62" t="s">
        <v>350</v>
      </c>
      <c r="C116" s="63" t="s">
        <v>2222</v>
      </c>
      <c r="D116" s="64">
        <v>1</v>
      </c>
      <c r="E116" s="65"/>
      <c r="F116" s="66">
        <v>100</v>
      </c>
      <c r="G116" s="63"/>
      <c r="H116" s="67"/>
      <c r="I116" s="68"/>
      <c r="J116" s="68"/>
      <c r="K116" s="34" t="s">
        <v>64</v>
      </c>
      <c r="L116" s="75">
        <v>116</v>
      </c>
      <c r="M116" s="75"/>
      <c r="N116" s="70"/>
      <c r="O116" s="77" t="s">
        <v>382</v>
      </c>
      <c r="P116" s="79">
        <v>41124.25708333333</v>
      </c>
      <c r="Q116" s="77"/>
      <c r="R116" s="77"/>
      <c r="S116" s="77"/>
      <c r="T116" s="77"/>
      <c r="U116" s="77"/>
      <c r="V116" s="77"/>
      <c r="W116" s="77"/>
      <c r="X116" s="77"/>
      <c r="Y116">
        <v>1</v>
      </c>
    </row>
    <row r="117" spans="1:25" x14ac:dyDescent="0.25">
      <c r="A117" s="62" t="s">
        <v>235</v>
      </c>
      <c r="B117" s="62" t="s">
        <v>235</v>
      </c>
      <c r="C117" s="63" t="s">
        <v>2219</v>
      </c>
      <c r="D117" s="64">
        <v>1</v>
      </c>
      <c r="E117" s="65"/>
      <c r="F117" s="66">
        <v>100</v>
      </c>
      <c r="G117" s="63"/>
      <c r="H117" s="67"/>
      <c r="I117" s="68"/>
      <c r="J117" s="68"/>
      <c r="K117" s="34" t="s">
        <v>64</v>
      </c>
      <c r="L117" s="75">
        <v>117</v>
      </c>
      <c r="M117" s="75"/>
      <c r="N117" s="70"/>
      <c r="O117" s="77" t="s">
        <v>180</v>
      </c>
      <c r="P117" s="79">
        <v>41123.698912037034</v>
      </c>
      <c r="Q117" s="77" t="s">
        <v>433</v>
      </c>
      <c r="R117" s="81" t="s">
        <v>615</v>
      </c>
      <c r="S117" s="77"/>
      <c r="T117" s="79">
        <v>41123.698912037034</v>
      </c>
      <c r="U117" s="81" t="s">
        <v>744</v>
      </c>
      <c r="V117" s="77"/>
      <c r="W117" s="77"/>
      <c r="X117" s="84" t="s">
        <v>1041</v>
      </c>
      <c r="Y117" s="82">
        <v>1</v>
      </c>
    </row>
    <row r="118" spans="1:25" x14ac:dyDescent="0.25">
      <c r="A118" s="62" t="s">
        <v>235</v>
      </c>
      <c r="B118" s="62" t="s">
        <v>367</v>
      </c>
      <c r="C118" s="63" t="s">
        <v>2222</v>
      </c>
      <c r="D118" s="64">
        <v>1</v>
      </c>
      <c r="E118" s="65"/>
      <c r="F118" s="66">
        <v>100</v>
      </c>
      <c r="G118" s="63"/>
      <c r="H118" s="67"/>
      <c r="I118" s="68"/>
      <c r="J118" s="68"/>
      <c r="K118" s="34" t="s">
        <v>64</v>
      </c>
      <c r="L118" s="75">
        <v>118</v>
      </c>
      <c r="M118" s="75"/>
      <c r="N118" s="70"/>
      <c r="O118" s="77" t="s">
        <v>382</v>
      </c>
      <c r="P118" s="79">
        <v>41124.25708333333</v>
      </c>
      <c r="Q118" s="77"/>
      <c r="R118" s="77"/>
      <c r="S118" s="77"/>
      <c r="T118" s="77"/>
      <c r="U118" s="77"/>
      <c r="V118" s="77"/>
      <c r="W118" s="77"/>
      <c r="X118" s="77"/>
      <c r="Y118">
        <v>1</v>
      </c>
    </row>
    <row r="119" spans="1:25" x14ac:dyDescent="0.25">
      <c r="A119" s="62" t="s">
        <v>236</v>
      </c>
      <c r="B119" s="62" t="s">
        <v>235</v>
      </c>
      <c r="C119" s="63" t="s">
        <v>2222</v>
      </c>
      <c r="D119" s="64">
        <v>1</v>
      </c>
      <c r="E119" s="65"/>
      <c r="F119" s="66">
        <v>100</v>
      </c>
      <c r="G119" s="63"/>
      <c r="H119" s="67"/>
      <c r="I119" s="68"/>
      <c r="J119" s="68"/>
      <c r="K119" s="34" t="s">
        <v>64</v>
      </c>
      <c r="L119" s="75">
        <v>119</v>
      </c>
      <c r="M119" s="75"/>
      <c r="N119" s="70"/>
      <c r="O119" s="77" t="s">
        <v>382</v>
      </c>
      <c r="P119" s="79">
        <v>41124.25708333333</v>
      </c>
      <c r="Q119" s="77"/>
      <c r="R119" s="77"/>
      <c r="S119" s="77"/>
      <c r="T119" s="77"/>
      <c r="U119" s="77"/>
      <c r="V119" s="77"/>
      <c r="W119" s="77"/>
      <c r="X119" s="77"/>
      <c r="Y119">
        <v>1</v>
      </c>
    </row>
    <row r="120" spans="1:25" x14ac:dyDescent="0.25">
      <c r="A120" s="62" t="s">
        <v>237</v>
      </c>
      <c r="B120" s="62" t="s">
        <v>237</v>
      </c>
      <c r="C120" s="63" t="s">
        <v>2219</v>
      </c>
      <c r="D120" s="64">
        <v>1</v>
      </c>
      <c r="E120" s="65"/>
      <c r="F120" s="66">
        <v>100</v>
      </c>
      <c r="G120" s="63"/>
      <c r="H120" s="67"/>
      <c r="I120" s="68"/>
      <c r="J120" s="68"/>
      <c r="K120" s="34" t="s">
        <v>64</v>
      </c>
      <c r="L120" s="75">
        <v>120</v>
      </c>
      <c r="M120" s="75"/>
      <c r="N120" s="70"/>
      <c r="O120" s="77" t="s">
        <v>180</v>
      </c>
      <c r="P120" s="79">
        <v>41123.730868055558</v>
      </c>
      <c r="Q120" s="77" t="s">
        <v>455</v>
      </c>
      <c r="R120" s="77"/>
      <c r="S120" s="77"/>
      <c r="T120" s="79">
        <v>41123.730868055558</v>
      </c>
      <c r="U120" s="81" t="s">
        <v>745</v>
      </c>
      <c r="V120" s="77"/>
      <c r="W120" s="77"/>
      <c r="X120" s="84" t="s">
        <v>1042</v>
      </c>
      <c r="Y120" s="82">
        <v>1</v>
      </c>
    </row>
    <row r="121" spans="1:25" x14ac:dyDescent="0.25">
      <c r="A121" s="62" t="s">
        <v>237</v>
      </c>
      <c r="B121" s="62" t="s">
        <v>376</v>
      </c>
      <c r="C121" s="63" t="s">
        <v>2222</v>
      </c>
      <c r="D121" s="64">
        <v>1</v>
      </c>
      <c r="E121" s="65"/>
      <c r="F121" s="66">
        <v>100</v>
      </c>
      <c r="G121" s="63"/>
      <c r="H121" s="67"/>
      <c r="I121" s="68"/>
      <c r="J121" s="68"/>
      <c r="K121" s="34" t="s">
        <v>64</v>
      </c>
      <c r="L121" s="75">
        <v>121</v>
      </c>
      <c r="M121" s="75"/>
      <c r="N121" s="70"/>
      <c r="O121" s="77" t="s">
        <v>382</v>
      </c>
      <c r="P121" s="79">
        <v>41124.25708333333</v>
      </c>
      <c r="Q121" s="77"/>
      <c r="R121" s="77"/>
      <c r="S121" s="77"/>
      <c r="T121" s="77"/>
      <c r="U121" s="77"/>
      <c r="V121" s="77"/>
      <c r="W121" s="77"/>
      <c r="X121" s="77"/>
      <c r="Y121">
        <v>1</v>
      </c>
    </row>
    <row r="122" spans="1:25" x14ac:dyDescent="0.25">
      <c r="A122" s="62" t="s">
        <v>238</v>
      </c>
      <c r="B122" s="62" t="s">
        <v>238</v>
      </c>
      <c r="C122" s="63" t="s">
        <v>2219</v>
      </c>
      <c r="D122" s="64">
        <v>1</v>
      </c>
      <c r="E122" s="65"/>
      <c r="F122" s="66">
        <v>100</v>
      </c>
      <c r="G122" s="63"/>
      <c r="H122" s="67"/>
      <c r="I122" s="68"/>
      <c r="J122" s="68"/>
      <c r="K122" s="34" t="s">
        <v>64</v>
      </c>
      <c r="L122" s="75">
        <v>122</v>
      </c>
      <c r="M122" s="75"/>
      <c r="N122" s="70"/>
      <c r="O122" s="77" t="s">
        <v>180</v>
      </c>
      <c r="P122" s="79">
        <v>41123.722500000003</v>
      </c>
      <c r="Q122" s="77" t="s">
        <v>433</v>
      </c>
      <c r="R122" s="81" t="s">
        <v>615</v>
      </c>
      <c r="S122" s="77"/>
      <c r="T122" s="79">
        <v>41123.722500000003</v>
      </c>
      <c r="U122" s="81" t="s">
        <v>746</v>
      </c>
      <c r="V122" s="77"/>
      <c r="W122" s="77"/>
      <c r="X122" s="84" t="s">
        <v>1043</v>
      </c>
      <c r="Y122" s="82">
        <v>1</v>
      </c>
    </row>
    <row r="123" spans="1:25" x14ac:dyDescent="0.25">
      <c r="A123" s="62" t="s">
        <v>238</v>
      </c>
      <c r="B123" s="62" t="s">
        <v>240</v>
      </c>
      <c r="C123" s="63" t="s">
        <v>2222</v>
      </c>
      <c r="D123" s="64">
        <v>1</v>
      </c>
      <c r="E123" s="65"/>
      <c r="F123" s="66">
        <v>100</v>
      </c>
      <c r="G123" s="63"/>
      <c r="H123" s="67"/>
      <c r="I123" s="68"/>
      <c r="J123" s="68"/>
      <c r="K123" s="34" t="s">
        <v>65</v>
      </c>
      <c r="L123" s="75">
        <v>123</v>
      </c>
      <c r="M123" s="75"/>
      <c r="N123" s="70"/>
      <c r="O123" s="77" t="s">
        <v>382</v>
      </c>
      <c r="P123" s="79">
        <v>41124.25708333333</v>
      </c>
      <c r="Q123" s="77"/>
      <c r="R123" s="77"/>
      <c r="S123" s="77"/>
      <c r="T123" s="77"/>
      <c r="U123" s="77"/>
      <c r="V123" s="77"/>
      <c r="W123" s="77"/>
      <c r="X123" s="77"/>
      <c r="Y123">
        <v>1</v>
      </c>
    </row>
    <row r="124" spans="1:25" x14ac:dyDescent="0.25">
      <c r="A124" s="62" t="s">
        <v>238</v>
      </c>
      <c r="B124" s="62" t="s">
        <v>302</v>
      </c>
      <c r="C124" s="63" t="s">
        <v>2222</v>
      </c>
      <c r="D124" s="64">
        <v>1</v>
      </c>
      <c r="E124" s="65"/>
      <c r="F124" s="66">
        <v>100</v>
      </c>
      <c r="G124" s="63"/>
      <c r="H124" s="67"/>
      <c r="I124" s="68"/>
      <c r="J124" s="68"/>
      <c r="K124" s="34" t="s">
        <v>64</v>
      </c>
      <c r="L124" s="75">
        <v>124</v>
      </c>
      <c r="M124" s="75"/>
      <c r="N124" s="70"/>
      <c r="O124" s="77" t="s">
        <v>382</v>
      </c>
      <c r="P124" s="79">
        <v>41124.25708333333</v>
      </c>
      <c r="Q124" s="77"/>
      <c r="R124" s="77"/>
      <c r="S124" s="77"/>
      <c r="T124" s="77"/>
      <c r="U124" s="77"/>
      <c r="V124" s="77"/>
      <c r="W124" s="77"/>
      <c r="X124" s="77"/>
      <c r="Y124">
        <v>1</v>
      </c>
    </row>
    <row r="125" spans="1:25" x14ac:dyDescent="0.25">
      <c r="A125" s="62" t="s">
        <v>238</v>
      </c>
      <c r="B125" s="62" t="s">
        <v>367</v>
      </c>
      <c r="C125" s="63" t="s">
        <v>2222</v>
      </c>
      <c r="D125" s="64">
        <v>1</v>
      </c>
      <c r="E125" s="65"/>
      <c r="F125" s="66">
        <v>100</v>
      </c>
      <c r="G125" s="63"/>
      <c r="H125" s="67"/>
      <c r="I125" s="68"/>
      <c r="J125" s="68"/>
      <c r="K125" s="34" t="s">
        <v>64</v>
      </c>
      <c r="L125" s="75">
        <v>125</v>
      </c>
      <c r="M125" s="75"/>
      <c r="N125" s="70"/>
      <c r="O125" s="77" t="s">
        <v>382</v>
      </c>
      <c r="P125" s="79">
        <v>41124.25708333333</v>
      </c>
      <c r="Q125" s="77"/>
      <c r="R125" s="77"/>
      <c r="S125" s="77"/>
      <c r="T125" s="77"/>
      <c r="U125" s="77"/>
      <c r="V125" s="77"/>
      <c r="W125" s="77"/>
      <c r="X125" s="77"/>
      <c r="Y125">
        <v>1</v>
      </c>
    </row>
    <row r="126" spans="1:25" x14ac:dyDescent="0.25">
      <c r="A126" s="62" t="s">
        <v>239</v>
      </c>
      <c r="B126" s="62" t="s">
        <v>238</v>
      </c>
      <c r="C126" s="63" t="s">
        <v>2222</v>
      </c>
      <c r="D126" s="64">
        <v>1</v>
      </c>
      <c r="E126" s="65"/>
      <c r="F126" s="66">
        <v>100</v>
      </c>
      <c r="G126" s="63"/>
      <c r="H126" s="67"/>
      <c r="I126" s="68"/>
      <c r="J126" s="68"/>
      <c r="K126" s="34" t="s">
        <v>64</v>
      </c>
      <c r="L126" s="75">
        <v>126</v>
      </c>
      <c r="M126" s="75"/>
      <c r="N126" s="70"/>
      <c r="O126" s="77" t="s">
        <v>382</v>
      </c>
      <c r="P126" s="79">
        <v>41124.25708333333</v>
      </c>
      <c r="Q126" s="77"/>
      <c r="R126" s="77"/>
      <c r="S126" s="77"/>
      <c r="T126" s="77"/>
      <c r="U126" s="77"/>
      <c r="V126" s="77"/>
      <c r="W126" s="77"/>
      <c r="X126" s="77"/>
      <c r="Y126">
        <v>1</v>
      </c>
    </row>
    <row r="127" spans="1:25" x14ac:dyDescent="0.25">
      <c r="A127" s="62" t="s">
        <v>240</v>
      </c>
      <c r="B127" s="62" t="s">
        <v>238</v>
      </c>
      <c r="C127" s="63" t="s">
        <v>2222</v>
      </c>
      <c r="D127" s="64">
        <v>1</v>
      </c>
      <c r="E127" s="65"/>
      <c r="F127" s="66">
        <v>100</v>
      </c>
      <c r="G127" s="63"/>
      <c r="H127" s="67"/>
      <c r="I127" s="68"/>
      <c r="J127" s="68"/>
      <c r="K127" s="34" t="s">
        <v>65</v>
      </c>
      <c r="L127" s="75">
        <v>127</v>
      </c>
      <c r="M127" s="75"/>
      <c r="N127" s="70"/>
      <c r="O127" s="77" t="s">
        <v>382</v>
      </c>
      <c r="P127" s="79">
        <v>41124.25708333333</v>
      </c>
      <c r="Q127" s="77"/>
      <c r="R127" s="77"/>
      <c r="S127" s="77"/>
      <c r="T127" s="77"/>
      <c r="U127" s="77"/>
      <c r="V127" s="77"/>
      <c r="W127" s="77"/>
      <c r="X127" s="77"/>
      <c r="Y127">
        <v>1</v>
      </c>
    </row>
    <row r="128" spans="1:25" x14ac:dyDescent="0.25">
      <c r="A128" s="62" t="s">
        <v>241</v>
      </c>
      <c r="B128" s="62" t="s">
        <v>241</v>
      </c>
      <c r="C128" s="63" t="s">
        <v>2219</v>
      </c>
      <c r="D128" s="64">
        <v>1</v>
      </c>
      <c r="E128" s="65"/>
      <c r="F128" s="66">
        <v>100</v>
      </c>
      <c r="G128" s="63"/>
      <c r="H128" s="67"/>
      <c r="I128" s="68"/>
      <c r="J128" s="68"/>
      <c r="K128" s="34" t="s">
        <v>64</v>
      </c>
      <c r="L128" s="75">
        <v>128</v>
      </c>
      <c r="M128" s="75"/>
      <c r="N128" s="70"/>
      <c r="O128" s="77" t="s">
        <v>180</v>
      </c>
      <c r="P128" s="79">
        <v>41123.752164351848</v>
      </c>
      <c r="Q128" s="77" t="s">
        <v>433</v>
      </c>
      <c r="R128" s="81" t="s">
        <v>615</v>
      </c>
      <c r="S128" s="77"/>
      <c r="T128" s="79">
        <v>41123.752164351848</v>
      </c>
      <c r="U128" s="81" t="s">
        <v>747</v>
      </c>
      <c r="V128" s="77"/>
      <c r="W128" s="77"/>
      <c r="X128" s="84" t="s">
        <v>1044</v>
      </c>
      <c r="Y128" s="82">
        <v>1</v>
      </c>
    </row>
    <row r="129" spans="1:25" x14ac:dyDescent="0.25">
      <c r="A129" s="62" t="s">
        <v>240</v>
      </c>
      <c r="B129" s="62" t="s">
        <v>241</v>
      </c>
      <c r="C129" s="63" t="s">
        <v>2222</v>
      </c>
      <c r="D129" s="64">
        <v>1</v>
      </c>
      <c r="E129" s="65"/>
      <c r="F129" s="66">
        <v>100</v>
      </c>
      <c r="G129" s="63"/>
      <c r="H129" s="67"/>
      <c r="I129" s="68"/>
      <c r="J129" s="68"/>
      <c r="K129" s="34" t="s">
        <v>65</v>
      </c>
      <c r="L129" s="75">
        <v>129</v>
      </c>
      <c r="M129" s="75"/>
      <c r="N129" s="70"/>
      <c r="O129" s="77" t="s">
        <v>382</v>
      </c>
      <c r="P129" s="79">
        <v>41124.25708333333</v>
      </c>
      <c r="Q129" s="77"/>
      <c r="R129" s="77"/>
      <c r="S129" s="77"/>
      <c r="T129" s="77"/>
      <c r="U129" s="77"/>
      <c r="V129" s="77"/>
      <c r="W129" s="77"/>
      <c r="X129" s="77"/>
      <c r="Y129">
        <v>1</v>
      </c>
    </row>
    <row r="130" spans="1:25" x14ac:dyDescent="0.25">
      <c r="A130" s="62" t="s">
        <v>241</v>
      </c>
      <c r="B130" s="62" t="s">
        <v>240</v>
      </c>
      <c r="C130" s="63" t="s">
        <v>2222</v>
      </c>
      <c r="D130" s="64">
        <v>1</v>
      </c>
      <c r="E130" s="65"/>
      <c r="F130" s="66">
        <v>100</v>
      </c>
      <c r="G130" s="63"/>
      <c r="H130" s="67"/>
      <c r="I130" s="68"/>
      <c r="J130" s="68"/>
      <c r="K130" s="34" t="s">
        <v>65</v>
      </c>
      <c r="L130" s="75">
        <v>130</v>
      </c>
      <c r="M130" s="75"/>
      <c r="N130" s="70"/>
      <c r="O130" s="77" t="s">
        <v>382</v>
      </c>
      <c r="P130" s="79">
        <v>41124.25708333333</v>
      </c>
      <c r="Q130" s="77"/>
      <c r="R130" s="77"/>
      <c r="S130" s="77"/>
      <c r="T130" s="77"/>
      <c r="U130" s="77"/>
      <c r="V130" s="77"/>
      <c r="W130" s="77"/>
      <c r="X130" s="77"/>
      <c r="Y130">
        <v>1</v>
      </c>
    </row>
    <row r="131" spans="1:25" x14ac:dyDescent="0.25">
      <c r="A131" s="62" t="s">
        <v>241</v>
      </c>
      <c r="B131" s="62" t="s">
        <v>376</v>
      </c>
      <c r="C131" s="63" t="s">
        <v>2222</v>
      </c>
      <c r="D131" s="64">
        <v>1</v>
      </c>
      <c r="E131" s="65"/>
      <c r="F131" s="66">
        <v>100</v>
      </c>
      <c r="G131" s="63"/>
      <c r="H131" s="67"/>
      <c r="I131" s="68"/>
      <c r="J131" s="68"/>
      <c r="K131" s="34" t="s">
        <v>64</v>
      </c>
      <c r="L131" s="75">
        <v>131</v>
      </c>
      <c r="M131" s="75"/>
      <c r="N131" s="70"/>
      <c r="O131" s="77" t="s">
        <v>382</v>
      </c>
      <c r="P131" s="79">
        <v>41124.25708333333</v>
      </c>
      <c r="Q131" s="77"/>
      <c r="R131" s="77"/>
      <c r="S131" s="77"/>
      <c r="T131" s="77"/>
      <c r="U131" s="77"/>
      <c r="V131" s="77"/>
      <c r="W131" s="77"/>
      <c r="X131" s="77"/>
      <c r="Y131">
        <v>1</v>
      </c>
    </row>
    <row r="132" spans="1:25" x14ac:dyDescent="0.25">
      <c r="A132" s="62" t="s">
        <v>241</v>
      </c>
      <c r="B132" s="62" t="s">
        <v>286</v>
      </c>
      <c r="C132" s="63" t="s">
        <v>2222</v>
      </c>
      <c r="D132" s="64">
        <v>1</v>
      </c>
      <c r="E132" s="65"/>
      <c r="F132" s="66">
        <v>100</v>
      </c>
      <c r="G132" s="63"/>
      <c r="H132" s="67"/>
      <c r="I132" s="68"/>
      <c r="J132" s="68"/>
      <c r="K132" s="34" t="s">
        <v>64</v>
      </c>
      <c r="L132" s="75">
        <v>132</v>
      </c>
      <c r="M132" s="75"/>
      <c r="N132" s="70"/>
      <c r="O132" s="77" t="s">
        <v>382</v>
      </c>
      <c r="P132" s="79">
        <v>41124.25708333333</v>
      </c>
      <c r="Q132" s="77"/>
      <c r="R132" s="77"/>
      <c r="S132" s="77"/>
      <c r="T132" s="77"/>
      <c r="U132" s="77"/>
      <c r="V132" s="77"/>
      <c r="W132" s="77"/>
      <c r="X132" s="77"/>
      <c r="Y132">
        <v>1</v>
      </c>
    </row>
    <row r="133" spans="1:25" x14ac:dyDescent="0.25">
      <c r="A133" s="62" t="s">
        <v>242</v>
      </c>
      <c r="B133" s="62" t="s">
        <v>242</v>
      </c>
      <c r="C133" s="63" t="s">
        <v>2219</v>
      </c>
      <c r="D133" s="64">
        <v>1</v>
      </c>
      <c r="E133" s="65"/>
      <c r="F133" s="66">
        <v>100</v>
      </c>
      <c r="G133" s="63"/>
      <c r="H133" s="67"/>
      <c r="I133" s="68"/>
      <c r="J133" s="68"/>
      <c r="K133" s="34" t="s">
        <v>64</v>
      </c>
      <c r="L133" s="75">
        <v>133</v>
      </c>
      <c r="M133" s="75"/>
      <c r="N133" s="70"/>
      <c r="O133" s="77" t="s">
        <v>180</v>
      </c>
      <c r="P133" s="79">
        <v>41123.752303240741</v>
      </c>
      <c r="Q133" s="77" t="s">
        <v>456</v>
      </c>
      <c r="R133" s="77"/>
      <c r="S133" s="77"/>
      <c r="T133" s="79">
        <v>41123.752303240741</v>
      </c>
      <c r="U133" s="81" t="s">
        <v>748</v>
      </c>
      <c r="V133" s="77"/>
      <c r="W133" s="77"/>
      <c r="X133" s="84" t="s">
        <v>1045</v>
      </c>
      <c r="Y133" s="82">
        <v>1</v>
      </c>
    </row>
    <row r="134" spans="1:25" x14ac:dyDescent="0.25">
      <c r="A134" s="62" t="s">
        <v>243</v>
      </c>
      <c r="B134" s="62" t="s">
        <v>242</v>
      </c>
      <c r="C134" s="63" t="s">
        <v>2220</v>
      </c>
      <c r="D134" s="64">
        <v>1.5</v>
      </c>
      <c r="E134" s="65"/>
      <c r="F134" s="66">
        <v>97.777777777777771</v>
      </c>
      <c r="G134" s="63"/>
      <c r="H134" s="67"/>
      <c r="I134" s="68"/>
      <c r="J134" s="68"/>
      <c r="K134" s="34" t="s">
        <v>64</v>
      </c>
      <c r="L134" s="75">
        <v>134</v>
      </c>
      <c r="M134" s="75"/>
      <c r="N134" s="70"/>
      <c r="O134" s="77" t="s">
        <v>380</v>
      </c>
      <c r="P134" s="79">
        <v>41123.764421296299</v>
      </c>
      <c r="Q134" s="77" t="s">
        <v>457</v>
      </c>
      <c r="R134" s="77"/>
      <c r="S134" s="77"/>
      <c r="T134" s="79">
        <v>41123.764421296299</v>
      </c>
      <c r="U134" s="81" t="s">
        <v>749</v>
      </c>
      <c r="V134" s="77"/>
      <c r="W134" s="77"/>
      <c r="X134" s="84" t="s">
        <v>1046</v>
      </c>
      <c r="Y134" s="82">
        <v>2</v>
      </c>
    </row>
    <row r="135" spans="1:25" x14ac:dyDescent="0.25">
      <c r="A135" s="62" t="s">
        <v>243</v>
      </c>
      <c r="B135" s="62" t="s">
        <v>242</v>
      </c>
      <c r="C135" s="63" t="s">
        <v>2220</v>
      </c>
      <c r="D135" s="64">
        <v>1.5</v>
      </c>
      <c r="E135" s="65"/>
      <c r="F135" s="66">
        <v>97.777777777777771</v>
      </c>
      <c r="G135" s="63"/>
      <c r="H135" s="67"/>
      <c r="I135" s="68"/>
      <c r="J135" s="68"/>
      <c r="K135" s="34" t="s">
        <v>64</v>
      </c>
      <c r="L135" s="75">
        <v>135</v>
      </c>
      <c r="M135" s="75"/>
      <c r="N135" s="70"/>
      <c r="O135" s="77" t="s">
        <v>380</v>
      </c>
      <c r="P135" s="79">
        <v>41123.766030092593</v>
      </c>
      <c r="Q135" s="77" t="s">
        <v>458</v>
      </c>
      <c r="R135" s="77"/>
      <c r="S135" s="77"/>
      <c r="T135" s="79">
        <v>41123.766030092593</v>
      </c>
      <c r="U135" s="81" t="s">
        <v>750</v>
      </c>
      <c r="V135" s="77"/>
      <c r="W135" s="77"/>
      <c r="X135" s="84" t="s">
        <v>1047</v>
      </c>
      <c r="Y135" s="82">
        <v>2</v>
      </c>
    </row>
    <row r="136" spans="1:25" x14ac:dyDescent="0.25">
      <c r="A136" s="62" t="s">
        <v>240</v>
      </c>
      <c r="B136" s="62" t="s">
        <v>242</v>
      </c>
      <c r="C136" s="63" t="s">
        <v>2222</v>
      </c>
      <c r="D136" s="64">
        <v>1</v>
      </c>
      <c r="E136" s="65"/>
      <c r="F136" s="66">
        <v>100</v>
      </c>
      <c r="G136" s="63"/>
      <c r="H136" s="67"/>
      <c r="I136" s="68"/>
      <c r="J136" s="68"/>
      <c r="K136" s="34" t="s">
        <v>65</v>
      </c>
      <c r="L136" s="75">
        <v>136</v>
      </c>
      <c r="M136" s="75"/>
      <c r="N136" s="70"/>
      <c r="O136" s="77" t="s">
        <v>382</v>
      </c>
      <c r="P136" s="79">
        <v>41124.25708333333</v>
      </c>
      <c r="Q136" s="77"/>
      <c r="R136" s="77"/>
      <c r="S136" s="77"/>
      <c r="T136" s="77"/>
      <c r="U136" s="77"/>
      <c r="V136" s="77"/>
      <c r="W136" s="77"/>
      <c r="X136" s="77"/>
      <c r="Y136">
        <v>1</v>
      </c>
    </row>
    <row r="137" spans="1:25" x14ac:dyDescent="0.25">
      <c r="A137" s="62" t="s">
        <v>242</v>
      </c>
      <c r="B137" s="62" t="s">
        <v>350</v>
      </c>
      <c r="C137" s="63" t="s">
        <v>2222</v>
      </c>
      <c r="D137" s="64">
        <v>1</v>
      </c>
      <c r="E137" s="65"/>
      <c r="F137" s="66">
        <v>100</v>
      </c>
      <c r="G137" s="63"/>
      <c r="H137" s="67"/>
      <c r="I137" s="68"/>
      <c r="J137" s="68"/>
      <c r="K137" s="34" t="s">
        <v>64</v>
      </c>
      <c r="L137" s="75">
        <v>137</v>
      </c>
      <c r="M137" s="75"/>
      <c r="N137" s="70"/>
      <c r="O137" s="77" t="s">
        <v>382</v>
      </c>
      <c r="P137" s="79">
        <v>41124.25708333333</v>
      </c>
      <c r="Q137" s="77"/>
      <c r="R137" s="77"/>
      <c r="S137" s="77"/>
      <c r="T137" s="77"/>
      <c r="U137" s="77"/>
      <c r="V137" s="77"/>
      <c r="W137" s="77"/>
      <c r="X137" s="77"/>
      <c r="Y137">
        <v>1</v>
      </c>
    </row>
    <row r="138" spans="1:25" x14ac:dyDescent="0.25">
      <c r="A138" s="62" t="s">
        <v>242</v>
      </c>
      <c r="B138" s="62" t="s">
        <v>376</v>
      </c>
      <c r="C138" s="63" t="s">
        <v>2222</v>
      </c>
      <c r="D138" s="64">
        <v>1</v>
      </c>
      <c r="E138" s="65"/>
      <c r="F138" s="66">
        <v>100</v>
      </c>
      <c r="G138" s="63"/>
      <c r="H138" s="67"/>
      <c r="I138" s="68"/>
      <c r="J138" s="68"/>
      <c r="K138" s="34" t="s">
        <v>64</v>
      </c>
      <c r="L138" s="75">
        <v>138</v>
      </c>
      <c r="M138" s="75"/>
      <c r="N138" s="70"/>
      <c r="O138" s="77" t="s">
        <v>382</v>
      </c>
      <c r="P138" s="79">
        <v>41124.25708333333</v>
      </c>
      <c r="Q138" s="77"/>
      <c r="R138" s="77"/>
      <c r="S138" s="77"/>
      <c r="T138" s="77"/>
      <c r="U138" s="77"/>
      <c r="V138" s="77"/>
      <c r="W138" s="77"/>
      <c r="X138" s="77"/>
      <c r="Y138">
        <v>1</v>
      </c>
    </row>
    <row r="139" spans="1:25" x14ac:dyDescent="0.25">
      <c r="A139" s="62" t="s">
        <v>242</v>
      </c>
      <c r="B139" s="62" t="s">
        <v>240</v>
      </c>
      <c r="C139" s="63" t="s">
        <v>2222</v>
      </c>
      <c r="D139" s="64">
        <v>1</v>
      </c>
      <c r="E139" s="65"/>
      <c r="F139" s="66">
        <v>100</v>
      </c>
      <c r="G139" s="63"/>
      <c r="H139" s="67"/>
      <c r="I139" s="68"/>
      <c r="J139" s="68"/>
      <c r="K139" s="34" t="s">
        <v>65</v>
      </c>
      <c r="L139" s="75">
        <v>139</v>
      </c>
      <c r="M139" s="75"/>
      <c r="N139" s="70"/>
      <c r="O139" s="77" t="s">
        <v>382</v>
      </c>
      <c r="P139" s="79">
        <v>41124.25708333333</v>
      </c>
      <c r="Q139" s="77"/>
      <c r="R139" s="77"/>
      <c r="S139" s="77"/>
      <c r="T139" s="77"/>
      <c r="U139" s="77"/>
      <c r="V139" s="77"/>
      <c r="W139" s="77"/>
      <c r="X139" s="77"/>
      <c r="Y139">
        <v>1</v>
      </c>
    </row>
    <row r="140" spans="1:25" x14ac:dyDescent="0.25">
      <c r="A140" s="62" t="s">
        <v>242</v>
      </c>
      <c r="B140" s="62" t="s">
        <v>367</v>
      </c>
      <c r="C140" s="63" t="s">
        <v>2222</v>
      </c>
      <c r="D140" s="64">
        <v>1</v>
      </c>
      <c r="E140" s="65"/>
      <c r="F140" s="66">
        <v>100</v>
      </c>
      <c r="G140" s="63"/>
      <c r="H140" s="67"/>
      <c r="I140" s="68"/>
      <c r="J140" s="68"/>
      <c r="K140" s="34" t="s">
        <v>64</v>
      </c>
      <c r="L140" s="75">
        <v>140</v>
      </c>
      <c r="M140" s="75"/>
      <c r="N140" s="70"/>
      <c r="O140" s="77" t="s">
        <v>382</v>
      </c>
      <c r="P140" s="79">
        <v>41124.25708333333</v>
      </c>
      <c r="Q140" s="77"/>
      <c r="R140" s="77"/>
      <c r="S140" s="77"/>
      <c r="T140" s="77"/>
      <c r="U140" s="77"/>
      <c r="V140" s="77"/>
      <c r="W140" s="77"/>
      <c r="X140" s="77"/>
      <c r="Y140">
        <v>1</v>
      </c>
    </row>
    <row r="141" spans="1:25" x14ac:dyDescent="0.25">
      <c r="A141" s="62" t="s">
        <v>244</v>
      </c>
      <c r="B141" s="62" t="s">
        <v>244</v>
      </c>
      <c r="C141" s="63" t="s">
        <v>2219</v>
      </c>
      <c r="D141" s="64">
        <v>1</v>
      </c>
      <c r="E141" s="65"/>
      <c r="F141" s="66">
        <v>100</v>
      </c>
      <c r="G141" s="63"/>
      <c r="H141" s="67"/>
      <c r="I141" s="68"/>
      <c r="J141" s="68"/>
      <c r="K141" s="34" t="s">
        <v>64</v>
      </c>
      <c r="L141" s="75">
        <v>141</v>
      </c>
      <c r="M141" s="75"/>
      <c r="N141" s="70"/>
      <c r="O141" s="77" t="s">
        <v>180</v>
      </c>
      <c r="P141" s="79">
        <v>41123.763310185182</v>
      </c>
      <c r="Q141" s="77" t="s">
        <v>459</v>
      </c>
      <c r="R141" s="77"/>
      <c r="S141" s="77"/>
      <c r="T141" s="79">
        <v>41123.763310185182</v>
      </c>
      <c r="U141" s="81" t="s">
        <v>751</v>
      </c>
      <c r="V141" s="77"/>
      <c r="W141" s="77"/>
      <c r="X141" s="84" t="s">
        <v>1048</v>
      </c>
      <c r="Y141" s="82">
        <v>1</v>
      </c>
    </row>
    <row r="142" spans="1:25" x14ac:dyDescent="0.25">
      <c r="A142" s="62" t="s">
        <v>244</v>
      </c>
      <c r="B142" s="62" t="s">
        <v>312</v>
      </c>
      <c r="C142" s="63" t="s">
        <v>2222</v>
      </c>
      <c r="D142" s="64">
        <v>1</v>
      </c>
      <c r="E142" s="65"/>
      <c r="F142" s="66">
        <v>100</v>
      </c>
      <c r="G142" s="63"/>
      <c r="H142" s="67"/>
      <c r="I142" s="68"/>
      <c r="J142" s="68"/>
      <c r="K142" s="34" t="s">
        <v>64</v>
      </c>
      <c r="L142" s="75">
        <v>142</v>
      </c>
      <c r="M142" s="75"/>
      <c r="N142" s="70"/>
      <c r="O142" s="77" t="s">
        <v>382</v>
      </c>
      <c r="P142" s="79">
        <v>41124.25708333333</v>
      </c>
      <c r="Q142" s="77"/>
      <c r="R142" s="77"/>
      <c r="S142" s="77"/>
      <c r="T142" s="77"/>
      <c r="U142" s="77"/>
      <c r="V142" s="77"/>
      <c r="W142" s="77"/>
      <c r="X142" s="77"/>
      <c r="Y142">
        <v>1</v>
      </c>
    </row>
    <row r="143" spans="1:25" x14ac:dyDescent="0.25">
      <c r="A143" s="62" t="s">
        <v>245</v>
      </c>
      <c r="B143" s="62" t="s">
        <v>301</v>
      </c>
      <c r="C143" s="63" t="s">
        <v>2221</v>
      </c>
      <c r="D143" s="64">
        <v>1</v>
      </c>
      <c r="E143" s="65"/>
      <c r="F143" s="66">
        <v>100</v>
      </c>
      <c r="G143" s="63"/>
      <c r="H143" s="67"/>
      <c r="I143" s="68"/>
      <c r="J143" s="68"/>
      <c r="K143" s="34" t="s">
        <v>64</v>
      </c>
      <c r="L143" s="75">
        <v>143</v>
      </c>
      <c r="M143" s="75"/>
      <c r="N143" s="70"/>
      <c r="O143" s="77" t="s">
        <v>381</v>
      </c>
      <c r="P143" s="79">
        <v>41123.728807870371</v>
      </c>
      <c r="Q143" s="77" t="s">
        <v>460</v>
      </c>
      <c r="R143" s="77"/>
      <c r="S143" s="77"/>
      <c r="T143" s="79">
        <v>41123.728807870371</v>
      </c>
      <c r="U143" s="81" t="s">
        <v>752</v>
      </c>
      <c r="V143" s="77"/>
      <c r="W143" s="77"/>
      <c r="X143" s="84" t="s">
        <v>1049</v>
      </c>
      <c r="Y143" s="82">
        <v>1</v>
      </c>
    </row>
    <row r="144" spans="1:25" x14ac:dyDescent="0.25">
      <c r="A144" s="62" t="s">
        <v>245</v>
      </c>
      <c r="B144" s="62" t="s">
        <v>246</v>
      </c>
      <c r="C144" s="63" t="s">
        <v>2222</v>
      </c>
      <c r="D144" s="64">
        <v>1</v>
      </c>
      <c r="E144" s="65"/>
      <c r="F144" s="66">
        <v>100</v>
      </c>
      <c r="G144" s="63"/>
      <c r="H144" s="67"/>
      <c r="I144" s="68"/>
      <c r="J144" s="68"/>
      <c r="K144" s="34" t="s">
        <v>65</v>
      </c>
      <c r="L144" s="75">
        <v>144</v>
      </c>
      <c r="M144" s="75"/>
      <c r="N144" s="70"/>
      <c r="O144" s="77" t="s">
        <v>382</v>
      </c>
      <c r="P144" s="79">
        <v>41124.25708333333</v>
      </c>
      <c r="Q144" s="77"/>
      <c r="R144" s="77"/>
      <c r="S144" s="77"/>
      <c r="T144" s="77"/>
      <c r="U144" s="77"/>
      <c r="V144" s="77"/>
      <c r="W144" s="77"/>
      <c r="X144" s="77"/>
      <c r="Y144">
        <v>1</v>
      </c>
    </row>
    <row r="145" spans="1:25" x14ac:dyDescent="0.25">
      <c r="A145" s="62" t="s">
        <v>245</v>
      </c>
      <c r="B145" s="62" t="s">
        <v>301</v>
      </c>
      <c r="C145" s="63" t="s">
        <v>2222</v>
      </c>
      <c r="D145" s="64">
        <v>1</v>
      </c>
      <c r="E145" s="65"/>
      <c r="F145" s="66">
        <v>100</v>
      </c>
      <c r="G145" s="63"/>
      <c r="H145" s="67"/>
      <c r="I145" s="68"/>
      <c r="J145" s="68"/>
      <c r="K145" s="34" t="s">
        <v>64</v>
      </c>
      <c r="L145" s="75">
        <v>145</v>
      </c>
      <c r="M145" s="75"/>
      <c r="N145" s="70"/>
      <c r="O145" s="77" t="s">
        <v>382</v>
      </c>
      <c r="P145" s="79">
        <v>41124.25708333333</v>
      </c>
      <c r="Q145" s="77"/>
      <c r="R145" s="77"/>
      <c r="S145" s="77"/>
      <c r="T145" s="77"/>
      <c r="U145" s="77"/>
      <c r="V145" s="77"/>
      <c r="W145" s="77"/>
      <c r="X145" s="77"/>
      <c r="Y145">
        <v>1</v>
      </c>
    </row>
    <row r="146" spans="1:25" x14ac:dyDescent="0.25">
      <c r="A146" s="62" t="s">
        <v>246</v>
      </c>
      <c r="B146" s="62" t="s">
        <v>245</v>
      </c>
      <c r="C146" s="63" t="s">
        <v>2222</v>
      </c>
      <c r="D146" s="64">
        <v>1</v>
      </c>
      <c r="E146" s="65"/>
      <c r="F146" s="66">
        <v>100</v>
      </c>
      <c r="G146" s="63"/>
      <c r="H146" s="67"/>
      <c r="I146" s="68"/>
      <c r="J146" s="68"/>
      <c r="K146" s="34" t="s">
        <v>65</v>
      </c>
      <c r="L146" s="75">
        <v>146</v>
      </c>
      <c r="M146" s="75"/>
      <c r="N146" s="70"/>
      <c r="O146" s="77" t="s">
        <v>382</v>
      </c>
      <c r="P146" s="79">
        <v>41124.25708333333</v>
      </c>
      <c r="Q146" s="77"/>
      <c r="R146" s="77"/>
      <c r="S146" s="77"/>
      <c r="T146" s="77"/>
      <c r="U146" s="77"/>
      <c r="V146" s="77"/>
      <c r="W146" s="77"/>
      <c r="X146" s="77"/>
      <c r="Y146">
        <v>1</v>
      </c>
    </row>
    <row r="147" spans="1:25" x14ac:dyDescent="0.25">
      <c r="A147" s="62" t="s">
        <v>247</v>
      </c>
      <c r="B147" s="62" t="s">
        <v>247</v>
      </c>
      <c r="C147" s="63" t="s">
        <v>2219</v>
      </c>
      <c r="D147" s="64">
        <v>1.5</v>
      </c>
      <c r="E147" s="65"/>
      <c r="F147" s="66">
        <v>97.777777777777771</v>
      </c>
      <c r="G147" s="63"/>
      <c r="H147" s="67"/>
      <c r="I147" s="68"/>
      <c r="J147" s="68"/>
      <c r="K147" s="34" t="s">
        <v>64</v>
      </c>
      <c r="L147" s="75">
        <v>147</v>
      </c>
      <c r="M147" s="75"/>
      <c r="N147" s="70"/>
      <c r="O147" s="77" t="s">
        <v>180</v>
      </c>
      <c r="P147" s="79">
        <v>41123.764502314814</v>
      </c>
      <c r="Q147" s="77" t="s">
        <v>461</v>
      </c>
      <c r="R147" s="77"/>
      <c r="S147" s="77" t="s">
        <v>638</v>
      </c>
      <c r="T147" s="79">
        <v>41123.764502314814</v>
      </c>
      <c r="U147" s="81" t="s">
        <v>753</v>
      </c>
      <c r="V147" s="77"/>
      <c r="W147" s="77"/>
      <c r="X147" s="84" t="s">
        <v>1050</v>
      </c>
      <c r="Y147" s="82">
        <v>2</v>
      </c>
    </row>
    <row r="148" spans="1:25" x14ac:dyDescent="0.25">
      <c r="A148" s="62" t="s">
        <v>247</v>
      </c>
      <c r="B148" s="62" t="s">
        <v>247</v>
      </c>
      <c r="C148" s="63" t="s">
        <v>2219</v>
      </c>
      <c r="D148" s="64">
        <v>1.5</v>
      </c>
      <c r="E148" s="65"/>
      <c r="F148" s="66">
        <v>97.777777777777771</v>
      </c>
      <c r="G148" s="63"/>
      <c r="H148" s="67"/>
      <c r="I148" s="68"/>
      <c r="J148" s="68"/>
      <c r="K148" s="34" t="s">
        <v>64</v>
      </c>
      <c r="L148" s="75">
        <v>148</v>
      </c>
      <c r="M148" s="75"/>
      <c r="N148" s="70"/>
      <c r="O148" s="77" t="s">
        <v>180</v>
      </c>
      <c r="P148" s="79">
        <v>41123.764675925922</v>
      </c>
      <c r="Q148" s="77" t="s">
        <v>462</v>
      </c>
      <c r="R148" s="77"/>
      <c r="S148" s="77"/>
      <c r="T148" s="79">
        <v>41123.764675925922</v>
      </c>
      <c r="U148" s="81" t="s">
        <v>754</v>
      </c>
      <c r="V148" s="77"/>
      <c r="W148" s="77"/>
      <c r="X148" s="84" t="s">
        <v>1051</v>
      </c>
      <c r="Y148" s="82">
        <v>2</v>
      </c>
    </row>
    <row r="149" spans="1:25" x14ac:dyDescent="0.25">
      <c r="A149" s="62" t="s">
        <v>247</v>
      </c>
      <c r="B149" s="62" t="s">
        <v>246</v>
      </c>
      <c r="C149" s="63" t="s">
        <v>2222</v>
      </c>
      <c r="D149" s="64">
        <v>1</v>
      </c>
      <c r="E149" s="65"/>
      <c r="F149" s="66">
        <v>100</v>
      </c>
      <c r="G149" s="63"/>
      <c r="H149" s="67"/>
      <c r="I149" s="68"/>
      <c r="J149" s="68"/>
      <c r="K149" s="34" t="s">
        <v>64</v>
      </c>
      <c r="L149" s="75">
        <v>149</v>
      </c>
      <c r="M149" s="75"/>
      <c r="N149" s="70"/>
      <c r="O149" s="77" t="s">
        <v>382</v>
      </c>
      <c r="P149" s="79">
        <v>41124.25708333333</v>
      </c>
      <c r="Q149" s="77"/>
      <c r="R149" s="77"/>
      <c r="S149" s="77"/>
      <c r="T149" s="77"/>
      <c r="U149" s="77"/>
      <c r="V149" s="77"/>
      <c r="W149" s="77"/>
      <c r="X149" s="77"/>
      <c r="Y149">
        <v>1</v>
      </c>
    </row>
    <row r="150" spans="1:25" x14ac:dyDescent="0.25">
      <c r="A150" s="62" t="s">
        <v>248</v>
      </c>
      <c r="B150" s="62" t="s">
        <v>248</v>
      </c>
      <c r="C150" s="63" t="s">
        <v>2219</v>
      </c>
      <c r="D150" s="64">
        <v>1</v>
      </c>
      <c r="E150" s="65"/>
      <c r="F150" s="66">
        <v>100</v>
      </c>
      <c r="G150" s="63"/>
      <c r="H150" s="67"/>
      <c r="I150" s="68"/>
      <c r="J150" s="68"/>
      <c r="K150" s="34" t="s">
        <v>64</v>
      </c>
      <c r="L150" s="75">
        <v>150</v>
      </c>
      <c r="M150" s="75"/>
      <c r="N150" s="70"/>
      <c r="O150" s="77" t="s">
        <v>180</v>
      </c>
      <c r="P150" s="79">
        <v>41123.765925925924</v>
      </c>
      <c r="Q150" s="77" t="s">
        <v>462</v>
      </c>
      <c r="R150" s="77"/>
      <c r="S150" s="77"/>
      <c r="T150" s="79">
        <v>41123.765925925924</v>
      </c>
      <c r="U150" s="81" t="s">
        <v>755</v>
      </c>
      <c r="V150" s="77"/>
      <c r="W150" s="77"/>
      <c r="X150" s="84" t="s">
        <v>1052</v>
      </c>
      <c r="Y150" s="82">
        <v>1</v>
      </c>
    </row>
    <row r="151" spans="1:25" x14ac:dyDescent="0.25">
      <c r="A151" s="62" t="s">
        <v>248</v>
      </c>
      <c r="B151" s="62" t="s">
        <v>246</v>
      </c>
      <c r="C151" s="63" t="s">
        <v>2222</v>
      </c>
      <c r="D151" s="64">
        <v>1</v>
      </c>
      <c r="E151" s="65"/>
      <c r="F151" s="66">
        <v>100</v>
      </c>
      <c r="G151" s="63"/>
      <c r="H151" s="67"/>
      <c r="I151" s="68"/>
      <c r="J151" s="68"/>
      <c r="K151" s="34" t="s">
        <v>64</v>
      </c>
      <c r="L151" s="75">
        <v>151</v>
      </c>
      <c r="M151" s="75"/>
      <c r="N151" s="70"/>
      <c r="O151" s="77" t="s">
        <v>382</v>
      </c>
      <c r="P151" s="79">
        <v>41124.25708333333</v>
      </c>
      <c r="Q151" s="77"/>
      <c r="R151" s="77"/>
      <c r="S151" s="77"/>
      <c r="T151" s="77"/>
      <c r="U151" s="77"/>
      <c r="V151" s="77"/>
      <c r="W151" s="77"/>
      <c r="X151" s="77"/>
      <c r="Y151">
        <v>1</v>
      </c>
    </row>
    <row r="152" spans="1:25" x14ac:dyDescent="0.25">
      <c r="A152" s="62" t="s">
        <v>249</v>
      </c>
      <c r="B152" s="62" t="s">
        <v>249</v>
      </c>
      <c r="C152" s="63" t="s">
        <v>2219</v>
      </c>
      <c r="D152" s="64">
        <v>1</v>
      </c>
      <c r="E152" s="65"/>
      <c r="F152" s="66">
        <v>100</v>
      </c>
      <c r="G152" s="63"/>
      <c r="H152" s="67"/>
      <c r="I152" s="68"/>
      <c r="J152" s="68"/>
      <c r="K152" s="34" t="s">
        <v>64</v>
      </c>
      <c r="L152" s="75">
        <v>152</v>
      </c>
      <c r="M152" s="75"/>
      <c r="N152" s="70"/>
      <c r="O152" s="77" t="s">
        <v>180</v>
      </c>
      <c r="P152" s="79">
        <v>41123.766053240739</v>
      </c>
      <c r="Q152" s="77" t="s">
        <v>463</v>
      </c>
      <c r="R152" s="77"/>
      <c r="S152" s="77"/>
      <c r="T152" s="79">
        <v>41123.766053240739</v>
      </c>
      <c r="U152" s="81" t="s">
        <v>756</v>
      </c>
      <c r="V152" s="77"/>
      <c r="W152" s="77"/>
      <c r="X152" s="84" t="s">
        <v>1053</v>
      </c>
      <c r="Y152" s="82">
        <v>1</v>
      </c>
    </row>
    <row r="153" spans="1:25" x14ac:dyDescent="0.25">
      <c r="A153" s="62" t="s">
        <v>249</v>
      </c>
      <c r="B153" s="62" t="s">
        <v>246</v>
      </c>
      <c r="C153" s="63" t="s">
        <v>2222</v>
      </c>
      <c r="D153" s="64">
        <v>1</v>
      </c>
      <c r="E153" s="65"/>
      <c r="F153" s="66">
        <v>100</v>
      </c>
      <c r="G153" s="63"/>
      <c r="H153" s="67"/>
      <c r="I153" s="68"/>
      <c r="J153" s="68"/>
      <c r="K153" s="34" t="s">
        <v>64</v>
      </c>
      <c r="L153" s="75">
        <v>153</v>
      </c>
      <c r="M153" s="75"/>
      <c r="N153" s="70"/>
      <c r="O153" s="77" t="s">
        <v>382</v>
      </c>
      <c r="P153" s="79">
        <v>41124.25708333333</v>
      </c>
      <c r="Q153" s="77"/>
      <c r="R153" s="77"/>
      <c r="S153" s="77"/>
      <c r="T153" s="77"/>
      <c r="U153" s="77"/>
      <c r="V153" s="77"/>
      <c r="W153" s="77"/>
      <c r="X153" s="77"/>
      <c r="Y153">
        <v>1</v>
      </c>
    </row>
    <row r="154" spans="1:25" x14ac:dyDescent="0.25">
      <c r="A154" s="62" t="s">
        <v>249</v>
      </c>
      <c r="B154" s="62" t="s">
        <v>287</v>
      </c>
      <c r="C154" s="63" t="s">
        <v>2222</v>
      </c>
      <c r="D154" s="64">
        <v>1</v>
      </c>
      <c r="E154" s="65"/>
      <c r="F154" s="66">
        <v>100</v>
      </c>
      <c r="G154" s="63"/>
      <c r="H154" s="67"/>
      <c r="I154" s="68"/>
      <c r="J154" s="68"/>
      <c r="K154" s="34" t="s">
        <v>64</v>
      </c>
      <c r="L154" s="75">
        <v>154</v>
      </c>
      <c r="M154" s="75"/>
      <c r="N154" s="70"/>
      <c r="O154" s="77" t="s">
        <v>382</v>
      </c>
      <c r="P154" s="79">
        <v>41124.25708333333</v>
      </c>
      <c r="Q154" s="77"/>
      <c r="R154" s="77"/>
      <c r="S154" s="77"/>
      <c r="T154" s="77"/>
      <c r="U154" s="77"/>
      <c r="V154" s="77"/>
      <c r="W154" s="77"/>
      <c r="X154" s="77"/>
      <c r="Y154">
        <v>1</v>
      </c>
    </row>
    <row r="155" spans="1:25" x14ac:dyDescent="0.25">
      <c r="A155" s="62" t="s">
        <v>250</v>
      </c>
      <c r="B155" s="62" t="s">
        <v>250</v>
      </c>
      <c r="C155" s="63" t="s">
        <v>2219</v>
      </c>
      <c r="D155" s="64">
        <v>1</v>
      </c>
      <c r="E155" s="65"/>
      <c r="F155" s="66">
        <v>100</v>
      </c>
      <c r="G155" s="63"/>
      <c r="H155" s="67"/>
      <c r="I155" s="68"/>
      <c r="J155" s="68"/>
      <c r="K155" s="34" t="s">
        <v>64</v>
      </c>
      <c r="L155" s="75">
        <v>155</v>
      </c>
      <c r="M155" s="75"/>
      <c r="N155" s="70"/>
      <c r="O155" s="77" t="s">
        <v>180</v>
      </c>
      <c r="P155" s="79">
        <v>41123.768773148149</v>
      </c>
      <c r="Q155" s="77" t="s">
        <v>433</v>
      </c>
      <c r="R155" s="81" t="s">
        <v>615</v>
      </c>
      <c r="S155" s="77"/>
      <c r="T155" s="79">
        <v>41123.768773148149</v>
      </c>
      <c r="U155" s="81" t="s">
        <v>757</v>
      </c>
      <c r="V155" s="77"/>
      <c r="W155" s="77"/>
      <c r="X155" s="84" t="s">
        <v>1054</v>
      </c>
      <c r="Y155" s="82">
        <v>1</v>
      </c>
    </row>
    <row r="156" spans="1:25" x14ac:dyDescent="0.25">
      <c r="A156" s="62" t="s">
        <v>217</v>
      </c>
      <c r="B156" s="62" t="s">
        <v>250</v>
      </c>
      <c r="C156" s="63" t="s">
        <v>2222</v>
      </c>
      <c r="D156" s="64">
        <v>1</v>
      </c>
      <c r="E156" s="65"/>
      <c r="F156" s="66">
        <v>100</v>
      </c>
      <c r="G156" s="63"/>
      <c r="H156" s="67"/>
      <c r="I156" s="68"/>
      <c r="J156" s="68"/>
      <c r="K156" s="34" t="s">
        <v>65</v>
      </c>
      <c r="L156" s="75">
        <v>156</v>
      </c>
      <c r="M156" s="75"/>
      <c r="N156" s="70"/>
      <c r="O156" s="77" t="s">
        <v>382</v>
      </c>
      <c r="P156" s="79">
        <v>41124.25708333333</v>
      </c>
      <c r="Q156" s="77"/>
      <c r="R156" s="77"/>
      <c r="S156" s="77"/>
      <c r="T156" s="77"/>
      <c r="U156" s="77"/>
      <c r="V156" s="77"/>
      <c r="W156" s="77"/>
      <c r="X156" s="77"/>
      <c r="Y156">
        <v>1</v>
      </c>
    </row>
    <row r="157" spans="1:25" x14ac:dyDescent="0.25">
      <c r="A157" s="62" t="s">
        <v>218</v>
      </c>
      <c r="B157" s="62" t="s">
        <v>250</v>
      </c>
      <c r="C157" s="63" t="s">
        <v>2222</v>
      </c>
      <c r="D157" s="64">
        <v>1</v>
      </c>
      <c r="E157" s="65"/>
      <c r="F157" s="66">
        <v>100</v>
      </c>
      <c r="G157" s="63"/>
      <c r="H157" s="67"/>
      <c r="I157" s="68"/>
      <c r="J157" s="68"/>
      <c r="K157" s="34" t="s">
        <v>65</v>
      </c>
      <c r="L157" s="75">
        <v>157</v>
      </c>
      <c r="M157" s="75"/>
      <c r="N157" s="70"/>
      <c r="O157" s="77" t="s">
        <v>382</v>
      </c>
      <c r="P157" s="79">
        <v>41124.25708333333</v>
      </c>
      <c r="Q157" s="77"/>
      <c r="R157" s="77"/>
      <c r="S157" s="77"/>
      <c r="T157" s="77"/>
      <c r="U157" s="77"/>
      <c r="V157" s="77"/>
      <c r="W157" s="77"/>
      <c r="X157" s="77"/>
      <c r="Y157">
        <v>1</v>
      </c>
    </row>
    <row r="158" spans="1:25" x14ac:dyDescent="0.25">
      <c r="A158" s="62" t="s">
        <v>250</v>
      </c>
      <c r="B158" s="62" t="s">
        <v>217</v>
      </c>
      <c r="C158" s="63" t="s">
        <v>2222</v>
      </c>
      <c r="D158" s="64">
        <v>1</v>
      </c>
      <c r="E158" s="65"/>
      <c r="F158" s="66">
        <v>100</v>
      </c>
      <c r="G158" s="63"/>
      <c r="H158" s="67"/>
      <c r="I158" s="68"/>
      <c r="J158" s="68"/>
      <c r="K158" s="34" t="s">
        <v>65</v>
      </c>
      <c r="L158" s="75">
        <v>158</v>
      </c>
      <c r="M158" s="75"/>
      <c r="N158" s="70"/>
      <c r="O158" s="77" t="s">
        <v>382</v>
      </c>
      <c r="P158" s="79">
        <v>41124.25708333333</v>
      </c>
      <c r="Q158" s="77"/>
      <c r="R158" s="77"/>
      <c r="S158" s="77"/>
      <c r="T158" s="77"/>
      <c r="U158" s="77"/>
      <c r="V158" s="77"/>
      <c r="W158" s="77"/>
      <c r="X158" s="77"/>
      <c r="Y158">
        <v>1</v>
      </c>
    </row>
    <row r="159" spans="1:25" x14ac:dyDescent="0.25">
      <c r="A159" s="62" t="s">
        <v>250</v>
      </c>
      <c r="B159" s="62" t="s">
        <v>218</v>
      </c>
      <c r="C159" s="63" t="s">
        <v>2222</v>
      </c>
      <c r="D159" s="64">
        <v>1</v>
      </c>
      <c r="E159" s="65"/>
      <c r="F159" s="66">
        <v>100</v>
      </c>
      <c r="G159" s="63"/>
      <c r="H159" s="67"/>
      <c r="I159" s="68"/>
      <c r="J159" s="68"/>
      <c r="K159" s="34" t="s">
        <v>65</v>
      </c>
      <c r="L159" s="75">
        <v>159</v>
      </c>
      <c r="M159" s="75"/>
      <c r="N159" s="70"/>
      <c r="O159" s="77" t="s">
        <v>382</v>
      </c>
      <c r="P159" s="79">
        <v>41124.25708333333</v>
      </c>
      <c r="Q159" s="77"/>
      <c r="R159" s="77"/>
      <c r="S159" s="77"/>
      <c r="T159" s="77"/>
      <c r="U159" s="77"/>
      <c r="V159" s="77"/>
      <c r="W159" s="77"/>
      <c r="X159" s="77"/>
      <c r="Y159">
        <v>1</v>
      </c>
    </row>
    <row r="160" spans="1:25" x14ac:dyDescent="0.25">
      <c r="A160" s="62" t="s">
        <v>250</v>
      </c>
      <c r="B160" s="62" t="s">
        <v>367</v>
      </c>
      <c r="C160" s="63" t="s">
        <v>2222</v>
      </c>
      <c r="D160" s="64">
        <v>1</v>
      </c>
      <c r="E160" s="65"/>
      <c r="F160" s="66">
        <v>100</v>
      </c>
      <c r="G160" s="63"/>
      <c r="H160" s="67"/>
      <c r="I160" s="68"/>
      <c r="J160" s="68"/>
      <c r="K160" s="34" t="s">
        <v>64</v>
      </c>
      <c r="L160" s="75">
        <v>160</v>
      </c>
      <c r="M160" s="75"/>
      <c r="N160" s="70"/>
      <c r="O160" s="77" t="s">
        <v>382</v>
      </c>
      <c r="P160" s="79">
        <v>41124.25708333333</v>
      </c>
      <c r="Q160" s="77"/>
      <c r="R160" s="77"/>
      <c r="S160" s="77"/>
      <c r="T160" s="77"/>
      <c r="U160" s="77"/>
      <c r="V160" s="77"/>
      <c r="W160" s="77"/>
      <c r="X160" s="77"/>
      <c r="Y160">
        <v>1</v>
      </c>
    </row>
    <row r="161" spans="1:25" x14ac:dyDescent="0.25">
      <c r="A161" s="62" t="s">
        <v>251</v>
      </c>
      <c r="B161" s="62" t="s">
        <v>251</v>
      </c>
      <c r="C161" s="63" t="s">
        <v>2219</v>
      </c>
      <c r="D161" s="64">
        <v>1</v>
      </c>
      <c r="E161" s="65"/>
      <c r="F161" s="66">
        <v>100</v>
      </c>
      <c r="G161" s="63"/>
      <c r="H161" s="67"/>
      <c r="I161" s="68"/>
      <c r="J161" s="68"/>
      <c r="K161" s="34" t="s">
        <v>64</v>
      </c>
      <c r="L161" s="75">
        <v>161</v>
      </c>
      <c r="M161" s="75"/>
      <c r="N161" s="70"/>
      <c r="O161" s="77" t="s">
        <v>180</v>
      </c>
      <c r="P161" s="79">
        <v>41123.769479166665</v>
      </c>
      <c r="Q161" s="77" t="s">
        <v>427</v>
      </c>
      <c r="R161" s="77"/>
      <c r="S161" s="77"/>
      <c r="T161" s="79">
        <v>41123.769479166665</v>
      </c>
      <c r="U161" s="81" t="s">
        <v>758</v>
      </c>
      <c r="V161" s="77"/>
      <c r="W161" s="77"/>
      <c r="X161" s="84" t="s">
        <v>1055</v>
      </c>
      <c r="Y161" s="82">
        <v>1</v>
      </c>
    </row>
    <row r="162" spans="1:25" x14ac:dyDescent="0.25">
      <c r="A162" s="62" t="s">
        <v>251</v>
      </c>
      <c r="B162" s="62" t="s">
        <v>376</v>
      </c>
      <c r="C162" s="63" t="s">
        <v>2222</v>
      </c>
      <c r="D162" s="64">
        <v>1</v>
      </c>
      <c r="E162" s="65"/>
      <c r="F162" s="66">
        <v>100</v>
      </c>
      <c r="G162" s="63"/>
      <c r="H162" s="67"/>
      <c r="I162" s="68"/>
      <c r="J162" s="68"/>
      <c r="K162" s="34" t="s">
        <v>64</v>
      </c>
      <c r="L162" s="75">
        <v>162</v>
      </c>
      <c r="M162" s="75"/>
      <c r="N162" s="70"/>
      <c r="O162" s="77" t="s">
        <v>382</v>
      </c>
      <c r="P162" s="79">
        <v>41124.25708333333</v>
      </c>
      <c r="Q162" s="77"/>
      <c r="R162" s="77"/>
      <c r="S162" s="77"/>
      <c r="T162" s="77"/>
      <c r="U162" s="77"/>
      <c r="V162" s="77"/>
      <c r="W162" s="77"/>
      <c r="X162" s="77"/>
      <c r="Y162">
        <v>1</v>
      </c>
    </row>
    <row r="163" spans="1:25" x14ac:dyDescent="0.25">
      <c r="A163" s="62" t="s">
        <v>252</v>
      </c>
      <c r="B163" s="62" t="s">
        <v>252</v>
      </c>
      <c r="C163" s="63" t="s">
        <v>2219</v>
      </c>
      <c r="D163" s="64">
        <v>1</v>
      </c>
      <c r="E163" s="65"/>
      <c r="F163" s="66">
        <v>100</v>
      </c>
      <c r="G163" s="63"/>
      <c r="H163" s="67"/>
      <c r="I163" s="68"/>
      <c r="J163" s="68"/>
      <c r="K163" s="34" t="s">
        <v>64</v>
      </c>
      <c r="L163" s="75">
        <v>163</v>
      </c>
      <c r="M163" s="75"/>
      <c r="N163" s="70"/>
      <c r="O163" s="77" t="s">
        <v>180</v>
      </c>
      <c r="P163" s="79">
        <v>41123.769525462965</v>
      </c>
      <c r="Q163" s="77" t="s">
        <v>462</v>
      </c>
      <c r="R163" s="77"/>
      <c r="S163" s="77"/>
      <c r="T163" s="79">
        <v>41123.769525462965</v>
      </c>
      <c r="U163" s="81" t="s">
        <v>759</v>
      </c>
      <c r="V163" s="77"/>
      <c r="W163" s="77"/>
      <c r="X163" s="84" t="s">
        <v>1056</v>
      </c>
      <c r="Y163" s="82">
        <v>1</v>
      </c>
    </row>
    <row r="164" spans="1:25" x14ac:dyDescent="0.25">
      <c r="A164" s="62" t="s">
        <v>252</v>
      </c>
      <c r="B164" s="62" t="s">
        <v>246</v>
      </c>
      <c r="C164" s="63" t="s">
        <v>2222</v>
      </c>
      <c r="D164" s="64">
        <v>1</v>
      </c>
      <c r="E164" s="65"/>
      <c r="F164" s="66">
        <v>100</v>
      </c>
      <c r="G164" s="63"/>
      <c r="H164" s="67"/>
      <c r="I164" s="68"/>
      <c r="J164" s="68"/>
      <c r="K164" s="34" t="s">
        <v>64</v>
      </c>
      <c r="L164" s="75">
        <v>164</v>
      </c>
      <c r="M164" s="75"/>
      <c r="N164" s="70"/>
      <c r="O164" s="77" t="s">
        <v>382</v>
      </c>
      <c r="P164" s="79">
        <v>41124.25708333333</v>
      </c>
      <c r="Q164" s="77"/>
      <c r="R164" s="77"/>
      <c r="S164" s="77"/>
      <c r="T164" s="77"/>
      <c r="U164" s="77"/>
      <c r="V164" s="77"/>
      <c r="W164" s="77"/>
      <c r="X164" s="77"/>
      <c r="Y164">
        <v>1</v>
      </c>
    </row>
    <row r="165" spans="1:25" x14ac:dyDescent="0.25">
      <c r="A165" s="62" t="s">
        <v>253</v>
      </c>
      <c r="B165" s="62" t="s">
        <v>253</v>
      </c>
      <c r="C165" s="63" t="s">
        <v>2219</v>
      </c>
      <c r="D165" s="64">
        <v>1</v>
      </c>
      <c r="E165" s="65"/>
      <c r="F165" s="66">
        <v>100</v>
      </c>
      <c r="G165" s="63"/>
      <c r="H165" s="67"/>
      <c r="I165" s="68"/>
      <c r="J165" s="68"/>
      <c r="K165" s="34" t="s">
        <v>64</v>
      </c>
      <c r="L165" s="75">
        <v>165</v>
      </c>
      <c r="M165" s="75"/>
      <c r="N165" s="70"/>
      <c r="O165" s="77" t="s">
        <v>180</v>
      </c>
      <c r="P165" s="79">
        <v>41123.766018518516</v>
      </c>
      <c r="Q165" s="77" t="s">
        <v>464</v>
      </c>
      <c r="R165" s="77"/>
      <c r="S165" s="77"/>
      <c r="T165" s="79">
        <v>41123.766018518516</v>
      </c>
      <c r="U165" s="81" t="s">
        <v>760</v>
      </c>
      <c r="V165" s="77"/>
      <c r="W165" s="77"/>
      <c r="X165" s="84" t="s">
        <v>1057</v>
      </c>
      <c r="Y165" s="82">
        <v>1</v>
      </c>
    </row>
    <row r="166" spans="1:25" x14ac:dyDescent="0.25">
      <c r="A166" s="62" t="s">
        <v>254</v>
      </c>
      <c r="B166" s="62" t="s">
        <v>253</v>
      </c>
      <c r="C166" s="63" t="s">
        <v>2222</v>
      </c>
      <c r="D166" s="64">
        <v>1</v>
      </c>
      <c r="E166" s="65"/>
      <c r="F166" s="66">
        <v>100</v>
      </c>
      <c r="G166" s="63"/>
      <c r="H166" s="67"/>
      <c r="I166" s="68"/>
      <c r="J166" s="68"/>
      <c r="K166" s="34" t="s">
        <v>65</v>
      </c>
      <c r="L166" s="75">
        <v>166</v>
      </c>
      <c r="M166" s="75"/>
      <c r="N166" s="70"/>
      <c r="O166" s="77" t="s">
        <v>382</v>
      </c>
      <c r="P166" s="79">
        <v>41124.25708333333</v>
      </c>
      <c r="Q166" s="77"/>
      <c r="R166" s="77"/>
      <c r="S166" s="77"/>
      <c r="T166" s="77"/>
      <c r="U166" s="77"/>
      <c r="V166" s="77"/>
      <c r="W166" s="77"/>
      <c r="X166" s="77"/>
      <c r="Y166">
        <v>1</v>
      </c>
    </row>
    <row r="167" spans="1:25" x14ac:dyDescent="0.25">
      <c r="A167" s="62" t="s">
        <v>236</v>
      </c>
      <c r="B167" s="62" t="s">
        <v>253</v>
      </c>
      <c r="C167" s="63" t="s">
        <v>2222</v>
      </c>
      <c r="D167" s="64">
        <v>1</v>
      </c>
      <c r="E167" s="65"/>
      <c r="F167" s="66">
        <v>100</v>
      </c>
      <c r="G167" s="63"/>
      <c r="H167" s="67"/>
      <c r="I167" s="68"/>
      <c r="J167" s="68"/>
      <c r="K167" s="34" t="s">
        <v>65</v>
      </c>
      <c r="L167" s="75">
        <v>167</v>
      </c>
      <c r="M167" s="75"/>
      <c r="N167" s="70"/>
      <c r="O167" s="77" t="s">
        <v>382</v>
      </c>
      <c r="P167" s="79">
        <v>41124.25708333333</v>
      </c>
      <c r="Q167" s="77"/>
      <c r="R167" s="77"/>
      <c r="S167" s="77"/>
      <c r="T167" s="77"/>
      <c r="U167" s="77"/>
      <c r="V167" s="77"/>
      <c r="W167" s="77"/>
      <c r="X167" s="77"/>
      <c r="Y167">
        <v>1</v>
      </c>
    </row>
    <row r="168" spans="1:25" x14ac:dyDescent="0.25">
      <c r="A168" s="62" t="s">
        <v>240</v>
      </c>
      <c r="B168" s="62" t="s">
        <v>253</v>
      </c>
      <c r="C168" s="63" t="s">
        <v>2222</v>
      </c>
      <c r="D168" s="64">
        <v>1</v>
      </c>
      <c r="E168" s="65"/>
      <c r="F168" s="66">
        <v>100</v>
      </c>
      <c r="G168" s="63"/>
      <c r="H168" s="67"/>
      <c r="I168" s="68"/>
      <c r="J168" s="68"/>
      <c r="K168" s="34" t="s">
        <v>65</v>
      </c>
      <c r="L168" s="75">
        <v>168</v>
      </c>
      <c r="M168" s="75"/>
      <c r="N168" s="70"/>
      <c r="O168" s="77" t="s">
        <v>382</v>
      </c>
      <c r="P168" s="79">
        <v>41124.25708333333</v>
      </c>
      <c r="Q168" s="77"/>
      <c r="R168" s="77"/>
      <c r="S168" s="77"/>
      <c r="T168" s="77"/>
      <c r="U168" s="77"/>
      <c r="V168" s="77"/>
      <c r="W168" s="77"/>
      <c r="X168" s="77"/>
      <c r="Y168">
        <v>1</v>
      </c>
    </row>
    <row r="169" spans="1:25" x14ac:dyDescent="0.25">
      <c r="A169" s="62" t="s">
        <v>253</v>
      </c>
      <c r="B169" s="62" t="s">
        <v>346</v>
      </c>
      <c r="C169" s="63" t="s">
        <v>2222</v>
      </c>
      <c r="D169" s="64">
        <v>1</v>
      </c>
      <c r="E169" s="65"/>
      <c r="F169" s="66">
        <v>100</v>
      </c>
      <c r="G169" s="63"/>
      <c r="H169" s="67"/>
      <c r="I169" s="68"/>
      <c r="J169" s="68"/>
      <c r="K169" s="34" t="s">
        <v>64</v>
      </c>
      <c r="L169" s="75">
        <v>169</v>
      </c>
      <c r="M169" s="75"/>
      <c r="N169" s="70"/>
      <c r="O169" s="77" t="s">
        <v>382</v>
      </c>
      <c r="P169" s="79">
        <v>41124.25708333333</v>
      </c>
      <c r="Q169" s="77"/>
      <c r="R169" s="77"/>
      <c r="S169" s="77"/>
      <c r="T169" s="77"/>
      <c r="U169" s="77"/>
      <c r="V169" s="77"/>
      <c r="W169" s="77"/>
      <c r="X169" s="77"/>
      <c r="Y169">
        <v>1</v>
      </c>
    </row>
    <row r="170" spans="1:25" x14ac:dyDescent="0.25">
      <c r="A170" s="62" t="s">
        <v>253</v>
      </c>
      <c r="B170" s="62" t="s">
        <v>236</v>
      </c>
      <c r="C170" s="63" t="s">
        <v>2222</v>
      </c>
      <c r="D170" s="64">
        <v>1</v>
      </c>
      <c r="E170" s="65"/>
      <c r="F170" s="66">
        <v>100</v>
      </c>
      <c r="G170" s="63"/>
      <c r="H170" s="67"/>
      <c r="I170" s="68"/>
      <c r="J170" s="68"/>
      <c r="K170" s="34" t="s">
        <v>65</v>
      </c>
      <c r="L170" s="75">
        <v>170</v>
      </c>
      <c r="M170" s="75"/>
      <c r="N170" s="70"/>
      <c r="O170" s="77" t="s">
        <v>382</v>
      </c>
      <c r="P170" s="79">
        <v>41124.25708333333</v>
      </c>
      <c r="Q170" s="77"/>
      <c r="R170" s="77"/>
      <c r="S170" s="77"/>
      <c r="T170" s="77"/>
      <c r="U170" s="77"/>
      <c r="V170" s="77"/>
      <c r="W170" s="77"/>
      <c r="X170" s="77"/>
      <c r="Y170">
        <v>1</v>
      </c>
    </row>
    <row r="171" spans="1:25" x14ac:dyDescent="0.25">
      <c r="A171" s="62" t="s">
        <v>253</v>
      </c>
      <c r="B171" s="62" t="s">
        <v>240</v>
      </c>
      <c r="C171" s="63" t="s">
        <v>2222</v>
      </c>
      <c r="D171" s="64">
        <v>1</v>
      </c>
      <c r="E171" s="65"/>
      <c r="F171" s="66">
        <v>100</v>
      </c>
      <c r="G171" s="63"/>
      <c r="H171" s="67"/>
      <c r="I171" s="68"/>
      <c r="J171" s="68"/>
      <c r="K171" s="34" t="s">
        <v>65</v>
      </c>
      <c r="L171" s="75">
        <v>171</v>
      </c>
      <c r="M171" s="75"/>
      <c r="N171" s="70"/>
      <c r="O171" s="77" t="s">
        <v>382</v>
      </c>
      <c r="P171" s="79">
        <v>41124.25708333333</v>
      </c>
      <c r="Q171" s="77"/>
      <c r="R171" s="77"/>
      <c r="S171" s="77"/>
      <c r="T171" s="77"/>
      <c r="U171" s="77"/>
      <c r="V171" s="77"/>
      <c r="W171" s="77"/>
      <c r="X171" s="77"/>
      <c r="Y171">
        <v>1</v>
      </c>
    </row>
    <row r="172" spans="1:25" x14ac:dyDescent="0.25">
      <c r="A172" s="62" t="s">
        <v>253</v>
      </c>
      <c r="B172" s="62" t="s">
        <v>255</v>
      </c>
      <c r="C172" s="63" t="s">
        <v>2222</v>
      </c>
      <c r="D172" s="64">
        <v>1</v>
      </c>
      <c r="E172" s="65"/>
      <c r="F172" s="66">
        <v>100</v>
      </c>
      <c r="G172" s="63"/>
      <c r="H172" s="67"/>
      <c r="I172" s="68"/>
      <c r="J172" s="68"/>
      <c r="K172" s="34" t="s">
        <v>65</v>
      </c>
      <c r="L172" s="75">
        <v>172</v>
      </c>
      <c r="M172" s="75"/>
      <c r="N172" s="70"/>
      <c r="O172" s="77" t="s">
        <v>382</v>
      </c>
      <c r="P172" s="79">
        <v>41124.25708333333</v>
      </c>
      <c r="Q172" s="77"/>
      <c r="R172" s="77"/>
      <c r="S172" s="77"/>
      <c r="T172" s="77"/>
      <c r="U172" s="77"/>
      <c r="V172" s="77"/>
      <c r="W172" s="77"/>
      <c r="X172" s="77"/>
      <c r="Y172">
        <v>1</v>
      </c>
    </row>
    <row r="173" spans="1:25" x14ac:dyDescent="0.25">
      <c r="A173" s="62" t="s">
        <v>253</v>
      </c>
      <c r="B173" s="62" t="s">
        <v>254</v>
      </c>
      <c r="C173" s="63" t="s">
        <v>2222</v>
      </c>
      <c r="D173" s="64">
        <v>1</v>
      </c>
      <c r="E173" s="65"/>
      <c r="F173" s="66">
        <v>100</v>
      </c>
      <c r="G173" s="63"/>
      <c r="H173" s="67"/>
      <c r="I173" s="68"/>
      <c r="J173" s="68"/>
      <c r="K173" s="34" t="s">
        <v>65</v>
      </c>
      <c r="L173" s="75">
        <v>173</v>
      </c>
      <c r="M173" s="75"/>
      <c r="N173" s="70"/>
      <c r="O173" s="77" t="s">
        <v>382</v>
      </c>
      <c r="P173" s="79">
        <v>41124.25708333333</v>
      </c>
      <c r="Q173" s="77"/>
      <c r="R173" s="77"/>
      <c r="S173" s="77"/>
      <c r="T173" s="77"/>
      <c r="U173" s="77"/>
      <c r="V173" s="77"/>
      <c r="W173" s="77"/>
      <c r="X173" s="77"/>
      <c r="Y173">
        <v>1</v>
      </c>
    </row>
    <row r="174" spans="1:25" x14ac:dyDescent="0.25">
      <c r="A174" s="62" t="s">
        <v>253</v>
      </c>
      <c r="B174" s="62" t="s">
        <v>367</v>
      </c>
      <c r="C174" s="63" t="s">
        <v>2222</v>
      </c>
      <c r="D174" s="64">
        <v>1</v>
      </c>
      <c r="E174" s="65"/>
      <c r="F174" s="66">
        <v>100</v>
      </c>
      <c r="G174" s="63"/>
      <c r="H174" s="67"/>
      <c r="I174" s="68"/>
      <c r="J174" s="68"/>
      <c r="K174" s="34" t="s">
        <v>64</v>
      </c>
      <c r="L174" s="75">
        <v>174</v>
      </c>
      <c r="M174" s="75"/>
      <c r="N174" s="70"/>
      <c r="O174" s="77" t="s">
        <v>382</v>
      </c>
      <c r="P174" s="79">
        <v>41124.25708333333</v>
      </c>
      <c r="Q174" s="77"/>
      <c r="R174" s="77"/>
      <c r="S174" s="77"/>
      <c r="T174" s="77"/>
      <c r="U174" s="77"/>
      <c r="V174" s="77"/>
      <c r="W174" s="77"/>
      <c r="X174" s="77"/>
      <c r="Y174">
        <v>1</v>
      </c>
    </row>
    <row r="175" spans="1:25" x14ac:dyDescent="0.25">
      <c r="A175" s="62" t="s">
        <v>255</v>
      </c>
      <c r="B175" s="62" t="s">
        <v>253</v>
      </c>
      <c r="C175" s="63" t="s">
        <v>2222</v>
      </c>
      <c r="D175" s="64">
        <v>1</v>
      </c>
      <c r="E175" s="65"/>
      <c r="F175" s="66">
        <v>100</v>
      </c>
      <c r="G175" s="63"/>
      <c r="H175" s="67"/>
      <c r="I175" s="68"/>
      <c r="J175" s="68"/>
      <c r="K175" s="34" t="s">
        <v>65</v>
      </c>
      <c r="L175" s="75">
        <v>175</v>
      </c>
      <c r="M175" s="75"/>
      <c r="N175" s="70"/>
      <c r="O175" s="77" t="s">
        <v>382</v>
      </c>
      <c r="P175" s="79">
        <v>41124.25708333333</v>
      </c>
      <c r="Q175" s="77"/>
      <c r="R175" s="77"/>
      <c r="S175" s="77"/>
      <c r="T175" s="77"/>
      <c r="U175" s="77"/>
      <c r="V175" s="77"/>
      <c r="W175" s="77"/>
      <c r="X175" s="77"/>
      <c r="Y175">
        <v>1</v>
      </c>
    </row>
    <row r="176" spans="1:25" x14ac:dyDescent="0.25">
      <c r="A176" s="62" t="s">
        <v>256</v>
      </c>
      <c r="B176" s="62" t="s">
        <v>256</v>
      </c>
      <c r="C176" s="63" t="s">
        <v>2219</v>
      </c>
      <c r="D176" s="64">
        <v>1</v>
      </c>
      <c r="E176" s="65"/>
      <c r="F176" s="66">
        <v>100</v>
      </c>
      <c r="G176" s="63"/>
      <c r="H176" s="67"/>
      <c r="I176" s="68"/>
      <c r="J176" s="68"/>
      <c r="K176" s="34" t="s">
        <v>64</v>
      </c>
      <c r="L176" s="75">
        <v>176</v>
      </c>
      <c r="M176" s="75"/>
      <c r="N176" s="70"/>
      <c r="O176" s="77" t="s">
        <v>180</v>
      </c>
      <c r="P176" s="79">
        <v>41123.770370370374</v>
      </c>
      <c r="Q176" s="77" t="s">
        <v>462</v>
      </c>
      <c r="R176" s="77"/>
      <c r="S176" s="77"/>
      <c r="T176" s="79">
        <v>41123.770370370374</v>
      </c>
      <c r="U176" s="81" t="s">
        <v>761</v>
      </c>
      <c r="V176" s="77"/>
      <c r="W176" s="77"/>
      <c r="X176" s="84" t="s">
        <v>1058</v>
      </c>
      <c r="Y176" s="82">
        <v>1</v>
      </c>
    </row>
    <row r="177" spans="1:25" x14ac:dyDescent="0.25">
      <c r="A177" s="62" t="s">
        <v>256</v>
      </c>
      <c r="B177" s="62" t="s">
        <v>246</v>
      </c>
      <c r="C177" s="63" t="s">
        <v>2222</v>
      </c>
      <c r="D177" s="64">
        <v>1</v>
      </c>
      <c r="E177" s="65"/>
      <c r="F177" s="66">
        <v>100</v>
      </c>
      <c r="G177" s="63"/>
      <c r="H177" s="67"/>
      <c r="I177" s="68"/>
      <c r="J177" s="68"/>
      <c r="K177" s="34" t="s">
        <v>64</v>
      </c>
      <c r="L177" s="75">
        <v>177</v>
      </c>
      <c r="M177" s="75"/>
      <c r="N177" s="70"/>
      <c r="O177" s="77" t="s">
        <v>382</v>
      </c>
      <c r="P177" s="79">
        <v>41124.25708333333</v>
      </c>
      <c r="Q177" s="77"/>
      <c r="R177" s="77"/>
      <c r="S177" s="77"/>
      <c r="T177" s="77"/>
      <c r="U177" s="77"/>
      <c r="V177" s="77"/>
      <c r="W177" s="77"/>
      <c r="X177" s="77"/>
      <c r="Y177">
        <v>1</v>
      </c>
    </row>
    <row r="178" spans="1:25" x14ac:dyDescent="0.25">
      <c r="A178" s="62" t="s">
        <v>257</v>
      </c>
      <c r="B178" s="62" t="s">
        <v>257</v>
      </c>
      <c r="C178" s="63" t="s">
        <v>2219</v>
      </c>
      <c r="D178" s="64">
        <v>1</v>
      </c>
      <c r="E178" s="65"/>
      <c r="F178" s="66">
        <v>100</v>
      </c>
      <c r="G178" s="63"/>
      <c r="H178" s="67"/>
      <c r="I178" s="68"/>
      <c r="J178" s="68"/>
      <c r="K178" s="34" t="s">
        <v>64</v>
      </c>
      <c r="L178" s="75">
        <v>178</v>
      </c>
      <c r="M178" s="75"/>
      <c r="N178" s="70"/>
      <c r="O178" s="77" t="s">
        <v>180</v>
      </c>
      <c r="P178" s="79">
        <v>41123.771307870367</v>
      </c>
      <c r="Q178" s="77" t="s">
        <v>465</v>
      </c>
      <c r="R178" s="77"/>
      <c r="S178" s="77"/>
      <c r="T178" s="79">
        <v>41123.771307870367</v>
      </c>
      <c r="U178" s="81" t="s">
        <v>762</v>
      </c>
      <c r="V178" s="77"/>
      <c r="W178" s="77"/>
      <c r="X178" s="84" t="s">
        <v>1059</v>
      </c>
      <c r="Y178" s="82">
        <v>1</v>
      </c>
    </row>
    <row r="179" spans="1:25" x14ac:dyDescent="0.25">
      <c r="A179" s="62" t="s">
        <v>257</v>
      </c>
      <c r="B179" s="62" t="s">
        <v>246</v>
      </c>
      <c r="C179" s="63" t="s">
        <v>2222</v>
      </c>
      <c r="D179" s="64">
        <v>1</v>
      </c>
      <c r="E179" s="65"/>
      <c r="F179" s="66">
        <v>100</v>
      </c>
      <c r="G179" s="63"/>
      <c r="H179" s="67"/>
      <c r="I179" s="68"/>
      <c r="J179" s="68"/>
      <c r="K179" s="34" t="s">
        <v>64</v>
      </c>
      <c r="L179" s="75">
        <v>179</v>
      </c>
      <c r="M179" s="75"/>
      <c r="N179" s="70"/>
      <c r="O179" s="77" t="s">
        <v>382</v>
      </c>
      <c r="P179" s="79">
        <v>41124.25708333333</v>
      </c>
      <c r="Q179" s="77"/>
      <c r="R179" s="77"/>
      <c r="S179" s="77"/>
      <c r="T179" s="77"/>
      <c r="U179" s="77"/>
      <c r="V179" s="77"/>
      <c r="W179" s="77"/>
      <c r="X179" s="77"/>
      <c r="Y179">
        <v>1</v>
      </c>
    </row>
    <row r="180" spans="1:25" x14ac:dyDescent="0.25">
      <c r="A180" s="62" t="s">
        <v>258</v>
      </c>
      <c r="B180" s="62" t="s">
        <v>258</v>
      </c>
      <c r="C180" s="63" t="s">
        <v>2219</v>
      </c>
      <c r="D180" s="64">
        <v>1</v>
      </c>
      <c r="E180" s="65"/>
      <c r="F180" s="66">
        <v>100</v>
      </c>
      <c r="G180" s="63"/>
      <c r="H180" s="67"/>
      <c r="I180" s="68"/>
      <c r="J180" s="68"/>
      <c r="K180" s="34" t="s">
        <v>64</v>
      </c>
      <c r="L180" s="75">
        <v>180</v>
      </c>
      <c r="M180" s="75"/>
      <c r="N180" s="70"/>
      <c r="O180" s="77" t="s">
        <v>180</v>
      </c>
      <c r="P180" s="79">
        <v>41123.794166666667</v>
      </c>
      <c r="Q180" s="77" t="s">
        <v>421</v>
      </c>
      <c r="R180" s="77"/>
      <c r="S180" s="77"/>
      <c r="T180" s="79">
        <v>41123.794166666667</v>
      </c>
      <c r="U180" s="81" t="s">
        <v>763</v>
      </c>
      <c r="V180" s="77"/>
      <c r="W180" s="77"/>
      <c r="X180" s="84" t="s">
        <v>1060</v>
      </c>
      <c r="Y180" s="82">
        <v>1</v>
      </c>
    </row>
    <row r="181" spans="1:25" x14ac:dyDescent="0.25">
      <c r="A181" s="62" t="s">
        <v>258</v>
      </c>
      <c r="B181" s="62" t="s">
        <v>376</v>
      </c>
      <c r="C181" s="63" t="s">
        <v>2222</v>
      </c>
      <c r="D181" s="64">
        <v>1</v>
      </c>
      <c r="E181" s="65"/>
      <c r="F181" s="66">
        <v>100</v>
      </c>
      <c r="G181" s="63"/>
      <c r="H181" s="67"/>
      <c r="I181" s="68"/>
      <c r="J181" s="68"/>
      <c r="K181" s="34" t="s">
        <v>64</v>
      </c>
      <c r="L181" s="75">
        <v>181</v>
      </c>
      <c r="M181" s="75"/>
      <c r="N181" s="70"/>
      <c r="O181" s="77" t="s">
        <v>382</v>
      </c>
      <c r="P181" s="79">
        <v>41124.25708333333</v>
      </c>
      <c r="Q181" s="77"/>
      <c r="R181" s="77"/>
      <c r="S181" s="77"/>
      <c r="T181" s="77"/>
      <c r="U181" s="77"/>
      <c r="V181" s="77"/>
      <c r="W181" s="77"/>
      <c r="X181" s="77"/>
      <c r="Y181">
        <v>1</v>
      </c>
    </row>
    <row r="182" spans="1:25" x14ac:dyDescent="0.25">
      <c r="A182" s="62" t="s">
        <v>259</v>
      </c>
      <c r="B182" s="62" t="s">
        <v>259</v>
      </c>
      <c r="C182" s="63" t="s">
        <v>2219</v>
      </c>
      <c r="D182" s="64">
        <v>1</v>
      </c>
      <c r="E182" s="65"/>
      <c r="F182" s="66">
        <v>100</v>
      </c>
      <c r="G182" s="63"/>
      <c r="H182" s="67"/>
      <c r="I182" s="68"/>
      <c r="J182" s="68"/>
      <c r="K182" s="34" t="s">
        <v>64</v>
      </c>
      <c r="L182" s="75">
        <v>182</v>
      </c>
      <c r="M182" s="75"/>
      <c r="N182" s="70"/>
      <c r="O182" s="77" t="s">
        <v>180</v>
      </c>
      <c r="P182" s="79">
        <v>41123.684791666667</v>
      </c>
      <c r="Q182" s="77" t="s">
        <v>427</v>
      </c>
      <c r="R182" s="77"/>
      <c r="S182" s="77"/>
      <c r="T182" s="79">
        <v>41123.684791666667</v>
      </c>
      <c r="U182" s="81" t="s">
        <v>764</v>
      </c>
      <c r="V182" s="77"/>
      <c r="W182" s="77"/>
      <c r="X182" s="84" t="s">
        <v>1061</v>
      </c>
      <c r="Y182" s="82">
        <v>1</v>
      </c>
    </row>
    <row r="183" spans="1:25" x14ac:dyDescent="0.25">
      <c r="A183" s="62" t="s">
        <v>259</v>
      </c>
      <c r="B183" s="62" t="s">
        <v>376</v>
      </c>
      <c r="C183" s="63" t="s">
        <v>2222</v>
      </c>
      <c r="D183" s="64">
        <v>1</v>
      </c>
      <c r="E183" s="65"/>
      <c r="F183" s="66">
        <v>100</v>
      </c>
      <c r="G183" s="63"/>
      <c r="H183" s="67"/>
      <c r="I183" s="68"/>
      <c r="J183" s="68"/>
      <c r="K183" s="34" t="s">
        <v>64</v>
      </c>
      <c r="L183" s="75">
        <v>183</v>
      </c>
      <c r="M183" s="75"/>
      <c r="N183" s="70"/>
      <c r="O183" s="77" t="s">
        <v>382</v>
      </c>
      <c r="P183" s="79">
        <v>41124.25708333333</v>
      </c>
      <c r="Q183" s="77"/>
      <c r="R183" s="77"/>
      <c r="S183" s="77"/>
      <c r="T183" s="77"/>
      <c r="U183" s="77"/>
      <c r="V183" s="77"/>
      <c r="W183" s="77"/>
      <c r="X183" s="77"/>
      <c r="Y183">
        <v>1</v>
      </c>
    </row>
    <row r="184" spans="1:25" x14ac:dyDescent="0.25">
      <c r="A184" s="62" t="s">
        <v>259</v>
      </c>
      <c r="B184" s="62" t="s">
        <v>246</v>
      </c>
      <c r="C184" s="63" t="s">
        <v>2222</v>
      </c>
      <c r="D184" s="64">
        <v>1</v>
      </c>
      <c r="E184" s="65"/>
      <c r="F184" s="66">
        <v>100</v>
      </c>
      <c r="G184" s="63"/>
      <c r="H184" s="67"/>
      <c r="I184" s="68"/>
      <c r="J184" s="68"/>
      <c r="K184" s="34" t="s">
        <v>64</v>
      </c>
      <c r="L184" s="75">
        <v>184</v>
      </c>
      <c r="M184" s="75"/>
      <c r="N184" s="70"/>
      <c r="O184" s="77" t="s">
        <v>382</v>
      </c>
      <c r="P184" s="79">
        <v>41124.25708333333</v>
      </c>
      <c r="Q184" s="77"/>
      <c r="R184" s="77"/>
      <c r="S184" s="77"/>
      <c r="T184" s="77"/>
      <c r="U184" s="77"/>
      <c r="V184" s="77"/>
      <c r="W184" s="77"/>
      <c r="X184" s="77"/>
      <c r="Y184">
        <v>1</v>
      </c>
    </row>
    <row r="185" spans="1:25" x14ac:dyDescent="0.25">
      <c r="A185" s="62" t="s">
        <v>259</v>
      </c>
      <c r="B185" s="62" t="s">
        <v>260</v>
      </c>
      <c r="C185" s="63" t="s">
        <v>2222</v>
      </c>
      <c r="D185" s="64">
        <v>1</v>
      </c>
      <c r="E185" s="65"/>
      <c r="F185" s="66">
        <v>100</v>
      </c>
      <c r="G185" s="63"/>
      <c r="H185" s="67"/>
      <c r="I185" s="68"/>
      <c r="J185" s="68"/>
      <c r="K185" s="34" t="s">
        <v>65</v>
      </c>
      <c r="L185" s="75">
        <v>185</v>
      </c>
      <c r="M185" s="75"/>
      <c r="N185" s="70"/>
      <c r="O185" s="77" t="s">
        <v>382</v>
      </c>
      <c r="P185" s="79">
        <v>41124.25708333333</v>
      </c>
      <c r="Q185" s="77"/>
      <c r="R185" s="77"/>
      <c r="S185" s="77"/>
      <c r="T185" s="77"/>
      <c r="U185" s="77"/>
      <c r="V185" s="77"/>
      <c r="W185" s="77"/>
      <c r="X185" s="77"/>
      <c r="Y185">
        <v>1</v>
      </c>
    </row>
    <row r="186" spans="1:25" x14ac:dyDescent="0.25">
      <c r="A186" s="62" t="s">
        <v>260</v>
      </c>
      <c r="B186" s="62" t="s">
        <v>259</v>
      </c>
      <c r="C186" s="63" t="s">
        <v>2222</v>
      </c>
      <c r="D186" s="64">
        <v>1</v>
      </c>
      <c r="E186" s="65"/>
      <c r="F186" s="66">
        <v>100</v>
      </c>
      <c r="G186" s="63"/>
      <c r="H186" s="67"/>
      <c r="I186" s="68"/>
      <c r="J186" s="68"/>
      <c r="K186" s="34" t="s">
        <v>65</v>
      </c>
      <c r="L186" s="75">
        <v>186</v>
      </c>
      <c r="M186" s="75"/>
      <c r="N186" s="70"/>
      <c r="O186" s="77" t="s">
        <v>382</v>
      </c>
      <c r="P186" s="79">
        <v>41124.25708333333</v>
      </c>
      <c r="Q186" s="77"/>
      <c r="R186" s="77"/>
      <c r="S186" s="77"/>
      <c r="T186" s="77"/>
      <c r="U186" s="77"/>
      <c r="V186" s="77"/>
      <c r="W186" s="77"/>
      <c r="X186" s="77"/>
      <c r="Y186">
        <v>1</v>
      </c>
    </row>
    <row r="187" spans="1:25" x14ac:dyDescent="0.25">
      <c r="A187" s="62" t="s">
        <v>261</v>
      </c>
      <c r="B187" s="62" t="s">
        <v>261</v>
      </c>
      <c r="C187" s="63" t="s">
        <v>2219</v>
      </c>
      <c r="D187" s="64">
        <v>1</v>
      </c>
      <c r="E187" s="65"/>
      <c r="F187" s="66">
        <v>100</v>
      </c>
      <c r="G187" s="63"/>
      <c r="H187" s="67"/>
      <c r="I187" s="68"/>
      <c r="J187" s="68"/>
      <c r="K187" s="34" t="s">
        <v>64</v>
      </c>
      <c r="L187" s="75">
        <v>187</v>
      </c>
      <c r="M187" s="75"/>
      <c r="N187" s="70"/>
      <c r="O187" s="77" t="s">
        <v>180</v>
      </c>
      <c r="P187" s="79">
        <v>41123.831875000003</v>
      </c>
      <c r="Q187" s="77" t="s">
        <v>466</v>
      </c>
      <c r="R187" s="81" t="s">
        <v>609</v>
      </c>
      <c r="S187" s="77" t="s">
        <v>647</v>
      </c>
      <c r="T187" s="79">
        <v>41123.831875000003</v>
      </c>
      <c r="U187" s="81" t="s">
        <v>765</v>
      </c>
      <c r="V187" s="77"/>
      <c r="W187" s="77"/>
      <c r="X187" s="84" t="s">
        <v>1062</v>
      </c>
      <c r="Y187" s="82">
        <v>1</v>
      </c>
    </row>
    <row r="188" spans="1:25" x14ac:dyDescent="0.25">
      <c r="A188" s="62" t="s">
        <v>262</v>
      </c>
      <c r="B188" s="62" t="s">
        <v>261</v>
      </c>
      <c r="C188" s="63" t="s">
        <v>2222</v>
      </c>
      <c r="D188" s="64">
        <v>1</v>
      </c>
      <c r="E188" s="65"/>
      <c r="F188" s="66">
        <v>100</v>
      </c>
      <c r="G188" s="63"/>
      <c r="H188" s="67"/>
      <c r="I188" s="68"/>
      <c r="J188" s="68"/>
      <c r="K188" s="34" t="s">
        <v>65</v>
      </c>
      <c r="L188" s="75">
        <v>188</v>
      </c>
      <c r="M188" s="75"/>
      <c r="N188" s="70"/>
      <c r="O188" s="77" t="s">
        <v>382</v>
      </c>
      <c r="P188" s="79">
        <v>41124.25708333333</v>
      </c>
      <c r="Q188" s="77"/>
      <c r="R188" s="77"/>
      <c r="S188" s="77"/>
      <c r="T188" s="77"/>
      <c r="U188" s="77"/>
      <c r="V188" s="77"/>
      <c r="W188" s="77"/>
      <c r="X188" s="77"/>
      <c r="Y188">
        <v>1</v>
      </c>
    </row>
    <row r="189" spans="1:25" x14ac:dyDescent="0.25">
      <c r="A189" s="62" t="s">
        <v>261</v>
      </c>
      <c r="B189" s="62" t="s">
        <v>262</v>
      </c>
      <c r="C189" s="63" t="s">
        <v>2222</v>
      </c>
      <c r="D189" s="64">
        <v>1</v>
      </c>
      <c r="E189" s="65"/>
      <c r="F189" s="66">
        <v>100</v>
      </c>
      <c r="G189" s="63"/>
      <c r="H189" s="67"/>
      <c r="I189" s="68"/>
      <c r="J189" s="68"/>
      <c r="K189" s="34" t="s">
        <v>65</v>
      </c>
      <c r="L189" s="75">
        <v>189</v>
      </c>
      <c r="M189" s="75"/>
      <c r="N189" s="70"/>
      <c r="O189" s="77" t="s">
        <v>382</v>
      </c>
      <c r="P189" s="79">
        <v>41124.25708333333</v>
      </c>
      <c r="Q189" s="77"/>
      <c r="R189" s="77"/>
      <c r="S189" s="77"/>
      <c r="T189" s="77"/>
      <c r="U189" s="77"/>
      <c r="V189" s="77"/>
      <c r="W189" s="77"/>
      <c r="X189" s="77"/>
      <c r="Y189">
        <v>1</v>
      </c>
    </row>
    <row r="190" spans="1:25" x14ac:dyDescent="0.25">
      <c r="A190" s="62" t="s">
        <v>261</v>
      </c>
      <c r="B190" s="62" t="s">
        <v>246</v>
      </c>
      <c r="C190" s="63" t="s">
        <v>2222</v>
      </c>
      <c r="D190" s="64">
        <v>1</v>
      </c>
      <c r="E190" s="65"/>
      <c r="F190" s="66">
        <v>100</v>
      </c>
      <c r="G190" s="63"/>
      <c r="H190" s="67"/>
      <c r="I190" s="68"/>
      <c r="J190" s="68"/>
      <c r="K190" s="34" t="s">
        <v>64</v>
      </c>
      <c r="L190" s="75">
        <v>190</v>
      </c>
      <c r="M190" s="75"/>
      <c r="N190" s="70"/>
      <c r="O190" s="77" t="s">
        <v>382</v>
      </c>
      <c r="P190" s="79">
        <v>41124.25708333333</v>
      </c>
      <c r="Q190" s="77"/>
      <c r="R190" s="77"/>
      <c r="S190" s="77"/>
      <c r="T190" s="77"/>
      <c r="U190" s="77"/>
      <c r="V190" s="77"/>
      <c r="W190" s="77"/>
      <c r="X190" s="77"/>
      <c r="Y190">
        <v>1</v>
      </c>
    </row>
    <row r="191" spans="1:25" x14ac:dyDescent="0.25">
      <c r="A191" s="62" t="s">
        <v>262</v>
      </c>
      <c r="B191" s="62" t="s">
        <v>262</v>
      </c>
      <c r="C191" s="63" t="s">
        <v>2219</v>
      </c>
      <c r="D191" s="64">
        <v>1</v>
      </c>
      <c r="E191" s="65"/>
      <c r="F191" s="66">
        <v>100</v>
      </c>
      <c r="G191" s="63"/>
      <c r="H191" s="67"/>
      <c r="I191" s="68"/>
      <c r="J191" s="68"/>
      <c r="K191" s="34" t="s">
        <v>64</v>
      </c>
      <c r="L191" s="75">
        <v>191</v>
      </c>
      <c r="M191" s="75"/>
      <c r="N191" s="70"/>
      <c r="O191" s="77" t="s">
        <v>180</v>
      </c>
      <c r="P191" s="79">
        <v>41123.65730324074</v>
      </c>
      <c r="Q191" s="77" t="s">
        <v>467</v>
      </c>
      <c r="R191" s="81" t="s">
        <v>616</v>
      </c>
      <c r="S191" s="77"/>
      <c r="T191" s="79">
        <v>41123.65730324074</v>
      </c>
      <c r="U191" s="81" t="s">
        <v>766</v>
      </c>
      <c r="V191" s="77"/>
      <c r="W191" s="77"/>
      <c r="X191" s="84" t="s">
        <v>1063</v>
      </c>
      <c r="Y191" s="82">
        <v>1</v>
      </c>
    </row>
    <row r="192" spans="1:25" x14ac:dyDescent="0.25">
      <c r="A192" s="62" t="s">
        <v>262</v>
      </c>
      <c r="B192" s="62" t="s">
        <v>246</v>
      </c>
      <c r="C192" s="63" t="s">
        <v>2222</v>
      </c>
      <c r="D192" s="64">
        <v>1</v>
      </c>
      <c r="E192" s="65"/>
      <c r="F192" s="66">
        <v>100</v>
      </c>
      <c r="G192" s="63"/>
      <c r="H192" s="67"/>
      <c r="I192" s="68"/>
      <c r="J192" s="68"/>
      <c r="K192" s="34" t="s">
        <v>64</v>
      </c>
      <c r="L192" s="75">
        <v>192</v>
      </c>
      <c r="M192" s="75"/>
      <c r="N192" s="70"/>
      <c r="O192" s="77" t="s">
        <v>382</v>
      </c>
      <c r="P192" s="79">
        <v>41124.25708333333</v>
      </c>
      <c r="Q192" s="77"/>
      <c r="R192" s="77"/>
      <c r="S192" s="77"/>
      <c r="T192" s="77"/>
      <c r="U192" s="77"/>
      <c r="V192" s="77"/>
      <c r="W192" s="77"/>
      <c r="X192" s="77"/>
      <c r="Y192">
        <v>1</v>
      </c>
    </row>
    <row r="193" spans="1:25" x14ac:dyDescent="0.25">
      <c r="A193" s="62" t="s">
        <v>262</v>
      </c>
      <c r="B193" s="62" t="s">
        <v>300</v>
      </c>
      <c r="C193" s="63" t="s">
        <v>2222</v>
      </c>
      <c r="D193" s="64">
        <v>1</v>
      </c>
      <c r="E193" s="65"/>
      <c r="F193" s="66">
        <v>100</v>
      </c>
      <c r="G193" s="63"/>
      <c r="H193" s="67"/>
      <c r="I193" s="68"/>
      <c r="J193" s="68"/>
      <c r="K193" s="34" t="s">
        <v>64</v>
      </c>
      <c r="L193" s="75">
        <v>193</v>
      </c>
      <c r="M193" s="75"/>
      <c r="N193" s="70"/>
      <c r="O193" s="77" t="s">
        <v>382</v>
      </c>
      <c r="P193" s="79">
        <v>41124.25708333333</v>
      </c>
      <c r="Q193" s="77"/>
      <c r="R193" s="77"/>
      <c r="S193" s="77"/>
      <c r="T193" s="77"/>
      <c r="U193" s="77"/>
      <c r="V193" s="77"/>
      <c r="W193" s="77"/>
      <c r="X193" s="77"/>
      <c r="Y193">
        <v>1</v>
      </c>
    </row>
    <row r="194" spans="1:25" x14ac:dyDescent="0.25">
      <c r="A194" s="62" t="s">
        <v>262</v>
      </c>
      <c r="B194" s="62" t="s">
        <v>263</v>
      </c>
      <c r="C194" s="63" t="s">
        <v>2222</v>
      </c>
      <c r="D194" s="64">
        <v>1</v>
      </c>
      <c r="E194" s="65"/>
      <c r="F194" s="66">
        <v>100</v>
      </c>
      <c r="G194" s="63"/>
      <c r="H194" s="67"/>
      <c r="I194" s="68"/>
      <c r="J194" s="68"/>
      <c r="K194" s="34" t="s">
        <v>65</v>
      </c>
      <c r="L194" s="75">
        <v>194</v>
      </c>
      <c r="M194" s="75"/>
      <c r="N194" s="70"/>
      <c r="O194" s="77" t="s">
        <v>382</v>
      </c>
      <c r="P194" s="79">
        <v>41124.25708333333</v>
      </c>
      <c r="Q194" s="77"/>
      <c r="R194" s="77"/>
      <c r="S194" s="77"/>
      <c r="T194" s="77"/>
      <c r="U194" s="77"/>
      <c r="V194" s="77"/>
      <c r="W194" s="77"/>
      <c r="X194" s="77"/>
      <c r="Y194">
        <v>1</v>
      </c>
    </row>
    <row r="195" spans="1:25" x14ac:dyDescent="0.25">
      <c r="A195" s="62" t="s">
        <v>263</v>
      </c>
      <c r="B195" s="62" t="s">
        <v>262</v>
      </c>
      <c r="C195" s="63" t="s">
        <v>2222</v>
      </c>
      <c r="D195" s="64">
        <v>1</v>
      </c>
      <c r="E195" s="65"/>
      <c r="F195" s="66">
        <v>100</v>
      </c>
      <c r="G195" s="63"/>
      <c r="H195" s="67"/>
      <c r="I195" s="68"/>
      <c r="J195" s="68"/>
      <c r="K195" s="34" t="s">
        <v>65</v>
      </c>
      <c r="L195" s="75">
        <v>195</v>
      </c>
      <c r="M195" s="75"/>
      <c r="N195" s="70"/>
      <c r="O195" s="77" t="s">
        <v>382</v>
      </c>
      <c r="P195" s="79">
        <v>41124.25708333333</v>
      </c>
      <c r="Q195" s="77"/>
      <c r="R195" s="77"/>
      <c r="S195" s="77"/>
      <c r="T195" s="77"/>
      <c r="U195" s="77"/>
      <c r="V195" s="77"/>
      <c r="W195" s="77"/>
      <c r="X195" s="77"/>
      <c r="Y195">
        <v>1</v>
      </c>
    </row>
    <row r="196" spans="1:25" x14ac:dyDescent="0.25">
      <c r="A196" s="62" t="s">
        <v>264</v>
      </c>
      <c r="B196" s="62" t="s">
        <v>264</v>
      </c>
      <c r="C196" s="63" t="s">
        <v>2219</v>
      </c>
      <c r="D196" s="64">
        <v>1</v>
      </c>
      <c r="E196" s="65"/>
      <c r="F196" s="66">
        <v>100</v>
      </c>
      <c r="G196" s="63"/>
      <c r="H196" s="67"/>
      <c r="I196" s="68"/>
      <c r="J196" s="68"/>
      <c r="K196" s="34" t="s">
        <v>64</v>
      </c>
      <c r="L196" s="75">
        <v>196</v>
      </c>
      <c r="M196" s="75"/>
      <c r="N196" s="70"/>
      <c r="O196" s="77" t="s">
        <v>180</v>
      </c>
      <c r="P196" s="79">
        <v>41123.694421296299</v>
      </c>
      <c r="Q196" s="77" t="s">
        <v>468</v>
      </c>
      <c r="R196" s="77"/>
      <c r="S196" s="77"/>
      <c r="T196" s="79">
        <v>41123.694421296299</v>
      </c>
      <c r="U196" s="81" t="s">
        <v>767</v>
      </c>
      <c r="V196" s="77"/>
      <c r="W196" s="77"/>
      <c r="X196" s="84" t="s">
        <v>1064</v>
      </c>
      <c r="Y196" s="82">
        <v>1</v>
      </c>
    </row>
    <row r="197" spans="1:25" x14ac:dyDescent="0.25">
      <c r="A197" s="62" t="s">
        <v>264</v>
      </c>
      <c r="B197" s="62" t="s">
        <v>265</v>
      </c>
      <c r="C197" s="63" t="s">
        <v>2222</v>
      </c>
      <c r="D197" s="64">
        <v>1</v>
      </c>
      <c r="E197" s="65"/>
      <c r="F197" s="66">
        <v>100</v>
      </c>
      <c r="G197" s="63"/>
      <c r="H197" s="67"/>
      <c r="I197" s="68"/>
      <c r="J197" s="68"/>
      <c r="K197" s="34" t="s">
        <v>65</v>
      </c>
      <c r="L197" s="75">
        <v>197</v>
      </c>
      <c r="M197" s="75"/>
      <c r="N197" s="70"/>
      <c r="O197" s="77" t="s">
        <v>382</v>
      </c>
      <c r="P197" s="79">
        <v>41124.25708333333</v>
      </c>
      <c r="Q197" s="77"/>
      <c r="R197" s="77"/>
      <c r="S197" s="77"/>
      <c r="T197" s="77"/>
      <c r="U197" s="77"/>
      <c r="V197" s="77"/>
      <c r="W197" s="77"/>
      <c r="X197" s="77"/>
      <c r="Y197">
        <v>1</v>
      </c>
    </row>
    <row r="198" spans="1:25" x14ac:dyDescent="0.25">
      <c r="A198" s="62" t="s">
        <v>264</v>
      </c>
      <c r="B198" s="62" t="s">
        <v>246</v>
      </c>
      <c r="C198" s="63" t="s">
        <v>2222</v>
      </c>
      <c r="D198" s="64">
        <v>1</v>
      </c>
      <c r="E198" s="65"/>
      <c r="F198" s="66">
        <v>100</v>
      </c>
      <c r="G198" s="63"/>
      <c r="H198" s="67"/>
      <c r="I198" s="68"/>
      <c r="J198" s="68"/>
      <c r="K198" s="34" t="s">
        <v>64</v>
      </c>
      <c r="L198" s="75">
        <v>198</v>
      </c>
      <c r="M198" s="75"/>
      <c r="N198" s="70"/>
      <c r="O198" s="77" t="s">
        <v>382</v>
      </c>
      <c r="P198" s="79">
        <v>41124.25708333333</v>
      </c>
      <c r="Q198" s="77"/>
      <c r="R198" s="77"/>
      <c r="S198" s="77"/>
      <c r="T198" s="77"/>
      <c r="U198" s="77"/>
      <c r="V198" s="77"/>
      <c r="W198" s="77"/>
      <c r="X198" s="77"/>
      <c r="Y198">
        <v>1</v>
      </c>
    </row>
    <row r="199" spans="1:25" x14ac:dyDescent="0.25">
      <c r="A199" s="62" t="s">
        <v>265</v>
      </c>
      <c r="B199" s="62" t="s">
        <v>264</v>
      </c>
      <c r="C199" s="63" t="s">
        <v>2222</v>
      </c>
      <c r="D199" s="64">
        <v>1</v>
      </c>
      <c r="E199" s="65"/>
      <c r="F199" s="66">
        <v>100</v>
      </c>
      <c r="G199" s="63"/>
      <c r="H199" s="67"/>
      <c r="I199" s="68"/>
      <c r="J199" s="68"/>
      <c r="K199" s="34" t="s">
        <v>65</v>
      </c>
      <c r="L199" s="75">
        <v>199</v>
      </c>
      <c r="M199" s="75"/>
      <c r="N199" s="70"/>
      <c r="O199" s="77" t="s">
        <v>382</v>
      </c>
      <c r="P199" s="79">
        <v>41124.25708333333</v>
      </c>
      <c r="Q199" s="77"/>
      <c r="R199" s="77"/>
      <c r="S199" s="77"/>
      <c r="T199" s="77"/>
      <c r="U199" s="77"/>
      <c r="V199" s="77"/>
      <c r="W199" s="77"/>
      <c r="X199" s="77"/>
      <c r="Y199">
        <v>1</v>
      </c>
    </row>
    <row r="200" spans="1:25" x14ac:dyDescent="0.25">
      <c r="A200" s="62" t="s">
        <v>266</v>
      </c>
      <c r="B200" s="62" t="s">
        <v>266</v>
      </c>
      <c r="C200" s="63" t="s">
        <v>2219</v>
      </c>
      <c r="D200" s="64">
        <v>1</v>
      </c>
      <c r="E200" s="65"/>
      <c r="F200" s="66">
        <v>100</v>
      </c>
      <c r="G200" s="63"/>
      <c r="H200" s="67"/>
      <c r="I200" s="68"/>
      <c r="J200" s="68"/>
      <c r="K200" s="34" t="s">
        <v>64</v>
      </c>
      <c r="L200" s="75">
        <v>200</v>
      </c>
      <c r="M200" s="75"/>
      <c r="N200" s="70"/>
      <c r="O200" s="77" t="s">
        <v>180</v>
      </c>
      <c r="P200" s="79">
        <v>41123.764837962961</v>
      </c>
      <c r="Q200" s="77" t="s">
        <v>462</v>
      </c>
      <c r="R200" s="77"/>
      <c r="S200" s="77"/>
      <c r="T200" s="79">
        <v>41123.764837962961</v>
      </c>
      <c r="U200" s="81" t="s">
        <v>768</v>
      </c>
      <c r="V200" s="77"/>
      <c r="W200" s="77"/>
      <c r="X200" s="84" t="s">
        <v>1065</v>
      </c>
      <c r="Y200" s="82">
        <v>1</v>
      </c>
    </row>
    <row r="201" spans="1:25" x14ac:dyDescent="0.25">
      <c r="A201" s="62" t="s">
        <v>266</v>
      </c>
      <c r="B201" s="62" t="s">
        <v>267</v>
      </c>
      <c r="C201" s="63" t="s">
        <v>2222</v>
      </c>
      <c r="D201" s="64">
        <v>1</v>
      </c>
      <c r="E201" s="65"/>
      <c r="F201" s="66">
        <v>100</v>
      </c>
      <c r="G201" s="63"/>
      <c r="H201" s="67"/>
      <c r="I201" s="68"/>
      <c r="J201" s="68"/>
      <c r="K201" s="34" t="s">
        <v>65</v>
      </c>
      <c r="L201" s="75">
        <v>201</v>
      </c>
      <c r="M201" s="75"/>
      <c r="N201" s="70"/>
      <c r="O201" s="77" t="s">
        <v>382</v>
      </c>
      <c r="P201" s="79">
        <v>41124.25708333333</v>
      </c>
      <c r="Q201" s="77"/>
      <c r="R201" s="77"/>
      <c r="S201" s="77"/>
      <c r="T201" s="77"/>
      <c r="U201" s="77"/>
      <c r="V201" s="77"/>
      <c r="W201" s="77"/>
      <c r="X201" s="77"/>
      <c r="Y201">
        <v>1</v>
      </c>
    </row>
    <row r="202" spans="1:25" x14ac:dyDescent="0.25">
      <c r="A202" s="62" t="s">
        <v>266</v>
      </c>
      <c r="B202" s="62" t="s">
        <v>268</v>
      </c>
      <c r="C202" s="63" t="s">
        <v>2222</v>
      </c>
      <c r="D202" s="64">
        <v>1</v>
      </c>
      <c r="E202" s="65"/>
      <c r="F202" s="66">
        <v>100</v>
      </c>
      <c r="G202" s="63"/>
      <c r="H202" s="67"/>
      <c r="I202" s="68"/>
      <c r="J202" s="68"/>
      <c r="K202" s="34" t="s">
        <v>65</v>
      </c>
      <c r="L202" s="75">
        <v>202</v>
      </c>
      <c r="M202" s="75"/>
      <c r="N202" s="70"/>
      <c r="O202" s="77" t="s">
        <v>382</v>
      </c>
      <c r="P202" s="79">
        <v>41124.25708333333</v>
      </c>
      <c r="Q202" s="77"/>
      <c r="R202" s="77"/>
      <c r="S202" s="77"/>
      <c r="T202" s="77"/>
      <c r="U202" s="77"/>
      <c r="V202" s="77"/>
      <c r="W202" s="77"/>
      <c r="X202" s="77"/>
      <c r="Y202">
        <v>1</v>
      </c>
    </row>
    <row r="203" spans="1:25" x14ac:dyDescent="0.25">
      <c r="A203" s="62" t="s">
        <v>266</v>
      </c>
      <c r="B203" s="62" t="s">
        <v>269</v>
      </c>
      <c r="C203" s="63" t="s">
        <v>2222</v>
      </c>
      <c r="D203" s="64">
        <v>1</v>
      </c>
      <c r="E203" s="65"/>
      <c r="F203" s="66">
        <v>100</v>
      </c>
      <c r="G203" s="63"/>
      <c r="H203" s="67"/>
      <c r="I203" s="68"/>
      <c r="J203" s="68"/>
      <c r="K203" s="34" t="s">
        <v>65</v>
      </c>
      <c r="L203" s="75">
        <v>203</v>
      </c>
      <c r="M203" s="75"/>
      <c r="N203" s="70"/>
      <c r="O203" s="77" t="s">
        <v>382</v>
      </c>
      <c r="P203" s="79">
        <v>41124.25708333333</v>
      </c>
      <c r="Q203" s="77"/>
      <c r="R203" s="77"/>
      <c r="S203" s="77"/>
      <c r="T203" s="77"/>
      <c r="U203" s="77"/>
      <c r="V203" s="77"/>
      <c r="W203" s="77"/>
      <c r="X203" s="77"/>
      <c r="Y203">
        <v>1</v>
      </c>
    </row>
    <row r="204" spans="1:25" x14ac:dyDescent="0.25">
      <c r="A204" s="62" t="s">
        <v>266</v>
      </c>
      <c r="B204" s="62" t="s">
        <v>246</v>
      </c>
      <c r="C204" s="63" t="s">
        <v>2222</v>
      </c>
      <c r="D204" s="64">
        <v>1</v>
      </c>
      <c r="E204" s="65"/>
      <c r="F204" s="66">
        <v>100</v>
      </c>
      <c r="G204" s="63"/>
      <c r="H204" s="67"/>
      <c r="I204" s="68"/>
      <c r="J204" s="68"/>
      <c r="K204" s="34" t="s">
        <v>64</v>
      </c>
      <c r="L204" s="75">
        <v>204</v>
      </c>
      <c r="M204" s="75"/>
      <c r="N204" s="70"/>
      <c r="O204" s="77" t="s">
        <v>382</v>
      </c>
      <c r="P204" s="79">
        <v>41124.25708333333</v>
      </c>
      <c r="Q204" s="77"/>
      <c r="R204" s="77"/>
      <c r="S204" s="77"/>
      <c r="T204" s="77"/>
      <c r="U204" s="77"/>
      <c r="V204" s="77"/>
      <c r="W204" s="77"/>
      <c r="X204" s="77"/>
      <c r="Y204">
        <v>1</v>
      </c>
    </row>
    <row r="205" spans="1:25" x14ac:dyDescent="0.25">
      <c r="A205" s="62" t="s">
        <v>267</v>
      </c>
      <c r="B205" s="62" t="s">
        <v>266</v>
      </c>
      <c r="C205" s="63" t="s">
        <v>2222</v>
      </c>
      <c r="D205" s="64">
        <v>1</v>
      </c>
      <c r="E205" s="65"/>
      <c r="F205" s="66">
        <v>100</v>
      </c>
      <c r="G205" s="63"/>
      <c r="H205" s="67"/>
      <c r="I205" s="68"/>
      <c r="J205" s="68"/>
      <c r="K205" s="34" t="s">
        <v>65</v>
      </c>
      <c r="L205" s="75">
        <v>205</v>
      </c>
      <c r="M205" s="75"/>
      <c r="N205" s="70"/>
      <c r="O205" s="77" t="s">
        <v>382</v>
      </c>
      <c r="P205" s="79">
        <v>41124.25708333333</v>
      </c>
      <c r="Q205" s="77"/>
      <c r="R205" s="77"/>
      <c r="S205" s="77"/>
      <c r="T205" s="77"/>
      <c r="U205" s="77"/>
      <c r="V205" s="77"/>
      <c r="W205" s="77"/>
      <c r="X205" s="77"/>
      <c r="Y205">
        <v>1</v>
      </c>
    </row>
    <row r="206" spans="1:25" x14ac:dyDescent="0.25">
      <c r="A206" s="62" t="s">
        <v>268</v>
      </c>
      <c r="B206" s="62" t="s">
        <v>266</v>
      </c>
      <c r="C206" s="63" t="s">
        <v>2222</v>
      </c>
      <c r="D206" s="64">
        <v>1</v>
      </c>
      <c r="E206" s="65"/>
      <c r="F206" s="66">
        <v>100</v>
      </c>
      <c r="G206" s="63"/>
      <c r="H206" s="67"/>
      <c r="I206" s="68"/>
      <c r="J206" s="68"/>
      <c r="K206" s="34" t="s">
        <v>65</v>
      </c>
      <c r="L206" s="75">
        <v>206</v>
      </c>
      <c r="M206" s="75"/>
      <c r="N206" s="70"/>
      <c r="O206" s="77" t="s">
        <v>382</v>
      </c>
      <c r="P206" s="79">
        <v>41124.25708333333</v>
      </c>
      <c r="Q206" s="77"/>
      <c r="R206" s="77"/>
      <c r="S206" s="77"/>
      <c r="T206" s="77"/>
      <c r="U206" s="77"/>
      <c r="V206" s="77"/>
      <c r="W206" s="77"/>
      <c r="X206" s="77"/>
      <c r="Y206">
        <v>1</v>
      </c>
    </row>
    <row r="207" spans="1:25" x14ac:dyDescent="0.25">
      <c r="A207" s="62" t="s">
        <v>269</v>
      </c>
      <c r="B207" s="62" t="s">
        <v>266</v>
      </c>
      <c r="C207" s="63" t="s">
        <v>2222</v>
      </c>
      <c r="D207" s="64">
        <v>1</v>
      </c>
      <c r="E207" s="65"/>
      <c r="F207" s="66">
        <v>100</v>
      </c>
      <c r="G207" s="63"/>
      <c r="H207" s="67"/>
      <c r="I207" s="68"/>
      <c r="J207" s="68"/>
      <c r="K207" s="34" t="s">
        <v>65</v>
      </c>
      <c r="L207" s="75">
        <v>207</v>
      </c>
      <c r="M207" s="75"/>
      <c r="N207" s="70"/>
      <c r="O207" s="77" t="s">
        <v>382</v>
      </c>
      <c r="P207" s="79">
        <v>41124.25708333333</v>
      </c>
      <c r="Q207" s="77"/>
      <c r="R207" s="77"/>
      <c r="S207" s="77"/>
      <c r="T207" s="77"/>
      <c r="U207" s="77"/>
      <c r="V207" s="77"/>
      <c r="W207" s="77"/>
      <c r="X207" s="77"/>
      <c r="Y207">
        <v>1</v>
      </c>
    </row>
    <row r="208" spans="1:25" x14ac:dyDescent="0.25">
      <c r="A208" s="62" t="s">
        <v>270</v>
      </c>
      <c r="B208" s="62" t="s">
        <v>270</v>
      </c>
      <c r="C208" s="63" t="s">
        <v>2219</v>
      </c>
      <c r="D208" s="64">
        <v>1</v>
      </c>
      <c r="E208" s="65"/>
      <c r="F208" s="66">
        <v>100</v>
      </c>
      <c r="G208" s="63"/>
      <c r="H208" s="67"/>
      <c r="I208" s="68"/>
      <c r="J208" s="68"/>
      <c r="K208" s="34" t="s">
        <v>64</v>
      </c>
      <c r="L208" s="75">
        <v>208</v>
      </c>
      <c r="M208" s="75"/>
      <c r="N208" s="70"/>
      <c r="O208" s="77" t="s">
        <v>180</v>
      </c>
      <c r="P208" s="79">
        <v>41123.874189814815</v>
      </c>
      <c r="Q208" s="77" t="s">
        <v>469</v>
      </c>
      <c r="R208" s="77"/>
      <c r="S208" s="77"/>
      <c r="T208" s="79">
        <v>41123.874189814815</v>
      </c>
      <c r="U208" s="81" t="s">
        <v>769</v>
      </c>
      <c r="V208" s="77"/>
      <c r="W208" s="77"/>
      <c r="X208" s="84" t="s">
        <v>1066</v>
      </c>
      <c r="Y208" s="82">
        <v>1</v>
      </c>
    </row>
    <row r="209" spans="1:25" x14ac:dyDescent="0.25">
      <c r="A209" s="62" t="s">
        <v>270</v>
      </c>
      <c r="B209" s="62" t="s">
        <v>246</v>
      </c>
      <c r="C209" s="63" t="s">
        <v>2222</v>
      </c>
      <c r="D209" s="64">
        <v>1</v>
      </c>
      <c r="E209" s="65"/>
      <c r="F209" s="66">
        <v>100</v>
      </c>
      <c r="G209" s="63"/>
      <c r="H209" s="67"/>
      <c r="I209" s="68"/>
      <c r="J209" s="68"/>
      <c r="K209" s="34" t="s">
        <v>64</v>
      </c>
      <c r="L209" s="75">
        <v>209</v>
      </c>
      <c r="M209" s="75"/>
      <c r="N209" s="70"/>
      <c r="O209" s="77" t="s">
        <v>382</v>
      </c>
      <c r="P209" s="79">
        <v>41124.25708333333</v>
      </c>
      <c r="Q209" s="77"/>
      <c r="R209" s="77"/>
      <c r="S209" s="77"/>
      <c r="T209" s="77"/>
      <c r="U209" s="77"/>
      <c r="V209" s="77"/>
      <c r="W209" s="77"/>
      <c r="X209" s="77"/>
      <c r="Y209">
        <v>1</v>
      </c>
    </row>
    <row r="210" spans="1:25" x14ac:dyDescent="0.25">
      <c r="A210" s="62" t="s">
        <v>271</v>
      </c>
      <c r="B210" s="62" t="s">
        <v>271</v>
      </c>
      <c r="C210" s="63" t="s">
        <v>2219</v>
      </c>
      <c r="D210" s="64">
        <v>1</v>
      </c>
      <c r="E210" s="65"/>
      <c r="F210" s="66">
        <v>100</v>
      </c>
      <c r="G210" s="63"/>
      <c r="H210" s="67"/>
      <c r="I210" s="68"/>
      <c r="J210" s="68"/>
      <c r="K210" s="34" t="s">
        <v>64</v>
      </c>
      <c r="L210" s="75">
        <v>210</v>
      </c>
      <c r="M210" s="75"/>
      <c r="N210" s="70"/>
      <c r="O210" s="77" t="s">
        <v>180</v>
      </c>
      <c r="P210" s="79">
        <v>41123.884976851848</v>
      </c>
      <c r="Q210" s="77" t="s">
        <v>468</v>
      </c>
      <c r="R210" s="77"/>
      <c r="S210" s="77"/>
      <c r="T210" s="79">
        <v>41123.884976851848</v>
      </c>
      <c r="U210" s="81" t="s">
        <v>770</v>
      </c>
      <c r="V210" s="77"/>
      <c r="W210" s="77"/>
      <c r="X210" s="84" t="s">
        <v>1067</v>
      </c>
      <c r="Y210" s="82">
        <v>1</v>
      </c>
    </row>
    <row r="211" spans="1:25" x14ac:dyDescent="0.25">
      <c r="A211" s="62" t="s">
        <v>271</v>
      </c>
      <c r="B211" s="62" t="s">
        <v>278</v>
      </c>
      <c r="C211" s="63" t="s">
        <v>2222</v>
      </c>
      <c r="D211" s="64">
        <v>1</v>
      </c>
      <c r="E211" s="65"/>
      <c r="F211" s="66">
        <v>100</v>
      </c>
      <c r="G211" s="63"/>
      <c r="H211" s="67"/>
      <c r="I211" s="68"/>
      <c r="J211" s="68"/>
      <c r="K211" s="34" t="s">
        <v>64</v>
      </c>
      <c r="L211" s="75">
        <v>211</v>
      </c>
      <c r="M211" s="75"/>
      <c r="N211" s="70"/>
      <c r="O211" s="77" t="s">
        <v>382</v>
      </c>
      <c r="P211" s="79">
        <v>41124.25708333333</v>
      </c>
      <c r="Q211" s="77"/>
      <c r="R211" s="77"/>
      <c r="S211" s="77"/>
      <c r="T211" s="77"/>
      <c r="U211" s="77"/>
      <c r="V211" s="77"/>
      <c r="W211" s="77"/>
      <c r="X211" s="77"/>
      <c r="Y211">
        <v>1</v>
      </c>
    </row>
    <row r="212" spans="1:25" x14ac:dyDescent="0.25">
      <c r="A212" s="62" t="s">
        <v>272</v>
      </c>
      <c r="B212" s="62" t="s">
        <v>272</v>
      </c>
      <c r="C212" s="63" t="s">
        <v>2219</v>
      </c>
      <c r="D212" s="64">
        <v>1</v>
      </c>
      <c r="E212" s="65"/>
      <c r="F212" s="66">
        <v>100</v>
      </c>
      <c r="G212" s="63"/>
      <c r="H212" s="67"/>
      <c r="I212" s="68"/>
      <c r="J212" s="68"/>
      <c r="K212" s="34" t="s">
        <v>64</v>
      </c>
      <c r="L212" s="75">
        <v>212</v>
      </c>
      <c r="M212" s="75"/>
      <c r="N212" s="70"/>
      <c r="O212" s="77" t="s">
        <v>180</v>
      </c>
      <c r="P212" s="79">
        <v>41123.67324074074</v>
      </c>
      <c r="Q212" s="77" t="s">
        <v>424</v>
      </c>
      <c r="R212" s="77"/>
      <c r="S212" s="77" t="s">
        <v>643</v>
      </c>
      <c r="T212" s="79">
        <v>41123.67324074074</v>
      </c>
      <c r="U212" s="81" t="s">
        <v>771</v>
      </c>
      <c r="V212" s="77"/>
      <c r="W212" s="77"/>
      <c r="X212" s="84" t="s">
        <v>1068</v>
      </c>
      <c r="Y212" s="82">
        <v>1</v>
      </c>
    </row>
    <row r="213" spans="1:25" x14ac:dyDescent="0.25">
      <c r="A213" s="62" t="s">
        <v>217</v>
      </c>
      <c r="B213" s="62" t="s">
        <v>272</v>
      </c>
      <c r="C213" s="63" t="s">
        <v>2222</v>
      </c>
      <c r="D213" s="64">
        <v>1</v>
      </c>
      <c r="E213" s="65"/>
      <c r="F213" s="66">
        <v>100</v>
      </c>
      <c r="G213" s="63"/>
      <c r="H213" s="67"/>
      <c r="I213" s="68"/>
      <c r="J213" s="68"/>
      <c r="K213" s="34" t="s">
        <v>65</v>
      </c>
      <c r="L213" s="75">
        <v>213</v>
      </c>
      <c r="M213" s="75"/>
      <c r="N213" s="70"/>
      <c r="O213" s="77" t="s">
        <v>382</v>
      </c>
      <c r="P213" s="79">
        <v>41124.25708333333</v>
      </c>
      <c r="Q213" s="77"/>
      <c r="R213" s="77"/>
      <c r="S213" s="77"/>
      <c r="T213" s="77"/>
      <c r="U213" s="77"/>
      <c r="V213" s="77"/>
      <c r="W213" s="77"/>
      <c r="X213" s="77"/>
      <c r="Y213">
        <v>1</v>
      </c>
    </row>
    <row r="214" spans="1:25" x14ac:dyDescent="0.25">
      <c r="A214" s="62" t="s">
        <v>272</v>
      </c>
      <c r="B214" s="62" t="s">
        <v>217</v>
      </c>
      <c r="C214" s="63" t="s">
        <v>2222</v>
      </c>
      <c r="D214" s="64">
        <v>1</v>
      </c>
      <c r="E214" s="65"/>
      <c r="F214" s="66">
        <v>100</v>
      </c>
      <c r="G214" s="63"/>
      <c r="H214" s="67"/>
      <c r="I214" s="68"/>
      <c r="J214" s="68"/>
      <c r="K214" s="34" t="s">
        <v>65</v>
      </c>
      <c r="L214" s="75">
        <v>214</v>
      </c>
      <c r="M214" s="75"/>
      <c r="N214" s="70"/>
      <c r="O214" s="77" t="s">
        <v>382</v>
      </c>
      <c r="P214" s="79">
        <v>41124.25708333333</v>
      </c>
      <c r="Q214" s="77"/>
      <c r="R214" s="77"/>
      <c r="S214" s="77"/>
      <c r="T214" s="77"/>
      <c r="U214" s="77"/>
      <c r="V214" s="77"/>
      <c r="W214" s="77"/>
      <c r="X214" s="77"/>
      <c r="Y214">
        <v>1</v>
      </c>
    </row>
    <row r="215" spans="1:25" x14ac:dyDescent="0.25">
      <c r="A215" s="62" t="s">
        <v>273</v>
      </c>
      <c r="B215" s="62" t="s">
        <v>272</v>
      </c>
      <c r="C215" s="63" t="s">
        <v>2222</v>
      </c>
      <c r="D215" s="64">
        <v>1</v>
      </c>
      <c r="E215" s="65"/>
      <c r="F215" s="66">
        <v>100</v>
      </c>
      <c r="G215" s="63"/>
      <c r="H215" s="67"/>
      <c r="I215" s="68"/>
      <c r="J215" s="68"/>
      <c r="K215" s="34" t="s">
        <v>64</v>
      </c>
      <c r="L215" s="75">
        <v>215</v>
      </c>
      <c r="M215" s="75"/>
      <c r="N215" s="70"/>
      <c r="O215" s="77" t="s">
        <v>382</v>
      </c>
      <c r="P215" s="79">
        <v>41124.25708333333</v>
      </c>
      <c r="Q215" s="77"/>
      <c r="R215" s="77"/>
      <c r="S215" s="77"/>
      <c r="T215" s="77"/>
      <c r="U215" s="77"/>
      <c r="V215" s="77"/>
      <c r="W215" s="77"/>
      <c r="X215" s="77"/>
      <c r="Y215">
        <v>1</v>
      </c>
    </row>
    <row r="216" spans="1:25" x14ac:dyDescent="0.25">
      <c r="A216" s="62" t="s">
        <v>274</v>
      </c>
      <c r="B216" s="62" t="s">
        <v>274</v>
      </c>
      <c r="C216" s="63" t="s">
        <v>2219</v>
      </c>
      <c r="D216" s="64">
        <v>1.5</v>
      </c>
      <c r="E216" s="65"/>
      <c r="F216" s="66">
        <v>97.777777777777771</v>
      </c>
      <c r="G216" s="63"/>
      <c r="H216" s="67"/>
      <c r="I216" s="68"/>
      <c r="J216" s="68"/>
      <c r="K216" s="34" t="s">
        <v>64</v>
      </c>
      <c r="L216" s="75">
        <v>216</v>
      </c>
      <c r="M216" s="75"/>
      <c r="N216" s="70"/>
      <c r="O216" s="77" t="s">
        <v>180</v>
      </c>
      <c r="P216" s="79">
        <v>41123.893194444441</v>
      </c>
      <c r="Q216" s="77" t="s">
        <v>470</v>
      </c>
      <c r="R216" s="77"/>
      <c r="S216" s="77"/>
      <c r="T216" s="79">
        <v>41123.893194444441</v>
      </c>
      <c r="U216" s="81" t="s">
        <v>772</v>
      </c>
      <c r="V216" s="77"/>
      <c r="W216" s="77"/>
      <c r="X216" s="84" t="s">
        <v>1069</v>
      </c>
      <c r="Y216" s="82">
        <v>2</v>
      </c>
    </row>
    <row r="217" spans="1:25" x14ac:dyDescent="0.25">
      <c r="A217" s="62" t="s">
        <v>274</v>
      </c>
      <c r="B217" s="62" t="s">
        <v>274</v>
      </c>
      <c r="C217" s="63" t="s">
        <v>2219</v>
      </c>
      <c r="D217" s="64">
        <v>1.5</v>
      </c>
      <c r="E217" s="65"/>
      <c r="F217" s="66">
        <v>97.777777777777771</v>
      </c>
      <c r="G217" s="63"/>
      <c r="H217" s="67"/>
      <c r="I217" s="68"/>
      <c r="J217" s="68"/>
      <c r="K217" s="34" t="s">
        <v>64</v>
      </c>
      <c r="L217" s="75">
        <v>217</v>
      </c>
      <c r="M217" s="75"/>
      <c r="N217" s="70"/>
      <c r="O217" s="77" t="s">
        <v>180</v>
      </c>
      <c r="P217" s="79">
        <v>41123.894525462965</v>
      </c>
      <c r="Q217" s="77" t="s">
        <v>471</v>
      </c>
      <c r="R217" s="77"/>
      <c r="S217" s="77"/>
      <c r="T217" s="79">
        <v>41123.894525462965</v>
      </c>
      <c r="U217" s="81" t="s">
        <v>773</v>
      </c>
      <c r="V217" s="77"/>
      <c r="W217" s="77"/>
      <c r="X217" s="84" t="s">
        <v>1070</v>
      </c>
      <c r="Y217" s="82">
        <v>2</v>
      </c>
    </row>
    <row r="218" spans="1:25" x14ac:dyDescent="0.25">
      <c r="A218" s="62" t="s">
        <v>274</v>
      </c>
      <c r="B218" s="62" t="s">
        <v>376</v>
      </c>
      <c r="C218" s="63" t="s">
        <v>2222</v>
      </c>
      <c r="D218" s="64">
        <v>1</v>
      </c>
      <c r="E218" s="65"/>
      <c r="F218" s="66">
        <v>100</v>
      </c>
      <c r="G218" s="63"/>
      <c r="H218" s="67"/>
      <c r="I218" s="68"/>
      <c r="J218" s="68"/>
      <c r="K218" s="34" t="s">
        <v>64</v>
      </c>
      <c r="L218" s="75">
        <v>218</v>
      </c>
      <c r="M218" s="75"/>
      <c r="N218" s="70"/>
      <c r="O218" s="77" t="s">
        <v>382</v>
      </c>
      <c r="P218" s="79">
        <v>41124.25708333333</v>
      </c>
      <c r="Q218" s="77"/>
      <c r="R218" s="77"/>
      <c r="S218" s="77"/>
      <c r="T218" s="77"/>
      <c r="U218" s="77"/>
      <c r="V218" s="77"/>
      <c r="W218" s="77"/>
      <c r="X218" s="77"/>
      <c r="Y218">
        <v>1</v>
      </c>
    </row>
    <row r="219" spans="1:25" x14ac:dyDescent="0.25">
      <c r="A219" s="62" t="s">
        <v>243</v>
      </c>
      <c r="B219" s="62" t="s">
        <v>243</v>
      </c>
      <c r="C219" s="63" t="s">
        <v>2219</v>
      </c>
      <c r="D219" s="64">
        <v>8</v>
      </c>
      <c r="E219" s="65"/>
      <c r="F219" s="66">
        <v>68.888888888888886</v>
      </c>
      <c r="G219" s="63"/>
      <c r="H219" s="67"/>
      <c r="I219" s="68"/>
      <c r="J219" s="68"/>
      <c r="K219" s="34" t="s">
        <v>64</v>
      </c>
      <c r="L219" s="75">
        <v>219</v>
      </c>
      <c r="M219" s="75"/>
      <c r="N219" s="70"/>
      <c r="O219" s="77" t="s">
        <v>180</v>
      </c>
      <c r="P219" s="79">
        <v>41123.673819444448</v>
      </c>
      <c r="Q219" s="77" t="s">
        <v>472</v>
      </c>
      <c r="R219" s="81" t="s">
        <v>617</v>
      </c>
      <c r="S219" s="77"/>
      <c r="T219" s="79">
        <v>41123.673819444448</v>
      </c>
      <c r="U219" s="81" t="s">
        <v>774</v>
      </c>
      <c r="V219" s="77"/>
      <c r="W219" s="77"/>
      <c r="X219" s="84" t="s">
        <v>1071</v>
      </c>
      <c r="Y219" s="82">
        <v>15</v>
      </c>
    </row>
    <row r="220" spans="1:25" x14ac:dyDescent="0.25">
      <c r="A220" s="62" t="s">
        <v>243</v>
      </c>
      <c r="B220" s="62" t="s">
        <v>243</v>
      </c>
      <c r="C220" s="63" t="s">
        <v>2219</v>
      </c>
      <c r="D220" s="64">
        <v>8</v>
      </c>
      <c r="E220" s="65"/>
      <c r="F220" s="66">
        <v>68.888888888888886</v>
      </c>
      <c r="G220" s="63"/>
      <c r="H220" s="67"/>
      <c r="I220" s="68"/>
      <c r="J220" s="68"/>
      <c r="K220" s="34" t="s">
        <v>64</v>
      </c>
      <c r="L220" s="75">
        <v>220</v>
      </c>
      <c r="M220" s="75"/>
      <c r="N220" s="70"/>
      <c r="O220" s="77" t="s">
        <v>180</v>
      </c>
      <c r="P220" s="79">
        <v>41123.674398148149</v>
      </c>
      <c r="Q220" s="77" t="s">
        <v>473</v>
      </c>
      <c r="R220" s="81" t="s">
        <v>618</v>
      </c>
      <c r="S220" s="77"/>
      <c r="T220" s="79">
        <v>41123.674398148149</v>
      </c>
      <c r="U220" s="81" t="s">
        <v>775</v>
      </c>
      <c r="V220" s="77"/>
      <c r="W220" s="77"/>
      <c r="X220" s="84" t="s">
        <v>1072</v>
      </c>
      <c r="Y220" s="82">
        <v>15</v>
      </c>
    </row>
    <row r="221" spans="1:25" x14ac:dyDescent="0.25">
      <c r="A221" s="62" t="s">
        <v>243</v>
      </c>
      <c r="B221" s="62" t="s">
        <v>243</v>
      </c>
      <c r="C221" s="63" t="s">
        <v>2219</v>
      </c>
      <c r="D221" s="64">
        <v>8</v>
      </c>
      <c r="E221" s="65"/>
      <c r="F221" s="66">
        <v>68.888888888888886</v>
      </c>
      <c r="G221" s="63"/>
      <c r="H221" s="67"/>
      <c r="I221" s="68"/>
      <c r="J221" s="68"/>
      <c r="K221" s="34" t="s">
        <v>64</v>
      </c>
      <c r="L221" s="75">
        <v>221</v>
      </c>
      <c r="M221" s="75"/>
      <c r="N221" s="70"/>
      <c r="O221" s="77" t="s">
        <v>180</v>
      </c>
      <c r="P221" s="79">
        <v>41123.687048611115</v>
      </c>
      <c r="Q221" s="77" t="s">
        <v>474</v>
      </c>
      <c r="R221" s="77"/>
      <c r="S221" s="77"/>
      <c r="T221" s="79">
        <v>41123.687048611115</v>
      </c>
      <c r="U221" s="81" t="s">
        <v>776</v>
      </c>
      <c r="V221" s="77"/>
      <c r="W221" s="77"/>
      <c r="X221" s="84" t="s">
        <v>1073</v>
      </c>
      <c r="Y221" s="82">
        <v>15</v>
      </c>
    </row>
    <row r="222" spans="1:25" x14ac:dyDescent="0.25">
      <c r="A222" s="62" t="s">
        <v>243</v>
      </c>
      <c r="B222" s="62" t="s">
        <v>243</v>
      </c>
      <c r="C222" s="63" t="s">
        <v>2219</v>
      </c>
      <c r="D222" s="64">
        <v>8</v>
      </c>
      <c r="E222" s="65"/>
      <c r="F222" s="66">
        <v>68.888888888888886</v>
      </c>
      <c r="G222" s="63"/>
      <c r="H222" s="67"/>
      <c r="I222" s="68"/>
      <c r="J222" s="68"/>
      <c r="K222" s="34" t="s">
        <v>64</v>
      </c>
      <c r="L222" s="75">
        <v>222</v>
      </c>
      <c r="M222" s="75"/>
      <c r="N222" s="70"/>
      <c r="O222" s="77" t="s">
        <v>180</v>
      </c>
      <c r="P222" s="79">
        <v>41123.688356481478</v>
      </c>
      <c r="Q222" s="77" t="s">
        <v>475</v>
      </c>
      <c r="R222" s="77"/>
      <c r="S222" s="77"/>
      <c r="T222" s="79">
        <v>41123.688356481478</v>
      </c>
      <c r="U222" s="81" t="s">
        <v>777</v>
      </c>
      <c r="V222" s="77"/>
      <c r="W222" s="77"/>
      <c r="X222" s="84" t="s">
        <v>1074</v>
      </c>
      <c r="Y222" s="82">
        <v>15</v>
      </c>
    </row>
    <row r="223" spans="1:25" x14ac:dyDescent="0.25">
      <c r="A223" s="62" t="s">
        <v>243</v>
      </c>
      <c r="B223" s="62" t="s">
        <v>243</v>
      </c>
      <c r="C223" s="63" t="s">
        <v>2219</v>
      </c>
      <c r="D223" s="64">
        <v>8</v>
      </c>
      <c r="E223" s="65"/>
      <c r="F223" s="66">
        <v>68.888888888888886</v>
      </c>
      <c r="G223" s="63"/>
      <c r="H223" s="67"/>
      <c r="I223" s="68"/>
      <c r="J223" s="68"/>
      <c r="K223" s="34" t="s">
        <v>64</v>
      </c>
      <c r="L223" s="75">
        <v>223</v>
      </c>
      <c r="M223" s="75"/>
      <c r="N223" s="70"/>
      <c r="O223" s="77" t="s">
        <v>180</v>
      </c>
      <c r="P223" s="79">
        <v>41123.689444444448</v>
      </c>
      <c r="Q223" s="77" t="s">
        <v>476</v>
      </c>
      <c r="R223" s="77"/>
      <c r="S223" s="77"/>
      <c r="T223" s="79">
        <v>41123.689444444448</v>
      </c>
      <c r="U223" s="81" t="s">
        <v>778</v>
      </c>
      <c r="V223" s="77"/>
      <c r="W223" s="77"/>
      <c r="X223" s="84" t="s">
        <v>1075</v>
      </c>
      <c r="Y223" s="82">
        <v>15</v>
      </c>
    </row>
    <row r="224" spans="1:25" x14ac:dyDescent="0.25">
      <c r="A224" s="62" t="s">
        <v>243</v>
      </c>
      <c r="B224" s="62" t="s">
        <v>243</v>
      </c>
      <c r="C224" s="63" t="s">
        <v>2219</v>
      </c>
      <c r="D224" s="64">
        <v>8</v>
      </c>
      <c r="E224" s="65"/>
      <c r="F224" s="66">
        <v>68.888888888888886</v>
      </c>
      <c r="G224" s="63"/>
      <c r="H224" s="67"/>
      <c r="I224" s="68"/>
      <c r="J224" s="68"/>
      <c r="K224" s="34" t="s">
        <v>64</v>
      </c>
      <c r="L224" s="75">
        <v>224</v>
      </c>
      <c r="M224" s="75"/>
      <c r="N224" s="70"/>
      <c r="O224" s="77" t="s">
        <v>180</v>
      </c>
      <c r="P224" s="79">
        <v>41123.69017361111</v>
      </c>
      <c r="Q224" s="77" t="s">
        <v>477</v>
      </c>
      <c r="R224" s="77"/>
      <c r="S224" s="77"/>
      <c r="T224" s="79">
        <v>41123.69017361111</v>
      </c>
      <c r="U224" s="81" t="s">
        <v>779</v>
      </c>
      <c r="V224" s="77"/>
      <c r="W224" s="77"/>
      <c r="X224" s="84" t="s">
        <v>1076</v>
      </c>
      <c r="Y224" s="82">
        <v>15</v>
      </c>
    </row>
    <row r="225" spans="1:25" x14ac:dyDescent="0.25">
      <c r="A225" s="62" t="s">
        <v>243</v>
      </c>
      <c r="B225" s="62" t="s">
        <v>243</v>
      </c>
      <c r="C225" s="63" t="s">
        <v>2219</v>
      </c>
      <c r="D225" s="64">
        <v>8</v>
      </c>
      <c r="E225" s="65"/>
      <c r="F225" s="66">
        <v>68.888888888888886</v>
      </c>
      <c r="G225" s="63"/>
      <c r="H225" s="67"/>
      <c r="I225" s="68"/>
      <c r="J225" s="68"/>
      <c r="K225" s="34" t="s">
        <v>64</v>
      </c>
      <c r="L225" s="75">
        <v>225</v>
      </c>
      <c r="M225" s="75"/>
      <c r="N225" s="70"/>
      <c r="O225" s="77" t="s">
        <v>180</v>
      </c>
      <c r="P225" s="79">
        <v>41123.692175925928</v>
      </c>
      <c r="Q225" s="77" t="s">
        <v>478</v>
      </c>
      <c r="R225" s="77"/>
      <c r="S225" s="77"/>
      <c r="T225" s="79">
        <v>41123.692175925928</v>
      </c>
      <c r="U225" s="81" t="s">
        <v>780</v>
      </c>
      <c r="V225" s="77"/>
      <c r="W225" s="77"/>
      <c r="X225" s="84" t="s">
        <v>1077</v>
      </c>
      <c r="Y225" s="82">
        <v>15</v>
      </c>
    </row>
    <row r="226" spans="1:25" x14ac:dyDescent="0.25">
      <c r="A226" s="62" t="s">
        <v>243</v>
      </c>
      <c r="B226" s="62" t="s">
        <v>243</v>
      </c>
      <c r="C226" s="63" t="s">
        <v>2219</v>
      </c>
      <c r="D226" s="64">
        <v>8</v>
      </c>
      <c r="E226" s="65"/>
      <c r="F226" s="66">
        <v>68.888888888888886</v>
      </c>
      <c r="G226" s="63"/>
      <c r="H226" s="67"/>
      <c r="I226" s="68"/>
      <c r="J226" s="68"/>
      <c r="K226" s="34" t="s">
        <v>64</v>
      </c>
      <c r="L226" s="75">
        <v>226</v>
      </c>
      <c r="M226" s="75"/>
      <c r="N226" s="70"/>
      <c r="O226" s="77" t="s">
        <v>180</v>
      </c>
      <c r="P226" s="79">
        <v>41123.763032407405</v>
      </c>
      <c r="Q226" s="77" t="s">
        <v>479</v>
      </c>
      <c r="R226" s="77"/>
      <c r="S226" s="77"/>
      <c r="T226" s="79">
        <v>41123.763032407405</v>
      </c>
      <c r="U226" s="81" t="s">
        <v>781</v>
      </c>
      <c r="V226" s="77"/>
      <c r="W226" s="77"/>
      <c r="X226" s="84" t="s">
        <v>1078</v>
      </c>
      <c r="Y226" s="82">
        <v>15</v>
      </c>
    </row>
    <row r="227" spans="1:25" x14ac:dyDescent="0.25">
      <c r="A227" s="62" t="s">
        <v>243</v>
      </c>
      <c r="B227" s="62" t="s">
        <v>243</v>
      </c>
      <c r="C227" s="63" t="s">
        <v>2219</v>
      </c>
      <c r="D227" s="64">
        <v>8</v>
      </c>
      <c r="E227" s="65"/>
      <c r="F227" s="66">
        <v>68.888888888888886</v>
      </c>
      <c r="G227" s="63"/>
      <c r="H227" s="67"/>
      <c r="I227" s="68"/>
      <c r="J227" s="68"/>
      <c r="K227" s="34" t="s">
        <v>64</v>
      </c>
      <c r="L227" s="75">
        <v>227</v>
      </c>
      <c r="M227" s="75"/>
      <c r="N227" s="70"/>
      <c r="O227" s="77" t="s">
        <v>180</v>
      </c>
      <c r="P227" s="79">
        <v>41123.767129629632</v>
      </c>
      <c r="Q227" s="77" t="s">
        <v>480</v>
      </c>
      <c r="R227" s="77"/>
      <c r="S227" s="77"/>
      <c r="T227" s="79">
        <v>41123.767129629632</v>
      </c>
      <c r="U227" s="81" t="s">
        <v>782</v>
      </c>
      <c r="V227" s="77"/>
      <c r="W227" s="77"/>
      <c r="X227" s="84" t="s">
        <v>1079</v>
      </c>
      <c r="Y227" s="82">
        <v>15</v>
      </c>
    </row>
    <row r="228" spans="1:25" x14ac:dyDescent="0.25">
      <c r="A228" s="62" t="s">
        <v>243</v>
      </c>
      <c r="B228" s="62" t="s">
        <v>243</v>
      </c>
      <c r="C228" s="63" t="s">
        <v>2219</v>
      </c>
      <c r="D228" s="64">
        <v>8</v>
      </c>
      <c r="E228" s="65"/>
      <c r="F228" s="66">
        <v>68.888888888888886</v>
      </c>
      <c r="G228" s="63"/>
      <c r="H228" s="67"/>
      <c r="I228" s="68"/>
      <c r="J228" s="68"/>
      <c r="K228" s="34" t="s">
        <v>64</v>
      </c>
      <c r="L228" s="75">
        <v>228</v>
      </c>
      <c r="M228" s="75"/>
      <c r="N228" s="70"/>
      <c r="O228" s="77" t="s">
        <v>180</v>
      </c>
      <c r="P228" s="79">
        <v>41123.767812500002</v>
      </c>
      <c r="Q228" s="77" t="s">
        <v>481</v>
      </c>
      <c r="R228" s="81" t="s">
        <v>617</v>
      </c>
      <c r="S228" s="77"/>
      <c r="T228" s="79">
        <v>41123.767812500002</v>
      </c>
      <c r="U228" s="81" t="s">
        <v>783</v>
      </c>
      <c r="V228" s="77"/>
      <c r="W228" s="77"/>
      <c r="X228" s="84" t="s">
        <v>1080</v>
      </c>
      <c r="Y228" s="82">
        <v>15</v>
      </c>
    </row>
    <row r="229" spans="1:25" x14ac:dyDescent="0.25">
      <c r="A229" s="62" t="s">
        <v>243</v>
      </c>
      <c r="B229" s="62" t="s">
        <v>243</v>
      </c>
      <c r="C229" s="63" t="s">
        <v>2219</v>
      </c>
      <c r="D229" s="64">
        <v>8</v>
      </c>
      <c r="E229" s="65"/>
      <c r="F229" s="66">
        <v>68.888888888888886</v>
      </c>
      <c r="G229" s="63"/>
      <c r="H229" s="67"/>
      <c r="I229" s="68"/>
      <c r="J229" s="68"/>
      <c r="K229" s="34" t="s">
        <v>64</v>
      </c>
      <c r="L229" s="75">
        <v>229</v>
      </c>
      <c r="M229" s="75"/>
      <c r="N229" s="70"/>
      <c r="O229" s="77" t="s">
        <v>180</v>
      </c>
      <c r="P229" s="79">
        <v>41123.79582175926</v>
      </c>
      <c r="Q229" s="77" t="s">
        <v>482</v>
      </c>
      <c r="R229" s="81" t="s">
        <v>617</v>
      </c>
      <c r="S229" s="77"/>
      <c r="T229" s="79">
        <v>41123.79582175926</v>
      </c>
      <c r="U229" s="81" t="s">
        <v>784</v>
      </c>
      <c r="V229" s="77"/>
      <c r="W229" s="77"/>
      <c r="X229" s="84" t="s">
        <v>1081</v>
      </c>
      <c r="Y229" s="82">
        <v>15</v>
      </c>
    </row>
    <row r="230" spans="1:25" x14ac:dyDescent="0.25">
      <c r="A230" s="62" t="s">
        <v>243</v>
      </c>
      <c r="B230" s="62" t="s">
        <v>243</v>
      </c>
      <c r="C230" s="63" t="s">
        <v>2219</v>
      </c>
      <c r="D230" s="64">
        <v>8</v>
      </c>
      <c r="E230" s="65"/>
      <c r="F230" s="66">
        <v>68.888888888888886</v>
      </c>
      <c r="G230" s="63"/>
      <c r="H230" s="67"/>
      <c r="I230" s="68"/>
      <c r="J230" s="68"/>
      <c r="K230" s="34" t="s">
        <v>64</v>
      </c>
      <c r="L230" s="75">
        <v>230</v>
      </c>
      <c r="M230" s="75"/>
      <c r="N230" s="70"/>
      <c r="O230" s="77" t="s">
        <v>180</v>
      </c>
      <c r="P230" s="79">
        <v>41123.799305555556</v>
      </c>
      <c r="Q230" s="77" t="s">
        <v>483</v>
      </c>
      <c r="R230" s="77"/>
      <c r="S230" s="77"/>
      <c r="T230" s="79">
        <v>41123.799305555556</v>
      </c>
      <c r="U230" s="81" t="s">
        <v>785</v>
      </c>
      <c r="V230" s="77"/>
      <c r="W230" s="77"/>
      <c r="X230" s="84" t="s">
        <v>1082</v>
      </c>
      <c r="Y230" s="82">
        <v>15</v>
      </c>
    </row>
    <row r="231" spans="1:25" x14ac:dyDescent="0.25">
      <c r="A231" s="62" t="s">
        <v>243</v>
      </c>
      <c r="B231" s="62" t="s">
        <v>243</v>
      </c>
      <c r="C231" s="63" t="s">
        <v>2219</v>
      </c>
      <c r="D231" s="64">
        <v>8</v>
      </c>
      <c r="E231" s="65"/>
      <c r="F231" s="66">
        <v>68.888888888888886</v>
      </c>
      <c r="G231" s="63"/>
      <c r="H231" s="67"/>
      <c r="I231" s="68"/>
      <c r="J231" s="68"/>
      <c r="K231" s="34" t="s">
        <v>64</v>
      </c>
      <c r="L231" s="75">
        <v>231</v>
      </c>
      <c r="M231" s="75"/>
      <c r="N231" s="70"/>
      <c r="O231" s="77" t="s">
        <v>180</v>
      </c>
      <c r="P231" s="79">
        <v>41123.80159722222</v>
      </c>
      <c r="Q231" s="77" t="s">
        <v>484</v>
      </c>
      <c r="R231" s="77"/>
      <c r="S231" s="77"/>
      <c r="T231" s="79">
        <v>41123.80159722222</v>
      </c>
      <c r="U231" s="81" t="s">
        <v>786</v>
      </c>
      <c r="V231" s="77"/>
      <c r="W231" s="77"/>
      <c r="X231" s="84" t="s">
        <v>1083</v>
      </c>
      <c r="Y231" s="82">
        <v>15</v>
      </c>
    </row>
    <row r="232" spans="1:25" x14ac:dyDescent="0.25">
      <c r="A232" s="62" t="s">
        <v>243</v>
      </c>
      <c r="B232" s="62" t="s">
        <v>243</v>
      </c>
      <c r="C232" s="63" t="s">
        <v>2219</v>
      </c>
      <c r="D232" s="64">
        <v>8</v>
      </c>
      <c r="E232" s="65"/>
      <c r="F232" s="66">
        <v>68.888888888888886</v>
      </c>
      <c r="G232" s="63"/>
      <c r="H232" s="67"/>
      <c r="I232" s="68"/>
      <c r="J232" s="68"/>
      <c r="K232" s="34" t="s">
        <v>64</v>
      </c>
      <c r="L232" s="75">
        <v>232</v>
      </c>
      <c r="M232" s="75"/>
      <c r="N232" s="70"/>
      <c r="O232" s="77" t="s">
        <v>180</v>
      </c>
      <c r="P232" s="79">
        <v>41123.946388888886</v>
      </c>
      <c r="Q232" s="77" t="s">
        <v>485</v>
      </c>
      <c r="R232" s="77"/>
      <c r="S232" s="77"/>
      <c r="T232" s="79">
        <v>41123.946388888886</v>
      </c>
      <c r="U232" s="81" t="s">
        <v>787</v>
      </c>
      <c r="V232" s="77"/>
      <c r="W232" s="77"/>
      <c r="X232" s="84" t="s">
        <v>1084</v>
      </c>
      <c r="Y232" s="82">
        <v>15</v>
      </c>
    </row>
    <row r="233" spans="1:25" x14ac:dyDescent="0.25">
      <c r="A233" s="62" t="s">
        <v>243</v>
      </c>
      <c r="B233" s="62" t="s">
        <v>243</v>
      </c>
      <c r="C233" s="63" t="s">
        <v>2219</v>
      </c>
      <c r="D233" s="64">
        <v>8</v>
      </c>
      <c r="E233" s="65"/>
      <c r="F233" s="66">
        <v>68.888888888888886</v>
      </c>
      <c r="G233" s="63"/>
      <c r="H233" s="67"/>
      <c r="I233" s="68"/>
      <c r="J233" s="68"/>
      <c r="K233" s="34" t="s">
        <v>64</v>
      </c>
      <c r="L233" s="75">
        <v>233</v>
      </c>
      <c r="M233" s="75"/>
      <c r="N233" s="70"/>
      <c r="O233" s="77" t="s">
        <v>180</v>
      </c>
      <c r="P233" s="79">
        <v>41123.947511574072</v>
      </c>
      <c r="Q233" s="77" t="s">
        <v>486</v>
      </c>
      <c r="R233" s="77"/>
      <c r="S233" s="77"/>
      <c r="T233" s="79">
        <v>41123.947511574072</v>
      </c>
      <c r="U233" s="81" t="s">
        <v>788</v>
      </c>
      <c r="V233" s="77"/>
      <c r="W233" s="77"/>
      <c r="X233" s="84" t="s">
        <v>1085</v>
      </c>
      <c r="Y233" s="82">
        <v>15</v>
      </c>
    </row>
    <row r="234" spans="1:25" x14ac:dyDescent="0.25">
      <c r="A234" s="62" t="s">
        <v>275</v>
      </c>
      <c r="B234" s="62" t="s">
        <v>243</v>
      </c>
      <c r="C234" s="63" t="s">
        <v>2222</v>
      </c>
      <c r="D234" s="64">
        <v>1</v>
      </c>
      <c r="E234" s="65"/>
      <c r="F234" s="66">
        <v>100</v>
      </c>
      <c r="G234" s="63"/>
      <c r="H234" s="67"/>
      <c r="I234" s="68"/>
      <c r="J234" s="68"/>
      <c r="K234" s="34" t="s">
        <v>64</v>
      </c>
      <c r="L234" s="75">
        <v>234</v>
      </c>
      <c r="M234" s="75"/>
      <c r="N234" s="70"/>
      <c r="O234" s="77" t="s">
        <v>382</v>
      </c>
      <c r="P234" s="79">
        <v>41124.25708333333</v>
      </c>
      <c r="Q234" s="77"/>
      <c r="R234" s="77"/>
      <c r="S234" s="77"/>
      <c r="T234" s="77"/>
      <c r="U234" s="77"/>
      <c r="V234" s="77"/>
      <c r="W234" s="77"/>
      <c r="X234" s="77"/>
      <c r="Y234">
        <v>1</v>
      </c>
    </row>
    <row r="235" spans="1:25" x14ac:dyDescent="0.25">
      <c r="A235" s="62" t="s">
        <v>276</v>
      </c>
      <c r="B235" s="62" t="s">
        <v>243</v>
      </c>
      <c r="C235" s="63" t="s">
        <v>2222</v>
      </c>
      <c r="D235" s="64">
        <v>1</v>
      </c>
      <c r="E235" s="65"/>
      <c r="F235" s="66">
        <v>100</v>
      </c>
      <c r="G235" s="63"/>
      <c r="H235" s="67"/>
      <c r="I235" s="68"/>
      <c r="J235" s="68"/>
      <c r="K235" s="34" t="s">
        <v>64</v>
      </c>
      <c r="L235" s="75">
        <v>235</v>
      </c>
      <c r="M235" s="75"/>
      <c r="N235" s="70"/>
      <c r="O235" s="77" t="s">
        <v>382</v>
      </c>
      <c r="P235" s="79">
        <v>41124.25708333333</v>
      </c>
      <c r="Q235" s="77"/>
      <c r="R235" s="77"/>
      <c r="S235" s="77"/>
      <c r="T235" s="77"/>
      <c r="U235" s="77"/>
      <c r="V235" s="77"/>
      <c r="W235" s="77"/>
      <c r="X235" s="77"/>
      <c r="Y235">
        <v>1</v>
      </c>
    </row>
    <row r="236" spans="1:25" x14ac:dyDescent="0.25">
      <c r="A236" s="62" t="s">
        <v>277</v>
      </c>
      <c r="B236" s="62" t="s">
        <v>277</v>
      </c>
      <c r="C236" s="63" t="s">
        <v>2219</v>
      </c>
      <c r="D236" s="64">
        <v>1.5</v>
      </c>
      <c r="E236" s="65"/>
      <c r="F236" s="66">
        <v>97.777777777777771</v>
      </c>
      <c r="G236" s="63"/>
      <c r="H236" s="67"/>
      <c r="I236" s="68"/>
      <c r="J236" s="68"/>
      <c r="K236" s="34" t="s">
        <v>64</v>
      </c>
      <c r="L236" s="75">
        <v>236</v>
      </c>
      <c r="M236" s="75"/>
      <c r="N236" s="70"/>
      <c r="O236" s="77" t="s">
        <v>180</v>
      </c>
      <c r="P236" s="79">
        <v>41123.797974537039</v>
      </c>
      <c r="Q236" s="77" t="s">
        <v>462</v>
      </c>
      <c r="R236" s="77"/>
      <c r="S236" s="77"/>
      <c r="T236" s="79">
        <v>41123.797974537039</v>
      </c>
      <c r="U236" s="81" t="s">
        <v>789</v>
      </c>
      <c r="V236" s="77"/>
      <c r="W236" s="77"/>
      <c r="X236" s="84" t="s">
        <v>1086</v>
      </c>
      <c r="Y236" s="82">
        <v>2</v>
      </c>
    </row>
    <row r="237" spans="1:25" x14ac:dyDescent="0.25">
      <c r="A237" s="62" t="s">
        <v>277</v>
      </c>
      <c r="B237" s="62" t="s">
        <v>277</v>
      </c>
      <c r="C237" s="63" t="s">
        <v>2219</v>
      </c>
      <c r="D237" s="64">
        <v>1.5</v>
      </c>
      <c r="E237" s="65"/>
      <c r="F237" s="66">
        <v>97.777777777777771</v>
      </c>
      <c r="G237" s="63"/>
      <c r="H237" s="67"/>
      <c r="I237" s="68"/>
      <c r="J237" s="68"/>
      <c r="K237" s="34" t="s">
        <v>64</v>
      </c>
      <c r="L237" s="75">
        <v>237</v>
      </c>
      <c r="M237" s="75"/>
      <c r="N237" s="70"/>
      <c r="O237" s="77" t="s">
        <v>180</v>
      </c>
      <c r="P237" s="79">
        <v>41123.799074074072</v>
      </c>
      <c r="Q237" s="77" t="s">
        <v>487</v>
      </c>
      <c r="R237" s="77"/>
      <c r="S237" s="77"/>
      <c r="T237" s="79">
        <v>41123.799074074072</v>
      </c>
      <c r="U237" s="81" t="s">
        <v>790</v>
      </c>
      <c r="V237" s="77"/>
      <c r="W237" s="77"/>
      <c r="X237" s="84" t="s">
        <v>1087</v>
      </c>
      <c r="Y237" s="82">
        <v>2</v>
      </c>
    </row>
    <row r="238" spans="1:25" x14ac:dyDescent="0.25">
      <c r="A238" s="62" t="s">
        <v>277</v>
      </c>
      <c r="B238" s="62" t="s">
        <v>246</v>
      </c>
      <c r="C238" s="63" t="s">
        <v>2222</v>
      </c>
      <c r="D238" s="64">
        <v>1</v>
      </c>
      <c r="E238" s="65"/>
      <c r="F238" s="66">
        <v>100</v>
      </c>
      <c r="G238" s="63"/>
      <c r="H238" s="67"/>
      <c r="I238" s="68"/>
      <c r="J238" s="68"/>
      <c r="K238" s="34" t="s">
        <v>64</v>
      </c>
      <c r="L238" s="75">
        <v>238</v>
      </c>
      <c r="M238" s="75"/>
      <c r="N238" s="70"/>
      <c r="O238" s="77" t="s">
        <v>382</v>
      </c>
      <c r="P238" s="79">
        <v>41124.25708333333</v>
      </c>
      <c r="Q238" s="77"/>
      <c r="R238" s="77"/>
      <c r="S238" s="77"/>
      <c r="T238" s="77"/>
      <c r="U238" s="77"/>
      <c r="V238" s="77"/>
      <c r="W238" s="77"/>
      <c r="X238" s="77"/>
      <c r="Y238">
        <v>1</v>
      </c>
    </row>
    <row r="239" spans="1:25" x14ac:dyDescent="0.25">
      <c r="A239" s="62" t="s">
        <v>276</v>
      </c>
      <c r="B239" s="62" t="s">
        <v>277</v>
      </c>
      <c r="C239" s="63" t="s">
        <v>2222</v>
      </c>
      <c r="D239" s="64">
        <v>1</v>
      </c>
      <c r="E239" s="65"/>
      <c r="F239" s="66">
        <v>100</v>
      </c>
      <c r="G239" s="63"/>
      <c r="H239" s="67"/>
      <c r="I239" s="68"/>
      <c r="J239" s="68"/>
      <c r="K239" s="34" t="s">
        <v>64</v>
      </c>
      <c r="L239" s="75">
        <v>239</v>
      </c>
      <c r="M239" s="75"/>
      <c r="N239" s="70"/>
      <c r="O239" s="77" t="s">
        <v>382</v>
      </c>
      <c r="P239" s="79">
        <v>41124.25708333333</v>
      </c>
      <c r="Q239" s="77"/>
      <c r="R239" s="77"/>
      <c r="S239" s="77"/>
      <c r="T239" s="77"/>
      <c r="U239" s="77"/>
      <c r="V239" s="77"/>
      <c r="W239" s="77"/>
      <c r="X239" s="77"/>
      <c r="Y239">
        <v>1</v>
      </c>
    </row>
    <row r="240" spans="1:25" x14ac:dyDescent="0.25">
      <c r="A240" s="62" t="s">
        <v>278</v>
      </c>
      <c r="B240" s="62" t="s">
        <v>278</v>
      </c>
      <c r="C240" s="63" t="s">
        <v>2219</v>
      </c>
      <c r="D240" s="64">
        <v>1</v>
      </c>
      <c r="E240" s="65"/>
      <c r="F240" s="66">
        <v>100</v>
      </c>
      <c r="G240" s="63"/>
      <c r="H240" s="67"/>
      <c r="I240" s="68"/>
      <c r="J240" s="68"/>
      <c r="K240" s="34" t="s">
        <v>64</v>
      </c>
      <c r="L240" s="75">
        <v>240</v>
      </c>
      <c r="M240" s="75"/>
      <c r="N240" s="70"/>
      <c r="O240" s="77" t="s">
        <v>180</v>
      </c>
      <c r="P240" s="79">
        <v>41123.693333333336</v>
      </c>
      <c r="Q240" s="77" t="s">
        <v>468</v>
      </c>
      <c r="R240" s="77"/>
      <c r="S240" s="77"/>
      <c r="T240" s="79">
        <v>41123.693333333336</v>
      </c>
      <c r="U240" s="81" t="s">
        <v>791</v>
      </c>
      <c r="V240" s="77"/>
      <c r="W240" s="77"/>
      <c r="X240" s="84" t="s">
        <v>1088</v>
      </c>
      <c r="Y240" s="82">
        <v>1</v>
      </c>
    </row>
    <row r="241" spans="1:25" x14ac:dyDescent="0.25">
      <c r="A241" s="62" t="s">
        <v>279</v>
      </c>
      <c r="B241" s="62" t="s">
        <v>278</v>
      </c>
      <c r="C241" s="63" t="s">
        <v>2222</v>
      </c>
      <c r="D241" s="64">
        <v>1</v>
      </c>
      <c r="E241" s="65"/>
      <c r="F241" s="66">
        <v>100</v>
      </c>
      <c r="G241" s="63"/>
      <c r="H241" s="67"/>
      <c r="I241" s="68"/>
      <c r="J241" s="68"/>
      <c r="K241" s="34" t="s">
        <v>64</v>
      </c>
      <c r="L241" s="75">
        <v>241</v>
      </c>
      <c r="M241" s="75"/>
      <c r="N241" s="70"/>
      <c r="O241" s="77" t="s">
        <v>382</v>
      </c>
      <c r="P241" s="79">
        <v>41124.25708333333</v>
      </c>
      <c r="Q241" s="77"/>
      <c r="R241" s="77"/>
      <c r="S241" s="77"/>
      <c r="T241" s="77"/>
      <c r="U241" s="77"/>
      <c r="V241" s="77"/>
      <c r="W241" s="77"/>
      <c r="X241" s="77"/>
      <c r="Y241">
        <v>1</v>
      </c>
    </row>
    <row r="242" spans="1:25" x14ac:dyDescent="0.25">
      <c r="A242" s="62" t="s">
        <v>280</v>
      </c>
      <c r="B242" s="62" t="s">
        <v>278</v>
      </c>
      <c r="C242" s="63" t="s">
        <v>2222</v>
      </c>
      <c r="D242" s="64">
        <v>1</v>
      </c>
      <c r="E242" s="65"/>
      <c r="F242" s="66">
        <v>100</v>
      </c>
      <c r="G242" s="63"/>
      <c r="H242" s="67"/>
      <c r="I242" s="68"/>
      <c r="J242" s="68"/>
      <c r="K242" s="34" t="s">
        <v>65</v>
      </c>
      <c r="L242" s="75">
        <v>242</v>
      </c>
      <c r="M242" s="75"/>
      <c r="N242" s="70"/>
      <c r="O242" s="77" t="s">
        <v>382</v>
      </c>
      <c r="P242" s="79">
        <v>41124.25708333333</v>
      </c>
      <c r="Q242" s="77"/>
      <c r="R242" s="77"/>
      <c r="S242" s="77"/>
      <c r="T242" s="77"/>
      <c r="U242" s="77"/>
      <c r="V242" s="77"/>
      <c r="W242" s="77"/>
      <c r="X242" s="77"/>
      <c r="Y242">
        <v>1</v>
      </c>
    </row>
    <row r="243" spans="1:25" x14ac:dyDescent="0.25">
      <c r="A243" s="62" t="s">
        <v>278</v>
      </c>
      <c r="B243" s="62" t="s">
        <v>289</v>
      </c>
      <c r="C243" s="63" t="s">
        <v>2222</v>
      </c>
      <c r="D243" s="64">
        <v>1</v>
      </c>
      <c r="E243" s="65"/>
      <c r="F243" s="66">
        <v>100</v>
      </c>
      <c r="G243" s="63"/>
      <c r="H243" s="67"/>
      <c r="I243" s="68"/>
      <c r="J243" s="68"/>
      <c r="K243" s="34" t="s">
        <v>64</v>
      </c>
      <c r="L243" s="75">
        <v>243</v>
      </c>
      <c r="M243" s="75"/>
      <c r="N243" s="70"/>
      <c r="O243" s="77" t="s">
        <v>382</v>
      </c>
      <c r="P243" s="79">
        <v>41124.25708333333</v>
      </c>
      <c r="Q243" s="77"/>
      <c r="R243" s="77"/>
      <c r="S243" s="77"/>
      <c r="T243" s="77"/>
      <c r="U243" s="77"/>
      <c r="V243" s="77"/>
      <c r="W243" s="77"/>
      <c r="X243" s="77"/>
      <c r="Y243">
        <v>1</v>
      </c>
    </row>
    <row r="244" spans="1:25" x14ac:dyDescent="0.25">
      <c r="A244" s="62" t="s">
        <v>278</v>
      </c>
      <c r="B244" s="62" t="s">
        <v>280</v>
      </c>
      <c r="C244" s="63" t="s">
        <v>2222</v>
      </c>
      <c r="D244" s="64">
        <v>1</v>
      </c>
      <c r="E244" s="65"/>
      <c r="F244" s="66">
        <v>100</v>
      </c>
      <c r="G244" s="63"/>
      <c r="H244" s="67"/>
      <c r="I244" s="68"/>
      <c r="J244" s="68"/>
      <c r="K244" s="34" t="s">
        <v>65</v>
      </c>
      <c r="L244" s="75">
        <v>244</v>
      </c>
      <c r="M244" s="75"/>
      <c r="N244" s="70"/>
      <c r="O244" s="77" t="s">
        <v>382</v>
      </c>
      <c r="P244" s="79">
        <v>41124.25708333333</v>
      </c>
      <c r="Q244" s="77"/>
      <c r="R244" s="77"/>
      <c r="S244" s="77"/>
      <c r="T244" s="77"/>
      <c r="U244" s="77"/>
      <c r="V244" s="77"/>
      <c r="W244" s="77"/>
      <c r="X244" s="77"/>
      <c r="Y244">
        <v>1</v>
      </c>
    </row>
    <row r="245" spans="1:25" x14ac:dyDescent="0.25">
      <c r="A245" s="62" t="s">
        <v>281</v>
      </c>
      <c r="B245" s="62" t="s">
        <v>278</v>
      </c>
      <c r="C245" s="63" t="s">
        <v>2222</v>
      </c>
      <c r="D245" s="64">
        <v>1</v>
      </c>
      <c r="E245" s="65"/>
      <c r="F245" s="66">
        <v>100</v>
      </c>
      <c r="G245" s="63"/>
      <c r="H245" s="67"/>
      <c r="I245" s="68"/>
      <c r="J245" s="68"/>
      <c r="K245" s="34" t="s">
        <v>64</v>
      </c>
      <c r="L245" s="75">
        <v>245</v>
      </c>
      <c r="M245" s="75"/>
      <c r="N245" s="70"/>
      <c r="O245" s="77" t="s">
        <v>382</v>
      </c>
      <c r="P245" s="79">
        <v>41124.25708333333</v>
      </c>
      <c r="Q245" s="77"/>
      <c r="R245" s="77"/>
      <c r="S245" s="77"/>
      <c r="T245" s="77"/>
      <c r="U245" s="77"/>
      <c r="V245" s="77"/>
      <c r="W245" s="77"/>
      <c r="X245" s="77"/>
      <c r="Y245">
        <v>1</v>
      </c>
    </row>
    <row r="246" spans="1:25" x14ac:dyDescent="0.25">
      <c r="A246" s="62" t="s">
        <v>282</v>
      </c>
      <c r="B246" s="62" t="s">
        <v>278</v>
      </c>
      <c r="C246" s="63" t="s">
        <v>2222</v>
      </c>
      <c r="D246" s="64">
        <v>1</v>
      </c>
      <c r="E246" s="65"/>
      <c r="F246" s="66">
        <v>100</v>
      </c>
      <c r="G246" s="63"/>
      <c r="H246" s="67"/>
      <c r="I246" s="68"/>
      <c r="J246" s="68"/>
      <c r="K246" s="34" t="s">
        <v>64</v>
      </c>
      <c r="L246" s="75">
        <v>246</v>
      </c>
      <c r="M246" s="75"/>
      <c r="N246" s="70"/>
      <c r="O246" s="77" t="s">
        <v>382</v>
      </c>
      <c r="P246" s="79">
        <v>41124.25708333333</v>
      </c>
      <c r="Q246" s="77"/>
      <c r="R246" s="77"/>
      <c r="S246" s="77"/>
      <c r="T246" s="77"/>
      <c r="U246" s="77"/>
      <c r="V246" s="77"/>
      <c r="W246" s="77"/>
      <c r="X246" s="77"/>
      <c r="Y246">
        <v>1</v>
      </c>
    </row>
    <row r="247" spans="1:25" x14ac:dyDescent="0.25">
      <c r="A247" s="62" t="s">
        <v>283</v>
      </c>
      <c r="B247" s="62" t="s">
        <v>283</v>
      </c>
      <c r="C247" s="63" t="s">
        <v>2219</v>
      </c>
      <c r="D247" s="64">
        <v>1</v>
      </c>
      <c r="E247" s="65"/>
      <c r="F247" s="66">
        <v>100</v>
      </c>
      <c r="G247" s="63"/>
      <c r="H247" s="67"/>
      <c r="I247" s="68"/>
      <c r="J247" s="68"/>
      <c r="K247" s="34" t="s">
        <v>64</v>
      </c>
      <c r="L247" s="75">
        <v>247</v>
      </c>
      <c r="M247" s="75"/>
      <c r="N247" s="70"/>
      <c r="O247" s="77" t="s">
        <v>180</v>
      </c>
      <c r="P247" s="79">
        <v>41123.901550925926</v>
      </c>
      <c r="Q247" s="77" t="s">
        <v>488</v>
      </c>
      <c r="R247" s="77"/>
      <c r="S247" s="77"/>
      <c r="T247" s="79">
        <v>41123.901550925926</v>
      </c>
      <c r="U247" s="81" t="s">
        <v>792</v>
      </c>
      <c r="V247" s="77"/>
      <c r="W247" s="77"/>
      <c r="X247" s="84" t="s">
        <v>1089</v>
      </c>
      <c r="Y247" s="82">
        <v>1</v>
      </c>
    </row>
    <row r="248" spans="1:25" x14ac:dyDescent="0.25">
      <c r="A248" s="62" t="s">
        <v>283</v>
      </c>
      <c r="B248" s="62" t="s">
        <v>246</v>
      </c>
      <c r="C248" s="63" t="s">
        <v>2222</v>
      </c>
      <c r="D248" s="64">
        <v>1</v>
      </c>
      <c r="E248" s="65"/>
      <c r="F248" s="66">
        <v>100</v>
      </c>
      <c r="G248" s="63"/>
      <c r="H248" s="67"/>
      <c r="I248" s="68"/>
      <c r="J248" s="68"/>
      <c r="K248" s="34" t="s">
        <v>64</v>
      </c>
      <c r="L248" s="75">
        <v>248</v>
      </c>
      <c r="M248" s="75"/>
      <c r="N248" s="70"/>
      <c r="O248" s="77" t="s">
        <v>382</v>
      </c>
      <c r="P248" s="79">
        <v>41124.25708333333</v>
      </c>
      <c r="Q248" s="77"/>
      <c r="R248" s="77"/>
      <c r="S248" s="77"/>
      <c r="T248" s="77"/>
      <c r="U248" s="77"/>
      <c r="V248" s="77"/>
      <c r="W248" s="77"/>
      <c r="X248" s="77"/>
      <c r="Y248">
        <v>1</v>
      </c>
    </row>
    <row r="249" spans="1:25" x14ac:dyDescent="0.25">
      <c r="A249" s="62" t="s">
        <v>283</v>
      </c>
      <c r="B249" s="62" t="s">
        <v>287</v>
      </c>
      <c r="C249" s="63" t="s">
        <v>2222</v>
      </c>
      <c r="D249" s="64">
        <v>1</v>
      </c>
      <c r="E249" s="65"/>
      <c r="F249" s="66">
        <v>100</v>
      </c>
      <c r="G249" s="63"/>
      <c r="H249" s="67"/>
      <c r="I249" s="68"/>
      <c r="J249" s="68"/>
      <c r="K249" s="34" t="s">
        <v>64</v>
      </c>
      <c r="L249" s="75">
        <v>249</v>
      </c>
      <c r="M249" s="75"/>
      <c r="N249" s="70"/>
      <c r="O249" s="77" t="s">
        <v>382</v>
      </c>
      <c r="P249" s="79">
        <v>41124.25708333333</v>
      </c>
      <c r="Q249" s="77"/>
      <c r="R249" s="77"/>
      <c r="S249" s="77"/>
      <c r="T249" s="77"/>
      <c r="U249" s="77"/>
      <c r="V249" s="77"/>
      <c r="W249" s="77"/>
      <c r="X249" s="77"/>
      <c r="Y249">
        <v>1</v>
      </c>
    </row>
    <row r="250" spans="1:25" x14ac:dyDescent="0.25">
      <c r="A250" s="62" t="s">
        <v>282</v>
      </c>
      <c r="B250" s="62" t="s">
        <v>282</v>
      </c>
      <c r="C250" s="63" t="s">
        <v>2219</v>
      </c>
      <c r="D250" s="64">
        <v>1.5</v>
      </c>
      <c r="E250" s="65"/>
      <c r="F250" s="66">
        <v>97.777777777777771</v>
      </c>
      <c r="G250" s="63"/>
      <c r="H250" s="67"/>
      <c r="I250" s="68"/>
      <c r="J250" s="68"/>
      <c r="K250" s="34" t="s">
        <v>64</v>
      </c>
      <c r="L250" s="75">
        <v>250</v>
      </c>
      <c r="M250" s="75"/>
      <c r="N250" s="70"/>
      <c r="O250" s="77" t="s">
        <v>180</v>
      </c>
      <c r="P250" s="79">
        <v>41123.899884259263</v>
      </c>
      <c r="Q250" s="77" t="s">
        <v>489</v>
      </c>
      <c r="R250" s="77"/>
      <c r="S250" s="77"/>
      <c r="T250" s="79">
        <v>41123.899884259263</v>
      </c>
      <c r="U250" s="81" t="s">
        <v>793</v>
      </c>
      <c r="V250" s="77"/>
      <c r="W250" s="77"/>
      <c r="X250" s="84" t="s">
        <v>1090</v>
      </c>
      <c r="Y250" s="82">
        <v>2</v>
      </c>
    </row>
    <row r="251" spans="1:25" x14ac:dyDescent="0.25">
      <c r="A251" s="62" t="s">
        <v>282</v>
      </c>
      <c r="B251" s="62" t="s">
        <v>282</v>
      </c>
      <c r="C251" s="63" t="s">
        <v>2219</v>
      </c>
      <c r="D251" s="64">
        <v>1.5</v>
      </c>
      <c r="E251" s="65"/>
      <c r="F251" s="66">
        <v>97.777777777777771</v>
      </c>
      <c r="G251" s="63"/>
      <c r="H251" s="67"/>
      <c r="I251" s="68"/>
      <c r="J251" s="68"/>
      <c r="K251" s="34" t="s">
        <v>64</v>
      </c>
      <c r="L251" s="75">
        <v>251</v>
      </c>
      <c r="M251" s="75"/>
      <c r="N251" s="70"/>
      <c r="O251" s="77" t="s">
        <v>180</v>
      </c>
      <c r="P251" s="79">
        <v>41123.901099537034</v>
      </c>
      <c r="Q251" s="77" t="s">
        <v>490</v>
      </c>
      <c r="R251" s="77"/>
      <c r="S251" s="77"/>
      <c r="T251" s="79">
        <v>41123.901099537034</v>
      </c>
      <c r="U251" s="81" t="s">
        <v>794</v>
      </c>
      <c r="V251" s="77"/>
      <c r="W251" s="77"/>
      <c r="X251" s="84" t="s">
        <v>1091</v>
      </c>
      <c r="Y251" s="82">
        <v>2</v>
      </c>
    </row>
    <row r="252" spans="1:25" x14ac:dyDescent="0.25">
      <c r="A252" s="62" t="s">
        <v>284</v>
      </c>
      <c r="B252" s="62" t="s">
        <v>282</v>
      </c>
      <c r="C252" s="63" t="s">
        <v>2221</v>
      </c>
      <c r="D252" s="64">
        <v>1</v>
      </c>
      <c r="E252" s="65"/>
      <c r="F252" s="66">
        <v>100</v>
      </c>
      <c r="G252" s="63"/>
      <c r="H252" s="67"/>
      <c r="I252" s="68"/>
      <c r="J252" s="68"/>
      <c r="K252" s="34" t="s">
        <v>64</v>
      </c>
      <c r="L252" s="75">
        <v>252</v>
      </c>
      <c r="M252" s="75"/>
      <c r="N252" s="70"/>
      <c r="O252" s="77" t="s">
        <v>381</v>
      </c>
      <c r="P252" s="79">
        <v>41123.902013888888</v>
      </c>
      <c r="Q252" s="77" t="s">
        <v>491</v>
      </c>
      <c r="R252" s="77"/>
      <c r="S252" s="77"/>
      <c r="T252" s="79">
        <v>41123.902013888888</v>
      </c>
      <c r="U252" s="81" t="s">
        <v>795</v>
      </c>
      <c r="V252" s="77"/>
      <c r="W252" s="77"/>
      <c r="X252" s="84" t="s">
        <v>1092</v>
      </c>
      <c r="Y252" s="82">
        <v>1</v>
      </c>
    </row>
    <row r="253" spans="1:25" x14ac:dyDescent="0.25">
      <c r="A253" s="62" t="s">
        <v>285</v>
      </c>
      <c r="B253" s="62" t="s">
        <v>282</v>
      </c>
      <c r="C253" s="63" t="s">
        <v>2222</v>
      </c>
      <c r="D253" s="64">
        <v>1</v>
      </c>
      <c r="E253" s="65"/>
      <c r="F253" s="66">
        <v>100</v>
      </c>
      <c r="G253" s="63"/>
      <c r="H253" s="67"/>
      <c r="I253" s="68"/>
      <c r="J253" s="68"/>
      <c r="K253" s="34" t="s">
        <v>65</v>
      </c>
      <c r="L253" s="75">
        <v>253</v>
      </c>
      <c r="M253" s="75"/>
      <c r="N253" s="70"/>
      <c r="O253" s="77" t="s">
        <v>382</v>
      </c>
      <c r="P253" s="79">
        <v>41124.25708333333</v>
      </c>
      <c r="Q253" s="77"/>
      <c r="R253" s="77"/>
      <c r="S253" s="77"/>
      <c r="T253" s="77"/>
      <c r="U253" s="77"/>
      <c r="V253" s="77"/>
      <c r="W253" s="77"/>
      <c r="X253" s="77"/>
      <c r="Y253">
        <v>1</v>
      </c>
    </row>
    <row r="254" spans="1:25" x14ac:dyDescent="0.25">
      <c r="A254" s="62" t="s">
        <v>286</v>
      </c>
      <c r="B254" s="62" t="s">
        <v>282</v>
      </c>
      <c r="C254" s="63" t="s">
        <v>2222</v>
      </c>
      <c r="D254" s="64">
        <v>1</v>
      </c>
      <c r="E254" s="65"/>
      <c r="F254" s="66">
        <v>100</v>
      </c>
      <c r="G254" s="63"/>
      <c r="H254" s="67"/>
      <c r="I254" s="68"/>
      <c r="J254" s="68"/>
      <c r="K254" s="34" t="s">
        <v>65</v>
      </c>
      <c r="L254" s="75">
        <v>254</v>
      </c>
      <c r="M254" s="75"/>
      <c r="N254" s="70"/>
      <c r="O254" s="77" t="s">
        <v>382</v>
      </c>
      <c r="P254" s="79">
        <v>41124.25708333333</v>
      </c>
      <c r="Q254" s="77"/>
      <c r="R254" s="77"/>
      <c r="S254" s="77"/>
      <c r="T254" s="77"/>
      <c r="U254" s="77"/>
      <c r="V254" s="77"/>
      <c r="W254" s="77"/>
      <c r="X254" s="77"/>
      <c r="Y254">
        <v>1</v>
      </c>
    </row>
    <row r="255" spans="1:25" x14ac:dyDescent="0.25">
      <c r="A255" s="62" t="s">
        <v>282</v>
      </c>
      <c r="B255" s="62" t="s">
        <v>285</v>
      </c>
      <c r="C255" s="63" t="s">
        <v>2222</v>
      </c>
      <c r="D255" s="64">
        <v>1</v>
      </c>
      <c r="E255" s="65"/>
      <c r="F255" s="66">
        <v>100</v>
      </c>
      <c r="G255" s="63"/>
      <c r="H255" s="67"/>
      <c r="I255" s="68"/>
      <c r="J255" s="68"/>
      <c r="K255" s="34" t="s">
        <v>65</v>
      </c>
      <c r="L255" s="75">
        <v>255</v>
      </c>
      <c r="M255" s="75"/>
      <c r="N255" s="70"/>
      <c r="O255" s="77" t="s">
        <v>382</v>
      </c>
      <c r="P255" s="79">
        <v>41124.25708333333</v>
      </c>
      <c r="Q255" s="77"/>
      <c r="R255" s="77"/>
      <c r="S255" s="77"/>
      <c r="T255" s="77"/>
      <c r="U255" s="77"/>
      <c r="V255" s="77"/>
      <c r="W255" s="77"/>
      <c r="X255" s="77"/>
      <c r="Y255">
        <v>1</v>
      </c>
    </row>
    <row r="256" spans="1:25" x14ac:dyDescent="0.25">
      <c r="A256" s="62" t="s">
        <v>282</v>
      </c>
      <c r="B256" s="62" t="s">
        <v>246</v>
      </c>
      <c r="C256" s="63" t="s">
        <v>2222</v>
      </c>
      <c r="D256" s="64">
        <v>1</v>
      </c>
      <c r="E256" s="65"/>
      <c r="F256" s="66">
        <v>100</v>
      </c>
      <c r="G256" s="63"/>
      <c r="H256" s="67"/>
      <c r="I256" s="68"/>
      <c r="J256" s="68"/>
      <c r="K256" s="34" t="s">
        <v>64</v>
      </c>
      <c r="L256" s="75">
        <v>256</v>
      </c>
      <c r="M256" s="75"/>
      <c r="N256" s="70"/>
      <c r="O256" s="77" t="s">
        <v>382</v>
      </c>
      <c r="P256" s="79">
        <v>41124.25708333333</v>
      </c>
      <c r="Q256" s="77"/>
      <c r="R256" s="77"/>
      <c r="S256" s="77"/>
      <c r="T256" s="77"/>
      <c r="U256" s="77"/>
      <c r="V256" s="77"/>
      <c r="W256" s="77"/>
      <c r="X256" s="77"/>
      <c r="Y256">
        <v>1</v>
      </c>
    </row>
    <row r="257" spans="1:25" x14ac:dyDescent="0.25">
      <c r="A257" s="62" t="s">
        <v>282</v>
      </c>
      <c r="B257" s="62" t="s">
        <v>368</v>
      </c>
      <c r="C257" s="63" t="s">
        <v>2222</v>
      </c>
      <c r="D257" s="64">
        <v>1</v>
      </c>
      <c r="E257" s="65"/>
      <c r="F257" s="66">
        <v>100</v>
      </c>
      <c r="G257" s="63"/>
      <c r="H257" s="67"/>
      <c r="I257" s="68"/>
      <c r="J257" s="68"/>
      <c r="K257" s="34" t="s">
        <v>64</v>
      </c>
      <c r="L257" s="75">
        <v>257</v>
      </c>
      <c r="M257" s="75"/>
      <c r="N257" s="70"/>
      <c r="O257" s="77" t="s">
        <v>382</v>
      </c>
      <c r="P257" s="79">
        <v>41124.25708333333</v>
      </c>
      <c r="Q257" s="77"/>
      <c r="R257" s="77"/>
      <c r="S257" s="77"/>
      <c r="T257" s="77"/>
      <c r="U257" s="77"/>
      <c r="V257" s="77"/>
      <c r="W257" s="77"/>
      <c r="X257" s="77"/>
      <c r="Y257">
        <v>1</v>
      </c>
    </row>
    <row r="258" spans="1:25" x14ac:dyDescent="0.25">
      <c r="A258" s="62" t="s">
        <v>282</v>
      </c>
      <c r="B258" s="62" t="s">
        <v>366</v>
      </c>
      <c r="C258" s="63" t="s">
        <v>2222</v>
      </c>
      <c r="D258" s="64">
        <v>1</v>
      </c>
      <c r="E258" s="65"/>
      <c r="F258" s="66">
        <v>100</v>
      </c>
      <c r="G258" s="63"/>
      <c r="H258" s="67"/>
      <c r="I258" s="68"/>
      <c r="J258" s="68"/>
      <c r="K258" s="34" t="s">
        <v>64</v>
      </c>
      <c r="L258" s="75">
        <v>258</v>
      </c>
      <c r="M258" s="75"/>
      <c r="N258" s="70"/>
      <c r="O258" s="77" t="s">
        <v>382</v>
      </c>
      <c r="P258" s="79">
        <v>41124.25708333333</v>
      </c>
      <c r="Q258" s="77"/>
      <c r="R258" s="77"/>
      <c r="S258" s="77"/>
      <c r="T258" s="77"/>
      <c r="U258" s="77"/>
      <c r="V258" s="77"/>
      <c r="W258" s="77"/>
      <c r="X258" s="77"/>
      <c r="Y258">
        <v>1</v>
      </c>
    </row>
    <row r="259" spans="1:25" x14ac:dyDescent="0.25">
      <c r="A259" s="62" t="s">
        <v>282</v>
      </c>
      <c r="B259" s="62" t="s">
        <v>287</v>
      </c>
      <c r="C259" s="63" t="s">
        <v>2222</v>
      </c>
      <c r="D259" s="64">
        <v>1</v>
      </c>
      <c r="E259" s="65"/>
      <c r="F259" s="66">
        <v>100</v>
      </c>
      <c r="G259" s="63"/>
      <c r="H259" s="67"/>
      <c r="I259" s="68"/>
      <c r="J259" s="68"/>
      <c r="K259" s="34" t="s">
        <v>65</v>
      </c>
      <c r="L259" s="75">
        <v>259</v>
      </c>
      <c r="M259" s="75"/>
      <c r="N259" s="70"/>
      <c r="O259" s="77" t="s">
        <v>382</v>
      </c>
      <c r="P259" s="79">
        <v>41124.25708333333</v>
      </c>
      <c r="Q259" s="77"/>
      <c r="R259" s="77"/>
      <c r="S259" s="77"/>
      <c r="T259" s="77"/>
      <c r="U259" s="77"/>
      <c r="V259" s="77"/>
      <c r="W259" s="77"/>
      <c r="X259" s="77"/>
      <c r="Y259">
        <v>1</v>
      </c>
    </row>
    <row r="260" spans="1:25" x14ac:dyDescent="0.25">
      <c r="A260" s="62" t="s">
        <v>282</v>
      </c>
      <c r="B260" s="62" t="s">
        <v>286</v>
      </c>
      <c r="C260" s="63" t="s">
        <v>2222</v>
      </c>
      <c r="D260" s="64">
        <v>1</v>
      </c>
      <c r="E260" s="65"/>
      <c r="F260" s="66">
        <v>100</v>
      </c>
      <c r="G260" s="63"/>
      <c r="H260" s="67"/>
      <c r="I260" s="68"/>
      <c r="J260" s="68"/>
      <c r="K260" s="34" t="s">
        <v>65</v>
      </c>
      <c r="L260" s="75">
        <v>260</v>
      </c>
      <c r="M260" s="75"/>
      <c r="N260" s="70"/>
      <c r="O260" s="77" t="s">
        <v>382</v>
      </c>
      <c r="P260" s="79">
        <v>41124.25708333333</v>
      </c>
      <c r="Q260" s="77"/>
      <c r="R260" s="77"/>
      <c r="S260" s="77"/>
      <c r="T260" s="77"/>
      <c r="U260" s="77"/>
      <c r="V260" s="77"/>
      <c r="W260" s="77"/>
      <c r="X260" s="77"/>
      <c r="Y260">
        <v>1</v>
      </c>
    </row>
    <row r="261" spans="1:25" x14ac:dyDescent="0.25">
      <c r="A261" s="62" t="s">
        <v>282</v>
      </c>
      <c r="B261" s="62" t="s">
        <v>376</v>
      </c>
      <c r="C261" s="63" t="s">
        <v>2222</v>
      </c>
      <c r="D261" s="64">
        <v>1</v>
      </c>
      <c r="E261" s="65"/>
      <c r="F261" s="66">
        <v>100</v>
      </c>
      <c r="G261" s="63"/>
      <c r="H261" s="67"/>
      <c r="I261" s="68"/>
      <c r="J261" s="68"/>
      <c r="K261" s="34" t="s">
        <v>64</v>
      </c>
      <c r="L261" s="75">
        <v>261</v>
      </c>
      <c r="M261" s="75"/>
      <c r="N261" s="70"/>
      <c r="O261" s="77" t="s">
        <v>382</v>
      </c>
      <c r="P261" s="79">
        <v>41124.25708333333</v>
      </c>
      <c r="Q261" s="77"/>
      <c r="R261" s="77"/>
      <c r="S261" s="77"/>
      <c r="T261" s="77"/>
      <c r="U261" s="77"/>
      <c r="V261" s="77"/>
      <c r="W261" s="77"/>
      <c r="X261" s="77"/>
      <c r="Y261">
        <v>1</v>
      </c>
    </row>
    <row r="262" spans="1:25" x14ac:dyDescent="0.25">
      <c r="A262" s="62" t="s">
        <v>282</v>
      </c>
      <c r="B262" s="62" t="s">
        <v>322</v>
      </c>
      <c r="C262" s="63" t="s">
        <v>2222</v>
      </c>
      <c r="D262" s="64">
        <v>1</v>
      </c>
      <c r="E262" s="65"/>
      <c r="F262" s="66">
        <v>100</v>
      </c>
      <c r="G262" s="63"/>
      <c r="H262" s="67"/>
      <c r="I262" s="68"/>
      <c r="J262" s="68"/>
      <c r="K262" s="34" t="s">
        <v>64</v>
      </c>
      <c r="L262" s="75">
        <v>262</v>
      </c>
      <c r="M262" s="75"/>
      <c r="N262" s="70"/>
      <c r="O262" s="77" t="s">
        <v>382</v>
      </c>
      <c r="P262" s="79">
        <v>41124.25708333333</v>
      </c>
      <c r="Q262" s="77"/>
      <c r="R262" s="77"/>
      <c r="S262" s="77"/>
      <c r="T262" s="77"/>
      <c r="U262" s="77"/>
      <c r="V262" s="77"/>
      <c r="W262" s="77"/>
      <c r="X262" s="77"/>
      <c r="Y262">
        <v>1</v>
      </c>
    </row>
    <row r="263" spans="1:25" x14ac:dyDescent="0.25">
      <c r="A263" s="62" t="s">
        <v>287</v>
      </c>
      <c r="B263" s="62" t="s">
        <v>282</v>
      </c>
      <c r="C263" s="63" t="s">
        <v>2222</v>
      </c>
      <c r="D263" s="64">
        <v>1</v>
      </c>
      <c r="E263" s="65"/>
      <c r="F263" s="66">
        <v>100</v>
      </c>
      <c r="G263" s="63"/>
      <c r="H263" s="67"/>
      <c r="I263" s="68"/>
      <c r="J263" s="68"/>
      <c r="K263" s="34" t="s">
        <v>65</v>
      </c>
      <c r="L263" s="75">
        <v>263</v>
      </c>
      <c r="M263" s="75"/>
      <c r="N263" s="70"/>
      <c r="O263" s="77" t="s">
        <v>382</v>
      </c>
      <c r="P263" s="79">
        <v>41124.25708333333</v>
      </c>
      <c r="Q263" s="77"/>
      <c r="R263" s="77"/>
      <c r="S263" s="77"/>
      <c r="T263" s="77"/>
      <c r="U263" s="77"/>
      <c r="V263" s="77"/>
      <c r="W263" s="77"/>
      <c r="X263" s="77"/>
      <c r="Y263">
        <v>1</v>
      </c>
    </row>
    <row r="264" spans="1:25" x14ac:dyDescent="0.25">
      <c r="A264" s="62" t="s">
        <v>284</v>
      </c>
      <c r="B264" s="62" t="s">
        <v>282</v>
      </c>
      <c r="C264" s="63" t="s">
        <v>2222</v>
      </c>
      <c r="D264" s="64">
        <v>1</v>
      </c>
      <c r="E264" s="65"/>
      <c r="F264" s="66">
        <v>100</v>
      </c>
      <c r="G264" s="63"/>
      <c r="H264" s="67"/>
      <c r="I264" s="68"/>
      <c r="J264" s="68"/>
      <c r="K264" s="34" t="s">
        <v>64</v>
      </c>
      <c r="L264" s="75">
        <v>264</v>
      </c>
      <c r="M264" s="75"/>
      <c r="N264" s="70"/>
      <c r="O264" s="77" t="s">
        <v>382</v>
      </c>
      <c r="P264" s="79">
        <v>41124.25708333333</v>
      </c>
      <c r="Q264" s="77"/>
      <c r="R264" s="77"/>
      <c r="S264" s="77"/>
      <c r="T264" s="77"/>
      <c r="U264" s="77"/>
      <c r="V264" s="77"/>
      <c r="W264" s="77"/>
      <c r="X264" s="77"/>
      <c r="Y264">
        <v>1</v>
      </c>
    </row>
    <row r="265" spans="1:25" x14ac:dyDescent="0.25">
      <c r="A265" s="62" t="s">
        <v>288</v>
      </c>
      <c r="B265" s="62" t="s">
        <v>288</v>
      </c>
      <c r="C265" s="63" t="s">
        <v>2219</v>
      </c>
      <c r="D265" s="64">
        <v>1</v>
      </c>
      <c r="E265" s="65"/>
      <c r="F265" s="66">
        <v>100</v>
      </c>
      <c r="G265" s="63"/>
      <c r="H265" s="67"/>
      <c r="I265" s="68"/>
      <c r="J265" s="68"/>
      <c r="K265" s="34" t="s">
        <v>64</v>
      </c>
      <c r="L265" s="75">
        <v>265</v>
      </c>
      <c r="M265" s="75"/>
      <c r="N265" s="70"/>
      <c r="O265" s="77" t="s">
        <v>180</v>
      </c>
      <c r="P265" s="79">
        <v>41123.909432870372</v>
      </c>
      <c r="Q265" s="77" t="s">
        <v>492</v>
      </c>
      <c r="R265" s="81" t="s">
        <v>619</v>
      </c>
      <c r="S265" s="77"/>
      <c r="T265" s="79">
        <v>41123.909432870372</v>
      </c>
      <c r="U265" s="81" t="s">
        <v>796</v>
      </c>
      <c r="V265" s="77"/>
      <c r="W265" s="77"/>
      <c r="X265" s="84" t="s">
        <v>1093</v>
      </c>
      <c r="Y265" s="82">
        <v>1</v>
      </c>
    </row>
    <row r="266" spans="1:25" x14ac:dyDescent="0.25">
      <c r="A266" s="62" t="s">
        <v>288</v>
      </c>
      <c r="B266" s="62" t="s">
        <v>246</v>
      </c>
      <c r="C266" s="63" t="s">
        <v>2222</v>
      </c>
      <c r="D266" s="64">
        <v>1</v>
      </c>
      <c r="E266" s="65"/>
      <c r="F266" s="66">
        <v>100</v>
      </c>
      <c r="G266" s="63"/>
      <c r="H266" s="67"/>
      <c r="I266" s="68"/>
      <c r="J266" s="68"/>
      <c r="K266" s="34" t="s">
        <v>64</v>
      </c>
      <c r="L266" s="75">
        <v>266</v>
      </c>
      <c r="M266" s="75"/>
      <c r="N266" s="70"/>
      <c r="O266" s="77" t="s">
        <v>382</v>
      </c>
      <c r="P266" s="79">
        <v>41124.25708333333</v>
      </c>
      <c r="Q266" s="77"/>
      <c r="R266" s="77"/>
      <c r="S266" s="77"/>
      <c r="T266" s="77"/>
      <c r="U266" s="77"/>
      <c r="V266" s="77"/>
      <c r="W266" s="77"/>
      <c r="X266" s="77"/>
      <c r="Y266">
        <v>1</v>
      </c>
    </row>
    <row r="267" spans="1:25" x14ac:dyDescent="0.25">
      <c r="A267" s="62" t="s">
        <v>289</v>
      </c>
      <c r="B267" s="62" t="s">
        <v>289</v>
      </c>
      <c r="C267" s="63" t="s">
        <v>2219</v>
      </c>
      <c r="D267" s="64">
        <v>1</v>
      </c>
      <c r="E267" s="65"/>
      <c r="F267" s="66">
        <v>100</v>
      </c>
      <c r="G267" s="63"/>
      <c r="H267" s="67"/>
      <c r="I267" s="68"/>
      <c r="J267" s="68"/>
      <c r="K267" s="34" t="s">
        <v>64</v>
      </c>
      <c r="L267" s="75">
        <v>267</v>
      </c>
      <c r="M267" s="75"/>
      <c r="N267" s="70"/>
      <c r="O267" s="77" t="s">
        <v>180</v>
      </c>
      <c r="P267" s="79">
        <v>41123.893773148149</v>
      </c>
      <c r="Q267" s="77" t="s">
        <v>493</v>
      </c>
      <c r="R267" s="81" t="s">
        <v>620</v>
      </c>
      <c r="S267" s="77"/>
      <c r="T267" s="79">
        <v>41123.893773148149</v>
      </c>
      <c r="U267" s="81" t="s">
        <v>797</v>
      </c>
      <c r="V267" s="77"/>
      <c r="W267" s="77"/>
      <c r="X267" s="84" t="s">
        <v>1094</v>
      </c>
      <c r="Y267" s="82">
        <v>1</v>
      </c>
    </row>
    <row r="268" spans="1:25" x14ac:dyDescent="0.25">
      <c r="A268" s="62" t="s">
        <v>290</v>
      </c>
      <c r="B268" s="62" t="s">
        <v>289</v>
      </c>
      <c r="C268" s="63" t="s">
        <v>2221</v>
      </c>
      <c r="D268" s="64">
        <v>1</v>
      </c>
      <c r="E268" s="65"/>
      <c r="F268" s="66">
        <v>100</v>
      </c>
      <c r="G268" s="63"/>
      <c r="H268" s="67"/>
      <c r="I268" s="68"/>
      <c r="J268" s="68"/>
      <c r="K268" s="34" t="s">
        <v>64</v>
      </c>
      <c r="L268" s="75">
        <v>268</v>
      </c>
      <c r="M268" s="75"/>
      <c r="N268" s="70"/>
      <c r="O268" s="77" t="s">
        <v>381</v>
      </c>
      <c r="P268" s="79">
        <v>41123.98133101852</v>
      </c>
      <c r="Q268" s="77" t="s">
        <v>494</v>
      </c>
      <c r="R268" s="81" t="s">
        <v>620</v>
      </c>
      <c r="S268" s="77"/>
      <c r="T268" s="79">
        <v>41123.98133101852</v>
      </c>
      <c r="U268" s="81" t="s">
        <v>798</v>
      </c>
      <c r="V268" s="77"/>
      <c r="W268" s="77"/>
      <c r="X268" s="84" t="s">
        <v>1095</v>
      </c>
      <c r="Y268" s="82">
        <v>1</v>
      </c>
    </row>
    <row r="269" spans="1:25" x14ac:dyDescent="0.25">
      <c r="A269" s="62" t="s">
        <v>290</v>
      </c>
      <c r="B269" s="62" t="s">
        <v>289</v>
      </c>
      <c r="C269" s="63" t="s">
        <v>2222</v>
      </c>
      <c r="D269" s="64">
        <v>1</v>
      </c>
      <c r="E269" s="65"/>
      <c r="F269" s="66">
        <v>100</v>
      </c>
      <c r="G269" s="63"/>
      <c r="H269" s="67"/>
      <c r="I269" s="68"/>
      <c r="J269" s="68"/>
      <c r="K269" s="34" t="s">
        <v>64</v>
      </c>
      <c r="L269" s="75">
        <v>269</v>
      </c>
      <c r="M269" s="75"/>
      <c r="N269" s="70"/>
      <c r="O269" s="77" t="s">
        <v>382</v>
      </c>
      <c r="P269" s="79">
        <v>41124.25708333333</v>
      </c>
      <c r="Q269" s="77"/>
      <c r="R269" s="77"/>
      <c r="S269" s="77"/>
      <c r="T269" s="77"/>
      <c r="U269" s="77"/>
      <c r="V269" s="77"/>
      <c r="W269" s="77"/>
      <c r="X269" s="77"/>
      <c r="Y269">
        <v>1</v>
      </c>
    </row>
    <row r="270" spans="1:25" x14ac:dyDescent="0.25">
      <c r="A270" s="62" t="s">
        <v>246</v>
      </c>
      <c r="B270" s="62" t="s">
        <v>290</v>
      </c>
      <c r="C270" s="63" t="s">
        <v>2222</v>
      </c>
      <c r="D270" s="64">
        <v>1</v>
      </c>
      <c r="E270" s="65"/>
      <c r="F270" s="66">
        <v>100</v>
      </c>
      <c r="G270" s="63"/>
      <c r="H270" s="67"/>
      <c r="I270" s="68"/>
      <c r="J270" s="68"/>
      <c r="K270" s="34" t="s">
        <v>65</v>
      </c>
      <c r="L270" s="75">
        <v>270</v>
      </c>
      <c r="M270" s="75"/>
      <c r="N270" s="70"/>
      <c r="O270" s="77" t="s">
        <v>382</v>
      </c>
      <c r="P270" s="79">
        <v>41124.25708333333</v>
      </c>
      <c r="Q270" s="77"/>
      <c r="R270" s="77"/>
      <c r="S270" s="77"/>
      <c r="T270" s="77"/>
      <c r="U270" s="77"/>
      <c r="V270" s="77"/>
      <c r="W270" s="77"/>
      <c r="X270" s="77"/>
      <c r="Y270">
        <v>1</v>
      </c>
    </row>
    <row r="271" spans="1:25" x14ac:dyDescent="0.25">
      <c r="A271" s="62" t="s">
        <v>290</v>
      </c>
      <c r="B271" s="62" t="s">
        <v>246</v>
      </c>
      <c r="C271" s="63" t="s">
        <v>2222</v>
      </c>
      <c r="D271" s="64">
        <v>1</v>
      </c>
      <c r="E271" s="65"/>
      <c r="F271" s="66">
        <v>100</v>
      </c>
      <c r="G271" s="63"/>
      <c r="H271" s="67"/>
      <c r="I271" s="68"/>
      <c r="J271" s="68"/>
      <c r="K271" s="34" t="s">
        <v>65</v>
      </c>
      <c r="L271" s="75">
        <v>271</v>
      </c>
      <c r="M271" s="75"/>
      <c r="N271" s="70"/>
      <c r="O271" s="77" t="s">
        <v>382</v>
      </c>
      <c r="P271" s="79">
        <v>41124.25708333333</v>
      </c>
      <c r="Q271" s="77"/>
      <c r="R271" s="77"/>
      <c r="S271" s="77"/>
      <c r="T271" s="77"/>
      <c r="U271" s="77"/>
      <c r="V271" s="77"/>
      <c r="W271" s="77"/>
      <c r="X271" s="77"/>
      <c r="Y271">
        <v>1</v>
      </c>
    </row>
    <row r="272" spans="1:25" x14ac:dyDescent="0.25">
      <c r="A272" s="62" t="s">
        <v>291</v>
      </c>
      <c r="B272" s="62" t="s">
        <v>293</v>
      </c>
      <c r="C272" s="63" t="s">
        <v>2221</v>
      </c>
      <c r="D272" s="64">
        <v>1</v>
      </c>
      <c r="E272" s="65"/>
      <c r="F272" s="66">
        <v>100</v>
      </c>
      <c r="G272" s="63"/>
      <c r="H272" s="67"/>
      <c r="I272" s="68"/>
      <c r="J272" s="68"/>
      <c r="K272" s="34" t="s">
        <v>65</v>
      </c>
      <c r="L272" s="75">
        <v>272</v>
      </c>
      <c r="M272" s="75"/>
      <c r="N272" s="70"/>
      <c r="O272" s="77" t="s">
        <v>381</v>
      </c>
      <c r="P272" s="79">
        <v>41123.699965277781</v>
      </c>
      <c r="Q272" s="77" t="s">
        <v>495</v>
      </c>
      <c r="R272" s="77"/>
      <c r="S272" s="77"/>
      <c r="T272" s="79">
        <v>41123.699965277781</v>
      </c>
      <c r="U272" s="81" t="s">
        <v>799</v>
      </c>
      <c r="V272" s="77"/>
      <c r="W272" s="77"/>
      <c r="X272" s="84" t="s">
        <v>1096</v>
      </c>
      <c r="Y272" s="82">
        <v>1</v>
      </c>
    </row>
    <row r="273" spans="1:25" x14ac:dyDescent="0.25">
      <c r="A273" s="62" t="s">
        <v>291</v>
      </c>
      <c r="B273" s="62" t="s">
        <v>293</v>
      </c>
      <c r="C273" s="63" t="s">
        <v>2222</v>
      </c>
      <c r="D273" s="64">
        <v>1</v>
      </c>
      <c r="E273" s="65"/>
      <c r="F273" s="66">
        <v>100</v>
      </c>
      <c r="G273" s="63"/>
      <c r="H273" s="67"/>
      <c r="I273" s="68"/>
      <c r="J273" s="68"/>
      <c r="K273" s="34" t="s">
        <v>65</v>
      </c>
      <c r="L273" s="75">
        <v>273</v>
      </c>
      <c r="M273" s="75"/>
      <c r="N273" s="70"/>
      <c r="O273" s="77" t="s">
        <v>382</v>
      </c>
      <c r="P273" s="79">
        <v>41124.25708333333</v>
      </c>
      <c r="Q273" s="77"/>
      <c r="R273" s="77"/>
      <c r="S273" s="77"/>
      <c r="T273" s="77"/>
      <c r="U273" s="77"/>
      <c r="V273" s="77"/>
      <c r="W273" s="77"/>
      <c r="X273" s="77"/>
      <c r="Y273">
        <v>1</v>
      </c>
    </row>
    <row r="274" spans="1:25" x14ac:dyDescent="0.25">
      <c r="A274" s="62" t="s">
        <v>291</v>
      </c>
      <c r="B274" s="62" t="s">
        <v>294</v>
      </c>
      <c r="C274" s="63" t="s">
        <v>2222</v>
      </c>
      <c r="D274" s="64">
        <v>1</v>
      </c>
      <c r="E274" s="65"/>
      <c r="F274" s="66">
        <v>100</v>
      </c>
      <c r="G274" s="63"/>
      <c r="H274" s="67"/>
      <c r="I274" s="68"/>
      <c r="J274" s="68"/>
      <c r="K274" s="34" t="s">
        <v>65</v>
      </c>
      <c r="L274" s="75">
        <v>274</v>
      </c>
      <c r="M274" s="75"/>
      <c r="N274" s="70"/>
      <c r="O274" s="77" t="s">
        <v>382</v>
      </c>
      <c r="P274" s="79">
        <v>41124.25708333333</v>
      </c>
      <c r="Q274" s="77"/>
      <c r="R274" s="77"/>
      <c r="S274" s="77"/>
      <c r="T274" s="77"/>
      <c r="U274" s="77"/>
      <c r="V274" s="77"/>
      <c r="W274" s="77"/>
      <c r="X274" s="77"/>
      <c r="Y274">
        <v>1</v>
      </c>
    </row>
    <row r="275" spans="1:25" x14ac:dyDescent="0.25">
      <c r="A275" s="62" t="s">
        <v>291</v>
      </c>
      <c r="B275" s="62" t="s">
        <v>292</v>
      </c>
      <c r="C275" s="63" t="s">
        <v>2222</v>
      </c>
      <c r="D275" s="64">
        <v>1</v>
      </c>
      <c r="E275" s="65"/>
      <c r="F275" s="66">
        <v>100</v>
      </c>
      <c r="G275" s="63"/>
      <c r="H275" s="67"/>
      <c r="I275" s="68"/>
      <c r="J275" s="68"/>
      <c r="K275" s="34" t="s">
        <v>65</v>
      </c>
      <c r="L275" s="75">
        <v>275</v>
      </c>
      <c r="M275" s="75"/>
      <c r="N275" s="70"/>
      <c r="O275" s="77" t="s">
        <v>382</v>
      </c>
      <c r="P275" s="79">
        <v>41124.25708333333</v>
      </c>
      <c r="Q275" s="77"/>
      <c r="R275" s="77"/>
      <c r="S275" s="77"/>
      <c r="T275" s="77"/>
      <c r="U275" s="77"/>
      <c r="V275" s="77"/>
      <c r="W275" s="77"/>
      <c r="X275" s="77"/>
      <c r="Y275">
        <v>1</v>
      </c>
    </row>
    <row r="276" spans="1:25" x14ac:dyDescent="0.25">
      <c r="A276" s="62" t="s">
        <v>292</v>
      </c>
      <c r="B276" s="62" t="s">
        <v>291</v>
      </c>
      <c r="C276" s="63" t="s">
        <v>2222</v>
      </c>
      <c r="D276" s="64">
        <v>1</v>
      </c>
      <c r="E276" s="65"/>
      <c r="F276" s="66">
        <v>100</v>
      </c>
      <c r="G276" s="63"/>
      <c r="H276" s="67"/>
      <c r="I276" s="68"/>
      <c r="J276" s="68"/>
      <c r="K276" s="34" t="s">
        <v>65</v>
      </c>
      <c r="L276" s="75">
        <v>276</v>
      </c>
      <c r="M276" s="75"/>
      <c r="N276" s="70"/>
      <c r="O276" s="77" t="s">
        <v>382</v>
      </c>
      <c r="P276" s="79">
        <v>41124.25708333333</v>
      </c>
      <c r="Q276" s="77"/>
      <c r="R276" s="77"/>
      <c r="S276" s="77"/>
      <c r="T276" s="77"/>
      <c r="U276" s="77"/>
      <c r="V276" s="77"/>
      <c r="W276" s="77"/>
      <c r="X276" s="77"/>
      <c r="Y276">
        <v>1</v>
      </c>
    </row>
    <row r="277" spans="1:25" x14ac:dyDescent="0.25">
      <c r="A277" s="62" t="s">
        <v>293</v>
      </c>
      <c r="B277" s="62" t="s">
        <v>291</v>
      </c>
      <c r="C277" s="63" t="s">
        <v>2222</v>
      </c>
      <c r="D277" s="64">
        <v>1</v>
      </c>
      <c r="E277" s="65"/>
      <c r="F277" s="66">
        <v>100</v>
      </c>
      <c r="G277" s="63"/>
      <c r="H277" s="67"/>
      <c r="I277" s="68"/>
      <c r="J277" s="68"/>
      <c r="K277" s="34" t="s">
        <v>65</v>
      </c>
      <c r="L277" s="75">
        <v>277</v>
      </c>
      <c r="M277" s="75"/>
      <c r="N277" s="70"/>
      <c r="O277" s="77" t="s">
        <v>382</v>
      </c>
      <c r="P277" s="79">
        <v>41124.25708333333</v>
      </c>
      <c r="Q277" s="77"/>
      <c r="R277" s="77"/>
      <c r="S277" s="77"/>
      <c r="T277" s="77"/>
      <c r="U277" s="77"/>
      <c r="V277" s="77"/>
      <c r="W277" s="77"/>
      <c r="X277" s="77"/>
      <c r="Y277">
        <v>1</v>
      </c>
    </row>
    <row r="278" spans="1:25" x14ac:dyDescent="0.25">
      <c r="A278" s="62" t="s">
        <v>294</v>
      </c>
      <c r="B278" s="62" t="s">
        <v>291</v>
      </c>
      <c r="C278" s="63" t="s">
        <v>2222</v>
      </c>
      <c r="D278" s="64">
        <v>1</v>
      </c>
      <c r="E278" s="65"/>
      <c r="F278" s="66">
        <v>100</v>
      </c>
      <c r="G278" s="63"/>
      <c r="H278" s="67"/>
      <c r="I278" s="68"/>
      <c r="J278" s="68"/>
      <c r="K278" s="34" t="s">
        <v>65</v>
      </c>
      <c r="L278" s="75">
        <v>278</v>
      </c>
      <c r="M278" s="75"/>
      <c r="N278" s="70"/>
      <c r="O278" s="77" t="s">
        <v>382</v>
      </c>
      <c r="P278" s="79">
        <v>41124.25708333333</v>
      </c>
      <c r="Q278" s="77"/>
      <c r="R278" s="77"/>
      <c r="S278" s="77"/>
      <c r="T278" s="77"/>
      <c r="U278" s="77"/>
      <c r="V278" s="77"/>
      <c r="W278" s="77"/>
      <c r="X278" s="77"/>
      <c r="Y278">
        <v>1</v>
      </c>
    </row>
    <row r="279" spans="1:25" x14ac:dyDescent="0.25">
      <c r="A279" s="62" t="s">
        <v>292</v>
      </c>
      <c r="B279" s="62" t="s">
        <v>292</v>
      </c>
      <c r="C279" s="63" t="s">
        <v>2219</v>
      </c>
      <c r="D279" s="64">
        <v>1</v>
      </c>
      <c r="E279" s="65"/>
      <c r="F279" s="66">
        <v>100</v>
      </c>
      <c r="G279" s="63"/>
      <c r="H279" s="67"/>
      <c r="I279" s="68"/>
      <c r="J279" s="68"/>
      <c r="K279" s="34" t="s">
        <v>64</v>
      </c>
      <c r="L279" s="75">
        <v>279</v>
      </c>
      <c r="M279" s="75"/>
      <c r="N279" s="70"/>
      <c r="O279" s="77" t="s">
        <v>180</v>
      </c>
      <c r="P279" s="79">
        <v>41123.739953703705</v>
      </c>
      <c r="Q279" s="77" t="s">
        <v>496</v>
      </c>
      <c r="R279" s="77"/>
      <c r="S279" s="77"/>
      <c r="T279" s="79">
        <v>41123.739953703705</v>
      </c>
      <c r="U279" s="81" t="s">
        <v>800</v>
      </c>
      <c r="V279" s="77"/>
      <c r="W279" s="77"/>
      <c r="X279" s="84" t="s">
        <v>1097</v>
      </c>
      <c r="Y279" s="82">
        <v>1</v>
      </c>
    </row>
    <row r="280" spans="1:25" x14ac:dyDescent="0.25">
      <c r="A280" s="62" t="s">
        <v>275</v>
      </c>
      <c r="B280" s="62" t="s">
        <v>292</v>
      </c>
      <c r="C280" s="63" t="s">
        <v>2222</v>
      </c>
      <c r="D280" s="64">
        <v>1</v>
      </c>
      <c r="E280" s="65"/>
      <c r="F280" s="66">
        <v>100</v>
      </c>
      <c r="G280" s="63"/>
      <c r="H280" s="67"/>
      <c r="I280" s="68"/>
      <c r="J280" s="68"/>
      <c r="K280" s="34" t="s">
        <v>65</v>
      </c>
      <c r="L280" s="75">
        <v>280</v>
      </c>
      <c r="M280" s="75"/>
      <c r="N280" s="70"/>
      <c r="O280" s="77" t="s">
        <v>382</v>
      </c>
      <c r="P280" s="79">
        <v>41124.25708333333</v>
      </c>
      <c r="Q280" s="77"/>
      <c r="R280" s="77"/>
      <c r="S280" s="77"/>
      <c r="T280" s="77"/>
      <c r="U280" s="77"/>
      <c r="V280" s="77"/>
      <c r="W280" s="77"/>
      <c r="X280" s="77"/>
      <c r="Y280">
        <v>1</v>
      </c>
    </row>
    <row r="281" spans="1:25" x14ac:dyDescent="0.25">
      <c r="A281" s="62" t="s">
        <v>292</v>
      </c>
      <c r="B281" s="62" t="s">
        <v>246</v>
      </c>
      <c r="C281" s="63" t="s">
        <v>2222</v>
      </c>
      <c r="D281" s="64">
        <v>1</v>
      </c>
      <c r="E281" s="65"/>
      <c r="F281" s="66">
        <v>100</v>
      </c>
      <c r="G281" s="63"/>
      <c r="H281" s="67"/>
      <c r="I281" s="68"/>
      <c r="J281" s="68"/>
      <c r="K281" s="34" t="s">
        <v>64</v>
      </c>
      <c r="L281" s="75">
        <v>281</v>
      </c>
      <c r="M281" s="75"/>
      <c r="N281" s="70"/>
      <c r="O281" s="77" t="s">
        <v>382</v>
      </c>
      <c r="P281" s="79">
        <v>41124.25708333333</v>
      </c>
      <c r="Q281" s="77"/>
      <c r="R281" s="77"/>
      <c r="S281" s="77"/>
      <c r="T281" s="77"/>
      <c r="U281" s="77"/>
      <c r="V281" s="77"/>
      <c r="W281" s="77"/>
      <c r="X281" s="77"/>
      <c r="Y281">
        <v>1</v>
      </c>
    </row>
    <row r="282" spans="1:25" x14ac:dyDescent="0.25">
      <c r="A282" s="62" t="s">
        <v>292</v>
      </c>
      <c r="B282" s="62" t="s">
        <v>295</v>
      </c>
      <c r="C282" s="63" t="s">
        <v>2222</v>
      </c>
      <c r="D282" s="64">
        <v>1</v>
      </c>
      <c r="E282" s="65"/>
      <c r="F282" s="66">
        <v>100</v>
      </c>
      <c r="G282" s="63"/>
      <c r="H282" s="67"/>
      <c r="I282" s="68"/>
      <c r="J282" s="68"/>
      <c r="K282" s="34" t="s">
        <v>65</v>
      </c>
      <c r="L282" s="75">
        <v>282</v>
      </c>
      <c r="M282" s="75"/>
      <c r="N282" s="70"/>
      <c r="O282" s="77" t="s">
        <v>382</v>
      </c>
      <c r="P282" s="79">
        <v>41124.25708333333</v>
      </c>
      <c r="Q282" s="77"/>
      <c r="R282" s="77"/>
      <c r="S282" s="77"/>
      <c r="T282" s="77"/>
      <c r="U282" s="77"/>
      <c r="V282" s="77"/>
      <c r="W282" s="77"/>
      <c r="X282" s="77"/>
      <c r="Y282">
        <v>1</v>
      </c>
    </row>
    <row r="283" spans="1:25" x14ac:dyDescent="0.25">
      <c r="A283" s="62" t="s">
        <v>292</v>
      </c>
      <c r="B283" s="62" t="s">
        <v>299</v>
      </c>
      <c r="C283" s="63" t="s">
        <v>2222</v>
      </c>
      <c r="D283" s="64">
        <v>1</v>
      </c>
      <c r="E283" s="65"/>
      <c r="F283" s="66">
        <v>100</v>
      </c>
      <c r="G283" s="63"/>
      <c r="H283" s="67"/>
      <c r="I283" s="68"/>
      <c r="J283" s="68"/>
      <c r="K283" s="34" t="s">
        <v>65</v>
      </c>
      <c r="L283" s="75">
        <v>283</v>
      </c>
      <c r="M283" s="75"/>
      <c r="N283" s="70"/>
      <c r="O283" s="77" t="s">
        <v>382</v>
      </c>
      <c r="P283" s="79">
        <v>41124.25708333333</v>
      </c>
      <c r="Q283" s="77"/>
      <c r="R283" s="77"/>
      <c r="S283" s="77"/>
      <c r="T283" s="77"/>
      <c r="U283" s="77"/>
      <c r="V283" s="77"/>
      <c r="W283" s="77"/>
      <c r="X283" s="77"/>
      <c r="Y283">
        <v>1</v>
      </c>
    </row>
    <row r="284" spans="1:25" x14ac:dyDescent="0.25">
      <c r="A284" s="62" t="s">
        <v>292</v>
      </c>
      <c r="B284" s="62" t="s">
        <v>298</v>
      </c>
      <c r="C284" s="63" t="s">
        <v>2222</v>
      </c>
      <c r="D284" s="64">
        <v>1</v>
      </c>
      <c r="E284" s="65"/>
      <c r="F284" s="66">
        <v>100</v>
      </c>
      <c r="G284" s="63"/>
      <c r="H284" s="67"/>
      <c r="I284" s="68"/>
      <c r="J284" s="68"/>
      <c r="K284" s="34" t="s">
        <v>65</v>
      </c>
      <c r="L284" s="75">
        <v>284</v>
      </c>
      <c r="M284" s="75"/>
      <c r="N284" s="70"/>
      <c r="O284" s="77" t="s">
        <v>382</v>
      </c>
      <c r="P284" s="79">
        <v>41124.25708333333</v>
      </c>
      <c r="Q284" s="77"/>
      <c r="R284" s="77"/>
      <c r="S284" s="77"/>
      <c r="T284" s="77"/>
      <c r="U284" s="77"/>
      <c r="V284" s="77"/>
      <c r="W284" s="77"/>
      <c r="X284" s="77"/>
      <c r="Y284">
        <v>1</v>
      </c>
    </row>
    <row r="285" spans="1:25" x14ac:dyDescent="0.25">
      <c r="A285" s="62" t="s">
        <v>292</v>
      </c>
      <c r="B285" s="62" t="s">
        <v>297</v>
      </c>
      <c r="C285" s="63" t="s">
        <v>2222</v>
      </c>
      <c r="D285" s="64">
        <v>1</v>
      </c>
      <c r="E285" s="65"/>
      <c r="F285" s="66">
        <v>100</v>
      </c>
      <c r="G285" s="63"/>
      <c r="H285" s="67"/>
      <c r="I285" s="68"/>
      <c r="J285" s="68"/>
      <c r="K285" s="34" t="s">
        <v>65</v>
      </c>
      <c r="L285" s="75">
        <v>285</v>
      </c>
      <c r="M285" s="75"/>
      <c r="N285" s="70"/>
      <c r="O285" s="77" t="s">
        <v>382</v>
      </c>
      <c r="P285" s="79">
        <v>41124.25708333333</v>
      </c>
      <c r="Q285" s="77"/>
      <c r="R285" s="77"/>
      <c r="S285" s="77"/>
      <c r="T285" s="77"/>
      <c r="U285" s="77"/>
      <c r="V285" s="77"/>
      <c r="W285" s="77"/>
      <c r="X285" s="77"/>
      <c r="Y285">
        <v>1</v>
      </c>
    </row>
    <row r="286" spans="1:25" x14ac:dyDescent="0.25">
      <c r="A286" s="62" t="s">
        <v>292</v>
      </c>
      <c r="B286" s="62" t="s">
        <v>335</v>
      </c>
      <c r="C286" s="63" t="s">
        <v>2222</v>
      </c>
      <c r="D286" s="64">
        <v>1</v>
      </c>
      <c r="E286" s="65"/>
      <c r="F286" s="66">
        <v>100</v>
      </c>
      <c r="G286" s="63"/>
      <c r="H286" s="67"/>
      <c r="I286" s="68"/>
      <c r="J286" s="68"/>
      <c r="K286" s="34" t="s">
        <v>64</v>
      </c>
      <c r="L286" s="75">
        <v>286</v>
      </c>
      <c r="M286" s="75"/>
      <c r="N286" s="70"/>
      <c r="O286" s="77" t="s">
        <v>382</v>
      </c>
      <c r="P286" s="79">
        <v>41124.25708333333</v>
      </c>
      <c r="Q286" s="77"/>
      <c r="R286" s="77"/>
      <c r="S286" s="77"/>
      <c r="T286" s="77"/>
      <c r="U286" s="77"/>
      <c r="V286" s="77"/>
      <c r="W286" s="77"/>
      <c r="X286" s="77"/>
      <c r="Y286">
        <v>1</v>
      </c>
    </row>
    <row r="287" spans="1:25" x14ac:dyDescent="0.25">
      <c r="A287" s="62" t="s">
        <v>292</v>
      </c>
      <c r="B287" s="62" t="s">
        <v>275</v>
      </c>
      <c r="C287" s="63" t="s">
        <v>2222</v>
      </c>
      <c r="D287" s="64">
        <v>1</v>
      </c>
      <c r="E287" s="65"/>
      <c r="F287" s="66">
        <v>100</v>
      </c>
      <c r="G287" s="63"/>
      <c r="H287" s="67"/>
      <c r="I287" s="68"/>
      <c r="J287" s="68"/>
      <c r="K287" s="34" t="s">
        <v>65</v>
      </c>
      <c r="L287" s="75">
        <v>287</v>
      </c>
      <c r="M287" s="75"/>
      <c r="N287" s="70"/>
      <c r="O287" s="77" t="s">
        <v>382</v>
      </c>
      <c r="P287" s="79">
        <v>41124.25708333333</v>
      </c>
      <c r="Q287" s="77"/>
      <c r="R287" s="77"/>
      <c r="S287" s="77"/>
      <c r="T287" s="77"/>
      <c r="U287" s="77"/>
      <c r="V287" s="77"/>
      <c r="W287" s="77"/>
      <c r="X287" s="77"/>
      <c r="Y287">
        <v>1</v>
      </c>
    </row>
    <row r="288" spans="1:25" x14ac:dyDescent="0.25">
      <c r="A288" s="62" t="s">
        <v>295</v>
      </c>
      <c r="B288" s="62" t="s">
        <v>292</v>
      </c>
      <c r="C288" s="63" t="s">
        <v>2222</v>
      </c>
      <c r="D288" s="64">
        <v>1</v>
      </c>
      <c r="E288" s="65"/>
      <c r="F288" s="66">
        <v>100</v>
      </c>
      <c r="G288" s="63"/>
      <c r="H288" s="67"/>
      <c r="I288" s="68"/>
      <c r="J288" s="68"/>
      <c r="K288" s="34" t="s">
        <v>65</v>
      </c>
      <c r="L288" s="75">
        <v>288</v>
      </c>
      <c r="M288" s="75"/>
      <c r="N288" s="70"/>
      <c r="O288" s="77" t="s">
        <v>382</v>
      </c>
      <c r="P288" s="79">
        <v>41124.25708333333</v>
      </c>
      <c r="Q288" s="77"/>
      <c r="R288" s="77"/>
      <c r="S288" s="77"/>
      <c r="T288" s="77"/>
      <c r="U288" s="77"/>
      <c r="V288" s="77"/>
      <c r="W288" s="77"/>
      <c r="X288" s="77"/>
      <c r="Y288">
        <v>1</v>
      </c>
    </row>
    <row r="289" spans="1:25" x14ac:dyDescent="0.25">
      <c r="A289" s="62" t="s">
        <v>296</v>
      </c>
      <c r="B289" s="62" t="s">
        <v>292</v>
      </c>
      <c r="C289" s="63" t="s">
        <v>2222</v>
      </c>
      <c r="D289" s="64">
        <v>1</v>
      </c>
      <c r="E289" s="65"/>
      <c r="F289" s="66">
        <v>100</v>
      </c>
      <c r="G289" s="63"/>
      <c r="H289" s="67"/>
      <c r="I289" s="68"/>
      <c r="J289" s="68"/>
      <c r="K289" s="34" t="s">
        <v>64</v>
      </c>
      <c r="L289" s="75">
        <v>289</v>
      </c>
      <c r="M289" s="75"/>
      <c r="N289" s="70"/>
      <c r="O289" s="77" t="s">
        <v>382</v>
      </c>
      <c r="P289" s="79">
        <v>41124.25708333333</v>
      </c>
      <c r="Q289" s="77"/>
      <c r="R289" s="77"/>
      <c r="S289" s="77"/>
      <c r="T289" s="77"/>
      <c r="U289" s="77"/>
      <c r="V289" s="77"/>
      <c r="W289" s="77"/>
      <c r="X289" s="77"/>
      <c r="Y289">
        <v>1</v>
      </c>
    </row>
    <row r="290" spans="1:25" x14ac:dyDescent="0.25">
      <c r="A290" s="62" t="s">
        <v>297</v>
      </c>
      <c r="B290" s="62" t="s">
        <v>292</v>
      </c>
      <c r="C290" s="63" t="s">
        <v>2222</v>
      </c>
      <c r="D290" s="64">
        <v>1</v>
      </c>
      <c r="E290" s="65"/>
      <c r="F290" s="66">
        <v>100</v>
      </c>
      <c r="G290" s="63"/>
      <c r="H290" s="67"/>
      <c r="I290" s="68"/>
      <c r="J290" s="68"/>
      <c r="K290" s="34" t="s">
        <v>65</v>
      </c>
      <c r="L290" s="75">
        <v>290</v>
      </c>
      <c r="M290" s="75"/>
      <c r="N290" s="70"/>
      <c r="O290" s="77" t="s">
        <v>382</v>
      </c>
      <c r="P290" s="79">
        <v>41124.25708333333</v>
      </c>
      <c r="Q290" s="77"/>
      <c r="R290" s="77"/>
      <c r="S290" s="77"/>
      <c r="T290" s="77"/>
      <c r="U290" s="77"/>
      <c r="V290" s="77"/>
      <c r="W290" s="77"/>
      <c r="X290" s="77"/>
      <c r="Y290">
        <v>1</v>
      </c>
    </row>
    <row r="291" spans="1:25" x14ac:dyDescent="0.25">
      <c r="A291" s="62" t="s">
        <v>298</v>
      </c>
      <c r="B291" s="62" t="s">
        <v>292</v>
      </c>
      <c r="C291" s="63" t="s">
        <v>2222</v>
      </c>
      <c r="D291" s="64">
        <v>1</v>
      </c>
      <c r="E291" s="65"/>
      <c r="F291" s="66">
        <v>100</v>
      </c>
      <c r="G291" s="63"/>
      <c r="H291" s="67"/>
      <c r="I291" s="68"/>
      <c r="J291" s="68"/>
      <c r="K291" s="34" t="s">
        <v>65</v>
      </c>
      <c r="L291" s="75">
        <v>291</v>
      </c>
      <c r="M291" s="75"/>
      <c r="N291" s="70"/>
      <c r="O291" s="77" t="s">
        <v>382</v>
      </c>
      <c r="P291" s="79">
        <v>41124.25708333333</v>
      </c>
      <c r="Q291" s="77"/>
      <c r="R291" s="77"/>
      <c r="S291" s="77"/>
      <c r="T291" s="77"/>
      <c r="U291" s="77"/>
      <c r="V291" s="77"/>
      <c r="W291" s="77"/>
      <c r="X291" s="77"/>
      <c r="Y291">
        <v>1</v>
      </c>
    </row>
    <row r="292" spans="1:25" x14ac:dyDescent="0.25">
      <c r="A292" s="62" t="s">
        <v>299</v>
      </c>
      <c r="B292" s="62" t="s">
        <v>292</v>
      </c>
      <c r="C292" s="63" t="s">
        <v>2222</v>
      </c>
      <c r="D292" s="64">
        <v>1</v>
      </c>
      <c r="E292" s="65"/>
      <c r="F292" s="66">
        <v>100</v>
      </c>
      <c r="G292" s="63"/>
      <c r="H292" s="67"/>
      <c r="I292" s="68"/>
      <c r="J292" s="68"/>
      <c r="K292" s="34" t="s">
        <v>65</v>
      </c>
      <c r="L292" s="75">
        <v>292</v>
      </c>
      <c r="M292" s="75"/>
      <c r="N292" s="70"/>
      <c r="O292" s="77" t="s">
        <v>382</v>
      </c>
      <c r="P292" s="79">
        <v>41124.25708333333</v>
      </c>
      <c r="Q292" s="77"/>
      <c r="R292" s="77"/>
      <c r="S292" s="77"/>
      <c r="T292" s="77"/>
      <c r="U292" s="77"/>
      <c r="V292" s="77"/>
      <c r="W292" s="77"/>
      <c r="X292" s="77"/>
      <c r="Y292">
        <v>1</v>
      </c>
    </row>
    <row r="293" spans="1:25" x14ac:dyDescent="0.25">
      <c r="A293" s="62" t="s">
        <v>280</v>
      </c>
      <c r="B293" s="62" t="s">
        <v>280</v>
      </c>
      <c r="C293" s="63" t="s">
        <v>2219</v>
      </c>
      <c r="D293" s="64">
        <v>1</v>
      </c>
      <c r="E293" s="65"/>
      <c r="F293" s="66">
        <v>100</v>
      </c>
      <c r="G293" s="63"/>
      <c r="H293" s="67"/>
      <c r="I293" s="68"/>
      <c r="J293" s="68"/>
      <c r="K293" s="34" t="s">
        <v>64</v>
      </c>
      <c r="L293" s="75">
        <v>293</v>
      </c>
      <c r="M293" s="75"/>
      <c r="N293" s="70"/>
      <c r="O293" s="77" t="s">
        <v>180</v>
      </c>
      <c r="P293" s="79">
        <v>41123.692627314813</v>
      </c>
      <c r="Q293" s="77" t="s">
        <v>497</v>
      </c>
      <c r="R293" s="77"/>
      <c r="S293" s="77"/>
      <c r="T293" s="79">
        <v>41123.692627314813</v>
      </c>
      <c r="U293" s="81" t="s">
        <v>801</v>
      </c>
      <c r="V293" s="77"/>
      <c r="W293" s="77"/>
      <c r="X293" s="84" t="s">
        <v>1098</v>
      </c>
      <c r="Y293" s="82">
        <v>1</v>
      </c>
    </row>
    <row r="294" spans="1:25" x14ac:dyDescent="0.25">
      <c r="A294" s="62" t="s">
        <v>300</v>
      </c>
      <c r="B294" s="62" t="s">
        <v>280</v>
      </c>
      <c r="C294" s="63" t="s">
        <v>2222</v>
      </c>
      <c r="D294" s="64">
        <v>1</v>
      </c>
      <c r="E294" s="65"/>
      <c r="F294" s="66">
        <v>100</v>
      </c>
      <c r="G294" s="63"/>
      <c r="H294" s="67"/>
      <c r="I294" s="68"/>
      <c r="J294" s="68"/>
      <c r="K294" s="34" t="s">
        <v>64</v>
      </c>
      <c r="L294" s="75">
        <v>294</v>
      </c>
      <c r="M294" s="75"/>
      <c r="N294" s="70"/>
      <c r="O294" s="77" t="s">
        <v>382</v>
      </c>
      <c r="P294" s="79">
        <v>41124.25708333333</v>
      </c>
      <c r="Q294" s="77"/>
      <c r="R294" s="77"/>
      <c r="S294" s="77"/>
      <c r="T294" s="77"/>
      <c r="U294" s="77"/>
      <c r="V294" s="77"/>
      <c r="W294" s="77"/>
      <c r="X294" s="77"/>
      <c r="Y294">
        <v>1</v>
      </c>
    </row>
    <row r="295" spans="1:25" x14ac:dyDescent="0.25">
      <c r="A295" s="62" t="s">
        <v>280</v>
      </c>
      <c r="B295" s="62" t="s">
        <v>246</v>
      </c>
      <c r="C295" s="63" t="s">
        <v>2222</v>
      </c>
      <c r="D295" s="64">
        <v>1</v>
      </c>
      <c r="E295" s="65"/>
      <c r="F295" s="66">
        <v>100</v>
      </c>
      <c r="G295" s="63"/>
      <c r="H295" s="67"/>
      <c r="I295" s="68"/>
      <c r="J295" s="68"/>
      <c r="K295" s="34" t="s">
        <v>64</v>
      </c>
      <c r="L295" s="75">
        <v>295</v>
      </c>
      <c r="M295" s="75"/>
      <c r="N295" s="70"/>
      <c r="O295" s="77" t="s">
        <v>382</v>
      </c>
      <c r="P295" s="79">
        <v>41124.25708333333</v>
      </c>
      <c r="Q295" s="77"/>
      <c r="R295" s="77"/>
      <c r="S295" s="77"/>
      <c r="T295" s="77"/>
      <c r="U295" s="77"/>
      <c r="V295" s="77"/>
      <c r="W295" s="77"/>
      <c r="X295" s="77"/>
      <c r="Y295">
        <v>1</v>
      </c>
    </row>
    <row r="296" spans="1:25" x14ac:dyDescent="0.25">
      <c r="A296" s="62" t="s">
        <v>280</v>
      </c>
      <c r="B296" s="62" t="s">
        <v>368</v>
      </c>
      <c r="C296" s="63" t="s">
        <v>2222</v>
      </c>
      <c r="D296" s="64">
        <v>1</v>
      </c>
      <c r="E296" s="65"/>
      <c r="F296" s="66">
        <v>100</v>
      </c>
      <c r="G296" s="63"/>
      <c r="H296" s="67"/>
      <c r="I296" s="68"/>
      <c r="J296" s="68"/>
      <c r="K296" s="34" t="s">
        <v>64</v>
      </c>
      <c r="L296" s="75">
        <v>296</v>
      </c>
      <c r="M296" s="75"/>
      <c r="N296" s="70"/>
      <c r="O296" s="77" t="s">
        <v>382</v>
      </c>
      <c r="P296" s="79">
        <v>41124.25708333333</v>
      </c>
      <c r="Q296" s="77"/>
      <c r="R296" s="77"/>
      <c r="S296" s="77"/>
      <c r="T296" s="77"/>
      <c r="U296" s="77"/>
      <c r="V296" s="77"/>
      <c r="W296" s="77"/>
      <c r="X296" s="77"/>
      <c r="Y296">
        <v>1</v>
      </c>
    </row>
    <row r="297" spans="1:25" x14ac:dyDescent="0.25">
      <c r="A297" s="62" t="s">
        <v>280</v>
      </c>
      <c r="B297" s="62" t="s">
        <v>285</v>
      </c>
      <c r="C297" s="63" t="s">
        <v>2222</v>
      </c>
      <c r="D297" s="64">
        <v>1</v>
      </c>
      <c r="E297" s="65"/>
      <c r="F297" s="66">
        <v>100</v>
      </c>
      <c r="G297" s="63"/>
      <c r="H297" s="67"/>
      <c r="I297" s="68"/>
      <c r="J297" s="68"/>
      <c r="K297" s="34" t="s">
        <v>64</v>
      </c>
      <c r="L297" s="75">
        <v>297</v>
      </c>
      <c r="M297" s="75"/>
      <c r="N297" s="70"/>
      <c r="O297" s="77" t="s">
        <v>382</v>
      </c>
      <c r="P297" s="79">
        <v>41124.25708333333</v>
      </c>
      <c r="Q297" s="77"/>
      <c r="R297" s="77"/>
      <c r="S297" s="77"/>
      <c r="T297" s="77"/>
      <c r="U297" s="77"/>
      <c r="V297" s="77"/>
      <c r="W297" s="77"/>
      <c r="X297" s="77"/>
      <c r="Y297">
        <v>1</v>
      </c>
    </row>
    <row r="298" spans="1:25" x14ac:dyDescent="0.25">
      <c r="A298" s="62" t="s">
        <v>280</v>
      </c>
      <c r="B298" s="62" t="s">
        <v>376</v>
      </c>
      <c r="C298" s="63" t="s">
        <v>2222</v>
      </c>
      <c r="D298" s="64">
        <v>1</v>
      </c>
      <c r="E298" s="65"/>
      <c r="F298" s="66">
        <v>100</v>
      </c>
      <c r="G298" s="63"/>
      <c r="H298" s="67"/>
      <c r="I298" s="68"/>
      <c r="J298" s="68"/>
      <c r="K298" s="34" t="s">
        <v>64</v>
      </c>
      <c r="L298" s="75">
        <v>298</v>
      </c>
      <c r="M298" s="75"/>
      <c r="N298" s="70"/>
      <c r="O298" s="77" t="s">
        <v>382</v>
      </c>
      <c r="P298" s="79">
        <v>41124.25708333333</v>
      </c>
      <c r="Q298" s="77"/>
      <c r="R298" s="77"/>
      <c r="S298" s="77"/>
      <c r="T298" s="77"/>
      <c r="U298" s="77"/>
      <c r="V298" s="77"/>
      <c r="W298" s="77"/>
      <c r="X298" s="77"/>
      <c r="Y298">
        <v>1</v>
      </c>
    </row>
    <row r="299" spans="1:25" x14ac:dyDescent="0.25">
      <c r="A299" s="62" t="s">
        <v>280</v>
      </c>
      <c r="B299" s="62" t="s">
        <v>366</v>
      </c>
      <c r="C299" s="63" t="s">
        <v>2222</v>
      </c>
      <c r="D299" s="64">
        <v>1</v>
      </c>
      <c r="E299" s="65"/>
      <c r="F299" s="66">
        <v>100</v>
      </c>
      <c r="G299" s="63"/>
      <c r="H299" s="67"/>
      <c r="I299" s="68"/>
      <c r="J299" s="68"/>
      <c r="K299" s="34" t="s">
        <v>64</v>
      </c>
      <c r="L299" s="75">
        <v>299</v>
      </c>
      <c r="M299" s="75"/>
      <c r="N299" s="70"/>
      <c r="O299" s="77" t="s">
        <v>382</v>
      </c>
      <c r="P299" s="79">
        <v>41124.25708333333</v>
      </c>
      <c r="Q299" s="77"/>
      <c r="R299" s="77"/>
      <c r="S299" s="77"/>
      <c r="T299" s="77"/>
      <c r="U299" s="77"/>
      <c r="V299" s="77"/>
      <c r="W299" s="77"/>
      <c r="X299" s="77"/>
      <c r="Y299">
        <v>1</v>
      </c>
    </row>
    <row r="300" spans="1:25" x14ac:dyDescent="0.25">
      <c r="A300" s="62" t="s">
        <v>280</v>
      </c>
      <c r="B300" s="62" t="s">
        <v>287</v>
      </c>
      <c r="C300" s="63" t="s">
        <v>2222</v>
      </c>
      <c r="D300" s="64">
        <v>1</v>
      </c>
      <c r="E300" s="65"/>
      <c r="F300" s="66">
        <v>100</v>
      </c>
      <c r="G300" s="63"/>
      <c r="H300" s="67"/>
      <c r="I300" s="68"/>
      <c r="J300" s="68"/>
      <c r="K300" s="34" t="s">
        <v>64</v>
      </c>
      <c r="L300" s="75">
        <v>300</v>
      </c>
      <c r="M300" s="75"/>
      <c r="N300" s="70"/>
      <c r="O300" s="77" t="s">
        <v>382</v>
      </c>
      <c r="P300" s="79">
        <v>41124.25708333333</v>
      </c>
      <c r="Q300" s="77"/>
      <c r="R300" s="77"/>
      <c r="S300" s="77"/>
      <c r="T300" s="77"/>
      <c r="U300" s="77"/>
      <c r="V300" s="77"/>
      <c r="W300" s="77"/>
      <c r="X300" s="77"/>
      <c r="Y300">
        <v>1</v>
      </c>
    </row>
    <row r="301" spans="1:25" x14ac:dyDescent="0.25">
      <c r="A301" s="62" t="s">
        <v>280</v>
      </c>
      <c r="B301" s="62" t="s">
        <v>286</v>
      </c>
      <c r="C301" s="63" t="s">
        <v>2222</v>
      </c>
      <c r="D301" s="64">
        <v>1</v>
      </c>
      <c r="E301" s="65"/>
      <c r="F301" s="66">
        <v>100</v>
      </c>
      <c r="G301" s="63"/>
      <c r="H301" s="67"/>
      <c r="I301" s="68"/>
      <c r="J301" s="68"/>
      <c r="K301" s="34" t="s">
        <v>65</v>
      </c>
      <c r="L301" s="75">
        <v>301</v>
      </c>
      <c r="M301" s="75"/>
      <c r="N301" s="70"/>
      <c r="O301" s="77" t="s">
        <v>382</v>
      </c>
      <c r="P301" s="79">
        <v>41124.25708333333</v>
      </c>
      <c r="Q301" s="77"/>
      <c r="R301" s="77"/>
      <c r="S301" s="77"/>
      <c r="T301" s="77"/>
      <c r="U301" s="77"/>
      <c r="V301" s="77"/>
      <c r="W301" s="77"/>
      <c r="X301" s="77"/>
      <c r="Y301">
        <v>1</v>
      </c>
    </row>
    <row r="302" spans="1:25" x14ac:dyDescent="0.25">
      <c r="A302" s="62" t="s">
        <v>280</v>
      </c>
      <c r="B302" s="62" t="s">
        <v>367</v>
      </c>
      <c r="C302" s="63" t="s">
        <v>2222</v>
      </c>
      <c r="D302" s="64">
        <v>1</v>
      </c>
      <c r="E302" s="65"/>
      <c r="F302" s="66">
        <v>100</v>
      </c>
      <c r="G302" s="63"/>
      <c r="H302" s="67"/>
      <c r="I302" s="68"/>
      <c r="J302" s="68"/>
      <c r="K302" s="34" t="s">
        <v>64</v>
      </c>
      <c r="L302" s="75">
        <v>302</v>
      </c>
      <c r="M302" s="75"/>
      <c r="N302" s="70"/>
      <c r="O302" s="77" t="s">
        <v>382</v>
      </c>
      <c r="P302" s="79">
        <v>41124.25708333333</v>
      </c>
      <c r="Q302" s="77"/>
      <c r="R302" s="77"/>
      <c r="S302" s="77"/>
      <c r="T302" s="77"/>
      <c r="U302" s="77"/>
      <c r="V302" s="77"/>
      <c r="W302" s="77"/>
      <c r="X302" s="77"/>
      <c r="Y302">
        <v>1</v>
      </c>
    </row>
    <row r="303" spans="1:25" x14ac:dyDescent="0.25">
      <c r="A303" s="62" t="s">
        <v>269</v>
      </c>
      <c r="B303" s="62" t="s">
        <v>280</v>
      </c>
      <c r="C303" s="63" t="s">
        <v>2222</v>
      </c>
      <c r="D303" s="64">
        <v>1</v>
      </c>
      <c r="E303" s="65"/>
      <c r="F303" s="66">
        <v>100</v>
      </c>
      <c r="G303" s="63"/>
      <c r="H303" s="67"/>
      <c r="I303" s="68"/>
      <c r="J303" s="68"/>
      <c r="K303" s="34" t="s">
        <v>64</v>
      </c>
      <c r="L303" s="75">
        <v>303</v>
      </c>
      <c r="M303" s="75"/>
      <c r="N303" s="70"/>
      <c r="O303" s="77" t="s">
        <v>382</v>
      </c>
      <c r="P303" s="79">
        <v>41124.25708333333</v>
      </c>
      <c r="Q303" s="77"/>
      <c r="R303" s="77"/>
      <c r="S303" s="77"/>
      <c r="T303" s="77"/>
      <c r="U303" s="77"/>
      <c r="V303" s="77"/>
      <c r="W303" s="77"/>
      <c r="X303" s="77"/>
      <c r="Y303">
        <v>1</v>
      </c>
    </row>
    <row r="304" spans="1:25" x14ac:dyDescent="0.25">
      <c r="A304" s="62" t="s">
        <v>286</v>
      </c>
      <c r="B304" s="62" t="s">
        <v>280</v>
      </c>
      <c r="C304" s="63" t="s">
        <v>2222</v>
      </c>
      <c r="D304" s="64">
        <v>1</v>
      </c>
      <c r="E304" s="65"/>
      <c r="F304" s="66">
        <v>100</v>
      </c>
      <c r="G304" s="63"/>
      <c r="H304" s="67"/>
      <c r="I304" s="68"/>
      <c r="J304" s="68"/>
      <c r="K304" s="34" t="s">
        <v>65</v>
      </c>
      <c r="L304" s="75">
        <v>304</v>
      </c>
      <c r="M304" s="75"/>
      <c r="N304" s="70"/>
      <c r="O304" s="77" t="s">
        <v>382</v>
      </c>
      <c r="P304" s="79">
        <v>41124.25708333333</v>
      </c>
      <c r="Q304" s="77"/>
      <c r="R304" s="77"/>
      <c r="S304" s="77"/>
      <c r="T304" s="77"/>
      <c r="U304" s="77"/>
      <c r="V304" s="77"/>
      <c r="W304" s="77"/>
      <c r="X304" s="77"/>
      <c r="Y304">
        <v>1</v>
      </c>
    </row>
    <row r="305" spans="1:25" x14ac:dyDescent="0.25">
      <c r="A305" s="62" t="s">
        <v>301</v>
      </c>
      <c r="B305" s="62" t="s">
        <v>280</v>
      </c>
      <c r="C305" s="63" t="s">
        <v>2222</v>
      </c>
      <c r="D305" s="64">
        <v>1</v>
      </c>
      <c r="E305" s="65"/>
      <c r="F305" s="66">
        <v>100</v>
      </c>
      <c r="G305" s="63"/>
      <c r="H305" s="67"/>
      <c r="I305" s="68"/>
      <c r="J305" s="68"/>
      <c r="K305" s="34" t="s">
        <v>64</v>
      </c>
      <c r="L305" s="75">
        <v>305</v>
      </c>
      <c r="M305" s="75"/>
      <c r="N305" s="70"/>
      <c r="O305" s="77" t="s">
        <v>382</v>
      </c>
      <c r="P305" s="79">
        <v>41124.25708333333</v>
      </c>
      <c r="Q305" s="77"/>
      <c r="R305" s="77"/>
      <c r="S305" s="77"/>
      <c r="T305" s="77"/>
      <c r="U305" s="77"/>
      <c r="V305" s="77"/>
      <c r="W305" s="77"/>
      <c r="X305" s="77"/>
      <c r="Y305">
        <v>1</v>
      </c>
    </row>
    <row r="306" spans="1:25" x14ac:dyDescent="0.25">
      <c r="A306" s="62" t="s">
        <v>302</v>
      </c>
      <c r="B306" s="62" t="s">
        <v>280</v>
      </c>
      <c r="C306" s="63" t="s">
        <v>2222</v>
      </c>
      <c r="D306" s="64">
        <v>1</v>
      </c>
      <c r="E306" s="65"/>
      <c r="F306" s="66">
        <v>100</v>
      </c>
      <c r="G306" s="63"/>
      <c r="H306" s="67"/>
      <c r="I306" s="68"/>
      <c r="J306" s="68"/>
      <c r="K306" s="34" t="s">
        <v>64</v>
      </c>
      <c r="L306" s="75">
        <v>306</v>
      </c>
      <c r="M306" s="75"/>
      <c r="N306" s="70"/>
      <c r="O306" s="77" t="s">
        <v>382</v>
      </c>
      <c r="P306" s="79">
        <v>41124.25708333333</v>
      </c>
      <c r="Q306" s="77"/>
      <c r="R306" s="77"/>
      <c r="S306" s="77"/>
      <c r="T306" s="77"/>
      <c r="U306" s="77"/>
      <c r="V306" s="77"/>
      <c r="W306" s="77"/>
      <c r="X306" s="77"/>
      <c r="Y306">
        <v>1</v>
      </c>
    </row>
    <row r="307" spans="1:25" x14ac:dyDescent="0.25">
      <c r="A307" s="62" t="s">
        <v>299</v>
      </c>
      <c r="B307" s="62" t="s">
        <v>280</v>
      </c>
      <c r="C307" s="63" t="s">
        <v>2222</v>
      </c>
      <c r="D307" s="64">
        <v>1</v>
      </c>
      <c r="E307" s="65"/>
      <c r="F307" s="66">
        <v>100</v>
      </c>
      <c r="G307" s="63"/>
      <c r="H307" s="67"/>
      <c r="I307" s="68"/>
      <c r="J307" s="68"/>
      <c r="K307" s="34" t="s">
        <v>64</v>
      </c>
      <c r="L307" s="75">
        <v>307</v>
      </c>
      <c r="M307" s="75"/>
      <c r="N307" s="70"/>
      <c r="O307" s="77" t="s">
        <v>382</v>
      </c>
      <c r="P307" s="79">
        <v>41124.25708333333</v>
      </c>
      <c r="Q307" s="77"/>
      <c r="R307" s="77"/>
      <c r="S307" s="77"/>
      <c r="T307" s="77"/>
      <c r="U307" s="77"/>
      <c r="V307" s="77"/>
      <c r="W307" s="77"/>
      <c r="X307" s="77"/>
      <c r="Y307">
        <v>1</v>
      </c>
    </row>
    <row r="308" spans="1:25" x14ac:dyDescent="0.25">
      <c r="A308" s="62" t="s">
        <v>303</v>
      </c>
      <c r="B308" s="62" t="s">
        <v>303</v>
      </c>
      <c r="C308" s="63" t="s">
        <v>2219</v>
      </c>
      <c r="D308" s="64">
        <v>1</v>
      </c>
      <c r="E308" s="65"/>
      <c r="F308" s="66">
        <v>100</v>
      </c>
      <c r="G308" s="63"/>
      <c r="H308" s="67"/>
      <c r="I308" s="68"/>
      <c r="J308" s="68"/>
      <c r="K308" s="34" t="s">
        <v>64</v>
      </c>
      <c r="L308" s="75">
        <v>308</v>
      </c>
      <c r="M308" s="75"/>
      <c r="N308" s="70"/>
      <c r="O308" s="77" t="s">
        <v>180</v>
      </c>
      <c r="P308" s="79">
        <v>41123.837500000001</v>
      </c>
      <c r="Q308" s="77" t="s">
        <v>498</v>
      </c>
      <c r="R308" s="77"/>
      <c r="S308" s="77"/>
      <c r="T308" s="79">
        <v>41123.837500000001</v>
      </c>
      <c r="U308" s="81" t="s">
        <v>802</v>
      </c>
      <c r="V308" s="77"/>
      <c r="W308" s="77"/>
      <c r="X308" s="84" t="s">
        <v>1099</v>
      </c>
      <c r="Y308" s="82">
        <v>1</v>
      </c>
    </row>
    <row r="309" spans="1:25" x14ac:dyDescent="0.25">
      <c r="A309" s="62" t="s">
        <v>303</v>
      </c>
      <c r="B309" s="62" t="s">
        <v>299</v>
      </c>
      <c r="C309" s="63" t="s">
        <v>2222</v>
      </c>
      <c r="D309" s="64">
        <v>1</v>
      </c>
      <c r="E309" s="65"/>
      <c r="F309" s="66">
        <v>100</v>
      </c>
      <c r="G309" s="63"/>
      <c r="H309" s="67"/>
      <c r="I309" s="68"/>
      <c r="J309" s="68"/>
      <c r="K309" s="34" t="s">
        <v>65</v>
      </c>
      <c r="L309" s="75">
        <v>309</v>
      </c>
      <c r="M309" s="75"/>
      <c r="N309" s="70"/>
      <c r="O309" s="77" t="s">
        <v>382</v>
      </c>
      <c r="P309" s="79">
        <v>41124.25708333333</v>
      </c>
      <c r="Q309" s="77"/>
      <c r="R309" s="77"/>
      <c r="S309" s="77"/>
      <c r="T309" s="77"/>
      <c r="U309" s="77"/>
      <c r="V309" s="77"/>
      <c r="W309" s="77"/>
      <c r="X309" s="77"/>
      <c r="Y309">
        <v>1</v>
      </c>
    </row>
    <row r="310" spans="1:25" x14ac:dyDescent="0.25">
      <c r="A310" s="62" t="s">
        <v>303</v>
      </c>
      <c r="B310" s="62" t="s">
        <v>265</v>
      </c>
      <c r="C310" s="63" t="s">
        <v>2222</v>
      </c>
      <c r="D310" s="64">
        <v>1</v>
      </c>
      <c r="E310" s="65"/>
      <c r="F310" s="66">
        <v>100</v>
      </c>
      <c r="G310" s="63"/>
      <c r="H310" s="67"/>
      <c r="I310" s="68"/>
      <c r="J310" s="68"/>
      <c r="K310" s="34" t="s">
        <v>64</v>
      </c>
      <c r="L310" s="75">
        <v>310</v>
      </c>
      <c r="M310" s="75"/>
      <c r="N310" s="70"/>
      <c r="O310" s="77" t="s">
        <v>382</v>
      </c>
      <c r="P310" s="79">
        <v>41124.25708333333</v>
      </c>
      <c r="Q310" s="77"/>
      <c r="R310" s="77"/>
      <c r="S310" s="77"/>
      <c r="T310" s="77"/>
      <c r="U310" s="77"/>
      <c r="V310" s="77"/>
      <c r="W310" s="77"/>
      <c r="X310" s="77"/>
      <c r="Y310">
        <v>1</v>
      </c>
    </row>
    <row r="311" spans="1:25" x14ac:dyDescent="0.25">
      <c r="A311" s="62" t="s">
        <v>299</v>
      </c>
      <c r="B311" s="62" t="s">
        <v>303</v>
      </c>
      <c r="C311" s="63" t="s">
        <v>2222</v>
      </c>
      <c r="D311" s="64">
        <v>1</v>
      </c>
      <c r="E311" s="65"/>
      <c r="F311" s="66">
        <v>100</v>
      </c>
      <c r="G311" s="63"/>
      <c r="H311" s="67"/>
      <c r="I311" s="68"/>
      <c r="J311" s="68"/>
      <c r="K311" s="34" t="s">
        <v>65</v>
      </c>
      <c r="L311" s="75">
        <v>311</v>
      </c>
      <c r="M311" s="75"/>
      <c r="N311" s="70"/>
      <c r="O311" s="77" t="s">
        <v>382</v>
      </c>
      <c r="P311" s="79">
        <v>41124.25708333333</v>
      </c>
      <c r="Q311" s="77"/>
      <c r="R311" s="77"/>
      <c r="S311" s="77"/>
      <c r="T311" s="77"/>
      <c r="U311" s="77"/>
      <c r="V311" s="77"/>
      <c r="W311" s="77"/>
      <c r="X311" s="77"/>
      <c r="Y311">
        <v>1</v>
      </c>
    </row>
    <row r="312" spans="1:25" x14ac:dyDescent="0.25">
      <c r="A312" s="62" t="s">
        <v>299</v>
      </c>
      <c r="B312" s="62" t="s">
        <v>299</v>
      </c>
      <c r="C312" s="63" t="s">
        <v>2219</v>
      </c>
      <c r="D312" s="64">
        <v>1</v>
      </c>
      <c r="E312" s="65"/>
      <c r="F312" s="66">
        <v>100</v>
      </c>
      <c r="G312" s="63"/>
      <c r="H312" s="67"/>
      <c r="I312" s="68"/>
      <c r="J312" s="68"/>
      <c r="K312" s="34" t="s">
        <v>64</v>
      </c>
      <c r="L312" s="75">
        <v>312</v>
      </c>
      <c r="M312" s="75"/>
      <c r="N312" s="70"/>
      <c r="O312" s="77" t="s">
        <v>180</v>
      </c>
      <c r="P312" s="79">
        <v>41123.993263888886</v>
      </c>
      <c r="Q312" s="77" t="s">
        <v>499</v>
      </c>
      <c r="R312" s="77"/>
      <c r="S312" s="77"/>
      <c r="T312" s="79">
        <v>41123.993263888886</v>
      </c>
      <c r="U312" s="81" t="s">
        <v>803</v>
      </c>
      <c r="V312" s="77"/>
      <c r="W312" s="77"/>
      <c r="X312" s="84" t="s">
        <v>1100</v>
      </c>
      <c r="Y312" s="82">
        <v>1</v>
      </c>
    </row>
    <row r="313" spans="1:25" x14ac:dyDescent="0.25">
      <c r="A313" s="62" t="s">
        <v>267</v>
      </c>
      <c r="B313" s="62" t="s">
        <v>299</v>
      </c>
      <c r="C313" s="63" t="s">
        <v>2222</v>
      </c>
      <c r="D313" s="64">
        <v>1</v>
      </c>
      <c r="E313" s="65"/>
      <c r="F313" s="66">
        <v>100</v>
      </c>
      <c r="G313" s="63"/>
      <c r="H313" s="67"/>
      <c r="I313" s="68"/>
      <c r="J313" s="68"/>
      <c r="K313" s="34" t="s">
        <v>65</v>
      </c>
      <c r="L313" s="75">
        <v>313</v>
      </c>
      <c r="M313" s="75"/>
      <c r="N313" s="70"/>
      <c r="O313" s="77" t="s">
        <v>382</v>
      </c>
      <c r="P313" s="79">
        <v>41124.25708333333</v>
      </c>
      <c r="Q313" s="77"/>
      <c r="R313" s="77"/>
      <c r="S313" s="77"/>
      <c r="T313" s="77"/>
      <c r="U313" s="77"/>
      <c r="V313" s="77"/>
      <c r="W313" s="77"/>
      <c r="X313" s="77"/>
      <c r="Y313">
        <v>1</v>
      </c>
    </row>
    <row r="314" spans="1:25" x14ac:dyDescent="0.25">
      <c r="A314" s="62" t="s">
        <v>304</v>
      </c>
      <c r="B314" s="62" t="s">
        <v>299</v>
      </c>
      <c r="C314" s="63" t="s">
        <v>2222</v>
      </c>
      <c r="D314" s="64">
        <v>1</v>
      </c>
      <c r="E314" s="65"/>
      <c r="F314" s="66">
        <v>100</v>
      </c>
      <c r="G314" s="63"/>
      <c r="H314" s="67"/>
      <c r="I314" s="68"/>
      <c r="J314" s="68"/>
      <c r="K314" s="34" t="s">
        <v>65</v>
      </c>
      <c r="L314" s="75">
        <v>314</v>
      </c>
      <c r="M314" s="75"/>
      <c r="N314" s="70"/>
      <c r="O314" s="77" t="s">
        <v>382</v>
      </c>
      <c r="P314" s="79">
        <v>41124.25708333333</v>
      </c>
      <c r="Q314" s="77"/>
      <c r="R314" s="77"/>
      <c r="S314" s="77"/>
      <c r="T314" s="77"/>
      <c r="U314" s="77"/>
      <c r="V314" s="77"/>
      <c r="W314" s="77"/>
      <c r="X314" s="77"/>
      <c r="Y314">
        <v>1</v>
      </c>
    </row>
    <row r="315" spans="1:25" x14ac:dyDescent="0.25">
      <c r="A315" s="62" t="s">
        <v>294</v>
      </c>
      <c r="B315" s="62" t="s">
        <v>299</v>
      </c>
      <c r="C315" s="63" t="s">
        <v>2222</v>
      </c>
      <c r="D315" s="64">
        <v>1</v>
      </c>
      <c r="E315" s="65"/>
      <c r="F315" s="66">
        <v>100</v>
      </c>
      <c r="G315" s="63"/>
      <c r="H315" s="67"/>
      <c r="I315" s="68"/>
      <c r="J315" s="68"/>
      <c r="K315" s="34" t="s">
        <v>65</v>
      </c>
      <c r="L315" s="75">
        <v>315</v>
      </c>
      <c r="M315" s="75"/>
      <c r="N315" s="70"/>
      <c r="O315" s="77" t="s">
        <v>382</v>
      </c>
      <c r="P315" s="79">
        <v>41124.25708333333</v>
      </c>
      <c r="Q315" s="77"/>
      <c r="R315" s="77"/>
      <c r="S315" s="77"/>
      <c r="T315" s="77"/>
      <c r="U315" s="77"/>
      <c r="V315" s="77"/>
      <c r="W315" s="77"/>
      <c r="X315" s="77"/>
      <c r="Y315">
        <v>1</v>
      </c>
    </row>
    <row r="316" spans="1:25" x14ac:dyDescent="0.25">
      <c r="A316" s="62" t="s">
        <v>299</v>
      </c>
      <c r="B316" s="62" t="s">
        <v>246</v>
      </c>
      <c r="C316" s="63" t="s">
        <v>2222</v>
      </c>
      <c r="D316" s="64">
        <v>1</v>
      </c>
      <c r="E316" s="65"/>
      <c r="F316" s="66">
        <v>100</v>
      </c>
      <c r="G316" s="63"/>
      <c r="H316" s="67"/>
      <c r="I316" s="68"/>
      <c r="J316" s="68"/>
      <c r="K316" s="34" t="s">
        <v>64</v>
      </c>
      <c r="L316" s="75">
        <v>316</v>
      </c>
      <c r="M316" s="75"/>
      <c r="N316" s="70"/>
      <c r="O316" s="77" t="s">
        <v>382</v>
      </c>
      <c r="P316" s="79">
        <v>41124.25708333333</v>
      </c>
      <c r="Q316" s="77"/>
      <c r="R316" s="77"/>
      <c r="S316" s="77"/>
      <c r="T316" s="77"/>
      <c r="U316" s="77"/>
      <c r="V316" s="77"/>
      <c r="W316" s="77"/>
      <c r="X316" s="77"/>
      <c r="Y316">
        <v>1</v>
      </c>
    </row>
    <row r="317" spans="1:25" x14ac:dyDescent="0.25">
      <c r="A317" s="62" t="s">
        <v>299</v>
      </c>
      <c r="B317" s="62" t="s">
        <v>287</v>
      </c>
      <c r="C317" s="63" t="s">
        <v>2222</v>
      </c>
      <c r="D317" s="64">
        <v>1</v>
      </c>
      <c r="E317" s="65"/>
      <c r="F317" s="66">
        <v>100</v>
      </c>
      <c r="G317" s="63"/>
      <c r="H317" s="67"/>
      <c r="I317" s="68"/>
      <c r="J317" s="68"/>
      <c r="K317" s="34" t="s">
        <v>64</v>
      </c>
      <c r="L317" s="75">
        <v>317</v>
      </c>
      <c r="M317" s="75"/>
      <c r="N317" s="70"/>
      <c r="O317" s="77" t="s">
        <v>382</v>
      </c>
      <c r="P317" s="79">
        <v>41124.25708333333</v>
      </c>
      <c r="Q317" s="77"/>
      <c r="R317" s="77"/>
      <c r="S317" s="77"/>
      <c r="T317" s="77"/>
      <c r="U317" s="77"/>
      <c r="V317" s="77"/>
      <c r="W317" s="77"/>
      <c r="X317" s="77"/>
      <c r="Y317">
        <v>1</v>
      </c>
    </row>
    <row r="318" spans="1:25" x14ac:dyDescent="0.25">
      <c r="A318" s="62" t="s">
        <v>299</v>
      </c>
      <c r="B318" s="62" t="s">
        <v>368</v>
      </c>
      <c r="C318" s="63" t="s">
        <v>2222</v>
      </c>
      <c r="D318" s="64">
        <v>1</v>
      </c>
      <c r="E318" s="65"/>
      <c r="F318" s="66">
        <v>100</v>
      </c>
      <c r="G318" s="63"/>
      <c r="H318" s="67"/>
      <c r="I318" s="68"/>
      <c r="J318" s="68"/>
      <c r="K318" s="34" t="s">
        <v>64</v>
      </c>
      <c r="L318" s="75">
        <v>318</v>
      </c>
      <c r="M318" s="75"/>
      <c r="N318" s="70"/>
      <c r="O318" s="77" t="s">
        <v>382</v>
      </c>
      <c r="P318" s="79">
        <v>41124.25708333333</v>
      </c>
      <c r="Q318" s="77"/>
      <c r="R318" s="77"/>
      <c r="S318" s="77"/>
      <c r="T318" s="77"/>
      <c r="U318" s="77"/>
      <c r="V318" s="77"/>
      <c r="W318" s="77"/>
      <c r="X318" s="77"/>
      <c r="Y318">
        <v>1</v>
      </c>
    </row>
    <row r="319" spans="1:25" x14ac:dyDescent="0.25">
      <c r="A319" s="62" t="s">
        <v>299</v>
      </c>
      <c r="B319" s="62" t="s">
        <v>267</v>
      </c>
      <c r="C319" s="63" t="s">
        <v>2222</v>
      </c>
      <c r="D319" s="64">
        <v>1</v>
      </c>
      <c r="E319" s="65"/>
      <c r="F319" s="66">
        <v>100</v>
      </c>
      <c r="G319" s="63"/>
      <c r="H319" s="67"/>
      <c r="I319" s="68"/>
      <c r="J319" s="68"/>
      <c r="K319" s="34" t="s">
        <v>65</v>
      </c>
      <c r="L319" s="75">
        <v>319</v>
      </c>
      <c r="M319" s="75"/>
      <c r="N319" s="70"/>
      <c r="O319" s="77" t="s">
        <v>382</v>
      </c>
      <c r="P319" s="79">
        <v>41124.25708333333</v>
      </c>
      <c r="Q319" s="77"/>
      <c r="R319" s="77"/>
      <c r="S319" s="77"/>
      <c r="T319" s="77"/>
      <c r="U319" s="77"/>
      <c r="V319" s="77"/>
      <c r="W319" s="77"/>
      <c r="X319" s="77"/>
      <c r="Y319">
        <v>1</v>
      </c>
    </row>
    <row r="320" spans="1:25" x14ac:dyDescent="0.25">
      <c r="A320" s="62" t="s">
        <v>299</v>
      </c>
      <c r="B320" s="62" t="s">
        <v>305</v>
      </c>
      <c r="C320" s="63" t="s">
        <v>2222</v>
      </c>
      <c r="D320" s="64">
        <v>1</v>
      </c>
      <c r="E320" s="65"/>
      <c r="F320" s="66">
        <v>100</v>
      </c>
      <c r="G320" s="63"/>
      <c r="H320" s="67"/>
      <c r="I320" s="68"/>
      <c r="J320" s="68"/>
      <c r="K320" s="34" t="s">
        <v>64</v>
      </c>
      <c r="L320" s="75">
        <v>320</v>
      </c>
      <c r="M320" s="75"/>
      <c r="N320" s="70"/>
      <c r="O320" s="77" t="s">
        <v>382</v>
      </c>
      <c r="P320" s="79">
        <v>41124.25708333333</v>
      </c>
      <c r="Q320" s="77"/>
      <c r="R320" s="77"/>
      <c r="S320" s="77"/>
      <c r="T320" s="77"/>
      <c r="U320" s="77"/>
      <c r="V320" s="77"/>
      <c r="W320" s="77"/>
      <c r="X320" s="77"/>
      <c r="Y320">
        <v>1</v>
      </c>
    </row>
    <row r="321" spans="1:25" x14ac:dyDescent="0.25">
      <c r="A321" s="62" t="s">
        <v>299</v>
      </c>
      <c r="B321" s="62" t="s">
        <v>294</v>
      </c>
      <c r="C321" s="63" t="s">
        <v>2222</v>
      </c>
      <c r="D321" s="64">
        <v>1</v>
      </c>
      <c r="E321" s="65"/>
      <c r="F321" s="66">
        <v>100</v>
      </c>
      <c r="G321" s="63"/>
      <c r="H321" s="67"/>
      <c r="I321" s="68"/>
      <c r="J321" s="68"/>
      <c r="K321" s="34" t="s">
        <v>65</v>
      </c>
      <c r="L321" s="75">
        <v>321</v>
      </c>
      <c r="M321" s="75"/>
      <c r="N321" s="70"/>
      <c r="O321" s="77" t="s">
        <v>382</v>
      </c>
      <c r="P321" s="79">
        <v>41124.25708333333</v>
      </c>
      <c r="Q321" s="77"/>
      <c r="R321" s="77"/>
      <c r="S321" s="77"/>
      <c r="T321" s="77"/>
      <c r="U321" s="77"/>
      <c r="V321" s="77"/>
      <c r="W321" s="77"/>
      <c r="X321" s="77"/>
      <c r="Y321">
        <v>1</v>
      </c>
    </row>
    <row r="322" spans="1:25" x14ac:dyDescent="0.25">
      <c r="A322" s="62" t="s">
        <v>299</v>
      </c>
      <c r="B322" s="62" t="s">
        <v>335</v>
      </c>
      <c r="C322" s="63" t="s">
        <v>2222</v>
      </c>
      <c r="D322" s="64">
        <v>1</v>
      </c>
      <c r="E322" s="65"/>
      <c r="F322" s="66">
        <v>100</v>
      </c>
      <c r="G322" s="63"/>
      <c r="H322" s="67"/>
      <c r="I322" s="68"/>
      <c r="J322" s="68"/>
      <c r="K322" s="34" t="s">
        <v>64</v>
      </c>
      <c r="L322" s="75">
        <v>322</v>
      </c>
      <c r="M322" s="75"/>
      <c r="N322" s="70"/>
      <c r="O322" s="77" t="s">
        <v>382</v>
      </c>
      <c r="P322" s="79">
        <v>41124.25708333333</v>
      </c>
      <c r="Q322" s="77"/>
      <c r="R322" s="77"/>
      <c r="S322" s="77"/>
      <c r="T322" s="77"/>
      <c r="U322" s="77"/>
      <c r="V322" s="77"/>
      <c r="W322" s="77"/>
      <c r="X322" s="77"/>
      <c r="Y322">
        <v>1</v>
      </c>
    </row>
    <row r="323" spans="1:25" x14ac:dyDescent="0.25">
      <c r="A323" s="62" t="s">
        <v>299</v>
      </c>
      <c r="B323" s="62" t="s">
        <v>304</v>
      </c>
      <c r="C323" s="63" t="s">
        <v>2222</v>
      </c>
      <c r="D323" s="64">
        <v>1</v>
      </c>
      <c r="E323" s="65"/>
      <c r="F323" s="66">
        <v>100</v>
      </c>
      <c r="G323" s="63"/>
      <c r="H323" s="67"/>
      <c r="I323" s="68"/>
      <c r="J323" s="68"/>
      <c r="K323" s="34" t="s">
        <v>65</v>
      </c>
      <c r="L323" s="75">
        <v>323</v>
      </c>
      <c r="M323" s="75"/>
      <c r="N323" s="70"/>
      <c r="O323" s="77" t="s">
        <v>382</v>
      </c>
      <c r="P323" s="79">
        <v>41124.25708333333</v>
      </c>
      <c r="Q323" s="77"/>
      <c r="R323" s="77"/>
      <c r="S323" s="77"/>
      <c r="T323" s="77"/>
      <c r="U323" s="77"/>
      <c r="V323" s="77"/>
      <c r="W323" s="77"/>
      <c r="X323" s="77"/>
      <c r="Y323">
        <v>1</v>
      </c>
    </row>
    <row r="324" spans="1:25" x14ac:dyDescent="0.25">
      <c r="A324" s="62" t="s">
        <v>305</v>
      </c>
      <c r="B324" s="62" t="s">
        <v>305</v>
      </c>
      <c r="C324" s="63" t="s">
        <v>2219</v>
      </c>
      <c r="D324" s="64">
        <v>1</v>
      </c>
      <c r="E324" s="65"/>
      <c r="F324" s="66">
        <v>100</v>
      </c>
      <c r="G324" s="63"/>
      <c r="H324" s="67"/>
      <c r="I324" s="68"/>
      <c r="J324" s="68"/>
      <c r="K324" s="34" t="s">
        <v>64</v>
      </c>
      <c r="L324" s="75">
        <v>324</v>
      </c>
      <c r="M324" s="75"/>
      <c r="N324" s="70"/>
      <c r="O324" s="77" t="s">
        <v>180</v>
      </c>
      <c r="P324" s="79">
        <v>41123.669571759259</v>
      </c>
      <c r="Q324" s="77" t="s">
        <v>500</v>
      </c>
      <c r="R324" s="77"/>
      <c r="S324" s="77" t="s">
        <v>648</v>
      </c>
      <c r="T324" s="79">
        <v>41123.669571759259</v>
      </c>
      <c r="U324" s="81" t="s">
        <v>804</v>
      </c>
      <c r="V324" s="77"/>
      <c r="W324" s="77"/>
      <c r="X324" s="84" t="s">
        <v>1101</v>
      </c>
      <c r="Y324" s="82">
        <v>1</v>
      </c>
    </row>
    <row r="325" spans="1:25" x14ac:dyDescent="0.25">
      <c r="A325" s="62" t="s">
        <v>300</v>
      </c>
      <c r="B325" s="62" t="s">
        <v>305</v>
      </c>
      <c r="C325" s="63" t="s">
        <v>2222</v>
      </c>
      <c r="D325" s="64">
        <v>1</v>
      </c>
      <c r="E325" s="65"/>
      <c r="F325" s="66">
        <v>100</v>
      </c>
      <c r="G325" s="63"/>
      <c r="H325" s="67"/>
      <c r="I325" s="68"/>
      <c r="J325" s="68"/>
      <c r="K325" s="34" t="s">
        <v>65</v>
      </c>
      <c r="L325" s="75">
        <v>325</v>
      </c>
      <c r="M325" s="75"/>
      <c r="N325" s="70"/>
      <c r="O325" s="77" t="s">
        <v>382</v>
      </c>
      <c r="P325" s="79">
        <v>41124.25708333333</v>
      </c>
      <c r="Q325" s="77"/>
      <c r="R325" s="77"/>
      <c r="S325" s="77"/>
      <c r="T325" s="77"/>
      <c r="U325" s="77"/>
      <c r="V325" s="77"/>
      <c r="W325" s="77"/>
      <c r="X325" s="77"/>
      <c r="Y325">
        <v>1</v>
      </c>
    </row>
    <row r="326" spans="1:25" x14ac:dyDescent="0.25">
      <c r="A326" s="62" t="s">
        <v>305</v>
      </c>
      <c r="B326" s="62" t="s">
        <v>267</v>
      </c>
      <c r="C326" s="63" t="s">
        <v>2222</v>
      </c>
      <c r="D326" s="64">
        <v>1</v>
      </c>
      <c r="E326" s="65"/>
      <c r="F326" s="66">
        <v>100</v>
      </c>
      <c r="G326" s="63"/>
      <c r="H326" s="67"/>
      <c r="I326" s="68"/>
      <c r="J326" s="68"/>
      <c r="K326" s="34" t="s">
        <v>65</v>
      </c>
      <c r="L326" s="75">
        <v>326</v>
      </c>
      <c r="M326" s="75"/>
      <c r="N326" s="70"/>
      <c r="O326" s="77" t="s">
        <v>382</v>
      </c>
      <c r="P326" s="79">
        <v>41124.25708333333</v>
      </c>
      <c r="Q326" s="77"/>
      <c r="R326" s="77"/>
      <c r="S326" s="77"/>
      <c r="T326" s="77"/>
      <c r="U326" s="77"/>
      <c r="V326" s="77"/>
      <c r="W326" s="77"/>
      <c r="X326" s="77"/>
      <c r="Y326">
        <v>1</v>
      </c>
    </row>
    <row r="327" spans="1:25" x14ac:dyDescent="0.25">
      <c r="A327" s="62" t="s">
        <v>305</v>
      </c>
      <c r="B327" s="62" t="s">
        <v>306</v>
      </c>
      <c r="C327" s="63" t="s">
        <v>2222</v>
      </c>
      <c r="D327" s="64">
        <v>1</v>
      </c>
      <c r="E327" s="65"/>
      <c r="F327" s="66">
        <v>100</v>
      </c>
      <c r="G327" s="63"/>
      <c r="H327" s="67"/>
      <c r="I327" s="68"/>
      <c r="J327" s="68"/>
      <c r="K327" s="34" t="s">
        <v>65</v>
      </c>
      <c r="L327" s="75">
        <v>327</v>
      </c>
      <c r="M327" s="75"/>
      <c r="N327" s="70"/>
      <c r="O327" s="77" t="s">
        <v>382</v>
      </c>
      <c r="P327" s="79">
        <v>41124.25708333333</v>
      </c>
      <c r="Q327" s="77"/>
      <c r="R327" s="77"/>
      <c r="S327" s="77"/>
      <c r="T327" s="77"/>
      <c r="U327" s="77"/>
      <c r="V327" s="77"/>
      <c r="W327" s="77"/>
      <c r="X327" s="77"/>
      <c r="Y327">
        <v>1</v>
      </c>
    </row>
    <row r="328" spans="1:25" x14ac:dyDescent="0.25">
      <c r="A328" s="62" t="s">
        <v>305</v>
      </c>
      <c r="B328" s="62" t="s">
        <v>301</v>
      </c>
      <c r="C328" s="63" t="s">
        <v>2222</v>
      </c>
      <c r="D328" s="64">
        <v>1</v>
      </c>
      <c r="E328" s="65"/>
      <c r="F328" s="66">
        <v>100</v>
      </c>
      <c r="G328" s="63"/>
      <c r="H328" s="67"/>
      <c r="I328" s="68"/>
      <c r="J328" s="68"/>
      <c r="K328" s="34" t="s">
        <v>65</v>
      </c>
      <c r="L328" s="75">
        <v>328</v>
      </c>
      <c r="M328" s="75"/>
      <c r="N328" s="70"/>
      <c r="O328" s="77" t="s">
        <v>382</v>
      </c>
      <c r="P328" s="79">
        <v>41124.25708333333</v>
      </c>
      <c r="Q328" s="77"/>
      <c r="R328" s="77"/>
      <c r="S328" s="77"/>
      <c r="T328" s="77"/>
      <c r="U328" s="77"/>
      <c r="V328" s="77"/>
      <c r="W328" s="77"/>
      <c r="X328" s="77"/>
      <c r="Y328">
        <v>1</v>
      </c>
    </row>
    <row r="329" spans="1:25" x14ac:dyDescent="0.25">
      <c r="A329" s="62" t="s">
        <v>305</v>
      </c>
      <c r="B329" s="62" t="s">
        <v>300</v>
      </c>
      <c r="C329" s="63" t="s">
        <v>2222</v>
      </c>
      <c r="D329" s="64">
        <v>1</v>
      </c>
      <c r="E329" s="65"/>
      <c r="F329" s="66">
        <v>100</v>
      </c>
      <c r="G329" s="63"/>
      <c r="H329" s="67"/>
      <c r="I329" s="68"/>
      <c r="J329" s="68"/>
      <c r="K329" s="34" t="s">
        <v>65</v>
      </c>
      <c r="L329" s="75">
        <v>329</v>
      </c>
      <c r="M329" s="75"/>
      <c r="N329" s="70"/>
      <c r="O329" s="77" t="s">
        <v>382</v>
      </c>
      <c r="P329" s="79">
        <v>41124.25708333333</v>
      </c>
      <c r="Q329" s="77"/>
      <c r="R329" s="77"/>
      <c r="S329" s="77"/>
      <c r="T329" s="77"/>
      <c r="U329" s="77"/>
      <c r="V329" s="77"/>
      <c r="W329" s="77"/>
      <c r="X329" s="77"/>
      <c r="Y329">
        <v>1</v>
      </c>
    </row>
    <row r="330" spans="1:25" x14ac:dyDescent="0.25">
      <c r="A330" s="62" t="s">
        <v>305</v>
      </c>
      <c r="B330" s="62" t="s">
        <v>307</v>
      </c>
      <c r="C330" s="63" t="s">
        <v>2222</v>
      </c>
      <c r="D330" s="64">
        <v>1</v>
      </c>
      <c r="E330" s="65"/>
      <c r="F330" s="66">
        <v>100</v>
      </c>
      <c r="G330" s="63"/>
      <c r="H330" s="67"/>
      <c r="I330" s="68"/>
      <c r="J330" s="68"/>
      <c r="K330" s="34" t="s">
        <v>65</v>
      </c>
      <c r="L330" s="75">
        <v>330</v>
      </c>
      <c r="M330" s="75"/>
      <c r="N330" s="70"/>
      <c r="O330" s="77" t="s">
        <v>382</v>
      </c>
      <c r="P330" s="79">
        <v>41124.25708333333</v>
      </c>
      <c r="Q330" s="77"/>
      <c r="R330" s="77"/>
      <c r="S330" s="77"/>
      <c r="T330" s="77"/>
      <c r="U330" s="77"/>
      <c r="V330" s="77"/>
      <c r="W330" s="77"/>
      <c r="X330" s="77"/>
      <c r="Y330">
        <v>1</v>
      </c>
    </row>
    <row r="331" spans="1:25" x14ac:dyDescent="0.25">
      <c r="A331" s="62" t="s">
        <v>306</v>
      </c>
      <c r="B331" s="62" t="s">
        <v>305</v>
      </c>
      <c r="C331" s="63" t="s">
        <v>2222</v>
      </c>
      <c r="D331" s="64">
        <v>1</v>
      </c>
      <c r="E331" s="65"/>
      <c r="F331" s="66">
        <v>100</v>
      </c>
      <c r="G331" s="63"/>
      <c r="H331" s="67"/>
      <c r="I331" s="68"/>
      <c r="J331" s="68"/>
      <c r="K331" s="34" t="s">
        <v>65</v>
      </c>
      <c r="L331" s="75">
        <v>331</v>
      </c>
      <c r="M331" s="75"/>
      <c r="N331" s="70"/>
      <c r="O331" s="77" t="s">
        <v>382</v>
      </c>
      <c r="P331" s="79">
        <v>41124.25708333333</v>
      </c>
      <c r="Q331" s="77"/>
      <c r="R331" s="77"/>
      <c r="S331" s="77"/>
      <c r="T331" s="77"/>
      <c r="U331" s="77"/>
      <c r="V331" s="77"/>
      <c r="W331" s="77"/>
      <c r="X331" s="77"/>
      <c r="Y331">
        <v>1</v>
      </c>
    </row>
    <row r="332" spans="1:25" x14ac:dyDescent="0.25">
      <c r="A332" s="62" t="s">
        <v>267</v>
      </c>
      <c r="B332" s="62" t="s">
        <v>305</v>
      </c>
      <c r="C332" s="63" t="s">
        <v>2222</v>
      </c>
      <c r="D332" s="64">
        <v>1</v>
      </c>
      <c r="E332" s="65"/>
      <c r="F332" s="66">
        <v>100</v>
      </c>
      <c r="G332" s="63"/>
      <c r="H332" s="67"/>
      <c r="I332" s="68"/>
      <c r="J332" s="68"/>
      <c r="K332" s="34" t="s">
        <v>65</v>
      </c>
      <c r="L332" s="75">
        <v>332</v>
      </c>
      <c r="M332" s="75"/>
      <c r="N332" s="70"/>
      <c r="O332" s="77" t="s">
        <v>382</v>
      </c>
      <c r="P332" s="79">
        <v>41124.25708333333</v>
      </c>
      <c r="Q332" s="77"/>
      <c r="R332" s="77"/>
      <c r="S332" s="77"/>
      <c r="T332" s="77"/>
      <c r="U332" s="77"/>
      <c r="V332" s="77"/>
      <c r="W332" s="77"/>
      <c r="X332" s="77"/>
      <c r="Y332">
        <v>1</v>
      </c>
    </row>
    <row r="333" spans="1:25" x14ac:dyDescent="0.25">
      <c r="A333" s="62" t="s">
        <v>307</v>
      </c>
      <c r="B333" s="62" t="s">
        <v>305</v>
      </c>
      <c r="C333" s="63" t="s">
        <v>2222</v>
      </c>
      <c r="D333" s="64">
        <v>1</v>
      </c>
      <c r="E333" s="65"/>
      <c r="F333" s="66">
        <v>100</v>
      </c>
      <c r="G333" s="63"/>
      <c r="H333" s="67"/>
      <c r="I333" s="68"/>
      <c r="J333" s="68"/>
      <c r="K333" s="34" t="s">
        <v>65</v>
      </c>
      <c r="L333" s="75">
        <v>333</v>
      </c>
      <c r="M333" s="75"/>
      <c r="N333" s="70"/>
      <c r="O333" s="77" t="s">
        <v>382</v>
      </c>
      <c r="P333" s="79">
        <v>41124.25708333333</v>
      </c>
      <c r="Q333" s="77"/>
      <c r="R333" s="77"/>
      <c r="S333" s="77"/>
      <c r="T333" s="77"/>
      <c r="U333" s="77"/>
      <c r="V333" s="77"/>
      <c r="W333" s="77"/>
      <c r="X333" s="77"/>
      <c r="Y333">
        <v>1</v>
      </c>
    </row>
    <row r="334" spans="1:25" x14ac:dyDescent="0.25">
      <c r="A334" s="62" t="s">
        <v>301</v>
      </c>
      <c r="B334" s="62" t="s">
        <v>305</v>
      </c>
      <c r="C334" s="63" t="s">
        <v>2222</v>
      </c>
      <c r="D334" s="64">
        <v>1</v>
      </c>
      <c r="E334" s="65"/>
      <c r="F334" s="66">
        <v>100</v>
      </c>
      <c r="G334" s="63"/>
      <c r="H334" s="67"/>
      <c r="I334" s="68"/>
      <c r="J334" s="68"/>
      <c r="K334" s="34" t="s">
        <v>65</v>
      </c>
      <c r="L334" s="75">
        <v>334</v>
      </c>
      <c r="M334" s="75"/>
      <c r="N334" s="70"/>
      <c r="O334" s="77" t="s">
        <v>382</v>
      </c>
      <c r="P334" s="79">
        <v>41124.25708333333</v>
      </c>
      <c r="Q334" s="77"/>
      <c r="R334" s="77"/>
      <c r="S334" s="77"/>
      <c r="T334" s="77"/>
      <c r="U334" s="77"/>
      <c r="V334" s="77"/>
      <c r="W334" s="77"/>
      <c r="X334" s="77"/>
      <c r="Y334">
        <v>1</v>
      </c>
    </row>
    <row r="335" spans="1:25" x14ac:dyDescent="0.25">
      <c r="A335" s="62" t="s">
        <v>293</v>
      </c>
      <c r="B335" s="62" t="s">
        <v>305</v>
      </c>
      <c r="C335" s="63" t="s">
        <v>2222</v>
      </c>
      <c r="D335" s="64">
        <v>1</v>
      </c>
      <c r="E335" s="65"/>
      <c r="F335" s="66">
        <v>100</v>
      </c>
      <c r="G335" s="63"/>
      <c r="H335" s="67"/>
      <c r="I335" s="68"/>
      <c r="J335" s="68"/>
      <c r="K335" s="34" t="s">
        <v>64</v>
      </c>
      <c r="L335" s="75">
        <v>335</v>
      </c>
      <c r="M335" s="75"/>
      <c r="N335" s="70"/>
      <c r="O335" s="77" t="s">
        <v>382</v>
      </c>
      <c r="P335" s="79">
        <v>41124.25708333333</v>
      </c>
      <c r="Q335" s="77"/>
      <c r="R335" s="77"/>
      <c r="S335" s="77"/>
      <c r="T335" s="77"/>
      <c r="U335" s="77"/>
      <c r="V335" s="77"/>
      <c r="W335" s="77"/>
      <c r="X335" s="77"/>
      <c r="Y335">
        <v>1</v>
      </c>
    </row>
    <row r="336" spans="1:25" x14ac:dyDescent="0.25">
      <c r="A336" s="62" t="s">
        <v>308</v>
      </c>
      <c r="B336" s="62" t="s">
        <v>305</v>
      </c>
      <c r="C336" s="63" t="s">
        <v>2222</v>
      </c>
      <c r="D336" s="64">
        <v>1</v>
      </c>
      <c r="E336" s="65"/>
      <c r="F336" s="66">
        <v>100</v>
      </c>
      <c r="G336" s="63"/>
      <c r="H336" s="67"/>
      <c r="I336" s="68"/>
      <c r="J336" s="68"/>
      <c r="K336" s="34" t="s">
        <v>64</v>
      </c>
      <c r="L336" s="75">
        <v>336</v>
      </c>
      <c r="M336" s="75"/>
      <c r="N336" s="70"/>
      <c r="O336" s="77" t="s">
        <v>382</v>
      </c>
      <c r="P336" s="79">
        <v>41124.25708333333</v>
      </c>
      <c r="Q336" s="77"/>
      <c r="R336" s="77"/>
      <c r="S336" s="77"/>
      <c r="T336" s="77"/>
      <c r="U336" s="77"/>
      <c r="V336" s="77"/>
      <c r="W336" s="77"/>
      <c r="X336" s="77"/>
      <c r="Y336">
        <v>1</v>
      </c>
    </row>
    <row r="337" spans="1:25" x14ac:dyDescent="0.25">
      <c r="A337" s="62" t="s">
        <v>309</v>
      </c>
      <c r="B337" s="62" t="s">
        <v>309</v>
      </c>
      <c r="C337" s="63" t="s">
        <v>2219</v>
      </c>
      <c r="D337" s="64">
        <v>1</v>
      </c>
      <c r="E337" s="65"/>
      <c r="F337" s="66">
        <v>100</v>
      </c>
      <c r="G337" s="63"/>
      <c r="H337" s="67"/>
      <c r="I337" s="68"/>
      <c r="J337" s="68"/>
      <c r="K337" s="34" t="s">
        <v>64</v>
      </c>
      <c r="L337" s="75">
        <v>337</v>
      </c>
      <c r="M337" s="75"/>
      <c r="N337" s="70"/>
      <c r="O337" s="77" t="s">
        <v>180</v>
      </c>
      <c r="P337" s="79">
        <v>41123.68822916667</v>
      </c>
      <c r="Q337" s="77" t="s">
        <v>501</v>
      </c>
      <c r="R337" s="77"/>
      <c r="S337" s="77"/>
      <c r="T337" s="79">
        <v>41123.68822916667</v>
      </c>
      <c r="U337" s="81" t="s">
        <v>805</v>
      </c>
      <c r="V337" s="77"/>
      <c r="W337" s="77"/>
      <c r="X337" s="84" t="s">
        <v>1102</v>
      </c>
      <c r="Y337" s="82">
        <v>1</v>
      </c>
    </row>
    <row r="338" spans="1:25" x14ac:dyDescent="0.25">
      <c r="A338" s="62" t="s">
        <v>309</v>
      </c>
      <c r="B338" s="62" t="s">
        <v>301</v>
      </c>
      <c r="C338" s="63" t="s">
        <v>2222</v>
      </c>
      <c r="D338" s="64">
        <v>1</v>
      </c>
      <c r="E338" s="65"/>
      <c r="F338" s="66">
        <v>100</v>
      </c>
      <c r="G338" s="63"/>
      <c r="H338" s="67"/>
      <c r="I338" s="68"/>
      <c r="J338" s="68"/>
      <c r="K338" s="34" t="s">
        <v>64</v>
      </c>
      <c r="L338" s="75">
        <v>338</v>
      </c>
      <c r="M338" s="75"/>
      <c r="N338" s="70"/>
      <c r="O338" s="77" t="s">
        <v>382</v>
      </c>
      <c r="P338" s="79">
        <v>41124.25708333333</v>
      </c>
      <c r="Q338" s="77"/>
      <c r="R338" s="77"/>
      <c r="S338" s="77"/>
      <c r="T338" s="77"/>
      <c r="U338" s="77"/>
      <c r="V338" s="77"/>
      <c r="W338" s="77"/>
      <c r="X338" s="77"/>
      <c r="Y338">
        <v>1</v>
      </c>
    </row>
    <row r="339" spans="1:25" x14ac:dyDescent="0.25">
      <c r="A339" s="62" t="s">
        <v>309</v>
      </c>
      <c r="B339" s="62" t="s">
        <v>308</v>
      </c>
      <c r="C339" s="63" t="s">
        <v>2222</v>
      </c>
      <c r="D339" s="64">
        <v>1</v>
      </c>
      <c r="E339" s="65"/>
      <c r="F339" s="66">
        <v>100</v>
      </c>
      <c r="G339" s="63"/>
      <c r="H339" s="67"/>
      <c r="I339" s="68"/>
      <c r="J339" s="68"/>
      <c r="K339" s="34" t="s">
        <v>65</v>
      </c>
      <c r="L339" s="75">
        <v>339</v>
      </c>
      <c r="M339" s="75"/>
      <c r="N339" s="70"/>
      <c r="O339" s="77" t="s">
        <v>382</v>
      </c>
      <c r="P339" s="79">
        <v>41124.25708333333</v>
      </c>
      <c r="Q339" s="77"/>
      <c r="R339" s="77"/>
      <c r="S339" s="77"/>
      <c r="T339" s="77"/>
      <c r="U339" s="77"/>
      <c r="V339" s="77"/>
      <c r="W339" s="77"/>
      <c r="X339" s="77"/>
      <c r="Y339">
        <v>1</v>
      </c>
    </row>
    <row r="340" spans="1:25" x14ac:dyDescent="0.25">
      <c r="A340" s="62" t="s">
        <v>308</v>
      </c>
      <c r="B340" s="62" t="s">
        <v>309</v>
      </c>
      <c r="C340" s="63" t="s">
        <v>2222</v>
      </c>
      <c r="D340" s="64">
        <v>1</v>
      </c>
      <c r="E340" s="65"/>
      <c r="F340" s="66">
        <v>100</v>
      </c>
      <c r="G340" s="63"/>
      <c r="H340" s="67"/>
      <c r="I340" s="68"/>
      <c r="J340" s="68"/>
      <c r="K340" s="34" t="s">
        <v>65</v>
      </c>
      <c r="L340" s="75">
        <v>340</v>
      </c>
      <c r="M340" s="75"/>
      <c r="N340" s="70"/>
      <c r="O340" s="77" t="s">
        <v>382</v>
      </c>
      <c r="P340" s="79">
        <v>41124.25708333333</v>
      </c>
      <c r="Q340" s="77"/>
      <c r="R340" s="77"/>
      <c r="S340" s="77"/>
      <c r="T340" s="77"/>
      <c r="U340" s="77"/>
      <c r="V340" s="77"/>
      <c r="W340" s="77"/>
      <c r="X340" s="77"/>
      <c r="Y340">
        <v>1</v>
      </c>
    </row>
    <row r="341" spans="1:25" x14ac:dyDescent="0.25">
      <c r="A341" s="62" t="s">
        <v>308</v>
      </c>
      <c r="B341" s="62" t="s">
        <v>308</v>
      </c>
      <c r="C341" s="63" t="s">
        <v>2219</v>
      </c>
      <c r="D341" s="64">
        <v>1</v>
      </c>
      <c r="E341" s="65"/>
      <c r="F341" s="66">
        <v>100</v>
      </c>
      <c r="G341" s="63"/>
      <c r="H341" s="67"/>
      <c r="I341" s="68"/>
      <c r="J341" s="68"/>
      <c r="K341" s="34" t="s">
        <v>64</v>
      </c>
      <c r="L341" s="75">
        <v>341</v>
      </c>
      <c r="M341" s="75"/>
      <c r="N341" s="70"/>
      <c r="O341" s="77" t="s">
        <v>180</v>
      </c>
      <c r="P341" s="79">
        <v>41124.002372685187</v>
      </c>
      <c r="Q341" s="77" t="s">
        <v>502</v>
      </c>
      <c r="R341" s="81" t="s">
        <v>621</v>
      </c>
      <c r="S341" s="77" t="s">
        <v>649</v>
      </c>
      <c r="T341" s="79">
        <v>41124.002372685187</v>
      </c>
      <c r="U341" s="81" t="s">
        <v>806</v>
      </c>
      <c r="V341" s="77"/>
      <c r="W341" s="77"/>
      <c r="X341" s="84" t="s">
        <v>1103</v>
      </c>
      <c r="Y341" s="82">
        <v>1</v>
      </c>
    </row>
    <row r="342" spans="1:25" x14ac:dyDescent="0.25">
      <c r="A342" s="62" t="s">
        <v>308</v>
      </c>
      <c r="B342" s="62" t="s">
        <v>246</v>
      </c>
      <c r="C342" s="63" t="s">
        <v>2222</v>
      </c>
      <c r="D342" s="64">
        <v>1</v>
      </c>
      <c r="E342" s="65"/>
      <c r="F342" s="66">
        <v>100</v>
      </c>
      <c r="G342" s="63"/>
      <c r="H342" s="67"/>
      <c r="I342" s="68"/>
      <c r="J342" s="68"/>
      <c r="K342" s="34" t="s">
        <v>64</v>
      </c>
      <c r="L342" s="75">
        <v>342</v>
      </c>
      <c r="M342" s="75"/>
      <c r="N342" s="70"/>
      <c r="O342" s="77" t="s">
        <v>382</v>
      </c>
      <c r="P342" s="79">
        <v>41124.25708333333</v>
      </c>
      <c r="Q342" s="77"/>
      <c r="R342" s="77"/>
      <c r="S342" s="77"/>
      <c r="T342" s="77"/>
      <c r="U342" s="77"/>
      <c r="V342" s="77"/>
      <c r="W342" s="77"/>
      <c r="X342" s="77"/>
      <c r="Y342">
        <v>1</v>
      </c>
    </row>
    <row r="343" spans="1:25" x14ac:dyDescent="0.25">
      <c r="A343" s="62" t="s">
        <v>308</v>
      </c>
      <c r="B343" s="62" t="s">
        <v>281</v>
      </c>
      <c r="C343" s="63" t="s">
        <v>2222</v>
      </c>
      <c r="D343" s="64">
        <v>1</v>
      </c>
      <c r="E343" s="65"/>
      <c r="F343" s="66">
        <v>100</v>
      </c>
      <c r="G343" s="63"/>
      <c r="H343" s="67"/>
      <c r="I343" s="68"/>
      <c r="J343" s="68"/>
      <c r="K343" s="34" t="s">
        <v>64</v>
      </c>
      <c r="L343" s="75">
        <v>343</v>
      </c>
      <c r="M343" s="75"/>
      <c r="N343" s="70"/>
      <c r="O343" s="77" t="s">
        <v>382</v>
      </c>
      <c r="P343" s="79">
        <v>41124.25708333333</v>
      </c>
      <c r="Q343" s="77"/>
      <c r="R343" s="77"/>
      <c r="S343" s="77"/>
      <c r="T343" s="77"/>
      <c r="U343" s="77"/>
      <c r="V343" s="77"/>
      <c r="W343" s="77"/>
      <c r="X343" s="77"/>
      <c r="Y343">
        <v>1</v>
      </c>
    </row>
    <row r="344" spans="1:25" x14ac:dyDescent="0.25">
      <c r="A344" s="62" t="s">
        <v>308</v>
      </c>
      <c r="B344" s="62" t="s">
        <v>314</v>
      </c>
      <c r="C344" s="63" t="s">
        <v>2222</v>
      </c>
      <c r="D344" s="64">
        <v>1</v>
      </c>
      <c r="E344" s="65"/>
      <c r="F344" s="66">
        <v>100</v>
      </c>
      <c r="G344" s="63"/>
      <c r="H344" s="67"/>
      <c r="I344" s="68"/>
      <c r="J344" s="68"/>
      <c r="K344" s="34" t="s">
        <v>64</v>
      </c>
      <c r="L344" s="75">
        <v>344</v>
      </c>
      <c r="M344" s="75"/>
      <c r="N344" s="70"/>
      <c r="O344" s="77" t="s">
        <v>382</v>
      </c>
      <c r="P344" s="79">
        <v>41124.25708333333</v>
      </c>
      <c r="Q344" s="77"/>
      <c r="R344" s="77"/>
      <c r="S344" s="77"/>
      <c r="T344" s="77"/>
      <c r="U344" s="77"/>
      <c r="V344" s="77"/>
      <c r="W344" s="77"/>
      <c r="X344" s="77"/>
      <c r="Y344">
        <v>1</v>
      </c>
    </row>
    <row r="345" spans="1:25" x14ac:dyDescent="0.25">
      <c r="A345" s="62" t="s">
        <v>308</v>
      </c>
      <c r="B345" s="62" t="s">
        <v>301</v>
      </c>
      <c r="C345" s="63" t="s">
        <v>2222</v>
      </c>
      <c r="D345" s="64">
        <v>1</v>
      </c>
      <c r="E345" s="65"/>
      <c r="F345" s="66">
        <v>100</v>
      </c>
      <c r="G345" s="63"/>
      <c r="H345" s="67"/>
      <c r="I345" s="68"/>
      <c r="J345" s="68"/>
      <c r="K345" s="34" t="s">
        <v>64</v>
      </c>
      <c r="L345" s="75">
        <v>345</v>
      </c>
      <c r="M345" s="75"/>
      <c r="N345" s="70"/>
      <c r="O345" s="77" t="s">
        <v>382</v>
      </c>
      <c r="P345" s="79">
        <v>41124.25708333333</v>
      </c>
      <c r="Q345" s="77"/>
      <c r="R345" s="77"/>
      <c r="S345" s="77"/>
      <c r="T345" s="77"/>
      <c r="U345" s="77"/>
      <c r="V345" s="77"/>
      <c r="W345" s="77"/>
      <c r="X345" s="77"/>
      <c r="Y345">
        <v>1</v>
      </c>
    </row>
    <row r="346" spans="1:25" x14ac:dyDescent="0.25">
      <c r="A346" s="62" t="s">
        <v>304</v>
      </c>
      <c r="B346" s="62" t="s">
        <v>304</v>
      </c>
      <c r="C346" s="63" t="s">
        <v>2219</v>
      </c>
      <c r="D346" s="64">
        <v>1</v>
      </c>
      <c r="E346" s="65"/>
      <c r="F346" s="66">
        <v>100</v>
      </c>
      <c r="G346" s="63"/>
      <c r="H346" s="67"/>
      <c r="I346" s="68"/>
      <c r="J346" s="68"/>
      <c r="K346" s="34" t="s">
        <v>64</v>
      </c>
      <c r="L346" s="75">
        <v>346</v>
      </c>
      <c r="M346" s="75"/>
      <c r="N346" s="70"/>
      <c r="O346" s="77" t="s">
        <v>180</v>
      </c>
      <c r="P346" s="79">
        <v>41123.824363425927</v>
      </c>
      <c r="Q346" s="77" t="s">
        <v>503</v>
      </c>
      <c r="R346" s="81" t="s">
        <v>612</v>
      </c>
      <c r="S346" s="77" t="s">
        <v>637</v>
      </c>
      <c r="T346" s="79">
        <v>41123.824363425927</v>
      </c>
      <c r="U346" s="81" t="s">
        <v>807</v>
      </c>
      <c r="V346" s="77"/>
      <c r="W346" s="77"/>
      <c r="X346" s="84" t="s">
        <v>1104</v>
      </c>
      <c r="Y346" s="82">
        <v>1</v>
      </c>
    </row>
    <row r="347" spans="1:25" x14ac:dyDescent="0.25">
      <c r="A347" s="62" t="s">
        <v>310</v>
      </c>
      <c r="B347" s="62" t="s">
        <v>304</v>
      </c>
      <c r="C347" s="63" t="s">
        <v>2222</v>
      </c>
      <c r="D347" s="64">
        <v>1</v>
      </c>
      <c r="E347" s="65"/>
      <c r="F347" s="66">
        <v>100</v>
      </c>
      <c r="G347" s="63"/>
      <c r="H347" s="67"/>
      <c r="I347" s="68"/>
      <c r="J347" s="68"/>
      <c r="K347" s="34" t="s">
        <v>65</v>
      </c>
      <c r="L347" s="75">
        <v>347</v>
      </c>
      <c r="M347" s="75"/>
      <c r="N347" s="70"/>
      <c r="O347" s="77" t="s">
        <v>382</v>
      </c>
      <c r="P347" s="79">
        <v>41124.25708333333</v>
      </c>
      <c r="Q347" s="77"/>
      <c r="R347" s="77"/>
      <c r="S347" s="77"/>
      <c r="T347" s="77"/>
      <c r="U347" s="77"/>
      <c r="V347" s="77"/>
      <c r="W347" s="77"/>
      <c r="X347" s="77"/>
      <c r="Y347">
        <v>1</v>
      </c>
    </row>
    <row r="348" spans="1:25" x14ac:dyDescent="0.25">
      <c r="A348" s="62" t="s">
        <v>246</v>
      </c>
      <c r="B348" s="62" t="s">
        <v>304</v>
      </c>
      <c r="C348" s="63" t="s">
        <v>2222</v>
      </c>
      <c r="D348" s="64">
        <v>1</v>
      </c>
      <c r="E348" s="65"/>
      <c r="F348" s="66">
        <v>100</v>
      </c>
      <c r="G348" s="63"/>
      <c r="H348" s="67"/>
      <c r="I348" s="68"/>
      <c r="J348" s="68"/>
      <c r="K348" s="34" t="s">
        <v>65</v>
      </c>
      <c r="L348" s="75">
        <v>348</v>
      </c>
      <c r="M348" s="75"/>
      <c r="N348" s="70"/>
      <c r="O348" s="77" t="s">
        <v>382</v>
      </c>
      <c r="P348" s="79">
        <v>41124.25708333333</v>
      </c>
      <c r="Q348" s="77"/>
      <c r="R348" s="77"/>
      <c r="S348" s="77"/>
      <c r="T348" s="77"/>
      <c r="U348" s="77"/>
      <c r="V348" s="77"/>
      <c r="W348" s="77"/>
      <c r="X348" s="77"/>
      <c r="Y348">
        <v>1</v>
      </c>
    </row>
    <row r="349" spans="1:25" x14ac:dyDescent="0.25">
      <c r="A349" s="62" t="s">
        <v>304</v>
      </c>
      <c r="B349" s="62" t="s">
        <v>312</v>
      </c>
      <c r="C349" s="63" t="s">
        <v>2222</v>
      </c>
      <c r="D349" s="64">
        <v>1</v>
      </c>
      <c r="E349" s="65"/>
      <c r="F349" s="66">
        <v>100</v>
      </c>
      <c r="G349" s="63"/>
      <c r="H349" s="67"/>
      <c r="I349" s="68"/>
      <c r="J349" s="68"/>
      <c r="K349" s="34" t="s">
        <v>64</v>
      </c>
      <c r="L349" s="75">
        <v>349</v>
      </c>
      <c r="M349" s="75"/>
      <c r="N349" s="70"/>
      <c r="O349" s="77" t="s">
        <v>382</v>
      </c>
      <c r="P349" s="79">
        <v>41124.25708333333</v>
      </c>
      <c r="Q349" s="77"/>
      <c r="R349" s="77"/>
      <c r="S349" s="77"/>
      <c r="T349" s="77"/>
      <c r="U349" s="77"/>
      <c r="V349" s="77"/>
      <c r="W349" s="77"/>
      <c r="X349" s="77"/>
      <c r="Y349">
        <v>1</v>
      </c>
    </row>
    <row r="350" spans="1:25" x14ac:dyDescent="0.25">
      <c r="A350" s="62" t="s">
        <v>304</v>
      </c>
      <c r="B350" s="62" t="s">
        <v>246</v>
      </c>
      <c r="C350" s="63" t="s">
        <v>2222</v>
      </c>
      <c r="D350" s="64">
        <v>1</v>
      </c>
      <c r="E350" s="65"/>
      <c r="F350" s="66">
        <v>100</v>
      </c>
      <c r="G350" s="63"/>
      <c r="H350" s="67"/>
      <c r="I350" s="68"/>
      <c r="J350" s="68"/>
      <c r="K350" s="34" t="s">
        <v>65</v>
      </c>
      <c r="L350" s="75">
        <v>350</v>
      </c>
      <c r="M350" s="75"/>
      <c r="N350" s="70"/>
      <c r="O350" s="77" t="s">
        <v>382</v>
      </c>
      <c r="P350" s="79">
        <v>41124.25708333333</v>
      </c>
      <c r="Q350" s="77"/>
      <c r="R350" s="77"/>
      <c r="S350" s="77"/>
      <c r="T350" s="77"/>
      <c r="U350" s="77"/>
      <c r="V350" s="77"/>
      <c r="W350" s="77"/>
      <c r="X350" s="77"/>
      <c r="Y350">
        <v>1</v>
      </c>
    </row>
    <row r="351" spans="1:25" x14ac:dyDescent="0.25">
      <c r="A351" s="62" t="s">
        <v>304</v>
      </c>
      <c r="B351" s="62" t="s">
        <v>294</v>
      </c>
      <c r="C351" s="63" t="s">
        <v>2222</v>
      </c>
      <c r="D351" s="64">
        <v>1</v>
      </c>
      <c r="E351" s="65"/>
      <c r="F351" s="66">
        <v>100</v>
      </c>
      <c r="G351" s="63"/>
      <c r="H351" s="67"/>
      <c r="I351" s="68"/>
      <c r="J351" s="68"/>
      <c r="K351" s="34" t="s">
        <v>65</v>
      </c>
      <c r="L351" s="75">
        <v>351</v>
      </c>
      <c r="M351" s="75"/>
      <c r="N351" s="70"/>
      <c r="O351" s="77" t="s">
        <v>382</v>
      </c>
      <c r="P351" s="79">
        <v>41124.25708333333</v>
      </c>
      <c r="Q351" s="77"/>
      <c r="R351" s="77"/>
      <c r="S351" s="77"/>
      <c r="T351" s="77"/>
      <c r="U351" s="77"/>
      <c r="V351" s="77"/>
      <c r="W351" s="77"/>
      <c r="X351" s="77"/>
      <c r="Y351">
        <v>1</v>
      </c>
    </row>
    <row r="352" spans="1:25" x14ac:dyDescent="0.25">
      <c r="A352" s="62" t="s">
        <v>304</v>
      </c>
      <c r="B352" s="62" t="s">
        <v>301</v>
      </c>
      <c r="C352" s="63" t="s">
        <v>2222</v>
      </c>
      <c r="D352" s="64">
        <v>1</v>
      </c>
      <c r="E352" s="65"/>
      <c r="F352" s="66">
        <v>100</v>
      </c>
      <c r="G352" s="63"/>
      <c r="H352" s="67"/>
      <c r="I352" s="68"/>
      <c r="J352" s="68"/>
      <c r="K352" s="34" t="s">
        <v>65</v>
      </c>
      <c r="L352" s="75">
        <v>352</v>
      </c>
      <c r="M352" s="75"/>
      <c r="N352" s="70"/>
      <c r="O352" s="77" t="s">
        <v>382</v>
      </c>
      <c r="P352" s="79">
        <v>41124.25708333333</v>
      </c>
      <c r="Q352" s="77"/>
      <c r="R352" s="77"/>
      <c r="S352" s="77"/>
      <c r="T352" s="77"/>
      <c r="U352" s="77"/>
      <c r="V352" s="77"/>
      <c r="W352" s="77"/>
      <c r="X352" s="77"/>
      <c r="Y352">
        <v>1</v>
      </c>
    </row>
    <row r="353" spans="1:25" x14ac:dyDescent="0.25">
      <c r="A353" s="62" t="s">
        <v>304</v>
      </c>
      <c r="B353" s="62" t="s">
        <v>311</v>
      </c>
      <c r="C353" s="63" t="s">
        <v>2222</v>
      </c>
      <c r="D353" s="64">
        <v>1</v>
      </c>
      <c r="E353" s="65"/>
      <c r="F353" s="66">
        <v>100</v>
      </c>
      <c r="G353" s="63"/>
      <c r="H353" s="67"/>
      <c r="I353" s="68"/>
      <c r="J353" s="68"/>
      <c r="K353" s="34" t="s">
        <v>65</v>
      </c>
      <c r="L353" s="75">
        <v>353</v>
      </c>
      <c r="M353" s="75"/>
      <c r="N353" s="70"/>
      <c r="O353" s="77" t="s">
        <v>382</v>
      </c>
      <c r="P353" s="79">
        <v>41124.25708333333</v>
      </c>
      <c r="Q353" s="77"/>
      <c r="R353" s="77"/>
      <c r="S353" s="77"/>
      <c r="T353" s="77"/>
      <c r="U353" s="77"/>
      <c r="V353" s="77"/>
      <c r="W353" s="77"/>
      <c r="X353" s="77"/>
      <c r="Y353">
        <v>1</v>
      </c>
    </row>
    <row r="354" spans="1:25" x14ac:dyDescent="0.25">
      <c r="A354" s="62" t="s">
        <v>304</v>
      </c>
      <c r="B354" s="62" t="s">
        <v>263</v>
      </c>
      <c r="C354" s="63" t="s">
        <v>2222</v>
      </c>
      <c r="D354" s="64">
        <v>1</v>
      </c>
      <c r="E354" s="65"/>
      <c r="F354" s="66">
        <v>100</v>
      </c>
      <c r="G354" s="63"/>
      <c r="H354" s="67"/>
      <c r="I354" s="68"/>
      <c r="J354" s="68"/>
      <c r="K354" s="34" t="s">
        <v>65</v>
      </c>
      <c r="L354" s="75">
        <v>354</v>
      </c>
      <c r="M354" s="75"/>
      <c r="N354" s="70"/>
      <c r="O354" s="77" t="s">
        <v>382</v>
      </c>
      <c r="P354" s="79">
        <v>41124.25708333333</v>
      </c>
      <c r="Q354" s="77"/>
      <c r="R354" s="77"/>
      <c r="S354" s="77"/>
      <c r="T354" s="77"/>
      <c r="U354" s="77"/>
      <c r="V354" s="77"/>
      <c r="W354" s="77"/>
      <c r="X354" s="77"/>
      <c r="Y354">
        <v>1</v>
      </c>
    </row>
    <row r="355" spans="1:25" x14ac:dyDescent="0.25">
      <c r="A355" s="62" t="s">
        <v>304</v>
      </c>
      <c r="B355" s="62" t="s">
        <v>310</v>
      </c>
      <c r="C355" s="63" t="s">
        <v>2222</v>
      </c>
      <c r="D355" s="64">
        <v>1</v>
      </c>
      <c r="E355" s="65"/>
      <c r="F355" s="66">
        <v>100</v>
      </c>
      <c r="G355" s="63"/>
      <c r="H355" s="67"/>
      <c r="I355" s="68"/>
      <c r="J355" s="68"/>
      <c r="K355" s="34" t="s">
        <v>65</v>
      </c>
      <c r="L355" s="75">
        <v>355</v>
      </c>
      <c r="M355" s="75"/>
      <c r="N355" s="70"/>
      <c r="O355" s="77" t="s">
        <v>382</v>
      </c>
      <c r="P355" s="79">
        <v>41124.25708333333</v>
      </c>
      <c r="Q355" s="77"/>
      <c r="R355" s="77"/>
      <c r="S355" s="77"/>
      <c r="T355" s="77"/>
      <c r="U355" s="77"/>
      <c r="V355" s="77"/>
      <c r="W355" s="77"/>
      <c r="X355" s="77"/>
      <c r="Y355">
        <v>1</v>
      </c>
    </row>
    <row r="356" spans="1:25" x14ac:dyDescent="0.25">
      <c r="A356" s="62" t="s">
        <v>304</v>
      </c>
      <c r="B356" s="62" t="s">
        <v>297</v>
      </c>
      <c r="C356" s="63" t="s">
        <v>2222</v>
      </c>
      <c r="D356" s="64">
        <v>1</v>
      </c>
      <c r="E356" s="65"/>
      <c r="F356" s="66">
        <v>100</v>
      </c>
      <c r="G356" s="63"/>
      <c r="H356" s="67"/>
      <c r="I356" s="68"/>
      <c r="J356" s="68"/>
      <c r="K356" s="34" t="s">
        <v>65</v>
      </c>
      <c r="L356" s="75">
        <v>356</v>
      </c>
      <c r="M356" s="75"/>
      <c r="N356" s="70"/>
      <c r="O356" s="77" t="s">
        <v>382</v>
      </c>
      <c r="P356" s="79">
        <v>41124.25708333333</v>
      </c>
      <c r="Q356" s="77"/>
      <c r="R356" s="77"/>
      <c r="S356" s="77"/>
      <c r="T356" s="77"/>
      <c r="U356" s="77"/>
      <c r="V356" s="77"/>
      <c r="W356" s="77"/>
      <c r="X356" s="77"/>
      <c r="Y356">
        <v>1</v>
      </c>
    </row>
    <row r="357" spans="1:25" x14ac:dyDescent="0.25">
      <c r="A357" s="62" t="s">
        <v>263</v>
      </c>
      <c r="B357" s="62" t="s">
        <v>304</v>
      </c>
      <c r="C357" s="63" t="s">
        <v>2222</v>
      </c>
      <c r="D357" s="64">
        <v>1</v>
      </c>
      <c r="E357" s="65"/>
      <c r="F357" s="66">
        <v>100</v>
      </c>
      <c r="G357" s="63"/>
      <c r="H357" s="67"/>
      <c r="I357" s="68"/>
      <c r="J357" s="68"/>
      <c r="K357" s="34" t="s">
        <v>65</v>
      </c>
      <c r="L357" s="75">
        <v>357</v>
      </c>
      <c r="M357" s="75"/>
      <c r="N357" s="70"/>
      <c r="O357" s="77" t="s">
        <v>382</v>
      </c>
      <c r="P357" s="79">
        <v>41124.25708333333</v>
      </c>
      <c r="Q357" s="77"/>
      <c r="R357" s="77"/>
      <c r="S357" s="77"/>
      <c r="T357" s="77"/>
      <c r="U357" s="77"/>
      <c r="V357" s="77"/>
      <c r="W357" s="77"/>
      <c r="X357" s="77"/>
      <c r="Y357">
        <v>1</v>
      </c>
    </row>
    <row r="358" spans="1:25" x14ac:dyDescent="0.25">
      <c r="A358" s="62" t="s">
        <v>297</v>
      </c>
      <c r="B358" s="62" t="s">
        <v>304</v>
      </c>
      <c r="C358" s="63" t="s">
        <v>2222</v>
      </c>
      <c r="D358" s="64">
        <v>1</v>
      </c>
      <c r="E358" s="65"/>
      <c r="F358" s="66">
        <v>100</v>
      </c>
      <c r="G358" s="63"/>
      <c r="H358" s="67"/>
      <c r="I358" s="68"/>
      <c r="J358" s="68"/>
      <c r="K358" s="34" t="s">
        <v>65</v>
      </c>
      <c r="L358" s="75">
        <v>358</v>
      </c>
      <c r="M358" s="75"/>
      <c r="N358" s="70"/>
      <c r="O358" s="77" t="s">
        <v>382</v>
      </c>
      <c r="P358" s="79">
        <v>41124.25708333333</v>
      </c>
      <c r="Q358" s="77"/>
      <c r="R358" s="77"/>
      <c r="S358" s="77"/>
      <c r="T358" s="77"/>
      <c r="U358" s="77"/>
      <c r="V358" s="77"/>
      <c r="W358" s="77"/>
      <c r="X358" s="77"/>
      <c r="Y358">
        <v>1</v>
      </c>
    </row>
    <row r="359" spans="1:25" x14ac:dyDescent="0.25">
      <c r="A359" s="62" t="s">
        <v>301</v>
      </c>
      <c r="B359" s="62" t="s">
        <v>304</v>
      </c>
      <c r="C359" s="63" t="s">
        <v>2222</v>
      </c>
      <c r="D359" s="64">
        <v>1</v>
      </c>
      <c r="E359" s="65"/>
      <c r="F359" s="66">
        <v>100</v>
      </c>
      <c r="G359" s="63"/>
      <c r="H359" s="67"/>
      <c r="I359" s="68"/>
      <c r="J359" s="68"/>
      <c r="K359" s="34" t="s">
        <v>65</v>
      </c>
      <c r="L359" s="75">
        <v>359</v>
      </c>
      <c r="M359" s="75"/>
      <c r="N359" s="70"/>
      <c r="O359" s="77" t="s">
        <v>382</v>
      </c>
      <c r="P359" s="79">
        <v>41124.25708333333</v>
      </c>
      <c r="Q359" s="77"/>
      <c r="R359" s="77"/>
      <c r="S359" s="77"/>
      <c r="T359" s="77"/>
      <c r="U359" s="77"/>
      <c r="V359" s="77"/>
      <c r="W359" s="77"/>
      <c r="X359" s="77"/>
      <c r="Y359">
        <v>1</v>
      </c>
    </row>
    <row r="360" spans="1:25" x14ac:dyDescent="0.25">
      <c r="A360" s="62" t="s">
        <v>294</v>
      </c>
      <c r="B360" s="62" t="s">
        <v>304</v>
      </c>
      <c r="C360" s="63" t="s">
        <v>2222</v>
      </c>
      <c r="D360" s="64">
        <v>1</v>
      </c>
      <c r="E360" s="65"/>
      <c r="F360" s="66">
        <v>100</v>
      </c>
      <c r="G360" s="63"/>
      <c r="H360" s="67"/>
      <c r="I360" s="68"/>
      <c r="J360" s="68"/>
      <c r="K360" s="34" t="s">
        <v>65</v>
      </c>
      <c r="L360" s="75">
        <v>360</v>
      </c>
      <c r="M360" s="75"/>
      <c r="N360" s="70"/>
      <c r="O360" s="77" t="s">
        <v>382</v>
      </c>
      <c r="P360" s="79">
        <v>41124.25708333333</v>
      </c>
      <c r="Q360" s="77"/>
      <c r="R360" s="77"/>
      <c r="S360" s="77"/>
      <c r="T360" s="77"/>
      <c r="U360" s="77"/>
      <c r="V360" s="77"/>
      <c r="W360" s="77"/>
      <c r="X360" s="77"/>
      <c r="Y360">
        <v>1</v>
      </c>
    </row>
    <row r="361" spans="1:25" x14ac:dyDescent="0.25">
      <c r="A361" s="62" t="s">
        <v>311</v>
      </c>
      <c r="B361" s="62" t="s">
        <v>304</v>
      </c>
      <c r="C361" s="63" t="s">
        <v>2222</v>
      </c>
      <c r="D361" s="64">
        <v>1</v>
      </c>
      <c r="E361" s="65"/>
      <c r="F361" s="66">
        <v>100</v>
      </c>
      <c r="G361" s="63"/>
      <c r="H361" s="67"/>
      <c r="I361" s="68"/>
      <c r="J361" s="68"/>
      <c r="K361" s="34" t="s">
        <v>65</v>
      </c>
      <c r="L361" s="75">
        <v>361</v>
      </c>
      <c r="M361" s="75"/>
      <c r="N361" s="70"/>
      <c r="O361" s="77" t="s">
        <v>382</v>
      </c>
      <c r="P361" s="79">
        <v>41124.25708333333</v>
      </c>
      <c r="Q361" s="77"/>
      <c r="R361" s="77"/>
      <c r="S361" s="77"/>
      <c r="T361" s="77"/>
      <c r="U361" s="77"/>
      <c r="V361" s="77"/>
      <c r="W361" s="77"/>
      <c r="X361" s="77"/>
      <c r="Y361">
        <v>1</v>
      </c>
    </row>
    <row r="362" spans="1:25" x14ac:dyDescent="0.25">
      <c r="A362" s="62" t="s">
        <v>263</v>
      </c>
      <c r="B362" s="62" t="s">
        <v>263</v>
      </c>
      <c r="C362" s="63" t="s">
        <v>2219</v>
      </c>
      <c r="D362" s="64">
        <v>1</v>
      </c>
      <c r="E362" s="65"/>
      <c r="F362" s="66">
        <v>100</v>
      </c>
      <c r="G362" s="63"/>
      <c r="H362" s="67"/>
      <c r="I362" s="68"/>
      <c r="J362" s="68"/>
      <c r="K362" s="34" t="s">
        <v>64</v>
      </c>
      <c r="L362" s="75">
        <v>362</v>
      </c>
      <c r="M362" s="75"/>
      <c r="N362" s="70"/>
      <c r="O362" s="77" t="s">
        <v>180</v>
      </c>
      <c r="P362" s="79">
        <v>41123.835057870368</v>
      </c>
      <c r="Q362" s="77" t="s">
        <v>503</v>
      </c>
      <c r="R362" s="81" t="s">
        <v>612</v>
      </c>
      <c r="S362" s="77" t="s">
        <v>637</v>
      </c>
      <c r="T362" s="79">
        <v>41123.835057870368</v>
      </c>
      <c r="U362" s="81" t="s">
        <v>808</v>
      </c>
      <c r="V362" s="77"/>
      <c r="W362" s="77"/>
      <c r="X362" s="84" t="s">
        <v>1105</v>
      </c>
      <c r="Y362" s="82">
        <v>1</v>
      </c>
    </row>
    <row r="363" spans="1:25" x14ac:dyDescent="0.25">
      <c r="A363" s="62" t="s">
        <v>263</v>
      </c>
      <c r="B363" s="62" t="s">
        <v>293</v>
      </c>
      <c r="C363" s="63" t="s">
        <v>2222</v>
      </c>
      <c r="D363" s="64">
        <v>1</v>
      </c>
      <c r="E363" s="65"/>
      <c r="F363" s="66">
        <v>100</v>
      </c>
      <c r="G363" s="63"/>
      <c r="H363" s="67"/>
      <c r="I363" s="68"/>
      <c r="J363" s="68"/>
      <c r="K363" s="34" t="s">
        <v>65</v>
      </c>
      <c r="L363" s="75">
        <v>363</v>
      </c>
      <c r="M363" s="75"/>
      <c r="N363" s="70"/>
      <c r="O363" s="77" t="s">
        <v>382</v>
      </c>
      <c r="P363" s="79">
        <v>41124.25708333333</v>
      </c>
      <c r="Q363" s="77"/>
      <c r="R363" s="77"/>
      <c r="S363" s="77"/>
      <c r="T363" s="77"/>
      <c r="U363" s="77"/>
      <c r="V363" s="77"/>
      <c r="W363" s="77"/>
      <c r="X363" s="77"/>
      <c r="Y363">
        <v>1</v>
      </c>
    </row>
    <row r="364" spans="1:25" x14ac:dyDescent="0.25">
      <c r="A364" s="62" t="s">
        <v>263</v>
      </c>
      <c r="B364" s="62" t="s">
        <v>246</v>
      </c>
      <c r="C364" s="63" t="s">
        <v>2222</v>
      </c>
      <c r="D364" s="64">
        <v>1</v>
      </c>
      <c r="E364" s="65"/>
      <c r="F364" s="66">
        <v>100</v>
      </c>
      <c r="G364" s="63"/>
      <c r="H364" s="67"/>
      <c r="I364" s="68"/>
      <c r="J364" s="68"/>
      <c r="K364" s="34" t="s">
        <v>64</v>
      </c>
      <c r="L364" s="75">
        <v>364</v>
      </c>
      <c r="M364" s="75"/>
      <c r="N364" s="70"/>
      <c r="O364" s="77" t="s">
        <v>382</v>
      </c>
      <c r="P364" s="79">
        <v>41124.25708333333</v>
      </c>
      <c r="Q364" s="77"/>
      <c r="R364" s="77"/>
      <c r="S364" s="77"/>
      <c r="T364" s="77"/>
      <c r="U364" s="77"/>
      <c r="V364" s="77"/>
      <c r="W364" s="77"/>
      <c r="X364" s="77"/>
      <c r="Y364">
        <v>1</v>
      </c>
    </row>
    <row r="365" spans="1:25" x14ac:dyDescent="0.25">
      <c r="A365" s="62" t="s">
        <v>263</v>
      </c>
      <c r="B365" s="62" t="s">
        <v>311</v>
      </c>
      <c r="C365" s="63" t="s">
        <v>2222</v>
      </c>
      <c r="D365" s="64">
        <v>1</v>
      </c>
      <c r="E365" s="65"/>
      <c r="F365" s="66">
        <v>100</v>
      </c>
      <c r="G365" s="63"/>
      <c r="H365" s="67"/>
      <c r="I365" s="68"/>
      <c r="J365" s="68"/>
      <c r="K365" s="34" t="s">
        <v>65</v>
      </c>
      <c r="L365" s="75">
        <v>365</v>
      </c>
      <c r="M365" s="75"/>
      <c r="N365" s="70"/>
      <c r="O365" s="77" t="s">
        <v>382</v>
      </c>
      <c r="P365" s="79">
        <v>41124.25708333333</v>
      </c>
      <c r="Q365" s="77"/>
      <c r="R365" s="77"/>
      <c r="S365" s="77"/>
      <c r="T365" s="77"/>
      <c r="U365" s="77"/>
      <c r="V365" s="77"/>
      <c r="W365" s="77"/>
      <c r="X365" s="77"/>
      <c r="Y365">
        <v>1</v>
      </c>
    </row>
    <row r="366" spans="1:25" x14ac:dyDescent="0.25">
      <c r="A366" s="62" t="s">
        <v>293</v>
      </c>
      <c r="B366" s="62" t="s">
        <v>263</v>
      </c>
      <c r="C366" s="63" t="s">
        <v>2222</v>
      </c>
      <c r="D366" s="64">
        <v>1</v>
      </c>
      <c r="E366" s="65"/>
      <c r="F366" s="66">
        <v>100</v>
      </c>
      <c r="G366" s="63"/>
      <c r="H366" s="67"/>
      <c r="I366" s="68"/>
      <c r="J366" s="68"/>
      <c r="K366" s="34" t="s">
        <v>65</v>
      </c>
      <c r="L366" s="75">
        <v>366</v>
      </c>
      <c r="M366" s="75"/>
      <c r="N366" s="70"/>
      <c r="O366" s="77" t="s">
        <v>382</v>
      </c>
      <c r="P366" s="79">
        <v>41124.25708333333</v>
      </c>
      <c r="Q366" s="77"/>
      <c r="R366" s="77"/>
      <c r="S366" s="77"/>
      <c r="T366" s="77"/>
      <c r="U366" s="77"/>
      <c r="V366" s="77"/>
      <c r="W366" s="77"/>
      <c r="X366" s="77"/>
      <c r="Y366">
        <v>1</v>
      </c>
    </row>
    <row r="367" spans="1:25" x14ac:dyDescent="0.25">
      <c r="A367" s="62" t="s">
        <v>311</v>
      </c>
      <c r="B367" s="62" t="s">
        <v>263</v>
      </c>
      <c r="C367" s="63" t="s">
        <v>2222</v>
      </c>
      <c r="D367" s="64">
        <v>1</v>
      </c>
      <c r="E367" s="65"/>
      <c r="F367" s="66">
        <v>100</v>
      </c>
      <c r="G367" s="63"/>
      <c r="H367" s="67"/>
      <c r="I367" s="68"/>
      <c r="J367" s="68"/>
      <c r="K367" s="34" t="s">
        <v>65</v>
      </c>
      <c r="L367" s="75">
        <v>367</v>
      </c>
      <c r="M367" s="75"/>
      <c r="N367" s="70"/>
      <c r="O367" s="77" t="s">
        <v>382</v>
      </c>
      <c r="P367" s="79">
        <v>41124.25708333333</v>
      </c>
      <c r="Q367" s="77"/>
      <c r="R367" s="77"/>
      <c r="S367" s="77"/>
      <c r="T367" s="77"/>
      <c r="U367" s="77"/>
      <c r="V367" s="77"/>
      <c r="W367" s="77"/>
      <c r="X367" s="77"/>
      <c r="Y367">
        <v>1</v>
      </c>
    </row>
    <row r="368" spans="1:25" x14ac:dyDescent="0.25">
      <c r="A368" s="62" t="s">
        <v>312</v>
      </c>
      <c r="B368" s="62" t="s">
        <v>312</v>
      </c>
      <c r="C368" s="63" t="s">
        <v>2219</v>
      </c>
      <c r="D368" s="64">
        <v>1</v>
      </c>
      <c r="E368" s="65"/>
      <c r="F368" s="66">
        <v>100</v>
      </c>
      <c r="G368" s="63"/>
      <c r="H368" s="67"/>
      <c r="I368" s="68"/>
      <c r="J368" s="68"/>
      <c r="K368" s="34" t="s">
        <v>64</v>
      </c>
      <c r="L368" s="75">
        <v>368</v>
      </c>
      <c r="M368" s="75"/>
      <c r="N368" s="70"/>
      <c r="O368" s="77" t="s">
        <v>180</v>
      </c>
      <c r="P368" s="79">
        <v>41123.766342592593</v>
      </c>
      <c r="Q368" s="77" t="s">
        <v>504</v>
      </c>
      <c r="R368" s="77"/>
      <c r="S368" s="77"/>
      <c r="T368" s="79">
        <v>41123.766342592593</v>
      </c>
      <c r="U368" s="81" t="s">
        <v>809</v>
      </c>
      <c r="V368" s="77"/>
      <c r="W368" s="77"/>
      <c r="X368" s="84" t="s">
        <v>1106</v>
      </c>
      <c r="Y368" s="82">
        <v>1</v>
      </c>
    </row>
    <row r="369" spans="1:25" x14ac:dyDescent="0.25">
      <c r="A369" s="62" t="s">
        <v>300</v>
      </c>
      <c r="B369" s="62" t="s">
        <v>312</v>
      </c>
      <c r="C369" s="63" t="s">
        <v>2222</v>
      </c>
      <c r="D369" s="64">
        <v>1</v>
      </c>
      <c r="E369" s="65"/>
      <c r="F369" s="66">
        <v>100</v>
      </c>
      <c r="G369" s="63"/>
      <c r="H369" s="67"/>
      <c r="I369" s="68"/>
      <c r="J369" s="68"/>
      <c r="K369" s="34" t="s">
        <v>64</v>
      </c>
      <c r="L369" s="75">
        <v>369</v>
      </c>
      <c r="M369" s="75"/>
      <c r="N369" s="70"/>
      <c r="O369" s="77" t="s">
        <v>382</v>
      </c>
      <c r="P369" s="79">
        <v>41124.25708333333</v>
      </c>
      <c r="Q369" s="77"/>
      <c r="R369" s="77"/>
      <c r="S369" s="77"/>
      <c r="T369" s="77"/>
      <c r="U369" s="77"/>
      <c r="V369" s="77"/>
      <c r="W369" s="77"/>
      <c r="X369" s="77"/>
      <c r="Y369">
        <v>1</v>
      </c>
    </row>
    <row r="370" spans="1:25" x14ac:dyDescent="0.25">
      <c r="A370" s="62" t="s">
        <v>313</v>
      </c>
      <c r="B370" s="62" t="s">
        <v>312</v>
      </c>
      <c r="C370" s="63" t="s">
        <v>2222</v>
      </c>
      <c r="D370" s="64">
        <v>1</v>
      </c>
      <c r="E370" s="65"/>
      <c r="F370" s="66">
        <v>100</v>
      </c>
      <c r="G370" s="63"/>
      <c r="H370" s="67"/>
      <c r="I370" s="68"/>
      <c r="J370" s="68"/>
      <c r="K370" s="34" t="s">
        <v>64</v>
      </c>
      <c r="L370" s="75">
        <v>370</v>
      </c>
      <c r="M370" s="75"/>
      <c r="N370" s="70"/>
      <c r="O370" s="77" t="s">
        <v>382</v>
      </c>
      <c r="P370" s="79">
        <v>41124.25708333333</v>
      </c>
      <c r="Q370" s="77"/>
      <c r="R370" s="77"/>
      <c r="S370" s="77"/>
      <c r="T370" s="77"/>
      <c r="U370" s="77"/>
      <c r="V370" s="77"/>
      <c r="W370" s="77"/>
      <c r="X370" s="77"/>
      <c r="Y370">
        <v>1</v>
      </c>
    </row>
    <row r="371" spans="1:25" x14ac:dyDescent="0.25">
      <c r="A371" s="62" t="s">
        <v>275</v>
      </c>
      <c r="B371" s="62" t="s">
        <v>312</v>
      </c>
      <c r="C371" s="63" t="s">
        <v>2222</v>
      </c>
      <c r="D371" s="64">
        <v>1</v>
      </c>
      <c r="E371" s="65"/>
      <c r="F371" s="66">
        <v>100</v>
      </c>
      <c r="G371" s="63"/>
      <c r="H371" s="67"/>
      <c r="I371" s="68"/>
      <c r="J371" s="68"/>
      <c r="K371" s="34" t="s">
        <v>64</v>
      </c>
      <c r="L371" s="75">
        <v>371</v>
      </c>
      <c r="M371" s="75"/>
      <c r="N371" s="70"/>
      <c r="O371" s="77" t="s">
        <v>382</v>
      </c>
      <c r="P371" s="79">
        <v>41124.25708333333</v>
      </c>
      <c r="Q371" s="77"/>
      <c r="R371" s="77"/>
      <c r="S371" s="77"/>
      <c r="T371" s="77"/>
      <c r="U371" s="77"/>
      <c r="V371" s="77"/>
      <c r="W371" s="77"/>
      <c r="X371" s="77"/>
      <c r="Y371">
        <v>1</v>
      </c>
    </row>
    <row r="372" spans="1:25" x14ac:dyDescent="0.25">
      <c r="A372" s="62" t="s">
        <v>246</v>
      </c>
      <c r="B372" s="62" t="s">
        <v>312</v>
      </c>
      <c r="C372" s="63" t="s">
        <v>2222</v>
      </c>
      <c r="D372" s="64">
        <v>1</v>
      </c>
      <c r="E372" s="65"/>
      <c r="F372" s="66">
        <v>100</v>
      </c>
      <c r="G372" s="63"/>
      <c r="H372" s="67"/>
      <c r="I372" s="68"/>
      <c r="J372" s="68"/>
      <c r="K372" s="34" t="s">
        <v>65</v>
      </c>
      <c r="L372" s="75">
        <v>372</v>
      </c>
      <c r="M372" s="75"/>
      <c r="N372" s="70"/>
      <c r="O372" s="77" t="s">
        <v>382</v>
      </c>
      <c r="P372" s="79">
        <v>41124.25708333333</v>
      </c>
      <c r="Q372" s="77"/>
      <c r="R372" s="77"/>
      <c r="S372" s="77"/>
      <c r="T372" s="77"/>
      <c r="U372" s="77"/>
      <c r="V372" s="77"/>
      <c r="W372" s="77"/>
      <c r="X372" s="77"/>
      <c r="Y372">
        <v>1</v>
      </c>
    </row>
    <row r="373" spans="1:25" x14ac:dyDescent="0.25">
      <c r="A373" s="62" t="s">
        <v>312</v>
      </c>
      <c r="B373" s="62" t="s">
        <v>246</v>
      </c>
      <c r="C373" s="63" t="s">
        <v>2222</v>
      </c>
      <c r="D373" s="64">
        <v>1</v>
      </c>
      <c r="E373" s="65"/>
      <c r="F373" s="66">
        <v>100</v>
      </c>
      <c r="G373" s="63"/>
      <c r="H373" s="67"/>
      <c r="I373" s="68"/>
      <c r="J373" s="68"/>
      <c r="K373" s="34" t="s">
        <v>65</v>
      </c>
      <c r="L373" s="75">
        <v>373</v>
      </c>
      <c r="M373" s="75"/>
      <c r="N373" s="70"/>
      <c r="O373" s="77" t="s">
        <v>382</v>
      </c>
      <c r="P373" s="79">
        <v>41124.25708333333</v>
      </c>
      <c r="Q373" s="77"/>
      <c r="R373" s="77"/>
      <c r="S373" s="77"/>
      <c r="T373" s="77"/>
      <c r="U373" s="77"/>
      <c r="V373" s="77"/>
      <c r="W373" s="77"/>
      <c r="X373" s="77"/>
      <c r="Y373">
        <v>1</v>
      </c>
    </row>
    <row r="374" spans="1:25" x14ac:dyDescent="0.25">
      <c r="A374" s="62" t="s">
        <v>307</v>
      </c>
      <c r="B374" s="62" t="s">
        <v>312</v>
      </c>
      <c r="C374" s="63" t="s">
        <v>2222</v>
      </c>
      <c r="D374" s="64">
        <v>1</v>
      </c>
      <c r="E374" s="65"/>
      <c r="F374" s="66">
        <v>100</v>
      </c>
      <c r="G374" s="63"/>
      <c r="H374" s="67"/>
      <c r="I374" s="68"/>
      <c r="J374" s="68"/>
      <c r="K374" s="34" t="s">
        <v>64</v>
      </c>
      <c r="L374" s="75">
        <v>374</v>
      </c>
      <c r="M374" s="75"/>
      <c r="N374" s="70"/>
      <c r="O374" s="77" t="s">
        <v>382</v>
      </c>
      <c r="P374" s="79">
        <v>41124.25708333333</v>
      </c>
      <c r="Q374" s="77"/>
      <c r="R374" s="77"/>
      <c r="S374" s="77"/>
      <c r="T374" s="77"/>
      <c r="U374" s="77"/>
      <c r="V374" s="77"/>
      <c r="W374" s="77"/>
      <c r="X374" s="77"/>
      <c r="Y374">
        <v>1</v>
      </c>
    </row>
    <row r="375" spans="1:25" x14ac:dyDescent="0.25">
      <c r="A375" s="62" t="s">
        <v>281</v>
      </c>
      <c r="B375" s="62" t="s">
        <v>312</v>
      </c>
      <c r="C375" s="63" t="s">
        <v>2222</v>
      </c>
      <c r="D375" s="64">
        <v>1</v>
      </c>
      <c r="E375" s="65"/>
      <c r="F375" s="66">
        <v>100</v>
      </c>
      <c r="G375" s="63"/>
      <c r="H375" s="67"/>
      <c r="I375" s="68"/>
      <c r="J375" s="68"/>
      <c r="K375" s="34" t="s">
        <v>64</v>
      </c>
      <c r="L375" s="75">
        <v>375</v>
      </c>
      <c r="M375" s="75"/>
      <c r="N375" s="70"/>
      <c r="O375" s="77" t="s">
        <v>382</v>
      </c>
      <c r="P375" s="79">
        <v>41124.25708333333</v>
      </c>
      <c r="Q375" s="77"/>
      <c r="R375" s="77"/>
      <c r="S375" s="77"/>
      <c r="T375" s="77"/>
      <c r="U375" s="77"/>
      <c r="V375" s="77"/>
      <c r="W375" s="77"/>
      <c r="X375" s="77"/>
      <c r="Y375">
        <v>1</v>
      </c>
    </row>
    <row r="376" spans="1:25" x14ac:dyDescent="0.25">
      <c r="A376" s="62" t="s">
        <v>276</v>
      </c>
      <c r="B376" s="62" t="s">
        <v>312</v>
      </c>
      <c r="C376" s="63" t="s">
        <v>2222</v>
      </c>
      <c r="D376" s="64">
        <v>1</v>
      </c>
      <c r="E376" s="65"/>
      <c r="F376" s="66">
        <v>100</v>
      </c>
      <c r="G376" s="63"/>
      <c r="H376" s="67"/>
      <c r="I376" s="68"/>
      <c r="J376" s="68"/>
      <c r="K376" s="34" t="s">
        <v>64</v>
      </c>
      <c r="L376" s="75">
        <v>376</v>
      </c>
      <c r="M376" s="75"/>
      <c r="N376" s="70"/>
      <c r="O376" s="77" t="s">
        <v>382</v>
      </c>
      <c r="P376" s="79">
        <v>41124.25708333333</v>
      </c>
      <c r="Q376" s="77"/>
      <c r="R376" s="77"/>
      <c r="S376" s="77"/>
      <c r="T376" s="77"/>
      <c r="U376" s="77"/>
      <c r="V376" s="77"/>
      <c r="W376" s="77"/>
      <c r="X376" s="77"/>
      <c r="Y376">
        <v>1</v>
      </c>
    </row>
    <row r="377" spans="1:25" x14ac:dyDescent="0.25">
      <c r="A377" s="62" t="s">
        <v>314</v>
      </c>
      <c r="B377" s="62" t="s">
        <v>312</v>
      </c>
      <c r="C377" s="63" t="s">
        <v>2222</v>
      </c>
      <c r="D377" s="64">
        <v>1</v>
      </c>
      <c r="E377" s="65"/>
      <c r="F377" s="66">
        <v>100</v>
      </c>
      <c r="G377" s="63"/>
      <c r="H377" s="67"/>
      <c r="I377" s="68"/>
      <c r="J377" s="68"/>
      <c r="K377" s="34" t="s">
        <v>64</v>
      </c>
      <c r="L377" s="75">
        <v>377</v>
      </c>
      <c r="M377" s="75"/>
      <c r="N377" s="70"/>
      <c r="O377" s="77" t="s">
        <v>382</v>
      </c>
      <c r="P377" s="79">
        <v>41124.25708333333</v>
      </c>
      <c r="Q377" s="77"/>
      <c r="R377" s="77"/>
      <c r="S377" s="77"/>
      <c r="T377" s="77"/>
      <c r="U377" s="77"/>
      <c r="V377" s="77"/>
      <c r="W377" s="77"/>
      <c r="X377" s="77"/>
      <c r="Y377">
        <v>1</v>
      </c>
    </row>
    <row r="378" spans="1:25" x14ac:dyDescent="0.25">
      <c r="A378" s="62" t="s">
        <v>315</v>
      </c>
      <c r="B378" s="62" t="s">
        <v>315</v>
      </c>
      <c r="C378" s="63" t="s">
        <v>2219</v>
      </c>
      <c r="D378" s="64">
        <v>1</v>
      </c>
      <c r="E378" s="65"/>
      <c r="F378" s="66">
        <v>100</v>
      </c>
      <c r="G378" s="63"/>
      <c r="H378" s="67"/>
      <c r="I378" s="68"/>
      <c r="J378" s="68"/>
      <c r="K378" s="34" t="s">
        <v>64</v>
      </c>
      <c r="L378" s="75">
        <v>378</v>
      </c>
      <c r="M378" s="75"/>
      <c r="N378" s="70"/>
      <c r="O378" s="77" t="s">
        <v>180</v>
      </c>
      <c r="P378" s="79">
        <v>41124.008171296293</v>
      </c>
      <c r="Q378" s="77" t="s">
        <v>505</v>
      </c>
      <c r="R378" s="77"/>
      <c r="S378" s="77"/>
      <c r="T378" s="79">
        <v>41124.008171296293</v>
      </c>
      <c r="U378" s="81" t="s">
        <v>810</v>
      </c>
      <c r="V378" s="77"/>
      <c r="W378" s="77"/>
      <c r="X378" s="84" t="s">
        <v>1107</v>
      </c>
      <c r="Y378" s="82">
        <v>1</v>
      </c>
    </row>
    <row r="379" spans="1:25" x14ac:dyDescent="0.25">
      <c r="A379" s="62" t="s">
        <v>315</v>
      </c>
      <c r="B379" s="62" t="s">
        <v>287</v>
      </c>
      <c r="C379" s="63" t="s">
        <v>2222</v>
      </c>
      <c r="D379" s="64">
        <v>1</v>
      </c>
      <c r="E379" s="65"/>
      <c r="F379" s="66">
        <v>100</v>
      </c>
      <c r="G379" s="63"/>
      <c r="H379" s="67"/>
      <c r="I379" s="68"/>
      <c r="J379" s="68"/>
      <c r="K379" s="34" t="s">
        <v>64</v>
      </c>
      <c r="L379" s="75">
        <v>379</v>
      </c>
      <c r="M379" s="75"/>
      <c r="N379" s="70"/>
      <c r="O379" s="77" t="s">
        <v>382</v>
      </c>
      <c r="P379" s="79">
        <v>41124.25708333333</v>
      </c>
      <c r="Q379" s="77"/>
      <c r="R379" s="77"/>
      <c r="S379" s="77"/>
      <c r="T379" s="77"/>
      <c r="U379" s="77"/>
      <c r="V379" s="77"/>
      <c r="W379" s="77"/>
      <c r="X379" s="77"/>
      <c r="Y379">
        <v>1</v>
      </c>
    </row>
    <row r="380" spans="1:25" x14ac:dyDescent="0.25">
      <c r="A380" s="62" t="s">
        <v>316</v>
      </c>
      <c r="B380" s="62" t="s">
        <v>316</v>
      </c>
      <c r="C380" s="63" t="s">
        <v>2219</v>
      </c>
      <c r="D380" s="64">
        <v>1</v>
      </c>
      <c r="E380" s="65"/>
      <c r="F380" s="66">
        <v>100</v>
      </c>
      <c r="G380" s="63"/>
      <c r="H380" s="67"/>
      <c r="I380" s="68"/>
      <c r="J380" s="68"/>
      <c r="K380" s="34" t="s">
        <v>64</v>
      </c>
      <c r="L380" s="75">
        <v>380</v>
      </c>
      <c r="M380" s="75"/>
      <c r="N380" s="70"/>
      <c r="O380" s="77" t="s">
        <v>180</v>
      </c>
      <c r="P380" s="79">
        <v>41124.011979166666</v>
      </c>
      <c r="Q380" s="77" t="s">
        <v>506</v>
      </c>
      <c r="R380" s="77"/>
      <c r="S380" s="77"/>
      <c r="T380" s="79">
        <v>41124.011979166666</v>
      </c>
      <c r="U380" s="81" t="s">
        <v>811</v>
      </c>
      <c r="V380" s="77"/>
      <c r="W380" s="77"/>
      <c r="X380" s="84" t="s">
        <v>1108</v>
      </c>
      <c r="Y380" s="82">
        <v>1</v>
      </c>
    </row>
    <row r="381" spans="1:25" x14ac:dyDescent="0.25">
      <c r="A381" s="62" t="s">
        <v>316</v>
      </c>
      <c r="B381" s="62" t="s">
        <v>346</v>
      </c>
      <c r="C381" s="63" t="s">
        <v>2222</v>
      </c>
      <c r="D381" s="64">
        <v>1</v>
      </c>
      <c r="E381" s="65"/>
      <c r="F381" s="66">
        <v>100</v>
      </c>
      <c r="G381" s="63"/>
      <c r="H381" s="67"/>
      <c r="I381" s="68"/>
      <c r="J381" s="68"/>
      <c r="K381" s="34" t="s">
        <v>64</v>
      </c>
      <c r="L381" s="75">
        <v>381</v>
      </c>
      <c r="M381" s="75"/>
      <c r="N381" s="70"/>
      <c r="O381" s="77" t="s">
        <v>382</v>
      </c>
      <c r="P381" s="79">
        <v>41124.25708333333</v>
      </c>
      <c r="Q381" s="77"/>
      <c r="R381" s="77"/>
      <c r="S381" s="77"/>
      <c r="T381" s="77"/>
      <c r="U381" s="77"/>
      <c r="V381" s="77"/>
      <c r="W381" s="77"/>
      <c r="X381" s="77"/>
      <c r="Y381">
        <v>1</v>
      </c>
    </row>
    <row r="382" spans="1:25" x14ac:dyDescent="0.25">
      <c r="A382" s="62" t="s">
        <v>316</v>
      </c>
      <c r="B382" s="62" t="s">
        <v>350</v>
      </c>
      <c r="C382" s="63" t="s">
        <v>2222</v>
      </c>
      <c r="D382" s="64">
        <v>1</v>
      </c>
      <c r="E382" s="65"/>
      <c r="F382" s="66">
        <v>100</v>
      </c>
      <c r="G382" s="63"/>
      <c r="H382" s="67"/>
      <c r="I382" s="68"/>
      <c r="J382" s="68"/>
      <c r="K382" s="34" t="s">
        <v>64</v>
      </c>
      <c r="L382" s="75">
        <v>382</v>
      </c>
      <c r="M382" s="75"/>
      <c r="N382" s="70"/>
      <c r="O382" s="77" t="s">
        <v>382</v>
      </c>
      <c r="P382" s="79">
        <v>41124.25708333333</v>
      </c>
      <c r="Q382" s="77"/>
      <c r="R382" s="77"/>
      <c r="S382" s="77"/>
      <c r="T382" s="77"/>
      <c r="U382" s="77"/>
      <c r="V382" s="77"/>
      <c r="W382" s="77"/>
      <c r="X382" s="77"/>
      <c r="Y382">
        <v>1</v>
      </c>
    </row>
    <row r="383" spans="1:25" x14ac:dyDescent="0.25">
      <c r="A383" s="62" t="s">
        <v>317</v>
      </c>
      <c r="B383" s="62" t="s">
        <v>318</v>
      </c>
      <c r="C383" s="63" t="s">
        <v>2221</v>
      </c>
      <c r="D383" s="64">
        <v>1</v>
      </c>
      <c r="E383" s="65"/>
      <c r="F383" s="66">
        <v>100</v>
      </c>
      <c r="G383" s="63"/>
      <c r="H383" s="67"/>
      <c r="I383" s="68"/>
      <c r="J383" s="68"/>
      <c r="K383" s="34" t="s">
        <v>65</v>
      </c>
      <c r="L383" s="75">
        <v>383</v>
      </c>
      <c r="M383" s="75"/>
      <c r="N383" s="70"/>
      <c r="O383" s="77" t="s">
        <v>381</v>
      </c>
      <c r="P383" s="79">
        <v>41124.020173611112</v>
      </c>
      <c r="Q383" s="77" t="s">
        <v>507</v>
      </c>
      <c r="R383" s="77"/>
      <c r="S383" s="77"/>
      <c r="T383" s="79">
        <v>41124.020173611112</v>
      </c>
      <c r="U383" s="81" t="s">
        <v>812</v>
      </c>
      <c r="V383" s="77"/>
      <c r="W383" s="77"/>
      <c r="X383" s="84" t="s">
        <v>1109</v>
      </c>
      <c r="Y383" s="82">
        <v>1</v>
      </c>
    </row>
    <row r="384" spans="1:25" x14ac:dyDescent="0.25">
      <c r="A384" s="62" t="s">
        <v>217</v>
      </c>
      <c r="B384" s="62" t="s">
        <v>317</v>
      </c>
      <c r="C384" s="63" t="s">
        <v>2222</v>
      </c>
      <c r="D384" s="64">
        <v>1</v>
      </c>
      <c r="E384" s="65"/>
      <c r="F384" s="66">
        <v>100</v>
      </c>
      <c r="G384" s="63"/>
      <c r="H384" s="67"/>
      <c r="I384" s="68"/>
      <c r="J384" s="68"/>
      <c r="K384" s="34" t="s">
        <v>65</v>
      </c>
      <c r="L384" s="75">
        <v>384</v>
      </c>
      <c r="M384" s="75"/>
      <c r="N384" s="70"/>
      <c r="O384" s="77" t="s">
        <v>382</v>
      </c>
      <c r="P384" s="79">
        <v>41124.25708333333</v>
      </c>
      <c r="Q384" s="77"/>
      <c r="R384" s="77"/>
      <c r="S384" s="77"/>
      <c r="T384" s="77"/>
      <c r="U384" s="77"/>
      <c r="V384" s="77"/>
      <c r="W384" s="77"/>
      <c r="X384" s="77"/>
      <c r="Y384">
        <v>1</v>
      </c>
    </row>
    <row r="385" spans="1:25" x14ac:dyDescent="0.25">
      <c r="A385" s="62" t="s">
        <v>318</v>
      </c>
      <c r="B385" s="62" t="s">
        <v>317</v>
      </c>
      <c r="C385" s="63" t="s">
        <v>2222</v>
      </c>
      <c r="D385" s="64">
        <v>1</v>
      </c>
      <c r="E385" s="65"/>
      <c r="F385" s="66">
        <v>100</v>
      </c>
      <c r="G385" s="63"/>
      <c r="H385" s="67"/>
      <c r="I385" s="68"/>
      <c r="J385" s="68"/>
      <c r="K385" s="34" t="s">
        <v>65</v>
      </c>
      <c r="L385" s="75">
        <v>385</v>
      </c>
      <c r="M385" s="75"/>
      <c r="N385" s="70"/>
      <c r="O385" s="77" t="s">
        <v>382</v>
      </c>
      <c r="P385" s="79">
        <v>41124.25708333333</v>
      </c>
      <c r="Q385" s="77"/>
      <c r="R385" s="77"/>
      <c r="S385" s="77"/>
      <c r="T385" s="77"/>
      <c r="U385" s="77"/>
      <c r="V385" s="77"/>
      <c r="W385" s="77"/>
      <c r="X385" s="77"/>
      <c r="Y385">
        <v>1</v>
      </c>
    </row>
    <row r="386" spans="1:25" x14ac:dyDescent="0.25">
      <c r="A386" s="62" t="s">
        <v>317</v>
      </c>
      <c r="B386" s="62" t="s">
        <v>217</v>
      </c>
      <c r="C386" s="63" t="s">
        <v>2222</v>
      </c>
      <c r="D386" s="64">
        <v>1</v>
      </c>
      <c r="E386" s="65"/>
      <c r="F386" s="66">
        <v>100</v>
      </c>
      <c r="G386" s="63"/>
      <c r="H386" s="67"/>
      <c r="I386" s="68"/>
      <c r="J386" s="68"/>
      <c r="K386" s="34" t="s">
        <v>65</v>
      </c>
      <c r="L386" s="75">
        <v>386</v>
      </c>
      <c r="M386" s="75"/>
      <c r="N386" s="70"/>
      <c r="O386" s="77" t="s">
        <v>382</v>
      </c>
      <c r="P386" s="79">
        <v>41124.25708333333</v>
      </c>
      <c r="Q386" s="77"/>
      <c r="R386" s="77"/>
      <c r="S386" s="77"/>
      <c r="T386" s="77"/>
      <c r="U386" s="77"/>
      <c r="V386" s="77"/>
      <c r="W386" s="77"/>
      <c r="X386" s="77"/>
      <c r="Y386">
        <v>1</v>
      </c>
    </row>
    <row r="387" spans="1:25" x14ac:dyDescent="0.25">
      <c r="A387" s="62" t="s">
        <v>317</v>
      </c>
      <c r="B387" s="62" t="s">
        <v>318</v>
      </c>
      <c r="C387" s="63" t="s">
        <v>2222</v>
      </c>
      <c r="D387" s="64">
        <v>1</v>
      </c>
      <c r="E387" s="65"/>
      <c r="F387" s="66">
        <v>100</v>
      </c>
      <c r="G387" s="63"/>
      <c r="H387" s="67"/>
      <c r="I387" s="68"/>
      <c r="J387" s="68"/>
      <c r="K387" s="34" t="s">
        <v>65</v>
      </c>
      <c r="L387" s="75">
        <v>387</v>
      </c>
      <c r="M387" s="75"/>
      <c r="N387" s="70"/>
      <c r="O387" s="77" t="s">
        <v>382</v>
      </c>
      <c r="P387" s="79">
        <v>41124.25708333333</v>
      </c>
      <c r="Q387" s="77"/>
      <c r="R387" s="77"/>
      <c r="S387" s="77"/>
      <c r="T387" s="77"/>
      <c r="U387" s="77"/>
      <c r="V387" s="77"/>
      <c r="W387" s="77"/>
      <c r="X387" s="77"/>
      <c r="Y387">
        <v>1</v>
      </c>
    </row>
    <row r="388" spans="1:25" x14ac:dyDescent="0.25">
      <c r="A388" s="62" t="s">
        <v>307</v>
      </c>
      <c r="B388" s="62" t="s">
        <v>307</v>
      </c>
      <c r="C388" s="63" t="s">
        <v>2219</v>
      </c>
      <c r="D388" s="64">
        <v>1</v>
      </c>
      <c r="E388" s="65"/>
      <c r="F388" s="66">
        <v>100</v>
      </c>
      <c r="G388" s="63"/>
      <c r="H388" s="67"/>
      <c r="I388" s="68"/>
      <c r="J388" s="68"/>
      <c r="K388" s="34" t="s">
        <v>64</v>
      </c>
      <c r="L388" s="75">
        <v>388</v>
      </c>
      <c r="M388" s="75"/>
      <c r="N388" s="70"/>
      <c r="O388" s="77" t="s">
        <v>180</v>
      </c>
      <c r="P388" s="79">
        <v>41123.811076388891</v>
      </c>
      <c r="Q388" s="77" t="s">
        <v>508</v>
      </c>
      <c r="R388" s="77"/>
      <c r="S388" s="77"/>
      <c r="T388" s="79">
        <v>41123.811076388891</v>
      </c>
      <c r="U388" s="81" t="s">
        <v>813</v>
      </c>
      <c r="V388" s="77"/>
      <c r="W388" s="77"/>
      <c r="X388" s="84" t="s">
        <v>1110</v>
      </c>
      <c r="Y388" s="82">
        <v>1</v>
      </c>
    </row>
    <row r="389" spans="1:25" x14ac:dyDescent="0.25">
      <c r="A389" s="62" t="s">
        <v>300</v>
      </c>
      <c r="B389" s="62" t="s">
        <v>307</v>
      </c>
      <c r="C389" s="63" t="s">
        <v>2222</v>
      </c>
      <c r="D389" s="64">
        <v>1</v>
      </c>
      <c r="E389" s="65"/>
      <c r="F389" s="66">
        <v>100</v>
      </c>
      <c r="G389" s="63"/>
      <c r="H389" s="67"/>
      <c r="I389" s="68"/>
      <c r="J389" s="68"/>
      <c r="K389" s="34" t="s">
        <v>65</v>
      </c>
      <c r="L389" s="75">
        <v>389</v>
      </c>
      <c r="M389" s="75"/>
      <c r="N389" s="70"/>
      <c r="O389" s="77" t="s">
        <v>382</v>
      </c>
      <c r="P389" s="79">
        <v>41124.25708333333</v>
      </c>
      <c r="Q389" s="77"/>
      <c r="R389" s="77"/>
      <c r="S389" s="77"/>
      <c r="T389" s="77"/>
      <c r="U389" s="77"/>
      <c r="V389" s="77"/>
      <c r="W389" s="77"/>
      <c r="X389" s="77"/>
      <c r="Y389">
        <v>1</v>
      </c>
    </row>
    <row r="390" spans="1:25" x14ac:dyDescent="0.25">
      <c r="A390" s="62" t="s">
        <v>267</v>
      </c>
      <c r="B390" s="62" t="s">
        <v>307</v>
      </c>
      <c r="C390" s="63" t="s">
        <v>2222</v>
      </c>
      <c r="D390" s="64">
        <v>1</v>
      </c>
      <c r="E390" s="65"/>
      <c r="F390" s="66">
        <v>100</v>
      </c>
      <c r="G390" s="63"/>
      <c r="H390" s="67"/>
      <c r="I390" s="68"/>
      <c r="J390" s="68"/>
      <c r="K390" s="34" t="s">
        <v>65</v>
      </c>
      <c r="L390" s="75">
        <v>390</v>
      </c>
      <c r="M390" s="75"/>
      <c r="N390" s="70"/>
      <c r="O390" s="77" t="s">
        <v>382</v>
      </c>
      <c r="P390" s="79">
        <v>41124.25708333333</v>
      </c>
      <c r="Q390" s="77"/>
      <c r="R390" s="77"/>
      <c r="S390" s="77"/>
      <c r="T390" s="77"/>
      <c r="U390" s="77"/>
      <c r="V390" s="77"/>
      <c r="W390" s="77"/>
      <c r="X390" s="77"/>
      <c r="Y390">
        <v>1</v>
      </c>
    </row>
    <row r="391" spans="1:25" x14ac:dyDescent="0.25">
      <c r="A391" s="62" t="s">
        <v>307</v>
      </c>
      <c r="B391" s="62" t="s">
        <v>246</v>
      </c>
      <c r="C391" s="63" t="s">
        <v>2222</v>
      </c>
      <c r="D391" s="64">
        <v>1</v>
      </c>
      <c r="E391" s="65"/>
      <c r="F391" s="66">
        <v>100</v>
      </c>
      <c r="G391" s="63"/>
      <c r="H391" s="67"/>
      <c r="I391" s="68"/>
      <c r="J391" s="68"/>
      <c r="K391" s="34" t="s">
        <v>64</v>
      </c>
      <c r="L391" s="75">
        <v>391</v>
      </c>
      <c r="M391" s="75"/>
      <c r="N391" s="70"/>
      <c r="O391" s="77" t="s">
        <v>382</v>
      </c>
      <c r="P391" s="79">
        <v>41124.25708333333</v>
      </c>
      <c r="Q391" s="77"/>
      <c r="R391" s="77"/>
      <c r="S391" s="77"/>
      <c r="T391" s="77"/>
      <c r="U391" s="77"/>
      <c r="V391" s="77"/>
      <c r="W391" s="77"/>
      <c r="X391" s="77"/>
      <c r="Y391">
        <v>1</v>
      </c>
    </row>
    <row r="392" spans="1:25" x14ac:dyDescent="0.25">
      <c r="A392" s="62" t="s">
        <v>307</v>
      </c>
      <c r="B392" s="62" t="s">
        <v>301</v>
      </c>
      <c r="C392" s="63" t="s">
        <v>2222</v>
      </c>
      <c r="D392" s="64">
        <v>1</v>
      </c>
      <c r="E392" s="65"/>
      <c r="F392" s="66">
        <v>100</v>
      </c>
      <c r="G392" s="63"/>
      <c r="H392" s="67"/>
      <c r="I392" s="68"/>
      <c r="J392" s="68"/>
      <c r="K392" s="34" t="s">
        <v>64</v>
      </c>
      <c r="L392" s="75">
        <v>392</v>
      </c>
      <c r="M392" s="75"/>
      <c r="N392" s="70"/>
      <c r="O392" s="77" t="s">
        <v>382</v>
      </c>
      <c r="P392" s="79">
        <v>41124.25708333333</v>
      </c>
      <c r="Q392" s="77"/>
      <c r="R392" s="77"/>
      <c r="S392" s="77"/>
      <c r="T392" s="77"/>
      <c r="U392" s="77"/>
      <c r="V392" s="77"/>
      <c r="W392" s="77"/>
      <c r="X392" s="77"/>
      <c r="Y392">
        <v>1</v>
      </c>
    </row>
    <row r="393" spans="1:25" x14ac:dyDescent="0.25">
      <c r="A393" s="62" t="s">
        <v>307</v>
      </c>
      <c r="B393" s="62" t="s">
        <v>300</v>
      </c>
      <c r="C393" s="63" t="s">
        <v>2222</v>
      </c>
      <c r="D393" s="64">
        <v>1</v>
      </c>
      <c r="E393" s="65"/>
      <c r="F393" s="66">
        <v>100</v>
      </c>
      <c r="G393" s="63"/>
      <c r="H393" s="67"/>
      <c r="I393" s="68"/>
      <c r="J393" s="68"/>
      <c r="K393" s="34" t="s">
        <v>65</v>
      </c>
      <c r="L393" s="75">
        <v>393</v>
      </c>
      <c r="M393" s="75"/>
      <c r="N393" s="70"/>
      <c r="O393" s="77" t="s">
        <v>382</v>
      </c>
      <c r="P393" s="79">
        <v>41124.25708333333</v>
      </c>
      <c r="Q393" s="77"/>
      <c r="R393" s="77"/>
      <c r="S393" s="77"/>
      <c r="T393" s="77"/>
      <c r="U393" s="77"/>
      <c r="V393" s="77"/>
      <c r="W393" s="77"/>
      <c r="X393" s="77"/>
      <c r="Y393">
        <v>1</v>
      </c>
    </row>
    <row r="394" spans="1:25" x14ac:dyDescent="0.25">
      <c r="A394" s="62" t="s">
        <v>307</v>
      </c>
      <c r="B394" s="62" t="s">
        <v>298</v>
      </c>
      <c r="C394" s="63" t="s">
        <v>2222</v>
      </c>
      <c r="D394" s="64">
        <v>1</v>
      </c>
      <c r="E394" s="65"/>
      <c r="F394" s="66">
        <v>100</v>
      </c>
      <c r="G394" s="63"/>
      <c r="H394" s="67"/>
      <c r="I394" s="68"/>
      <c r="J394" s="68"/>
      <c r="K394" s="34" t="s">
        <v>65</v>
      </c>
      <c r="L394" s="75">
        <v>394</v>
      </c>
      <c r="M394" s="75"/>
      <c r="N394" s="70"/>
      <c r="O394" s="77" t="s">
        <v>382</v>
      </c>
      <c r="P394" s="79">
        <v>41124.25708333333</v>
      </c>
      <c r="Q394" s="77"/>
      <c r="R394" s="77"/>
      <c r="S394" s="77"/>
      <c r="T394" s="77"/>
      <c r="U394" s="77"/>
      <c r="V394" s="77"/>
      <c r="W394" s="77"/>
      <c r="X394" s="77"/>
      <c r="Y394">
        <v>1</v>
      </c>
    </row>
    <row r="395" spans="1:25" x14ac:dyDescent="0.25">
      <c r="A395" s="62" t="s">
        <v>307</v>
      </c>
      <c r="B395" s="62" t="s">
        <v>267</v>
      </c>
      <c r="C395" s="63" t="s">
        <v>2222</v>
      </c>
      <c r="D395" s="64">
        <v>1</v>
      </c>
      <c r="E395" s="65"/>
      <c r="F395" s="66">
        <v>100</v>
      </c>
      <c r="G395" s="63"/>
      <c r="H395" s="67"/>
      <c r="I395" s="68"/>
      <c r="J395" s="68"/>
      <c r="K395" s="34" t="s">
        <v>65</v>
      </c>
      <c r="L395" s="75">
        <v>395</v>
      </c>
      <c r="M395" s="75"/>
      <c r="N395" s="70"/>
      <c r="O395" s="77" t="s">
        <v>382</v>
      </c>
      <c r="P395" s="79">
        <v>41124.25708333333</v>
      </c>
      <c r="Q395" s="77"/>
      <c r="R395" s="77"/>
      <c r="S395" s="77"/>
      <c r="T395" s="77"/>
      <c r="U395" s="77"/>
      <c r="V395" s="77"/>
      <c r="W395" s="77"/>
      <c r="X395" s="77"/>
      <c r="Y395">
        <v>1</v>
      </c>
    </row>
    <row r="396" spans="1:25" x14ac:dyDescent="0.25">
      <c r="A396" s="62" t="s">
        <v>307</v>
      </c>
      <c r="B396" s="62" t="s">
        <v>314</v>
      </c>
      <c r="C396" s="63" t="s">
        <v>2222</v>
      </c>
      <c r="D396" s="64">
        <v>1</v>
      </c>
      <c r="E396" s="65"/>
      <c r="F396" s="66">
        <v>100</v>
      </c>
      <c r="G396" s="63"/>
      <c r="H396" s="67"/>
      <c r="I396" s="68"/>
      <c r="J396" s="68"/>
      <c r="K396" s="34" t="s">
        <v>65</v>
      </c>
      <c r="L396" s="75">
        <v>396</v>
      </c>
      <c r="M396" s="75"/>
      <c r="N396" s="70"/>
      <c r="O396" s="77" t="s">
        <v>382</v>
      </c>
      <c r="P396" s="79">
        <v>41124.25708333333</v>
      </c>
      <c r="Q396" s="77"/>
      <c r="R396" s="77"/>
      <c r="S396" s="77"/>
      <c r="T396" s="77"/>
      <c r="U396" s="77"/>
      <c r="V396" s="77"/>
      <c r="W396" s="77"/>
      <c r="X396" s="77"/>
      <c r="Y396">
        <v>1</v>
      </c>
    </row>
    <row r="397" spans="1:25" x14ac:dyDescent="0.25">
      <c r="A397" s="62" t="s">
        <v>307</v>
      </c>
      <c r="B397" s="62" t="s">
        <v>295</v>
      </c>
      <c r="C397" s="63" t="s">
        <v>2222</v>
      </c>
      <c r="D397" s="64">
        <v>1</v>
      </c>
      <c r="E397" s="65"/>
      <c r="F397" s="66">
        <v>100</v>
      </c>
      <c r="G397" s="63"/>
      <c r="H397" s="67"/>
      <c r="I397" s="68"/>
      <c r="J397" s="68"/>
      <c r="K397" s="34" t="s">
        <v>65</v>
      </c>
      <c r="L397" s="75">
        <v>397</v>
      </c>
      <c r="M397" s="75"/>
      <c r="N397" s="70"/>
      <c r="O397" s="77" t="s">
        <v>382</v>
      </c>
      <c r="P397" s="79">
        <v>41124.25708333333</v>
      </c>
      <c r="Q397" s="77"/>
      <c r="R397" s="77"/>
      <c r="S397" s="77"/>
      <c r="T397" s="77"/>
      <c r="U397" s="77"/>
      <c r="V397" s="77"/>
      <c r="W397" s="77"/>
      <c r="X397" s="77"/>
      <c r="Y397">
        <v>1</v>
      </c>
    </row>
    <row r="398" spans="1:25" x14ac:dyDescent="0.25">
      <c r="A398" s="62" t="s">
        <v>307</v>
      </c>
      <c r="B398" s="62" t="s">
        <v>297</v>
      </c>
      <c r="C398" s="63" t="s">
        <v>2222</v>
      </c>
      <c r="D398" s="64">
        <v>1</v>
      </c>
      <c r="E398" s="65"/>
      <c r="F398" s="66">
        <v>100</v>
      </c>
      <c r="G398" s="63"/>
      <c r="H398" s="67"/>
      <c r="I398" s="68"/>
      <c r="J398" s="68"/>
      <c r="K398" s="34" t="s">
        <v>65</v>
      </c>
      <c r="L398" s="75">
        <v>398</v>
      </c>
      <c r="M398" s="75"/>
      <c r="N398" s="70"/>
      <c r="O398" s="77" t="s">
        <v>382</v>
      </c>
      <c r="P398" s="79">
        <v>41124.25708333333</v>
      </c>
      <c r="Q398" s="77"/>
      <c r="R398" s="77"/>
      <c r="S398" s="77"/>
      <c r="T398" s="77"/>
      <c r="U398" s="77"/>
      <c r="V398" s="77"/>
      <c r="W398" s="77"/>
      <c r="X398" s="77"/>
      <c r="Y398">
        <v>1</v>
      </c>
    </row>
    <row r="399" spans="1:25" x14ac:dyDescent="0.25">
      <c r="A399" s="62" t="s">
        <v>295</v>
      </c>
      <c r="B399" s="62" t="s">
        <v>307</v>
      </c>
      <c r="C399" s="63" t="s">
        <v>2222</v>
      </c>
      <c r="D399" s="64">
        <v>1</v>
      </c>
      <c r="E399" s="65"/>
      <c r="F399" s="66">
        <v>100</v>
      </c>
      <c r="G399" s="63"/>
      <c r="H399" s="67"/>
      <c r="I399" s="68"/>
      <c r="J399" s="68"/>
      <c r="K399" s="34" t="s">
        <v>65</v>
      </c>
      <c r="L399" s="75">
        <v>399</v>
      </c>
      <c r="M399" s="75"/>
      <c r="N399" s="70"/>
      <c r="O399" s="77" t="s">
        <v>382</v>
      </c>
      <c r="P399" s="79">
        <v>41124.25708333333</v>
      </c>
      <c r="Q399" s="77"/>
      <c r="R399" s="77"/>
      <c r="S399" s="77"/>
      <c r="T399" s="77"/>
      <c r="U399" s="77"/>
      <c r="V399" s="77"/>
      <c r="W399" s="77"/>
      <c r="X399" s="77"/>
      <c r="Y399">
        <v>1</v>
      </c>
    </row>
    <row r="400" spans="1:25" x14ac:dyDescent="0.25">
      <c r="A400" s="62" t="s">
        <v>297</v>
      </c>
      <c r="B400" s="62" t="s">
        <v>307</v>
      </c>
      <c r="C400" s="63" t="s">
        <v>2222</v>
      </c>
      <c r="D400" s="64">
        <v>1</v>
      </c>
      <c r="E400" s="65"/>
      <c r="F400" s="66">
        <v>100</v>
      </c>
      <c r="G400" s="63"/>
      <c r="H400" s="67"/>
      <c r="I400" s="68"/>
      <c r="J400" s="68"/>
      <c r="K400" s="34" t="s">
        <v>65</v>
      </c>
      <c r="L400" s="75">
        <v>400</v>
      </c>
      <c r="M400" s="75"/>
      <c r="N400" s="70"/>
      <c r="O400" s="77" t="s">
        <v>382</v>
      </c>
      <c r="P400" s="79">
        <v>41124.25708333333</v>
      </c>
      <c r="Q400" s="77"/>
      <c r="R400" s="77"/>
      <c r="S400" s="77"/>
      <c r="T400" s="77"/>
      <c r="U400" s="77"/>
      <c r="V400" s="77"/>
      <c r="W400" s="77"/>
      <c r="X400" s="77"/>
      <c r="Y400">
        <v>1</v>
      </c>
    </row>
    <row r="401" spans="1:25" x14ac:dyDescent="0.25">
      <c r="A401" s="62" t="s">
        <v>298</v>
      </c>
      <c r="B401" s="62" t="s">
        <v>307</v>
      </c>
      <c r="C401" s="63" t="s">
        <v>2222</v>
      </c>
      <c r="D401" s="64">
        <v>1</v>
      </c>
      <c r="E401" s="65"/>
      <c r="F401" s="66">
        <v>100</v>
      </c>
      <c r="G401" s="63"/>
      <c r="H401" s="67"/>
      <c r="I401" s="68"/>
      <c r="J401" s="68"/>
      <c r="K401" s="34" t="s">
        <v>65</v>
      </c>
      <c r="L401" s="75">
        <v>401</v>
      </c>
      <c r="M401" s="75"/>
      <c r="N401" s="70"/>
      <c r="O401" s="77" t="s">
        <v>382</v>
      </c>
      <c r="P401" s="79">
        <v>41124.25708333333</v>
      </c>
      <c r="Q401" s="77"/>
      <c r="R401" s="77"/>
      <c r="S401" s="77"/>
      <c r="T401" s="77"/>
      <c r="U401" s="77"/>
      <c r="V401" s="77"/>
      <c r="W401" s="77"/>
      <c r="X401" s="77"/>
      <c r="Y401">
        <v>1</v>
      </c>
    </row>
    <row r="402" spans="1:25" x14ac:dyDescent="0.25">
      <c r="A402" s="62" t="s">
        <v>314</v>
      </c>
      <c r="B402" s="62" t="s">
        <v>307</v>
      </c>
      <c r="C402" s="63" t="s">
        <v>2222</v>
      </c>
      <c r="D402" s="64">
        <v>1</v>
      </c>
      <c r="E402" s="65"/>
      <c r="F402" s="66">
        <v>100</v>
      </c>
      <c r="G402" s="63"/>
      <c r="H402" s="67"/>
      <c r="I402" s="68"/>
      <c r="J402" s="68"/>
      <c r="K402" s="34" t="s">
        <v>65</v>
      </c>
      <c r="L402" s="75">
        <v>402</v>
      </c>
      <c r="M402" s="75"/>
      <c r="N402" s="70"/>
      <c r="O402" s="77" t="s">
        <v>382</v>
      </c>
      <c r="P402" s="79">
        <v>41124.25708333333</v>
      </c>
      <c r="Q402" s="77"/>
      <c r="R402" s="77"/>
      <c r="S402" s="77"/>
      <c r="T402" s="77"/>
      <c r="U402" s="77"/>
      <c r="V402" s="77"/>
      <c r="W402" s="77"/>
      <c r="X402" s="77"/>
      <c r="Y402">
        <v>1</v>
      </c>
    </row>
    <row r="403" spans="1:25" x14ac:dyDescent="0.25">
      <c r="A403" s="62" t="s">
        <v>319</v>
      </c>
      <c r="B403" s="62" t="s">
        <v>307</v>
      </c>
      <c r="C403" s="63" t="s">
        <v>2222</v>
      </c>
      <c r="D403" s="64">
        <v>1</v>
      </c>
      <c r="E403" s="65"/>
      <c r="F403" s="66">
        <v>100</v>
      </c>
      <c r="G403" s="63"/>
      <c r="H403" s="67"/>
      <c r="I403" s="68"/>
      <c r="J403" s="68"/>
      <c r="K403" s="34" t="s">
        <v>64</v>
      </c>
      <c r="L403" s="75">
        <v>403</v>
      </c>
      <c r="M403" s="75"/>
      <c r="N403" s="70"/>
      <c r="O403" s="77" t="s">
        <v>382</v>
      </c>
      <c r="P403" s="79">
        <v>41124.25708333333</v>
      </c>
      <c r="Q403" s="77"/>
      <c r="R403" s="77"/>
      <c r="S403" s="77"/>
      <c r="T403" s="77"/>
      <c r="U403" s="77"/>
      <c r="V403" s="77"/>
      <c r="W403" s="77"/>
      <c r="X403" s="77"/>
      <c r="Y403">
        <v>1</v>
      </c>
    </row>
    <row r="404" spans="1:25" x14ac:dyDescent="0.25">
      <c r="A404" s="62" t="s">
        <v>310</v>
      </c>
      <c r="B404" s="62" t="s">
        <v>310</v>
      </c>
      <c r="C404" s="63" t="s">
        <v>2219</v>
      </c>
      <c r="D404" s="64">
        <v>1</v>
      </c>
      <c r="E404" s="65"/>
      <c r="F404" s="66">
        <v>100</v>
      </c>
      <c r="G404" s="63"/>
      <c r="H404" s="67"/>
      <c r="I404" s="68"/>
      <c r="J404" s="68"/>
      <c r="K404" s="34" t="s">
        <v>64</v>
      </c>
      <c r="L404" s="75">
        <v>404</v>
      </c>
      <c r="M404" s="75"/>
      <c r="N404" s="70"/>
      <c r="O404" s="77" t="s">
        <v>180</v>
      </c>
      <c r="P404" s="79">
        <v>41123.729062500002</v>
      </c>
      <c r="Q404" s="77" t="s">
        <v>509</v>
      </c>
      <c r="R404" s="77"/>
      <c r="S404" s="77"/>
      <c r="T404" s="79">
        <v>41123.729062500002</v>
      </c>
      <c r="U404" s="81" t="s">
        <v>814</v>
      </c>
      <c r="V404" s="77"/>
      <c r="W404" s="77"/>
      <c r="X404" s="84" t="s">
        <v>1111</v>
      </c>
      <c r="Y404" s="82">
        <v>1</v>
      </c>
    </row>
    <row r="405" spans="1:25" x14ac:dyDescent="0.25">
      <c r="A405" s="62" t="s">
        <v>310</v>
      </c>
      <c r="B405" s="62" t="s">
        <v>246</v>
      </c>
      <c r="C405" s="63" t="s">
        <v>2222</v>
      </c>
      <c r="D405" s="64">
        <v>1</v>
      </c>
      <c r="E405" s="65"/>
      <c r="F405" s="66">
        <v>100</v>
      </c>
      <c r="G405" s="63"/>
      <c r="H405" s="67"/>
      <c r="I405" s="68"/>
      <c r="J405" s="68"/>
      <c r="K405" s="34" t="s">
        <v>64</v>
      </c>
      <c r="L405" s="75">
        <v>405</v>
      </c>
      <c r="M405" s="75"/>
      <c r="N405" s="70"/>
      <c r="O405" s="77" t="s">
        <v>382</v>
      </c>
      <c r="P405" s="79">
        <v>41124.25708333333</v>
      </c>
      <c r="Q405" s="77"/>
      <c r="R405" s="77"/>
      <c r="S405" s="77"/>
      <c r="T405" s="77"/>
      <c r="U405" s="77"/>
      <c r="V405" s="77"/>
      <c r="W405" s="77"/>
      <c r="X405" s="77"/>
      <c r="Y405">
        <v>1</v>
      </c>
    </row>
    <row r="406" spans="1:25" x14ac:dyDescent="0.25">
      <c r="A406" s="62" t="s">
        <v>310</v>
      </c>
      <c r="B406" s="62" t="s">
        <v>333</v>
      </c>
      <c r="C406" s="63" t="s">
        <v>2222</v>
      </c>
      <c r="D406" s="64">
        <v>1</v>
      </c>
      <c r="E406" s="65"/>
      <c r="F406" s="66">
        <v>100</v>
      </c>
      <c r="G406" s="63"/>
      <c r="H406" s="67"/>
      <c r="I406" s="68"/>
      <c r="J406" s="68"/>
      <c r="K406" s="34" t="s">
        <v>64</v>
      </c>
      <c r="L406" s="75">
        <v>406</v>
      </c>
      <c r="M406" s="75"/>
      <c r="N406" s="70"/>
      <c r="O406" s="77" t="s">
        <v>382</v>
      </c>
      <c r="P406" s="79">
        <v>41124.25708333333</v>
      </c>
      <c r="Q406" s="77"/>
      <c r="R406" s="77"/>
      <c r="S406" s="77"/>
      <c r="T406" s="77"/>
      <c r="U406" s="77"/>
      <c r="V406" s="77"/>
      <c r="W406" s="77"/>
      <c r="X406" s="77"/>
      <c r="Y406">
        <v>1</v>
      </c>
    </row>
    <row r="407" spans="1:25" x14ac:dyDescent="0.25">
      <c r="A407" s="62" t="s">
        <v>310</v>
      </c>
      <c r="B407" s="62" t="s">
        <v>319</v>
      </c>
      <c r="C407" s="63" t="s">
        <v>2222</v>
      </c>
      <c r="D407" s="64">
        <v>1</v>
      </c>
      <c r="E407" s="65"/>
      <c r="F407" s="66">
        <v>100</v>
      </c>
      <c r="G407" s="63"/>
      <c r="H407" s="67"/>
      <c r="I407" s="68"/>
      <c r="J407" s="68"/>
      <c r="K407" s="34" t="s">
        <v>65</v>
      </c>
      <c r="L407" s="75">
        <v>407</v>
      </c>
      <c r="M407" s="75"/>
      <c r="N407" s="70"/>
      <c r="O407" s="77" t="s">
        <v>382</v>
      </c>
      <c r="P407" s="79">
        <v>41124.25708333333</v>
      </c>
      <c r="Q407" s="77"/>
      <c r="R407" s="77"/>
      <c r="S407" s="77"/>
      <c r="T407" s="77"/>
      <c r="U407" s="77"/>
      <c r="V407" s="77"/>
      <c r="W407" s="77"/>
      <c r="X407" s="77"/>
      <c r="Y407">
        <v>1</v>
      </c>
    </row>
    <row r="408" spans="1:25" x14ac:dyDescent="0.25">
      <c r="A408" s="62" t="s">
        <v>310</v>
      </c>
      <c r="B408" s="62" t="s">
        <v>324</v>
      </c>
      <c r="C408" s="63" t="s">
        <v>2222</v>
      </c>
      <c r="D408" s="64">
        <v>1</v>
      </c>
      <c r="E408" s="65"/>
      <c r="F408" s="66">
        <v>100</v>
      </c>
      <c r="G408" s="63"/>
      <c r="H408" s="67"/>
      <c r="I408" s="68"/>
      <c r="J408" s="68"/>
      <c r="K408" s="34" t="s">
        <v>64</v>
      </c>
      <c r="L408" s="75">
        <v>408</v>
      </c>
      <c r="M408" s="75"/>
      <c r="N408" s="70"/>
      <c r="O408" s="77" t="s">
        <v>382</v>
      </c>
      <c r="P408" s="79">
        <v>41124.25708333333</v>
      </c>
      <c r="Q408" s="77"/>
      <c r="R408" s="77"/>
      <c r="S408" s="77"/>
      <c r="T408" s="77"/>
      <c r="U408" s="77"/>
      <c r="V408" s="77"/>
      <c r="W408" s="77"/>
      <c r="X408" s="77"/>
      <c r="Y408">
        <v>1</v>
      </c>
    </row>
    <row r="409" spans="1:25" x14ac:dyDescent="0.25">
      <c r="A409" s="62" t="s">
        <v>310</v>
      </c>
      <c r="B409" s="62" t="s">
        <v>368</v>
      </c>
      <c r="C409" s="63" t="s">
        <v>2222</v>
      </c>
      <c r="D409" s="64">
        <v>1</v>
      </c>
      <c r="E409" s="65"/>
      <c r="F409" s="66">
        <v>100</v>
      </c>
      <c r="G409" s="63"/>
      <c r="H409" s="67"/>
      <c r="I409" s="68"/>
      <c r="J409" s="68"/>
      <c r="K409" s="34" t="s">
        <v>64</v>
      </c>
      <c r="L409" s="75">
        <v>409</v>
      </c>
      <c r="M409" s="75"/>
      <c r="N409" s="70"/>
      <c r="O409" s="77" t="s">
        <v>382</v>
      </c>
      <c r="P409" s="79">
        <v>41124.25708333333</v>
      </c>
      <c r="Q409" s="77"/>
      <c r="R409" s="77"/>
      <c r="S409" s="77"/>
      <c r="T409" s="77"/>
      <c r="U409" s="77"/>
      <c r="V409" s="77"/>
      <c r="W409" s="77"/>
      <c r="X409" s="77"/>
      <c r="Y409">
        <v>1</v>
      </c>
    </row>
    <row r="410" spans="1:25" x14ac:dyDescent="0.25">
      <c r="A410" s="62" t="s">
        <v>310</v>
      </c>
      <c r="B410" s="62" t="s">
        <v>335</v>
      </c>
      <c r="C410" s="63" t="s">
        <v>2222</v>
      </c>
      <c r="D410" s="64">
        <v>1</v>
      </c>
      <c r="E410" s="65"/>
      <c r="F410" s="66">
        <v>100</v>
      </c>
      <c r="G410" s="63"/>
      <c r="H410" s="67"/>
      <c r="I410" s="68"/>
      <c r="J410" s="68"/>
      <c r="K410" s="34" t="s">
        <v>64</v>
      </c>
      <c r="L410" s="75">
        <v>410</v>
      </c>
      <c r="M410" s="75"/>
      <c r="N410" s="70"/>
      <c r="O410" s="77" t="s">
        <v>382</v>
      </c>
      <c r="P410" s="79">
        <v>41124.25708333333</v>
      </c>
      <c r="Q410" s="77"/>
      <c r="R410" s="77"/>
      <c r="S410" s="77"/>
      <c r="T410" s="77"/>
      <c r="U410" s="77"/>
      <c r="V410" s="77"/>
      <c r="W410" s="77"/>
      <c r="X410" s="77"/>
      <c r="Y410">
        <v>1</v>
      </c>
    </row>
    <row r="411" spans="1:25" x14ac:dyDescent="0.25">
      <c r="A411" s="62" t="s">
        <v>310</v>
      </c>
      <c r="B411" s="62" t="s">
        <v>297</v>
      </c>
      <c r="C411" s="63" t="s">
        <v>2222</v>
      </c>
      <c r="D411" s="64">
        <v>1</v>
      </c>
      <c r="E411" s="65"/>
      <c r="F411" s="66">
        <v>100</v>
      </c>
      <c r="G411" s="63"/>
      <c r="H411" s="67"/>
      <c r="I411" s="68"/>
      <c r="J411" s="68"/>
      <c r="K411" s="34" t="s">
        <v>65</v>
      </c>
      <c r="L411" s="75">
        <v>411</v>
      </c>
      <c r="M411" s="75"/>
      <c r="N411" s="70"/>
      <c r="O411" s="77" t="s">
        <v>382</v>
      </c>
      <c r="P411" s="79">
        <v>41124.25708333333</v>
      </c>
      <c r="Q411" s="77"/>
      <c r="R411" s="77"/>
      <c r="S411" s="77"/>
      <c r="T411" s="77"/>
      <c r="U411" s="77"/>
      <c r="V411" s="77"/>
      <c r="W411" s="77"/>
      <c r="X411" s="77"/>
      <c r="Y411">
        <v>1</v>
      </c>
    </row>
    <row r="412" spans="1:25" x14ac:dyDescent="0.25">
      <c r="A412" s="62" t="s">
        <v>297</v>
      </c>
      <c r="B412" s="62" t="s">
        <v>310</v>
      </c>
      <c r="C412" s="63" t="s">
        <v>2222</v>
      </c>
      <c r="D412" s="64">
        <v>1</v>
      </c>
      <c r="E412" s="65"/>
      <c r="F412" s="66">
        <v>100</v>
      </c>
      <c r="G412" s="63"/>
      <c r="H412" s="67"/>
      <c r="I412" s="68"/>
      <c r="J412" s="68"/>
      <c r="K412" s="34" t="s">
        <v>65</v>
      </c>
      <c r="L412" s="75">
        <v>412</v>
      </c>
      <c r="M412" s="75"/>
      <c r="N412" s="70"/>
      <c r="O412" s="77" t="s">
        <v>382</v>
      </c>
      <c r="P412" s="79">
        <v>41124.25708333333</v>
      </c>
      <c r="Q412" s="77"/>
      <c r="R412" s="77"/>
      <c r="S412" s="77"/>
      <c r="T412" s="77"/>
      <c r="U412" s="77"/>
      <c r="V412" s="77"/>
      <c r="W412" s="77"/>
      <c r="X412" s="77"/>
      <c r="Y412">
        <v>1</v>
      </c>
    </row>
    <row r="413" spans="1:25" x14ac:dyDescent="0.25">
      <c r="A413" s="62" t="s">
        <v>319</v>
      </c>
      <c r="B413" s="62" t="s">
        <v>310</v>
      </c>
      <c r="C413" s="63" t="s">
        <v>2222</v>
      </c>
      <c r="D413" s="64">
        <v>1</v>
      </c>
      <c r="E413" s="65"/>
      <c r="F413" s="66">
        <v>100</v>
      </c>
      <c r="G413" s="63"/>
      <c r="H413" s="67"/>
      <c r="I413" s="68"/>
      <c r="J413" s="68"/>
      <c r="K413" s="34" t="s">
        <v>65</v>
      </c>
      <c r="L413" s="75">
        <v>413</v>
      </c>
      <c r="M413" s="75"/>
      <c r="N413" s="70"/>
      <c r="O413" s="77" t="s">
        <v>382</v>
      </c>
      <c r="P413" s="79">
        <v>41124.25708333333</v>
      </c>
      <c r="Q413" s="77"/>
      <c r="R413" s="77"/>
      <c r="S413" s="77"/>
      <c r="T413" s="77"/>
      <c r="U413" s="77"/>
      <c r="V413" s="77"/>
      <c r="W413" s="77"/>
      <c r="X413" s="77"/>
      <c r="Y413">
        <v>1</v>
      </c>
    </row>
    <row r="414" spans="1:25" x14ac:dyDescent="0.25">
      <c r="A414" s="62" t="s">
        <v>320</v>
      </c>
      <c r="B414" s="62" t="s">
        <v>320</v>
      </c>
      <c r="C414" s="63" t="s">
        <v>2219</v>
      </c>
      <c r="D414" s="64">
        <v>1</v>
      </c>
      <c r="E414" s="65"/>
      <c r="F414" s="66">
        <v>100</v>
      </c>
      <c r="G414" s="63"/>
      <c r="H414" s="67"/>
      <c r="I414" s="68"/>
      <c r="J414" s="68"/>
      <c r="K414" s="34" t="s">
        <v>64</v>
      </c>
      <c r="L414" s="75">
        <v>414</v>
      </c>
      <c r="M414" s="75"/>
      <c r="N414" s="70"/>
      <c r="O414" s="77" t="s">
        <v>180</v>
      </c>
      <c r="P414" s="79">
        <v>41123.677453703705</v>
      </c>
      <c r="Q414" s="77" t="s">
        <v>510</v>
      </c>
      <c r="R414" s="77"/>
      <c r="S414" s="77"/>
      <c r="T414" s="79">
        <v>41123.677453703705</v>
      </c>
      <c r="U414" s="81" t="s">
        <v>815</v>
      </c>
      <c r="V414" s="77"/>
      <c r="W414" s="77"/>
      <c r="X414" s="84" t="s">
        <v>1112</v>
      </c>
      <c r="Y414" s="82">
        <v>1</v>
      </c>
    </row>
    <row r="415" spans="1:25" x14ac:dyDescent="0.25">
      <c r="A415" s="62" t="s">
        <v>320</v>
      </c>
      <c r="B415" s="62" t="s">
        <v>346</v>
      </c>
      <c r="C415" s="63" t="s">
        <v>2222</v>
      </c>
      <c r="D415" s="64">
        <v>1</v>
      </c>
      <c r="E415" s="65"/>
      <c r="F415" s="66">
        <v>100</v>
      </c>
      <c r="G415" s="63"/>
      <c r="H415" s="67"/>
      <c r="I415" s="68"/>
      <c r="J415" s="68"/>
      <c r="K415" s="34" t="s">
        <v>64</v>
      </c>
      <c r="L415" s="75">
        <v>415</v>
      </c>
      <c r="M415" s="75"/>
      <c r="N415" s="70"/>
      <c r="O415" s="77" t="s">
        <v>382</v>
      </c>
      <c r="P415" s="79">
        <v>41124.25708333333</v>
      </c>
      <c r="Q415" s="77"/>
      <c r="R415" s="77"/>
      <c r="S415" s="77"/>
      <c r="T415" s="77"/>
      <c r="U415" s="77"/>
      <c r="V415" s="77"/>
      <c r="W415" s="77"/>
      <c r="X415" s="77"/>
      <c r="Y415">
        <v>1</v>
      </c>
    </row>
    <row r="416" spans="1:25" x14ac:dyDescent="0.25">
      <c r="A416" s="62" t="s">
        <v>320</v>
      </c>
      <c r="B416" s="62" t="s">
        <v>319</v>
      </c>
      <c r="C416" s="63" t="s">
        <v>2222</v>
      </c>
      <c r="D416" s="64">
        <v>1</v>
      </c>
      <c r="E416" s="65"/>
      <c r="F416" s="66">
        <v>100</v>
      </c>
      <c r="G416" s="63"/>
      <c r="H416" s="67"/>
      <c r="I416" s="68"/>
      <c r="J416" s="68"/>
      <c r="K416" s="34" t="s">
        <v>65</v>
      </c>
      <c r="L416" s="75">
        <v>416</v>
      </c>
      <c r="M416" s="75"/>
      <c r="N416" s="70"/>
      <c r="O416" s="77" t="s">
        <v>382</v>
      </c>
      <c r="P416" s="79">
        <v>41124.25708333333</v>
      </c>
      <c r="Q416" s="77"/>
      <c r="R416" s="77"/>
      <c r="S416" s="77"/>
      <c r="T416" s="77"/>
      <c r="U416" s="77"/>
      <c r="V416" s="77"/>
      <c r="W416" s="77"/>
      <c r="X416" s="77"/>
      <c r="Y416">
        <v>1</v>
      </c>
    </row>
    <row r="417" spans="1:25" x14ac:dyDescent="0.25">
      <c r="A417" s="62" t="s">
        <v>319</v>
      </c>
      <c r="B417" s="62" t="s">
        <v>320</v>
      </c>
      <c r="C417" s="63" t="s">
        <v>2222</v>
      </c>
      <c r="D417" s="64">
        <v>1</v>
      </c>
      <c r="E417" s="65"/>
      <c r="F417" s="66">
        <v>100</v>
      </c>
      <c r="G417" s="63"/>
      <c r="H417" s="67"/>
      <c r="I417" s="68"/>
      <c r="J417" s="68"/>
      <c r="K417" s="34" t="s">
        <v>65</v>
      </c>
      <c r="L417" s="75">
        <v>417</v>
      </c>
      <c r="M417" s="75"/>
      <c r="N417" s="70"/>
      <c r="O417" s="77" t="s">
        <v>382</v>
      </c>
      <c r="P417" s="79">
        <v>41124.25708333333</v>
      </c>
      <c r="Q417" s="77"/>
      <c r="R417" s="77"/>
      <c r="S417" s="77"/>
      <c r="T417" s="77"/>
      <c r="U417" s="77"/>
      <c r="V417" s="77"/>
      <c r="W417" s="77"/>
      <c r="X417" s="77"/>
      <c r="Y417">
        <v>1</v>
      </c>
    </row>
    <row r="418" spans="1:25" x14ac:dyDescent="0.25">
      <c r="A418" s="62" t="s">
        <v>287</v>
      </c>
      <c r="B418" s="62" t="s">
        <v>287</v>
      </c>
      <c r="C418" s="63" t="s">
        <v>2219</v>
      </c>
      <c r="D418" s="64">
        <v>1</v>
      </c>
      <c r="E418" s="65"/>
      <c r="F418" s="66">
        <v>100</v>
      </c>
      <c r="G418" s="63"/>
      <c r="H418" s="67"/>
      <c r="I418" s="68"/>
      <c r="J418" s="68"/>
      <c r="K418" s="34" t="s">
        <v>64</v>
      </c>
      <c r="L418" s="75">
        <v>418</v>
      </c>
      <c r="M418" s="75"/>
      <c r="N418" s="70"/>
      <c r="O418" s="77" t="s">
        <v>180</v>
      </c>
      <c r="P418" s="79">
        <v>41123.901099537034</v>
      </c>
      <c r="Q418" s="77" t="s">
        <v>490</v>
      </c>
      <c r="R418" s="77"/>
      <c r="S418" s="77"/>
      <c r="T418" s="79">
        <v>41123.901099537034</v>
      </c>
      <c r="U418" s="81" t="s">
        <v>816</v>
      </c>
      <c r="V418" s="77"/>
      <c r="W418" s="77"/>
      <c r="X418" s="84" t="s">
        <v>1113</v>
      </c>
      <c r="Y418" s="82">
        <v>1</v>
      </c>
    </row>
    <row r="419" spans="1:25" x14ac:dyDescent="0.25">
      <c r="A419" s="62" t="s">
        <v>321</v>
      </c>
      <c r="B419" s="62" t="s">
        <v>287</v>
      </c>
      <c r="C419" s="63" t="s">
        <v>2222</v>
      </c>
      <c r="D419" s="64">
        <v>1</v>
      </c>
      <c r="E419" s="65"/>
      <c r="F419" s="66">
        <v>100</v>
      </c>
      <c r="G419" s="63"/>
      <c r="H419" s="67"/>
      <c r="I419" s="68"/>
      <c r="J419" s="68"/>
      <c r="K419" s="34" t="s">
        <v>64</v>
      </c>
      <c r="L419" s="75">
        <v>419</v>
      </c>
      <c r="M419" s="75"/>
      <c r="N419" s="70"/>
      <c r="O419" s="77" t="s">
        <v>382</v>
      </c>
      <c r="P419" s="79">
        <v>41124.25708333333</v>
      </c>
      <c r="Q419" s="77"/>
      <c r="R419" s="77"/>
      <c r="S419" s="77"/>
      <c r="T419" s="77"/>
      <c r="U419" s="77"/>
      <c r="V419" s="77"/>
      <c r="W419" s="77"/>
      <c r="X419" s="77"/>
      <c r="Y419">
        <v>1</v>
      </c>
    </row>
    <row r="420" spans="1:25" x14ac:dyDescent="0.25">
      <c r="A420" s="62" t="s">
        <v>322</v>
      </c>
      <c r="B420" s="62" t="s">
        <v>287</v>
      </c>
      <c r="C420" s="63" t="s">
        <v>2222</v>
      </c>
      <c r="D420" s="64">
        <v>1</v>
      </c>
      <c r="E420" s="65"/>
      <c r="F420" s="66">
        <v>100</v>
      </c>
      <c r="G420" s="63"/>
      <c r="H420" s="67"/>
      <c r="I420" s="68"/>
      <c r="J420" s="68"/>
      <c r="K420" s="34" t="s">
        <v>65</v>
      </c>
      <c r="L420" s="75">
        <v>420</v>
      </c>
      <c r="M420" s="75"/>
      <c r="N420" s="70"/>
      <c r="O420" s="77" t="s">
        <v>382</v>
      </c>
      <c r="P420" s="79">
        <v>41124.25708333333</v>
      </c>
      <c r="Q420" s="77"/>
      <c r="R420" s="77"/>
      <c r="S420" s="77"/>
      <c r="T420" s="77"/>
      <c r="U420" s="77"/>
      <c r="V420" s="77"/>
      <c r="W420" s="77"/>
      <c r="X420" s="77"/>
      <c r="Y420">
        <v>1</v>
      </c>
    </row>
    <row r="421" spans="1:25" x14ac:dyDescent="0.25">
      <c r="A421" s="62" t="s">
        <v>281</v>
      </c>
      <c r="B421" s="62" t="s">
        <v>287</v>
      </c>
      <c r="C421" s="63" t="s">
        <v>2222</v>
      </c>
      <c r="D421" s="64">
        <v>1</v>
      </c>
      <c r="E421" s="65"/>
      <c r="F421" s="66">
        <v>100</v>
      </c>
      <c r="G421" s="63"/>
      <c r="H421" s="67"/>
      <c r="I421" s="68"/>
      <c r="J421" s="68"/>
      <c r="K421" s="34" t="s">
        <v>64</v>
      </c>
      <c r="L421" s="75">
        <v>421</v>
      </c>
      <c r="M421" s="75"/>
      <c r="N421" s="70"/>
      <c r="O421" s="77" t="s">
        <v>382</v>
      </c>
      <c r="P421" s="79">
        <v>41124.25708333333</v>
      </c>
      <c r="Q421" s="77"/>
      <c r="R421" s="77"/>
      <c r="S421" s="77"/>
      <c r="T421" s="77"/>
      <c r="U421" s="77"/>
      <c r="V421" s="77"/>
      <c r="W421" s="77"/>
      <c r="X421" s="77"/>
      <c r="Y421">
        <v>1</v>
      </c>
    </row>
    <row r="422" spans="1:25" x14ac:dyDescent="0.25">
      <c r="A422" s="62" t="s">
        <v>286</v>
      </c>
      <c r="B422" s="62" t="s">
        <v>287</v>
      </c>
      <c r="C422" s="63" t="s">
        <v>2222</v>
      </c>
      <c r="D422" s="64">
        <v>1</v>
      </c>
      <c r="E422" s="65"/>
      <c r="F422" s="66">
        <v>100</v>
      </c>
      <c r="G422" s="63"/>
      <c r="H422" s="67"/>
      <c r="I422" s="68"/>
      <c r="J422" s="68"/>
      <c r="K422" s="34" t="s">
        <v>65</v>
      </c>
      <c r="L422" s="75">
        <v>422</v>
      </c>
      <c r="M422" s="75"/>
      <c r="N422" s="70"/>
      <c r="O422" s="77" t="s">
        <v>382</v>
      </c>
      <c r="P422" s="79">
        <v>41124.25708333333</v>
      </c>
      <c r="Q422" s="77"/>
      <c r="R422" s="77"/>
      <c r="S422" s="77"/>
      <c r="T422" s="77"/>
      <c r="U422" s="77"/>
      <c r="V422" s="77"/>
      <c r="W422" s="77"/>
      <c r="X422" s="77"/>
      <c r="Y422">
        <v>1</v>
      </c>
    </row>
    <row r="423" spans="1:25" x14ac:dyDescent="0.25">
      <c r="A423" s="62" t="s">
        <v>276</v>
      </c>
      <c r="B423" s="62" t="s">
        <v>287</v>
      </c>
      <c r="C423" s="63" t="s">
        <v>2222</v>
      </c>
      <c r="D423" s="64">
        <v>1</v>
      </c>
      <c r="E423" s="65"/>
      <c r="F423" s="66">
        <v>100</v>
      </c>
      <c r="G423" s="63"/>
      <c r="H423" s="67"/>
      <c r="I423" s="68"/>
      <c r="J423" s="68"/>
      <c r="K423" s="34" t="s">
        <v>64</v>
      </c>
      <c r="L423" s="75">
        <v>423</v>
      </c>
      <c r="M423" s="75"/>
      <c r="N423" s="70"/>
      <c r="O423" s="77" t="s">
        <v>382</v>
      </c>
      <c r="P423" s="79">
        <v>41124.25708333333</v>
      </c>
      <c r="Q423" s="77"/>
      <c r="R423" s="77"/>
      <c r="S423" s="77"/>
      <c r="T423" s="77"/>
      <c r="U423" s="77"/>
      <c r="V423" s="77"/>
      <c r="W423" s="77"/>
      <c r="X423" s="77"/>
      <c r="Y423">
        <v>1</v>
      </c>
    </row>
    <row r="424" spans="1:25" x14ac:dyDescent="0.25">
      <c r="A424" s="62" t="s">
        <v>287</v>
      </c>
      <c r="B424" s="62" t="s">
        <v>286</v>
      </c>
      <c r="C424" s="63" t="s">
        <v>2222</v>
      </c>
      <c r="D424" s="64">
        <v>1</v>
      </c>
      <c r="E424" s="65"/>
      <c r="F424" s="66">
        <v>100</v>
      </c>
      <c r="G424" s="63"/>
      <c r="H424" s="67"/>
      <c r="I424" s="68"/>
      <c r="J424" s="68"/>
      <c r="K424" s="34" t="s">
        <v>65</v>
      </c>
      <c r="L424" s="75">
        <v>424</v>
      </c>
      <c r="M424" s="75"/>
      <c r="N424" s="70"/>
      <c r="O424" s="77" t="s">
        <v>382</v>
      </c>
      <c r="P424" s="79">
        <v>41124.25708333333</v>
      </c>
      <c r="Q424" s="77"/>
      <c r="R424" s="77"/>
      <c r="S424" s="77"/>
      <c r="T424" s="77"/>
      <c r="U424" s="77"/>
      <c r="V424" s="77"/>
      <c r="W424" s="77"/>
      <c r="X424" s="77"/>
      <c r="Y424">
        <v>1</v>
      </c>
    </row>
    <row r="425" spans="1:25" x14ac:dyDescent="0.25">
      <c r="A425" s="62" t="s">
        <v>287</v>
      </c>
      <c r="B425" s="62" t="s">
        <v>322</v>
      </c>
      <c r="C425" s="63" t="s">
        <v>2222</v>
      </c>
      <c r="D425" s="64">
        <v>1</v>
      </c>
      <c r="E425" s="65"/>
      <c r="F425" s="66">
        <v>100</v>
      </c>
      <c r="G425" s="63"/>
      <c r="H425" s="67"/>
      <c r="I425" s="68"/>
      <c r="J425" s="68"/>
      <c r="K425" s="34" t="s">
        <v>65</v>
      </c>
      <c r="L425" s="75">
        <v>425</v>
      </c>
      <c r="M425" s="75"/>
      <c r="N425" s="70"/>
      <c r="O425" s="77" t="s">
        <v>382</v>
      </c>
      <c r="P425" s="79">
        <v>41124.25708333333</v>
      </c>
      <c r="Q425" s="77"/>
      <c r="R425" s="77"/>
      <c r="S425" s="77"/>
      <c r="T425" s="77"/>
      <c r="U425" s="77"/>
      <c r="V425" s="77"/>
      <c r="W425" s="77"/>
      <c r="X425" s="77"/>
      <c r="Y425">
        <v>1</v>
      </c>
    </row>
    <row r="426" spans="1:25" x14ac:dyDescent="0.25">
      <c r="A426" s="62" t="s">
        <v>284</v>
      </c>
      <c r="B426" s="62" t="s">
        <v>287</v>
      </c>
      <c r="C426" s="63" t="s">
        <v>2222</v>
      </c>
      <c r="D426" s="64">
        <v>1</v>
      </c>
      <c r="E426" s="65"/>
      <c r="F426" s="66">
        <v>100</v>
      </c>
      <c r="G426" s="63"/>
      <c r="H426" s="67"/>
      <c r="I426" s="68"/>
      <c r="J426" s="68"/>
      <c r="K426" s="34" t="s">
        <v>64</v>
      </c>
      <c r="L426" s="75">
        <v>426</v>
      </c>
      <c r="M426" s="75"/>
      <c r="N426" s="70"/>
      <c r="O426" s="77" t="s">
        <v>382</v>
      </c>
      <c r="P426" s="79">
        <v>41124.25708333333</v>
      </c>
      <c r="Q426" s="77"/>
      <c r="R426" s="77"/>
      <c r="S426" s="77"/>
      <c r="T426" s="77"/>
      <c r="U426" s="77"/>
      <c r="V426" s="77"/>
      <c r="W426" s="77"/>
      <c r="X426" s="77"/>
      <c r="Y426">
        <v>1</v>
      </c>
    </row>
    <row r="427" spans="1:25" x14ac:dyDescent="0.25">
      <c r="A427" s="62" t="s">
        <v>301</v>
      </c>
      <c r="B427" s="62" t="s">
        <v>287</v>
      </c>
      <c r="C427" s="63" t="s">
        <v>2222</v>
      </c>
      <c r="D427" s="64">
        <v>1</v>
      </c>
      <c r="E427" s="65"/>
      <c r="F427" s="66">
        <v>100</v>
      </c>
      <c r="G427" s="63"/>
      <c r="H427" s="67"/>
      <c r="I427" s="68"/>
      <c r="J427" s="68"/>
      <c r="K427" s="34" t="s">
        <v>64</v>
      </c>
      <c r="L427" s="75">
        <v>427</v>
      </c>
      <c r="M427" s="75"/>
      <c r="N427" s="70"/>
      <c r="O427" s="77" t="s">
        <v>382</v>
      </c>
      <c r="P427" s="79">
        <v>41124.25708333333</v>
      </c>
      <c r="Q427" s="77"/>
      <c r="R427" s="77"/>
      <c r="S427" s="77"/>
      <c r="T427" s="77"/>
      <c r="U427" s="77"/>
      <c r="V427" s="77"/>
      <c r="W427" s="77"/>
      <c r="X427" s="77"/>
      <c r="Y427">
        <v>1</v>
      </c>
    </row>
    <row r="428" spans="1:25" x14ac:dyDescent="0.25">
      <c r="A428" s="62" t="s">
        <v>319</v>
      </c>
      <c r="B428" s="62" t="s">
        <v>287</v>
      </c>
      <c r="C428" s="63" t="s">
        <v>2222</v>
      </c>
      <c r="D428" s="64">
        <v>1</v>
      </c>
      <c r="E428" s="65"/>
      <c r="F428" s="66">
        <v>100</v>
      </c>
      <c r="G428" s="63"/>
      <c r="H428" s="67"/>
      <c r="I428" s="68"/>
      <c r="J428" s="68"/>
      <c r="K428" s="34" t="s">
        <v>64</v>
      </c>
      <c r="L428" s="75">
        <v>428</v>
      </c>
      <c r="M428" s="75"/>
      <c r="N428" s="70"/>
      <c r="O428" s="77" t="s">
        <v>382</v>
      </c>
      <c r="P428" s="79">
        <v>41124.25708333333</v>
      </c>
      <c r="Q428" s="77"/>
      <c r="R428" s="77"/>
      <c r="S428" s="77"/>
      <c r="T428" s="77"/>
      <c r="U428" s="77"/>
      <c r="V428" s="77"/>
      <c r="W428" s="77"/>
      <c r="X428" s="77"/>
      <c r="Y428">
        <v>1</v>
      </c>
    </row>
    <row r="429" spans="1:25" x14ac:dyDescent="0.25">
      <c r="A429" s="62" t="s">
        <v>323</v>
      </c>
      <c r="B429" s="62" t="s">
        <v>287</v>
      </c>
      <c r="C429" s="63" t="s">
        <v>2222</v>
      </c>
      <c r="D429" s="64">
        <v>1</v>
      </c>
      <c r="E429" s="65"/>
      <c r="F429" s="66">
        <v>100</v>
      </c>
      <c r="G429" s="63"/>
      <c r="H429" s="67"/>
      <c r="I429" s="68"/>
      <c r="J429" s="68"/>
      <c r="K429" s="34" t="s">
        <v>64</v>
      </c>
      <c r="L429" s="75">
        <v>429</v>
      </c>
      <c r="M429" s="75"/>
      <c r="N429" s="70"/>
      <c r="O429" s="77" t="s">
        <v>382</v>
      </c>
      <c r="P429" s="79">
        <v>41124.25708333333</v>
      </c>
      <c r="Q429" s="77"/>
      <c r="R429" s="77"/>
      <c r="S429" s="77"/>
      <c r="T429" s="77"/>
      <c r="U429" s="77"/>
      <c r="V429" s="77"/>
      <c r="W429" s="77"/>
      <c r="X429" s="77"/>
      <c r="Y429">
        <v>1</v>
      </c>
    </row>
    <row r="430" spans="1:25" x14ac:dyDescent="0.25">
      <c r="A430" s="62" t="s">
        <v>265</v>
      </c>
      <c r="B430" s="62" t="s">
        <v>265</v>
      </c>
      <c r="C430" s="63" t="s">
        <v>2219</v>
      </c>
      <c r="D430" s="64">
        <v>1</v>
      </c>
      <c r="E430" s="65"/>
      <c r="F430" s="66">
        <v>100</v>
      </c>
      <c r="G430" s="63"/>
      <c r="H430" s="67"/>
      <c r="I430" s="68"/>
      <c r="J430" s="68"/>
      <c r="K430" s="34" t="s">
        <v>64</v>
      </c>
      <c r="L430" s="75">
        <v>430</v>
      </c>
      <c r="M430" s="75"/>
      <c r="N430" s="70"/>
      <c r="O430" s="77" t="s">
        <v>180</v>
      </c>
      <c r="P430" s="79">
        <v>41123.83625</v>
      </c>
      <c r="Q430" s="77" t="s">
        <v>511</v>
      </c>
      <c r="R430" s="81" t="s">
        <v>622</v>
      </c>
      <c r="S430" s="77" t="s">
        <v>650</v>
      </c>
      <c r="T430" s="79">
        <v>41123.83625</v>
      </c>
      <c r="U430" s="81" t="s">
        <v>817</v>
      </c>
      <c r="V430" s="77"/>
      <c r="W430" s="77"/>
      <c r="X430" s="84" t="s">
        <v>1114</v>
      </c>
      <c r="Y430" s="82">
        <v>1</v>
      </c>
    </row>
    <row r="431" spans="1:25" x14ac:dyDescent="0.25">
      <c r="A431" s="62" t="s">
        <v>268</v>
      </c>
      <c r="B431" s="62" t="s">
        <v>265</v>
      </c>
      <c r="C431" s="63" t="s">
        <v>2222</v>
      </c>
      <c r="D431" s="64">
        <v>1</v>
      </c>
      <c r="E431" s="65"/>
      <c r="F431" s="66">
        <v>100</v>
      </c>
      <c r="G431" s="63"/>
      <c r="H431" s="67"/>
      <c r="I431" s="68"/>
      <c r="J431" s="68"/>
      <c r="K431" s="34" t="s">
        <v>64</v>
      </c>
      <c r="L431" s="75">
        <v>431</v>
      </c>
      <c r="M431" s="75"/>
      <c r="N431" s="70"/>
      <c r="O431" s="77" t="s">
        <v>382</v>
      </c>
      <c r="P431" s="79">
        <v>41124.25708333333</v>
      </c>
      <c r="Q431" s="77"/>
      <c r="R431" s="77"/>
      <c r="S431" s="77"/>
      <c r="T431" s="77"/>
      <c r="U431" s="77"/>
      <c r="V431" s="77"/>
      <c r="W431" s="77"/>
      <c r="X431" s="77"/>
      <c r="Y431">
        <v>1</v>
      </c>
    </row>
    <row r="432" spans="1:25" x14ac:dyDescent="0.25">
      <c r="A432" s="62" t="s">
        <v>265</v>
      </c>
      <c r="B432" s="62" t="s">
        <v>246</v>
      </c>
      <c r="C432" s="63" t="s">
        <v>2222</v>
      </c>
      <c r="D432" s="64">
        <v>1</v>
      </c>
      <c r="E432" s="65"/>
      <c r="F432" s="66">
        <v>100</v>
      </c>
      <c r="G432" s="63"/>
      <c r="H432" s="67"/>
      <c r="I432" s="68"/>
      <c r="J432" s="68"/>
      <c r="K432" s="34" t="s">
        <v>64</v>
      </c>
      <c r="L432" s="75">
        <v>432</v>
      </c>
      <c r="M432" s="75"/>
      <c r="N432" s="70"/>
      <c r="O432" s="77" t="s">
        <v>382</v>
      </c>
      <c r="P432" s="79">
        <v>41124.25708333333</v>
      </c>
      <c r="Q432" s="77"/>
      <c r="R432" s="77"/>
      <c r="S432" s="77"/>
      <c r="T432" s="77"/>
      <c r="U432" s="77"/>
      <c r="V432" s="77"/>
      <c r="W432" s="77"/>
      <c r="X432" s="77"/>
      <c r="Y432">
        <v>1</v>
      </c>
    </row>
    <row r="433" spans="1:25" x14ac:dyDescent="0.25">
      <c r="A433" s="62" t="s">
        <v>265</v>
      </c>
      <c r="B433" s="62" t="s">
        <v>276</v>
      </c>
      <c r="C433" s="63" t="s">
        <v>2222</v>
      </c>
      <c r="D433" s="64">
        <v>1</v>
      </c>
      <c r="E433" s="65"/>
      <c r="F433" s="66">
        <v>100</v>
      </c>
      <c r="G433" s="63"/>
      <c r="H433" s="67"/>
      <c r="I433" s="68"/>
      <c r="J433" s="68"/>
      <c r="K433" s="34" t="s">
        <v>65</v>
      </c>
      <c r="L433" s="75">
        <v>433</v>
      </c>
      <c r="M433" s="75"/>
      <c r="N433" s="70"/>
      <c r="O433" s="77" t="s">
        <v>382</v>
      </c>
      <c r="P433" s="79">
        <v>41124.25708333333</v>
      </c>
      <c r="Q433" s="77"/>
      <c r="R433" s="77"/>
      <c r="S433" s="77"/>
      <c r="T433" s="77"/>
      <c r="U433" s="77"/>
      <c r="V433" s="77"/>
      <c r="W433" s="77"/>
      <c r="X433" s="77"/>
      <c r="Y433">
        <v>1</v>
      </c>
    </row>
    <row r="434" spans="1:25" x14ac:dyDescent="0.25">
      <c r="A434" s="62" t="s">
        <v>265</v>
      </c>
      <c r="B434" s="62" t="s">
        <v>324</v>
      </c>
      <c r="C434" s="63" t="s">
        <v>2222</v>
      </c>
      <c r="D434" s="64">
        <v>1</v>
      </c>
      <c r="E434" s="65"/>
      <c r="F434" s="66">
        <v>100</v>
      </c>
      <c r="G434" s="63"/>
      <c r="H434" s="67"/>
      <c r="I434" s="68"/>
      <c r="J434" s="68"/>
      <c r="K434" s="34" t="s">
        <v>65</v>
      </c>
      <c r="L434" s="75">
        <v>434</v>
      </c>
      <c r="M434" s="75"/>
      <c r="N434" s="70"/>
      <c r="O434" s="77" t="s">
        <v>382</v>
      </c>
      <c r="P434" s="79">
        <v>41124.25708333333</v>
      </c>
      <c r="Q434" s="77"/>
      <c r="R434" s="77"/>
      <c r="S434" s="77"/>
      <c r="T434" s="77"/>
      <c r="U434" s="77"/>
      <c r="V434" s="77"/>
      <c r="W434" s="77"/>
      <c r="X434" s="77"/>
      <c r="Y434">
        <v>1</v>
      </c>
    </row>
    <row r="435" spans="1:25" x14ac:dyDescent="0.25">
      <c r="A435" s="62" t="s">
        <v>265</v>
      </c>
      <c r="B435" s="62" t="s">
        <v>311</v>
      </c>
      <c r="C435" s="63" t="s">
        <v>2222</v>
      </c>
      <c r="D435" s="64">
        <v>1</v>
      </c>
      <c r="E435" s="65"/>
      <c r="F435" s="66">
        <v>100</v>
      </c>
      <c r="G435" s="63"/>
      <c r="H435" s="67"/>
      <c r="I435" s="68"/>
      <c r="J435" s="68"/>
      <c r="K435" s="34" t="s">
        <v>65</v>
      </c>
      <c r="L435" s="75">
        <v>435</v>
      </c>
      <c r="M435" s="75"/>
      <c r="N435" s="70"/>
      <c r="O435" s="77" t="s">
        <v>382</v>
      </c>
      <c r="P435" s="79">
        <v>41124.25708333333</v>
      </c>
      <c r="Q435" s="77"/>
      <c r="R435" s="77"/>
      <c r="S435" s="77"/>
      <c r="T435" s="77"/>
      <c r="U435" s="77"/>
      <c r="V435" s="77"/>
      <c r="W435" s="77"/>
      <c r="X435" s="77"/>
      <c r="Y435">
        <v>1</v>
      </c>
    </row>
    <row r="436" spans="1:25" x14ac:dyDescent="0.25">
      <c r="A436" s="62" t="s">
        <v>269</v>
      </c>
      <c r="B436" s="62" t="s">
        <v>265</v>
      </c>
      <c r="C436" s="63" t="s">
        <v>2222</v>
      </c>
      <c r="D436" s="64">
        <v>1</v>
      </c>
      <c r="E436" s="65"/>
      <c r="F436" s="66">
        <v>100</v>
      </c>
      <c r="G436" s="63"/>
      <c r="H436" s="67"/>
      <c r="I436" s="68"/>
      <c r="J436" s="68"/>
      <c r="K436" s="34" t="s">
        <v>64</v>
      </c>
      <c r="L436" s="75">
        <v>436</v>
      </c>
      <c r="M436" s="75"/>
      <c r="N436" s="70"/>
      <c r="O436" s="77" t="s">
        <v>382</v>
      </c>
      <c r="P436" s="79">
        <v>41124.25708333333</v>
      </c>
      <c r="Q436" s="77"/>
      <c r="R436" s="77"/>
      <c r="S436" s="77"/>
      <c r="T436" s="77"/>
      <c r="U436" s="77"/>
      <c r="V436" s="77"/>
      <c r="W436" s="77"/>
      <c r="X436" s="77"/>
      <c r="Y436">
        <v>1</v>
      </c>
    </row>
    <row r="437" spans="1:25" x14ac:dyDescent="0.25">
      <c r="A437" s="62" t="s">
        <v>281</v>
      </c>
      <c r="B437" s="62" t="s">
        <v>265</v>
      </c>
      <c r="C437" s="63" t="s">
        <v>2222</v>
      </c>
      <c r="D437" s="64">
        <v>1</v>
      </c>
      <c r="E437" s="65"/>
      <c r="F437" s="66">
        <v>100</v>
      </c>
      <c r="G437" s="63"/>
      <c r="H437" s="67"/>
      <c r="I437" s="68"/>
      <c r="J437" s="68"/>
      <c r="K437" s="34" t="s">
        <v>64</v>
      </c>
      <c r="L437" s="75">
        <v>437</v>
      </c>
      <c r="M437" s="75"/>
      <c r="N437" s="70"/>
      <c r="O437" s="77" t="s">
        <v>382</v>
      </c>
      <c r="P437" s="79">
        <v>41124.25708333333</v>
      </c>
      <c r="Q437" s="77"/>
      <c r="R437" s="77"/>
      <c r="S437" s="77"/>
      <c r="T437" s="77"/>
      <c r="U437" s="77"/>
      <c r="V437" s="77"/>
      <c r="W437" s="77"/>
      <c r="X437" s="77"/>
      <c r="Y437">
        <v>1</v>
      </c>
    </row>
    <row r="438" spans="1:25" x14ac:dyDescent="0.25">
      <c r="A438" s="62" t="s">
        <v>298</v>
      </c>
      <c r="B438" s="62" t="s">
        <v>265</v>
      </c>
      <c r="C438" s="63" t="s">
        <v>2222</v>
      </c>
      <c r="D438" s="64">
        <v>1</v>
      </c>
      <c r="E438" s="65"/>
      <c r="F438" s="66">
        <v>100</v>
      </c>
      <c r="G438" s="63"/>
      <c r="H438" s="67"/>
      <c r="I438" s="68"/>
      <c r="J438" s="68"/>
      <c r="K438" s="34" t="s">
        <v>64</v>
      </c>
      <c r="L438" s="75">
        <v>438</v>
      </c>
      <c r="M438" s="75"/>
      <c r="N438" s="70"/>
      <c r="O438" s="77" t="s">
        <v>382</v>
      </c>
      <c r="P438" s="79">
        <v>41124.25708333333</v>
      </c>
      <c r="Q438" s="77"/>
      <c r="R438" s="77"/>
      <c r="S438" s="77"/>
      <c r="T438" s="77"/>
      <c r="U438" s="77"/>
      <c r="V438" s="77"/>
      <c r="W438" s="77"/>
      <c r="X438" s="77"/>
      <c r="Y438">
        <v>1</v>
      </c>
    </row>
    <row r="439" spans="1:25" x14ac:dyDescent="0.25">
      <c r="A439" s="62" t="s">
        <v>276</v>
      </c>
      <c r="B439" s="62" t="s">
        <v>265</v>
      </c>
      <c r="C439" s="63" t="s">
        <v>2222</v>
      </c>
      <c r="D439" s="64">
        <v>1</v>
      </c>
      <c r="E439" s="65"/>
      <c r="F439" s="66">
        <v>100</v>
      </c>
      <c r="G439" s="63"/>
      <c r="H439" s="67"/>
      <c r="I439" s="68"/>
      <c r="J439" s="68"/>
      <c r="K439" s="34" t="s">
        <v>65</v>
      </c>
      <c r="L439" s="75">
        <v>439</v>
      </c>
      <c r="M439" s="75"/>
      <c r="N439" s="70"/>
      <c r="O439" s="77" t="s">
        <v>382</v>
      </c>
      <c r="P439" s="79">
        <v>41124.25708333333</v>
      </c>
      <c r="Q439" s="77"/>
      <c r="R439" s="77"/>
      <c r="S439" s="77"/>
      <c r="T439" s="77"/>
      <c r="U439" s="77"/>
      <c r="V439" s="77"/>
      <c r="W439" s="77"/>
      <c r="X439" s="77"/>
      <c r="Y439">
        <v>1</v>
      </c>
    </row>
    <row r="440" spans="1:25" x14ac:dyDescent="0.25">
      <c r="A440" s="62" t="s">
        <v>311</v>
      </c>
      <c r="B440" s="62" t="s">
        <v>265</v>
      </c>
      <c r="C440" s="63" t="s">
        <v>2222</v>
      </c>
      <c r="D440" s="64">
        <v>1</v>
      </c>
      <c r="E440" s="65"/>
      <c r="F440" s="66">
        <v>100</v>
      </c>
      <c r="G440" s="63"/>
      <c r="H440" s="67"/>
      <c r="I440" s="68"/>
      <c r="J440" s="68"/>
      <c r="K440" s="34" t="s">
        <v>65</v>
      </c>
      <c r="L440" s="75">
        <v>440</v>
      </c>
      <c r="M440" s="75"/>
      <c r="N440" s="70"/>
      <c r="O440" s="77" t="s">
        <v>382</v>
      </c>
      <c r="P440" s="79">
        <v>41124.25708333333</v>
      </c>
      <c r="Q440" s="77"/>
      <c r="R440" s="77"/>
      <c r="S440" s="77"/>
      <c r="T440" s="77"/>
      <c r="U440" s="77"/>
      <c r="V440" s="77"/>
      <c r="W440" s="77"/>
      <c r="X440" s="77"/>
      <c r="Y440">
        <v>1</v>
      </c>
    </row>
    <row r="441" spans="1:25" x14ac:dyDescent="0.25">
      <c r="A441" s="62" t="s">
        <v>324</v>
      </c>
      <c r="B441" s="62" t="s">
        <v>265</v>
      </c>
      <c r="C441" s="63" t="s">
        <v>2222</v>
      </c>
      <c r="D441" s="64">
        <v>1</v>
      </c>
      <c r="E441" s="65"/>
      <c r="F441" s="66">
        <v>100</v>
      </c>
      <c r="G441" s="63"/>
      <c r="H441" s="67"/>
      <c r="I441" s="68"/>
      <c r="J441" s="68"/>
      <c r="K441" s="34" t="s">
        <v>65</v>
      </c>
      <c r="L441" s="75">
        <v>441</v>
      </c>
      <c r="M441" s="75"/>
      <c r="N441" s="70"/>
      <c r="O441" s="77" t="s">
        <v>382</v>
      </c>
      <c r="P441" s="79">
        <v>41124.25708333333</v>
      </c>
      <c r="Q441" s="77"/>
      <c r="R441" s="77"/>
      <c r="S441" s="77"/>
      <c r="T441" s="77"/>
      <c r="U441" s="77"/>
      <c r="V441" s="77"/>
      <c r="W441" s="77"/>
      <c r="X441" s="77"/>
      <c r="Y441">
        <v>1</v>
      </c>
    </row>
    <row r="442" spans="1:25" x14ac:dyDescent="0.25">
      <c r="A442" s="62" t="s">
        <v>298</v>
      </c>
      <c r="B442" s="62" t="s">
        <v>298</v>
      </c>
      <c r="C442" s="63" t="s">
        <v>2219</v>
      </c>
      <c r="D442" s="64">
        <v>1</v>
      </c>
      <c r="E442" s="65"/>
      <c r="F442" s="66">
        <v>100</v>
      </c>
      <c r="G442" s="63"/>
      <c r="H442" s="67"/>
      <c r="I442" s="68"/>
      <c r="J442" s="68"/>
      <c r="K442" s="34" t="s">
        <v>64</v>
      </c>
      <c r="L442" s="75">
        <v>442</v>
      </c>
      <c r="M442" s="75"/>
      <c r="N442" s="70"/>
      <c r="O442" s="77" t="s">
        <v>180</v>
      </c>
      <c r="P442" s="79">
        <v>41123.882893518516</v>
      </c>
      <c r="Q442" s="77" t="s">
        <v>508</v>
      </c>
      <c r="R442" s="77"/>
      <c r="S442" s="77"/>
      <c r="T442" s="79">
        <v>41123.882893518516</v>
      </c>
      <c r="U442" s="81" t="s">
        <v>818</v>
      </c>
      <c r="V442" s="77"/>
      <c r="W442" s="77"/>
      <c r="X442" s="84" t="s">
        <v>1115</v>
      </c>
      <c r="Y442" s="82">
        <v>1</v>
      </c>
    </row>
    <row r="443" spans="1:25" x14ac:dyDescent="0.25">
      <c r="A443" s="62" t="s">
        <v>300</v>
      </c>
      <c r="B443" s="62" t="s">
        <v>298</v>
      </c>
      <c r="C443" s="63" t="s">
        <v>2222</v>
      </c>
      <c r="D443" s="64">
        <v>1</v>
      </c>
      <c r="E443" s="65"/>
      <c r="F443" s="66">
        <v>100</v>
      </c>
      <c r="G443" s="63"/>
      <c r="H443" s="67"/>
      <c r="I443" s="68"/>
      <c r="J443" s="68"/>
      <c r="K443" s="34" t="s">
        <v>65</v>
      </c>
      <c r="L443" s="75">
        <v>443</v>
      </c>
      <c r="M443" s="75"/>
      <c r="N443" s="70"/>
      <c r="O443" s="77" t="s">
        <v>382</v>
      </c>
      <c r="P443" s="79">
        <v>41124.25708333333</v>
      </c>
      <c r="Q443" s="77"/>
      <c r="R443" s="77"/>
      <c r="S443" s="77"/>
      <c r="T443" s="77"/>
      <c r="U443" s="77"/>
      <c r="V443" s="77"/>
      <c r="W443" s="77"/>
      <c r="X443" s="77"/>
      <c r="Y443">
        <v>1</v>
      </c>
    </row>
    <row r="444" spans="1:25" x14ac:dyDescent="0.25">
      <c r="A444" s="62" t="s">
        <v>267</v>
      </c>
      <c r="B444" s="62" t="s">
        <v>298</v>
      </c>
      <c r="C444" s="63" t="s">
        <v>2222</v>
      </c>
      <c r="D444" s="64">
        <v>1</v>
      </c>
      <c r="E444" s="65"/>
      <c r="F444" s="66">
        <v>100</v>
      </c>
      <c r="G444" s="63"/>
      <c r="H444" s="67"/>
      <c r="I444" s="68"/>
      <c r="J444" s="68"/>
      <c r="K444" s="34" t="s">
        <v>65</v>
      </c>
      <c r="L444" s="75">
        <v>444</v>
      </c>
      <c r="M444" s="75"/>
      <c r="N444" s="70"/>
      <c r="O444" s="77" t="s">
        <v>382</v>
      </c>
      <c r="P444" s="79">
        <v>41124.25708333333</v>
      </c>
      <c r="Q444" s="77"/>
      <c r="R444" s="77"/>
      <c r="S444" s="77"/>
      <c r="T444" s="77"/>
      <c r="U444" s="77"/>
      <c r="V444" s="77"/>
      <c r="W444" s="77"/>
      <c r="X444" s="77"/>
      <c r="Y444">
        <v>1</v>
      </c>
    </row>
    <row r="445" spans="1:25" x14ac:dyDescent="0.25">
      <c r="A445" s="62" t="s">
        <v>295</v>
      </c>
      <c r="B445" s="62" t="s">
        <v>298</v>
      </c>
      <c r="C445" s="63" t="s">
        <v>2222</v>
      </c>
      <c r="D445" s="64">
        <v>1</v>
      </c>
      <c r="E445" s="65"/>
      <c r="F445" s="66">
        <v>100</v>
      </c>
      <c r="G445" s="63"/>
      <c r="H445" s="67"/>
      <c r="I445" s="68"/>
      <c r="J445" s="68"/>
      <c r="K445" s="34" t="s">
        <v>65</v>
      </c>
      <c r="L445" s="75">
        <v>445</v>
      </c>
      <c r="M445" s="75"/>
      <c r="N445" s="70"/>
      <c r="O445" s="77" t="s">
        <v>382</v>
      </c>
      <c r="P445" s="79">
        <v>41124.25708333333</v>
      </c>
      <c r="Q445" s="77"/>
      <c r="R445" s="77"/>
      <c r="S445" s="77"/>
      <c r="T445" s="77"/>
      <c r="U445" s="77"/>
      <c r="V445" s="77"/>
      <c r="W445" s="77"/>
      <c r="X445" s="77"/>
      <c r="Y445">
        <v>1</v>
      </c>
    </row>
    <row r="446" spans="1:25" x14ac:dyDescent="0.25">
      <c r="A446" s="62" t="s">
        <v>297</v>
      </c>
      <c r="B446" s="62" t="s">
        <v>298</v>
      </c>
      <c r="C446" s="63" t="s">
        <v>2222</v>
      </c>
      <c r="D446" s="64">
        <v>1</v>
      </c>
      <c r="E446" s="65"/>
      <c r="F446" s="66">
        <v>100</v>
      </c>
      <c r="G446" s="63"/>
      <c r="H446" s="67"/>
      <c r="I446" s="68"/>
      <c r="J446" s="68"/>
      <c r="K446" s="34" t="s">
        <v>65</v>
      </c>
      <c r="L446" s="75">
        <v>446</v>
      </c>
      <c r="M446" s="75"/>
      <c r="N446" s="70"/>
      <c r="O446" s="77" t="s">
        <v>382</v>
      </c>
      <c r="P446" s="79">
        <v>41124.25708333333</v>
      </c>
      <c r="Q446" s="77"/>
      <c r="R446" s="77"/>
      <c r="S446" s="77"/>
      <c r="T446" s="77"/>
      <c r="U446" s="77"/>
      <c r="V446" s="77"/>
      <c r="W446" s="77"/>
      <c r="X446" s="77"/>
      <c r="Y446">
        <v>1</v>
      </c>
    </row>
    <row r="447" spans="1:25" x14ac:dyDescent="0.25">
      <c r="A447" s="62" t="s">
        <v>298</v>
      </c>
      <c r="B447" s="62" t="s">
        <v>301</v>
      </c>
      <c r="C447" s="63" t="s">
        <v>2222</v>
      </c>
      <c r="D447" s="64">
        <v>1</v>
      </c>
      <c r="E447" s="65"/>
      <c r="F447" s="66">
        <v>100</v>
      </c>
      <c r="G447" s="63"/>
      <c r="H447" s="67"/>
      <c r="I447" s="68"/>
      <c r="J447" s="68"/>
      <c r="K447" s="34" t="s">
        <v>64</v>
      </c>
      <c r="L447" s="75">
        <v>447</v>
      </c>
      <c r="M447" s="75"/>
      <c r="N447" s="70"/>
      <c r="O447" s="77" t="s">
        <v>382</v>
      </c>
      <c r="P447" s="79">
        <v>41124.25708333333</v>
      </c>
      <c r="Q447" s="77"/>
      <c r="R447" s="77"/>
      <c r="S447" s="77"/>
      <c r="T447" s="77"/>
      <c r="U447" s="77"/>
      <c r="V447" s="77"/>
      <c r="W447" s="77"/>
      <c r="X447" s="77"/>
      <c r="Y447">
        <v>1</v>
      </c>
    </row>
    <row r="448" spans="1:25" x14ac:dyDescent="0.25">
      <c r="A448" s="62" t="s">
        <v>298</v>
      </c>
      <c r="B448" s="62" t="s">
        <v>319</v>
      </c>
      <c r="C448" s="63" t="s">
        <v>2222</v>
      </c>
      <c r="D448" s="64">
        <v>1</v>
      </c>
      <c r="E448" s="65"/>
      <c r="F448" s="66">
        <v>100</v>
      </c>
      <c r="G448" s="63"/>
      <c r="H448" s="67"/>
      <c r="I448" s="68"/>
      <c r="J448" s="68"/>
      <c r="K448" s="34" t="s">
        <v>65</v>
      </c>
      <c r="L448" s="75">
        <v>448</v>
      </c>
      <c r="M448" s="75"/>
      <c r="N448" s="70"/>
      <c r="O448" s="77" t="s">
        <v>382</v>
      </c>
      <c r="P448" s="79">
        <v>41124.25708333333</v>
      </c>
      <c r="Q448" s="77"/>
      <c r="R448" s="77"/>
      <c r="S448" s="77"/>
      <c r="T448" s="77"/>
      <c r="U448" s="77"/>
      <c r="V448" s="77"/>
      <c r="W448" s="77"/>
      <c r="X448" s="77"/>
      <c r="Y448">
        <v>1</v>
      </c>
    </row>
    <row r="449" spans="1:25" x14ac:dyDescent="0.25">
      <c r="A449" s="62" t="s">
        <v>298</v>
      </c>
      <c r="B449" s="62" t="s">
        <v>324</v>
      </c>
      <c r="C449" s="63" t="s">
        <v>2222</v>
      </c>
      <c r="D449" s="64">
        <v>1</v>
      </c>
      <c r="E449" s="65"/>
      <c r="F449" s="66">
        <v>100</v>
      </c>
      <c r="G449" s="63"/>
      <c r="H449" s="67"/>
      <c r="I449" s="68"/>
      <c r="J449" s="68"/>
      <c r="K449" s="34" t="s">
        <v>65</v>
      </c>
      <c r="L449" s="75">
        <v>449</v>
      </c>
      <c r="M449" s="75"/>
      <c r="N449" s="70"/>
      <c r="O449" s="77" t="s">
        <v>382</v>
      </c>
      <c r="P449" s="79">
        <v>41124.25708333333</v>
      </c>
      <c r="Q449" s="77"/>
      <c r="R449" s="77"/>
      <c r="S449" s="77"/>
      <c r="T449" s="77"/>
      <c r="U449" s="77"/>
      <c r="V449" s="77"/>
      <c r="W449" s="77"/>
      <c r="X449" s="77"/>
      <c r="Y449">
        <v>1</v>
      </c>
    </row>
    <row r="450" spans="1:25" x14ac:dyDescent="0.25">
      <c r="A450" s="62" t="s">
        <v>298</v>
      </c>
      <c r="B450" s="62" t="s">
        <v>295</v>
      </c>
      <c r="C450" s="63" t="s">
        <v>2222</v>
      </c>
      <c r="D450" s="64">
        <v>1</v>
      </c>
      <c r="E450" s="65"/>
      <c r="F450" s="66">
        <v>100</v>
      </c>
      <c r="G450" s="63"/>
      <c r="H450" s="67"/>
      <c r="I450" s="68"/>
      <c r="J450" s="68"/>
      <c r="K450" s="34" t="s">
        <v>65</v>
      </c>
      <c r="L450" s="75">
        <v>450</v>
      </c>
      <c r="M450" s="75"/>
      <c r="N450" s="70"/>
      <c r="O450" s="77" t="s">
        <v>382</v>
      </c>
      <c r="P450" s="79">
        <v>41124.25708333333</v>
      </c>
      <c r="Q450" s="77"/>
      <c r="R450" s="77"/>
      <c r="S450" s="77"/>
      <c r="T450" s="77"/>
      <c r="U450" s="77"/>
      <c r="V450" s="77"/>
      <c r="W450" s="77"/>
      <c r="X450" s="77"/>
      <c r="Y450">
        <v>1</v>
      </c>
    </row>
    <row r="451" spans="1:25" x14ac:dyDescent="0.25">
      <c r="A451" s="62" t="s">
        <v>298</v>
      </c>
      <c r="B451" s="62" t="s">
        <v>246</v>
      </c>
      <c r="C451" s="63" t="s">
        <v>2222</v>
      </c>
      <c r="D451" s="64">
        <v>1</v>
      </c>
      <c r="E451" s="65"/>
      <c r="F451" s="66">
        <v>100</v>
      </c>
      <c r="G451" s="63"/>
      <c r="H451" s="67"/>
      <c r="I451" s="68"/>
      <c r="J451" s="68"/>
      <c r="K451" s="34" t="s">
        <v>64</v>
      </c>
      <c r="L451" s="75">
        <v>451</v>
      </c>
      <c r="M451" s="75"/>
      <c r="N451" s="70"/>
      <c r="O451" s="77" t="s">
        <v>382</v>
      </c>
      <c r="P451" s="79">
        <v>41124.25708333333</v>
      </c>
      <c r="Q451" s="77"/>
      <c r="R451" s="77"/>
      <c r="S451" s="77"/>
      <c r="T451" s="77"/>
      <c r="U451" s="77"/>
      <c r="V451" s="77"/>
      <c r="W451" s="77"/>
      <c r="X451" s="77"/>
      <c r="Y451">
        <v>1</v>
      </c>
    </row>
    <row r="452" spans="1:25" x14ac:dyDescent="0.25">
      <c r="A452" s="62" t="s">
        <v>298</v>
      </c>
      <c r="B452" s="62" t="s">
        <v>297</v>
      </c>
      <c r="C452" s="63" t="s">
        <v>2222</v>
      </c>
      <c r="D452" s="64">
        <v>1</v>
      </c>
      <c r="E452" s="65"/>
      <c r="F452" s="66">
        <v>100</v>
      </c>
      <c r="G452" s="63"/>
      <c r="H452" s="67"/>
      <c r="I452" s="68"/>
      <c r="J452" s="68"/>
      <c r="K452" s="34" t="s">
        <v>65</v>
      </c>
      <c r="L452" s="75">
        <v>452</v>
      </c>
      <c r="M452" s="75"/>
      <c r="N452" s="70"/>
      <c r="O452" s="77" t="s">
        <v>382</v>
      </c>
      <c r="P452" s="79">
        <v>41124.25708333333</v>
      </c>
      <c r="Q452" s="77"/>
      <c r="R452" s="77"/>
      <c r="S452" s="77"/>
      <c r="T452" s="77"/>
      <c r="U452" s="77"/>
      <c r="V452" s="77"/>
      <c r="W452" s="77"/>
      <c r="X452" s="77"/>
      <c r="Y452">
        <v>1</v>
      </c>
    </row>
    <row r="453" spans="1:25" x14ac:dyDescent="0.25">
      <c r="A453" s="62" t="s">
        <v>298</v>
      </c>
      <c r="B453" s="62" t="s">
        <v>276</v>
      </c>
      <c r="C453" s="63" t="s">
        <v>2222</v>
      </c>
      <c r="D453" s="64">
        <v>1</v>
      </c>
      <c r="E453" s="65"/>
      <c r="F453" s="66">
        <v>100</v>
      </c>
      <c r="G453" s="63"/>
      <c r="H453" s="67"/>
      <c r="I453" s="68"/>
      <c r="J453" s="68"/>
      <c r="K453" s="34" t="s">
        <v>65</v>
      </c>
      <c r="L453" s="75">
        <v>453</v>
      </c>
      <c r="M453" s="75"/>
      <c r="N453" s="70"/>
      <c r="O453" s="77" t="s">
        <v>382</v>
      </c>
      <c r="P453" s="79">
        <v>41124.25708333333</v>
      </c>
      <c r="Q453" s="77"/>
      <c r="R453" s="77"/>
      <c r="S453" s="77"/>
      <c r="T453" s="77"/>
      <c r="U453" s="77"/>
      <c r="V453" s="77"/>
      <c r="W453" s="77"/>
      <c r="X453" s="77"/>
      <c r="Y453">
        <v>1</v>
      </c>
    </row>
    <row r="454" spans="1:25" x14ac:dyDescent="0.25">
      <c r="A454" s="62" t="s">
        <v>298</v>
      </c>
      <c r="B454" s="62" t="s">
        <v>267</v>
      </c>
      <c r="C454" s="63" t="s">
        <v>2222</v>
      </c>
      <c r="D454" s="64">
        <v>1</v>
      </c>
      <c r="E454" s="65"/>
      <c r="F454" s="66">
        <v>100</v>
      </c>
      <c r="G454" s="63"/>
      <c r="H454" s="67"/>
      <c r="I454" s="68"/>
      <c r="J454" s="68"/>
      <c r="K454" s="34" t="s">
        <v>65</v>
      </c>
      <c r="L454" s="75">
        <v>454</v>
      </c>
      <c r="M454" s="75"/>
      <c r="N454" s="70"/>
      <c r="O454" s="77" t="s">
        <v>382</v>
      </c>
      <c r="P454" s="79">
        <v>41124.25708333333</v>
      </c>
      <c r="Q454" s="77"/>
      <c r="R454" s="77"/>
      <c r="S454" s="77"/>
      <c r="T454" s="77"/>
      <c r="U454" s="77"/>
      <c r="V454" s="77"/>
      <c r="W454" s="77"/>
      <c r="X454" s="77"/>
      <c r="Y454">
        <v>1</v>
      </c>
    </row>
    <row r="455" spans="1:25" x14ac:dyDescent="0.25">
      <c r="A455" s="62" t="s">
        <v>298</v>
      </c>
      <c r="B455" s="62" t="s">
        <v>300</v>
      </c>
      <c r="C455" s="63" t="s">
        <v>2222</v>
      </c>
      <c r="D455" s="64">
        <v>1</v>
      </c>
      <c r="E455" s="65"/>
      <c r="F455" s="66">
        <v>100</v>
      </c>
      <c r="G455" s="63"/>
      <c r="H455" s="67"/>
      <c r="I455" s="68"/>
      <c r="J455" s="68"/>
      <c r="K455" s="34" t="s">
        <v>65</v>
      </c>
      <c r="L455" s="75">
        <v>455</v>
      </c>
      <c r="M455" s="75"/>
      <c r="N455" s="70"/>
      <c r="O455" s="77" t="s">
        <v>382</v>
      </c>
      <c r="P455" s="79">
        <v>41124.25708333333</v>
      </c>
      <c r="Q455" s="77"/>
      <c r="R455" s="77"/>
      <c r="S455" s="77"/>
      <c r="T455" s="77"/>
      <c r="U455" s="77"/>
      <c r="V455" s="77"/>
      <c r="W455" s="77"/>
      <c r="X455" s="77"/>
      <c r="Y455">
        <v>1</v>
      </c>
    </row>
    <row r="456" spans="1:25" x14ac:dyDescent="0.25">
      <c r="A456" s="62" t="s">
        <v>298</v>
      </c>
      <c r="B456" s="62" t="s">
        <v>313</v>
      </c>
      <c r="C456" s="63" t="s">
        <v>2222</v>
      </c>
      <c r="D456" s="64">
        <v>1</v>
      </c>
      <c r="E456" s="65"/>
      <c r="F456" s="66">
        <v>100</v>
      </c>
      <c r="G456" s="63"/>
      <c r="H456" s="67"/>
      <c r="I456" s="68"/>
      <c r="J456" s="68"/>
      <c r="K456" s="34" t="s">
        <v>64</v>
      </c>
      <c r="L456" s="75">
        <v>456</v>
      </c>
      <c r="M456" s="75"/>
      <c r="N456" s="70"/>
      <c r="O456" s="77" t="s">
        <v>382</v>
      </c>
      <c r="P456" s="79">
        <v>41124.25708333333</v>
      </c>
      <c r="Q456" s="77"/>
      <c r="R456" s="77"/>
      <c r="S456" s="77"/>
      <c r="T456" s="77"/>
      <c r="U456" s="77"/>
      <c r="V456" s="77"/>
      <c r="W456" s="77"/>
      <c r="X456" s="77"/>
      <c r="Y456">
        <v>1</v>
      </c>
    </row>
    <row r="457" spans="1:25" x14ac:dyDescent="0.25">
      <c r="A457" s="62" t="s">
        <v>298</v>
      </c>
      <c r="B457" s="62" t="s">
        <v>286</v>
      </c>
      <c r="C457" s="63" t="s">
        <v>2222</v>
      </c>
      <c r="D457" s="64">
        <v>1</v>
      </c>
      <c r="E457" s="65"/>
      <c r="F457" s="66">
        <v>100</v>
      </c>
      <c r="G457" s="63"/>
      <c r="H457" s="67"/>
      <c r="I457" s="68"/>
      <c r="J457" s="68"/>
      <c r="K457" s="34" t="s">
        <v>64</v>
      </c>
      <c r="L457" s="75">
        <v>457</v>
      </c>
      <c r="M457" s="75"/>
      <c r="N457" s="70"/>
      <c r="O457" s="77" t="s">
        <v>382</v>
      </c>
      <c r="P457" s="79">
        <v>41124.25708333333</v>
      </c>
      <c r="Q457" s="77"/>
      <c r="R457" s="77"/>
      <c r="S457" s="77"/>
      <c r="T457" s="77"/>
      <c r="U457" s="77"/>
      <c r="V457" s="77"/>
      <c r="W457" s="77"/>
      <c r="X457" s="77"/>
      <c r="Y457">
        <v>1</v>
      </c>
    </row>
    <row r="458" spans="1:25" x14ac:dyDescent="0.25">
      <c r="A458" s="62" t="s">
        <v>276</v>
      </c>
      <c r="B458" s="62" t="s">
        <v>298</v>
      </c>
      <c r="C458" s="63" t="s">
        <v>2222</v>
      </c>
      <c r="D458" s="64">
        <v>1</v>
      </c>
      <c r="E458" s="65"/>
      <c r="F458" s="66">
        <v>100</v>
      </c>
      <c r="G458" s="63"/>
      <c r="H458" s="67"/>
      <c r="I458" s="68"/>
      <c r="J458" s="68"/>
      <c r="K458" s="34" t="s">
        <v>65</v>
      </c>
      <c r="L458" s="75">
        <v>458</v>
      </c>
      <c r="M458" s="75"/>
      <c r="N458" s="70"/>
      <c r="O458" s="77" t="s">
        <v>382</v>
      </c>
      <c r="P458" s="79">
        <v>41124.25708333333</v>
      </c>
      <c r="Q458" s="77"/>
      <c r="R458" s="77"/>
      <c r="S458" s="77"/>
      <c r="T458" s="77"/>
      <c r="U458" s="77"/>
      <c r="V458" s="77"/>
      <c r="W458" s="77"/>
      <c r="X458" s="77"/>
      <c r="Y458">
        <v>1</v>
      </c>
    </row>
    <row r="459" spans="1:25" x14ac:dyDescent="0.25">
      <c r="A459" s="62" t="s">
        <v>319</v>
      </c>
      <c r="B459" s="62" t="s">
        <v>298</v>
      </c>
      <c r="C459" s="63" t="s">
        <v>2222</v>
      </c>
      <c r="D459" s="64">
        <v>1</v>
      </c>
      <c r="E459" s="65"/>
      <c r="F459" s="66">
        <v>100</v>
      </c>
      <c r="G459" s="63"/>
      <c r="H459" s="67"/>
      <c r="I459" s="68"/>
      <c r="J459" s="68"/>
      <c r="K459" s="34" t="s">
        <v>65</v>
      </c>
      <c r="L459" s="75">
        <v>459</v>
      </c>
      <c r="M459" s="75"/>
      <c r="N459" s="70"/>
      <c r="O459" s="77" t="s">
        <v>382</v>
      </c>
      <c r="P459" s="79">
        <v>41124.25708333333</v>
      </c>
      <c r="Q459" s="77"/>
      <c r="R459" s="77"/>
      <c r="S459" s="77"/>
      <c r="T459" s="77"/>
      <c r="U459" s="77"/>
      <c r="V459" s="77"/>
      <c r="W459" s="77"/>
      <c r="X459" s="77"/>
      <c r="Y459">
        <v>1</v>
      </c>
    </row>
    <row r="460" spans="1:25" x14ac:dyDescent="0.25">
      <c r="A460" s="62" t="s">
        <v>324</v>
      </c>
      <c r="B460" s="62" t="s">
        <v>298</v>
      </c>
      <c r="C460" s="63" t="s">
        <v>2222</v>
      </c>
      <c r="D460" s="64">
        <v>1</v>
      </c>
      <c r="E460" s="65"/>
      <c r="F460" s="66">
        <v>100</v>
      </c>
      <c r="G460" s="63"/>
      <c r="H460" s="67"/>
      <c r="I460" s="68"/>
      <c r="J460" s="68"/>
      <c r="K460" s="34" t="s">
        <v>65</v>
      </c>
      <c r="L460" s="75">
        <v>460</v>
      </c>
      <c r="M460" s="75"/>
      <c r="N460" s="70"/>
      <c r="O460" s="77" t="s">
        <v>382</v>
      </c>
      <c r="P460" s="79">
        <v>41124.25708333333</v>
      </c>
      <c r="Q460" s="77"/>
      <c r="R460" s="77"/>
      <c r="S460" s="77"/>
      <c r="T460" s="77"/>
      <c r="U460" s="77"/>
      <c r="V460" s="77"/>
      <c r="W460" s="77"/>
      <c r="X460" s="77"/>
      <c r="Y460">
        <v>1</v>
      </c>
    </row>
    <row r="461" spans="1:25" x14ac:dyDescent="0.25">
      <c r="A461" s="62" t="s">
        <v>294</v>
      </c>
      <c r="B461" s="62" t="s">
        <v>294</v>
      </c>
      <c r="C461" s="63" t="s">
        <v>2219</v>
      </c>
      <c r="D461" s="64">
        <v>1</v>
      </c>
      <c r="E461" s="65"/>
      <c r="F461" s="66">
        <v>100</v>
      </c>
      <c r="G461" s="63"/>
      <c r="H461" s="67"/>
      <c r="I461" s="68"/>
      <c r="J461" s="68"/>
      <c r="K461" s="34" t="s">
        <v>64</v>
      </c>
      <c r="L461" s="75">
        <v>461</v>
      </c>
      <c r="M461" s="75"/>
      <c r="N461" s="70"/>
      <c r="O461" s="77" t="s">
        <v>180</v>
      </c>
      <c r="P461" s="79">
        <v>41123.992893518516</v>
      </c>
      <c r="Q461" s="77" t="s">
        <v>512</v>
      </c>
      <c r="R461" s="77"/>
      <c r="S461" s="77"/>
      <c r="T461" s="79">
        <v>41123.992893518516</v>
      </c>
      <c r="U461" s="81" t="s">
        <v>819</v>
      </c>
      <c r="V461" s="77"/>
      <c r="W461" s="77"/>
      <c r="X461" s="84" t="s">
        <v>1116</v>
      </c>
      <c r="Y461" s="82">
        <v>1</v>
      </c>
    </row>
    <row r="462" spans="1:25" x14ac:dyDescent="0.25">
      <c r="A462" s="62" t="s">
        <v>300</v>
      </c>
      <c r="B462" s="62" t="s">
        <v>294</v>
      </c>
      <c r="C462" s="63" t="s">
        <v>2222</v>
      </c>
      <c r="D462" s="64">
        <v>1</v>
      </c>
      <c r="E462" s="65"/>
      <c r="F462" s="66">
        <v>100</v>
      </c>
      <c r="G462" s="63"/>
      <c r="H462" s="67"/>
      <c r="I462" s="68"/>
      <c r="J462" s="68"/>
      <c r="K462" s="34" t="s">
        <v>65</v>
      </c>
      <c r="L462" s="75">
        <v>462</v>
      </c>
      <c r="M462" s="75"/>
      <c r="N462" s="70"/>
      <c r="O462" s="77" t="s">
        <v>382</v>
      </c>
      <c r="P462" s="79">
        <v>41124.25708333333</v>
      </c>
      <c r="Q462" s="77"/>
      <c r="R462" s="77"/>
      <c r="S462" s="77"/>
      <c r="T462" s="77"/>
      <c r="U462" s="77"/>
      <c r="V462" s="77"/>
      <c r="W462" s="77"/>
      <c r="X462" s="77"/>
      <c r="Y462">
        <v>1</v>
      </c>
    </row>
    <row r="463" spans="1:25" x14ac:dyDescent="0.25">
      <c r="A463" s="62" t="s">
        <v>279</v>
      </c>
      <c r="B463" s="62" t="s">
        <v>294</v>
      </c>
      <c r="C463" s="63" t="s">
        <v>2222</v>
      </c>
      <c r="D463" s="64">
        <v>1</v>
      </c>
      <c r="E463" s="65"/>
      <c r="F463" s="66">
        <v>100</v>
      </c>
      <c r="G463" s="63"/>
      <c r="H463" s="67"/>
      <c r="I463" s="68"/>
      <c r="J463" s="68"/>
      <c r="K463" s="34" t="s">
        <v>65</v>
      </c>
      <c r="L463" s="75">
        <v>463</v>
      </c>
      <c r="M463" s="75"/>
      <c r="N463" s="70"/>
      <c r="O463" s="77" t="s">
        <v>382</v>
      </c>
      <c r="P463" s="79">
        <v>41124.25708333333</v>
      </c>
      <c r="Q463" s="77"/>
      <c r="R463" s="77"/>
      <c r="S463" s="77"/>
      <c r="T463" s="77"/>
      <c r="U463" s="77"/>
      <c r="V463" s="77"/>
      <c r="W463" s="77"/>
      <c r="X463" s="77"/>
      <c r="Y463">
        <v>1</v>
      </c>
    </row>
    <row r="464" spans="1:25" x14ac:dyDescent="0.25">
      <c r="A464" s="62" t="s">
        <v>275</v>
      </c>
      <c r="B464" s="62" t="s">
        <v>294</v>
      </c>
      <c r="C464" s="63" t="s">
        <v>2222</v>
      </c>
      <c r="D464" s="64">
        <v>1</v>
      </c>
      <c r="E464" s="65"/>
      <c r="F464" s="66">
        <v>100</v>
      </c>
      <c r="G464" s="63"/>
      <c r="H464" s="67"/>
      <c r="I464" s="68"/>
      <c r="J464" s="68"/>
      <c r="K464" s="34" t="s">
        <v>65</v>
      </c>
      <c r="L464" s="75">
        <v>464</v>
      </c>
      <c r="M464" s="75"/>
      <c r="N464" s="70"/>
      <c r="O464" s="77" t="s">
        <v>382</v>
      </c>
      <c r="P464" s="79">
        <v>41124.25708333333</v>
      </c>
      <c r="Q464" s="77"/>
      <c r="R464" s="77"/>
      <c r="S464" s="77"/>
      <c r="T464" s="77"/>
      <c r="U464" s="77"/>
      <c r="V464" s="77"/>
      <c r="W464" s="77"/>
      <c r="X464" s="77"/>
      <c r="Y464">
        <v>1</v>
      </c>
    </row>
    <row r="465" spans="1:25" x14ac:dyDescent="0.25">
      <c r="A465" s="62" t="s">
        <v>281</v>
      </c>
      <c r="B465" s="62" t="s">
        <v>294</v>
      </c>
      <c r="C465" s="63" t="s">
        <v>2222</v>
      </c>
      <c r="D465" s="64">
        <v>1</v>
      </c>
      <c r="E465" s="65"/>
      <c r="F465" s="66">
        <v>100</v>
      </c>
      <c r="G465" s="63"/>
      <c r="H465" s="67"/>
      <c r="I465" s="68"/>
      <c r="J465" s="68"/>
      <c r="K465" s="34" t="s">
        <v>65</v>
      </c>
      <c r="L465" s="75">
        <v>465</v>
      </c>
      <c r="M465" s="75"/>
      <c r="N465" s="70"/>
      <c r="O465" s="77" t="s">
        <v>382</v>
      </c>
      <c r="P465" s="79">
        <v>41124.25708333333</v>
      </c>
      <c r="Q465" s="77"/>
      <c r="R465" s="77"/>
      <c r="S465" s="77"/>
      <c r="T465" s="77"/>
      <c r="U465" s="77"/>
      <c r="V465" s="77"/>
      <c r="W465" s="77"/>
      <c r="X465" s="77"/>
      <c r="Y465">
        <v>1</v>
      </c>
    </row>
    <row r="466" spans="1:25" x14ac:dyDescent="0.25">
      <c r="A466" s="62" t="s">
        <v>297</v>
      </c>
      <c r="B466" s="62" t="s">
        <v>294</v>
      </c>
      <c r="C466" s="63" t="s">
        <v>2222</v>
      </c>
      <c r="D466" s="64">
        <v>1</v>
      </c>
      <c r="E466" s="65"/>
      <c r="F466" s="66">
        <v>100</v>
      </c>
      <c r="G466" s="63"/>
      <c r="H466" s="67"/>
      <c r="I466" s="68"/>
      <c r="J466" s="68"/>
      <c r="K466" s="34" t="s">
        <v>65</v>
      </c>
      <c r="L466" s="75">
        <v>466</v>
      </c>
      <c r="M466" s="75"/>
      <c r="N466" s="70"/>
      <c r="O466" s="77" t="s">
        <v>382</v>
      </c>
      <c r="P466" s="79">
        <v>41124.25708333333</v>
      </c>
      <c r="Q466" s="77"/>
      <c r="R466" s="77"/>
      <c r="S466" s="77"/>
      <c r="T466" s="77"/>
      <c r="U466" s="77"/>
      <c r="V466" s="77"/>
      <c r="W466" s="77"/>
      <c r="X466" s="77"/>
      <c r="Y466">
        <v>1</v>
      </c>
    </row>
    <row r="467" spans="1:25" x14ac:dyDescent="0.25">
      <c r="A467" s="62" t="s">
        <v>294</v>
      </c>
      <c r="B467" s="62" t="s">
        <v>275</v>
      </c>
      <c r="C467" s="63" t="s">
        <v>2222</v>
      </c>
      <c r="D467" s="64">
        <v>1</v>
      </c>
      <c r="E467" s="65"/>
      <c r="F467" s="66">
        <v>100</v>
      </c>
      <c r="G467" s="63"/>
      <c r="H467" s="67"/>
      <c r="I467" s="68"/>
      <c r="J467" s="68"/>
      <c r="K467" s="34" t="s">
        <v>65</v>
      </c>
      <c r="L467" s="75">
        <v>467</v>
      </c>
      <c r="M467" s="75"/>
      <c r="N467" s="70"/>
      <c r="O467" s="77" t="s">
        <v>382</v>
      </c>
      <c r="P467" s="79">
        <v>41124.25708333333</v>
      </c>
      <c r="Q467" s="77"/>
      <c r="R467" s="77"/>
      <c r="S467" s="77"/>
      <c r="T467" s="77"/>
      <c r="U467" s="77"/>
      <c r="V467" s="77"/>
      <c r="W467" s="77"/>
      <c r="X467" s="77"/>
      <c r="Y467">
        <v>1</v>
      </c>
    </row>
    <row r="468" spans="1:25" x14ac:dyDescent="0.25">
      <c r="A468" s="62" t="s">
        <v>294</v>
      </c>
      <c r="B468" s="62" t="s">
        <v>297</v>
      </c>
      <c r="C468" s="63" t="s">
        <v>2222</v>
      </c>
      <c r="D468" s="64">
        <v>1</v>
      </c>
      <c r="E468" s="65"/>
      <c r="F468" s="66">
        <v>100</v>
      </c>
      <c r="G468" s="63"/>
      <c r="H468" s="67"/>
      <c r="I468" s="68"/>
      <c r="J468" s="68"/>
      <c r="K468" s="34" t="s">
        <v>65</v>
      </c>
      <c r="L468" s="75">
        <v>468</v>
      </c>
      <c r="M468" s="75"/>
      <c r="N468" s="70"/>
      <c r="O468" s="77" t="s">
        <v>382</v>
      </c>
      <c r="P468" s="79">
        <v>41124.25708333333</v>
      </c>
      <c r="Q468" s="77"/>
      <c r="R468" s="77"/>
      <c r="S468" s="77"/>
      <c r="T468" s="77"/>
      <c r="U468" s="77"/>
      <c r="V468" s="77"/>
      <c r="W468" s="77"/>
      <c r="X468" s="77"/>
      <c r="Y468">
        <v>1</v>
      </c>
    </row>
    <row r="469" spans="1:25" x14ac:dyDescent="0.25">
      <c r="A469" s="62" t="s">
        <v>294</v>
      </c>
      <c r="B469" s="62" t="s">
        <v>324</v>
      </c>
      <c r="C469" s="63" t="s">
        <v>2222</v>
      </c>
      <c r="D469" s="64">
        <v>1</v>
      </c>
      <c r="E469" s="65"/>
      <c r="F469" s="66">
        <v>100</v>
      </c>
      <c r="G469" s="63"/>
      <c r="H469" s="67"/>
      <c r="I469" s="68"/>
      <c r="J469" s="68"/>
      <c r="K469" s="34" t="s">
        <v>65</v>
      </c>
      <c r="L469" s="75">
        <v>469</v>
      </c>
      <c r="M469" s="75"/>
      <c r="N469" s="70"/>
      <c r="O469" s="77" t="s">
        <v>382</v>
      </c>
      <c r="P469" s="79">
        <v>41124.25708333333</v>
      </c>
      <c r="Q469" s="77"/>
      <c r="R469" s="77"/>
      <c r="S469" s="77"/>
      <c r="T469" s="77"/>
      <c r="U469" s="77"/>
      <c r="V469" s="77"/>
      <c r="W469" s="77"/>
      <c r="X469" s="77"/>
      <c r="Y469">
        <v>1</v>
      </c>
    </row>
    <row r="470" spans="1:25" x14ac:dyDescent="0.25">
      <c r="A470" s="62" t="s">
        <v>294</v>
      </c>
      <c r="B470" s="62" t="s">
        <v>281</v>
      </c>
      <c r="C470" s="63" t="s">
        <v>2222</v>
      </c>
      <c r="D470" s="64">
        <v>1</v>
      </c>
      <c r="E470" s="65"/>
      <c r="F470" s="66">
        <v>100</v>
      </c>
      <c r="G470" s="63"/>
      <c r="H470" s="67"/>
      <c r="I470" s="68"/>
      <c r="J470" s="68"/>
      <c r="K470" s="34" t="s">
        <v>65</v>
      </c>
      <c r="L470" s="75">
        <v>470</v>
      </c>
      <c r="M470" s="75"/>
      <c r="N470" s="70"/>
      <c r="O470" s="77" t="s">
        <v>382</v>
      </c>
      <c r="P470" s="79">
        <v>41124.25708333333</v>
      </c>
      <c r="Q470" s="77"/>
      <c r="R470" s="77"/>
      <c r="S470" s="77"/>
      <c r="T470" s="77"/>
      <c r="U470" s="77"/>
      <c r="V470" s="77"/>
      <c r="W470" s="77"/>
      <c r="X470" s="77"/>
      <c r="Y470">
        <v>1</v>
      </c>
    </row>
    <row r="471" spans="1:25" x14ac:dyDescent="0.25">
      <c r="A471" s="62" t="s">
        <v>294</v>
      </c>
      <c r="B471" s="62" t="s">
        <v>300</v>
      </c>
      <c r="C471" s="63" t="s">
        <v>2222</v>
      </c>
      <c r="D471" s="64">
        <v>1</v>
      </c>
      <c r="E471" s="65"/>
      <c r="F471" s="66">
        <v>100</v>
      </c>
      <c r="G471" s="63"/>
      <c r="H471" s="67"/>
      <c r="I471" s="68"/>
      <c r="J471" s="68"/>
      <c r="K471" s="34" t="s">
        <v>65</v>
      </c>
      <c r="L471" s="75">
        <v>471</v>
      </c>
      <c r="M471" s="75"/>
      <c r="N471" s="70"/>
      <c r="O471" s="77" t="s">
        <v>382</v>
      </c>
      <c r="P471" s="79">
        <v>41124.25708333333</v>
      </c>
      <c r="Q471" s="77"/>
      <c r="R471" s="77"/>
      <c r="S471" s="77"/>
      <c r="T471" s="77"/>
      <c r="U471" s="77"/>
      <c r="V471" s="77"/>
      <c r="W471" s="77"/>
      <c r="X471" s="77"/>
      <c r="Y471">
        <v>1</v>
      </c>
    </row>
    <row r="472" spans="1:25" x14ac:dyDescent="0.25">
      <c r="A472" s="62" t="s">
        <v>294</v>
      </c>
      <c r="B472" s="62" t="s">
        <v>279</v>
      </c>
      <c r="C472" s="63" t="s">
        <v>2222</v>
      </c>
      <c r="D472" s="64">
        <v>1</v>
      </c>
      <c r="E472" s="65"/>
      <c r="F472" s="66">
        <v>100</v>
      </c>
      <c r="G472" s="63"/>
      <c r="H472" s="67"/>
      <c r="I472" s="68"/>
      <c r="J472" s="68"/>
      <c r="K472" s="34" t="s">
        <v>65</v>
      </c>
      <c r="L472" s="75">
        <v>472</v>
      </c>
      <c r="M472" s="75"/>
      <c r="N472" s="70"/>
      <c r="O472" s="77" t="s">
        <v>382</v>
      </c>
      <c r="P472" s="79">
        <v>41124.25708333333</v>
      </c>
      <c r="Q472" s="77"/>
      <c r="R472" s="77"/>
      <c r="S472" s="77"/>
      <c r="T472" s="77"/>
      <c r="U472" s="77"/>
      <c r="V472" s="77"/>
      <c r="W472" s="77"/>
      <c r="X472" s="77"/>
      <c r="Y472">
        <v>1</v>
      </c>
    </row>
    <row r="473" spans="1:25" x14ac:dyDescent="0.25">
      <c r="A473" s="62" t="s">
        <v>324</v>
      </c>
      <c r="B473" s="62" t="s">
        <v>294</v>
      </c>
      <c r="C473" s="63" t="s">
        <v>2222</v>
      </c>
      <c r="D473" s="64">
        <v>1</v>
      </c>
      <c r="E473" s="65"/>
      <c r="F473" s="66">
        <v>100</v>
      </c>
      <c r="G473" s="63"/>
      <c r="H473" s="67"/>
      <c r="I473" s="68"/>
      <c r="J473" s="68"/>
      <c r="K473" s="34" t="s">
        <v>65</v>
      </c>
      <c r="L473" s="75">
        <v>473</v>
      </c>
      <c r="M473" s="75"/>
      <c r="N473" s="70"/>
      <c r="O473" s="77" t="s">
        <v>382</v>
      </c>
      <c r="P473" s="79">
        <v>41124.25708333333</v>
      </c>
      <c r="Q473" s="77"/>
      <c r="R473" s="77"/>
      <c r="S473" s="77"/>
      <c r="T473" s="77"/>
      <c r="U473" s="77"/>
      <c r="V473" s="77"/>
      <c r="W473" s="77"/>
      <c r="X473" s="77"/>
      <c r="Y473">
        <v>1</v>
      </c>
    </row>
    <row r="474" spans="1:25" x14ac:dyDescent="0.25">
      <c r="A474" s="62" t="s">
        <v>325</v>
      </c>
      <c r="B474" s="62" t="s">
        <v>311</v>
      </c>
      <c r="C474" s="63" t="s">
        <v>2221</v>
      </c>
      <c r="D474" s="64">
        <v>1</v>
      </c>
      <c r="E474" s="65"/>
      <c r="F474" s="66">
        <v>100</v>
      </c>
      <c r="G474" s="63"/>
      <c r="H474" s="67"/>
      <c r="I474" s="68"/>
      <c r="J474" s="68"/>
      <c r="K474" s="34" t="s">
        <v>64</v>
      </c>
      <c r="L474" s="75">
        <v>474</v>
      </c>
      <c r="M474" s="75"/>
      <c r="N474" s="70"/>
      <c r="O474" s="77" t="s">
        <v>381</v>
      </c>
      <c r="P474" s="79">
        <v>41124.043877314813</v>
      </c>
      <c r="Q474" s="77" t="s">
        <v>513</v>
      </c>
      <c r="R474" s="77"/>
      <c r="S474" s="77" t="s">
        <v>651</v>
      </c>
      <c r="T474" s="79">
        <v>41124.043877314813</v>
      </c>
      <c r="U474" s="81" t="s">
        <v>820</v>
      </c>
      <c r="V474" s="77"/>
      <c r="W474" s="77"/>
      <c r="X474" s="84" t="s">
        <v>1117</v>
      </c>
      <c r="Y474" s="82">
        <v>1</v>
      </c>
    </row>
    <row r="475" spans="1:25" x14ac:dyDescent="0.25">
      <c r="A475" s="62" t="s">
        <v>300</v>
      </c>
      <c r="B475" s="62" t="s">
        <v>325</v>
      </c>
      <c r="C475" s="63" t="s">
        <v>2222</v>
      </c>
      <c r="D475" s="64">
        <v>1</v>
      </c>
      <c r="E475" s="65"/>
      <c r="F475" s="66">
        <v>100</v>
      </c>
      <c r="G475" s="63"/>
      <c r="H475" s="67"/>
      <c r="I475" s="68"/>
      <c r="J475" s="68"/>
      <c r="K475" s="34" t="s">
        <v>65</v>
      </c>
      <c r="L475" s="75">
        <v>475</v>
      </c>
      <c r="M475" s="75"/>
      <c r="N475" s="70"/>
      <c r="O475" s="77" t="s">
        <v>382</v>
      </c>
      <c r="P475" s="79">
        <v>41124.25708333333</v>
      </c>
      <c r="Q475" s="77"/>
      <c r="R475" s="77"/>
      <c r="S475" s="77"/>
      <c r="T475" s="77"/>
      <c r="U475" s="77"/>
      <c r="V475" s="77"/>
      <c r="W475" s="77"/>
      <c r="X475" s="77"/>
      <c r="Y475">
        <v>1</v>
      </c>
    </row>
    <row r="476" spans="1:25" x14ac:dyDescent="0.25">
      <c r="A476" s="62" t="s">
        <v>295</v>
      </c>
      <c r="B476" s="62" t="s">
        <v>325</v>
      </c>
      <c r="C476" s="63" t="s">
        <v>2222</v>
      </c>
      <c r="D476" s="64">
        <v>1</v>
      </c>
      <c r="E476" s="65"/>
      <c r="F476" s="66">
        <v>100</v>
      </c>
      <c r="G476" s="63"/>
      <c r="H476" s="67"/>
      <c r="I476" s="68"/>
      <c r="J476" s="68"/>
      <c r="K476" s="34" t="s">
        <v>65</v>
      </c>
      <c r="L476" s="75">
        <v>476</v>
      </c>
      <c r="M476" s="75"/>
      <c r="N476" s="70"/>
      <c r="O476" s="77" t="s">
        <v>382</v>
      </c>
      <c r="P476" s="79">
        <v>41124.25708333333</v>
      </c>
      <c r="Q476" s="77"/>
      <c r="R476" s="77"/>
      <c r="S476" s="77"/>
      <c r="T476" s="77"/>
      <c r="U476" s="77"/>
      <c r="V476" s="77"/>
      <c r="W476" s="77"/>
      <c r="X476" s="77"/>
      <c r="Y476">
        <v>1</v>
      </c>
    </row>
    <row r="477" spans="1:25" x14ac:dyDescent="0.25">
      <c r="A477" s="62" t="s">
        <v>293</v>
      </c>
      <c r="B477" s="62" t="s">
        <v>325</v>
      </c>
      <c r="C477" s="63" t="s">
        <v>2222</v>
      </c>
      <c r="D477" s="64">
        <v>1</v>
      </c>
      <c r="E477" s="65"/>
      <c r="F477" s="66">
        <v>100</v>
      </c>
      <c r="G477" s="63"/>
      <c r="H477" s="67"/>
      <c r="I477" s="68"/>
      <c r="J477" s="68"/>
      <c r="K477" s="34" t="s">
        <v>65</v>
      </c>
      <c r="L477" s="75">
        <v>477</v>
      </c>
      <c r="M477" s="75"/>
      <c r="N477" s="70"/>
      <c r="O477" s="77" t="s">
        <v>382</v>
      </c>
      <c r="P477" s="79">
        <v>41124.25708333333</v>
      </c>
      <c r="Q477" s="77"/>
      <c r="R477" s="77"/>
      <c r="S477" s="77"/>
      <c r="T477" s="77"/>
      <c r="U477" s="77"/>
      <c r="V477" s="77"/>
      <c r="W477" s="77"/>
      <c r="X477" s="77"/>
      <c r="Y477">
        <v>1</v>
      </c>
    </row>
    <row r="478" spans="1:25" x14ac:dyDescent="0.25">
      <c r="A478" s="62" t="s">
        <v>314</v>
      </c>
      <c r="B478" s="62" t="s">
        <v>325</v>
      </c>
      <c r="C478" s="63" t="s">
        <v>2222</v>
      </c>
      <c r="D478" s="64">
        <v>1</v>
      </c>
      <c r="E478" s="65"/>
      <c r="F478" s="66">
        <v>100</v>
      </c>
      <c r="G478" s="63"/>
      <c r="H478" s="67"/>
      <c r="I478" s="68"/>
      <c r="J478" s="68"/>
      <c r="K478" s="34" t="s">
        <v>65</v>
      </c>
      <c r="L478" s="75">
        <v>478</v>
      </c>
      <c r="M478" s="75"/>
      <c r="N478" s="70"/>
      <c r="O478" s="77" t="s">
        <v>382</v>
      </c>
      <c r="P478" s="79">
        <v>41124.25708333333</v>
      </c>
      <c r="Q478" s="77"/>
      <c r="R478" s="77"/>
      <c r="S478" s="77"/>
      <c r="T478" s="77"/>
      <c r="U478" s="77"/>
      <c r="V478" s="77"/>
      <c r="W478" s="77"/>
      <c r="X478" s="77"/>
      <c r="Y478">
        <v>1</v>
      </c>
    </row>
    <row r="479" spans="1:25" x14ac:dyDescent="0.25">
      <c r="A479" s="62" t="s">
        <v>325</v>
      </c>
      <c r="B479" s="62" t="s">
        <v>295</v>
      </c>
      <c r="C479" s="63" t="s">
        <v>2222</v>
      </c>
      <c r="D479" s="64">
        <v>1</v>
      </c>
      <c r="E479" s="65"/>
      <c r="F479" s="66">
        <v>100</v>
      </c>
      <c r="G479" s="63"/>
      <c r="H479" s="67"/>
      <c r="I479" s="68"/>
      <c r="J479" s="68"/>
      <c r="K479" s="34" t="s">
        <v>65</v>
      </c>
      <c r="L479" s="75">
        <v>479</v>
      </c>
      <c r="M479" s="75"/>
      <c r="N479" s="70"/>
      <c r="O479" s="77" t="s">
        <v>382</v>
      </c>
      <c r="P479" s="79">
        <v>41124.25708333333</v>
      </c>
      <c r="Q479" s="77"/>
      <c r="R479" s="77"/>
      <c r="S479" s="77"/>
      <c r="T479" s="77"/>
      <c r="U479" s="77"/>
      <c r="V479" s="77"/>
      <c r="W479" s="77"/>
      <c r="X479" s="77"/>
      <c r="Y479">
        <v>1</v>
      </c>
    </row>
    <row r="480" spans="1:25" x14ac:dyDescent="0.25">
      <c r="A480" s="62" t="s">
        <v>325</v>
      </c>
      <c r="B480" s="62" t="s">
        <v>293</v>
      </c>
      <c r="C480" s="63" t="s">
        <v>2222</v>
      </c>
      <c r="D480" s="64">
        <v>1</v>
      </c>
      <c r="E480" s="65"/>
      <c r="F480" s="66">
        <v>100</v>
      </c>
      <c r="G480" s="63"/>
      <c r="H480" s="67"/>
      <c r="I480" s="68"/>
      <c r="J480" s="68"/>
      <c r="K480" s="34" t="s">
        <v>65</v>
      </c>
      <c r="L480" s="75">
        <v>480</v>
      </c>
      <c r="M480" s="75"/>
      <c r="N480" s="70"/>
      <c r="O480" s="77" t="s">
        <v>382</v>
      </c>
      <c r="P480" s="79">
        <v>41124.25708333333</v>
      </c>
      <c r="Q480" s="77"/>
      <c r="R480" s="77"/>
      <c r="S480" s="77"/>
      <c r="T480" s="77"/>
      <c r="U480" s="77"/>
      <c r="V480" s="77"/>
      <c r="W480" s="77"/>
      <c r="X480" s="77"/>
      <c r="Y480">
        <v>1</v>
      </c>
    </row>
    <row r="481" spans="1:25" x14ac:dyDescent="0.25">
      <c r="A481" s="62" t="s">
        <v>325</v>
      </c>
      <c r="B481" s="62" t="s">
        <v>314</v>
      </c>
      <c r="C481" s="63" t="s">
        <v>2222</v>
      </c>
      <c r="D481" s="64">
        <v>1</v>
      </c>
      <c r="E481" s="65"/>
      <c r="F481" s="66">
        <v>100</v>
      </c>
      <c r="G481" s="63"/>
      <c r="H481" s="67"/>
      <c r="I481" s="68"/>
      <c r="J481" s="68"/>
      <c r="K481" s="34" t="s">
        <v>65</v>
      </c>
      <c r="L481" s="75">
        <v>481</v>
      </c>
      <c r="M481" s="75"/>
      <c r="N481" s="70"/>
      <c r="O481" s="77" t="s">
        <v>382</v>
      </c>
      <c r="P481" s="79">
        <v>41124.25708333333</v>
      </c>
      <c r="Q481" s="77"/>
      <c r="R481" s="77"/>
      <c r="S481" s="77"/>
      <c r="T481" s="77"/>
      <c r="U481" s="77"/>
      <c r="V481" s="77"/>
      <c r="W481" s="77"/>
      <c r="X481" s="77"/>
      <c r="Y481">
        <v>1</v>
      </c>
    </row>
    <row r="482" spans="1:25" x14ac:dyDescent="0.25">
      <c r="A482" s="62" t="s">
        <v>325</v>
      </c>
      <c r="B482" s="62" t="s">
        <v>300</v>
      </c>
      <c r="C482" s="63" t="s">
        <v>2222</v>
      </c>
      <c r="D482" s="64">
        <v>1</v>
      </c>
      <c r="E482" s="65"/>
      <c r="F482" s="66">
        <v>100</v>
      </c>
      <c r="G482" s="63"/>
      <c r="H482" s="67"/>
      <c r="I482" s="68"/>
      <c r="J482" s="68"/>
      <c r="K482" s="34" t="s">
        <v>65</v>
      </c>
      <c r="L482" s="75">
        <v>482</v>
      </c>
      <c r="M482" s="75"/>
      <c r="N482" s="70"/>
      <c r="O482" s="77" t="s">
        <v>382</v>
      </c>
      <c r="P482" s="79">
        <v>41124.25708333333</v>
      </c>
      <c r="Q482" s="77"/>
      <c r="R482" s="77"/>
      <c r="S482" s="77"/>
      <c r="T482" s="77"/>
      <c r="U482" s="77"/>
      <c r="V482" s="77"/>
      <c r="W482" s="77"/>
      <c r="X482" s="77"/>
      <c r="Y482">
        <v>1</v>
      </c>
    </row>
    <row r="483" spans="1:25" x14ac:dyDescent="0.25">
      <c r="A483" s="62" t="s">
        <v>325</v>
      </c>
      <c r="B483" s="62" t="s">
        <v>335</v>
      </c>
      <c r="C483" s="63" t="s">
        <v>2222</v>
      </c>
      <c r="D483" s="64">
        <v>1</v>
      </c>
      <c r="E483" s="65"/>
      <c r="F483" s="66">
        <v>100</v>
      </c>
      <c r="G483" s="63"/>
      <c r="H483" s="67"/>
      <c r="I483" s="68"/>
      <c r="J483" s="68"/>
      <c r="K483" s="34" t="s">
        <v>64</v>
      </c>
      <c r="L483" s="75">
        <v>483</v>
      </c>
      <c r="M483" s="75"/>
      <c r="N483" s="70"/>
      <c r="O483" s="77" t="s">
        <v>382</v>
      </c>
      <c r="P483" s="79">
        <v>41124.25708333333</v>
      </c>
      <c r="Q483" s="77"/>
      <c r="R483" s="77"/>
      <c r="S483" s="77"/>
      <c r="T483" s="77"/>
      <c r="U483" s="77"/>
      <c r="V483" s="77"/>
      <c r="W483" s="77"/>
      <c r="X483" s="77"/>
      <c r="Y483">
        <v>1</v>
      </c>
    </row>
    <row r="484" spans="1:25" x14ac:dyDescent="0.25">
      <c r="A484" s="62" t="s">
        <v>326</v>
      </c>
      <c r="B484" s="62" t="s">
        <v>326</v>
      </c>
      <c r="C484" s="63" t="s">
        <v>2219</v>
      </c>
      <c r="D484" s="64">
        <v>1.5</v>
      </c>
      <c r="E484" s="65"/>
      <c r="F484" s="66">
        <v>97.777777777777771</v>
      </c>
      <c r="G484" s="63"/>
      <c r="H484" s="67"/>
      <c r="I484" s="68"/>
      <c r="J484" s="68"/>
      <c r="K484" s="34" t="s">
        <v>64</v>
      </c>
      <c r="L484" s="75">
        <v>484</v>
      </c>
      <c r="M484" s="75"/>
      <c r="N484" s="70"/>
      <c r="O484" s="77" t="s">
        <v>180</v>
      </c>
      <c r="P484" s="79">
        <v>41123.820069444446</v>
      </c>
      <c r="Q484" s="77" t="s">
        <v>433</v>
      </c>
      <c r="R484" s="81" t="s">
        <v>615</v>
      </c>
      <c r="S484" s="77"/>
      <c r="T484" s="79">
        <v>41123.820069444446</v>
      </c>
      <c r="U484" s="81" t="s">
        <v>821</v>
      </c>
      <c r="V484" s="77"/>
      <c r="W484" s="77"/>
      <c r="X484" s="84" t="s">
        <v>1118</v>
      </c>
      <c r="Y484" s="82">
        <v>2</v>
      </c>
    </row>
    <row r="485" spans="1:25" x14ac:dyDescent="0.25">
      <c r="A485" s="62" t="s">
        <v>326</v>
      </c>
      <c r="B485" s="62" t="s">
        <v>326</v>
      </c>
      <c r="C485" s="63" t="s">
        <v>2219</v>
      </c>
      <c r="D485" s="64">
        <v>1.5</v>
      </c>
      <c r="E485" s="65"/>
      <c r="F485" s="66">
        <v>97.777777777777771</v>
      </c>
      <c r="G485" s="63"/>
      <c r="H485" s="67"/>
      <c r="I485" s="68"/>
      <c r="J485" s="68"/>
      <c r="K485" s="34" t="s">
        <v>64</v>
      </c>
      <c r="L485" s="75">
        <v>485</v>
      </c>
      <c r="M485" s="75"/>
      <c r="N485" s="70"/>
      <c r="O485" s="77" t="s">
        <v>180</v>
      </c>
      <c r="P485" s="79">
        <v>41123.823391203703</v>
      </c>
      <c r="Q485" s="77" t="s">
        <v>421</v>
      </c>
      <c r="R485" s="77"/>
      <c r="S485" s="77"/>
      <c r="T485" s="79">
        <v>41123.823391203703</v>
      </c>
      <c r="U485" s="81" t="s">
        <v>822</v>
      </c>
      <c r="V485" s="77"/>
      <c r="W485" s="77"/>
      <c r="X485" s="84" t="s">
        <v>1119</v>
      </c>
      <c r="Y485" s="82">
        <v>2</v>
      </c>
    </row>
    <row r="486" spans="1:25" x14ac:dyDescent="0.25">
      <c r="A486" s="62" t="s">
        <v>240</v>
      </c>
      <c r="B486" s="62" t="s">
        <v>326</v>
      </c>
      <c r="C486" s="63" t="s">
        <v>2222</v>
      </c>
      <c r="D486" s="64">
        <v>1</v>
      </c>
      <c r="E486" s="65"/>
      <c r="F486" s="66">
        <v>100</v>
      </c>
      <c r="G486" s="63"/>
      <c r="H486" s="67"/>
      <c r="I486" s="68"/>
      <c r="J486" s="68"/>
      <c r="K486" s="34" t="s">
        <v>65</v>
      </c>
      <c r="L486" s="75">
        <v>486</v>
      </c>
      <c r="M486" s="75"/>
      <c r="N486" s="70"/>
      <c r="O486" s="77" t="s">
        <v>382</v>
      </c>
      <c r="P486" s="79">
        <v>41124.25708333333</v>
      </c>
      <c r="Q486" s="77"/>
      <c r="R486" s="77"/>
      <c r="S486" s="77"/>
      <c r="T486" s="77"/>
      <c r="U486" s="77"/>
      <c r="V486" s="77"/>
      <c r="W486" s="77"/>
      <c r="X486" s="77"/>
      <c r="Y486">
        <v>1</v>
      </c>
    </row>
    <row r="487" spans="1:25" x14ac:dyDescent="0.25">
      <c r="A487" s="62" t="s">
        <v>326</v>
      </c>
      <c r="B487" s="62" t="s">
        <v>328</v>
      </c>
      <c r="C487" s="63" t="s">
        <v>2222</v>
      </c>
      <c r="D487" s="64">
        <v>1</v>
      </c>
      <c r="E487" s="65"/>
      <c r="F487" s="66">
        <v>100</v>
      </c>
      <c r="G487" s="63"/>
      <c r="H487" s="67"/>
      <c r="I487" s="68"/>
      <c r="J487" s="68"/>
      <c r="K487" s="34" t="s">
        <v>65</v>
      </c>
      <c r="L487" s="75">
        <v>487</v>
      </c>
      <c r="M487" s="75"/>
      <c r="N487" s="70"/>
      <c r="O487" s="77" t="s">
        <v>382</v>
      </c>
      <c r="P487" s="79">
        <v>41124.25708333333</v>
      </c>
      <c r="Q487" s="77"/>
      <c r="R487" s="77"/>
      <c r="S487" s="77"/>
      <c r="T487" s="77"/>
      <c r="U487" s="77"/>
      <c r="V487" s="77"/>
      <c r="W487" s="77"/>
      <c r="X487" s="77"/>
      <c r="Y487">
        <v>1</v>
      </c>
    </row>
    <row r="488" spans="1:25" x14ac:dyDescent="0.25">
      <c r="A488" s="62" t="s">
        <v>326</v>
      </c>
      <c r="B488" s="62" t="s">
        <v>286</v>
      </c>
      <c r="C488" s="63" t="s">
        <v>2222</v>
      </c>
      <c r="D488" s="64">
        <v>1</v>
      </c>
      <c r="E488" s="65"/>
      <c r="F488" s="66">
        <v>100</v>
      </c>
      <c r="G488" s="63"/>
      <c r="H488" s="67"/>
      <c r="I488" s="68"/>
      <c r="J488" s="68"/>
      <c r="K488" s="34" t="s">
        <v>64</v>
      </c>
      <c r="L488" s="75">
        <v>488</v>
      </c>
      <c r="M488" s="75"/>
      <c r="N488" s="70"/>
      <c r="O488" s="77" t="s">
        <v>382</v>
      </c>
      <c r="P488" s="79">
        <v>41124.25708333333</v>
      </c>
      <c r="Q488" s="77"/>
      <c r="R488" s="77"/>
      <c r="S488" s="77"/>
      <c r="T488" s="77"/>
      <c r="U488" s="77"/>
      <c r="V488" s="77"/>
      <c r="W488" s="77"/>
      <c r="X488" s="77"/>
      <c r="Y488">
        <v>1</v>
      </c>
    </row>
    <row r="489" spans="1:25" x14ac:dyDescent="0.25">
      <c r="A489" s="62" t="s">
        <v>326</v>
      </c>
      <c r="B489" s="62" t="s">
        <v>327</v>
      </c>
      <c r="C489" s="63" t="s">
        <v>2222</v>
      </c>
      <c r="D489" s="64">
        <v>1</v>
      </c>
      <c r="E489" s="65"/>
      <c r="F489" s="66">
        <v>100</v>
      </c>
      <c r="G489" s="63"/>
      <c r="H489" s="67"/>
      <c r="I489" s="68"/>
      <c r="J489" s="68"/>
      <c r="K489" s="34" t="s">
        <v>65</v>
      </c>
      <c r="L489" s="75">
        <v>489</v>
      </c>
      <c r="M489" s="75"/>
      <c r="N489" s="70"/>
      <c r="O489" s="77" t="s">
        <v>382</v>
      </c>
      <c r="P489" s="79">
        <v>41124.25708333333</v>
      </c>
      <c r="Q489" s="77"/>
      <c r="R489" s="77"/>
      <c r="S489" s="77"/>
      <c r="T489" s="77"/>
      <c r="U489" s="77"/>
      <c r="V489" s="77"/>
      <c r="W489" s="77"/>
      <c r="X489" s="77"/>
      <c r="Y489">
        <v>1</v>
      </c>
    </row>
    <row r="490" spans="1:25" x14ac:dyDescent="0.25">
      <c r="A490" s="62" t="s">
        <v>326</v>
      </c>
      <c r="B490" s="62" t="s">
        <v>240</v>
      </c>
      <c r="C490" s="63" t="s">
        <v>2222</v>
      </c>
      <c r="D490" s="64">
        <v>1</v>
      </c>
      <c r="E490" s="65"/>
      <c r="F490" s="66">
        <v>100</v>
      </c>
      <c r="G490" s="63"/>
      <c r="H490" s="67"/>
      <c r="I490" s="68"/>
      <c r="J490" s="68"/>
      <c r="K490" s="34" t="s">
        <v>65</v>
      </c>
      <c r="L490" s="75">
        <v>490</v>
      </c>
      <c r="M490" s="75"/>
      <c r="N490" s="70"/>
      <c r="O490" s="77" t="s">
        <v>382</v>
      </c>
      <c r="P490" s="79">
        <v>41124.25708333333</v>
      </c>
      <c r="Q490" s="77"/>
      <c r="R490" s="77"/>
      <c r="S490" s="77"/>
      <c r="T490" s="77"/>
      <c r="U490" s="77"/>
      <c r="V490" s="77"/>
      <c r="W490" s="77"/>
      <c r="X490" s="77"/>
      <c r="Y490">
        <v>1</v>
      </c>
    </row>
    <row r="491" spans="1:25" x14ac:dyDescent="0.25">
      <c r="A491" s="62" t="s">
        <v>326</v>
      </c>
      <c r="B491" s="62" t="s">
        <v>367</v>
      </c>
      <c r="C491" s="63" t="s">
        <v>2222</v>
      </c>
      <c r="D491" s="64">
        <v>1</v>
      </c>
      <c r="E491" s="65"/>
      <c r="F491" s="66">
        <v>100</v>
      </c>
      <c r="G491" s="63"/>
      <c r="H491" s="67"/>
      <c r="I491" s="68"/>
      <c r="J491" s="68"/>
      <c r="K491" s="34" t="s">
        <v>64</v>
      </c>
      <c r="L491" s="75">
        <v>491</v>
      </c>
      <c r="M491" s="75"/>
      <c r="N491" s="70"/>
      <c r="O491" s="77" t="s">
        <v>382</v>
      </c>
      <c r="P491" s="79">
        <v>41124.25708333333</v>
      </c>
      <c r="Q491" s="77"/>
      <c r="R491" s="77"/>
      <c r="S491" s="77"/>
      <c r="T491" s="77"/>
      <c r="U491" s="77"/>
      <c r="V491" s="77"/>
      <c r="W491" s="77"/>
      <c r="X491" s="77"/>
      <c r="Y491">
        <v>1</v>
      </c>
    </row>
    <row r="492" spans="1:25" x14ac:dyDescent="0.25">
      <c r="A492" s="62" t="s">
        <v>327</v>
      </c>
      <c r="B492" s="62" t="s">
        <v>326</v>
      </c>
      <c r="C492" s="63" t="s">
        <v>2222</v>
      </c>
      <c r="D492" s="64">
        <v>1</v>
      </c>
      <c r="E492" s="65"/>
      <c r="F492" s="66">
        <v>100</v>
      </c>
      <c r="G492" s="63"/>
      <c r="H492" s="67"/>
      <c r="I492" s="68"/>
      <c r="J492" s="68"/>
      <c r="K492" s="34" t="s">
        <v>65</v>
      </c>
      <c r="L492" s="75">
        <v>492</v>
      </c>
      <c r="M492" s="75"/>
      <c r="N492" s="70"/>
      <c r="O492" s="77" t="s">
        <v>382</v>
      </c>
      <c r="P492" s="79">
        <v>41124.25708333333</v>
      </c>
      <c r="Q492" s="77"/>
      <c r="R492" s="77"/>
      <c r="S492" s="77"/>
      <c r="T492" s="77"/>
      <c r="U492" s="77"/>
      <c r="V492" s="77"/>
      <c r="W492" s="77"/>
      <c r="X492" s="77"/>
      <c r="Y492">
        <v>1</v>
      </c>
    </row>
    <row r="493" spans="1:25" x14ac:dyDescent="0.25">
      <c r="A493" s="62" t="s">
        <v>328</v>
      </c>
      <c r="B493" s="62" t="s">
        <v>326</v>
      </c>
      <c r="C493" s="63" t="s">
        <v>2222</v>
      </c>
      <c r="D493" s="64">
        <v>1</v>
      </c>
      <c r="E493" s="65"/>
      <c r="F493" s="66">
        <v>100</v>
      </c>
      <c r="G493" s="63"/>
      <c r="H493" s="67"/>
      <c r="I493" s="68"/>
      <c r="J493" s="68"/>
      <c r="K493" s="34" t="s">
        <v>65</v>
      </c>
      <c r="L493" s="75">
        <v>493</v>
      </c>
      <c r="M493" s="75"/>
      <c r="N493" s="70"/>
      <c r="O493" s="77" t="s">
        <v>382</v>
      </c>
      <c r="P493" s="79">
        <v>41124.25708333333</v>
      </c>
      <c r="Q493" s="77"/>
      <c r="R493" s="77"/>
      <c r="S493" s="77"/>
      <c r="T493" s="77"/>
      <c r="U493" s="77"/>
      <c r="V493" s="77"/>
      <c r="W493" s="77"/>
      <c r="X493" s="77"/>
      <c r="Y493">
        <v>1</v>
      </c>
    </row>
    <row r="494" spans="1:25" x14ac:dyDescent="0.25">
      <c r="A494" s="62" t="s">
        <v>329</v>
      </c>
      <c r="B494" s="62" t="s">
        <v>329</v>
      </c>
      <c r="C494" s="63" t="s">
        <v>2219</v>
      </c>
      <c r="D494" s="64">
        <v>1</v>
      </c>
      <c r="E494" s="65"/>
      <c r="F494" s="66">
        <v>100</v>
      </c>
      <c r="G494" s="63"/>
      <c r="H494" s="67"/>
      <c r="I494" s="68"/>
      <c r="J494" s="68"/>
      <c r="K494" s="34" t="s">
        <v>64</v>
      </c>
      <c r="L494" s="75">
        <v>494</v>
      </c>
      <c r="M494" s="75"/>
      <c r="N494" s="70"/>
      <c r="O494" s="77" t="s">
        <v>180</v>
      </c>
      <c r="P494" s="79">
        <v>41123.780185185184</v>
      </c>
      <c r="Q494" s="77" t="s">
        <v>514</v>
      </c>
      <c r="R494" s="77"/>
      <c r="S494" s="77"/>
      <c r="T494" s="79">
        <v>41123.780185185184</v>
      </c>
      <c r="U494" s="81" t="s">
        <v>823</v>
      </c>
      <c r="V494" s="77"/>
      <c r="W494" s="77"/>
      <c r="X494" s="84" t="s">
        <v>1120</v>
      </c>
      <c r="Y494" s="82">
        <v>1</v>
      </c>
    </row>
    <row r="495" spans="1:25" x14ac:dyDescent="0.25">
      <c r="A495" s="62" t="s">
        <v>330</v>
      </c>
      <c r="B495" s="62" t="s">
        <v>329</v>
      </c>
      <c r="C495" s="63" t="s">
        <v>2222</v>
      </c>
      <c r="D495" s="64">
        <v>1</v>
      </c>
      <c r="E495" s="65"/>
      <c r="F495" s="66">
        <v>100</v>
      </c>
      <c r="G495" s="63"/>
      <c r="H495" s="67"/>
      <c r="I495" s="68"/>
      <c r="J495" s="68"/>
      <c r="K495" s="34" t="s">
        <v>65</v>
      </c>
      <c r="L495" s="75">
        <v>495</v>
      </c>
      <c r="M495" s="75"/>
      <c r="N495" s="70"/>
      <c r="O495" s="77" t="s">
        <v>382</v>
      </c>
      <c r="P495" s="79">
        <v>41124.25708333333</v>
      </c>
      <c r="Q495" s="77"/>
      <c r="R495" s="77"/>
      <c r="S495" s="77"/>
      <c r="T495" s="77"/>
      <c r="U495" s="77"/>
      <c r="V495" s="77"/>
      <c r="W495" s="77"/>
      <c r="X495" s="77"/>
      <c r="Y495">
        <v>1</v>
      </c>
    </row>
    <row r="496" spans="1:25" x14ac:dyDescent="0.25">
      <c r="A496" s="62" t="s">
        <v>329</v>
      </c>
      <c r="B496" s="62" t="s">
        <v>330</v>
      </c>
      <c r="C496" s="63" t="s">
        <v>2222</v>
      </c>
      <c r="D496" s="64">
        <v>1</v>
      </c>
      <c r="E496" s="65"/>
      <c r="F496" s="66">
        <v>100</v>
      </c>
      <c r="G496" s="63"/>
      <c r="H496" s="67"/>
      <c r="I496" s="68"/>
      <c r="J496" s="68"/>
      <c r="K496" s="34" t="s">
        <v>65</v>
      </c>
      <c r="L496" s="75">
        <v>496</v>
      </c>
      <c r="M496" s="75"/>
      <c r="N496" s="70"/>
      <c r="O496" s="77" t="s">
        <v>382</v>
      </c>
      <c r="P496" s="79">
        <v>41124.25708333333</v>
      </c>
      <c r="Q496" s="77"/>
      <c r="R496" s="77"/>
      <c r="S496" s="77"/>
      <c r="T496" s="77"/>
      <c r="U496" s="77"/>
      <c r="V496" s="77"/>
      <c r="W496" s="77"/>
      <c r="X496" s="77"/>
      <c r="Y496">
        <v>1</v>
      </c>
    </row>
    <row r="497" spans="1:25" x14ac:dyDescent="0.25">
      <c r="A497" s="62" t="s">
        <v>329</v>
      </c>
      <c r="B497" s="62" t="s">
        <v>286</v>
      </c>
      <c r="C497" s="63" t="s">
        <v>2222</v>
      </c>
      <c r="D497" s="64">
        <v>1</v>
      </c>
      <c r="E497" s="65"/>
      <c r="F497" s="66">
        <v>100</v>
      </c>
      <c r="G497" s="63"/>
      <c r="H497" s="67"/>
      <c r="I497" s="68"/>
      <c r="J497" s="68"/>
      <c r="K497" s="34" t="s">
        <v>64</v>
      </c>
      <c r="L497" s="75">
        <v>497</v>
      </c>
      <c r="M497" s="75"/>
      <c r="N497" s="70"/>
      <c r="O497" s="77" t="s">
        <v>382</v>
      </c>
      <c r="P497" s="79">
        <v>41124.25708333333</v>
      </c>
      <c r="Q497" s="77"/>
      <c r="R497" s="77"/>
      <c r="S497" s="77"/>
      <c r="T497" s="77"/>
      <c r="U497" s="77"/>
      <c r="V497" s="77"/>
      <c r="W497" s="77"/>
      <c r="X497" s="77"/>
      <c r="Y497">
        <v>1</v>
      </c>
    </row>
    <row r="498" spans="1:25" x14ac:dyDescent="0.25">
      <c r="A498" s="62" t="s">
        <v>329</v>
      </c>
      <c r="B498" s="62" t="s">
        <v>368</v>
      </c>
      <c r="C498" s="63" t="s">
        <v>2222</v>
      </c>
      <c r="D498" s="64">
        <v>1</v>
      </c>
      <c r="E498" s="65"/>
      <c r="F498" s="66">
        <v>100</v>
      </c>
      <c r="G498" s="63"/>
      <c r="H498" s="67"/>
      <c r="I498" s="68"/>
      <c r="J498" s="68"/>
      <c r="K498" s="34" t="s">
        <v>64</v>
      </c>
      <c r="L498" s="75">
        <v>498</v>
      </c>
      <c r="M498" s="75"/>
      <c r="N498" s="70"/>
      <c r="O498" s="77" t="s">
        <v>382</v>
      </c>
      <c r="P498" s="79">
        <v>41124.25708333333</v>
      </c>
      <c r="Q498" s="77"/>
      <c r="R498" s="77"/>
      <c r="S498" s="77"/>
      <c r="T498" s="77"/>
      <c r="U498" s="77"/>
      <c r="V498" s="77"/>
      <c r="W498" s="77"/>
      <c r="X498" s="77"/>
      <c r="Y498">
        <v>1</v>
      </c>
    </row>
    <row r="499" spans="1:25" x14ac:dyDescent="0.25">
      <c r="A499" s="62" t="s">
        <v>329</v>
      </c>
      <c r="B499" s="62" t="s">
        <v>367</v>
      </c>
      <c r="C499" s="63" t="s">
        <v>2222</v>
      </c>
      <c r="D499" s="64">
        <v>1</v>
      </c>
      <c r="E499" s="65"/>
      <c r="F499" s="66">
        <v>100</v>
      </c>
      <c r="G499" s="63"/>
      <c r="H499" s="67"/>
      <c r="I499" s="68"/>
      <c r="J499" s="68"/>
      <c r="K499" s="34" t="s">
        <v>64</v>
      </c>
      <c r="L499" s="75">
        <v>499</v>
      </c>
      <c r="M499" s="75"/>
      <c r="N499" s="70"/>
      <c r="O499" s="77" t="s">
        <v>382</v>
      </c>
      <c r="P499" s="79">
        <v>41124.25708333333</v>
      </c>
      <c r="Q499" s="77"/>
      <c r="R499" s="77"/>
      <c r="S499" s="77"/>
      <c r="T499" s="77"/>
      <c r="U499" s="77"/>
      <c r="V499" s="77"/>
      <c r="W499" s="77"/>
      <c r="X499" s="77"/>
      <c r="Y499">
        <v>1</v>
      </c>
    </row>
    <row r="500" spans="1:25" x14ac:dyDescent="0.25">
      <c r="A500" s="62" t="s">
        <v>331</v>
      </c>
      <c r="B500" s="62" t="s">
        <v>329</v>
      </c>
      <c r="C500" s="63" t="s">
        <v>2222</v>
      </c>
      <c r="D500" s="64">
        <v>1</v>
      </c>
      <c r="E500" s="65"/>
      <c r="F500" s="66">
        <v>100</v>
      </c>
      <c r="G500" s="63"/>
      <c r="H500" s="67"/>
      <c r="I500" s="68"/>
      <c r="J500" s="68"/>
      <c r="K500" s="34" t="s">
        <v>64</v>
      </c>
      <c r="L500" s="75">
        <v>500</v>
      </c>
      <c r="M500" s="75"/>
      <c r="N500" s="70"/>
      <c r="O500" s="77" t="s">
        <v>382</v>
      </c>
      <c r="P500" s="79">
        <v>41124.25708333333</v>
      </c>
      <c r="Q500" s="77"/>
      <c r="R500" s="77"/>
      <c r="S500" s="77"/>
      <c r="T500" s="77"/>
      <c r="U500" s="77"/>
      <c r="V500" s="77"/>
      <c r="W500" s="77"/>
      <c r="X500" s="77"/>
      <c r="Y500">
        <v>1</v>
      </c>
    </row>
    <row r="501" spans="1:25" x14ac:dyDescent="0.25">
      <c r="A501" s="62" t="s">
        <v>327</v>
      </c>
      <c r="B501" s="62" t="s">
        <v>327</v>
      </c>
      <c r="C501" s="63" t="s">
        <v>2219</v>
      </c>
      <c r="D501" s="64">
        <v>1</v>
      </c>
      <c r="E501" s="65"/>
      <c r="F501" s="66">
        <v>100</v>
      </c>
      <c r="G501" s="63"/>
      <c r="H501" s="67"/>
      <c r="I501" s="68"/>
      <c r="J501" s="68"/>
      <c r="K501" s="34" t="s">
        <v>64</v>
      </c>
      <c r="L501" s="75">
        <v>501</v>
      </c>
      <c r="M501" s="75"/>
      <c r="N501" s="70"/>
      <c r="O501" s="77" t="s">
        <v>180</v>
      </c>
      <c r="P501" s="79">
        <v>41123.824837962966</v>
      </c>
      <c r="Q501" s="77" t="s">
        <v>421</v>
      </c>
      <c r="R501" s="77"/>
      <c r="S501" s="77"/>
      <c r="T501" s="79">
        <v>41123.824837962966</v>
      </c>
      <c r="U501" s="81" t="s">
        <v>824</v>
      </c>
      <c r="V501" s="77"/>
      <c r="W501" s="77"/>
      <c r="X501" s="84" t="s">
        <v>1121</v>
      </c>
      <c r="Y501" s="82">
        <v>1</v>
      </c>
    </row>
    <row r="502" spans="1:25" x14ac:dyDescent="0.25">
      <c r="A502" s="62" t="s">
        <v>327</v>
      </c>
      <c r="B502" s="62" t="s">
        <v>331</v>
      </c>
      <c r="C502" s="63" t="s">
        <v>2222</v>
      </c>
      <c r="D502" s="64">
        <v>1</v>
      </c>
      <c r="E502" s="65"/>
      <c r="F502" s="66">
        <v>100</v>
      </c>
      <c r="G502" s="63"/>
      <c r="H502" s="67"/>
      <c r="I502" s="68"/>
      <c r="J502" s="68"/>
      <c r="K502" s="34" t="s">
        <v>65</v>
      </c>
      <c r="L502" s="75">
        <v>502</v>
      </c>
      <c r="M502" s="75"/>
      <c r="N502" s="70"/>
      <c r="O502" s="77" t="s">
        <v>382</v>
      </c>
      <c r="P502" s="79">
        <v>41124.25708333333</v>
      </c>
      <c r="Q502" s="77"/>
      <c r="R502" s="77"/>
      <c r="S502" s="77"/>
      <c r="T502" s="77"/>
      <c r="U502" s="77"/>
      <c r="V502" s="77"/>
      <c r="W502" s="77"/>
      <c r="X502" s="77"/>
      <c r="Y502">
        <v>1</v>
      </c>
    </row>
    <row r="503" spans="1:25" x14ac:dyDescent="0.25">
      <c r="A503" s="62" t="s">
        <v>331</v>
      </c>
      <c r="B503" s="62" t="s">
        <v>327</v>
      </c>
      <c r="C503" s="63" t="s">
        <v>2222</v>
      </c>
      <c r="D503" s="64">
        <v>1</v>
      </c>
      <c r="E503" s="65"/>
      <c r="F503" s="66">
        <v>100</v>
      </c>
      <c r="G503" s="63"/>
      <c r="H503" s="67"/>
      <c r="I503" s="68"/>
      <c r="J503" s="68"/>
      <c r="K503" s="34" t="s">
        <v>65</v>
      </c>
      <c r="L503" s="75">
        <v>503</v>
      </c>
      <c r="M503" s="75"/>
      <c r="N503" s="70"/>
      <c r="O503" s="77" t="s">
        <v>382</v>
      </c>
      <c r="P503" s="79">
        <v>41124.25708333333</v>
      </c>
      <c r="Q503" s="77"/>
      <c r="R503" s="77"/>
      <c r="S503" s="77"/>
      <c r="T503" s="77"/>
      <c r="U503" s="77"/>
      <c r="V503" s="77"/>
      <c r="W503" s="77"/>
      <c r="X503" s="77"/>
      <c r="Y503">
        <v>1</v>
      </c>
    </row>
    <row r="504" spans="1:25" x14ac:dyDescent="0.25">
      <c r="A504" s="62" t="s">
        <v>255</v>
      </c>
      <c r="B504" s="62" t="s">
        <v>255</v>
      </c>
      <c r="C504" s="63" t="s">
        <v>2219</v>
      </c>
      <c r="D504" s="64">
        <v>1</v>
      </c>
      <c r="E504" s="65"/>
      <c r="F504" s="66">
        <v>100</v>
      </c>
      <c r="G504" s="63"/>
      <c r="H504" s="67"/>
      <c r="I504" s="68"/>
      <c r="J504" s="68"/>
      <c r="K504" s="34" t="s">
        <v>64</v>
      </c>
      <c r="L504" s="75">
        <v>504</v>
      </c>
      <c r="M504" s="75"/>
      <c r="N504" s="70"/>
      <c r="O504" s="77" t="s">
        <v>180</v>
      </c>
      <c r="P504" s="79">
        <v>41123.76972222222</v>
      </c>
      <c r="Q504" s="77" t="s">
        <v>515</v>
      </c>
      <c r="R504" s="81" t="s">
        <v>615</v>
      </c>
      <c r="S504" s="77" t="s">
        <v>652</v>
      </c>
      <c r="T504" s="79">
        <v>41123.76972222222</v>
      </c>
      <c r="U504" s="81" t="s">
        <v>825</v>
      </c>
      <c r="V504" s="77"/>
      <c r="W504" s="77"/>
      <c r="X504" s="84" t="s">
        <v>1122</v>
      </c>
      <c r="Y504" s="82">
        <v>1</v>
      </c>
    </row>
    <row r="505" spans="1:25" x14ac:dyDescent="0.25">
      <c r="A505" s="62" t="s">
        <v>236</v>
      </c>
      <c r="B505" s="62" t="s">
        <v>255</v>
      </c>
      <c r="C505" s="63" t="s">
        <v>2222</v>
      </c>
      <c r="D505" s="64">
        <v>1</v>
      </c>
      <c r="E505" s="65"/>
      <c r="F505" s="66">
        <v>100</v>
      </c>
      <c r="G505" s="63"/>
      <c r="H505" s="67"/>
      <c r="I505" s="68"/>
      <c r="J505" s="68"/>
      <c r="K505" s="34" t="s">
        <v>65</v>
      </c>
      <c r="L505" s="75">
        <v>505</v>
      </c>
      <c r="M505" s="75"/>
      <c r="N505" s="70"/>
      <c r="O505" s="77" t="s">
        <v>382</v>
      </c>
      <c r="P505" s="79">
        <v>41124.25708333333</v>
      </c>
      <c r="Q505" s="77"/>
      <c r="R505" s="77"/>
      <c r="S505" s="77"/>
      <c r="T505" s="77"/>
      <c r="U505" s="77"/>
      <c r="V505" s="77"/>
      <c r="W505" s="77"/>
      <c r="X505" s="77"/>
      <c r="Y505">
        <v>1</v>
      </c>
    </row>
    <row r="506" spans="1:25" x14ac:dyDescent="0.25">
      <c r="A506" s="62" t="s">
        <v>239</v>
      </c>
      <c r="B506" s="62" t="s">
        <v>255</v>
      </c>
      <c r="C506" s="63" t="s">
        <v>2222</v>
      </c>
      <c r="D506" s="64">
        <v>1</v>
      </c>
      <c r="E506" s="65"/>
      <c r="F506" s="66">
        <v>100</v>
      </c>
      <c r="G506" s="63"/>
      <c r="H506" s="67"/>
      <c r="I506" s="68"/>
      <c r="J506" s="68"/>
      <c r="K506" s="34" t="s">
        <v>65</v>
      </c>
      <c r="L506" s="75">
        <v>506</v>
      </c>
      <c r="M506" s="75"/>
      <c r="N506" s="70"/>
      <c r="O506" s="77" t="s">
        <v>382</v>
      </c>
      <c r="P506" s="79">
        <v>41124.25708333333</v>
      </c>
      <c r="Q506" s="77"/>
      <c r="R506" s="77"/>
      <c r="S506" s="77"/>
      <c r="T506" s="77"/>
      <c r="U506" s="77"/>
      <c r="V506" s="77"/>
      <c r="W506" s="77"/>
      <c r="X506" s="77"/>
      <c r="Y506">
        <v>1</v>
      </c>
    </row>
    <row r="507" spans="1:25" x14ac:dyDescent="0.25">
      <c r="A507" s="62" t="s">
        <v>255</v>
      </c>
      <c r="B507" s="62" t="s">
        <v>350</v>
      </c>
      <c r="C507" s="63" t="s">
        <v>2222</v>
      </c>
      <c r="D507" s="64">
        <v>1</v>
      </c>
      <c r="E507" s="65"/>
      <c r="F507" s="66">
        <v>100</v>
      </c>
      <c r="G507" s="63"/>
      <c r="H507" s="67"/>
      <c r="I507" s="68"/>
      <c r="J507" s="68"/>
      <c r="K507" s="34" t="s">
        <v>64</v>
      </c>
      <c r="L507" s="75">
        <v>507</v>
      </c>
      <c r="M507" s="75"/>
      <c r="N507" s="70"/>
      <c r="O507" s="77" t="s">
        <v>382</v>
      </c>
      <c r="P507" s="79">
        <v>41124.25708333333</v>
      </c>
      <c r="Q507" s="77"/>
      <c r="R507" s="77"/>
      <c r="S507" s="77"/>
      <c r="T507" s="77"/>
      <c r="U507" s="77"/>
      <c r="V507" s="77"/>
      <c r="W507" s="77"/>
      <c r="X507" s="77"/>
      <c r="Y507">
        <v>1</v>
      </c>
    </row>
    <row r="508" spans="1:25" x14ac:dyDescent="0.25">
      <c r="A508" s="62" t="s">
        <v>255</v>
      </c>
      <c r="B508" s="62" t="s">
        <v>236</v>
      </c>
      <c r="C508" s="63" t="s">
        <v>2222</v>
      </c>
      <c r="D508" s="64">
        <v>1</v>
      </c>
      <c r="E508" s="65"/>
      <c r="F508" s="66">
        <v>100</v>
      </c>
      <c r="G508" s="63"/>
      <c r="H508" s="67"/>
      <c r="I508" s="68"/>
      <c r="J508" s="68"/>
      <c r="K508" s="34" t="s">
        <v>65</v>
      </c>
      <c r="L508" s="75">
        <v>508</v>
      </c>
      <c r="M508" s="75"/>
      <c r="N508" s="70"/>
      <c r="O508" s="77" t="s">
        <v>382</v>
      </c>
      <c r="P508" s="79">
        <v>41124.25708333333</v>
      </c>
      <c r="Q508" s="77"/>
      <c r="R508" s="77"/>
      <c r="S508" s="77"/>
      <c r="T508" s="77"/>
      <c r="U508" s="77"/>
      <c r="V508" s="77"/>
      <c r="W508" s="77"/>
      <c r="X508" s="77"/>
      <c r="Y508">
        <v>1</v>
      </c>
    </row>
    <row r="509" spans="1:25" x14ac:dyDescent="0.25">
      <c r="A509" s="62" t="s">
        <v>255</v>
      </c>
      <c r="B509" s="62" t="s">
        <v>239</v>
      </c>
      <c r="C509" s="63" t="s">
        <v>2222</v>
      </c>
      <c r="D509" s="64">
        <v>1</v>
      </c>
      <c r="E509" s="65"/>
      <c r="F509" s="66">
        <v>100</v>
      </c>
      <c r="G509" s="63"/>
      <c r="H509" s="67"/>
      <c r="I509" s="68"/>
      <c r="J509" s="68"/>
      <c r="K509" s="34" t="s">
        <v>65</v>
      </c>
      <c r="L509" s="75">
        <v>509</v>
      </c>
      <c r="M509" s="75"/>
      <c r="N509" s="70"/>
      <c r="O509" s="77" t="s">
        <v>382</v>
      </c>
      <c r="P509" s="79">
        <v>41124.25708333333</v>
      </c>
      <c r="Q509" s="77"/>
      <c r="R509" s="77"/>
      <c r="S509" s="77"/>
      <c r="T509" s="77"/>
      <c r="U509" s="77"/>
      <c r="V509" s="77"/>
      <c r="W509" s="77"/>
      <c r="X509" s="77"/>
      <c r="Y509">
        <v>1</v>
      </c>
    </row>
    <row r="510" spans="1:25" x14ac:dyDescent="0.25">
      <c r="A510" s="62" t="s">
        <v>255</v>
      </c>
      <c r="B510" s="62" t="s">
        <v>367</v>
      </c>
      <c r="C510" s="63" t="s">
        <v>2222</v>
      </c>
      <c r="D510" s="64">
        <v>1</v>
      </c>
      <c r="E510" s="65"/>
      <c r="F510" s="66">
        <v>100</v>
      </c>
      <c r="G510" s="63"/>
      <c r="H510" s="67"/>
      <c r="I510" s="68"/>
      <c r="J510" s="68"/>
      <c r="K510" s="34" t="s">
        <v>64</v>
      </c>
      <c r="L510" s="75">
        <v>510</v>
      </c>
      <c r="M510" s="75"/>
      <c r="N510" s="70"/>
      <c r="O510" s="77" t="s">
        <v>382</v>
      </c>
      <c r="P510" s="79">
        <v>41124.25708333333</v>
      </c>
      <c r="Q510" s="77"/>
      <c r="R510" s="77"/>
      <c r="S510" s="77"/>
      <c r="T510" s="77"/>
      <c r="U510" s="77"/>
      <c r="V510" s="77"/>
      <c r="W510" s="77"/>
      <c r="X510" s="77"/>
      <c r="Y510">
        <v>1</v>
      </c>
    </row>
    <row r="511" spans="1:25" x14ac:dyDescent="0.25">
      <c r="A511" s="62" t="s">
        <v>302</v>
      </c>
      <c r="B511" s="62" t="s">
        <v>255</v>
      </c>
      <c r="C511" s="63" t="s">
        <v>2222</v>
      </c>
      <c r="D511" s="64">
        <v>1</v>
      </c>
      <c r="E511" s="65"/>
      <c r="F511" s="66">
        <v>100</v>
      </c>
      <c r="G511" s="63"/>
      <c r="H511" s="67"/>
      <c r="I511" s="68"/>
      <c r="J511" s="68"/>
      <c r="K511" s="34" t="s">
        <v>64</v>
      </c>
      <c r="L511" s="75">
        <v>511</v>
      </c>
      <c r="M511" s="75"/>
      <c r="N511" s="70"/>
      <c r="O511" s="77" t="s">
        <v>382</v>
      </c>
      <c r="P511" s="79">
        <v>41124.25708333333</v>
      </c>
      <c r="Q511" s="77"/>
      <c r="R511" s="77"/>
      <c r="S511" s="77"/>
      <c r="T511" s="77"/>
      <c r="U511" s="77"/>
      <c r="V511" s="77"/>
      <c r="W511" s="77"/>
      <c r="X511" s="77"/>
      <c r="Y511">
        <v>1</v>
      </c>
    </row>
    <row r="512" spans="1:25" x14ac:dyDescent="0.25">
      <c r="A512" s="62" t="s">
        <v>323</v>
      </c>
      <c r="B512" s="62" t="s">
        <v>255</v>
      </c>
      <c r="C512" s="63" t="s">
        <v>2222</v>
      </c>
      <c r="D512" s="64">
        <v>1</v>
      </c>
      <c r="E512" s="65"/>
      <c r="F512" s="66">
        <v>100</v>
      </c>
      <c r="G512" s="63"/>
      <c r="H512" s="67"/>
      <c r="I512" s="68"/>
      <c r="J512" s="68"/>
      <c r="K512" s="34" t="s">
        <v>64</v>
      </c>
      <c r="L512" s="75">
        <v>512</v>
      </c>
      <c r="M512" s="75"/>
      <c r="N512" s="70"/>
      <c r="O512" s="77" t="s">
        <v>382</v>
      </c>
      <c r="P512" s="79">
        <v>41124.25708333333</v>
      </c>
      <c r="Q512" s="77"/>
      <c r="R512" s="77"/>
      <c r="S512" s="77"/>
      <c r="T512" s="77"/>
      <c r="U512" s="77"/>
      <c r="V512" s="77"/>
      <c r="W512" s="77"/>
      <c r="X512" s="77"/>
      <c r="Y512">
        <v>1</v>
      </c>
    </row>
    <row r="513" spans="1:25" x14ac:dyDescent="0.25">
      <c r="A513" s="62" t="s">
        <v>331</v>
      </c>
      <c r="B513" s="62" t="s">
        <v>255</v>
      </c>
      <c r="C513" s="63" t="s">
        <v>2222</v>
      </c>
      <c r="D513" s="64">
        <v>1</v>
      </c>
      <c r="E513" s="65"/>
      <c r="F513" s="66">
        <v>100</v>
      </c>
      <c r="G513" s="63"/>
      <c r="H513" s="67"/>
      <c r="I513" s="68"/>
      <c r="J513" s="68"/>
      <c r="K513" s="34" t="s">
        <v>64</v>
      </c>
      <c r="L513" s="75">
        <v>513</v>
      </c>
      <c r="M513" s="75"/>
      <c r="N513" s="70"/>
      <c r="O513" s="77" t="s">
        <v>382</v>
      </c>
      <c r="P513" s="79">
        <v>41124.25708333333</v>
      </c>
      <c r="Q513" s="77"/>
      <c r="R513" s="77"/>
      <c r="S513" s="77"/>
      <c r="T513" s="77"/>
      <c r="U513" s="77"/>
      <c r="V513" s="77"/>
      <c r="W513" s="77"/>
      <c r="X513" s="77"/>
      <c r="Y513">
        <v>1</v>
      </c>
    </row>
    <row r="514" spans="1:25" x14ac:dyDescent="0.25">
      <c r="A514" s="62" t="s">
        <v>281</v>
      </c>
      <c r="B514" s="62" t="s">
        <v>281</v>
      </c>
      <c r="C514" s="63" t="s">
        <v>2219</v>
      </c>
      <c r="D514" s="64">
        <v>1</v>
      </c>
      <c r="E514" s="65"/>
      <c r="F514" s="66">
        <v>100</v>
      </c>
      <c r="G514" s="63"/>
      <c r="H514" s="67"/>
      <c r="I514" s="68"/>
      <c r="J514" s="68"/>
      <c r="K514" s="34" t="s">
        <v>64</v>
      </c>
      <c r="L514" s="75">
        <v>514</v>
      </c>
      <c r="M514" s="75"/>
      <c r="N514" s="70"/>
      <c r="O514" s="77" t="s">
        <v>180</v>
      </c>
      <c r="P514" s="79">
        <v>41123.86210648148</v>
      </c>
      <c r="Q514" s="77" t="s">
        <v>508</v>
      </c>
      <c r="R514" s="77"/>
      <c r="S514" s="77"/>
      <c r="T514" s="79">
        <v>41123.86210648148</v>
      </c>
      <c r="U514" s="81" t="s">
        <v>826</v>
      </c>
      <c r="V514" s="77"/>
      <c r="W514" s="77"/>
      <c r="X514" s="84" t="s">
        <v>1123</v>
      </c>
      <c r="Y514" s="82">
        <v>1</v>
      </c>
    </row>
    <row r="515" spans="1:25" x14ac:dyDescent="0.25">
      <c r="A515" s="62" t="s">
        <v>281</v>
      </c>
      <c r="B515" s="62" t="s">
        <v>246</v>
      </c>
      <c r="C515" s="63" t="s">
        <v>2222</v>
      </c>
      <c r="D515" s="64">
        <v>1</v>
      </c>
      <c r="E515" s="65"/>
      <c r="F515" s="66">
        <v>100</v>
      </c>
      <c r="G515" s="63"/>
      <c r="H515" s="67"/>
      <c r="I515" s="68"/>
      <c r="J515" s="68"/>
      <c r="K515" s="34" t="s">
        <v>64</v>
      </c>
      <c r="L515" s="75">
        <v>515</v>
      </c>
      <c r="M515" s="75"/>
      <c r="N515" s="70"/>
      <c r="O515" s="77" t="s">
        <v>382</v>
      </c>
      <c r="P515" s="79">
        <v>41124.25708333333</v>
      </c>
      <c r="Q515" s="77"/>
      <c r="R515" s="77"/>
      <c r="S515" s="77"/>
      <c r="T515" s="77"/>
      <c r="U515" s="77"/>
      <c r="V515" s="77"/>
      <c r="W515" s="77"/>
      <c r="X515" s="77"/>
      <c r="Y515">
        <v>1</v>
      </c>
    </row>
    <row r="516" spans="1:25" x14ac:dyDescent="0.25">
      <c r="A516" s="62" t="s">
        <v>281</v>
      </c>
      <c r="B516" s="62" t="s">
        <v>332</v>
      </c>
      <c r="C516" s="63" t="s">
        <v>2222</v>
      </c>
      <c r="D516" s="64">
        <v>1</v>
      </c>
      <c r="E516" s="65"/>
      <c r="F516" s="66">
        <v>100</v>
      </c>
      <c r="G516" s="63"/>
      <c r="H516" s="67"/>
      <c r="I516" s="68"/>
      <c r="J516" s="68"/>
      <c r="K516" s="34" t="s">
        <v>65</v>
      </c>
      <c r="L516" s="75">
        <v>516</v>
      </c>
      <c r="M516" s="75"/>
      <c r="N516" s="70"/>
      <c r="O516" s="77" t="s">
        <v>382</v>
      </c>
      <c r="P516" s="79">
        <v>41124.25708333333</v>
      </c>
      <c r="Q516" s="77"/>
      <c r="R516" s="77"/>
      <c r="S516" s="77"/>
      <c r="T516" s="77"/>
      <c r="U516" s="77"/>
      <c r="V516" s="77"/>
      <c r="W516" s="77"/>
      <c r="X516" s="77"/>
      <c r="Y516">
        <v>1</v>
      </c>
    </row>
    <row r="517" spans="1:25" x14ac:dyDescent="0.25">
      <c r="A517" s="62" t="s">
        <v>281</v>
      </c>
      <c r="B517" s="62" t="s">
        <v>368</v>
      </c>
      <c r="C517" s="63" t="s">
        <v>2222</v>
      </c>
      <c r="D517" s="64">
        <v>1</v>
      </c>
      <c r="E517" s="65"/>
      <c r="F517" s="66">
        <v>100</v>
      </c>
      <c r="G517" s="63"/>
      <c r="H517" s="67"/>
      <c r="I517" s="68"/>
      <c r="J517" s="68"/>
      <c r="K517" s="34" t="s">
        <v>64</v>
      </c>
      <c r="L517" s="75">
        <v>517</v>
      </c>
      <c r="M517" s="75"/>
      <c r="N517" s="70"/>
      <c r="O517" s="77" t="s">
        <v>382</v>
      </c>
      <c r="P517" s="79">
        <v>41124.25708333333</v>
      </c>
      <c r="Q517" s="77"/>
      <c r="R517" s="77"/>
      <c r="S517" s="77"/>
      <c r="T517" s="77"/>
      <c r="U517" s="77"/>
      <c r="V517" s="77"/>
      <c r="W517" s="77"/>
      <c r="X517" s="77"/>
      <c r="Y517">
        <v>1</v>
      </c>
    </row>
    <row r="518" spans="1:25" x14ac:dyDescent="0.25">
      <c r="A518" s="62" t="s">
        <v>281</v>
      </c>
      <c r="B518" s="62" t="s">
        <v>286</v>
      </c>
      <c r="C518" s="63" t="s">
        <v>2222</v>
      </c>
      <c r="D518" s="64">
        <v>1</v>
      </c>
      <c r="E518" s="65"/>
      <c r="F518" s="66">
        <v>100</v>
      </c>
      <c r="G518" s="63"/>
      <c r="H518" s="67"/>
      <c r="I518" s="68"/>
      <c r="J518" s="68"/>
      <c r="K518" s="34" t="s">
        <v>64</v>
      </c>
      <c r="L518" s="75">
        <v>518</v>
      </c>
      <c r="M518" s="75"/>
      <c r="N518" s="70"/>
      <c r="O518" s="77" t="s">
        <v>382</v>
      </c>
      <c r="P518" s="79">
        <v>41124.25708333333</v>
      </c>
      <c r="Q518" s="77"/>
      <c r="R518" s="77"/>
      <c r="S518" s="77"/>
      <c r="T518" s="77"/>
      <c r="U518" s="77"/>
      <c r="V518" s="77"/>
      <c r="W518" s="77"/>
      <c r="X518" s="77"/>
      <c r="Y518">
        <v>1</v>
      </c>
    </row>
    <row r="519" spans="1:25" x14ac:dyDescent="0.25">
      <c r="A519" s="62" t="s">
        <v>281</v>
      </c>
      <c r="B519" s="62" t="s">
        <v>301</v>
      </c>
      <c r="C519" s="63" t="s">
        <v>2222</v>
      </c>
      <c r="D519" s="64">
        <v>1</v>
      </c>
      <c r="E519" s="65"/>
      <c r="F519" s="66">
        <v>100</v>
      </c>
      <c r="G519" s="63"/>
      <c r="H519" s="67"/>
      <c r="I519" s="68"/>
      <c r="J519" s="68"/>
      <c r="K519" s="34" t="s">
        <v>64</v>
      </c>
      <c r="L519" s="75">
        <v>519</v>
      </c>
      <c r="M519" s="75"/>
      <c r="N519" s="70"/>
      <c r="O519" s="77" t="s">
        <v>382</v>
      </c>
      <c r="P519" s="79">
        <v>41124.25708333333</v>
      </c>
      <c r="Q519" s="77"/>
      <c r="R519" s="77"/>
      <c r="S519" s="77"/>
      <c r="T519" s="77"/>
      <c r="U519" s="77"/>
      <c r="V519" s="77"/>
      <c r="W519" s="77"/>
      <c r="X519" s="77"/>
      <c r="Y519">
        <v>1</v>
      </c>
    </row>
    <row r="520" spans="1:25" x14ac:dyDescent="0.25">
      <c r="A520" s="62" t="s">
        <v>332</v>
      </c>
      <c r="B520" s="62" t="s">
        <v>281</v>
      </c>
      <c r="C520" s="63" t="s">
        <v>2222</v>
      </c>
      <c r="D520" s="64">
        <v>1</v>
      </c>
      <c r="E520" s="65"/>
      <c r="F520" s="66">
        <v>100</v>
      </c>
      <c r="G520" s="63"/>
      <c r="H520" s="67"/>
      <c r="I520" s="68"/>
      <c r="J520" s="68"/>
      <c r="K520" s="34" t="s">
        <v>65</v>
      </c>
      <c r="L520" s="75">
        <v>520</v>
      </c>
      <c r="M520" s="75"/>
      <c r="N520" s="70"/>
      <c r="O520" s="77" t="s">
        <v>382</v>
      </c>
      <c r="P520" s="79">
        <v>41124.25708333333</v>
      </c>
      <c r="Q520" s="77"/>
      <c r="R520" s="77"/>
      <c r="S520" s="77"/>
      <c r="T520" s="77"/>
      <c r="U520" s="77"/>
      <c r="V520" s="77"/>
      <c r="W520" s="77"/>
      <c r="X520" s="77"/>
      <c r="Y520">
        <v>1</v>
      </c>
    </row>
    <row r="521" spans="1:25" x14ac:dyDescent="0.25">
      <c r="A521" s="62" t="s">
        <v>279</v>
      </c>
      <c r="B521" s="62" t="s">
        <v>279</v>
      </c>
      <c r="C521" s="63" t="s">
        <v>2219</v>
      </c>
      <c r="D521" s="64">
        <v>1</v>
      </c>
      <c r="E521" s="65"/>
      <c r="F521" s="66">
        <v>100</v>
      </c>
      <c r="G521" s="63"/>
      <c r="H521" s="67"/>
      <c r="I521" s="68"/>
      <c r="J521" s="68"/>
      <c r="K521" s="34" t="s">
        <v>64</v>
      </c>
      <c r="L521" s="75">
        <v>521</v>
      </c>
      <c r="M521" s="75"/>
      <c r="N521" s="70"/>
      <c r="O521" s="77" t="s">
        <v>180</v>
      </c>
      <c r="P521" s="79">
        <v>41123.658900462964</v>
      </c>
      <c r="Q521" s="77" t="s">
        <v>516</v>
      </c>
      <c r="R521" s="77"/>
      <c r="S521" s="77"/>
      <c r="T521" s="79">
        <v>41123.658900462964</v>
      </c>
      <c r="U521" s="81" t="s">
        <v>827</v>
      </c>
      <c r="V521" s="77"/>
      <c r="W521" s="77"/>
      <c r="X521" s="84" t="s">
        <v>1124</v>
      </c>
      <c r="Y521" s="82">
        <v>1</v>
      </c>
    </row>
    <row r="522" spans="1:25" x14ac:dyDescent="0.25">
      <c r="A522" s="62" t="s">
        <v>279</v>
      </c>
      <c r="B522" s="62" t="s">
        <v>246</v>
      </c>
      <c r="C522" s="63" t="s">
        <v>2222</v>
      </c>
      <c r="D522" s="64">
        <v>1</v>
      </c>
      <c r="E522" s="65"/>
      <c r="F522" s="66">
        <v>100</v>
      </c>
      <c r="G522" s="63"/>
      <c r="H522" s="67"/>
      <c r="I522" s="68"/>
      <c r="J522" s="68"/>
      <c r="K522" s="34" t="s">
        <v>64</v>
      </c>
      <c r="L522" s="75">
        <v>522</v>
      </c>
      <c r="M522" s="75"/>
      <c r="N522" s="70"/>
      <c r="O522" s="77" t="s">
        <v>382</v>
      </c>
      <c r="P522" s="79">
        <v>41124.25708333333</v>
      </c>
      <c r="Q522" s="77"/>
      <c r="R522" s="77"/>
      <c r="S522" s="77"/>
      <c r="T522" s="77"/>
      <c r="U522" s="77"/>
      <c r="V522" s="77"/>
      <c r="W522" s="77"/>
      <c r="X522" s="77"/>
      <c r="Y522">
        <v>1</v>
      </c>
    </row>
    <row r="523" spans="1:25" x14ac:dyDescent="0.25">
      <c r="A523" s="62" t="s">
        <v>279</v>
      </c>
      <c r="B523" s="62" t="s">
        <v>332</v>
      </c>
      <c r="C523" s="63" t="s">
        <v>2222</v>
      </c>
      <c r="D523" s="64">
        <v>1</v>
      </c>
      <c r="E523" s="65"/>
      <c r="F523" s="66">
        <v>100</v>
      </c>
      <c r="G523" s="63"/>
      <c r="H523" s="67"/>
      <c r="I523" s="68"/>
      <c r="J523" s="68"/>
      <c r="K523" s="34" t="s">
        <v>65</v>
      </c>
      <c r="L523" s="75">
        <v>523</v>
      </c>
      <c r="M523" s="75"/>
      <c r="N523" s="70"/>
      <c r="O523" s="77" t="s">
        <v>382</v>
      </c>
      <c r="P523" s="79">
        <v>41124.25708333333</v>
      </c>
      <c r="Q523" s="77"/>
      <c r="R523" s="77"/>
      <c r="S523" s="77"/>
      <c r="T523" s="77"/>
      <c r="U523" s="77"/>
      <c r="V523" s="77"/>
      <c r="W523" s="77"/>
      <c r="X523" s="77"/>
      <c r="Y523">
        <v>1</v>
      </c>
    </row>
    <row r="524" spans="1:25" x14ac:dyDescent="0.25">
      <c r="A524" s="62" t="s">
        <v>279</v>
      </c>
      <c r="B524" s="62" t="s">
        <v>333</v>
      </c>
      <c r="C524" s="63" t="s">
        <v>2222</v>
      </c>
      <c r="D524" s="64">
        <v>1</v>
      </c>
      <c r="E524" s="65"/>
      <c r="F524" s="66">
        <v>100</v>
      </c>
      <c r="G524" s="63"/>
      <c r="H524" s="67"/>
      <c r="I524" s="68"/>
      <c r="J524" s="68"/>
      <c r="K524" s="34" t="s">
        <v>65</v>
      </c>
      <c r="L524" s="75">
        <v>524</v>
      </c>
      <c r="M524" s="75"/>
      <c r="N524" s="70"/>
      <c r="O524" s="77" t="s">
        <v>382</v>
      </c>
      <c r="P524" s="79">
        <v>41124.25708333333</v>
      </c>
      <c r="Q524" s="77"/>
      <c r="R524" s="77"/>
      <c r="S524" s="77"/>
      <c r="T524" s="77"/>
      <c r="U524" s="77"/>
      <c r="V524" s="77"/>
      <c r="W524" s="77"/>
      <c r="X524" s="77"/>
      <c r="Y524">
        <v>1</v>
      </c>
    </row>
    <row r="525" spans="1:25" x14ac:dyDescent="0.25">
      <c r="A525" s="62" t="s">
        <v>333</v>
      </c>
      <c r="B525" s="62" t="s">
        <v>279</v>
      </c>
      <c r="C525" s="63" t="s">
        <v>2222</v>
      </c>
      <c r="D525" s="64">
        <v>1</v>
      </c>
      <c r="E525" s="65"/>
      <c r="F525" s="66">
        <v>100</v>
      </c>
      <c r="G525" s="63"/>
      <c r="H525" s="67"/>
      <c r="I525" s="68"/>
      <c r="J525" s="68"/>
      <c r="K525" s="34" t="s">
        <v>65</v>
      </c>
      <c r="L525" s="75">
        <v>525</v>
      </c>
      <c r="M525" s="75"/>
      <c r="N525" s="70"/>
      <c r="O525" s="77" t="s">
        <v>382</v>
      </c>
      <c r="P525" s="79">
        <v>41124.25708333333</v>
      </c>
      <c r="Q525" s="77"/>
      <c r="R525" s="77"/>
      <c r="S525" s="77"/>
      <c r="T525" s="77"/>
      <c r="U525" s="77"/>
      <c r="V525" s="77"/>
      <c r="W525" s="77"/>
      <c r="X525" s="77"/>
      <c r="Y525">
        <v>1</v>
      </c>
    </row>
    <row r="526" spans="1:25" x14ac:dyDescent="0.25">
      <c r="A526" s="62" t="s">
        <v>301</v>
      </c>
      <c r="B526" s="62" t="s">
        <v>279</v>
      </c>
      <c r="C526" s="63" t="s">
        <v>2222</v>
      </c>
      <c r="D526" s="64">
        <v>1</v>
      </c>
      <c r="E526" s="65"/>
      <c r="F526" s="66">
        <v>100</v>
      </c>
      <c r="G526" s="63"/>
      <c r="H526" s="67"/>
      <c r="I526" s="68"/>
      <c r="J526" s="68"/>
      <c r="K526" s="34" t="s">
        <v>64</v>
      </c>
      <c r="L526" s="75">
        <v>526</v>
      </c>
      <c r="M526" s="75"/>
      <c r="N526" s="70"/>
      <c r="O526" s="77" t="s">
        <v>382</v>
      </c>
      <c r="P526" s="79">
        <v>41124.25708333333</v>
      </c>
      <c r="Q526" s="77"/>
      <c r="R526" s="77"/>
      <c r="S526" s="77"/>
      <c r="T526" s="77"/>
      <c r="U526" s="77"/>
      <c r="V526" s="77"/>
      <c r="W526" s="77"/>
      <c r="X526" s="77"/>
      <c r="Y526">
        <v>1</v>
      </c>
    </row>
    <row r="527" spans="1:25" x14ac:dyDescent="0.25">
      <c r="A527" s="62" t="s">
        <v>332</v>
      </c>
      <c r="B527" s="62" t="s">
        <v>279</v>
      </c>
      <c r="C527" s="63" t="s">
        <v>2222</v>
      </c>
      <c r="D527" s="64">
        <v>1</v>
      </c>
      <c r="E527" s="65"/>
      <c r="F527" s="66">
        <v>100</v>
      </c>
      <c r="G527" s="63"/>
      <c r="H527" s="67"/>
      <c r="I527" s="68"/>
      <c r="J527" s="68"/>
      <c r="K527" s="34" t="s">
        <v>65</v>
      </c>
      <c r="L527" s="75">
        <v>527</v>
      </c>
      <c r="M527" s="75"/>
      <c r="N527" s="70"/>
      <c r="O527" s="77" t="s">
        <v>382</v>
      </c>
      <c r="P527" s="79">
        <v>41124.25708333333</v>
      </c>
      <c r="Q527" s="77"/>
      <c r="R527" s="77"/>
      <c r="S527" s="77"/>
      <c r="T527" s="77"/>
      <c r="U527" s="77"/>
      <c r="V527" s="77"/>
      <c r="W527" s="77"/>
      <c r="X527" s="77"/>
      <c r="Y527">
        <v>1</v>
      </c>
    </row>
    <row r="528" spans="1:25" x14ac:dyDescent="0.25">
      <c r="A528" s="62" t="s">
        <v>267</v>
      </c>
      <c r="B528" s="62" t="s">
        <v>267</v>
      </c>
      <c r="C528" s="63" t="s">
        <v>2219</v>
      </c>
      <c r="D528" s="64">
        <v>1</v>
      </c>
      <c r="E528" s="65"/>
      <c r="F528" s="66">
        <v>100</v>
      </c>
      <c r="G528" s="63"/>
      <c r="H528" s="67"/>
      <c r="I528" s="68"/>
      <c r="J528" s="68"/>
      <c r="K528" s="34" t="s">
        <v>64</v>
      </c>
      <c r="L528" s="75">
        <v>528</v>
      </c>
      <c r="M528" s="75"/>
      <c r="N528" s="70"/>
      <c r="O528" s="77" t="s">
        <v>180</v>
      </c>
      <c r="P528" s="79">
        <v>41123.807337962964</v>
      </c>
      <c r="Q528" s="77" t="s">
        <v>508</v>
      </c>
      <c r="R528" s="77"/>
      <c r="S528" s="77"/>
      <c r="T528" s="79">
        <v>41123.807337962964</v>
      </c>
      <c r="U528" s="81" t="s">
        <v>828</v>
      </c>
      <c r="V528" s="77"/>
      <c r="W528" s="77"/>
      <c r="X528" s="84" t="s">
        <v>1125</v>
      </c>
      <c r="Y528" s="82">
        <v>1</v>
      </c>
    </row>
    <row r="529" spans="1:25" x14ac:dyDescent="0.25">
      <c r="A529" s="62" t="s">
        <v>306</v>
      </c>
      <c r="B529" s="62" t="s">
        <v>267</v>
      </c>
      <c r="C529" s="63" t="s">
        <v>2222</v>
      </c>
      <c r="D529" s="64">
        <v>1</v>
      </c>
      <c r="E529" s="65"/>
      <c r="F529" s="66">
        <v>100</v>
      </c>
      <c r="G529" s="63"/>
      <c r="H529" s="67"/>
      <c r="I529" s="68"/>
      <c r="J529" s="68"/>
      <c r="K529" s="34" t="s">
        <v>65</v>
      </c>
      <c r="L529" s="75">
        <v>529</v>
      </c>
      <c r="M529" s="75"/>
      <c r="N529" s="70"/>
      <c r="O529" s="77" t="s">
        <v>382</v>
      </c>
      <c r="P529" s="79">
        <v>41124.25708333333</v>
      </c>
      <c r="Q529" s="77"/>
      <c r="R529" s="77"/>
      <c r="S529" s="77"/>
      <c r="T529" s="77"/>
      <c r="U529" s="77"/>
      <c r="V529" s="77"/>
      <c r="W529" s="77"/>
      <c r="X529" s="77"/>
      <c r="Y529">
        <v>1</v>
      </c>
    </row>
    <row r="530" spans="1:25" x14ac:dyDescent="0.25">
      <c r="A530" s="62" t="s">
        <v>267</v>
      </c>
      <c r="B530" s="62" t="s">
        <v>301</v>
      </c>
      <c r="C530" s="63" t="s">
        <v>2222</v>
      </c>
      <c r="D530" s="64">
        <v>1</v>
      </c>
      <c r="E530" s="65"/>
      <c r="F530" s="66">
        <v>100</v>
      </c>
      <c r="G530" s="63"/>
      <c r="H530" s="67"/>
      <c r="I530" s="68"/>
      <c r="J530" s="68"/>
      <c r="K530" s="34" t="s">
        <v>65</v>
      </c>
      <c r="L530" s="75">
        <v>530</v>
      </c>
      <c r="M530" s="75"/>
      <c r="N530" s="70"/>
      <c r="O530" s="77" t="s">
        <v>382</v>
      </c>
      <c r="P530" s="79">
        <v>41124.25708333333</v>
      </c>
      <c r="Q530" s="77"/>
      <c r="R530" s="77"/>
      <c r="S530" s="77"/>
      <c r="T530" s="77"/>
      <c r="U530" s="77"/>
      <c r="V530" s="77"/>
      <c r="W530" s="77"/>
      <c r="X530" s="77"/>
      <c r="Y530">
        <v>1</v>
      </c>
    </row>
    <row r="531" spans="1:25" x14ac:dyDescent="0.25">
      <c r="A531" s="62" t="s">
        <v>267</v>
      </c>
      <c r="B531" s="62" t="s">
        <v>306</v>
      </c>
      <c r="C531" s="63" t="s">
        <v>2222</v>
      </c>
      <c r="D531" s="64">
        <v>1</v>
      </c>
      <c r="E531" s="65"/>
      <c r="F531" s="66">
        <v>100</v>
      </c>
      <c r="G531" s="63"/>
      <c r="H531" s="67"/>
      <c r="I531" s="68"/>
      <c r="J531" s="68"/>
      <c r="K531" s="34" t="s">
        <v>65</v>
      </c>
      <c r="L531" s="75">
        <v>531</v>
      </c>
      <c r="M531" s="75"/>
      <c r="N531" s="70"/>
      <c r="O531" s="77" t="s">
        <v>382</v>
      </c>
      <c r="P531" s="79">
        <v>41124.25708333333</v>
      </c>
      <c r="Q531" s="77"/>
      <c r="R531" s="77"/>
      <c r="S531" s="77"/>
      <c r="T531" s="77"/>
      <c r="U531" s="77"/>
      <c r="V531" s="77"/>
      <c r="W531" s="77"/>
      <c r="X531" s="77"/>
      <c r="Y531">
        <v>1</v>
      </c>
    </row>
    <row r="532" spans="1:25" x14ac:dyDescent="0.25">
      <c r="A532" s="62" t="s">
        <v>267</v>
      </c>
      <c r="B532" s="62" t="s">
        <v>332</v>
      </c>
      <c r="C532" s="63" t="s">
        <v>2222</v>
      </c>
      <c r="D532" s="64">
        <v>1</v>
      </c>
      <c r="E532" s="65"/>
      <c r="F532" s="66">
        <v>100</v>
      </c>
      <c r="G532" s="63"/>
      <c r="H532" s="67"/>
      <c r="I532" s="68"/>
      <c r="J532" s="68"/>
      <c r="K532" s="34" t="s">
        <v>65</v>
      </c>
      <c r="L532" s="75">
        <v>532</v>
      </c>
      <c r="M532" s="75"/>
      <c r="N532" s="70"/>
      <c r="O532" s="77" t="s">
        <v>382</v>
      </c>
      <c r="P532" s="79">
        <v>41124.25708333333</v>
      </c>
      <c r="Q532" s="77"/>
      <c r="R532" s="77"/>
      <c r="S532" s="77"/>
      <c r="T532" s="77"/>
      <c r="U532" s="77"/>
      <c r="V532" s="77"/>
      <c r="W532" s="77"/>
      <c r="X532" s="77"/>
      <c r="Y532">
        <v>1</v>
      </c>
    </row>
    <row r="533" spans="1:25" x14ac:dyDescent="0.25">
      <c r="A533" s="62" t="s">
        <v>267</v>
      </c>
      <c r="B533" s="62" t="s">
        <v>324</v>
      </c>
      <c r="C533" s="63" t="s">
        <v>2222</v>
      </c>
      <c r="D533" s="64">
        <v>1</v>
      </c>
      <c r="E533" s="65"/>
      <c r="F533" s="66">
        <v>100</v>
      </c>
      <c r="G533" s="63"/>
      <c r="H533" s="67"/>
      <c r="I533" s="68"/>
      <c r="J533" s="68"/>
      <c r="K533" s="34" t="s">
        <v>65</v>
      </c>
      <c r="L533" s="75">
        <v>533</v>
      </c>
      <c r="M533" s="75"/>
      <c r="N533" s="70"/>
      <c r="O533" s="77" t="s">
        <v>382</v>
      </c>
      <c r="P533" s="79">
        <v>41124.25708333333</v>
      </c>
      <c r="Q533" s="77"/>
      <c r="R533" s="77"/>
      <c r="S533" s="77"/>
      <c r="T533" s="77"/>
      <c r="U533" s="77"/>
      <c r="V533" s="77"/>
      <c r="W533" s="77"/>
      <c r="X533" s="77"/>
      <c r="Y533">
        <v>1</v>
      </c>
    </row>
    <row r="534" spans="1:25" x14ac:dyDescent="0.25">
      <c r="A534" s="62" t="s">
        <v>267</v>
      </c>
      <c r="B534" s="62" t="s">
        <v>268</v>
      </c>
      <c r="C534" s="63" t="s">
        <v>2222</v>
      </c>
      <c r="D534" s="64">
        <v>1</v>
      </c>
      <c r="E534" s="65"/>
      <c r="F534" s="66">
        <v>100</v>
      </c>
      <c r="G534" s="63"/>
      <c r="H534" s="67"/>
      <c r="I534" s="68"/>
      <c r="J534" s="68"/>
      <c r="K534" s="34" t="s">
        <v>64</v>
      </c>
      <c r="L534" s="75">
        <v>534</v>
      </c>
      <c r="M534" s="75"/>
      <c r="N534" s="70"/>
      <c r="O534" s="77" t="s">
        <v>382</v>
      </c>
      <c r="P534" s="79">
        <v>41124.25708333333</v>
      </c>
      <c r="Q534" s="77"/>
      <c r="R534" s="77"/>
      <c r="S534" s="77"/>
      <c r="T534" s="77"/>
      <c r="U534" s="77"/>
      <c r="V534" s="77"/>
      <c r="W534" s="77"/>
      <c r="X534" s="77"/>
      <c r="Y534">
        <v>1</v>
      </c>
    </row>
    <row r="535" spans="1:25" x14ac:dyDescent="0.25">
      <c r="A535" s="62" t="s">
        <v>267</v>
      </c>
      <c r="B535" s="62" t="s">
        <v>297</v>
      </c>
      <c r="C535" s="63" t="s">
        <v>2222</v>
      </c>
      <c r="D535" s="64">
        <v>1</v>
      </c>
      <c r="E535" s="65"/>
      <c r="F535" s="66">
        <v>100</v>
      </c>
      <c r="G535" s="63"/>
      <c r="H535" s="67"/>
      <c r="I535" s="68"/>
      <c r="J535" s="68"/>
      <c r="K535" s="34" t="s">
        <v>65</v>
      </c>
      <c r="L535" s="75">
        <v>535</v>
      </c>
      <c r="M535" s="75"/>
      <c r="N535" s="70"/>
      <c r="O535" s="77" t="s">
        <v>382</v>
      </c>
      <c r="P535" s="79">
        <v>41124.25708333333</v>
      </c>
      <c r="Q535" s="77"/>
      <c r="R535" s="77"/>
      <c r="S535" s="77"/>
      <c r="T535" s="77"/>
      <c r="U535" s="77"/>
      <c r="V535" s="77"/>
      <c r="W535" s="77"/>
      <c r="X535" s="77"/>
      <c r="Y535">
        <v>1</v>
      </c>
    </row>
    <row r="536" spans="1:25" x14ac:dyDescent="0.25">
      <c r="A536" s="62" t="s">
        <v>297</v>
      </c>
      <c r="B536" s="62" t="s">
        <v>267</v>
      </c>
      <c r="C536" s="63" t="s">
        <v>2222</v>
      </c>
      <c r="D536" s="64">
        <v>1</v>
      </c>
      <c r="E536" s="65"/>
      <c r="F536" s="66">
        <v>100</v>
      </c>
      <c r="G536" s="63"/>
      <c r="H536" s="67"/>
      <c r="I536" s="68"/>
      <c r="J536" s="68"/>
      <c r="K536" s="34" t="s">
        <v>65</v>
      </c>
      <c r="L536" s="75">
        <v>536</v>
      </c>
      <c r="M536" s="75"/>
      <c r="N536" s="70"/>
      <c r="O536" s="77" t="s">
        <v>382</v>
      </c>
      <c r="P536" s="79">
        <v>41124.25708333333</v>
      </c>
      <c r="Q536" s="77"/>
      <c r="R536" s="77"/>
      <c r="S536" s="77"/>
      <c r="T536" s="77"/>
      <c r="U536" s="77"/>
      <c r="V536" s="77"/>
      <c r="W536" s="77"/>
      <c r="X536" s="77"/>
      <c r="Y536">
        <v>1</v>
      </c>
    </row>
    <row r="537" spans="1:25" x14ac:dyDescent="0.25">
      <c r="A537" s="62" t="s">
        <v>301</v>
      </c>
      <c r="B537" s="62" t="s">
        <v>267</v>
      </c>
      <c r="C537" s="63" t="s">
        <v>2222</v>
      </c>
      <c r="D537" s="64">
        <v>1</v>
      </c>
      <c r="E537" s="65"/>
      <c r="F537" s="66">
        <v>100</v>
      </c>
      <c r="G537" s="63"/>
      <c r="H537" s="67"/>
      <c r="I537" s="68"/>
      <c r="J537" s="68"/>
      <c r="K537" s="34" t="s">
        <v>65</v>
      </c>
      <c r="L537" s="75">
        <v>537</v>
      </c>
      <c r="M537" s="75"/>
      <c r="N537" s="70"/>
      <c r="O537" s="77" t="s">
        <v>382</v>
      </c>
      <c r="P537" s="79">
        <v>41124.25708333333</v>
      </c>
      <c r="Q537" s="77"/>
      <c r="R537" s="77"/>
      <c r="S537" s="77"/>
      <c r="T537" s="77"/>
      <c r="U537" s="77"/>
      <c r="V537" s="77"/>
      <c r="W537" s="77"/>
      <c r="X537" s="77"/>
      <c r="Y537">
        <v>1</v>
      </c>
    </row>
    <row r="538" spans="1:25" x14ac:dyDescent="0.25">
      <c r="A538" s="62" t="s">
        <v>324</v>
      </c>
      <c r="B538" s="62" t="s">
        <v>267</v>
      </c>
      <c r="C538" s="63" t="s">
        <v>2222</v>
      </c>
      <c r="D538" s="64">
        <v>1</v>
      </c>
      <c r="E538" s="65"/>
      <c r="F538" s="66">
        <v>100</v>
      </c>
      <c r="G538" s="63"/>
      <c r="H538" s="67"/>
      <c r="I538" s="68"/>
      <c r="J538" s="68"/>
      <c r="K538" s="34" t="s">
        <v>65</v>
      </c>
      <c r="L538" s="75">
        <v>538</v>
      </c>
      <c r="M538" s="75"/>
      <c r="N538" s="70"/>
      <c r="O538" s="77" t="s">
        <v>382</v>
      </c>
      <c r="P538" s="79">
        <v>41124.25708333333</v>
      </c>
      <c r="Q538" s="77"/>
      <c r="R538" s="77"/>
      <c r="S538" s="77"/>
      <c r="T538" s="77"/>
      <c r="U538" s="77"/>
      <c r="V538" s="77"/>
      <c r="W538" s="77"/>
      <c r="X538" s="77"/>
      <c r="Y538">
        <v>1</v>
      </c>
    </row>
    <row r="539" spans="1:25" x14ac:dyDescent="0.25">
      <c r="A539" s="62" t="s">
        <v>332</v>
      </c>
      <c r="B539" s="62" t="s">
        <v>267</v>
      </c>
      <c r="C539" s="63" t="s">
        <v>2222</v>
      </c>
      <c r="D539" s="64">
        <v>1</v>
      </c>
      <c r="E539" s="65"/>
      <c r="F539" s="66">
        <v>100</v>
      </c>
      <c r="G539" s="63"/>
      <c r="H539" s="67"/>
      <c r="I539" s="68"/>
      <c r="J539" s="68"/>
      <c r="K539" s="34" t="s">
        <v>65</v>
      </c>
      <c r="L539" s="75">
        <v>539</v>
      </c>
      <c r="M539" s="75"/>
      <c r="N539" s="70"/>
      <c r="O539" s="77" t="s">
        <v>382</v>
      </c>
      <c r="P539" s="79">
        <v>41124.25708333333</v>
      </c>
      <c r="Q539" s="77"/>
      <c r="R539" s="77"/>
      <c r="S539" s="77"/>
      <c r="T539" s="77"/>
      <c r="U539" s="77"/>
      <c r="V539" s="77"/>
      <c r="W539" s="77"/>
      <c r="X539" s="77"/>
      <c r="Y539">
        <v>1</v>
      </c>
    </row>
    <row r="540" spans="1:25" x14ac:dyDescent="0.25">
      <c r="A540" s="62" t="s">
        <v>276</v>
      </c>
      <c r="B540" s="62" t="s">
        <v>366</v>
      </c>
      <c r="C540" s="63" t="s">
        <v>2221</v>
      </c>
      <c r="D540" s="64">
        <v>1</v>
      </c>
      <c r="E540" s="65"/>
      <c r="F540" s="66">
        <v>100</v>
      </c>
      <c r="G540" s="63"/>
      <c r="H540" s="67"/>
      <c r="I540" s="68"/>
      <c r="J540" s="68"/>
      <c r="K540" s="34" t="s">
        <v>64</v>
      </c>
      <c r="L540" s="75">
        <v>540</v>
      </c>
      <c r="M540" s="75"/>
      <c r="N540" s="70"/>
      <c r="O540" s="77" t="s">
        <v>381</v>
      </c>
      <c r="P540" s="79">
        <v>41123.901030092595</v>
      </c>
      <c r="Q540" s="77" t="s">
        <v>517</v>
      </c>
      <c r="R540" s="77"/>
      <c r="S540" s="77" t="s">
        <v>639</v>
      </c>
      <c r="T540" s="79">
        <v>41123.901030092595</v>
      </c>
      <c r="U540" s="81" t="s">
        <v>829</v>
      </c>
      <c r="V540" s="77"/>
      <c r="W540" s="77"/>
      <c r="X540" s="84" t="s">
        <v>1126</v>
      </c>
      <c r="Y540" s="82">
        <v>1</v>
      </c>
    </row>
    <row r="541" spans="1:25" x14ac:dyDescent="0.25">
      <c r="A541" s="62" t="s">
        <v>295</v>
      </c>
      <c r="B541" s="62" t="s">
        <v>276</v>
      </c>
      <c r="C541" s="63" t="s">
        <v>2222</v>
      </c>
      <c r="D541" s="64">
        <v>1</v>
      </c>
      <c r="E541" s="65"/>
      <c r="F541" s="66">
        <v>100</v>
      </c>
      <c r="G541" s="63"/>
      <c r="H541" s="67"/>
      <c r="I541" s="68"/>
      <c r="J541" s="68"/>
      <c r="K541" s="34" t="s">
        <v>65</v>
      </c>
      <c r="L541" s="75">
        <v>541</v>
      </c>
      <c r="M541" s="75"/>
      <c r="N541" s="70"/>
      <c r="O541" s="77" t="s">
        <v>382</v>
      </c>
      <c r="P541" s="79">
        <v>41124.25708333333</v>
      </c>
      <c r="Q541" s="77"/>
      <c r="R541" s="77"/>
      <c r="S541" s="77"/>
      <c r="T541" s="77"/>
      <c r="U541" s="77"/>
      <c r="V541" s="77"/>
      <c r="W541" s="77"/>
      <c r="X541" s="77"/>
      <c r="Y541">
        <v>1</v>
      </c>
    </row>
    <row r="542" spans="1:25" x14ac:dyDescent="0.25">
      <c r="A542" s="62" t="s">
        <v>276</v>
      </c>
      <c r="B542" s="62" t="s">
        <v>246</v>
      </c>
      <c r="C542" s="63" t="s">
        <v>2222</v>
      </c>
      <c r="D542" s="64">
        <v>1</v>
      </c>
      <c r="E542" s="65"/>
      <c r="F542" s="66">
        <v>100</v>
      </c>
      <c r="G542" s="63"/>
      <c r="H542" s="67"/>
      <c r="I542" s="68"/>
      <c r="J542" s="68"/>
      <c r="K542" s="34" t="s">
        <v>64</v>
      </c>
      <c r="L542" s="75">
        <v>542</v>
      </c>
      <c r="M542" s="75"/>
      <c r="N542" s="70"/>
      <c r="O542" s="77" t="s">
        <v>382</v>
      </c>
      <c r="P542" s="79">
        <v>41124.25708333333</v>
      </c>
      <c r="Q542" s="77"/>
      <c r="R542" s="77"/>
      <c r="S542" s="77"/>
      <c r="T542" s="77"/>
      <c r="U542" s="77"/>
      <c r="V542" s="77"/>
      <c r="W542" s="77"/>
      <c r="X542" s="77"/>
      <c r="Y542">
        <v>1</v>
      </c>
    </row>
    <row r="543" spans="1:25" x14ac:dyDescent="0.25">
      <c r="A543" s="62" t="s">
        <v>276</v>
      </c>
      <c r="B543" s="62" t="s">
        <v>332</v>
      </c>
      <c r="C543" s="63" t="s">
        <v>2222</v>
      </c>
      <c r="D543" s="64">
        <v>1</v>
      </c>
      <c r="E543" s="65"/>
      <c r="F543" s="66">
        <v>100</v>
      </c>
      <c r="G543" s="63"/>
      <c r="H543" s="67"/>
      <c r="I543" s="68"/>
      <c r="J543" s="68"/>
      <c r="K543" s="34" t="s">
        <v>65</v>
      </c>
      <c r="L543" s="75">
        <v>543</v>
      </c>
      <c r="M543" s="75"/>
      <c r="N543" s="70"/>
      <c r="O543" s="77" t="s">
        <v>382</v>
      </c>
      <c r="P543" s="79">
        <v>41124.25708333333</v>
      </c>
      <c r="Q543" s="77"/>
      <c r="R543" s="77"/>
      <c r="S543" s="77"/>
      <c r="T543" s="77"/>
      <c r="U543" s="77"/>
      <c r="V543" s="77"/>
      <c r="W543" s="77"/>
      <c r="X543" s="77"/>
      <c r="Y543">
        <v>1</v>
      </c>
    </row>
    <row r="544" spans="1:25" x14ac:dyDescent="0.25">
      <c r="A544" s="62" t="s">
        <v>276</v>
      </c>
      <c r="B544" s="62" t="s">
        <v>301</v>
      </c>
      <c r="C544" s="63" t="s">
        <v>2222</v>
      </c>
      <c r="D544" s="64">
        <v>1</v>
      </c>
      <c r="E544" s="65"/>
      <c r="F544" s="66">
        <v>100</v>
      </c>
      <c r="G544" s="63"/>
      <c r="H544" s="67"/>
      <c r="I544" s="68"/>
      <c r="J544" s="68"/>
      <c r="K544" s="34" t="s">
        <v>65</v>
      </c>
      <c r="L544" s="75">
        <v>544</v>
      </c>
      <c r="M544" s="75"/>
      <c r="N544" s="70"/>
      <c r="O544" s="77" t="s">
        <v>382</v>
      </c>
      <c r="P544" s="79">
        <v>41124.25708333333</v>
      </c>
      <c r="Q544" s="77"/>
      <c r="R544" s="77"/>
      <c r="S544" s="77"/>
      <c r="T544" s="77"/>
      <c r="U544" s="77"/>
      <c r="V544" s="77"/>
      <c r="W544" s="77"/>
      <c r="X544" s="77"/>
      <c r="Y544">
        <v>1</v>
      </c>
    </row>
    <row r="545" spans="1:25" x14ac:dyDescent="0.25">
      <c r="A545" s="62" t="s">
        <v>276</v>
      </c>
      <c r="B545" s="62" t="s">
        <v>295</v>
      </c>
      <c r="C545" s="63" t="s">
        <v>2222</v>
      </c>
      <c r="D545" s="64">
        <v>1</v>
      </c>
      <c r="E545" s="65"/>
      <c r="F545" s="66">
        <v>100</v>
      </c>
      <c r="G545" s="63"/>
      <c r="H545" s="67"/>
      <c r="I545" s="68"/>
      <c r="J545" s="68"/>
      <c r="K545" s="34" t="s">
        <v>65</v>
      </c>
      <c r="L545" s="75">
        <v>545</v>
      </c>
      <c r="M545" s="75"/>
      <c r="N545" s="70"/>
      <c r="O545" s="77" t="s">
        <v>382</v>
      </c>
      <c r="P545" s="79">
        <v>41124.25708333333</v>
      </c>
      <c r="Q545" s="77"/>
      <c r="R545" s="77"/>
      <c r="S545" s="77"/>
      <c r="T545" s="77"/>
      <c r="U545" s="77"/>
      <c r="V545" s="77"/>
      <c r="W545" s="77"/>
      <c r="X545" s="77"/>
      <c r="Y545">
        <v>1</v>
      </c>
    </row>
    <row r="546" spans="1:25" x14ac:dyDescent="0.25">
      <c r="A546" s="62" t="s">
        <v>276</v>
      </c>
      <c r="B546" s="62" t="s">
        <v>286</v>
      </c>
      <c r="C546" s="63" t="s">
        <v>2222</v>
      </c>
      <c r="D546" s="64">
        <v>1</v>
      </c>
      <c r="E546" s="65"/>
      <c r="F546" s="66">
        <v>100</v>
      </c>
      <c r="G546" s="63"/>
      <c r="H546" s="67"/>
      <c r="I546" s="68"/>
      <c r="J546" s="68"/>
      <c r="K546" s="34" t="s">
        <v>64</v>
      </c>
      <c r="L546" s="75">
        <v>546</v>
      </c>
      <c r="M546" s="75"/>
      <c r="N546" s="70"/>
      <c r="O546" s="77" t="s">
        <v>382</v>
      </c>
      <c r="P546" s="79">
        <v>41124.25708333333</v>
      </c>
      <c r="Q546" s="77"/>
      <c r="R546" s="77"/>
      <c r="S546" s="77"/>
      <c r="T546" s="77"/>
      <c r="U546" s="77"/>
      <c r="V546" s="77"/>
      <c r="W546" s="77"/>
      <c r="X546" s="77"/>
      <c r="Y546">
        <v>1</v>
      </c>
    </row>
    <row r="547" spans="1:25" x14ac:dyDescent="0.25">
      <c r="A547" s="62" t="s">
        <v>301</v>
      </c>
      <c r="B547" s="62" t="s">
        <v>276</v>
      </c>
      <c r="C547" s="63" t="s">
        <v>2222</v>
      </c>
      <c r="D547" s="64">
        <v>1</v>
      </c>
      <c r="E547" s="65"/>
      <c r="F547" s="66">
        <v>100</v>
      </c>
      <c r="G547" s="63"/>
      <c r="H547" s="67"/>
      <c r="I547" s="68"/>
      <c r="J547" s="68"/>
      <c r="K547" s="34" t="s">
        <v>65</v>
      </c>
      <c r="L547" s="75">
        <v>547</v>
      </c>
      <c r="M547" s="75"/>
      <c r="N547" s="70"/>
      <c r="O547" s="77" t="s">
        <v>382</v>
      </c>
      <c r="P547" s="79">
        <v>41124.25708333333</v>
      </c>
      <c r="Q547" s="77"/>
      <c r="R547" s="77"/>
      <c r="S547" s="77"/>
      <c r="T547" s="77"/>
      <c r="U547" s="77"/>
      <c r="V547" s="77"/>
      <c r="W547" s="77"/>
      <c r="X547" s="77"/>
      <c r="Y547">
        <v>1</v>
      </c>
    </row>
    <row r="548" spans="1:25" x14ac:dyDescent="0.25">
      <c r="A548" s="62" t="s">
        <v>332</v>
      </c>
      <c r="B548" s="62" t="s">
        <v>276</v>
      </c>
      <c r="C548" s="63" t="s">
        <v>2222</v>
      </c>
      <c r="D548" s="64">
        <v>1</v>
      </c>
      <c r="E548" s="65"/>
      <c r="F548" s="66">
        <v>100</v>
      </c>
      <c r="G548" s="63"/>
      <c r="H548" s="67"/>
      <c r="I548" s="68"/>
      <c r="J548" s="68"/>
      <c r="K548" s="34" t="s">
        <v>65</v>
      </c>
      <c r="L548" s="75">
        <v>548</v>
      </c>
      <c r="M548" s="75"/>
      <c r="N548" s="70"/>
      <c r="O548" s="77" t="s">
        <v>382</v>
      </c>
      <c r="P548" s="79">
        <v>41124.25708333333</v>
      </c>
      <c r="Q548" s="77"/>
      <c r="R548" s="77"/>
      <c r="S548" s="77"/>
      <c r="T548" s="77"/>
      <c r="U548" s="77"/>
      <c r="V548" s="77"/>
      <c r="W548" s="77"/>
      <c r="X548" s="77"/>
      <c r="Y548">
        <v>1</v>
      </c>
    </row>
    <row r="549" spans="1:25" x14ac:dyDescent="0.25">
      <c r="A549" s="62" t="s">
        <v>297</v>
      </c>
      <c r="B549" s="62" t="s">
        <v>297</v>
      </c>
      <c r="C549" s="63" t="s">
        <v>2219</v>
      </c>
      <c r="D549" s="64">
        <v>1</v>
      </c>
      <c r="E549" s="65"/>
      <c r="F549" s="66">
        <v>100</v>
      </c>
      <c r="G549" s="63"/>
      <c r="H549" s="67"/>
      <c r="I549" s="68"/>
      <c r="J549" s="68"/>
      <c r="K549" s="34" t="s">
        <v>64</v>
      </c>
      <c r="L549" s="75">
        <v>549</v>
      </c>
      <c r="M549" s="75"/>
      <c r="N549" s="70"/>
      <c r="O549" s="77" t="s">
        <v>180</v>
      </c>
      <c r="P549" s="79">
        <v>41123.871770833335</v>
      </c>
      <c r="Q549" s="77" t="s">
        <v>508</v>
      </c>
      <c r="R549" s="77"/>
      <c r="S549" s="77"/>
      <c r="T549" s="79">
        <v>41123.871770833335</v>
      </c>
      <c r="U549" s="81" t="s">
        <v>830</v>
      </c>
      <c r="V549" s="77"/>
      <c r="W549" s="77"/>
      <c r="X549" s="84" t="s">
        <v>1127</v>
      </c>
      <c r="Y549" s="82">
        <v>1</v>
      </c>
    </row>
    <row r="550" spans="1:25" x14ac:dyDescent="0.25">
      <c r="A550" s="62" t="s">
        <v>300</v>
      </c>
      <c r="B550" s="62" t="s">
        <v>297</v>
      </c>
      <c r="C550" s="63" t="s">
        <v>2222</v>
      </c>
      <c r="D550" s="64">
        <v>1</v>
      </c>
      <c r="E550" s="65"/>
      <c r="F550" s="66">
        <v>100</v>
      </c>
      <c r="G550" s="63"/>
      <c r="H550" s="67"/>
      <c r="I550" s="68"/>
      <c r="J550" s="68"/>
      <c r="K550" s="34" t="s">
        <v>65</v>
      </c>
      <c r="L550" s="75">
        <v>550</v>
      </c>
      <c r="M550" s="75"/>
      <c r="N550" s="70"/>
      <c r="O550" s="77" t="s">
        <v>382</v>
      </c>
      <c r="P550" s="79">
        <v>41124.25708333333</v>
      </c>
      <c r="Q550" s="77"/>
      <c r="R550" s="77"/>
      <c r="S550" s="77"/>
      <c r="T550" s="77"/>
      <c r="U550" s="77"/>
      <c r="V550" s="77"/>
      <c r="W550" s="77"/>
      <c r="X550" s="77"/>
      <c r="Y550">
        <v>1</v>
      </c>
    </row>
    <row r="551" spans="1:25" x14ac:dyDescent="0.25">
      <c r="A551" s="62" t="s">
        <v>297</v>
      </c>
      <c r="B551" s="62" t="s">
        <v>300</v>
      </c>
      <c r="C551" s="63" t="s">
        <v>2222</v>
      </c>
      <c r="D551" s="64">
        <v>1</v>
      </c>
      <c r="E551" s="65"/>
      <c r="F551" s="66">
        <v>100</v>
      </c>
      <c r="G551" s="63"/>
      <c r="H551" s="67"/>
      <c r="I551" s="68"/>
      <c r="J551" s="68"/>
      <c r="K551" s="34" t="s">
        <v>65</v>
      </c>
      <c r="L551" s="75">
        <v>551</v>
      </c>
      <c r="M551" s="75"/>
      <c r="N551" s="70"/>
      <c r="O551" s="77" t="s">
        <v>382</v>
      </c>
      <c r="P551" s="79">
        <v>41124.25708333333</v>
      </c>
      <c r="Q551" s="77"/>
      <c r="R551" s="77"/>
      <c r="S551" s="77"/>
      <c r="T551" s="77"/>
      <c r="U551" s="77"/>
      <c r="V551" s="77"/>
      <c r="W551" s="77"/>
      <c r="X551" s="77"/>
      <c r="Y551">
        <v>1</v>
      </c>
    </row>
    <row r="552" spans="1:25" x14ac:dyDescent="0.25">
      <c r="A552" s="62" t="s">
        <v>297</v>
      </c>
      <c r="B552" s="62" t="s">
        <v>246</v>
      </c>
      <c r="C552" s="63" t="s">
        <v>2222</v>
      </c>
      <c r="D552" s="64">
        <v>1</v>
      </c>
      <c r="E552" s="65"/>
      <c r="F552" s="66">
        <v>100</v>
      </c>
      <c r="G552" s="63"/>
      <c r="H552" s="67"/>
      <c r="I552" s="68"/>
      <c r="J552" s="68"/>
      <c r="K552" s="34" t="s">
        <v>64</v>
      </c>
      <c r="L552" s="75">
        <v>552</v>
      </c>
      <c r="M552" s="75"/>
      <c r="N552" s="70"/>
      <c r="O552" s="77" t="s">
        <v>382</v>
      </c>
      <c r="P552" s="79">
        <v>41124.25708333333</v>
      </c>
      <c r="Q552" s="77"/>
      <c r="R552" s="77"/>
      <c r="S552" s="77"/>
      <c r="T552" s="77"/>
      <c r="U552" s="77"/>
      <c r="V552" s="77"/>
      <c r="W552" s="77"/>
      <c r="X552" s="77"/>
      <c r="Y552">
        <v>1</v>
      </c>
    </row>
    <row r="553" spans="1:25" x14ac:dyDescent="0.25">
      <c r="A553" s="62" t="s">
        <v>297</v>
      </c>
      <c r="B553" s="62" t="s">
        <v>286</v>
      </c>
      <c r="C553" s="63" t="s">
        <v>2222</v>
      </c>
      <c r="D553" s="64">
        <v>1</v>
      </c>
      <c r="E553" s="65"/>
      <c r="F553" s="66">
        <v>100</v>
      </c>
      <c r="G553" s="63"/>
      <c r="H553" s="67"/>
      <c r="I553" s="68"/>
      <c r="J553" s="68"/>
      <c r="K553" s="34" t="s">
        <v>64</v>
      </c>
      <c r="L553" s="75">
        <v>553</v>
      </c>
      <c r="M553" s="75"/>
      <c r="N553" s="70"/>
      <c r="O553" s="77" t="s">
        <v>382</v>
      </c>
      <c r="P553" s="79">
        <v>41124.25708333333</v>
      </c>
      <c r="Q553" s="77"/>
      <c r="R553" s="77"/>
      <c r="S553" s="77"/>
      <c r="T553" s="77"/>
      <c r="U553" s="77"/>
      <c r="V553" s="77"/>
      <c r="W553" s="77"/>
      <c r="X553" s="77"/>
      <c r="Y553">
        <v>1</v>
      </c>
    </row>
    <row r="554" spans="1:25" x14ac:dyDescent="0.25">
      <c r="A554" s="62" t="s">
        <v>297</v>
      </c>
      <c r="B554" s="62" t="s">
        <v>314</v>
      </c>
      <c r="C554" s="63" t="s">
        <v>2222</v>
      </c>
      <c r="D554" s="64">
        <v>1</v>
      </c>
      <c r="E554" s="65"/>
      <c r="F554" s="66">
        <v>100</v>
      </c>
      <c r="G554" s="63"/>
      <c r="H554" s="67"/>
      <c r="I554" s="68"/>
      <c r="J554" s="68"/>
      <c r="K554" s="34" t="s">
        <v>65</v>
      </c>
      <c r="L554" s="75">
        <v>554</v>
      </c>
      <c r="M554" s="75"/>
      <c r="N554" s="70"/>
      <c r="O554" s="77" t="s">
        <v>382</v>
      </c>
      <c r="P554" s="79">
        <v>41124.25708333333</v>
      </c>
      <c r="Q554" s="77"/>
      <c r="R554" s="77"/>
      <c r="S554" s="77"/>
      <c r="T554" s="77"/>
      <c r="U554" s="77"/>
      <c r="V554" s="77"/>
      <c r="W554" s="77"/>
      <c r="X554" s="77"/>
      <c r="Y554">
        <v>1</v>
      </c>
    </row>
    <row r="555" spans="1:25" x14ac:dyDescent="0.25">
      <c r="A555" s="62" t="s">
        <v>297</v>
      </c>
      <c r="B555" s="62" t="s">
        <v>306</v>
      </c>
      <c r="C555" s="63" t="s">
        <v>2222</v>
      </c>
      <c r="D555" s="64">
        <v>1</v>
      </c>
      <c r="E555" s="65"/>
      <c r="F555" s="66">
        <v>100</v>
      </c>
      <c r="G555" s="63"/>
      <c r="H555" s="67"/>
      <c r="I555" s="68"/>
      <c r="J555" s="68"/>
      <c r="K555" s="34" t="s">
        <v>64</v>
      </c>
      <c r="L555" s="75">
        <v>555</v>
      </c>
      <c r="M555" s="75"/>
      <c r="N555" s="70"/>
      <c r="O555" s="77" t="s">
        <v>382</v>
      </c>
      <c r="P555" s="79">
        <v>41124.25708333333</v>
      </c>
      <c r="Q555" s="77"/>
      <c r="R555" s="77"/>
      <c r="S555" s="77"/>
      <c r="T555" s="77"/>
      <c r="U555" s="77"/>
      <c r="V555" s="77"/>
      <c r="W555" s="77"/>
      <c r="X555" s="77"/>
      <c r="Y555">
        <v>1</v>
      </c>
    </row>
    <row r="556" spans="1:25" x14ac:dyDescent="0.25">
      <c r="A556" s="62" t="s">
        <v>297</v>
      </c>
      <c r="B556" s="62" t="s">
        <v>293</v>
      </c>
      <c r="C556" s="63" t="s">
        <v>2222</v>
      </c>
      <c r="D556" s="64">
        <v>1</v>
      </c>
      <c r="E556" s="65"/>
      <c r="F556" s="66">
        <v>100</v>
      </c>
      <c r="G556" s="63"/>
      <c r="H556" s="67"/>
      <c r="I556" s="68"/>
      <c r="J556" s="68"/>
      <c r="K556" s="34" t="s">
        <v>65</v>
      </c>
      <c r="L556" s="75">
        <v>556</v>
      </c>
      <c r="M556" s="75"/>
      <c r="N556" s="70"/>
      <c r="O556" s="77" t="s">
        <v>382</v>
      </c>
      <c r="P556" s="79">
        <v>41124.25708333333</v>
      </c>
      <c r="Q556" s="77"/>
      <c r="R556" s="77"/>
      <c r="S556" s="77"/>
      <c r="T556" s="77"/>
      <c r="U556" s="77"/>
      <c r="V556" s="77"/>
      <c r="W556" s="77"/>
      <c r="X556" s="77"/>
      <c r="Y556">
        <v>1</v>
      </c>
    </row>
    <row r="557" spans="1:25" x14ac:dyDescent="0.25">
      <c r="A557" s="62" t="s">
        <v>297</v>
      </c>
      <c r="B557" s="62" t="s">
        <v>332</v>
      </c>
      <c r="C557" s="63" t="s">
        <v>2222</v>
      </c>
      <c r="D557" s="64">
        <v>1</v>
      </c>
      <c r="E557" s="65"/>
      <c r="F557" s="66">
        <v>100</v>
      </c>
      <c r="G557" s="63"/>
      <c r="H557" s="67"/>
      <c r="I557" s="68"/>
      <c r="J557" s="68"/>
      <c r="K557" s="34" t="s">
        <v>65</v>
      </c>
      <c r="L557" s="75">
        <v>557</v>
      </c>
      <c r="M557" s="75"/>
      <c r="N557" s="70"/>
      <c r="O557" s="77" t="s">
        <v>382</v>
      </c>
      <c r="P557" s="79">
        <v>41124.25708333333</v>
      </c>
      <c r="Q557" s="77"/>
      <c r="R557" s="77"/>
      <c r="S557" s="77"/>
      <c r="T557" s="77"/>
      <c r="U557" s="77"/>
      <c r="V557" s="77"/>
      <c r="W557" s="77"/>
      <c r="X557" s="77"/>
      <c r="Y557">
        <v>1</v>
      </c>
    </row>
    <row r="558" spans="1:25" x14ac:dyDescent="0.25">
      <c r="A558" s="62" t="s">
        <v>297</v>
      </c>
      <c r="B558" s="62" t="s">
        <v>296</v>
      </c>
      <c r="C558" s="63" t="s">
        <v>2222</v>
      </c>
      <c r="D558" s="64">
        <v>1</v>
      </c>
      <c r="E558" s="65"/>
      <c r="F558" s="66">
        <v>100</v>
      </c>
      <c r="G558" s="63"/>
      <c r="H558" s="67"/>
      <c r="I558" s="68"/>
      <c r="J558" s="68"/>
      <c r="K558" s="34" t="s">
        <v>64</v>
      </c>
      <c r="L558" s="75">
        <v>558</v>
      </c>
      <c r="M558" s="75"/>
      <c r="N558" s="70"/>
      <c r="O558" s="77" t="s">
        <v>382</v>
      </c>
      <c r="P558" s="79">
        <v>41124.25708333333</v>
      </c>
      <c r="Q558" s="77"/>
      <c r="R558" s="77"/>
      <c r="S558" s="77"/>
      <c r="T558" s="77"/>
      <c r="U558" s="77"/>
      <c r="V558" s="77"/>
      <c r="W558" s="77"/>
      <c r="X558" s="77"/>
      <c r="Y558">
        <v>1</v>
      </c>
    </row>
    <row r="559" spans="1:25" x14ac:dyDescent="0.25">
      <c r="A559" s="62" t="s">
        <v>297</v>
      </c>
      <c r="B559" s="62" t="s">
        <v>324</v>
      </c>
      <c r="C559" s="63" t="s">
        <v>2222</v>
      </c>
      <c r="D559" s="64">
        <v>1</v>
      </c>
      <c r="E559" s="65"/>
      <c r="F559" s="66">
        <v>100</v>
      </c>
      <c r="G559" s="63"/>
      <c r="H559" s="67"/>
      <c r="I559" s="68"/>
      <c r="J559" s="68"/>
      <c r="K559" s="34" t="s">
        <v>65</v>
      </c>
      <c r="L559" s="75">
        <v>559</v>
      </c>
      <c r="M559" s="75"/>
      <c r="N559" s="70"/>
      <c r="O559" s="77" t="s">
        <v>382</v>
      </c>
      <c r="P559" s="79">
        <v>41124.25708333333</v>
      </c>
      <c r="Q559" s="77"/>
      <c r="R559" s="77"/>
      <c r="S559" s="77"/>
      <c r="T559" s="77"/>
      <c r="U559" s="77"/>
      <c r="V559" s="77"/>
      <c r="W559" s="77"/>
      <c r="X559" s="77"/>
      <c r="Y559">
        <v>1</v>
      </c>
    </row>
    <row r="560" spans="1:25" x14ac:dyDescent="0.25">
      <c r="A560" s="62" t="s">
        <v>293</v>
      </c>
      <c r="B560" s="62" t="s">
        <v>297</v>
      </c>
      <c r="C560" s="63" t="s">
        <v>2222</v>
      </c>
      <c r="D560" s="64">
        <v>1</v>
      </c>
      <c r="E560" s="65"/>
      <c r="F560" s="66">
        <v>100</v>
      </c>
      <c r="G560" s="63"/>
      <c r="H560" s="67"/>
      <c r="I560" s="68"/>
      <c r="J560" s="68"/>
      <c r="K560" s="34" t="s">
        <v>65</v>
      </c>
      <c r="L560" s="75">
        <v>560</v>
      </c>
      <c r="M560" s="75"/>
      <c r="N560" s="70"/>
      <c r="O560" s="77" t="s">
        <v>382</v>
      </c>
      <c r="P560" s="79">
        <v>41124.25708333333</v>
      </c>
      <c r="Q560" s="77"/>
      <c r="R560" s="77"/>
      <c r="S560" s="77"/>
      <c r="T560" s="77"/>
      <c r="U560" s="77"/>
      <c r="V560" s="77"/>
      <c r="W560" s="77"/>
      <c r="X560" s="77"/>
      <c r="Y560">
        <v>1</v>
      </c>
    </row>
    <row r="561" spans="1:25" x14ac:dyDescent="0.25">
      <c r="A561" s="62" t="s">
        <v>314</v>
      </c>
      <c r="B561" s="62" t="s">
        <v>297</v>
      </c>
      <c r="C561" s="63" t="s">
        <v>2222</v>
      </c>
      <c r="D561" s="64">
        <v>1</v>
      </c>
      <c r="E561" s="65"/>
      <c r="F561" s="66">
        <v>100</v>
      </c>
      <c r="G561" s="63"/>
      <c r="H561" s="67"/>
      <c r="I561" s="68"/>
      <c r="J561" s="68"/>
      <c r="K561" s="34" t="s">
        <v>65</v>
      </c>
      <c r="L561" s="75">
        <v>561</v>
      </c>
      <c r="M561" s="75"/>
      <c r="N561" s="70"/>
      <c r="O561" s="77" t="s">
        <v>382</v>
      </c>
      <c r="P561" s="79">
        <v>41124.25708333333</v>
      </c>
      <c r="Q561" s="77"/>
      <c r="R561" s="77"/>
      <c r="S561" s="77"/>
      <c r="T561" s="77"/>
      <c r="U561" s="77"/>
      <c r="V561" s="77"/>
      <c r="W561" s="77"/>
      <c r="X561" s="77"/>
      <c r="Y561">
        <v>1</v>
      </c>
    </row>
    <row r="562" spans="1:25" x14ac:dyDescent="0.25">
      <c r="A562" s="62" t="s">
        <v>324</v>
      </c>
      <c r="B562" s="62" t="s">
        <v>297</v>
      </c>
      <c r="C562" s="63" t="s">
        <v>2222</v>
      </c>
      <c r="D562" s="64">
        <v>1</v>
      </c>
      <c r="E562" s="65"/>
      <c r="F562" s="66">
        <v>100</v>
      </c>
      <c r="G562" s="63"/>
      <c r="H562" s="67"/>
      <c r="I562" s="68"/>
      <c r="J562" s="68"/>
      <c r="K562" s="34" t="s">
        <v>65</v>
      </c>
      <c r="L562" s="75">
        <v>562</v>
      </c>
      <c r="M562" s="75"/>
      <c r="N562" s="70"/>
      <c r="O562" s="77" t="s">
        <v>382</v>
      </c>
      <c r="P562" s="79">
        <v>41124.25708333333</v>
      </c>
      <c r="Q562" s="77"/>
      <c r="R562" s="77"/>
      <c r="S562" s="77"/>
      <c r="T562" s="77"/>
      <c r="U562" s="77"/>
      <c r="V562" s="77"/>
      <c r="W562" s="77"/>
      <c r="X562" s="77"/>
      <c r="Y562">
        <v>1</v>
      </c>
    </row>
    <row r="563" spans="1:25" x14ac:dyDescent="0.25">
      <c r="A563" s="62" t="s">
        <v>332</v>
      </c>
      <c r="B563" s="62" t="s">
        <v>297</v>
      </c>
      <c r="C563" s="63" t="s">
        <v>2222</v>
      </c>
      <c r="D563" s="64">
        <v>1</v>
      </c>
      <c r="E563" s="65"/>
      <c r="F563" s="66">
        <v>100</v>
      </c>
      <c r="G563" s="63"/>
      <c r="H563" s="67"/>
      <c r="I563" s="68"/>
      <c r="J563" s="68"/>
      <c r="K563" s="34" t="s">
        <v>65</v>
      </c>
      <c r="L563" s="75">
        <v>563</v>
      </c>
      <c r="M563" s="75"/>
      <c r="N563" s="70"/>
      <c r="O563" s="77" t="s">
        <v>382</v>
      </c>
      <c r="P563" s="79">
        <v>41124.25708333333</v>
      </c>
      <c r="Q563" s="77"/>
      <c r="R563" s="77"/>
      <c r="S563" s="77"/>
      <c r="T563" s="77"/>
      <c r="U563" s="77"/>
      <c r="V563" s="77"/>
      <c r="W563" s="77"/>
      <c r="X563" s="77"/>
      <c r="Y563">
        <v>1</v>
      </c>
    </row>
    <row r="564" spans="1:25" x14ac:dyDescent="0.25">
      <c r="A564" s="62" t="s">
        <v>269</v>
      </c>
      <c r="B564" s="62" t="s">
        <v>269</v>
      </c>
      <c r="C564" s="63" t="s">
        <v>2219</v>
      </c>
      <c r="D564" s="64">
        <v>1</v>
      </c>
      <c r="E564" s="65"/>
      <c r="F564" s="66">
        <v>100</v>
      </c>
      <c r="G564" s="63"/>
      <c r="H564" s="67"/>
      <c r="I564" s="68"/>
      <c r="J564" s="68"/>
      <c r="K564" s="34" t="s">
        <v>64</v>
      </c>
      <c r="L564" s="75">
        <v>564</v>
      </c>
      <c r="M564" s="75"/>
      <c r="N564" s="70"/>
      <c r="O564" s="77" t="s">
        <v>180</v>
      </c>
      <c r="P564" s="79">
        <v>41123.844560185185</v>
      </c>
      <c r="Q564" s="77" t="s">
        <v>508</v>
      </c>
      <c r="R564" s="77"/>
      <c r="S564" s="77"/>
      <c r="T564" s="79">
        <v>41123.844560185185</v>
      </c>
      <c r="U564" s="81" t="s">
        <v>831</v>
      </c>
      <c r="V564" s="77"/>
      <c r="W564" s="77"/>
      <c r="X564" s="84" t="s">
        <v>1128</v>
      </c>
      <c r="Y564" s="82">
        <v>1</v>
      </c>
    </row>
    <row r="565" spans="1:25" x14ac:dyDescent="0.25">
      <c r="A565" s="62" t="s">
        <v>269</v>
      </c>
      <c r="B565" s="62" t="s">
        <v>368</v>
      </c>
      <c r="C565" s="63" t="s">
        <v>2222</v>
      </c>
      <c r="D565" s="64">
        <v>1</v>
      </c>
      <c r="E565" s="65"/>
      <c r="F565" s="66">
        <v>100</v>
      </c>
      <c r="G565" s="63"/>
      <c r="H565" s="67"/>
      <c r="I565" s="68"/>
      <c r="J565" s="68"/>
      <c r="K565" s="34" t="s">
        <v>64</v>
      </c>
      <c r="L565" s="75">
        <v>565</v>
      </c>
      <c r="M565" s="75"/>
      <c r="N565" s="70"/>
      <c r="O565" s="77" t="s">
        <v>382</v>
      </c>
      <c r="P565" s="79">
        <v>41124.25708333333</v>
      </c>
      <c r="Q565" s="77"/>
      <c r="R565" s="77"/>
      <c r="S565" s="77"/>
      <c r="T565" s="77"/>
      <c r="U565" s="77"/>
      <c r="V565" s="77"/>
      <c r="W565" s="77"/>
      <c r="X565" s="77"/>
      <c r="Y565">
        <v>1</v>
      </c>
    </row>
    <row r="566" spans="1:25" x14ac:dyDescent="0.25">
      <c r="A566" s="62" t="s">
        <v>269</v>
      </c>
      <c r="B566" s="62" t="s">
        <v>332</v>
      </c>
      <c r="C566" s="63" t="s">
        <v>2222</v>
      </c>
      <c r="D566" s="64">
        <v>1</v>
      </c>
      <c r="E566" s="65"/>
      <c r="F566" s="66">
        <v>100</v>
      </c>
      <c r="G566" s="63"/>
      <c r="H566" s="67"/>
      <c r="I566" s="68"/>
      <c r="J566" s="68"/>
      <c r="K566" s="34" t="s">
        <v>65</v>
      </c>
      <c r="L566" s="75">
        <v>566</v>
      </c>
      <c r="M566" s="75"/>
      <c r="N566" s="70"/>
      <c r="O566" s="77" t="s">
        <v>382</v>
      </c>
      <c r="P566" s="79">
        <v>41124.25708333333</v>
      </c>
      <c r="Q566" s="77"/>
      <c r="R566" s="77"/>
      <c r="S566" s="77"/>
      <c r="T566" s="77"/>
      <c r="U566" s="77"/>
      <c r="V566" s="77"/>
      <c r="W566" s="77"/>
      <c r="X566" s="77"/>
      <c r="Y566">
        <v>1</v>
      </c>
    </row>
    <row r="567" spans="1:25" x14ac:dyDescent="0.25">
      <c r="A567" s="62" t="s">
        <v>332</v>
      </c>
      <c r="B567" s="62" t="s">
        <v>269</v>
      </c>
      <c r="C567" s="63" t="s">
        <v>2222</v>
      </c>
      <c r="D567" s="64">
        <v>1</v>
      </c>
      <c r="E567" s="65"/>
      <c r="F567" s="66">
        <v>100</v>
      </c>
      <c r="G567" s="63"/>
      <c r="H567" s="67"/>
      <c r="I567" s="68"/>
      <c r="J567" s="68"/>
      <c r="K567" s="34" t="s">
        <v>65</v>
      </c>
      <c r="L567" s="75">
        <v>567</v>
      </c>
      <c r="M567" s="75"/>
      <c r="N567" s="70"/>
      <c r="O567" s="77" t="s">
        <v>382</v>
      </c>
      <c r="P567" s="79">
        <v>41124.25708333333</v>
      </c>
      <c r="Q567" s="77"/>
      <c r="R567" s="77"/>
      <c r="S567" s="77"/>
      <c r="T567" s="77"/>
      <c r="U567" s="77"/>
      <c r="V567" s="77"/>
      <c r="W567" s="77"/>
      <c r="X567" s="77"/>
      <c r="Y567">
        <v>1</v>
      </c>
    </row>
    <row r="568" spans="1:25" x14ac:dyDescent="0.25">
      <c r="A568" s="62" t="s">
        <v>324</v>
      </c>
      <c r="B568" s="62" t="s">
        <v>324</v>
      </c>
      <c r="C568" s="63" t="s">
        <v>2219</v>
      </c>
      <c r="D568" s="64">
        <v>1</v>
      </c>
      <c r="E568" s="65"/>
      <c r="F568" s="66">
        <v>100</v>
      </c>
      <c r="G568" s="63"/>
      <c r="H568" s="67"/>
      <c r="I568" s="68"/>
      <c r="J568" s="68"/>
      <c r="K568" s="34" t="s">
        <v>64</v>
      </c>
      <c r="L568" s="75">
        <v>568</v>
      </c>
      <c r="M568" s="75"/>
      <c r="N568" s="70"/>
      <c r="O568" s="77" t="s">
        <v>180</v>
      </c>
      <c r="P568" s="79">
        <v>41124.037164351852</v>
      </c>
      <c r="Q568" s="77" t="s">
        <v>518</v>
      </c>
      <c r="R568" s="81" t="s">
        <v>623</v>
      </c>
      <c r="S568" s="77" t="s">
        <v>639</v>
      </c>
      <c r="T568" s="79">
        <v>41124.037164351852</v>
      </c>
      <c r="U568" s="81" t="s">
        <v>832</v>
      </c>
      <c r="V568" s="77"/>
      <c r="W568" s="77"/>
      <c r="X568" s="84" t="s">
        <v>1129</v>
      </c>
      <c r="Y568" s="82">
        <v>1</v>
      </c>
    </row>
    <row r="569" spans="1:25" x14ac:dyDescent="0.25">
      <c r="A569" s="62" t="s">
        <v>300</v>
      </c>
      <c r="B569" s="62" t="s">
        <v>324</v>
      </c>
      <c r="C569" s="63" t="s">
        <v>2222</v>
      </c>
      <c r="D569" s="64">
        <v>1</v>
      </c>
      <c r="E569" s="65"/>
      <c r="F569" s="66">
        <v>100</v>
      </c>
      <c r="G569" s="63"/>
      <c r="H569" s="67"/>
      <c r="I569" s="68"/>
      <c r="J569" s="68"/>
      <c r="K569" s="34" t="s">
        <v>64</v>
      </c>
      <c r="L569" s="75">
        <v>569</v>
      </c>
      <c r="M569" s="75"/>
      <c r="N569" s="70"/>
      <c r="O569" s="77" t="s">
        <v>382</v>
      </c>
      <c r="P569" s="79">
        <v>41124.25708333333</v>
      </c>
      <c r="Q569" s="77"/>
      <c r="R569" s="77"/>
      <c r="S569" s="77"/>
      <c r="T569" s="77"/>
      <c r="U569" s="77"/>
      <c r="V569" s="77"/>
      <c r="W569" s="77"/>
      <c r="X569" s="77"/>
      <c r="Y569">
        <v>1</v>
      </c>
    </row>
    <row r="570" spans="1:25" x14ac:dyDescent="0.25">
      <c r="A570" s="62" t="s">
        <v>275</v>
      </c>
      <c r="B570" s="62" t="s">
        <v>324</v>
      </c>
      <c r="C570" s="63" t="s">
        <v>2222</v>
      </c>
      <c r="D570" s="64">
        <v>1</v>
      </c>
      <c r="E570" s="65"/>
      <c r="F570" s="66">
        <v>100</v>
      </c>
      <c r="G570" s="63"/>
      <c r="H570" s="67"/>
      <c r="I570" s="68"/>
      <c r="J570" s="68"/>
      <c r="K570" s="34" t="s">
        <v>64</v>
      </c>
      <c r="L570" s="75">
        <v>570</v>
      </c>
      <c r="M570" s="75"/>
      <c r="N570" s="70"/>
      <c r="O570" s="77" t="s">
        <v>382</v>
      </c>
      <c r="P570" s="79">
        <v>41124.25708333333</v>
      </c>
      <c r="Q570" s="77"/>
      <c r="R570" s="77"/>
      <c r="S570" s="77"/>
      <c r="T570" s="77"/>
      <c r="U570" s="77"/>
      <c r="V570" s="77"/>
      <c r="W570" s="77"/>
      <c r="X570" s="77"/>
      <c r="Y570">
        <v>1</v>
      </c>
    </row>
    <row r="571" spans="1:25" x14ac:dyDescent="0.25">
      <c r="A571" s="62" t="s">
        <v>319</v>
      </c>
      <c r="B571" s="62" t="s">
        <v>324</v>
      </c>
      <c r="C571" s="63" t="s">
        <v>2222</v>
      </c>
      <c r="D571" s="64">
        <v>1</v>
      </c>
      <c r="E571" s="65"/>
      <c r="F571" s="66">
        <v>100</v>
      </c>
      <c r="G571" s="63"/>
      <c r="H571" s="67"/>
      <c r="I571" s="68"/>
      <c r="J571" s="68"/>
      <c r="K571" s="34" t="s">
        <v>64</v>
      </c>
      <c r="L571" s="75">
        <v>571</v>
      </c>
      <c r="M571" s="75"/>
      <c r="N571" s="70"/>
      <c r="O571" s="77" t="s">
        <v>382</v>
      </c>
      <c r="P571" s="79">
        <v>41124.25708333333</v>
      </c>
      <c r="Q571" s="77"/>
      <c r="R571" s="77"/>
      <c r="S571" s="77"/>
      <c r="T571" s="77"/>
      <c r="U571" s="77"/>
      <c r="V571" s="77"/>
      <c r="W571" s="77"/>
      <c r="X571" s="77"/>
      <c r="Y571">
        <v>1</v>
      </c>
    </row>
    <row r="572" spans="1:25" x14ac:dyDescent="0.25">
      <c r="A572" s="62" t="s">
        <v>324</v>
      </c>
      <c r="B572" s="62" t="s">
        <v>246</v>
      </c>
      <c r="C572" s="63" t="s">
        <v>2222</v>
      </c>
      <c r="D572" s="64">
        <v>1</v>
      </c>
      <c r="E572" s="65"/>
      <c r="F572" s="66">
        <v>100</v>
      </c>
      <c r="G572" s="63"/>
      <c r="H572" s="67"/>
      <c r="I572" s="68"/>
      <c r="J572" s="68"/>
      <c r="K572" s="34" t="s">
        <v>64</v>
      </c>
      <c r="L572" s="75">
        <v>572</v>
      </c>
      <c r="M572" s="75"/>
      <c r="N572" s="70"/>
      <c r="O572" s="77" t="s">
        <v>382</v>
      </c>
      <c r="P572" s="79">
        <v>41124.25708333333</v>
      </c>
      <c r="Q572" s="77"/>
      <c r="R572" s="77"/>
      <c r="S572" s="77"/>
      <c r="T572" s="77"/>
      <c r="U572" s="77"/>
      <c r="V572" s="77"/>
      <c r="W572" s="77"/>
      <c r="X572" s="77"/>
      <c r="Y572">
        <v>1</v>
      </c>
    </row>
    <row r="573" spans="1:25" x14ac:dyDescent="0.25">
      <c r="A573" s="62" t="s">
        <v>334</v>
      </c>
      <c r="B573" s="62" t="s">
        <v>324</v>
      </c>
      <c r="C573" s="63" t="s">
        <v>2222</v>
      </c>
      <c r="D573" s="64">
        <v>1</v>
      </c>
      <c r="E573" s="65"/>
      <c r="F573" s="66">
        <v>100</v>
      </c>
      <c r="G573" s="63"/>
      <c r="H573" s="67"/>
      <c r="I573" s="68"/>
      <c r="J573" s="68"/>
      <c r="K573" s="34" t="s">
        <v>64</v>
      </c>
      <c r="L573" s="75">
        <v>573</v>
      </c>
      <c r="M573" s="75"/>
      <c r="N573" s="70"/>
      <c r="O573" s="77" t="s">
        <v>382</v>
      </c>
      <c r="P573" s="79">
        <v>41124.25708333333</v>
      </c>
      <c r="Q573" s="77"/>
      <c r="R573" s="77"/>
      <c r="S573" s="77"/>
      <c r="T573" s="77"/>
      <c r="U573" s="77"/>
      <c r="V573" s="77"/>
      <c r="W573" s="77"/>
      <c r="X573" s="77"/>
      <c r="Y573">
        <v>1</v>
      </c>
    </row>
    <row r="574" spans="1:25" x14ac:dyDescent="0.25">
      <c r="A574" s="62" t="s">
        <v>333</v>
      </c>
      <c r="B574" s="62" t="s">
        <v>333</v>
      </c>
      <c r="C574" s="63" t="s">
        <v>2219</v>
      </c>
      <c r="D574" s="64">
        <v>1.5</v>
      </c>
      <c r="E574" s="65"/>
      <c r="F574" s="66">
        <v>97.777777777777771</v>
      </c>
      <c r="G574" s="63"/>
      <c r="H574" s="67"/>
      <c r="I574" s="68"/>
      <c r="J574" s="68"/>
      <c r="K574" s="34" t="s">
        <v>64</v>
      </c>
      <c r="L574" s="75">
        <v>574</v>
      </c>
      <c r="M574" s="75"/>
      <c r="N574" s="70"/>
      <c r="O574" s="77" t="s">
        <v>180</v>
      </c>
      <c r="P574" s="79">
        <v>41123.720081018517</v>
      </c>
      <c r="Q574" s="77" t="s">
        <v>519</v>
      </c>
      <c r="R574" s="77"/>
      <c r="S574" s="77"/>
      <c r="T574" s="79">
        <v>41123.720081018517</v>
      </c>
      <c r="U574" s="81" t="s">
        <v>833</v>
      </c>
      <c r="V574" s="77"/>
      <c r="W574" s="77"/>
      <c r="X574" s="84" t="s">
        <v>1130</v>
      </c>
      <c r="Y574" s="82">
        <v>2</v>
      </c>
    </row>
    <row r="575" spans="1:25" x14ac:dyDescent="0.25">
      <c r="A575" s="62" t="s">
        <v>333</v>
      </c>
      <c r="B575" s="62" t="s">
        <v>333</v>
      </c>
      <c r="C575" s="63" t="s">
        <v>2219</v>
      </c>
      <c r="D575" s="64">
        <v>1.5</v>
      </c>
      <c r="E575" s="65"/>
      <c r="F575" s="66">
        <v>97.777777777777771</v>
      </c>
      <c r="G575" s="63"/>
      <c r="H575" s="67"/>
      <c r="I575" s="68"/>
      <c r="J575" s="68"/>
      <c r="K575" s="34" t="s">
        <v>64</v>
      </c>
      <c r="L575" s="75">
        <v>575</v>
      </c>
      <c r="M575" s="75"/>
      <c r="N575" s="70"/>
      <c r="O575" s="77" t="s">
        <v>180</v>
      </c>
      <c r="P575" s="79">
        <v>41123.722291666665</v>
      </c>
      <c r="Q575" s="77" t="s">
        <v>520</v>
      </c>
      <c r="R575" s="77"/>
      <c r="S575" s="77"/>
      <c r="T575" s="79">
        <v>41123.722291666665</v>
      </c>
      <c r="U575" s="81" t="s">
        <v>834</v>
      </c>
      <c r="V575" s="77"/>
      <c r="W575" s="77"/>
      <c r="X575" s="84" t="s">
        <v>1131</v>
      </c>
      <c r="Y575" s="82">
        <v>2</v>
      </c>
    </row>
    <row r="576" spans="1:25" x14ac:dyDescent="0.25">
      <c r="A576" s="62" t="s">
        <v>333</v>
      </c>
      <c r="B576" s="62" t="s">
        <v>301</v>
      </c>
      <c r="C576" s="63" t="s">
        <v>2222</v>
      </c>
      <c r="D576" s="64">
        <v>1</v>
      </c>
      <c r="E576" s="65"/>
      <c r="F576" s="66">
        <v>100</v>
      </c>
      <c r="G576" s="63"/>
      <c r="H576" s="67"/>
      <c r="I576" s="68"/>
      <c r="J576" s="68"/>
      <c r="K576" s="34" t="s">
        <v>65</v>
      </c>
      <c r="L576" s="75">
        <v>576</v>
      </c>
      <c r="M576" s="75"/>
      <c r="N576" s="70"/>
      <c r="O576" s="77" t="s">
        <v>382</v>
      </c>
      <c r="P576" s="79">
        <v>41124.25708333333</v>
      </c>
      <c r="Q576" s="77"/>
      <c r="R576" s="77"/>
      <c r="S576" s="77"/>
      <c r="T576" s="77"/>
      <c r="U576" s="77"/>
      <c r="V576" s="77"/>
      <c r="W576" s="77"/>
      <c r="X576" s="77"/>
      <c r="Y576">
        <v>1</v>
      </c>
    </row>
    <row r="577" spans="1:25" x14ac:dyDescent="0.25">
      <c r="A577" s="62" t="s">
        <v>333</v>
      </c>
      <c r="B577" s="62" t="s">
        <v>296</v>
      </c>
      <c r="C577" s="63" t="s">
        <v>2222</v>
      </c>
      <c r="D577" s="64">
        <v>1</v>
      </c>
      <c r="E577" s="65"/>
      <c r="F577" s="66">
        <v>100</v>
      </c>
      <c r="G577" s="63"/>
      <c r="H577" s="67"/>
      <c r="I577" s="68"/>
      <c r="J577" s="68"/>
      <c r="K577" s="34" t="s">
        <v>65</v>
      </c>
      <c r="L577" s="75">
        <v>577</v>
      </c>
      <c r="M577" s="75"/>
      <c r="N577" s="70"/>
      <c r="O577" s="77" t="s">
        <v>382</v>
      </c>
      <c r="P577" s="79">
        <v>41124.25708333333</v>
      </c>
      <c r="Q577" s="77"/>
      <c r="R577" s="77"/>
      <c r="S577" s="77"/>
      <c r="T577" s="77"/>
      <c r="U577" s="77"/>
      <c r="V577" s="77"/>
      <c r="W577" s="77"/>
      <c r="X577" s="77"/>
      <c r="Y577">
        <v>1</v>
      </c>
    </row>
    <row r="578" spans="1:25" x14ac:dyDescent="0.25">
      <c r="A578" s="62" t="s">
        <v>296</v>
      </c>
      <c r="B578" s="62" t="s">
        <v>333</v>
      </c>
      <c r="C578" s="63" t="s">
        <v>2222</v>
      </c>
      <c r="D578" s="64">
        <v>1</v>
      </c>
      <c r="E578" s="65"/>
      <c r="F578" s="66">
        <v>100</v>
      </c>
      <c r="G578" s="63"/>
      <c r="H578" s="67"/>
      <c r="I578" s="68"/>
      <c r="J578" s="68"/>
      <c r="K578" s="34" t="s">
        <v>65</v>
      </c>
      <c r="L578" s="75">
        <v>578</v>
      </c>
      <c r="M578" s="75"/>
      <c r="N578" s="70"/>
      <c r="O578" s="77" t="s">
        <v>382</v>
      </c>
      <c r="P578" s="79">
        <v>41124.25708333333</v>
      </c>
      <c r="Q578" s="77"/>
      <c r="R578" s="77"/>
      <c r="S578" s="77"/>
      <c r="T578" s="77"/>
      <c r="U578" s="77"/>
      <c r="V578" s="77"/>
      <c r="W578" s="77"/>
      <c r="X578" s="77"/>
      <c r="Y578">
        <v>1</v>
      </c>
    </row>
    <row r="579" spans="1:25" x14ac:dyDescent="0.25">
      <c r="A579" s="62" t="s">
        <v>301</v>
      </c>
      <c r="B579" s="62" t="s">
        <v>333</v>
      </c>
      <c r="C579" s="63" t="s">
        <v>2222</v>
      </c>
      <c r="D579" s="64">
        <v>1</v>
      </c>
      <c r="E579" s="65"/>
      <c r="F579" s="66">
        <v>100</v>
      </c>
      <c r="G579" s="63"/>
      <c r="H579" s="67"/>
      <c r="I579" s="68"/>
      <c r="J579" s="68"/>
      <c r="K579" s="34" t="s">
        <v>65</v>
      </c>
      <c r="L579" s="75">
        <v>579</v>
      </c>
      <c r="M579" s="75"/>
      <c r="N579" s="70"/>
      <c r="O579" s="77" t="s">
        <v>382</v>
      </c>
      <c r="P579" s="79">
        <v>41124.25708333333</v>
      </c>
      <c r="Q579" s="77"/>
      <c r="R579" s="77"/>
      <c r="S579" s="77"/>
      <c r="T579" s="77"/>
      <c r="U579" s="77"/>
      <c r="V579" s="77"/>
      <c r="W579" s="77"/>
      <c r="X579" s="77"/>
      <c r="Y579">
        <v>1</v>
      </c>
    </row>
    <row r="580" spans="1:25" x14ac:dyDescent="0.25">
      <c r="A580" s="62" t="s">
        <v>334</v>
      </c>
      <c r="B580" s="62" t="s">
        <v>333</v>
      </c>
      <c r="C580" s="63" t="s">
        <v>2222</v>
      </c>
      <c r="D580" s="64">
        <v>1</v>
      </c>
      <c r="E580" s="65"/>
      <c r="F580" s="66">
        <v>100</v>
      </c>
      <c r="G580" s="63"/>
      <c r="H580" s="67"/>
      <c r="I580" s="68"/>
      <c r="J580" s="68"/>
      <c r="K580" s="34" t="s">
        <v>64</v>
      </c>
      <c r="L580" s="75">
        <v>580</v>
      </c>
      <c r="M580" s="75"/>
      <c r="N580" s="70"/>
      <c r="O580" s="77" t="s">
        <v>382</v>
      </c>
      <c r="P580" s="79">
        <v>41124.25708333333</v>
      </c>
      <c r="Q580" s="77"/>
      <c r="R580" s="77"/>
      <c r="S580" s="77"/>
      <c r="T580" s="77"/>
      <c r="U580" s="77"/>
      <c r="V580" s="77"/>
      <c r="W580" s="77"/>
      <c r="X580" s="77"/>
      <c r="Y580">
        <v>1</v>
      </c>
    </row>
    <row r="581" spans="1:25" x14ac:dyDescent="0.25">
      <c r="A581" s="62" t="s">
        <v>300</v>
      </c>
      <c r="B581" s="62" t="s">
        <v>300</v>
      </c>
      <c r="C581" s="63" t="s">
        <v>2219</v>
      </c>
      <c r="D581" s="64">
        <v>1</v>
      </c>
      <c r="E581" s="65"/>
      <c r="F581" s="66">
        <v>100</v>
      </c>
      <c r="G581" s="63"/>
      <c r="H581" s="67"/>
      <c r="I581" s="68"/>
      <c r="J581" s="68"/>
      <c r="K581" s="34" t="s">
        <v>64</v>
      </c>
      <c r="L581" s="75">
        <v>581</v>
      </c>
      <c r="M581" s="75"/>
      <c r="N581" s="70"/>
      <c r="O581" s="77" t="s">
        <v>180</v>
      </c>
      <c r="P581" s="79">
        <v>41123.655729166669</v>
      </c>
      <c r="Q581" s="77" t="s">
        <v>467</v>
      </c>
      <c r="R581" s="81" t="s">
        <v>616</v>
      </c>
      <c r="S581" s="77"/>
      <c r="T581" s="79">
        <v>41123.655729166669</v>
      </c>
      <c r="U581" s="81" t="s">
        <v>835</v>
      </c>
      <c r="V581" s="77"/>
      <c r="W581" s="77"/>
      <c r="X581" s="84" t="s">
        <v>1132</v>
      </c>
      <c r="Y581" s="82">
        <v>1</v>
      </c>
    </row>
    <row r="582" spans="1:25" x14ac:dyDescent="0.25">
      <c r="A582" s="62" t="s">
        <v>300</v>
      </c>
      <c r="B582" s="62" t="s">
        <v>246</v>
      </c>
      <c r="C582" s="63" t="s">
        <v>2222</v>
      </c>
      <c r="D582" s="64">
        <v>1</v>
      </c>
      <c r="E582" s="65"/>
      <c r="F582" s="66">
        <v>100</v>
      </c>
      <c r="G582" s="63"/>
      <c r="H582" s="67"/>
      <c r="I582" s="68"/>
      <c r="J582" s="68"/>
      <c r="K582" s="34" t="s">
        <v>64</v>
      </c>
      <c r="L582" s="75">
        <v>582</v>
      </c>
      <c r="M582" s="75"/>
      <c r="N582" s="70"/>
      <c r="O582" s="77" t="s">
        <v>382</v>
      </c>
      <c r="P582" s="79">
        <v>41124.25708333333</v>
      </c>
      <c r="Q582" s="77"/>
      <c r="R582" s="77"/>
      <c r="S582" s="77"/>
      <c r="T582" s="77"/>
      <c r="U582" s="77"/>
      <c r="V582" s="77"/>
      <c r="W582" s="77"/>
      <c r="X582" s="77"/>
      <c r="Y582">
        <v>1</v>
      </c>
    </row>
    <row r="583" spans="1:25" x14ac:dyDescent="0.25">
      <c r="A583" s="62" t="s">
        <v>300</v>
      </c>
      <c r="B583" s="62" t="s">
        <v>286</v>
      </c>
      <c r="C583" s="63" t="s">
        <v>2222</v>
      </c>
      <c r="D583" s="64">
        <v>1</v>
      </c>
      <c r="E583" s="65"/>
      <c r="F583" s="66">
        <v>100</v>
      </c>
      <c r="G583" s="63"/>
      <c r="H583" s="67"/>
      <c r="I583" s="68"/>
      <c r="J583" s="68"/>
      <c r="K583" s="34" t="s">
        <v>64</v>
      </c>
      <c r="L583" s="75">
        <v>583</v>
      </c>
      <c r="M583" s="75"/>
      <c r="N583" s="70"/>
      <c r="O583" s="77" t="s">
        <v>382</v>
      </c>
      <c r="P583" s="79">
        <v>41124.25708333333</v>
      </c>
      <c r="Q583" s="77"/>
      <c r="R583" s="77"/>
      <c r="S583" s="77"/>
      <c r="T583" s="77"/>
      <c r="U583" s="77"/>
      <c r="V583" s="77"/>
      <c r="W583" s="77"/>
      <c r="X583" s="77"/>
      <c r="Y583">
        <v>1</v>
      </c>
    </row>
    <row r="584" spans="1:25" x14ac:dyDescent="0.25">
      <c r="A584" s="62" t="s">
        <v>293</v>
      </c>
      <c r="B584" s="62" t="s">
        <v>300</v>
      </c>
      <c r="C584" s="63" t="s">
        <v>2222</v>
      </c>
      <c r="D584" s="64">
        <v>1</v>
      </c>
      <c r="E584" s="65"/>
      <c r="F584" s="66">
        <v>100</v>
      </c>
      <c r="G584" s="63"/>
      <c r="H584" s="67"/>
      <c r="I584" s="68"/>
      <c r="J584" s="68"/>
      <c r="K584" s="34" t="s">
        <v>64</v>
      </c>
      <c r="L584" s="75">
        <v>584</v>
      </c>
      <c r="M584" s="75"/>
      <c r="N584" s="70"/>
      <c r="O584" s="77" t="s">
        <v>382</v>
      </c>
      <c r="P584" s="79">
        <v>41124.25708333333</v>
      </c>
      <c r="Q584" s="77"/>
      <c r="R584" s="77"/>
      <c r="S584" s="77"/>
      <c r="T584" s="77"/>
      <c r="U584" s="77"/>
      <c r="V584" s="77"/>
      <c r="W584" s="77"/>
      <c r="X584" s="77"/>
      <c r="Y584">
        <v>1</v>
      </c>
    </row>
    <row r="585" spans="1:25" x14ac:dyDescent="0.25">
      <c r="A585" s="62" t="s">
        <v>334</v>
      </c>
      <c r="B585" s="62" t="s">
        <v>300</v>
      </c>
      <c r="C585" s="63" t="s">
        <v>2222</v>
      </c>
      <c r="D585" s="64">
        <v>1</v>
      </c>
      <c r="E585" s="65"/>
      <c r="F585" s="66">
        <v>100</v>
      </c>
      <c r="G585" s="63"/>
      <c r="H585" s="67"/>
      <c r="I585" s="68"/>
      <c r="J585" s="68"/>
      <c r="K585" s="34" t="s">
        <v>64</v>
      </c>
      <c r="L585" s="75">
        <v>585</v>
      </c>
      <c r="M585" s="75"/>
      <c r="N585" s="70"/>
      <c r="O585" s="77" t="s">
        <v>382</v>
      </c>
      <c r="P585" s="79">
        <v>41124.25708333333</v>
      </c>
      <c r="Q585" s="77"/>
      <c r="R585" s="77"/>
      <c r="S585" s="77"/>
      <c r="T585" s="77"/>
      <c r="U585" s="77"/>
      <c r="V585" s="77"/>
      <c r="W585" s="77"/>
      <c r="X585" s="77"/>
      <c r="Y585">
        <v>1</v>
      </c>
    </row>
    <row r="586" spans="1:25" x14ac:dyDescent="0.25">
      <c r="A586" s="62" t="s">
        <v>335</v>
      </c>
      <c r="B586" s="62" t="s">
        <v>335</v>
      </c>
      <c r="C586" s="63" t="s">
        <v>2219</v>
      </c>
      <c r="D586" s="64">
        <v>1</v>
      </c>
      <c r="E586" s="65"/>
      <c r="F586" s="66">
        <v>100</v>
      </c>
      <c r="G586" s="63"/>
      <c r="H586" s="67"/>
      <c r="I586" s="68"/>
      <c r="J586" s="68"/>
      <c r="K586" s="34" t="s">
        <v>64</v>
      </c>
      <c r="L586" s="75">
        <v>586</v>
      </c>
      <c r="M586" s="75"/>
      <c r="N586" s="70"/>
      <c r="O586" s="77" t="s">
        <v>180</v>
      </c>
      <c r="P586" s="79">
        <v>41124.038715277777</v>
      </c>
      <c r="Q586" s="77" t="s">
        <v>521</v>
      </c>
      <c r="R586" s="81" t="s">
        <v>624</v>
      </c>
      <c r="S586" s="77"/>
      <c r="T586" s="79">
        <v>41124.038715277777</v>
      </c>
      <c r="U586" s="81" t="s">
        <v>836</v>
      </c>
      <c r="V586" s="77"/>
      <c r="W586" s="77"/>
      <c r="X586" s="84" t="s">
        <v>1133</v>
      </c>
      <c r="Y586" s="82">
        <v>1</v>
      </c>
    </row>
    <row r="587" spans="1:25" x14ac:dyDescent="0.25">
      <c r="A587" s="62" t="s">
        <v>268</v>
      </c>
      <c r="B587" s="62" t="s">
        <v>335</v>
      </c>
      <c r="C587" s="63" t="s">
        <v>2222</v>
      </c>
      <c r="D587" s="64">
        <v>1</v>
      </c>
      <c r="E587" s="65"/>
      <c r="F587" s="66">
        <v>100</v>
      </c>
      <c r="G587" s="63"/>
      <c r="H587" s="67"/>
      <c r="I587" s="68"/>
      <c r="J587" s="68"/>
      <c r="K587" s="34" t="s">
        <v>64</v>
      </c>
      <c r="L587" s="75">
        <v>587</v>
      </c>
      <c r="M587" s="75"/>
      <c r="N587" s="70"/>
      <c r="O587" s="77" t="s">
        <v>382</v>
      </c>
      <c r="P587" s="79">
        <v>41124.25708333333</v>
      </c>
      <c r="Q587" s="77"/>
      <c r="R587" s="77"/>
      <c r="S587" s="77"/>
      <c r="T587" s="77"/>
      <c r="U587" s="77"/>
      <c r="V587" s="77"/>
      <c r="W587" s="77"/>
      <c r="X587" s="77"/>
      <c r="Y587">
        <v>1</v>
      </c>
    </row>
    <row r="588" spans="1:25" x14ac:dyDescent="0.25">
      <c r="A588" s="62" t="s">
        <v>301</v>
      </c>
      <c r="B588" s="62" t="s">
        <v>335</v>
      </c>
      <c r="C588" s="63" t="s">
        <v>2222</v>
      </c>
      <c r="D588" s="64">
        <v>1</v>
      </c>
      <c r="E588" s="65"/>
      <c r="F588" s="66">
        <v>100</v>
      </c>
      <c r="G588" s="63"/>
      <c r="H588" s="67"/>
      <c r="I588" s="68"/>
      <c r="J588" s="68"/>
      <c r="K588" s="34" t="s">
        <v>64</v>
      </c>
      <c r="L588" s="75">
        <v>588</v>
      </c>
      <c r="M588" s="75"/>
      <c r="N588" s="70"/>
      <c r="O588" s="77" t="s">
        <v>382</v>
      </c>
      <c r="P588" s="79">
        <v>41124.25708333333</v>
      </c>
      <c r="Q588" s="77"/>
      <c r="R588" s="77"/>
      <c r="S588" s="77"/>
      <c r="T588" s="77"/>
      <c r="U588" s="77"/>
      <c r="V588" s="77"/>
      <c r="W588" s="77"/>
      <c r="X588" s="77"/>
      <c r="Y588">
        <v>1</v>
      </c>
    </row>
    <row r="589" spans="1:25" x14ac:dyDescent="0.25">
      <c r="A589" s="62" t="s">
        <v>293</v>
      </c>
      <c r="B589" s="62" t="s">
        <v>335</v>
      </c>
      <c r="C589" s="63" t="s">
        <v>2222</v>
      </c>
      <c r="D589" s="64">
        <v>1</v>
      </c>
      <c r="E589" s="65"/>
      <c r="F589" s="66">
        <v>100</v>
      </c>
      <c r="G589" s="63"/>
      <c r="H589" s="67"/>
      <c r="I589" s="68"/>
      <c r="J589" s="68"/>
      <c r="K589" s="34" t="s">
        <v>64</v>
      </c>
      <c r="L589" s="75">
        <v>589</v>
      </c>
      <c r="M589" s="75"/>
      <c r="N589" s="70"/>
      <c r="O589" s="77" t="s">
        <v>382</v>
      </c>
      <c r="P589" s="79">
        <v>41124.25708333333</v>
      </c>
      <c r="Q589" s="77"/>
      <c r="R589" s="77"/>
      <c r="S589" s="77"/>
      <c r="T589" s="77"/>
      <c r="U589" s="77"/>
      <c r="V589" s="77"/>
      <c r="W589" s="77"/>
      <c r="X589" s="77"/>
      <c r="Y589">
        <v>1</v>
      </c>
    </row>
    <row r="590" spans="1:25" x14ac:dyDescent="0.25">
      <c r="A590" s="62" t="s">
        <v>314</v>
      </c>
      <c r="B590" s="62" t="s">
        <v>335</v>
      </c>
      <c r="C590" s="63" t="s">
        <v>2222</v>
      </c>
      <c r="D590" s="64">
        <v>1</v>
      </c>
      <c r="E590" s="65"/>
      <c r="F590" s="66">
        <v>100</v>
      </c>
      <c r="G590" s="63"/>
      <c r="H590" s="67"/>
      <c r="I590" s="68"/>
      <c r="J590" s="68"/>
      <c r="K590" s="34" t="s">
        <v>64</v>
      </c>
      <c r="L590" s="75">
        <v>590</v>
      </c>
      <c r="M590" s="75"/>
      <c r="N590" s="70"/>
      <c r="O590" s="77" t="s">
        <v>382</v>
      </c>
      <c r="P590" s="79">
        <v>41124.25708333333</v>
      </c>
      <c r="Q590" s="77"/>
      <c r="R590" s="77"/>
      <c r="S590" s="77"/>
      <c r="T590" s="77"/>
      <c r="U590" s="77"/>
      <c r="V590" s="77"/>
      <c r="W590" s="77"/>
      <c r="X590" s="77"/>
      <c r="Y590">
        <v>1</v>
      </c>
    </row>
    <row r="591" spans="1:25" x14ac:dyDescent="0.25">
      <c r="A591" s="62" t="s">
        <v>334</v>
      </c>
      <c r="B591" s="62" t="s">
        <v>335</v>
      </c>
      <c r="C591" s="63" t="s">
        <v>2222</v>
      </c>
      <c r="D591" s="64">
        <v>1</v>
      </c>
      <c r="E591" s="65"/>
      <c r="F591" s="66">
        <v>100</v>
      </c>
      <c r="G591" s="63"/>
      <c r="H591" s="67"/>
      <c r="I591" s="68"/>
      <c r="J591" s="68"/>
      <c r="K591" s="34" t="s">
        <v>64</v>
      </c>
      <c r="L591" s="75">
        <v>591</v>
      </c>
      <c r="M591" s="75"/>
      <c r="N591" s="70"/>
      <c r="O591" s="77" t="s">
        <v>382</v>
      </c>
      <c r="P591" s="79">
        <v>41124.25708333333</v>
      </c>
      <c r="Q591" s="77"/>
      <c r="R591" s="77"/>
      <c r="S591" s="77"/>
      <c r="T591" s="77"/>
      <c r="U591" s="77"/>
      <c r="V591" s="77"/>
      <c r="W591" s="77"/>
      <c r="X591" s="77"/>
      <c r="Y591">
        <v>1</v>
      </c>
    </row>
    <row r="592" spans="1:25" x14ac:dyDescent="0.25">
      <c r="A592" s="62" t="s">
        <v>293</v>
      </c>
      <c r="B592" s="62" t="s">
        <v>293</v>
      </c>
      <c r="C592" s="63" t="s">
        <v>2219</v>
      </c>
      <c r="D592" s="64">
        <v>1.5</v>
      </c>
      <c r="E592" s="65"/>
      <c r="F592" s="66">
        <v>97.777777777777771</v>
      </c>
      <c r="G592" s="63"/>
      <c r="H592" s="67"/>
      <c r="I592" s="68"/>
      <c r="J592" s="68"/>
      <c r="K592" s="34" t="s">
        <v>64</v>
      </c>
      <c r="L592" s="75">
        <v>592</v>
      </c>
      <c r="M592" s="75"/>
      <c r="N592" s="70"/>
      <c r="O592" s="77" t="s">
        <v>180</v>
      </c>
      <c r="P592" s="79">
        <v>41123.694004629629</v>
      </c>
      <c r="Q592" s="77" t="s">
        <v>522</v>
      </c>
      <c r="R592" s="77"/>
      <c r="S592" s="77"/>
      <c r="T592" s="79">
        <v>41123.694004629629</v>
      </c>
      <c r="U592" s="81" t="s">
        <v>837</v>
      </c>
      <c r="V592" s="77"/>
      <c r="W592" s="77"/>
      <c r="X592" s="84" t="s">
        <v>1134</v>
      </c>
      <c r="Y592" s="82">
        <v>2</v>
      </c>
    </row>
    <row r="593" spans="1:25" x14ac:dyDescent="0.25">
      <c r="A593" s="62" t="s">
        <v>293</v>
      </c>
      <c r="B593" s="62" t="s">
        <v>293</v>
      </c>
      <c r="C593" s="63" t="s">
        <v>2219</v>
      </c>
      <c r="D593" s="64">
        <v>1.5</v>
      </c>
      <c r="E593" s="65"/>
      <c r="F593" s="66">
        <v>97.777777777777771</v>
      </c>
      <c r="G593" s="63"/>
      <c r="H593" s="67"/>
      <c r="I593" s="68"/>
      <c r="J593" s="68"/>
      <c r="K593" s="34" t="s">
        <v>64</v>
      </c>
      <c r="L593" s="75">
        <v>593</v>
      </c>
      <c r="M593" s="75"/>
      <c r="N593" s="70"/>
      <c r="O593" s="77" t="s">
        <v>180</v>
      </c>
      <c r="P593" s="79">
        <v>41123.95207175926</v>
      </c>
      <c r="Q593" s="77" t="s">
        <v>523</v>
      </c>
      <c r="R593" s="77"/>
      <c r="S593" s="77" t="s">
        <v>653</v>
      </c>
      <c r="T593" s="79">
        <v>41123.95207175926</v>
      </c>
      <c r="U593" s="81" t="s">
        <v>838</v>
      </c>
      <c r="V593" s="77"/>
      <c r="W593" s="77"/>
      <c r="X593" s="84" t="s">
        <v>1135</v>
      </c>
      <c r="Y593" s="82">
        <v>2</v>
      </c>
    </row>
    <row r="594" spans="1:25" x14ac:dyDescent="0.25">
      <c r="A594" s="62" t="s">
        <v>293</v>
      </c>
      <c r="B594" s="62" t="s">
        <v>368</v>
      </c>
      <c r="C594" s="63" t="s">
        <v>2222</v>
      </c>
      <c r="D594" s="64">
        <v>1</v>
      </c>
      <c r="E594" s="65"/>
      <c r="F594" s="66">
        <v>100</v>
      </c>
      <c r="G594" s="63"/>
      <c r="H594" s="67"/>
      <c r="I594" s="68"/>
      <c r="J594" s="68"/>
      <c r="K594" s="34" t="s">
        <v>64</v>
      </c>
      <c r="L594" s="75">
        <v>594</v>
      </c>
      <c r="M594" s="75"/>
      <c r="N594" s="70"/>
      <c r="O594" s="77" t="s">
        <v>382</v>
      </c>
      <c r="P594" s="79">
        <v>41124.25708333333</v>
      </c>
      <c r="Q594" s="77"/>
      <c r="R594" s="77"/>
      <c r="S594" s="77"/>
      <c r="T594" s="77"/>
      <c r="U594" s="77"/>
      <c r="V594" s="77"/>
      <c r="W594" s="77"/>
      <c r="X594" s="77"/>
      <c r="Y594">
        <v>1</v>
      </c>
    </row>
    <row r="595" spans="1:25" x14ac:dyDescent="0.25">
      <c r="A595" s="62" t="s">
        <v>293</v>
      </c>
      <c r="B595" s="62" t="s">
        <v>301</v>
      </c>
      <c r="C595" s="63" t="s">
        <v>2222</v>
      </c>
      <c r="D595" s="64">
        <v>1</v>
      </c>
      <c r="E595" s="65"/>
      <c r="F595" s="66">
        <v>100</v>
      </c>
      <c r="G595" s="63"/>
      <c r="H595" s="67"/>
      <c r="I595" s="68"/>
      <c r="J595" s="68"/>
      <c r="K595" s="34" t="s">
        <v>64</v>
      </c>
      <c r="L595" s="75">
        <v>595</v>
      </c>
      <c r="M595" s="75"/>
      <c r="N595" s="70"/>
      <c r="O595" s="77" t="s">
        <v>382</v>
      </c>
      <c r="P595" s="79">
        <v>41124.25708333333</v>
      </c>
      <c r="Q595" s="77"/>
      <c r="R595" s="77"/>
      <c r="S595" s="77"/>
      <c r="T595" s="77"/>
      <c r="U595" s="77"/>
      <c r="V595" s="77"/>
      <c r="W595" s="77"/>
      <c r="X595" s="77"/>
      <c r="Y595">
        <v>1</v>
      </c>
    </row>
    <row r="596" spans="1:25" x14ac:dyDescent="0.25">
      <c r="A596" s="62" t="s">
        <v>293</v>
      </c>
      <c r="B596" s="62" t="s">
        <v>313</v>
      </c>
      <c r="C596" s="63" t="s">
        <v>2222</v>
      </c>
      <c r="D596" s="64">
        <v>1</v>
      </c>
      <c r="E596" s="65"/>
      <c r="F596" s="66">
        <v>100</v>
      </c>
      <c r="G596" s="63"/>
      <c r="H596" s="67"/>
      <c r="I596" s="68"/>
      <c r="J596" s="68"/>
      <c r="K596" s="34" t="s">
        <v>64</v>
      </c>
      <c r="L596" s="75">
        <v>596</v>
      </c>
      <c r="M596" s="75"/>
      <c r="N596" s="70"/>
      <c r="O596" s="77" t="s">
        <v>382</v>
      </c>
      <c r="P596" s="79">
        <v>41124.25708333333</v>
      </c>
      <c r="Q596" s="77"/>
      <c r="R596" s="77"/>
      <c r="S596" s="77"/>
      <c r="T596" s="77"/>
      <c r="U596" s="77"/>
      <c r="V596" s="77"/>
      <c r="W596" s="77"/>
      <c r="X596" s="77"/>
      <c r="Y596">
        <v>1</v>
      </c>
    </row>
    <row r="597" spans="1:25" x14ac:dyDescent="0.25">
      <c r="A597" s="62" t="s">
        <v>293</v>
      </c>
      <c r="B597" s="62" t="s">
        <v>332</v>
      </c>
      <c r="C597" s="63" t="s">
        <v>2222</v>
      </c>
      <c r="D597" s="64">
        <v>1</v>
      </c>
      <c r="E597" s="65"/>
      <c r="F597" s="66">
        <v>100</v>
      </c>
      <c r="G597" s="63"/>
      <c r="H597" s="67"/>
      <c r="I597" s="68"/>
      <c r="J597" s="68"/>
      <c r="K597" s="34" t="s">
        <v>65</v>
      </c>
      <c r="L597" s="75">
        <v>597</v>
      </c>
      <c r="M597" s="75"/>
      <c r="N597" s="70"/>
      <c r="O597" s="77" t="s">
        <v>382</v>
      </c>
      <c r="P597" s="79">
        <v>41124.25708333333</v>
      </c>
      <c r="Q597" s="77"/>
      <c r="R597" s="77"/>
      <c r="S597" s="77"/>
      <c r="T597" s="77"/>
      <c r="U597" s="77"/>
      <c r="V597" s="77"/>
      <c r="W597" s="77"/>
      <c r="X597" s="77"/>
      <c r="Y597">
        <v>1</v>
      </c>
    </row>
    <row r="598" spans="1:25" x14ac:dyDescent="0.25">
      <c r="A598" s="62" t="s">
        <v>293</v>
      </c>
      <c r="B598" s="62" t="s">
        <v>334</v>
      </c>
      <c r="C598" s="63" t="s">
        <v>2222</v>
      </c>
      <c r="D598" s="64">
        <v>1</v>
      </c>
      <c r="E598" s="65"/>
      <c r="F598" s="66">
        <v>100</v>
      </c>
      <c r="G598" s="63"/>
      <c r="H598" s="67"/>
      <c r="I598" s="68"/>
      <c r="J598" s="68"/>
      <c r="K598" s="34" t="s">
        <v>65</v>
      </c>
      <c r="L598" s="75">
        <v>598</v>
      </c>
      <c r="M598" s="75"/>
      <c r="N598" s="70"/>
      <c r="O598" s="77" t="s">
        <v>382</v>
      </c>
      <c r="P598" s="79">
        <v>41124.25708333333</v>
      </c>
      <c r="Q598" s="77"/>
      <c r="R598" s="77"/>
      <c r="S598" s="77"/>
      <c r="T598" s="77"/>
      <c r="U598" s="77"/>
      <c r="V598" s="77"/>
      <c r="W598" s="77"/>
      <c r="X598" s="77"/>
      <c r="Y598">
        <v>1</v>
      </c>
    </row>
    <row r="599" spans="1:25" x14ac:dyDescent="0.25">
      <c r="A599" s="62" t="s">
        <v>332</v>
      </c>
      <c r="B599" s="62" t="s">
        <v>293</v>
      </c>
      <c r="C599" s="63" t="s">
        <v>2222</v>
      </c>
      <c r="D599" s="64">
        <v>1</v>
      </c>
      <c r="E599" s="65"/>
      <c r="F599" s="66">
        <v>100</v>
      </c>
      <c r="G599" s="63"/>
      <c r="H599" s="67"/>
      <c r="I599" s="68"/>
      <c r="J599" s="68"/>
      <c r="K599" s="34" t="s">
        <v>65</v>
      </c>
      <c r="L599" s="75">
        <v>599</v>
      </c>
      <c r="M599" s="75"/>
      <c r="N599" s="70"/>
      <c r="O599" s="77" t="s">
        <v>382</v>
      </c>
      <c r="P599" s="79">
        <v>41124.25708333333</v>
      </c>
      <c r="Q599" s="77"/>
      <c r="R599" s="77"/>
      <c r="S599" s="77"/>
      <c r="T599" s="77"/>
      <c r="U599" s="77"/>
      <c r="V599" s="77"/>
      <c r="W599" s="77"/>
      <c r="X599" s="77"/>
      <c r="Y599">
        <v>1</v>
      </c>
    </row>
    <row r="600" spans="1:25" x14ac:dyDescent="0.25">
      <c r="A600" s="62" t="s">
        <v>334</v>
      </c>
      <c r="B600" s="62" t="s">
        <v>293</v>
      </c>
      <c r="C600" s="63" t="s">
        <v>2222</v>
      </c>
      <c r="D600" s="64">
        <v>1</v>
      </c>
      <c r="E600" s="65"/>
      <c r="F600" s="66">
        <v>100</v>
      </c>
      <c r="G600" s="63"/>
      <c r="H600" s="67"/>
      <c r="I600" s="68"/>
      <c r="J600" s="68"/>
      <c r="K600" s="34" t="s">
        <v>65</v>
      </c>
      <c r="L600" s="75">
        <v>600</v>
      </c>
      <c r="M600" s="75"/>
      <c r="N600" s="70"/>
      <c r="O600" s="77" t="s">
        <v>382</v>
      </c>
      <c r="P600" s="79">
        <v>41124.25708333333</v>
      </c>
      <c r="Q600" s="77"/>
      <c r="R600" s="77"/>
      <c r="S600" s="77"/>
      <c r="T600" s="77"/>
      <c r="U600" s="77"/>
      <c r="V600" s="77"/>
      <c r="W600" s="77"/>
      <c r="X600" s="77"/>
      <c r="Y600">
        <v>1</v>
      </c>
    </row>
    <row r="601" spans="1:25" x14ac:dyDescent="0.25">
      <c r="A601" s="62" t="s">
        <v>296</v>
      </c>
      <c r="B601" s="62" t="s">
        <v>296</v>
      </c>
      <c r="C601" s="63" t="s">
        <v>2219</v>
      </c>
      <c r="D601" s="64">
        <v>1</v>
      </c>
      <c r="E601" s="65"/>
      <c r="F601" s="66">
        <v>100</v>
      </c>
      <c r="G601" s="63"/>
      <c r="H601" s="67"/>
      <c r="I601" s="68"/>
      <c r="J601" s="68"/>
      <c r="K601" s="34" t="s">
        <v>64</v>
      </c>
      <c r="L601" s="75">
        <v>601</v>
      </c>
      <c r="M601" s="75"/>
      <c r="N601" s="70"/>
      <c r="O601" s="77" t="s">
        <v>180</v>
      </c>
      <c r="P601" s="79">
        <v>41123.860219907408</v>
      </c>
      <c r="Q601" s="77" t="s">
        <v>462</v>
      </c>
      <c r="R601" s="77"/>
      <c r="S601" s="77"/>
      <c r="T601" s="79">
        <v>41123.860219907408</v>
      </c>
      <c r="U601" s="81" t="s">
        <v>839</v>
      </c>
      <c r="V601" s="77"/>
      <c r="W601" s="77"/>
      <c r="X601" s="84" t="s">
        <v>1136</v>
      </c>
      <c r="Y601" s="82">
        <v>1</v>
      </c>
    </row>
    <row r="602" spans="1:25" x14ac:dyDescent="0.25">
      <c r="A602" s="62" t="s">
        <v>313</v>
      </c>
      <c r="B602" s="62" t="s">
        <v>296</v>
      </c>
      <c r="C602" s="63" t="s">
        <v>2222</v>
      </c>
      <c r="D602" s="64">
        <v>1</v>
      </c>
      <c r="E602" s="65"/>
      <c r="F602" s="66">
        <v>100</v>
      </c>
      <c r="G602" s="63"/>
      <c r="H602" s="67"/>
      <c r="I602" s="68"/>
      <c r="J602" s="68"/>
      <c r="K602" s="34" t="s">
        <v>64</v>
      </c>
      <c r="L602" s="75">
        <v>602</v>
      </c>
      <c r="M602" s="75"/>
      <c r="N602" s="70"/>
      <c r="O602" s="77" t="s">
        <v>382</v>
      </c>
      <c r="P602" s="79">
        <v>41124.25708333333</v>
      </c>
      <c r="Q602" s="77"/>
      <c r="R602" s="77"/>
      <c r="S602" s="77"/>
      <c r="T602" s="77"/>
      <c r="U602" s="77"/>
      <c r="V602" s="77"/>
      <c r="W602" s="77"/>
      <c r="X602" s="77"/>
      <c r="Y602">
        <v>1</v>
      </c>
    </row>
    <row r="603" spans="1:25" x14ac:dyDescent="0.25">
      <c r="A603" s="62" t="s">
        <v>275</v>
      </c>
      <c r="B603" s="62" t="s">
        <v>296</v>
      </c>
      <c r="C603" s="63" t="s">
        <v>2222</v>
      </c>
      <c r="D603" s="64">
        <v>1</v>
      </c>
      <c r="E603" s="65"/>
      <c r="F603" s="66">
        <v>100</v>
      </c>
      <c r="G603" s="63"/>
      <c r="H603" s="67"/>
      <c r="I603" s="68"/>
      <c r="J603" s="68"/>
      <c r="K603" s="34" t="s">
        <v>65</v>
      </c>
      <c r="L603" s="75">
        <v>603</v>
      </c>
      <c r="M603" s="75"/>
      <c r="N603" s="70"/>
      <c r="O603" s="77" t="s">
        <v>382</v>
      </c>
      <c r="P603" s="79">
        <v>41124.25708333333</v>
      </c>
      <c r="Q603" s="77"/>
      <c r="R603" s="77"/>
      <c r="S603" s="77"/>
      <c r="T603" s="77"/>
      <c r="U603" s="77"/>
      <c r="V603" s="77"/>
      <c r="W603" s="77"/>
      <c r="X603" s="77"/>
      <c r="Y603">
        <v>1</v>
      </c>
    </row>
    <row r="604" spans="1:25" x14ac:dyDescent="0.25">
      <c r="A604" s="62" t="s">
        <v>296</v>
      </c>
      <c r="B604" s="62" t="s">
        <v>368</v>
      </c>
      <c r="C604" s="63" t="s">
        <v>2222</v>
      </c>
      <c r="D604" s="64">
        <v>1</v>
      </c>
      <c r="E604" s="65"/>
      <c r="F604" s="66">
        <v>100</v>
      </c>
      <c r="G604" s="63"/>
      <c r="H604" s="67"/>
      <c r="I604" s="68"/>
      <c r="J604" s="68"/>
      <c r="K604" s="34" t="s">
        <v>64</v>
      </c>
      <c r="L604" s="75">
        <v>604</v>
      </c>
      <c r="M604" s="75"/>
      <c r="N604" s="70"/>
      <c r="O604" s="77" t="s">
        <v>382</v>
      </c>
      <c r="P604" s="79">
        <v>41124.25708333333</v>
      </c>
      <c r="Q604" s="77"/>
      <c r="R604" s="77"/>
      <c r="S604" s="77"/>
      <c r="T604" s="77"/>
      <c r="U604" s="77"/>
      <c r="V604" s="77"/>
      <c r="W604" s="77"/>
      <c r="X604" s="77"/>
      <c r="Y604">
        <v>1</v>
      </c>
    </row>
    <row r="605" spans="1:25" x14ac:dyDescent="0.25">
      <c r="A605" s="62" t="s">
        <v>296</v>
      </c>
      <c r="B605" s="62" t="s">
        <v>246</v>
      </c>
      <c r="C605" s="63" t="s">
        <v>2222</v>
      </c>
      <c r="D605" s="64">
        <v>1</v>
      </c>
      <c r="E605" s="65"/>
      <c r="F605" s="66">
        <v>100</v>
      </c>
      <c r="G605" s="63"/>
      <c r="H605" s="67"/>
      <c r="I605" s="68"/>
      <c r="J605" s="68"/>
      <c r="K605" s="34" t="s">
        <v>64</v>
      </c>
      <c r="L605" s="75">
        <v>605</v>
      </c>
      <c r="M605" s="75"/>
      <c r="N605" s="70"/>
      <c r="O605" s="77" t="s">
        <v>382</v>
      </c>
      <c r="P605" s="79">
        <v>41124.25708333333</v>
      </c>
      <c r="Q605" s="77"/>
      <c r="R605" s="77"/>
      <c r="S605" s="77"/>
      <c r="T605" s="77"/>
      <c r="U605" s="77"/>
      <c r="V605" s="77"/>
      <c r="W605" s="77"/>
      <c r="X605" s="77"/>
      <c r="Y605">
        <v>1</v>
      </c>
    </row>
    <row r="606" spans="1:25" x14ac:dyDescent="0.25">
      <c r="A606" s="62" t="s">
        <v>296</v>
      </c>
      <c r="B606" s="62" t="s">
        <v>275</v>
      </c>
      <c r="C606" s="63" t="s">
        <v>2222</v>
      </c>
      <c r="D606" s="64">
        <v>1</v>
      </c>
      <c r="E606" s="65"/>
      <c r="F606" s="66">
        <v>100</v>
      </c>
      <c r="G606" s="63"/>
      <c r="H606" s="67"/>
      <c r="I606" s="68"/>
      <c r="J606" s="68"/>
      <c r="K606" s="34" t="s">
        <v>65</v>
      </c>
      <c r="L606" s="75">
        <v>606</v>
      </c>
      <c r="M606" s="75"/>
      <c r="N606" s="70"/>
      <c r="O606" s="77" t="s">
        <v>382</v>
      </c>
      <c r="P606" s="79">
        <v>41124.25708333333</v>
      </c>
      <c r="Q606" s="77"/>
      <c r="R606" s="77"/>
      <c r="S606" s="77"/>
      <c r="T606" s="77"/>
      <c r="U606" s="77"/>
      <c r="V606" s="77"/>
      <c r="W606" s="77"/>
      <c r="X606" s="77"/>
      <c r="Y606">
        <v>1</v>
      </c>
    </row>
    <row r="607" spans="1:25" x14ac:dyDescent="0.25">
      <c r="A607" s="62" t="s">
        <v>334</v>
      </c>
      <c r="B607" s="62" t="s">
        <v>296</v>
      </c>
      <c r="C607" s="63" t="s">
        <v>2222</v>
      </c>
      <c r="D607" s="64">
        <v>1</v>
      </c>
      <c r="E607" s="65"/>
      <c r="F607" s="66">
        <v>100</v>
      </c>
      <c r="G607" s="63"/>
      <c r="H607" s="67"/>
      <c r="I607" s="68"/>
      <c r="J607" s="68"/>
      <c r="K607" s="34" t="s">
        <v>64</v>
      </c>
      <c r="L607" s="75">
        <v>607</v>
      </c>
      <c r="M607" s="75"/>
      <c r="N607" s="70"/>
      <c r="O607" s="77" t="s">
        <v>382</v>
      </c>
      <c r="P607" s="79">
        <v>41124.25708333333</v>
      </c>
      <c r="Q607" s="77"/>
      <c r="R607" s="77"/>
      <c r="S607" s="77"/>
      <c r="T607" s="77"/>
      <c r="U607" s="77"/>
      <c r="V607" s="77"/>
      <c r="W607" s="77"/>
      <c r="X607" s="77"/>
      <c r="Y607">
        <v>1</v>
      </c>
    </row>
    <row r="608" spans="1:25" x14ac:dyDescent="0.25">
      <c r="A608" s="62" t="s">
        <v>306</v>
      </c>
      <c r="B608" s="62" t="s">
        <v>301</v>
      </c>
      <c r="C608" s="63" t="s">
        <v>2221</v>
      </c>
      <c r="D608" s="64">
        <v>1</v>
      </c>
      <c r="E608" s="65"/>
      <c r="F608" s="66">
        <v>100</v>
      </c>
      <c r="G608" s="63"/>
      <c r="H608" s="67"/>
      <c r="I608" s="68"/>
      <c r="J608" s="68"/>
      <c r="K608" s="34" t="s">
        <v>65</v>
      </c>
      <c r="L608" s="75">
        <v>608</v>
      </c>
      <c r="M608" s="75"/>
      <c r="N608" s="70"/>
      <c r="O608" s="77" t="s">
        <v>381</v>
      </c>
      <c r="P608" s="79">
        <v>41123.725706018522</v>
      </c>
      <c r="Q608" s="77" t="s">
        <v>460</v>
      </c>
      <c r="R608" s="77"/>
      <c r="S608" s="77"/>
      <c r="T608" s="79">
        <v>41123.725706018522</v>
      </c>
      <c r="U608" s="81" t="s">
        <v>840</v>
      </c>
      <c r="V608" s="77"/>
      <c r="W608" s="77"/>
      <c r="X608" s="84" t="s">
        <v>1137</v>
      </c>
      <c r="Y608" s="82">
        <v>1</v>
      </c>
    </row>
    <row r="609" spans="1:25" x14ac:dyDescent="0.25">
      <c r="A609" s="62" t="s">
        <v>306</v>
      </c>
      <c r="B609" s="62" t="s">
        <v>301</v>
      </c>
      <c r="C609" s="63" t="s">
        <v>2222</v>
      </c>
      <c r="D609" s="64">
        <v>1</v>
      </c>
      <c r="E609" s="65"/>
      <c r="F609" s="66">
        <v>100</v>
      </c>
      <c r="G609" s="63"/>
      <c r="H609" s="67"/>
      <c r="I609" s="68"/>
      <c r="J609" s="68"/>
      <c r="K609" s="34" t="s">
        <v>65</v>
      </c>
      <c r="L609" s="75">
        <v>609</v>
      </c>
      <c r="M609" s="75"/>
      <c r="N609" s="70"/>
      <c r="O609" s="77" t="s">
        <v>382</v>
      </c>
      <c r="P609" s="79">
        <v>41124.25708333333</v>
      </c>
      <c r="Q609" s="77"/>
      <c r="R609" s="77"/>
      <c r="S609" s="77"/>
      <c r="T609" s="77"/>
      <c r="U609" s="77"/>
      <c r="V609" s="77"/>
      <c r="W609" s="77"/>
      <c r="X609" s="77"/>
      <c r="Y609">
        <v>1</v>
      </c>
    </row>
    <row r="610" spans="1:25" x14ac:dyDescent="0.25">
      <c r="A610" s="62" t="s">
        <v>306</v>
      </c>
      <c r="B610" s="62" t="s">
        <v>368</v>
      </c>
      <c r="C610" s="63" t="s">
        <v>2222</v>
      </c>
      <c r="D610" s="64">
        <v>1</v>
      </c>
      <c r="E610" s="65"/>
      <c r="F610" s="66">
        <v>100</v>
      </c>
      <c r="G610" s="63"/>
      <c r="H610" s="67"/>
      <c r="I610" s="68"/>
      <c r="J610" s="68"/>
      <c r="K610" s="34" t="s">
        <v>64</v>
      </c>
      <c r="L610" s="75">
        <v>610</v>
      </c>
      <c r="M610" s="75"/>
      <c r="N610" s="70"/>
      <c r="O610" s="77" t="s">
        <v>382</v>
      </c>
      <c r="P610" s="79">
        <v>41124.25708333333</v>
      </c>
      <c r="Q610" s="77"/>
      <c r="R610" s="77"/>
      <c r="S610" s="77"/>
      <c r="T610" s="77"/>
      <c r="U610" s="77"/>
      <c r="V610" s="77"/>
      <c r="W610" s="77"/>
      <c r="X610" s="77"/>
      <c r="Y610">
        <v>1</v>
      </c>
    </row>
    <row r="611" spans="1:25" x14ac:dyDescent="0.25">
      <c r="A611" s="62" t="s">
        <v>306</v>
      </c>
      <c r="B611" s="62" t="s">
        <v>246</v>
      </c>
      <c r="C611" s="63" t="s">
        <v>2222</v>
      </c>
      <c r="D611" s="64">
        <v>1</v>
      </c>
      <c r="E611" s="65"/>
      <c r="F611" s="66">
        <v>100</v>
      </c>
      <c r="G611" s="63"/>
      <c r="H611" s="67"/>
      <c r="I611" s="68"/>
      <c r="J611" s="68"/>
      <c r="K611" s="34" t="s">
        <v>64</v>
      </c>
      <c r="L611" s="75">
        <v>611</v>
      </c>
      <c r="M611" s="75"/>
      <c r="N611" s="70"/>
      <c r="O611" s="77" t="s">
        <v>382</v>
      </c>
      <c r="P611" s="79">
        <v>41124.25708333333</v>
      </c>
      <c r="Q611" s="77"/>
      <c r="R611" s="77"/>
      <c r="S611" s="77"/>
      <c r="T611" s="77"/>
      <c r="U611" s="77"/>
      <c r="V611" s="77"/>
      <c r="W611" s="77"/>
      <c r="X611" s="77"/>
      <c r="Y611">
        <v>1</v>
      </c>
    </row>
    <row r="612" spans="1:25" x14ac:dyDescent="0.25">
      <c r="A612" s="62" t="s">
        <v>301</v>
      </c>
      <c r="B612" s="62" t="s">
        <v>306</v>
      </c>
      <c r="C612" s="63" t="s">
        <v>2222</v>
      </c>
      <c r="D612" s="64">
        <v>1</v>
      </c>
      <c r="E612" s="65"/>
      <c r="F612" s="66">
        <v>100</v>
      </c>
      <c r="G612" s="63"/>
      <c r="H612" s="67"/>
      <c r="I612" s="68"/>
      <c r="J612" s="68"/>
      <c r="K612" s="34" t="s">
        <v>65</v>
      </c>
      <c r="L612" s="75">
        <v>612</v>
      </c>
      <c r="M612" s="75"/>
      <c r="N612" s="70"/>
      <c r="O612" s="77" t="s">
        <v>382</v>
      </c>
      <c r="P612" s="79">
        <v>41124.25708333333</v>
      </c>
      <c r="Q612" s="77"/>
      <c r="R612" s="77"/>
      <c r="S612" s="77"/>
      <c r="T612" s="77"/>
      <c r="U612" s="77"/>
      <c r="V612" s="77"/>
      <c r="W612" s="77"/>
      <c r="X612" s="77"/>
      <c r="Y612">
        <v>1</v>
      </c>
    </row>
    <row r="613" spans="1:25" x14ac:dyDescent="0.25">
      <c r="A613" s="62" t="s">
        <v>334</v>
      </c>
      <c r="B613" s="62" t="s">
        <v>306</v>
      </c>
      <c r="C613" s="63" t="s">
        <v>2222</v>
      </c>
      <c r="D613" s="64">
        <v>1</v>
      </c>
      <c r="E613" s="65"/>
      <c r="F613" s="66">
        <v>100</v>
      </c>
      <c r="G613" s="63"/>
      <c r="H613" s="67"/>
      <c r="I613" s="68"/>
      <c r="J613" s="68"/>
      <c r="K613" s="34" t="s">
        <v>64</v>
      </c>
      <c r="L613" s="75">
        <v>613</v>
      </c>
      <c r="M613" s="75"/>
      <c r="N613" s="70"/>
      <c r="O613" s="77" t="s">
        <v>382</v>
      </c>
      <c r="P613" s="79">
        <v>41124.25708333333</v>
      </c>
      <c r="Q613" s="77"/>
      <c r="R613" s="77"/>
      <c r="S613" s="77"/>
      <c r="T613" s="77"/>
      <c r="U613" s="77"/>
      <c r="V613" s="77"/>
      <c r="W613" s="77"/>
      <c r="X613" s="77"/>
      <c r="Y613">
        <v>1</v>
      </c>
    </row>
    <row r="614" spans="1:25" x14ac:dyDescent="0.25">
      <c r="A614" s="62" t="s">
        <v>311</v>
      </c>
      <c r="B614" s="62" t="s">
        <v>311</v>
      </c>
      <c r="C614" s="63" t="s">
        <v>2219</v>
      </c>
      <c r="D614" s="64">
        <v>1</v>
      </c>
      <c r="E614" s="65"/>
      <c r="F614" s="66">
        <v>100</v>
      </c>
      <c r="G614" s="63"/>
      <c r="H614" s="67"/>
      <c r="I614" s="68"/>
      <c r="J614" s="68"/>
      <c r="K614" s="34" t="s">
        <v>64</v>
      </c>
      <c r="L614" s="75">
        <v>614</v>
      </c>
      <c r="M614" s="75"/>
      <c r="N614" s="70"/>
      <c r="O614" s="77" t="s">
        <v>180</v>
      </c>
      <c r="P614" s="79">
        <v>41124.003506944442</v>
      </c>
      <c r="Q614" s="77" t="s">
        <v>524</v>
      </c>
      <c r="R614" s="77"/>
      <c r="S614" s="77" t="s">
        <v>651</v>
      </c>
      <c r="T614" s="79">
        <v>41124.003506944442</v>
      </c>
      <c r="U614" s="81" t="s">
        <v>841</v>
      </c>
      <c r="V614" s="77"/>
      <c r="W614" s="77"/>
      <c r="X614" s="84" t="s">
        <v>1138</v>
      </c>
      <c r="Y614" s="82">
        <v>1</v>
      </c>
    </row>
    <row r="615" spans="1:25" x14ac:dyDescent="0.25">
      <c r="A615" s="62" t="s">
        <v>314</v>
      </c>
      <c r="B615" s="62" t="s">
        <v>311</v>
      </c>
      <c r="C615" s="63" t="s">
        <v>2221</v>
      </c>
      <c r="D615" s="64">
        <v>1</v>
      </c>
      <c r="E615" s="65"/>
      <c r="F615" s="66">
        <v>100</v>
      </c>
      <c r="G615" s="63"/>
      <c r="H615" s="67"/>
      <c r="I615" s="68"/>
      <c r="J615" s="68"/>
      <c r="K615" s="34" t="s">
        <v>64</v>
      </c>
      <c r="L615" s="75">
        <v>615</v>
      </c>
      <c r="M615" s="75"/>
      <c r="N615" s="70"/>
      <c r="O615" s="77" t="s">
        <v>381</v>
      </c>
      <c r="P615" s="79">
        <v>41124.003958333335</v>
      </c>
      <c r="Q615" s="77" t="s">
        <v>513</v>
      </c>
      <c r="R615" s="77"/>
      <c r="S615" s="77" t="s">
        <v>651</v>
      </c>
      <c r="T615" s="79">
        <v>41124.003958333335</v>
      </c>
      <c r="U615" s="81" t="s">
        <v>842</v>
      </c>
      <c r="V615" s="77"/>
      <c r="W615" s="77"/>
      <c r="X615" s="84" t="s">
        <v>1139</v>
      </c>
      <c r="Y615" s="82">
        <v>1</v>
      </c>
    </row>
    <row r="616" spans="1:25" x14ac:dyDescent="0.25">
      <c r="A616" s="62" t="s">
        <v>311</v>
      </c>
      <c r="B616" s="62" t="s">
        <v>319</v>
      </c>
      <c r="C616" s="63" t="s">
        <v>2222</v>
      </c>
      <c r="D616" s="64">
        <v>1</v>
      </c>
      <c r="E616" s="65"/>
      <c r="F616" s="66">
        <v>100</v>
      </c>
      <c r="G616" s="63"/>
      <c r="H616" s="67"/>
      <c r="I616" s="68"/>
      <c r="J616" s="68"/>
      <c r="K616" s="34" t="s">
        <v>65</v>
      </c>
      <c r="L616" s="75">
        <v>616</v>
      </c>
      <c r="M616" s="75"/>
      <c r="N616" s="70"/>
      <c r="O616" s="77" t="s">
        <v>382</v>
      </c>
      <c r="P616" s="79">
        <v>41124.25708333333</v>
      </c>
      <c r="Q616" s="77"/>
      <c r="R616" s="77"/>
      <c r="S616" s="77"/>
      <c r="T616" s="77"/>
      <c r="U616" s="77"/>
      <c r="V616" s="77"/>
      <c r="W616" s="77"/>
      <c r="X616" s="77"/>
      <c r="Y616">
        <v>1</v>
      </c>
    </row>
    <row r="617" spans="1:25" x14ac:dyDescent="0.25">
      <c r="A617" s="62" t="s">
        <v>319</v>
      </c>
      <c r="B617" s="62" t="s">
        <v>311</v>
      </c>
      <c r="C617" s="63" t="s">
        <v>2222</v>
      </c>
      <c r="D617" s="64">
        <v>1</v>
      </c>
      <c r="E617" s="65"/>
      <c r="F617" s="66">
        <v>100</v>
      </c>
      <c r="G617" s="63"/>
      <c r="H617" s="67"/>
      <c r="I617" s="68"/>
      <c r="J617" s="68"/>
      <c r="K617" s="34" t="s">
        <v>65</v>
      </c>
      <c r="L617" s="75">
        <v>617</v>
      </c>
      <c r="M617" s="75"/>
      <c r="N617" s="70"/>
      <c r="O617" s="77" t="s">
        <v>382</v>
      </c>
      <c r="P617" s="79">
        <v>41124.25708333333</v>
      </c>
      <c r="Q617" s="77"/>
      <c r="R617" s="77"/>
      <c r="S617" s="77"/>
      <c r="T617" s="77"/>
      <c r="U617" s="77"/>
      <c r="V617" s="77"/>
      <c r="W617" s="77"/>
      <c r="X617" s="77"/>
      <c r="Y617">
        <v>1</v>
      </c>
    </row>
    <row r="618" spans="1:25" x14ac:dyDescent="0.25">
      <c r="A618" s="62" t="s">
        <v>334</v>
      </c>
      <c r="B618" s="62" t="s">
        <v>311</v>
      </c>
      <c r="C618" s="63" t="s">
        <v>2222</v>
      </c>
      <c r="D618" s="64">
        <v>1</v>
      </c>
      <c r="E618" s="65"/>
      <c r="F618" s="66">
        <v>100</v>
      </c>
      <c r="G618" s="63"/>
      <c r="H618" s="67"/>
      <c r="I618" s="68"/>
      <c r="J618" s="68"/>
      <c r="K618" s="34" t="s">
        <v>64</v>
      </c>
      <c r="L618" s="75">
        <v>618</v>
      </c>
      <c r="M618" s="75"/>
      <c r="N618" s="70"/>
      <c r="O618" s="77" t="s">
        <v>382</v>
      </c>
      <c r="P618" s="79">
        <v>41124.25708333333</v>
      </c>
      <c r="Q618" s="77"/>
      <c r="R618" s="77"/>
      <c r="S618" s="77"/>
      <c r="T618" s="77"/>
      <c r="U618" s="77"/>
      <c r="V618" s="77"/>
      <c r="W618" s="77"/>
      <c r="X618" s="77"/>
      <c r="Y618">
        <v>1</v>
      </c>
    </row>
    <row r="619" spans="1:25" x14ac:dyDescent="0.25">
      <c r="A619" s="62" t="s">
        <v>336</v>
      </c>
      <c r="B619" s="62" t="s">
        <v>336</v>
      </c>
      <c r="C619" s="63" t="s">
        <v>2219</v>
      </c>
      <c r="D619" s="64">
        <v>1</v>
      </c>
      <c r="E619" s="65"/>
      <c r="F619" s="66">
        <v>100</v>
      </c>
      <c r="G619" s="63"/>
      <c r="H619" s="67"/>
      <c r="I619" s="68"/>
      <c r="J619" s="68"/>
      <c r="K619" s="34" t="s">
        <v>64</v>
      </c>
      <c r="L619" s="75">
        <v>619</v>
      </c>
      <c r="M619" s="75"/>
      <c r="N619" s="70"/>
      <c r="O619" s="77" t="s">
        <v>180</v>
      </c>
      <c r="P619" s="79">
        <v>41123.787037037036</v>
      </c>
      <c r="Q619" s="77" t="s">
        <v>462</v>
      </c>
      <c r="R619" s="77"/>
      <c r="S619" s="77"/>
      <c r="T619" s="79">
        <v>41123.787037037036</v>
      </c>
      <c r="U619" s="81" t="s">
        <v>843</v>
      </c>
      <c r="V619" s="77"/>
      <c r="W619" s="77"/>
      <c r="X619" s="84" t="s">
        <v>1140</v>
      </c>
      <c r="Y619" s="82">
        <v>1</v>
      </c>
    </row>
    <row r="620" spans="1:25" x14ac:dyDescent="0.25">
      <c r="A620" s="62" t="s">
        <v>336</v>
      </c>
      <c r="B620" s="62" t="s">
        <v>286</v>
      </c>
      <c r="C620" s="63" t="s">
        <v>2222</v>
      </c>
      <c r="D620" s="64">
        <v>1</v>
      </c>
      <c r="E620" s="65"/>
      <c r="F620" s="66">
        <v>100</v>
      </c>
      <c r="G620" s="63"/>
      <c r="H620" s="67"/>
      <c r="I620" s="68"/>
      <c r="J620" s="68"/>
      <c r="K620" s="34" t="s">
        <v>64</v>
      </c>
      <c r="L620" s="75">
        <v>620</v>
      </c>
      <c r="M620" s="75"/>
      <c r="N620" s="70"/>
      <c r="O620" s="77" t="s">
        <v>382</v>
      </c>
      <c r="P620" s="79">
        <v>41124.25708333333</v>
      </c>
      <c r="Q620" s="77"/>
      <c r="R620" s="77"/>
      <c r="S620" s="77"/>
      <c r="T620" s="77"/>
      <c r="U620" s="77"/>
      <c r="V620" s="77"/>
      <c r="W620" s="77"/>
      <c r="X620" s="77"/>
      <c r="Y620">
        <v>1</v>
      </c>
    </row>
    <row r="621" spans="1:25" x14ac:dyDescent="0.25">
      <c r="A621" s="62" t="s">
        <v>336</v>
      </c>
      <c r="B621" s="62" t="s">
        <v>246</v>
      </c>
      <c r="C621" s="63" t="s">
        <v>2222</v>
      </c>
      <c r="D621" s="64">
        <v>1</v>
      </c>
      <c r="E621" s="65"/>
      <c r="F621" s="66">
        <v>100</v>
      </c>
      <c r="G621" s="63"/>
      <c r="H621" s="67"/>
      <c r="I621" s="68"/>
      <c r="J621" s="68"/>
      <c r="K621" s="34" t="s">
        <v>64</v>
      </c>
      <c r="L621" s="75">
        <v>621</v>
      </c>
      <c r="M621" s="75"/>
      <c r="N621" s="70"/>
      <c r="O621" s="77" t="s">
        <v>382</v>
      </c>
      <c r="P621" s="79">
        <v>41124.25708333333</v>
      </c>
      <c r="Q621" s="77"/>
      <c r="R621" s="77"/>
      <c r="S621" s="77"/>
      <c r="T621" s="77"/>
      <c r="U621" s="77"/>
      <c r="V621" s="77"/>
      <c r="W621" s="77"/>
      <c r="X621" s="77"/>
      <c r="Y621">
        <v>1</v>
      </c>
    </row>
    <row r="622" spans="1:25" x14ac:dyDescent="0.25">
      <c r="A622" s="62" t="s">
        <v>332</v>
      </c>
      <c r="B622" s="62" t="s">
        <v>336</v>
      </c>
      <c r="C622" s="63" t="s">
        <v>2222</v>
      </c>
      <c r="D622" s="64">
        <v>1</v>
      </c>
      <c r="E622" s="65"/>
      <c r="F622" s="66">
        <v>100</v>
      </c>
      <c r="G622" s="63"/>
      <c r="H622" s="67"/>
      <c r="I622" s="68"/>
      <c r="J622" s="68"/>
      <c r="K622" s="34" t="s">
        <v>64</v>
      </c>
      <c r="L622" s="75">
        <v>622</v>
      </c>
      <c r="M622" s="75"/>
      <c r="N622" s="70"/>
      <c r="O622" s="77" t="s">
        <v>382</v>
      </c>
      <c r="P622" s="79">
        <v>41124.25708333333</v>
      </c>
      <c r="Q622" s="77"/>
      <c r="R622" s="77"/>
      <c r="S622" s="77"/>
      <c r="T622" s="77"/>
      <c r="U622" s="77"/>
      <c r="V622" s="77"/>
      <c r="W622" s="77"/>
      <c r="X622" s="77"/>
      <c r="Y622">
        <v>1</v>
      </c>
    </row>
    <row r="623" spans="1:25" x14ac:dyDescent="0.25">
      <c r="A623" s="62" t="s">
        <v>334</v>
      </c>
      <c r="B623" s="62" t="s">
        <v>336</v>
      </c>
      <c r="C623" s="63" t="s">
        <v>2222</v>
      </c>
      <c r="D623" s="64">
        <v>1</v>
      </c>
      <c r="E623" s="65"/>
      <c r="F623" s="66">
        <v>100</v>
      </c>
      <c r="G623" s="63"/>
      <c r="H623" s="67"/>
      <c r="I623" s="68"/>
      <c r="J623" s="68"/>
      <c r="K623" s="34" t="s">
        <v>64</v>
      </c>
      <c r="L623" s="75">
        <v>623</v>
      </c>
      <c r="M623" s="75"/>
      <c r="N623" s="70"/>
      <c r="O623" s="77" t="s">
        <v>382</v>
      </c>
      <c r="P623" s="79">
        <v>41124.25708333333</v>
      </c>
      <c r="Q623" s="77"/>
      <c r="R623" s="77"/>
      <c r="S623" s="77"/>
      <c r="T623" s="77"/>
      <c r="U623" s="77"/>
      <c r="V623" s="77"/>
      <c r="W623" s="77"/>
      <c r="X623" s="77"/>
      <c r="Y623">
        <v>1</v>
      </c>
    </row>
    <row r="624" spans="1:25" x14ac:dyDescent="0.25">
      <c r="A624" s="62" t="s">
        <v>295</v>
      </c>
      <c r="B624" s="62" t="s">
        <v>295</v>
      </c>
      <c r="C624" s="63" t="s">
        <v>2219</v>
      </c>
      <c r="D624" s="64">
        <v>1</v>
      </c>
      <c r="E624" s="65"/>
      <c r="F624" s="66">
        <v>100</v>
      </c>
      <c r="G624" s="63"/>
      <c r="H624" s="67"/>
      <c r="I624" s="68"/>
      <c r="J624" s="68"/>
      <c r="K624" s="34" t="s">
        <v>64</v>
      </c>
      <c r="L624" s="75">
        <v>624</v>
      </c>
      <c r="M624" s="75"/>
      <c r="N624" s="70"/>
      <c r="O624" s="77" t="s">
        <v>180</v>
      </c>
      <c r="P624" s="79">
        <v>41123.830914351849</v>
      </c>
      <c r="Q624" s="77" t="s">
        <v>462</v>
      </c>
      <c r="R624" s="77"/>
      <c r="S624" s="77"/>
      <c r="T624" s="79">
        <v>41123.830914351849</v>
      </c>
      <c r="U624" s="81" t="s">
        <v>844</v>
      </c>
      <c r="V624" s="77"/>
      <c r="W624" s="77"/>
      <c r="X624" s="84" t="s">
        <v>1141</v>
      </c>
      <c r="Y624" s="82">
        <v>1</v>
      </c>
    </row>
    <row r="625" spans="1:25" x14ac:dyDescent="0.25">
      <c r="A625" s="62" t="s">
        <v>295</v>
      </c>
      <c r="B625" s="62" t="s">
        <v>246</v>
      </c>
      <c r="C625" s="63" t="s">
        <v>2222</v>
      </c>
      <c r="D625" s="64">
        <v>1</v>
      </c>
      <c r="E625" s="65"/>
      <c r="F625" s="66">
        <v>100</v>
      </c>
      <c r="G625" s="63"/>
      <c r="H625" s="67"/>
      <c r="I625" s="68"/>
      <c r="J625" s="68"/>
      <c r="K625" s="34" t="s">
        <v>64</v>
      </c>
      <c r="L625" s="75">
        <v>625</v>
      </c>
      <c r="M625" s="75"/>
      <c r="N625" s="70"/>
      <c r="O625" s="77" t="s">
        <v>382</v>
      </c>
      <c r="P625" s="79">
        <v>41124.25708333333</v>
      </c>
      <c r="Q625" s="77"/>
      <c r="R625" s="77"/>
      <c r="S625" s="77"/>
      <c r="T625" s="77"/>
      <c r="U625" s="77"/>
      <c r="V625" s="77"/>
      <c r="W625" s="77"/>
      <c r="X625" s="77"/>
      <c r="Y625">
        <v>1</v>
      </c>
    </row>
    <row r="626" spans="1:25" x14ac:dyDescent="0.25">
      <c r="A626" s="62" t="s">
        <v>295</v>
      </c>
      <c r="B626" s="62" t="s">
        <v>301</v>
      </c>
      <c r="C626" s="63" t="s">
        <v>2222</v>
      </c>
      <c r="D626" s="64">
        <v>1</v>
      </c>
      <c r="E626" s="65"/>
      <c r="F626" s="66">
        <v>100</v>
      </c>
      <c r="G626" s="63"/>
      <c r="H626" s="67"/>
      <c r="I626" s="68"/>
      <c r="J626" s="68"/>
      <c r="K626" s="34" t="s">
        <v>64</v>
      </c>
      <c r="L626" s="75">
        <v>626</v>
      </c>
      <c r="M626" s="75"/>
      <c r="N626" s="70"/>
      <c r="O626" s="77" t="s">
        <v>382</v>
      </c>
      <c r="P626" s="79">
        <v>41124.25708333333</v>
      </c>
      <c r="Q626" s="77"/>
      <c r="R626" s="77"/>
      <c r="S626" s="77"/>
      <c r="T626" s="77"/>
      <c r="U626" s="77"/>
      <c r="V626" s="77"/>
      <c r="W626" s="77"/>
      <c r="X626" s="77"/>
      <c r="Y626">
        <v>1</v>
      </c>
    </row>
    <row r="627" spans="1:25" x14ac:dyDescent="0.25">
      <c r="A627" s="62" t="s">
        <v>295</v>
      </c>
      <c r="B627" s="62" t="s">
        <v>314</v>
      </c>
      <c r="C627" s="63" t="s">
        <v>2222</v>
      </c>
      <c r="D627" s="64">
        <v>1</v>
      </c>
      <c r="E627" s="65"/>
      <c r="F627" s="66">
        <v>100</v>
      </c>
      <c r="G627" s="63"/>
      <c r="H627" s="67"/>
      <c r="I627" s="68"/>
      <c r="J627" s="68"/>
      <c r="K627" s="34" t="s">
        <v>65</v>
      </c>
      <c r="L627" s="75">
        <v>627</v>
      </c>
      <c r="M627" s="75"/>
      <c r="N627" s="70"/>
      <c r="O627" s="77" t="s">
        <v>382</v>
      </c>
      <c r="P627" s="79">
        <v>41124.25708333333</v>
      </c>
      <c r="Q627" s="77"/>
      <c r="R627" s="77"/>
      <c r="S627" s="77"/>
      <c r="T627" s="77"/>
      <c r="U627" s="77"/>
      <c r="V627" s="77"/>
      <c r="W627" s="77"/>
      <c r="X627" s="77"/>
      <c r="Y627">
        <v>1</v>
      </c>
    </row>
    <row r="628" spans="1:25" x14ac:dyDescent="0.25">
      <c r="A628" s="62" t="s">
        <v>314</v>
      </c>
      <c r="B628" s="62" t="s">
        <v>295</v>
      </c>
      <c r="C628" s="63" t="s">
        <v>2222</v>
      </c>
      <c r="D628" s="64">
        <v>1</v>
      </c>
      <c r="E628" s="65"/>
      <c r="F628" s="66">
        <v>100</v>
      </c>
      <c r="G628" s="63"/>
      <c r="H628" s="67"/>
      <c r="I628" s="68"/>
      <c r="J628" s="68"/>
      <c r="K628" s="34" t="s">
        <v>65</v>
      </c>
      <c r="L628" s="75">
        <v>628</v>
      </c>
      <c r="M628" s="75"/>
      <c r="N628" s="70"/>
      <c r="O628" s="77" t="s">
        <v>382</v>
      </c>
      <c r="P628" s="79">
        <v>41124.25708333333</v>
      </c>
      <c r="Q628" s="77"/>
      <c r="R628" s="77"/>
      <c r="S628" s="77"/>
      <c r="T628" s="77"/>
      <c r="U628" s="77"/>
      <c r="V628" s="77"/>
      <c r="W628" s="77"/>
      <c r="X628" s="77"/>
      <c r="Y628">
        <v>1</v>
      </c>
    </row>
    <row r="629" spans="1:25" x14ac:dyDescent="0.25">
      <c r="A629" s="62" t="s">
        <v>334</v>
      </c>
      <c r="B629" s="62" t="s">
        <v>295</v>
      </c>
      <c r="C629" s="63" t="s">
        <v>2222</v>
      </c>
      <c r="D629" s="64">
        <v>1</v>
      </c>
      <c r="E629" s="65"/>
      <c r="F629" s="66">
        <v>100</v>
      </c>
      <c r="G629" s="63"/>
      <c r="H629" s="67"/>
      <c r="I629" s="68"/>
      <c r="J629" s="68"/>
      <c r="K629" s="34" t="s">
        <v>64</v>
      </c>
      <c r="L629" s="75">
        <v>629</v>
      </c>
      <c r="M629" s="75"/>
      <c r="N629" s="70"/>
      <c r="O629" s="77" t="s">
        <v>382</v>
      </c>
      <c r="P629" s="79">
        <v>41124.25708333333</v>
      </c>
      <c r="Q629" s="77"/>
      <c r="R629" s="77"/>
      <c r="S629" s="77"/>
      <c r="T629" s="77"/>
      <c r="U629" s="77"/>
      <c r="V629" s="77"/>
      <c r="W629" s="77"/>
      <c r="X629" s="77"/>
      <c r="Y629">
        <v>1</v>
      </c>
    </row>
    <row r="630" spans="1:25" x14ac:dyDescent="0.25">
      <c r="A630" s="62" t="s">
        <v>334</v>
      </c>
      <c r="B630" s="62" t="s">
        <v>334</v>
      </c>
      <c r="C630" s="63" t="s">
        <v>2219</v>
      </c>
      <c r="D630" s="64">
        <v>1</v>
      </c>
      <c r="E630" s="65"/>
      <c r="F630" s="66">
        <v>100</v>
      </c>
      <c r="G630" s="63"/>
      <c r="H630" s="67"/>
      <c r="I630" s="68"/>
      <c r="J630" s="68"/>
      <c r="K630" s="34" t="s">
        <v>64</v>
      </c>
      <c r="L630" s="75">
        <v>630</v>
      </c>
      <c r="M630" s="75"/>
      <c r="N630" s="70"/>
      <c r="O630" s="77" t="s">
        <v>180</v>
      </c>
      <c r="P630" s="79">
        <v>41124.086087962962</v>
      </c>
      <c r="Q630" s="77" t="s">
        <v>525</v>
      </c>
      <c r="R630" s="77"/>
      <c r="S630" s="77" t="s">
        <v>654</v>
      </c>
      <c r="T630" s="79">
        <v>41124.086087962962</v>
      </c>
      <c r="U630" s="81" t="s">
        <v>845</v>
      </c>
      <c r="V630" s="77"/>
      <c r="W630" s="77"/>
      <c r="X630" s="84" t="s">
        <v>1142</v>
      </c>
      <c r="Y630" s="82">
        <v>1</v>
      </c>
    </row>
    <row r="631" spans="1:25" x14ac:dyDescent="0.25">
      <c r="A631" s="62" t="s">
        <v>334</v>
      </c>
      <c r="B631" s="62" t="s">
        <v>301</v>
      </c>
      <c r="C631" s="63" t="s">
        <v>2222</v>
      </c>
      <c r="D631" s="64">
        <v>1</v>
      </c>
      <c r="E631" s="65"/>
      <c r="F631" s="66">
        <v>100</v>
      </c>
      <c r="G631" s="63"/>
      <c r="H631" s="67"/>
      <c r="I631" s="68"/>
      <c r="J631" s="68"/>
      <c r="K631" s="34" t="s">
        <v>64</v>
      </c>
      <c r="L631" s="75">
        <v>631</v>
      </c>
      <c r="M631" s="75"/>
      <c r="N631" s="70"/>
      <c r="O631" s="77" t="s">
        <v>382</v>
      </c>
      <c r="P631" s="79">
        <v>41124.25708333333</v>
      </c>
      <c r="Q631" s="77"/>
      <c r="R631" s="77"/>
      <c r="S631" s="77"/>
      <c r="T631" s="77"/>
      <c r="U631" s="77"/>
      <c r="V631" s="77"/>
      <c r="W631" s="77"/>
      <c r="X631" s="77"/>
      <c r="Y631">
        <v>1</v>
      </c>
    </row>
    <row r="632" spans="1:25" x14ac:dyDescent="0.25">
      <c r="A632" s="62" t="s">
        <v>334</v>
      </c>
      <c r="B632" s="62" t="s">
        <v>314</v>
      </c>
      <c r="C632" s="63" t="s">
        <v>2222</v>
      </c>
      <c r="D632" s="64">
        <v>1</v>
      </c>
      <c r="E632" s="65"/>
      <c r="F632" s="66">
        <v>100</v>
      </c>
      <c r="G632" s="63"/>
      <c r="H632" s="67"/>
      <c r="I632" s="68"/>
      <c r="J632" s="68"/>
      <c r="K632" s="34" t="s">
        <v>64</v>
      </c>
      <c r="L632" s="75">
        <v>632</v>
      </c>
      <c r="M632" s="75"/>
      <c r="N632" s="70"/>
      <c r="O632" s="77" t="s">
        <v>382</v>
      </c>
      <c r="P632" s="79">
        <v>41124.25708333333</v>
      </c>
      <c r="Q632" s="77"/>
      <c r="R632" s="77"/>
      <c r="S632" s="77"/>
      <c r="T632" s="77"/>
      <c r="U632" s="77"/>
      <c r="V632" s="77"/>
      <c r="W632" s="77"/>
      <c r="X632" s="77"/>
      <c r="Y632">
        <v>1</v>
      </c>
    </row>
    <row r="633" spans="1:25" x14ac:dyDescent="0.25">
      <c r="A633" s="62" t="s">
        <v>334</v>
      </c>
      <c r="B633" s="62" t="s">
        <v>332</v>
      </c>
      <c r="C633" s="63" t="s">
        <v>2222</v>
      </c>
      <c r="D633" s="64">
        <v>1</v>
      </c>
      <c r="E633" s="65"/>
      <c r="F633" s="66">
        <v>100</v>
      </c>
      <c r="G633" s="63"/>
      <c r="H633" s="67"/>
      <c r="I633" s="68"/>
      <c r="J633" s="68"/>
      <c r="K633" s="34" t="s">
        <v>64</v>
      </c>
      <c r="L633" s="75">
        <v>633</v>
      </c>
      <c r="M633" s="75"/>
      <c r="N633" s="70"/>
      <c r="O633" s="77" t="s">
        <v>382</v>
      </c>
      <c r="P633" s="79">
        <v>41124.25708333333</v>
      </c>
      <c r="Q633" s="77"/>
      <c r="R633" s="77"/>
      <c r="S633" s="77"/>
      <c r="T633" s="77"/>
      <c r="U633" s="77"/>
      <c r="V633" s="77"/>
      <c r="W633" s="77"/>
      <c r="X633" s="77"/>
      <c r="Y633">
        <v>1</v>
      </c>
    </row>
    <row r="634" spans="1:25" x14ac:dyDescent="0.25">
      <c r="A634" s="62" t="s">
        <v>275</v>
      </c>
      <c r="B634" s="62" t="s">
        <v>275</v>
      </c>
      <c r="C634" s="63" t="s">
        <v>2219</v>
      </c>
      <c r="D634" s="64">
        <v>1</v>
      </c>
      <c r="E634" s="65"/>
      <c r="F634" s="66">
        <v>100</v>
      </c>
      <c r="G634" s="63"/>
      <c r="H634" s="67"/>
      <c r="I634" s="68"/>
      <c r="J634" s="68"/>
      <c r="K634" s="34" t="s">
        <v>64</v>
      </c>
      <c r="L634" s="75">
        <v>634</v>
      </c>
      <c r="M634" s="75"/>
      <c r="N634" s="70"/>
      <c r="O634" s="77" t="s">
        <v>180</v>
      </c>
      <c r="P634" s="79">
        <v>41123.732037037036</v>
      </c>
      <c r="Q634" s="77" t="s">
        <v>526</v>
      </c>
      <c r="R634" s="77"/>
      <c r="S634" s="77"/>
      <c r="T634" s="79">
        <v>41123.732037037036</v>
      </c>
      <c r="U634" s="81" t="s">
        <v>846</v>
      </c>
      <c r="V634" s="77"/>
      <c r="W634" s="77"/>
      <c r="X634" s="84" t="s">
        <v>1143</v>
      </c>
      <c r="Y634" s="82">
        <v>1</v>
      </c>
    </row>
    <row r="635" spans="1:25" x14ac:dyDescent="0.25">
      <c r="A635" s="62" t="s">
        <v>275</v>
      </c>
      <c r="B635" s="62" t="s">
        <v>368</v>
      </c>
      <c r="C635" s="63" t="s">
        <v>2222</v>
      </c>
      <c r="D635" s="64">
        <v>1</v>
      </c>
      <c r="E635" s="65"/>
      <c r="F635" s="66">
        <v>100</v>
      </c>
      <c r="G635" s="63"/>
      <c r="H635" s="67"/>
      <c r="I635" s="68"/>
      <c r="J635" s="68"/>
      <c r="K635" s="34" t="s">
        <v>64</v>
      </c>
      <c r="L635" s="75">
        <v>635</v>
      </c>
      <c r="M635" s="75"/>
      <c r="N635" s="70"/>
      <c r="O635" s="77" t="s">
        <v>382</v>
      </c>
      <c r="P635" s="79">
        <v>41124.25708333333</v>
      </c>
      <c r="Q635" s="77"/>
      <c r="R635" s="77"/>
      <c r="S635" s="77"/>
      <c r="T635" s="77"/>
      <c r="U635" s="77"/>
      <c r="V635" s="77"/>
      <c r="W635" s="77"/>
      <c r="X635" s="77"/>
      <c r="Y635">
        <v>1</v>
      </c>
    </row>
    <row r="636" spans="1:25" x14ac:dyDescent="0.25">
      <c r="A636" s="62" t="s">
        <v>275</v>
      </c>
      <c r="B636" s="62" t="s">
        <v>332</v>
      </c>
      <c r="C636" s="63" t="s">
        <v>2222</v>
      </c>
      <c r="D636" s="64">
        <v>1</v>
      </c>
      <c r="E636" s="65"/>
      <c r="F636" s="66">
        <v>100</v>
      </c>
      <c r="G636" s="63"/>
      <c r="H636" s="67"/>
      <c r="I636" s="68"/>
      <c r="J636" s="68"/>
      <c r="K636" s="34" t="s">
        <v>65</v>
      </c>
      <c r="L636" s="75">
        <v>636</v>
      </c>
      <c r="M636" s="75"/>
      <c r="N636" s="70"/>
      <c r="O636" s="77" t="s">
        <v>382</v>
      </c>
      <c r="P636" s="79">
        <v>41124.25708333333</v>
      </c>
      <c r="Q636" s="77"/>
      <c r="R636" s="77"/>
      <c r="S636" s="77"/>
      <c r="T636" s="77"/>
      <c r="U636" s="77"/>
      <c r="V636" s="77"/>
      <c r="W636" s="77"/>
      <c r="X636" s="77"/>
      <c r="Y636">
        <v>1</v>
      </c>
    </row>
    <row r="637" spans="1:25" x14ac:dyDescent="0.25">
      <c r="A637" s="62" t="s">
        <v>275</v>
      </c>
      <c r="B637" s="62" t="s">
        <v>301</v>
      </c>
      <c r="C637" s="63" t="s">
        <v>2222</v>
      </c>
      <c r="D637" s="64">
        <v>1</v>
      </c>
      <c r="E637" s="65"/>
      <c r="F637" s="66">
        <v>100</v>
      </c>
      <c r="G637" s="63"/>
      <c r="H637" s="67"/>
      <c r="I637" s="68"/>
      <c r="J637" s="68"/>
      <c r="K637" s="34" t="s">
        <v>64</v>
      </c>
      <c r="L637" s="75">
        <v>637</v>
      </c>
      <c r="M637" s="75"/>
      <c r="N637" s="70"/>
      <c r="O637" s="77" t="s">
        <v>382</v>
      </c>
      <c r="P637" s="79">
        <v>41124.25708333333</v>
      </c>
      <c r="Q637" s="77"/>
      <c r="R637" s="77"/>
      <c r="S637" s="77"/>
      <c r="T637" s="77"/>
      <c r="U637" s="77"/>
      <c r="V637" s="77"/>
      <c r="W637" s="77"/>
      <c r="X637" s="77"/>
      <c r="Y637">
        <v>1</v>
      </c>
    </row>
    <row r="638" spans="1:25" x14ac:dyDescent="0.25">
      <c r="A638" s="62" t="s">
        <v>275</v>
      </c>
      <c r="B638" s="62" t="s">
        <v>337</v>
      </c>
      <c r="C638" s="63" t="s">
        <v>2222</v>
      </c>
      <c r="D638" s="64">
        <v>1</v>
      </c>
      <c r="E638" s="65"/>
      <c r="F638" s="66">
        <v>100</v>
      </c>
      <c r="G638" s="63"/>
      <c r="H638" s="67"/>
      <c r="I638" s="68"/>
      <c r="J638" s="68"/>
      <c r="K638" s="34" t="s">
        <v>65</v>
      </c>
      <c r="L638" s="75">
        <v>638</v>
      </c>
      <c r="M638" s="75"/>
      <c r="N638" s="70"/>
      <c r="O638" s="77" t="s">
        <v>382</v>
      </c>
      <c r="P638" s="79">
        <v>41124.25708333333</v>
      </c>
      <c r="Q638" s="77"/>
      <c r="R638" s="77"/>
      <c r="S638" s="77"/>
      <c r="T638" s="77"/>
      <c r="U638" s="77"/>
      <c r="V638" s="77"/>
      <c r="W638" s="77"/>
      <c r="X638" s="77"/>
      <c r="Y638">
        <v>1</v>
      </c>
    </row>
    <row r="639" spans="1:25" x14ac:dyDescent="0.25">
      <c r="A639" s="62" t="s">
        <v>275</v>
      </c>
      <c r="B639" s="62" t="s">
        <v>340</v>
      </c>
      <c r="C639" s="63" t="s">
        <v>2222</v>
      </c>
      <c r="D639" s="64">
        <v>1</v>
      </c>
      <c r="E639" s="65"/>
      <c r="F639" s="66">
        <v>100</v>
      </c>
      <c r="G639" s="63"/>
      <c r="H639" s="67"/>
      <c r="I639" s="68"/>
      <c r="J639" s="68"/>
      <c r="K639" s="34" t="s">
        <v>64</v>
      </c>
      <c r="L639" s="75">
        <v>639</v>
      </c>
      <c r="M639" s="75"/>
      <c r="N639" s="70"/>
      <c r="O639" s="77" t="s">
        <v>382</v>
      </c>
      <c r="P639" s="79">
        <v>41124.25708333333</v>
      </c>
      <c r="Q639" s="77"/>
      <c r="R639" s="77"/>
      <c r="S639" s="77"/>
      <c r="T639" s="77"/>
      <c r="U639" s="77"/>
      <c r="V639" s="77"/>
      <c r="W639" s="77"/>
      <c r="X639" s="77"/>
      <c r="Y639">
        <v>1</v>
      </c>
    </row>
    <row r="640" spans="1:25" x14ac:dyDescent="0.25">
      <c r="A640" s="62" t="s">
        <v>332</v>
      </c>
      <c r="B640" s="62" t="s">
        <v>275</v>
      </c>
      <c r="C640" s="63" t="s">
        <v>2222</v>
      </c>
      <c r="D640" s="64">
        <v>1</v>
      </c>
      <c r="E640" s="65"/>
      <c r="F640" s="66">
        <v>100</v>
      </c>
      <c r="G640" s="63"/>
      <c r="H640" s="67"/>
      <c r="I640" s="68"/>
      <c r="J640" s="68"/>
      <c r="K640" s="34" t="s">
        <v>65</v>
      </c>
      <c r="L640" s="75">
        <v>640</v>
      </c>
      <c r="M640" s="75"/>
      <c r="N640" s="70"/>
      <c r="O640" s="77" t="s">
        <v>382</v>
      </c>
      <c r="P640" s="79">
        <v>41124.25708333333</v>
      </c>
      <c r="Q640" s="77"/>
      <c r="R640" s="77"/>
      <c r="S640" s="77"/>
      <c r="T640" s="77"/>
      <c r="U640" s="77"/>
      <c r="V640" s="77"/>
      <c r="W640" s="77"/>
      <c r="X640" s="77"/>
      <c r="Y640">
        <v>1</v>
      </c>
    </row>
    <row r="641" spans="1:25" x14ac:dyDescent="0.25">
      <c r="A641" s="62" t="s">
        <v>337</v>
      </c>
      <c r="B641" s="62" t="s">
        <v>275</v>
      </c>
      <c r="C641" s="63" t="s">
        <v>2222</v>
      </c>
      <c r="D641" s="64">
        <v>1</v>
      </c>
      <c r="E641" s="65"/>
      <c r="F641" s="66">
        <v>100</v>
      </c>
      <c r="G641" s="63"/>
      <c r="H641" s="67"/>
      <c r="I641" s="68"/>
      <c r="J641" s="68"/>
      <c r="K641" s="34" t="s">
        <v>65</v>
      </c>
      <c r="L641" s="75">
        <v>641</v>
      </c>
      <c r="M641" s="75"/>
      <c r="N641" s="70"/>
      <c r="O641" s="77" t="s">
        <v>382</v>
      </c>
      <c r="P641" s="79">
        <v>41124.25708333333</v>
      </c>
      <c r="Q641" s="77"/>
      <c r="R641" s="77"/>
      <c r="S641" s="77"/>
      <c r="T641" s="77"/>
      <c r="U641" s="77"/>
      <c r="V641" s="77"/>
      <c r="W641" s="77"/>
      <c r="X641" s="77"/>
      <c r="Y641">
        <v>1</v>
      </c>
    </row>
    <row r="642" spans="1:25" x14ac:dyDescent="0.25">
      <c r="A642" s="62" t="s">
        <v>301</v>
      </c>
      <c r="B642" s="62" t="s">
        <v>301</v>
      </c>
      <c r="C642" s="63" t="s">
        <v>2219</v>
      </c>
      <c r="D642" s="64">
        <v>1.5</v>
      </c>
      <c r="E642" s="65"/>
      <c r="F642" s="66">
        <v>97.777777777777771</v>
      </c>
      <c r="G642" s="63"/>
      <c r="H642" s="67"/>
      <c r="I642" s="68"/>
      <c r="J642" s="68"/>
      <c r="K642" s="34" t="s">
        <v>64</v>
      </c>
      <c r="L642" s="75">
        <v>642</v>
      </c>
      <c r="M642" s="75"/>
      <c r="N642" s="70"/>
      <c r="O642" s="77" t="s">
        <v>180</v>
      </c>
      <c r="P642" s="79">
        <v>41123.724374999998</v>
      </c>
      <c r="Q642" s="77" t="s">
        <v>527</v>
      </c>
      <c r="R642" s="77"/>
      <c r="S642" s="77"/>
      <c r="T642" s="79">
        <v>41123.724374999998</v>
      </c>
      <c r="U642" s="81" t="s">
        <v>847</v>
      </c>
      <c r="V642" s="77"/>
      <c r="W642" s="77"/>
      <c r="X642" s="84" t="s">
        <v>1144</v>
      </c>
      <c r="Y642" s="82">
        <v>2</v>
      </c>
    </row>
    <row r="643" spans="1:25" x14ac:dyDescent="0.25">
      <c r="A643" s="62" t="s">
        <v>301</v>
      </c>
      <c r="B643" s="62" t="s">
        <v>301</v>
      </c>
      <c r="C643" s="63" t="s">
        <v>2219</v>
      </c>
      <c r="D643" s="64">
        <v>1.5</v>
      </c>
      <c r="E643" s="65"/>
      <c r="F643" s="66">
        <v>97.777777777777771</v>
      </c>
      <c r="G643" s="63"/>
      <c r="H643" s="67"/>
      <c r="I643" s="68"/>
      <c r="J643" s="68"/>
      <c r="K643" s="34" t="s">
        <v>64</v>
      </c>
      <c r="L643" s="75">
        <v>643</v>
      </c>
      <c r="M643" s="75"/>
      <c r="N643" s="70"/>
      <c r="O643" s="77" t="s">
        <v>180</v>
      </c>
      <c r="P643" s="79">
        <v>41123.903182870374</v>
      </c>
      <c r="Q643" s="77" t="s">
        <v>528</v>
      </c>
      <c r="R643" s="77"/>
      <c r="S643" s="77"/>
      <c r="T643" s="79">
        <v>41123.903182870374</v>
      </c>
      <c r="U643" s="81" t="s">
        <v>848</v>
      </c>
      <c r="V643" s="77"/>
      <c r="W643" s="77"/>
      <c r="X643" s="84" t="s">
        <v>1145</v>
      </c>
      <c r="Y643" s="82">
        <v>2</v>
      </c>
    </row>
    <row r="644" spans="1:25" x14ac:dyDescent="0.25">
      <c r="A644" s="62" t="s">
        <v>301</v>
      </c>
      <c r="B644" s="62" t="s">
        <v>246</v>
      </c>
      <c r="C644" s="63" t="s">
        <v>2222</v>
      </c>
      <c r="D644" s="64">
        <v>1</v>
      </c>
      <c r="E644" s="65"/>
      <c r="F644" s="66">
        <v>100</v>
      </c>
      <c r="G644" s="63"/>
      <c r="H644" s="67"/>
      <c r="I644" s="68"/>
      <c r="J644" s="68"/>
      <c r="K644" s="34" t="s">
        <v>64</v>
      </c>
      <c r="L644" s="75">
        <v>644</v>
      </c>
      <c r="M644" s="75"/>
      <c r="N644" s="70"/>
      <c r="O644" s="77" t="s">
        <v>382</v>
      </c>
      <c r="P644" s="79">
        <v>41124.25708333333</v>
      </c>
      <c r="Q644" s="77"/>
      <c r="R644" s="77"/>
      <c r="S644" s="77"/>
      <c r="T644" s="77"/>
      <c r="U644" s="77"/>
      <c r="V644" s="77"/>
      <c r="W644" s="77"/>
      <c r="X644" s="77"/>
      <c r="Y644">
        <v>1</v>
      </c>
    </row>
    <row r="645" spans="1:25" x14ac:dyDescent="0.25">
      <c r="A645" s="62" t="s">
        <v>301</v>
      </c>
      <c r="B645" s="62" t="s">
        <v>332</v>
      </c>
      <c r="C645" s="63" t="s">
        <v>2222</v>
      </c>
      <c r="D645" s="64">
        <v>1</v>
      </c>
      <c r="E645" s="65"/>
      <c r="F645" s="66">
        <v>100</v>
      </c>
      <c r="G645" s="63"/>
      <c r="H645" s="67"/>
      <c r="I645" s="68"/>
      <c r="J645" s="68"/>
      <c r="K645" s="34" t="s">
        <v>65</v>
      </c>
      <c r="L645" s="75">
        <v>645</v>
      </c>
      <c r="M645" s="75"/>
      <c r="N645" s="70"/>
      <c r="O645" s="77" t="s">
        <v>382</v>
      </c>
      <c r="P645" s="79">
        <v>41124.25708333333</v>
      </c>
      <c r="Q645" s="77"/>
      <c r="R645" s="77"/>
      <c r="S645" s="77"/>
      <c r="T645" s="77"/>
      <c r="U645" s="77"/>
      <c r="V645" s="77"/>
      <c r="W645" s="77"/>
      <c r="X645" s="77"/>
      <c r="Y645">
        <v>1</v>
      </c>
    </row>
    <row r="646" spans="1:25" x14ac:dyDescent="0.25">
      <c r="A646" s="62" t="s">
        <v>301</v>
      </c>
      <c r="B646" s="62" t="s">
        <v>319</v>
      </c>
      <c r="C646" s="63" t="s">
        <v>2222</v>
      </c>
      <c r="D646" s="64">
        <v>1</v>
      </c>
      <c r="E646" s="65"/>
      <c r="F646" s="66">
        <v>100</v>
      </c>
      <c r="G646" s="63"/>
      <c r="H646" s="67"/>
      <c r="I646" s="68"/>
      <c r="J646" s="68"/>
      <c r="K646" s="34" t="s">
        <v>65</v>
      </c>
      <c r="L646" s="75">
        <v>646</v>
      </c>
      <c r="M646" s="75"/>
      <c r="N646" s="70"/>
      <c r="O646" s="77" t="s">
        <v>382</v>
      </c>
      <c r="P646" s="79">
        <v>41124.25708333333</v>
      </c>
      <c r="Q646" s="77"/>
      <c r="R646" s="77"/>
      <c r="S646" s="77"/>
      <c r="T646" s="77"/>
      <c r="U646" s="77"/>
      <c r="V646" s="77"/>
      <c r="W646" s="77"/>
      <c r="X646" s="77"/>
      <c r="Y646">
        <v>1</v>
      </c>
    </row>
    <row r="647" spans="1:25" x14ac:dyDescent="0.25">
      <c r="A647" s="62" t="s">
        <v>301</v>
      </c>
      <c r="B647" s="62" t="s">
        <v>286</v>
      </c>
      <c r="C647" s="63" t="s">
        <v>2222</v>
      </c>
      <c r="D647" s="64">
        <v>1</v>
      </c>
      <c r="E647" s="65"/>
      <c r="F647" s="66">
        <v>100</v>
      </c>
      <c r="G647" s="63"/>
      <c r="H647" s="67"/>
      <c r="I647" s="68"/>
      <c r="J647" s="68"/>
      <c r="K647" s="34" t="s">
        <v>64</v>
      </c>
      <c r="L647" s="75">
        <v>647</v>
      </c>
      <c r="M647" s="75"/>
      <c r="N647" s="70"/>
      <c r="O647" s="77" t="s">
        <v>382</v>
      </c>
      <c r="P647" s="79">
        <v>41124.25708333333</v>
      </c>
      <c r="Q647" s="77"/>
      <c r="R647" s="77"/>
      <c r="S647" s="77"/>
      <c r="T647" s="77"/>
      <c r="U647" s="77"/>
      <c r="V647" s="77"/>
      <c r="W647" s="77"/>
      <c r="X647" s="77"/>
      <c r="Y647">
        <v>1</v>
      </c>
    </row>
    <row r="648" spans="1:25" x14ac:dyDescent="0.25">
      <c r="A648" s="62" t="s">
        <v>319</v>
      </c>
      <c r="B648" s="62" t="s">
        <v>301</v>
      </c>
      <c r="C648" s="63" t="s">
        <v>2222</v>
      </c>
      <c r="D648" s="64">
        <v>1</v>
      </c>
      <c r="E648" s="65"/>
      <c r="F648" s="66">
        <v>100</v>
      </c>
      <c r="G648" s="63"/>
      <c r="H648" s="67"/>
      <c r="I648" s="68"/>
      <c r="J648" s="68"/>
      <c r="K648" s="34" t="s">
        <v>65</v>
      </c>
      <c r="L648" s="75">
        <v>648</v>
      </c>
      <c r="M648" s="75"/>
      <c r="N648" s="70"/>
      <c r="O648" s="77" t="s">
        <v>382</v>
      </c>
      <c r="P648" s="79">
        <v>41124.25708333333</v>
      </c>
      <c r="Q648" s="77"/>
      <c r="R648" s="77"/>
      <c r="S648" s="77"/>
      <c r="T648" s="77"/>
      <c r="U648" s="77"/>
      <c r="V648" s="77"/>
      <c r="W648" s="77"/>
      <c r="X648" s="77"/>
      <c r="Y648">
        <v>1</v>
      </c>
    </row>
    <row r="649" spans="1:25" x14ac:dyDescent="0.25">
      <c r="A649" s="62" t="s">
        <v>332</v>
      </c>
      <c r="B649" s="62" t="s">
        <v>301</v>
      </c>
      <c r="C649" s="63" t="s">
        <v>2222</v>
      </c>
      <c r="D649" s="64">
        <v>1</v>
      </c>
      <c r="E649" s="65"/>
      <c r="F649" s="66">
        <v>100</v>
      </c>
      <c r="G649" s="63"/>
      <c r="H649" s="67"/>
      <c r="I649" s="68"/>
      <c r="J649" s="68"/>
      <c r="K649" s="34" t="s">
        <v>65</v>
      </c>
      <c r="L649" s="75">
        <v>649</v>
      </c>
      <c r="M649" s="75"/>
      <c r="N649" s="70"/>
      <c r="O649" s="77" t="s">
        <v>382</v>
      </c>
      <c r="P649" s="79">
        <v>41124.25708333333</v>
      </c>
      <c r="Q649" s="77"/>
      <c r="R649" s="77"/>
      <c r="S649" s="77"/>
      <c r="T649" s="77"/>
      <c r="U649" s="77"/>
      <c r="V649" s="77"/>
      <c r="W649" s="77"/>
      <c r="X649" s="77"/>
      <c r="Y649">
        <v>1</v>
      </c>
    </row>
    <row r="650" spans="1:25" x14ac:dyDescent="0.25">
      <c r="A650" s="62" t="s">
        <v>337</v>
      </c>
      <c r="B650" s="62" t="s">
        <v>301</v>
      </c>
      <c r="C650" s="63" t="s">
        <v>2222</v>
      </c>
      <c r="D650" s="64">
        <v>1</v>
      </c>
      <c r="E650" s="65"/>
      <c r="F650" s="66">
        <v>100</v>
      </c>
      <c r="G650" s="63"/>
      <c r="H650" s="67"/>
      <c r="I650" s="68"/>
      <c r="J650" s="68"/>
      <c r="K650" s="34" t="s">
        <v>64</v>
      </c>
      <c r="L650" s="75">
        <v>650</v>
      </c>
      <c r="M650" s="75"/>
      <c r="N650" s="70"/>
      <c r="O650" s="77" t="s">
        <v>382</v>
      </c>
      <c r="P650" s="79">
        <v>41124.25708333333</v>
      </c>
      <c r="Q650" s="77"/>
      <c r="R650" s="77"/>
      <c r="S650" s="77"/>
      <c r="T650" s="77"/>
      <c r="U650" s="77"/>
      <c r="V650" s="77"/>
      <c r="W650" s="77"/>
      <c r="X650" s="77"/>
      <c r="Y650">
        <v>1</v>
      </c>
    </row>
    <row r="651" spans="1:25" x14ac:dyDescent="0.25">
      <c r="A651" s="62" t="s">
        <v>337</v>
      </c>
      <c r="B651" s="62" t="s">
        <v>337</v>
      </c>
      <c r="C651" s="63" t="s">
        <v>2219</v>
      </c>
      <c r="D651" s="64">
        <v>1</v>
      </c>
      <c r="E651" s="65"/>
      <c r="F651" s="66">
        <v>100</v>
      </c>
      <c r="G651" s="63"/>
      <c r="H651" s="67"/>
      <c r="I651" s="68"/>
      <c r="J651" s="68"/>
      <c r="K651" s="34" t="s">
        <v>64</v>
      </c>
      <c r="L651" s="75">
        <v>651</v>
      </c>
      <c r="M651" s="75"/>
      <c r="N651" s="70"/>
      <c r="O651" s="77" t="s">
        <v>180</v>
      </c>
      <c r="P651" s="79">
        <v>41124.087268518517</v>
      </c>
      <c r="Q651" s="77" t="s">
        <v>525</v>
      </c>
      <c r="R651" s="77"/>
      <c r="S651" s="77" t="s">
        <v>654</v>
      </c>
      <c r="T651" s="79">
        <v>41124.087268518517</v>
      </c>
      <c r="U651" s="81" t="s">
        <v>849</v>
      </c>
      <c r="V651" s="77"/>
      <c r="W651" s="77"/>
      <c r="X651" s="84" t="s">
        <v>1146</v>
      </c>
      <c r="Y651" s="82">
        <v>1</v>
      </c>
    </row>
    <row r="652" spans="1:25" x14ac:dyDescent="0.25">
      <c r="A652" s="62" t="s">
        <v>337</v>
      </c>
      <c r="B652" s="62" t="s">
        <v>332</v>
      </c>
      <c r="C652" s="63" t="s">
        <v>2222</v>
      </c>
      <c r="D652" s="64">
        <v>1</v>
      </c>
      <c r="E652" s="65"/>
      <c r="F652" s="66">
        <v>100</v>
      </c>
      <c r="G652" s="63"/>
      <c r="H652" s="67"/>
      <c r="I652" s="68"/>
      <c r="J652" s="68"/>
      <c r="K652" s="34" t="s">
        <v>64</v>
      </c>
      <c r="L652" s="75">
        <v>652</v>
      </c>
      <c r="M652" s="75"/>
      <c r="N652" s="70"/>
      <c r="O652" s="77" t="s">
        <v>382</v>
      </c>
      <c r="P652" s="79">
        <v>41124.25708333333</v>
      </c>
      <c r="Q652" s="77"/>
      <c r="R652" s="77"/>
      <c r="S652" s="77"/>
      <c r="T652" s="77"/>
      <c r="U652" s="77"/>
      <c r="V652" s="77"/>
      <c r="W652" s="77"/>
      <c r="X652" s="77"/>
      <c r="Y652">
        <v>1</v>
      </c>
    </row>
    <row r="653" spans="1:25" x14ac:dyDescent="0.25">
      <c r="A653" s="62" t="s">
        <v>338</v>
      </c>
      <c r="B653" s="62" t="s">
        <v>338</v>
      </c>
      <c r="C653" s="63" t="s">
        <v>2219</v>
      </c>
      <c r="D653" s="64">
        <v>1</v>
      </c>
      <c r="E653" s="65"/>
      <c r="F653" s="66">
        <v>100</v>
      </c>
      <c r="G653" s="63"/>
      <c r="H653" s="67"/>
      <c r="I653" s="68"/>
      <c r="J653" s="68"/>
      <c r="K653" s="34" t="s">
        <v>64</v>
      </c>
      <c r="L653" s="75">
        <v>653</v>
      </c>
      <c r="M653" s="75"/>
      <c r="N653" s="70"/>
      <c r="O653" s="77" t="s">
        <v>180</v>
      </c>
      <c r="P653" s="79">
        <v>41124.091979166667</v>
      </c>
      <c r="Q653" s="77" t="s">
        <v>525</v>
      </c>
      <c r="R653" s="77"/>
      <c r="S653" s="77" t="s">
        <v>654</v>
      </c>
      <c r="T653" s="79">
        <v>41124.091979166667</v>
      </c>
      <c r="U653" s="81" t="s">
        <v>850</v>
      </c>
      <c r="V653" s="77"/>
      <c r="W653" s="77"/>
      <c r="X653" s="84" t="s">
        <v>1147</v>
      </c>
      <c r="Y653" s="82">
        <v>1</v>
      </c>
    </row>
    <row r="654" spans="1:25" x14ac:dyDescent="0.25">
      <c r="A654" s="62" t="s">
        <v>332</v>
      </c>
      <c r="B654" s="62" t="s">
        <v>338</v>
      </c>
      <c r="C654" s="63" t="s">
        <v>2222</v>
      </c>
      <c r="D654" s="64">
        <v>1</v>
      </c>
      <c r="E654" s="65"/>
      <c r="F654" s="66">
        <v>100</v>
      </c>
      <c r="G654" s="63"/>
      <c r="H654" s="67"/>
      <c r="I654" s="68"/>
      <c r="J654" s="68"/>
      <c r="K654" s="34" t="s">
        <v>65</v>
      </c>
      <c r="L654" s="75">
        <v>654</v>
      </c>
      <c r="M654" s="75"/>
      <c r="N654" s="70"/>
      <c r="O654" s="77" t="s">
        <v>382</v>
      </c>
      <c r="P654" s="79">
        <v>41124.25708333333</v>
      </c>
      <c r="Q654" s="77"/>
      <c r="R654" s="77"/>
      <c r="S654" s="77"/>
      <c r="T654" s="77"/>
      <c r="U654" s="77"/>
      <c r="V654" s="77"/>
      <c r="W654" s="77"/>
      <c r="X654" s="77"/>
      <c r="Y654">
        <v>1</v>
      </c>
    </row>
    <row r="655" spans="1:25" x14ac:dyDescent="0.25">
      <c r="A655" s="62" t="s">
        <v>338</v>
      </c>
      <c r="B655" s="62" t="s">
        <v>332</v>
      </c>
      <c r="C655" s="63" t="s">
        <v>2222</v>
      </c>
      <c r="D655" s="64">
        <v>1</v>
      </c>
      <c r="E655" s="65"/>
      <c r="F655" s="66">
        <v>100</v>
      </c>
      <c r="G655" s="63"/>
      <c r="H655" s="67"/>
      <c r="I655" s="68"/>
      <c r="J655" s="68"/>
      <c r="K655" s="34" t="s">
        <v>65</v>
      </c>
      <c r="L655" s="75">
        <v>655</v>
      </c>
      <c r="M655" s="75"/>
      <c r="N655" s="70"/>
      <c r="O655" s="77" t="s">
        <v>382</v>
      </c>
      <c r="P655" s="79">
        <v>41124.25708333333</v>
      </c>
      <c r="Q655" s="77"/>
      <c r="R655" s="77"/>
      <c r="S655" s="77"/>
      <c r="T655" s="77"/>
      <c r="U655" s="77"/>
      <c r="V655" s="77"/>
      <c r="W655" s="77"/>
      <c r="X655" s="77"/>
      <c r="Y655">
        <v>1</v>
      </c>
    </row>
    <row r="656" spans="1:25" x14ac:dyDescent="0.25">
      <c r="A656" s="62" t="s">
        <v>338</v>
      </c>
      <c r="B656" s="62" t="s">
        <v>339</v>
      </c>
      <c r="C656" s="63" t="s">
        <v>2222</v>
      </c>
      <c r="D656" s="64">
        <v>1</v>
      </c>
      <c r="E656" s="65"/>
      <c r="F656" s="66">
        <v>100</v>
      </c>
      <c r="G656" s="63"/>
      <c r="H656" s="67"/>
      <c r="I656" s="68"/>
      <c r="J656" s="68"/>
      <c r="K656" s="34" t="s">
        <v>65</v>
      </c>
      <c r="L656" s="75">
        <v>656</v>
      </c>
      <c r="M656" s="75"/>
      <c r="N656" s="70"/>
      <c r="O656" s="77" t="s">
        <v>382</v>
      </c>
      <c r="P656" s="79">
        <v>41124.25708333333</v>
      </c>
      <c r="Q656" s="77"/>
      <c r="R656" s="77"/>
      <c r="S656" s="77"/>
      <c r="T656" s="77"/>
      <c r="U656" s="77"/>
      <c r="V656" s="77"/>
      <c r="W656" s="77"/>
      <c r="X656" s="77"/>
      <c r="Y656">
        <v>1</v>
      </c>
    </row>
    <row r="657" spans="1:25" x14ac:dyDescent="0.25">
      <c r="A657" s="62" t="s">
        <v>339</v>
      </c>
      <c r="B657" s="62" t="s">
        <v>338</v>
      </c>
      <c r="C657" s="63" t="s">
        <v>2222</v>
      </c>
      <c r="D657" s="64">
        <v>1</v>
      </c>
      <c r="E657" s="65"/>
      <c r="F657" s="66">
        <v>100</v>
      </c>
      <c r="G657" s="63"/>
      <c r="H657" s="67"/>
      <c r="I657" s="68"/>
      <c r="J657" s="68"/>
      <c r="K657" s="34" t="s">
        <v>65</v>
      </c>
      <c r="L657" s="75">
        <v>657</v>
      </c>
      <c r="M657" s="75"/>
      <c r="N657" s="70"/>
      <c r="O657" s="77" t="s">
        <v>382</v>
      </c>
      <c r="P657" s="79">
        <v>41124.25708333333</v>
      </c>
      <c r="Q657" s="77"/>
      <c r="R657" s="77"/>
      <c r="S657" s="77"/>
      <c r="T657" s="77"/>
      <c r="U657" s="77"/>
      <c r="V657" s="77"/>
      <c r="W657" s="77"/>
      <c r="X657" s="77"/>
      <c r="Y657">
        <v>1</v>
      </c>
    </row>
    <row r="658" spans="1:25" x14ac:dyDescent="0.25">
      <c r="A658" s="62" t="s">
        <v>319</v>
      </c>
      <c r="B658" s="62" t="s">
        <v>319</v>
      </c>
      <c r="C658" s="63" t="s">
        <v>2219</v>
      </c>
      <c r="D658" s="64">
        <v>3</v>
      </c>
      <c r="E658" s="65"/>
      <c r="F658" s="66">
        <v>91.111111111111114</v>
      </c>
      <c r="G658" s="63"/>
      <c r="H658" s="67"/>
      <c r="I658" s="68"/>
      <c r="J658" s="68"/>
      <c r="K658" s="34" t="s">
        <v>64</v>
      </c>
      <c r="L658" s="75">
        <v>658</v>
      </c>
      <c r="M658" s="75"/>
      <c r="N658" s="70"/>
      <c r="O658" s="77" t="s">
        <v>180</v>
      </c>
      <c r="P658" s="79">
        <v>41123.66128472222</v>
      </c>
      <c r="Q658" s="77" t="s">
        <v>529</v>
      </c>
      <c r="R658" s="77"/>
      <c r="S658" s="77" t="s">
        <v>655</v>
      </c>
      <c r="T658" s="79">
        <v>41123.66128472222</v>
      </c>
      <c r="U658" s="81" t="s">
        <v>851</v>
      </c>
      <c r="V658" s="77"/>
      <c r="W658" s="77"/>
      <c r="X658" s="84" t="s">
        <v>1148</v>
      </c>
      <c r="Y658" s="82">
        <v>5</v>
      </c>
    </row>
    <row r="659" spans="1:25" x14ac:dyDescent="0.25">
      <c r="A659" s="62" t="s">
        <v>319</v>
      </c>
      <c r="B659" s="62" t="s">
        <v>319</v>
      </c>
      <c r="C659" s="63" t="s">
        <v>2219</v>
      </c>
      <c r="D659" s="64">
        <v>3</v>
      </c>
      <c r="E659" s="65"/>
      <c r="F659" s="66">
        <v>91.111111111111114</v>
      </c>
      <c r="G659" s="63"/>
      <c r="H659" s="67"/>
      <c r="I659" s="68"/>
      <c r="J659" s="68"/>
      <c r="K659" s="34" t="s">
        <v>64</v>
      </c>
      <c r="L659" s="75">
        <v>659</v>
      </c>
      <c r="M659" s="75"/>
      <c r="N659" s="70"/>
      <c r="O659" s="77" t="s">
        <v>180</v>
      </c>
      <c r="P659" s="79">
        <v>41123.664918981478</v>
      </c>
      <c r="Q659" s="77" t="s">
        <v>530</v>
      </c>
      <c r="R659" s="77"/>
      <c r="S659" s="77" t="s">
        <v>656</v>
      </c>
      <c r="T659" s="79">
        <v>41123.664918981478</v>
      </c>
      <c r="U659" s="81" t="s">
        <v>852</v>
      </c>
      <c r="V659" s="77"/>
      <c r="W659" s="77"/>
      <c r="X659" s="84" t="s">
        <v>1149</v>
      </c>
      <c r="Y659" s="82">
        <v>5</v>
      </c>
    </row>
    <row r="660" spans="1:25" x14ac:dyDescent="0.25">
      <c r="A660" s="62" t="s">
        <v>319</v>
      </c>
      <c r="B660" s="62" t="s">
        <v>319</v>
      </c>
      <c r="C660" s="63" t="s">
        <v>2219</v>
      </c>
      <c r="D660" s="64">
        <v>3</v>
      </c>
      <c r="E660" s="65"/>
      <c r="F660" s="66">
        <v>91.111111111111114</v>
      </c>
      <c r="G660" s="63"/>
      <c r="H660" s="67"/>
      <c r="I660" s="68"/>
      <c r="J660" s="68"/>
      <c r="K660" s="34" t="s">
        <v>64</v>
      </c>
      <c r="L660" s="75">
        <v>660</v>
      </c>
      <c r="M660" s="75"/>
      <c r="N660" s="70"/>
      <c r="O660" s="77" t="s">
        <v>180</v>
      </c>
      <c r="P660" s="79">
        <v>41123.67083333333</v>
      </c>
      <c r="Q660" s="77" t="s">
        <v>531</v>
      </c>
      <c r="R660" s="77"/>
      <c r="S660" s="77" t="s">
        <v>657</v>
      </c>
      <c r="T660" s="79">
        <v>41123.67083333333</v>
      </c>
      <c r="U660" s="81" t="s">
        <v>853</v>
      </c>
      <c r="V660" s="77"/>
      <c r="W660" s="77"/>
      <c r="X660" s="84" t="s">
        <v>1150</v>
      </c>
      <c r="Y660" s="82">
        <v>5</v>
      </c>
    </row>
    <row r="661" spans="1:25" x14ac:dyDescent="0.25">
      <c r="A661" s="62" t="s">
        <v>319</v>
      </c>
      <c r="B661" s="62" t="s">
        <v>254</v>
      </c>
      <c r="C661" s="63" t="s">
        <v>2221</v>
      </c>
      <c r="D661" s="64">
        <v>1</v>
      </c>
      <c r="E661" s="65"/>
      <c r="F661" s="66">
        <v>100</v>
      </c>
      <c r="G661" s="63"/>
      <c r="H661" s="67"/>
      <c r="I661" s="68"/>
      <c r="J661" s="68"/>
      <c r="K661" s="34" t="s">
        <v>64</v>
      </c>
      <c r="L661" s="75">
        <v>661</v>
      </c>
      <c r="M661" s="75"/>
      <c r="N661" s="70"/>
      <c r="O661" s="77" t="s">
        <v>381</v>
      </c>
      <c r="P661" s="79">
        <v>41123.704583333332</v>
      </c>
      <c r="Q661" s="77" t="s">
        <v>532</v>
      </c>
      <c r="R661" s="77"/>
      <c r="S661" s="77"/>
      <c r="T661" s="79">
        <v>41123.704583333332</v>
      </c>
      <c r="U661" s="81" t="s">
        <v>854</v>
      </c>
      <c r="V661" s="77"/>
      <c r="W661" s="77"/>
      <c r="X661" s="84" t="s">
        <v>1151</v>
      </c>
      <c r="Y661" s="82">
        <v>1</v>
      </c>
    </row>
    <row r="662" spans="1:25" x14ac:dyDescent="0.25">
      <c r="A662" s="62" t="s">
        <v>319</v>
      </c>
      <c r="B662" s="62" t="s">
        <v>319</v>
      </c>
      <c r="C662" s="63" t="s">
        <v>2219</v>
      </c>
      <c r="D662" s="64">
        <v>3</v>
      </c>
      <c r="E662" s="65"/>
      <c r="F662" s="66">
        <v>91.111111111111114</v>
      </c>
      <c r="G662" s="63"/>
      <c r="H662" s="67"/>
      <c r="I662" s="68"/>
      <c r="J662" s="68"/>
      <c r="K662" s="34" t="s">
        <v>64</v>
      </c>
      <c r="L662" s="75">
        <v>662</v>
      </c>
      <c r="M662" s="75"/>
      <c r="N662" s="70"/>
      <c r="O662" s="77" t="s">
        <v>180</v>
      </c>
      <c r="P662" s="79">
        <v>41124.005300925928</v>
      </c>
      <c r="Q662" s="77" t="s">
        <v>533</v>
      </c>
      <c r="R662" s="77"/>
      <c r="S662" s="77" t="s">
        <v>658</v>
      </c>
      <c r="T662" s="79">
        <v>41124.005300925928</v>
      </c>
      <c r="U662" s="81" t="s">
        <v>855</v>
      </c>
      <c r="V662" s="77"/>
      <c r="W662" s="77"/>
      <c r="X662" s="84" t="s">
        <v>1152</v>
      </c>
      <c r="Y662" s="82">
        <v>5</v>
      </c>
    </row>
    <row r="663" spans="1:25" x14ac:dyDescent="0.25">
      <c r="A663" s="62" t="s">
        <v>319</v>
      </c>
      <c r="B663" s="62" t="s">
        <v>319</v>
      </c>
      <c r="C663" s="63" t="s">
        <v>2219</v>
      </c>
      <c r="D663" s="64">
        <v>3</v>
      </c>
      <c r="E663" s="65"/>
      <c r="F663" s="66">
        <v>91.111111111111114</v>
      </c>
      <c r="G663" s="63"/>
      <c r="H663" s="67"/>
      <c r="I663" s="68"/>
      <c r="J663" s="68"/>
      <c r="K663" s="34" t="s">
        <v>64</v>
      </c>
      <c r="L663" s="75">
        <v>663</v>
      </c>
      <c r="M663" s="75"/>
      <c r="N663" s="70"/>
      <c r="O663" s="77" t="s">
        <v>180</v>
      </c>
      <c r="P663" s="79">
        <v>41124.023472222223</v>
      </c>
      <c r="Q663" s="77" t="s">
        <v>534</v>
      </c>
      <c r="R663" s="77"/>
      <c r="S663" s="77" t="s">
        <v>657</v>
      </c>
      <c r="T663" s="79">
        <v>41124.023472222223</v>
      </c>
      <c r="U663" s="81" t="s">
        <v>856</v>
      </c>
      <c r="V663" s="77"/>
      <c r="W663" s="77"/>
      <c r="X663" s="84" t="s">
        <v>1153</v>
      </c>
      <c r="Y663" s="82">
        <v>5</v>
      </c>
    </row>
    <row r="664" spans="1:25" x14ac:dyDescent="0.25">
      <c r="A664" s="62" t="s">
        <v>314</v>
      </c>
      <c r="B664" s="62" t="s">
        <v>319</v>
      </c>
      <c r="C664" s="63" t="s">
        <v>2222</v>
      </c>
      <c r="D664" s="64">
        <v>1</v>
      </c>
      <c r="E664" s="65"/>
      <c r="F664" s="66">
        <v>100</v>
      </c>
      <c r="G664" s="63"/>
      <c r="H664" s="67"/>
      <c r="I664" s="68"/>
      <c r="J664" s="68"/>
      <c r="K664" s="34" t="s">
        <v>65</v>
      </c>
      <c r="L664" s="75">
        <v>664</v>
      </c>
      <c r="M664" s="75"/>
      <c r="N664" s="70"/>
      <c r="O664" s="77" t="s">
        <v>382</v>
      </c>
      <c r="P664" s="79">
        <v>41124.25708333333</v>
      </c>
      <c r="Q664" s="77"/>
      <c r="R664" s="77"/>
      <c r="S664" s="77"/>
      <c r="T664" s="77"/>
      <c r="U664" s="77"/>
      <c r="V664" s="77"/>
      <c r="W664" s="77"/>
      <c r="X664" s="77"/>
      <c r="Y664">
        <v>1</v>
      </c>
    </row>
    <row r="665" spans="1:25" x14ac:dyDescent="0.25">
      <c r="A665" s="62" t="s">
        <v>319</v>
      </c>
      <c r="B665" s="62" t="s">
        <v>268</v>
      </c>
      <c r="C665" s="63" t="s">
        <v>2222</v>
      </c>
      <c r="D665" s="64">
        <v>1</v>
      </c>
      <c r="E665" s="65"/>
      <c r="F665" s="66">
        <v>100</v>
      </c>
      <c r="G665" s="63"/>
      <c r="H665" s="67"/>
      <c r="I665" s="68"/>
      <c r="J665" s="68"/>
      <c r="K665" s="34" t="s">
        <v>64</v>
      </c>
      <c r="L665" s="75">
        <v>665</v>
      </c>
      <c r="M665" s="75"/>
      <c r="N665" s="70"/>
      <c r="O665" s="77" t="s">
        <v>382</v>
      </c>
      <c r="P665" s="79">
        <v>41124.25708333333</v>
      </c>
      <c r="Q665" s="77"/>
      <c r="R665" s="77"/>
      <c r="S665" s="77"/>
      <c r="T665" s="77"/>
      <c r="U665" s="77"/>
      <c r="V665" s="77"/>
      <c r="W665" s="77"/>
      <c r="X665" s="77"/>
      <c r="Y665">
        <v>1</v>
      </c>
    </row>
    <row r="666" spans="1:25" x14ac:dyDescent="0.25">
      <c r="A666" s="62" t="s">
        <v>319</v>
      </c>
      <c r="B666" s="62" t="s">
        <v>246</v>
      </c>
      <c r="C666" s="63" t="s">
        <v>2222</v>
      </c>
      <c r="D666" s="64">
        <v>1</v>
      </c>
      <c r="E666" s="65"/>
      <c r="F666" s="66">
        <v>100</v>
      </c>
      <c r="G666" s="63"/>
      <c r="H666" s="67"/>
      <c r="I666" s="68"/>
      <c r="J666" s="68"/>
      <c r="K666" s="34" t="s">
        <v>64</v>
      </c>
      <c r="L666" s="75">
        <v>666</v>
      </c>
      <c r="M666" s="75"/>
      <c r="N666" s="70"/>
      <c r="O666" s="77" t="s">
        <v>382</v>
      </c>
      <c r="P666" s="79">
        <v>41124.25708333333</v>
      </c>
      <c r="Q666" s="77"/>
      <c r="R666" s="77"/>
      <c r="S666" s="77"/>
      <c r="T666" s="77"/>
      <c r="U666" s="77"/>
      <c r="V666" s="77"/>
      <c r="W666" s="77"/>
      <c r="X666" s="77"/>
      <c r="Y666">
        <v>1</v>
      </c>
    </row>
    <row r="667" spans="1:25" x14ac:dyDescent="0.25">
      <c r="A667" s="62" t="s">
        <v>319</v>
      </c>
      <c r="B667" s="62" t="s">
        <v>339</v>
      </c>
      <c r="C667" s="63" t="s">
        <v>2222</v>
      </c>
      <c r="D667" s="64">
        <v>1</v>
      </c>
      <c r="E667" s="65"/>
      <c r="F667" s="66">
        <v>100</v>
      </c>
      <c r="G667" s="63"/>
      <c r="H667" s="67"/>
      <c r="I667" s="68"/>
      <c r="J667" s="68"/>
      <c r="K667" s="34" t="s">
        <v>65</v>
      </c>
      <c r="L667" s="75">
        <v>667</v>
      </c>
      <c r="M667" s="75"/>
      <c r="N667" s="70"/>
      <c r="O667" s="77" t="s">
        <v>382</v>
      </c>
      <c r="P667" s="79">
        <v>41124.25708333333</v>
      </c>
      <c r="Q667" s="77"/>
      <c r="R667" s="77"/>
      <c r="S667" s="77"/>
      <c r="T667" s="77"/>
      <c r="U667" s="77"/>
      <c r="V667" s="77"/>
      <c r="W667" s="77"/>
      <c r="X667" s="77"/>
      <c r="Y667">
        <v>1</v>
      </c>
    </row>
    <row r="668" spans="1:25" x14ac:dyDescent="0.25">
      <c r="A668" s="62" t="s">
        <v>319</v>
      </c>
      <c r="B668" s="62" t="s">
        <v>314</v>
      </c>
      <c r="C668" s="63" t="s">
        <v>2222</v>
      </c>
      <c r="D668" s="64">
        <v>1</v>
      </c>
      <c r="E668" s="65"/>
      <c r="F668" s="66">
        <v>100</v>
      </c>
      <c r="G668" s="63"/>
      <c r="H668" s="67"/>
      <c r="I668" s="68"/>
      <c r="J668" s="68"/>
      <c r="K668" s="34" t="s">
        <v>65</v>
      </c>
      <c r="L668" s="75">
        <v>668</v>
      </c>
      <c r="M668" s="75"/>
      <c r="N668" s="70"/>
      <c r="O668" s="77" t="s">
        <v>382</v>
      </c>
      <c r="P668" s="79">
        <v>41124.25708333333</v>
      </c>
      <c r="Q668" s="77"/>
      <c r="R668" s="77"/>
      <c r="S668" s="77"/>
      <c r="T668" s="77"/>
      <c r="U668" s="77"/>
      <c r="V668" s="77"/>
      <c r="W668" s="77"/>
      <c r="X668" s="77"/>
      <c r="Y668">
        <v>1</v>
      </c>
    </row>
    <row r="669" spans="1:25" x14ac:dyDescent="0.25">
      <c r="A669" s="62" t="s">
        <v>339</v>
      </c>
      <c r="B669" s="62" t="s">
        <v>319</v>
      </c>
      <c r="C669" s="63" t="s">
        <v>2222</v>
      </c>
      <c r="D669" s="64">
        <v>1</v>
      </c>
      <c r="E669" s="65"/>
      <c r="F669" s="66">
        <v>100</v>
      </c>
      <c r="G669" s="63"/>
      <c r="H669" s="67"/>
      <c r="I669" s="68"/>
      <c r="J669" s="68"/>
      <c r="K669" s="34" t="s">
        <v>65</v>
      </c>
      <c r="L669" s="75">
        <v>669</v>
      </c>
      <c r="M669" s="75"/>
      <c r="N669" s="70"/>
      <c r="O669" s="77" t="s">
        <v>382</v>
      </c>
      <c r="P669" s="79">
        <v>41124.25708333333</v>
      </c>
      <c r="Q669" s="77"/>
      <c r="R669" s="77"/>
      <c r="S669" s="77"/>
      <c r="T669" s="77"/>
      <c r="U669" s="77"/>
      <c r="V669" s="77"/>
      <c r="W669" s="77"/>
      <c r="X669" s="77"/>
      <c r="Y669">
        <v>1</v>
      </c>
    </row>
    <row r="670" spans="1:25" x14ac:dyDescent="0.25">
      <c r="A670" s="62" t="s">
        <v>339</v>
      </c>
      <c r="B670" s="62" t="s">
        <v>339</v>
      </c>
      <c r="C670" s="63" t="s">
        <v>2219</v>
      </c>
      <c r="D670" s="64">
        <v>1</v>
      </c>
      <c r="E670" s="65"/>
      <c r="F670" s="66">
        <v>100</v>
      </c>
      <c r="G670" s="63"/>
      <c r="H670" s="67"/>
      <c r="I670" s="68"/>
      <c r="J670" s="68"/>
      <c r="K670" s="34" t="s">
        <v>64</v>
      </c>
      <c r="L670" s="75">
        <v>670</v>
      </c>
      <c r="M670" s="75"/>
      <c r="N670" s="70"/>
      <c r="O670" s="77" t="s">
        <v>180</v>
      </c>
      <c r="P670" s="79">
        <v>41124.09646990741</v>
      </c>
      <c r="Q670" s="77" t="s">
        <v>525</v>
      </c>
      <c r="R670" s="77"/>
      <c r="S670" s="77" t="s">
        <v>654</v>
      </c>
      <c r="T670" s="79">
        <v>41124.09646990741</v>
      </c>
      <c r="U670" s="81" t="s">
        <v>857</v>
      </c>
      <c r="V670" s="77"/>
      <c r="W670" s="77"/>
      <c r="X670" s="84" t="s">
        <v>1154</v>
      </c>
      <c r="Y670" s="82">
        <v>1</v>
      </c>
    </row>
    <row r="671" spans="1:25" x14ac:dyDescent="0.25">
      <c r="A671" s="62" t="s">
        <v>332</v>
      </c>
      <c r="B671" s="62" t="s">
        <v>332</v>
      </c>
      <c r="C671" s="63" t="s">
        <v>2219</v>
      </c>
      <c r="D671" s="64">
        <v>1.5</v>
      </c>
      <c r="E671" s="65"/>
      <c r="F671" s="66">
        <v>97.777777777777771</v>
      </c>
      <c r="G671" s="63"/>
      <c r="H671" s="67"/>
      <c r="I671" s="68"/>
      <c r="J671" s="68"/>
      <c r="K671" s="34" t="s">
        <v>64</v>
      </c>
      <c r="L671" s="75">
        <v>671</v>
      </c>
      <c r="M671" s="75"/>
      <c r="N671" s="70"/>
      <c r="O671" s="77" t="s">
        <v>180</v>
      </c>
      <c r="P671" s="79">
        <v>41123.807175925926</v>
      </c>
      <c r="Q671" s="77" t="s">
        <v>535</v>
      </c>
      <c r="R671" s="77"/>
      <c r="S671" s="77"/>
      <c r="T671" s="79">
        <v>41123.807175925926</v>
      </c>
      <c r="U671" s="81" t="s">
        <v>858</v>
      </c>
      <c r="V671" s="77"/>
      <c r="W671" s="77"/>
      <c r="X671" s="84" t="s">
        <v>1155</v>
      </c>
      <c r="Y671" s="82">
        <v>2</v>
      </c>
    </row>
    <row r="672" spans="1:25" x14ac:dyDescent="0.25">
      <c r="A672" s="62" t="s">
        <v>332</v>
      </c>
      <c r="B672" s="62" t="s">
        <v>332</v>
      </c>
      <c r="C672" s="63" t="s">
        <v>2219</v>
      </c>
      <c r="D672" s="64">
        <v>1.5</v>
      </c>
      <c r="E672" s="65"/>
      <c r="F672" s="66">
        <v>97.777777777777771</v>
      </c>
      <c r="G672" s="63"/>
      <c r="H672" s="67"/>
      <c r="I672" s="68"/>
      <c r="J672" s="68"/>
      <c r="K672" s="34" t="s">
        <v>64</v>
      </c>
      <c r="L672" s="75">
        <v>672</v>
      </c>
      <c r="M672" s="75"/>
      <c r="N672" s="70"/>
      <c r="O672" s="77" t="s">
        <v>180</v>
      </c>
      <c r="P672" s="79">
        <v>41124.085462962961</v>
      </c>
      <c r="Q672" s="77" t="s">
        <v>536</v>
      </c>
      <c r="R672" s="77"/>
      <c r="S672" s="77" t="s">
        <v>654</v>
      </c>
      <c r="T672" s="79">
        <v>41124.085462962961</v>
      </c>
      <c r="U672" s="81" t="s">
        <v>859</v>
      </c>
      <c r="V672" s="77"/>
      <c r="W672" s="77"/>
      <c r="X672" s="84" t="s">
        <v>1156</v>
      </c>
      <c r="Y672" s="82">
        <v>2</v>
      </c>
    </row>
    <row r="673" spans="1:25" x14ac:dyDescent="0.25">
      <c r="A673" s="62" t="s">
        <v>313</v>
      </c>
      <c r="B673" s="62" t="s">
        <v>332</v>
      </c>
      <c r="C673" s="63" t="s">
        <v>2222</v>
      </c>
      <c r="D673" s="64">
        <v>1</v>
      </c>
      <c r="E673" s="65"/>
      <c r="F673" s="66">
        <v>100</v>
      </c>
      <c r="G673" s="63"/>
      <c r="H673" s="67"/>
      <c r="I673" s="68"/>
      <c r="J673" s="68"/>
      <c r="K673" s="34" t="s">
        <v>65</v>
      </c>
      <c r="L673" s="75">
        <v>673</v>
      </c>
      <c r="M673" s="75"/>
      <c r="N673" s="70"/>
      <c r="O673" s="77" t="s">
        <v>382</v>
      </c>
      <c r="P673" s="79">
        <v>41124.25708333333</v>
      </c>
      <c r="Q673" s="77"/>
      <c r="R673" s="77"/>
      <c r="S673" s="77"/>
      <c r="T673" s="77"/>
      <c r="U673" s="77"/>
      <c r="V673" s="77"/>
      <c r="W673" s="77"/>
      <c r="X673" s="77"/>
      <c r="Y673">
        <v>1</v>
      </c>
    </row>
    <row r="674" spans="1:25" x14ac:dyDescent="0.25">
      <c r="A674" s="62" t="s">
        <v>332</v>
      </c>
      <c r="B674" s="62" t="s">
        <v>313</v>
      </c>
      <c r="C674" s="63" t="s">
        <v>2222</v>
      </c>
      <c r="D674" s="64">
        <v>1</v>
      </c>
      <c r="E674" s="65"/>
      <c r="F674" s="66">
        <v>100</v>
      </c>
      <c r="G674" s="63"/>
      <c r="H674" s="67"/>
      <c r="I674" s="68"/>
      <c r="J674" s="68"/>
      <c r="K674" s="34" t="s">
        <v>65</v>
      </c>
      <c r="L674" s="75">
        <v>674</v>
      </c>
      <c r="M674" s="75"/>
      <c r="N674" s="70"/>
      <c r="O674" s="77" t="s">
        <v>382</v>
      </c>
      <c r="P674" s="79">
        <v>41124.25708333333</v>
      </c>
      <c r="Q674" s="77"/>
      <c r="R674" s="77"/>
      <c r="S674" s="77"/>
      <c r="T674" s="77"/>
      <c r="U674" s="77"/>
      <c r="V674" s="77"/>
      <c r="W674" s="77"/>
      <c r="X674" s="77"/>
      <c r="Y674">
        <v>1</v>
      </c>
    </row>
    <row r="675" spans="1:25" x14ac:dyDescent="0.25">
      <c r="A675" s="62" t="s">
        <v>332</v>
      </c>
      <c r="B675" s="62" t="s">
        <v>340</v>
      </c>
      <c r="C675" s="63" t="s">
        <v>2222</v>
      </c>
      <c r="D675" s="64">
        <v>1</v>
      </c>
      <c r="E675" s="65"/>
      <c r="F675" s="66">
        <v>100</v>
      </c>
      <c r="G675" s="63"/>
      <c r="H675" s="67"/>
      <c r="I675" s="68"/>
      <c r="J675" s="68"/>
      <c r="K675" s="34" t="s">
        <v>65</v>
      </c>
      <c r="L675" s="75">
        <v>675</v>
      </c>
      <c r="M675" s="75"/>
      <c r="N675" s="70"/>
      <c r="O675" s="77" t="s">
        <v>382</v>
      </c>
      <c r="P675" s="79">
        <v>41124.25708333333</v>
      </c>
      <c r="Q675" s="77"/>
      <c r="R675" s="77"/>
      <c r="S675" s="77"/>
      <c r="T675" s="77"/>
      <c r="U675" s="77"/>
      <c r="V675" s="77"/>
      <c r="W675" s="77"/>
      <c r="X675" s="77"/>
      <c r="Y675">
        <v>1</v>
      </c>
    </row>
    <row r="676" spans="1:25" x14ac:dyDescent="0.25">
      <c r="A676" s="62" t="s">
        <v>340</v>
      </c>
      <c r="B676" s="62" t="s">
        <v>332</v>
      </c>
      <c r="C676" s="63" t="s">
        <v>2222</v>
      </c>
      <c r="D676" s="64">
        <v>1</v>
      </c>
      <c r="E676" s="65"/>
      <c r="F676" s="66">
        <v>100</v>
      </c>
      <c r="G676" s="63"/>
      <c r="H676" s="67"/>
      <c r="I676" s="68"/>
      <c r="J676" s="68"/>
      <c r="K676" s="34" t="s">
        <v>65</v>
      </c>
      <c r="L676" s="75">
        <v>676</v>
      </c>
      <c r="M676" s="75"/>
      <c r="N676" s="70"/>
      <c r="O676" s="77" t="s">
        <v>382</v>
      </c>
      <c r="P676" s="79">
        <v>41124.25708333333</v>
      </c>
      <c r="Q676" s="77"/>
      <c r="R676" s="77"/>
      <c r="S676" s="77"/>
      <c r="T676" s="77"/>
      <c r="U676" s="77"/>
      <c r="V676" s="77"/>
      <c r="W676" s="77"/>
      <c r="X676" s="77"/>
      <c r="Y676">
        <v>1</v>
      </c>
    </row>
    <row r="677" spans="1:25" x14ac:dyDescent="0.25">
      <c r="A677" s="62" t="s">
        <v>313</v>
      </c>
      <c r="B677" s="62" t="s">
        <v>313</v>
      </c>
      <c r="C677" s="63" t="s">
        <v>2219</v>
      </c>
      <c r="D677" s="64">
        <v>1</v>
      </c>
      <c r="E677" s="65"/>
      <c r="F677" s="66">
        <v>100</v>
      </c>
      <c r="G677" s="63"/>
      <c r="H677" s="67"/>
      <c r="I677" s="68"/>
      <c r="J677" s="68"/>
      <c r="K677" s="34" t="s">
        <v>64</v>
      </c>
      <c r="L677" s="75">
        <v>677</v>
      </c>
      <c r="M677" s="75"/>
      <c r="N677" s="70"/>
      <c r="O677" s="77" t="s">
        <v>180</v>
      </c>
      <c r="P677" s="79">
        <v>41123.657708333332</v>
      </c>
      <c r="Q677" s="77" t="s">
        <v>467</v>
      </c>
      <c r="R677" s="81" t="s">
        <v>616</v>
      </c>
      <c r="S677" s="77"/>
      <c r="T677" s="79">
        <v>41123.657708333332</v>
      </c>
      <c r="U677" s="81" t="s">
        <v>860</v>
      </c>
      <c r="V677" s="77"/>
      <c r="W677" s="77"/>
      <c r="X677" s="84" t="s">
        <v>1157</v>
      </c>
      <c r="Y677" s="82">
        <v>1</v>
      </c>
    </row>
    <row r="678" spans="1:25" x14ac:dyDescent="0.25">
      <c r="A678" s="62" t="s">
        <v>313</v>
      </c>
      <c r="B678" s="62" t="s">
        <v>368</v>
      </c>
      <c r="C678" s="63" t="s">
        <v>2222</v>
      </c>
      <c r="D678" s="64">
        <v>1</v>
      </c>
      <c r="E678" s="65"/>
      <c r="F678" s="66">
        <v>100</v>
      </c>
      <c r="G678" s="63"/>
      <c r="H678" s="67"/>
      <c r="I678" s="68"/>
      <c r="J678" s="68"/>
      <c r="K678" s="34" t="s">
        <v>64</v>
      </c>
      <c r="L678" s="75">
        <v>678</v>
      </c>
      <c r="M678" s="75"/>
      <c r="N678" s="70"/>
      <c r="O678" s="77" t="s">
        <v>382</v>
      </c>
      <c r="P678" s="79">
        <v>41124.25708333333</v>
      </c>
      <c r="Q678" s="77"/>
      <c r="R678" s="77"/>
      <c r="S678" s="77"/>
      <c r="T678" s="77"/>
      <c r="U678" s="77"/>
      <c r="V678" s="77"/>
      <c r="W678" s="77"/>
      <c r="X678" s="77"/>
      <c r="Y678">
        <v>1</v>
      </c>
    </row>
    <row r="679" spans="1:25" x14ac:dyDescent="0.25">
      <c r="A679" s="62" t="s">
        <v>313</v>
      </c>
      <c r="B679" s="62" t="s">
        <v>246</v>
      </c>
      <c r="C679" s="63" t="s">
        <v>2222</v>
      </c>
      <c r="D679" s="64">
        <v>1</v>
      </c>
      <c r="E679" s="65"/>
      <c r="F679" s="66">
        <v>100</v>
      </c>
      <c r="G679" s="63"/>
      <c r="H679" s="67"/>
      <c r="I679" s="68"/>
      <c r="J679" s="68"/>
      <c r="K679" s="34" t="s">
        <v>64</v>
      </c>
      <c r="L679" s="75">
        <v>679</v>
      </c>
      <c r="M679" s="75"/>
      <c r="N679" s="70"/>
      <c r="O679" s="77" t="s">
        <v>382</v>
      </c>
      <c r="P679" s="79">
        <v>41124.25708333333</v>
      </c>
      <c r="Q679" s="77"/>
      <c r="R679" s="77"/>
      <c r="S679" s="77"/>
      <c r="T679" s="77"/>
      <c r="U679" s="77"/>
      <c r="V679" s="77"/>
      <c r="W679" s="77"/>
      <c r="X679" s="77"/>
      <c r="Y679">
        <v>1</v>
      </c>
    </row>
    <row r="680" spans="1:25" x14ac:dyDescent="0.25">
      <c r="A680" s="62" t="s">
        <v>313</v>
      </c>
      <c r="B680" s="62" t="s">
        <v>286</v>
      </c>
      <c r="C680" s="63" t="s">
        <v>2222</v>
      </c>
      <c r="D680" s="64">
        <v>1</v>
      </c>
      <c r="E680" s="65"/>
      <c r="F680" s="66">
        <v>100</v>
      </c>
      <c r="G680" s="63"/>
      <c r="H680" s="67"/>
      <c r="I680" s="68"/>
      <c r="J680" s="68"/>
      <c r="K680" s="34" t="s">
        <v>64</v>
      </c>
      <c r="L680" s="75">
        <v>680</v>
      </c>
      <c r="M680" s="75"/>
      <c r="N680" s="70"/>
      <c r="O680" s="77" t="s">
        <v>382</v>
      </c>
      <c r="P680" s="79">
        <v>41124.25708333333</v>
      </c>
      <c r="Q680" s="77"/>
      <c r="R680" s="77"/>
      <c r="S680" s="77"/>
      <c r="T680" s="77"/>
      <c r="U680" s="77"/>
      <c r="V680" s="77"/>
      <c r="W680" s="77"/>
      <c r="X680" s="77"/>
      <c r="Y680">
        <v>1</v>
      </c>
    </row>
    <row r="681" spans="1:25" x14ac:dyDescent="0.25">
      <c r="A681" s="62" t="s">
        <v>313</v>
      </c>
      <c r="B681" s="62" t="s">
        <v>366</v>
      </c>
      <c r="C681" s="63" t="s">
        <v>2222</v>
      </c>
      <c r="D681" s="64">
        <v>1</v>
      </c>
      <c r="E681" s="65"/>
      <c r="F681" s="66">
        <v>100</v>
      </c>
      <c r="G681" s="63"/>
      <c r="H681" s="67"/>
      <c r="I681" s="68"/>
      <c r="J681" s="68"/>
      <c r="K681" s="34" t="s">
        <v>64</v>
      </c>
      <c r="L681" s="75">
        <v>681</v>
      </c>
      <c r="M681" s="75"/>
      <c r="N681" s="70"/>
      <c r="O681" s="77" t="s">
        <v>382</v>
      </c>
      <c r="P681" s="79">
        <v>41124.25708333333</v>
      </c>
      <c r="Q681" s="77"/>
      <c r="R681" s="77"/>
      <c r="S681" s="77"/>
      <c r="T681" s="77"/>
      <c r="U681" s="77"/>
      <c r="V681" s="77"/>
      <c r="W681" s="77"/>
      <c r="X681" s="77"/>
      <c r="Y681">
        <v>1</v>
      </c>
    </row>
    <row r="682" spans="1:25" x14ac:dyDescent="0.25">
      <c r="A682" s="62" t="s">
        <v>340</v>
      </c>
      <c r="B682" s="62" t="s">
        <v>313</v>
      </c>
      <c r="C682" s="63" t="s">
        <v>2222</v>
      </c>
      <c r="D682" s="64">
        <v>1</v>
      </c>
      <c r="E682" s="65"/>
      <c r="F682" s="66">
        <v>100</v>
      </c>
      <c r="G682" s="63"/>
      <c r="H682" s="67"/>
      <c r="I682" s="68"/>
      <c r="J682" s="68"/>
      <c r="K682" s="34" t="s">
        <v>64</v>
      </c>
      <c r="L682" s="75">
        <v>682</v>
      </c>
      <c r="M682" s="75"/>
      <c r="N682" s="70"/>
      <c r="O682" s="77" t="s">
        <v>382</v>
      </c>
      <c r="P682" s="79">
        <v>41124.25708333333</v>
      </c>
      <c r="Q682" s="77"/>
      <c r="R682" s="77"/>
      <c r="S682" s="77"/>
      <c r="T682" s="77"/>
      <c r="U682" s="77"/>
      <c r="V682" s="77"/>
      <c r="W682" s="77"/>
      <c r="X682" s="77"/>
      <c r="Y682">
        <v>1</v>
      </c>
    </row>
    <row r="683" spans="1:25" x14ac:dyDescent="0.25">
      <c r="A683" s="62" t="s">
        <v>314</v>
      </c>
      <c r="B683" s="62" t="s">
        <v>246</v>
      </c>
      <c r="C683" s="63" t="s">
        <v>2222</v>
      </c>
      <c r="D683" s="64">
        <v>1</v>
      </c>
      <c r="E683" s="65"/>
      <c r="F683" s="66">
        <v>100</v>
      </c>
      <c r="G683" s="63"/>
      <c r="H683" s="67"/>
      <c r="I683" s="68"/>
      <c r="J683" s="68"/>
      <c r="K683" s="34" t="s">
        <v>64</v>
      </c>
      <c r="L683" s="75">
        <v>683</v>
      </c>
      <c r="M683" s="75"/>
      <c r="N683" s="70"/>
      <c r="O683" s="77" t="s">
        <v>382</v>
      </c>
      <c r="P683" s="79">
        <v>41124.25708333333</v>
      </c>
      <c r="Q683" s="77"/>
      <c r="R683" s="77"/>
      <c r="S683" s="77"/>
      <c r="T683" s="77"/>
      <c r="U683" s="77"/>
      <c r="V683" s="77"/>
      <c r="W683" s="77"/>
      <c r="X683" s="77"/>
      <c r="Y683">
        <v>1</v>
      </c>
    </row>
    <row r="684" spans="1:25" x14ac:dyDescent="0.25">
      <c r="A684" s="62" t="s">
        <v>340</v>
      </c>
      <c r="B684" s="62" t="s">
        <v>314</v>
      </c>
      <c r="C684" s="63" t="s">
        <v>2222</v>
      </c>
      <c r="D684" s="64">
        <v>1</v>
      </c>
      <c r="E684" s="65"/>
      <c r="F684" s="66">
        <v>100</v>
      </c>
      <c r="G684" s="63"/>
      <c r="H684" s="67"/>
      <c r="I684" s="68"/>
      <c r="J684" s="68"/>
      <c r="K684" s="34" t="s">
        <v>64</v>
      </c>
      <c r="L684" s="75">
        <v>684</v>
      </c>
      <c r="M684" s="75"/>
      <c r="N684" s="70"/>
      <c r="O684" s="77" t="s">
        <v>382</v>
      </c>
      <c r="P684" s="79">
        <v>41124.25708333333</v>
      </c>
      <c r="Q684" s="77"/>
      <c r="R684" s="77"/>
      <c r="S684" s="77"/>
      <c r="T684" s="77"/>
      <c r="U684" s="77"/>
      <c r="V684" s="77"/>
      <c r="W684" s="77"/>
      <c r="X684" s="77"/>
      <c r="Y684">
        <v>1</v>
      </c>
    </row>
    <row r="685" spans="1:25" x14ac:dyDescent="0.25">
      <c r="A685" s="62" t="s">
        <v>268</v>
      </c>
      <c r="B685" s="62" t="s">
        <v>268</v>
      </c>
      <c r="C685" s="63" t="s">
        <v>2219</v>
      </c>
      <c r="D685" s="64">
        <v>1</v>
      </c>
      <c r="E685" s="65"/>
      <c r="F685" s="66">
        <v>100</v>
      </c>
      <c r="G685" s="63"/>
      <c r="H685" s="67"/>
      <c r="I685" s="68"/>
      <c r="J685" s="68"/>
      <c r="K685" s="34" t="s">
        <v>64</v>
      </c>
      <c r="L685" s="75">
        <v>685</v>
      </c>
      <c r="M685" s="75"/>
      <c r="N685" s="70"/>
      <c r="O685" s="77" t="s">
        <v>180</v>
      </c>
      <c r="P685" s="79">
        <v>41123.825023148151</v>
      </c>
      <c r="Q685" s="77" t="s">
        <v>537</v>
      </c>
      <c r="R685" s="77"/>
      <c r="S685" s="77"/>
      <c r="T685" s="79">
        <v>41123.825023148151</v>
      </c>
      <c r="U685" s="81" t="s">
        <v>861</v>
      </c>
      <c r="V685" s="77"/>
      <c r="W685" s="77"/>
      <c r="X685" s="84" t="s">
        <v>1158</v>
      </c>
      <c r="Y685" s="82">
        <v>1</v>
      </c>
    </row>
    <row r="686" spans="1:25" x14ac:dyDescent="0.25">
      <c r="A686" s="62" t="s">
        <v>268</v>
      </c>
      <c r="B686" s="62" t="s">
        <v>246</v>
      </c>
      <c r="C686" s="63" t="s">
        <v>2222</v>
      </c>
      <c r="D686" s="64">
        <v>1</v>
      </c>
      <c r="E686" s="65"/>
      <c r="F686" s="66">
        <v>100</v>
      </c>
      <c r="G686" s="63"/>
      <c r="H686" s="67"/>
      <c r="I686" s="68"/>
      <c r="J686" s="68"/>
      <c r="K686" s="34" t="s">
        <v>64</v>
      </c>
      <c r="L686" s="75">
        <v>686</v>
      </c>
      <c r="M686" s="75"/>
      <c r="N686" s="70"/>
      <c r="O686" s="77" t="s">
        <v>382</v>
      </c>
      <c r="P686" s="79">
        <v>41124.25708333333</v>
      </c>
      <c r="Q686" s="77"/>
      <c r="R686" s="77"/>
      <c r="S686" s="77"/>
      <c r="T686" s="77"/>
      <c r="U686" s="77"/>
      <c r="V686" s="77"/>
      <c r="W686" s="77"/>
      <c r="X686" s="77"/>
      <c r="Y686">
        <v>1</v>
      </c>
    </row>
    <row r="687" spans="1:25" x14ac:dyDescent="0.25">
      <c r="A687" s="62" t="s">
        <v>340</v>
      </c>
      <c r="B687" s="62" t="s">
        <v>268</v>
      </c>
      <c r="C687" s="63" t="s">
        <v>2222</v>
      </c>
      <c r="D687" s="64">
        <v>1</v>
      </c>
      <c r="E687" s="65"/>
      <c r="F687" s="66">
        <v>100</v>
      </c>
      <c r="G687" s="63"/>
      <c r="H687" s="67"/>
      <c r="I687" s="68"/>
      <c r="J687" s="68"/>
      <c r="K687" s="34" t="s">
        <v>64</v>
      </c>
      <c r="L687" s="75">
        <v>687</v>
      </c>
      <c r="M687" s="75"/>
      <c r="N687" s="70"/>
      <c r="O687" s="77" t="s">
        <v>382</v>
      </c>
      <c r="P687" s="79">
        <v>41124.25708333333</v>
      </c>
      <c r="Q687" s="77"/>
      <c r="R687" s="77"/>
      <c r="S687" s="77"/>
      <c r="T687" s="77"/>
      <c r="U687" s="77"/>
      <c r="V687" s="77"/>
      <c r="W687" s="77"/>
      <c r="X687" s="77"/>
      <c r="Y687">
        <v>1</v>
      </c>
    </row>
    <row r="688" spans="1:25" x14ac:dyDescent="0.25">
      <c r="A688" s="62" t="s">
        <v>340</v>
      </c>
      <c r="B688" s="62" t="s">
        <v>340</v>
      </c>
      <c r="C688" s="63" t="s">
        <v>2219</v>
      </c>
      <c r="D688" s="64">
        <v>1</v>
      </c>
      <c r="E688" s="65"/>
      <c r="F688" s="66">
        <v>100</v>
      </c>
      <c r="G688" s="63"/>
      <c r="H688" s="67"/>
      <c r="I688" s="68"/>
      <c r="J688" s="68"/>
      <c r="K688" s="34" t="s">
        <v>64</v>
      </c>
      <c r="L688" s="75">
        <v>688</v>
      </c>
      <c r="M688" s="75"/>
      <c r="N688" s="70"/>
      <c r="O688" s="77" t="s">
        <v>180</v>
      </c>
      <c r="P688" s="79">
        <v>41124.101655092592</v>
      </c>
      <c r="Q688" s="77" t="s">
        <v>525</v>
      </c>
      <c r="R688" s="77"/>
      <c r="S688" s="77" t="s">
        <v>654</v>
      </c>
      <c r="T688" s="79">
        <v>41124.101655092592</v>
      </c>
      <c r="U688" s="81" t="s">
        <v>862</v>
      </c>
      <c r="V688" s="77"/>
      <c r="W688" s="77"/>
      <c r="X688" s="84" t="s">
        <v>1159</v>
      </c>
      <c r="Y688" s="82">
        <v>1</v>
      </c>
    </row>
    <row r="689" spans="1:25" x14ac:dyDescent="0.25">
      <c r="A689" s="62" t="s">
        <v>340</v>
      </c>
      <c r="B689" s="62" t="s">
        <v>246</v>
      </c>
      <c r="C689" s="63" t="s">
        <v>2222</v>
      </c>
      <c r="D689" s="64">
        <v>1</v>
      </c>
      <c r="E689" s="65"/>
      <c r="F689" s="66">
        <v>100</v>
      </c>
      <c r="G689" s="63"/>
      <c r="H689" s="67"/>
      <c r="I689" s="68"/>
      <c r="J689" s="68"/>
      <c r="K689" s="34" t="s">
        <v>64</v>
      </c>
      <c r="L689" s="75">
        <v>689</v>
      </c>
      <c r="M689" s="75"/>
      <c r="N689" s="70"/>
      <c r="O689" s="77" t="s">
        <v>382</v>
      </c>
      <c r="P689" s="79">
        <v>41124.25708333333</v>
      </c>
      <c r="Q689" s="77"/>
      <c r="R689" s="77"/>
      <c r="S689" s="77"/>
      <c r="T689" s="77"/>
      <c r="U689" s="77"/>
      <c r="V689" s="77"/>
      <c r="W689" s="77"/>
      <c r="X689" s="77"/>
      <c r="Y689">
        <v>1</v>
      </c>
    </row>
    <row r="690" spans="1:25" x14ac:dyDescent="0.25">
      <c r="A690" s="62" t="s">
        <v>341</v>
      </c>
      <c r="B690" s="62" t="s">
        <v>341</v>
      </c>
      <c r="C690" s="63" t="s">
        <v>2219</v>
      </c>
      <c r="D690" s="64">
        <v>1</v>
      </c>
      <c r="E690" s="65"/>
      <c r="F690" s="66">
        <v>100</v>
      </c>
      <c r="G690" s="63"/>
      <c r="H690" s="67"/>
      <c r="I690" s="68"/>
      <c r="J690" s="68"/>
      <c r="K690" s="34" t="s">
        <v>64</v>
      </c>
      <c r="L690" s="75">
        <v>690</v>
      </c>
      <c r="M690" s="75"/>
      <c r="N690" s="70"/>
      <c r="O690" s="77" t="s">
        <v>180</v>
      </c>
      <c r="P690" s="79">
        <v>41123.707442129627</v>
      </c>
      <c r="Q690" s="77" t="s">
        <v>424</v>
      </c>
      <c r="R690" s="77"/>
      <c r="S690" s="77" t="s">
        <v>643</v>
      </c>
      <c r="T690" s="79">
        <v>41123.707442129627</v>
      </c>
      <c r="U690" s="81" t="s">
        <v>863</v>
      </c>
      <c r="V690" s="77"/>
      <c r="W690" s="77"/>
      <c r="X690" s="84" t="s">
        <v>1160</v>
      </c>
      <c r="Y690" s="82">
        <v>1</v>
      </c>
    </row>
    <row r="691" spans="1:25" x14ac:dyDescent="0.25">
      <c r="A691" s="62" t="s">
        <v>217</v>
      </c>
      <c r="B691" s="62" t="s">
        <v>341</v>
      </c>
      <c r="C691" s="63" t="s">
        <v>2222</v>
      </c>
      <c r="D691" s="64">
        <v>1</v>
      </c>
      <c r="E691" s="65"/>
      <c r="F691" s="66">
        <v>100</v>
      </c>
      <c r="G691" s="63"/>
      <c r="H691" s="67"/>
      <c r="I691" s="68"/>
      <c r="J691" s="68"/>
      <c r="K691" s="34" t="s">
        <v>65</v>
      </c>
      <c r="L691" s="75">
        <v>691</v>
      </c>
      <c r="M691" s="75"/>
      <c r="N691" s="70"/>
      <c r="O691" s="77" t="s">
        <v>382</v>
      </c>
      <c r="P691" s="79">
        <v>41124.25708333333</v>
      </c>
      <c r="Q691" s="77"/>
      <c r="R691" s="77"/>
      <c r="S691" s="77"/>
      <c r="T691" s="77"/>
      <c r="U691" s="77"/>
      <c r="V691" s="77"/>
      <c r="W691" s="77"/>
      <c r="X691" s="77"/>
      <c r="Y691">
        <v>1</v>
      </c>
    </row>
    <row r="692" spans="1:25" x14ac:dyDescent="0.25">
      <c r="A692" s="62" t="s">
        <v>341</v>
      </c>
      <c r="B692" s="62" t="s">
        <v>217</v>
      </c>
      <c r="C692" s="63" t="s">
        <v>2222</v>
      </c>
      <c r="D692" s="64">
        <v>1</v>
      </c>
      <c r="E692" s="65"/>
      <c r="F692" s="66">
        <v>100</v>
      </c>
      <c r="G692" s="63"/>
      <c r="H692" s="67"/>
      <c r="I692" s="68"/>
      <c r="J692" s="68"/>
      <c r="K692" s="34" t="s">
        <v>65</v>
      </c>
      <c r="L692" s="75">
        <v>692</v>
      </c>
      <c r="M692" s="75"/>
      <c r="N692" s="70"/>
      <c r="O692" s="77" t="s">
        <v>382</v>
      </c>
      <c r="P692" s="79">
        <v>41124.25708333333</v>
      </c>
      <c r="Q692" s="77"/>
      <c r="R692" s="77"/>
      <c r="S692" s="77"/>
      <c r="T692" s="77"/>
      <c r="U692" s="77"/>
      <c r="V692" s="77"/>
      <c r="W692" s="77"/>
      <c r="X692" s="77"/>
      <c r="Y692">
        <v>1</v>
      </c>
    </row>
    <row r="693" spans="1:25" x14ac:dyDescent="0.25">
      <c r="A693" s="62" t="s">
        <v>341</v>
      </c>
      <c r="B693" s="62" t="s">
        <v>342</v>
      </c>
      <c r="C693" s="63" t="s">
        <v>2222</v>
      </c>
      <c r="D693" s="64">
        <v>1</v>
      </c>
      <c r="E693" s="65"/>
      <c r="F693" s="66">
        <v>100</v>
      </c>
      <c r="G693" s="63"/>
      <c r="H693" s="67"/>
      <c r="I693" s="68"/>
      <c r="J693" s="68"/>
      <c r="K693" s="34" t="s">
        <v>65</v>
      </c>
      <c r="L693" s="75">
        <v>693</v>
      </c>
      <c r="M693" s="75"/>
      <c r="N693" s="70"/>
      <c r="O693" s="77" t="s">
        <v>382</v>
      </c>
      <c r="P693" s="79">
        <v>41124.25708333333</v>
      </c>
      <c r="Q693" s="77"/>
      <c r="R693" s="77"/>
      <c r="S693" s="77"/>
      <c r="T693" s="77"/>
      <c r="U693" s="77"/>
      <c r="V693" s="77"/>
      <c r="W693" s="77"/>
      <c r="X693" s="77"/>
      <c r="Y693">
        <v>1</v>
      </c>
    </row>
    <row r="694" spans="1:25" x14ac:dyDescent="0.25">
      <c r="A694" s="62" t="s">
        <v>341</v>
      </c>
      <c r="B694" s="62" t="s">
        <v>240</v>
      </c>
      <c r="C694" s="63" t="s">
        <v>2222</v>
      </c>
      <c r="D694" s="64">
        <v>1</v>
      </c>
      <c r="E694" s="65"/>
      <c r="F694" s="66">
        <v>100</v>
      </c>
      <c r="G694" s="63"/>
      <c r="H694" s="67"/>
      <c r="I694" s="68"/>
      <c r="J694" s="68"/>
      <c r="K694" s="34" t="s">
        <v>65</v>
      </c>
      <c r="L694" s="75">
        <v>694</v>
      </c>
      <c r="M694" s="75"/>
      <c r="N694" s="70"/>
      <c r="O694" s="77" t="s">
        <v>382</v>
      </c>
      <c r="P694" s="79">
        <v>41124.25708333333</v>
      </c>
      <c r="Q694" s="77"/>
      <c r="R694" s="77"/>
      <c r="S694" s="77"/>
      <c r="T694" s="77"/>
      <c r="U694" s="77"/>
      <c r="V694" s="77"/>
      <c r="W694" s="77"/>
      <c r="X694" s="77"/>
      <c r="Y694">
        <v>1</v>
      </c>
    </row>
    <row r="695" spans="1:25" x14ac:dyDescent="0.25">
      <c r="A695" s="62" t="s">
        <v>240</v>
      </c>
      <c r="B695" s="62" t="s">
        <v>341</v>
      </c>
      <c r="C695" s="63" t="s">
        <v>2222</v>
      </c>
      <c r="D695" s="64">
        <v>1</v>
      </c>
      <c r="E695" s="65"/>
      <c r="F695" s="66">
        <v>100</v>
      </c>
      <c r="G695" s="63"/>
      <c r="H695" s="67"/>
      <c r="I695" s="68"/>
      <c r="J695" s="68"/>
      <c r="K695" s="34" t="s">
        <v>65</v>
      </c>
      <c r="L695" s="75">
        <v>695</v>
      </c>
      <c r="M695" s="75"/>
      <c r="N695" s="70"/>
      <c r="O695" s="77" t="s">
        <v>382</v>
      </c>
      <c r="P695" s="79">
        <v>41124.25708333333</v>
      </c>
      <c r="Q695" s="77"/>
      <c r="R695" s="77"/>
      <c r="S695" s="77"/>
      <c r="T695" s="77"/>
      <c r="U695" s="77"/>
      <c r="V695" s="77"/>
      <c r="W695" s="77"/>
      <c r="X695" s="77"/>
      <c r="Y695">
        <v>1</v>
      </c>
    </row>
    <row r="696" spans="1:25" x14ac:dyDescent="0.25">
      <c r="A696" s="62" t="s">
        <v>342</v>
      </c>
      <c r="B696" s="62" t="s">
        <v>341</v>
      </c>
      <c r="C696" s="63" t="s">
        <v>2222</v>
      </c>
      <c r="D696" s="64">
        <v>1</v>
      </c>
      <c r="E696" s="65"/>
      <c r="F696" s="66">
        <v>100</v>
      </c>
      <c r="G696" s="63"/>
      <c r="H696" s="67"/>
      <c r="I696" s="68"/>
      <c r="J696" s="68"/>
      <c r="K696" s="34" t="s">
        <v>65</v>
      </c>
      <c r="L696" s="75">
        <v>696</v>
      </c>
      <c r="M696" s="75"/>
      <c r="N696" s="70"/>
      <c r="O696" s="77" t="s">
        <v>382</v>
      </c>
      <c r="P696" s="79">
        <v>41124.25708333333</v>
      </c>
      <c r="Q696" s="77"/>
      <c r="R696" s="77"/>
      <c r="S696" s="77"/>
      <c r="T696" s="77"/>
      <c r="U696" s="77"/>
      <c r="V696" s="77"/>
      <c r="W696" s="77"/>
      <c r="X696" s="77"/>
      <c r="Y696">
        <v>1</v>
      </c>
    </row>
    <row r="697" spans="1:25" x14ac:dyDescent="0.25">
      <c r="A697" s="62" t="s">
        <v>342</v>
      </c>
      <c r="B697" s="62" t="s">
        <v>342</v>
      </c>
      <c r="C697" s="63" t="s">
        <v>2219</v>
      </c>
      <c r="D697" s="64">
        <v>2.5</v>
      </c>
      <c r="E697" s="65"/>
      <c r="F697" s="66">
        <v>93.333333333333329</v>
      </c>
      <c r="G697" s="63"/>
      <c r="H697" s="67"/>
      <c r="I697" s="68"/>
      <c r="J697" s="68"/>
      <c r="K697" s="34" t="s">
        <v>64</v>
      </c>
      <c r="L697" s="75">
        <v>697</v>
      </c>
      <c r="M697" s="75"/>
      <c r="N697" s="70"/>
      <c r="O697" s="77" t="s">
        <v>180</v>
      </c>
      <c r="P697" s="79">
        <v>41123.712627314817</v>
      </c>
      <c r="Q697" s="77" t="s">
        <v>424</v>
      </c>
      <c r="R697" s="77"/>
      <c r="S697" s="77" t="s">
        <v>643</v>
      </c>
      <c r="T697" s="79">
        <v>41123.712627314817</v>
      </c>
      <c r="U697" s="81" t="s">
        <v>864</v>
      </c>
      <c r="V697" s="77"/>
      <c r="W697" s="77"/>
      <c r="X697" s="84" t="s">
        <v>1161</v>
      </c>
      <c r="Y697" s="82">
        <v>4</v>
      </c>
    </row>
    <row r="698" spans="1:25" x14ac:dyDescent="0.25">
      <c r="A698" s="62" t="s">
        <v>342</v>
      </c>
      <c r="B698" s="62" t="s">
        <v>342</v>
      </c>
      <c r="C698" s="63" t="s">
        <v>2219</v>
      </c>
      <c r="D698" s="64">
        <v>2.5</v>
      </c>
      <c r="E698" s="65"/>
      <c r="F698" s="66">
        <v>93.333333333333329</v>
      </c>
      <c r="G698" s="63"/>
      <c r="H698" s="67"/>
      <c r="I698" s="68"/>
      <c r="J698" s="68"/>
      <c r="K698" s="34" t="s">
        <v>64</v>
      </c>
      <c r="L698" s="75">
        <v>698</v>
      </c>
      <c r="M698" s="75"/>
      <c r="N698" s="70"/>
      <c r="O698" s="77" t="s">
        <v>180</v>
      </c>
      <c r="P698" s="79">
        <v>41124.12327546296</v>
      </c>
      <c r="Q698" s="77" t="s">
        <v>538</v>
      </c>
      <c r="R698" s="77"/>
      <c r="S698" s="77"/>
      <c r="T698" s="79">
        <v>41124.12327546296</v>
      </c>
      <c r="U698" s="81" t="s">
        <v>865</v>
      </c>
      <c r="V698" s="77"/>
      <c r="W698" s="77"/>
      <c r="X698" s="84" t="s">
        <v>1162</v>
      </c>
      <c r="Y698" s="82">
        <v>4</v>
      </c>
    </row>
    <row r="699" spans="1:25" x14ac:dyDescent="0.25">
      <c r="A699" s="62" t="s">
        <v>342</v>
      </c>
      <c r="B699" s="62" t="s">
        <v>342</v>
      </c>
      <c r="C699" s="63" t="s">
        <v>2219</v>
      </c>
      <c r="D699" s="64">
        <v>2.5</v>
      </c>
      <c r="E699" s="65"/>
      <c r="F699" s="66">
        <v>93.333333333333329</v>
      </c>
      <c r="G699" s="63"/>
      <c r="H699" s="67"/>
      <c r="I699" s="68"/>
      <c r="J699" s="68"/>
      <c r="K699" s="34" t="s">
        <v>64</v>
      </c>
      <c r="L699" s="75">
        <v>699</v>
      </c>
      <c r="M699" s="75"/>
      <c r="N699" s="70"/>
      <c r="O699" s="77" t="s">
        <v>180</v>
      </c>
      <c r="P699" s="79">
        <v>41124.125451388885</v>
      </c>
      <c r="Q699" s="77" t="s">
        <v>539</v>
      </c>
      <c r="R699" s="77"/>
      <c r="S699" s="77"/>
      <c r="T699" s="79">
        <v>41124.125451388885</v>
      </c>
      <c r="U699" s="81" t="s">
        <v>866</v>
      </c>
      <c r="V699" s="77"/>
      <c r="W699" s="77"/>
      <c r="X699" s="84" t="s">
        <v>1163</v>
      </c>
      <c r="Y699" s="82">
        <v>4</v>
      </c>
    </row>
    <row r="700" spans="1:25" x14ac:dyDescent="0.25">
      <c r="A700" s="62" t="s">
        <v>342</v>
      </c>
      <c r="B700" s="62" t="s">
        <v>342</v>
      </c>
      <c r="C700" s="63" t="s">
        <v>2219</v>
      </c>
      <c r="D700" s="64">
        <v>2.5</v>
      </c>
      <c r="E700" s="65"/>
      <c r="F700" s="66">
        <v>93.333333333333329</v>
      </c>
      <c r="G700" s="63"/>
      <c r="H700" s="67"/>
      <c r="I700" s="68"/>
      <c r="J700" s="68"/>
      <c r="K700" s="34" t="s">
        <v>64</v>
      </c>
      <c r="L700" s="75">
        <v>700</v>
      </c>
      <c r="M700" s="75"/>
      <c r="N700" s="70"/>
      <c r="O700" s="77" t="s">
        <v>180</v>
      </c>
      <c r="P700" s="79">
        <v>41124.12767361111</v>
      </c>
      <c r="Q700" s="77" t="s">
        <v>540</v>
      </c>
      <c r="R700" s="77"/>
      <c r="S700" s="77"/>
      <c r="T700" s="79">
        <v>41124.12767361111</v>
      </c>
      <c r="U700" s="81" t="s">
        <v>867</v>
      </c>
      <c r="V700" s="77"/>
      <c r="W700" s="77"/>
      <c r="X700" s="84" t="s">
        <v>1164</v>
      </c>
      <c r="Y700" s="82">
        <v>4</v>
      </c>
    </row>
    <row r="701" spans="1:25" x14ac:dyDescent="0.25">
      <c r="A701" s="62" t="s">
        <v>342</v>
      </c>
      <c r="B701" s="62" t="s">
        <v>376</v>
      </c>
      <c r="C701" s="63" t="s">
        <v>2222</v>
      </c>
      <c r="D701" s="64">
        <v>1</v>
      </c>
      <c r="E701" s="65"/>
      <c r="F701" s="66">
        <v>100</v>
      </c>
      <c r="G701" s="63"/>
      <c r="H701" s="67"/>
      <c r="I701" s="68"/>
      <c r="J701" s="68"/>
      <c r="K701" s="34" t="s">
        <v>64</v>
      </c>
      <c r="L701" s="75">
        <v>701</v>
      </c>
      <c r="M701" s="75"/>
      <c r="N701" s="70"/>
      <c r="O701" s="77" t="s">
        <v>382</v>
      </c>
      <c r="P701" s="79">
        <v>41124.25708333333</v>
      </c>
      <c r="Q701" s="77"/>
      <c r="R701" s="77"/>
      <c r="S701" s="77"/>
      <c r="T701" s="77"/>
      <c r="U701" s="77"/>
      <c r="V701" s="77"/>
      <c r="W701" s="77"/>
      <c r="X701" s="77"/>
      <c r="Y701">
        <v>1</v>
      </c>
    </row>
    <row r="702" spans="1:25" x14ac:dyDescent="0.25">
      <c r="A702" s="62" t="s">
        <v>246</v>
      </c>
      <c r="B702" s="62" t="s">
        <v>246</v>
      </c>
      <c r="C702" s="63" t="s">
        <v>2219</v>
      </c>
      <c r="D702" s="64">
        <v>1</v>
      </c>
      <c r="E702" s="65"/>
      <c r="F702" s="66">
        <v>100</v>
      </c>
      <c r="G702" s="63"/>
      <c r="H702" s="67"/>
      <c r="I702" s="68"/>
      <c r="J702" s="68"/>
      <c r="K702" s="34" t="s">
        <v>64</v>
      </c>
      <c r="L702" s="75">
        <v>702</v>
      </c>
      <c r="M702" s="75"/>
      <c r="N702" s="70"/>
      <c r="O702" s="77" t="s">
        <v>180</v>
      </c>
      <c r="P702" s="79">
        <v>41123.76421296296</v>
      </c>
      <c r="Q702" s="77" t="s">
        <v>541</v>
      </c>
      <c r="R702" s="77"/>
      <c r="S702" s="77"/>
      <c r="T702" s="79">
        <v>41123.76421296296</v>
      </c>
      <c r="U702" s="81" t="s">
        <v>868</v>
      </c>
      <c r="V702" s="77"/>
      <c r="W702" s="77"/>
      <c r="X702" s="84" t="s">
        <v>1165</v>
      </c>
      <c r="Y702" s="82">
        <v>1</v>
      </c>
    </row>
    <row r="703" spans="1:25" x14ac:dyDescent="0.25">
      <c r="A703" s="62" t="s">
        <v>330</v>
      </c>
      <c r="B703" s="62" t="s">
        <v>246</v>
      </c>
      <c r="C703" s="63" t="s">
        <v>2222</v>
      </c>
      <c r="D703" s="64">
        <v>1</v>
      </c>
      <c r="E703" s="65"/>
      <c r="F703" s="66">
        <v>100</v>
      </c>
      <c r="G703" s="63"/>
      <c r="H703" s="67"/>
      <c r="I703" s="68"/>
      <c r="J703" s="68"/>
      <c r="K703" s="34" t="s">
        <v>64</v>
      </c>
      <c r="L703" s="75">
        <v>703</v>
      </c>
      <c r="M703" s="75"/>
      <c r="N703" s="70"/>
      <c r="O703" s="77" t="s">
        <v>382</v>
      </c>
      <c r="P703" s="79">
        <v>41124.25708333333</v>
      </c>
      <c r="Q703" s="77"/>
      <c r="R703" s="77"/>
      <c r="S703" s="77"/>
      <c r="T703" s="77"/>
      <c r="U703" s="77"/>
      <c r="V703" s="77"/>
      <c r="W703" s="77"/>
      <c r="X703" s="77"/>
      <c r="Y703">
        <v>1</v>
      </c>
    </row>
    <row r="704" spans="1:25" x14ac:dyDescent="0.25">
      <c r="A704" s="62" t="s">
        <v>286</v>
      </c>
      <c r="B704" s="62" t="s">
        <v>246</v>
      </c>
      <c r="C704" s="63" t="s">
        <v>2222</v>
      </c>
      <c r="D704" s="64">
        <v>1</v>
      </c>
      <c r="E704" s="65"/>
      <c r="F704" s="66">
        <v>100</v>
      </c>
      <c r="G704" s="63"/>
      <c r="H704" s="67"/>
      <c r="I704" s="68"/>
      <c r="J704" s="68"/>
      <c r="K704" s="34" t="s">
        <v>64</v>
      </c>
      <c r="L704" s="75">
        <v>704</v>
      </c>
      <c r="M704" s="75"/>
      <c r="N704" s="70"/>
      <c r="O704" s="77" t="s">
        <v>382</v>
      </c>
      <c r="P704" s="79">
        <v>41124.25708333333</v>
      </c>
      <c r="Q704" s="77"/>
      <c r="R704" s="77"/>
      <c r="S704" s="77"/>
      <c r="T704" s="77"/>
      <c r="U704" s="77"/>
      <c r="V704" s="77"/>
      <c r="W704" s="77"/>
      <c r="X704" s="77"/>
      <c r="Y704">
        <v>1</v>
      </c>
    </row>
    <row r="705" spans="1:25" x14ac:dyDescent="0.25">
      <c r="A705" s="62" t="s">
        <v>284</v>
      </c>
      <c r="B705" s="62" t="s">
        <v>246</v>
      </c>
      <c r="C705" s="63" t="s">
        <v>2222</v>
      </c>
      <c r="D705" s="64">
        <v>1</v>
      </c>
      <c r="E705" s="65"/>
      <c r="F705" s="66">
        <v>100</v>
      </c>
      <c r="G705" s="63"/>
      <c r="H705" s="67"/>
      <c r="I705" s="68"/>
      <c r="J705" s="68"/>
      <c r="K705" s="34" t="s">
        <v>64</v>
      </c>
      <c r="L705" s="75">
        <v>705</v>
      </c>
      <c r="M705" s="75"/>
      <c r="N705" s="70"/>
      <c r="O705" s="77" t="s">
        <v>382</v>
      </c>
      <c r="P705" s="79">
        <v>41124.25708333333</v>
      </c>
      <c r="Q705" s="77"/>
      <c r="R705" s="77"/>
      <c r="S705" s="77"/>
      <c r="T705" s="77"/>
      <c r="U705" s="77"/>
      <c r="V705" s="77"/>
      <c r="W705" s="77"/>
      <c r="X705" s="77"/>
      <c r="Y705">
        <v>1</v>
      </c>
    </row>
    <row r="706" spans="1:25" x14ac:dyDescent="0.25">
      <c r="A706" s="62" t="s">
        <v>343</v>
      </c>
      <c r="B706" s="62" t="s">
        <v>246</v>
      </c>
      <c r="C706" s="63" t="s">
        <v>2222</v>
      </c>
      <c r="D706" s="64">
        <v>1</v>
      </c>
      <c r="E706" s="65"/>
      <c r="F706" s="66">
        <v>100</v>
      </c>
      <c r="G706" s="63"/>
      <c r="H706" s="67"/>
      <c r="I706" s="68"/>
      <c r="J706" s="68"/>
      <c r="K706" s="34" t="s">
        <v>64</v>
      </c>
      <c r="L706" s="75">
        <v>706</v>
      </c>
      <c r="M706" s="75"/>
      <c r="N706" s="70"/>
      <c r="O706" s="77" t="s">
        <v>382</v>
      </c>
      <c r="P706" s="79">
        <v>41124.25708333333</v>
      </c>
      <c r="Q706" s="77"/>
      <c r="R706" s="77"/>
      <c r="S706" s="77"/>
      <c r="T706" s="77"/>
      <c r="U706" s="77"/>
      <c r="V706" s="77"/>
      <c r="W706" s="77"/>
      <c r="X706" s="77"/>
      <c r="Y706">
        <v>1</v>
      </c>
    </row>
    <row r="707" spans="1:25" x14ac:dyDescent="0.25">
      <c r="A707" s="62" t="s">
        <v>343</v>
      </c>
      <c r="B707" s="62" t="s">
        <v>343</v>
      </c>
      <c r="C707" s="63" t="s">
        <v>2219</v>
      </c>
      <c r="D707" s="64">
        <v>1.5</v>
      </c>
      <c r="E707" s="65"/>
      <c r="F707" s="66">
        <v>97.777777777777771</v>
      </c>
      <c r="G707" s="63"/>
      <c r="H707" s="67"/>
      <c r="I707" s="68"/>
      <c r="J707" s="68"/>
      <c r="K707" s="34" t="s">
        <v>64</v>
      </c>
      <c r="L707" s="75">
        <v>707</v>
      </c>
      <c r="M707" s="75"/>
      <c r="N707" s="70"/>
      <c r="O707" s="77" t="s">
        <v>180</v>
      </c>
      <c r="P707" s="79">
        <v>41123.824999999997</v>
      </c>
      <c r="Q707" s="77" t="s">
        <v>542</v>
      </c>
      <c r="R707" s="81" t="s">
        <v>625</v>
      </c>
      <c r="S707" s="77" t="s">
        <v>635</v>
      </c>
      <c r="T707" s="79">
        <v>41123.824999999997</v>
      </c>
      <c r="U707" s="81" t="s">
        <v>869</v>
      </c>
      <c r="V707" s="77"/>
      <c r="W707" s="77"/>
      <c r="X707" s="84" t="s">
        <v>1166</v>
      </c>
      <c r="Y707" s="82">
        <v>2</v>
      </c>
    </row>
    <row r="708" spans="1:25" x14ac:dyDescent="0.25">
      <c r="A708" s="62" t="s">
        <v>343</v>
      </c>
      <c r="B708" s="62" t="s">
        <v>343</v>
      </c>
      <c r="C708" s="63" t="s">
        <v>2219</v>
      </c>
      <c r="D708" s="64">
        <v>1.5</v>
      </c>
      <c r="E708" s="65"/>
      <c r="F708" s="66">
        <v>97.777777777777771</v>
      </c>
      <c r="G708" s="63"/>
      <c r="H708" s="67"/>
      <c r="I708" s="68"/>
      <c r="J708" s="68"/>
      <c r="K708" s="34" t="s">
        <v>64</v>
      </c>
      <c r="L708" s="75">
        <v>708</v>
      </c>
      <c r="M708" s="75"/>
      <c r="N708" s="70"/>
      <c r="O708" s="77" t="s">
        <v>180</v>
      </c>
      <c r="P708" s="79">
        <v>41124.132048611114</v>
      </c>
      <c r="Q708" s="77" t="s">
        <v>543</v>
      </c>
      <c r="R708" s="77"/>
      <c r="S708" s="77" t="s">
        <v>659</v>
      </c>
      <c r="T708" s="79">
        <v>41124.132048611114</v>
      </c>
      <c r="U708" s="81" t="s">
        <v>870</v>
      </c>
      <c r="V708" s="77"/>
      <c r="W708" s="77"/>
      <c r="X708" s="84" t="s">
        <v>1167</v>
      </c>
      <c r="Y708" s="82">
        <v>2</v>
      </c>
    </row>
    <row r="709" spans="1:25" x14ac:dyDescent="0.25">
      <c r="A709" s="62" t="s">
        <v>318</v>
      </c>
      <c r="B709" s="62" t="s">
        <v>318</v>
      </c>
      <c r="C709" s="63" t="s">
        <v>2219</v>
      </c>
      <c r="D709" s="64">
        <v>1</v>
      </c>
      <c r="E709" s="65"/>
      <c r="F709" s="66">
        <v>100</v>
      </c>
      <c r="G709" s="63"/>
      <c r="H709" s="67"/>
      <c r="I709" s="68"/>
      <c r="J709" s="68"/>
      <c r="K709" s="34" t="s">
        <v>64</v>
      </c>
      <c r="L709" s="75">
        <v>709</v>
      </c>
      <c r="M709" s="75"/>
      <c r="N709" s="70"/>
      <c r="O709" s="77" t="s">
        <v>180</v>
      </c>
      <c r="P709" s="79">
        <v>41124.00744212963</v>
      </c>
      <c r="Q709" s="77" t="s">
        <v>544</v>
      </c>
      <c r="R709" s="77"/>
      <c r="S709" s="77"/>
      <c r="T709" s="79">
        <v>41124.00744212963</v>
      </c>
      <c r="U709" s="81" t="s">
        <v>871</v>
      </c>
      <c r="V709" s="77"/>
      <c r="W709" s="77"/>
      <c r="X709" s="84" t="s">
        <v>1168</v>
      </c>
      <c r="Y709" s="82">
        <v>1</v>
      </c>
    </row>
    <row r="710" spans="1:25" x14ac:dyDescent="0.25">
      <c r="A710" s="62" t="s">
        <v>344</v>
      </c>
      <c r="B710" s="62" t="s">
        <v>318</v>
      </c>
      <c r="C710" s="63" t="s">
        <v>2220</v>
      </c>
      <c r="D710" s="64">
        <v>1</v>
      </c>
      <c r="E710" s="65"/>
      <c r="F710" s="66">
        <v>100</v>
      </c>
      <c r="G710" s="63"/>
      <c r="H710" s="67"/>
      <c r="I710" s="68"/>
      <c r="J710" s="68"/>
      <c r="K710" s="34" t="s">
        <v>64</v>
      </c>
      <c r="L710" s="75">
        <v>710</v>
      </c>
      <c r="M710" s="75"/>
      <c r="N710" s="70"/>
      <c r="O710" s="77" t="s">
        <v>380</v>
      </c>
      <c r="P710" s="79">
        <v>41124.146053240744</v>
      </c>
      <c r="Q710" s="77" t="s">
        <v>545</v>
      </c>
      <c r="R710" s="77"/>
      <c r="S710" s="77"/>
      <c r="T710" s="79">
        <v>41124.146053240744</v>
      </c>
      <c r="U710" s="81" t="s">
        <v>872</v>
      </c>
      <c r="V710" s="77"/>
      <c r="W710" s="77"/>
      <c r="X710" s="84" t="s">
        <v>1169</v>
      </c>
      <c r="Y710" s="82">
        <v>1</v>
      </c>
    </row>
    <row r="711" spans="1:25" x14ac:dyDescent="0.25">
      <c r="A711" s="62" t="s">
        <v>345</v>
      </c>
      <c r="B711" s="62" t="s">
        <v>318</v>
      </c>
      <c r="C711" s="63" t="s">
        <v>2220</v>
      </c>
      <c r="D711" s="64">
        <v>1</v>
      </c>
      <c r="E711" s="65"/>
      <c r="F711" s="66">
        <v>100</v>
      </c>
      <c r="G711" s="63"/>
      <c r="H711" s="67"/>
      <c r="I711" s="68"/>
      <c r="J711" s="68"/>
      <c r="K711" s="34" t="s">
        <v>64</v>
      </c>
      <c r="L711" s="75">
        <v>711</v>
      </c>
      <c r="M711" s="75"/>
      <c r="N711" s="70"/>
      <c r="O711" s="77" t="s">
        <v>380</v>
      </c>
      <c r="P711" s="79">
        <v>41124.13181712963</v>
      </c>
      <c r="Q711" s="77" t="s">
        <v>546</v>
      </c>
      <c r="R711" s="77"/>
      <c r="S711" s="77"/>
      <c r="T711" s="79">
        <v>41124.13181712963</v>
      </c>
      <c r="U711" s="81" t="s">
        <v>873</v>
      </c>
      <c r="V711" s="77"/>
      <c r="W711" s="77"/>
      <c r="X711" s="84" t="s">
        <v>1170</v>
      </c>
      <c r="Y711" s="82">
        <v>1</v>
      </c>
    </row>
    <row r="712" spans="1:25" x14ac:dyDescent="0.25">
      <c r="A712" s="62" t="s">
        <v>345</v>
      </c>
      <c r="B712" s="62" t="s">
        <v>318</v>
      </c>
      <c r="C712" s="63" t="s">
        <v>2221</v>
      </c>
      <c r="D712" s="64">
        <v>1.5</v>
      </c>
      <c r="E712" s="65"/>
      <c r="F712" s="66">
        <v>97.777777777777771</v>
      </c>
      <c r="G712" s="63"/>
      <c r="H712" s="67"/>
      <c r="I712" s="68"/>
      <c r="J712" s="68"/>
      <c r="K712" s="34" t="s">
        <v>64</v>
      </c>
      <c r="L712" s="75">
        <v>712</v>
      </c>
      <c r="M712" s="75"/>
      <c r="N712" s="70"/>
      <c r="O712" s="77" t="s">
        <v>381</v>
      </c>
      <c r="P712" s="79">
        <v>41124.14266203704</v>
      </c>
      <c r="Q712" s="77" t="s">
        <v>507</v>
      </c>
      <c r="R712" s="77"/>
      <c r="S712" s="77"/>
      <c r="T712" s="79">
        <v>41124.14266203704</v>
      </c>
      <c r="U712" s="81" t="s">
        <v>874</v>
      </c>
      <c r="V712" s="77"/>
      <c r="W712" s="77"/>
      <c r="X712" s="84" t="s">
        <v>1171</v>
      </c>
      <c r="Y712" s="82">
        <v>2</v>
      </c>
    </row>
    <row r="713" spans="1:25" x14ac:dyDescent="0.25">
      <c r="A713" s="62" t="s">
        <v>345</v>
      </c>
      <c r="B713" s="62" t="s">
        <v>318</v>
      </c>
      <c r="C713" s="63" t="s">
        <v>2221</v>
      </c>
      <c r="D713" s="64">
        <v>1.5</v>
      </c>
      <c r="E713" s="65"/>
      <c r="F713" s="66">
        <v>97.777777777777771</v>
      </c>
      <c r="G713" s="63"/>
      <c r="H713" s="67"/>
      <c r="I713" s="68"/>
      <c r="J713" s="68"/>
      <c r="K713" s="34" t="s">
        <v>64</v>
      </c>
      <c r="L713" s="75">
        <v>713</v>
      </c>
      <c r="M713" s="75"/>
      <c r="N713" s="70"/>
      <c r="O713" s="77" t="s">
        <v>381</v>
      </c>
      <c r="P713" s="79">
        <v>41124.15289351852</v>
      </c>
      <c r="Q713" s="77" t="s">
        <v>547</v>
      </c>
      <c r="R713" s="77"/>
      <c r="S713" s="77"/>
      <c r="T713" s="79">
        <v>41124.15289351852</v>
      </c>
      <c r="U713" s="81" t="s">
        <v>875</v>
      </c>
      <c r="V713" s="77"/>
      <c r="W713" s="77"/>
      <c r="X713" s="84" t="s">
        <v>1172</v>
      </c>
      <c r="Y713" s="82">
        <v>2</v>
      </c>
    </row>
    <row r="714" spans="1:25" x14ac:dyDescent="0.25">
      <c r="A714" s="62" t="s">
        <v>318</v>
      </c>
      <c r="B714" s="62" t="s">
        <v>346</v>
      </c>
      <c r="C714" s="63" t="s">
        <v>2222</v>
      </c>
      <c r="D714" s="64">
        <v>1</v>
      </c>
      <c r="E714" s="65"/>
      <c r="F714" s="66">
        <v>100</v>
      </c>
      <c r="G714" s="63"/>
      <c r="H714" s="67"/>
      <c r="I714" s="68"/>
      <c r="J714" s="68"/>
      <c r="K714" s="34" t="s">
        <v>65</v>
      </c>
      <c r="L714" s="75">
        <v>714</v>
      </c>
      <c r="M714" s="75"/>
      <c r="N714" s="70"/>
      <c r="O714" s="77" t="s">
        <v>382</v>
      </c>
      <c r="P714" s="79">
        <v>41124.25708333333</v>
      </c>
      <c r="Q714" s="77"/>
      <c r="R714" s="77"/>
      <c r="S714" s="77"/>
      <c r="T714" s="77"/>
      <c r="U714" s="77"/>
      <c r="V714" s="77"/>
      <c r="W714" s="77"/>
      <c r="X714" s="77"/>
      <c r="Y714">
        <v>1</v>
      </c>
    </row>
    <row r="715" spans="1:25" x14ac:dyDescent="0.25">
      <c r="A715" s="62" t="s">
        <v>346</v>
      </c>
      <c r="B715" s="62" t="s">
        <v>318</v>
      </c>
      <c r="C715" s="63" t="s">
        <v>2222</v>
      </c>
      <c r="D715" s="64">
        <v>1</v>
      </c>
      <c r="E715" s="65"/>
      <c r="F715" s="66">
        <v>100</v>
      </c>
      <c r="G715" s="63"/>
      <c r="H715" s="67"/>
      <c r="I715" s="68"/>
      <c r="J715" s="68"/>
      <c r="K715" s="34" t="s">
        <v>65</v>
      </c>
      <c r="L715" s="75">
        <v>715</v>
      </c>
      <c r="M715" s="75"/>
      <c r="N715" s="70"/>
      <c r="O715" s="77" t="s">
        <v>382</v>
      </c>
      <c r="P715" s="79">
        <v>41124.25708333333</v>
      </c>
      <c r="Q715" s="77"/>
      <c r="R715" s="77"/>
      <c r="S715" s="77"/>
      <c r="T715" s="77"/>
      <c r="U715" s="77"/>
      <c r="V715" s="77"/>
      <c r="W715" s="77"/>
      <c r="X715" s="77"/>
      <c r="Y715">
        <v>1</v>
      </c>
    </row>
    <row r="716" spans="1:25" x14ac:dyDescent="0.25">
      <c r="A716" s="62" t="s">
        <v>254</v>
      </c>
      <c r="B716" s="62" t="s">
        <v>254</v>
      </c>
      <c r="C716" s="63" t="s">
        <v>2219</v>
      </c>
      <c r="D716" s="64">
        <v>2</v>
      </c>
      <c r="E716" s="65"/>
      <c r="F716" s="66">
        <v>95.555555555555557</v>
      </c>
      <c r="G716" s="63"/>
      <c r="H716" s="67"/>
      <c r="I716" s="68"/>
      <c r="J716" s="68"/>
      <c r="K716" s="34" t="s">
        <v>64</v>
      </c>
      <c r="L716" s="75">
        <v>716</v>
      </c>
      <c r="M716" s="75"/>
      <c r="N716" s="70"/>
      <c r="O716" s="77" t="s">
        <v>180</v>
      </c>
      <c r="P716" s="79">
        <v>41123.673425925925</v>
      </c>
      <c r="Q716" s="77" t="s">
        <v>548</v>
      </c>
      <c r="R716" s="77"/>
      <c r="S716" s="77"/>
      <c r="T716" s="79">
        <v>41123.673425925925</v>
      </c>
      <c r="U716" s="81" t="s">
        <v>876</v>
      </c>
      <c r="V716" s="77"/>
      <c r="W716" s="77"/>
      <c r="X716" s="84" t="s">
        <v>1173</v>
      </c>
      <c r="Y716" s="82">
        <v>3</v>
      </c>
    </row>
    <row r="717" spans="1:25" x14ac:dyDescent="0.25">
      <c r="A717" s="62" t="s">
        <v>254</v>
      </c>
      <c r="B717" s="62" t="s">
        <v>254</v>
      </c>
      <c r="C717" s="63" t="s">
        <v>2219</v>
      </c>
      <c r="D717" s="64">
        <v>2</v>
      </c>
      <c r="E717" s="65"/>
      <c r="F717" s="66">
        <v>95.555555555555557</v>
      </c>
      <c r="G717" s="63"/>
      <c r="H717" s="67"/>
      <c r="I717" s="68"/>
      <c r="J717" s="68"/>
      <c r="K717" s="34" t="s">
        <v>64</v>
      </c>
      <c r="L717" s="75">
        <v>717</v>
      </c>
      <c r="M717" s="75"/>
      <c r="N717" s="70"/>
      <c r="O717" s="77" t="s">
        <v>180</v>
      </c>
      <c r="P717" s="79">
        <v>41123.675300925926</v>
      </c>
      <c r="Q717" s="77" t="s">
        <v>549</v>
      </c>
      <c r="R717" s="77"/>
      <c r="S717" s="77" t="s">
        <v>660</v>
      </c>
      <c r="T717" s="79">
        <v>41123.675300925926</v>
      </c>
      <c r="U717" s="81" t="s">
        <v>877</v>
      </c>
      <c r="V717" s="77"/>
      <c r="W717" s="77"/>
      <c r="X717" s="84" t="s">
        <v>1174</v>
      </c>
      <c r="Y717" s="82">
        <v>3</v>
      </c>
    </row>
    <row r="718" spans="1:25" x14ac:dyDescent="0.25">
      <c r="A718" s="62" t="s">
        <v>254</v>
      </c>
      <c r="B718" s="62" t="s">
        <v>254</v>
      </c>
      <c r="C718" s="63" t="s">
        <v>2219</v>
      </c>
      <c r="D718" s="64">
        <v>2</v>
      </c>
      <c r="E718" s="65"/>
      <c r="F718" s="66">
        <v>95.555555555555557</v>
      </c>
      <c r="G718" s="63"/>
      <c r="H718" s="67"/>
      <c r="I718" s="68"/>
      <c r="J718" s="68"/>
      <c r="K718" s="34" t="s">
        <v>64</v>
      </c>
      <c r="L718" s="75">
        <v>718</v>
      </c>
      <c r="M718" s="75"/>
      <c r="N718" s="70"/>
      <c r="O718" s="77" t="s">
        <v>180</v>
      </c>
      <c r="P718" s="79">
        <v>41123.68273148148</v>
      </c>
      <c r="Q718" s="77" t="s">
        <v>550</v>
      </c>
      <c r="R718" s="77"/>
      <c r="S718" s="77" t="s">
        <v>643</v>
      </c>
      <c r="T718" s="79">
        <v>41123.68273148148</v>
      </c>
      <c r="U718" s="81" t="s">
        <v>878</v>
      </c>
      <c r="V718" s="77"/>
      <c r="W718" s="77"/>
      <c r="X718" s="84" t="s">
        <v>1175</v>
      </c>
      <c r="Y718" s="82">
        <v>3</v>
      </c>
    </row>
    <row r="719" spans="1:25" x14ac:dyDescent="0.25">
      <c r="A719" s="62" t="s">
        <v>347</v>
      </c>
      <c r="B719" s="62" t="s">
        <v>254</v>
      </c>
      <c r="C719" s="63" t="s">
        <v>2221</v>
      </c>
      <c r="D719" s="64">
        <v>1.5</v>
      </c>
      <c r="E719" s="65"/>
      <c r="F719" s="66">
        <v>97.777777777777771</v>
      </c>
      <c r="G719" s="63"/>
      <c r="H719" s="67"/>
      <c r="I719" s="68"/>
      <c r="J719" s="68"/>
      <c r="K719" s="34" t="s">
        <v>64</v>
      </c>
      <c r="L719" s="75">
        <v>719</v>
      </c>
      <c r="M719" s="75"/>
      <c r="N719" s="70"/>
      <c r="O719" s="77" t="s">
        <v>381</v>
      </c>
      <c r="P719" s="79">
        <v>41123.677569444444</v>
      </c>
      <c r="Q719" s="77" t="s">
        <v>551</v>
      </c>
      <c r="R719" s="77"/>
      <c r="S719" s="77" t="s">
        <v>643</v>
      </c>
      <c r="T719" s="79">
        <v>41123.677569444444</v>
      </c>
      <c r="U719" s="81" t="s">
        <v>879</v>
      </c>
      <c r="V719" s="77"/>
      <c r="W719" s="77"/>
      <c r="X719" s="84" t="s">
        <v>1176</v>
      </c>
      <c r="Y719" s="82">
        <v>2</v>
      </c>
    </row>
    <row r="720" spans="1:25" x14ac:dyDescent="0.25">
      <c r="A720" s="62" t="s">
        <v>347</v>
      </c>
      <c r="B720" s="62" t="s">
        <v>254</v>
      </c>
      <c r="C720" s="63" t="s">
        <v>2221</v>
      </c>
      <c r="D720" s="64">
        <v>1.5</v>
      </c>
      <c r="E720" s="65"/>
      <c r="F720" s="66">
        <v>97.777777777777771</v>
      </c>
      <c r="G720" s="63"/>
      <c r="H720" s="67"/>
      <c r="I720" s="68"/>
      <c r="J720" s="68"/>
      <c r="K720" s="34" t="s">
        <v>64</v>
      </c>
      <c r="L720" s="75">
        <v>720</v>
      </c>
      <c r="M720" s="75"/>
      <c r="N720" s="70"/>
      <c r="O720" s="77" t="s">
        <v>381</v>
      </c>
      <c r="P720" s="79">
        <v>41123.682812500003</v>
      </c>
      <c r="Q720" s="77" t="s">
        <v>550</v>
      </c>
      <c r="R720" s="77"/>
      <c r="S720" s="77" t="s">
        <v>643</v>
      </c>
      <c r="T720" s="79">
        <v>41123.682812500003</v>
      </c>
      <c r="U720" s="81" t="s">
        <v>880</v>
      </c>
      <c r="V720" s="77"/>
      <c r="W720" s="77"/>
      <c r="X720" s="84" t="s">
        <v>1177</v>
      </c>
      <c r="Y720" s="82">
        <v>2</v>
      </c>
    </row>
    <row r="721" spans="1:25" x14ac:dyDescent="0.25">
      <c r="A721" s="62" t="s">
        <v>346</v>
      </c>
      <c r="B721" s="62" t="s">
        <v>254</v>
      </c>
      <c r="C721" s="63" t="s">
        <v>2221</v>
      </c>
      <c r="D721" s="64">
        <v>2</v>
      </c>
      <c r="E721" s="65"/>
      <c r="F721" s="66">
        <v>95.555555555555557</v>
      </c>
      <c r="G721" s="63"/>
      <c r="H721" s="67"/>
      <c r="I721" s="68"/>
      <c r="J721" s="68"/>
      <c r="K721" s="34" t="s">
        <v>65</v>
      </c>
      <c r="L721" s="75">
        <v>721</v>
      </c>
      <c r="M721" s="75"/>
      <c r="N721" s="70"/>
      <c r="O721" s="77" t="s">
        <v>381</v>
      </c>
      <c r="P721" s="79">
        <v>41123.674583333333</v>
      </c>
      <c r="Q721" s="77" t="s">
        <v>552</v>
      </c>
      <c r="R721" s="77"/>
      <c r="S721" s="77" t="s">
        <v>643</v>
      </c>
      <c r="T721" s="79">
        <v>41123.674583333333</v>
      </c>
      <c r="U721" s="81" t="s">
        <v>881</v>
      </c>
      <c r="V721" s="77"/>
      <c r="W721" s="77"/>
      <c r="X721" s="84" t="s">
        <v>1178</v>
      </c>
      <c r="Y721" s="82">
        <v>3</v>
      </c>
    </row>
    <row r="722" spans="1:25" x14ac:dyDescent="0.25">
      <c r="A722" s="62" t="s">
        <v>346</v>
      </c>
      <c r="B722" s="62" t="s">
        <v>254</v>
      </c>
      <c r="C722" s="63" t="s">
        <v>2221</v>
      </c>
      <c r="D722" s="64">
        <v>2</v>
      </c>
      <c r="E722" s="65"/>
      <c r="F722" s="66">
        <v>95.555555555555557</v>
      </c>
      <c r="G722" s="63"/>
      <c r="H722" s="67"/>
      <c r="I722" s="68"/>
      <c r="J722" s="68"/>
      <c r="K722" s="34" t="s">
        <v>65</v>
      </c>
      <c r="L722" s="75">
        <v>722</v>
      </c>
      <c r="M722" s="75"/>
      <c r="N722" s="70"/>
      <c r="O722" s="77" t="s">
        <v>381</v>
      </c>
      <c r="P722" s="79">
        <v>41123.681990740741</v>
      </c>
      <c r="Q722" s="77" t="s">
        <v>553</v>
      </c>
      <c r="R722" s="77"/>
      <c r="S722" s="77" t="s">
        <v>643</v>
      </c>
      <c r="T722" s="79">
        <v>41123.681990740741</v>
      </c>
      <c r="U722" s="81" t="s">
        <v>882</v>
      </c>
      <c r="V722" s="77"/>
      <c r="W722" s="77"/>
      <c r="X722" s="84" t="s">
        <v>1179</v>
      </c>
      <c r="Y722" s="82">
        <v>3</v>
      </c>
    </row>
    <row r="723" spans="1:25" x14ac:dyDescent="0.25">
      <c r="A723" s="62" t="s">
        <v>346</v>
      </c>
      <c r="B723" s="62" t="s">
        <v>254</v>
      </c>
      <c r="C723" s="63" t="s">
        <v>2221</v>
      </c>
      <c r="D723" s="64">
        <v>2</v>
      </c>
      <c r="E723" s="65"/>
      <c r="F723" s="66">
        <v>95.555555555555557</v>
      </c>
      <c r="G723" s="63"/>
      <c r="H723" s="67"/>
      <c r="I723" s="68"/>
      <c r="J723" s="68"/>
      <c r="K723" s="34" t="s">
        <v>65</v>
      </c>
      <c r="L723" s="75">
        <v>723</v>
      </c>
      <c r="M723" s="75"/>
      <c r="N723" s="70"/>
      <c r="O723" s="77" t="s">
        <v>381</v>
      </c>
      <c r="P723" s="79">
        <v>41123.686574074076</v>
      </c>
      <c r="Q723" s="77" t="s">
        <v>554</v>
      </c>
      <c r="R723" s="77"/>
      <c r="S723" s="77" t="s">
        <v>643</v>
      </c>
      <c r="T723" s="79">
        <v>41123.686574074076</v>
      </c>
      <c r="U723" s="81" t="s">
        <v>883</v>
      </c>
      <c r="V723" s="77"/>
      <c r="W723" s="77"/>
      <c r="X723" s="84" t="s">
        <v>1180</v>
      </c>
      <c r="Y723" s="82">
        <v>3</v>
      </c>
    </row>
    <row r="724" spans="1:25" x14ac:dyDescent="0.25">
      <c r="A724" s="62" t="s">
        <v>345</v>
      </c>
      <c r="B724" s="62" t="s">
        <v>254</v>
      </c>
      <c r="C724" s="63" t="s">
        <v>2221</v>
      </c>
      <c r="D724" s="64">
        <v>1</v>
      </c>
      <c r="E724" s="65"/>
      <c r="F724" s="66">
        <v>100</v>
      </c>
      <c r="G724" s="63"/>
      <c r="H724" s="67"/>
      <c r="I724" s="68"/>
      <c r="J724" s="68"/>
      <c r="K724" s="34" t="s">
        <v>64</v>
      </c>
      <c r="L724" s="75">
        <v>724</v>
      </c>
      <c r="M724" s="75"/>
      <c r="N724" s="70"/>
      <c r="O724" s="77" t="s">
        <v>381</v>
      </c>
      <c r="P724" s="79">
        <v>41123.677916666667</v>
      </c>
      <c r="Q724" s="77" t="s">
        <v>551</v>
      </c>
      <c r="R724" s="77"/>
      <c r="S724" s="77" t="s">
        <v>643</v>
      </c>
      <c r="T724" s="79">
        <v>41123.677916666667</v>
      </c>
      <c r="U724" s="81" t="s">
        <v>884</v>
      </c>
      <c r="V724" s="77"/>
      <c r="W724" s="77"/>
      <c r="X724" s="84" t="s">
        <v>1181</v>
      </c>
      <c r="Y724" s="82">
        <v>1</v>
      </c>
    </row>
    <row r="725" spans="1:25" x14ac:dyDescent="0.25">
      <c r="A725" s="62" t="s">
        <v>254</v>
      </c>
      <c r="B725" s="62" t="s">
        <v>346</v>
      </c>
      <c r="C725" s="63" t="s">
        <v>2222</v>
      </c>
      <c r="D725" s="64">
        <v>1</v>
      </c>
      <c r="E725" s="65"/>
      <c r="F725" s="66">
        <v>100</v>
      </c>
      <c r="G725" s="63"/>
      <c r="H725" s="67"/>
      <c r="I725" s="68"/>
      <c r="J725" s="68"/>
      <c r="K725" s="34" t="s">
        <v>65</v>
      </c>
      <c r="L725" s="75">
        <v>725</v>
      </c>
      <c r="M725" s="75"/>
      <c r="N725" s="70"/>
      <c r="O725" s="77" t="s">
        <v>382</v>
      </c>
      <c r="P725" s="79">
        <v>41124.25708333333</v>
      </c>
      <c r="Q725" s="77"/>
      <c r="R725" s="77"/>
      <c r="S725" s="77"/>
      <c r="T725" s="77"/>
      <c r="U725" s="77"/>
      <c r="V725" s="77"/>
      <c r="W725" s="77"/>
      <c r="X725" s="77"/>
      <c r="Y725">
        <v>1</v>
      </c>
    </row>
    <row r="726" spans="1:25" x14ac:dyDescent="0.25">
      <c r="A726" s="62" t="s">
        <v>347</v>
      </c>
      <c r="B726" s="62" t="s">
        <v>254</v>
      </c>
      <c r="C726" s="63" t="s">
        <v>2222</v>
      </c>
      <c r="D726" s="64">
        <v>1</v>
      </c>
      <c r="E726" s="65"/>
      <c r="F726" s="66">
        <v>100</v>
      </c>
      <c r="G726" s="63"/>
      <c r="H726" s="67"/>
      <c r="I726" s="68"/>
      <c r="J726" s="68"/>
      <c r="K726" s="34" t="s">
        <v>64</v>
      </c>
      <c r="L726" s="75">
        <v>726</v>
      </c>
      <c r="M726" s="75"/>
      <c r="N726" s="70"/>
      <c r="O726" s="77" t="s">
        <v>382</v>
      </c>
      <c r="P726" s="79">
        <v>41124.25708333333</v>
      </c>
      <c r="Q726" s="77"/>
      <c r="R726" s="77"/>
      <c r="S726" s="77"/>
      <c r="T726" s="77"/>
      <c r="U726" s="77"/>
      <c r="V726" s="77"/>
      <c r="W726" s="77"/>
      <c r="X726" s="77"/>
      <c r="Y726">
        <v>1</v>
      </c>
    </row>
    <row r="727" spans="1:25" x14ac:dyDescent="0.25">
      <c r="A727" s="62" t="s">
        <v>346</v>
      </c>
      <c r="B727" s="62" t="s">
        <v>254</v>
      </c>
      <c r="C727" s="63" t="s">
        <v>2222</v>
      </c>
      <c r="D727" s="64">
        <v>1</v>
      </c>
      <c r="E727" s="65"/>
      <c r="F727" s="66">
        <v>100</v>
      </c>
      <c r="G727" s="63"/>
      <c r="H727" s="67"/>
      <c r="I727" s="68"/>
      <c r="J727" s="68"/>
      <c r="K727" s="34" t="s">
        <v>65</v>
      </c>
      <c r="L727" s="75">
        <v>727</v>
      </c>
      <c r="M727" s="75"/>
      <c r="N727" s="70"/>
      <c r="O727" s="77" t="s">
        <v>382</v>
      </c>
      <c r="P727" s="79">
        <v>41124.25708333333</v>
      </c>
      <c r="Q727" s="77"/>
      <c r="R727" s="77"/>
      <c r="S727" s="77"/>
      <c r="T727" s="77"/>
      <c r="U727" s="77"/>
      <c r="V727" s="77"/>
      <c r="W727" s="77"/>
      <c r="X727" s="77"/>
      <c r="Y727">
        <v>1</v>
      </c>
    </row>
    <row r="728" spans="1:25" x14ac:dyDescent="0.25">
      <c r="A728" s="62" t="s">
        <v>347</v>
      </c>
      <c r="B728" s="62" t="s">
        <v>347</v>
      </c>
      <c r="C728" s="63" t="s">
        <v>2219</v>
      </c>
      <c r="D728" s="64">
        <v>1.5</v>
      </c>
      <c r="E728" s="65"/>
      <c r="F728" s="66">
        <v>97.777777777777771</v>
      </c>
      <c r="G728" s="63"/>
      <c r="H728" s="67"/>
      <c r="I728" s="68"/>
      <c r="J728" s="68"/>
      <c r="K728" s="34" t="s">
        <v>64</v>
      </c>
      <c r="L728" s="75">
        <v>728</v>
      </c>
      <c r="M728" s="75"/>
      <c r="N728" s="70"/>
      <c r="O728" s="77" t="s">
        <v>180</v>
      </c>
      <c r="P728" s="79">
        <v>41123.6637962963</v>
      </c>
      <c r="Q728" s="77" t="s">
        <v>555</v>
      </c>
      <c r="R728" s="77"/>
      <c r="S728" s="77"/>
      <c r="T728" s="79">
        <v>41123.6637962963</v>
      </c>
      <c r="U728" s="81" t="s">
        <v>885</v>
      </c>
      <c r="V728" s="77"/>
      <c r="W728" s="77"/>
      <c r="X728" s="84" t="s">
        <v>1182</v>
      </c>
      <c r="Y728" s="82">
        <v>2</v>
      </c>
    </row>
    <row r="729" spans="1:25" x14ac:dyDescent="0.25">
      <c r="A729" s="62" t="s">
        <v>347</v>
      </c>
      <c r="B729" s="62" t="s">
        <v>347</v>
      </c>
      <c r="C729" s="63" t="s">
        <v>2219</v>
      </c>
      <c r="D729" s="64">
        <v>1.5</v>
      </c>
      <c r="E729" s="65"/>
      <c r="F729" s="66">
        <v>97.777777777777771</v>
      </c>
      <c r="G729" s="63"/>
      <c r="H729" s="67"/>
      <c r="I729" s="68"/>
      <c r="J729" s="68"/>
      <c r="K729" s="34" t="s">
        <v>64</v>
      </c>
      <c r="L729" s="75">
        <v>729</v>
      </c>
      <c r="M729" s="75"/>
      <c r="N729" s="70"/>
      <c r="O729" s="77" t="s">
        <v>180</v>
      </c>
      <c r="P729" s="79">
        <v>41123.667662037034</v>
      </c>
      <c r="Q729" s="77" t="s">
        <v>424</v>
      </c>
      <c r="R729" s="77"/>
      <c r="S729" s="77" t="s">
        <v>643</v>
      </c>
      <c r="T729" s="79">
        <v>41123.667662037034</v>
      </c>
      <c r="U729" s="81" t="s">
        <v>886</v>
      </c>
      <c r="V729" s="77"/>
      <c r="W729" s="77"/>
      <c r="X729" s="84" t="s">
        <v>1183</v>
      </c>
      <c r="Y729" s="82">
        <v>2</v>
      </c>
    </row>
    <row r="730" spans="1:25" x14ac:dyDescent="0.25">
      <c r="A730" s="62" t="s">
        <v>347</v>
      </c>
      <c r="B730" s="62" t="s">
        <v>240</v>
      </c>
      <c r="C730" s="63" t="s">
        <v>2222</v>
      </c>
      <c r="D730" s="64">
        <v>1</v>
      </c>
      <c r="E730" s="65"/>
      <c r="F730" s="66">
        <v>100</v>
      </c>
      <c r="G730" s="63"/>
      <c r="H730" s="67"/>
      <c r="I730" s="68"/>
      <c r="J730" s="68"/>
      <c r="K730" s="34" t="s">
        <v>65</v>
      </c>
      <c r="L730" s="75">
        <v>730</v>
      </c>
      <c r="M730" s="75"/>
      <c r="N730" s="70"/>
      <c r="O730" s="77" t="s">
        <v>382</v>
      </c>
      <c r="P730" s="79">
        <v>41124.25708333333</v>
      </c>
      <c r="Q730" s="77"/>
      <c r="R730" s="77"/>
      <c r="S730" s="77"/>
      <c r="T730" s="77"/>
      <c r="U730" s="77"/>
      <c r="V730" s="77"/>
      <c r="W730" s="77"/>
      <c r="X730" s="77"/>
      <c r="Y730">
        <v>1</v>
      </c>
    </row>
    <row r="731" spans="1:25" x14ac:dyDescent="0.25">
      <c r="A731" s="62" t="s">
        <v>347</v>
      </c>
      <c r="B731" s="62" t="s">
        <v>346</v>
      </c>
      <c r="C731" s="63" t="s">
        <v>2222</v>
      </c>
      <c r="D731" s="64">
        <v>1</v>
      </c>
      <c r="E731" s="65"/>
      <c r="F731" s="66">
        <v>100</v>
      </c>
      <c r="G731" s="63"/>
      <c r="H731" s="67"/>
      <c r="I731" s="68"/>
      <c r="J731" s="68"/>
      <c r="K731" s="34" t="s">
        <v>65</v>
      </c>
      <c r="L731" s="75">
        <v>731</v>
      </c>
      <c r="M731" s="75"/>
      <c r="N731" s="70"/>
      <c r="O731" s="77" t="s">
        <v>382</v>
      </c>
      <c r="P731" s="79">
        <v>41124.25708333333</v>
      </c>
      <c r="Q731" s="77"/>
      <c r="R731" s="77"/>
      <c r="S731" s="77"/>
      <c r="T731" s="77"/>
      <c r="U731" s="77"/>
      <c r="V731" s="77"/>
      <c r="W731" s="77"/>
      <c r="X731" s="77"/>
      <c r="Y731">
        <v>1</v>
      </c>
    </row>
    <row r="732" spans="1:25" x14ac:dyDescent="0.25">
      <c r="A732" s="62" t="s">
        <v>240</v>
      </c>
      <c r="B732" s="62" t="s">
        <v>347</v>
      </c>
      <c r="C732" s="63" t="s">
        <v>2222</v>
      </c>
      <c r="D732" s="64">
        <v>1</v>
      </c>
      <c r="E732" s="65"/>
      <c r="F732" s="66">
        <v>100</v>
      </c>
      <c r="G732" s="63"/>
      <c r="H732" s="67"/>
      <c r="I732" s="68"/>
      <c r="J732" s="68"/>
      <c r="K732" s="34" t="s">
        <v>65</v>
      </c>
      <c r="L732" s="75">
        <v>732</v>
      </c>
      <c r="M732" s="75"/>
      <c r="N732" s="70"/>
      <c r="O732" s="77" t="s">
        <v>382</v>
      </c>
      <c r="P732" s="79">
        <v>41124.25708333333</v>
      </c>
      <c r="Q732" s="77"/>
      <c r="R732" s="77"/>
      <c r="S732" s="77"/>
      <c r="T732" s="77"/>
      <c r="U732" s="77"/>
      <c r="V732" s="77"/>
      <c r="W732" s="77"/>
      <c r="X732" s="77"/>
      <c r="Y732">
        <v>1</v>
      </c>
    </row>
    <row r="733" spans="1:25" x14ac:dyDescent="0.25">
      <c r="A733" s="62" t="s">
        <v>346</v>
      </c>
      <c r="B733" s="62" t="s">
        <v>347</v>
      </c>
      <c r="C733" s="63" t="s">
        <v>2222</v>
      </c>
      <c r="D733" s="64">
        <v>1</v>
      </c>
      <c r="E733" s="65"/>
      <c r="F733" s="66">
        <v>100</v>
      </c>
      <c r="G733" s="63"/>
      <c r="H733" s="67"/>
      <c r="I733" s="68"/>
      <c r="J733" s="68"/>
      <c r="K733" s="34" t="s">
        <v>65</v>
      </c>
      <c r="L733" s="75">
        <v>733</v>
      </c>
      <c r="M733" s="75"/>
      <c r="N733" s="70"/>
      <c r="O733" s="77" t="s">
        <v>382</v>
      </c>
      <c r="P733" s="79">
        <v>41124.25708333333</v>
      </c>
      <c r="Q733" s="77"/>
      <c r="R733" s="77"/>
      <c r="S733" s="77"/>
      <c r="T733" s="77"/>
      <c r="U733" s="77"/>
      <c r="V733" s="77"/>
      <c r="W733" s="77"/>
      <c r="X733" s="77"/>
      <c r="Y733">
        <v>1</v>
      </c>
    </row>
    <row r="734" spans="1:25" x14ac:dyDescent="0.25">
      <c r="A734" s="62" t="s">
        <v>348</v>
      </c>
      <c r="B734" s="62" t="s">
        <v>348</v>
      </c>
      <c r="C734" s="63" t="s">
        <v>2219</v>
      </c>
      <c r="D734" s="64">
        <v>1</v>
      </c>
      <c r="E734" s="65"/>
      <c r="F734" s="66">
        <v>100</v>
      </c>
      <c r="G734" s="63"/>
      <c r="H734" s="67"/>
      <c r="I734" s="68"/>
      <c r="J734" s="68"/>
      <c r="K734" s="34" t="s">
        <v>64</v>
      </c>
      <c r="L734" s="75">
        <v>734</v>
      </c>
      <c r="M734" s="75"/>
      <c r="N734" s="70"/>
      <c r="O734" s="77" t="s">
        <v>180</v>
      </c>
      <c r="P734" s="79">
        <v>41123.699780092589</v>
      </c>
      <c r="Q734" s="77" t="s">
        <v>427</v>
      </c>
      <c r="R734" s="77"/>
      <c r="S734" s="77"/>
      <c r="T734" s="79">
        <v>41123.699780092589</v>
      </c>
      <c r="U734" s="81" t="s">
        <v>887</v>
      </c>
      <c r="V734" s="77"/>
      <c r="W734" s="77"/>
      <c r="X734" s="84" t="s">
        <v>1184</v>
      </c>
      <c r="Y734" s="82">
        <v>1</v>
      </c>
    </row>
    <row r="735" spans="1:25" x14ac:dyDescent="0.25">
      <c r="A735" s="62" t="s">
        <v>348</v>
      </c>
      <c r="B735" s="62" t="s">
        <v>350</v>
      </c>
      <c r="C735" s="63" t="s">
        <v>2222</v>
      </c>
      <c r="D735" s="64">
        <v>1</v>
      </c>
      <c r="E735" s="65"/>
      <c r="F735" s="66">
        <v>100</v>
      </c>
      <c r="G735" s="63"/>
      <c r="H735" s="67"/>
      <c r="I735" s="68"/>
      <c r="J735" s="68"/>
      <c r="K735" s="34" t="s">
        <v>64</v>
      </c>
      <c r="L735" s="75">
        <v>735</v>
      </c>
      <c r="M735" s="75"/>
      <c r="N735" s="70"/>
      <c r="O735" s="77" t="s">
        <v>382</v>
      </c>
      <c r="P735" s="79">
        <v>41124.25708333333</v>
      </c>
      <c r="Q735" s="77"/>
      <c r="R735" s="77"/>
      <c r="S735" s="77"/>
      <c r="T735" s="77"/>
      <c r="U735" s="77"/>
      <c r="V735" s="77"/>
      <c r="W735" s="77"/>
      <c r="X735" s="77"/>
      <c r="Y735">
        <v>1</v>
      </c>
    </row>
    <row r="736" spans="1:25" x14ac:dyDescent="0.25">
      <c r="A736" s="62" t="s">
        <v>348</v>
      </c>
      <c r="B736" s="62" t="s">
        <v>273</v>
      </c>
      <c r="C736" s="63" t="s">
        <v>2222</v>
      </c>
      <c r="D736" s="64">
        <v>1</v>
      </c>
      <c r="E736" s="65"/>
      <c r="F736" s="66">
        <v>100</v>
      </c>
      <c r="G736" s="63"/>
      <c r="H736" s="67"/>
      <c r="I736" s="68"/>
      <c r="J736" s="68"/>
      <c r="K736" s="34" t="s">
        <v>65</v>
      </c>
      <c r="L736" s="75">
        <v>736</v>
      </c>
      <c r="M736" s="75"/>
      <c r="N736" s="70"/>
      <c r="O736" s="77" t="s">
        <v>382</v>
      </c>
      <c r="P736" s="79">
        <v>41124.25708333333</v>
      </c>
      <c r="Q736" s="77"/>
      <c r="R736" s="77"/>
      <c r="S736" s="77"/>
      <c r="T736" s="77"/>
      <c r="U736" s="77"/>
      <c r="V736" s="77"/>
      <c r="W736" s="77"/>
      <c r="X736" s="77"/>
      <c r="Y736">
        <v>1</v>
      </c>
    </row>
    <row r="737" spans="1:25" x14ac:dyDescent="0.25">
      <c r="A737" s="62" t="s">
        <v>348</v>
      </c>
      <c r="B737" s="62" t="s">
        <v>349</v>
      </c>
      <c r="C737" s="63" t="s">
        <v>2222</v>
      </c>
      <c r="D737" s="64">
        <v>1</v>
      </c>
      <c r="E737" s="65"/>
      <c r="F737" s="66">
        <v>100</v>
      </c>
      <c r="G737" s="63"/>
      <c r="H737" s="67"/>
      <c r="I737" s="68"/>
      <c r="J737" s="68"/>
      <c r="K737" s="34" t="s">
        <v>65</v>
      </c>
      <c r="L737" s="75">
        <v>737</v>
      </c>
      <c r="M737" s="75"/>
      <c r="N737" s="70"/>
      <c r="O737" s="77" t="s">
        <v>382</v>
      </c>
      <c r="P737" s="79">
        <v>41124.25708333333</v>
      </c>
      <c r="Q737" s="77"/>
      <c r="R737" s="77"/>
      <c r="S737" s="77"/>
      <c r="T737" s="77"/>
      <c r="U737" s="77"/>
      <c r="V737" s="77"/>
      <c r="W737" s="77"/>
      <c r="X737" s="77"/>
      <c r="Y737">
        <v>1</v>
      </c>
    </row>
    <row r="738" spans="1:25" x14ac:dyDescent="0.25">
      <c r="A738" s="62" t="s">
        <v>273</v>
      </c>
      <c r="B738" s="62" t="s">
        <v>348</v>
      </c>
      <c r="C738" s="63" t="s">
        <v>2222</v>
      </c>
      <c r="D738" s="64">
        <v>1</v>
      </c>
      <c r="E738" s="65"/>
      <c r="F738" s="66">
        <v>100</v>
      </c>
      <c r="G738" s="63"/>
      <c r="H738" s="67"/>
      <c r="I738" s="68"/>
      <c r="J738" s="68"/>
      <c r="K738" s="34" t="s">
        <v>65</v>
      </c>
      <c r="L738" s="75">
        <v>738</v>
      </c>
      <c r="M738" s="75"/>
      <c r="N738" s="70"/>
      <c r="O738" s="77" t="s">
        <v>382</v>
      </c>
      <c r="P738" s="79">
        <v>41124.25708333333</v>
      </c>
      <c r="Q738" s="77"/>
      <c r="R738" s="77"/>
      <c r="S738" s="77"/>
      <c r="T738" s="77"/>
      <c r="U738" s="77"/>
      <c r="V738" s="77"/>
      <c r="W738" s="77"/>
      <c r="X738" s="77"/>
      <c r="Y738">
        <v>1</v>
      </c>
    </row>
    <row r="739" spans="1:25" x14ac:dyDescent="0.25">
      <c r="A739" s="62" t="s">
        <v>349</v>
      </c>
      <c r="B739" s="62" t="s">
        <v>348</v>
      </c>
      <c r="C739" s="63" t="s">
        <v>2222</v>
      </c>
      <c r="D739" s="64">
        <v>1</v>
      </c>
      <c r="E739" s="65"/>
      <c r="F739" s="66">
        <v>100</v>
      </c>
      <c r="G739" s="63"/>
      <c r="H739" s="67"/>
      <c r="I739" s="68"/>
      <c r="J739" s="68"/>
      <c r="K739" s="34" t="s">
        <v>65</v>
      </c>
      <c r="L739" s="75">
        <v>739</v>
      </c>
      <c r="M739" s="75"/>
      <c r="N739" s="70"/>
      <c r="O739" s="77" t="s">
        <v>382</v>
      </c>
      <c r="P739" s="79">
        <v>41124.25708333333</v>
      </c>
      <c r="Q739" s="77"/>
      <c r="R739" s="77"/>
      <c r="S739" s="77"/>
      <c r="T739" s="77"/>
      <c r="U739" s="77"/>
      <c r="V739" s="77"/>
      <c r="W739" s="77"/>
      <c r="X739" s="77"/>
      <c r="Y739">
        <v>1</v>
      </c>
    </row>
    <row r="740" spans="1:25" x14ac:dyDescent="0.25">
      <c r="A740" s="62" t="s">
        <v>350</v>
      </c>
      <c r="B740" s="62" t="s">
        <v>350</v>
      </c>
      <c r="C740" s="63" t="s">
        <v>2219</v>
      </c>
      <c r="D740" s="64">
        <v>1</v>
      </c>
      <c r="E740" s="65"/>
      <c r="F740" s="66">
        <v>100</v>
      </c>
      <c r="G740" s="63"/>
      <c r="H740" s="67"/>
      <c r="I740" s="68"/>
      <c r="J740" s="68"/>
      <c r="K740" s="34" t="s">
        <v>64</v>
      </c>
      <c r="L740" s="75">
        <v>740</v>
      </c>
      <c r="M740" s="75"/>
      <c r="N740" s="70"/>
      <c r="O740" s="77" t="s">
        <v>180</v>
      </c>
      <c r="P740" s="79">
        <v>41123.681990740741</v>
      </c>
      <c r="Q740" s="77" t="s">
        <v>427</v>
      </c>
      <c r="R740" s="77"/>
      <c r="S740" s="77"/>
      <c r="T740" s="79">
        <v>41123.681990740741</v>
      </c>
      <c r="U740" s="81" t="s">
        <v>888</v>
      </c>
      <c r="V740" s="77"/>
      <c r="W740" s="77"/>
      <c r="X740" s="84" t="s">
        <v>1185</v>
      </c>
      <c r="Y740" s="82">
        <v>1</v>
      </c>
    </row>
    <row r="741" spans="1:25" x14ac:dyDescent="0.25">
      <c r="A741" s="62" t="s">
        <v>350</v>
      </c>
      <c r="B741" s="62" t="s">
        <v>376</v>
      </c>
      <c r="C741" s="63" t="s">
        <v>2222</v>
      </c>
      <c r="D741" s="64">
        <v>1</v>
      </c>
      <c r="E741" s="65"/>
      <c r="F741" s="66">
        <v>100</v>
      </c>
      <c r="G741" s="63"/>
      <c r="H741" s="67"/>
      <c r="I741" s="68"/>
      <c r="J741" s="68"/>
      <c r="K741" s="34" t="s">
        <v>64</v>
      </c>
      <c r="L741" s="75">
        <v>741</v>
      </c>
      <c r="M741" s="75"/>
      <c r="N741" s="70"/>
      <c r="O741" s="77" t="s">
        <v>382</v>
      </c>
      <c r="P741" s="79">
        <v>41124.25708333333</v>
      </c>
      <c r="Q741" s="77"/>
      <c r="R741" s="77"/>
      <c r="S741" s="77"/>
      <c r="T741" s="77"/>
      <c r="U741" s="77"/>
      <c r="V741" s="77"/>
      <c r="W741" s="77"/>
      <c r="X741" s="77"/>
      <c r="Y741">
        <v>1</v>
      </c>
    </row>
    <row r="742" spans="1:25" x14ac:dyDescent="0.25">
      <c r="A742" s="62" t="s">
        <v>239</v>
      </c>
      <c r="B742" s="62" t="s">
        <v>350</v>
      </c>
      <c r="C742" s="63" t="s">
        <v>2222</v>
      </c>
      <c r="D742" s="64">
        <v>1</v>
      </c>
      <c r="E742" s="65"/>
      <c r="F742" s="66">
        <v>100</v>
      </c>
      <c r="G742" s="63"/>
      <c r="H742" s="67"/>
      <c r="I742" s="68"/>
      <c r="J742" s="68"/>
      <c r="K742" s="34" t="s">
        <v>64</v>
      </c>
      <c r="L742" s="75">
        <v>742</v>
      </c>
      <c r="M742" s="75"/>
      <c r="N742" s="70"/>
      <c r="O742" s="77" t="s">
        <v>382</v>
      </c>
      <c r="P742" s="79">
        <v>41124.25708333333</v>
      </c>
      <c r="Q742" s="77"/>
      <c r="R742" s="77"/>
      <c r="S742" s="77"/>
      <c r="T742" s="77"/>
      <c r="U742" s="77"/>
      <c r="V742" s="77"/>
      <c r="W742" s="77"/>
      <c r="X742" s="77"/>
      <c r="Y742">
        <v>1</v>
      </c>
    </row>
    <row r="743" spans="1:25" x14ac:dyDescent="0.25">
      <c r="A743" s="62" t="s">
        <v>273</v>
      </c>
      <c r="B743" s="62" t="s">
        <v>350</v>
      </c>
      <c r="C743" s="63" t="s">
        <v>2222</v>
      </c>
      <c r="D743" s="64">
        <v>1</v>
      </c>
      <c r="E743" s="65"/>
      <c r="F743" s="66">
        <v>100</v>
      </c>
      <c r="G743" s="63"/>
      <c r="H743" s="67"/>
      <c r="I743" s="68"/>
      <c r="J743" s="68"/>
      <c r="K743" s="34" t="s">
        <v>64</v>
      </c>
      <c r="L743" s="75">
        <v>743</v>
      </c>
      <c r="M743" s="75"/>
      <c r="N743" s="70"/>
      <c r="O743" s="77" t="s">
        <v>382</v>
      </c>
      <c r="P743" s="79">
        <v>41124.25708333333</v>
      </c>
      <c r="Q743" s="77"/>
      <c r="R743" s="77"/>
      <c r="S743" s="77"/>
      <c r="T743" s="77"/>
      <c r="U743" s="77"/>
      <c r="V743" s="77"/>
      <c r="W743" s="77"/>
      <c r="X743" s="77"/>
      <c r="Y743">
        <v>1</v>
      </c>
    </row>
    <row r="744" spans="1:25" x14ac:dyDescent="0.25">
      <c r="A744" s="62" t="s">
        <v>302</v>
      </c>
      <c r="B744" s="62" t="s">
        <v>350</v>
      </c>
      <c r="C744" s="63" t="s">
        <v>2222</v>
      </c>
      <c r="D744" s="64">
        <v>1</v>
      </c>
      <c r="E744" s="65"/>
      <c r="F744" s="66">
        <v>100</v>
      </c>
      <c r="G744" s="63"/>
      <c r="H744" s="67"/>
      <c r="I744" s="68"/>
      <c r="J744" s="68"/>
      <c r="K744" s="34" t="s">
        <v>64</v>
      </c>
      <c r="L744" s="75">
        <v>744</v>
      </c>
      <c r="M744" s="75"/>
      <c r="N744" s="70"/>
      <c r="O744" s="77" t="s">
        <v>382</v>
      </c>
      <c r="P744" s="79">
        <v>41124.25708333333</v>
      </c>
      <c r="Q744" s="77"/>
      <c r="R744" s="77"/>
      <c r="S744" s="77"/>
      <c r="T744" s="77"/>
      <c r="U744" s="77"/>
      <c r="V744" s="77"/>
      <c r="W744" s="77"/>
      <c r="X744" s="77"/>
      <c r="Y744">
        <v>1</v>
      </c>
    </row>
    <row r="745" spans="1:25" x14ac:dyDescent="0.25">
      <c r="A745" s="62" t="s">
        <v>346</v>
      </c>
      <c r="B745" s="62" t="s">
        <v>350</v>
      </c>
      <c r="C745" s="63" t="s">
        <v>2222</v>
      </c>
      <c r="D745" s="64">
        <v>1</v>
      </c>
      <c r="E745" s="65"/>
      <c r="F745" s="66">
        <v>100</v>
      </c>
      <c r="G745" s="63"/>
      <c r="H745" s="67"/>
      <c r="I745" s="68"/>
      <c r="J745" s="68"/>
      <c r="K745" s="34" t="s">
        <v>64</v>
      </c>
      <c r="L745" s="75">
        <v>745</v>
      </c>
      <c r="M745" s="75"/>
      <c r="N745" s="70"/>
      <c r="O745" s="77" t="s">
        <v>382</v>
      </c>
      <c r="P745" s="79">
        <v>41124.25708333333</v>
      </c>
      <c r="Q745" s="77"/>
      <c r="R745" s="77"/>
      <c r="S745" s="77"/>
      <c r="T745" s="77"/>
      <c r="U745" s="77"/>
      <c r="V745" s="77"/>
      <c r="W745" s="77"/>
      <c r="X745" s="77"/>
      <c r="Y745">
        <v>1</v>
      </c>
    </row>
    <row r="746" spans="1:25" x14ac:dyDescent="0.25">
      <c r="A746" s="62" t="s">
        <v>344</v>
      </c>
      <c r="B746" s="62" t="s">
        <v>350</v>
      </c>
      <c r="C746" s="63" t="s">
        <v>2222</v>
      </c>
      <c r="D746" s="64">
        <v>1</v>
      </c>
      <c r="E746" s="65"/>
      <c r="F746" s="66">
        <v>100</v>
      </c>
      <c r="G746" s="63"/>
      <c r="H746" s="67"/>
      <c r="I746" s="68"/>
      <c r="J746" s="68"/>
      <c r="K746" s="34" t="s">
        <v>64</v>
      </c>
      <c r="L746" s="75">
        <v>746</v>
      </c>
      <c r="M746" s="75"/>
      <c r="N746" s="70"/>
      <c r="O746" s="77" t="s">
        <v>382</v>
      </c>
      <c r="P746" s="79">
        <v>41124.25708333333</v>
      </c>
      <c r="Q746" s="77"/>
      <c r="R746" s="77"/>
      <c r="S746" s="77"/>
      <c r="T746" s="77"/>
      <c r="U746" s="77"/>
      <c r="V746" s="77"/>
      <c r="W746" s="77"/>
      <c r="X746" s="77"/>
      <c r="Y746">
        <v>1</v>
      </c>
    </row>
    <row r="747" spans="1:25" x14ac:dyDescent="0.25">
      <c r="A747" s="62" t="s">
        <v>218</v>
      </c>
      <c r="B747" s="62" t="s">
        <v>344</v>
      </c>
      <c r="C747" s="63" t="s">
        <v>2222</v>
      </c>
      <c r="D747" s="64">
        <v>1</v>
      </c>
      <c r="E747" s="65"/>
      <c r="F747" s="66">
        <v>100</v>
      </c>
      <c r="G747" s="63"/>
      <c r="H747" s="67"/>
      <c r="I747" s="68"/>
      <c r="J747" s="68"/>
      <c r="K747" s="34" t="s">
        <v>65</v>
      </c>
      <c r="L747" s="75">
        <v>747</v>
      </c>
      <c r="M747" s="75"/>
      <c r="N747" s="70"/>
      <c r="O747" s="77" t="s">
        <v>382</v>
      </c>
      <c r="P747" s="79">
        <v>41124.25708333333</v>
      </c>
      <c r="Q747" s="77"/>
      <c r="R747" s="77"/>
      <c r="S747" s="77"/>
      <c r="T747" s="77"/>
      <c r="U747" s="77"/>
      <c r="V747" s="77"/>
      <c r="W747" s="77"/>
      <c r="X747" s="77"/>
      <c r="Y747">
        <v>1</v>
      </c>
    </row>
    <row r="748" spans="1:25" x14ac:dyDescent="0.25">
      <c r="A748" s="62" t="s">
        <v>240</v>
      </c>
      <c r="B748" s="62" t="s">
        <v>344</v>
      </c>
      <c r="C748" s="63" t="s">
        <v>2222</v>
      </c>
      <c r="D748" s="64">
        <v>1</v>
      </c>
      <c r="E748" s="65"/>
      <c r="F748" s="66">
        <v>100</v>
      </c>
      <c r="G748" s="63"/>
      <c r="H748" s="67"/>
      <c r="I748" s="68"/>
      <c r="J748" s="68"/>
      <c r="K748" s="34" t="s">
        <v>65</v>
      </c>
      <c r="L748" s="75">
        <v>748</v>
      </c>
      <c r="M748" s="75"/>
      <c r="N748" s="70"/>
      <c r="O748" s="77" t="s">
        <v>382</v>
      </c>
      <c r="P748" s="79">
        <v>41124.25708333333</v>
      </c>
      <c r="Q748" s="77"/>
      <c r="R748" s="77"/>
      <c r="S748" s="77"/>
      <c r="T748" s="77"/>
      <c r="U748" s="77"/>
      <c r="V748" s="77"/>
      <c r="W748" s="77"/>
      <c r="X748" s="77"/>
      <c r="Y748">
        <v>1</v>
      </c>
    </row>
    <row r="749" spans="1:25" x14ac:dyDescent="0.25">
      <c r="A749" s="62" t="s">
        <v>344</v>
      </c>
      <c r="B749" s="62" t="s">
        <v>346</v>
      </c>
      <c r="C749" s="63" t="s">
        <v>2222</v>
      </c>
      <c r="D749" s="64">
        <v>1</v>
      </c>
      <c r="E749" s="65"/>
      <c r="F749" s="66">
        <v>100</v>
      </c>
      <c r="G749" s="63"/>
      <c r="H749" s="67"/>
      <c r="I749" s="68"/>
      <c r="J749" s="68"/>
      <c r="K749" s="34" t="s">
        <v>64</v>
      </c>
      <c r="L749" s="75">
        <v>749</v>
      </c>
      <c r="M749" s="75"/>
      <c r="N749" s="70"/>
      <c r="O749" s="77" t="s">
        <v>382</v>
      </c>
      <c r="P749" s="79">
        <v>41124.25708333333</v>
      </c>
      <c r="Q749" s="77"/>
      <c r="R749" s="77"/>
      <c r="S749" s="77"/>
      <c r="T749" s="77"/>
      <c r="U749" s="77"/>
      <c r="V749" s="77"/>
      <c r="W749" s="77"/>
      <c r="X749" s="77"/>
      <c r="Y749">
        <v>1</v>
      </c>
    </row>
    <row r="750" spans="1:25" x14ac:dyDescent="0.25">
      <c r="A750" s="62" t="s">
        <v>344</v>
      </c>
      <c r="B750" s="62" t="s">
        <v>218</v>
      </c>
      <c r="C750" s="63" t="s">
        <v>2222</v>
      </c>
      <c r="D750" s="64">
        <v>1</v>
      </c>
      <c r="E750" s="65"/>
      <c r="F750" s="66">
        <v>100</v>
      </c>
      <c r="G750" s="63"/>
      <c r="H750" s="67"/>
      <c r="I750" s="68"/>
      <c r="J750" s="68"/>
      <c r="K750" s="34" t="s">
        <v>65</v>
      </c>
      <c r="L750" s="75">
        <v>750</v>
      </c>
      <c r="M750" s="75"/>
      <c r="N750" s="70"/>
      <c r="O750" s="77" t="s">
        <v>382</v>
      </c>
      <c r="P750" s="79">
        <v>41124.25708333333</v>
      </c>
      <c r="Q750" s="77"/>
      <c r="R750" s="77"/>
      <c r="S750" s="77"/>
      <c r="T750" s="77"/>
      <c r="U750" s="77"/>
      <c r="V750" s="77"/>
      <c r="W750" s="77"/>
      <c r="X750" s="77"/>
      <c r="Y750">
        <v>1</v>
      </c>
    </row>
    <row r="751" spans="1:25" x14ac:dyDescent="0.25">
      <c r="A751" s="62" t="s">
        <v>344</v>
      </c>
      <c r="B751" s="62" t="s">
        <v>240</v>
      </c>
      <c r="C751" s="63" t="s">
        <v>2222</v>
      </c>
      <c r="D751" s="64">
        <v>1</v>
      </c>
      <c r="E751" s="65"/>
      <c r="F751" s="66">
        <v>100</v>
      </c>
      <c r="G751" s="63"/>
      <c r="H751" s="67"/>
      <c r="I751" s="68"/>
      <c r="J751" s="68"/>
      <c r="K751" s="34" t="s">
        <v>65</v>
      </c>
      <c r="L751" s="75">
        <v>751</v>
      </c>
      <c r="M751" s="75"/>
      <c r="N751" s="70"/>
      <c r="O751" s="77" t="s">
        <v>382</v>
      </c>
      <c r="P751" s="79">
        <v>41124.25708333333</v>
      </c>
      <c r="Q751" s="77"/>
      <c r="R751" s="77"/>
      <c r="S751" s="77"/>
      <c r="T751" s="77"/>
      <c r="U751" s="77"/>
      <c r="V751" s="77"/>
      <c r="W751" s="77"/>
      <c r="X751" s="77"/>
      <c r="Y751">
        <v>1</v>
      </c>
    </row>
    <row r="752" spans="1:25" x14ac:dyDescent="0.25">
      <c r="A752" s="62" t="s">
        <v>260</v>
      </c>
      <c r="B752" s="62" t="s">
        <v>260</v>
      </c>
      <c r="C752" s="63" t="s">
        <v>2219</v>
      </c>
      <c r="D752" s="64">
        <v>1</v>
      </c>
      <c r="E752" s="65"/>
      <c r="F752" s="66">
        <v>100</v>
      </c>
      <c r="G752" s="63"/>
      <c r="H752" s="67"/>
      <c r="I752" s="68"/>
      <c r="J752" s="68"/>
      <c r="K752" s="34" t="s">
        <v>64</v>
      </c>
      <c r="L752" s="75">
        <v>752</v>
      </c>
      <c r="M752" s="75"/>
      <c r="N752" s="70"/>
      <c r="O752" s="77" t="s">
        <v>180</v>
      </c>
      <c r="P752" s="79">
        <v>41123.804895833331</v>
      </c>
      <c r="Q752" s="77" t="s">
        <v>556</v>
      </c>
      <c r="R752" s="81" t="s">
        <v>626</v>
      </c>
      <c r="S752" s="77" t="s">
        <v>661</v>
      </c>
      <c r="T752" s="79">
        <v>41123.804895833331</v>
      </c>
      <c r="U752" s="81" t="s">
        <v>889</v>
      </c>
      <c r="V752" s="77"/>
      <c r="W752" s="77"/>
      <c r="X752" s="84" t="s">
        <v>1186</v>
      </c>
      <c r="Y752" s="82">
        <v>1</v>
      </c>
    </row>
    <row r="753" spans="1:25" x14ac:dyDescent="0.25">
      <c r="A753" s="62" t="s">
        <v>217</v>
      </c>
      <c r="B753" s="62" t="s">
        <v>260</v>
      </c>
      <c r="C753" s="63" t="s">
        <v>2222</v>
      </c>
      <c r="D753" s="64">
        <v>1</v>
      </c>
      <c r="E753" s="65"/>
      <c r="F753" s="66">
        <v>100</v>
      </c>
      <c r="G753" s="63"/>
      <c r="H753" s="67"/>
      <c r="I753" s="68"/>
      <c r="J753" s="68"/>
      <c r="K753" s="34" t="s">
        <v>65</v>
      </c>
      <c r="L753" s="75">
        <v>753</v>
      </c>
      <c r="M753" s="75"/>
      <c r="N753" s="70"/>
      <c r="O753" s="77" t="s">
        <v>382</v>
      </c>
      <c r="P753" s="79">
        <v>41124.25708333333</v>
      </c>
      <c r="Q753" s="77"/>
      <c r="R753" s="77"/>
      <c r="S753" s="77"/>
      <c r="T753" s="77"/>
      <c r="U753" s="77"/>
      <c r="V753" s="77"/>
      <c r="W753" s="77"/>
      <c r="X753" s="77"/>
      <c r="Y753">
        <v>1</v>
      </c>
    </row>
    <row r="754" spans="1:25" x14ac:dyDescent="0.25">
      <c r="A754" s="62" t="s">
        <v>351</v>
      </c>
      <c r="B754" s="62" t="s">
        <v>260</v>
      </c>
      <c r="C754" s="63" t="s">
        <v>2222</v>
      </c>
      <c r="D754" s="64">
        <v>1</v>
      </c>
      <c r="E754" s="65"/>
      <c r="F754" s="66">
        <v>100</v>
      </c>
      <c r="G754" s="63"/>
      <c r="H754" s="67"/>
      <c r="I754" s="68"/>
      <c r="J754" s="68"/>
      <c r="K754" s="34" t="s">
        <v>65</v>
      </c>
      <c r="L754" s="75">
        <v>754</v>
      </c>
      <c r="M754" s="75"/>
      <c r="N754" s="70"/>
      <c r="O754" s="77" t="s">
        <v>382</v>
      </c>
      <c r="P754" s="79">
        <v>41124.25708333333</v>
      </c>
      <c r="Q754" s="77"/>
      <c r="R754" s="77"/>
      <c r="S754" s="77"/>
      <c r="T754" s="77"/>
      <c r="U754" s="77"/>
      <c r="V754" s="77"/>
      <c r="W754" s="77"/>
      <c r="X754" s="77"/>
      <c r="Y754">
        <v>1</v>
      </c>
    </row>
    <row r="755" spans="1:25" x14ac:dyDescent="0.25">
      <c r="A755" s="62" t="s">
        <v>240</v>
      </c>
      <c r="B755" s="62" t="s">
        <v>260</v>
      </c>
      <c r="C755" s="63" t="s">
        <v>2222</v>
      </c>
      <c r="D755" s="64">
        <v>1</v>
      </c>
      <c r="E755" s="65"/>
      <c r="F755" s="66">
        <v>100</v>
      </c>
      <c r="G755" s="63"/>
      <c r="H755" s="67"/>
      <c r="I755" s="68"/>
      <c r="J755" s="68"/>
      <c r="K755" s="34" t="s">
        <v>65</v>
      </c>
      <c r="L755" s="75">
        <v>755</v>
      </c>
      <c r="M755" s="75"/>
      <c r="N755" s="70"/>
      <c r="O755" s="77" t="s">
        <v>382</v>
      </c>
      <c r="P755" s="79">
        <v>41124.25708333333</v>
      </c>
      <c r="Q755" s="77"/>
      <c r="R755" s="77"/>
      <c r="S755" s="77"/>
      <c r="T755" s="77"/>
      <c r="U755" s="77"/>
      <c r="V755" s="77"/>
      <c r="W755" s="77"/>
      <c r="X755" s="77"/>
      <c r="Y755">
        <v>1</v>
      </c>
    </row>
    <row r="756" spans="1:25" x14ac:dyDescent="0.25">
      <c r="A756" s="62" t="s">
        <v>260</v>
      </c>
      <c r="B756" s="62" t="s">
        <v>217</v>
      </c>
      <c r="C756" s="63" t="s">
        <v>2222</v>
      </c>
      <c r="D756" s="64">
        <v>1</v>
      </c>
      <c r="E756" s="65"/>
      <c r="F756" s="66">
        <v>100</v>
      </c>
      <c r="G756" s="63"/>
      <c r="H756" s="67"/>
      <c r="I756" s="68"/>
      <c r="J756" s="68"/>
      <c r="K756" s="34" t="s">
        <v>65</v>
      </c>
      <c r="L756" s="75">
        <v>756</v>
      </c>
      <c r="M756" s="75"/>
      <c r="N756" s="70"/>
      <c r="O756" s="77" t="s">
        <v>382</v>
      </c>
      <c r="P756" s="79">
        <v>41124.25708333333</v>
      </c>
      <c r="Q756" s="77"/>
      <c r="R756" s="77"/>
      <c r="S756" s="77"/>
      <c r="T756" s="77"/>
      <c r="U756" s="77"/>
      <c r="V756" s="77"/>
      <c r="W756" s="77"/>
      <c r="X756" s="77"/>
      <c r="Y756">
        <v>1</v>
      </c>
    </row>
    <row r="757" spans="1:25" x14ac:dyDescent="0.25">
      <c r="A757" s="62" t="s">
        <v>260</v>
      </c>
      <c r="B757" s="62" t="s">
        <v>352</v>
      </c>
      <c r="C757" s="63" t="s">
        <v>2222</v>
      </c>
      <c r="D757" s="64">
        <v>1</v>
      </c>
      <c r="E757" s="65"/>
      <c r="F757" s="66">
        <v>100</v>
      </c>
      <c r="G757" s="63"/>
      <c r="H757" s="67"/>
      <c r="I757" s="68"/>
      <c r="J757" s="68"/>
      <c r="K757" s="34" t="s">
        <v>65</v>
      </c>
      <c r="L757" s="75">
        <v>757</v>
      </c>
      <c r="M757" s="75"/>
      <c r="N757" s="70"/>
      <c r="O757" s="77" t="s">
        <v>382</v>
      </c>
      <c r="P757" s="79">
        <v>41124.25708333333</v>
      </c>
      <c r="Q757" s="77"/>
      <c r="R757" s="77"/>
      <c r="S757" s="77"/>
      <c r="T757" s="77"/>
      <c r="U757" s="77"/>
      <c r="V757" s="77"/>
      <c r="W757" s="77"/>
      <c r="X757" s="77"/>
      <c r="Y757">
        <v>1</v>
      </c>
    </row>
    <row r="758" spans="1:25" x14ac:dyDescent="0.25">
      <c r="A758" s="62" t="s">
        <v>260</v>
      </c>
      <c r="B758" s="62" t="s">
        <v>351</v>
      </c>
      <c r="C758" s="63" t="s">
        <v>2222</v>
      </c>
      <c r="D758" s="64">
        <v>1</v>
      </c>
      <c r="E758" s="65"/>
      <c r="F758" s="66">
        <v>100</v>
      </c>
      <c r="G758" s="63"/>
      <c r="H758" s="67"/>
      <c r="I758" s="68"/>
      <c r="J758" s="68"/>
      <c r="K758" s="34" t="s">
        <v>65</v>
      </c>
      <c r="L758" s="75">
        <v>758</v>
      </c>
      <c r="M758" s="75"/>
      <c r="N758" s="70"/>
      <c r="O758" s="77" t="s">
        <v>382</v>
      </c>
      <c r="P758" s="79">
        <v>41124.25708333333</v>
      </c>
      <c r="Q758" s="77"/>
      <c r="R758" s="77"/>
      <c r="S758" s="77"/>
      <c r="T758" s="77"/>
      <c r="U758" s="77"/>
      <c r="V758" s="77"/>
      <c r="W758" s="77"/>
      <c r="X758" s="77"/>
      <c r="Y758">
        <v>1</v>
      </c>
    </row>
    <row r="759" spans="1:25" x14ac:dyDescent="0.25">
      <c r="A759" s="62" t="s">
        <v>260</v>
      </c>
      <c r="B759" s="62" t="s">
        <v>346</v>
      </c>
      <c r="C759" s="63" t="s">
        <v>2222</v>
      </c>
      <c r="D759" s="64">
        <v>1</v>
      </c>
      <c r="E759" s="65"/>
      <c r="F759" s="66">
        <v>100</v>
      </c>
      <c r="G759" s="63"/>
      <c r="H759" s="67"/>
      <c r="I759" s="68"/>
      <c r="J759" s="68"/>
      <c r="K759" s="34" t="s">
        <v>65</v>
      </c>
      <c r="L759" s="75">
        <v>759</v>
      </c>
      <c r="M759" s="75"/>
      <c r="N759" s="70"/>
      <c r="O759" s="77" t="s">
        <v>382</v>
      </c>
      <c r="P759" s="79">
        <v>41124.25708333333</v>
      </c>
      <c r="Q759" s="77"/>
      <c r="R759" s="77"/>
      <c r="S759" s="77"/>
      <c r="T759" s="77"/>
      <c r="U759" s="77"/>
      <c r="V759" s="77"/>
      <c r="W759" s="77"/>
      <c r="X759" s="77"/>
      <c r="Y759">
        <v>1</v>
      </c>
    </row>
    <row r="760" spans="1:25" x14ac:dyDescent="0.25">
      <c r="A760" s="62" t="s">
        <v>260</v>
      </c>
      <c r="B760" s="62" t="s">
        <v>328</v>
      </c>
      <c r="C760" s="63" t="s">
        <v>2222</v>
      </c>
      <c r="D760" s="64">
        <v>1</v>
      </c>
      <c r="E760" s="65"/>
      <c r="F760" s="66">
        <v>100</v>
      </c>
      <c r="G760" s="63"/>
      <c r="H760" s="67"/>
      <c r="I760" s="68"/>
      <c r="J760" s="68"/>
      <c r="K760" s="34" t="s">
        <v>65</v>
      </c>
      <c r="L760" s="75">
        <v>760</v>
      </c>
      <c r="M760" s="75"/>
      <c r="N760" s="70"/>
      <c r="O760" s="77" t="s">
        <v>382</v>
      </c>
      <c r="P760" s="79">
        <v>41124.25708333333</v>
      </c>
      <c r="Q760" s="77"/>
      <c r="R760" s="77"/>
      <c r="S760" s="77"/>
      <c r="T760" s="77"/>
      <c r="U760" s="77"/>
      <c r="V760" s="77"/>
      <c r="W760" s="77"/>
      <c r="X760" s="77"/>
      <c r="Y760">
        <v>1</v>
      </c>
    </row>
    <row r="761" spans="1:25" x14ac:dyDescent="0.25">
      <c r="A761" s="62" t="s">
        <v>260</v>
      </c>
      <c r="B761" s="62" t="s">
        <v>240</v>
      </c>
      <c r="C761" s="63" t="s">
        <v>2222</v>
      </c>
      <c r="D761" s="64">
        <v>1</v>
      </c>
      <c r="E761" s="65"/>
      <c r="F761" s="66">
        <v>100</v>
      </c>
      <c r="G761" s="63"/>
      <c r="H761" s="67"/>
      <c r="I761" s="68"/>
      <c r="J761" s="68"/>
      <c r="K761" s="34" t="s">
        <v>65</v>
      </c>
      <c r="L761" s="75">
        <v>761</v>
      </c>
      <c r="M761" s="75"/>
      <c r="N761" s="70"/>
      <c r="O761" s="77" t="s">
        <v>382</v>
      </c>
      <c r="P761" s="79">
        <v>41124.25708333333</v>
      </c>
      <c r="Q761" s="77"/>
      <c r="R761" s="77"/>
      <c r="S761" s="77"/>
      <c r="T761" s="77"/>
      <c r="U761" s="77"/>
      <c r="V761" s="77"/>
      <c r="W761" s="77"/>
      <c r="X761" s="77"/>
      <c r="Y761">
        <v>1</v>
      </c>
    </row>
    <row r="762" spans="1:25" x14ac:dyDescent="0.25">
      <c r="A762" s="62" t="s">
        <v>260</v>
      </c>
      <c r="B762" s="62" t="s">
        <v>331</v>
      </c>
      <c r="C762" s="63" t="s">
        <v>2222</v>
      </c>
      <c r="D762" s="64">
        <v>1</v>
      </c>
      <c r="E762" s="65"/>
      <c r="F762" s="66">
        <v>100</v>
      </c>
      <c r="G762" s="63"/>
      <c r="H762" s="67"/>
      <c r="I762" s="68"/>
      <c r="J762" s="68"/>
      <c r="K762" s="34" t="s">
        <v>65</v>
      </c>
      <c r="L762" s="75">
        <v>762</v>
      </c>
      <c r="M762" s="75"/>
      <c r="N762" s="70"/>
      <c r="O762" s="77" t="s">
        <v>382</v>
      </c>
      <c r="P762" s="79">
        <v>41124.25708333333</v>
      </c>
      <c r="Q762" s="77"/>
      <c r="R762" s="77"/>
      <c r="S762" s="77"/>
      <c r="T762" s="77"/>
      <c r="U762" s="77"/>
      <c r="V762" s="77"/>
      <c r="W762" s="77"/>
      <c r="X762" s="77"/>
      <c r="Y762">
        <v>1</v>
      </c>
    </row>
    <row r="763" spans="1:25" x14ac:dyDescent="0.25">
      <c r="A763" s="62" t="s">
        <v>260</v>
      </c>
      <c r="B763" s="62" t="s">
        <v>302</v>
      </c>
      <c r="C763" s="63" t="s">
        <v>2222</v>
      </c>
      <c r="D763" s="64">
        <v>1</v>
      </c>
      <c r="E763" s="65"/>
      <c r="F763" s="66">
        <v>100</v>
      </c>
      <c r="G763" s="63"/>
      <c r="H763" s="67"/>
      <c r="I763" s="68"/>
      <c r="J763" s="68"/>
      <c r="K763" s="34" t="s">
        <v>65</v>
      </c>
      <c r="L763" s="75">
        <v>763</v>
      </c>
      <c r="M763" s="75"/>
      <c r="N763" s="70"/>
      <c r="O763" s="77" t="s">
        <v>382</v>
      </c>
      <c r="P763" s="79">
        <v>41124.25708333333</v>
      </c>
      <c r="Q763" s="77"/>
      <c r="R763" s="77"/>
      <c r="S763" s="77"/>
      <c r="T763" s="77"/>
      <c r="U763" s="77"/>
      <c r="V763" s="77"/>
      <c r="W763" s="77"/>
      <c r="X763" s="77"/>
      <c r="Y763">
        <v>1</v>
      </c>
    </row>
    <row r="764" spans="1:25" x14ac:dyDescent="0.25">
      <c r="A764" s="62" t="s">
        <v>302</v>
      </c>
      <c r="B764" s="62" t="s">
        <v>260</v>
      </c>
      <c r="C764" s="63" t="s">
        <v>2222</v>
      </c>
      <c r="D764" s="64">
        <v>1</v>
      </c>
      <c r="E764" s="65"/>
      <c r="F764" s="66">
        <v>100</v>
      </c>
      <c r="G764" s="63"/>
      <c r="H764" s="67"/>
      <c r="I764" s="68"/>
      <c r="J764" s="68"/>
      <c r="K764" s="34" t="s">
        <v>65</v>
      </c>
      <c r="L764" s="75">
        <v>764</v>
      </c>
      <c r="M764" s="75"/>
      <c r="N764" s="70"/>
      <c r="O764" s="77" t="s">
        <v>382</v>
      </c>
      <c r="P764" s="79">
        <v>41124.25708333333</v>
      </c>
      <c r="Q764" s="77"/>
      <c r="R764" s="77"/>
      <c r="S764" s="77"/>
      <c r="T764" s="77"/>
      <c r="U764" s="77"/>
      <c r="V764" s="77"/>
      <c r="W764" s="77"/>
      <c r="X764" s="77"/>
      <c r="Y764">
        <v>1</v>
      </c>
    </row>
    <row r="765" spans="1:25" x14ac:dyDescent="0.25">
      <c r="A765" s="62" t="s">
        <v>328</v>
      </c>
      <c r="B765" s="62" t="s">
        <v>260</v>
      </c>
      <c r="C765" s="63" t="s">
        <v>2222</v>
      </c>
      <c r="D765" s="64">
        <v>1</v>
      </c>
      <c r="E765" s="65"/>
      <c r="F765" s="66">
        <v>100</v>
      </c>
      <c r="G765" s="63"/>
      <c r="H765" s="67"/>
      <c r="I765" s="68"/>
      <c r="J765" s="68"/>
      <c r="K765" s="34" t="s">
        <v>65</v>
      </c>
      <c r="L765" s="75">
        <v>765</v>
      </c>
      <c r="M765" s="75"/>
      <c r="N765" s="70"/>
      <c r="O765" s="77" t="s">
        <v>382</v>
      </c>
      <c r="P765" s="79">
        <v>41124.25708333333</v>
      </c>
      <c r="Q765" s="77"/>
      <c r="R765" s="77"/>
      <c r="S765" s="77"/>
      <c r="T765" s="77"/>
      <c r="U765" s="77"/>
      <c r="V765" s="77"/>
      <c r="W765" s="77"/>
      <c r="X765" s="77"/>
      <c r="Y765">
        <v>1</v>
      </c>
    </row>
    <row r="766" spans="1:25" x14ac:dyDescent="0.25">
      <c r="A766" s="62" t="s">
        <v>331</v>
      </c>
      <c r="B766" s="62" t="s">
        <v>260</v>
      </c>
      <c r="C766" s="63" t="s">
        <v>2222</v>
      </c>
      <c r="D766" s="64">
        <v>1</v>
      </c>
      <c r="E766" s="65"/>
      <c r="F766" s="66">
        <v>100</v>
      </c>
      <c r="G766" s="63"/>
      <c r="H766" s="67"/>
      <c r="I766" s="68"/>
      <c r="J766" s="68"/>
      <c r="K766" s="34" t="s">
        <v>65</v>
      </c>
      <c r="L766" s="75">
        <v>766</v>
      </c>
      <c r="M766" s="75"/>
      <c r="N766" s="70"/>
      <c r="O766" s="77" t="s">
        <v>382</v>
      </c>
      <c r="P766" s="79">
        <v>41124.25708333333</v>
      </c>
      <c r="Q766" s="77"/>
      <c r="R766" s="77"/>
      <c r="S766" s="77"/>
      <c r="T766" s="77"/>
      <c r="U766" s="77"/>
      <c r="V766" s="77"/>
      <c r="W766" s="77"/>
      <c r="X766" s="77"/>
      <c r="Y766">
        <v>1</v>
      </c>
    </row>
    <row r="767" spans="1:25" x14ac:dyDescent="0.25">
      <c r="A767" s="62" t="s">
        <v>346</v>
      </c>
      <c r="B767" s="62" t="s">
        <v>260</v>
      </c>
      <c r="C767" s="63" t="s">
        <v>2222</v>
      </c>
      <c r="D767" s="64">
        <v>1</v>
      </c>
      <c r="E767" s="65"/>
      <c r="F767" s="66">
        <v>100</v>
      </c>
      <c r="G767" s="63"/>
      <c r="H767" s="67"/>
      <c r="I767" s="68"/>
      <c r="J767" s="68"/>
      <c r="K767" s="34" t="s">
        <v>65</v>
      </c>
      <c r="L767" s="75">
        <v>767</v>
      </c>
      <c r="M767" s="75"/>
      <c r="N767" s="70"/>
      <c r="O767" s="77" t="s">
        <v>382</v>
      </c>
      <c r="P767" s="79">
        <v>41124.25708333333</v>
      </c>
      <c r="Q767" s="77"/>
      <c r="R767" s="77"/>
      <c r="S767" s="77"/>
      <c r="T767" s="77"/>
      <c r="U767" s="77"/>
      <c r="V767" s="77"/>
      <c r="W767" s="77"/>
      <c r="X767" s="77"/>
      <c r="Y767">
        <v>1</v>
      </c>
    </row>
    <row r="768" spans="1:25" x14ac:dyDescent="0.25">
      <c r="A768" s="62" t="s">
        <v>352</v>
      </c>
      <c r="B768" s="62" t="s">
        <v>260</v>
      </c>
      <c r="C768" s="63" t="s">
        <v>2222</v>
      </c>
      <c r="D768" s="64">
        <v>1</v>
      </c>
      <c r="E768" s="65"/>
      <c r="F768" s="66">
        <v>100</v>
      </c>
      <c r="G768" s="63"/>
      <c r="H768" s="67"/>
      <c r="I768" s="68"/>
      <c r="J768" s="68"/>
      <c r="K768" s="34" t="s">
        <v>65</v>
      </c>
      <c r="L768" s="75">
        <v>768</v>
      </c>
      <c r="M768" s="75"/>
      <c r="N768" s="70"/>
      <c r="O768" s="77" t="s">
        <v>382</v>
      </c>
      <c r="P768" s="79">
        <v>41124.25708333333</v>
      </c>
      <c r="Q768" s="77"/>
      <c r="R768" s="77"/>
      <c r="S768" s="77"/>
      <c r="T768" s="77"/>
      <c r="U768" s="77"/>
      <c r="V768" s="77"/>
      <c r="W768" s="77"/>
      <c r="X768" s="77"/>
      <c r="Y768">
        <v>1</v>
      </c>
    </row>
    <row r="769" spans="1:25" x14ac:dyDescent="0.25">
      <c r="A769" s="62" t="s">
        <v>217</v>
      </c>
      <c r="B769" s="62" t="s">
        <v>217</v>
      </c>
      <c r="C769" s="63" t="s">
        <v>2219</v>
      </c>
      <c r="D769" s="64">
        <v>1</v>
      </c>
      <c r="E769" s="65"/>
      <c r="F769" s="66">
        <v>100</v>
      </c>
      <c r="G769" s="63"/>
      <c r="H769" s="67"/>
      <c r="I769" s="68"/>
      <c r="J769" s="68"/>
      <c r="K769" s="34" t="s">
        <v>64</v>
      </c>
      <c r="L769" s="75">
        <v>769</v>
      </c>
      <c r="M769" s="75"/>
      <c r="N769" s="70"/>
      <c r="O769" s="77" t="s">
        <v>180</v>
      </c>
      <c r="P769" s="79">
        <v>41123.670451388891</v>
      </c>
      <c r="Q769" s="77" t="s">
        <v>424</v>
      </c>
      <c r="R769" s="77"/>
      <c r="S769" s="77" t="s">
        <v>643</v>
      </c>
      <c r="T769" s="79">
        <v>41123.670451388891</v>
      </c>
      <c r="U769" s="81" t="s">
        <v>890</v>
      </c>
      <c r="V769" s="77"/>
      <c r="W769" s="77"/>
      <c r="X769" s="84" t="s">
        <v>1187</v>
      </c>
      <c r="Y769" s="82">
        <v>1</v>
      </c>
    </row>
    <row r="770" spans="1:25" x14ac:dyDescent="0.25">
      <c r="A770" s="62" t="s">
        <v>217</v>
      </c>
      <c r="B770" s="62" t="s">
        <v>240</v>
      </c>
      <c r="C770" s="63" t="s">
        <v>2222</v>
      </c>
      <c r="D770" s="64">
        <v>1</v>
      </c>
      <c r="E770" s="65"/>
      <c r="F770" s="66">
        <v>100</v>
      </c>
      <c r="G770" s="63"/>
      <c r="H770" s="67"/>
      <c r="I770" s="68"/>
      <c r="J770" s="68"/>
      <c r="K770" s="34" t="s">
        <v>65</v>
      </c>
      <c r="L770" s="75">
        <v>770</v>
      </c>
      <c r="M770" s="75"/>
      <c r="N770" s="70"/>
      <c r="O770" s="77" t="s">
        <v>382</v>
      </c>
      <c r="P770" s="79">
        <v>41124.25708333333</v>
      </c>
      <c r="Q770" s="77"/>
      <c r="R770" s="77"/>
      <c r="S770" s="77"/>
      <c r="T770" s="77"/>
      <c r="U770" s="77"/>
      <c r="V770" s="77"/>
      <c r="W770" s="77"/>
      <c r="X770" s="77"/>
      <c r="Y770">
        <v>1</v>
      </c>
    </row>
    <row r="771" spans="1:25" x14ac:dyDescent="0.25">
      <c r="A771" s="62" t="s">
        <v>217</v>
      </c>
      <c r="B771" s="62" t="s">
        <v>355</v>
      </c>
      <c r="C771" s="63" t="s">
        <v>2222</v>
      </c>
      <c r="D771" s="64">
        <v>1</v>
      </c>
      <c r="E771" s="65"/>
      <c r="F771" s="66">
        <v>100</v>
      </c>
      <c r="G771" s="63"/>
      <c r="H771" s="67"/>
      <c r="I771" s="68"/>
      <c r="J771" s="68"/>
      <c r="K771" s="34" t="s">
        <v>65</v>
      </c>
      <c r="L771" s="75">
        <v>771</v>
      </c>
      <c r="M771" s="75"/>
      <c r="N771" s="70"/>
      <c r="O771" s="77" t="s">
        <v>382</v>
      </c>
      <c r="P771" s="79">
        <v>41124.25708333333</v>
      </c>
      <c r="Q771" s="77"/>
      <c r="R771" s="77"/>
      <c r="S771" s="77"/>
      <c r="T771" s="77"/>
      <c r="U771" s="77"/>
      <c r="V771" s="77"/>
      <c r="W771" s="77"/>
      <c r="X771" s="77"/>
      <c r="Y771">
        <v>1</v>
      </c>
    </row>
    <row r="772" spans="1:25" x14ac:dyDescent="0.25">
      <c r="A772" s="62" t="s">
        <v>217</v>
      </c>
      <c r="B772" s="62" t="s">
        <v>356</v>
      </c>
      <c r="C772" s="63" t="s">
        <v>2222</v>
      </c>
      <c r="D772" s="64">
        <v>1</v>
      </c>
      <c r="E772" s="65"/>
      <c r="F772" s="66">
        <v>100</v>
      </c>
      <c r="G772" s="63"/>
      <c r="H772" s="67"/>
      <c r="I772" s="68"/>
      <c r="J772" s="68"/>
      <c r="K772" s="34" t="s">
        <v>65</v>
      </c>
      <c r="L772" s="75">
        <v>772</v>
      </c>
      <c r="M772" s="75"/>
      <c r="N772" s="70"/>
      <c r="O772" s="77" t="s">
        <v>382</v>
      </c>
      <c r="P772" s="79">
        <v>41124.25708333333</v>
      </c>
      <c r="Q772" s="77"/>
      <c r="R772" s="77"/>
      <c r="S772" s="77"/>
      <c r="T772" s="77"/>
      <c r="U772" s="77"/>
      <c r="V772" s="77"/>
      <c r="W772" s="77"/>
      <c r="X772" s="77"/>
      <c r="Y772">
        <v>1</v>
      </c>
    </row>
    <row r="773" spans="1:25" x14ac:dyDescent="0.25">
      <c r="A773" s="62" t="s">
        <v>217</v>
      </c>
      <c r="B773" s="62" t="s">
        <v>352</v>
      </c>
      <c r="C773" s="63" t="s">
        <v>2222</v>
      </c>
      <c r="D773" s="64">
        <v>1</v>
      </c>
      <c r="E773" s="65"/>
      <c r="F773" s="66">
        <v>100</v>
      </c>
      <c r="G773" s="63"/>
      <c r="H773" s="67"/>
      <c r="I773" s="68"/>
      <c r="J773" s="68"/>
      <c r="K773" s="34" t="s">
        <v>65</v>
      </c>
      <c r="L773" s="75">
        <v>773</v>
      </c>
      <c r="M773" s="75"/>
      <c r="N773" s="70"/>
      <c r="O773" s="77" t="s">
        <v>382</v>
      </c>
      <c r="P773" s="79">
        <v>41124.25708333333</v>
      </c>
      <c r="Q773" s="77"/>
      <c r="R773" s="77"/>
      <c r="S773" s="77"/>
      <c r="T773" s="77"/>
      <c r="U773" s="77"/>
      <c r="V773" s="77"/>
      <c r="W773" s="77"/>
      <c r="X773" s="77"/>
      <c r="Y773">
        <v>1</v>
      </c>
    </row>
    <row r="774" spans="1:25" x14ac:dyDescent="0.25">
      <c r="A774" s="62" t="s">
        <v>217</v>
      </c>
      <c r="B774" s="62" t="s">
        <v>346</v>
      </c>
      <c r="C774" s="63" t="s">
        <v>2222</v>
      </c>
      <c r="D774" s="64">
        <v>1</v>
      </c>
      <c r="E774" s="65"/>
      <c r="F774" s="66">
        <v>100</v>
      </c>
      <c r="G774" s="63"/>
      <c r="H774" s="67"/>
      <c r="I774" s="68"/>
      <c r="J774" s="68"/>
      <c r="K774" s="34" t="s">
        <v>65</v>
      </c>
      <c r="L774" s="75">
        <v>774</v>
      </c>
      <c r="M774" s="75"/>
      <c r="N774" s="70"/>
      <c r="O774" s="77" t="s">
        <v>382</v>
      </c>
      <c r="P774" s="79">
        <v>41124.25708333333</v>
      </c>
      <c r="Q774" s="77"/>
      <c r="R774" s="77"/>
      <c r="S774" s="77"/>
      <c r="T774" s="77"/>
      <c r="U774" s="77"/>
      <c r="V774" s="77"/>
      <c r="W774" s="77"/>
      <c r="X774" s="77"/>
      <c r="Y774">
        <v>1</v>
      </c>
    </row>
    <row r="775" spans="1:25" x14ac:dyDescent="0.25">
      <c r="A775" s="62" t="s">
        <v>217</v>
      </c>
      <c r="B775" s="62" t="s">
        <v>236</v>
      </c>
      <c r="C775" s="63" t="s">
        <v>2222</v>
      </c>
      <c r="D775" s="64">
        <v>1</v>
      </c>
      <c r="E775" s="65"/>
      <c r="F775" s="66">
        <v>100</v>
      </c>
      <c r="G775" s="63"/>
      <c r="H775" s="67"/>
      <c r="I775" s="68"/>
      <c r="J775" s="68"/>
      <c r="K775" s="34" t="s">
        <v>65</v>
      </c>
      <c r="L775" s="75">
        <v>775</v>
      </c>
      <c r="M775" s="75"/>
      <c r="N775" s="70"/>
      <c r="O775" s="77" t="s">
        <v>382</v>
      </c>
      <c r="P775" s="79">
        <v>41124.25708333333</v>
      </c>
      <c r="Q775" s="77"/>
      <c r="R775" s="77"/>
      <c r="S775" s="77"/>
      <c r="T775" s="77"/>
      <c r="U775" s="77"/>
      <c r="V775" s="77"/>
      <c r="W775" s="77"/>
      <c r="X775" s="77"/>
      <c r="Y775">
        <v>1</v>
      </c>
    </row>
    <row r="776" spans="1:25" x14ac:dyDescent="0.25">
      <c r="A776" s="62" t="s">
        <v>217</v>
      </c>
      <c r="B776" s="62" t="s">
        <v>328</v>
      </c>
      <c r="C776" s="63" t="s">
        <v>2222</v>
      </c>
      <c r="D776" s="64">
        <v>1</v>
      </c>
      <c r="E776" s="65"/>
      <c r="F776" s="66">
        <v>100</v>
      </c>
      <c r="G776" s="63"/>
      <c r="H776" s="67"/>
      <c r="I776" s="68"/>
      <c r="J776" s="68"/>
      <c r="K776" s="34" t="s">
        <v>65</v>
      </c>
      <c r="L776" s="75">
        <v>776</v>
      </c>
      <c r="M776" s="75"/>
      <c r="N776" s="70"/>
      <c r="O776" s="77" t="s">
        <v>382</v>
      </c>
      <c r="P776" s="79">
        <v>41124.25708333333</v>
      </c>
      <c r="Q776" s="77"/>
      <c r="R776" s="77"/>
      <c r="S776" s="77"/>
      <c r="T776" s="77"/>
      <c r="U776" s="77"/>
      <c r="V776" s="77"/>
      <c r="W776" s="77"/>
      <c r="X776" s="77"/>
      <c r="Y776">
        <v>1</v>
      </c>
    </row>
    <row r="777" spans="1:25" x14ac:dyDescent="0.25">
      <c r="A777" s="62" t="s">
        <v>217</v>
      </c>
      <c r="B777" s="62" t="s">
        <v>239</v>
      </c>
      <c r="C777" s="63" t="s">
        <v>2222</v>
      </c>
      <c r="D777" s="64">
        <v>1</v>
      </c>
      <c r="E777" s="65"/>
      <c r="F777" s="66">
        <v>100</v>
      </c>
      <c r="G777" s="63"/>
      <c r="H777" s="67"/>
      <c r="I777" s="68"/>
      <c r="J777" s="68"/>
      <c r="K777" s="34" t="s">
        <v>65</v>
      </c>
      <c r="L777" s="75">
        <v>777</v>
      </c>
      <c r="M777" s="75"/>
      <c r="N777" s="70"/>
      <c r="O777" s="77" t="s">
        <v>382</v>
      </c>
      <c r="P777" s="79">
        <v>41124.25708333333</v>
      </c>
      <c r="Q777" s="77"/>
      <c r="R777" s="77"/>
      <c r="S777" s="77"/>
      <c r="T777" s="77"/>
      <c r="U777" s="77"/>
      <c r="V777" s="77"/>
      <c r="W777" s="77"/>
      <c r="X777" s="77"/>
      <c r="Y777">
        <v>1</v>
      </c>
    </row>
    <row r="778" spans="1:25" x14ac:dyDescent="0.25">
      <c r="A778" s="62" t="s">
        <v>217</v>
      </c>
      <c r="B778" s="62" t="s">
        <v>353</v>
      </c>
      <c r="C778" s="63" t="s">
        <v>2222</v>
      </c>
      <c r="D778" s="64">
        <v>1</v>
      </c>
      <c r="E778" s="65"/>
      <c r="F778" s="66">
        <v>100</v>
      </c>
      <c r="G778" s="63"/>
      <c r="H778" s="67"/>
      <c r="I778" s="68"/>
      <c r="J778" s="68"/>
      <c r="K778" s="34" t="s">
        <v>65</v>
      </c>
      <c r="L778" s="75">
        <v>778</v>
      </c>
      <c r="M778" s="75"/>
      <c r="N778" s="70"/>
      <c r="O778" s="77" t="s">
        <v>382</v>
      </c>
      <c r="P778" s="79">
        <v>41124.25708333333</v>
      </c>
      <c r="Q778" s="77"/>
      <c r="R778" s="77"/>
      <c r="S778" s="77"/>
      <c r="T778" s="77"/>
      <c r="U778" s="77"/>
      <c r="V778" s="77"/>
      <c r="W778" s="77"/>
      <c r="X778" s="77"/>
      <c r="Y778">
        <v>1</v>
      </c>
    </row>
    <row r="779" spans="1:25" x14ac:dyDescent="0.25">
      <c r="A779" s="62" t="s">
        <v>217</v>
      </c>
      <c r="B779" s="62" t="s">
        <v>331</v>
      </c>
      <c r="C779" s="63" t="s">
        <v>2222</v>
      </c>
      <c r="D779" s="64">
        <v>1</v>
      </c>
      <c r="E779" s="65"/>
      <c r="F779" s="66">
        <v>100</v>
      </c>
      <c r="G779" s="63"/>
      <c r="H779" s="67"/>
      <c r="I779" s="68"/>
      <c r="J779" s="68"/>
      <c r="K779" s="34" t="s">
        <v>65</v>
      </c>
      <c r="L779" s="75">
        <v>779</v>
      </c>
      <c r="M779" s="75"/>
      <c r="N779" s="70"/>
      <c r="O779" s="77" t="s">
        <v>382</v>
      </c>
      <c r="P779" s="79">
        <v>41124.25708333333</v>
      </c>
      <c r="Q779" s="77"/>
      <c r="R779" s="77"/>
      <c r="S779" s="77"/>
      <c r="T779" s="77"/>
      <c r="U779" s="77"/>
      <c r="V779" s="77"/>
      <c r="W779" s="77"/>
      <c r="X779" s="77"/>
      <c r="Y779">
        <v>1</v>
      </c>
    </row>
    <row r="780" spans="1:25" x14ac:dyDescent="0.25">
      <c r="A780" s="62" t="s">
        <v>217</v>
      </c>
      <c r="B780" s="62" t="s">
        <v>273</v>
      </c>
      <c r="C780" s="63" t="s">
        <v>2222</v>
      </c>
      <c r="D780" s="64">
        <v>1</v>
      </c>
      <c r="E780" s="65"/>
      <c r="F780" s="66">
        <v>100</v>
      </c>
      <c r="G780" s="63"/>
      <c r="H780" s="67"/>
      <c r="I780" s="68"/>
      <c r="J780" s="68"/>
      <c r="K780" s="34" t="s">
        <v>65</v>
      </c>
      <c r="L780" s="75">
        <v>780</v>
      </c>
      <c r="M780" s="75"/>
      <c r="N780" s="70"/>
      <c r="O780" s="77" t="s">
        <v>382</v>
      </c>
      <c r="P780" s="79">
        <v>41124.25708333333</v>
      </c>
      <c r="Q780" s="77"/>
      <c r="R780" s="77"/>
      <c r="S780" s="77"/>
      <c r="T780" s="77"/>
      <c r="U780" s="77"/>
      <c r="V780" s="77"/>
      <c r="W780" s="77"/>
      <c r="X780" s="77"/>
      <c r="Y780">
        <v>1</v>
      </c>
    </row>
    <row r="781" spans="1:25" x14ac:dyDescent="0.25">
      <c r="A781" s="62" t="s">
        <v>217</v>
      </c>
      <c r="B781" s="62" t="s">
        <v>218</v>
      </c>
      <c r="C781" s="63" t="s">
        <v>2222</v>
      </c>
      <c r="D781" s="64">
        <v>1</v>
      </c>
      <c r="E781" s="65"/>
      <c r="F781" s="66">
        <v>100</v>
      </c>
      <c r="G781" s="63"/>
      <c r="H781" s="67"/>
      <c r="I781" s="68"/>
      <c r="J781" s="68"/>
      <c r="K781" s="34" t="s">
        <v>65</v>
      </c>
      <c r="L781" s="75">
        <v>781</v>
      </c>
      <c r="M781" s="75"/>
      <c r="N781" s="70"/>
      <c r="O781" s="77" t="s">
        <v>382</v>
      </c>
      <c r="P781" s="79">
        <v>41124.25708333333</v>
      </c>
      <c r="Q781" s="77"/>
      <c r="R781" s="77"/>
      <c r="S781" s="77"/>
      <c r="T781" s="77"/>
      <c r="U781" s="77"/>
      <c r="V781" s="77"/>
      <c r="W781" s="77"/>
      <c r="X781" s="77"/>
      <c r="Y781">
        <v>1</v>
      </c>
    </row>
    <row r="782" spans="1:25" x14ac:dyDescent="0.25">
      <c r="A782" s="62" t="s">
        <v>217</v>
      </c>
      <c r="B782" s="62" t="s">
        <v>302</v>
      </c>
      <c r="C782" s="63" t="s">
        <v>2222</v>
      </c>
      <c r="D782" s="64">
        <v>1</v>
      </c>
      <c r="E782" s="65"/>
      <c r="F782" s="66">
        <v>100</v>
      </c>
      <c r="G782" s="63"/>
      <c r="H782" s="67"/>
      <c r="I782" s="68"/>
      <c r="J782" s="68"/>
      <c r="K782" s="34" t="s">
        <v>65</v>
      </c>
      <c r="L782" s="75">
        <v>782</v>
      </c>
      <c r="M782" s="75"/>
      <c r="N782" s="70"/>
      <c r="O782" s="77" t="s">
        <v>382</v>
      </c>
      <c r="P782" s="79">
        <v>41124.25708333333</v>
      </c>
      <c r="Q782" s="77"/>
      <c r="R782" s="77"/>
      <c r="S782" s="77"/>
      <c r="T782" s="77"/>
      <c r="U782" s="77"/>
      <c r="V782" s="77"/>
      <c r="W782" s="77"/>
      <c r="X782" s="77"/>
      <c r="Y782">
        <v>1</v>
      </c>
    </row>
    <row r="783" spans="1:25" x14ac:dyDescent="0.25">
      <c r="A783" s="62" t="s">
        <v>217</v>
      </c>
      <c r="B783" s="62" t="s">
        <v>349</v>
      </c>
      <c r="C783" s="63" t="s">
        <v>2222</v>
      </c>
      <c r="D783" s="64">
        <v>1</v>
      </c>
      <c r="E783" s="65"/>
      <c r="F783" s="66">
        <v>100</v>
      </c>
      <c r="G783" s="63"/>
      <c r="H783" s="67"/>
      <c r="I783" s="68"/>
      <c r="J783" s="68"/>
      <c r="K783" s="34" t="s">
        <v>65</v>
      </c>
      <c r="L783" s="75">
        <v>783</v>
      </c>
      <c r="M783" s="75"/>
      <c r="N783" s="70"/>
      <c r="O783" s="77" t="s">
        <v>382</v>
      </c>
      <c r="P783" s="79">
        <v>41124.25708333333</v>
      </c>
      <c r="Q783" s="77"/>
      <c r="R783" s="77"/>
      <c r="S783" s="77"/>
      <c r="T783" s="77"/>
      <c r="U783" s="77"/>
      <c r="V783" s="77"/>
      <c r="W783" s="77"/>
      <c r="X783" s="77"/>
      <c r="Y783">
        <v>1</v>
      </c>
    </row>
    <row r="784" spans="1:25" x14ac:dyDescent="0.25">
      <c r="A784" s="62" t="s">
        <v>217</v>
      </c>
      <c r="B784" s="62" t="s">
        <v>354</v>
      </c>
      <c r="C784" s="63" t="s">
        <v>2222</v>
      </c>
      <c r="D784" s="64">
        <v>1</v>
      </c>
      <c r="E784" s="65"/>
      <c r="F784" s="66">
        <v>100</v>
      </c>
      <c r="G784" s="63"/>
      <c r="H784" s="67"/>
      <c r="I784" s="68"/>
      <c r="J784" s="68"/>
      <c r="K784" s="34" t="s">
        <v>65</v>
      </c>
      <c r="L784" s="75">
        <v>784</v>
      </c>
      <c r="M784" s="75"/>
      <c r="N784" s="70"/>
      <c r="O784" s="77" t="s">
        <v>382</v>
      </c>
      <c r="P784" s="79">
        <v>41124.25708333333</v>
      </c>
      <c r="Q784" s="77"/>
      <c r="R784" s="77"/>
      <c r="S784" s="77"/>
      <c r="T784" s="77"/>
      <c r="U784" s="77"/>
      <c r="V784" s="77"/>
      <c r="W784" s="77"/>
      <c r="X784" s="77"/>
      <c r="Y784">
        <v>1</v>
      </c>
    </row>
    <row r="785" spans="1:25" x14ac:dyDescent="0.25">
      <c r="A785" s="62" t="s">
        <v>217</v>
      </c>
      <c r="B785" s="62" t="s">
        <v>357</v>
      </c>
      <c r="C785" s="63" t="s">
        <v>2222</v>
      </c>
      <c r="D785" s="64">
        <v>1</v>
      </c>
      <c r="E785" s="65"/>
      <c r="F785" s="66">
        <v>100</v>
      </c>
      <c r="G785" s="63"/>
      <c r="H785" s="67"/>
      <c r="I785" s="68"/>
      <c r="J785" s="68"/>
      <c r="K785" s="34" t="s">
        <v>65</v>
      </c>
      <c r="L785" s="75">
        <v>785</v>
      </c>
      <c r="M785" s="75"/>
      <c r="N785" s="70"/>
      <c r="O785" s="77" t="s">
        <v>382</v>
      </c>
      <c r="P785" s="79">
        <v>41124.25708333333</v>
      </c>
      <c r="Q785" s="77"/>
      <c r="R785" s="77"/>
      <c r="S785" s="77"/>
      <c r="T785" s="77"/>
      <c r="U785" s="77"/>
      <c r="V785" s="77"/>
      <c r="W785" s="77"/>
      <c r="X785" s="77"/>
      <c r="Y785">
        <v>1</v>
      </c>
    </row>
    <row r="786" spans="1:25" x14ac:dyDescent="0.25">
      <c r="A786" s="62" t="s">
        <v>218</v>
      </c>
      <c r="B786" s="62" t="s">
        <v>217</v>
      </c>
      <c r="C786" s="63" t="s">
        <v>2222</v>
      </c>
      <c r="D786" s="64">
        <v>1</v>
      </c>
      <c r="E786" s="65"/>
      <c r="F786" s="66">
        <v>100</v>
      </c>
      <c r="G786" s="63"/>
      <c r="H786" s="67"/>
      <c r="I786" s="68"/>
      <c r="J786" s="68"/>
      <c r="K786" s="34" t="s">
        <v>65</v>
      </c>
      <c r="L786" s="75">
        <v>786</v>
      </c>
      <c r="M786" s="75"/>
      <c r="N786" s="70"/>
      <c r="O786" s="77" t="s">
        <v>382</v>
      </c>
      <c r="P786" s="79">
        <v>41124.25708333333</v>
      </c>
      <c r="Q786" s="77"/>
      <c r="R786" s="77"/>
      <c r="S786" s="77"/>
      <c r="T786" s="77"/>
      <c r="U786" s="77"/>
      <c r="V786" s="77"/>
      <c r="W786" s="77"/>
      <c r="X786" s="77"/>
      <c r="Y786">
        <v>1</v>
      </c>
    </row>
    <row r="787" spans="1:25" x14ac:dyDescent="0.25">
      <c r="A787" s="62" t="s">
        <v>353</v>
      </c>
      <c r="B787" s="62" t="s">
        <v>217</v>
      </c>
      <c r="C787" s="63" t="s">
        <v>2222</v>
      </c>
      <c r="D787" s="64">
        <v>1</v>
      </c>
      <c r="E787" s="65"/>
      <c r="F787" s="66">
        <v>100</v>
      </c>
      <c r="G787" s="63"/>
      <c r="H787" s="67"/>
      <c r="I787" s="68"/>
      <c r="J787" s="68"/>
      <c r="K787" s="34" t="s">
        <v>65</v>
      </c>
      <c r="L787" s="75">
        <v>787</v>
      </c>
      <c r="M787" s="75"/>
      <c r="N787" s="70"/>
      <c r="O787" s="77" t="s">
        <v>382</v>
      </c>
      <c r="P787" s="79">
        <v>41124.25708333333</v>
      </c>
      <c r="Q787" s="77"/>
      <c r="R787" s="77"/>
      <c r="S787" s="77"/>
      <c r="T787" s="77"/>
      <c r="U787" s="77"/>
      <c r="V787" s="77"/>
      <c r="W787" s="77"/>
      <c r="X787" s="77"/>
      <c r="Y787">
        <v>1</v>
      </c>
    </row>
    <row r="788" spans="1:25" x14ac:dyDescent="0.25">
      <c r="A788" s="62" t="s">
        <v>321</v>
      </c>
      <c r="B788" s="62" t="s">
        <v>217</v>
      </c>
      <c r="C788" s="63" t="s">
        <v>2222</v>
      </c>
      <c r="D788" s="64">
        <v>1</v>
      </c>
      <c r="E788" s="65"/>
      <c r="F788" s="66">
        <v>100</v>
      </c>
      <c r="G788" s="63"/>
      <c r="H788" s="67"/>
      <c r="I788" s="68"/>
      <c r="J788" s="68"/>
      <c r="K788" s="34" t="s">
        <v>64</v>
      </c>
      <c r="L788" s="75">
        <v>788</v>
      </c>
      <c r="M788" s="75"/>
      <c r="N788" s="70"/>
      <c r="O788" s="77" t="s">
        <v>382</v>
      </c>
      <c r="P788" s="79">
        <v>41124.25708333333</v>
      </c>
      <c r="Q788" s="77"/>
      <c r="R788" s="77"/>
      <c r="S788" s="77"/>
      <c r="T788" s="77"/>
      <c r="U788" s="77"/>
      <c r="V788" s="77"/>
      <c r="W788" s="77"/>
      <c r="X788" s="77"/>
      <c r="Y788">
        <v>1</v>
      </c>
    </row>
    <row r="789" spans="1:25" x14ac:dyDescent="0.25">
      <c r="A789" s="62" t="s">
        <v>236</v>
      </c>
      <c r="B789" s="62" t="s">
        <v>217</v>
      </c>
      <c r="C789" s="63" t="s">
        <v>2222</v>
      </c>
      <c r="D789" s="64">
        <v>1</v>
      </c>
      <c r="E789" s="65"/>
      <c r="F789" s="66">
        <v>100</v>
      </c>
      <c r="G789" s="63"/>
      <c r="H789" s="67"/>
      <c r="I789" s="68"/>
      <c r="J789" s="68"/>
      <c r="K789" s="34" t="s">
        <v>65</v>
      </c>
      <c r="L789" s="75">
        <v>789</v>
      </c>
      <c r="M789" s="75"/>
      <c r="N789" s="70"/>
      <c r="O789" s="77" t="s">
        <v>382</v>
      </c>
      <c r="P789" s="79">
        <v>41124.25708333333</v>
      </c>
      <c r="Q789" s="77"/>
      <c r="R789" s="77"/>
      <c r="S789" s="77"/>
      <c r="T789" s="77"/>
      <c r="U789" s="77"/>
      <c r="V789" s="77"/>
      <c r="W789" s="77"/>
      <c r="X789" s="77"/>
      <c r="Y789">
        <v>1</v>
      </c>
    </row>
    <row r="790" spans="1:25" x14ac:dyDescent="0.25">
      <c r="A790" s="62" t="s">
        <v>239</v>
      </c>
      <c r="B790" s="62" t="s">
        <v>217</v>
      </c>
      <c r="C790" s="63" t="s">
        <v>2222</v>
      </c>
      <c r="D790" s="64">
        <v>1</v>
      </c>
      <c r="E790" s="65"/>
      <c r="F790" s="66">
        <v>100</v>
      </c>
      <c r="G790" s="63"/>
      <c r="H790" s="67"/>
      <c r="I790" s="68"/>
      <c r="J790" s="68"/>
      <c r="K790" s="34" t="s">
        <v>65</v>
      </c>
      <c r="L790" s="75">
        <v>790</v>
      </c>
      <c r="M790" s="75"/>
      <c r="N790" s="70"/>
      <c r="O790" s="77" t="s">
        <v>382</v>
      </c>
      <c r="P790" s="79">
        <v>41124.25708333333</v>
      </c>
      <c r="Q790" s="77"/>
      <c r="R790" s="77"/>
      <c r="S790" s="77"/>
      <c r="T790" s="77"/>
      <c r="U790" s="77"/>
      <c r="V790" s="77"/>
      <c r="W790" s="77"/>
      <c r="X790" s="77"/>
      <c r="Y790">
        <v>1</v>
      </c>
    </row>
    <row r="791" spans="1:25" x14ac:dyDescent="0.25">
      <c r="A791" s="62" t="s">
        <v>240</v>
      </c>
      <c r="B791" s="62" t="s">
        <v>217</v>
      </c>
      <c r="C791" s="63" t="s">
        <v>2222</v>
      </c>
      <c r="D791" s="64">
        <v>1</v>
      </c>
      <c r="E791" s="65"/>
      <c r="F791" s="66">
        <v>100</v>
      </c>
      <c r="G791" s="63"/>
      <c r="H791" s="67"/>
      <c r="I791" s="68"/>
      <c r="J791" s="68"/>
      <c r="K791" s="34" t="s">
        <v>65</v>
      </c>
      <c r="L791" s="75">
        <v>791</v>
      </c>
      <c r="M791" s="75"/>
      <c r="N791" s="70"/>
      <c r="O791" s="77" t="s">
        <v>382</v>
      </c>
      <c r="P791" s="79">
        <v>41124.25708333333</v>
      </c>
      <c r="Q791" s="77"/>
      <c r="R791" s="77"/>
      <c r="S791" s="77"/>
      <c r="T791" s="77"/>
      <c r="U791" s="77"/>
      <c r="V791" s="77"/>
      <c r="W791" s="77"/>
      <c r="X791" s="77"/>
      <c r="Y791">
        <v>1</v>
      </c>
    </row>
    <row r="792" spans="1:25" x14ac:dyDescent="0.25">
      <c r="A792" s="62" t="s">
        <v>354</v>
      </c>
      <c r="B792" s="62" t="s">
        <v>217</v>
      </c>
      <c r="C792" s="63" t="s">
        <v>2222</v>
      </c>
      <c r="D792" s="64">
        <v>1</v>
      </c>
      <c r="E792" s="65"/>
      <c r="F792" s="66">
        <v>100</v>
      </c>
      <c r="G792" s="63"/>
      <c r="H792" s="67"/>
      <c r="I792" s="68"/>
      <c r="J792" s="68"/>
      <c r="K792" s="34" t="s">
        <v>65</v>
      </c>
      <c r="L792" s="75">
        <v>792</v>
      </c>
      <c r="M792" s="75"/>
      <c r="N792" s="70"/>
      <c r="O792" s="77" t="s">
        <v>382</v>
      </c>
      <c r="P792" s="79">
        <v>41124.25708333333</v>
      </c>
      <c r="Q792" s="77"/>
      <c r="R792" s="77"/>
      <c r="S792" s="77"/>
      <c r="T792" s="77"/>
      <c r="U792" s="77"/>
      <c r="V792" s="77"/>
      <c r="W792" s="77"/>
      <c r="X792" s="77"/>
      <c r="Y792">
        <v>1</v>
      </c>
    </row>
    <row r="793" spans="1:25" x14ac:dyDescent="0.25">
      <c r="A793" s="62" t="s">
        <v>355</v>
      </c>
      <c r="B793" s="62" t="s">
        <v>217</v>
      </c>
      <c r="C793" s="63" t="s">
        <v>2222</v>
      </c>
      <c r="D793" s="64">
        <v>1</v>
      </c>
      <c r="E793" s="65"/>
      <c r="F793" s="66">
        <v>100</v>
      </c>
      <c r="G793" s="63"/>
      <c r="H793" s="67"/>
      <c r="I793" s="68"/>
      <c r="J793" s="68"/>
      <c r="K793" s="34" t="s">
        <v>65</v>
      </c>
      <c r="L793" s="75">
        <v>793</v>
      </c>
      <c r="M793" s="75"/>
      <c r="N793" s="70"/>
      <c r="O793" s="77" t="s">
        <v>382</v>
      </c>
      <c r="P793" s="79">
        <v>41124.25708333333</v>
      </c>
      <c r="Q793" s="77"/>
      <c r="R793" s="77"/>
      <c r="S793" s="77"/>
      <c r="T793" s="77"/>
      <c r="U793" s="77"/>
      <c r="V793" s="77"/>
      <c r="W793" s="77"/>
      <c r="X793" s="77"/>
      <c r="Y793">
        <v>1</v>
      </c>
    </row>
    <row r="794" spans="1:25" x14ac:dyDescent="0.25">
      <c r="A794" s="62" t="s">
        <v>273</v>
      </c>
      <c r="B794" s="62" t="s">
        <v>217</v>
      </c>
      <c r="C794" s="63" t="s">
        <v>2222</v>
      </c>
      <c r="D794" s="64">
        <v>1</v>
      </c>
      <c r="E794" s="65"/>
      <c r="F794" s="66">
        <v>100</v>
      </c>
      <c r="G794" s="63"/>
      <c r="H794" s="67"/>
      <c r="I794" s="68"/>
      <c r="J794" s="68"/>
      <c r="K794" s="34" t="s">
        <v>65</v>
      </c>
      <c r="L794" s="75">
        <v>794</v>
      </c>
      <c r="M794" s="75"/>
      <c r="N794" s="70"/>
      <c r="O794" s="77" t="s">
        <v>382</v>
      </c>
      <c r="P794" s="79">
        <v>41124.25708333333</v>
      </c>
      <c r="Q794" s="77"/>
      <c r="R794" s="77"/>
      <c r="S794" s="77"/>
      <c r="T794" s="77"/>
      <c r="U794" s="77"/>
      <c r="V794" s="77"/>
      <c r="W794" s="77"/>
      <c r="X794" s="77"/>
      <c r="Y794">
        <v>1</v>
      </c>
    </row>
    <row r="795" spans="1:25" x14ac:dyDescent="0.25">
      <c r="A795" s="62" t="s">
        <v>356</v>
      </c>
      <c r="B795" s="62" t="s">
        <v>217</v>
      </c>
      <c r="C795" s="63" t="s">
        <v>2222</v>
      </c>
      <c r="D795" s="64">
        <v>1</v>
      </c>
      <c r="E795" s="65"/>
      <c r="F795" s="66">
        <v>100</v>
      </c>
      <c r="G795" s="63"/>
      <c r="H795" s="67"/>
      <c r="I795" s="68"/>
      <c r="J795" s="68"/>
      <c r="K795" s="34" t="s">
        <v>65</v>
      </c>
      <c r="L795" s="75">
        <v>795</v>
      </c>
      <c r="M795" s="75"/>
      <c r="N795" s="70"/>
      <c r="O795" s="77" t="s">
        <v>382</v>
      </c>
      <c r="P795" s="79">
        <v>41124.25708333333</v>
      </c>
      <c r="Q795" s="77"/>
      <c r="R795" s="77"/>
      <c r="S795" s="77"/>
      <c r="T795" s="77"/>
      <c r="U795" s="77"/>
      <c r="V795" s="77"/>
      <c r="W795" s="77"/>
      <c r="X795" s="77"/>
      <c r="Y795">
        <v>1</v>
      </c>
    </row>
    <row r="796" spans="1:25" x14ac:dyDescent="0.25">
      <c r="A796" s="62" t="s">
        <v>302</v>
      </c>
      <c r="B796" s="62" t="s">
        <v>217</v>
      </c>
      <c r="C796" s="63" t="s">
        <v>2222</v>
      </c>
      <c r="D796" s="64">
        <v>1</v>
      </c>
      <c r="E796" s="65"/>
      <c r="F796" s="66">
        <v>100</v>
      </c>
      <c r="G796" s="63"/>
      <c r="H796" s="67"/>
      <c r="I796" s="68"/>
      <c r="J796" s="68"/>
      <c r="K796" s="34" t="s">
        <v>65</v>
      </c>
      <c r="L796" s="75">
        <v>796</v>
      </c>
      <c r="M796" s="75"/>
      <c r="N796" s="70"/>
      <c r="O796" s="77" t="s">
        <v>382</v>
      </c>
      <c r="P796" s="79">
        <v>41124.25708333333</v>
      </c>
      <c r="Q796" s="77"/>
      <c r="R796" s="77"/>
      <c r="S796" s="77"/>
      <c r="T796" s="77"/>
      <c r="U796" s="77"/>
      <c r="V796" s="77"/>
      <c r="W796" s="77"/>
      <c r="X796" s="77"/>
      <c r="Y796">
        <v>1</v>
      </c>
    </row>
    <row r="797" spans="1:25" x14ac:dyDescent="0.25">
      <c r="A797" s="62" t="s">
        <v>357</v>
      </c>
      <c r="B797" s="62" t="s">
        <v>217</v>
      </c>
      <c r="C797" s="63" t="s">
        <v>2222</v>
      </c>
      <c r="D797" s="64">
        <v>1</v>
      </c>
      <c r="E797" s="65"/>
      <c r="F797" s="66">
        <v>100</v>
      </c>
      <c r="G797" s="63"/>
      <c r="H797" s="67"/>
      <c r="I797" s="68"/>
      <c r="J797" s="68"/>
      <c r="K797" s="34" t="s">
        <v>65</v>
      </c>
      <c r="L797" s="75">
        <v>797</v>
      </c>
      <c r="M797" s="75"/>
      <c r="N797" s="70"/>
      <c r="O797" s="77" t="s">
        <v>382</v>
      </c>
      <c r="P797" s="79">
        <v>41124.25708333333</v>
      </c>
      <c r="Q797" s="77"/>
      <c r="R797" s="77"/>
      <c r="S797" s="77"/>
      <c r="T797" s="77"/>
      <c r="U797" s="77"/>
      <c r="V797" s="77"/>
      <c r="W797" s="77"/>
      <c r="X797" s="77"/>
      <c r="Y797">
        <v>1</v>
      </c>
    </row>
    <row r="798" spans="1:25" x14ac:dyDescent="0.25">
      <c r="A798" s="62" t="s">
        <v>328</v>
      </c>
      <c r="B798" s="62" t="s">
        <v>217</v>
      </c>
      <c r="C798" s="63" t="s">
        <v>2222</v>
      </c>
      <c r="D798" s="64">
        <v>1</v>
      </c>
      <c r="E798" s="65"/>
      <c r="F798" s="66">
        <v>100</v>
      </c>
      <c r="G798" s="63"/>
      <c r="H798" s="67"/>
      <c r="I798" s="68"/>
      <c r="J798" s="68"/>
      <c r="K798" s="34" t="s">
        <v>65</v>
      </c>
      <c r="L798" s="75">
        <v>798</v>
      </c>
      <c r="M798" s="75"/>
      <c r="N798" s="70"/>
      <c r="O798" s="77" t="s">
        <v>382</v>
      </c>
      <c r="P798" s="79">
        <v>41124.25708333333</v>
      </c>
      <c r="Q798" s="77"/>
      <c r="R798" s="77"/>
      <c r="S798" s="77"/>
      <c r="T798" s="77"/>
      <c r="U798" s="77"/>
      <c r="V798" s="77"/>
      <c r="W798" s="77"/>
      <c r="X798" s="77"/>
      <c r="Y798">
        <v>1</v>
      </c>
    </row>
    <row r="799" spans="1:25" x14ac:dyDescent="0.25">
      <c r="A799" s="62" t="s">
        <v>331</v>
      </c>
      <c r="B799" s="62" t="s">
        <v>217</v>
      </c>
      <c r="C799" s="63" t="s">
        <v>2222</v>
      </c>
      <c r="D799" s="64">
        <v>1</v>
      </c>
      <c r="E799" s="65"/>
      <c r="F799" s="66">
        <v>100</v>
      </c>
      <c r="G799" s="63"/>
      <c r="H799" s="67"/>
      <c r="I799" s="68"/>
      <c r="J799" s="68"/>
      <c r="K799" s="34" t="s">
        <v>65</v>
      </c>
      <c r="L799" s="75">
        <v>799</v>
      </c>
      <c r="M799" s="75"/>
      <c r="N799" s="70"/>
      <c r="O799" s="77" t="s">
        <v>382</v>
      </c>
      <c r="P799" s="79">
        <v>41124.25708333333</v>
      </c>
      <c r="Q799" s="77"/>
      <c r="R799" s="77"/>
      <c r="S799" s="77"/>
      <c r="T799" s="77"/>
      <c r="U799" s="77"/>
      <c r="V799" s="77"/>
      <c r="W799" s="77"/>
      <c r="X799" s="77"/>
      <c r="Y799">
        <v>1</v>
      </c>
    </row>
    <row r="800" spans="1:25" x14ac:dyDescent="0.25">
      <c r="A800" s="62" t="s">
        <v>346</v>
      </c>
      <c r="B800" s="62" t="s">
        <v>217</v>
      </c>
      <c r="C800" s="63" t="s">
        <v>2222</v>
      </c>
      <c r="D800" s="64">
        <v>1</v>
      </c>
      <c r="E800" s="65"/>
      <c r="F800" s="66">
        <v>100</v>
      </c>
      <c r="G800" s="63"/>
      <c r="H800" s="67"/>
      <c r="I800" s="68"/>
      <c r="J800" s="68"/>
      <c r="K800" s="34" t="s">
        <v>65</v>
      </c>
      <c r="L800" s="75">
        <v>800</v>
      </c>
      <c r="M800" s="75"/>
      <c r="N800" s="70"/>
      <c r="O800" s="77" t="s">
        <v>382</v>
      </c>
      <c r="P800" s="79">
        <v>41124.25708333333</v>
      </c>
      <c r="Q800" s="77"/>
      <c r="R800" s="77"/>
      <c r="S800" s="77"/>
      <c r="T800" s="77"/>
      <c r="U800" s="77"/>
      <c r="V800" s="77"/>
      <c r="W800" s="77"/>
      <c r="X800" s="77"/>
      <c r="Y800">
        <v>1</v>
      </c>
    </row>
    <row r="801" spans="1:25" x14ac:dyDescent="0.25">
      <c r="A801" s="62" t="s">
        <v>349</v>
      </c>
      <c r="B801" s="62" t="s">
        <v>217</v>
      </c>
      <c r="C801" s="63" t="s">
        <v>2222</v>
      </c>
      <c r="D801" s="64">
        <v>1</v>
      </c>
      <c r="E801" s="65"/>
      <c r="F801" s="66">
        <v>100</v>
      </c>
      <c r="G801" s="63"/>
      <c r="H801" s="67"/>
      <c r="I801" s="68"/>
      <c r="J801" s="68"/>
      <c r="K801" s="34" t="s">
        <v>65</v>
      </c>
      <c r="L801" s="75">
        <v>801</v>
      </c>
      <c r="M801" s="75"/>
      <c r="N801" s="70"/>
      <c r="O801" s="77" t="s">
        <v>382</v>
      </c>
      <c r="P801" s="79">
        <v>41124.25708333333</v>
      </c>
      <c r="Q801" s="77"/>
      <c r="R801" s="77"/>
      <c r="S801" s="77"/>
      <c r="T801" s="77"/>
      <c r="U801" s="77"/>
      <c r="V801" s="77"/>
      <c r="W801" s="77"/>
      <c r="X801" s="77"/>
      <c r="Y801">
        <v>1</v>
      </c>
    </row>
    <row r="802" spans="1:25" x14ac:dyDescent="0.25">
      <c r="A802" s="62" t="s">
        <v>352</v>
      </c>
      <c r="B802" s="62" t="s">
        <v>217</v>
      </c>
      <c r="C802" s="63" t="s">
        <v>2222</v>
      </c>
      <c r="D802" s="64">
        <v>1</v>
      </c>
      <c r="E802" s="65"/>
      <c r="F802" s="66">
        <v>100</v>
      </c>
      <c r="G802" s="63"/>
      <c r="H802" s="67"/>
      <c r="I802" s="68"/>
      <c r="J802" s="68"/>
      <c r="K802" s="34" t="s">
        <v>65</v>
      </c>
      <c r="L802" s="75">
        <v>802</v>
      </c>
      <c r="M802" s="75"/>
      <c r="N802" s="70"/>
      <c r="O802" s="77" t="s">
        <v>382</v>
      </c>
      <c r="P802" s="79">
        <v>41124.25708333333</v>
      </c>
      <c r="Q802" s="77"/>
      <c r="R802" s="77"/>
      <c r="S802" s="77"/>
      <c r="T802" s="77"/>
      <c r="U802" s="77"/>
      <c r="V802" s="77"/>
      <c r="W802" s="77"/>
      <c r="X802" s="77"/>
      <c r="Y802">
        <v>1</v>
      </c>
    </row>
    <row r="803" spans="1:25" x14ac:dyDescent="0.25">
      <c r="A803" s="62" t="s">
        <v>351</v>
      </c>
      <c r="B803" s="62" t="s">
        <v>351</v>
      </c>
      <c r="C803" s="63" t="s">
        <v>2219</v>
      </c>
      <c r="D803" s="64">
        <v>1</v>
      </c>
      <c r="E803" s="65"/>
      <c r="F803" s="66">
        <v>100</v>
      </c>
      <c r="G803" s="63"/>
      <c r="H803" s="67"/>
      <c r="I803" s="68"/>
      <c r="J803" s="68"/>
      <c r="K803" s="34" t="s">
        <v>64</v>
      </c>
      <c r="L803" s="75">
        <v>803</v>
      </c>
      <c r="M803" s="75"/>
      <c r="N803" s="70"/>
      <c r="O803" s="77" t="s">
        <v>180</v>
      </c>
      <c r="P803" s="79">
        <v>41123.712453703702</v>
      </c>
      <c r="Q803" s="77" t="s">
        <v>557</v>
      </c>
      <c r="R803" s="81" t="s">
        <v>627</v>
      </c>
      <c r="S803" s="77" t="s">
        <v>645</v>
      </c>
      <c r="T803" s="79">
        <v>41123.712453703702</v>
      </c>
      <c r="U803" s="81" t="s">
        <v>891</v>
      </c>
      <c r="V803" s="77"/>
      <c r="W803" s="77"/>
      <c r="X803" s="84" t="s">
        <v>1188</v>
      </c>
      <c r="Y803" s="82">
        <v>1</v>
      </c>
    </row>
    <row r="804" spans="1:25" x14ac:dyDescent="0.25">
      <c r="A804" s="62" t="s">
        <v>351</v>
      </c>
      <c r="B804" s="62" t="s">
        <v>352</v>
      </c>
      <c r="C804" s="63" t="s">
        <v>2222</v>
      </c>
      <c r="D804" s="64">
        <v>1</v>
      </c>
      <c r="E804" s="65"/>
      <c r="F804" s="66">
        <v>100</v>
      </c>
      <c r="G804" s="63"/>
      <c r="H804" s="67"/>
      <c r="I804" s="68"/>
      <c r="J804" s="68"/>
      <c r="K804" s="34" t="s">
        <v>65</v>
      </c>
      <c r="L804" s="75">
        <v>804</v>
      </c>
      <c r="M804" s="75"/>
      <c r="N804" s="70"/>
      <c r="O804" s="77" t="s">
        <v>382</v>
      </c>
      <c r="P804" s="79">
        <v>41124.25708333333</v>
      </c>
      <c r="Q804" s="77"/>
      <c r="R804" s="77"/>
      <c r="S804" s="77"/>
      <c r="T804" s="77"/>
      <c r="U804" s="77"/>
      <c r="V804" s="77"/>
      <c r="W804" s="77"/>
      <c r="X804" s="77"/>
      <c r="Y804">
        <v>1</v>
      </c>
    </row>
    <row r="805" spans="1:25" x14ac:dyDescent="0.25">
      <c r="A805" s="62" t="s">
        <v>351</v>
      </c>
      <c r="B805" s="62" t="s">
        <v>346</v>
      </c>
      <c r="C805" s="63" t="s">
        <v>2222</v>
      </c>
      <c r="D805" s="64">
        <v>1</v>
      </c>
      <c r="E805" s="65"/>
      <c r="F805" s="66">
        <v>100</v>
      </c>
      <c r="G805" s="63"/>
      <c r="H805" s="67"/>
      <c r="I805" s="68"/>
      <c r="J805" s="68"/>
      <c r="K805" s="34" t="s">
        <v>65</v>
      </c>
      <c r="L805" s="75">
        <v>805</v>
      </c>
      <c r="M805" s="75"/>
      <c r="N805" s="70"/>
      <c r="O805" s="77" t="s">
        <v>382</v>
      </c>
      <c r="P805" s="79">
        <v>41124.25708333333</v>
      </c>
      <c r="Q805" s="77"/>
      <c r="R805" s="77"/>
      <c r="S805" s="77"/>
      <c r="T805" s="77"/>
      <c r="U805" s="77"/>
      <c r="V805" s="77"/>
      <c r="W805" s="77"/>
      <c r="X805" s="77"/>
      <c r="Y805">
        <v>1</v>
      </c>
    </row>
    <row r="806" spans="1:25" x14ac:dyDescent="0.25">
      <c r="A806" s="62" t="s">
        <v>351</v>
      </c>
      <c r="B806" s="62" t="s">
        <v>358</v>
      </c>
      <c r="C806" s="63" t="s">
        <v>2222</v>
      </c>
      <c r="D806" s="64">
        <v>1</v>
      </c>
      <c r="E806" s="65"/>
      <c r="F806" s="66">
        <v>100</v>
      </c>
      <c r="G806" s="63"/>
      <c r="H806" s="67"/>
      <c r="I806" s="68"/>
      <c r="J806" s="68"/>
      <c r="K806" s="34" t="s">
        <v>65</v>
      </c>
      <c r="L806" s="75">
        <v>806</v>
      </c>
      <c r="M806" s="75"/>
      <c r="N806" s="70"/>
      <c r="O806" s="77" t="s">
        <v>382</v>
      </c>
      <c r="P806" s="79">
        <v>41124.25708333333</v>
      </c>
      <c r="Q806" s="77"/>
      <c r="R806" s="77"/>
      <c r="S806" s="77"/>
      <c r="T806" s="77"/>
      <c r="U806" s="77"/>
      <c r="V806" s="77"/>
      <c r="W806" s="77"/>
      <c r="X806" s="77"/>
      <c r="Y806">
        <v>1</v>
      </c>
    </row>
    <row r="807" spans="1:25" x14ac:dyDescent="0.25">
      <c r="A807" s="62" t="s">
        <v>351</v>
      </c>
      <c r="B807" s="62" t="s">
        <v>240</v>
      </c>
      <c r="C807" s="63" t="s">
        <v>2222</v>
      </c>
      <c r="D807" s="64">
        <v>1</v>
      </c>
      <c r="E807" s="65"/>
      <c r="F807" s="66">
        <v>100</v>
      </c>
      <c r="G807" s="63"/>
      <c r="H807" s="67"/>
      <c r="I807" s="68"/>
      <c r="J807" s="68"/>
      <c r="K807" s="34" t="s">
        <v>65</v>
      </c>
      <c r="L807" s="75">
        <v>807</v>
      </c>
      <c r="M807" s="75"/>
      <c r="N807" s="70"/>
      <c r="O807" s="77" t="s">
        <v>382</v>
      </c>
      <c r="P807" s="79">
        <v>41124.25708333333</v>
      </c>
      <c r="Q807" s="77"/>
      <c r="R807" s="77"/>
      <c r="S807" s="77"/>
      <c r="T807" s="77"/>
      <c r="U807" s="77"/>
      <c r="V807" s="77"/>
      <c r="W807" s="77"/>
      <c r="X807" s="77"/>
      <c r="Y807">
        <v>1</v>
      </c>
    </row>
    <row r="808" spans="1:25" x14ac:dyDescent="0.25">
      <c r="A808" s="62" t="s">
        <v>351</v>
      </c>
      <c r="B808" s="62" t="s">
        <v>285</v>
      </c>
      <c r="C808" s="63" t="s">
        <v>2222</v>
      </c>
      <c r="D808" s="64">
        <v>1</v>
      </c>
      <c r="E808" s="65"/>
      <c r="F808" s="66">
        <v>100</v>
      </c>
      <c r="G808" s="63"/>
      <c r="H808" s="67"/>
      <c r="I808" s="68"/>
      <c r="J808" s="68"/>
      <c r="K808" s="34" t="s">
        <v>64</v>
      </c>
      <c r="L808" s="75">
        <v>808</v>
      </c>
      <c r="M808" s="75"/>
      <c r="N808" s="70"/>
      <c r="O808" s="77" t="s">
        <v>382</v>
      </c>
      <c r="P808" s="79">
        <v>41124.25708333333</v>
      </c>
      <c r="Q808" s="77"/>
      <c r="R808" s="77"/>
      <c r="S808" s="77"/>
      <c r="T808" s="77"/>
      <c r="U808" s="77"/>
      <c r="V808" s="77"/>
      <c r="W808" s="77"/>
      <c r="X808" s="77"/>
      <c r="Y808">
        <v>1</v>
      </c>
    </row>
    <row r="809" spans="1:25" x14ac:dyDescent="0.25">
      <c r="A809" s="62" t="s">
        <v>240</v>
      </c>
      <c r="B809" s="62" t="s">
        <v>351</v>
      </c>
      <c r="C809" s="63" t="s">
        <v>2222</v>
      </c>
      <c r="D809" s="64">
        <v>1</v>
      </c>
      <c r="E809" s="65"/>
      <c r="F809" s="66">
        <v>100</v>
      </c>
      <c r="G809" s="63"/>
      <c r="H809" s="67"/>
      <c r="I809" s="68"/>
      <c r="J809" s="68"/>
      <c r="K809" s="34" t="s">
        <v>65</v>
      </c>
      <c r="L809" s="75">
        <v>809</v>
      </c>
      <c r="M809" s="75"/>
      <c r="N809" s="70"/>
      <c r="O809" s="77" t="s">
        <v>382</v>
      </c>
      <c r="P809" s="79">
        <v>41124.25708333333</v>
      </c>
      <c r="Q809" s="77"/>
      <c r="R809" s="77"/>
      <c r="S809" s="77"/>
      <c r="T809" s="77"/>
      <c r="U809" s="77"/>
      <c r="V809" s="77"/>
      <c r="W809" s="77"/>
      <c r="X809" s="77"/>
      <c r="Y809">
        <v>1</v>
      </c>
    </row>
    <row r="810" spans="1:25" x14ac:dyDescent="0.25">
      <c r="A810" s="62" t="s">
        <v>358</v>
      </c>
      <c r="B810" s="62" t="s">
        <v>351</v>
      </c>
      <c r="C810" s="63" t="s">
        <v>2222</v>
      </c>
      <c r="D810" s="64">
        <v>1</v>
      </c>
      <c r="E810" s="65"/>
      <c r="F810" s="66">
        <v>100</v>
      </c>
      <c r="G810" s="63"/>
      <c r="H810" s="67"/>
      <c r="I810" s="68"/>
      <c r="J810" s="68"/>
      <c r="K810" s="34" t="s">
        <v>65</v>
      </c>
      <c r="L810" s="75">
        <v>810</v>
      </c>
      <c r="M810" s="75"/>
      <c r="N810" s="70"/>
      <c r="O810" s="77" t="s">
        <v>382</v>
      </c>
      <c r="P810" s="79">
        <v>41124.25708333333</v>
      </c>
      <c r="Q810" s="77"/>
      <c r="R810" s="77"/>
      <c r="S810" s="77"/>
      <c r="T810" s="77"/>
      <c r="U810" s="77"/>
      <c r="V810" s="77"/>
      <c r="W810" s="77"/>
      <c r="X810" s="77"/>
      <c r="Y810">
        <v>1</v>
      </c>
    </row>
    <row r="811" spans="1:25" x14ac:dyDescent="0.25">
      <c r="A811" s="62" t="s">
        <v>346</v>
      </c>
      <c r="B811" s="62" t="s">
        <v>351</v>
      </c>
      <c r="C811" s="63" t="s">
        <v>2222</v>
      </c>
      <c r="D811" s="64">
        <v>1</v>
      </c>
      <c r="E811" s="65"/>
      <c r="F811" s="66">
        <v>100</v>
      </c>
      <c r="G811" s="63"/>
      <c r="H811" s="67"/>
      <c r="I811" s="68"/>
      <c r="J811" s="68"/>
      <c r="K811" s="34" t="s">
        <v>65</v>
      </c>
      <c r="L811" s="75">
        <v>811</v>
      </c>
      <c r="M811" s="75"/>
      <c r="N811" s="70"/>
      <c r="O811" s="77" t="s">
        <v>382</v>
      </c>
      <c r="P811" s="79">
        <v>41124.25708333333</v>
      </c>
      <c r="Q811" s="77"/>
      <c r="R811" s="77"/>
      <c r="S811" s="77"/>
      <c r="T811" s="77"/>
      <c r="U811" s="77"/>
      <c r="V811" s="77"/>
      <c r="W811" s="77"/>
      <c r="X811" s="77"/>
      <c r="Y811">
        <v>1</v>
      </c>
    </row>
    <row r="812" spans="1:25" x14ac:dyDescent="0.25">
      <c r="A812" s="62" t="s">
        <v>352</v>
      </c>
      <c r="B812" s="62" t="s">
        <v>351</v>
      </c>
      <c r="C812" s="63" t="s">
        <v>2222</v>
      </c>
      <c r="D812" s="64">
        <v>1</v>
      </c>
      <c r="E812" s="65"/>
      <c r="F812" s="66">
        <v>100</v>
      </c>
      <c r="G812" s="63"/>
      <c r="H812" s="67"/>
      <c r="I812" s="68"/>
      <c r="J812" s="68"/>
      <c r="K812" s="34" t="s">
        <v>65</v>
      </c>
      <c r="L812" s="75">
        <v>812</v>
      </c>
      <c r="M812" s="75"/>
      <c r="N812" s="70"/>
      <c r="O812" s="77" t="s">
        <v>382</v>
      </c>
      <c r="P812" s="79">
        <v>41124.25708333333</v>
      </c>
      <c r="Q812" s="77"/>
      <c r="R812" s="77"/>
      <c r="S812" s="77"/>
      <c r="T812" s="77"/>
      <c r="U812" s="77"/>
      <c r="V812" s="77"/>
      <c r="W812" s="77"/>
      <c r="X812" s="77"/>
      <c r="Y812">
        <v>1</v>
      </c>
    </row>
    <row r="813" spans="1:25" x14ac:dyDescent="0.25">
      <c r="A813" s="62" t="s">
        <v>359</v>
      </c>
      <c r="B813" s="62" t="s">
        <v>359</v>
      </c>
      <c r="C813" s="63" t="s">
        <v>2219</v>
      </c>
      <c r="D813" s="64">
        <v>1</v>
      </c>
      <c r="E813" s="65"/>
      <c r="F813" s="66">
        <v>100</v>
      </c>
      <c r="G813" s="63"/>
      <c r="H813" s="67"/>
      <c r="I813" s="68"/>
      <c r="J813" s="68"/>
      <c r="K813" s="34" t="s">
        <v>64</v>
      </c>
      <c r="L813" s="75">
        <v>813</v>
      </c>
      <c r="M813" s="75"/>
      <c r="N813" s="70"/>
      <c r="O813" s="77" t="s">
        <v>180</v>
      </c>
      <c r="P813" s="79">
        <v>41123.686215277776</v>
      </c>
      <c r="Q813" s="77" t="s">
        <v>558</v>
      </c>
      <c r="R813" s="81" t="s">
        <v>615</v>
      </c>
      <c r="S813" s="77"/>
      <c r="T813" s="79">
        <v>41123.686215277776</v>
      </c>
      <c r="U813" s="81" t="s">
        <v>892</v>
      </c>
      <c r="V813" s="77"/>
      <c r="W813" s="77"/>
      <c r="X813" s="84" t="s">
        <v>1189</v>
      </c>
      <c r="Y813" s="82">
        <v>1</v>
      </c>
    </row>
    <row r="814" spans="1:25" x14ac:dyDescent="0.25">
      <c r="A814" s="62" t="s">
        <v>360</v>
      </c>
      <c r="B814" s="62" t="s">
        <v>359</v>
      </c>
      <c r="C814" s="63" t="s">
        <v>2222</v>
      </c>
      <c r="D814" s="64">
        <v>1</v>
      </c>
      <c r="E814" s="65"/>
      <c r="F814" s="66">
        <v>100</v>
      </c>
      <c r="G814" s="63"/>
      <c r="H814" s="67"/>
      <c r="I814" s="68"/>
      <c r="J814" s="68"/>
      <c r="K814" s="34" t="s">
        <v>65</v>
      </c>
      <c r="L814" s="75">
        <v>814</v>
      </c>
      <c r="M814" s="75"/>
      <c r="N814" s="70"/>
      <c r="O814" s="77" t="s">
        <v>382</v>
      </c>
      <c r="P814" s="79">
        <v>41124.25708333333</v>
      </c>
      <c r="Q814" s="77"/>
      <c r="R814" s="77"/>
      <c r="S814" s="77"/>
      <c r="T814" s="77"/>
      <c r="U814" s="77"/>
      <c r="V814" s="77"/>
      <c r="W814" s="77"/>
      <c r="X814" s="77"/>
      <c r="Y814">
        <v>1</v>
      </c>
    </row>
    <row r="815" spans="1:25" x14ac:dyDescent="0.25">
      <c r="A815" s="62" t="s">
        <v>361</v>
      </c>
      <c r="B815" s="62" t="s">
        <v>359</v>
      </c>
      <c r="C815" s="63" t="s">
        <v>2222</v>
      </c>
      <c r="D815" s="64">
        <v>1</v>
      </c>
      <c r="E815" s="65"/>
      <c r="F815" s="66">
        <v>100</v>
      </c>
      <c r="G815" s="63"/>
      <c r="H815" s="67"/>
      <c r="I815" s="68"/>
      <c r="J815" s="68"/>
      <c r="K815" s="34" t="s">
        <v>64</v>
      </c>
      <c r="L815" s="75">
        <v>815</v>
      </c>
      <c r="M815" s="75"/>
      <c r="N815" s="70"/>
      <c r="O815" s="77" t="s">
        <v>382</v>
      </c>
      <c r="P815" s="79">
        <v>41124.25708333333</v>
      </c>
      <c r="Q815" s="77"/>
      <c r="R815" s="77"/>
      <c r="S815" s="77"/>
      <c r="T815" s="77"/>
      <c r="U815" s="77"/>
      <c r="V815" s="77"/>
      <c r="W815" s="77"/>
      <c r="X815" s="77"/>
      <c r="Y815">
        <v>1</v>
      </c>
    </row>
    <row r="816" spans="1:25" x14ac:dyDescent="0.25">
      <c r="A816" s="62" t="s">
        <v>321</v>
      </c>
      <c r="B816" s="62" t="s">
        <v>359</v>
      </c>
      <c r="C816" s="63" t="s">
        <v>2222</v>
      </c>
      <c r="D816" s="64">
        <v>1</v>
      </c>
      <c r="E816" s="65"/>
      <c r="F816" s="66">
        <v>100</v>
      </c>
      <c r="G816" s="63"/>
      <c r="H816" s="67"/>
      <c r="I816" s="68"/>
      <c r="J816" s="68"/>
      <c r="K816" s="34" t="s">
        <v>65</v>
      </c>
      <c r="L816" s="75">
        <v>816</v>
      </c>
      <c r="M816" s="75"/>
      <c r="N816" s="70"/>
      <c r="O816" s="77" t="s">
        <v>382</v>
      </c>
      <c r="P816" s="79">
        <v>41124.25708333333</v>
      </c>
      <c r="Q816" s="77"/>
      <c r="R816" s="77"/>
      <c r="S816" s="77"/>
      <c r="T816" s="77"/>
      <c r="U816" s="77"/>
      <c r="V816" s="77"/>
      <c r="W816" s="77"/>
      <c r="X816" s="77"/>
      <c r="Y816">
        <v>1</v>
      </c>
    </row>
    <row r="817" spans="1:25" x14ac:dyDescent="0.25">
      <c r="A817" s="62" t="s">
        <v>359</v>
      </c>
      <c r="B817" s="62" t="s">
        <v>352</v>
      </c>
      <c r="C817" s="63" t="s">
        <v>2222</v>
      </c>
      <c r="D817" s="64">
        <v>1</v>
      </c>
      <c r="E817" s="65"/>
      <c r="F817" s="66">
        <v>100</v>
      </c>
      <c r="G817" s="63"/>
      <c r="H817" s="67"/>
      <c r="I817" s="68"/>
      <c r="J817" s="68"/>
      <c r="K817" s="34" t="s">
        <v>65</v>
      </c>
      <c r="L817" s="75">
        <v>817</v>
      </c>
      <c r="M817" s="75"/>
      <c r="N817" s="70"/>
      <c r="O817" s="77" t="s">
        <v>382</v>
      </c>
      <c r="P817" s="79">
        <v>41124.25708333333</v>
      </c>
      <c r="Q817" s="77"/>
      <c r="R817" s="77"/>
      <c r="S817" s="77"/>
      <c r="T817" s="77"/>
      <c r="U817" s="77"/>
      <c r="V817" s="77"/>
      <c r="W817" s="77"/>
      <c r="X817" s="77"/>
      <c r="Y817">
        <v>1</v>
      </c>
    </row>
    <row r="818" spans="1:25" x14ac:dyDescent="0.25">
      <c r="A818" s="62" t="s">
        <v>359</v>
      </c>
      <c r="B818" s="62" t="s">
        <v>362</v>
      </c>
      <c r="C818" s="63" t="s">
        <v>2222</v>
      </c>
      <c r="D818" s="64">
        <v>1</v>
      </c>
      <c r="E818" s="65"/>
      <c r="F818" s="66">
        <v>100</v>
      </c>
      <c r="G818" s="63"/>
      <c r="H818" s="67"/>
      <c r="I818" s="68"/>
      <c r="J818" s="68"/>
      <c r="K818" s="34" t="s">
        <v>65</v>
      </c>
      <c r="L818" s="75">
        <v>818</v>
      </c>
      <c r="M818" s="75"/>
      <c r="N818" s="70"/>
      <c r="O818" s="77" t="s">
        <v>382</v>
      </c>
      <c r="P818" s="79">
        <v>41124.25708333333</v>
      </c>
      <c r="Q818" s="77"/>
      <c r="R818" s="77"/>
      <c r="S818" s="77"/>
      <c r="T818" s="77"/>
      <c r="U818" s="77"/>
      <c r="V818" s="77"/>
      <c r="W818" s="77"/>
      <c r="X818" s="77"/>
      <c r="Y818">
        <v>1</v>
      </c>
    </row>
    <row r="819" spans="1:25" x14ac:dyDescent="0.25">
      <c r="A819" s="62" t="s">
        <v>359</v>
      </c>
      <c r="B819" s="62" t="s">
        <v>360</v>
      </c>
      <c r="C819" s="63" t="s">
        <v>2222</v>
      </c>
      <c r="D819" s="64">
        <v>1</v>
      </c>
      <c r="E819" s="65"/>
      <c r="F819" s="66">
        <v>100</v>
      </c>
      <c r="G819" s="63"/>
      <c r="H819" s="67"/>
      <c r="I819" s="68"/>
      <c r="J819" s="68"/>
      <c r="K819" s="34" t="s">
        <v>65</v>
      </c>
      <c r="L819" s="75">
        <v>819</v>
      </c>
      <c r="M819" s="75"/>
      <c r="N819" s="70"/>
      <c r="O819" s="77" t="s">
        <v>382</v>
      </c>
      <c r="P819" s="79">
        <v>41124.25708333333</v>
      </c>
      <c r="Q819" s="77"/>
      <c r="R819" s="77"/>
      <c r="S819" s="77"/>
      <c r="T819" s="77"/>
      <c r="U819" s="77"/>
      <c r="V819" s="77"/>
      <c r="W819" s="77"/>
      <c r="X819" s="77"/>
      <c r="Y819">
        <v>1</v>
      </c>
    </row>
    <row r="820" spans="1:25" x14ac:dyDescent="0.25">
      <c r="A820" s="62" t="s">
        <v>359</v>
      </c>
      <c r="B820" s="62" t="s">
        <v>365</v>
      </c>
      <c r="C820" s="63" t="s">
        <v>2222</v>
      </c>
      <c r="D820" s="64">
        <v>1</v>
      </c>
      <c r="E820" s="65"/>
      <c r="F820" s="66">
        <v>100</v>
      </c>
      <c r="G820" s="63"/>
      <c r="H820" s="67"/>
      <c r="I820" s="68"/>
      <c r="J820" s="68"/>
      <c r="K820" s="34" t="s">
        <v>65</v>
      </c>
      <c r="L820" s="75">
        <v>820</v>
      </c>
      <c r="M820" s="75"/>
      <c r="N820" s="70"/>
      <c r="O820" s="77" t="s">
        <v>382</v>
      </c>
      <c r="P820" s="79">
        <v>41124.25708333333</v>
      </c>
      <c r="Q820" s="77"/>
      <c r="R820" s="77"/>
      <c r="S820" s="77"/>
      <c r="T820" s="77"/>
      <c r="U820" s="77"/>
      <c r="V820" s="77"/>
      <c r="W820" s="77"/>
      <c r="X820" s="77"/>
      <c r="Y820">
        <v>1</v>
      </c>
    </row>
    <row r="821" spans="1:25" x14ac:dyDescent="0.25">
      <c r="A821" s="62" t="s">
        <v>359</v>
      </c>
      <c r="B821" s="62" t="s">
        <v>363</v>
      </c>
      <c r="C821" s="63" t="s">
        <v>2222</v>
      </c>
      <c r="D821" s="64">
        <v>1</v>
      </c>
      <c r="E821" s="65"/>
      <c r="F821" s="66">
        <v>100</v>
      </c>
      <c r="G821" s="63"/>
      <c r="H821" s="67"/>
      <c r="I821" s="68"/>
      <c r="J821" s="68"/>
      <c r="K821" s="34" t="s">
        <v>65</v>
      </c>
      <c r="L821" s="75">
        <v>821</v>
      </c>
      <c r="M821" s="75"/>
      <c r="N821" s="70"/>
      <c r="O821" s="77" t="s">
        <v>382</v>
      </c>
      <c r="P821" s="79">
        <v>41124.25708333333</v>
      </c>
      <c r="Q821" s="77"/>
      <c r="R821" s="77"/>
      <c r="S821" s="77"/>
      <c r="T821" s="77"/>
      <c r="U821" s="77"/>
      <c r="V821" s="77"/>
      <c r="W821" s="77"/>
      <c r="X821" s="77"/>
      <c r="Y821">
        <v>1</v>
      </c>
    </row>
    <row r="822" spans="1:25" x14ac:dyDescent="0.25">
      <c r="A822" s="62" t="s">
        <v>359</v>
      </c>
      <c r="B822" s="62" t="s">
        <v>323</v>
      </c>
      <c r="C822" s="63" t="s">
        <v>2222</v>
      </c>
      <c r="D822" s="64">
        <v>1</v>
      </c>
      <c r="E822" s="65"/>
      <c r="F822" s="66">
        <v>100</v>
      </c>
      <c r="G822" s="63"/>
      <c r="H822" s="67"/>
      <c r="I822" s="68"/>
      <c r="J822" s="68"/>
      <c r="K822" s="34" t="s">
        <v>65</v>
      </c>
      <c r="L822" s="75">
        <v>822</v>
      </c>
      <c r="M822" s="75"/>
      <c r="N822" s="70"/>
      <c r="O822" s="77" t="s">
        <v>382</v>
      </c>
      <c r="P822" s="79">
        <v>41124.25708333333</v>
      </c>
      <c r="Q822" s="77"/>
      <c r="R822" s="77"/>
      <c r="S822" s="77"/>
      <c r="T822" s="77"/>
      <c r="U822" s="77"/>
      <c r="V822" s="77"/>
      <c r="W822" s="77"/>
      <c r="X822" s="77"/>
      <c r="Y822">
        <v>1</v>
      </c>
    </row>
    <row r="823" spans="1:25" x14ac:dyDescent="0.25">
      <c r="A823" s="62" t="s">
        <v>359</v>
      </c>
      <c r="B823" s="62" t="s">
        <v>376</v>
      </c>
      <c r="C823" s="63" t="s">
        <v>2222</v>
      </c>
      <c r="D823" s="64">
        <v>1</v>
      </c>
      <c r="E823" s="65"/>
      <c r="F823" s="66">
        <v>100</v>
      </c>
      <c r="G823" s="63"/>
      <c r="H823" s="67"/>
      <c r="I823" s="68"/>
      <c r="J823" s="68"/>
      <c r="K823" s="34" t="s">
        <v>64</v>
      </c>
      <c r="L823" s="75">
        <v>823</v>
      </c>
      <c r="M823" s="75"/>
      <c r="N823" s="70"/>
      <c r="O823" s="77" t="s">
        <v>382</v>
      </c>
      <c r="P823" s="79">
        <v>41124.25708333333</v>
      </c>
      <c r="Q823" s="77"/>
      <c r="R823" s="77"/>
      <c r="S823" s="77"/>
      <c r="T823" s="77"/>
      <c r="U823" s="77"/>
      <c r="V823" s="77"/>
      <c r="W823" s="77"/>
      <c r="X823" s="77"/>
      <c r="Y823">
        <v>1</v>
      </c>
    </row>
    <row r="824" spans="1:25" x14ac:dyDescent="0.25">
      <c r="A824" s="62" t="s">
        <v>359</v>
      </c>
      <c r="B824" s="62" t="s">
        <v>321</v>
      </c>
      <c r="C824" s="63" t="s">
        <v>2222</v>
      </c>
      <c r="D824" s="64">
        <v>1</v>
      </c>
      <c r="E824" s="65"/>
      <c r="F824" s="66">
        <v>100</v>
      </c>
      <c r="G824" s="63"/>
      <c r="H824" s="67"/>
      <c r="I824" s="68"/>
      <c r="J824" s="68"/>
      <c r="K824" s="34" t="s">
        <v>65</v>
      </c>
      <c r="L824" s="75">
        <v>824</v>
      </c>
      <c r="M824" s="75"/>
      <c r="N824" s="70"/>
      <c r="O824" s="77" t="s">
        <v>382</v>
      </c>
      <c r="P824" s="79">
        <v>41124.25708333333</v>
      </c>
      <c r="Q824" s="77"/>
      <c r="R824" s="77"/>
      <c r="S824" s="77"/>
      <c r="T824" s="77"/>
      <c r="U824" s="77"/>
      <c r="V824" s="77"/>
      <c r="W824" s="77"/>
      <c r="X824" s="77"/>
      <c r="Y824">
        <v>1</v>
      </c>
    </row>
    <row r="825" spans="1:25" x14ac:dyDescent="0.25">
      <c r="A825" s="62" t="s">
        <v>359</v>
      </c>
      <c r="B825" s="62" t="s">
        <v>349</v>
      </c>
      <c r="C825" s="63" t="s">
        <v>2222</v>
      </c>
      <c r="D825" s="64">
        <v>1</v>
      </c>
      <c r="E825" s="65"/>
      <c r="F825" s="66">
        <v>100</v>
      </c>
      <c r="G825" s="63"/>
      <c r="H825" s="67"/>
      <c r="I825" s="68"/>
      <c r="J825" s="68"/>
      <c r="K825" s="34" t="s">
        <v>65</v>
      </c>
      <c r="L825" s="75">
        <v>825</v>
      </c>
      <c r="M825" s="75"/>
      <c r="N825" s="70"/>
      <c r="O825" s="77" t="s">
        <v>382</v>
      </c>
      <c r="P825" s="79">
        <v>41124.25708333333</v>
      </c>
      <c r="Q825" s="77"/>
      <c r="R825" s="77"/>
      <c r="S825" s="77"/>
      <c r="T825" s="77"/>
      <c r="U825" s="77"/>
      <c r="V825" s="77"/>
      <c r="W825" s="77"/>
      <c r="X825" s="77"/>
      <c r="Y825">
        <v>1</v>
      </c>
    </row>
    <row r="826" spans="1:25" x14ac:dyDescent="0.25">
      <c r="A826" s="62" t="s">
        <v>359</v>
      </c>
      <c r="B826" s="62" t="s">
        <v>364</v>
      </c>
      <c r="C826" s="63" t="s">
        <v>2222</v>
      </c>
      <c r="D826" s="64">
        <v>1</v>
      </c>
      <c r="E826" s="65"/>
      <c r="F826" s="66">
        <v>100</v>
      </c>
      <c r="G826" s="63"/>
      <c r="H826" s="67"/>
      <c r="I826" s="68"/>
      <c r="J826" s="68"/>
      <c r="K826" s="34" t="s">
        <v>65</v>
      </c>
      <c r="L826" s="75">
        <v>826</v>
      </c>
      <c r="M826" s="75"/>
      <c r="N826" s="70"/>
      <c r="O826" s="77" t="s">
        <v>382</v>
      </c>
      <c r="P826" s="79">
        <v>41124.25708333333</v>
      </c>
      <c r="Q826" s="77"/>
      <c r="R826" s="77"/>
      <c r="S826" s="77"/>
      <c r="T826" s="77"/>
      <c r="U826" s="77"/>
      <c r="V826" s="77"/>
      <c r="W826" s="77"/>
      <c r="X826" s="77"/>
      <c r="Y826">
        <v>1</v>
      </c>
    </row>
    <row r="827" spans="1:25" x14ac:dyDescent="0.25">
      <c r="A827" s="62" t="s">
        <v>359</v>
      </c>
      <c r="B827" s="62" t="s">
        <v>239</v>
      </c>
      <c r="C827" s="63" t="s">
        <v>2222</v>
      </c>
      <c r="D827" s="64">
        <v>1</v>
      </c>
      <c r="E827" s="65"/>
      <c r="F827" s="66">
        <v>100</v>
      </c>
      <c r="G827" s="63"/>
      <c r="H827" s="67"/>
      <c r="I827" s="68"/>
      <c r="J827" s="68"/>
      <c r="K827" s="34" t="s">
        <v>64</v>
      </c>
      <c r="L827" s="75">
        <v>827</v>
      </c>
      <c r="M827" s="75"/>
      <c r="N827" s="70"/>
      <c r="O827" s="77" t="s">
        <v>382</v>
      </c>
      <c r="P827" s="79">
        <v>41124.25708333333</v>
      </c>
      <c r="Q827" s="77"/>
      <c r="R827" s="77"/>
      <c r="S827" s="77"/>
      <c r="T827" s="77"/>
      <c r="U827" s="77"/>
      <c r="V827" s="77"/>
      <c r="W827" s="77"/>
      <c r="X827" s="77"/>
      <c r="Y827">
        <v>1</v>
      </c>
    </row>
    <row r="828" spans="1:25" x14ac:dyDescent="0.25">
      <c r="A828" s="62" t="s">
        <v>362</v>
      </c>
      <c r="B828" s="62" t="s">
        <v>359</v>
      </c>
      <c r="C828" s="63" t="s">
        <v>2222</v>
      </c>
      <c r="D828" s="64">
        <v>1</v>
      </c>
      <c r="E828" s="65"/>
      <c r="F828" s="66">
        <v>100</v>
      </c>
      <c r="G828" s="63"/>
      <c r="H828" s="67"/>
      <c r="I828" s="68"/>
      <c r="J828" s="68"/>
      <c r="K828" s="34" t="s">
        <v>65</v>
      </c>
      <c r="L828" s="75">
        <v>828</v>
      </c>
      <c r="M828" s="75"/>
      <c r="N828" s="70"/>
      <c r="O828" s="77" t="s">
        <v>382</v>
      </c>
      <c r="P828" s="79">
        <v>41124.25708333333</v>
      </c>
      <c r="Q828" s="77"/>
      <c r="R828" s="77"/>
      <c r="S828" s="77"/>
      <c r="T828" s="77"/>
      <c r="U828" s="77"/>
      <c r="V828" s="77"/>
      <c r="W828" s="77"/>
      <c r="X828" s="77"/>
      <c r="Y828">
        <v>1</v>
      </c>
    </row>
    <row r="829" spans="1:25" x14ac:dyDescent="0.25">
      <c r="A829" s="62" t="s">
        <v>363</v>
      </c>
      <c r="B829" s="62" t="s">
        <v>359</v>
      </c>
      <c r="C829" s="63" t="s">
        <v>2222</v>
      </c>
      <c r="D829" s="64">
        <v>1</v>
      </c>
      <c r="E829" s="65"/>
      <c r="F829" s="66">
        <v>100</v>
      </c>
      <c r="G829" s="63"/>
      <c r="H829" s="67"/>
      <c r="I829" s="68"/>
      <c r="J829" s="68"/>
      <c r="K829" s="34" t="s">
        <v>65</v>
      </c>
      <c r="L829" s="75">
        <v>829</v>
      </c>
      <c r="M829" s="75"/>
      <c r="N829" s="70"/>
      <c r="O829" s="77" t="s">
        <v>382</v>
      </c>
      <c r="P829" s="79">
        <v>41124.25708333333</v>
      </c>
      <c r="Q829" s="77"/>
      <c r="R829" s="77"/>
      <c r="S829" s="77"/>
      <c r="T829" s="77"/>
      <c r="U829" s="77"/>
      <c r="V829" s="77"/>
      <c r="W829" s="77"/>
      <c r="X829" s="77"/>
      <c r="Y829">
        <v>1</v>
      </c>
    </row>
    <row r="830" spans="1:25" x14ac:dyDescent="0.25">
      <c r="A830" s="62" t="s">
        <v>364</v>
      </c>
      <c r="B830" s="62" t="s">
        <v>359</v>
      </c>
      <c r="C830" s="63" t="s">
        <v>2222</v>
      </c>
      <c r="D830" s="64">
        <v>1</v>
      </c>
      <c r="E830" s="65"/>
      <c r="F830" s="66">
        <v>100</v>
      </c>
      <c r="G830" s="63"/>
      <c r="H830" s="67"/>
      <c r="I830" s="68"/>
      <c r="J830" s="68"/>
      <c r="K830" s="34" t="s">
        <v>65</v>
      </c>
      <c r="L830" s="75">
        <v>830</v>
      </c>
      <c r="M830" s="75"/>
      <c r="N830" s="70"/>
      <c r="O830" s="77" t="s">
        <v>382</v>
      </c>
      <c r="P830" s="79">
        <v>41124.25708333333</v>
      </c>
      <c r="Q830" s="77"/>
      <c r="R830" s="77"/>
      <c r="S830" s="77"/>
      <c r="T830" s="77"/>
      <c r="U830" s="77"/>
      <c r="V830" s="77"/>
      <c r="W830" s="77"/>
      <c r="X830" s="77"/>
      <c r="Y830">
        <v>1</v>
      </c>
    </row>
    <row r="831" spans="1:25" x14ac:dyDescent="0.25">
      <c r="A831" s="62" t="s">
        <v>323</v>
      </c>
      <c r="B831" s="62" t="s">
        <v>359</v>
      </c>
      <c r="C831" s="63" t="s">
        <v>2222</v>
      </c>
      <c r="D831" s="64">
        <v>1</v>
      </c>
      <c r="E831" s="65"/>
      <c r="F831" s="66">
        <v>100</v>
      </c>
      <c r="G831" s="63"/>
      <c r="H831" s="67"/>
      <c r="I831" s="68"/>
      <c r="J831" s="68"/>
      <c r="K831" s="34" t="s">
        <v>65</v>
      </c>
      <c r="L831" s="75">
        <v>831</v>
      </c>
      <c r="M831" s="75"/>
      <c r="N831" s="70"/>
      <c r="O831" s="77" t="s">
        <v>382</v>
      </c>
      <c r="P831" s="79">
        <v>41124.25708333333</v>
      </c>
      <c r="Q831" s="77"/>
      <c r="R831" s="77"/>
      <c r="S831" s="77"/>
      <c r="T831" s="77"/>
      <c r="U831" s="77"/>
      <c r="V831" s="77"/>
      <c r="W831" s="77"/>
      <c r="X831" s="77"/>
      <c r="Y831">
        <v>1</v>
      </c>
    </row>
    <row r="832" spans="1:25" x14ac:dyDescent="0.25">
      <c r="A832" s="62" t="s">
        <v>365</v>
      </c>
      <c r="B832" s="62" t="s">
        <v>359</v>
      </c>
      <c r="C832" s="63" t="s">
        <v>2222</v>
      </c>
      <c r="D832" s="64">
        <v>1</v>
      </c>
      <c r="E832" s="65"/>
      <c r="F832" s="66">
        <v>100</v>
      </c>
      <c r="G832" s="63"/>
      <c r="H832" s="67"/>
      <c r="I832" s="68"/>
      <c r="J832" s="68"/>
      <c r="K832" s="34" t="s">
        <v>65</v>
      </c>
      <c r="L832" s="75">
        <v>832</v>
      </c>
      <c r="M832" s="75"/>
      <c r="N832" s="70"/>
      <c r="O832" s="77" t="s">
        <v>382</v>
      </c>
      <c r="P832" s="79">
        <v>41124.25708333333</v>
      </c>
      <c r="Q832" s="77"/>
      <c r="R832" s="77"/>
      <c r="S832" s="77"/>
      <c r="T832" s="77"/>
      <c r="U832" s="77"/>
      <c r="V832" s="77"/>
      <c r="W832" s="77"/>
      <c r="X832" s="77"/>
      <c r="Y832">
        <v>1</v>
      </c>
    </row>
    <row r="833" spans="1:25" x14ac:dyDescent="0.25">
      <c r="A833" s="62" t="s">
        <v>349</v>
      </c>
      <c r="B833" s="62" t="s">
        <v>359</v>
      </c>
      <c r="C833" s="63" t="s">
        <v>2222</v>
      </c>
      <c r="D833" s="64">
        <v>1</v>
      </c>
      <c r="E833" s="65"/>
      <c r="F833" s="66">
        <v>100</v>
      </c>
      <c r="G833" s="63"/>
      <c r="H833" s="67"/>
      <c r="I833" s="68"/>
      <c r="J833" s="68"/>
      <c r="K833" s="34" t="s">
        <v>65</v>
      </c>
      <c r="L833" s="75">
        <v>833</v>
      </c>
      <c r="M833" s="75"/>
      <c r="N833" s="70"/>
      <c r="O833" s="77" t="s">
        <v>382</v>
      </c>
      <c r="P833" s="79">
        <v>41124.25708333333</v>
      </c>
      <c r="Q833" s="77"/>
      <c r="R833" s="77"/>
      <c r="S833" s="77"/>
      <c r="T833" s="77"/>
      <c r="U833" s="77"/>
      <c r="V833" s="77"/>
      <c r="W833" s="77"/>
      <c r="X833" s="77"/>
      <c r="Y833">
        <v>1</v>
      </c>
    </row>
    <row r="834" spans="1:25" x14ac:dyDescent="0.25">
      <c r="A834" s="62" t="s">
        <v>352</v>
      </c>
      <c r="B834" s="62" t="s">
        <v>359</v>
      </c>
      <c r="C834" s="63" t="s">
        <v>2222</v>
      </c>
      <c r="D834" s="64">
        <v>1</v>
      </c>
      <c r="E834" s="65"/>
      <c r="F834" s="66">
        <v>100</v>
      </c>
      <c r="G834" s="63"/>
      <c r="H834" s="67"/>
      <c r="I834" s="68"/>
      <c r="J834" s="68"/>
      <c r="K834" s="34" t="s">
        <v>65</v>
      </c>
      <c r="L834" s="75">
        <v>834</v>
      </c>
      <c r="M834" s="75"/>
      <c r="N834" s="70"/>
      <c r="O834" s="77" t="s">
        <v>382</v>
      </c>
      <c r="P834" s="79">
        <v>41124.25708333333</v>
      </c>
      <c r="Q834" s="77"/>
      <c r="R834" s="77"/>
      <c r="S834" s="77"/>
      <c r="T834" s="77"/>
      <c r="U834" s="77"/>
      <c r="V834" s="77"/>
      <c r="W834" s="77"/>
      <c r="X834" s="77"/>
      <c r="Y834">
        <v>1</v>
      </c>
    </row>
    <row r="835" spans="1:25" x14ac:dyDescent="0.25">
      <c r="A835" s="62" t="s">
        <v>356</v>
      </c>
      <c r="B835" s="62" t="s">
        <v>356</v>
      </c>
      <c r="C835" s="63" t="s">
        <v>2219</v>
      </c>
      <c r="D835" s="64">
        <v>1.5</v>
      </c>
      <c r="E835" s="65"/>
      <c r="F835" s="66">
        <v>97.777777777777771</v>
      </c>
      <c r="G835" s="63"/>
      <c r="H835" s="67"/>
      <c r="I835" s="68"/>
      <c r="J835" s="68"/>
      <c r="K835" s="34" t="s">
        <v>64</v>
      </c>
      <c r="L835" s="75">
        <v>835</v>
      </c>
      <c r="M835" s="75"/>
      <c r="N835" s="70"/>
      <c r="O835" s="77" t="s">
        <v>180</v>
      </c>
      <c r="P835" s="79">
        <v>41123.889872685184</v>
      </c>
      <c r="Q835" s="77" t="s">
        <v>559</v>
      </c>
      <c r="R835" s="77"/>
      <c r="S835" s="77" t="s">
        <v>661</v>
      </c>
      <c r="T835" s="79">
        <v>41123.889872685184</v>
      </c>
      <c r="U835" s="81" t="s">
        <v>893</v>
      </c>
      <c r="V835" s="77"/>
      <c r="W835" s="77"/>
      <c r="X835" s="84" t="s">
        <v>1190</v>
      </c>
      <c r="Y835" s="82">
        <v>2</v>
      </c>
    </row>
    <row r="836" spans="1:25" x14ac:dyDescent="0.25">
      <c r="A836" s="62" t="s">
        <v>356</v>
      </c>
      <c r="B836" s="62" t="s">
        <v>356</v>
      </c>
      <c r="C836" s="63" t="s">
        <v>2219</v>
      </c>
      <c r="D836" s="64">
        <v>1.5</v>
      </c>
      <c r="E836" s="65"/>
      <c r="F836" s="66">
        <v>97.777777777777771</v>
      </c>
      <c r="G836" s="63"/>
      <c r="H836" s="67"/>
      <c r="I836" s="68"/>
      <c r="J836" s="68"/>
      <c r="K836" s="34" t="s">
        <v>64</v>
      </c>
      <c r="L836" s="75">
        <v>836</v>
      </c>
      <c r="M836" s="75"/>
      <c r="N836" s="70"/>
      <c r="O836" s="77" t="s">
        <v>180</v>
      </c>
      <c r="P836" s="79">
        <v>41123.896944444445</v>
      </c>
      <c r="Q836" s="77" t="s">
        <v>560</v>
      </c>
      <c r="R836" s="77"/>
      <c r="S836" s="77" t="s">
        <v>661</v>
      </c>
      <c r="T836" s="79">
        <v>41123.896944444445</v>
      </c>
      <c r="U836" s="81" t="s">
        <v>894</v>
      </c>
      <c r="V836" s="77"/>
      <c r="W836" s="77"/>
      <c r="X836" s="84" t="s">
        <v>1191</v>
      </c>
      <c r="Y836" s="82">
        <v>2</v>
      </c>
    </row>
    <row r="837" spans="1:25" x14ac:dyDescent="0.25">
      <c r="A837" s="62" t="s">
        <v>362</v>
      </c>
      <c r="B837" s="62" t="s">
        <v>356</v>
      </c>
      <c r="C837" s="63" t="s">
        <v>2222</v>
      </c>
      <c r="D837" s="64">
        <v>1</v>
      </c>
      <c r="E837" s="65"/>
      <c r="F837" s="66">
        <v>100</v>
      </c>
      <c r="G837" s="63"/>
      <c r="H837" s="67"/>
      <c r="I837" s="68"/>
      <c r="J837" s="68"/>
      <c r="K837" s="34" t="s">
        <v>65</v>
      </c>
      <c r="L837" s="75">
        <v>837</v>
      </c>
      <c r="M837" s="75"/>
      <c r="N837" s="70"/>
      <c r="O837" s="77" t="s">
        <v>382</v>
      </c>
      <c r="P837" s="79">
        <v>41124.25708333333</v>
      </c>
      <c r="Q837" s="77"/>
      <c r="R837" s="77"/>
      <c r="S837" s="77"/>
      <c r="T837" s="77"/>
      <c r="U837" s="77"/>
      <c r="V837" s="77"/>
      <c r="W837" s="77"/>
      <c r="X837" s="77"/>
      <c r="Y837">
        <v>1</v>
      </c>
    </row>
    <row r="838" spans="1:25" x14ac:dyDescent="0.25">
      <c r="A838" s="62" t="s">
        <v>273</v>
      </c>
      <c r="B838" s="62" t="s">
        <v>356</v>
      </c>
      <c r="C838" s="63" t="s">
        <v>2222</v>
      </c>
      <c r="D838" s="64">
        <v>1</v>
      </c>
      <c r="E838" s="65"/>
      <c r="F838" s="66">
        <v>100</v>
      </c>
      <c r="G838" s="63"/>
      <c r="H838" s="67"/>
      <c r="I838" s="68"/>
      <c r="J838" s="68"/>
      <c r="K838" s="34" t="s">
        <v>64</v>
      </c>
      <c r="L838" s="75">
        <v>838</v>
      </c>
      <c r="M838" s="75"/>
      <c r="N838" s="70"/>
      <c r="O838" s="77" t="s">
        <v>382</v>
      </c>
      <c r="P838" s="79">
        <v>41124.25708333333</v>
      </c>
      <c r="Q838" s="77"/>
      <c r="R838" s="77"/>
      <c r="S838" s="77"/>
      <c r="T838" s="77"/>
      <c r="U838" s="77"/>
      <c r="V838" s="77"/>
      <c r="W838" s="77"/>
      <c r="X838" s="77"/>
      <c r="Y838">
        <v>1</v>
      </c>
    </row>
    <row r="839" spans="1:25" x14ac:dyDescent="0.25">
      <c r="A839" s="62" t="s">
        <v>356</v>
      </c>
      <c r="B839" s="62" t="s">
        <v>352</v>
      </c>
      <c r="C839" s="63" t="s">
        <v>2222</v>
      </c>
      <c r="D839" s="64">
        <v>1</v>
      </c>
      <c r="E839" s="65"/>
      <c r="F839" s="66">
        <v>100</v>
      </c>
      <c r="G839" s="63"/>
      <c r="H839" s="67"/>
      <c r="I839" s="68"/>
      <c r="J839" s="68"/>
      <c r="K839" s="34" t="s">
        <v>65</v>
      </c>
      <c r="L839" s="75">
        <v>839</v>
      </c>
      <c r="M839" s="75"/>
      <c r="N839" s="70"/>
      <c r="O839" s="77" t="s">
        <v>382</v>
      </c>
      <c r="P839" s="79">
        <v>41124.25708333333</v>
      </c>
      <c r="Q839" s="77"/>
      <c r="R839" s="77"/>
      <c r="S839" s="77"/>
      <c r="T839" s="77"/>
      <c r="U839" s="77"/>
      <c r="V839" s="77"/>
      <c r="W839" s="77"/>
      <c r="X839" s="77"/>
      <c r="Y839">
        <v>1</v>
      </c>
    </row>
    <row r="840" spans="1:25" x14ac:dyDescent="0.25">
      <c r="A840" s="62" t="s">
        <v>356</v>
      </c>
      <c r="B840" s="62" t="s">
        <v>328</v>
      </c>
      <c r="C840" s="63" t="s">
        <v>2222</v>
      </c>
      <c r="D840" s="64">
        <v>1</v>
      </c>
      <c r="E840" s="65"/>
      <c r="F840" s="66">
        <v>100</v>
      </c>
      <c r="G840" s="63"/>
      <c r="H840" s="67"/>
      <c r="I840" s="68"/>
      <c r="J840" s="68"/>
      <c r="K840" s="34" t="s">
        <v>65</v>
      </c>
      <c r="L840" s="75">
        <v>840</v>
      </c>
      <c r="M840" s="75"/>
      <c r="N840" s="70"/>
      <c r="O840" s="77" t="s">
        <v>382</v>
      </c>
      <c r="P840" s="79">
        <v>41124.25708333333</v>
      </c>
      <c r="Q840" s="77"/>
      <c r="R840" s="77"/>
      <c r="S840" s="77"/>
      <c r="T840" s="77"/>
      <c r="U840" s="77"/>
      <c r="V840" s="77"/>
      <c r="W840" s="77"/>
      <c r="X840" s="77"/>
      <c r="Y840">
        <v>1</v>
      </c>
    </row>
    <row r="841" spans="1:25" x14ac:dyDescent="0.25">
      <c r="A841" s="62" t="s">
        <v>356</v>
      </c>
      <c r="B841" s="62" t="s">
        <v>362</v>
      </c>
      <c r="C841" s="63" t="s">
        <v>2222</v>
      </c>
      <c r="D841" s="64">
        <v>1</v>
      </c>
      <c r="E841" s="65"/>
      <c r="F841" s="66">
        <v>100</v>
      </c>
      <c r="G841" s="63"/>
      <c r="H841" s="67"/>
      <c r="I841" s="68"/>
      <c r="J841" s="68"/>
      <c r="K841" s="34" t="s">
        <v>65</v>
      </c>
      <c r="L841" s="75">
        <v>841</v>
      </c>
      <c r="M841" s="75"/>
      <c r="N841" s="70"/>
      <c r="O841" s="77" t="s">
        <v>382</v>
      </c>
      <c r="P841" s="79">
        <v>41124.25708333333</v>
      </c>
      <c r="Q841" s="77"/>
      <c r="R841" s="77"/>
      <c r="S841" s="77"/>
      <c r="T841" s="77"/>
      <c r="U841" s="77"/>
      <c r="V841" s="77"/>
      <c r="W841" s="77"/>
      <c r="X841" s="77"/>
      <c r="Y841">
        <v>1</v>
      </c>
    </row>
    <row r="842" spans="1:25" x14ac:dyDescent="0.25">
      <c r="A842" s="62" t="s">
        <v>356</v>
      </c>
      <c r="B842" s="62" t="s">
        <v>368</v>
      </c>
      <c r="C842" s="63" t="s">
        <v>2222</v>
      </c>
      <c r="D842" s="64">
        <v>1</v>
      </c>
      <c r="E842" s="65"/>
      <c r="F842" s="66">
        <v>100</v>
      </c>
      <c r="G842" s="63"/>
      <c r="H842" s="67"/>
      <c r="I842" s="68"/>
      <c r="J842" s="68"/>
      <c r="K842" s="34" t="s">
        <v>64</v>
      </c>
      <c r="L842" s="75">
        <v>842</v>
      </c>
      <c r="M842" s="75"/>
      <c r="N842" s="70"/>
      <c r="O842" s="77" t="s">
        <v>382</v>
      </c>
      <c r="P842" s="79">
        <v>41124.25708333333</v>
      </c>
      <c r="Q842" s="77"/>
      <c r="R842" s="77"/>
      <c r="S842" s="77"/>
      <c r="T842" s="77"/>
      <c r="U842" s="77"/>
      <c r="V842" s="77"/>
      <c r="W842" s="77"/>
      <c r="X842" s="77"/>
      <c r="Y842">
        <v>1</v>
      </c>
    </row>
    <row r="843" spans="1:25" x14ac:dyDescent="0.25">
      <c r="A843" s="62" t="s">
        <v>356</v>
      </c>
      <c r="B843" s="62" t="s">
        <v>349</v>
      </c>
      <c r="C843" s="63" t="s">
        <v>2222</v>
      </c>
      <c r="D843" s="64">
        <v>1</v>
      </c>
      <c r="E843" s="65"/>
      <c r="F843" s="66">
        <v>100</v>
      </c>
      <c r="G843" s="63"/>
      <c r="H843" s="67"/>
      <c r="I843" s="68"/>
      <c r="J843" s="68"/>
      <c r="K843" s="34" t="s">
        <v>65</v>
      </c>
      <c r="L843" s="75">
        <v>843</v>
      </c>
      <c r="M843" s="75"/>
      <c r="N843" s="70"/>
      <c r="O843" s="77" t="s">
        <v>382</v>
      </c>
      <c r="P843" s="79">
        <v>41124.25708333333</v>
      </c>
      <c r="Q843" s="77"/>
      <c r="R843" s="77"/>
      <c r="S843" s="77"/>
      <c r="T843" s="77"/>
      <c r="U843" s="77"/>
      <c r="V843" s="77"/>
      <c r="W843" s="77"/>
      <c r="X843" s="77"/>
      <c r="Y843">
        <v>1</v>
      </c>
    </row>
    <row r="844" spans="1:25" x14ac:dyDescent="0.25">
      <c r="A844" s="62" t="s">
        <v>328</v>
      </c>
      <c r="B844" s="62" t="s">
        <v>356</v>
      </c>
      <c r="C844" s="63" t="s">
        <v>2222</v>
      </c>
      <c r="D844" s="64">
        <v>1</v>
      </c>
      <c r="E844" s="65"/>
      <c r="F844" s="66">
        <v>100</v>
      </c>
      <c r="G844" s="63"/>
      <c r="H844" s="67"/>
      <c r="I844" s="68"/>
      <c r="J844" s="68"/>
      <c r="K844" s="34" t="s">
        <v>65</v>
      </c>
      <c r="L844" s="75">
        <v>844</v>
      </c>
      <c r="M844" s="75"/>
      <c r="N844" s="70"/>
      <c r="O844" s="77" t="s">
        <v>382</v>
      </c>
      <c r="P844" s="79">
        <v>41124.25708333333</v>
      </c>
      <c r="Q844" s="77"/>
      <c r="R844" s="77"/>
      <c r="S844" s="77"/>
      <c r="T844" s="77"/>
      <c r="U844" s="77"/>
      <c r="V844" s="77"/>
      <c r="W844" s="77"/>
      <c r="X844" s="77"/>
      <c r="Y844">
        <v>1</v>
      </c>
    </row>
    <row r="845" spans="1:25" x14ac:dyDescent="0.25">
      <c r="A845" s="62" t="s">
        <v>349</v>
      </c>
      <c r="B845" s="62" t="s">
        <v>356</v>
      </c>
      <c r="C845" s="63" t="s">
        <v>2222</v>
      </c>
      <c r="D845" s="64">
        <v>1</v>
      </c>
      <c r="E845" s="65"/>
      <c r="F845" s="66">
        <v>100</v>
      </c>
      <c r="G845" s="63"/>
      <c r="H845" s="67"/>
      <c r="I845" s="68"/>
      <c r="J845" s="68"/>
      <c r="K845" s="34" t="s">
        <v>65</v>
      </c>
      <c r="L845" s="75">
        <v>845</v>
      </c>
      <c r="M845" s="75"/>
      <c r="N845" s="70"/>
      <c r="O845" s="77" t="s">
        <v>382</v>
      </c>
      <c r="P845" s="79">
        <v>41124.25708333333</v>
      </c>
      <c r="Q845" s="77"/>
      <c r="R845" s="77"/>
      <c r="S845" s="77"/>
      <c r="T845" s="77"/>
      <c r="U845" s="77"/>
      <c r="V845" s="77"/>
      <c r="W845" s="77"/>
      <c r="X845" s="77"/>
      <c r="Y845">
        <v>1</v>
      </c>
    </row>
    <row r="846" spans="1:25" x14ac:dyDescent="0.25">
      <c r="A846" s="62" t="s">
        <v>352</v>
      </c>
      <c r="B846" s="62" t="s">
        <v>356</v>
      </c>
      <c r="C846" s="63" t="s">
        <v>2222</v>
      </c>
      <c r="D846" s="64">
        <v>1</v>
      </c>
      <c r="E846" s="65"/>
      <c r="F846" s="66">
        <v>100</v>
      </c>
      <c r="G846" s="63"/>
      <c r="H846" s="67"/>
      <c r="I846" s="68"/>
      <c r="J846" s="68"/>
      <c r="K846" s="34" t="s">
        <v>65</v>
      </c>
      <c r="L846" s="75">
        <v>846</v>
      </c>
      <c r="M846" s="75"/>
      <c r="N846" s="70"/>
      <c r="O846" s="77" t="s">
        <v>382</v>
      </c>
      <c r="P846" s="79">
        <v>41124.25708333333</v>
      </c>
      <c r="Q846" s="77"/>
      <c r="R846" s="77"/>
      <c r="S846" s="77"/>
      <c r="T846" s="77"/>
      <c r="U846" s="77"/>
      <c r="V846" s="77"/>
      <c r="W846" s="77"/>
      <c r="X846" s="77"/>
      <c r="Y846">
        <v>1</v>
      </c>
    </row>
    <row r="847" spans="1:25" x14ac:dyDescent="0.25">
      <c r="A847" s="62" t="s">
        <v>353</v>
      </c>
      <c r="B847" s="62" t="s">
        <v>353</v>
      </c>
      <c r="C847" s="63" t="s">
        <v>2219</v>
      </c>
      <c r="D847" s="64">
        <v>1</v>
      </c>
      <c r="E847" s="65"/>
      <c r="F847" s="66">
        <v>100</v>
      </c>
      <c r="G847" s="63"/>
      <c r="H847" s="67"/>
      <c r="I847" s="68"/>
      <c r="J847" s="68"/>
      <c r="K847" s="34" t="s">
        <v>64</v>
      </c>
      <c r="L847" s="75">
        <v>847</v>
      </c>
      <c r="M847" s="75"/>
      <c r="N847" s="70"/>
      <c r="O847" s="77" t="s">
        <v>180</v>
      </c>
      <c r="P847" s="79">
        <v>41123.679803240739</v>
      </c>
      <c r="Q847" s="77" t="s">
        <v>427</v>
      </c>
      <c r="R847" s="77"/>
      <c r="S847" s="77"/>
      <c r="T847" s="79">
        <v>41123.679803240739</v>
      </c>
      <c r="U847" s="81" t="s">
        <v>895</v>
      </c>
      <c r="V847" s="77"/>
      <c r="W847" s="77"/>
      <c r="X847" s="84" t="s">
        <v>1192</v>
      </c>
      <c r="Y847" s="82">
        <v>1</v>
      </c>
    </row>
    <row r="848" spans="1:25" x14ac:dyDescent="0.25">
      <c r="A848" s="62" t="s">
        <v>353</v>
      </c>
      <c r="B848" s="62" t="s">
        <v>376</v>
      </c>
      <c r="C848" s="63" t="s">
        <v>2222</v>
      </c>
      <c r="D848" s="64">
        <v>1</v>
      </c>
      <c r="E848" s="65"/>
      <c r="F848" s="66">
        <v>100</v>
      </c>
      <c r="G848" s="63"/>
      <c r="H848" s="67"/>
      <c r="I848" s="68"/>
      <c r="J848" s="68"/>
      <c r="K848" s="34" t="s">
        <v>64</v>
      </c>
      <c r="L848" s="75">
        <v>848</v>
      </c>
      <c r="M848" s="75"/>
      <c r="N848" s="70"/>
      <c r="O848" s="77" t="s">
        <v>382</v>
      </c>
      <c r="P848" s="79">
        <v>41124.25708333333</v>
      </c>
      <c r="Q848" s="77"/>
      <c r="R848" s="77"/>
      <c r="S848" s="77"/>
      <c r="T848" s="77"/>
      <c r="U848" s="77"/>
      <c r="V848" s="77"/>
      <c r="W848" s="77"/>
      <c r="X848" s="77"/>
      <c r="Y848">
        <v>1</v>
      </c>
    </row>
    <row r="849" spans="1:25" x14ac:dyDescent="0.25">
      <c r="A849" s="62" t="s">
        <v>353</v>
      </c>
      <c r="B849" s="62" t="s">
        <v>352</v>
      </c>
      <c r="C849" s="63" t="s">
        <v>2222</v>
      </c>
      <c r="D849" s="64">
        <v>1</v>
      </c>
      <c r="E849" s="65"/>
      <c r="F849" s="66">
        <v>100</v>
      </c>
      <c r="G849" s="63"/>
      <c r="H849" s="67"/>
      <c r="I849" s="68"/>
      <c r="J849" s="68"/>
      <c r="K849" s="34" t="s">
        <v>65</v>
      </c>
      <c r="L849" s="75">
        <v>849</v>
      </c>
      <c r="M849" s="75"/>
      <c r="N849" s="70"/>
      <c r="O849" s="77" t="s">
        <v>382</v>
      </c>
      <c r="P849" s="79">
        <v>41124.25708333333</v>
      </c>
      <c r="Q849" s="77"/>
      <c r="R849" s="77"/>
      <c r="S849" s="77"/>
      <c r="T849" s="77"/>
      <c r="U849" s="77"/>
      <c r="V849" s="77"/>
      <c r="W849" s="77"/>
      <c r="X849" s="77"/>
      <c r="Y849">
        <v>1</v>
      </c>
    </row>
    <row r="850" spans="1:25" x14ac:dyDescent="0.25">
      <c r="A850" s="62" t="s">
        <v>353</v>
      </c>
      <c r="B850" s="62" t="s">
        <v>240</v>
      </c>
      <c r="C850" s="63" t="s">
        <v>2222</v>
      </c>
      <c r="D850" s="64">
        <v>1</v>
      </c>
      <c r="E850" s="65"/>
      <c r="F850" s="66">
        <v>100</v>
      </c>
      <c r="G850" s="63"/>
      <c r="H850" s="67"/>
      <c r="I850" s="68"/>
      <c r="J850" s="68"/>
      <c r="K850" s="34" t="s">
        <v>65</v>
      </c>
      <c r="L850" s="75">
        <v>850</v>
      </c>
      <c r="M850" s="75"/>
      <c r="N850" s="70"/>
      <c r="O850" s="77" t="s">
        <v>382</v>
      </c>
      <c r="P850" s="79">
        <v>41124.25708333333</v>
      </c>
      <c r="Q850" s="77"/>
      <c r="R850" s="77"/>
      <c r="S850" s="77"/>
      <c r="T850" s="77"/>
      <c r="U850" s="77"/>
      <c r="V850" s="77"/>
      <c r="W850" s="77"/>
      <c r="X850" s="77"/>
      <c r="Y850">
        <v>1</v>
      </c>
    </row>
    <row r="851" spans="1:25" x14ac:dyDescent="0.25">
      <c r="A851" s="62" t="s">
        <v>353</v>
      </c>
      <c r="B851" s="62" t="s">
        <v>346</v>
      </c>
      <c r="C851" s="63" t="s">
        <v>2222</v>
      </c>
      <c r="D851" s="64">
        <v>1</v>
      </c>
      <c r="E851" s="65"/>
      <c r="F851" s="66">
        <v>100</v>
      </c>
      <c r="G851" s="63"/>
      <c r="H851" s="67"/>
      <c r="I851" s="68"/>
      <c r="J851" s="68"/>
      <c r="K851" s="34" t="s">
        <v>65</v>
      </c>
      <c r="L851" s="75">
        <v>851</v>
      </c>
      <c r="M851" s="75"/>
      <c r="N851" s="70"/>
      <c r="O851" s="77" t="s">
        <v>382</v>
      </c>
      <c r="P851" s="79">
        <v>41124.25708333333</v>
      </c>
      <c r="Q851" s="77"/>
      <c r="R851" s="77"/>
      <c r="S851" s="77"/>
      <c r="T851" s="77"/>
      <c r="U851" s="77"/>
      <c r="V851" s="77"/>
      <c r="W851" s="77"/>
      <c r="X851" s="77"/>
      <c r="Y851">
        <v>1</v>
      </c>
    </row>
    <row r="852" spans="1:25" x14ac:dyDescent="0.25">
      <c r="A852" s="62" t="s">
        <v>353</v>
      </c>
      <c r="B852" s="62" t="s">
        <v>328</v>
      </c>
      <c r="C852" s="63" t="s">
        <v>2222</v>
      </c>
      <c r="D852" s="64">
        <v>1</v>
      </c>
      <c r="E852" s="65"/>
      <c r="F852" s="66">
        <v>100</v>
      </c>
      <c r="G852" s="63"/>
      <c r="H852" s="67"/>
      <c r="I852" s="68"/>
      <c r="J852" s="68"/>
      <c r="K852" s="34" t="s">
        <v>65</v>
      </c>
      <c r="L852" s="75">
        <v>852</v>
      </c>
      <c r="M852" s="75"/>
      <c r="N852" s="70"/>
      <c r="O852" s="77" t="s">
        <v>382</v>
      </c>
      <c r="P852" s="79">
        <v>41124.25708333333</v>
      </c>
      <c r="Q852" s="77"/>
      <c r="R852" s="77"/>
      <c r="S852" s="77"/>
      <c r="T852" s="77"/>
      <c r="U852" s="77"/>
      <c r="V852" s="77"/>
      <c r="W852" s="77"/>
      <c r="X852" s="77"/>
      <c r="Y852">
        <v>1</v>
      </c>
    </row>
    <row r="853" spans="1:25" x14ac:dyDescent="0.25">
      <c r="A853" s="62" t="s">
        <v>240</v>
      </c>
      <c r="B853" s="62" t="s">
        <v>353</v>
      </c>
      <c r="C853" s="63" t="s">
        <v>2222</v>
      </c>
      <c r="D853" s="64">
        <v>1</v>
      </c>
      <c r="E853" s="65"/>
      <c r="F853" s="66">
        <v>100</v>
      </c>
      <c r="G853" s="63"/>
      <c r="H853" s="67"/>
      <c r="I853" s="68"/>
      <c r="J853" s="68"/>
      <c r="K853" s="34" t="s">
        <v>65</v>
      </c>
      <c r="L853" s="75">
        <v>853</v>
      </c>
      <c r="M853" s="75"/>
      <c r="N853" s="70"/>
      <c r="O853" s="77" t="s">
        <v>382</v>
      </c>
      <c r="P853" s="79">
        <v>41124.25708333333</v>
      </c>
      <c r="Q853" s="77"/>
      <c r="R853" s="77"/>
      <c r="S853" s="77"/>
      <c r="T853" s="77"/>
      <c r="U853" s="77"/>
      <c r="V853" s="77"/>
      <c r="W853" s="77"/>
      <c r="X853" s="77"/>
      <c r="Y853">
        <v>1</v>
      </c>
    </row>
    <row r="854" spans="1:25" x14ac:dyDescent="0.25">
      <c r="A854" s="62" t="s">
        <v>328</v>
      </c>
      <c r="B854" s="62" t="s">
        <v>353</v>
      </c>
      <c r="C854" s="63" t="s">
        <v>2222</v>
      </c>
      <c r="D854" s="64">
        <v>1</v>
      </c>
      <c r="E854" s="65"/>
      <c r="F854" s="66">
        <v>100</v>
      </c>
      <c r="G854" s="63"/>
      <c r="H854" s="67"/>
      <c r="I854" s="68"/>
      <c r="J854" s="68"/>
      <c r="K854" s="34" t="s">
        <v>65</v>
      </c>
      <c r="L854" s="75">
        <v>854</v>
      </c>
      <c r="M854" s="75"/>
      <c r="N854" s="70"/>
      <c r="O854" s="77" t="s">
        <v>382</v>
      </c>
      <c r="P854" s="79">
        <v>41124.25708333333</v>
      </c>
      <c r="Q854" s="77"/>
      <c r="R854" s="77"/>
      <c r="S854" s="77"/>
      <c r="T854" s="77"/>
      <c r="U854" s="77"/>
      <c r="V854" s="77"/>
      <c r="W854" s="77"/>
      <c r="X854" s="77"/>
      <c r="Y854">
        <v>1</v>
      </c>
    </row>
    <row r="855" spans="1:25" x14ac:dyDescent="0.25">
      <c r="A855" s="62" t="s">
        <v>346</v>
      </c>
      <c r="B855" s="62" t="s">
        <v>353</v>
      </c>
      <c r="C855" s="63" t="s">
        <v>2222</v>
      </c>
      <c r="D855" s="64">
        <v>1</v>
      </c>
      <c r="E855" s="65"/>
      <c r="F855" s="66">
        <v>100</v>
      </c>
      <c r="G855" s="63"/>
      <c r="H855" s="67"/>
      <c r="I855" s="68"/>
      <c r="J855" s="68"/>
      <c r="K855" s="34" t="s">
        <v>65</v>
      </c>
      <c r="L855" s="75">
        <v>855</v>
      </c>
      <c r="M855" s="75"/>
      <c r="N855" s="70"/>
      <c r="O855" s="77" t="s">
        <v>382</v>
      </c>
      <c r="P855" s="79">
        <v>41124.25708333333</v>
      </c>
      <c r="Q855" s="77"/>
      <c r="R855" s="77"/>
      <c r="S855" s="77"/>
      <c r="T855" s="77"/>
      <c r="U855" s="77"/>
      <c r="V855" s="77"/>
      <c r="W855" s="77"/>
      <c r="X855" s="77"/>
      <c r="Y855">
        <v>1</v>
      </c>
    </row>
    <row r="856" spans="1:25" x14ac:dyDescent="0.25">
      <c r="A856" s="62" t="s">
        <v>352</v>
      </c>
      <c r="B856" s="62" t="s">
        <v>353</v>
      </c>
      <c r="C856" s="63" t="s">
        <v>2222</v>
      </c>
      <c r="D856" s="64">
        <v>1</v>
      </c>
      <c r="E856" s="65"/>
      <c r="F856" s="66">
        <v>100</v>
      </c>
      <c r="G856" s="63"/>
      <c r="H856" s="67"/>
      <c r="I856" s="68"/>
      <c r="J856" s="68"/>
      <c r="K856" s="34" t="s">
        <v>65</v>
      </c>
      <c r="L856" s="75">
        <v>856</v>
      </c>
      <c r="M856" s="75"/>
      <c r="N856" s="70"/>
      <c r="O856" s="77" t="s">
        <v>382</v>
      </c>
      <c r="P856" s="79">
        <v>41124.25708333333</v>
      </c>
      <c r="Q856" s="77"/>
      <c r="R856" s="77"/>
      <c r="S856" s="77"/>
      <c r="T856" s="77"/>
      <c r="U856" s="77"/>
      <c r="V856" s="77"/>
      <c r="W856" s="77"/>
      <c r="X856" s="77"/>
      <c r="Y856">
        <v>1</v>
      </c>
    </row>
    <row r="857" spans="1:25" x14ac:dyDescent="0.25">
      <c r="A857" s="62" t="s">
        <v>228</v>
      </c>
      <c r="B857" s="62" t="s">
        <v>228</v>
      </c>
      <c r="C857" s="63" t="s">
        <v>2219</v>
      </c>
      <c r="D857" s="64">
        <v>1</v>
      </c>
      <c r="E857" s="65"/>
      <c r="F857" s="66">
        <v>100</v>
      </c>
      <c r="G857" s="63"/>
      <c r="H857" s="67"/>
      <c r="I857" s="68"/>
      <c r="J857" s="68"/>
      <c r="K857" s="34" t="s">
        <v>64</v>
      </c>
      <c r="L857" s="75">
        <v>857</v>
      </c>
      <c r="M857" s="75"/>
      <c r="N857" s="70"/>
      <c r="O857" s="77" t="s">
        <v>180</v>
      </c>
      <c r="P857" s="79">
        <v>41123.681400462963</v>
      </c>
      <c r="Q857" s="77" t="s">
        <v>427</v>
      </c>
      <c r="R857" s="77"/>
      <c r="S857" s="77"/>
      <c r="T857" s="79">
        <v>41123.681400462963</v>
      </c>
      <c r="U857" s="81" t="s">
        <v>896</v>
      </c>
      <c r="V857" s="77"/>
      <c r="W857" s="77"/>
      <c r="X857" s="84" t="s">
        <v>1193</v>
      </c>
      <c r="Y857" s="82">
        <v>1</v>
      </c>
    </row>
    <row r="858" spans="1:25" x14ac:dyDescent="0.25">
      <c r="A858" s="62" t="s">
        <v>228</v>
      </c>
      <c r="B858" s="62" t="s">
        <v>376</v>
      </c>
      <c r="C858" s="63" t="s">
        <v>2222</v>
      </c>
      <c r="D858" s="64">
        <v>1</v>
      </c>
      <c r="E858" s="65"/>
      <c r="F858" s="66">
        <v>100</v>
      </c>
      <c r="G858" s="63"/>
      <c r="H858" s="67"/>
      <c r="I858" s="68"/>
      <c r="J858" s="68"/>
      <c r="K858" s="34" t="s">
        <v>64</v>
      </c>
      <c r="L858" s="75">
        <v>858</v>
      </c>
      <c r="M858" s="75"/>
      <c r="N858" s="70"/>
      <c r="O858" s="77" t="s">
        <v>382</v>
      </c>
      <c r="P858" s="79">
        <v>41124.25708333333</v>
      </c>
      <c r="Q858" s="77"/>
      <c r="R858" s="77"/>
      <c r="S858" s="77"/>
      <c r="T858" s="77"/>
      <c r="U858" s="77"/>
      <c r="V858" s="77"/>
      <c r="W858" s="77"/>
      <c r="X858" s="77"/>
      <c r="Y858">
        <v>1</v>
      </c>
    </row>
    <row r="859" spans="1:25" x14ac:dyDescent="0.25">
      <c r="A859" s="62" t="s">
        <v>228</v>
      </c>
      <c r="B859" s="62" t="s">
        <v>352</v>
      </c>
      <c r="C859" s="63" t="s">
        <v>2222</v>
      </c>
      <c r="D859" s="64">
        <v>1</v>
      </c>
      <c r="E859" s="65"/>
      <c r="F859" s="66">
        <v>100</v>
      </c>
      <c r="G859" s="63"/>
      <c r="H859" s="67"/>
      <c r="I859" s="68"/>
      <c r="J859" s="68"/>
      <c r="K859" s="34" t="s">
        <v>65</v>
      </c>
      <c r="L859" s="75">
        <v>859</v>
      </c>
      <c r="M859" s="75"/>
      <c r="N859" s="70"/>
      <c r="O859" s="77" t="s">
        <v>382</v>
      </c>
      <c r="P859" s="79">
        <v>41124.25708333333</v>
      </c>
      <c r="Q859" s="77"/>
      <c r="R859" s="77"/>
      <c r="S859" s="77"/>
      <c r="T859" s="77"/>
      <c r="U859" s="77"/>
      <c r="V859" s="77"/>
      <c r="W859" s="77"/>
      <c r="X859" s="77"/>
      <c r="Y859">
        <v>1</v>
      </c>
    </row>
    <row r="860" spans="1:25" x14ac:dyDescent="0.25">
      <c r="A860" s="62" t="s">
        <v>228</v>
      </c>
      <c r="B860" s="62" t="s">
        <v>240</v>
      </c>
      <c r="C860" s="63" t="s">
        <v>2222</v>
      </c>
      <c r="D860" s="64">
        <v>1</v>
      </c>
      <c r="E860" s="65"/>
      <c r="F860" s="66">
        <v>100</v>
      </c>
      <c r="G860" s="63"/>
      <c r="H860" s="67"/>
      <c r="I860" s="68"/>
      <c r="J860" s="68"/>
      <c r="K860" s="34" t="s">
        <v>65</v>
      </c>
      <c r="L860" s="75">
        <v>860</v>
      </c>
      <c r="M860" s="75"/>
      <c r="N860" s="70"/>
      <c r="O860" s="77" t="s">
        <v>382</v>
      </c>
      <c r="P860" s="79">
        <v>41124.25708333333</v>
      </c>
      <c r="Q860" s="77"/>
      <c r="R860" s="77"/>
      <c r="S860" s="77"/>
      <c r="T860" s="77"/>
      <c r="U860" s="77"/>
      <c r="V860" s="77"/>
      <c r="W860" s="77"/>
      <c r="X860" s="77"/>
      <c r="Y860">
        <v>1</v>
      </c>
    </row>
    <row r="861" spans="1:25" x14ac:dyDescent="0.25">
      <c r="A861" s="62" t="s">
        <v>240</v>
      </c>
      <c r="B861" s="62" t="s">
        <v>228</v>
      </c>
      <c r="C861" s="63" t="s">
        <v>2222</v>
      </c>
      <c r="D861" s="64">
        <v>1</v>
      </c>
      <c r="E861" s="65"/>
      <c r="F861" s="66">
        <v>100</v>
      </c>
      <c r="G861" s="63"/>
      <c r="H861" s="67"/>
      <c r="I861" s="68"/>
      <c r="J861" s="68"/>
      <c r="K861" s="34" t="s">
        <v>65</v>
      </c>
      <c r="L861" s="75">
        <v>861</v>
      </c>
      <c r="M861" s="75"/>
      <c r="N861" s="70"/>
      <c r="O861" s="77" t="s">
        <v>382</v>
      </c>
      <c r="P861" s="79">
        <v>41124.25708333333</v>
      </c>
      <c r="Q861" s="77"/>
      <c r="R861" s="77"/>
      <c r="S861" s="77"/>
      <c r="T861" s="77"/>
      <c r="U861" s="77"/>
      <c r="V861" s="77"/>
      <c r="W861" s="77"/>
      <c r="X861" s="77"/>
      <c r="Y861">
        <v>1</v>
      </c>
    </row>
    <row r="862" spans="1:25" x14ac:dyDescent="0.25">
      <c r="A862" s="62" t="s">
        <v>352</v>
      </c>
      <c r="B862" s="62" t="s">
        <v>228</v>
      </c>
      <c r="C862" s="63" t="s">
        <v>2222</v>
      </c>
      <c r="D862" s="64">
        <v>1</v>
      </c>
      <c r="E862" s="65"/>
      <c r="F862" s="66">
        <v>100</v>
      </c>
      <c r="G862" s="63"/>
      <c r="H862" s="67"/>
      <c r="I862" s="68"/>
      <c r="J862" s="68"/>
      <c r="K862" s="34" t="s">
        <v>65</v>
      </c>
      <c r="L862" s="75">
        <v>862</v>
      </c>
      <c r="M862" s="75"/>
      <c r="N862" s="70"/>
      <c r="O862" s="77" t="s">
        <v>382</v>
      </c>
      <c r="P862" s="79">
        <v>41124.25708333333</v>
      </c>
      <c r="Q862" s="77"/>
      <c r="R862" s="77"/>
      <c r="S862" s="77"/>
      <c r="T862" s="77"/>
      <c r="U862" s="77"/>
      <c r="V862" s="77"/>
      <c r="W862" s="77"/>
      <c r="X862" s="77"/>
      <c r="Y862">
        <v>1</v>
      </c>
    </row>
    <row r="863" spans="1:25" x14ac:dyDescent="0.25">
      <c r="A863" s="62" t="s">
        <v>286</v>
      </c>
      <c r="B863" s="62" t="s">
        <v>366</v>
      </c>
      <c r="C863" s="63" t="s">
        <v>2221</v>
      </c>
      <c r="D863" s="64">
        <v>1</v>
      </c>
      <c r="E863" s="65"/>
      <c r="F863" s="66">
        <v>100</v>
      </c>
      <c r="G863" s="63"/>
      <c r="H863" s="67"/>
      <c r="I863" s="68"/>
      <c r="J863" s="68"/>
      <c r="K863" s="34" t="s">
        <v>65</v>
      </c>
      <c r="L863" s="75">
        <v>863</v>
      </c>
      <c r="M863" s="75"/>
      <c r="N863" s="70"/>
      <c r="O863" s="77" t="s">
        <v>381</v>
      </c>
      <c r="P863" s="79">
        <v>41123.898611111108</v>
      </c>
      <c r="Q863" s="77" t="s">
        <v>561</v>
      </c>
      <c r="R863" s="77"/>
      <c r="S863" s="77" t="s">
        <v>639</v>
      </c>
      <c r="T863" s="79">
        <v>41123.898611111108</v>
      </c>
      <c r="U863" s="81" t="s">
        <v>897</v>
      </c>
      <c r="V863" s="77"/>
      <c r="W863" s="77"/>
      <c r="X863" s="84" t="s">
        <v>1194</v>
      </c>
      <c r="Y863" s="82">
        <v>1</v>
      </c>
    </row>
    <row r="864" spans="1:25" x14ac:dyDescent="0.25">
      <c r="A864" s="62" t="s">
        <v>366</v>
      </c>
      <c r="B864" s="62" t="s">
        <v>366</v>
      </c>
      <c r="C864" s="63" t="s">
        <v>2219</v>
      </c>
      <c r="D864" s="64">
        <v>1.5</v>
      </c>
      <c r="E864" s="65"/>
      <c r="F864" s="66">
        <v>97.777777777777771</v>
      </c>
      <c r="G864" s="63"/>
      <c r="H864" s="67"/>
      <c r="I864" s="68"/>
      <c r="J864" s="68"/>
      <c r="K864" s="34" t="s">
        <v>64</v>
      </c>
      <c r="L864" s="75">
        <v>864</v>
      </c>
      <c r="M864" s="75"/>
      <c r="N864" s="70"/>
      <c r="O864" s="77" t="s">
        <v>180</v>
      </c>
      <c r="P864" s="79">
        <v>41123.8984837963</v>
      </c>
      <c r="Q864" s="77" t="s">
        <v>562</v>
      </c>
      <c r="R864" s="77"/>
      <c r="S864" s="77" t="s">
        <v>639</v>
      </c>
      <c r="T864" s="79">
        <v>41123.8984837963</v>
      </c>
      <c r="U864" s="81" t="s">
        <v>898</v>
      </c>
      <c r="V864" s="77"/>
      <c r="W864" s="77"/>
      <c r="X864" s="84" t="s">
        <v>1195</v>
      </c>
      <c r="Y864" s="82">
        <v>2</v>
      </c>
    </row>
    <row r="865" spans="1:25" x14ac:dyDescent="0.25">
      <c r="A865" s="62" t="s">
        <v>366</v>
      </c>
      <c r="B865" s="62" t="s">
        <v>366</v>
      </c>
      <c r="C865" s="63" t="s">
        <v>2219</v>
      </c>
      <c r="D865" s="64">
        <v>1.5</v>
      </c>
      <c r="E865" s="65"/>
      <c r="F865" s="66">
        <v>97.777777777777771</v>
      </c>
      <c r="G865" s="63"/>
      <c r="H865" s="67"/>
      <c r="I865" s="68"/>
      <c r="J865" s="68"/>
      <c r="K865" s="34" t="s">
        <v>64</v>
      </c>
      <c r="L865" s="75">
        <v>865</v>
      </c>
      <c r="M865" s="75"/>
      <c r="N865" s="70"/>
      <c r="O865" s="77" t="s">
        <v>180</v>
      </c>
      <c r="P865" s="79">
        <v>41123.910381944443</v>
      </c>
      <c r="Q865" s="77" t="s">
        <v>563</v>
      </c>
      <c r="R865" s="77"/>
      <c r="S865" s="77" t="s">
        <v>639</v>
      </c>
      <c r="T865" s="79">
        <v>41123.910381944443</v>
      </c>
      <c r="U865" s="81" t="s">
        <v>899</v>
      </c>
      <c r="V865" s="77"/>
      <c r="W865" s="77"/>
      <c r="X865" s="84" t="s">
        <v>1196</v>
      </c>
      <c r="Y865" s="82">
        <v>2</v>
      </c>
    </row>
    <row r="866" spans="1:25" x14ac:dyDescent="0.25">
      <c r="A866" s="62" t="s">
        <v>285</v>
      </c>
      <c r="B866" s="62" t="s">
        <v>366</v>
      </c>
      <c r="C866" s="63" t="s">
        <v>2222</v>
      </c>
      <c r="D866" s="64">
        <v>1</v>
      </c>
      <c r="E866" s="65"/>
      <c r="F866" s="66">
        <v>100</v>
      </c>
      <c r="G866" s="63"/>
      <c r="H866" s="67"/>
      <c r="I866" s="68"/>
      <c r="J866" s="68"/>
      <c r="K866" s="34" t="s">
        <v>65</v>
      </c>
      <c r="L866" s="75">
        <v>866</v>
      </c>
      <c r="M866" s="75"/>
      <c r="N866" s="70"/>
      <c r="O866" s="77" t="s">
        <v>382</v>
      </c>
      <c r="P866" s="79">
        <v>41124.25708333333</v>
      </c>
      <c r="Q866" s="77"/>
      <c r="R866" s="77"/>
      <c r="S866" s="77"/>
      <c r="T866" s="77"/>
      <c r="U866" s="77"/>
      <c r="V866" s="77"/>
      <c r="W866" s="77"/>
      <c r="X866" s="77"/>
      <c r="Y866">
        <v>1</v>
      </c>
    </row>
    <row r="867" spans="1:25" x14ac:dyDescent="0.25">
      <c r="A867" s="62" t="s">
        <v>362</v>
      </c>
      <c r="B867" s="62" t="s">
        <v>366</v>
      </c>
      <c r="C867" s="63" t="s">
        <v>2222</v>
      </c>
      <c r="D867" s="64">
        <v>1</v>
      </c>
      <c r="E867" s="65"/>
      <c r="F867" s="66">
        <v>100</v>
      </c>
      <c r="G867" s="63"/>
      <c r="H867" s="67"/>
      <c r="I867" s="68"/>
      <c r="J867" s="68"/>
      <c r="K867" s="34" t="s">
        <v>64</v>
      </c>
      <c r="L867" s="75">
        <v>867</v>
      </c>
      <c r="M867" s="75"/>
      <c r="N867" s="70"/>
      <c r="O867" s="77" t="s">
        <v>382</v>
      </c>
      <c r="P867" s="79">
        <v>41124.25708333333</v>
      </c>
      <c r="Q867" s="77"/>
      <c r="R867" s="77"/>
      <c r="S867" s="77"/>
      <c r="T867" s="77"/>
      <c r="U867" s="77"/>
      <c r="V867" s="77"/>
      <c r="W867" s="77"/>
      <c r="X867" s="77"/>
      <c r="Y867">
        <v>1</v>
      </c>
    </row>
    <row r="868" spans="1:25" x14ac:dyDescent="0.25">
      <c r="A868" s="62" t="s">
        <v>286</v>
      </c>
      <c r="B868" s="62" t="s">
        <v>366</v>
      </c>
      <c r="C868" s="63" t="s">
        <v>2222</v>
      </c>
      <c r="D868" s="64">
        <v>1</v>
      </c>
      <c r="E868" s="65"/>
      <c r="F868" s="66">
        <v>100</v>
      </c>
      <c r="G868" s="63"/>
      <c r="H868" s="67"/>
      <c r="I868" s="68"/>
      <c r="J868" s="68"/>
      <c r="K868" s="34" t="s">
        <v>65</v>
      </c>
      <c r="L868" s="75">
        <v>868</v>
      </c>
      <c r="M868" s="75"/>
      <c r="N868" s="70"/>
      <c r="O868" s="77" t="s">
        <v>382</v>
      </c>
      <c r="P868" s="79">
        <v>41124.25708333333</v>
      </c>
      <c r="Q868" s="77"/>
      <c r="R868" s="77"/>
      <c r="S868" s="77"/>
      <c r="T868" s="77"/>
      <c r="U868" s="77"/>
      <c r="V868" s="77"/>
      <c r="W868" s="77"/>
      <c r="X868" s="77"/>
      <c r="Y868">
        <v>1</v>
      </c>
    </row>
    <row r="869" spans="1:25" x14ac:dyDescent="0.25">
      <c r="A869" s="62" t="s">
        <v>284</v>
      </c>
      <c r="B869" s="62" t="s">
        <v>366</v>
      </c>
      <c r="C869" s="63" t="s">
        <v>2222</v>
      </c>
      <c r="D869" s="64">
        <v>1</v>
      </c>
      <c r="E869" s="65"/>
      <c r="F869" s="66">
        <v>100</v>
      </c>
      <c r="G869" s="63"/>
      <c r="H869" s="67"/>
      <c r="I869" s="68"/>
      <c r="J869" s="68"/>
      <c r="K869" s="34" t="s">
        <v>64</v>
      </c>
      <c r="L869" s="75">
        <v>869</v>
      </c>
      <c r="M869" s="75"/>
      <c r="N869" s="70"/>
      <c r="O869" s="77" t="s">
        <v>382</v>
      </c>
      <c r="P869" s="79">
        <v>41124.25708333333</v>
      </c>
      <c r="Q869" s="77"/>
      <c r="R869" s="77"/>
      <c r="S869" s="77"/>
      <c r="T869" s="77"/>
      <c r="U869" s="77"/>
      <c r="V869" s="77"/>
      <c r="W869" s="77"/>
      <c r="X869" s="77"/>
      <c r="Y869">
        <v>1</v>
      </c>
    </row>
    <row r="870" spans="1:25" x14ac:dyDescent="0.25">
      <c r="A870" s="62" t="s">
        <v>366</v>
      </c>
      <c r="B870" s="62" t="s">
        <v>285</v>
      </c>
      <c r="C870" s="63" t="s">
        <v>2222</v>
      </c>
      <c r="D870" s="64">
        <v>1</v>
      </c>
      <c r="E870" s="65"/>
      <c r="F870" s="66">
        <v>100</v>
      </c>
      <c r="G870" s="63"/>
      <c r="H870" s="67"/>
      <c r="I870" s="68"/>
      <c r="J870" s="68"/>
      <c r="K870" s="34" t="s">
        <v>65</v>
      </c>
      <c r="L870" s="75">
        <v>870</v>
      </c>
      <c r="M870" s="75"/>
      <c r="N870" s="70"/>
      <c r="O870" s="77" t="s">
        <v>382</v>
      </c>
      <c r="P870" s="79">
        <v>41124.25708333333</v>
      </c>
      <c r="Q870" s="77"/>
      <c r="R870" s="77"/>
      <c r="S870" s="77"/>
      <c r="T870" s="77"/>
      <c r="U870" s="77"/>
      <c r="V870" s="77"/>
      <c r="W870" s="77"/>
      <c r="X870" s="77"/>
      <c r="Y870">
        <v>1</v>
      </c>
    </row>
    <row r="871" spans="1:25" x14ac:dyDescent="0.25">
      <c r="A871" s="62" t="s">
        <v>366</v>
      </c>
      <c r="B871" s="62" t="s">
        <v>286</v>
      </c>
      <c r="C871" s="63" t="s">
        <v>2222</v>
      </c>
      <c r="D871" s="64">
        <v>1</v>
      </c>
      <c r="E871" s="65"/>
      <c r="F871" s="66">
        <v>100</v>
      </c>
      <c r="G871" s="63"/>
      <c r="H871" s="67"/>
      <c r="I871" s="68"/>
      <c r="J871" s="68"/>
      <c r="K871" s="34" t="s">
        <v>65</v>
      </c>
      <c r="L871" s="75">
        <v>871</v>
      </c>
      <c r="M871" s="75"/>
      <c r="N871" s="70"/>
      <c r="O871" s="77" t="s">
        <v>382</v>
      </c>
      <c r="P871" s="79">
        <v>41124.25708333333</v>
      </c>
      <c r="Q871" s="77"/>
      <c r="R871" s="77"/>
      <c r="S871" s="77"/>
      <c r="T871" s="77"/>
      <c r="U871" s="77"/>
      <c r="V871" s="77"/>
      <c r="W871" s="77"/>
      <c r="X871" s="77"/>
      <c r="Y871">
        <v>1</v>
      </c>
    </row>
    <row r="872" spans="1:25" x14ac:dyDescent="0.25">
      <c r="A872" s="62" t="s">
        <v>302</v>
      </c>
      <c r="B872" s="62" t="s">
        <v>366</v>
      </c>
      <c r="C872" s="63" t="s">
        <v>2222</v>
      </c>
      <c r="D872" s="64">
        <v>1</v>
      </c>
      <c r="E872" s="65"/>
      <c r="F872" s="66">
        <v>100</v>
      </c>
      <c r="G872" s="63"/>
      <c r="H872" s="67"/>
      <c r="I872" s="68"/>
      <c r="J872" s="68"/>
      <c r="K872" s="34" t="s">
        <v>64</v>
      </c>
      <c r="L872" s="75">
        <v>872</v>
      </c>
      <c r="M872" s="75"/>
      <c r="N872" s="70"/>
      <c r="O872" s="77" t="s">
        <v>382</v>
      </c>
      <c r="P872" s="79">
        <v>41124.25708333333</v>
      </c>
      <c r="Q872" s="77"/>
      <c r="R872" s="77"/>
      <c r="S872" s="77"/>
      <c r="T872" s="77"/>
      <c r="U872" s="77"/>
      <c r="V872" s="77"/>
      <c r="W872" s="77"/>
      <c r="X872" s="77"/>
      <c r="Y872">
        <v>1</v>
      </c>
    </row>
    <row r="873" spans="1:25" x14ac:dyDescent="0.25">
      <c r="A873" s="62" t="s">
        <v>323</v>
      </c>
      <c r="B873" s="62" t="s">
        <v>366</v>
      </c>
      <c r="C873" s="63" t="s">
        <v>2222</v>
      </c>
      <c r="D873" s="64">
        <v>1</v>
      </c>
      <c r="E873" s="65"/>
      <c r="F873" s="66">
        <v>100</v>
      </c>
      <c r="G873" s="63"/>
      <c r="H873" s="67"/>
      <c r="I873" s="68"/>
      <c r="J873" s="68"/>
      <c r="K873" s="34" t="s">
        <v>64</v>
      </c>
      <c r="L873" s="75">
        <v>873</v>
      </c>
      <c r="M873" s="75"/>
      <c r="N873" s="70"/>
      <c r="O873" s="77" t="s">
        <v>382</v>
      </c>
      <c r="P873" s="79">
        <v>41124.25708333333</v>
      </c>
      <c r="Q873" s="77"/>
      <c r="R873" s="77"/>
      <c r="S873" s="77"/>
      <c r="T873" s="77"/>
      <c r="U873" s="77"/>
      <c r="V873" s="77"/>
      <c r="W873" s="77"/>
      <c r="X873" s="77"/>
      <c r="Y873">
        <v>1</v>
      </c>
    </row>
    <row r="874" spans="1:25" x14ac:dyDescent="0.25">
      <c r="A874" s="62" t="s">
        <v>352</v>
      </c>
      <c r="B874" s="62" t="s">
        <v>366</v>
      </c>
      <c r="C874" s="63" t="s">
        <v>2222</v>
      </c>
      <c r="D874" s="64">
        <v>1</v>
      </c>
      <c r="E874" s="65"/>
      <c r="F874" s="66">
        <v>100</v>
      </c>
      <c r="G874" s="63"/>
      <c r="H874" s="67"/>
      <c r="I874" s="68"/>
      <c r="J874" s="68"/>
      <c r="K874" s="34" t="s">
        <v>64</v>
      </c>
      <c r="L874" s="75">
        <v>874</v>
      </c>
      <c r="M874" s="75"/>
      <c r="N874" s="70"/>
      <c r="O874" s="77" t="s">
        <v>382</v>
      </c>
      <c r="P874" s="79">
        <v>41124.25708333333</v>
      </c>
      <c r="Q874" s="77"/>
      <c r="R874" s="77"/>
      <c r="S874" s="77"/>
      <c r="T874" s="77"/>
      <c r="U874" s="77"/>
      <c r="V874" s="77"/>
      <c r="W874" s="77"/>
      <c r="X874" s="77"/>
      <c r="Y874">
        <v>1</v>
      </c>
    </row>
    <row r="875" spans="1:25" x14ac:dyDescent="0.25">
      <c r="A875" s="62" t="s">
        <v>360</v>
      </c>
      <c r="B875" s="62" t="s">
        <v>360</v>
      </c>
      <c r="C875" s="63" t="s">
        <v>2219</v>
      </c>
      <c r="D875" s="64">
        <v>2</v>
      </c>
      <c r="E875" s="65"/>
      <c r="F875" s="66">
        <v>95.555555555555557</v>
      </c>
      <c r="G875" s="63"/>
      <c r="H875" s="67"/>
      <c r="I875" s="68"/>
      <c r="J875" s="68"/>
      <c r="K875" s="34" t="s">
        <v>64</v>
      </c>
      <c r="L875" s="75">
        <v>875</v>
      </c>
      <c r="M875" s="75"/>
      <c r="N875" s="70"/>
      <c r="O875" s="77" t="s">
        <v>180</v>
      </c>
      <c r="P875" s="79">
        <v>41123.655914351853</v>
      </c>
      <c r="Q875" s="77" t="s">
        <v>564</v>
      </c>
      <c r="R875" s="77"/>
      <c r="S875" s="77"/>
      <c r="T875" s="79">
        <v>41123.655914351853</v>
      </c>
      <c r="U875" s="81" t="s">
        <v>900</v>
      </c>
      <c r="V875" s="77"/>
      <c r="W875" s="77"/>
      <c r="X875" s="84" t="s">
        <v>1197</v>
      </c>
      <c r="Y875" s="82">
        <v>3</v>
      </c>
    </row>
    <row r="876" spans="1:25" x14ac:dyDescent="0.25">
      <c r="A876" s="62" t="s">
        <v>360</v>
      </c>
      <c r="B876" s="62" t="s">
        <v>360</v>
      </c>
      <c r="C876" s="63" t="s">
        <v>2219</v>
      </c>
      <c r="D876" s="64">
        <v>2</v>
      </c>
      <c r="E876" s="65"/>
      <c r="F876" s="66">
        <v>95.555555555555557</v>
      </c>
      <c r="G876" s="63"/>
      <c r="H876" s="67"/>
      <c r="I876" s="68"/>
      <c r="J876" s="68"/>
      <c r="K876" s="34" t="s">
        <v>64</v>
      </c>
      <c r="L876" s="75">
        <v>876</v>
      </c>
      <c r="M876" s="75"/>
      <c r="N876" s="70"/>
      <c r="O876" s="77" t="s">
        <v>180</v>
      </c>
      <c r="P876" s="79">
        <v>41123.658877314818</v>
      </c>
      <c r="Q876" s="77" t="s">
        <v>565</v>
      </c>
      <c r="R876" s="77"/>
      <c r="S876" s="77"/>
      <c r="T876" s="79">
        <v>41123.658877314818</v>
      </c>
      <c r="U876" s="81" t="s">
        <v>901</v>
      </c>
      <c r="V876" s="77"/>
      <c r="W876" s="77"/>
      <c r="X876" s="84" t="s">
        <v>1198</v>
      </c>
      <c r="Y876" s="82">
        <v>3</v>
      </c>
    </row>
    <row r="877" spans="1:25" x14ac:dyDescent="0.25">
      <c r="A877" s="62" t="s">
        <v>360</v>
      </c>
      <c r="B877" s="62" t="s">
        <v>360</v>
      </c>
      <c r="C877" s="63" t="s">
        <v>2219</v>
      </c>
      <c r="D877" s="64">
        <v>2</v>
      </c>
      <c r="E877" s="65"/>
      <c r="F877" s="66">
        <v>95.555555555555557</v>
      </c>
      <c r="G877" s="63"/>
      <c r="H877" s="67"/>
      <c r="I877" s="68"/>
      <c r="J877" s="68"/>
      <c r="K877" s="34" t="s">
        <v>64</v>
      </c>
      <c r="L877" s="75">
        <v>877</v>
      </c>
      <c r="M877" s="75"/>
      <c r="N877" s="70"/>
      <c r="O877" s="77" t="s">
        <v>180</v>
      </c>
      <c r="P877" s="79">
        <v>41123.662615740737</v>
      </c>
      <c r="Q877" s="77" t="s">
        <v>566</v>
      </c>
      <c r="R877" s="77"/>
      <c r="S877" s="77"/>
      <c r="T877" s="79">
        <v>41123.662615740737</v>
      </c>
      <c r="U877" s="81" t="s">
        <v>902</v>
      </c>
      <c r="V877" s="77"/>
      <c r="W877" s="77"/>
      <c r="X877" s="84" t="s">
        <v>1199</v>
      </c>
      <c r="Y877" s="82">
        <v>3</v>
      </c>
    </row>
    <row r="878" spans="1:25" x14ac:dyDescent="0.25">
      <c r="A878" s="62" t="s">
        <v>360</v>
      </c>
      <c r="B878" s="62" t="s">
        <v>352</v>
      </c>
      <c r="C878" s="63" t="s">
        <v>2222</v>
      </c>
      <c r="D878" s="64">
        <v>1</v>
      </c>
      <c r="E878" s="65"/>
      <c r="F878" s="66">
        <v>100</v>
      </c>
      <c r="G878" s="63"/>
      <c r="H878" s="67"/>
      <c r="I878" s="68"/>
      <c r="J878" s="68"/>
      <c r="K878" s="34" t="s">
        <v>65</v>
      </c>
      <c r="L878" s="75">
        <v>878</v>
      </c>
      <c r="M878" s="75"/>
      <c r="N878" s="70"/>
      <c r="O878" s="77" t="s">
        <v>382</v>
      </c>
      <c r="P878" s="79">
        <v>41124.25708333333</v>
      </c>
      <c r="Q878" s="77"/>
      <c r="R878" s="77"/>
      <c r="S878" s="77"/>
      <c r="T878" s="77"/>
      <c r="U878" s="77"/>
      <c r="V878" s="77"/>
      <c r="W878" s="77"/>
      <c r="X878" s="77"/>
      <c r="Y878">
        <v>1</v>
      </c>
    </row>
    <row r="879" spans="1:25" x14ac:dyDescent="0.25">
      <c r="A879" s="62" t="s">
        <v>360</v>
      </c>
      <c r="B879" s="62" t="s">
        <v>368</v>
      </c>
      <c r="C879" s="63" t="s">
        <v>2222</v>
      </c>
      <c r="D879" s="64">
        <v>1</v>
      </c>
      <c r="E879" s="65"/>
      <c r="F879" s="66">
        <v>100</v>
      </c>
      <c r="G879" s="63"/>
      <c r="H879" s="67"/>
      <c r="I879" s="68"/>
      <c r="J879" s="68"/>
      <c r="K879" s="34" t="s">
        <v>64</v>
      </c>
      <c r="L879" s="75">
        <v>879</v>
      </c>
      <c r="M879" s="75"/>
      <c r="N879" s="70"/>
      <c r="O879" s="77" t="s">
        <v>382</v>
      </c>
      <c r="P879" s="79">
        <v>41124.25708333333</v>
      </c>
      <c r="Q879" s="77"/>
      <c r="R879" s="77"/>
      <c r="S879" s="77"/>
      <c r="T879" s="77"/>
      <c r="U879" s="77"/>
      <c r="V879" s="77"/>
      <c r="W879" s="77"/>
      <c r="X879" s="77"/>
      <c r="Y879">
        <v>1</v>
      </c>
    </row>
    <row r="880" spans="1:25" x14ac:dyDescent="0.25">
      <c r="A880" s="62" t="s">
        <v>360</v>
      </c>
      <c r="B880" s="62" t="s">
        <v>361</v>
      </c>
      <c r="C880" s="63" t="s">
        <v>2222</v>
      </c>
      <c r="D880" s="64">
        <v>1</v>
      </c>
      <c r="E880" s="65"/>
      <c r="F880" s="66">
        <v>100</v>
      </c>
      <c r="G880" s="63"/>
      <c r="H880" s="67"/>
      <c r="I880" s="68"/>
      <c r="J880" s="68"/>
      <c r="K880" s="34" t="s">
        <v>65</v>
      </c>
      <c r="L880" s="75">
        <v>880</v>
      </c>
      <c r="M880" s="75"/>
      <c r="N880" s="70"/>
      <c r="O880" s="77" t="s">
        <v>382</v>
      </c>
      <c r="P880" s="79">
        <v>41124.25708333333</v>
      </c>
      <c r="Q880" s="77"/>
      <c r="R880" s="77"/>
      <c r="S880" s="77"/>
      <c r="T880" s="77"/>
      <c r="U880" s="77"/>
      <c r="V880" s="77"/>
      <c r="W880" s="77"/>
      <c r="X880" s="77"/>
      <c r="Y880">
        <v>1</v>
      </c>
    </row>
    <row r="881" spans="1:25" x14ac:dyDescent="0.25">
      <c r="A881" s="62" t="s">
        <v>360</v>
      </c>
      <c r="B881" s="62" t="s">
        <v>286</v>
      </c>
      <c r="C881" s="63" t="s">
        <v>2222</v>
      </c>
      <c r="D881" s="64">
        <v>1</v>
      </c>
      <c r="E881" s="65"/>
      <c r="F881" s="66">
        <v>100</v>
      </c>
      <c r="G881" s="63"/>
      <c r="H881" s="67"/>
      <c r="I881" s="68"/>
      <c r="J881" s="68"/>
      <c r="K881" s="34" t="s">
        <v>64</v>
      </c>
      <c r="L881" s="75">
        <v>881</v>
      </c>
      <c r="M881" s="75"/>
      <c r="N881" s="70"/>
      <c r="O881" s="77" t="s">
        <v>382</v>
      </c>
      <c r="P881" s="79">
        <v>41124.25708333333</v>
      </c>
      <c r="Q881" s="77"/>
      <c r="R881" s="77"/>
      <c r="S881" s="77"/>
      <c r="T881" s="77"/>
      <c r="U881" s="77"/>
      <c r="V881" s="77"/>
      <c r="W881" s="77"/>
      <c r="X881" s="77"/>
      <c r="Y881">
        <v>1</v>
      </c>
    </row>
    <row r="882" spans="1:25" x14ac:dyDescent="0.25">
      <c r="A882" s="62" t="s">
        <v>360</v>
      </c>
      <c r="B882" s="62" t="s">
        <v>323</v>
      </c>
      <c r="C882" s="63" t="s">
        <v>2222</v>
      </c>
      <c r="D882" s="64">
        <v>1</v>
      </c>
      <c r="E882" s="65"/>
      <c r="F882" s="66">
        <v>100</v>
      </c>
      <c r="G882" s="63"/>
      <c r="H882" s="67"/>
      <c r="I882" s="68"/>
      <c r="J882" s="68"/>
      <c r="K882" s="34" t="s">
        <v>64</v>
      </c>
      <c r="L882" s="75">
        <v>882</v>
      </c>
      <c r="M882" s="75"/>
      <c r="N882" s="70"/>
      <c r="O882" s="77" t="s">
        <v>382</v>
      </c>
      <c r="P882" s="79">
        <v>41124.25708333333</v>
      </c>
      <c r="Q882" s="77"/>
      <c r="R882" s="77"/>
      <c r="S882" s="77"/>
      <c r="T882" s="77"/>
      <c r="U882" s="77"/>
      <c r="V882" s="77"/>
      <c r="W882" s="77"/>
      <c r="X882" s="77"/>
      <c r="Y882">
        <v>1</v>
      </c>
    </row>
    <row r="883" spans="1:25" x14ac:dyDescent="0.25">
      <c r="A883" s="62" t="s">
        <v>360</v>
      </c>
      <c r="B883" s="62" t="s">
        <v>284</v>
      </c>
      <c r="C883" s="63" t="s">
        <v>2222</v>
      </c>
      <c r="D883" s="64">
        <v>1</v>
      </c>
      <c r="E883" s="65"/>
      <c r="F883" s="66">
        <v>100</v>
      </c>
      <c r="G883" s="63"/>
      <c r="H883" s="67"/>
      <c r="I883" s="68"/>
      <c r="J883" s="68"/>
      <c r="K883" s="34" t="s">
        <v>64</v>
      </c>
      <c r="L883" s="75">
        <v>883</v>
      </c>
      <c r="M883" s="75"/>
      <c r="N883" s="70"/>
      <c r="O883" s="77" t="s">
        <v>382</v>
      </c>
      <c r="P883" s="79">
        <v>41124.25708333333</v>
      </c>
      <c r="Q883" s="77"/>
      <c r="R883" s="77"/>
      <c r="S883" s="77"/>
      <c r="T883" s="77"/>
      <c r="U883" s="77"/>
      <c r="V883" s="77"/>
      <c r="W883" s="77"/>
      <c r="X883" s="77"/>
      <c r="Y883">
        <v>1</v>
      </c>
    </row>
    <row r="884" spans="1:25" x14ac:dyDescent="0.25">
      <c r="A884" s="62" t="s">
        <v>360</v>
      </c>
      <c r="B884" s="62" t="s">
        <v>364</v>
      </c>
      <c r="C884" s="63" t="s">
        <v>2222</v>
      </c>
      <c r="D884" s="64">
        <v>1</v>
      </c>
      <c r="E884" s="65"/>
      <c r="F884" s="66">
        <v>100</v>
      </c>
      <c r="G884" s="63"/>
      <c r="H884" s="67"/>
      <c r="I884" s="68"/>
      <c r="J884" s="68"/>
      <c r="K884" s="34" t="s">
        <v>65</v>
      </c>
      <c r="L884" s="75">
        <v>884</v>
      </c>
      <c r="M884" s="75"/>
      <c r="N884" s="70"/>
      <c r="O884" s="77" t="s">
        <v>382</v>
      </c>
      <c r="P884" s="79">
        <v>41124.25708333333</v>
      </c>
      <c r="Q884" s="77"/>
      <c r="R884" s="77"/>
      <c r="S884" s="77"/>
      <c r="T884" s="77"/>
      <c r="U884" s="77"/>
      <c r="V884" s="77"/>
      <c r="W884" s="77"/>
      <c r="X884" s="77"/>
      <c r="Y884">
        <v>1</v>
      </c>
    </row>
    <row r="885" spans="1:25" x14ac:dyDescent="0.25">
      <c r="A885" s="62" t="s">
        <v>360</v>
      </c>
      <c r="B885" s="62" t="s">
        <v>330</v>
      </c>
      <c r="C885" s="63" t="s">
        <v>2222</v>
      </c>
      <c r="D885" s="64">
        <v>1</v>
      </c>
      <c r="E885" s="65"/>
      <c r="F885" s="66">
        <v>100</v>
      </c>
      <c r="G885" s="63"/>
      <c r="H885" s="67"/>
      <c r="I885" s="68"/>
      <c r="J885" s="68"/>
      <c r="K885" s="34" t="s">
        <v>64</v>
      </c>
      <c r="L885" s="75">
        <v>885</v>
      </c>
      <c r="M885" s="75"/>
      <c r="N885" s="70"/>
      <c r="O885" s="77" t="s">
        <v>382</v>
      </c>
      <c r="P885" s="79">
        <v>41124.25708333333</v>
      </c>
      <c r="Q885" s="77"/>
      <c r="R885" s="77"/>
      <c r="S885" s="77"/>
      <c r="T885" s="77"/>
      <c r="U885" s="77"/>
      <c r="V885" s="77"/>
      <c r="W885" s="77"/>
      <c r="X885" s="77"/>
      <c r="Y885">
        <v>1</v>
      </c>
    </row>
    <row r="886" spans="1:25" x14ac:dyDescent="0.25">
      <c r="A886" s="62" t="s">
        <v>360</v>
      </c>
      <c r="B886" s="62" t="s">
        <v>322</v>
      </c>
      <c r="C886" s="63" t="s">
        <v>2222</v>
      </c>
      <c r="D886" s="64">
        <v>1</v>
      </c>
      <c r="E886" s="65"/>
      <c r="F886" s="66">
        <v>100</v>
      </c>
      <c r="G886" s="63"/>
      <c r="H886" s="67"/>
      <c r="I886" s="68"/>
      <c r="J886" s="68"/>
      <c r="K886" s="34" t="s">
        <v>64</v>
      </c>
      <c r="L886" s="75">
        <v>886</v>
      </c>
      <c r="M886" s="75"/>
      <c r="N886" s="70"/>
      <c r="O886" s="77" t="s">
        <v>382</v>
      </c>
      <c r="P886" s="79">
        <v>41124.25708333333</v>
      </c>
      <c r="Q886" s="77"/>
      <c r="R886" s="77"/>
      <c r="S886" s="77"/>
      <c r="T886" s="77"/>
      <c r="U886" s="77"/>
      <c r="V886" s="77"/>
      <c r="W886" s="77"/>
      <c r="X886" s="77"/>
      <c r="Y886">
        <v>1</v>
      </c>
    </row>
    <row r="887" spans="1:25" x14ac:dyDescent="0.25">
      <c r="A887" s="62" t="s">
        <v>360</v>
      </c>
      <c r="B887" s="62" t="s">
        <v>349</v>
      </c>
      <c r="C887" s="63" t="s">
        <v>2222</v>
      </c>
      <c r="D887" s="64">
        <v>1</v>
      </c>
      <c r="E887" s="65"/>
      <c r="F887" s="66">
        <v>100</v>
      </c>
      <c r="G887" s="63"/>
      <c r="H887" s="67"/>
      <c r="I887" s="68"/>
      <c r="J887" s="68"/>
      <c r="K887" s="34" t="s">
        <v>65</v>
      </c>
      <c r="L887" s="75">
        <v>887</v>
      </c>
      <c r="M887" s="75"/>
      <c r="N887" s="70"/>
      <c r="O887" s="77" t="s">
        <v>382</v>
      </c>
      <c r="P887" s="79">
        <v>41124.25708333333</v>
      </c>
      <c r="Q887" s="77"/>
      <c r="R887" s="77"/>
      <c r="S887" s="77"/>
      <c r="T887" s="77"/>
      <c r="U887" s="77"/>
      <c r="V887" s="77"/>
      <c r="W887" s="77"/>
      <c r="X887" s="77"/>
      <c r="Y887">
        <v>1</v>
      </c>
    </row>
    <row r="888" spans="1:25" x14ac:dyDescent="0.25">
      <c r="A888" s="62" t="s">
        <v>360</v>
      </c>
      <c r="B888" s="62" t="s">
        <v>363</v>
      </c>
      <c r="C888" s="63" t="s">
        <v>2222</v>
      </c>
      <c r="D888" s="64">
        <v>1</v>
      </c>
      <c r="E888" s="65"/>
      <c r="F888" s="66">
        <v>100</v>
      </c>
      <c r="G888" s="63"/>
      <c r="H888" s="67"/>
      <c r="I888" s="68"/>
      <c r="J888" s="68"/>
      <c r="K888" s="34" t="s">
        <v>65</v>
      </c>
      <c r="L888" s="75">
        <v>888</v>
      </c>
      <c r="M888" s="75"/>
      <c r="N888" s="70"/>
      <c r="O888" s="77" t="s">
        <v>382</v>
      </c>
      <c r="P888" s="79">
        <v>41124.25708333333</v>
      </c>
      <c r="Q888" s="77"/>
      <c r="R888" s="77"/>
      <c r="S888" s="77"/>
      <c r="T888" s="77"/>
      <c r="U888" s="77"/>
      <c r="V888" s="77"/>
      <c r="W888" s="77"/>
      <c r="X888" s="77"/>
      <c r="Y888">
        <v>1</v>
      </c>
    </row>
    <row r="889" spans="1:25" x14ac:dyDescent="0.25">
      <c r="A889" s="62" t="s">
        <v>360</v>
      </c>
      <c r="B889" s="62" t="s">
        <v>236</v>
      </c>
      <c r="C889" s="63" t="s">
        <v>2222</v>
      </c>
      <c r="D889" s="64">
        <v>1</v>
      </c>
      <c r="E889" s="65"/>
      <c r="F889" s="66">
        <v>100</v>
      </c>
      <c r="G889" s="63"/>
      <c r="H889" s="67"/>
      <c r="I889" s="68"/>
      <c r="J889" s="68"/>
      <c r="K889" s="34" t="s">
        <v>64</v>
      </c>
      <c r="L889" s="75">
        <v>889</v>
      </c>
      <c r="M889" s="75"/>
      <c r="N889" s="70"/>
      <c r="O889" s="77" t="s">
        <v>382</v>
      </c>
      <c r="P889" s="79">
        <v>41124.25708333333</v>
      </c>
      <c r="Q889" s="77"/>
      <c r="R889" s="77"/>
      <c r="S889" s="77"/>
      <c r="T889" s="77"/>
      <c r="U889" s="77"/>
      <c r="V889" s="77"/>
      <c r="W889" s="77"/>
      <c r="X889" s="77"/>
      <c r="Y889">
        <v>1</v>
      </c>
    </row>
    <row r="890" spans="1:25" x14ac:dyDescent="0.25">
      <c r="A890" s="62" t="s">
        <v>360</v>
      </c>
      <c r="B890" s="62" t="s">
        <v>367</v>
      </c>
      <c r="C890" s="63" t="s">
        <v>2222</v>
      </c>
      <c r="D890" s="64">
        <v>1</v>
      </c>
      <c r="E890" s="65"/>
      <c r="F890" s="66">
        <v>100</v>
      </c>
      <c r="G890" s="63"/>
      <c r="H890" s="67"/>
      <c r="I890" s="68"/>
      <c r="J890" s="68"/>
      <c r="K890" s="34" t="s">
        <v>64</v>
      </c>
      <c r="L890" s="75">
        <v>890</v>
      </c>
      <c r="M890" s="75"/>
      <c r="N890" s="70"/>
      <c r="O890" s="77" t="s">
        <v>382</v>
      </c>
      <c r="P890" s="79">
        <v>41124.25708333333</v>
      </c>
      <c r="Q890" s="77"/>
      <c r="R890" s="77"/>
      <c r="S890" s="77"/>
      <c r="T890" s="77"/>
      <c r="U890" s="77"/>
      <c r="V890" s="77"/>
      <c r="W890" s="77"/>
      <c r="X890" s="77"/>
      <c r="Y890">
        <v>1</v>
      </c>
    </row>
    <row r="891" spans="1:25" x14ac:dyDescent="0.25">
      <c r="A891" s="62" t="s">
        <v>361</v>
      </c>
      <c r="B891" s="62" t="s">
        <v>360</v>
      </c>
      <c r="C891" s="63" t="s">
        <v>2222</v>
      </c>
      <c r="D891" s="64">
        <v>1</v>
      </c>
      <c r="E891" s="65"/>
      <c r="F891" s="66">
        <v>100</v>
      </c>
      <c r="G891" s="63"/>
      <c r="H891" s="67"/>
      <c r="I891" s="68"/>
      <c r="J891" s="68"/>
      <c r="K891" s="34" t="s">
        <v>65</v>
      </c>
      <c r="L891" s="75">
        <v>891</v>
      </c>
      <c r="M891" s="75"/>
      <c r="N891" s="70"/>
      <c r="O891" s="77" t="s">
        <v>382</v>
      </c>
      <c r="P891" s="79">
        <v>41124.25708333333</v>
      </c>
      <c r="Q891" s="77"/>
      <c r="R891" s="77"/>
      <c r="S891" s="77"/>
      <c r="T891" s="77"/>
      <c r="U891" s="77"/>
      <c r="V891" s="77"/>
      <c r="W891" s="77"/>
      <c r="X891" s="77"/>
      <c r="Y891">
        <v>1</v>
      </c>
    </row>
    <row r="892" spans="1:25" x14ac:dyDescent="0.25">
      <c r="A892" s="62" t="s">
        <v>363</v>
      </c>
      <c r="B892" s="62" t="s">
        <v>360</v>
      </c>
      <c r="C892" s="63" t="s">
        <v>2222</v>
      </c>
      <c r="D892" s="64">
        <v>1</v>
      </c>
      <c r="E892" s="65"/>
      <c r="F892" s="66">
        <v>100</v>
      </c>
      <c r="G892" s="63"/>
      <c r="H892" s="67"/>
      <c r="I892" s="68"/>
      <c r="J892" s="68"/>
      <c r="K892" s="34" t="s">
        <v>65</v>
      </c>
      <c r="L892" s="75">
        <v>892</v>
      </c>
      <c r="M892" s="75"/>
      <c r="N892" s="70"/>
      <c r="O892" s="77" t="s">
        <v>382</v>
      </c>
      <c r="P892" s="79">
        <v>41124.25708333333</v>
      </c>
      <c r="Q892" s="77"/>
      <c r="R892" s="77"/>
      <c r="S892" s="77"/>
      <c r="T892" s="77"/>
      <c r="U892" s="77"/>
      <c r="V892" s="77"/>
      <c r="W892" s="77"/>
      <c r="X892" s="77"/>
      <c r="Y892">
        <v>1</v>
      </c>
    </row>
    <row r="893" spans="1:25" x14ac:dyDescent="0.25">
      <c r="A893" s="62" t="s">
        <v>364</v>
      </c>
      <c r="B893" s="62" t="s">
        <v>360</v>
      </c>
      <c r="C893" s="63" t="s">
        <v>2222</v>
      </c>
      <c r="D893" s="64">
        <v>1</v>
      </c>
      <c r="E893" s="65"/>
      <c r="F893" s="66">
        <v>100</v>
      </c>
      <c r="G893" s="63"/>
      <c r="H893" s="67"/>
      <c r="I893" s="68"/>
      <c r="J893" s="68"/>
      <c r="K893" s="34" t="s">
        <v>65</v>
      </c>
      <c r="L893" s="75">
        <v>893</v>
      </c>
      <c r="M893" s="75"/>
      <c r="N893" s="70"/>
      <c r="O893" s="77" t="s">
        <v>382</v>
      </c>
      <c r="P893" s="79">
        <v>41124.25708333333</v>
      </c>
      <c r="Q893" s="77"/>
      <c r="R893" s="77"/>
      <c r="S893" s="77"/>
      <c r="T893" s="77"/>
      <c r="U893" s="77"/>
      <c r="V893" s="77"/>
      <c r="W893" s="77"/>
      <c r="X893" s="77"/>
      <c r="Y893">
        <v>1</v>
      </c>
    </row>
    <row r="894" spans="1:25" x14ac:dyDescent="0.25">
      <c r="A894" s="62" t="s">
        <v>349</v>
      </c>
      <c r="B894" s="62" t="s">
        <v>360</v>
      </c>
      <c r="C894" s="63" t="s">
        <v>2222</v>
      </c>
      <c r="D894" s="64">
        <v>1</v>
      </c>
      <c r="E894" s="65"/>
      <c r="F894" s="66">
        <v>100</v>
      </c>
      <c r="G894" s="63"/>
      <c r="H894" s="67"/>
      <c r="I894" s="68"/>
      <c r="J894" s="68"/>
      <c r="K894" s="34" t="s">
        <v>65</v>
      </c>
      <c r="L894" s="75">
        <v>894</v>
      </c>
      <c r="M894" s="75"/>
      <c r="N894" s="70"/>
      <c r="O894" s="77" t="s">
        <v>382</v>
      </c>
      <c r="P894" s="79">
        <v>41124.25708333333</v>
      </c>
      <c r="Q894" s="77"/>
      <c r="R894" s="77"/>
      <c r="S894" s="77"/>
      <c r="T894" s="77"/>
      <c r="U894" s="77"/>
      <c r="V894" s="77"/>
      <c r="W894" s="77"/>
      <c r="X894" s="77"/>
      <c r="Y894">
        <v>1</v>
      </c>
    </row>
    <row r="895" spans="1:25" x14ac:dyDescent="0.25">
      <c r="A895" s="62" t="s">
        <v>352</v>
      </c>
      <c r="B895" s="62" t="s">
        <v>360</v>
      </c>
      <c r="C895" s="63" t="s">
        <v>2222</v>
      </c>
      <c r="D895" s="64">
        <v>1</v>
      </c>
      <c r="E895" s="65"/>
      <c r="F895" s="66">
        <v>100</v>
      </c>
      <c r="G895" s="63"/>
      <c r="H895" s="67"/>
      <c r="I895" s="68"/>
      <c r="J895" s="68"/>
      <c r="K895" s="34" t="s">
        <v>65</v>
      </c>
      <c r="L895" s="75">
        <v>895</v>
      </c>
      <c r="M895" s="75"/>
      <c r="N895" s="70"/>
      <c r="O895" s="77" t="s">
        <v>382</v>
      </c>
      <c r="P895" s="79">
        <v>41124.25708333333</v>
      </c>
      <c r="Q895" s="77"/>
      <c r="R895" s="77"/>
      <c r="S895" s="77"/>
      <c r="T895" s="77"/>
      <c r="U895" s="77"/>
      <c r="V895" s="77"/>
      <c r="W895" s="77"/>
      <c r="X895" s="77"/>
      <c r="Y895">
        <v>1</v>
      </c>
    </row>
    <row r="896" spans="1:25" x14ac:dyDescent="0.25">
      <c r="A896" s="62" t="s">
        <v>362</v>
      </c>
      <c r="B896" s="62" t="s">
        <v>362</v>
      </c>
      <c r="C896" s="63" t="s">
        <v>2219</v>
      </c>
      <c r="D896" s="64">
        <v>1</v>
      </c>
      <c r="E896" s="65"/>
      <c r="F896" s="66">
        <v>100</v>
      </c>
      <c r="G896" s="63"/>
      <c r="H896" s="67"/>
      <c r="I896" s="68"/>
      <c r="J896" s="68"/>
      <c r="K896" s="34" t="s">
        <v>64</v>
      </c>
      <c r="L896" s="75">
        <v>896</v>
      </c>
      <c r="M896" s="75"/>
      <c r="N896" s="70"/>
      <c r="O896" s="77" t="s">
        <v>180</v>
      </c>
      <c r="P896" s="79">
        <v>41123.688680555555</v>
      </c>
      <c r="Q896" s="77" t="s">
        <v>567</v>
      </c>
      <c r="R896" s="77"/>
      <c r="S896" s="77"/>
      <c r="T896" s="79">
        <v>41123.688680555555</v>
      </c>
      <c r="U896" s="81" t="s">
        <v>903</v>
      </c>
      <c r="V896" s="77"/>
      <c r="W896" s="77"/>
      <c r="X896" s="84" t="s">
        <v>1200</v>
      </c>
      <c r="Y896" s="82">
        <v>1</v>
      </c>
    </row>
    <row r="897" spans="1:25" x14ac:dyDescent="0.25">
      <c r="A897" s="62" t="s">
        <v>361</v>
      </c>
      <c r="B897" s="62" t="s">
        <v>362</v>
      </c>
      <c r="C897" s="63" t="s">
        <v>2222</v>
      </c>
      <c r="D897" s="64">
        <v>1</v>
      </c>
      <c r="E897" s="65"/>
      <c r="F897" s="66">
        <v>100</v>
      </c>
      <c r="G897" s="63"/>
      <c r="H897" s="67"/>
      <c r="I897" s="68"/>
      <c r="J897" s="68"/>
      <c r="K897" s="34" t="s">
        <v>65</v>
      </c>
      <c r="L897" s="75">
        <v>897</v>
      </c>
      <c r="M897" s="75"/>
      <c r="N897" s="70"/>
      <c r="O897" s="77" t="s">
        <v>382</v>
      </c>
      <c r="P897" s="79">
        <v>41124.25708333333</v>
      </c>
      <c r="Q897" s="77"/>
      <c r="R897" s="77"/>
      <c r="S897" s="77"/>
      <c r="T897" s="77"/>
      <c r="U897" s="77"/>
      <c r="V897" s="77"/>
      <c r="W897" s="77"/>
      <c r="X897" s="77"/>
      <c r="Y897">
        <v>1</v>
      </c>
    </row>
    <row r="898" spans="1:25" x14ac:dyDescent="0.25">
      <c r="A898" s="62" t="s">
        <v>362</v>
      </c>
      <c r="B898" s="62" t="s">
        <v>376</v>
      </c>
      <c r="C898" s="63" t="s">
        <v>2222</v>
      </c>
      <c r="D898" s="64">
        <v>1</v>
      </c>
      <c r="E898" s="65"/>
      <c r="F898" s="66">
        <v>100</v>
      </c>
      <c r="G898" s="63"/>
      <c r="H898" s="67"/>
      <c r="I898" s="68"/>
      <c r="J898" s="68"/>
      <c r="K898" s="34" t="s">
        <v>64</v>
      </c>
      <c r="L898" s="75">
        <v>898</v>
      </c>
      <c r="M898" s="75"/>
      <c r="N898" s="70"/>
      <c r="O898" s="77" t="s">
        <v>382</v>
      </c>
      <c r="P898" s="79">
        <v>41124.25708333333</v>
      </c>
      <c r="Q898" s="77"/>
      <c r="R898" s="77"/>
      <c r="S898" s="77"/>
      <c r="T898" s="77"/>
      <c r="U898" s="77"/>
      <c r="V898" s="77"/>
      <c r="W898" s="77"/>
      <c r="X898" s="77"/>
      <c r="Y898">
        <v>1</v>
      </c>
    </row>
    <row r="899" spans="1:25" x14ac:dyDescent="0.25">
      <c r="A899" s="62" t="s">
        <v>362</v>
      </c>
      <c r="B899" s="62" t="s">
        <v>352</v>
      </c>
      <c r="C899" s="63" t="s">
        <v>2222</v>
      </c>
      <c r="D899" s="64">
        <v>1</v>
      </c>
      <c r="E899" s="65"/>
      <c r="F899" s="66">
        <v>100</v>
      </c>
      <c r="G899" s="63"/>
      <c r="H899" s="67"/>
      <c r="I899" s="68"/>
      <c r="J899" s="68"/>
      <c r="K899" s="34" t="s">
        <v>65</v>
      </c>
      <c r="L899" s="75">
        <v>899</v>
      </c>
      <c r="M899" s="75"/>
      <c r="N899" s="70"/>
      <c r="O899" s="77" t="s">
        <v>382</v>
      </c>
      <c r="P899" s="79">
        <v>41124.25708333333</v>
      </c>
      <c r="Q899" s="77"/>
      <c r="R899" s="77"/>
      <c r="S899" s="77"/>
      <c r="T899" s="77"/>
      <c r="U899" s="77"/>
      <c r="V899" s="77"/>
      <c r="W899" s="77"/>
      <c r="X899" s="77"/>
      <c r="Y899">
        <v>1</v>
      </c>
    </row>
    <row r="900" spans="1:25" x14ac:dyDescent="0.25">
      <c r="A900" s="62" t="s">
        <v>362</v>
      </c>
      <c r="B900" s="62" t="s">
        <v>286</v>
      </c>
      <c r="C900" s="63" t="s">
        <v>2222</v>
      </c>
      <c r="D900" s="64">
        <v>1</v>
      </c>
      <c r="E900" s="65"/>
      <c r="F900" s="66">
        <v>100</v>
      </c>
      <c r="G900" s="63"/>
      <c r="H900" s="67"/>
      <c r="I900" s="68"/>
      <c r="J900" s="68"/>
      <c r="K900" s="34" t="s">
        <v>64</v>
      </c>
      <c r="L900" s="75">
        <v>900</v>
      </c>
      <c r="M900" s="75"/>
      <c r="N900" s="70"/>
      <c r="O900" s="77" t="s">
        <v>382</v>
      </c>
      <c r="P900" s="79">
        <v>41124.25708333333</v>
      </c>
      <c r="Q900" s="77"/>
      <c r="R900" s="77"/>
      <c r="S900" s="77"/>
      <c r="T900" s="77"/>
      <c r="U900" s="77"/>
      <c r="V900" s="77"/>
      <c r="W900" s="77"/>
      <c r="X900" s="77"/>
      <c r="Y900">
        <v>1</v>
      </c>
    </row>
    <row r="901" spans="1:25" x14ac:dyDescent="0.25">
      <c r="A901" s="62" t="s">
        <v>362</v>
      </c>
      <c r="B901" s="62" t="s">
        <v>368</v>
      </c>
      <c r="C901" s="63" t="s">
        <v>2222</v>
      </c>
      <c r="D901" s="64">
        <v>1</v>
      </c>
      <c r="E901" s="65"/>
      <c r="F901" s="66">
        <v>100</v>
      </c>
      <c r="G901" s="63"/>
      <c r="H901" s="67"/>
      <c r="I901" s="68"/>
      <c r="J901" s="68"/>
      <c r="K901" s="34" t="s">
        <v>64</v>
      </c>
      <c r="L901" s="75">
        <v>901</v>
      </c>
      <c r="M901" s="75"/>
      <c r="N901" s="70"/>
      <c r="O901" s="77" t="s">
        <v>382</v>
      </c>
      <c r="P901" s="79">
        <v>41124.25708333333</v>
      </c>
      <c r="Q901" s="77"/>
      <c r="R901" s="77"/>
      <c r="S901" s="77"/>
      <c r="T901" s="77"/>
      <c r="U901" s="77"/>
      <c r="V901" s="77"/>
      <c r="W901" s="77"/>
      <c r="X901" s="77"/>
      <c r="Y901">
        <v>1</v>
      </c>
    </row>
    <row r="902" spans="1:25" x14ac:dyDescent="0.25">
      <c r="A902" s="62" t="s">
        <v>362</v>
      </c>
      <c r="B902" s="62" t="s">
        <v>322</v>
      </c>
      <c r="C902" s="63" t="s">
        <v>2222</v>
      </c>
      <c r="D902" s="64">
        <v>1</v>
      </c>
      <c r="E902" s="65"/>
      <c r="F902" s="66">
        <v>100</v>
      </c>
      <c r="G902" s="63"/>
      <c r="H902" s="67"/>
      <c r="I902" s="68"/>
      <c r="J902" s="68"/>
      <c r="K902" s="34" t="s">
        <v>64</v>
      </c>
      <c r="L902" s="75">
        <v>902</v>
      </c>
      <c r="M902" s="75"/>
      <c r="N902" s="70"/>
      <c r="O902" s="77" t="s">
        <v>382</v>
      </c>
      <c r="P902" s="79">
        <v>41124.25708333333</v>
      </c>
      <c r="Q902" s="77"/>
      <c r="R902" s="77"/>
      <c r="S902" s="77"/>
      <c r="T902" s="77"/>
      <c r="U902" s="77"/>
      <c r="V902" s="77"/>
      <c r="W902" s="77"/>
      <c r="X902" s="77"/>
      <c r="Y902">
        <v>1</v>
      </c>
    </row>
    <row r="903" spans="1:25" x14ac:dyDescent="0.25">
      <c r="A903" s="62" t="s">
        <v>362</v>
      </c>
      <c r="B903" s="62" t="s">
        <v>363</v>
      </c>
      <c r="C903" s="63" t="s">
        <v>2222</v>
      </c>
      <c r="D903" s="64">
        <v>1</v>
      </c>
      <c r="E903" s="65"/>
      <c r="F903" s="66">
        <v>100</v>
      </c>
      <c r="G903" s="63"/>
      <c r="H903" s="67"/>
      <c r="I903" s="68"/>
      <c r="J903" s="68"/>
      <c r="K903" s="34" t="s">
        <v>65</v>
      </c>
      <c r="L903" s="75">
        <v>903</v>
      </c>
      <c r="M903" s="75"/>
      <c r="N903" s="70"/>
      <c r="O903" s="77" t="s">
        <v>382</v>
      </c>
      <c r="P903" s="79">
        <v>41124.25708333333</v>
      </c>
      <c r="Q903" s="77"/>
      <c r="R903" s="77"/>
      <c r="S903" s="77"/>
      <c r="T903" s="77"/>
      <c r="U903" s="77"/>
      <c r="V903" s="77"/>
      <c r="W903" s="77"/>
      <c r="X903" s="77"/>
      <c r="Y903">
        <v>1</v>
      </c>
    </row>
    <row r="904" spans="1:25" x14ac:dyDescent="0.25">
      <c r="A904" s="62" t="s">
        <v>362</v>
      </c>
      <c r="B904" s="62" t="s">
        <v>323</v>
      </c>
      <c r="C904" s="63" t="s">
        <v>2222</v>
      </c>
      <c r="D904" s="64">
        <v>1</v>
      </c>
      <c r="E904" s="65"/>
      <c r="F904" s="66">
        <v>100</v>
      </c>
      <c r="G904" s="63"/>
      <c r="H904" s="67"/>
      <c r="I904" s="68"/>
      <c r="J904" s="68"/>
      <c r="K904" s="34" t="s">
        <v>65</v>
      </c>
      <c r="L904" s="75">
        <v>904</v>
      </c>
      <c r="M904" s="75"/>
      <c r="N904" s="70"/>
      <c r="O904" s="77" t="s">
        <v>382</v>
      </c>
      <c r="P904" s="79">
        <v>41124.25708333333</v>
      </c>
      <c r="Q904" s="77"/>
      <c r="R904" s="77"/>
      <c r="S904" s="77"/>
      <c r="T904" s="77"/>
      <c r="U904" s="77"/>
      <c r="V904" s="77"/>
      <c r="W904" s="77"/>
      <c r="X904" s="77"/>
      <c r="Y904">
        <v>1</v>
      </c>
    </row>
    <row r="905" spans="1:25" x14ac:dyDescent="0.25">
      <c r="A905" s="62" t="s">
        <v>362</v>
      </c>
      <c r="B905" s="62" t="s">
        <v>361</v>
      </c>
      <c r="C905" s="63" t="s">
        <v>2222</v>
      </c>
      <c r="D905" s="64">
        <v>1</v>
      </c>
      <c r="E905" s="65"/>
      <c r="F905" s="66">
        <v>100</v>
      </c>
      <c r="G905" s="63"/>
      <c r="H905" s="67"/>
      <c r="I905" s="68"/>
      <c r="J905" s="68"/>
      <c r="K905" s="34" t="s">
        <v>65</v>
      </c>
      <c r="L905" s="75">
        <v>905</v>
      </c>
      <c r="M905" s="75"/>
      <c r="N905" s="70"/>
      <c r="O905" s="77" t="s">
        <v>382</v>
      </c>
      <c r="P905" s="79">
        <v>41124.25708333333</v>
      </c>
      <c r="Q905" s="77"/>
      <c r="R905" s="77"/>
      <c r="S905" s="77"/>
      <c r="T905" s="77"/>
      <c r="U905" s="77"/>
      <c r="V905" s="77"/>
      <c r="W905" s="77"/>
      <c r="X905" s="77"/>
      <c r="Y905">
        <v>1</v>
      </c>
    </row>
    <row r="906" spans="1:25" x14ac:dyDescent="0.25">
      <c r="A906" s="62" t="s">
        <v>362</v>
      </c>
      <c r="B906" s="62" t="s">
        <v>349</v>
      </c>
      <c r="C906" s="63" t="s">
        <v>2222</v>
      </c>
      <c r="D906" s="64">
        <v>1</v>
      </c>
      <c r="E906" s="65"/>
      <c r="F906" s="66">
        <v>100</v>
      </c>
      <c r="G906" s="63"/>
      <c r="H906" s="67"/>
      <c r="I906" s="68"/>
      <c r="J906" s="68"/>
      <c r="K906" s="34" t="s">
        <v>65</v>
      </c>
      <c r="L906" s="75">
        <v>906</v>
      </c>
      <c r="M906" s="75"/>
      <c r="N906" s="70"/>
      <c r="O906" s="77" t="s">
        <v>382</v>
      </c>
      <c r="P906" s="79">
        <v>41124.25708333333</v>
      </c>
      <c r="Q906" s="77"/>
      <c r="R906" s="77"/>
      <c r="S906" s="77"/>
      <c r="T906" s="77"/>
      <c r="U906" s="77"/>
      <c r="V906" s="77"/>
      <c r="W906" s="77"/>
      <c r="X906" s="77"/>
      <c r="Y906">
        <v>1</v>
      </c>
    </row>
    <row r="907" spans="1:25" x14ac:dyDescent="0.25">
      <c r="A907" s="62" t="s">
        <v>362</v>
      </c>
      <c r="B907" s="62" t="s">
        <v>364</v>
      </c>
      <c r="C907" s="63" t="s">
        <v>2222</v>
      </c>
      <c r="D907" s="64">
        <v>1</v>
      </c>
      <c r="E907" s="65"/>
      <c r="F907" s="66">
        <v>100</v>
      </c>
      <c r="G907" s="63"/>
      <c r="H907" s="67"/>
      <c r="I907" s="68"/>
      <c r="J907" s="68"/>
      <c r="K907" s="34" t="s">
        <v>64</v>
      </c>
      <c r="L907" s="75">
        <v>907</v>
      </c>
      <c r="M907" s="75"/>
      <c r="N907" s="70"/>
      <c r="O907" s="77" t="s">
        <v>382</v>
      </c>
      <c r="P907" s="79">
        <v>41124.25708333333</v>
      </c>
      <c r="Q907" s="77"/>
      <c r="R907" s="77"/>
      <c r="S907" s="77"/>
      <c r="T907" s="77"/>
      <c r="U907" s="77"/>
      <c r="V907" s="77"/>
      <c r="W907" s="77"/>
      <c r="X907" s="77"/>
      <c r="Y907">
        <v>1</v>
      </c>
    </row>
    <row r="908" spans="1:25" x14ac:dyDescent="0.25">
      <c r="A908" s="62" t="s">
        <v>362</v>
      </c>
      <c r="B908" s="62" t="s">
        <v>328</v>
      </c>
      <c r="C908" s="63" t="s">
        <v>2222</v>
      </c>
      <c r="D908" s="64">
        <v>1</v>
      </c>
      <c r="E908" s="65"/>
      <c r="F908" s="66">
        <v>100</v>
      </c>
      <c r="G908" s="63"/>
      <c r="H908" s="67"/>
      <c r="I908" s="68"/>
      <c r="J908" s="68"/>
      <c r="K908" s="34" t="s">
        <v>65</v>
      </c>
      <c r="L908" s="75">
        <v>908</v>
      </c>
      <c r="M908" s="75"/>
      <c r="N908" s="70"/>
      <c r="O908" s="77" t="s">
        <v>382</v>
      </c>
      <c r="P908" s="79">
        <v>41124.25708333333</v>
      </c>
      <c r="Q908" s="77"/>
      <c r="R908" s="77"/>
      <c r="S908" s="77"/>
      <c r="T908" s="77"/>
      <c r="U908" s="77"/>
      <c r="V908" s="77"/>
      <c r="W908" s="77"/>
      <c r="X908" s="77"/>
      <c r="Y908">
        <v>1</v>
      </c>
    </row>
    <row r="909" spans="1:25" x14ac:dyDescent="0.25">
      <c r="A909" s="62" t="s">
        <v>362</v>
      </c>
      <c r="B909" s="62" t="s">
        <v>331</v>
      </c>
      <c r="C909" s="63" t="s">
        <v>2222</v>
      </c>
      <c r="D909" s="64">
        <v>1</v>
      </c>
      <c r="E909" s="65"/>
      <c r="F909" s="66">
        <v>100</v>
      </c>
      <c r="G909" s="63"/>
      <c r="H909" s="67"/>
      <c r="I909" s="68"/>
      <c r="J909" s="68"/>
      <c r="K909" s="34" t="s">
        <v>65</v>
      </c>
      <c r="L909" s="75">
        <v>909</v>
      </c>
      <c r="M909" s="75"/>
      <c r="N909" s="70"/>
      <c r="O909" s="77" t="s">
        <v>382</v>
      </c>
      <c r="P909" s="79">
        <v>41124.25708333333</v>
      </c>
      <c r="Q909" s="77"/>
      <c r="R909" s="77"/>
      <c r="S909" s="77"/>
      <c r="T909" s="77"/>
      <c r="U909" s="77"/>
      <c r="V909" s="77"/>
      <c r="W909" s="77"/>
      <c r="X909" s="77"/>
      <c r="Y909">
        <v>1</v>
      </c>
    </row>
    <row r="910" spans="1:25" x14ac:dyDescent="0.25">
      <c r="A910" s="62" t="s">
        <v>362</v>
      </c>
      <c r="B910" s="62" t="s">
        <v>285</v>
      </c>
      <c r="C910" s="63" t="s">
        <v>2222</v>
      </c>
      <c r="D910" s="64">
        <v>1</v>
      </c>
      <c r="E910" s="65"/>
      <c r="F910" s="66">
        <v>100</v>
      </c>
      <c r="G910" s="63"/>
      <c r="H910" s="67"/>
      <c r="I910" s="68"/>
      <c r="J910" s="68"/>
      <c r="K910" s="34" t="s">
        <v>64</v>
      </c>
      <c r="L910" s="75">
        <v>910</v>
      </c>
      <c r="M910" s="75"/>
      <c r="N910" s="70"/>
      <c r="O910" s="77" t="s">
        <v>382</v>
      </c>
      <c r="P910" s="79">
        <v>41124.25708333333</v>
      </c>
      <c r="Q910" s="77"/>
      <c r="R910" s="77"/>
      <c r="S910" s="77"/>
      <c r="T910" s="77"/>
      <c r="U910" s="77"/>
      <c r="V910" s="77"/>
      <c r="W910" s="77"/>
      <c r="X910" s="77"/>
      <c r="Y910">
        <v>1</v>
      </c>
    </row>
    <row r="911" spans="1:25" x14ac:dyDescent="0.25">
      <c r="A911" s="62" t="s">
        <v>362</v>
      </c>
      <c r="B911" s="62" t="s">
        <v>367</v>
      </c>
      <c r="C911" s="63" t="s">
        <v>2222</v>
      </c>
      <c r="D911" s="64">
        <v>1</v>
      </c>
      <c r="E911" s="65"/>
      <c r="F911" s="66">
        <v>100</v>
      </c>
      <c r="G911" s="63"/>
      <c r="H911" s="67"/>
      <c r="I911" s="68"/>
      <c r="J911" s="68"/>
      <c r="K911" s="34" t="s">
        <v>64</v>
      </c>
      <c r="L911" s="75">
        <v>911</v>
      </c>
      <c r="M911" s="75"/>
      <c r="N911" s="70"/>
      <c r="O911" s="77" t="s">
        <v>382</v>
      </c>
      <c r="P911" s="79">
        <v>41124.25708333333</v>
      </c>
      <c r="Q911" s="77"/>
      <c r="R911" s="77"/>
      <c r="S911" s="77"/>
      <c r="T911" s="77"/>
      <c r="U911" s="77"/>
      <c r="V911" s="77"/>
      <c r="W911" s="77"/>
      <c r="X911" s="77"/>
      <c r="Y911">
        <v>1</v>
      </c>
    </row>
    <row r="912" spans="1:25" x14ac:dyDescent="0.25">
      <c r="A912" s="62" t="s">
        <v>363</v>
      </c>
      <c r="B912" s="62" t="s">
        <v>362</v>
      </c>
      <c r="C912" s="63" t="s">
        <v>2222</v>
      </c>
      <c r="D912" s="64">
        <v>1</v>
      </c>
      <c r="E912" s="65"/>
      <c r="F912" s="66">
        <v>100</v>
      </c>
      <c r="G912" s="63"/>
      <c r="H912" s="67"/>
      <c r="I912" s="68"/>
      <c r="J912" s="68"/>
      <c r="K912" s="34" t="s">
        <v>65</v>
      </c>
      <c r="L912" s="75">
        <v>912</v>
      </c>
      <c r="M912" s="75"/>
      <c r="N912" s="70"/>
      <c r="O912" s="77" t="s">
        <v>382</v>
      </c>
      <c r="P912" s="79">
        <v>41124.25708333333</v>
      </c>
      <c r="Q912" s="77"/>
      <c r="R912" s="77"/>
      <c r="S912" s="77"/>
      <c r="T912" s="77"/>
      <c r="U912" s="77"/>
      <c r="V912" s="77"/>
      <c r="W912" s="77"/>
      <c r="X912" s="77"/>
      <c r="Y912">
        <v>1</v>
      </c>
    </row>
    <row r="913" spans="1:25" x14ac:dyDescent="0.25">
      <c r="A913" s="62" t="s">
        <v>323</v>
      </c>
      <c r="B913" s="62" t="s">
        <v>362</v>
      </c>
      <c r="C913" s="63" t="s">
        <v>2222</v>
      </c>
      <c r="D913" s="64">
        <v>1</v>
      </c>
      <c r="E913" s="65"/>
      <c r="F913" s="66">
        <v>100</v>
      </c>
      <c r="G913" s="63"/>
      <c r="H913" s="67"/>
      <c r="I913" s="68"/>
      <c r="J913" s="68"/>
      <c r="K913" s="34" t="s">
        <v>65</v>
      </c>
      <c r="L913" s="75">
        <v>913</v>
      </c>
      <c r="M913" s="75"/>
      <c r="N913" s="70"/>
      <c r="O913" s="77" t="s">
        <v>382</v>
      </c>
      <c r="P913" s="79">
        <v>41124.25708333333</v>
      </c>
      <c r="Q913" s="77"/>
      <c r="R913" s="77"/>
      <c r="S913" s="77"/>
      <c r="T913" s="77"/>
      <c r="U913" s="77"/>
      <c r="V913" s="77"/>
      <c r="W913" s="77"/>
      <c r="X913" s="77"/>
      <c r="Y913">
        <v>1</v>
      </c>
    </row>
    <row r="914" spans="1:25" x14ac:dyDescent="0.25">
      <c r="A914" s="62" t="s">
        <v>328</v>
      </c>
      <c r="B914" s="62" t="s">
        <v>362</v>
      </c>
      <c r="C914" s="63" t="s">
        <v>2222</v>
      </c>
      <c r="D914" s="64">
        <v>1</v>
      </c>
      <c r="E914" s="65"/>
      <c r="F914" s="66">
        <v>100</v>
      </c>
      <c r="G914" s="63"/>
      <c r="H914" s="67"/>
      <c r="I914" s="68"/>
      <c r="J914" s="68"/>
      <c r="K914" s="34" t="s">
        <v>65</v>
      </c>
      <c r="L914" s="75">
        <v>914</v>
      </c>
      <c r="M914" s="75"/>
      <c r="N914" s="70"/>
      <c r="O914" s="77" t="s">
        <v>382</v>
      </c>
      <c r="P914" s="79">
        <v>41124.25708333333</v>
      </c>
      <c r="Q914" s="77"/>
      <c r="R914" s="77"/>
      <c r="S914" s="77"/>
      <c r="T914" s="77"/>
      <c r="U914" s="77"/>
      <c r="V914" s="77"/>
      <c r="W914" s="77"/>
      <c r="X914" s="77"/>
      <c r="Y914">
        <v>1</v>
      </c>
    </row>
    <row r="915" spans="1:25" x14ac:dyDescent="0.25">
      <c r="A915" s="62" t="s">
        <v>331</v>
      </c>
      <c r="B915" s="62" t="s">
        <v>362</v>
      </c>
      <c r="C915" s="63" t="s">
        <v>2222</v>
      </c>
      <c r="D915" s="64">
        <v>1</v>
      </c>
      <c r="E915" s="65"/>
      <c r="F915" s="66">
        <v>100</v>
      </c>
      <c r="G915" s="63"/>
      <c r="H915" s="67"/>
      <c r="I915" s="68"/>
      <c r="J915" s="68"/>
      <c r="K915" s="34" t="s">
        <v>65</v>
      </c>
      <c r="L915" s="75">
        <v>915</v>
      </c>
      <c r="M915" s="75"/>
      <c r="N915" s="70"/>
      <c r="O915" s="77" t="s">
        <v>382</v>
      </c>
      <c r="P915" s="79">
        <v>41124.25708333333</v>
      </c>
      <c r="Q915" s="77"/>
      <c r="R915" s="77"/>
      <c r="S915" s="77"/>
      <c r="T915" s="77"/>
      <c r="U915" s="77"/>
      <c r="V915" s="77"/>
      <c r="W915" s="77"/>
      <c r="X915" s="77"/>
      <c r="Y915">
        <v>1</v>
      </c>
    </row>
    <row r="916" spans="1:25" x14ac:dyDescent="0.25">
      <c r="A916" s="62" t="s">
        <v>349</v>
      </c>
      <c r="B916" s="62" t="s">
        <v>362</v>
      </c>
      <c r="C916" s="63" t="s">
        <v>2222</v>
      </c>
      <c r="D916" s="64">
        <v>1</v>
      </c>
      <c r="E916" s="65"/>
      <c r="F916" s="66">
        <v>100</v>
      </c>
      <c r="G916" s="63"/>
      <c r="H916" s="67"/>
      <c r="I916" s="68"/>
      <c r="J916" s="68"/>
      <c r="K916" s="34" t="s">
        <v>65</v>
      </c>
      <c r="L916" s="75">
        <v>916</v>
      </c>
      <c r="M916" s="75"/>
      <c r="N916" s="70"/>
      <c r="O916" s="77" t="s">
        <v>382</v>
      </c>
      <c r="P916" s="79">
        <v>41124.25708333333</v>
      </c>
      <c r="Q916" s="77"/>
      <c r="R916" s="77"/>
      <c r="S916" s="77"/>
      <c r="T916" s="77"/>
      <c r="U916" s="77"/>
      <c r="V916" s="77"/>
      <c r="W916" s="77"/>
      <c r="X916" s="77"/>
      <c r="Y916">
        <v>1</v>
      </c>
    </row>
    <row r="917" spans="1:25" x14ac:dyDescent="0.25">
      <c r="A917" s="62" t="s">
        <v>352</v>
      </c>
      <c r="B917" s="62" t="s">
        <v>362</v>
      </c>
      <c r="C917" s="63" t="s">
        <v>2222</v>
      </c>
      <c r="D917" s="64">
        <v>1</v>
      </c>
      <c r="E917" s="65"/>
      <c r="F917" s="66">
        <v>100</v>
      </c>
      <c r="G917" s="63"/>
      <c r="H917" s="67"/>
      <c r="I917" s="68"/>
      <c r="J917" s="68"/>
      <c r="K917" s="34" t="s">
        <v>65</v>
      </c>
      <c r="L917" s="75">
        <v>917</v>
      </c>
      <c r="M917" s="75"/>
      <c r="N917" s="70"/>
      <c r="O917" s="77" t="s">
        <v>382</v>
      </c>
      <c r="P917" s="79">
        <v>41124.25708333333</v>
      </c>
      <c r="Q917" s="77"/>
      <c r="R917" s="77"/>
      <c r="S917" s="77"/>
      <c r="T917" s="77"/>
      <c r="U917" s="77"/>
      <c r="V917" s="77"/>
      <c r="W917" s="77"/>
      <c r="X917" s="77"/>
      <c r="Y917">
        <v>1</v>
      </c>
    </row>
    <row r="918" spans="1:25" x14ac:dyDescent="0.25">
      <c r="A918" s="62" t="s">
        <v>321</v>
      </c>
      <c r="B918" s="62" t="s">
        <v>321</v>
      </c>
      <c r="C918" s="63" t="s">
        <v>2219</v>
      </c>
      <c r="D918" s="64">
        <v>1</v>
      </c>
      <c r="E918" s="65"/>
      <c r="F918" s="66">
        <v>100</v>
      </c>
      <c r="G918" s="63"/>
      <c r="H918" s="67"/>
      <c r="I918" s="68"/>
      <c r="J918" s="68"/>
      <c r="K918" s="34" t="s">
        <v>64</v>
      </c>
      <c r="L918" s="75">
        <v>918</v>
      </c>
      <c r="M918" s="75"/>
      <c r="N918" s="70"/>
      <c r="O918" s="77" t="s">
        <v>180</v>
      </c>
      <c r="P918" s="79">
        <v>41123.681921296295</v>
      </c>
      <c r="Q918" s="77" t="s">
        <v>568</v>
      </c>
      <c r="R918" s="81" t="s">
        <v>615</v>
      </c>
      <c r="S918" s="77"/>
      <c r="T918" s="79">
        <v>41123.681921296295</v>
      </c>
      <c r="U918" s="81" t="s">
        <v>904</v>
      </c>
      <c r="V918" s="77"/>
      <c r="W918" s="77"/>
      <c r="X918" s="84" t="s">
        <v>1201</v>
      </c>
      <c r="Y918" s="82">
        <v>1</v>
      </c>
    </row>
    <row r="919" spans="1:25" x14ac:dyDescent="0.25">
      <c r="A919" s="62" t="s">
        <v>361</v>
      </c>
      <c r="B919" s="62" t="s">
        <v>321</v>
      </c>
      <c r="C919" s="63" t="s">
        <v>2222</v>
      </c>
      <c r="D919" s="64">
        <v>1</v>
      </c>
      <c r="E919" s="65"/>
      <c r="F919" s="66">
        <v>100</v>
      </c>
      <c r="G919" s="63"/>
      <c r="H919" s="67"/>
      <c r="I919" s="68"/>
      <c r="J919" s="68"/>
      <c r="K919" s="34" t="s">
        <v>64</v>
      </c>
      <c r="L919" s="75">
        <v>919</v>
      </c>
      <c r="M919" s="75"/>
      <c r="N919" s="70"/>
      <c r="O919" s="77" t="s">
        <v>382</v>
      </c>
      <c r="P919" s="79">
        <v>41124.25708333333</v>
      </c>
      <c r="Q919" s="77"/>
      <c r="R919" s="77"/>
      <c r="S919" s="77"/>
      <c r="T919" s="77"/>
      <c r="U919" s="77"/>
      <c r="V919" s="77"/>
      <c r="W919" s="77"/>
      <c r="X919" s="77"/>
      <c r="Y919">
        <v>1</v>
      </c>
    </row>
    <row r="920" spans="1:25" x14ac:dyDescent="0.25">
      <c r="A920" s="62" t="s">
        <v>218</v>
      </c>
      <c r="B920" s="62" t="s">
        <v>321</v>
      </c>
      <c r="C920" s="63" t="s">
        <v>2222</v>
      </c>
      <c r="D920" s="64">
        <v>1</v>
      </c>
      <c r="E920" s="65"/>
      <c r="F920" s="66">
        <v>100</v>
      </c>
      <c r="G920" s="63"/>
      <c r="H920" s="67"/>
      <c r="I920" s="68"/>
      <c r="J920" s="68"/>
      <c r="K920" s="34" t="s">
        <v>65</v>
      </c>
      <c r="L920" s="75">
        <v>920</v>
      </c>
      <c r="M920" s="75"/>
      <c r="N920" s="70"/>
      <c r="O920" s="77" t="s">
        <v>382</v>
      </c>
      <c r="P920" s="79">
        <v>41124.25708333333</v>
      </c>
      <c r="Q920" s="77"/>
      <c r="R920" s="77"/>
      <c r="S920" s="77"/>
      <c r="T920" s="77"/>
      <c r="U920" s="77"/>
      <c r="V920" s="77"/>
      <c r="W920" s="77"/>
      <c r="X920" s="77"/>
      <c r="Y920">
        <v>1</v>
      </c>
    </row>
    <row r="921" spans="1:25" x14ac:dyDescent="0.25">
      <c r="A921" s="62" t="s">
        <v>321</v>
      </c>
      <c r="B921" s="62" t="s">
        <v>352</v>
      </c>
      <c r="C921" s="63" t="s">
        <v>2222</v>
      </c>
      <c r="D921" s="64">
        <v>1</v>
      </c>
      <c r="E921" s="65"/>
      <c r="F921" s="66">
        <v>100</v>
      </c>
      <c r="G921" s="63"/>
      <c r="H921" s="67"/>
      <c r="I921" s="68"/>
      <c r="J921" s="68"/>
      <c r="K921" s="34" t="s">
        <v>65</v>
      </c>
      <c r="L921" s="75">
        <v>921</v>
      </c>
      <c r="M921" s="75"/>
      <c r="N921" s="70"/>
      <c r="O921" s="77" t="s">
        <v>382</v>
      </c>
      <c r="P921" s="79">
        <v>41124.25708333333</v>
      </c>
      <c r="Q921" s="77"/>
      <c r="R921" s="77"/>
      <c r="S921" s="77"/>
      <c r="T921" s="77"/>
      <c r="U921" s="77"/>
      <c r="V921" s="77"/>
      <c r="W921" s="77"/>
      <c r="X921" s="77"/>
      <c r="Y921">
        <v>1</v>
      </c>
    </row>
    <row r="922" spans="1:25" x14ac:dyDescent="0.25">
      <c r="A922" s="62" t="s">
        <v>321</v>
      </c>
      <c r="B922" s="62" t="s">
        <v>364</v>
      </c>
      <c r="C922" s="63" t="s">
        <v>2222</v>
      </c>
      <c r="D922" s="64">
        <v>1</v>
      </c>
      <c r="E922" s="65"/>
      <c r="F922" s="66">
        <v>100</v>
      </c>
      <c r="G922" s="63"/>
      <c r="H922" s="67"/>
      <c r="I922" s="68"/>
      <c r="J922" s="68"/>
      <c r="K922" s="34" t="s">
        <v>64</v>
      </c>
      <c r="L922" s="75">
        <v>922</v>
      </c>
      <c r="M922" s="75"/>
      <c r="N922" s="70"/>
      <c r="O922" s="77" t="s">
        <v>382</v>
      </c>
      <c r="P922" s="79">
        <v>41124.25708333333</v>
      </c>
      <c r="Q922" s="77"/>
      <c r="R922" s="77"/>
      <c r="S922" s="77"/>
      <c r="T922" s="77"/>
      <c r="U922" s="77"/>
      <c r="V922" s="77"/>
      <c r="W922" s="77"/>
      <c r="X922" s="77"/>
      <c r="Y922">
        <v>1</v>
      </c>
    </row>
    <row r="923" spans="1:25" x14ac:dyDescent="0.25">
      <c r="A923" s="62" t="s">
        <v>321</v>
      </c>
      <c r="B923" s="62" t="s">
        <v>322</v>
      </c>
      <c r="C923" s="63" t="s">
        <v>2222</v>
      </c>
      <c r="D923" s="64">
        <v>1</v>
      </c>
      <c r="E923" s="65"/>
      <c r="F923" s="66">
        <v>100</v>
      </c>
      <c r="G923" s="63"/>
      <c r="H923" s="67"/>
      <c r="I923" s="68"/>
      <c r="J923" s="68"/>
      <c r="K923" s="34" t="s">
        <v>65</v>
      </c>
      <c r="L923" s="75">
        <v>923</v>
      </c>
      <c r="M923" s="75"/>
      <c r="N923" s="70"/>
      <c r="O923" s="77" t="s">
        <v>382</v>
      </c>
      <c r="P923" s="79">
        <v>41124.25708333333</v>
      </c>
      <c r="Q923" s="77"/>
      <c r="R923" s="77"/>
      <c r="S923" s="77"/>
      <c r="T923" s="77"/>
      <c r="U923" s="77"/>
      <c r="V923" s="77"/>
      <c r="W923" s="77"/>
      <c r="X923" s="77"/>
      <c r="Y923">
        <v>1</v>
      </c>
    </row>
    <row r="924" spans="1:25" x14ac:dyDescent="0.25">
      <c r="A924" s="62" t="s">
        <v>321</v>
      </c>
      <c r="B924" s="62" t="s">
        <v>218</v>
      </c>
      <c r="C924" s="63" t="s">
        <v>2222</v>
      </c>
      <c r="D924" s="64">
        <v>1</v>
      </c>
      <c r="E924" s="65"/>
      <c r="F924" s="66">
        <v>100</v>
      </c>
      <c r="G924" s="63"/>
      <c r="H924" s="67"/>
      <c r="I924" s="68"/>
      <c r="J924" s="68"/>
      <c r="K924" s="34" t="s">
        <v>65</v>
      </c>
      <c r="L924" s="75">
        <v>924</v>
      </c>
      <c r="M924" s="75"/>
      <c r="N924" s="70"/>
      <c r="O924" s="77" t="s">
        <v>382</v>
      </c>
      <c r="P924" s="79">
        <v>41124.25708333333</v>
      </c>
      <c r="Q924" s="77"/>
      <c r="R924" s="77"/>
      <c r="S924" s="77"/>
      <c r="T924" s="77"/>
      <c r="U924" s="77"/>
      <c r="V924" s="77"/>
      <c r="W924" s="77"/>
      <c r="X924" s="77"/>
      <c r="Y924">
        <v>1</v>
      </c>
    </row>
    <row r="925" spans="1:25" x14ac:dyDescent="0.25">
      <c r="A925" s="62" t="s">
        <v>321</v>
      </c>
      <c r="B925" s="62" t="s">
        <v>286</v>
      </c>
      <c r="C925" s="63" t="s">
        <v>2222</v>
      </c>
      <c r="D925" s="64">
        <v>1</v>
      </c>
      <c r="E925" s="65"/>
      <c r="F925" s="66">
        <v>100</v>
      </c>
      <c r="G925" s="63"/>
      <c r="H925" s="67"/>
      <c r="I925" s="68"/>
      <c r="J925" s="68"/>
      <c r="K925" s="34" t="s">
        <v>65</v>
      </c>
      <c r="L925" s="75">
        <v>925</v>
      </c>
      <c r="M925" s="75"/>
      <c r="N925" s="70"/>
      <c r="O925" s="77" t="s">
        <v>382</v>
      </c>
      <c r="P925" s="79">
        <v>41124.25708333333</v>
      </c>
      <c r="Q925" s="77"/>
      <c r="R925" s="77"/>
      <c r="S925" s="77"/>
      <c r="T925" s="77"/>
      <c r="U925" s="77"/>
      <c r="V925" s="77"/>
      <c r="W925" s="77"/>
      <c r="X925" s="77"/>
      <c r="Y925">
        <v>1</v>
      </c>
    </row>
    <row r="926" spans="1:25" x14ac:dyDescent="0.25">
      <c r="A926" s="62" t="s">
        <v>321</v>
      </c>
      <c r="B926" s="62" t="s">
        <v>273</v>
      </c>
      <c r="C926" s="63" t="s">
        <v>2222</v>
      </c>
      <c r="D926" s="64">
        <v>1</v>
      </c>
      <c r="E926" s="65"/>
      <c r="F926" s="66">
        <v>100</v>
      </c>
      <c r="G926" s="63"/>
      <c r="H926" s="67"/>
      <c r="I926" s="68"/>
      <c r="J926" s="68"/>
      <c r="K926" s="34" t="s">
        <v>65</v>
      </c>
      <c r="L926" s="75">
        <v>926</v>
      </c>
      <c r="M926" s="75"/>
      <c r="N926" s="70"/>
      <c r="O926" s="77" t="s">
        <v>382</v>
      </c>
      <c r="P926" s="79">
        <v>41124.25708333333</v>
      </c>
      <c r="Q926" s="77"/>
      <c r="R926" s="77"/>
      <c r="S926" s="77"/>
      <c r="T926" s="77"/>
      <c r="U926" s="77"/>
      <c r="V926" s="77"/>
      <c r="W926" s="77"/>
      <c r="X926" s="77"/>
      <c r="Y926">
        <v>1</v>
      </c>
    </row>
    <row r="927" spans="1:25" x14ac:dyDescent="0.25">
      <c r="A927" s="62" t="s">
        <v>321</v>
      </c>
      <c r="B927" s="62" t="s">
        <v>285</v>
      </c>
      <c r="C927" s="63" t="s">
        <v>2222</v>
      </c>
      <c r="D927" s="64">
        <v>1</v>
      </c>
      <c r="E927" s="65"/>
      <c r="F927" s="66">
        <v>100</v>
      </c>
      <c r="G927" s="63"/>
      <c r="H927" s="67"/>
      <c r="I927" s="68"/>
      <c r="J927" s="68"/>
      <c r="K927" s="34" t="s">
        <v>64</v>
      </c>
      <c r="L927" s="75">
        <v>927</v>
      </c>
      <c r="M927" s="75"/>
      <c r="N927" s="70"/>
      <c r="O927" s="77" t="s">
        <v>382</v>
      </c>
      <c r="P927" s="79">
        <v>41124.25708333333</v>
      </c>
      <c r="Q927" s="77"/>
      <c r="R927" s="77"/>
      <c r="S927" s="77"/>
      <c r="T927" s="77"/>
      <c r="U927" s="77"/>
      <c r="V927" s="77"/>
      <c r="W927" s="77"/>
      <c r="X927" s="77"/>
      <c r="Y927">
        <v>1</v>
      </c>
    </row>
    <row r="928" spans="1:25" x14ac:dyDescent="0.25">
      <c r="A928" s="62" t="s">
        <v>321</v>
      </c>
      <c r="B928" s="62" t="s">
        <v>367</v>
      </c>
      <c r="C928" s="63" t="s">
        <v>2222</v>
      </c>
      <c r="D928" s="64">
        <v>1</v>
      </c>
      <c r="E928" s="65"/>
      <c r="F928" s="66">
        <v>100</v>
      </c>
      <c r="G928" s="63"/>
      <c r="H928" s="67"/>
      <c r="I928" s="68"/>
      <c r="J928" s="68"/>
      <c r="K928" s="34" t="s">
        <v>65</v>
      </c>
      <c r="L928" s="75">
        <v>928</v>
      </c>
      <c r="M928" s="75"/>
      <c r="N928" s="70"/>
      <c r="O928" s="77" t="s">
        <v>382</v>
      </c>
      <c r="P928" s="79">
        <v>41124.25708333333</v>
      </c>
      <c r="Q928" s="77"/>
      <c r="R928" s="77"/>
      <c r="S928" s="77"/>
      <c r="T928" s="77"/>
      <c r="U928" s="77"/>
      <c r="V928" s="77"/>
      <c r="W928" s="77"/>
      <c r="X928" s="77"/>
      <c r="Y928">
        <v>1</v>
      </c>
    </row>
    <row r="929" spans="1:25" x14ac:dyDescent="0.25">
      <c r="A929" s="62" t="s">
        <v>322</v>
      </c>
      <c r="B929" s="62" t="s">
        <v>321</v>
      </c>
      <c r="C929" s="63" t="s">
        <v>2222</v>
      </c>
      <c r="D929" s="64">
        <v>1</v>
      </c>
      <c r="E929" s="65"/>
      <c r="F929" s="66">
        <v>100</v>
      </c>
      <c r="G929" s="63"/>
      <c r="H929" s="67"/>
      <c r="I929" s="68"/>
      <c r="J929" s="68"/>
      <c r="K929" s="34" t="s">
        <v>65</v>
      </c>
      <c r="L929" s="75">
        <v>929</v>
      </c>
      <c r="M929" s="75"/>
      <c r="N929" s="70"/>
      <c r="O929" s="77" t="s">
        <v>382</v>
      </c>
      <c r="P929" s="79">
        <v>41124.25708333333</v>
      </c>
      <c r="Q929" s="77"/>
      <c r="R929" s="77"/>
      <c r="S929" s="77"/>
      <c r="T929" s="77"/>
      <c r="U929" s="77"/>
      <c r="V929" s="77"/>
      <c r="W929" s="77"/>
      <c r="X929" s="77"/>
      <c r="Y929">
        <v>1</v>
      </c>
    </row>
    <row r="930" spans="1:25" x14ac:dyDescent="0.25">
      <c r="A930" s="62" t="s">
        <v>367</v>
      </c>
      <c r="B930" s="62" t="s">
        <v>321</v>
      </c>
      <c r="C930" s="63" t="s">
        <v>2222</v>
      </c>
      <c r="D930" s="64">
        <v>1</v>
      </c>
      <c r="E930" s="65"/>
      <c r="F930" s="66">
        <v>100</v>
      </c>
      <c r="G930" s="63"/>
      <c r="H930" s="67"/>
      <c r="I930" s="68"/>
      <c r="J930" s="68"/>
      <c r="K930" s="34" t="s">
        <v>65</v>
      </c>
      <c r="L930" s="75">
        <v>930</v>
      </c>
      <c r="M930" s="75"/>
      <c r="N930" s="70"/>
      <c r="O930" s="77" t="s">
        <v>382</v>
      </c>
      <c r="P930" s="79">
        <v>41124.25708333333</v>
      </c>
      <c r="Q930" s="77"/>
      <c r="R930" s="77"/>
      <c r="S930" s="77"/>
      <c r="T930" s="77"/>
      <c r="U930" s="77"/>
      <c r="V930" s="77"/>
      <c r="W930" s="77"/>
      <c r="X930" s="77"/>
      <c r="Y930">
        <v>1</v>
      </c>
    </row>
    <row r="931" spans="1:25" x14ac:dyDescent="0.25">
      <c r="A931" s="62" t="s">
        <v>273</v>
      </c>
      <c r="B931" s="62" t="s">
        <v>321</v>
      </c>
      <c r="C931" s="63" t="s">
        <v>2222</v>
      </c>
      <c r="D931" s="64">
        <v>1</v>
      </c>
      <c r="E931" s="65"/>
      <c r="F931" s="66">
        <v>100</v>
      </c>
      <c r="G931" s="63"/>
      <c r="H931" s="67"/>
      <c r="I931" s="68"/>
      <c r="J931" s="68"/>
      <c r="K931" s="34" t="s">
        <v>65</v>
      </c>
      <c r="L931" s="75">
        <v>931</v>
      </c>
      <c r="M931" s="75"/>
      <c r="N931" s="70"/>
      <c r="O931" s="77" t="s">
        <v>382</v>
      </c>
      <c r="P931" s="79">
        <v>41124.25708333333</v>
      </c>
      <c r="Q931" s="77"/>
      <c r="R931" s="77"/>
      <c r="S931" s="77"/>
      <c r="T931" s="77"/>
      <c r="U931" s="77"/>
      <c r="V931" s="77"/>
      <c r="W931" s="77"/>
      <c r="X931" s="77"/>
      <c r="Y931">
        <v>1</v>
      </c>
    </row>
    <row r="932" spans="1:25" x14ac:dyDescent="0.25">
      <c r="A932" s="62" t="s">
        <v>286</v>
      </c>
      <c r="B932" s="62" t="s">
        <v>321</v>
      </c>
      <c r="C932" s="63" t="s">
        <v>2222</v>
      </c>
      <c r="D932" s="64">
        <v>1</v>
      </c>
      <c r="E932" s="65"/>
      <c r="F932" s="66">
        <v>100</v>
      </c>
      <c r="G932" s="63"/>
      <c r="H932" s="67"/>
      <c r="I932" s="68"/>
      <c r="J932" s="68"/>
      <c r="K932" s="34" t="s">
        <v>65</v>
      </c>
      <c r="L932" s="75">
        <v>932</v>
      </c>
      <c r="M932" s="75"/>
      <c r="N932" s="70"/>
      <c r="O932" s="77" t="s">
        <v>382</v>
      </c>
      <c r="P932" s="79">
        <v>41124.25708333333</v>
      </c>
      <c r="Q932" s="77"/>
      <c r="R932" s="77"/>
      <c r="S932" s="77"/>
      <c r="T932" s="77"/>
      <c r="U932" s="77"/>
      <c r="V932" s="77"/>
      <c r="W932" s="77"/>
      <c r="X932" s="77"/>
      <c r="Y932">
        <v>1</v>
      </c>
    </row>
    <row r="933" spans="1:25" x14ac:dyDescent="0.25">
      <c r="A933" s="62" t="s">
        <v>302</v>
      </c>
      <c r="B933" s="62" t="s">
        <v>321</v>
      </c>
      <c r="C933" s="63" t="s">
        <v>2222</v>
      </c>
      <c r="D933" s="64">
        <v>1</v>
      </c>
      <c r="E933" s="65"/>
      <c r="F933" s="66">
        <v>100</v>
      </c>
      <c r="G933" s="63"/>
      <c r="H933" s="67"/>
      <c r="I933" s="68"/>
      <c r="J933" s="68"/>
      <c r="K933" s="34" t="s">
        <v>64</v>
      </c>
      <c r="L933" s="75">
        <v>933</v>
      </c>
      <c r="M933" s="75"/>
      <c r="N933" s="70"/>
      <c r="O933" s="77" t="s">
        <v>382</v>
      </c>
      <c r="P933" s="79">
        <v>41124.25708333333</v>
      </c>
      <c r="Q933" s="77"/>
      <c r="R933" s="77"/>
      <c r="S933" s="77"/>
      <c r="T933" s="77"/>
      <c r="U933" s="77"/>
      <c r="V933" s="77"/>
      <c r="W933" s="77"/>
      <c r="X933" s="77"/>
      <c r="Y933">
        <v>1</v>
      </c>
    </row>
    <row r="934" spans="1:25" x14ac:dyDescent="0.25">
      <c r="A934" s="62" t="s">
        <v>352</v>
      </c>
      <c r="B934" s="62" t="s">
        <v>321</v>
      </c>
      <c r="C934" s="63" t="s">
        <v>2222</v>
      </c>
      <c r="D934" s="64">
        <v>1</v>
      </c>
      <c r="E934" s="65"/>
      <c r="F934" s="66">
        <v>100</v>
      </c>
      <c r="G934" s="63"/>
      <c r="H934" s="67"/>
      <c r="I934" s="68"/>
      <c r="J934" s="68"/>
      <c r="K934" s="34" t="s">
        <v>65</v>
      </c>
      <c r="L934" s="75">
        <v>934</v>
      </c>
      <c r="M934" s="75"/>
      <c r="N934" s="70"/>
      <c r="O934" s="77" t="s">
        <v>382</v>
      </c>
      <c r="P934" s="79">
        <v>41124.25708333333</v>
      </c>
      <c r="Q934" s="77"/>
      <c r="R934" s="77"/>
      <c r="S934" s="77"/>
      <c r="T934" s="77"/>
      <c r="U934" s="77"/>
      <c r="V934" s="77"/>
      <c r="W934" s="77"/>
      <c r="X934" s="77"/>
      <c r="Y934">
        <v>1</v>
      </c>
    </row>
    <row r="935" spans="1:25" x14ac:dyDescent="0.25">
      <c r="A935" s="62" t="s">
        <v>363</v>
      </c>
      <c r="B935" s="62" t="s">
        <v>363</v>
      </c>
      <c r="C935" s="63" t="s">
        <v>2219</v>
      </c>
      <c r="D935" s="64">
        <v>1.5</v>
      </c>
      <c r="E935" s="65"/>
      <c r="F935" s="66">
        <v>97.777777777777771</v>
      </c>
      <c r="G935" s="63"/>
      <c r="H935" s="67"/>
      <c r="I935" s="68"/>
      <c r="J935" s="68"/>
      <c r="K935" s="34" t="s">
        <v>64</v>
      </c>
      <c r="L935" s="75">
        <v>935</v>
      </c>
      <c r="M935" s="75"/>
      <c r="N935" s="70"/>
      <c r="O935" s="77" t="s">
        <v>180</v>
      </c>
      <c r="P935" s="79">
        <v>41123.686932870369</v>
      </c>
      <c r="Q935" s="77" t="s">
        <v>567</v>
      </c>
      <c r="R935" s="77"/>
      <c r="S935" s="77"/>
      <c r="T935" s="79">
        <v>41123.686932870369</v>
      </c>
      <c r="U935" s="81" t="s">
        <v>905</v>
      </c>
      <c r="V935" s="77"/>
      <c r="W935" s="77"/>
      <c r="X935" s="84" t="s">
        <v>1202</v>
      </c>
      <c r="Y935" s="82">
        <v>2</v>
      </c>
    </row>
    <row r="936" spans="1:25" x14ac:dyDescent="0.25">
      <c r="A936" s="62" t="s">
        <v>363</v>
      </c>
      <c r="B936" s="62" t="s">
        <v>363</v>
      </c>
      <c r="C936" s="63" t="s">
        <v>2219</v>
      </c>
      <c r="D936" s="64">
        <v>1.5</v>
      </c>
      <c r="E936" s="65"/>
      <c r="F936" s="66">
        <v>97.777777777777771</v>
      </c>
      <c r="G936" s="63"/>
      <c r="H936" s="67"/>
      <c r="I936" s="68"/>
      <c r="J936" s="68"/>
      <c r="K936" s="34" t="s">
        <v>64</v>
      </c>
      <c r="L936" s="75">
        <v>936</v>
      </c>
      <c r="M936" s="75"/>
      <c r="N936" s="70"/>
      <c r="O936" s="77" t="s">
        <v>180</v>
      </c>
      <c r="P936" s="79">
        <v>41123.69327546296</v>
      </c>
      <c r="Q936" s="77" t="s">
        <v>558</v>
      </c>
      <c r="R936" s="81" t="s">
        <v>615</v>
      </c>
      <c r="S936" s="77"/>
      <c r="T936" s="79">
        <v>41123.69327546296</v>
      </c>
      <c r="U936" s="81" t="s">
        <v>906</v>
      </c>
      <c r="V936" s="77"/>
      <c r="W936" s="77"/>
      <c r="X936" s="84" t="s">
        <v>1203</v>
      </c>
      <c r="Y936" s="82">
        <v>2</v>
      </c>
    </row>
    <row r="937" spans="1:25" x14ac:dyDescent="0.25">
      <c r="A937" s="62" t="s">
        <v>361</v>
      </c>
      <c r="B937" s="62" t="s">
        <v>363</v>
      </c>
      <c r="C937" s="63" t="s">
        <v>2222</v>
      </c>
      <c r="D937" s="64">
        <v>1</v>
      </c>
      <c r="E937" s="65"/>
      <c r="F937" s="66">
        <v>100</v>
      </c>
      <c r="G937" s="63"/>
      <c r="H937" s="67"/>
      <c r="I937" s="68"/>
      <c r="J937" s="68"/>
      <c r="K937" s="34" t="s">
        <v>65</v>
      </c>
      <c r="L937" s="75">
        <v>937</v>
      </c>
      <c r="M937" s="75"/>
      <c r="N937" s="70"/>
      <c r="O937" s="77" t="s">
        <v>382</v>
      </c>
      <c r="P937" s="79">
        <v>41124.25708333333</v>
      </c>
      <c r="Q937" s="77"/>
      <c r="R937" s="77"/>
      <c r="S937" s="77"/>
      <c r="T937" s="77"/>
      <c r="U937" s="77"/>
      <c r="V937" s="77"/>
      <c r="W937" s="77"/>
      <c r="X937" s="77"/>
      <c r="Y937">
        <v>1</v>
      </c>
    </row>
    <row r="938" spans="1:25" x14ac:dyDescent="0.25">
      <c r="A938" s="62" t="s">
        <v>363</v>
      </c>
      <c r="B938" s="62" t="s">
        <v>352</v>
      </c>
      <c r="C938" s="63" t="s">
        <v>2222</v>
      </c>
      <c r="D938" s="64">
        <v>1</v>
      </c>
      <c r="E938" s="65"/>
      <c r="F938" s="66">
        <v>100</v>
      </c>
      <c r="G938" s="63"/>
      <c r="H938" s="67"/>
      <c r="I938" s="68"/>
      <c r="J938" s="68"/>
      <c r="K938" s="34" t="s">
        <v>65</v>
      </c>
      <c r="L938" s="75">
        <v>938</v>
      </c>
      <c r="M938" s="75"/>
      <c r="N938" s="70"/>
      <c r="O938" s="77" t="s">
        <v>382</v>
      </c>
      <c r="P938" s="79">
        <v>41124.25708333333</v>
      </c>
      <c r="Q938" s="77"/>
      <c r="R938" s="77"/>
      <c r="S938" s="77"/>
      <c r="T938" s="77"/>
      <c r="U938" s="77"/>
      <c r="V938" s="77"/>
      <c r="W938" s="77"/>
      <c r="X938" s="77"/>
      <c r="Y938">
        <v>1</v>
      </c>
    </row>
    <row r="939" spans="1:25" x14ac:dyDescent="0.25">
      <c r="A939" s="62" t="s">
        <v>363</v>
      </c>
      <c r="B939" s="62" t="s">
        <v>322</v>
      </c>
      <c r="C939" s="63" t="s">
        <v>2222</v>
      </c>
      <c r="D939" s="64">
        <v>1</v>
      </c>
      <c r="E939" s="65"/>
      <c r="F939" s="66">
        <v>100</v>
      </c>
      <c r="G939" s="63"/>
      <c r="H939" s="67"/>
      <c r="I939" s="68"/>
      <c r="J939" s="68"/>
      <c r="K939" s="34" t="s">
        <v>64</v>
      </c>
      <c r="L939" s="75">
        <v>939</v>
      </c>
      <c r="M939" s="75"/>
      <c r="N939" s="70"/>
      <c r="O939" s="77" t="s">
        <v>382</v>
      </c>
      <c r="P939" s="79">
        <v>41124.25708333333</v>
      </c>
      <c r="Q939" s="77"/>
      <c r="R939" s="77"/>
      <c r="S939" s="77"/>
      <c r="T939" s="77"/>
      <c r="U939" s="77"/>
      <c r="V939" s="77"/>
      <c r="W939" s="77"/>
      <c r="X939" s="77"/>
      <c r="Y939">
        <v>1</v>
      </c>
    </row>
    <row r="940" spans="1:25" x14ac:dyDescent="0.25">
      <c r="A940" s="62" t="s">
        <v>363</v>
      </c>
      <c r="B940" s="62" t="s">
        <v>361</v>
      </c>
      <c r="C940" s="63" t="s">
        <v>2222</v>
      </c>
      <c r="D940" s="64">
        <v>1</v>
      </c>
      <c r="E940" s="65"/>
      <c r="F940" s="66">
        <v>100</v>
      </c>
      <c r="G940" s="63"/>
      <c r="H940" s="67"/>
      <c r="I940" s="68"/>
      <c r="J940" s="68"/>
      <c r="K940" s="34" t="s">
        <v>65</v>
      </c>
      <c r="L940" s="75">
        <v>940</v>
      </c>
      <c r="M940" s="75"/>
      <c r="N940" s="70"/>
      <c r="O940" s="77" t="s">
        <v>382</v>
      </c>
      <c r="P940" s="79">
        <v>41124.25708333333</v>
      </c>
      <c r="Q940" s="77"/>
      <c r="R940" s="77"/>
      <c r="S940" s="77"/>
      <c r="T940" s="77"/>
      <c r="U940" s="77"/>
      <c r="V940" s="77"/>
      <c r="W940" s="77"/>
      <c r="X940" s="77"/>
      <c r="Y940">
        <v>1</v>
      </c>
    </row>
    <row r="941" spans="1:25" x14ac:dyDescent="0.25">
      <c r="A941" s="62" t="s">
        <v>363</v>
      </c>
      <c r="B941" s="62" t="s">
        <v>323</v>
      </c>
      <c r="C941" s="63" t="s">
        <v>2222</v>
      </c>
      <c r="D941" s="64">
        <v>1</v>
      </c>
      <c r="E941" s="65"/>
      <c r="F941" s="66">
        <v>100</v>
      </c>
      <c r="G941" s="63"/>
      <c r="H941" s="67"/>
      <c r="I941" s="68"/>
      <c r="J941" s="68"/>
      <c r="K941" s="34" t="s">
        <v>65</v>
      </c>
      <c r="L941" s="75">
        <v>941</v>
      </c>
      <c r="M941" s="75"/>
      <c r="N941" s="70"/>
      <c r="O941" s="77" t="s">
        <v>382</v>
      </c>
      <c r="P941" s="79">
        <v>41124.25708333333</v>
      </c>
      <c r="Q941" s="77"/>
      <c r="R941" s="77"/>
      <c r="S941" s="77"/>
      <c r="T941" s="77"/>
      <c r="U941" s="77"/>
      <c r="V941" s="77"/>
      <c r="W941" s="77"/>
      <c r="X941" s="77"/>
      <c r="Y941">
        <v>1</v>
      </c>
    </row>
    <row r="942" spans="1:25" x14ac:dyDescent="0.25">
      <c r="A942" s="62" t="s">
        <v>363</v>
      </c>
      <c r="B942" s="62" t="s">
        <v>349</v>
      </c>
      <c r="C942" s="63" t="s">
        <v>2222</v>
      </c>
      <c r="D942" s="64">
        <v>1</v>
      </c>
      <c r="E942" s="65"/>
      <c r="F942" s="66">
        <v>100</v>
      </c>
      <c r="G942" s="63"/>
      <c r="H942" s="67"/>
      <c r="I942" s="68"/>
      <c r="J942" s="68"/>
      <c r="K942" s="34" t="s">
        <v>65</v>
      </c>
      <c r="L942" s="75">
        <v>942</v>
      </c>
      <c r="M942" s="75"/>
      <c r="N942" s="70"/>
      <c r="O942" s="77" t="s">
        <v>382</v>
      </c>
      <c r="P942" s="79">
        <v>41124.25708333333</v>
      </c>
      <c r="Q942" s="77"/>
      <c r="R942" s="77"/>
      <c r="S942" s="77"/>
      <c r="T942" s="77"/>
      <c r="U942" s="77"/>
      <c r="V942" s="77"/>
      <c r="W942" s="77"/>
      <c r="X942" s="77"/>
      <c r="Y942">
        <v>1</v>
      </c>
    </row>
    <row r="943" spans="1:25" x14ac:dyDescent="0.25">
      <c r="A943" s="62" t="s">
        <v>363</v>
      </c>
      <c r="B943" s="62" t="s">
        <v>367</v>
      </c>
      <c r="C943" s="63" t="s">
        <v>2222</v>
      </c>
      <c r="D943" s="64">
        <v>1</v>
      </c>
      <c r="E943" s="65"/>
      <c r="F943" s="66">
        <v>100</v>
      </c>
      <c r="G943" s="63"/>
      <c r="H943" s="67"/>
      <c r="I943" s="68"/>
      <c r="J943" s="68"/>
      <c r="K943" s="34" t="s">
        <v>64</v>
      </c>
      <c r="L943" s="75">
        <v>943</v>
      </c>
      <c r="M943" s="75"/>
      <c r="N943" s="70"/>
      <c r="O943" s="77" t="s">
        <v>382</v>
      </c>
      <c r="P943" s="79">
        <v>41124.25708333333</v>
      </c>
      <c r="Q943" s="77"/>
      <c r="R943" s="77"/>
      <c r="S943" s="77"/>
      <c r="T943" s="77"/>
      <c r="U943" s="77"/>
      <c r="V943" s="77"/>
      <c r="W943" s="77"/>
      <c r="X943" s="77"/>
      <c r="Y943">
        <v>1</v>
      </c>
    </row>
    <row r="944" spans="1:25" x14ac:dyDescent="0.25">
      <c r="A944" s="62" t="s">
        <v>273</v>
      </c>
      <c r="B944" s="62" t="s">
        <v>363</v>
      </c>
      <c r="C944" s="63" t="s">
        <v>2222</v>
      </c>
      <c r="D944" s="64">
        <v>1</v>
      </c>
      <c r="E944" s="65"/>
      <c r="F944" s="66">
        <v>100</v>
      </c>
      <c r="G944" s="63"/>
      <c r="H944" s="67"/>
      <c r="I944" s="68"/>
      <c r="J944" s="68"/>
      <c r="K944" s="34" t="s">
        <v>64</v>
      </c>
      <c r="L944" s="75">
        <v>944</v>
      </c>
      <c r="M944" s="75"/>
      <c r="N944" s="70"/>
      <c r="O944" s="77" t="s">
        <v>382</v>
      </c>
      <c r="P944" s="79">
        <v>41124.25708333333</v>
      </c>
      <c r="Q944" s="77"/>
      <c r="R944" s="77"/>
      <c r="S944" s="77"/>
      <c r="T944" s="77"/>
      <c r="U944" s="77"/>
      <c r="V944" s="77"/>
      <c r="W944" s="77"/>
      <c r="X944" s="77"/>
      <c r="Y944">
        <v>1</v>
      </c>
    </row>
    <row r="945" spans="1:25" x14ac:dyDescent="0.25">
      <c r="A945" s="62" t="s">
        <v>323</v>
      </c>
      <c r="B945" s="62" t="s">
        <v>363</v>
      </c>
      <c r="C945" s="63" t="s">
        <v>2222</v>
      </c>
      <c r="D945" s="64">
        <v>1</v>
      </c>
      <c r="E945" s="65"/>
      <c r="F945" s="66">
        <v>100</v>
      </c>
      <c r="G945" s="63"/>
      <c r="H945" s="67"/>
      <c r="I945" s="68"/>
      <c r="J945" s="68"/>
      <c r="K945" s="34" t="s">
        <v>65</v>
      </c>
      <c r="L945" s="75">
        <v>945</v>
      </c>
      <c r="M945" s="75"/>
      <c r="N945" s="70"/>
      <c r="O945" s="77" t="s">
        <v>382</v>
      </c>
      <c r="P945" s="79">
        <v>41124.25708333333</v>
      </c>
      <c r="Q945" s="77"/>
      <c r="R945" s="77"/>
      <c r="S945" s="77"/>
      <c r="T945" s="77"/>
      <c r="U945" s="77"/>
      <c r="V945" s="77"/>
      <c r="W945" s="77"/>
      <c r="X945" s="77"/>
      <c r="Y945">
        <v>1</v>
      </c>
    </row>
    <row r="946" spans="1:25" x14ac:dyDescent="0.25">
      <c r="A946" s="62" t="s">
        <v>365</v>
      </c>
      <c r="B946" s="62" t="s">
        <v>363</v>
      </c>
      <c r="C946" s="63" t="s">
        <v>2222</v>
      </c>
      <c r="D946" s="64">
        <v>1</v>
      </c>
      <c r="E946" s="65"/>
      <c r="F946" s="66">
        <v>100</v>
      </c>
      <c r="G946" s="63"/>
      <c r="H946" s="67"/>
      <c r="I946" s="68"/>
      <c r="J946" s="68"/>
      <c r="K946" s="34" t="s">
        <v>64</v>
      </c>
      <c r="L946" s="75">
        <v>946</v>
      </c>
      <c r="M946" s="75"/>
      <c r="N946" s="70"/>
      <c r="O946" s="77" t="s">
        <v>382</v>
      </c>
      <c r="P946" s="79">
        <v>41124.25708333333</v>
      </c>
      <c r="Q946" s="77"/>
      <c r="R946" s="77"/>
      <c r="S946" s="77"/>
      <c r="T946" s="77"/>
      <c r="U946" s="77"/>
      <c r="V946" s="77"/>
      <c r="W946" s="77"/>
      <c r="X946" s="77"/>
      <c r="Y946">
        <v>1</v>
      </c>
    </row>
    <row r="947" spans="1:25" x14ac:dyDescent="0.25">
      <c r="A947" s="62" t="s">
        <v>349</v>
      </c>
      <c r="B947" s="62" t="s">
        <v>363</v>
      </c>
      <c r="C947" s="63" t="s">
        <v>2222</v>
      </c>
      <c r="D947" s="64">
        <v>1</v>
      </c>
      <c r="E947" s="65"/>
      <c r="F947" s="66">
        <v>100</v>
      </c>
      <c r="G947" s="63"/>
      <c r="H947" s="67"/>
      <c r="I947" s="68"/>
      <c r="J947" s="68"/>
      <c r="K947" s="34" t="s">
        <v>65</v>
      </c>
      <c r="L947" s="75">
        <v>947</v>
      </c>
      <c r="M947" s="75"/>
      <c r="N947" s="70"/>
      <c r="O947" s="77" t="s">
        <v>382</v>
      </c>
      <c r="P947" s="79">
        <v>41124.25708333333</v>
      </c>
      <c r="Q947" s="77"/>
      <c r="R947" s="77"/>
      <c r="S947" s="77"/>
      <c r="T947" s="77"/>
      <c r="U947" s="77"/>
      <c r="V947" s="77"/>
      <c r="W947" s="77"/>
      <c r="X947" s="77"/>
      <c r="Y947">
        <v>1</v>
      </c>
    </row>
    <row r="948" spans="1:25" x14ac:dyDescent="0.25">
      <c r="A948" s="62" t="s">
        <v>352</v>
      </c>
      <c r="B948" s="62" t="s">
        <v>363</v>
      </c>
      <c r="C948" s="63" t="s">
        <v>2222</v>
      </c>
      <c r="D948" s="64">
        <v>1</v>
      </c>
      <c r="E948" s="65"/>
      <c r="F948" s="66">
        <v>100</v>
      </c>
      <c r="G948" s="63"/>
      <c r="H948" s="67"/>
      <c r="I948" s="68"/>
      <c r="J948" s="68"/>
      <c r="K948" s="34" t="s">
        <v>65</v>
      </c>
      <c r="L948" s="75">
        <v>948</v>
      </c>
      <c r="M948" s="75"/>
      <c r="N948" s="70"/>
      <c r="O948" s="77" t="s">
        <v>382</v>
      </c>
      <c r="P948" s="79">
        <v>41124.25708333333</v>
      </c>
      <c r="Q948" s="77"/>
      <c r="R948" s="77"/>
      <c r="S948" s="77"/>
      <c r="T948" s="77"/>
      <c r="U948" s="77"/>
      <c r="V948" s="77"/>
      <c r="W948" s="77"/>
      <c r="X948" s="77"/>
      <c r="Y948">
        <v>1</v>
      </c>
    </row>
    <row r="949" spans="1:25" x14ac:dyDescent="0.25">
      <c r="A949" s="62" t="s">
        <v>361</v>
      </c>
      <c r="B949" s="62" t="s">
        <v>361</v>
      </c>
      <c r="C949" s="63" t="s">
        <v>2219</v>
      </c>
      <c r="D949" s="64">
        <v>1</v>
      </c>
      <c r="E949" s="65"/>
      <c r="F949" s="66">
        <v>100</v>
      </c>
      <c r="G949" s="63"/>
      <c r="H949" s="67"/>
      <c r="I949" s="68"/>
      <c r="J949" s="68"/>
      <c r="K949" s="34" t="s">
        <v>64</v>
      </c>
      <c r="L949" s="75">
        <v>949</v>
      </c>
      <c r="M949" s="75"/>
      <c r="N949" s="70"/>
      <c r="O949" s="77" t="s">
        <v>180</v>
      </c>
      <c r="P949" s="79">
        <v>41123.67392361111</v>
      </c>
      <c r="Q949" s="77" t="s">
        <v>569</v>
      </c>
      <c r="R949" s="77"/>
      <c r="S949" s="77"/>
      <c r="T949" s="79">
        <v>41123.67392361111</v>
      </c>
      <c r="U949" s="81" t="s">
        <v>907</v>
      </c>
      <c r="V949" s="77"/>
      <c r="W949" s="77"/>
      <c r="X949" s="84" t="s">
        <v>1204</v>
      </c>
      <c r="Y949" s="82">
        <v>1</v>
      </c>
    </row>
    <row r="950" spans="1:25" x14ac:dyDescent="0.25">
      <c r="A950" s="62" t="s">
        <v>361</v>
      </c>
      <c r="B950" s="62" t="s">
        <v>286</v>
      </c>
      <c r="C950" s="63" t="s">
        <v>2222</v>
      </c>
      <c r="D950" s="64">
        <v>1</v>
      </c>
      <c r="E950" s="65"/>
      <c r="F950" s="66">
        <v>100</v>
      </c>
      <c r="G950" s="63"/>
      <c r="H950" s="67"/>
      <c r="I950" s="68"/>
      <c r="J950" s="68"/>
      <c r="K950" s="34" t="s">
        <v>64</v>
      </c>
      <c r="L950" s="75">
        <v>950</v>
      </c>
      <c r="M950" s="75"/>
      <c r="N950" s="70"/>
      <c r="O950" s="77" t="s">
        <v>382</v>
      </c>
      <c r="P950" s="79">
        <v>41124.25708333333</v>
      </c>
      <c r="Q950" s="77"/>
      <c r="R950" s="77"/>
      <c r="S950" s="77"/>
      <c r="T950" s="77"/>
      <c r="U950" s="77"/>
      <c r="V950" s="77"/>
      <c r="W950" s="77"/>
      <c r="X950" s="77"/>
      <c r="Y950">
        <v>1</v>
      </c>
    </row>
    <row r="951" spans="1:25" x14ac:dyDescent="0.25">
      <c r="A951" s="62" t="s">
        <v>361</v>
      </c>
      <c r="B951" s="62" t="s">
        <v>352</v>
      </c>
      <c r="C951" s="63" t="s">
        <v>2222</v>
      </c>
      <c r="D951" s="64">
        <v>1</v>
      </c>
      <c r="E951" s="65"/>
      <c r="F951" s="66">
        <v>100</v>
      </c>
      <c r="G951" s="63"/>
      <c r="H951" s="67"/>
      <c r="I951" s="68"/>
      <c r="J951" s="68"/>
      <c r="K951" s="34" t="s">
        <v>65</v>
      </c>
      <c r="L951" s="75">
        <v>951</v>
      </c>
      <c r="M951" s="75"/>
      <c r="N951" s="70"/>
      <c r="O951" s="77" t="s">
        <v>382</v>
      </c>
      <c r="P951" s="79">
        <v>41124.25708333333</v>
      </c>
      <c r="Q951" s="77"/>
      <c r="R951" s="77"/>
      <c r="S951" s="77"/>
      <c r="T951" s="77"/>
      <c r="U951" s="77"/>
      <c r="V951" s="77"/>
      <c r="W951" s="77"/>
      <c r="X951" s="77"/>
      <c r="Y951">
        <v>1</v>
      </c>
    </row>
    <row r="952" spans="1:25" x14ac:dyDescent="0.25">
      <c r="A952" s="62" t="s">
        <v>361</v>
      </c>
      <c r="B952" s="62" t="s">
        <v>322</v>
      </c>
      <c r="C952" s="63" t="s">
        <v>2222</v>
      </c>
      <c r="D952" s="64">
        <v>1</v>
      </c>
      <c r="E952" s="65"/>
      <c r="F952" s="66">
        <v>100</v>
      </c>
      <c r="G952" s="63"/>
      <c r="H952" s="67"/>
      <c r="I952" s="68"/>
      <c r="J952" s="68"/>
      <c r="K952" s="34" t="s">
        <v>65</v>
      </c>
      <c r="L952" s="75">
        <v>952</v>
      </c>
      <c r="M952" s="75"/>
      <c r="N952" s="70"/>
      <c r="O952" s="77" t="s">
        <v>382</v>
      </c>
      <c r="P952" s="79">
        <v>41124.25708333333</v>
      </c>
      <c r="Q952" s="77"/>
      <c r="R952" s="77"/>
      <c r="S952" s="77"/>
      <c r="T952" s="77"/>
      <c r="U952" s="77"/>
      <c r="V952" s="77"/>
      <c r="W952" s="77"/>
      <c r="X952" s="77"/>
      <c r="Y952">
        <v>1</v>
      </c>
    </row>
    <row r="953" spans="1:25" x14ac:dyDescent="0.25">
      <c r="A953" s="62" t="s">
        <v>361</v>
      </c>
      <c r="B953" s="62" t="s">
        <v>323</v>
      </c>
      <c r="C953" s="63" t="s">
        <v>2222</v>
      </c>
      <c r="D953" s="64">
        <v>1</v>
      </c>
      <c r="E953" s="65"/>
      <c r="F953" s="66">
        <v>100</v>
      </c>
      <c r="G953" s="63"/>
      <c r="H953" s="67"/>
      <c r="I953" s="68"/>
      <c r="J953" s="68"/>
      <c r="K953" s="34" t="s">
        <v>65</v>
      </c>
      <c r="L953" s="75">
        <v>953</v>
      </c>
      <c r="M953" s="75"/>
      <c r="N953" s="70"/>
      <c r="O953" s="77" t="s">
        <v>382</v>
      </c>
      <c r="P953" s="79">
        <v>41124.25708333333</v>
      </c>
      <c r="Q953" s="77"/>
      <c r="R953" s="77"/>
      <c r="S953" s="77"/>
      <c r="T953" s="77"/>
      <c r="U953" s="77"/>
      <c r="V953" s="77"/>
      <c r="W953" s="77"/>
      <c r="X953" s="77"/>
      <c r="Y953">
        <v>1</v>
      </c>
    </row>
    <row r="954" spans="1:25" x14ac:dyDescent="0.25">
      <c r="A954" s="62" t="s">
        <v>361</v>
      </c>
      <c r="B954" s="62" t="s">
        <v>349</v>
      </c>
      <c r="C954" s="63" t="s">
        <v>2222</v>
      </c>
      <c r="D954" s="64">
        <v>1</v>
      </c>
      <c r="E954" s="65"/>
      <c r="F954" s="66">
        <v>100</v>
      </c>
      <c r="G954" s="63"/>
      <c r="H954" s="67"/>
      <c r="I954" s="68"/>
      <c r="J954" s="68"/>
      <c r="K954" s="34" t="s">
        <v>65</v>
      </c>
      <c r="L954" s="75">
        <v>954</v>
      </c>
      <c r="M954" s="75"/>
      <c r="N954" s="70"/>
      <c r="O954" s="77" t="s">
        <v>382</v>
      </c>
      <c r="P954" s="79">
        <v>41124.25708333333</v>
      </c>
      <c r="Q954" s="77"/>
      <c r="R954" s="77"/>
      <c r="S954" s="77"/>
      <c r="T954" s="77"/>
      <c r="U954" s="77"/>
      <c r="V954" s="77"/>
      <c r="W954" s="77"/>
      <c r="X954" s="77"/>
      <c r="Y954">
        <v>1</v>
      </c>
    </row>
    <row r="955" spans="1:25" x14ac:dyDescent="0.25">
      <c r="A955" s="62" t="s">
        <v>361</v>
      </c>
      <c r="B955" s="62" t="s">
        <v>364</v>
      </c>
      <c r="C955" s="63" t="s">
        <v>2222</v>
      </c>
      <c r="D955" s="64">
        <v>1</v>
      </c>
      <c r="E955" s="65"/>
      <c r="F955" s="66">
        <v>100</v>
      </c>
      <c r="G955" s="63"/>
      <c r="H955" s="67"/>
      <c r="I955" s="68"/>
      <c r="J955" s="68"/>
      <c r="K955" s="34" t="s">
        <v>65</v>
      </c>
      <c r="L955" s="75">
        <v>955</v>
      </c>
      <c r="M955" s="75"/>
      <c r="N955" s="70"/>
      <c r="O955" s="77" t="s">
        <v>382</v>
      </c>
      <c r="P955" s="79">
        <v>41124.25708333333</v>
      </c>
      <c r="Q955" s="77"/>
      <c r="R955" s="77"/>
      <c r="S955" s="77"/>
      <c r="T955" s="77"/>
      <c r="U955" s="77"/>
      <c r="V955" s="77"/>
      <c r="W955" s="77"/>
      <c r="X955" s="77"/>
      <c r="Y955">
        <v>1</v>
      </c>
    </row>
    <row r="956" spans="1:25" x14ac:dyDescent="0.25">
      <c r="A956" s="62" t="s">
        <v>361</v>
      </c>
      <c r="B956" s="62" t="s">
        <v>357</v>
      </c>
      <c r="C956" s="63" t="s">
        <v>2222</v>
      </c>
      <c r="D956" s="64">
        <v>1</v>
      </c>
      <c r="E956" s="65"/>
      <c r="F956" s="66">
        <v>100</v>
      </c>
      <c r="G956" s="63"/>
      <c r="H956" s="67"/>
      <c r="I956" s="68"/>
      <c r="J956" s="68"/>
      <c r="K956" s="34" t="s">
        <v>65</v>
      </c>
      <c r="L956" s="75">
        <v>956</v>
      </c>
      <c r="M956" s="75"/>
      <c r="N956" s="70"/>
      <c r="O956" s="77" t="s">
        <v>382</v>
      </c>
      <c r="P956" s="79">
        <v>41124.25708333333</v>
      </c>
      <c r="Q956" s="77"/>
      <c r="R956" s="77"/>
      <c r="S956" s="77"/>
      <c r="T956" s="77"/>
      <c r="U956" s="77"/>
      <c r="V956" s="77"/>
      <c r="W956" s="77"/>
      <c r="X956" s="77"/>
      <c r="Y956">
        <v>1</v>
      </c>
    </row>
    <row r="957" spans="1:25" x14ac:dyDescent="0.25">
      <c r="A957" s="62" t="s">
        <v>361</v>
      </c>
      <c r="B957" s="62" t="s">
        <v>328</v>
      </c>
      <c r="C957" s="63" t="s">
        <v>2222</v>
      </c>
      <c r="D957" s="64">
        <v>1</v>
      </c>
      <c r="E957" s="65"/>
      <c r="F957" s="66">
        <v>100</v>
      </c>
      <c r="G957" s="63"/>
      <c r="H957" s="67"/>
      <c r="I957" s="68"/>
      <c r="J957" s="68"/>
      <c r="K957" s="34" t="s">
        <v>65</v>
      </c>
      <c r="L957" s="75">
        <v>957</v>
      </c>
      <c r="M957" s="75"/>
      <c r="N957" s="70"/>
      <c r="O957" s="77" t="s">
        <v>382</v>
      </c>
      <c r="P957" s="79">
        <v>41124.25708333333</v>
      </c>
      <c r="Q957" s="77"/>
      <c r="R957" s="77"/>
      <c r="S957" s="77"/>
      <c r="T957" s="77"/>
      <c r="U957" s="77"/>
      <c r="V957" s="77"/>
      <c r="W957" s="77"/>
      <c r="X957" s="77"/>
      <c r="Y957">
        <v>1</v>
      </c>
    </row>
    <row r="958" spans="1:25" x14ac:dyDescent="0.25">
      <c r="A958" s="62" t="s">
        <v>361</v>
      </c>
      <c r="B958" s="62" t="s">
        <v>239</v>
      </c>
      <c r="C958" s="63" t="s">
        <v>2222</v>
      </c>
      <c r="D958" s="64">
        <v>1</v>
      </c>
      <c r="E958" s="65"/>
      <c r="F958" s="66">
        <v>100</v>
      </c>
      <c r="G958" s="63"/>
      <c r="H958" s="67"/>
      <c r="I958" s="68"/>
      <c r="J958" s="68"/>
      <c r="K958" s="34" t="s">
        <v>65</v>
      </c>
      <c r="L958" s="75">
        <v>958</v>
      </c>
      <c r="M958" s="75"/>
      <c r="N958" s="70"/>
      <c r="O958" s="77" t="s">
        <v>382</v>
      </c>
      <c r="P958" s="79">
        <v>41124.25708333333</v>
      </c>
      <c r="Q958" s="77"/>
      <c r="R958" s="77"/>
      <c r="S958" s="77"/>
      <c r="T958" s="77"/>
      <c r="U958" s="77"/>
      <c r="V958" s="77"/>
      <c r="W958" s="77"/>
      <c r="X958" s="77"/>
      <c r="Y958">
        <v>1</v>
      </c>
    </row>
    <row r="959" spans="1:25" x14ac:dyDescent="0.25">
      <c r="A959" s="62" t="s">
        <v>361</v>
      </c>
      <c r="B959" s="62" t="s">
        <v>285</v>
      </c>
      <c r="C959" s="63" t="s">
        <v>2222</v>
      </c>
      <c r="D959" s="64">
        <v>1</v>
      </c>
      <c r="E959" s="65"/>
      <c r="F959" s="66">
        <v>100</v>
      </c>
      <c r="G959" s="63"/>
      <c r="H959" s="67"/>
      <c r="I959" s="68"/>
      <c r="J959" s="68"/>
      <c r="K959" s="34" t="s">
        <v>64</v>
      </c>
      <c r="L959" s="75">
        <v>959</v>
      </c>
      <c r="M959" s="75"/>
      <c r="N959" s="70"/>
      <c r="O959" s="77" t="s">
        <v>382</v>
      </c>
      <c r="P959" s="79">
        <v>41124.25708333333</v>
      </c>
      <c r="Q959" s="77"/>
      <c r="R959" s="77"/>
      <c r="S959" s="77"/>
      <c r="T959" s="77"/>
      <c r="U959" s="77"/>
      <c r="V959" s="77"/>
      <c r="W959" s="77"/>
      <c r="X959" s="77"/>
      <c r="Y959">
        <v>1</v>
      </c>
    </row>
    <row r="960" spans="1:25" x14ac:dyDescent="0.25">
      <c r="A960" s="62" t="s">
        <v>361</v>
      </c>
      <c r="B960" s="62" t="s">
        <v>367</v>
      </c>
      <c r="C960" s="63" t="s">
        <v>2222</v>
      </c>
      <c r="D960" s="64">
        <v>1</v>
      </c>
      <c r="E960" s="65"/>
      <c r="F960" s="66">
        <v>100</v>
      </c>
      <c r="G960" s="63"/>
      <c r="H960" s="67"/>
      <c r="I960" s="68"/>
      <c r="J960" s="68"/>
      <c r="K960" s="34" t="s">
        <v>64</v>
      </c>
      <c r="L960" s="75">
        <v>960</v>
      </c>
      <c r="M960" s="75"/>
      <c r="N960" s="70"/>
      <c r="O960" s="77" t="s">
        <v>382</v>
      </c>
      <c r="P960" s="79">
        <v>41124.25708333333</v>
      </c>
      <c r="Q960" s="77"/>
      <c r="R960" s="77"/>
      <c r="S960" s="77"/>
      <c r="T960" s="77"/>
      <c r="U960" s="77"/>
      <c r="V960" s="77"/>
      <c r="W960" s="77"/>
      <c r="X960" s="77"/>
      <c r="Y960">
        <v>1</v>
      </c>
    </row>
    <row r="961" spans="1:25" x14ac:dyDescent="0.25">
      <c r="A961" s="62" t="s">
        <v>322</v>
      </c>
      <c r="B961" s="62" t="s">
        <v>361</v>
      </c>
      <c r="C961" s="63" t="s">
        <v>2222</v>
      </c>
      <c r="D961" s="64">
        <v>1</v>
      </c>
      <c r="E961" s="65"/>
      <c r="F961" s="66">
        <v>100</v>
      </c>
      <c r="G961" s="63"/>
      <c r="H961" s="67"/>
      <c r="I961" s="68"/>
      <c r="J961" s="68"/>
      <c r="K961" s="34" t="s">
        <v>65</v>
      </c>
      <c r="L961" s="75">
        <v>961</v>
      </c>
      <c r="M961" s="75"/>
      <c r="N961" s="70"/>
      <c r="O961" s="77" t="s">
        <v>382</v>
      </c>
      <c r="P961" s="79">
        <v>41124.25708333333</v>
      </c>
      <c r="Q961" s="77"/>
      <c r="R961" s="77"/>
      <c r="S961" s="77"/>
      <c r="T961" s="77"/>
      <c r="U961" s="77"/>
      <c r="V961" s="77"/>
      <c r="W961" s="77"/>
      <c r="X961" s="77"/>
      <c r="Y961">
        <v>1</v>
      </c>
    </row>
    <row r="962" spans="1:25" x14ac:dyDescent="0.25">
      <c r="A962" s="62" t="s">
        <v>364</v>
      </c>
      <c r="B962" s="62" t="s">
        <v>361</v>
      </c>
      <c r="C962" s="63" t="s">
        <v>2222</v>
      </c>
      <c r="D962" s="64">
        <v>1</v>
      </c>
      <c r="E962" s="65"/>
      <c r="F962" s="66">
        <v>100</v>
      </c>
      <c r="G962" s="63"/>
      <c r="H962" s="67"/>
      <c r="I962" s="68"/>
      <c r="J962" s="68"/>
      <c r="K962" s="34" t="s">
        <v>65</v>
      </c>
      <c r="L962" s="75">
        <v>962</v>
      </c>
      <c r="M962" s="75"/>
      <c r="N962" s="70"/>
      <c r="O962" s="77" t="s">
        <v>382</v>
      </c>
      <c r="P962" s="79">
        <v>41124.25708333333</v>
      </c>
      <c r="Q962" s="77"/>
      <c r="R962" s="77"/>
      <c r="S962" s="77"/>
      <c r="T962" s="77"/>
      <c r="U962" s="77"/>
      <c r="V962" s="77"/>
      <c r="W962" s="77"/>
      <c r="X962" s="77"/>
      <c r="Y962">
        <v>1</v>
      </c>
    </row>
    <row r="963" spans="1:25" x14ac:dyDescent="0.25">
      <c r="A963" s="62" t="s">
        <v>239</v>
      </c>
      <c r="B963" s="62" t="s">
        <v>361</v>
      </c>
      <c r="C963" s="63" t="s">
        <v>2222</v>
      </c>
      <c r="D963" s="64">
        <v>1</v>
      </c>
      <c r="E963" s="65"/>
      <c r="F963" s="66">
        <v>100</v>
      </c>
      <c r="G963" s="63"/>
      <c r="H963" s="67"/>
      <c r="I963" s="68"/>
      <c r="J963" s="68"/>
      <c r="K963" s="34" t="s">
        <v>65</v>
      </c>
      <c r="L963" s="75">
        <v>963</v>
      </c>
      <c r="M963" s="75"/>
      <c r="N963" s="70"/>
      <c r="O963" s="77" t="s">
        <v>382</v>
      </c>
      <c r="P963" s="79">
        <v>41124.25708333333</v>
      </c>
      <c r="Q963" s="77"/>
      <c r="R963" s="77"/>
      <c r="S963" s="77"/>
      <c r="T963" s="77"/>
      <c r="U963" s="77"/>
      <c r="V963" s="77"/>
      <c r="W963" s="77"/>
      <c r="X963" s="77"/>
      <c r="Y963">
        <v>1</v>
      </c>
    </row>
    <row r="964" spans="1:25" x14ac:dyDescent="0.25">
      <c r="A964" s="62" t="s">
        <v>240</v>
      </c>
      <c r="B964" s="62" t="s">
        <v>361</v>
      </c>
      <c r="C964" s="63" t="s">
        <v>2222</v>
      </c>
      <c r="D964" s="64">
        <v>1</v>
      </c>
      <c r="E964" s="65"/>
      <c r="F964" s="66">
        <v>100</v>
      </c>
      <c r="G964" s="63"/>
      <c r="H964" s="67"/>
      <c r="I964" s="68"/>
      <c r="J964" s="68"/>
      <c r="K964" s="34" t="s">
        <v>64</v>
      </c>
      <c r="L964" s="75">
        <v>964</v>
      </c>
      <c r="M964" s="75"/>
      <c r="N964" s="70"/>
      <c r="O964" s="77" t="s">
        <v>382</v>
      </c>
      <c r="P964" s="79">
        <v>41124.25708333333</v>
      </c>
      <c r="Q964" s="77"/>
      <c r="R964" s="77"/>
      <c r="S964" s="77"/>
      <c r="T964" s="77"/>
      <c r="U964" s="77"/>
      <c r="V964" s="77"/>
      <c r="W964" s="77"/>
      <c r="X964" s="77"/>
      <c r="Y964">
        <v>1</v>
      </c>
    </row>
    <row r="965" spans="1:25" x14ac:dyDescent="0.25">
      <c r="A965" s="62" t="s">
        <v>302</v>
      </c>
      <c r="B965" s="62" t="s">
        <v>361</v>
      </c>
      <c r="C965" s="63" t="s">
        <v>2222</v>
      </c>
      <c r="D965" s="64">
        <v>1</v>
      </c>
      <c r="E965" s="65"/>
      <c r="F965" s="66">
        <v>100</v>
      </c>
      <c r="G965" s="63"/>
      <c r="H965" s="67"/>
      <c r="I965" s="68"/>
      <c r="J965" s="68"/>
      <c r="K965" s="34" t="s">
        <v>64</v>
      </c>
      <c r="L965" s="75">
        <v>965</v>
      </c>
      <c r="M965" s="75"/>
      <c r="N965" s="70"/>
      <c r="O965" s="77" t="s">
        <v>382</v>
      </c>
      <c r="P965" s="79">
        <v>41124.25708333333</v>
      </c>
      <c r="Q965" s="77"/>
      <c r="R965" s="77"/>
      <c r="S965" s="77"/>
      <c r="T965" s="77"/>
      <c r="U965" s="77"/>
      <c r="V965" s="77"/>
      <c r="W965" s="77"/>
      <c r="X965" s="77"/>
      <c r="Y965">
        <v>1</v>
      </c>
    </row>
    <row r="966" spans="1:25" x14ac:dyDescent="0.25">
      <c r="A966" s="62" t="s">
        <v>357</v>
      </c>
      <c r="B966" s="62" t="s">
        <v>361</v>
      </c>
      <c r="C966" s="63" t="s">
        <v>2222</v>
      </c>
      <c r="D966" s="64">
        <v>1</v>
      </c>
      <c r="E966" s="65"/>
      <c r="F966" s="66">
        <v>100</v>
      </c>
      <c r="G966" s="63"/>
      <c r="H966" s="67"/>
      <c r="I966" s="68"/>
      <c r="J966" s="68"/>
      <c r="K966" s="34" t="s">
        <v>65</v>
      </c>
      <c r="L966" s="75">
        <v>966</v>
      </c>
      <c r="M966" s="75"/>
      <c r="N966" s="70"/>
      <c r="O966" s="77" t="s">
        <v>382</v>
      </c>
      <c r="P966" s="79">
        <v>41124.25708333333</v>
      </c>
      <c r="Q966" s="77"/>
      <c r="R966" s="77"/>
      <c r="S966" s="77"/>
      <c r="T966" s="77"/>
      <c r="U966" s="77"/>
      <c r="V966" s="77"/>
      <c r="W966" s="77"/>
      <c r="X966" s="77"/>
      <c r="Y966">
        <v>1</v>
      </c>
    </row>
    <row r="967" spans="1:25" x14ac:dyDescent="0.25">
      <c r="A967" s="62" t="s">
        <v>323</v>
      </c>
      <c r="B967" s="62" t="s">
        <v>361</v>
      </c>
      <c r="C967" s="63" t="s">
        <v>2222</v>
      </c>
      <c r="D967" s="64">
        <v>1</v>
      </c>
      <c r="E967" s="65"/>
      <c r="F967" s="66">
        <v>100</v>
      </c>
      <c r="G967" s="63"/>
      <c r="H967" s="67"/>
      <c r="I967" s="68"/>
      <c r="J967" s="68"/>
      <c r="K967" s="34" t="s">
        <v>65</v>
      </c>
      <c r="L967" s="75">
        <v>967</v>
      </c>
      <c r="M967" s="75"/>
      <c r="N967" s="70"/>
      <c r="O967" s="77" t="s">
        <v>382</v>
      </c>
      <c r="P967" s="79">
        <v>41124.25708333333</v>
      </c>
      <c r="Q967" s="77"/>
      <c r="R967" s="77"/>
      <c r="S967" s="77"/>
      <c r="T967" s="77"/>
      <c r="U967" s="77"/>
      <c r="V967" s="77"/>
      <c r="W967" s="77"/>
      <c r="X967" s="77"/>
      <c r="Y967">
        <v>1</v>
      </c>
    </row>
    <row r="968" spans="1:25" x14ac:dyDescent="0.25">
      <c r="A968" s="62" t="s">
        <v>328</v>
      </c>
      <c r="B968" s="62" t="s">
        <v>361</v>
      </c>
      <c r="C968" s="63" t="s">
        <v>2222</v>
      </c>
      <c r="D968" s="64">
        <v>1</v>
      </c>
      <c r="E968" s="65"/>
      <c r="F968" s="66">
        <v>100</v>
      </c>
      <c r="G968" s="63"/>
      <c r="H968" s="67"/>
      <c r="I968" s="68"/>
      <c r="J968" s="68"/>
      <c r="K968" s="34" t="s">
        <v>65</v>
      </c>
      <c r="L968" s="75">
        <v>968</v>
      </c>
      <c r="M968" s="75"/>
      <c r="N968" s="70"/>
      <c r="O968" s="77" t="s">
        <v>382</v>
      </c>
      <c r="P968" s="79">
        <v>41124.25708333333</v>
      </c>
      <c r="Q968" s="77"/>
      <c r="R968" s="77"/>
      <c r="S968" s="77"/>
      <c r="T968" s="77"/>
      <c r="U968" s="77"/>
      <c r="V968" s="77"/>
      <c r="W968" s="77"/>
      <c r="X968" s="77"/>
      <c r="Y968">
        <v>1</v>
      </c>
    </row>
    <row r="969" spans="1:25" x14ac:dyDescent="0.25">
      <c r="A969" s="62" t="s">
        <v>349</v>
      </c>
      <c r="B969" s="62" t="s">
        <v>361</v>
      </c>
      <c r="C969" s="63" t="s">
        <v>2222</v>
      </c>
      <c r="D969" s="64">
        <v>1</v>
      </c>
      <c r="E969" s="65"/>
      <c r="F969" s="66">
        <v>100</v>
      </c>
      <c r="G969" s="63"/>
      <c r="H969" s="67"/>
      <c r="I969" s="68"/>
      <c r="J969" s="68"/>
      <c r="K969" s="34" t="s">
        <v>65</v>
      </c>
      <c r="L969" s="75">
        <v>969</v>
      </c>
      <c r="M969" s="75"/>
      <c r="N969" s="70"/>
      <c r="O969" s="77" t="s">
        <v>382</v>
      </c>
      <c r="P969" s="79">
        <v>41124.25708333333</v>
      </c>
      <c r="Q969" s="77"/>
      <c r="R969" s="77"/>
      <c r="S969" s="77"/>
      <c r="T969" s="77"/>
      <c r="U969" s="77"/>
      <c r="V969" s="77"/>
      <c r="W969" s="77"/>
      <c r="X969" s="77"/>
      <c r="Y969">
        <v>1</v>
      </c>
    </row>
    <row r="970" spans="1:25" x14ac:dyDescent="0.25">
      <c r="A970" s="62" t="s">
        <v>352</v>
      </c>
      <c r="B970" s="62" t="s">
        <v>361</v>
      </c>
      <c r="C970" s="63" t="s">
        <v>2222</v>
      </c>
      <c r="D970" s="64">
        <v>1</v>
      </c>
      <c r="E970" s="65"/>
      <c r="F970" s="66">
        <v>100</v>
      </c>
      <c r="G970" s="63"/>
      <c r="H970" s="67"/>
      <c r="I970" s="68"/>
      <c r="J970" s="68"/>
      <c r="K970" s="34" t="s">
        <v>65</v>
      </c>
      <c r="L970" s="75">
        <v>970</v>
      </c>
      <c r="M970" s="75"/>
      <c r="N970" s="70"/>
      <c r="O970" s="77" t="s">
        <v>382</v>
      </c>
      <c r="P970" s="79">
        <v>41124.25708333333</v>
      </c>
      <c r="Q970" s="77"/>
      <c r="R970" s="77"/>
      <c r="S970" s="77"/>
      <c r="T970" s="77"/>
      <c r="U970" s="77"/>
      <c r="V970" s="77"/>
      <c r="W970" s="77"/>
      <c r="X970" s="77"/>
      <c r="Y970">
        <v>1</v>
      </c>
    </row>
    <row r="971" spans="1:25" x14ac:dyDescent="0.25">
      <c r="A971" s="62" t="s">
        <v>328</v>
      </c>
      <c r="B971" s="62" t="s">
        <v>328</v>
      </c>
      <c r="C971" s="63" t="s">
        <v>2219</v>
      </c>
      <c r="D971" s="64">
        <v>1</v>
      </c>
      <c r="E971" s="65"/>
      <c r="F971" s="66">
        <v>100</v>
      </c>
      <c r="G971" s="63"/>
      <c r="H971" s="67"/>
      <c r="I971" s="68"/>
      <c r="J971" s="68"/>
      <c r="K971" s="34" t="s">
        <v>64</v>
      </c>
      <c r="L971" s="75">
        <v>971</v>
      </c>
      <c r="M971" s="75"/>
      <c r="N971" s="70"/>
      <c r="O971" s="77" t="s">
        <v>180</v>
      </c>
      <c r="P971" s="79">
        <v>41124.05232638889</v>
      </c>
      <c r="Q971" s="77" t="s">
        <v>433</v>
      </c>
      <c r="R971" s="81" t="s">
        <v>615</v>
      </c>
      <c r="S971" s="77"/>
      <c r="T971" s="79">
        <v>41124.05232638889</v>
      </c>
      <c r="U971" s="81" t="s">
        <v>908</v>
      </c>
      <c r="V971" s="77"/>
      <c r="W971" s="77"/>
      <c r="X971" s="84" t="s">
        <v>1205</v>
      </c>
      <c r="Y971" s="82">
        <v>1</v>
      </c>
    </row>
    <row r="972" spans="1:25" x14ac:dyDescent="0.25">
      <c r="A972" s="62" t="s">
        <v>364</v>
      </c>
      <c r="B972" s="62" t="s">
        <v>328</v>
      </c>
      <c r="C972" s="63" t="s">
        <v>2222</v>
      </c>
      <c r="D972" s="64">
        <v>1</v>
      </c>
      <c r="E972" s="65"/>
      <c r="F972" s="66">
        <v>100</v>
      </c>
      <c r="G972" s="63"/>
      <c r="H972" s="67"/>
      <c r="I972" s="68"/>
      <c r="J972" s="68"/>
      <c r="K972" s="34" t="s">
        <v>65</v>
      </c>
      <c r="L972" s="75">
        <v>972</v>
      </c>
      <c r="M972" s="75"/>
      <c r="N972" s="70"/>
      <c r="O972" s="77" t="s">
        <v>382</v>
      </c>
      <c r="P972" s="79">
        <v>41124.25708333333</v>
      </c>
      <c r="Q972" s="77"/>
      <c r="R972" s="77"/>
      <c r="S972" s="77"/>
      <c r="T972" s="77"/>
      <c r="U972" s="77"/>
      <c r="V972" s="77"/>
      <c r="W972" s="77"/>
      <c r="X972" s="77"/>
      <c r="Y972">
        <v>1</v>
      </c>
    </row>
    <row r="973" spans="1:25" x14ac:dyDescent="0.25">
      <c r="A973" s="62" t="s">
        <v>240</v>
      </c>
      <c r="B973" s="62" t="s">
        <v>328</v>
      </c>
      <c r="C973" s="63" t="s">
        <v>2222</v>
      </c>
      <c r="D973" s="64">
        <v>1</v>
      </c>
      <c r="E973" s="65"/>
      <c r="F973" s="66">
        <v>100</v>
      </c>
      <c r="G973" s="63"/>
      <c r="H973" s="67"/>
      <c r="I973" s="68"/>
      <c r="J973" s="68"/>
      <c r="K973" s="34" t="s">
        <v>65</v>
      </c>
      <c r="L973" s="75">
        <v>973</v>
      </c>
      <c r="M973" s="75"/>
      <c r="N973" s="70"/>
      <c r="O973" s="77" t="s">
        <v>382</v>
      </c>
      <c r="P973" s="79">
        <v>41124.25708333333</v>
      </c>
      <c r="Q973" s="77"/>
      <c r="R973" s="77"/>
      <c r="S973" s="77"/>
      <c r="T973" s="77"/>
      <c r="U973" s="77"/>
      <c r="V973" s="77"/>
      <c r="W973" s="77"/>
      <c r="X973" s="77"/>
      <c r="Y973">
        <v>1</v>
      </c>
    </row>
    <row r="974" spans="1:25" x14ac:dyDescent="0.25">
      <c r="A974" s="62" t="s">
        <v>358</v>
      </c>
      <c r="B974" s="62" t="s">
        <v>328</v>
      </c>
      <c r="C974" s="63" t="s">
        <v>2222</v>
      </c>
      <c r="D974" s="64">
        <v>1</v>
      </c>
      <c r="E974" s="65"/>
      <c r="F974" s="66">
        <v>100</v>
      </c>
      <c r="G974" s="63"/>
      <c r="H974" s="67"/>
      <c r="I974" s="68"/>
      <c r="J974" s="68"/>
      <c r="K974" s="34" t="s">
        <v>65</v>
      </c>
      <c r="L974" s="75">
        <v>974</v>
      </c>
      <c r="M974" s="75"/>
      <c r="N974" s="70"/>
      <c r="O974" s="77" t="s">
        <v>382</v>
      </c>
      <c r="P974" s="79">
        <v>41124.25708333333</v>
      </c>
      <c r="Q974" s="77"/>
      <c r="R974" s="77"/>
      <c r="S974" s="77"/>
      <c r="T974" s="77"/>
      <c r="U974" s="77"/>
      <c r="V974" s="77"/>
      <c r="W974" s="77"/>
      <c r="X974" s="77"/>
      <c r="Y974">
        <v>1</v>
      </c>
    </row>
    <row r="975" spans="1:25" x14ac:dyDescent="0.25">
      <c r="A975" s="62" t="s">
        <v>273</v>
      </c>
      <c r="B975" s="62" t="s">
        <v>328</v>
      </c>
      <c r="C975" s="63" t="s">
        <v>2222</v>
      </c>
      <c r="D975" s="64">
        <v>1</v>
      </c>
      <c r="E975" s="65"/>
      <c r="F975" s="66">
        <v>100</v>
      </c>
      <c r="G975" s="63"/>
      <c r="H975" s="67"/>
      <c r="I975" s="68"/>
      <c r="J975" s="68"/>
      <c r="K975" s="34" t="s">
        <v>65</v>
      </c>
      <c r="L975" s="75">
        <v>975</v>
      </c>
      <c r="M975" s="75"/>
      <c r="N975" s="70"/>
      <c r="O975" s="77" t="s">
        <v>382</v>
      </c>
      <c r="P975" s="79">
        <v>41124.25708333333</v>
      </c>
      <c r="Q975" s="77"/>
      <c r="R975" s="77"/>
      <c r="S975" s="77"/>
      <c r="T975" s="77"/>
      <c r="U975" s="77"/>
      <c r="V975" s="77"/>
      <c r="W975" s="77"/>
      <c r="X975" s="77"/>
      <c r="Y975">
        <v>1</v>
      </c>
    </row>
    <row r="976" spans="1:25" x14ac:dyDescent="0.25">
      <c r="A976" s="62" t="s">
        <v>302</v>
      </c>
      <c r="B976" s="62" t="s">
        <v>328</v>
      </c>
      <c r="C976" s="63" t="s">
        <v>2222</v>
      </c>
      <c r="D976" s="64">
        <v>1</v>
      </c>
      <c r="E976" s="65"/>
      <c r="F976" s="66">
        <v>100</v>
      </c>
      <c r="G976" s="63"/>
      <c r="H976" s="67"/>
      <c r="I976" s="68"/>
      <c r="J976" s="68"/>
      <c r="K976" s="34" t="s">
        <v>65</v>
      </c>
      <c r="L976" s="75">
        <v>976</v>
      </c>
      <c r="M976" s="75"/>
      <c r="N976" s="70"/>
      <c r="O976" s="77" t="s">
        <v>382</v>
      </c>
      <c r="P976" s="79">
        <v>41124.25708333333</v>
      </c>
      <c r="Q976" s="77"/>
      <c r="R976" s="77"/>
      <c r="S976" s="77"/>
      <c r="T976" s="77"/>
      <c r="U976" s="77"/>
      <c r="V976" s="77"/>
      <c r="W976" s="77"/>
      <c r="X976" s="77"/>
      <c r="Y976">
        <v>1</v>
      </c>
    </row>
    <row r="977" spans="1:25" x14ac:dyDescent="0.25">
      <c r="A977" s="62" t="s">
        <v>323</v>
      </c>
      <c r="B977" s="62" t="s">
        <v>328</v>
      </c>
      <c r="C977" s="63" t="s">
        <v>2222</v>
      </c>
      <c r="D977" s="64">
        <v>1</v>
      </c>
      <c r="E977" s="65"/>
      <c r="F977" s="66">
        <v>100</v>
      </c>
      <c r="G977" s="63"/>
      <c r="H977" s="67"/>
      <c r="I977" s="68"/>
      <c r="J977" s="68"/>
      <c r="K977" s="34" t="s">
        <v>65</v>
      </c>
      <c r="L977" s="75">
        <v>977</v>
      </c>
      <c r="M977" s="75"/>
      <c r="N977" s="70"/>
      <c r="O977" s="77" t="s">
        <v>382</v>
      </c>
      <c r="P977" s="79">
        <v>41124.25708333333</v>
      </c>
      <c r="Q977" s="77"/>
      <c r="R977" s="77"/>
      <c r="S977" s="77"/>
      <c r="T977" s="77"/>
      <c r="U977" s="77"/>
      <c r="V977" s="77"/>
      <c r="W977" s="77"/>
      <c r="X977" s="77"/>
      <c r="Y977">
        <v>1</v>
      </c>
    </row>
    <row r="978" spans="1:25" x14ac:dyDescent="0.25">
      <c r="A978" s="62" t="s">
        <v>328</v>
      </c>
      <c r="B978" s="62" t="s">
        <v>352</v>
      </c>
      <c r="C978" s="63" t="s">
        <v>2222</v>
      </c>
      <c r="D978" s="64">
        <v>1</v>
      </c>
      <c r="E978" s="65"/>
      <c r="F978" s="66">
        <v>100</v>
      </c>
      <c r="G978" s="63"/>
      <c r="H978" s="67"/>
      <c r="I978" s="68"/>
      <c r="J978" s="68"/>
      <c r="K978" s="34" t="s">
        <v>65</v>
      </c>
      <c r="L978" s="75">
        <v>978</v>
      </c>
      <c r="M978" s="75"/>
      <c r="N978" s="70"/>
      <c r="O978" s="77" t="s">
        <v>382</v>
      </c>
      <c r="P978" s="79">
        <v>41124.25708333333</v>
      </c>
      <c r="Q978" s="77"/>
      <c r="R978" s="77"/>
      <c r="S978" s="77"/>
      <c r="T978" s="77"/>
      <c r="U978" s="77"/>
      <c r="V978" s="77"/>
      <c r="W978" s="77"/>
      <c r="X978" s="77"/>
      <c r="Y978">
        <v>1</v>
      </c>
    </row>
    <row r="979" spans="1:25" x14ac:dyDescent="0.25">
      <c r="A979" s="62" t="s">
        <v>328</v>
      </c>
      <c r="B979" s="62" t="s">
        <v>358</v>
      </c>
      <c r="C979" s="63" t="s">
        <v>2222</v>
      </c>
      <c r="D979" s="64">
        <v>1</v>
      </c>
      <c r="E979" s="65"/>
      <c r="F979" s="66">
        <v>100</v>
      </c>
      <c r="G979" s="63"/>
      <c r="H979" s="67"/>
      <c r="I979" s="68"/>
      <c r="J979" s="68"/>
      <c r="K979" s="34" t="s">
        <v>65</v>
      </c>
      <c r="L979" s="75">
        <v>979</v>
      </c>
      <c r="M979" s="75"/>
      <c r="N979" s="70"/>
      <c r="O979" s="77" t="s">
        <v>382</v>
      </c>
      <c r="P979" s="79">
        <v>41124.25708333333</v>
      </c>
      <c r="Q979" s="77"/>
      <c r="R979" s="77"/>
      <c r="S979" s="77"/>
      <c r="T979" s="77"/>
      <c r="U979" s="77"/>
      <c r="V979" s="77"/>
      <c r="W979" s="77"/>
      <c r="X979" s="77"/>
      <c r="Y979">
        <v>1</v>
      </c>
    </row>
    <row r="980" spans="1:25" x14ac:dyDescent="0.25">
      <c r="A980" s="62" t="s">
        <v>328</v>
      </c>
      <c r="B980" s="62" t="s">
        <v>364</v>
      </c>
      <c r="C980" s="63" t="s">
        <v>2222</v>
      </c>
      <c r="D980" s="64">
        <v>1</v>
      </c>
      <c r="E980" s="65"/>
      <c r="F980" s="66">
        <v>100</v>
      </c>
      <c r="G980" s="63"/>
      <c r="H980" s="67"/>
      <c r="I980" s="68"/>
      <c r="J980" s="68"/>
      <c r="K980" s="34" t="s">
        <v>65</v>
      </c>
      <c r="L980" s="75">
        <v>980</v>
      </c>
      <c r="M980" s="75"/>
      <c r="N980" s="70"/>
      <c r="O980" s="77" t="s">
        <v>382</v>
      </c>
      <c r="P980" s="79">
        <v>41124.25708333333</v>
      </c>
      <c r="Q980" s="77"/>
      <c r="R980" s="77"/>
      <c r="S980" s="77"/>
      <c r="T980" s="77"/>
      <c r="U980" s="77"/>
      <c r="V980" s="77"/>
      <c r="W980" s="77"/>
      <c r="X980" s="77"/>
      <c r="Y980">
        <v>1</v>
      </c>
    </row>
    <row r="981" spans="1:25" x14ac:dyDescent="0.25">
      <c r="A981" s="62" t="s">
        <v>328</v>
      </c>
      <c r="B981" s="62" t="s">
        <v>349</v>
      </c>
      <c r="C981" s="63" t="s">
        <v>2222</v>
      </c>
      <c r="D981" s="64">
        <v>1</v>
      </c>
      <c r="E981" s="65"/>
      <c r="F981" s="66">
        <v>100</v>
      </c>
      <c r="G981" s="63"/>
      <c r="H981" s="67"/>
      <c r="I981" s="68"/>
      <c r="J981" s="68"/>
      <c r="K981" s="34" t="s">
        <v>65</v>
      </c>
      <c r="L981" s="75">
        <v>981</v>
      </c>
      <c r="M981" s="75"/>
      <c r="N981" s="70"/>
      <c r="O981" s="77" t="s">
        <v>382</v>
      </c>
      <c r="P981" s="79">
        <v>41124.25708333333</v>
      </c>
      <c r="Q981" s="77"/>
      <c r="R981" s="77"/>
      <c r="S981" s="77"/>
      <c r="T981" s="77"/>
      <c r="U981" s="77"/>
      <c r="V981" s="77"/>
      <c r="W981" s="77"/>
      <c r="X981" s="77"/>
      <c r="Y981">
        <v>1</v>
      </c>
    </row>
    <row r="982" spans="1:25" x14ac:dyDescent="0.25">
      <c r="A982" s="62" t="s">
        <v>328</v>
      </c>
      <c r="B982" s="62" t="s">
        <v>286</v>
      </c>
      <c r="C982" s="63" t="s">
        <v>2222</v>
      </c>
      <c r="D982" s="64">
        <v>1</v>
      </c>
      <c r="E982" s="65"/>
      <c r="F982" s="66">
        <v>100</v>
      </c>
      <c r="G982" s="63"/>
      <c r="H982" s="67"/>
      <c r="I982" s="68"/>
      <c r="J982" s="68"/>
      <c r="K982" s="34" t="s">
        <v>64</v>
      </c>
      <c r="L982" s="75">
        <v>982</v>
      </c>
      <c r="M982" s="75"/>
      <c r="N982" s="70"/>
      <c r="O982" s="77" t="s">
        <v>382</v>
      </c>
      <c r="P982" s="79">
        <v>41124.25708333333</v>
      </c>
      <c r="Q982" s="77"/>
      <c r="R982" s="77"/>
      <c r="S982" s="77"/>
      <c r="T982" s="77"/>
      <c r="U982" s="77"/>
      <c r="V982" s="77"/>
      <c r="W982" s="77"/>
      <c r="X982" s="77"/>
      <c r="Y982">
        <v>1</v>
      </c>
    </row>
    <row r="983" spans="1:25" x14ac:dyDescent="0.25">
      <c r="A983" s="62" t="s">
        <v>328</v>
      </c>
      <c r="B983" s="62" t="s">
        <v>240</v>
      </c>
      <c r="C983" s="63" t="s">
        <v>2222</v>
      </c>
      <c r="D983" s="64">
        <v>1</v>
      </c>
      <c r="E983" s="65"/>
      <c r="F983" s="66">
        <v>100</v>
      </c>
      <c r="G983" s="63"/>
      <c r="H983" s="67"/>
      <c r="I983" s="68"/>
      <c r="J983" s="68"/>
      <c r="K983" s="34" t="s">
        <v>65</v>
      </c>
      <c r="L983" s="75">
        <v>983</v>
      </c>
      <c r="M983" s="75"/>
      <c r="N983" s="70"/>
      <c r="O983" s="77" t="s">
        <v>382</v>
      </c>
      <c r="P983" s="79">
        <v>41124.25708333333</v>
      </c>
      <c r="Q983" s="77"/>
      <c r="R983" s="77"/>
      <c r="S983" s="77"/>
      <c r="T983" s="77"/>
      <c r="U983" s="77"/>
      <c r="V983" s="77"/>
      <c r="W983" s="77"/>
      <c r="X983" s="77"/>
      <c r="Y983">
        <v>1</v>
      </c>
    </row>
    <row r="984" spans="1:25" x14ac:dyDescent="0.25">
      <c r="A984" s="62" t="s">
        <v>328</v>
      </c>
      <c r="B984" s="62" t="s">
        <v>331</v>
      </c>
      <c r="C984" s="63" t="s">
        <v>2222</v>
      </c>
      <c r="D984" s="64">
        <v>1</v>
      </c>
      <c r="E984" s="65"/>
      <c r="F984" s="66">
        <v>100</v>
      </c>
      <c r="G984" s="63"/>
      <c r="H984" s="67"/>
      <c r="I984" s="68"/>
      <c r="J984" s="68"/>
      <c r="K984" s="34" t="s">
        <v>65</v>
      </c>
      <c r="L984" s="75">
        <v>984</v>
      </c>
      <c r="M984" s="75"/>
      <c r="N984" s="70"/>
      <c r="O984" s="77" t="s">
        <v>382</v>
      </c>
      <c r="P984" s="79">
        <v>41124.25708333333</v>
      </c>
      <c r="Q984" s="77"/>
      <c r="R984" s="77"/>
      <c r="S984" s="77"/>
      <c r="T984" s="77"/>
      <c r="U984" s="77"/>
      <c r="V984" s="77"/>
      <c r="W984" s="77"/>
      <c r="X984" s="77"/>
      <c r="Y984">
        <v>1</v>
      </c>
    </row>
    <row r="985" spans="1:25" x14ac:dyDescent="0.25">
      <c r="A985" s="62" t="s">
        <v>328</v>
      </c>
      <c r="B985" s="62" t="s">
        <v>323</v>
      </c>
      <c r="C985" s="63" t="s">
        <v>2222</v>
      </c>
      <c r="D985" s="64">
        <v>1</v>
      </c>
      <c r="E985" s="65"/>
      <c r="F985" s="66">
        <v>100</v>
      </c>
      <c r="G985" s="63"/>
      <c r="H985" s="67"/>
      <c r="I985" s="68"/>
      <c r="J985" s="68"/>
      <c r="K985" s="34" t="s">
        <v>65</v>
      </c>
      <c r="L985" s="75">
        <v>985</v>
      </c>
      <c r="M985" s="75"/>
      <c r="N985" s="70"/>
      <c r="O985" s="77" t="s">
        <v>382</v>
      </c>
      <c r="P985" s="79">
        <v>41124.25708333333</v>
      </c>
      <c r="Q985" s="77"/>
      <c r="R985" s="77"/>
      <c r="S985" s="77"/>
      <c r="T985" s="77"/>
      <c r="U985" s="77"/>
      <c r="V985" s="77"/>
      <c r="W985" s="77"/>
      <c r="X985" s="77"/>
      <c r="Y985">
        <v>1</v>
      </c>
    </row>
    <row r="986" spans="1:25" x14ac:dyDescent="0.25">
      <c r="A986" s="62" t="s">
        <v>328</v>
      </c>
      <c r="B986" s="62" t="s">
        <v>273</v>
      </c>
      <c r="C986" s="63" t="s">
        <v>2222</v>
      </c>
      <c r="D986" s="64">
        <v>1</v>
      </c>
      <c r="E986" s="65"/>
      <c r="F986" s="66">
        <v>100</v>
      </c>
      <c r="G986" s="63"/>
      <c r="H986" s="67"/>
      <c r="I986" s="68"/>
      <c r="J986" s="68"/>
      <c r="K986" s="34" t="s">
        <v>65</v>
      </c>
      <c r="L986" s="75">
        <v>986</v>
      </c>
      <c r="M986" s="75"/>
      <c r="N986" s="70"/>
      <c r="O986" s="77" t="s">
        <v>382</v>
      </c>
      <c r="P986" s="79">
        <v>41124.25708333333</v>
      </c>
      <c r="Q986" s="77"/>
      <c r="R986" s="77"/>
      <c r="S986" s="77"/>
      <c r="T986" s="77"/>
      <c r="U986" s="77"/>
      <c r="V986" s="77"/>
      <c r="W986" s="77"/>
      <c r="X986" s="77"/>
      <c r="Y986">
        <v>1</v>
      </c>
    </row>
    <row r="987" spans="1:25" x14ac:dyDescent="0.25">
      <c r="A987" s="62" t="s">
        <v>328</v>
      </c>
      <c r="B987" s="62" t="s">
        <v>302</v>
      </c>
      <c r="C987" s="63" t="s">
        <v>2222</v>
      </c>
      <c r="D987" s="64">
        <v>1</v>
      </c>
      <c r="E987" s="65"/>
      <c r="F987" s="66">
        <v>100</v>
      </c>
      <c r="G987" s="63"/>
      <c r="H987" s="67"/>
      <c r="I987" s="68"/>
      <c r="J987" s="68"/>
      <c r="K987" s="34" t="s">
        <v>65</v>
      </c>
      <c r="L987" s="75">
        <v>987</v>
      </c>
      <c r="M987" s="75"/>
      <c r="N987" s="70"/>
      <c r="O987" s="77" t="s">
        <v>382</v>
      </c>
      <c r="P987" s="79">
        <v>41124.25708333333</v>
      </c>
      <c r="Q987" s="77"/>
      <c r="R987" s="77"/>
      <c r="S987" s="77"/>
      <c r="T987" s="77"/>
      <c r="U987" s="77"/>
      <c r="V987" s="77"/>
      <c r="W987" s="77"/>
      <c r="X987" s="77"/>
      <c r="Y987">
        <v>1</v>
      </c>
    </row>
    <row r="988" spans="1:25" x14ac:dyDescent="0.25">
      <c r="A988" s="62" t="s">
        <v>328</v>
      </c>
      <c r="B988" s="62" t="s">
        <v>367</v>
      </c>
      <c r="C988" s="63" t="s">
        <v>2222</v>
      </c>
      <c r="D988" s="64">
        <v>1</v>
      </c>
      <c r="E988" s="65"/>
      <c r="F988" s="66">
        <v>100</v>
      </c>
      <c r="G988" s="63"/>
      <c r="H988" s="67"/>
      <c r="I988" s="68"/>
      <c r="J988" s="68"/>
      <c r="K988" s="34" t="s">
        <v>64</v>
      </c>
      <c r="L988" s="75">
        <v>988</v>
      </c>
      <c r="M988" s="75"/>
      <c r="N988" s="70"/>
      <c r="O988" s="77" t="s">
        <v>382</v>
      </c>
      <c r="P988" s="79">
        <v>41124.25708333333</v>
      </c>
      <c r="Q988" s="77"/>
      <c r="R988" s="77"/>
      <c r="S988" s="77"/>
      <c r="T988" s="77"/>
      <c r="U988" s="77"/>
      <c r="V988" s="77"/>
      <c r="W988" s="77"/>
      <c r="X988" s="77"/>
      <c r="Y988">
        <v>1</v>
      </c>
    </row>
    <row r="989" spans="1:25" x14ac:dyDescent="0.25">
      <c r="A989" s="62" t="s">
        <v>331</v>
      </c>
      <c r="B989" s="62" t="s">
        <v>328</v>
      </c>
      <c r="C989" s="63" t="s">
        <v>2222</v>
      </c>
      <c r="D989" s="64">
        <v>1</v>
      </c>
      <c r="E989" s="65"/>
      <c r="F989" s="66">
        <v>100</v>
      </c>
      <c r="G989" s="63"/>
      <c r="H989" s="67"/>
      <c r="I989" s="68"/>
      <c r="J989" s="68"/>
      <c r="K989" s="34" t="s">
        <v>65</v>
      </c>
      <c r="L989" s="75">
        <v>989</v>
      </c>
      <c r="M989" s="75"/>
      <c r="N989" s="70"/>
      <c r="O989" s="77" t="s">
        <v>382</v>
      </c>
      <c r="P989" s="79">
        <v>41124.25708333333</v>
      </c>
      <c r="Q989" s="77"/>
      <c r="R989" s="77"/>
      <c r="S989" s="77"/>
      <c r="T989" s="77"/>
      <c r="U989" s="77"/>
      <c r="V989" s="77"/>
      <c r="W989" s="77"/>
      <c r="X989" s="77"/>
      <c r="Y989">
        <v>1</v>
      </c>
    </row>
    <row r="990" spans="1:25" x14ac:dyDescent="0.25">
      <c r="A990" s="62" t="s">
        <v>349</v>
      </c>
      <c r="B990" s="62" t="s">
        <v>328</v>
      </c>
      <c r="C990" s="63" t="s">
        <v>2222</v>
      </c>
      <c r="D990" s="64">
        <v>1</v>
      </c>
      <c r="E990" s="65"/>
      <c r="F990" s="66">
        <v>100</v>
      </c>
      <c r="G990" s="63"/>
      <c r="H990" s="67"/>
      <c r="I990" s="68"/>
      <c r="J990" s="68"/>
      <c r="K990" s="34" t="s">
        <v>65</v>
      </c>
      <c r="L990" s="75">
        <v>990</v>
      </c>
      <c r="M990" s="75"/>
      <c r="N990" s="70"/>
      <c r="O990" s="77" t="s">
        <v>382</v>
      </c>
      <c r="P990" s="79">
        <v>41124.25708333333</v>
      </c>
      <c r="Q990" s="77"/>
      <c r="R990" s="77"/>
      <c r="S990" s="77"/>
      <c r="T990" s="77"/>
      <c r="U990" s="77"/>
      <c r="V990" s="77"/>
      <c r="W990" s="77"/>
      <c r="X990" s="77"/>
      <c r="Y990">
        <v>1</v>
      </c>
    </row>
    <row r="991" spans="1:25" x14ac:dyDescent="0.25">
      <c r="A991" s="62" t="s">
        <v>352</v>
      </c>
      <c r="B991" s="62" t="s">
        <v>328</v>
      </c>
      <c r="C991" s="63" t="s">
        <v>2222</v>
      </c>
      <c r="D991" s="64">
        <v>1</v>
      </c>
      <c r="E991" s="65"/>
      <c r="F991" s="66">
        <v>100</v>
      </c>
      <c r="G991" s="63"/>
      <c r="H991" s="67"/>
      <c r="I991" s="68"/>
      <c r="J991" s="68"/>
      <c r="K991" s="34" t="s">
        <v>65</v>
      </c>
      <c r="L991" s="75">
        <v>991</v>
      </c>
      <c r="M991" s="75"/>
      <c r="N991" s="70"/>
      <c r="O991" s="77" t="s">
        <v>382</v>
      </c>
      <c r="P991" s="79">
        <v>41124.25708333333</v>
      </c>
      <c r="Q991" s="77"/>
      <c r="R991" s="77"/>
      <c r="S991" s="77"/>
      <c r="T991" s="77"/>
      <c r="U991" s="77"/>
      <c r="V991" s="77"/>
      <c r="W991" s="77"/>
      <c r="X991" s="77"/>
      <c r="Y991">
        <v>1</v>
      </c>
    </row>
    <row r="992" spans="1:25" x14ac:dyDescent="0.25">
      <c r="A992" s="62" t="s">
        <v>365</v>
      </c>
      <c r="B992" s="62" t="s">
        <v>365</v>
      </c>
      <c r="C992" s="63" t="s">
        <v>2219</v>
      </c>
      <c r="D992" s="64">
        <v>4</v>
      </c>
      <c r="E992" s="65"/>
      <c r="F992" s="66">
        <v>86.666666666666671</v>
      </c>
      <c r="G992" s="63"/>
      <c r="H992" s="67"/>
      <c r="I992" s="68"/>
      <c r="J992" s="68"/>
      <c r="K992" s="34" t="s">
        <v>64</v>
      </c>
      <c r="L992" s="75">
        <v>992</v>
      </c>
      <c r="M992" s="75"/>
      <c r="N992" s="70"/>
      <c r="O992" s="77" t="s">
        <v>180</v>
      </c>
      <c r="P992" s="79">
        <v>41123.871493055558</v>
      </c>
      <c r="Q992" s="77" t="s">
        <v>570</v>
      </c>
      <c r="R992" s="77"/>
      <c r="S992" s="77" t="s">
        <v>662</v>
      </c>
      <c r="T992" s="79">
        <v>41123.871493055558</v>
      </c>
      <c r="U992" s="81" t="s">
        <v>909</v>
      </c>
      <c r="V992" s="77"/>
      <c r="W992" s="77"/>
      <c r="X992" s="84" t="s">
        <v>1206</v>
      </c>
      <c r="Y992" s="82">
        <v>7</v>
      </c>
    </row>
    <row r="993" spans="1:25" x14ac:dyDescent="0.25">
      <c r="A993" s="62" t="s">
        <v>365</v>
      </c>
      <c r="B993" s="62" t="s">
        <v>365</v>
      </c>
      <c r="C993" s="63" t="s">
        <v>2219</v>
      </c>
      <c r="D993" s="64">
        <v>4</v>
      </c>
      <c r="E993" s="65"/>
      <c r="F993" s="66">
        <v>86.666666666666671</v>
      </c>
      <c r="G993" s="63"/>
      <c r="H993" s="67"/>
      <c r="I993" s="68"/>
      <c r="J993" s="68"/>
      <c r="K993" s="34" t="s">
        <v>64</v>
      </c>
      <c r="L993" s="75">
        <v>993</v>
      </c>
      <c r="M993" s="75"/>
      <c r="N993" s="70"/>
      <c r="O993" s="77" t="s">
        <v>180</v>
      </c>
      <c r="P993" s="79">
        <v>41123.872939814813</v>
      </c>
      <c r="Q993" s="77" t="s">
        <v>571</v>
      </c>
      <c r="R993" s="77"/>
      <c r="S993" s="77"/>
      <c r="T993" s="79">
        <v>41123.872939814813</v>
      </c>
      <c r="U993" s="81" t="s">
        <v>910</v>
      </c>
      <c r="V993" s="77"/>
      <c r="W993" s="77"/>
      <c r="X993" s="84" t="s">
        <v>1207</v>
      </c>
      <c r="Y993" s="82">
        <v>7</v>
      </c>
    </row>
    <row r="994" spans="1:25" x14ac:dyDescent="0.25">
      <c r="A994" s="62" t="s">
        <v>365</v>
      </c>
      <c r="B994" s="62" t="s">
        <v>365</v>
      </c>
      <c r="C994" s="63" t="s">
        <v>2219</v>
      </c>
      <c r="D994" s="64">
        <v>4</v>
      </c>
      <c r="E994" s="65"/>
      <c r="F994" s="66">
        <v>86.666666666666671</v>
      </c>
      <c r="G994" s="63"/>
      <c r="H994" s="67"/>
      <c r="I994" s="68"/>
      <c r="J994" s="68"/>
      <c r="K994" s="34" t="s">
        <v>64</v>
      </c>
      <c r="L994" s="75">
        <v>994</v>
      </c>
      <c r="M994" s="75"/>
      <c r="N994" s="70"/>
      <c r="O994" s="77" t="s">
        <v>180</v>
      </c>
      <c r="P994" s="79">
        <v>41123.879745370374</v>
      </c>
      <c r="Q994" s="77" t="s">
        <v>572</v>
      </c>
      <c r="R994" s="77"/>
      <c r="S994" s="77"/>
      <c r="T994" s="79">
        <v>41123.879745370374</v>
      </c>
      <c r="U994" s="81" t="s">
        <v>911</v>
      </c>
      <c r="V994" s="77"/>
      <c r="W994" s="77"/>
      <c r="X994" s="84" t="s">
        <v>1208</v>
      </c>
      <c r="Y994" s="82">
        <v>7</v>
      </c>
    </row>
    <row r="995" spans="1:25" x14ac:dyDescent="0.25">
      <c r="A995" s="62" t="s">
        <v>365</v>
      </c>
      <c r="B995" s="62" t="s">
        <v>365</v>
      </c>
      <c r="C995" s="63" t="s">
        <v>2219</v>
      </c>
      <c r="D995" s="64">
        <v>4</v>
      </c>
      <c r="E995" s="65"/>
      <c r="F995" s="66">
        <v>86.666666666666671</v>
      </c>
      <c r="G995" s="63"/>
      <c r="H995" s="67"/>
      <c r="I995" s="68"/>
      <c r="J995" s="68"/>
      <c r="K995" s="34" t="s">
        <v>64</v>
      </c>
      <c r="L995" s="75">
        <v>995</v>
      </c>
      <c r="M995" s="75"/>
      <c r="N995" s="70"/>
      <c r="O995" s="77" t="s">
        <v>180</v>
      </c>
      <c r="P995" s="79">
        <v>41123.880960648145</v>
      </c>
      <c r="Q995" s="77" t="s">
        <v>573</v>
      </c>
      <c r="R995" s="77"/>
      <c r="S995" s="77" t="s">
        <v>662</v>
      </c>
      <c r="T995" s="79">
        <v>41123.880960648145</v>
      </c>
      <c r="U995" s="81" t="s">
        <v>912</v>
      </c>
      <c r="V995" s="77"/>
      <c r="W995" s="77"/>
      <c r="X995" s="84" t="s">
        <v>1209</v>
      </c>
      <c r="Y995" s="82">
        <v>7</v>
      </c>
    </row>
    <row r="996" spans="1:25" x14ac:dyDescent="0.25">
      <c r="A996" s="62" t="s">
        <v>365</v>
      </c>
      <c r="B996" s="62" t="s">
        <v>365</v>
      </c>
      <c r="C996" s="63" t="s">
        <v>2219</v>
      </c>
      <c r="D996" s="64">
        <v>4</v>
      </c>
      <c r="E996" s="65"/>
      <c r="F996" s="66">
        <v>86.666666666666671</v>
      </c>
      <c r="G996" s="63"/>
      <c r="H996" s="67"/>
      <c r="I996" s="68"/>
      <c r="J996" s="68"/>
      <c r="K996" s="34" t="s">
        <v>64</v>
      </c>
      <c r="L996" s="75">
        <v>996</v>
      </c>
      <c r="M996" s="75"/>
      <c r="N996" s="70"/>
      <c r="O996" s="77" t="s">
        <v>180</v>
      </c>
      <c r="P996" s="79">
        <v>41123.886435185188</v>
      </c>
      <c r="Q996" s="77" t="s">
        <v>574</v>
      </c>
      <c r="R996" s="77"/>
      <c r="S996" s="77"/>
      <c r="T996" s="79">
        <v>41123.886435185188</v>
      </c>
      <c r="U996" s="81" t="s">
        <v>913</v>
      </c>
      <c r="V996" s="77"/>
      <c r="W996" s="77"/>
      <c r="X996" s="84" t="s">
        <v>1210</v>
      </c>
      <c r="Y996" s="82">
        <v>7</v>
      </c>
    </row>
    <row r="997" spans="1:25" x14ac:dyDescent="0.25">
      <c r="A997" s="62" t="s">
        <v>365</v>
      </c>
      <c r="B997" s="62" t="s">
        <v>365</v>
      </c>
      <c r="C997" s="63" t="s">
        <v>2219</v>
      </c>
      <c r="D997" s="64">
        <v>4</v>
      </c>
      <c r="E997" s="65"/>
      <c r="F997" s="66">
        <v>86.666666666666671</v>
      </c>
      <c r="G997" s="63"/>
      <c r="H997" s="67"/>
      <c r="I997" s="68"/>
      <c r="J997" s="68"/>
      <c r="K997" s="34" t="s">
        <v>64</v>
      </c>
      <c r="L997" s="75">
        <v>997</v>
      </c>
      <c r="M997" s="75"/>
      <c r="N997" s="70"/>
      <c r="O997" s="77" t="s">
        <v>180</v>
      </c>
      <c r="P997" s="79">
        <v>41123.888877314814</v>
      </c>
      <c r="Q997" s="77" t="s">
        <v>575</v>
      </c>
      <c r="R997" s="77"/>
      <c r="S997" s="77" t="s">
        <v>662</v>
      </c>
      <c r="T997" s="79">
        <v>41123.888877314814</v>
      </c>
      <c r="U997" s="81" t="s">
        <v>914</v>
      </c>
      <c r="V997" s="77"/>
      <c r="W997" s="77"/>
      <c r="X997" s="84" t="s">
        <v>1211</v>
      </c>
      <c r="Y997" s="82">
        <v>7</v>
      </c>
    </row>
    <row r="998" spans="1:25" x14ac:dyDescent="0.25">
      <c r="A998" s="62" t="s">
        <v>365</v>
      </c>
      <c r="B998" s="62" t="s">
        <v>365</v>
      </c>
      <c r="C998" s="63" t="s">
        <v>2219</v>
      </c>
      <c r="D998" s="64">
        <v>4</v>
      </c>
      <c r="E998" s="65"/>
      <c r="F998" s="66">
        <v>86.666666666666671</v>
      </c>
      <c r="G998" s="63"/>
      <c r="H998" s="67"/>
      <c r="I998" s="68"/>
      <c r="J998" s="68"/>
      <c r="K998" s="34" t="s">
        <v>64</v>
      </c>
      <c r="L998" s="75">
        <v>998</v>
      </c>
      <c r="M998" s="75"/>
      <c r="N998" s="70"/>
      <c r="O998" s="77" t="s">
        <v>180</v>
      </c>
      <c r="P998" s="79">
        <v>41124.105347222219</v>
      </c>
      <c r="Q998" s="77" t="s">
        <v>576</v>
      </c>
      <c r="R998" s="77"/>
      <c r="S998" s="77"/>
      <c r="T998" s="79">
        <v>41124.105347222219</v>
      </c>
      <c r="U998" s="81" t="s">
        <v>915</v>
      </c>
      <c r="V998" s="77"/>
      <c r="W998" s="77"/>
      <c r="X998" s="84" t="s">
        <v>1212</v>
      </c>
      <c r="Y998" s="82">
        <v>7</v>
      </c>
    </row>
    <row r="999" spans="1:25" x14ac:dyDescent="0.25">
      <c r="A999" s="62" t="s">
        <v>240</v>
      </c>
      <c r="B999" s="62" t="s">
        <v>365</v>
      </c>
      <c r="C999" s="63" t="s">
        <v>2222</v>
      </c>
      <c r="D999" s="64">
        <v>1</v>
      </c>
      <c r="E999" s="65"/>
      <c r="F999" s="66">
        <v>100</v>
      </c>
      <c r="G999" s="63"/>
      <c r="H999" s="67"/>
      <c r="I999" s="68"/>
      <c r="J999" s="68"/>
      <c r="K999" s="34" t="s">
        <v>65</v>
      </c>
      <c r="L999" s="75">
        <v>999</v>
      </c>
      <c r="M999" s="75"/>
      <c r="N999" s="70"/>
      <c r="O999" s="77" t="s">
        <v>382</v>
      </c>
      <c r="P999" s="79">
        <v>41124.25708333333</v>
      </c>
      <c r="Q999" s="77"/>
      <c r="R999" s="77"/>
      <c r="S999" s="77"/>
      <c r="T999" s="77"/>
      <c r="U999" s="77"/>
      <c r="V999" s="77"/>
      <c r="W999" s="77"/>
      <c r="X999" s="77"/>
      <c r="Y999">
        <v>1</v>
      </c>
    </row>
    <row r="1000" spans="1:25" x14ac:dyDescent="0.25">
      <c r="A1000" s="62" t="s">
        <v>302</v>
      </c>
      <c r="B1000" s="62" t="s">
        <v>365</v>
      </c>
      <c r="C1000" s="63" t="s">
        <v>2222</v>
      </c>
      <c r="D1000" s="64">
        <v>1</v>
      </c>
      <c r="E1000" s="65"/>
      <c r="F1000" s="66">
        <v>100</v>
      </c>
      <c r="G1000" s="63"/>
      <c r="H1000" s="67"/>
      <c r="I1000" s="68"/>
      <c r="J1000" s="68"/>
      <c r="K1000" s="34" t="s">
        <v>64</v>
      </c>
      <c r="L1000" s="75">
        <v>1000</v>
      </c>
      <c r="M1000" s="75"/>
      <c r="N1000" s="70"/>
      <c r="O1000" s="77" t="s">
        <v>382</v>
      </c>
      <c r="P1000" s="79">
        <v>41124.25708333333</v>
      </c>
      <c r="Q1000" s="77"/>
      <c r="R1000" s="77"/>
      <c r="S1000" s="77"/>
      <c r="T1000" s="77"/>
      <c r="U1000" s="77"/>
      <c r="V1000" s="77"/>
      <c r="W1000" s="77"/>
      <c r="X1000" s="77"/>
      <c r="Y1000">
        <v>1</v>
      </c>
    </row>
    <row r="1001" spans="1:25" x14ac:dyDescent="0.25">
      <c r="A1001" s="62" t="s">
        <v>365</v>
      </c>
      <c r="B1001" s="62" t="s">
        <v>352</v>
      </c>
      <c r="C1001" s="63" t="s">
        <v>2222</v>
      </c>
      <c r="D1001" s="64">
        <v>1</v>
      </c>
      <c r="E1001" s="65"/>
      <c r="F1001" s="66">
        <v>100</v>
      </c>
      <c r="G1001" s="63"/>
      <c r="H1001" s="67"/>
      <c r="I1001" s="68"/>
      <c r="J1001" s="68"/>
      <c r="K1001" s="34" t="s">
        <v>65</v>
      </c>
      <c r="L1001" s="75">
        <v>1001</v>
      </c>
      <c r="M1001" s="75"/>
      <c r="N1001" s="70"/>
      <c r="O1001" s="77" t="s">
        <v>382</v>
      </c>
      <c r="P1001" s="79">
        <v>41124.25708333333</v>
      </c>
      <c r="Q1001" s="77"/>
      <c r="R1001" s="77"/>
      <c r="S1001" s="77"/>
      <c r="T1001" s="77"/>
      <c r="U1001" s="77"/>
      <c r="V1001" s="77"/>
      <c r="W1001" s="77"/>
      <c r="X1001" s="77"/>
      <c r="Y1001">
        <v>1</v>
      </c>
    </row>
    <row r="1002" spans="1:25" x14ac:dyDescent="0.25">
      <c r="A1002" s="62" t="s">
        <v>365</v>
      </c>
      <c r="B1002" s="62" t="s">
        <v>240</v>
      </c>
      <c r="C1002" s="63" t="s">
        <v>2222</v>
      </c>
      <c r="D1002" s="64">
        <v>1</v>
      </c>
      <c r="E1002" s="65"/>
      <c r="F1002" s="66">
        <v>100</v>
      </c>
      <c r="G1002" s="63"/>
      <c r="H1002" s="67"/>
      <c r="I1002" s="68"/>
      <c r="J1002" s="68"/>
      <c r="K1002" s="34" t="s">
        <v>65</v>
      </c>
      <c r="L1002" s="75">
        <v>1002</v>
      </c>
      <c r="M1002" s="75"/>
      <c r="N1002" s="70"/>
      <c r="O1002" s="77" t="s">
        <v>382</v>
      </c>
      <c r="P1002" s="79">
        <v>41124.25708333333</v>
      </c>
      <c r="Q1002" s="77"/>
      <c r="R1002" s="77"/>
      <c r="S1002" s="77"/>
      <c r="T1002" s="77"/>
      <c r="U1002" s="77"/>
      <c r="V1002" s="77"/>
      <c r="W1002" s="77"/>
      <c r="X1002" s="77"/>
      <c r="Y1002">
        <v>1</v>
      </c>
    </row>
    <row r="1003" spans="1:25" x14ac:dyDescent="0.25">
      <c r="A1003" s="62" t="s">
        <v>352</v>
      </c>
      <c r="B1003" s="62" t="s">
        <v>365</v>
      </c>
      <c r="C1003" s="63" t="s">
        <v>2222</v>
      </c>
      <c r="D1003" s="64">
        <v>1</v>
      </c>
      <c r="E1003" s="65"/>
      <c r="F1003" s="66">
        <v>100</v>
      </c>
      <c r="G1003" s="63"/>
      <c r="H1003" s="67"/>
      <c r="I1003" s="68"/>
      <c r="J1003" s="68"/>
      <c r="K1003" s="34" t="s">
        <v>65</v>
      </c>
      <c r="L1003" s="75">
        <v>1003</v>
      </c>
      <c r="M1003" s="75"/>
      <c r="N1003" s="70"/>
      <c r="O1003" s="77" t="s">
        <v>382</v>
      </c>
      <c r="P1003" s="79">
        <v>41124.25708333333</v>
      </c>
      <c r="Q1003" s="77"/>
      <c r="R1003" s="77"/>
      <c r="S1003" s="77"/>
      <c r="T1003" s="77"/>
      <c r="U1003" s="77"/>
      <c r="V1003" s="77"/>
      <c r="W1003" s="77"/>
      <c r="X1003" s="77"/>
      <c r="Y1003">
        <v>1</v>
      </c>
    </row>
    <row r="1004" spans="1:25" x14ac:dyDescent="0.25">
      <c r="A1004" s="62" t="s">
        <v>286</v>
      </c>
      <c r="B1004" s="62" t="s">
        <v>286</v>
      </c>
      <c r="C1004" s="63" t="s">
        <v>2219</v>
      </c>
      <c r="D1004" s="64">
        <v>1</v>
      </c>
      <c r="E1004" s="65"/>
      <c r="F1004" s="66">
        <v>100</v>
      </c>
      <c r="G1004" s="63"/>
      <c r="H1004" s="67"/>
      <c r="I1004" s="68"/>
      <c r="J1004" s="68"/>
      <c r="K1004" s="34" t="s">
        <v>64</v>
      </c>
      <c r="L1004" s="75">
        <v>1004</v>
      </c>
      <c r="M1004" s="75"/>
      <c r="N1004" s="70"/>
      <c r="O1004" s="77" t="s">
        <v>180</v>
      </c>
      <c r="P1004" s="79">
        <v>41123.653703703705</v>
      </c>
      <c r="Q1004" s="77" t="s">
        <v>577</v>
      </c>
      <c r="R1004" s="81" t="s">
        <v>616</v>
      </c>
      <c r="S1004" s="77"/>
      <c r="T1004" s="79">
        <v>41123.653703703705</v>
      </c>
      <c r="U1004" s="81" t="s">
        <v>916</v>
      </c>
      <c r="V1004" s="77"/>
      <c r="W1004" s="77"/>
      <c r="X1004" s="84" t="s">
        <v>1213</v>
      </c>
      <c r="Y1004" s="82">
        <v>1</v>
      </c>
    </row>
    <row r="1005" spans="1:25" x14ac:dyDescent="0.25">
      <c r="A1005" s="62" t="s">
        <v>368</v>
      </c>
      <c r="B1005" s="62" t="s">
        <v>286</v>
      </c>
      <c r="C1005" s="63" t="s">
        <v>2222</v>
      </c>
      <c r="D1005" s="64">
        <v>1</v>
      </c>
      <c r="E1005" s="65"/>
      <c r="F1005" s="66">
        <v>100</v>
      </c>
      <c r="G1005" s="63"/>
      <c r="H1005" s="67"/>
      <c r="I1005" s="68"/>
      <c r="J1005" s="68"/>
      <c r="K1005" s="34" t="s">
        <v>65</v>
      </c>
      <c r="L1005" s="75">
        <v>1005</v>
      </c>
      <c r="M1005" s="75"/>
      <c r="N1005" s="70"/>
      <c r="O1005" s="77" t="s">
        <v>382</v>
      </c>
      <c r="P1005" s="79">
        <v>41124.25708333333</v>
      </c>
      <c r="Q1005" s="77"/>
      <c r="R1005" s="77"/>
      <c r="S1005" s="77"/>
      <c r="T1005" s="77"/>
      <c r="U1005" s="77"/>
      <c r="V1005" s="77"/>
      <c r="W1005" s="77"/>
      <c r="X1005" s="77"/>
      <c r="Y1005">
        <v>1</v>
      </c>
    </row>
    <row r="1006" spans="1:25" x14ac:dyDescent="0.25">
      <c r="A1006" s="62" t="s">
        <v>285</v>
      </c>
      <c r="B1006" s="62" t="s">
        <v>286</v>
      </c>
      <c r="C1006" s="63" t="s">
        <v>2222</v>
      </c>
      <c r="D1006" s="64">
        <v>1</v>
      </c>
      <c r="E1006" s="65"/>
      <c r="F1006" s="66">
        <v>100</v>
      </c>
      <c r="G1006" s="63"/>
      <c r="H1006" s="67"/>
      <c r="I1006" s="68"/>
      <c r="J1006" s="68"/>
      <c r="K1006" s="34" t="s">
        <v>65</v>
      </c>
      <c r="L1006" s="75">
        <v>1006</v>
      </c>
      <c r="M1006" s="75"/>
      <c r="N1006" s="70"/>
      <c r="O1006" s="77" t="s">
        <v>382</v>
      </c>
      <c r="P1006" s="79">
        <v>41124.25708333333</v>
      </c>
      <c r="Q1006" s="77"/>
      <c r="R1006" s="77"/>
      <c r="S1006" s="77"/>
      <c r="T1006" s="77"/>
      <c r="U1006" s="77"/>
      <c r="V1006" s="77"/>
      <c r="W1006" s="77"/>
      <c r="X1006" s="77"/>
      <c r="Y1006">
        <v>1</v>
      </c>
    </row>
    <row r="1007" spans="1:25" x14ac:dyDescent="0.25">
      <c r="A1007" s="62" t="s">
        <v>367</v>
      </c>
      <c r="B1007" s="62" t="s">
        <v>286</v>
      </c>
      <c r="C1007" s="63" t="s">
        <v>2222</v>
      </c>
      <c r="D1007" s="64">
        <v>1</v>
      </c>
      <c r="E1007" s="65"/>
      <c r="F1007" s="66">
        <v>100</v>
      </c>
      <c r="G1007" s="63"/>
      <c r="H1007" s="67"/>
      <c r="I1007" s="68"/>
      <c r="J1007" s="68"/>
      <c r="K1007" s="34" t="s">
        <v>65</v>
      </c>
      <c r="L1007" s="75">
        <v>1007</v>
      </c>
      <c r="M1007" s="75"/>
      <c r="N1007" s="70"/>
      <c r="O1007" s="77" t="s">
        <v>382</v>
      </c>
      <c r="P1007" s="79">
        <v>41124.25708333333</v>
      </c>
      <c r="Q1007" s="77"/>
      <c r="R1007" s="77"/>
      <c r="S1007" s="77"/>
      <c r="T1007" s="77"/>
      <c r="U1007" s="77"/>
      <c r="V1007" s="77"/>
      <c r="W1007" s="77"/>
      <c r="X1007" s="77"/>
      <c r="Y1007">
        <v>1</v>
      </c>
    </row>
    <row r="1008" spans="1:25" x14ac:dyDescent="0.25">
      <c r="A1008" s="62" t="s">
        <v>330</v>
      </c>
      <c r="B1008" s="62" t="s">
        <v>286</v>
      </c>
      <c r="C1008" s="63" t="s">
        <v>2222</v>
      </c>
      <c r="D1008" s="64">
        <v>1</v>
      </c>
      <c r="E1008" s="65"/>
      <c r="F1008" s="66">
        <v>100</v>
      </c>
      <c r="G1008" s="63"/>
      <c r="H1008" s="67"/>
      <c r="I1008" s="68"/>
      <c r="J1008" s="68"/>
      <c r="K1008" s="34" t="s">
        <v>64</v>
      </c>
      <c r="L1008" s="75">
        <v>1008</v>
      </c>
      <c r="M1008" s="75"/>
      <c r="N1008" s="70"/>
      <c r="O1008" s="77" t="s">
        <v>382</v>
      </c>
      <c r="P1008" s="79">
        <v>41124.25708333333</v>
      </c>
      <c r="Q1008" s="77"/>
      <c r="R1008" s="77"/>
      <c r="S1008" s="77"/>
      <c r="T1008" s="77"/>
      <c r="U1008" s="77"/>
      <c r="V1008" s="77"/>
      <c r="W1008" s="77"/>
      <c r="X1008" s="77"/>
      <c r="Y1008">
        <v>1</v>
      </c>
    </row>
    <row r="1009" spans="1:25" x14ac:dyDescent="0.25">
      <c r="A1009" s="62" t="s">
        <v>286</v>
      </c>
      <c r="B1009" s="62" t="s">
        <v>285</v>
      </c>
      <c r="C1009" s="63" t="s">
        <v>2222</v>
      </c>
      <c r="D1009" s="64">
        <v>1</v>
      </c>
      <c r="E1009" s="65"/>
      <c r="F1009" s="66">
        <v>100</v>
      </c>
      <c r="G1009" s="63"/>
      <c r="H1009" s="67"/>
      <c r="I1009" s="68"/>
      <c r="J1009" s="68"/>
      <c r="K1009" s="34" t="s">
        <v>65</v>
      </c>
      <c r="L1009" s="75">
        <v>1009</v>
      </c>
      <c r="M1009" s="75"/>
      <c r="N1009" s="70"/>
      <c r="O1009" s="77" t="s">
        <v>382</v>
      </c>
      <c r="P1009" s="79">
        <v>41124.25708333333</v>
      </c>
      <c r="Q1009" s="77"/>
      <c r="R1009" s="77"/>
      <c r="S1009" s="77"/>
      <c r="T1009" s="77"/>
      <c r="U1009" s="77"/>
      <c r="V1009" s="77"/>
      <c r="W1009" s="77"/>
      <c r="X1009" s="77"/>
      <c r="Y1009">
        <v>1</v>
      </c>
    </row>
    <row r="1010" spans="1:25" x14ac:dyDescent="0.25">
      <c r="A1010" s="62" t="s">
        <v>286</v>
      </c>
      <c r="B1010" s="62" t="s">
        <v>368</v>
      </c>
      <c r="C1010" s="63" t="s">
        <v>2222</v>
      </c>
      <c r="D1010" s="64">
        <v>1</v>
      </c>
      <c r="E1010" s="65"/>
      <c r="F1010" s="66">
        <v>100</v>
      </c>
      <c r="G1010" s="63"/>
      <c r="H1010" s="67"/>
      <c r="I1010" s="68"/>
      <c r="J1010" s="68"/>
      <c r="K1010" s="34" t="s">
        <v>65</v>
      </c>
      <c r="L1010" s="75">
        <v>1010</v>
      </c>
      <c r="M1010" s="75"/>
      <c r="N1010" s="70"/>
      <c r="O1010" s="77" t="s">
        <v>382</v>
      </c>
      <c r="P1010" s="79">
        <v>41124.25708333333</v>
      </c>
      <c r="Q1010" s="77"/>
      <c r="R1010" s="77"/>
      <c r="S1010" s="77"/>
      <c r="T1010" s="77"/>
      <c r="U1010" s="77"/>
      <c r="V1010" s="77"/>
      <c r="W1010" s="77"/>
      <c r="X1010" s="77"/>
      <c r="Y1010">
        <v>1</v>
      </c>
    </row>
    <row r="1011" spans="1:25" x14ac:dyDescent="0.25">
      <c r="A1011" s="62" t="s">
        <v>286</v>
      </c>
      <c r="B1011" s="62" t="s">
        <v>367</v>
      </c>
      <c r="C1011" s="63" t="s">
        <v>2222</v>
      </c>
      <c r="D1011" s="64">
        <v>1</v>
      </c>
      <c r="E1011" s="65"/>
      <c r="F1011" s="66">
        <v>100</v>
      </c>
      <c r="G1011" s="63"/>
      <c r="H1011" s="67"/>
      <c r="I1011" s="68"/>
      <c r="J1011" s="68"/>
      <c r="K1011" s="34" t="s">
        <v>65</v>
      </c>
      <c r="L1011" s="75">
        <v>1011</v>
      </c>
      <c r="M1011" s="75"/>
      <c r="N1011" s="70"/>
      <c r="O1011" s="77" t="s">
        <v>382</v>
      </c>
      <c r="P1011" s="79">
        <v>41124.25708333333</v>
      </c>
      <c r="Q1011" s="77"/>
      <c r="R1011" s="77"/>
      <c r="S1011" s="77"/>
      <c r="T1011" s="77"/>
      <c r="U1011" s="77"/>
      <c r="V1011" s="77"/>
      <c r="W1011" s="77"/>
      <c r="X1011" s="77"/>
      <c r="Y1011">
        <v>1</v>
      </c>
    </row>
    <row r="1012" spans="1:25" x14ac:dyDescent="0.25">
      <c r="A1012" s="62" t="s">
        <v>284</v>
      </c>
      <c r="B1012" s="62" t="s">
        <v>286</v>
      </c>
      <c r="C1012" s="63" t="s">
        <v>2222</v>
      </c>
      <c r="D1012" s="64">
        <v>1</v>
      </c>
      <c r="E1012" s="65"/>
      <c r="F1012" s="66">
        <v>100</v>
      </c>
      <c r="G1012" s="63"/>
      <c r="H1012" s="67"/>
      <c r="I1012" s="68"/>
      <c r="J1012" s="68"/>
      <c r="K1012" s="34" t="s">
        <v>64</v>
      </c>
      <c r="L1012" s="75">
        <v>1012</v>
      </c>
      <c r="M1012" s="75"/>
      <c r="N1012" s="70"/>
      <c r="O1012" s="77" t="s">
        <v>382</v>
      </c>
      <c r="P1012" s="79">
        <v>41124.25708333333</v>
      </c>
      <c r="Q1012" s="77"/>
      <c r="R1012" s="77"/>
      <c r="S1012" s="77"/>
      <c r="T1012" s="77"/>
      <c r="U1012" s="77"/>
      <c r="V1012" s="77"/>
      <c r="W1012" s="77"/>
      <c r="X1012" s="77"/>
      <c r="Y1012">
        <v>1</v>
      </c>
    </row>
    <row r="1013" spans="1:25" x14ac:dyDescent="0.25">
      <c r="A1013" s="62" t="s">
        <v>302</v>
      </c>
      <c r="B1013" s="62" t="s">
        <v>286</v>
      </c>
      <c r="C1013" s="63" t="s">
        <v>2222</v>
      </c>
      <c r="D1013" s="64">
        <v>1</v>
      </c>
      <c r="E1013" s="65"/>
      <c r="F1013" s="66">
        <v>100</v>
      </c>
      <c r="G1013" s="63"/>
      <c r="H1013" s="67"/>
      <c r="I1013" s="68"/>
      <c r="J1013" s="68"/>
      <c r="K1013" s="34" t="s">
        <v>64</v>
      </c>
      <c r="L1013" s="75">
        <v>1013</v>
      </c>
      <c r="M1013" s="75"/>
      <c r="N1013" s="70"/>
      <c r="O1013" s="77" t="s">
        <v>382</v>
      </c>
      <c r="P1013" s="79">
        <v>41124.25708333333</v>
      </c>
      <c r="Q1013" s="77"/>
      <c r="R1013" s="77"/>
      <c r="S1013" s="77"/>
      <c r="T1013" s="77"/>
      <c r="U1013" s="77"/>
      <c r="V1013" s="77"/>
      <c r="W1013" s="77"/>
      <c r="X1013" s="77"/>
      <c r="Y1013">
        <v>1</v>
      </c>
    </row>
    <row r="1014" spans="1:25" x14ac:dyDescent="0.25">
      <c r="A1014" s="62" t="s">
        <v>357</v>
      </c>
      <c r="B1014" s="62" t="s">
        <v>286</v>
      </c>
      <c r="C1014" s="63" t="s">
        <v>2222</v>
      </c>
      <c r="D1014" s="64">
        <v>1</v>
      </c>
      <c r="E1014" s="65"/>
      <c r="F1014" s="66">
        <v>100</v>
      </c>
      <c r="G1014" s="63"/>
      <c r="H1014" s="67"/>
      <c r="I1014" s="68"/>
      <c r="J1014" s="68"/>
      <c r="K1014" s="34" t="s">
        <v>64</v>
      </c>
      <c r="L1014" s="75">
        <v>1014</v>
      </c>
      <c r="M1014" s="75"/>
      <c r="N1014" s="70"/>
      <c r="O1014" s="77" t="s">
        <v>382</v>
      </c>
      <c r="P1014" s="79">
        <v>41124.25708333333</v>
      </c>
      <c r="Q1014" s="77"/>
      <c r="R1014" s="77"/>
      <c r="S1014" s="77"/>
      <c r="T1014" s="77"/>
      <c r="U1014" s="77"/>
      <c r="V1014" s="77"/>
      <c r="W1014" s="77"/>
      <c r="X1014" s="77"/>
      <c r="Y1014">
        <v>1</v>
      </c>
    </row>
    <row r="1015" spans="1:25" x14ac:dyDescent="0.25">
      <c r="A1015" s="62" t="s">
        <v>323</v>
      </c>
      <c r="B1015" s="62" t="s">
        <v>286</v>
      </c>
      <c r="C1015" s="63" t="s">
        <v>2222</v>
      </c>
      <c r="D1015" s="64">
        <v>1</v>
      </c>
      <c r="E1015" s="65"/>
      <c r="F1015" s="66">
        <v>100</v>
      </c>
      <c r="G1015" s="63"/>
      <c r="H1015" s="67"/>
      <c r="I1015" s="68"/>
      <c r="J1015" s="68"/>
      <c r="K1015" s="34" t="s">
        <v>64</v>
      </c>
      <c r="L1015" s="75">
        <v>1015</v>
      </c>
      <c r="M1015" s="75"/>
      <c r="N1015" s="70"/>
      <c r="O1015" s="77" t="s">
        <v>382</v>
      </c>
      <c r="P1015" s="79">
        <v>41124.25708333333</v>
      </c>
      <c r="Q1015" s="77"/>
      <c r="R1015" s="77"/>
      <c r="S1015" s="77"/>
      <c r="T1015" s="77"/>
      <c r="U1015" s="77"/>
      <c r="V1015" s="77"/>
      <c r="W1015" s="77"/>
      <c r="X1015" s="77"/>
      <c r="Y1015">
        <v>1</v>
      </c>
    </row>
    <row r="1016" spans="1:25" x14ac:dyDescent="0.25">
      <c r="A1016" s="62" t="s">
        <v>349</v>
      </c>
      <c r="B1016" s="62" t="s">
        <v>286</v>
      </c>
      <c r="C1016" s="63" t="s">
        <v>2222</v>
      </c>
      <c r="D1016" s="64">
        <v>1</v>
      </c>
      <c r="E1016" s="65"/>
      <c r="F1016" s="66">
        <v>100</v>
      </c>
      <c r="G1016" s="63"/>
      <c r="H1016" s="67"/>
      <c r="I1016" s="68"/>
      <c r="J1016" s="68"/>
      <c r="K1016" s="34" t="s">
        <v>64</v>
      </c>
      <c r="L1016" s="75">
        <v>1016</v>
      </c>
      <c r="M1016" s="75"/>
      <c r="N1016" s="70"/>
      <c r="O1016" s="77" t="s">
        <v>382</v>
      </c>
      <c r="P1016" s="79">
        <v>41124.25708333333</v>
      </c>
      <c r="Q1016" s="77"/>
      <c r="R1016" s="77"/>
      <c r="S1016" s="77"/>
      <c r="T1016" s="77"/>
      <c r="U1016" s="77"/>
      <c r="V1016" s="77"/>
      <c r="W1016" s="77"/>
      <c r="X1016" s="77"/>
      <c r="Y1016">
        <v>1</v>
      </c>
    </row>
    <row r="1017" spans="1:25" x14ac:dyDescent="0.25">
      <c r="A1017" s="62" t="s">
        <v>352</v>
      </c>
      <c r="B1017" s="62" t="s">
        <v>286</v>
      </c>
      <c r="C1017" s="63" t="s">
        <v>2222</v>
      </c>
      <c r="D1017" s="64">
        <v>1</v>
      </c>
      <c r="E1017" s="65"/>
      <c r="F1017" s="66">
        <v>100</v>
      </c>
      <c r="G1017" s="63"/>
      <c r="H1017" s="67"/>
      <c r="I1017" s="68"/>
      <c r="J1017" s="68"/>
      <c r="K1017" s="34" t="s">
        <v>64</v>
      </c>
      <c r="L1017" s="75">
        <v>1017</v>
      </c>
      <c r="M1017" s="75"/>
      <c r="N1017" s="70"/>
      <c r="O1017" s="77" t="s">
        <v>382</v>
      </c>
      <c r="P1017" s="79">
        <v>41124.25708333333</v>
      </c>
      <c r="Q1017" s="77"/>
      <c r="R1017" s="77"/>
      <c r="S1017" s="77"/>
      <c r="T1017" s="77"/>
      <c r="U1017" s="77"/>
      <c r="V1017" s="77"/>
      <c r="W1017" s="77"/>
      <c r="X1017" s="77"/>
      <c r="Y1017">
        <v>1</v>
      </c>
    </row>
    <row r="1018" spans="1:25" x14ac:dyDescent="0.25">
      <c r="A1018" s="62" t="s">
        <v>284</v>
      </c>
      <c r="B1018" s="62" t="s">
        <v>368</v>
      </c>
      <c r="C1018" s="63" t="s">
        <v>2222</v>
      </c>
      <c r="D1018" s="64">
        <v>1</v>
      </c>
      <c r="E1018" s="65"/>
      <c r="F1018" s="66">
        <v>100</v>
      </c>
      <c r="G1018" s="63"/>
      <c r="H1018" s="67"/>
      <c r="I1018" s="68"/>
      <c r="J1018" s="68"/>
      <c r="K1018" s="34" t="s">
        <v>64</v>
      </c>
      <c r="L1018" s="75">
        <v>1018</v>
      </c>
      <c r="M1018" s="75"/>
      <c r="N1018" s="70"/>
      <c r="O1018" s="77" t="s">
        <v>382</v>
      </c>
      <c r="P1018" s="79">
        <v>41124.25708333333</v>
      </c>
      <c r="Q1018" s="77"/>
      <c r="R1018" s="77"/>
      <c r="S1018" s="77"/>
      <c r="T1018" s="77"/>
      <c r="U1018" s="77"/>
      <c r="V1018" s="77"/>
      <c r="W1018" s="77"/>
      <c r="X1018" s="77"/>
      <c r="Y1018">
        <v>1</v>
      </c>
    </row>
    <row r="1019" spans="1:25" x14ac:dyDescent="0.25">
      <c r="A1019" s="62" t="s">
        <v>284</v>
      </c>
      <c r="B1019" s="62" t="s">
        <v>285</v>
      </c>
      <c r="C1019" s="63" t="s">
        <v>2222</v>
      </c>
      <c r="D1019" s="64">
        <v>1</v>
      </c>
      <c r="E1019" s="65"/>
      <c r="F1019" s="66">
        <v>100</v>
      </c>
      <c r="G1019" s="63"/>
      <c r="H1019" s="67"/>
      <c r="I1019" s="68"/>
      <c r="J1019" s="68"/>
      <c r="K1019" s="34" t="s">
        <v>64</v>
      </c>
      <c r="L1019" s="75">
        <v>1019</v>
      </c>
      <c r="M1019" s="75"/>
      <c r="N1019" s="70"/>
      <c r="O1019" s="77" t="s">
        <v>382</v>
      </c>
      <c r="P1019" s="79">
        <v>41124.25708333333</v>
      </c>
      <c r="Q1019" s="77"/>
      <c r="R1019" s="77"/>
      <c r="S1019" s="77"/>
      <c r="T1019" s="77"/>
      <c r="U1019" s="77"/>
      <c r="V1019" s="77"/>
      <c r="W1019" s="77"/>
      <c r="X1019" s="77"/>
      <c r="Y1019">
        <v>1</v>
      </c>
    </row>
    <row r="1020" spans="1:25" x14ac:dyDescent="0.25">
      <c r="A1020" s="62" t="s">
        <v>352</v>
      </c>
      <c r="B1020" s="62" t="s">
        <v>284</v>
      </c>
      <c r="C1020" s="63" t="s">
        <v>2222</v>
      </c>
      <c r="D1020" s="64">
        <v>1</v>
      </c>
      <c r="E1020" s="65"/>
      <c r="F1020" s="66">
        <v>100</v>
      </c>
      <c r="G1020" s="63"/>
      <c r="H1020" s="67"/>
      <c r="I1020" s="68"/>
      <c r="J1020" s="68"/>
      <c r="K1020" s="34" t="s">
        <v>64</v>
      </c>
      <c r="L1020" s="75">
        <v>1020</v>
      </c>
      <c r="M1020" s="75"/>
      <c r="N1020" s="70"/>
      <c r="O1020" s="77" t="s">
        <v>382</v>
      </c>
      <c r="P1020" s="79">
        <v>41124.25708333333</v>
      </c>
      <c r="Q1020" s="77"/>
      <c r="R1020" s="77"/>
      <c r="S1020" s="77"/>
      <c r="T1020" s="77"/>
      <c r="U1020" s="77"/>
      <c r="V1020" s="77"/>
      <c r="W1020" s="77"/>
      <c r="X1020" s="77"/>
      <c r="Y1020">
        <v>1</v>
      </c>
    </row>
    <row r="1021" spans="1:25" x14ac:dyDescent="0.25">
      <c r="A1021" s="62" t="s">
        <v>368</v>
      </c>
      <c r="B1021" s="62" t="s">
        <v>368</v>
      </c>
      <c r="C1021" s="63" t="s">
        <v>2219</v>
      </c>
      <c r="D1021" s="64">
        <v>1</v>
      </c>
      <c r="E1021" s="65"/>
      <c r="F1021" s="66">
        <v>100</v>
      </c>
      <c r="G1021" s="63"/>
      <c r="H1021" s="67"/>
      <c r="I1021" s="68"/>
      <c r="J1021" s="68"/>
      <c r="K1021" s="34" t="s">
        <v>64</v>
      </c>
      <c r="L1021" s="75">
        <v>1021</v>
      </c>
      <c r="M1021" s="75"/>
      <c r="N1021" s="70"/>
      <c r="O1021" s="77" t="s">
        <v>180</v>
      </c>
      <c r="P1021" s="79">
        <v>41123.675208333334</v>
      </c>
      <c r="Q1021" s="77" t="s">
        <v>578</v>
      </c>
      <c r="R1021" s="81" t="s">
        <v>628</v>
      </c>
      <c r="S1021" s="77" t="s">
        <v>663</v>
      </c>
      <c r="T1021" s="79">
        <v>41123.675208333334</v>
      </c>
      <c r="U1021" s="81" t="s">
        <v>917</v>
      </c>
      <c r="V1021" s="77"/>
      <c r="W1021" s="77"/>
      <c r="X1021" s="84" t="s">
        <v>1214</v>
      </c>
      <c r="Y1021" s="82">
        <v>1</v>
      </c>
    </row>
    <row r="1022" spans="1:25" x14ac:dyDescent="0.25">
      <c r="A1022" s="62" t="s">
        <v>368</v>
      </c>
      <c r="B1022" s="62" t="s">
        <v>285</v>
      </c>
      <c r="C1022" s="63" t="s">
        <v>2222</v>
      </c>
      <c r="D1022" s="64">
        <v>1</v>
      </c>
      <c r="E1022" s="65"/>
      <c r="F1022" s="66">
        <v>100</v>
      </c>
      <c r="G1022" s="63"/>
      <c r="H1022" s="67"/>
      <c r="I1022" s="68"/>
      <c r="J1022" s="68"/>
      <c r="K1022" s="34" t="s">
        <v>65</v>
      </c>
      <c r="L1022" s="75">
        <v>1022</v>
      </c>
      <c r="M1022" s="75"/>
      <c r="N1022" s="70"/>
      <c r="O1022" s="77" t="s">
        <v>382</v>
      </c>
      <c r="P1022" s="79">
        <v>41124.25708333333</v>
      </c>
      <c r="Q1022" s="77"/>
      <c r="R1022" s="77"/>
      <c r="S1022" s="77"/>
      <c r="T1022" s="77"/>
      <c r="U1022" s="77"/>
      <c r="V1022" s="77"/>
      <c r="W1022" s="77"/>
      <c r="X1022" s="77"/>
      <c r="Y1022">
        <v>1</v>
      </c>
    </row>
    <row r="1023" spans="1:25" x14ac:dyDescent="0.25">
      <c r="A1023" s="62" t="s">
        <v>285</v>
      </c>
      <c r="B1023" s="62" t="s">
        <v>368</v>
      </c>
      <c r="C1023" s="63" t="s">
        <v>2222</v>
      </c>
      <c r="D1023" s="64">
        <v>1</v>
      </c>
      <c r="E1023" s="65"/>
      <c r="F1023" s="66">
        <v>100</v>
      </c>
      <c r="G1023" s="63"/>
      <c r="H1023" s="67"/>
      <c r="I1023" s="68"/>
      <c r="J1023" s="68"/>
      <c r="K1023" s="34" t="s">
        <v>65</v>
      </c>
      <c r="L1023" s="75">
        <v>1023</v>
      </c>
      <c r="M1023" s="75"/>
      <c r="N1023" s="70"/>
      <c r="O1023" s="77" t="s">
        <v>382</v>
      </c>
      <c r="P1023" s="79">
        <v>41124.25708333333</v>
      </c>
      <c r="Q1023" s="77"/>
      <c r="R1023" s="77"/>
      <c r="S1023" s="77"/>
      <c r="T1023" s="77"/>
      <c r="U1023" s="77"/>
      <c r="V1023" s="77"/>
      <c r="W1023" s="77"/>
      <c r="X1023" s="77"/>
      <c r="Y1023">
        <v>1</v>
      </c>
    </row>
    <row r="1024" spans="1:25" x14ac:dyDescent="0.25">
      <c r="A1024" s="62" t="s">
        <v>322</v>
      </c>
      <c r="B1024" s="62" t="s">
        <v>368</v>
      </c>
      <c r="C1024" s="63" t="s">
        <v>2222</v>
      </c>
      <c r="D1024" s="64">
        <v>1</v>
      </c>
      <c r="E1024" s="65"/>
      <c r="F1024" s="66">
        <v>100</v>
      </c>
      <c r="G1024" s="63"/>
      <c r="H1024" s="67"/>
      <c r="I1024" s="68"/>
      <c r="J1024" s="68"/>
      <c r="K1024" s="34" t="s">
        <v>64</v>
      </c>
      <c r="L1024" s="75">
        <v>1024</v>
      </c>
      <c r="M1024" s="75"/>
      <c r="N1024" s="70"/>
      <c r="O1024" s="77" t="s">
        <v>382</v>
      </c>
      <c r="P1024" s="79">
        <v>41124.25708333333</v>
      </c>
      <c r="Q1024" s="77"/>
      <c r="R1024" s="77"/>
      <c r="S1024" s="77"/>
      <c r="T1024" s="77"/>
      <c r="U1024" s="77"/>
      <c r="V1024" s="77"/>
      <c r="W1024" s="77"/>
      <c r="X1024" s="77"/>
      <c r="Y1024">
        <v>1</v>
      </c>
    </row>
    <row r="1025" spans="1:25" x14ac:dyDescent="0.25">
      <c r="A1025" s="62" t="s">
        <v>352</v>
      </c>
      <c r="B1025" s="62" t="s">
        <v>368</v>
      </c>
      <c r="C1025" s="63" t="s">
        <v>2222</v>
      </c>
      <c r="D1025" s="64">
        <v>1</v>
      </c>
      <c r="E1025" s="65"/>
      <c r="F1025" s="66">
        <v>100</v>
      </c>
      <c r="G1025" s="63"/>
      <c r="H1025" s="67"/>
      <c r="I1025" s="68"/>
      <c r="J1025" s="68"/>
      <c r="K1025" s="34" t="s">
        <v>64</v>
      </c>
      <c r="L1025" s="75">
        <v>1025</v>
      </c>
      <c r="M1025" s="75"/>
      <c r="N1025" s="70"/>
      <c r="O1025" s="77" t="s">
        <v>382</v>
      </c>
      <c r="P1025" s="79">
        <v>41124.25708333333</v>
      </c>
      <c r="Q1025" s="77"/>
      <c r="R1025" s="77"/>
      <c r="S1025" s="77"/>
      <c r="T1025" s="77"/>
      <c r="U1025" s="77"/>
      <c r="V1025" s="77"/>
      <c r="W1025" s="77"/>
      <c r="X1025" s="77"/>
      <c r="Y1025">
        <v>1</v>
      </c>
    </row>
    <row r="1026" spans="1:25" x14ac:dyDescent="0.25">
      <c r="A1026" s="62" t="s">
        <v>349</v>
      </c>
      <c r="B1026" s="62" t="s">
        <v>349</v>
      </c>
      <c r="C1026" s="63" t="s">
        <v>2219</v>
      </c>
      <c r="D1026" s="64">
        <v>1</v>
      </c>
      <c r="E1026" s="65"/>
      <c r="F1026" s="66">
        <v>100</v>
      </c>
      <c r="G1026" s="63"/>
      <c r="H1026" s="67"/>
      <c r="I1026" s="68"/>
      <c r="J1026" s="68"/>
      <c r="K1026" s="34" t="s">
        <v>64</v>
      </c>
      <c r="L1026" s="75">
        <v>1026</v>
      </c>
      <c r="M1026" s="75"/>
      <c r="N1026" s="70"/>
      <c r="O1026" s="77" t="s">
        <v>180</v>
      </c>
      <c r="P1026" s="79">
        <v>41124.14570601852</v>
      </c>
      <c r="Q1026" s="77" t="s">
        <v>579</v>
      </c>
      <c r="R1026" s="77"/>
      <c r="S1026" s="77"/>
      <c r="T1026" s="79">
        <v>41124.14570601852</v>
      </c>
      <c r="U1026" s="81" t="s">
        <v>918</v>
      </c>
      <c r="V1026" s="77"/>
      <c r="W1026" s="77"/>
      <c r="X1026" s="84" t="s">
        <v>1215</v>
      </c>
      <c r="Y1026" s="82">
        <v>1</v>
      </c>
    </row>
    <row r="1027" spans="1:25" x14ac:dyDescent="0.25">
      <c r="A1027" s="62" t="s">
        <v>240</v>
      </c>
      <c r="B1027" s="62" t="s">
        <v>349</v>
      </c>
      <c r="C1027" s="63" t="s">
        <v>2222</v>
      </c>
      <c r="D1027" s="64">
        <v>1</v>
      </c>
      <c r="E1027" s="65"/>
      <c r="F1027" s="66">
        <v>100</v>
      </c>
      <c r="G1027" s="63"/>
      <c r="H1027" s="67"/>
      <c r="I1027" s="68"/>
      <c r="J1027" s="68"/>
      <c r="K1027" s="34" t="s">
        <v>65</v>
      </c>
      <c r="L1027" s="75">
        <v>1027</v>
      </c>
      <c r="M1027" s="75"/>
      <c r="N1027" s="70"/>
      <c r="O1027" s="77" t="s">
        <v>382</v>
      </c>
      <c r="P1027" s="79">
        <v>41124.25708333333</v>
      </c>
      <c r="Q1027" s="77"/>
      <c r="R1027" s="77"/>
      <c r="S1027" s="77"/>
      <c r="T1027" s="77"/>
      <c r="U1027" s="77"/>
      <c r="V1027" s="77"/>
      <c r="W1027" s="77"/>
      <c r="X1027" s="77"/>
      <c r="Y1027">
        <v>1</v>
      </c>
    </row>
    <row r="1028" spans="1:25" x14ac:dyDescent="0.25">
      <c r="A1028" s="62" t="s">
        <v>273</v>
      </c>
      <c r="B1028" s="62" t="s">
        <v>349</v>
      </c>
      <c r="C1028" s="63" t="s">
        <v>2222</v>
      </c>
      <c r="D1028" s="64">
        <v>1</v>
      </c>
      <c r="E1028" s="65"/>
      <c r="F1028" s="66">
        <v>100</v>
      </c>
      <c r="G1028" s="63"/>
      <c r="H1028" s="67"/>
      <c r="I1028" s="68"/>
      <c r="J1028" s="68"/>
      <c r="K1028" s="34" t="s">
        <v>65</v>
      </c>
      <c r="L1028" s="75">
        <v>1028</v>
      </c>
      <c r="M1028" s="75"/>
      <c r="N1028" s="70"/>
      <c r="O1028" s="77" t="s">
        <v>382</v>
      </c>
      <c r="P1028" s="79">
        <v>41124.25708333333</v>
      </c>
      <c r="Q1028" s="77"/>
      <c r="R1028" s="77"/>
      <c r="S1028" s="77"/>
      <c r="T1028" s="77"/>
      <c r="U1028" s="77"/>
      <c r="V1028" s="77"/>
      <c r="W1028" s="77"/>
      <c r="X1028" s="77"/>
      <c r="Y1028">
        <v>1</v>
      </c>
    </row>
    <row r="1029" spans="1:25" x14ac:dyDescent="0.25">
      <c r="A1029" s="62" t="s">
        <v>302</v>
      </c>
      <c r="B1029" s="62" t="s">
        <v>349</v>
      </c>
      <c r="C1029" s="63" t="s">
        <v>2222</v>
      </c>
      <c r="D1029" s="64">
        <v>1</v>
      </c>
      <c r="E1029" s="65"/>
      <c r="F1029" s="66">
        <v>100</v>
      </c>
      <c r="G1029" s="63"/>
      <c r="H1029" s="67"/>
      <c r="I1029" s="68"/>
      <c r="J1029" s="68"/>
      <c r="K1029" s="34" t="s">
        <v>64</v>
      </c>
      <c r="L1029" s="75">
        <v>1029</v>
      </c>
      <c r="M1029" s="75"/>
      <c r="N1029" s="70"/>
      <c r="O1029" s="77" t="s">
        <v>382</v>
      </c>
      <c r="P1029" s="79">
        <v>41124.25708333333</v>
      </c>
      <c r="Q1029" s="77"/>
      <c r="R1029" s="77"/>
      <c r="S1029" s="77"/>
      <c r="T1029" s="77"/>
      <c r="U1029" s="77"/>
      <c r="V1029" s="77"/>
      <c r="W1029" s="77"/>
      <c r="X1029" s="77"/>
      <c r="Y1029">
        <v>1</v>
      </c>
    </row>
    <row r="1030" spans="1:25" x14ac:dyDescent="0.25">
      <c r="A1030" s="62" t="s">
        <v>323</v>
      </c>
      <c r="B1030" s="62" t="s">
        <v>349</v>
      </c>
      <c r="C1030" s="63" t="s">
        <v>2222</v>
      </c>
      <c r="D1030" s="64">
        <v>1</v>
      </c>
      <c r="E1030" s="65"/>
      <c r="F1030" s="66">
        <v>100</v>
      </c>
      <c r="G1030" s="63"/>
      <c r="H1030" s="67"/>
      <c r="I1030" s="68"/>
      <c r="J1030" s="68"/>
      <c r="K1030" s="34" t="s">
        <v>65</v>
      </c>
      <c r="L1030" s="75">
        <v>1030</v>
      </c>
      <c r="M1030" s="75"/>
      <c r="N1030" s="70"/>
      <c r="O1030" s="77" t="s">
        <v>382</v>
      </c>
      <c r="P1030" s="79">
        <v>41124.25708333333</v>
      </c>
      <c r="Q1030" s="77"/>
      <c r="R1030" s="77"/>
      <c r="S1030" s="77"/>
      <c r="T1030" s="77"/>
      <c r="U1030" s="77"/>
      <c r="V1030" s="77"/>
      <c r="W1030" s="77"/>
      <c r="X1030" s="77"/>
      <c r="Y1030">
        <v>1</v>
      </c>
    </row>
    <row r="1031" spans="1:25" x14ac:dyDescent="0.25">
      <c r="A1031" s="62" t="s">
        <v>349</v>
      </c>
      <c r="B1031" s="62" t="s">
        <v>322</v>
      </c>
      <c r="C1031" s="63" t="s">
        <v>2222</v>
      </c>
      <c r="D1031" s="64">
        <v>1</v>
      </c>
      <c r="E1031" s="65"/>
      <c r="F1031" s="66">
        <v>100</v>
      </c>
      <c r="G1031" s="63"/>
      <c r="H1031" s="67"/>
      <c r="I1031" s="68"/>
      <c r="J1031" s="68"/>
      <c r="K1031" s="34" t="s">
        <v>64</v>
      </c>
      <c r="L1031" s="75">
        <v>1031</v>
      </c>
      <c r="M1031" s="75"/>
      <c r="N1031" s="70"/>
      <c r="O1031" s="77" t="s">
        <v>382</v>
      </c>
      <c r="P1031" s="79">
        <v>41124.25708333333</v>
      </c>
      <c r="Q1031" s="77"/>
      <c r="R1031" s="77"/>
      <c r="S1031" s="77"/>
      <c r="T1031" s="77"/>
      <c r="U1031" s="77"/>
      <c r="V1031" s="77"/>
      <c r="W1031" s="77"/>
      <c r="X1031" s="77"/>
      <c r="Y1031">
        <v>1</v>
      </c>
    </row>
    <row r="1032" spans="1:25" x14ac:dyDescent="0.25">
      <c r="A1032" s="62" t="s">
        <v>349</v>
      </c>
      <c r="B1032" s="62" t="s">
        <v>323</v>
      </c>
      <c r="C1032" s="63" t="s">
        <v>2222</v>
      </c>
      <c r="D1032" s="64">
        <v>1</v>
      </c>
      <c r="E1032" s="65"/>
      <c r="F1032" s="66">
        <v>100</v>
      </c>
      <c r="G1032" s="63"/>
      <c r="H1032" s="67"/>
      <c r="I1032" s="68"/>
      <c r="J1032" s="68"/>
      <c r="K1032" s="34" t="s">
        <v>65</v>
      </c>
      <c r="L1032" s="75">
        <v>1032</v>
      </c>
      <c r="M1032" s="75"/>
      <c r="N1032" s="70"/>
      <c r="O1032" s="77" t="s">
        <v>382</v>
      </c>
      <c r="P1032" s="79">
        <v>41124.25708333333</v>
      </c>
      <c r="Q1032" s="77"/>
      <c r="R1032" s="77"/>
      <c r="S1032" s="77"/>
      <c r="T1032" s="77"/>
      <c r="U1032" s="77"/>
      <c r="V1032" s="77"/>
      <c r="W1032" s="77"/>
      <c r="X1032" s="77"/>
      <c r="Y1032">
        <v>1</v>
      </c>
    </row>
    <row r="1033" spans="1:25" x14ac:dyDescent="0.25">
      <c r="A1033" s="62" t="s">
        <v>349</v>
      </c>
      <c r="B1033" s="62" t="s">
        <v>352</v>
      </c>
      <c r="C1033" s="63" t="s">
        <v>2222</v>
      </c>
      <c r="D1033" s="64">
        <v>1</v>
      </c>
      <c r="E1033" s="65"/>
      <c r="F1033" s="66">
        <v>100</v>
      </c>
      <c r="G1033" s="63"/>
      <c r="H1033" s="67"/>
      <c r="I1033" s="68"/>
      <c r="J1033" s="68"/>
      <c r="K1033" s="34" t="s">
        <v>65</v>
      </c>
      <c r="L1033" s="75">
        <v>1033</v>
      </c>
      <c r="M1033" s="75"/>
      <c r="N1033" s="70"/>
      <c r="O1033" s="77" t="s">
        <v>382</v>
      </c>
      <c r="P1033" s="79">
        <v>41124.25708333333</v>
      </c>
      <c r="Q1033" s="77"/>
      <c r="R1033" s="77"/>
      <c r="S1033" s="77"/>
      <c r="T1033" s="77"/>
      <c r="U1033" s="77"/>
      <c r="V1033" s="77"/>
      <c r="W1033" s="77"/>
      <c r="X1033" s="77"/>
      <c r="Y1033">
        <v>1</v>
      </c>
    </row>
    <row r="1034" spans="1:25" x14ac:dyDescent="0.25">
      <c r="A1034" s="62" t="s">
        <v>349</v>
      </c>
      <c r="B1034" s="62" t="s">
        <v>364</v>
      </c>
      <c r="C1034" s="63" t="s">
        <v>2222</v>
      </c>
      <c r="D1034" s="64">
        <v>1</v>
      </c>
      <c r="E1034" s="65"/>
      <c r="F1034" s="66">
        <v>100</v>
      </c>
      <c r="G1034" s="63"/>
      <c r="H1034" s="67"/>
      <c r="I1034" s="68"/>
      <c r="J1034" s="68"/>
      <c r="K1034" s="34" t="s">
        <v>64</v>
      </c>
      <c r="L1034" s="75">
        <v>1034</v>
      </c>
      <c r="M1034" s="75"/>
      <c r="N1034" s="70"/>
      <c r="O1034" s="77" t="s">
        <v>382</v>
      </c>
      <c r="P1034" s="79">
        <v>41124.25708333333</v>
      </c>
      <c r="Q1034" s="77"/>
      <c r="R1034" s="77"/>
      <c r="S1034" s="77"/>
      <c r="T1034" s="77"/>
      <c r="U1034" s="77"/>
      <c r="V1034" s="77"/>
      <c r="W1034" s="77"/>
      <c r="X1034" s="77"/>
      <c r="Y1034">
        <v>1</v>
      </c>
    </row>
    <row r="1035" spans="1:25" x14ac:dyDescent="0.25">
      <c r="A1035" s="62" t="s">
        <v>349</v>
      </c>
      <c r="B1035" s="62" t="s">
        <v>357</v>
      </c>
      <c r="C1035" s="63" t="s">
        <v>2222</v>
      </c>
      <c r="D1035" s="64">
        <v>1</v>
      </c>
      <c r="E1035" s="65"/>
      <c r="F1035" s="66">
        <v>100</v>
      </c>
      <c r="G1035" s="63"/>
      <c r="H1035" s="67"/>
      <c r="I1035" s="68"/>
      <c r="J1035" s="68"/>
      <c r="K1035" s="34" t="s">
        <v>64</v>
      </c>
      <c r="L1035" s="75">
        <v>1035</v>
      </c>
      <c r="M1035" s="75"/>
      <c r="N1035" s="70"/>
      <c r="O1035" s="77" t="s">
        <v>382</v>
      </c>
      <c r="P1035" s="79">
        <v>41124.25708333333</v>
      </c>
      <c r="Q1035" s="77"/>
      <c r="R1035" s="77"/>
      <c r="S1035" s="77"/>
      <c r="T1035" s="77"/>
      <c r="U1035" s="77"/>
      <c r="V1035" s="77"/>
      <c r="W1035" s="77"/>
      <c r="X1035" s="77"/>
      <c r="Y1035">
        <v>1</v>
      </c>
    </row>
    <row r="1036" spans="1:25" x14ac:dyDescent="0.25">
      <c r="A1036" s="62" t="s">
        <v>349</v>
      </c>
      <c r="B1036" s="62" t="s">
        <v>273</v>
      </c>
      <c r="C1036" s="63" t="s">
        <v>2222</v>
      </c>
      <c r="D1036" s="64">
        <v>1</v>
      </c>
      <c r="E1036" s="65"/>
      <c r="F1036" s="66">
        <v>100</v>
      </c>
      <c r="G1036" s="63"/>
      <c r="H1036" s="67"/>
      <c r="I1036" s="68"/>
      <c r="J1036" s="68"/>
      <c r="K1036" s="34" t="s">
        <v>65</v>
      </c>
      <c r="L1036" s="75">
        <v>1036</v>
      </c>
      <c r="M1036" s="75"/>
      <c r="N1036" s="70"/>
      <c r="O1036" s="77" t="s">
        <v>382</v>
      </c>
      <c r="P1036" s="79">
        <v>41124.25708333333</v>
      </c>
      <c r="Q1036" s="77"/>
      <c r="R1036" s="77"/>
      <c r="S1036" s="77"/>
      <c r="T1036" s="77"/>
      <c r="U1036" s="77"/>
      <c r="V1036" s="77"/>
      <c r="W1036" s="77"/>
      <c r="X1036" s="77"/>
      <c r="Y1036">
        <v>1</v>
      </c>
    </row>
    <row r="1037" spans="1:25" x14ac:dyDescent="0.25">
      <c r="A1037" s="62" t="s">
        <v>349</v>
      </c>
      <c r="B1037" s="62" t="s">
        <v>240</v>
      </c>
      <c r="C1037" s="63" t="s">
        <v>2222</v>
      </c>
      <c r="D1037" s="64">
        <v>1</v>
      </c>
      <c r="E1037" s="65"/>
      <c r="F1037" s="66">
        <v>100</v>
      </c>
      <c r="G1037" s="63"/>
      <c r="H1037" s="67"/>
      <c r="I1037" s="68"/>
      <c r="J1037" s="68"/>
      <c r="K1037" s="34" t="s">
        <v>65</v>
      </c>
      <c r="L1037" s="75">
        <v>1037</v>
      </c>
      <c r="M1037" s="75"/>
      <c r="N1037" s="70"/>
      <c r="O1037" s="77" t="s">
        <v>382</v>
      </c>
      <c r="P1037" s="79">
        <v>41124.25708333333</v>
      </c>
      <c r="Q1037" s="77"/>
      <c r="R1037" s="77"/>
      <c r="S1037" s="77"/>
      <c r="T1037" s="77"/>
      <c r="U1037" s="77"/>
      <c r="V1037" s="77"/>
      <c r="W1037" s="77"/>
      <c r="X1037" s="77"/>
      <c r="Y1037">
        <v>1</v>
      </c>
    </row>
    <row r="1038" spans="1:25" x14ac:dyDescent="0.25">
      <c r="A1038" s="62" t="s">
        <v>352</v>
      </c>
      <c r="B1038" s="62" t="s">
        <v>349</v>
      </c>
      <c r="C1038" s="63" t="s">
        <v>2222</v>
      </c>
      <c r="D1038" s="64">
        <v>1</v>
      </c>
      <c r="E1038" s="65"/>
      <c r="F1038" s="66">
        <v>100</v>
      </c>
      <c r="G1038" s="63"/>
      <c r="H1038" s="67"/>
      <c r="I1038" s="68"/>
      <c r="J1038" s="68"/>
      <c r="K1038" s="34" t="s">
        <v>65</v>
      </c>
      <c r="L1038" s="75">
        <v>1038</v>
      </c>
      <c r="M1038" s="75"/>
      <c r="N1038" s="70"/>
      <c r="O1038" s="77" t="s">
        <v>382</v>
      </c>
      <c r="P1038" s="79">
        <v>41124.25708333333</v>
      </c>
      <c r="Q1038" s="77"/>
      <c r="R1038" s="77"/>
      <c r="S1038" s="77"/>
      <c r="T1038" s="77"/>
      <c r="U1038" s="77"/>
      <c r="V1038" s="77"/>
      <c r="W1038" s="77"/>
      <c r="X1038" s="77"/>
      <c r="Y1038">
        <v>1</v>
      </c>
    </row>
    <row r="1039" spans="1:25" x14ac:dyDescent="0.25">
      <c r="A1039" s="62" t="s">
        <v>364</v>
      </c>
      <c r="B1039" s="62" t="s">
        <v>364</v>
      </c>
      <c r="C1039" s="63" t="s">
        <v>2219</v>
      </c>
      <c r="D1039" s="64">
        <v>1</v>
      </c>
      <c r="E1039" s="65"/>
      <c r="F1039" s="66">
        <v>100</v>
      </c>
      <c r="G1039" s="63"/>
      <c r="H1039" s="67"/>
      <c r="I1039" s="68"/>
      <c r="J1039" s="68"/>
      <c r="K1039" s="34" t="s">
        <v>64</v>
      </c>
      <c r="L1039" s="75">
        <v>1039</v>
      </c>
      <c r="M1039" s="75"/>
      <c r="N1039" s="70"/>
      <c r="O1039" s="77" t="s">
        <v>180</v>
      </c>
      <c r="P1039" s="79">
        <v>41123.720104166663</v>
      </c>
      <c r="Q1039" s="77" t="s">
        <v>580</v>
      </c>
      <c r="R1039" s="77"/>
      <c r="S1039" s="77"/>
      <c r="T1039" s="79">
        <v>41123.720104166663</v>
      </c>
      <c r="U1039" s="81" t="s">
        <v>919</v>
      </c>
      <c r="V1039" s="77"/>
      <c r="W1039" s="77"/>
      <c r="X1039" s="84" t="s">
        <v>1216</v>
      </c>
      <c r="Y1039" s="82">
        <v>1</v>
      </c>
    </row>
    <row r="1040" spans="1:25" x14ac:dyDescent="0.25">
      <c r="A1040" s="62" t="s">
        <v>364</v>
      </c>
      <c r="B1040" s="62" t="s">
        <v>352</v>
      </c>
      <c r="C1040" s="63" t="s">
        <v>2222</v>
      </c>
      <c r="D1040" s="64">
        <v>1</v>
      </c>
      <c r="E1040" s="65"/>
      <c r="F1040" s="66">
        <v>100</v>
      </c>
      <c r="G1040" s="63"/>
      <c r="H1040" s="67"/>
      <c r="I1040" s="68"/>
      <c r="J1040" s="68"/>
      <c r="K1040" s="34" t="s">
        <v>65</v>
      </c>
      <c r="L1040" s="75">
        <v>1040</v>
      </c>
      <c r="M1040" s="75"/>
      <c r="N1040" s="70"/>
      <c r="O1040" s="77" t="s">
        <v>382</v>
      </c>
      <c r="P1040" s="79">
        <v>41124.25708333333</v>
      </c>
      <c r="Q1040" s="77"/>
      <c r="R1040" s="77"/>
      <c r="S1040" s="77"/>
      <c r="T1040" s="77"/>
      <c r="U1040" s="77"/>
      <c r="V1040" s="77"/>
      <c r="W1040" s="77"/>
      <c r="X1040" s="77"/>
      <c r="Y1040">
        <v>1</v>
      </c>
    </row>
    <row r="1041" spans="1:25" x14ac:dyDescent="0.25">
      <c r="A1041" s="62" t="s">
        <v>357</v>
      </c>
      <c r="B1041" s="62" t="s">
        <v>364</v>
      </c>
      <c r="C1041" s="63" t="s">
        <v>2222</v>
      </c>
      <c r="D1041" s="64">
        <v>1</v>
      </c>
      <c r="E1041" s="65"/>
      <c r="F1041" s="66">
        <v>100</v>
      </c>
      <c r="G1041" s="63"/>
      <c r="H1041" s="67"/>
      <c r="I1041" s="68"/>
      <c r="J1041" s="68"/>
      <c r="K1041" s="34" t="s">
        <v>64</v>
      </c>
      <c r="L1041" s="75">
        <v>1041</v>
      </c>
      <c r="M1041" s="75"/>
      <c r="N1041" s="70"/>
      <c r="O1041" s="77" t="s">
        <v>382</v>
      </c>
      <c r="P1041" s="79">
        <v>41124.25708333333</v>
      </c>
      <c r="Q1041" s="77"/>
      <c r="R1041" s="77"/>
      <c r="S1041" s="77"/>
      <c r="T1041" s="77"/>
      <c r="U1041" s="77"/>
      <c r="V1041" s="77"/>
      <c r="W1041" s="77"/>
      <c r="X1041" s="77"/>
      <c r="Y1041">
        <v>1</v>
      </c>
    </row>
    <row r="1042" spans="1:25" x14ac:dyDescent="0.25">
      <c r="A1042" s="62" t="s">
        <v>352</v>
      </c>
      <c r="B1042" s="62" t="s">
        <v>364</v>
      </c>
      <c r="C1042" s="63" t="s">
        <v>2222</v>
      </c>
      <c r="D1042" s="64">
        <v>1</v>
      </c>
      <c r="E1042" s="65"/>
      <c r="F1042" s="66">
        <v>100</v>
      </c>
      <c r="G1042" s="63"/>
      <c r="H1042" s="67"/>
      <c r="I1042" s="68"/>
      <c r="J1042" s="68"/>
      <c r="K1042" s="34" t="s">
        <v>65</v>
      </c>
      <c r="L1042" s="75">
        <v>1042</v>
      </c>
      <c r="M1042" s="75"/>
      <c r="N1042" s="70"/>
      <c r="O1042" s="77" t="s">
        <v>382</v>
      </c>
      <c r="P1042" s="79">
        <v>41124.25708333333</v>
      </c>
      <c r="Q1042" s="77"/>
      <c r="R1042" s="77"/>
      <c r="S1042" s="77"/>
      <c r="T1042" s="77"/>
      <c r="U1042" s="77"/>
      <c r="V1042" s="77"/>
      <c r="W1042" s="77"/>
      <c r="X1042" s="77"/>
      <c r="Y1042">
        <v>1</v>
      </c>
    </row>
    <row r="1043" spans="1:25" x14ac:dyDescent="0.25">
      <c r="A1043" s="62" t="s">
        <v>369</v>
      </c>
      <c r="B1043" s="62" t="s">
        <v>369</v>
      </c>
      <c r="C1043" s="63" t="s">
        <v>2219</v>
      </c>
      <c r="D1043" s="64">
        <v>1</v>
      </c>
      <c r="E1043" s="65"/>
      <c r="F1043" s="66">
        <v>100</v>
      </c>
      <c r="G1043" s="63"/>
      <c r="H1043" s="67"/>
      <c r="I1043" s="68"/>
      <c r="J1043" s="68"/>
      <c r="K1043" s="34" t="s">
        <v>64</v>
      </c>
      <c r="L1043" s="75">
        <v>1043</v>
      </c>
      <c r="M1043" s="75"/>
      <c r="N1043" s="70"/>
      <c r="O1043" s="77" t="s">
        <v>180</v>
      </c>
      <c r="P1043" s="79">
        <v>41123.650949074072</v>
      </c>
      <c r="Q1043" s="77" t="s">
        <v>581</v>
      </c>
      <c r="R1043" s="81" t="s">
        <v>629</v>
      </c>
      <c r="S1043" s="77"/>
      <c r="T1043" s="79">
        <v>41123.650949074072</v>
      </c>
      <c r="U1043" s="81" t="s">
        <v>920</v>
      </c>
      <c r="V1043" s="77"/>
      <c r="W1043" s="77"/>
      <c r="X1043" s="84" t="s">
        <v>1217</v>
      </c>
      <c r="Y1043" s="82">
        <v>1</v>
      </c>
    </row>
    <row r="1044" spans="1:25" x14ac:dyDescent="0.25">
      <c r="A1044" s="62" t="s">
        <v>369</v>
      </c>
      <c r="B1044" s="62" t="s">
        <v>323</v>
      </c>
      <c r="C1044" s="63" t="s">
        <v>2222</v>
      </c>
      <c r="D1044" s="64">
        <v>1</v>
      </c>
      <c r="E1044" s="65"/>
      <c r="F1044" s="66">
        <v>100</v>
      </c>
      <c r="G1044" s="63"/>
      <c r="H1044" s="67"/>
      <c r="I1044" s="68"/>
      <c r="J1044" s="68"/>
      <c r="K1044" s="34" t="s">
        <v>64</v>
      </c>
      <c r="L1044" s="75">
        <v>1044</v>
      </c>
      <c r="M1044" s="75"/>
      <c r="N1044" s="70"/>
      <c r="O1044" s="77" t="s">
        <v>382</v>
      </c>
      <c r="P1044" s="79">
        <v>41124.25708333333</v>
      </c>
      <c r="Q1044" s="77"/>
      <c r="R1044" s="77"/>
      <c r="S1044" s="77"/>
      <c r="T1044" s="77"/>
      <c r="U1044" s="77"/>
      <c r="V1044" s="77"/>
      <c r="W1044" s="77"/>
      <c r="X1044" s="77"/>
      <c r="Y1044">
        <v>1</v>
      </c>
    </row>
    <row r="1045" spans="1:25" x14ac:dyDescent="0.25">
      <c r="A1045" s="62" t="s">
        <v>352</v>
      </c>
      <c r="B1045" s="62" t="s">
        <v>369</v>
      </c>
      <c r="C1045" s="63" t="s">
        <v>2222</v>
      </c>
      <c r="D1045" s="64">
        <v>1</v>
      </c>
      <c r="E1045" s="65"/>
      <c r="F1045" s="66">
        <v>100</v>
      </c>
      <c r="G1045" s="63"/>
      <c r="H1045" s="67"/>
      <c r="I1045" s="68"/>
      <c r="J1045" s="68"/>
      <c r="K1045" s="34" t="s">
        <v>64</v>
      </c>
      <c r="L1045" s="75">
        <v>1045</v>
      </c>
      <c r="M1045" s="75"/>
      <c r="N1045" s="70"/>
      <c r="O1045" s="77" t="s">
        <v>382</v>
      </c>
      <c r="P1045" s="79">
        <v>41124.25708333333</v>
      </c>
      <c r="Q1045" s="77"/>
      <c r="R1045" s="77"/>
      <c r="S1045" s="77"/>
      <c r="T1045" s="77"/>
      <c r="U1045" s="77"/>
      <c r="V1045" s="77"/>
      <c r="W1045" s="77"/>
      <c r="X1045" s="77"/>
      <c r="Y1045">
        <v>1</v>
      </c>
    </row>
    <row r="1046" spans="1:25" x14ac:dyDescent="0.25">
      <c r="A1046" s="62" t="s">
        <v>239</v>
      </c>
      <c r="B1046" s="62" t="s">
        <v>239</v>
      </c>
      <c r="C1046" s="63" t="s">
        <v>2219</v>
      </c>
      <c r="D1046" s="64">
        <v>1</v>
      </c>
      <c r="E1046" s="65"/>
      <c r="F1046" s="66">
        <v>100</v>
      </c>
      <c r="G1046" s="63"/>
      <c r="H1046" s="67"/>
      <c r="I1046" s="68"/>
      <c r="J1046" s="68"/>
      <c r="K1046" s="34" t="s">
        <v>64</v>
      </c>
      <c r="L1046" s="75">
        <v>1046</v>
      </c>
      <c r="M1046" s="75"/>
      <c r="N1046" s="70"/>
      <c r="O1046" s="77" t="s">
        <v>180</v>
      </c>
      <c r="P1046" s="79">
        <v>41123.74732638889</v>
      </c>
      <c r="Q1046" s="77" t="s">
        <v>433</v>
      </c>
      <c r="R1046" s="81" t="s">
        <v>615</v>
      </c>
      <c r="S1046" s="77"/>
      <c r="T1046" s="79">
        <v>41123.74732638889</v>
      </c>
      <c r="U1046" s="81" t="s">
        <v>921</v>
      </c>
      <c r="V1046" s="77"/>
      <c r="W1046" s="77"/>
      <c r="X1046" s="84" t="s">
        <v>1218</v>
      </c>
      <c r="Y1046" s="82">
        <v>1</v>
      </c>
    </row>
    <row r="1047" spans="1:25" x14ac:dyDescent="0.25">
      <c r="A1047" s="62" t="s">
        <v>218</v>
      </c>
      <c r="B1047" s="62" t="s">
        <v>239</v>
      </c>
      <c r="C1047" s="63" t="s">
        <v>2222</v>
      </c>
      <c r="D1047" s="64">
        <v>1</v>
      </c>
      <c r="E1047" s="65"/>
      <c r="F1047" s="66">
        <v>100</v>
      </c>
      <c r="G1047" s="63"/>
      <c r="H1047" s="67"/>
      <c r="I1047" s="68"/>
      <c r="J1047" s="68"/>
      <c r="K1047" s="34" t="s">
        <v>64</v>
      </c>
      <c r="L1047" s="75">
        <v>1047</v>
      </c>
      <c r="M1047" s="75"/>
      <c r="N1047" s="70"/>
      <c r="O1047" s="77" t="s">
        <v>382</v>
      </c>
      <c r="P1047" s="79">
        <v>41124.25708333333</v>
      </c>
      <c r="Q1047" s="77"/>
      <c r="R1047" s="77"/>
      <c r="S1047" s="77"/>
      <c r="T1047" s="77"/>
      <c r="U1047" s="77"/>
      <c r="V1047" s="77"/>
      <c r="W1047" s="77"/>
      <c r="X1047" s="77"/>
      <c r="Y1047">
        <v>1</v>
      </c>
    </row>
    <row r="1048" spans="1:25" x14ac:dyDescent="0.25">
      <c r="A1048" s="62" t="s">
        <v>239</v>
      </c>
      <c r="B1048" s="62" t="s">
        <v>376</v>
      </c>
      <c r="C1048" s="63" t="s">
        <v>2222</v>
      </c>
      <c r="D1048" s="64">
        <v>1</v>
      </c>
      <c r="E1048" s="65"/>
      <c r="F1048" s="66">
        <v>100</v>
      </c>
      <c r="G1048" s="63"/>
      <c r="H1048" s="67"/>
      <c r="I1048" s="68"/>
      <c r="J1048" s="68"/>
      <c r="K1048" s="34" t="s">
        <v>64</v>
      </c>
      <c r="L1048" s="75">
        <v>1048</v>
      </c>
      <c r="M1048" s="75"/>
      <c r="N1048" s="70"/>
      <c r="O1048" s="77" t="s">
        <v>382</v>
      </c>
      <c r="P1048" s="79">
        <v>41124.25708333333</v>
      </c>
      <c r="Q1048" s="77"/>
      <c r="R1048" s="77"/>
      <c r="S1048" s="77"/>
      <c r="T1048" s="77"/>
      <c r="U1048" s="77"/>
      <c r="V1048" s="77"/>
      <c r="W1048" s="77"/>
      <c r="X1048" s="77"/>
      <c r="Y1048">
        <v>1</v>
      </c>
    </row>
    <row r="1049" spans="1:25" x14ac:dyDescent="0.25">
      <c r="A1049" s="62" t="s">
        <v>239</v>
      </c>
      <c r="B1049" s="62" t="s">
        <v>352</v>
      </c>
      <c r="C1049" s="63" t="s">
        <v>2222</v>
      </c>
      <c r="D1049" s="64">
        <v>1</v>
      </c>
      <c r="E1049" s="65"/>
      <c r="F1049" s="66">
        <v>100</v>
      </c>
      <c r="G1049" s="63"/>
      <c r="H1049" s="67"/>
      <c r="I1049" s="68"/>
      <c r="J1049" s="68"/>
      <c r="K1049" s="34" t="s">
        <v>65</v>
      </c>
      <c r="L1049" s="75">
        <v>1049</v>
      </c>
      <c r="M1049" s="75"/>
      <c r="N1049" s="70"/>
      <c r="O1049" s="77" t="s">
        <v>382</v>
      </c>
      <c r="P1049" s="79">
        <v>41124.25708333333</v>
      </c>
      <c r="Q1049" s="77"/>
      <c r="R1049" s="77"/>
      <c r="S1049" s="77"/>
      <c r="T1049" s="77"/>
      <c r="U1049" s="77"/>
      <c r="V1049" s="77"/>
      <c r="W1049" s="77"/>
      <c r="X1049" s="77"/>
      <c r="Y1049">
        <v>1</v>
      </c>
    </row>
    <row r="1050" spans="1:25" x14ac:dyDescent="0.25">
      <c r="A1050" s="62" t="s">
        <v>239</v>
      </c>
      <c r="B1050" s="62" t="s">
        <v>240</v>
      </c>
      <c r="C1050" s="63" t="s">
        <v>2222</v>
      </c>
      <c r="D1050" s="64">
        <v>1</v>
      </c>
      <c r="E1050" s="65"/>
      <c r="F1050" s="66">
        <v>100</v>
      </c>
      <c r="G1050" s="63"/>
      <c r="H1050" s="67"/>
      <c r="I1050" s="68"/>
      <c r="J1050" s="68"/>
      <c r="K1050" s="34" t="s">
        <v>65</v>
      </c>
      <c r="L1050" s="75">
        <v>1050</v>
      </c>
      <c r="M1050" s="75"/>
      <c r="N1050" s="70"/>
      <c r="O1050" s="77" t="s">
        <v>382</v>
      </c>
      <c r="P1050" s="79">
        <v>41124.25708333333</v>
      </c>
      <c r="Q1050" s="77"/>
      <c r="R1050" s="77"/>
      <c r="S1050" s="77"/>
      <c r="T1050" s="77"/>
      <c r="U1050" s="77"/>
      <c r="V1050" s="77"/>
      <c r="W1050" s="77"/>
      <c r="X1050" s="77"/>
      <c r="Y1050">
        <v>1</v>
      </c>
    </row>
    <row r="1051" spans="1:25" x14ac:dyDescent="0.25">
      <c r="A1051" s="62" t="s">
        <v>239</v>
      </c>
      <c r="B1051" s="62" t="s">
        <v>322</v>
      </c>
      <c r="C1051" s="63" t="s">
        <v>2222</v>
      </c>
      <c r="D1051" s="64">
        <v>1</v>
      </c>
      <c r="E1051" s="65"/>
      <c r="F1051" s="66">
        <v>100</v>
      </c>
      <c r="G1051" s="63"/>
      <c r="H1051" s="67"/>
      <c r="I1051" s="68"/>
      <c r="J1051" s="68"/>
      <c r="K1051" s="34" t="s">
        <v>64</v>
      </c>
      <c r="L1051" s="75">
        <v>1051</v>
      </c>
      <c r="M1051" s="75"/>
      <c r="N1051" s="70"/>
      <c r="O1051" s="77" t="s">
        <v>382</v>
      </c>
      <c r="P1051" s="79">
        <v>41124.25708333333</v>
      </c>
      <c r="Q1051" s="77"/>
      <c r="R1051" s="77"/>
      <c r="S1051" s="77"/>
      <c r="T1051" s="77"/>
      <c r="U1051" s="77"/>
      <c r="V1051" s="77"/>
      <c r="W1051" s="77"/>
      <c r="X1051" s="77"/>
      <c r="Y1051">
        <v>1</v>
      </c>
    </row>
    <row r="1052" spans="1:25" x14ac:dyDescent="0.25">
      <c r="A1052" s="62" t="s">
        <v>239</v>
      </c>
      <c r="B1052" s="62" t="s">
        <v>331</v>
      </c>
      <c r="C1052" s="63" t="s">
        <v>2222</v>
      </c>
      <c r="D1052" s="64">
        <v>1</v>
      </c>
      <c r="E1052" s="65"/>
      <c r="F1052" s="66">
        <v>100</v>
      </c>
      <c r="G1052" s="63"/>
      <c r="H1052" s="67"/>
      <c r="I1052" s="68"/>
      <c r="J1052" s="68"/>
      <c r="K1052" s="34" t="s">
        <v>65</v>
      </c>
      <c r="L1052" s="75">
        <v>1052</v>
      </c>
      <c r="M1052" s="75"/>
      <c r="N1052" s="70"/>
      <c r="O1052" s="77" t="s">
        <v>382</v>
      </c>
      <c r="P1052" s="79">
        <v>41124.25708333333</v>
      </c>
      <c r="Q1052" s="77"/>
      <c r="R1052" s="77"/>
      <c r="S1052" s="77"/>
      <c r="T1052" s="77"/>
      <c r="U1052" s="77"/>
      <c r="V1052" s="77"/>
      <c r="W1052" s="77"/>
      <c r="X1052" s="77"/>
      <c r="Y1052">
        <v>1</v>
      </c>
    </row>
    <row r="1053" spans="1:25" x14ac:dyDescent="0.25">
      <c r="A1053" s="62" t="s">
        <v>239</v>
      </c>
      <c r="B1053" s="62" t="s">
        <v>367</v>
      </c>
      <c r="C1053" s="63" t="s">
        <v>2222</v>
      </c>
      <c r="D1053" s="64">
        <v>1</v>
      </c>
      <c r="E1053" s="65"/>
      <c r="F1053" s="66">
        <v>100</v>
      </c>
      <c r="G1053" s="63"/>
      <c r="H1053" s="67"/>
      <c r="I1053" s="68"/>
      <c r="J1053" s="68"/>
      <c r="K1053" s="34" t="s">
        <v>64</v>
      </c>
      <c r="L1053" s="75">
        <v>1053</v>
      </c>
      <c r="M1053" s="75"/>
      <c r="N1053" s="70"/>
      <c r="O1053" s="77" t="s">
        <v>382</v>
      </c>
      <c r="P1053" s="79">
        <v>41124.25708333333</v>
      </c>
      <c r="Q1053" s="77"/>
      <c r="R1053" s="77"/>
      <c r="S1053" s="77"/>
      <c r="T1053" s="77"/>
      <c r="U1053" s="77"/>
      <c r="V1053" s="77"/>
      <c r="W1053" s="77"/>
      <c r="X1053" s="77"/>
      <c r="Y1053">
        <v>1</v>
      </c>
    </row>
    <row r="1054" spans="1:25" x14ac:dyDescent="0.25">
      <c r="A1054" s="62" t="s">
        <v>240</v>
      </c>
      <c r="B1054" s="62" t="s">
        <v>239</v>
      </c>
      <c r="C1054" s="63" t="s">
        <v>2222</v>
      </c>
      <c r="D1054" s="64">
        <v>1</v>
      </c>
      <c r="E1054" s="65"/>
      <c r="F1054" s="66">
        <v>100</v>
      </c>
      <c r="G1054" s="63"/>
      <c r="H1054" s="67"/>
      <c r="I1054" s="68"/>
      <c r="J1054" s="68"/>
      <c r="K1054" s="34" t="s">
        <v>65</v>
      </c>
      <c r="L1054" s="75">
        <v>1054</v>
      </c>
      <c r="M1054" s="75"/>
      <c r="N1054" s="70"/>
      <c r="O1054" s="77" t="s">
        <v>382</v>
      </c>
      <c r="P1054" s="79">
        <v>41124.25708333333</v>
      </c>
      <c r="Q1054" s="77"/>
      <c r="R1054" s="77"/>
      <c r="S1054" s="77"/>
      <c r="T1054" s="77"/>
      <c r="U1054" s="77"/>
      <c r="V1054" s="77"/>
      <c r="W1054" s="77"/>
      <c r="X1054" s="77"/>
      <c r="Y1054">
        <v>1</v>
      </c>
    </row>
    <row r="1055" spans="1:25" x14ac:dyDescent="0.25">
      <c r="A1055" s="62" t="s">
        <v>302</v>
      </c>
      <c r="B1055" s="62" t="s">
        <v>239</v>
      </c>
      <c r="C1055" s="63" t="s">
        <v>2222</v>
      </c>
      <c r="D1055" s="64">
        <v>1</v>
      </c>
      <c r="E1055" s="65"/>
      <c r="F1055" s="66">
        <v>100</v>
      </c>
      <c r="G1055" s="63"/>
      <c r="H1055" s="67"/>
      <c r="I1055" s="68"/>
      <c r="J1055" s="68"/>
      <c r="K1055" s="34" t="s">
        <v>64</v>
      </c>
      <c r="L1055" s="75">
        <v>1055</v>
      </c>
      <c r="M1055" s="75"/>
      <c r="N1055" s="70"/>
      <c r="O1055" s="77" t="s">
        <v>382</v>
      </c>
      <c r="P1055" s="79">
        <v>41124.25708333333</v>
      </c>
      <c r="Q1055" s="77"/>
      <c r="R1055" s="77"/>
      <c r="S1055" s="77"/>
      <c r="T1055" s="77"/>
      <c r="U1055" s="77"/>
      <c r="V1055" s="77"/>
      <c r="W1055" s="77"/>
      <c r="X1055" s="77"/>
      <c r="Y1055">
        <v>1</v>
      </c>
    </row>
    <row r="1056" spans="1:25" x14ac:dyDescent="0.25">
      <c r="A1056" s="62" t="s">
        <v>331</v>
      </c>
      <c r="B1056" s="62" t="s">
        <v>239</v>
      </c>
      <c r="C1056" s="63" t="s">
        <v>2222</v>
      </c>
      <c r="D1056" s="64">
        <v>1</v>
      </c>
      <c r="E1056" s="65"/>
      <c r="F1056" s="66">
        <v>100</v>
      </c>
      <c r="G1056" s="63"/>
      <c r="H1056" s="67"/>
      <c r="I1056" s="68"/>
      <c r="J1056" s="68"/>
      <c r="K1056" s="34" t="s">
        <v>65</v>
      </c>
      <c r="L1056" s="75">
        <v>1056</v>
      </c>
      <c r="M1056" s="75"/>
      <c r="N1056" s="70"/>
      <c r="O1056" s="77" t="s">
        <v>382</v>
      </c>
      <c r="P1056" s="79">
        <v>41124.25708333333</v>
      </c>
      <c r="Q1056" s="77"/>
      <c r="R1056" s="77"/>
      <c r="S1056" s="77"/>
      <c r="T1056" s="77"/>
      <c r="U1056" s="77"/>
      <c r="V1056" s="77"/>
      <c r="W1056" s="77"/>
      <c r="X1056" s="77"/>
      <c r="Y1056">
        <v>1</v>
      </c>
    </row>
    <row r="1057" spans="1:25" x14ac:dyDescent="0.25">
      <c r="A1057" s="62" t="s">
        <v>352</v>
      </c>
      <c r="B1057" s="62" t="s">
        <v>239</v>
      </c>
      <c r="C1057" s="63" t="s">
        <v>2222</v>
      </c>
      <c r="D1057" s="64">
        <v>1</v>
      </c>
      <c r="E1057" s="65"/>
      <c r="F1057" s="66">
        <v>100</v>
      </c>
      <c r="G1057" s="63"/>
      <c r="H1057" s="67"/>
      <c r="I1057" s="68"/>
      <c r="J1057" s="68"/>
      <c r="K1057" s="34" t="s">
        <v>65</v>
      </c>
      <c r="L1057" s="75">
        <v>1057</v>
      </c>
      <c r="M1057" s="75"/>
      <c r="N1057" s="70"/>
      <c r="O1057" s="77" t="s">
        <v>382</v>
      </c>
      <c r="P1057" s="79">
        <v>41124.25708333333</v>
      </c>
      <c r="Q1057" s="77"/>
      <c r="R1057" s="77"/>
      <c r="S1057" s="77"/>
      <c r="T1057" s="77"/>
      <c r="U1057" s="77"/>
      <c r="V1057" s="77"/>
      <c r="W1057" s="77"/>
      <c r="X1057" s="77"/>
      <c r="Y1057">
        <v>1</v>
      </c>
    </row>
    <row r="1058" spans="1:25" x14ac:dyDescent="0.25">
      <c r="A1058" s="62" t="s">
        <v>233</v>
      </c>
      <c r="B1058" s="62" t="s">
        <v>233</v>
      </c>
      <c r="C1058" s="63" t="s">
        <v>2219</v>
      </c>
      <c r="D1058" s="64">
        <v>1</v>
      </c>
      <c r="E1058" s="65"/>
      <c r="F1058" s="66">
        <v>100</v>
      </c>
      <c r="G1058" s="63"/>
      <c r="H1058" s="67"/>
      <c r="I1058" s="68"/>
      <c r="J1058" s="68"/>
      <c r="K1058" s="34" t="s">
        <v>64</v>
      </c>
      <c r="L1058" s="75">
        <v>1058</v>
      </c>
      <c r="M1058" s="75"/>
      <c r="N1058" s="70"/>
      <c r="O1058" s="77" t="s">
        <v>180</v>
      </c>
      <c r="P1058" s="79">
        <v>41123.706180555557</v>
      </c>
      <c r="Q1058" s="77" t="s">
        <v>582</v>
      </c>
      <c r="R1058" s="77"/>
      <c r="S1058" s="77"/>
      <c r="T1058" s="79">
        <v>41123.706180555557</v>
      </c>
      <c r="U1058" s="81" t="s">
        <v>922</v>
      </c>
      <c r="V1058" s="77"/>
      <c r="W1058" s="77"/>
      <c r="X1058" s="84" t="s">
        <v>1219</v>
      </c>
      <c r="Y1058" s="82">
        <v>1</v>
      </c>
    </row>
    <row r="1059" spans="1:25" x14ac:dyDescent="0.25">
      <c r="A1059" s="62" t="s">
        <v>233</v>
      </c>
      <c r="B1059" s="62" t="s">
        <v>376</v>
      </c>
      <c r="C1059" s="63" t="s">
        <v>2222</v>
      </c>
      <c r="D1059" s="64">
        <v>1</v>
      </c>
      <c r="E1059" s="65"/>
      <c r="F1059" s="66">
        <v>100</v>
      </c>
      <c r="G1059" s="63"/>
      <c r="H1059" s="67"/>
      <c r="I1059" s="68"/>
      <c r="J1059" s="68"/>
      <c r="K1059" s="34" t="s">
        <v>64</v>
      </c>
      <c r="L1059" s="75">
        <v>1059</v>
      </c>
      <c r="M1059" s="75"/>
      <c r="N1059" s="70"/>
      <c r="O1059" s="77" t="s">
        <v>382</v>
      </c>
      <c r="P1059" s="79">
        <v>41124.25708333333</v>
      </c>
      <c r="Q1059" s="77"/>
      <c r="R1059" s="77"/>
      <c r="S1059" s="77"/>
      <c r="T1059" s="77"/>
      <c r="U1059" s="77"/>
      <c r="V1059" s="77"/>
      <c r="W1059" s="77"/>
      <c r="X1059" s="77"/>
      <c r="Y1059">
        <v>1</v>
      </c>
    </row>
    <row r="1060" spans="1:25" x14ac:dyDescent="0.25">
      <c r="A1060" s="62" t="s">
        <v>302</v>
      </c>
      <c r="B1060" s="62" t="s">
        <v>233</v>
      </c>
      <c r="C1060" s="63" t="s">
        <v>2222</v>
      </c>
      <c r="D1060" s="64">
        <v>1</v>
      </c>
      <c r="E1060" s="65"/>
      <c r="F1060" s="66">
        <v>100</v>
      </c>
      <c r="G1060" s="63"/>
      <c r="H1060" s="67"/>
      <c r="I1060" s="68"/>
      <c r="J1060" s="68"/>
      <c r="K1060" s="34" t="s">
        <v>64</v>
      </c>
      <c r="L1060" s="75">
        <v>1060</v>
      </c>
      <c r="M1060" s="75"/>
      <c r="N1060" s="70"/>
      <c r="O1060" s="77" t="s">
        <v>382</v>
      </c>
      <c r="P1060" s="79">
        <v>41124.25708333333</v>
      </c>
      <c r="Q1060" s="77"/>
      <c r="R1060" s="77"/>
      <c r="S1060" s="77"/>
      <c r="T1060" s="77"/>
      <c r="U1060" s="77"/>
      <c r="V1060" s="77"/>
      <c r="W1060" s="77"/>
      <c r="X1060" s="77"/>
      <c r="Y1060">
        <v>1</v>
      </c>
    </row>
    <row r="1061" spans="1:25" x14ac:dyDescent="0.25">
      <c r="A1061" s="62" t="s">
        <v>352</v>
      </c>
      <c r="B1061" s="62" t="s">
        <v>233</v>
      </c>
      <c r="C1061" s="63" t="s">
        <v>2222</v>
      </c>
      <c r="D1061" s="64">
        <v>1</v>
      </c>
      <c r="E1061" s="65"/>
      <c r="F1061" s="66">
        <v>100</v>
      </c>
      <c r="G1061" s="63"/>
      <c r="H1061" s="67"/>
      <c r="I1061" s="68"/>
      <c r="J1061" s="68"/>
      <c r="K1061" s="34" t="s">
        <v>64</v>
      </c>
      <c r="L1061" s="75">
        <v>1061</v>
      </c>
      <c r="M1061" s="75"/>
      <c r="N1061" s="70"/>
      <c r="O1061" s="77" t="s">
        <v>382</v>
      </c>
      <c r="P1061" s="79">
        <v>41124.25708333333</v>
      </c>
      <c r="Q1061" s="77"/>
      <c r="R1061" s="77"/>
      <c r="S1061" s="77"/>
      <c r="T1061" s="77"/>
      <c r="U1061" s="77"/>
      <c r="V1061" s="77"/>
      <c r="W1061" s="77"/>
      <c r="X1061" s="77"/>
      <c r="Y1061">
        <v>1</v>
      </c>
    </row>
    <row r="1062" spans="1:25" x14ac:dyDescent="0.25">
      <c r="A1062" s="62" t="s">
        <v>370</v>
      </c>
      <c r="B1062" s="62" t="s">
        <v>370</v>
      </c>
      <c r="C1062" s="63" t="s">
        <v>2219</v>
      </c>
      <c r="D1062" s="64">
        <v>1</v>
      </c>
      <c r="E1062" s="65"/>
      <c r="F1062" s="66">
        <v>100</v>
      </c>
      <c r="G1062" s="63"/>
      <c r="H1062" s="67"/>
      <c r="I1062" s="68"/>
      <c r="J1062" s="68"/>
      <c r="K1062" s="34" t="s">
        <v>64</v>
      </c>
      <c r="L1062" s="75">
        <v>1062</v>
      </c>
      <c r="M1062" s="75"/>
      <c r="N1062" s="70"/>
      <c r="O1062" s="77" t="s">
        <v>180</v>
      </c>
      <c r="P1062" s="79">
        <v>41123.665451388886</v>
      </c>
      <c r="Q1062" s="77" t="s">
        <v>583</v>
      </c>
      <c r="R1062" s="77"/>
      <c r="S1062" s="77"/>
      <c r="T1062" s="79">
        <v>41123.665451388886</v>
      </c>
      <c r="U1062" s="81" t="s">
        <v>923</v>
      </c>
      <c r="V1062" s="77"/>
      <c r="W1062" s="77"/>
      <c r="X1062" s="84" t="s">
        <v>1220</v>
      </c>
      <c r="Y1062" s="82">
        <v>1</v>
      </c>
    </row>
    <row r="1063" spans="1:25" x14ac:dyDescent="0.25">
      <c r="A1063" s="62" t="s">
        <v>370</v>
      </c>
      <c r="B1063" s="62" t="s">
        <v>367</v>
      </c>
      <c r="C1063" s="63" t="s">
        <v>2222</v>
      </c>
      <c r="D1063" s="64">
        <v>1</v>
      </c>
      <c r="E1063" s="65"/>
      <c r="F1063" s="66">
        <v>100</v>
      </c>
      <c r="G1063" s="63"/>
      <c r="H1063" s="67"/>
      <c r="I1063" s="68"/>
      <c r="J1063" s="68"/>
      <c r="K1063" s="34" t="s">
        <v>64</v>
      </c>
      <c r="L1063" s="75">
        <v>1063</v>
      </c>
      <c r="M1063" s="75"/>
      <c r="N1063" s="70"/>
      <c r="O1063" s="77" t="s">
        <v>382</v>
      </c>
      <c r="P1063" s="79">
        <v>41124.25708333333</v>
      </c>
      <c r="Q1063" s="77"/>
      <c r="R1063" s="77"/>
      <c r="S1063" s="77"/>
      <c r="T1063" s="77"/>
      <c r="U1063" s="77"/>
      <c r="V1063" s="77"/>
      <c r="W1063" s="77"/>
      <c r="X1063" s="77"/>
      <c r="Y1063">
        <v>1</v>
      </c>
    </row>
    <row r="1064" spans="1:25" x14ac:dyDescent="0.25">
      <c r="A1064" s="62" t="s">
        <v>352</v>
      </c>
      <c r="B1064" s="62" t="s">
        <v>370</v>
      </c>
      <c r="C1064" s="63" t="s">
        <v>2222</v>
      </c>
      <c r="D1064" s="64">
        <v>1</v>
      </c>
      <c r="E1064" s="65"/>
      <c r="F1064" s="66">
        <v>100</v>
      </c>
      <c r="G1064" s="63"/>
      <c r="H1064" s="67"/>
      <c r="I1064" s="68"/>
      <c r="J1064" s="68"/>
      <c r="K1064" s="34" t="s">
        <v>64</v>
      </c>
      <c r="L1064" s="75">
        <v>1064</v>
      </c>
      <c r="M1064" s="75"/>
      <c r="N1064" s="70"/>
      <c r="O1064" s="77" t="s">
        <v>382</v>
      </c>
      <c r="P1064" s="79">
        <v>41124.25708333333</v>
      </c>
      <c r="Q1064" s="77"/>
      <c r="R1064" s="77"/>
      <c r="S1064" s="77"/>
      <c r="T1064" s="77"/>
      <c r="U1064" s="77"/>
      <c r="V1064" s="77"/>
      <c r="W1064" s="77"/>
      <c r="X1064" s="77"/>
      <c r="Y1064">
        <v>1</v>
      </c>
    </row>
    <row r="1065" spans="1:25" x14ac:dyDescent="0.25">
      <c r="A1065" s="62" t="s">
        <v>357</v>
      </c>
      <c r="B1065" s="62" t="s">
        <v>357</v>
      </c>
      <c r="C1065" s="63" t="s">
        <v>2219</v>
      </c>
      <c r="D1065" s="64">
        <v>1</v>
      </c>
      <c r="E1065" s="65"/>
      <c r="F1065" s="66">
        <v>100</v>
      </c>
      <c r="G1065" s="63"/>
      <c r="H1065" s="67"/>
      <c r="I1065" s="68"/>
      <c r="J1065" s="68"/>
      <c r="K1065" s="34" t="s">
        <v>64</v>
      </c>
      <c r="L1065" s="75">
        <v>1065</v>
      </c>
      <c r="M1065" s="75"/>
      <c r="N1065" s="70"/>
      <c r="O1065" s="77" t="s">
        <v>180</v>
      </c>
      <c r="P1065" s="79">
        <v>41124.019548611112</v>
      </c>
      <c r="Q1065" s="77" t="s">
        <v>584</v>
      </c>
      <c r="R1065" s="77"/>
      <c r="S1065" s="77" t="s">
        <v>662</v>
      </c>
      <c r="T1065" s="79">
        <v>41124.019548611112</v>
      </c>
      <c r="U1065" s="81" t="s">
        <v>924</v>
      </c>
      <c r="V1065" s="77"/>
      <c r="W1065" s="77"/>
      <c r="X1065" s="84" t="s">
        <v>1221</v>
      </c>
      <c r="Y1065" s="82">
        <v>1</v>
      </c>
    </row>
    <row r="1066" spans="1:25" x14ac:dyDescent="0.25">
      <c r="A1066" s="62" t="s">
        <v>240</v>
      </c>
      <c r="B1066" s="62" t="s">
        <v>357</v>
      </c>
      <c r="C1066" s="63" t="s">
        <v>2222</v>
      </c>
      <c r="D1066" s="64">
        <v>1</v>
      </c>
      <c r="E1066" s="65"/>
      <c r="F1066" s="66">
        <v>100</v>
      </c>
      <c r="G1066" s="63"/>
      <c r="H1066" s="67"/>
      <c r="I1066" s="68"/>
      <c r="J1066" s="68"/>
      <c r="K1066" s="34" t="s">
        <v>65</v>
      </c>
      <c r="L1066" s="75">
        <v>1066</v>
      </c>
      <c r="M1066" s="75"/>
      <c r="N1066" s="70"/>
      <c r="O1066" s="77" t="s">
        <v>382</v>
      </c>
      <c r="P1066" s="79">
        <v>41124.25708333333</v>
      </c>
      <c r="Q1066" s="77"/>
      <c r="R1066" s="77"/>
      <c r="S1066" s="77"/>
      <c r="T1066" s="77"/>
      <c r="U1066" s="77"/>
      <c r="V1066" s="77"/>
      <c r="W1066" s="77"/>
      <c r="X1066" s="77"/>
      <c r="Y1066">
        <v>1</v>
      </c>
    </row>
    <row r="1067" spans="1:25" x14ac:dyDescent="0.25">
      <c r="A1067" s="62" t="s">
        <v>357</v>
      </c>
      <c r="B1067" s="62" t="s">
        <v>322</v>
      </c>
      <c r="C1067" s="63" t="s">
        <v>2222</v>
      </c>
      <c r="D1067" s="64">
        <v>1</v>
      </c>
      <c r="E1067" s="65"/>
      <c r="F1067" s="66">
        <v>100</v>
      </c>
      <c r="G1067" s="63"/>
      <c r="H1067" s="67"/>
      <c r="I1067" s="68"/>
      <c r="J1067" s="68"/>
      <c r="K1067" s="34" t="s">
        <v>64</v>
      </c>
      <c r="L1067" s="75">
        <v>1067</v>
      </c>
      <c r="M1067" s="75"/>
      <c r="N1067" s="70"/>
      <c r="O1067" s="77" t="s">
        <v>382</v>
      </c>
      <c r="P1067" s="79">
        <v>41124.25708333333</v>
      </c>
      <c r="Q1067" s="77"/>
      <c r="R1067" s="77"/>
      <c r="S1067" s="77"/>
      <c r="T1067" s="77"/>
      <c r="U1067" s="77"/>
      <c r="V1067" s="77"/>
      <c r="W1067" s="77"/>
      <c r="X1067" s="77"/>
      <c r="Y1067">
        <v>1</v>
      </c>
    </row>
    <row r="1068" spans="1:25" x14ac:dyDescent="0.25">
      <c r="A1068" s="62" t="s">
        <v>357</v>
      </c>
      <c r="B1068" s="62" t="s">
        <v>352</v>
      </c>
      <c r="C1068" s="63" t="s">
        <v>2222</v>
      </c>
      <c r="D1068" s="64">
        <v>1</v>
      </c>
      <c r="E1068" s="65"/>
      <c r="F1068" s="66">
        <v>100</v>
      </c>
      <c r="G1068" s="63"/>
      <c r="H1068" s="67"/>
      <c r="I1068" s="68"/>
      <c r="J1068" s="68"/>
      <c r="K1068" s="34" t="s">
        <v>65</v>
      </c>
      <c r="L1068" s="75">
        <v>1068</v>
      </c>
      <c r="M1068" s="75"/>
      <c r="N1068" s="70"/>
      <c r="O1068" s="77" t="s">
        <v>382</v>
      </c>
      <c r="P1068" s="79">
        <v>41124.25708333333</v>
      </c>
      <c r="Q1068" s="77"/>
      <c r="R1068" s="77"/>
      <c r="S1068" s="77"/>
      <c r="T1068" s="77"/>
      <c r="U1068" s="77"/>
      <c r="V1068" s="77"/>
      <c r="W1068" s="77"/>
      <c r="X1068" s="77"/>
      <c r="Y1068">
        <v>1</v>
      </c>
    </row>
    <row r="1069" spans="1:25" x14ac:dyDescent="0.25">
      <c r="A1069" s="62" t="s">
        <v>357</v>
      </c>
      <c r="B1069" s="62" t="s">
        <v>323</v>
      </c>
      <c r="C1069" s="63" t="s">
        <v>2222</v>
      </c>
      <c r="D1069" s="64">
        <v>1</v>
      </c>
      <c r="E1069" s="65"/>
      <c r="F1069" s="66">
        <v>100</v>
      </c>
      <c r="G1069" s="63"/>
      <c r="H1069" s="67"/>
      <c r="I1069" s="68"/>
      <c r="J1069" s="68"/>
      <c r="K1069" s="34" t="s">
        <v>65</v>
      </c>
      <c r="L1069" s="75">
        <v>1069</v>
      </c>
      <c r="M1069" s="75"/>
      <c r="N1069" s="70"/>
      <c r="O1069" s="77" t="s">
        <v>382</v>
      </c>
      <c r="P1069" s="79">
        <v>41124.25708333333</v>
      </c>
      <c r="Q1069" s="77"/>
      <c r="R1069" s="77"/>
      <c r="S1069" s="77"/>
      <c r="T1069" s="77"/>
      <c r="U1069" s="77"/>
      <c r="V1069" s="77"/>
      <c r="W1069" s="77"/>
      <c r="X1069" s="77"/>
      <c r="Y1069">
        <v>1</v>
      </c>
    </row>
    <row r="1070" spans="1:25" x14ac:dyDescent="0.25">
      <c r="A1070" s="62" t="s">
        <v>357</v>
      </c>
      <c r="B1070" s="62" t="s">
        <v>240</v>
      </c>
      <c r="C1070" s="63" t="s">
        <v>2222</v>
      </c>
      <c r="D1070" s="64">
        <v>1</v>
      </c>
      <c r="E1070" s="65"/>
      <c r="F1070" s="66">
        <v>100</v>
      </c>
      <c r="G1070" s="63"/>
      <c r="H1070" s="67"/>
      <c r="I1070" s="68"/>
      <c r="J1070" s="68"/>
      <c r="K1070" s="34" t="s">
        <v>65</v>
      </c>
      <c r="L1070" s="75">
        <v>1070</v>
      </c>
      <c r="M1070" s="75"/>
      <c r="N1070" s="70"/>
      <c r="O1070" s="77" t="s">
        <v>382</v>
      </c>
      <c r="P1070" s="79">
        <v>41124.25708333333</v>
      </c>
      <c r="Q1070" s="77"/>
      <c r="R1070" s="77"/>
      <c r="S1070" s="77"/>
      <c r="T1070" s="77"/>
      <c r="U1070" s="77"/>
      <c r="V1070" s="77"/>
      <c r="W1070" s="77"/>
      <c r="X1070" s="77"/>
      <c r="Y1070">
        <v>1</v>
      </c>
    </row>
    <row r="1071" spans="1:25" x14ac:dyDescent="0.25">
      <c r="A1071" s="62" t="s">
        <v>357</v>
      </c>
      <c r="B1071" s="62" t="s">
        <v>367</v>
      </c>
      <c r="C1071" s="63" t="s">
        <v>2222</v>
      </c>
      <c r="D1071" s="64">
        <v>1</v>
      </c>
      <c r="E1071" s="65"/>
      <c r="F1071" s="66">
        <v>100</v>
      </c>
      <c r="G1071" s="63"/>
      <c r="H1071" s="67"/>
      <c r="I1071" s="68"/>
      <c r="J1071" s="68"/>
      <c r="K1071" s="34" t="s">
        <v>64</v>
      </c>
      <c r="L1071" s="75">
        <v>1071</v>
      </c>
      <c r="M1071" s="75"/>
      <c r="N1071" s="70"/>
      <c r="O1071" s="77" t="s">
        <v>382</v>
      </c>
      <c r="P1071" s="79">
        <v>41124.25708333333</v>
      </c>
      <c r="Q1071" s="77"/>
      <c r="R1071" s="77"/>
      <c r="S1071" s="77"/>
      <c r="T1071" s="77"/>
      <c r="U1071" s="77"/>
      <c r="V1071" s="77"/>
      <c r="W1071" s="77"/>
      <c r="X1071" s="77"/>
      <c r="Y1071">
        <v>1</v>
      </c>
    </row>
    <row r="1072" spans="1:25" x14ac:dyDescent="0.25">
      <c r="A1072" s="62" t="s">
        <v>323</v>
      </c>
      <c r="B1072" s="62" t="s">
        <v>357</v>
      </c>
      <c r="C1072" s="63" t="s">
        <v>2222</v>
      </c>
      <c r="D1072" s="64">
        <v>1</v>
      </c>
      <c r="E1072" s="65"/>
      <c r="F1072" s="66">
        <v>100</v>
      </c>
      <c r="G1072" s="63"/>
      <c r="H1072" s="67"/>
      <c r="I1072" s="68"/>
      <c r="J1072" s="68"/>
      <c r="K1072" s="34" t="s">
        <v>65</v>
      </c>
      <c r="L1072" s="75">
        <v>1072</v>
      </c>
      <c r="M1072" s="75"/>
      <c r="N1072" s="70"/>
      <c r="O1072" s="77" t="s">
        <v>382</v>
      </c>
      <c r="P1072" s="79">
        <v>41124.25708333333</v>
      </c>
      <c r="Q1072" s="77"/>
      <c r="R1072" s="77"/>
      <c r="S1072" s="77"/>
      <c r="T1072" s="77"/>
      <c r="U1072" s="77"/>
      <c r="V1072" s="77"/>
      <c r="W1072" s="77"/>
      <c r="X1072" s="77"/>
      <c r="Y1072">
        <v>1</v>
      </c>
    </row>
    <row r="1073" spans="1:25" x14ac:dyDescent="0.25">
      <c r="A1073" s="62" t="s">
        <v>352</v>
      </c>
      <c r="B1073" s="62" t="s">
        <v>357</v>
      </c>
      <c r="C1073" s="63" t="s">
        <v>2222</v>
      </c>
      <c r="D1073" s="64">
        <v>1</v>
      </c>
      <c r="E1073" s="65"/>
      <c r="F1073" s="66">
        <v>100</v>
      </c>
      <c r="G1073" s="63"/>
      <c r="H1073" s="67"/>
      <c r="I1073" s="68"/>
      <c r="J1073" s="68"/>
      <c r="K1073" s="34" t="s">
        <v>65</v>
      </c>
      <c r="L1073" s="75">
        <v>1073</v>
      </c>
      <c r="M1073" s="75"/>
      <c r="N1073" s="70"/>
      <c r="O1073" s="77" t="s">
        <v>382</v>
      </c>
      <c r="P1073" s="79">
        <v>41124.25708333333</v>
      </c>
      <c r="Q1073" s="77"/>
      <c r="R1073" s="77"/>
      <c r="S1073" s="77"/>
      <c r="T1073" s="77"/>
      <c r="U1073" s="77"/>
      <c r="V1073" s="77"/>
      <c r="W1073" s="77"/>
      <c r="X1073" s="77"/>
      <c r="Y1073">
        <v>1</v>
      </c>
    </row>
    <row r="1074" spans="1:25" x14ac:dyDescent="0.25">
      <c r="A1074" s="62" t="s">
        <v>331</v>
      </c>
      <c r="B1074" s="62" t="s">
        <v>331</v>
      </c>
      <c r="C1074" s="63" t="s">
        <v>2219</v>
      </c>
      <c r="D1074" s="64">
        <v>1</v>
      </c>
      <c r="E1074" s="65"/>
      <c r="F1074" s="66">
        <v>100</v>
      </c>
      <c r="G1074" s="63"/>
      <c r="H1074" s="67"/>
      <c r="I1074" s="68"/>
      <c r="J1074" s="68"/>
      <c r="K1074" s="34" t="s">
        <v>64</v>
      </c>
      <c r="L1074" s="75">
        <v>1074</v>
      </c>
      <c r="M1074" s="75"/>
      <c r="N1074" s="70"/>
      <c r="O1074" s="77" t="s">
        <v>180</v>
      </c>
      <c r="P1074" s="79">
        <v>41124.064768518518</v>
      </c>
      <c r="Q1074" s="77" t="s">
        <v>585</v>
      </c>
      <c r="R1074" s="77"/>
      <c r="S1074" s="77"/>
      <c r="T1074" s="79">
        <v>41124.064768518518</v>
      </c>
      <c r="U1074" s="81" t="s">
        <v>925</v>
      </c>
      <c r="V1074" s="77"/>
      <c r="W1074" s="77"/>
      <c r="X1074" s="84" t="s">
        <v>1222</v>
      </c>
      <c r="Y1074" s="82">
        <v>1</v>
      </c>
    </row>
    <row r="1075" spans="1:25" x14ac:dyDescent="0.25">
      <c r="A1075" s="62" t="s">
        <v>218</v>
      </c>
      <c r="B1075" s="62" t="s">
        <v>331</v>
      </c>
      <c r="C1075" s="63" t="s">
        <v>2222</v>
      </c>
      <c r="D1075" s="64">
        <v>1</v>
      </c>
      <c r="E1075" s="65"/>
      <c r="F1075" s="66">
        <v>100</v>
      </c>
      <c r="G1075" s="63"/>
      <c r="H1075" s="67"/>
      <c r="I1075" s="68"/>
      <c r="J1075" s="68"/>
      <c r="K1075" s="34" t="s">
        <v>65</v>
      </c>
      <c r="L1075" s="75">
        <v>1075</v>
      </c>
      <c r="M1075" s="75"/>
      <c r="N1075" s="70"/>
      <c r="O1075" s="77" t="s">
        <v>382</v>
      </c>
      <c r="P1075" s="79">
        <v>41124.25708333333</v>
      </c>
      <c r="Q1075" s="77"/>
      <c r="R1075" s="77"/>
      <c r="S1075" s="77"/>
      <c r="T1075" s="77"/>
      <c r="U1075" s="77"/>
      <c r="V1075" s="77"/>
      <c r="W1075" s="77"/>
      <c r="X1075" s="77"/>
      <c r="Y1075">
        <v>1</v>
      </c>
    </row>
    <row r="1076" spans="1:25" x14ac:dyDescent="0.25">
      <c r="A1076" s="62" t="s">
        <v>240</v>
      </c>
      <c r="B1076" s="62" t="s">
        <v>331</v>
      </c>
      <c r="C1076" s="63" t="s">
        <v>2222</v>
      </c>
      <c r="D1076" s="64">
        <v>1</v>
      </c>
      <c r="E1076" s="65"/>
      <c r="F1076" s="66">
        <v>100</v>
      </c>
      <c r="G1076" s="63"/>
      <c r="H1076" s="67"/>
      <c r="I1076" s="68"/>
      <c r="J1076" s="68"/>
      <c r="K1076" s="34" t="s">
        <v>65</v>
      </c>
      <c r="L1076" s="75">
        <v>1076</v>
      </c>
      <c r="M1076" s="75"/>
      <c r="N1076" s="70"/>
      <c r="O1076" s="77" t="s">
        <v>382</v>
      </c>
      <c r="P1076" s="79">
        <v>41124.25708333333</v>
      </c>
      <c r="Q1076" s="77"/>
      <c r="R1076" s="77"/>
      <c r="S1076" s="77"/>
      <c r="T1076" s="77"/>
      <c r="U1076" s="77"/>
      <c r="V1076" s="77"/>
      <c r="W1076" s="77"/>
      <c r="X1076" s="77"/>
      <c r="Y1076">
        <v>1</v>
      </c>
    </row>
    <row r="1077" spans="1:25" x14ac:dyDescent="0.25">
      <c r="A1077" s="62" t="s">
        <v>331</v>
      </c>
      <c r="B1077" s="62" t="s">
        <v>322</v>
      </c>
      <c r="C1077" s="63" t="s">
        <v>2222</v>
      </c>
      <c r="D1077" s="64">
        <v>1</v>
      </c>
      <c r="E1077" s="65"/>
      <c r="F1077" s="66">
        <v>100</v>
      </c>
      <c r="G1077" s="63"/>
      <c r="H1077" s="67"/>
      <c r="I1077" s="68"/>
      <c r="J1077" s="68"/>
      <c r="K1077" s="34" t="s">
        <v>64</v>
      </c>
      <c r="L1077" s="75">
        <v>1077</v>
      </c>
      <c r="M1077" s="75"/>
      <c r="N1077" s="70"/>
      <c r="O1077" s="77" t="s">
        <v>382</v>
      </c>
      <c r="P1077" s="79">
        <v>41124.25708333333</v>
      </c>
      <c r="Q1077" s="77"/>
      <c r="R1077" s="77"/>
      <c r="S1077" s="77"/>
      <c r="T1077" s="77"/>
      <c r="U1077" s="77"/>
      <c r="V1077" s="77"/>
      <c r="W1077" s="77"/>
      <c r="X1077" s="77"/>
      <c r="Y1077">
        <v>1</v>
      </c>
    </row>
    <row r="1078" spans="1:25" x14ac:dyDescent="0.25">
      <c r="A1078" s="62" t="s">
        <v>331</v>
      </c>
      <c r="B1078" s="62" t="s">
        <v>376</v>
      </c>
      <c r="C1078" s="63" t="s">
        <v>2222</v>
      </c>
      <c r="D1078" s="64">
        <v>1</v>
      </c>
      <c r="E1078" s="65"/>
      <c r="F1078" s="66">
        <v>100</v>
      </c>
      <c r="G1078" s="63"/>
      <c r="H1078" s="67"/>
      <c r="I1078" s="68"/>
      <c r="J1078" s="68"/>
      <c r="K1078" s="34" t="s">
        <v>64</v>
      </c>
      <c r="L1078" s="75">
        <v>1078</v>
      </c>
      <c r="M1078" s="75"/>
      <c r="N1078" s="70"/>
      <c r="O1078" s="77" t="s">
        <v>382</v>
      </c>
      <c r="P1078" s="79">
        <v>41124.25708333333</v>
      </c>
      <c r="Q1078" s="77"/>
      <c r="R1078" s="77"/>
      <c r="S1078" s="77"/>
      <c r="T1078" s="77"/>
      <c r="U1078" s="77"/>
      <c r="V1078" s="77"/>
      <c r="W1078" s="77"/>
      <c r="X1078" s="77"/>
      <c r="Y1078">
        <v>1</v>
      </c>
    </row>
    <row r="1079" spans="1:25" x14ac:dyDescent="0.25">
      <c r="A1079" s="62" t="s">
        <v>331</v>
      </c>
      <c r="B1079" s="62" t="s">
        <v>371</v>
      </c>
      <c r="C1079" s="63" t="s">
        <v>2222</v>
      </c>
      <c r="D1079" s="64">
        <v>1</v>
      </c>
      <c r="E1079" s="65"/>
      <c r="F1079" s="66">
        <v>100</v>
      </c>
      <c r="G1079" s="63"/>
      <c r="H1079" s="67"/>
      <c r="I1079" s="68"/>
      <c r="J1079" s="68"/>
      <c r="K1079" s="34" t="s">
        <v>64</v>
      </c>
      <c r="L1079" s="75">
        <v>1079</v>
      </c>
      <c r="M1079" s="75"/>
      <c r="N1079" s="70"/>
      <c r="O1079" s="77" t="s">
        <v>382</v>
      </c>
      <c r="P1079" s="79">
        <v>41124.25708333333</v>
      </c>
      <c r="Q1079" s="77"/>
      <c r="R1079" s="77"/>
      <c r="S1079" s="77"/>
      <c r="T1079" s="77"/>
      <c r="U1079" s="77"/>
      <c r="V1079" s="77"/>
      <c r="W1079" s="77"/>
      <c r="X1079" s="77"/>
      <c r="Y1079">
        <v>1</v>
      </c>
    </row>
    <row r="1080" spans="1:25" x14ac:dyDescent="0.25">
      <c r="A1080" s="62" t="s">
        <v>331</v>
      </c>
      <c r="B1080" s="62" t="s">
        <v>240</v>
      </c>
      <c r="C1080" s="63" t="s">
        <v>2222</v>
      </c>
      <c r="D1080" s="64">
        <v>1</v>
      </c>
      <c r="E1080" s="65"/>
      <c r="F1080" s="66">
        <v>100</v>
      </c>
      <c r="G1080" s="63"/>
      <c r="H1080" s="67"/>
      <c r="I1080" s="68"/>
      <c r="J1080" s="68"/>
      <c r="K1080" s="34" t="s">
        <v>65</v>
      </c>
      <c r="L1080" s="75">
        <v>1080</v>
      </c>
      <c r="M1080" s="75"/>
      <c r="N1080" s="70"/>
      <c r="O1080" s="77" t="s">
        <v>382</v>
      </c>
      <c r="P1080" s="79">
        <v>41124.25708333333</v>
      </c>
      <c r="Q1080" s="77"/>
      <c r="R1080" s="77"/>
      <c r="S1080" s="77"/>
      <c r="T1080" s="77"/>
      <c r="U1080" s="77"/>
      <c r="V1080" s="77"/>
      <c r="W1080" s="77"/>
      <c r="X1080" s="77"/>
      <c r="Y1080">
        <v>1</v>
      </c>
    </row>
    <row r="1081" spans="1:25" x14ac:dyDescent="0.25">
      <c r="A1081" s="62" t="s">
        <v>331</v>
      </c>
      <c r="B1081" s="62" t="s">
        <v>352</v>
      </c>
      <c r="C1081" s="63" t="s">
        <v>2222</v>
      </c>
      <c r="D1081" s="64">
        <v>1</v>
      </c>
      <c r="E1081" s="65"/>
      <c r="F1081" s="66">
        <v>100</v>
      </c>
      <c r="G1081" s="63"/>
      <c r="H1081" s="67"/>
      <c r="I1081" s="68"/>
      <c r="J1081" s="68"/>
      <c r="K1081" s="34" t="s">
        <v>65</v>
      </c>
      <c r="L1081" s="75">
        <v>1081</v>
      </c>
      <c r="M1081" s="75"/>
      <c r="N1081" s="70"/>
      <c r="O1081" s="77" t="s">
        <v>382</v>
      </c>
      <c r="P1081" s="79">
        <v>41124.25708333333</v>
      </c>
      <c r="Q1081" s="77"/>
      <c r="R1081" s="77"/>
      <c r="S1081" s="77"/>
      <c r="T1081" s="77"/>
      <c r="U1081" s="77"/>
      <c r="V1081" s="77"/>
      <c r="W1081" s="77"/>
      <c r="X1081" s="77"/>
      <c r="Y1081">
        <v>1</v>
      </c>
    </row>
    <row r="1082" spans="1:25" x14ac:dyDescent="0.25">
      <c r="A1082" s="62" t="s">
        <v>331</v>
      </c>
      <c r="B1082" s="62" t="s">
        <v>346</v>
      </c>
      <c r="C1082" s="63" t="s">
        <v>2222</v>
      </c>
      <c r="D1082" s="64">
        <v>1</v>
      </c>
      <c r="E1082" s="65"/>
      <c r="F1082" s="66">
        <v>100</v>
      </c>
      <c r="G1082" s="63"/>
      <c r="H1082" s="67"/>
      <c r="I1082" s="68"/>
      <c r="J1082" s="68"/>
      <c r="K1082" s="34" t="s">
        <v>65</v>
      </c>
      <c r="L1082" s="75">
        <v>1082</v>
      </c>
      <c r="M1082" s="75"/>
      <c r="N1082" s="70"/>
      <c r="O1082" s="77" t="s">
        <v>382</v>
      </c>
      <c r="P1082" s="79">
        <v>41124.25708333333</v>
      </c>
      <c r="Q1082" s="77"/>
      <c r="R1082" s="77"/>
      <c r="S1082" s="77"/>
      <c r="T1082" s="77"/>
      <c r="U1082" s="77"/>
      <c r="V1082" s="77"/>
      <c r="W1082" s="77"/>
      <c r="X1082" s="77"/>
      <c r="Y1082">
        <v>1</v>
      </c>
    </row>
    <row r="1083" spans="1:25" x14ac:dyDescent="0.25">
      <c r="A1083" s="62" t="s">
        <v>331</v>
      </c>
      <c r="B1083" s="62" t="s">
        <v>218</v>
      </c>
      <c r="C1083" s="63" t="s">
        <v>2222</v>
      </c>
      <c r="D1083" s="64">
        <v>1</v>
      </c>
      <c r="E1083" s="65"/>
      <c r="F1083" s="66">
        <v>100</v>
      </c>
      <c r="G1083" s="63"/>
      <c r="H1083" s="67"/>
      <c r="I1083" s="68"/>
      <c r="J1083" s="68"/>
      <c r="K1083" s="34" t="s">
        <v>65</v>
      </c>
      <c r="L1083" s="75">
        <v>1083</v>
      </c>
      <c r="M1083" s="75"/>
      <c r="N1083" s="70"/>
      <c r="O1083" s="77" t="s">
        <v>382</v>
      </c>
      <c r="P1083" s="79">
        <v>41124.25708333333</v>
      </c>
      <c r="Q1083" s="77"/>
      <c r="R1083" s="77"/>
      <c r="S1083" s="77"/>
      <c r="T1083" s="77"/>
      <c r="U1083" s="77"/>
      <c r="V1083" s="77"/>
      <c r="W1083" s="77"/>
      <c r="X1083" s="77"/>
      <c r="Y1083">
        <v>1</v>
      </c>
    </row>
    <row r="1084" spans="1:25" x14ac:dyDescent="0.25">
      <c r="A1084" s="62" t="s">
        <v>346</v>
      </c>
      <c r="B1084" s="62" t="s">
        <v>331</v>
      </c>
      <c r="C1084" s="63" t="s">
        <v>2222</v>
      </c>
      <c r="D1084" s="64">
        <v>1</v>
      </c>
      <c r="E1084" s="65"/>
      <c r="F1084" s="66">
        <v>100</v>
      </c>
      <c r="G1084" s="63"/>
      <c r="H1084" s="67"/>
      <c r="I1084" s="68"/>
      <c r="J1084" s="68"/>
      <c r="K1084" s="34" t="s">
        <v>65</v>
      </c>
      <c r="L1084" s="75">
        <v>1084</v>
      </c>
      <c r="M1084" s="75"/>
      <c r="N1084" s="70"/>
      <c r="O1084" s="77" t="s">
        <v>382</v>
      </c>
      <c r="P1084" s="79">
        <v>41124.25708333333</v>
      </c>
      <c r="Q1084" s="77"/>
      <c r="R1084" s="77"/>
      <c r="S1084" s="77"/>
      <c r="T1084" s="77"/>
      <c r="U1084" s="77"/>
      <c r="V1084" s="77"/>
      <c r="W1084" s="77"/>
      <c r="X1084" s="77"/>
      <c r="Y1084">
        <v>1</v>
      </c>
    </row>
    <row r="1085" spans="1:25" x14ac:dyDescent="0.25">
      <c r="A1085" s="62" t="s">
        <v>352</v>
      </c>
      <c r="B1085" s="62" t="s">
        <v>331</v>
      </c>
      <c r="C1085" s="63" t="s">
        <v>2222</v>
      </c>
      <c r="D1085" s="64">
        <v>1</v>
      </c>
      <c r="E1085" s="65"/>
      <c r="F1085" s="66">
        <v>100</v>
      </c>
      <c r="G1085" s="63"/>
      <c r="H1085" s="67"/>
      <c r="I1085" s="68"/>
      <c r="J1085" s="68"/>
      <c r="K1085" s="34" t="s">
        <v>65</v>
      </c>
      <c r="L1085" s="75">
        <v>1085</v>
      </c>
      <c r="M1085" s="75"/>
      <c r="N1085" s="70"/>
      <c r="O1085" s="77" t="s">
        <v>382</v>
      </c>
      <c r="P1085" s="79">
        <v>41124.25708333333</v>
      </c>
      <c r="Q1085" s="77"/>
      <c r="R1085" s="77"/>
      <c r="S1085" s="77"/>
      <c r="T1085" s="77"/>
      <c r="U1085" s="77"/>
      <c r="V1085" s="77"/>
      <c r="W1085" s="77"/>
      <c r="X1085" s="77"/>
      <c r="Y1085">
        <v>1</v>
      </c>
    </row>
    <row r="1086" spans="1:25" x14ac:dyDescent="0.25">
      <c r="A1086" s="62" t="s">
        <v>285</v>
      </c>
      <c r="B1086" s="62" t="s">
        <v>285</v>
      </c>
      <c r="C1086" s="63" t="s">
        <v>2219</v>
      </c>
      <c r="D1086" s="64">
        <v>1</v>
      </c>
      <c r="E1086" s="65"/>
      <c r="F1086" s="66">
        <v>100</v>
      </c>
      <c r="G1086" s="63"/>
      <c r="H1086" s="67"/>
      <c r="I1086" s="68"/>
      <c r="J1086" s="68"/>
      <c r="K1086" s="34" t="s">
        <v>64</v>
      </c>
      <c r="L1086" s="75">
        <v>1086</v>
      </c>
      <c r="M1086" s="75"/>
      <c r="N1086" s="70"/>
      <c r="O1086" s="77" t="s">
        <v>180</v>
      </c>
      <c r="P1086" s="79">
        <v>41123.678460648145</v>
      </c>
      <c r="Q1086" s="77" t="s">
        <v>586</v>
      </c>
      <c r="R1086" s="81" t="s">
        <v>627</v>
      </c>
      <c r="S1086" s="77" t="s">
        <v>645</v>
      </c>
      <c r="T1086" s="79">
        <v>41123.678460648145</v>
      </c>
      <c r="U1086" s="81" t="s">
        <v>926</v>
      </c>
      <c r="V1086" s="77"/>
      <c r="W1086" s="77"/>
      <c r="X1086" s="84" t="s">
        <v>1223</v>
      </c>
      <c r="Y1086" s="82">
        <v>1</v>
      </c>
    </row>
    <row r="1087" spans="1:25" x14ac:dyDescent="0.25">
      <c r="A1087" s="62" t="s">
        <v>285</v>
      </c>
      <c r="B1087" s="62" t="s">
        <v>367</v>
      </c>
      <c r="C1087" s="63" t="s">
        <v>2222</v>
      </c>
      <c r="D1087" s="64">
        <v>1</v>
      </c>
      <c r="E1087" s="65"/>
      <c r="F1087" s="66">
        <v>100</v>
      </c>
      <c r="G1087" s="63"/>
      <c r="H1087" s="67"/>
      <c r="I1087" s="68"/>
      <c r="J1087" s="68"/>
      <c r="K1087" s="34" t="s">
        <v>64</v>
      </c>
      <c r="L1087" s="75">
        <v>1087</v>
      </c>
      <c r="M1087" s="75"/>
      <c r="N1087" s="70"/>
      <c r="O1087" s="77" t="s">
        <v>382</v>
      </c>
      <c r="P1087" s="79">
        <v>41124.25708333333</v>
      </c>
      <c r="Q1087" s="77"/>
      <c r="R1087" s="77"/>
      <c r="S1087" s="77"/>
      <c r="T1087" s="77"/>
      <c r="U1087" s="77"/>
      <c r="V1087" s="77"/>
      <c r="W1087" s="77"/>
      <c r="X1087" s="77"/>
      <c r="Y1087">
        <v>1</v>
      </c>
    </row>
    <row r="1088" spans="1:25" x14ac:dyDescent="0.25">
      <c r="A1088" s="62" t="s">
        <v>302</v>
      </c>
      <c r="B1088" s="62" t="s">
        <v>285</v>
      </c>
      <c r="C1088" s="63" t="s">
        <v>2222</v>
      </c>
      <c r="D1088" s="64">
        <v>1</v>
      </c>
      <c r="E1088" s="65"/>
      <c r="F1088" s="66">
        <v>100</v>
      </c>
      <c r="G1088" s="63"/>
      <c r="H1088" s="67"/>
      <c r="I1088" s="68"/>
      <c r="J1088" s="68"/>
      <c r="K1088" s="34" t="s">
        <v>64</v>
      </c>
      <c r="L1088" s="75">
        <v>1088</v>
      </c>
      <c r="M1088" s="75"/>
      <c r="N1088" s="70"/>
      <c r="O1088" s="77" t="s">
        <v>382</v>
      </c>
      <c r="P1088" s="79">
        <v>41124.25708333333</v>
      </c>
      <c r="Q1088" s="77"/>
      <c r="R1088" s="77"/>
      <c r="S1088" s="77"/>
      <c r="T1088" s="77"/>
      <c r="U1088" s="77"/>
      <c r="V1088" s="77"/>
      <c r="W1088" s="77"/>
      <c r="X1088" s="77"/>
      <c r="Y1088">
        <v>1</v>
      </c>
    </row>
    <row r="1089" spans="1:25" x14ac:dyDescent="0.25">
      <c r="A1089" s="62" t="s">
        <v>323</v>
      </c>
      <c r="B1089" s="62" t="s">
        <v>285</v>
      </c>
      <c r="C1089" s="63" t="s">
        <v>2222</v>
      </c>
      <c r="D1089" s="64">
        <v>1</v>
      </c>
      <c r="E1089" s="65"/>
      <c r="F1089" s="66">
        <v>100</v>
      </c>
      <c r="G1089" s="63"/>
      <c r="H1089" s="67"/>
      <c r="I1089" s="68"/>
      <c r="J1089" s="68"/>
      <c r="K1089" s="34" t="s">
        <v>64</v>
      </c>
      <c r="L1089" s="75">
        <v>1089</v>
      </c>
      <c r="M1089" s="75"/>
      <c r="N1089" s="70"/>
      <c r="O1089" s="77" t="s">
        <v>382</v>
      </c>
      <c r="P1089" s="79">
        <v>41124.25708333333</v>
      </c>
      <c r="Q1089" s="77"/>
      <c r="R1089" s="77"/>
      <c r="S1089" s="77"/>
      <c r="T1089" s="77"/>
      <c r="U1089" s="77"/>
      <c r="V1089" s="77"/>
      <c r="W1089" s="77"/>
      <c r="X1089" s="77"/>
      <c r="Y1089">
        <v>1</v>
      </c>
    </row>
    <row r="1090" spans="1:25" x14ac:dyDescent="0.25">
      <c r="A1090" s="62" t="s">
        <v>371</v>
      </c>
      <c r="B1090" s="62" t="s">
        <v>285</v>
      </c>
      <c r="C1090" s="63" t="s">
        <v>2222</v>
      </c>
      <c r="D1090" s="64">
        <v>1</v>
      </c>
      <c r="E1090" s="65"/>
      <c r="F1090" s="66">
        <v>100</v>
      </c>
      <c r="G1090" s="63"/>
      <c r="H1090" s="67"/>
      <c r="I1090" s="68"/>
      <c r="J1090" s="68"/>
      <c r="K1090" s="34" t="s">
        <v>64</v>
      </c>
      <c r="L1090" s="75">
        <v>1090</v>
      </c>
      <c r="M1090" s="75"/>
      <c r="N1090" s="70"/>
      <c r="O1090" s="77" t="s">
        <v>382</v>
      </c>
      <c r="P1090" s="79">
        <v>41124.25708333333</v>
      </c>
      <c r="Q1090" s="77"/>
      <c r="R1090" s="77"/>
      <c r="S1090" s="77"/>
      <c r="T1090" s="77"/>
      <c r="U1090" s="77"/>
      <c r="V1090" s="77"/>
      <c r="W1090" s="77"/>
      <c r="X1090" s="77"/>
      <c r="Y1090">
        <v>1</v>
      </c>
    </row>
    <row r="1091" spans="1:25" x14ac:dyDescent="0.25">
      <c r="A1091" s="62" t="s">
        <v>352</v>
      </c>
      <c r="B1091" s="62" t="s">
        <v>285</v>
      </c>
      <c r="C1091" s="63" t="s">
        <v>2222</v>
      </c>
      <c r="D1091" s="64">
        <v>1</v>
      </c>
      <c r="E1091" s="65"/>
      <c r="F1091" s="66">
        <v>100</v>
      </c>
      <c r="G1091" s="63"/>
      <c r="H1091" s="67"/>
      <c r="I1091" s="68"/>
      <c r="J1091" s="68"/>
      <c r="K1091" s="34" t="s">
        <v>64</v>
      </c>
      <c r="L1091" s="75">
        <v>1091</v>
      </c>
      <c r="M1091" s="75"/>
      <c r="N1091" s="70"/>
      <c r="O1091" s="77" t="s">
        <v>382</v>
      </c>
      <c r="P1091" s="79">
        <v>41124.25708333333</v>
      </c>
      <c r="Q1091" s="77"/>
      <c r="R1091" s="77"/>
      <c r="S1091" s="77"/>
      <c r="T1091" s="77"/>
      <c r="U1091" s="77"/>
      <c r="V1091" s="77"/>
      <c r="W1091" s="77"/>
      <c r="X1091" s="77"/>
      <c r="Y1091">
        <v>1</v>
      </c>
    </row>
    <row r="1092" spans="1:25" x14ac:dyDescent="0.25">
      <c r="A1092" s="62" t="s">
        <v>323</v>
      </c>
      <c r="B1092" s="62" t="s">
        <v>323</v>
      </c>
      <c r="C1092" s="63" t="s">
        <v>2219</v>
      </c>
      <c r="D1092" s="64">
        <v>2</v>
      </c>
      <c r="E1092" s="65"/>
      <c r="F1092" s="66">
        <v>95.555555555555557</v>
      </c>
      <c r="G1092" s="63"/>
      <c r="H1092" s="67"/>
      <c r="I1092" s="68"/>
      <c r="J1092" s="68"/>
      <c r="K1092" s="34" t="s">
        <v>64</v>
      </c>
      <c r="L1092" s="75">
        <v>1092</v>
      </c>
      <c r="M1092" s="75"/>
      <c r="N1092" s="70"/>
      <c r="O1092" s="77" t="s">
        <v>180</v>
      </c>
      <c r="P1092" s="79">
        <v>41123.75341435185</v>
      </c>
      <c r="Q1092" s="77" t="s">
        <v>587</v>
      </c>
      <c r="R1092" s="81" t="s">
        <v>630</v>
      </c>
      <c r="S1092" s="77" t="s">
        <v>664</v>
      </c>
      <c r="T1092" s="79">
        <v>41123.75341435185</v>
      </c>
      <c r="U1092" s="81" t="s">
        <v>927</v>
      </c>
      <c r="V1092" s="77"/>
      <c r="W1092" s="77"/>
      <c r="X1092" s="84" t="s">
        <v>1224</v>
      </c>
      <c r="Y1092" s="82">
        <v>3</v>
      </c>
    </row>
    <row r="1093" spans="1:25" x14ac:dyDescent="0.25">
      <c r="A1093" s="62" t="s">
        <v>323</v>
      </c>
      <c r="B1093" s="62" t="s">
        <v>323</v>
      </c>
      <c r="C1093" s="63" t="s">
        <v>2219</v>
      </c>
      <c r="D1093" s="64">
        <v>2</v>
      </c>
      <c r="E1093" s="65"/>
      <c r="F1093" s="66">
        <v>95.555555555555557</v>
      </c>
      <c r="G1093" s="63"/>
      <c r="H1093" s="67"/>
      <c r="I1093" s="68"/>
      <c r="J1093" s="68"/>
      <c r="K1093" s="34" t="s">
        <v>64</v>
      </c>
      <c r="L1093" s="75">
        <v>1093</v>
      </c>
      <c r="M1093" s="75"/>
      <c r="N1093" s="70"/>
      <c r="O1093" s="77" t="s">
        <v>180</v>
      </c>
      <c r="P1093" s="79">
        <v>41123.985069444447</v>
      </c>
      <c r="Q1093" s="77" t="s">
        <v>588</v>
      </c>
      <c r="R1093" s="81" t="s">
        <v>629</v>
      </c>
      <c r="S1093" s="77"/>
      <c r="T1093" s="79">
        <v>41123.985069444447</v>
      </c>
      <c r="U1093" s="81" t="s">
        <v>928</v>
      </c>
      <c r="V1093" s="77"/>
      <c r="W1093" s="77"/>
      <c r="X1093" s="84" t="s">
        <v>1225</v>
      </c>
      <c r="Y1093" s="82">
        <v>3</v>
      </c>
    </row>
    <row r="1094" spans="1:25" x14ac:dyDescent="0.25">
      <c r="A1094" s="62" t="s">
        <v>323</v>
      </c>
      <c r="B1094" s="62" t="s">
        <v>323</v>
      </c>
      <c r="C1094" s="63" t="s">
        <v>2219</v>
      </c>
      <c r="D1094" s="64">
        <v>2</v>
      </c>
      <c r="E1094" s="65"/>
      <c r="F1094" s="66">
        <v>95.555555555555557</v>
      </c>
      <c r="G1094" s="63"/>
      <c r="H1094" s="67"/>
      <c r="I1094" s="68"/>
      <c r="J1094" s="68"/>
      <c r="K1094" s="34" t="s">
        <v>64</v>
      </c>
      <c r="L1094" s="75">
        <v>1094</v>
      </c>
      <c r="M1094" s="75"/>
      <c r="N1094" s="70"/>
      <c r="O1094" s="77" t="s">
        <v>180</v>
      </c>
      <c r="P1094" s="79">
        <v>41124.032152777778</v>
      </c>
      <c r="Q1094" s="77" t="s">
        <v>589</v>
      </c>
      <c r="R1094" s="81" t="s">
        <v>631</v>
      </c>
      <c r="S1094" s="77"/>
      <c r="T1094" s="79">
        <v>41124.032152777778</v>
      </c>
      <c r="U1094" s="81" t="s">
        <v>929</v>
      </c>
      <c r="V1094" s="77"/>
      <c r="W1094" s="77"/>
      <c r="X1094" s="84" t="s">
        <v>1226</v>
      </c>
      <c r="Y1094" s="82">
        <v>3</v>
      </c>
    </row>
    <row r="1095" spans="1:25" x14ac:dyDescent="0.25">
      <c r="A1095" s="62" t="s">
        <v>323</v>
      </c>
      <c r="B1095" s="62" t="s">
        <v>376</v>
      </c>
      <c r="C1095" s="63" t="s">
        <v>2222</v>
      </c>
      <c r="D1095" s="64">
        <v>1</v>
      </c>
      <c r="E1095" s="65"/>
      <c r="F1095" s="66">
        <v>100</v>
      </c>
      <c r="G1095" s="63"/>
      <c r="H1095" s="67"/>
      <c r="I1095" s="68"/>
      <c r="J1095" s="68"/>
      <c r="K1095" s="34" t="s">
        <v>64</v>
      </c>
      <c r="L1095" s="75">
        <v>1095</v>
      </c>
      <c r="M1095" s="75"/>
      <c r="N1095" s="70"/>
      <c r="O1095" s="77" t="s">
        <v>382</v>
      </c>
      <c r="P1095" s="79">
        <v>41124.25708333333</v>
      </c>
      <c r="Q1095" s="77"/>
      <c r="R1095" s="77"/>
      <c r="S1095" s="77"/>
      <c r="T1095" s="77"/>
      <c r="U1095" s="77"/>
      <c r="V1095" s="77"/>
      <c r="W1095" s="77"/>
      <c r="X1095" s="77"/>
      <c r="Y1095">
        <v>1</v>
      </c>
    </row>
    <row r="1096" spans="1:25" x14ac:dyDescent="0.25">
      <c r="A1096" s="62" t="s">
        <v>323</v>
      </c>
      <c r="B1096" s="62" t="s">
        <v>322</v>
      </c>
      <c r="C1096" s="63" t="s">
        <v>2222</v>
      </c>
      <c r="D1096" s="64">
        <v>1</v>
      </c>
      <c r="E1096" s="65"/>
      <c r="F1096" s="66">
        <v>100</v>
      </c>
      <c r="G1096" s="63"/>
      <c r="H1096" s="67"/>
      <c r="I1096" s="68"/>
      <c r="J1096" s="68"/>
      <c r="K1096" s="34" t="s">
        <v>64</v>
      </c>
      <c r="L1096" s="75">
        <v>1096</v>
      </c>
      <c r="M1096" s="75"/>
      <c r="N1096" s="70"/>
      <c r="O1096" s="77" t="s">
        <v>382</v>
      </c>
      <c r="P1096" s="79">
        <v>41124.25708333333</v>
      </c>
      <c r="Q1096" s="77"/>
      <c r="R1096" s="77"/>
      <c r="S1096" s="77"/>
      <c r="T1096" s="77"/>
      <c r="U1096" s="77"/>
      <c r="V1096" s="77"/>
      <c r="W1096" s="77"/>
      <c r="X1096" s="77"/>
      <c r="Y1096">
        <v>1</v>
      </c>
    </row>
    <row r="1097" spans="1:25" x14ac:dyDescent="0.25">
      <c r="A1097" s="62" t="s">
        <v>323</v>
      </c>
      <c r="B1097" s="62" t="s">
        <v>352</v>
      </c>
      <c r="C1097" s="63" t="s">
        <v>2222</v>
      </c>
      <c r="D1097" s="64">
        <v>1</v>
      </c>
      <c r="E1097" s="65"/>
      <c r="F1097" s="66">
        <v>100</v>
      </c>
      <c r="G1097" s="63"/>
      <c r="H1097" s="67"/>
      <c r="I1097" s="68"/>
      <c r="J1097" s="68"/>
      <c r="K1097" s="34" t="s">
        <v>65</v>
      </c>
      <c r="L1097" s="75">
        <v>1097</v>
      </c>
      <c r="M1097" s="75"/>
      <c r="N1097" s="70"/>
      <c r="O1097" s="77" t="s">
        <v>382</v>
      </c>
      <c r="P1097" s="79">
        <v>41124.25708333333</v>
      </c>
      <c r="Q1097" s="77"/>
      <c r="R1097" s="77"/>
      <c r="S1097" s="77"/>
      <c r="T1097" s="77"/>
      <c r="U1097" s="77"/>
      <c r="V1097" s="77"/>
      <c r="W1097" s="77"/>
      <c r="X1097" s="77"/>
      <c r="Y1097">
        <v>1</v>
      </c>
    </row>
    <row r="1098" spans="1:25" x14ac:dyDescent="0.25">
      <c r="A1098" s="62" t="s">
        <v>352</v>
      </c>
      <c r="B1098" s="62" t="s">
        <v>323</v>
      </c>
      <c r="C1098" s="63" t="s">
        <v>2222</v>
      </c>
      <c r="D1098" s="64">
        <v>1</v>
      </c>
      <c r="E1098" s="65"/>
      <c r="F1098" s="66">
        <v>100</v>
      </c>
      <c r="G1098" s="63"/>
      <c r="H1098" s="67"/>
      <c r="I1098" s="68"/>
      <c r="J1098" s="68"/>
      <c r="K1098" s="34" t="s">
        <v>65</v>
      </c>
      <c r="L1098" s="75">
        <v>1098</v>
      </c>
      <c r="M1098" s="75"/>
      <c r="N1098" s="70"/>
      <c r="O1098" s="77" t="s">
        <v>382</v>
      </c>
      <c r="P1098" s="79">
        <v>41124.25708333333</v>
      </c>
      <c r="Q1098" s="77"/>
      <c r="R1098" s="77"/>
      <c r="S1098" s="77"/>
      <c r="T1098" s="77"/>
      <c r="U1098" s="77"/>
      <c r="V1098" s="77"/>
      <c r="W1098" s="77"/>
      <c r="X1098" s="77"/>
      <c r="Y1098">
        <v>1</v>
      </c>
    </row>
    <row r="1099" spans="1:25" x14ac:dyDescent="0.25">
      <c r="A1099" s="62" t="s">
        <v>372</v>
      </c>
      <c r="B1099" s="62" t="s">
        <v>372</v>
      </c>
      <c r="C1099" s="63" t="s">
        <v>2219</v>
      </c>
      <c r="D1099" s="64">
        <v>1</v>
      </c>
      <c r="E1099" s="65"/>
      <c r="F1099" s="66">
        <v>100</v>
      </c>
      <c r="G1099" s="63"/>
      <c r="H1099" s="67"/>
      <c r="I1099" s="68"/>
      <c r="J1099" s="68"/>
      <c r="K1099" s="34" t="s">
        <v>64</v>
      </c>
      <c r="L1099" s="75">
        <v>1099</v>
      </c>
      <c r="M1099" s="75"/>
      <c r="N1099" s="70"/>
      <c r="O1099" s="77" t="s">
        <v>180</v>
      </c>
      <c r="P1099" s="79">
        <v>41123.707719907405</v>
      </c>
      <c r="Q1099" s="77" t="s">
        <v>427</v>
      </c>
      <c r="R1099" s="77"/>
      <c r="S1099" s="77"/>
      <c r="T1099" s="79">
        <v>41123.707719907405</v>
      </c>
      <c r="U1099" s="81" t="s">
        <v>930</v>
      </c>
      <c r="V1099" s="77"/>
      <c r="W1099" s="77"/>
      <c r="X1099" s="84" t="s">
        <v>1227</v>
      </c>
      <c r="Y1099" s="82">
        <v>1</v>
      </c>
    </row>
    <row r="1100" spans="1:25" x14ac:dyDescent="0.25">
      <c r="A1100" s="62" t="s">
        <v>372</v>
      </c>
      <c r="B1100" s="62" t="s">
        <v>376</v>
      </c>
      <c r="C1100" s="63" t="s">
        <v>2222</v>
      </c>
      <c r="D1100" s="64">
        <v>1</v>
      </c>
      <c r="E1100" s="65"/>
      <c r="F1100" s="66">
        <v>100</v>
      </c>
      <c r="G1100" s="63"/>
      <c r="H1100" s="67"/>
      <c r="I1100" s="68"/>
      <c r="J1100" s="68"/>
      <c r="K1100" s="34" t="s">
        <v>64</v>
      </c>
      <c r="L1100" s="75">
        <v>1100</v>
      </c>
      <c r="M1100" s="75"/>
      <c r="N1100" s="70"/>
      <c r="O1100" s="77" t="s">
        <v>382</v>
      </c>
      <c r="P1100" s="79">
        <v>41124.25708333333</v>
      </c>
      <c r="Q1100" s="77"/>
      <c r="R1100" s="77"/>
      <c r="S1100" s="77"/>
      <c r="T1100" s="77"/>
      <c r="U1100" s="77"/>
      <c r="V1100" s="77"/>
      <c r="W1100" s="77"/>
      <c r="X1100" s="77"/>
      <c r="Y1100">
        <v>1</v>
      </c>
    </row>
    <row r="1101" spans="1:25" x14ac:dyDescent="0.25">
      <c r="A1101" s="62" t="s">
        <v>372</v>
      </c>
      <c r="B1101" s="62" t="s">
        <v>352</v>
      </c>
      <c r="C1101" s="63" t="s">
        <v>2222</v>
      </c>
      <c r="D1101" s="64">
        <v>1</v>
      </c>
      <c r="E1101" s="65"/>
      <c r="F1101" s="66">
        <v>100</v>
      </c>
      <c r="G1101" s="63"/>
      <c r="H1101" s="67"/>
      <c r="I1101" s="68"/>
      <c r="J1101" s="68"/>
      <c r="K1101" s="34" t="s">
        <v>65</v>
      </c>
      <c r="L1101" s="75">
        <v>1101</v>
      </c>
      <c r="M1101" s="75"/>
      <c r="N1101" s="70"/>
      <c r="O1101" s="77" t="s">
        <v>382</v>
      </c>
      <c r="P1101" s="79">
        <v>41124.25708333333</v>
      </c>
      <c r="Q1101" s="77"/>
      <c r="R1101" s="77"/>
      <c r="S1101" s="77"/>
      <c r="T1101" s="77"/>
      <c r="U1101" s="77"/>
      <c r="V1101" s="77"/>
      <c r="W1101" s="77"/>
      <c r="X1101" s="77"/>
      <c r="Y1101">
        <v>1</v>
      </c>
    </row>
    <row r="1102" spans="1:25" x14ac:dyDescent="0.25">
      <c r="A1102" s="62" t="s">
        <v>372</v>
      </c>
      <c r="B1102" s="62" t="s">
        <v>240</v>
      </c>
      <c r="C1102" s="63" t="s">
        <v>2222</v>
      </c>
      <c r="D1102" s="64">
        <v>1</v>
      </c>
      <c r="E1102" s="65"/>
      <c r="F1102" s="66">
        <v>100</v>
      </c>
      <c r="G1102" s="63"/>
      <c r="H1102" s="67"/>
      <c r="I1102" s="68"/>
      <c r="J1102" s="68"/>
      <c r="K1102" s="34" t="s">
        <v>65</v>
      </c>
      <c r="L1102" s="75">
        <v>1102</v>
      </c>
      <c r="M1102" s="75"/>
      <c r="N1102" s="70"/>
      <c r="O1102" s="77" t="s">
        <v>382</v>
      </c>
      <c r="P1102" s="79">
        <v>41124.25708333333</v>
      </c>
      <c r="Q1102" s="77"/>
      <c r="R1102" s="77"/>
      <c r="S1102" s="77"/>
      <c r="T1102" s="77"/>
      <c r="U1102" s="77"/>
      <c r="V1102" s="77"/>
      <c r="W1102" s="77"/>
      <c r="X1102" s="77"/>
      <c r="Y1102">
        <v>1</v>
      </c>
    </row>
    <row r="1103" spans="1:25" x14ac:dyDescent="0.25">
      <c r="A1103" s="62" t="s">
        <v>240</v>
      </c>
      <c r="B1103" s="62" t="s">
        <v>372</v>
      </c>
      <c r="C1103" s="63" t="s">
        <v>2222</v>
      </c>
      <c r="D1103" s="64">
        <v>1</v>
      </c>
      <c r="E1103" s="65"/>
      <c r="F1103" s="66">
        <v>100</v>
      </c>
      <c r="G1103" s="63"/>
      <c r="H1103" s="67"/>
      <c r="I1103" s="68"/>
      <c r="J1103" s="68"/>
      <c r="K1103" s="34" t="s">
        <v>65</v>
      </c>
      <c r="L1103" s="75">
        <v>1103</v>
      </c>
      <c r="M1103" s="75"/>
      <c r="N1103" s="70"/>
      <c r="O1103" s="77" t="s">
        <v>382</v>
      </c>
      <c r="P1103" s="79">
        <v>41124.25708333333</v>
      </c>
      <c r="Q1103" s="77"/>
      <c r="R1103" s="77"/>
      <c r="S1103" s="77"/>
      <c r="T1103" s="77"/>
      <c r="U1103" s="77"/>
      <c r="V1103" s="77"/>
      <c r="W1103" s="77"/>
      <c r="X1103" s="77"/>
      <c r="Y1103">
        <v>1</v>
      </c>
    </row>
    <row r="1104" spans="1:25" x14ac:dyDescent="0.25">
      <c r="A1104" s="62" t="s">
        <v>352</v>
      </c>
      <c r="B1104" s="62" t="s">
        <v>372</v>
      </c>
      <c r="C1104" s="63" t="s">
        <v>2222</v>
      </c>
      <c r="D1104" s="64">
        <v>1</v>
      </c>
      <c r="E1104" s="65"/>
      <c r="F1104" s="66">
        <v>100</v>
      </c>
      <c r="G1104" s="63"/>
      <c r="H1104" s="67"/>
      <c r="I1104" s="68"/>
      <c r="J1104" s="68"/>
      <c r="K1104" s="34" t="s">
        <v>65</v>
      </c>
      <c r="L1104" s="75">
        <v>1104</v>
      </c>
      <c r="M1104" s="75"/>
      <c r="N1104" s="70"/>
      <c r="O1104" s="77" t="s">
        <v>382</v>
      </c>
      <c r="P1104" s="79">
        <v>41124.25708333333</v>
      </c>
      <c r="Q1104" s="77"/>
      <c r="R1104" s="77"/>
      <c r="S1104" s="77"/>
      <c r="T1104" s="77"/>
      <c r="U1104" s="77"/>
      <c r="V1104" s="77"/>
      <c r="W1104" s="77"/>
      <c r="X1104" s="77"/>
      <c r="Y1104">
        <v>1</v>
      </c>
    </row>
    <row r="1105" spans="1:25" x14ac:dyDescent="0.25">
      <c r="A1105" s="62" t="s">
        <v>273</v>
      </c>
      <c r="B1105" s="62" t="s">
        <v>273</v>
      </c>
      <c r="C1105" s="63" t="s">
        <v>2219</v>
      </c>
      <c r="D1105" s="64">
        <v>1</v>
      </c>
      <c r="E1105" s="65"/>
      <c r="F1105" s="66">
        <v>100</v>
      </c>
      <c r="G1105" s="63"/>
      <c r="H1105" s="67"/>
      <c r="I1105" s="68"/>
      <c r="J1105" s="68"/>
      <c r="K1105" s="34" t="s">
        <v>64</v>
      </c>
      <c r="L1105" s="75">
        <v>1105</v>
      </c>
      <c r="M1105" s="75"/>
      <c r="N1105" s="70"/>
      <c r="O1105" s="77" t="s">
        <v>180</v>
      </c>
      <c r="P1105" s="79">
        <v>41123.893101851849</v>
      </c>
      <c r="Q1105" s="77" t="s">
        <v>590</v>
      </c>
      <c r="R1105" s="77"/>
      <c r="S1105" s="77" t="s">
        <v>661</v>
      </c>
      <c r="T1105" s="79">
        <v>41123.893101851849</v>
      </c>
      <c r="U1105" s="81" t="s">
        <v>931</v>
      </c>
      <c r="V1105" s="77"/>
      <c r="W1105" s="77"/>
      <c r="X1105" s="84" t="s">
        <v>1228</v>
      </c>
      <c r="Y1105" s="82">
        <v>1</v>
      </c>
    </row>
    <row r="1106" spans="1:25" x14ac:dyDescent="0.25">
      <c r="A1106" s="62" t="s">
        <v>218</v>
      </c>
      <c r="B1106" s="62" t="s">
        <v>273</v>
      </c>
      <c r="C1106" s="63" t="s">
        <v>2222</v>
      </c>
      <c r="D1106" s="64">
        <v>1</v>
      </c>
      <c r="E1106" s="65"/>
      <c r="F1106" s="66">
        <v>100</v>
      </c>
      <c r="G1106" s="63"/>
      <c r="H1106" s="67"/>
      <c r="I1106" s="68"/>
      <c r="J1106" s="68"/>
      <c r="K1106" s="34" t="s">
        <v>65</v>
      </c>
      <c r="L1106" s="75">
        <v>1106</v>
      </c>
      <c r="M1106" s="75"/>
      <c r="N1106" s="70"/>
      <c r="O1106" s="77" t="s">
        <v>382</v>
      </c>
      <c r="P1106" s="79">
        <v>41124.25708333333</v>
      </c>
      <c r="Q1106" s="77"/>
      <c r="R1106" s="77"/>
      <c r="S1106" s="77"/>
      <c r="T1106" s="77"/>
      <c r="U1106" s="77"/>
      <c r="V1106" s="77"/>
      <c r="W1106" s="77"/>
      <c r="X1106" s="77"/>
      <c r="Y1106">
        <v>1</v>
      </c>
    </row>
    <row r="1107" spans="1:25" x14ac:dyDescent="0.25">
      <c r="A1107" s="62" t="s">
        <v>354</v>
      </c>
      <c r="B1107" s="62" t="s">
        <v>273</v>
      </c>
      <c r="C1107" s="63" t="s">
        <v>2222</v>
      </c>
      <c r="D1107" s="64">
        <v>1</v>
      </c>
      <c r="E1107" s="65"/>
      <c r="F1107" s="66">
        <v>100</v>
      </c>
      <c r="G1107" s="63"/>
      <c r="H1107" s="67"/>
      <c r="I1107" s="68"/>
      <c r="J1107" s="68"/>
      <c r="K1107" s="34" t="s">
        <v>64</v>
      </c>
      <c r="L1107" s="75">
        <v>1107</v>
      </c>
      <c r="M1107" s="75"/>
      <c r="N1107" s="70"/>
      <c r="O1107" s="77" t="s">
        <v>382</v>
      </c>
      <c r="P1107" s="79">
        <v>41124.25708333333</v>
      </c>
      <c r="Q1107" s="77"/>
      <c r="R1107" s="77"/>
      <c r="S1107" s="77"/>
      <c r="T1107" s="77"/>
      <c r="U1107" s="77"/>
      <c r="V1107" s="77"/>
      <c r="W1107" s="77"/>
      <c r="X1107" s="77"/>
      <c r="Y1107">
        <v>1</v>
      </c>
    </row>
    <row r="1108" spans="1:25" x14ac:dyDescent="0.25">
      <c r="A1108" s="62" t="s">
        <v>273</v>
      </c>
      <c r="B1108" s="62" t="s">
        <v>352</v>
      </c>
      <c r="C1108" s="63" t="s">
        <v>2222</v>
      </c>
      <c r="D1108" s="64">
        <v>1</v>
      </c>
      <c r="E1108" s="65"/>
      <c r="F1108" s="66">
        <v>100</v>
      </c>
      <c r="G1108" s="63"/>
      <c r="H1108" s="67"/>
      <c r="I1108" s="68"/>
      <c r="J1108" s="68"/>
      <c r="K1108" s="34" t="s">
        <v>65</v>
      </c>
      <c r="L1108" s="75">
        <v>1108</v>
      </c>
      <c r="M1108" s="75"/>
      <c r="N1108" s="70"/>
      <c r="O1108" s="77" t="s">
        <v>382</v>
      </c>
      <c r="P1108" s="79">
        <v>41124.25708333333</v>
      </c>
      <c r="Q1108" s="77"/>
      <c r="R1108" s="77"/>
      <c r="S1108" s="77"/>
      <c r="T1108" s="77"/>
      <c r="U1108" s="77"/>
      <c r="V1108" s="77"/>
      <c r="W1108" s="77"/>
      <c r="X1108" s="77"/>
      <c r="Y1108">
        <v>1</v>
      </c>
    </row>
    <row r="1109" spans="1:25" x14ac:dyDescent="0.25">
      <c r="A1109" s="62" t="s">
        <v>273</v>
      </c>
      <c r="B1109" s="62" t="s">
        <v>346</v>
      </c>
      <c r="C1109" s="63" t="s">
        <v>2222</v>
      </c>
      <c r="D1109" s="64">
        <v>1</v>
      </c>
      <c r="E1109" s="65"/>
      <c r="F1109" s="66">
        <v>100</v>
      </c>
      <c r="G1109" s="63"/>
      <c r="H1109" s="67"/>
      <c r="I1109" s="68"/>
      <c r="J1109" s="68"/>
      <c r="K1109" s="34" t="s">
        <v>65</v>
      </c>
      <c r="L1109" s="75">
        <v>1109</v>
      </c>
      <c r="M1109" s="75"/>
      <c r="N1109" s="70"/>
      <c r="O1109" s="77" t="s">
        <v>382</v>
      </c>
      <c r="P1109" s="79">
        <v>41124.25708333333</v>
      </c>
      <c r="Q1109" s="77"/>
      <c r="R1109" s="77"/>
      <c r="S1109" s="77"/>
      <c r="T1109" s="77"/>
      <c r="U1109" s="77"/>
      <c r="V1109" s="77"/>
      <c r="W1109" s="77"/>
      <c r="X1109" s="77"/>
      <c r="Y1109">
        <v>1</v>
      </c>
    </row>
    <row r="1110" spans="1:25" x14ac:dyDescent="0.25">
      <c r="A1110" s="62" t="s">
        <v>273</v>
      </c>
      <c r="B1110" s="62" t="s">
        <v>322</v>
      </c>
      <c r="C1110" s="63" t="s">
        <v>2222</v>
      </c>
      <c r="D1110" s="64">
        <v>1</v>
      </c>
      <c r="E1110" s="65"/>
      <c r="F1110" s="66">
        <v>100</v>
      </c>
      <c r="G1110" s="63"/>
      <c r="H1110" s="67"/>
      <c r="I1110" s="68"/>
      <c r="J1110" s="68"/>
      <c r="K1110" s="34" t="s">
        <v>64</v>
      </c>
      <c r="L1110" s="75">
        <v>1110</v>
      </c>
      <c r="M1110" s="75"/>
      <c r="N1110" s="70"/>
      <c r="O1110" s="77" t="s">
        <v>382</v>
      </c>
      <c r="P1110" s="79">
        <v>41124.25708333333</v>
      </c>
      <c r="Q1110" s="77"/>
      <c r="R1110" s="77"/>
      <c r="S1110" s="77"/>
      <c r="T1110" s="77"/>
      <c r="U1110" s="77"/>
      <c r="V1110" s="77"/>
      <c r="W1110" s="77"/>
      <c r="X1110" s="77"/>
      <c r="Y1110">
        <v>1</v>
      </c>
    </row>
    <row r="1111" spans="1:25" x14ac:dyDescent="0.25">
      <c r="A1111" s="62" t="s">
        <v>273</v>
      </c>
      <c r="B1111" s="62" t="s">
        <v>218</v>
      </c>
      <c r="C1111" s="63" t="s">
        <v>2222</v>
      </c>
      <c r="D1111" s="64">
        <v>1</v>
      </c>
      <c r="E1111" s="65"/>
      <c r="F1111" s="66">
        <v>100</v>
      </c>
      <c r="G1111" s="63"/>
      <c r="H1111" s="67"/>
      <c r="I1111" s="68"/>
      <c r="J1111" s="68"/>
      <c r="K1111" s="34" t="s">
        <v>65</v>
      </c>
      <c r="L1111" s="75">
        <v>1111</v>
      </c>
      <c r="M1111" s="75"/>
      <c r="N1111" s="70"/>
      <c r="O1111" s="77" t="s">
        <v>382</v>
      </c>
      <c r="P1111" s="79">
        <v>41124.25708333333</v>
      </c>
      <c r="Q1111" s="77"/>
      <c r="R1111" s="77"/>
      <c r="S1111" s="77"/>
      <c r="T1111" s="77"/>
      <c r="U1111" s="77"/>
      <c r="V1111" s="77"/>
      <c r="W1111" s="77"/>
      <c r="X1111" s="77"/>
      <c r="Y1111">
        <v>1</v>
      </c>
    </row>
    <row r="1112" spans="1:25" x14ac:dyDescent="0.25">
      <c r="A1112" s="62" t="s">
        <v>346</v>
      </c>
      <c r="B1112" s="62" t="s">
        <v>273</v>
      </c>
      <c r="C1112" s="63" t="s">
        <v>2222</v>
      </c>
      <c r="D1112" s="64">
        <v>1</v>
      </c>
      <c r="E1112" s="65"/>
      <c r="F1112" s="66">
        <v>100</v>
      </c>
      <c r="G1112" s="63"/>
      <c r="H1112" s="67"/>
      <c r="I1112" s="68"/>
      <c r="J1112" s="68"/>
      <c r="K1112" s="34" t="s">
        <v>65</v>
      </c>
      <c r="L1112" s="75">
        <v>1112</v>
      </c>
      <c r="M1112" s="75"/>
      <c r="N1112" s="70"/>
      <c r="O1112" s="77" t="s">
        <v>382</v>
      </c>
      <c r="P1112" s="79">
        <v>41124.25708333333</v>
      </c>
      <c r="Q1112" s="77"/>
      <c r="R1112" s="77"/>
      <c r="S1112" s="77"/>
      <c r="T1112" s="77"/>
      <c r="U1112" s="77"/>
      <c r="V1112" s="77"/>
      <c r="W1112" s="77"/>
      <c r="X1112" s="77"/>
      <c r="Y1112">
        <v>1</v>
      </c>
    </row>
    <row r="1113" spans="1:25" x14ac:dyDescent="0.25">
      <c r="A1113" s="62" t="s">
        <v>352</v>
      </c>
      <c r="B1113" s="62" t="s">
        <v>273</v>
      </c>
      <c r="C1113" s="63" t="s">
        <v>2222</v>
      </c>
      <c r="D1113" s="64">
        <v>1</v>
      </c>
      <c r="E1113" s="65"/>
      <c r="F1113" s="66">
        <v>100</v>
      </c>
      <c r="G1113" s="63"/>
      <c r="H1113" s="67"/>
      <c r="I1113" s="68"/>
      <c r="J1113" s="68"/>
      <c r="K1113" s="34" t="s">
        <v>65</v>
      </c>
      <c r="L1113" s="75">
        <v>1113</v>
      </c>
      <c r="M1113" s="75"/>
      <c r="N1113" s="70"/>
      <c r="O1113" s="77" t="s">
        <v>382</v>
      </c>
      <c r="P1113" s="79">
        <v>41124.25708333333</v>
      </c>
      <c r="Q1113" s="77"/>
      <c r="R1113" s="77"/>
      <c r="S1113" s="77"/>
      <c r="T1113" s="77"/>
      <c r="U1113" s="77"/>
      <c r="V1113" s="77"/>
      <c r="W1113" s="77"/>
      <c r="X1113" s="77"/>
      <c r="Y1113">
        <v>1</v>
      </c>
    </row>
    <row r="1114" spans="1:25" x14ac:dyDescent="0.25">
      <c r="A1114" s="62" t="s">
        <v>373</v>
      </c>
      <c r="B1114" s="62" t="s">
        <v>373</v>
      </c>
      <c r="C1114" s="63" t="s">
        <v>2219</v>
      </c>
      <c r="D1114" s="64">
        <v>1</v>
      </c>
      <c r="E1114" s="65"/>
      <c r="F1114" s="66">
        <v>100</v>
      </c>
      <c r="G1114" s="63"/>
      <c r="H1114" s="67"/>
      <c r="I1114" s="68"/>
      <c r="J1114" s="68"/>
      <c r="K1114" s="34" t="s">
        <v>64</v>
      </c>
      <c r="L1114" s="75">
        <v>1114</v>
      </c>
      <c r="M1114" s="75"/>
      <c r="N1114" s="70"/>
      <c r="O1114" s="77" t="s">
        <v>180</v>
      </c>
      <c r="P1114" s="79">
        <v>41123.683703703704</v>
      </c>
      <c r="Q1114" s="77" t="s">
        <v>427</v>
      </c>
      <c r="R1114" s="77"/>
      <c r="S1114" s="77"/>
      <c r="T1114" s="79">
        <v>41123.683703703704</v>
      </c>
      <c r="U1114" s="81" t="s">
        <v>932</v>
      </c>
      <c r="V1114" s="77"/>
      <c r="W1114" s="77"/>
      <c r="X1114" s="84" t="s">
        <v>1229</v>
      </c>
      <c r="Y1114" s="82">
        <v>1</v>
      </c>
    </row>
    <row r="1115" spans="1:25" x14ac:dyDescent="0.25">
      <c r="A1115" s="62" t="s">
        <v>373</v>
      </c>
      <c r="B1115" s="62" t="s">
        <v>352</v>
      </c>
      <c r="C1115" s="63" t="s">
        <v>2222</v>
      </c>
      <c r="D1115" s="64">
        <v>1</v>
      </c>
      <c r="E1115" s="65"/>
      <c r="F1115" s="66">
        <v>100</v>
      </c>
      <c r="G1115" s="63"/>
      <c r="H1115" s="67"/>
      <c r="I1115" s="68"/>
      <c r="J1115" s="68"/>
      <c r="K1115" s="34" t="s">
        <v>65</v>
      </c>
      <c r="L1115" s="75">
        <v>1115</v>
      </c>
      <c r="M1115" s="75"/>
      <c r="N1115" s="70"/>
      <c r="O1115" s="77" t="s">
        <v>382</v>
      </c>
      <c r="P1115" s="79">
        <v>41124.25708333333</v>
      </c>
      <c r="Q1115" s="77"/>
      <c r="R1115" s="77"/>
      <c r="S1115" s="77"/>
      <c r="T1115" s="77"/>
      <c r="U1115" s="77"/>
      <c r="V1115" s="77"/>
      <c r="W1115" s="77"/>
      <c r="X1115" s="77"/>
      <c r="Y1115">
        <v>1</v>
      </c>
    </row>
    <row r="1116" spans="1:25" x14ac:dyDescent="0.25">
      <c r="A1116" s="62" t="s">
        <v>373</v>
      </c>
      <c r="B1116" s="62" t="s">
        <v>376</v>
      </c>
      <c r="C1116" s="63" t="s">
        <v>2222</v>
      </c>
      <c r="D1116" s="64">
        <v>1</v>
      </c>
      <c r="E1116" s="65"/>
      <c r="F1116" s="66">
        <v>100</v>
      </c>
      <c r="G1116" s="63"/>
      <c r="H1116" s="67"/>
      <c r="I1116" s="68"/>
      <c r="J1116" s="68"/>
      <c r="K1116" s="34" t="s">
        <v>64</v>
      </c>
      <c r="L1116" s="75">
        <v>1116</v>
      </c>
      <c r="M1116" s="75"/>
      <c r="N1116" s="70"/>
      <c r="O1116" s="77" t="s">
        <v>382</v>
      </c>
      <c r="P1116" s="79">
        <v>41124.25708333333</v>
      </c>
      <c r="Q1116" s="77"/>
      <c r="R1116" s="77"/>
      <c r="S1116" s="77"/>
      <c r="T1116" s="77"/>
      <c r="U1116" s="77"/>
      <c r="V1116" s="77"/>
      <c r="W1116" s="77"/>
      <c r="X1116" s="77"/>
      <c r="Y1116">
        <v>1</v>
      </c>
    </row>
    <row r="1117" spans="1:25" x14ac:dyDescent="0.25">
      <c r="A1117" s="62" t="s">
        <v>373</v>
      </c>
      <c r="B1117" s="62" t="s">
        <v>240</v>
      </c>
      <c r="C1117" s="63" t="s">
        <v>2222</v>
      </c>
      <c r="D1117" s="64">
        <v>1</v>
      </c>
      <c r="E1117" s="65"/>
      <c r="F1117" s="66">
        <v>100</v>
      </c>
      <c r="G1117" s="63"/>
      <c r="H1117" s="67"/>
      <c r="I1117" s="68"/>
      <c r="J1117" s="68"/>
      <c r="K1117" s="34" t="s">
        <v>65</v>
      </c>
      <c r="L1117" s="75">
        <v>1117</v>
      </c>
      <c r="M1117" s="75"/>
      <c r="N1117" s="70"/>
      <c r="O1117" s="77" t="s">
        <v>382</v>
      </c>
      <c r="P1117" s="79">
        <v>41124.25708333333</v>
      </c>
      <c r="Q1117" s="77"/>
      <c r="R1117" s="77"/>
      <c r="S1117" s="77"/>
      <c r="T1117" s="77"/>
      <c r="U1117" s="77"/>
      <c r="V1117" s="77"/>
      <c r="W1117" s="77"/>
      <c r="X1117" s="77"/>
      <c r="Y1117">
        <v>1</v>
      </c>
    </row>
    <row r="1118" spans="1:25" x14ac:dyDescent="0.25">
      <c r="A1118" s="62" t="s">
        <v>240</v>
      </c>
      <c r="B1118" s="62" t="s">
        <v>373</v>
      </c>
      <c r="C1118" s="63" t="s">
        <v>2222</v>
      </c>
      <c r="D1118" s="64">
        <v>1</v>
      </c>
      <c r="E1118" s="65"/>
      <c r="F1118" s="66">
        <v>100</v>
      </c>
      <c r="G1118" s="63"/>
      <c r="H1118" s="67"/>
      <c r="I1118" s="68"/>
      <c r="J1118" s="68"/>
      <c r="K1118" s="34" t="s">
        <v>65</v>
      </c>
      <c r="L1118" s="75">
        <v>1118</v>
      </c>
      <c r="M1118" s="75"/>
      <c r="N1118" s="70"/>
      <c r="O1118" s="77" t="s">
        <v>382</v>
      </c>
      <c r="P1118" s="79">
        <v>41124.25708333333</v>
      </c>
      <c r="Q1118" s="77"/>
      <c r="R1118" s="77"/>
      <c r="S1118" s="77"/>
      <c r="T1118" s="77"/>
      <c r="U1118" s="77"/>
      <c r="V1118" s="77"/>
      <c r="W1118" s="77"/>
      <c r="X1118" s="77"/>
      <c r="Y1118">
        <v>1</v>
      </c>
    </row>
    <row r="1119" spans="1:25" x14ac:dyDescent="0.25">
      <c r="A1119" s="62" t="s">
        <v>352</v>
      </c>
      <c r="B1119" s="62" t="s">
        <v>373</v>
      </c>
      <c r="C1119" s="63" t="s">
        <v>2222</v>
      </c>
      <c r="D1119" s="64">
        <v>1</v>
      </c>
      <c r="E1119" s="65"/>
      <c r="F1119" s="66">
        <v>100</v>
      </c>
      <c r="G1119" s="63"/>
      <c r="H1119" s="67"/>
      <c r="I1119" s="68"/>
      <c r="J1119" s="68"/>
      <c r="K1119" s="34" t="s">
        <v>65</v>
      </c>
      <c r="L1119" s="75">
        <v>1119</v>
      </c>
      <c r="M1119" s="75"/>
      <c r="N1119" s="70"/>
      <c r="O1119" s="77" t="s">
        <v>382</v>
      </c>
      <c r="P1119" s="79">
        <v>41124.25708333333</v>
      </c>
      <c r="Q1119" s="77"/>
      <c r="R1119" s="77"/>
      <c r="S1119" s="77"/>
      <c r="T1119" s="77"/>
      <c r="U1119" s="77"/>
      <c r="V1119" s="77"/>
      <c r="W1119" s="77"/>
      <c r="X1119" s="77"/>
      <c r="Y1119">
        <v>1</v>
      </c>
    </row>
    <row r="1120" spans="1:25" x14ac:dyDescent="0.25">
      <c r="A1120" s="62" t="s">
        <v>355</v>
      </c>
      <c r="B1120" s="62" t="s">
        <v>355</v>
      </c>
      <c r="C1120" s="63" t="s">
        <v>2219</v>
      </c>
      <c r="D1120" s="64">
        <v>1</v>
      </c>
      <c r="E1120" s="65"/>
      <c r="F1120" s="66">
        <v>100</v>
      </c>
      <c r="G1120" s="63"/>
      <c r="H1120" s="67"/>
      <c r="I1120" s="68"/>
      <c r="J1120" s="68"/>
      <c r="K1120" s="34" t="s">
        <v>64</v>
      </c>
      <c r="L1120" s="75">
        <v>1120</v>
      </c>
      <c r="M1120" s="75"/>
      <c r="N1120" s="70"/>
      <c r="O1120" s="77" t="s">
        <v>180</v>
      </c>
      <c r="P1120" s="79">
        <v>41123.749074074076</v>
      </c>
      <c r="Q1120" s="77" t="s">
        <v>433</v>
      </c>
      <c r="R1120" s="81" t="s">
        <v>615</v>
      </c>
      <c r="S1120" s="77"/>
      <c r="T1120" s="79">
        <v>41123.749074074076</v>
      </c>
      <c r="U1120" s="81" t="s">
        <v>933</v>
      </c>
      <c r="V1120" s="77"/>
      <c r="W1120" s="77"/>
      <c r="X1120" s="84" t="s">
        <v>1230</v>
      </c>
      <c r="Y1120" s="82">
        <v>1</v>
      </c>
    </row>
    <row r="1121" spans="1:25" x14ac:dyDescent="0.25">
      <c r="A1121" s="62" t="s">
        <v>240</v>
      </c>
      <c r="B1121" s="62" t="s">
        <v>355</v>
      </c>
      <c r="C1121" s="63" t="s">
        <v>2222</v>
      </c>
      <c r="D1121" s="64">
        <v>1</v>
      </c>
      <c r="E1121" s="65"/>
      <c r="F1121" s="66">
        <v>100</v>
      </c>
      <c r="G1121" s="63"/>
      <c r="H1121" s="67"/>
      <c r="I1121" s="68"/>
      <c r="J1121" s="68"/>
      <c r="K1121" s="34" t="s">
        <v>65</v>
      </c>
      <c r="L1121" s="75">
        <v>1121</v>
      </c>
      <c r="M1121" s="75"/>
      <c r="N1121" s="70"/>
      <c r="O1121" s="77" t="s">
        <v>382</v>
      </c>
      <c r="P1121" s="79">
        <v>41124.25708333333</v>
      </c>
      <c r="Q1121" s="77"/>
      <c r="R1121" s="77"/>
      <c r="S1121" s="77"/>
      <c r="T1121" s="77"/>
      <c r="U1121" s="77"/>
      <c r="V1121" s="77"/>
      <c r="W1121" s="77"/>
      <c r="X1121" s="77"/>
      <c r="Y1121">
        <v>1</v>
      </c>
    </row>
    <row r="1122" spans="1:25" x14ac:dyDescent="0.25">
      <c r="A1122" s="62" t="s">
        <v>355</v>
      </c>
      <c r="B1122" s="62" t="s">
        <v>346</v>
      </c>
      <c r="C1122" s="63" t="s">
        <v>2222</v>
      </c>
      <c r="D1122" s="64">
        <v>1</v>
      </c>
      <c r="E1122" s="65"/>
      <c r="F1122" s="66">
        <v>100</v>
      </c>
      <c r="G1122" s="63"/>
      <c r="H1122" s="67"/>
      <c r="I1122" s="68"/>
      <c r="J1122" s="68"/>
      <c r="K1122" s="34" t="s">
        <v>65</v>
      </c>
      <c r="L1122" s="75">
        <v>1122</v>
      </c>
      <c r="M1122" s="75"/>
      <c r="N1122" s="70"/>
      <c r="O1122" s="77" t="s">
        <v>382</v>
      </c>
      <c r="P1122" s="79">
        <v>41124.25708333333</v>
      </c>
      <c r="Q1122" s="77"/>
      <c r="R1122" s="77"/>
      <c r="S1122" s="77"/>
      <c r="T1122" s="77"/>
      <c r="U1122" s="77"/>
      <c r="V1122" s="77"/>
      <c r="W1122" s="77"/>
      <c r="X1122" s="77"/>
      <c r="Y1122">
        <v>1</v>
      </c>
    </row>
    <row r="1123" spans="1:25" x14ac:dyDescent="0.25">
      <c r="A1123" s="62" t="s">
        <v>355</v>
      </c>
      <c r="B1123" s="62" t="s">
        <v>352</v>
      </c>
      <c r="C1123" s="63" t="s">
        <v>2222</v>
      </c>
      <c r="D1123" s="64">
        <v>1</v>
      </c>
      <c r="E1123" s="65"/>
      <c r="F1123" s="66">
        <v>100</v>
      </c>
      <c r="G1123" s="63"/>
      <c r="H1123" s="67"/>
      <c r="I1123" s="68"/>
      <c r="J1123" s="68"/>
      <c r="K1123" s="34" t="s">
        <v>65</v>
      </c>
      <c r="L1123" s="75">
        <v>1123</v>
      </c>
      <c r="M1123" s="75"/>
      <c r="N1123" s="70"/>
      <c r="O1123" s="77" t="s">
        <v>382</v>
      </c>
      <c r="P1123" s="79">
        <v>41124.25708333333</v>
      </c>
      <c r="Q1123" s="77"/>
      <c r="R1123" s="77"/>
      <c r="S1123" s="77"/>
      <c r="T1123" s="77"/>
      <c r="U1123" s="77"/>
      <c r="V1123" s="77"/>
      <c r="W1123" s="77"/>
      <c r="X1123" s="77"/>
      <c r="Y1123">
        <v>1</v>
      </c>
    </row>
    <row r="1124" spans="1:25" x14ac:dyDescent="0.25">
      <c r="A1124" s="62" t="s">
        <v>355</v>
      </c>
      <c r="B1124" s="62" t="s">
        <v>240</v>
      </c>
      <c r="C1124" s="63" t="s">
        <v>2222</v>
      </c>
      <c r="D1124" s="64">
        <v>1</v>
      </c>
      <c r="E1124" s="65"/>
      <c r="F1124" s="66">
        <v>100</v>
      </c>
      <c r="G1124" s="63"/>
      <c r="H1124" s="67"/>
      <c r="I1124" s="68"/>
      <c r="J1124" s="68"/>
      <c r="K1124" s="34" t="s">
        <v>65</v>
      </c>
      <c r="L1124" s="75">
        <v>1124</v>
      </c>
      <c r="M1124" s="75"/>
      <c r="N1124" s="70"/>
      <c r="O1124" s="77" t="s">
        <v>382</v>
      </c>
      <c r="P1124" s="79">
        <v>41124.25708333333</v>
      </c>
      <c r="Q1124" s="77"/>
      <c r="R1124" s="77"/>
      <c r="S1124" s="77"/>
      <c r="T1124" s="77"/>
      <c r="U1124" s="77"/>
      <c r="V1124" s="77"/>
      <c r="W1124" s="77"/>
      <c r="X1124" s="77"/>
      <c r="Y1124">
        <v>1</v>
      </c>
    </row>
    <row r="1125" spans="1:25" x14ac:dyDescent="0.25">
      <c r="A1125" s="62" t="s">
        <v>346</v>
      </c>
      <c r="B1125" s="62" t="s">
        <v>355</v>
      </c>
      <c r="C1125" s="63" t="s">
        <v>2222</v>
      </c>
      <c r="D1125" s="64">
        <v>1</v>
      </c>
      <c r="E1125" s="65"/>
      <c r="F1125" s="66">
        <v>100</v>
      </c>
      <c r="G1125" s="63"/>
      <c r="H1125" s="67"/>
      <c r="I1125" s="68"/>
      <c r="J1125" s="68"/>
      <c r="K1125" s="34" t="s">
        <v>65</v>
      </c>
      <c r="L1125" s="75">
        <v>1125</v>
      </c>
      <c r="M1125" s="75"/>
      <c r="N1125" s="70"/>
      <c r="O1125" s="77" t="s">
        <v>382</v>
      </c>
      <c r="P1125" s="79">
        <v>41124.25708333333</v>
      </c>
      <c r="Q1125" s="77"/>
      <c r="R1125" s="77"/>
      <c r="S1125" s="77"/>
      <c r="T1125" s="77"/>
      <c r="U1125" s="77"/>
      <c r="V1125" s="77"/>
      <c r="W1125" s="77"/>
      <c r="X1125" s="77"/>
      <c r="Y1125">
        <v>1</v>
      </c>
    </row>
    <row r="1126" spans="1:25" x14ac:dyDescent="0.25">
      <c r="A1126" s="62" t="s">
        <v>352</v>
      </c>
      <c r="B1126" s="62" t="s">
        <v>355</v>
      </c>
      <c r="C1126" s="63" t="s">
        <v>2222</v>
      </c>
      <c r="D1126" s="64">
        <v>1</v>
      </c>
      <c r="E1126" s="65"/>
      <c r="F1126" s="66">
        <v>100</v>
      </c>
      <c r="G1126" s="63"/>
      <c r="H1126" s="67"/>
      <c r="I1126" s="68"/>
      <c r="J1126" s="68"/>
      <c r="K1126" s="34" t="s">
        <v>65</v>
      </c>
      <c r="L1126" s="75">
        <v>1126</v>
      </c>
      <c r="M1126" s="75"/>
      <c r="N1126" s="70"/>
      <c r="O1126" s="77" t="s">
        <v>382</v>
      </c>
      <c r="P1126" s="79">
        <v>41124.25708333333</v>
      </c>
      <c r="Q1126" s="77"/>
      <c r="R1126" s="77"/>
      <c r="S1126" s="77"/>
      <c r="T1126" s="77"/>
      <c r="U1126" s="77"/>
      <c r="V1126" s="77"/>
      <c r="W1126" s="77"/>
      <c r="X1126" s="77"/>
      <c r="Y1126">
        <v>1</v>
      </c>
    </row>
    <row r="1127" spans="1:25" x14ac:dyDescent="0.25">
      <c r="A1127" s="62" t="s">
        <v>218</v>
      </c>
      <c r="B1127" s="62" t="s">
        <v>218</v>
      </c>
      <c r="C1127" s="63" t="s">
        <v>2219</v>
      </c>
      <c r="D1127" s="64">
        <v>1</v>
      </c>
      <c r="E1127" s="65"/>
      <c r="F1127" s="66">
        <v>100</v>
      </c>
      <c r="G1127" s="63"/>
      <c r="H1127" s="67"/>
      <c r="I1127" s="68"/>
      <c r="J1127" s="68"/>
      <c r="K1127" s="34" t="s">
        <v>64</v>
      </c>
      <c r="L1127" s="75">
        <v>1127</v>
      </c>
      <c r="M1127" s="75"/>
      <c r="N1127" s="70"/>
      <c r="O1127" s="77" t="s">
        <v>180</v>
      </c>
      <c r="P1127" s="79">
        <v>41123.676400462966</v>
      </c>
      <c r="Q1127" s="77" t="s">
        <v>424</v>
      </c>
      <c r="R1127" s="77"/>
      <c r="S1127" s="77" t="s">
        <v>643</v>
      </c>
      <c r="T1127" s="79">
        <v>41123.676400462966</v>
      </c>
      <c r="U1127" s="81" t="s">
        <v>934</v>
      </c>
      <c r="V1127" s="77"/>
      <c r="W1127" s="77"/>
      <c r="X1127" s="84" t="s">
        <v>1231</v>
      </c>
      <c r="Y1127" s="82">
        <v>1</v>
      </c>
    </row>
    <row r="1128" spans="1:25" x14ac:dyDescent="0.25">
      <c r="A1128" s="62" t="s">
        <v>218</v>
      </c>
      <c r="B1128" s="62" t="s">
        <v>240</v>
      </c>
      <c r="C1128" s="63" t="s">
        <v>2222</v>
      </c>
      <c r="D1128" s="64">
        <v>1</v>
      </c>
      <c r="E1128" s="65"/>
      <c r="F1128" s="66">
        <v>100</v>
      </c>
      <c r="G1128" s="63"/>
      <c r="H1128" s="67"/>
      <c r="I1128" s="68"/>
      <c r="J1128" s="68"/>
      <c r="K1128" s="34" t="s">
        <v>65</v>
      </c>
      <c r="L1128" s="75">
        <v>1128</v>
      </c>
      <c r="M1128" s="75"/>
      <c r="N1128" s="70"/>
      <c r="O1128" s="77" t="s">
        <v>382</v>
      </c>
      <c r="P1128" s="79">
        <v>41124.25708333333</v>
      </c>
      <c r="Q1128" s="77"/>
      <c r="R1128" s="77"/>
      <c r="S1128" s="77"/>
      <c r="T1128" s="77"/>
      <c r="U1128" s="77"/>
      <c r="V1128" s="77"/>
      <c r="W1128" s="77"/>
      <c r="X1128" s="77"/>
      <c r="Y1128">
        <v>1</v>
      </c>
    </row>
    <row r="1129" spans="1:25" x14ac:dyDescent="0.25">
      <c r="A1129" s="62" t="s">
        <v>218</v>
      </c>
      <c r="B1129" s="62" t="s">
        <v>352</v>
      </c>
      <c r="C1129" s="63" t="s">
        <v>2222</v>
      </c>
      <c r="D1129" s="64">
        <v>1</v>
      </c>
      <c r="E1129" s="65"/>
      <c r="F1129" s="66">
        <v>100</v>
      </c>
      <c r="G1129" s="63"/>
      <c r="H1129" s="67"/>
      <c r="I1129" s="68"/>
      <c r="J1129" s="68"/>
      <c r="K1129" s="34" t="s">
        <v>65</v>
      </c>
      <c r="L1129" s="75">
        <v>1129</v>
      </c>
      <c r="M1129" s="75"/>
      <c r="N1129" s="70"/>
      <c r="O1129" s="77" t="s">
        <v>382</v>
      </c>
      <c r="P1129" s="79">
        <v>41124.25708333333</v>
      </c>
      <c r="Q1129" s="77"/>
      <c r="R1129" s="77"/>
      <c r="S1129" s="77"/>
      <c r="T1129" s="77"/>
      <c r="U1129" s="77"/>
      <c r="V1129" s="77"/>
      <c r="W1129" s="77"/>
      <c r="X1129" s="77"/>
      <c r="Y1129">
        <v>1</v>
      </c>
    </row>
    <row r="1130" spans="1:25" x14ac:dyDescent="0.25">
      <c r="A1130" s="62" t="s">
        <v>240</v>
      </c>
      <c r="B1130" s="62" t="s">
        <v>218</v>
      </c>
      <c r="C1130" s="63" t="s">
        <v>2222</v>
      </c>
      <c r="D1130" s="64">
        <v>1</v>
      </c>
      <c r="E1130" s="65"/>
      <c r="F1130" s="66">
        <v>100</v>
      </c>
      <c r="G1130" s="63"/>
      <c r="H1130" s="67"/>
      <c r="I1130" s="68"/>
      <c r="J1130" s="68"/>
      <c r="K1130" s="34" t="s">
        <v>65</v>
      </c>
      <c r="L1130" s="75">
        <v>1130</v>
      </c>
      <c r="M1130" s="75"/>
      <c r="N1130" s="70"/>
      <c r="O1130" s="77" t="s">
        <v>382</v>
      </c>
      <c r="P1130" s="79">
        <v>41124.25708333333</v>
      </c>
      <c r="Q1130" s="77"/>
      <c r="R1130" s="77"/>
      <c r="S1130" s="77"/>
      <c r="T1130" s="77"/>
      <c r="U1130" s="77"/>
      <c r="V1130" s="77"/>
      <c r="W1130" s="77"/>
      <c r="X1130" s="77"/>
      <c r="Y1130">
        <v>1</v>
      </c>
    </row>
    <row r="1131" spans="1:25" x14ac:dyDescent="0.25">
      <c r="A1131" s="62" t="s">
        <v>352</v>
      </c>
      <c r="B1131" s="62" t="s">
        <v>218</v>
      </c>
      <c r="C1131" s="63" t="s">
        <v>2222</v>
      </c>
      <c r="D1131" s="64">
        <v>1</v>
      </c>
      <c r="E1131" s="65"/>
      <c r="F1131" s="66">
        <v>100</v>
      </c>
      <c r="G1131" s="63"/>
      <c r="H1131" s="67"/>
      <c r="I1131" s="68"/>
      <c r="J1131" s="68"/>
      <c r="K1131" s="34" t="s">
        <v>65</v>
      </c>
      <c r="L1131" s="75">
        <v>1131</v>
      </c>
      <c r="M1131" s="75"/>
      <c r="N1131" s="70"/>
      <c r="O1131" s="77" t="s">
        <v>382</v>
      </c>
      <c r="P1131" s="79">
        <v>41124.25708333333</v>
      </c>
      <c r="Q1131" s="77"/>
      <c r="R1131" s="77"/>
      <c r="S1131" s="77"/>
      <c r="T1131" s="77"/>
      <c r="U1131" s="77"/>
      <c r="V1131" s="77"/>
      <c r="W1131" s="77"/>
      <c r="X1131" s="77"/>
      <c r="Y1131">
        <v>1</v>
      </c>
    </row>
    <row r="1132" spans="1:25" x14ac:dyDescent="0.25">
      <c r="A1132" s="62" t="s">
        <v>322</v>
      </c>
      <c r="B1132" s="62" t="s">
        <v>322</v>
      </c>
      <c r="C1132" s="63" t="s">
        <v>2219</v>
      </c>
      <c r="D1132" s="64">
        <v>1</v>
      </c>
      <c r="E1132" s="65"/>
      <c r="F1132" s="66">
        <v>100</v>
      </c>
      <c r="G1132" s="63"/>
      <c r="H1132" s="67"/>
      <c r="I1132" s="68"/>
      <c r="J1132" s="68"/>
      <c r="K1132" s="34" t="s">
        <v>64</v>
      </c>
      <c r="L1132" s="75">
        <v>1132</v>
      </c>
      <c r="M1132" s="75"/>
      <c r="N1132" s="70"/>
      <c r="O1132" s="77" t="s">
        <v>180</v>
      </c>
      <c r="P1132" s="79">
        <v>41123.682581018518</v>
      </c>
      <c r="Q1132" s="77" t="s">
        <v>558</v>
      </c>
      <c r="R1132" s="81" t="s">
        <v>615</v>
      </c>
      <c r="S1132" s="77"/>
      <c r="T1132" s="79">
        <v>41123.682581018518</v>
      </c>
      <c r="U1132" s="81" t="s">
        <v>935</v>
      </c>
      <c r="V1132" s="77"/>
      <c r="W1132" s="77"/>
      <c r="X1132" s="84" t="s">
        <v>1232</v>
      </c>
      <c r="Y1132" s="82">
        <v>1</v>
      </c>
    </row>
    <row r="1133" spans="1:25" x14ac:dyDescent="0.25">
      <c r="A1133" s="62" t="s">
        <v>322</v>
      </c>
      <c r="B1133" s="62" t="s">
        <v>376</v>
      </c>
      <c r="C1133" s="63" t="s">
        <v>2222</v>
      </c>
      <c r="D1133" s="64">
        <v>1</v>
      </c>
      <c r="E1133" s="65"/>
      <c r="F1133" s="66">
        <v>100</v>
      </c>
      <c r="G1133" s="63"/>
      <c r="H1133" s="67"/>
      <c r="I1133" s="68"/>
      <c r="J1133" s="68"/>
      <c r="K1133" s="34" t="s">
        <v>64</v>
      </c>
      <c r="L1133" s="75">
        <v>1133</v>
      </c>
      <c r="M1133" s="75"/>
      <c r="N1133" s="70"/>
      <c r="O1133" s="77" t="s">
        <v>382</v>
      </c>
      <c r="P1133" s="79">
        <v>41124.25708333333</v>
      </c>
      <c r="Q1133" s="77"/>
      <c r="R1133" s="77"/>
      <c r="S1133" s="77"/>
      <c r="T1133" s="77"/>
      <c r="U1133" s="77"/>
      <c r="V1133" s="77"/>
      <c r="W1133" s="77"/>
      <c r="X1133" s="77"/>
      <c r="Y1133">
        <v>1</v>
      </c>
    </row>
    <row r="1134" spans="1:25" x14ac:dyDescent="0.25">
      <c r="A1134" s="62" t="s">
        <v>322</v>
      </c>
      <c r="B1134" s="62" t="s">
        <v>367</v>
      </c>
      <c r="C1134" s="63" t="s">
        <v>2222</v>
      </c>
      <c r="D1134" s="64">
        <v>1</v>
      </c>
      <c r="E1134" s="65"/>
      <c r="F1134" s="66">
        <v>100</v>
      </c>
      <c r="G1134" s="63"/>
      <c r="H1134" s="67"/>
      <c r="I1134" s="68"/>
      <c r="J1134" s="68"/>
      <c r="K1134" s="34" t="s">
        <v>64</v>
      </c>
      <c r="L1134" s="75">
        <v>1134</v>
      </c>
      <c r="M1134" s="75"/>
      <c r="N1134" s="70"/>
      <c r="O1134" s="77" t="s">
        <v>382</v>
      </c>
      <c r="P1134" s="79">
        <v>41124.25708333333</v>
      </c>
      <c r="Q1134" s="77"/>
      <c r="R1134" s="77"/>
      <c r="S1134" s="77"/>
      <c r="T1134" s="77"/>
      <c r="U1134" s="77"/>
      <c r="V1134" s="77"/>
      <c r="W1134" s="77"/>
      <c r="X1134" s="77"/>
      <c r="Y1134">
        <v>1</v>
      </c>
    </row>
    <row r="1135" spans="1:25" x14ac:dyDescent="0.25">
      <c r="A1135" s="62" t="s">
        <v>330</v>
      </c>
      <c r="B1135" s="62" t="s">
        <v>322</v>
      </c>
      <c r="C1135" s="63" t="s">
        <v>2222</v>
      </c>
      <c r="D1135" s="64">
        <v>1</v>
      </c>
      <c r="E1135" s="65"/>
      <c r="F1135" s="66">
        <v>100</v>
      </c>
      <c r="G1135" s="63"/>
      <c r="H1135" s="67"/>
      <c r="I1135" s="68"/>
      <c r="J1135" s="68"/>
      <c r="K1135" s="34" t="s">
        <v>64</v>
      </c>
      <c r="L1135" s="75">
        <v>1135</v>
      </c>
      <c r="M1135" s="75"/>
      <c r="N1135" s="70"/>
      <c r="O1135" s="77" t="s">
        <v>382</v>
      </c>
      <c r="P1135" s="79">
        <v>41124.25708333333</v>
      </c>
      <c r="Q1135" s="77"/>
      <c r="R1135" s="77"/>
      <c r="S1135" s="77"/>
      <c r="T1135" s="77"/>
      <c r="U1135" s="77"/>
      <c r="V1135" s="77"/>
      <c r="W1135" s="77"/>
      <c r="X1135" s="77"/>
      <c r="Y1135">
        <v>1</v>
      </c>
    </row>
    <row r="1136" spans="1:25" x14ac:dyDescent="0.25">
      <c r="A1136" s="62" t="s">
        <v>352</v>
      </c>
      <c r="B1136" s="62" t="s">
        <v>322</v>
      </c>
      <c r="C1136" s="63" t="s">
        <v>2222</v>
      </c>
      <c r="D1136" s="64">
        <v>1</v>
      </c>
      <c r="E1136" s="65"/>
      <c r="F1136" s="66">
        <v>100</v>
      </c>
      <c r="G1136" s="63"/>
      <c r="H1136" s="67"/>
      <c r="I1136" s="68"/>
      <c r="J1136" s="68"/>
      <c r="K1136" s="34" t="s">
        <v>64</v>
      </c>
      <c r="L1136" s="75">
        <v>1136</v>
      </c>
      <c r="M1136" s="75"/>
      <c r="N1136" s="70"/>
      <c r="O1136" s="77" t="s">
        <v>382</v>
      </c>
      <c r="P1136" s="79">
        <v>41124.25708333333</v>
      </c>
      <c r="Q1136" s="77"/>
      <c r="R1136" s="77"/>
      <c r="S1136" s="77"/>
      <c r="T1136" s="77"/>
      <c r="U1136" s="77"/>
      <c r="V1136" s="77"/>
      <c r="W1136" s="77"/>
      <c r="X1136" s="77"/>
      <c r="Y1136">
        <v>1</v>
      </c>
    </row>
    <row r="1137" spans="1:25" x14ac:dyDescent="0.25">
      <c r="A1137" s="62" t="s">
        <v>371</v>
      </c>
      <c r="B1137" s="62" t="s">
        <v>371</v>
      </c>
      <c r="C1137" s="63" t="s">
        <v>2219</v>
      </c>
      <c r="D1137" s="64">
        <v>1</v>
      </c>
      <c r="E1137" s="65"/>
      <c r="F1137" s="66">
        <v>100</v>
      </c>
      <c r="G1137" s="63"/>
      <c r="H1137" s="67"/>
      <c r="I1137" s="68"/>
      <c r="J1137" s="68"/>
      <c r="K1137" s="34" t="s">
        <v>64</v>
      </c>
      <c r="L1137" s="75">
        <v>1137</v>
      </c>
      <c r="M1137" s="75"/>
      <c r="N1137" s="70"/>
      <c r="O1137" s="77" t="s">
        <v>180</v>
      </c>
      <c r="P1137" s="79">
        <v>41124.058333333334</v>
      </c>
      <c r="Q1137" s="77" t="s">
        <v>585</v>
      </c>
      <c r="R1137" s="77"/>
      <c r="S1137" s="77"/>
      <c r="T1137" s="79">
        <v>41124.058333333334</v>
      </c>
      <c r="U1137" s="81" t="s">
        <v>936</v>
      </c>
      <c r="V1137" s="77"/>
      <c r="W1137" s="77"/>
      <c r="X1137" s="84" t="s">
        <v>1233</v>
      </c>
      <c r="Y1137" s="82">
        <v>1</v>
      </c>
    </row>
    <row r="1138" spans="1:25" x14ac:dyDescent="0.25">
      <c r="A1138" s="62" t="s">
        <v>371</v>
      </c>
      <c r="B1138" s="62" t="s">
        <v>352</v>
      </c>
      <c r="C1138" s="63" t="s">
        <v>2222</v>
      </c>
      <c r="D1138" s="64">
        <v>1</v>
      </c>
      <c r="E1138" s="65"/>
      <c r="F1138" s="66">
        <v>100</v>
      </c>
      <c r="G1138" s="63"/>
      <c r="H1138" s="67"/>
      <c r="I1138" s="68"/>
      <c r="J1138" s="68"/>
      <c r="K1138" s="34" t="s">
        <v>65</v>
      </c>
      <c r="L1138" s="75">
        <v>1138</v>
      </c>
      <c r="M1138" s="75"/>
      <c r="N1138" s="70"/>
      <c r="O1138" s="77" t="s">
        <v>382</v>
      </c>
      <c r="P1138" s="79">
        <v>41124.25708333333</v>
      </c>
      <c r="Q1138" s="77"/>
      <c r="R1138" s="77"/>
      <c r="S1138" s="77"/>
      <c r="T1138" s="77"/>
      <c r="U1138" s="77"/>
      <c r="V1138" s="77"/>
      <c r="W1138" s="77"/>
      <c r="X1138" s="77"/>
      <c r="Y1138">
        <v>1</v>
      </c>
    </row>
    <row r="1139" spans="1:25" x14ac:dyDescent="0.25">
      <c r="A1139" s="62" t="s">
        <v>371</v>
      </c>
      <c r="B1139" s="62" t="s">
        <v>367</v>
      </c>
      <c r="C1139" s="63" t="s">
        <v>2222</v>
      </c>
      <c r="D1139" s="64">
        <v>1</v>
      </c>
      <c r="E1139" s="65"/>
      <c r="F1139" s="66">
        <v>100</v>
      </c>
      <c r="G1139" s="63"/>
      <c r="H1139" s="67"/>
      <c r="I1139" s="68"/>
      <c r="J1139" s="68"/>
      <c r="K1139" s="34" t="s">
        <v>64</v>
      </c>
      <c r="L1139" s="75">
        <v>1139</v>
      </c>
      <c r="M1139" s="75"/>
      <c r="N1139" s="70"/>
      <c r="O1139" s="77" t="s">
        <v>382</v>
      </c>
      <c r="P1139" s="79">
        <v>41124.25708333333</v>
      </c>
      <c r="Q1139" s="77"/>
      <c r="R1139" s="77"/>
      <c r="S1139" s="77"/>
      <c r="T1139" s="77"/>
      <c r="U1139" s="77"/>
      <c r="V1139" s="77"/>
      <c r="W1139" s="77"/>
      <c r="X1139" s="77"/>
      <c r="Y1139">
        <v>1</v>
      </c>
    </row>
    <row r="1140" spans="1:25" x14ac:dyDescent="0.25">
      <c r="A1140" s="62" t="s">
        <v>352</v>
      </c>
      <c r="B1140" s="62" t="s">
        <v>371</v>
      </c>
      <c r="C1140" s="63" t="s">
        <v>2222</v>
      </c>
      <c r="D1140" s="64">
        <v>1</v>
      </c>
      <c r="E1140" s="65"/>
      <c r="F1140" s="66">
        <v>100</v>
      </c>
      <c r="G1140" s="63"/>
      <c r="H1140" s="67"/>
      <c r="I1140" s="68"/>
      <c r="J1140" s="68"/>
      <c r="K1140" s="34" t="s">
        <v>65</v>
      </c>
      <c r="L1140" s="75">
        <v>1140</v>
      </c>
      <c r="M1140" s="75"/>
      <c r="N1140" s="70"/>
      <c r="O1140" s="77" t="s">
        <v>382</v>
      </c>
      <c r="P1140" s="79">
        <v>41124.25708333333</v>
      </c>
      <c r="Q1140" s="77"/>
      <c r="R1140" s="77"/>
      <c r="S1140" s="77"/>
      <c r="T1140" s="77"/>
      <c r="U1140" s="77"/>
      <c r="V1140" s="77"/>
      <c r="W1140" s="77"/>
      <c r="X1140" s="77"/>
      <c r="Y1140">
        <v>1</v>
      </c>
    </row>
    <row r="1141" spans="1:25" x14ac:dyDescent="0.25">
      <c r="A1141" s="62" t="s">
        <v>302</v>
      </c>
      <c r="B1141" s="62" t="s">
        <v>302</v>
      </c>
      <c r="C1141" s="63" t="s">
        <v>2219</v>
      </c>
      <c r="D1141" s="64">
        <v>1</v>
      </c>
      <c r="E1141" s="65"/>
      <c r="F1141" s="66">
        <v>100</v>
      </c>
      <c r="G1141" s="63"/>
      <c r="H1141" s="67"/>
      <c r="I1141" s="68"/>
      <c r="J1141" s="68"/>
      <c r="K1141" s="34" t="s">
        <v>64</v>
      </c>
      <c r="L1141" s="75">
        <v>1141</v>
      </c>
      <c r="M1141" s="75"/>
      <c r="N1141" s="70"/>
      <c r="O1141" s="77" t="s">
        <v>180</v>
      </c>
      <c r="P1141" s="79">
        <v>41123.959467592591</v>
      </c>
      <c r="Q1141" s="77" t="s">
        <v>591</v>
      </c>
      <c r="R1141" s="77"/>
      <c r="S1141" s="77" t="s">
        <v>661</v>
      </c>
      <c r="T1141" s="79">
        <v>41123.959467592591</v>
      </c>
      <c r="U1141" s="81" t="s">
        <v>937</v>
      </c>
      <c r="V1141" s="77"/>
      <c r="W1141" s="77"/>
      <c r="X1141" s="84" t="s">
        <v>1234</v>
      </c>
      <c r="Y1141" s="82">
        <v>1</v>
      </c>
    </row>
    <row r="1142" spans="1:25" x14ac:dyDescent="0.25">
      <c r="A1142" s="62" t="s">
        <v>302</v>
      </c>
      <c r="B1142" s="62" t="s">
        <v>352</v>
      </c>
      <c r="C1142" s="63" t="s">
        <v>2222</v>
      </c>
      <c r="D1142" s="64">
        <v>1</v>
      </c>
      <c r="E1142" s="65"/>
      <c r="F1142" s="66">
        <v>100</v>
      </c>
      <c r="G1142" s="63"/>
      <c r="H1142" s="67"/>
      <c r="I1142" s="68"/>
      <c r="J1142" s="68"/>
      <c r="K1142" s="34" t="s">
        <v>65</v>
      </c>
      <c r="L1142" s="75">
        <v>1142</v>
      </c>
      <c r="M1142" s="75"/>
      <c r="N1142" s="70"/>
      <c r="O1142" s="77" t="s">
        <v>382</v>
      </c>
      <c r="P1142" s="79">
        <v>41124.25708333333</v>
      </c>
      <c r="Q1142" s="77"/>
      <c r="R1142" s="77"/>
      <c r="S1142" s="77"/>
      <c r="T1142" s="77"/>
      <c r="U1142" s="77"/>
      <c r="V1142" s="77"/>
      <c r="W1142" s="77"/>
      <c r="X1142" s="77"/>
      <c r="Y1142">
        <v>1</v>
      </c>
    </row>
    <row r="1143" spans="1:25" x14ac:dyDescent="0.25">
      <c r="A1143" s="62" t="s">
        <v>352</v>
      </c>
      <c r="B1143" s="62" t="s">
        <v>302</v>
      </c>
      <c r="C1143" s="63" t="s">
        <v>2222</v>
      </c>
      <c r="D1143" s="64">
        <v>1</v>
      </c>
      <c r="E1143" s="65"/>
      <c r="F1143" s="66">
        <v>100</v>
      </c>
      <c r="G1143" s="63"/>
      <c r="H1143" s="67"/>
      <c r="I1143" s="68"/>
      <c r="J1143" s="68"/>
      <c r="K1143" s="34" t="s">
        <v>65</v>
      </c>
      <c r="L1143" s="75">
        <v>1143</v>
      </c>
      <c r="M1143" s="75"/>
      <c r="N1143" s="70"/>
      <c r="O1143" s="77" t="s">
        <v>382</v>
      </c>
      <c r="P1143" s="79">
        <v>41124.25708333333</v>
      </c>
      <c r="Q1143" s="77"/>
      <c r="R1143" s="77"/>
      <c r="S1143" s="77"/>
      <c r="T1143" s="77"/>
      <c r="U1143" s="77"/>
      <c r="V1143" s="77"/>
      <c r="W1143" s="77"/>
      <c r="X1143" s="77"/>
      <c r="Y1143">
        <v>1</v>
      </c>
    </row>
    <row r="1144" spans="1:25" x14ac:dyDescent="0.25">
      <c r="A1144" s="62" t="s">
        <v>374</v>
      </c>
      <c r="B1144" s="62" t="s">
        <v>374</v>
      </c>
      <c r="C1144" s="63" t="s">
        <v>2219</v>
      </c>
      <c r="D1144" s="64">
        <v>1</v>
      </c>
      <c r="E1144" s="65"/>
      <c r="F1144" s="66">
        <v>100</v>
      </c>
      <c r="G1144" s="63"/>
      <c r="H1144" s="67"/>
      <c r="I1144" s="68"/>
      <c r="J1144" s="68"/>
      <c r="K1144" s="34" t="s">
        <v>64</v>
      </c>
      <c r="L1144" s="75">
        <v>1144</v>
      </c>
      <c r="M1144" s="75"/>
      <c r="N1144" s="70"/>
      <c r="O1144" s="77" t="s">
        <v>180</v>
      </c>
      <c r="P1144" s="79">
        <v>41123.69027777778</v>
      </c>
      <c r="Q1144" s="77" t="s">
        <v>583</v>
      </c>
      <c r="R1144" s="77"/>
      <c r="S1144" s="77"/>
      <c r="T1144" s="79">
        <v>41123.69027777778</v>
      </c>
      <c r="U1144" s="81" t="s">
        <v>938</v>
      </c>
      <c r="V1144" s="77"/>
      <c r="W1144" s="77"/>
      <c r="X1144" s="84" t="s">
        <v>1235</v>
      </c>
      <c r="Y1144" s="82">
        <v>1</v>
      </c>
    </row>
    <row r="1145" spans="1:25" x14ac:dyDescent="0.25">
      <c r="A1145" s="62" t="s">
        <v>352</v>
      </c>
      <c r="B1145" s="62" t="s">
        <v>374</v>
      </c>
      <c r="C1145" s="63" t="s">
        <v>2222</v>
      </c>
      <c r="D1145" s="64">
        <v>1</v>
      </c>
      <c r="E1145" s="65"/>
      <c r="F1145" s="66">
        <v>100</v>
      </c>
      <c r="G1145" s="63"/>
      <c r="H1145" s="67"/>
      <c r="I1145" s="68"/>
      <c r="J1145" s="68"/>
      <c r="K1145" s="34" t="s">
        <v>64</v>
      </c>
      <c r="L1145" s="75">
        <v>1145</v>
      </c>
      <c r="M1145" s="75"/>
      <c r="N1145" s="70"/>
      <c r="O1145" s="77" t="s">
        <v>382</v>
      </c>
      <c r="P1145" s="79">
        <v>41124.25708333333</v>
      </c>
      <c r="Q1145" s="77"/>
      <c r="R1145" s="77"/>
      <c r="S1145" s="77"/>
      <c r="T1145" s="77"/>
      <c r="U1145" s="77"/>
      <c r="V1145" s="77"/>
      <c r="W1145" s="77"/>
      <c r="X1145" s="77"/>
      <c r="Y1145">
        <v>1</v>
      </c>
    </row>
    <row r="1146" spans="1:25" x14ac:dyDescent="0.25">
      <c r="A1146" s="62" t="s">
        <v>354</v>
      </c>
      <c r="B1146" s="62" t="s">
        <v>354</v>
      </c>
      <c r="C1146" s="63" t="s">
        <v>2219</v>
      </c>
      <c r="D1146" s="64">
        <v>1</v>
      </c>
      <c r="E1146" s="65"/>
      <c r="F1146" s="66">
        <v>100</v>
      </c>
      <c r="G1146" s="63"/>
      <c r="H1146" s="67"/>
      <c r="I1146" s="68"/>
      <c r="J1146" s="68"/>
      <c r="K1146" s="34" t="s">
        <v>64</v>
      </c>
      <c r="L1146" s="75">
        <v>1146</v>
      </c>
      <c r="M1146" s="75"/>
      <c r="N1146" s="70"/>
      <c r="O1146" s="77" t="s">
        <v>180</v>
      </c>
      <c r="P1146" s="79">
        <v>41123.748715277776</v>
      </c>
      <c r="Q1146" s="77" t="s">
        <v>433</v>
      </c>
      <c r="R1146" s="81" t="s">
        <v>615</v>
      </c>
      <c r="S1146" s="77"/>
      <c r="T1146" s="79">
        <v>41123.748715277776</v>
      </c>
      <c r="U1146" s="81" t="s">
        <v>939</v>
      </c>
      <c r="V1146" s="77"/>
      <c r="W1146" s="77"/>
      <c r="X1146" s="84" t="s">
        <v>1236</v>
      </c>
      <c r="Y1146" s="82">
        <v>1</v>
      </c>
    </row>
    <row r="1147" spans="1:25" x14ac:dyDescent="0.25">
      <c r="A1147" s="62" t="s">
        <v>240</v>
      </c>
      <c r="B1147" s="62" t="s">
        <v>354</v>
      </c>
      <c r="C1147" s="63" t="s">
        <v>2222</v>
      </c>
      <c r="D1147" s="64">
        <v>1</v>
      </c>
      <c r="E1147" s="65"/>
      <c r="F1147" s="66">
        <v>100</v>
      </c>
      <c r="G1147" s="63"/>
      <c r="H1147" s="67"/>
      <c r="I1147" s="68"/>
      <c r="J1147" s="68"/>
      <c r="K1147" s="34" t="s">
        <v>65</v>
      </c>
      <c r="L1147" s="75">
        <v>1147</v>
      </c>
      <c r="M1147" s="75"/>
      <c r="N1147" s="70"/>
      <c r="O1147" s="77" t="s">
        <v>382</v>
      </c>
      <c r="P1147" s="79">
        <v>41124.25708333333</v>
      </c>
      <c r="Q1147" s="77"/>
      <c r="R1147" s="77"/>
      <c r="S1147" s="77"/>
      <c r="T1147" s="77"/>
      <c r="U1147" s="77"/>
      <c r="V1147" s="77"/>
      <c r="W1147" s="77"/>
      <c r="X1147" s="77"/>
      <c r="Y1147">
        <v>1</v>
      </c>
    </row>
    <row r="1148" spans="1:25" x14ac:dyDescent="0.25">
      <c r="A1148" s="62" t="s">
        <v>354</v>
      </c>
      <c r="B1148" s="62" t="s">
        <v>236</v>
      </c>
      <c r="C1148" s="63" t="s">
        <v>2222</v>
      </c>
      <c r="D1148" s="64">
        <v>1</v>
      </c>
      <c r="E1148" s="65"/>
      <c r="F1148" s="66">
        <v>100</v>
      </c>
      <c r="G1148" s="63"/>
      <c r="H1148" s="67"/>
      <c r="I1148" s="68"/>
      <c r="J1148" s="68"/>
      <c r="K1148" s="34" t="s">
        <v>64</v>
      </c>
      <c r="L1148" s="75">
        <v>1148</v>
      </c>
      <c r="M1148" s="75"/>
      <c r="N1148" s="70"/>
      <c r="O1148" s="77" t="s">
        <v>382</v>
      </c>
      <c r="P1148" s="79">
        <v>41124.25708333333</v>
      </c>
      <c r="Q1148" s="77"/>
      <c r="R1148" s="77"/>
      <c r="S1148" s="77"/>
      <c r="T1148" s="77"/>
      <c r="U1148" s="77"/>
      <c r="V1148" s="77"/>
      <c r="W1148" s="77"/>
      <c r="X1148" s="77"/>
      <c r="Y1148">
        <v>1</v>
      </c>
    </row>
    <row r="1149" spans="1:25" x14ac:dyDescent="0.25">
      <c r="A1149" s="62" t="s">
        <v>354</v>
      </c>
      <c r="B1149" s="62" t="s">
        <v>240</v>
      </c>
      <c r="C1149" s="63" t="s">
        <v>2222</v>
      </c>
      <c r="D1149" s="64">
        <v>1</v>
      </c>
      <c r="E1149" s="65"/>
      <c r="F1149" s="66">
        <v>100</v>
      </c>
      <c r="G1149" s="63"/>
      <c r="H1149" s="67"/>
      <c r="I1149" s="68"/>
      <c r="J1149" s="68"/>
      <c r="K1149" s="34" t="s">
        <v>65</v>
      </c>
      <c r="L1149" s="75">
        <v>1149</v>
      </c>
      <c r="M1149" s="75"/>
      <c r="N1149" s="70"/>
      <c r="O1149" s="77" t="s">
        <v>382</v>
      </c>
      <c r="P1149" s="79">
        <v>41124.25708333333</v>
      </c>
      <c r="Q1149" s="77"/>
      <c r="R1149" s="77"/>
      <c r="S1149" s="77"/>
      <c r="T1149" s="77"/>
      <c r="U1149" s="77"/>
      <c r="V1149" s="77"/>
      <c r="W1149" s="77"/>
      <c r="X1149" s="77"/>
      <c r="Y1149">
        <v>1</v>
      </c>
    </row>
    <row r="1150" spans="1:25" x14ac:dyDescent="0.25">
      <c r="A1150" s="62" t="s">
        <v>354</v>
      </c>
      <c r="B1150" s="62" t="s">
        <v>352</v>
      </c>
      <c r="C1150" s="63" t="s">
        <v>2222</v>
      </c>
      <c r="D1150" s="64">
        <v>1</v>
      </c>
      <c r="E1150" s="65"/>
      <c r="F1150" s="66">
        <v>100</v>
      </c>
      <c r="G1150" s="63"/>
      <c r="H1150" s="67"/>
      <c r="I1150" s="68"/>
      <c r="J1150" s="68"/>
      <c r="K1150" s="34" t="s">
        <v>65</v>
      </c>
      <c r="L1150" s="75">
        <v>1150</v>
      </c>
      <c r="M1150" s="75"/>
      <c r="N1150" s="70"/>
      <c r="O1150" s="77" t="s">
        <v>382</v>
      </c>
      <c r="P1150" s="79">
        <v>41124.25708333333</v>
      </c>
      <c r="Q1150" s="77"/>
      <c r="R1150" s="77"/>
      <c r="S1150" s="77"/>
      <c r="T1150" s="77"/>
      <c r="U1150" s="77"/>
      <c r="V1150" s="77"/>
      <c r="W1150" s="77"/>
      <c r="X1150" s="77"/>
      <c r="Y1150">
        <v>1</v>
      </c>
    </row>
    <row r="1151" spans="1:25" x14ac:dyDescent="0.25">
      <c r="A1151" s="62" t="s">
        <v>354</v>
      </c>
      <c r="B1151" s="62" t="s">
        <v>367</v>
      </c>
      <c r="C1151" s="63" t="s">
        <v>2222</v>
      </c>
      <c r="D1151" s="64">
        <v>1</v>
      </c>
      <c r="E1151" s="65"/>
      <c r="F1151" s="66">
        <v>100</v>
      </c>
      <c r="G1151" s="63"/>
      <c r="H1151" s="67"/>
      <c r="I1151" s="68"/>
      <c r="J1151" s="68"/>
      <c r="K1151" s="34" t="s">
        <v>64</v>
      </c>
      <c r="L1151" s="75">
        <v>1151</v>
      </c>
      <c r="M1151" s="75"/>
      <c r="N1151" s="70"/>
      <c r="O1151" s="77" t="s">
        <v>382</v>
      </c>
      <c r="P1151" s="79">
        <v>41124.25708333333</v>
      </c>
      <c r="Q1151" s="77"/>
      <c r="R1151" s="77"/>
      <c r="S1151" s="77"/>
      <c r="T1151" s="77"/>
      <c r="U1151" s="77"/>
      <c r="V1151" s="77"/>
      <c r="W1151" s="77"/>
      <c r="X1151" s="77"/>
      <c r="Y1151">
        <v>1</v>
      </c>
    </row>
    <row r="1152" spans="1:25" x14ac:dyDescent="0.25">
      <c r="A1152" s="62" t="s">
        <v>352</v>
      </c>
      <c r="B1152" s="62" t="s">
        <v>354</v>
      </c>
      <c r="C1152" s="63" t="s">
        <v>2222</v>
      </c>
      <c r="D1152" s="64">
        <v>1</v>
      </c>
      <c r="E1152" s="65"/>
      <c r="F1152" s="66">
        <v>100</v>
      </c>
      <c r="G1152" s="63"/>
      <c r="H1152" s="67"/>
      <c r="I1152" s="68"/>
      <c r="J1152" s="68"/>
      <c r="K1152" s="34" t="s">
        <v>65</v>
      </c>
      <c r="L1152" s="75">
        <v>1152</v>
      </c>
      <c r="M1152" s="75"/>
      <c r="N1152" s="70"/>
      <c r="O1152" s="77" t="s">
        <v>382</v>
      </c>
      <c r="P1152" s="79">
        <v>41124.25708333333</v>
      </c>
      <c r="Q1152" s="77"/>
      <c r="R1152" s="77"/>
      <c r="S1152" s="77"/>
      <c r="T1152" s="77"/>
      <c r="U1152" s="77"/>
      <c r="V1152" s="77"/>
      <c r="W1152" s="77"/>
      <c r="X1152" s="77"/>
      <c r="Y1152">
        <v>1</v>
      </c>
    </row>
    <row r="1153" spans="1:25" x14ac:dyDescent="0.25">
      <c r="A1153" s="62" t="s">
        <v>358</v>
      </c>
      <c r="B1153" s="62" t="s">
        <v>358</v>
      </c>
      <c r="C1153" s="63" t="s">
        <v>2219</v>
      </c>
      <c r="D1153" s="64">
        <v>1</v>
      </c>
      <c r="E1153" s="65"/>
      <c r="F1153" s="66">
        <v>100</v>
      </c>
      <c r="G1153" s="63"/>
      <c r="H1153" s="67"/>
      <c r="I1153" s="68"/>
      <c r="J1153" s="68"/>
      <c r="K1153" s="34" t="s">
        <v>64</v>
      </c>
      <c r="L1153" s="75">
        <v>1153</v>
      </c>
      <c r="M1153" s="75"/>
      <c r="N1153" s="70"/>
      <c r="O1153" s="77" t="s">
        <v>180</v>
      </c>
      <c r="P1153" s="79">
        <v>41123.757986111108</v>
      </c>
      <c r="Q1153" s="77" t="s">
        <v>433</v>
      </c>
      <c r="R1153" s="81" t="s">
        <v>615</v>
      </c>
      <c r="S1153" s="77"/>
      <c r="T1153" s="79">
        <v>41123.757986111108</v>
      </c>
      <c r="U1153" s="81" t="s">
        <v>940</v>
      </c>
      <c r="V1153" s="77"/>
      <c r="W1153" s="77"/>
      <c r="X1153" s="84" t="s">
        <v>1237</v>
      </c>
      <c r="Y1153" s="82">
        <v>1</v>
      </c>
    </row>
    <row r="1154" spans="1:25" x14ac:dyDescent="0.25">
      <c r="A1154" s="62" t="s">
        <v>240</v>
      </c>
      <c r="B1154" s="62" t="s">
        <v>358</v>
      </c>
      <c r="C1154" s="63" t="s">
        <v>2222</v>
      </c>
      <c r="D1154" s="64">
        <v>1</v>
      </c>
      <c r="E1154" s="65"/>
      <c r="F1154" s="66">
        <v>100</v>
      </c>
      <c r="G1154" s="63"/>
      <c r="H1154" s="67"/>
      <c r="I1154" s="68"/>
      <c r="J1154" s="68"/>
      <c r="K1154" s="34" t="s">
        <v>65</v>
      </c>
      <c r="L1154" s="75">
        <v>1154</v>
      </c>
      <c r="M1154" s="75"/>
      <c r="N1154" s="70"/>
      <c r="O1154" s="77" t="s">
        <v>382</v>
      </c>
      <c r="P1154" s="79">
        <v>41124.25708333333</v>
      </c>
      <c r="Q1154" s="77"/>
      <c r="R1154" s="77"/>
      <c r="S1154" s="77"/>
      <c r="T1154" s="77"/>
      <c r="U1154" s="77"/>
      <c r="V1154" s="77"/>
      <c r="W1154" s="77"/>
      <c r="X1154" s="77"/>
      <c r="Y1154">
        <v>1</v>
      </c>
    </row>
    <row r="1155" spans="1:25" x14ac:dyDescent="0.25">
      <c r="A1155" s="62" t="s">
        <v>358</v>
      </c>
      <c r="B1155" s="62" t="s">
        <v>240</v>
      </c>
      <c r="C1155" s="63" t="s">
        <v>2222</v>
      </c>
      <c r="D1155" s="64">
        <v>1</v>
      </c>
      <c r="E1155" s="65"/>
      <c r="F1155" s="66">
        <v>100</v>
      </c>
      <c r="G1155" s="63"/>
      <c r="H1155" s="67"/>
      <c r="I1155" s="68"/>
      <c r="J1155" s="68"/>
      <c r="K1155" s="34" t="s">
        <v>65</v>
      </c>
      <c r="L1155" s="75">
        <v>1155</v>
      </c>
      <c r="M1155" s="75"/>
      <c r="N1155" s="70"/>
      <c r="O1155" s="77" t="s">
        <v>382</v>
      </c>
      <c r="P1155" s="79">
        <v>41124.25708333333</v>
      </c>
      <c r="Q1155" s="77"/>
      <c r="R1155" s="77"/>
      <c r="S1155" s="77"/>
      <c r="T1155" s="77"/>
      <c r="U1155" s="77"/>
      <c r="V1155" s="77"/>
      <c r="W1155" s="77"/>
      <c r="X1155" s="77"/>
      <c r="Y1155">
        <v>1</v>
      </c>
    </row>
    <row r="1156" spans="1:25" x14ac:dyDescent="0.25">
      <c r="A1156" s="62" t="s">
        <v>358</v>
      </c>
      <c r="B1156" s="62" t="s">
        <v>367</v>
      </c>
      <c r="C1156" s="63" t="s">
        <v>2222</v>
      </c>
      <c r="D1156" s="64">
        <v>1</v>
      </c>
      <c r="E1156" s="65"/>
      <c r="F1156" s="66">
        <v>100</v>
      </c>
      <c r="G1156" s="63"/>
      <c r="H1156" s="67"/>
      <c r="I1156" s="68"/>
      <c r="J1156" s="68"/>
      <c r="K1156" s="34" t="s">
        <v>64</v>
      </c>
      <c r="L1156" s="75">
        <v>1156</v>
      </c>
      <c r="M1156" s="75"/>
      <c r="N1156" s="70"/>
      <c r="O1156" s="77" t="s">
        <v>382</v>
      </c>
      <c r="P1156" s="79">
        <v>41124.25708333333</v>
      </c>
      <c r="Q1156" s="77"/>
      <c r="R1156" s="77"/>
      <c r="S1156" s="77"/>
      <c r="T1156" s="77"/>
      <c r="U1156" s="77"/>
      <c r="V1156" s="77"/>
      <c r="W1156" s="77"/>
      <c r="X1156" s="77"/>
      <c r="Y1156">
        <v>1</v>
      </c>
    </row>
    <row r="1157" spans="1:25" x14ac:dyDescent="0.25">
      <c r="A1157" s="62" t="s">
        <v>352</v>
      </c>
      <c r="B1157" s="62" t="s">
        <v>358</v>
      </c>
      <c r="C1157" s="63" t="s">
        <v>2222</v>
      </c>
      <c r="D1157" s="64">
        <v>1</v>
      </c>
      <c r="E1157" s="65"/>
      <c r="F1157" s="66">
        <v>100</v>
      </c>
      <c r="G1157" s="63"/>
      <c r="H1157" s="67"/>
      <c r="I1157" s="68"/>
      <c r="J1157" s="68"/>
      <c r="K1157" s="34" t="s">
        <v>64</v>
      </c>
      <c r="L1157" s="75">
        <v>1157</v>
      </c>
      <c r="M1157" s="75"/>
      <c r="N1157" s="70"/>
      <c r="O1157" s="77" t="s">
        <v>382</v>
      </c>
      <c r="P1157" s="79">
        <v>41124.25708333333</v>
      </c>
      <c r="Q1157" s="77"/>
      <c r="R1157" s="77"/>
      <c r="S1157" s="77"/>
      <c r="T1157" s="77"/>
      <c r="U1157" s="77"/>
      <c r="V1157" s="77"/>
      <c r="W1157" s="77"/>
      <c r="X1157" s="77"/>
      <c r="Y1157">
        <v>1</v>
      </c>
    </row>
    <row r="1158" spans="1:25" x14ac:dyDescent="0.25">
      <c r="A1158" s="62" t="s">
        <v>236</v>
      </c>
      <c r="B1158" s="62" t="s">
        <v>236</v>
      </c>
      <c r="C1158" s="63" t="s">
        <v>2219</v>
      </c>
      <c r="D1158" s="64">
        <v>1</v>
      </c>
      <c r="E1158" s="65"/>
      <c r="F1158" s="66">
        <v>100</v>
      </c>
      <c r="G1158" s="63"/>
      <c r="H1158" s="67"/>
      <c r="I1158" s="68"/>
      <c r="J1158" s="68"/>
      <c r="K1158" s="34" t="s">
        <v>64</v>
      </c>
      <c r="L1158" s="75">
        <v>1158</v>
      </c>
      <c r="M1158" s="75"/>
      <c r="N1158" s="70"/>
      <c r="O1158" s="77" t="s">
        <v>180</v>
      </c>
      <c r="P1158" s="79">
        <v>41123.727164351854</v>
      </c>
      <c r="Q1158" s="77" t="s">
        <v>433</v>
      </c>
      <c r="R1158" s="81" t="s">
        <v>615</v>
      </c>
      <c r="S1158" s="77"/>
      <c r="T1158" s="79">
        <v>41123.727164351854</v>
      </c>
      <c r="U1158" s="81" t="s">
        <v>941</v>
      </c>
      <c r="V1158" s="77"/>
      <c r="W1158" s="77"/>
      <c r="X1158" s="84" t="s">
        <v>1238</v>
      </c>
      <c r="Y1158" s="82">
        <v>1</v>
      </c>
    </row>
    <row r="1159" spans="1:25" x14ac:dyDescent="0.25">
      <c r="A1159" s="62" t="s">
        <v>236</v>
      </c>
      <c r="B1159" s="62" t="s">
        <v>376</v>
      </c>
      <c r="C1159" s="63" t="s">
        <v>2222</v>
      </c>
      <c r="D1159" s="64">
        <v>1</v>
      </c>
      <c r="E1159" s="65"/>
      <c r="F1159" s="66">
        <v>100</v>
      </c>
      <c r="G1159" s="63"/>
      <c r="H1159" s="67"/>
      <c r="I1159" s="68"/>
      <c r="J1159" s="68"/>
      <c r="K1159" s="34" t="s">
        <v>64</v>
      </c>
      <c r="L1159" s="75">
        <v>1159</v>
      </c>
      <c r="M1159" s="75"/>
      <c r="N1159" s="70"/>
      <c r="O1159" s="77" t="s">
        <v>382</v>
      </c>
      <c r="P1159" s="79">
        <v>41124.25708333333</v>
      </c>
      <c r="Q1159" s="77"/>
      <c r="R1159" s="77"/>
      <c r="S1159" s="77"/>
      <c r="T1159" s="77"/>
      <c r="U1159" s="77"/>
      <c r="V1159" s="77"/>
      <c r="W1159" s="77"/>
      <c r="X1159" s="77"/>
      <c r="Y1159">
        <v>1</v>
      </c>
    </row>
    <row r="1160" spans="1:25" x14ac:dyDescent="0.25">
      <c r="A1160" s="62" t="s">
        <v>352</v>
      </c>
      <c r="B1160" s="62" t="s">
        <v>236</v>
      </c>
      <c r="C1160" s="63" t="s">
        <v>2222</v>
      </c>
      <c r="D1160" s="64">
        <v>1</v>
      </c>
      <c r="E1160" s="65"/>
      <c r="F1160" s="66">
        <v>100</v>
      </c>
      <c r="G1160" s="63"/>
      <c r="H1160" s="67"/>
      <c r="I1160" s="68"/>
      <c r="J1160" s="68"/>
      <c r="K1160" s="34" t="s">
        <v>64</v>
      </c>
      <c r="L1160" s="75">
        <v>1160</v>
      </c>
      <c r="M1160" s="75"/>
      <c r="N1160" s="70"/>
      <c r="O1160" s="77" t="s">
        <v>382</v>
      </c>
      <c r="P1160" s="79">
        <v>41124.25708333333</v>
      </c>
      <c r="Q1160" s="77"/>
      <c r="R1160" s="77"/>
      <c r="S1160" s="77"/>
      <c r="T1160" s="77"/>
      <c r="U1160" s="77"/>
      <c r="V1160" s="77"/>
      <c r="W1160" s="77"/>
      <c r="X1160" s="77"/>
      <c r="Y1160">
        <v>1</v>
      </c>
    </row>
    <row r="1161" spans="1:25" x14ac:dyDescent="0.25">
      <c r="A1161" s="62" t="s">
        <v>375</v>
      </c>
      <c r="B1161" s="62" t="s">
        <v>375</v>
      </c>
      <c r="C1161" s="63" t="s">
        <v>2219</v>
      </c>
      <c r="D1161" s="64">
        <v>1</v>
      </c>
      <c r="E1161" s="65"/>
      <c r="F1161" s="66">
        <v>100</v>
      </c>
      <c r="G1161" s="63"/>
      <c r="H1161" s="67"/>
      <c r="I1161" s="68"/>
      <c r="J1161" s="68"/>
      <c r="K1161" s="34" t="s">
        <v>64</v>
      </c>
      <c r="L1161" s="75">
        <v>1161</v>
      </c>
      <c r="M1161" s="75"/>
      <c r="N1161" s="70"/>
      <c r="O1161" s="77" t="s">
        <v>180</v>
      </c>
      <c r="P1161" s="79">
        <v>41124.152569444443</v>
      </c>
      <c r="Q1161" s="77" t="s">
        <v>592</v>
      </c>
      <c r="R1161" s="77"/>
      <c r="S1161" s="77" t="s">
        <v>665</v>
      </c>
      <c r="T1161" s="79">
        <v>41124.152569444443</v>
      </c>
      <c r="U1161" s="81" t="s">
        <v>942</v>
      </c>
      <c r="V1161" s="77"/>
      <c r="W1161" s="77"/>
      <c r="X1161" s="84" t="s">
        <v>1239</v>
      </c>
      <c r="Y1161" s="82">
        <v>1</v>
      </c>
    </row>
    <row r="1162" spans="1:25" x14ac:dyDescent="0.25">
      <c r="A1162" s="62" t="s">
        <v>352</v>
      </c>
      <c r="B1162" s="62" t="s">
        <v>375</v>
      </c>
      <c r="C1162" s="63" t="s">
        <v>2222</v>
      </c>
      <c r="D1162" s="64">
        <v>1</v>
      </c>
      <c r="E1162" s="65"/>
      <c r="F1162" s="66">
        <v>100</v>
      </c>
      <c r="G1162" s="63"/>
      <c r="H1162" s="67"/>
      <c r="I1162" s="68"/>
      <c r="J1162" s="68"/>
      <c r="K1162" s="34" t="s">
        <v>65</v>
      </c>
      <c r="L1162" s="75">
        <v>1162</v>
      </c>
      <c r="M1162" s="75"/>
      <c r="N1162" s="70"/>
      <c r="O1162" s="77" t="s">
        <v>382</v>
      </c>
      <c r="P1162" s="79">
        <v>41124.25708333333</v>
      </c>
      <c r="Q1162" s="77"/>
      <c r="R1162" s="77"/>
      <c r="S1162" s="77"/>
      <c r="T1162" s="77"/>
      <c r="U1162" s="77"/>
      <c r="V1162" s="77"/>
      <c r="W1162" s="77"/>
      <c r="X1162" s="77"/>
      <c r="Y1162">
        <v>1</v>
      </c>
    </row>
    <row r="1163" spans="1:25" x14ac:dyDescent="0.25">
      <c r="A1163" s="62" t="s">
        <v>375</v>
      </c>
      <c r="B1163" s="62" t="s">
        <v>352</v>
      </c>
      <c r="C1163" s="63" t="s">
        <v>2222</v>
      </c>
      <c r="D1163" s="64">
        <v>1</v>
      </c>
      <c r="E1163" s="65"/>
      <c r="F1163" s="66">
        <v>100</v>
      </c>
      <c r="G1163" s="63"/>
      <c r="H1163" s="67"/>
      <c r="I1163" s="68"/>
      <c r="J1163" s="68"/>
      <c r="K1163" s="34" t="s">
        <v>65</v>
      </c>
      <c r="L1163" s="75">
        <v>1163</v>
      </c>
      <c r="M1163" s="75"/>
      <c r="N1163" s="70"/>
      <c r="O1163" s="77" t="s">
        <v>382</v>
      </c>
      <c r="P1163" s="79">
        <v>41124.25708333333</v>
      </c>
      <c r="Q1163" s="77"/>
      <c r="R1163" s="77"/>
      <c r="S1163" s="77"/>
      <c r="T1163" s="77"/>
      <c r="U1163" s="77"/>
      <c r="V1163" s="77"/>
      <c r="W1163" s="77"/>
      <c r="X1163" s="77"/>
      <c r="Y1163">
        <v>1</v>
      </c>
    </row>
    <row r="1164" spans="1:25" x14ac:dyDescent="0.25">
      <c r="A1164" s="62" t="s">
        <v>375</v>
      </c>
      <c r="B1164" s="62" t="s">
        <v>367</v>
      </c>
      <c r="C1164" s="63" t="s">
        <v>2222</v>
      </c>
      <c r="D1164" s="64">
        <v>1</v>
      </c>
      <c r="E1164" s="65"/>
      <c r="F1164" s="66">
        <v>100</v>
      </c>
      <c r="G1164" s="63"/>
      <c r="H1164" s="67"/>
      <c r="I1164" s="68"/>
      <c r="J1164" s="68"/>
      <c r="K1164" s="34" t="s">
        <v>64</v>
      </c>
      <c r="L1164" s="75">
        <v>1164</v>
      </c>
      <c r="M1164" s="75"/>
      <c r="N1164" s="70"/>
      <c r="O1164" s="77" t="s">
        <v>382</v>
      </c>
      <c r="P1164" s="79">
        <v>41124.25708333333</v>
      </c>
      <c r="Q1164" s="77"/>
      <c r="R1164" s="77"/>
      <c r="S1164" s="77"/>
      <c r="T1164" s="77"/>
      <c r="U1164" s="77"/>
      <c r="V1164" s="77"/>
      <c r="W1164" s="77"/>
      <c r="X1164" s="77"/>
      <c r="Y1164">
        <v>1</v>
      </c>
    </row>
    <row r="1165" spans="1:25" x14ac:dyDescent="0.25">
      <c r="A1165" s="62" t="s">
        <v>330</v>
      </c>
      <c r="B1165" s="62" t="s">
        <v>330</v>
      </c>
      <c r="C1165" s="63" t="s">
        <v>2219</v>
      </c>
      <c r="D1165" s="64">
        <v>1</v>
      </c>
      <c r="E1165" s="65"/>
      <c r="F1165" s="66">
        <v>100</v>
      </c>
      <c r="G1165" s="63"/>
      <c r="H1165" s="67"/>
      <c r="I1165" s="68"/>
      <c r="J1165" s="68"/>
      <c r="K1165" s="34" t="s">
        <v>64</v>
      </c>
      <c r="L1165" s="75">
        <v>1165</v>
      </c>
      <c r="M1165" s="75"/>
      <c r="N1165" s="70"/>
      <c r="O1165" s="77" t="s">
        <v>180</v>
      </c>
      <c r="P1165" s="79">
        <v>41123.776030092595</v>
      </c>
      <c r="Q1165" s="77" t="s">
        <v>462</v>
      </c>
      <c r="R1165" s="77"/>
      <c r="S1165" s="77"/>
      <c r="T1165" s="79">
        <v>41123.776030092595</v>
      </c>
      <c r="U1165" s="81" t="s">
        <v>943</v>
      </c>
      <c r="V1165" s="77"/>
      <c r="W1165" s="77"/>
      <c r="X1165" s="84" t="s">
        <v>1240</v>
      </c>
      <c r="Y1165" s="82">
        <v>1</v>
      </c>
    </row>
    <row r="1166" spans="1:25" x14ac:dyDescent="0.25">
      <c r="A1166" s="62" t="s">
        <v>352</v>
      </c>
      <c r="B1166" s="62" t="s">
        <v>330</v>
      </c>
      <c r="C1166" s="63" t="s">
        <v>2222</v>
      </c>
      <c r="D1166" s="64">
        <v>1</v>
      </c>
      <c r="E1166" s="65"/>
      <c r="F1166" s="66">
        <v>100</v>
      </c>
      <c r="G1166" s="63"/>
      <c r="H1166" s="67"/>
      <c r="I1166" s="68"/>
      <c r="J1166" s="68"/>
      <c r="K1166" s="34" t="s">
        <v>64</v>
      </c>
      <c r="L1166" s="75">
        <v>1166</v>
      </c>
      <c r="M1166" s="75"/>
      <c r="N1166" s="70"/>
      <c r="O1166" s="77" t="s">
        <v>382</v>
      </c>
      <c r="P1166" s="79">
        <v>41124.25708333333</v>
      </c>
      <c r="Q1166" s="77"/>
      <c r="R1166" s="77"/>
      <c r="S1166" s="77"/>
      <c r="T1166" s="77"/>
      <c r="U1166" s="77"/>
      <c r="V1166" s="77"/>
      <c r="W1166" s="77"/>
      <c r="X1166" s="77"/>
      <c r="Y1166">
        <v>1</v>
      </c>
    </row>
    <row r="1167" spans="1:25" x14ac:dyDescent="0.25">
      <c r="A1167" s="62" t="s">
        <v>345</v>
      </c>
      <c r="B1167" s="62" t="s">
        <v>330</v>
      </c>
      <c r="C1167" s="63" t="s">
        <v>2222</v>
      </c>
      <c r="D1167" s="64">
        <v>1</v>
      </c>
      <c r="E1167" s="65"/>
      <c r="F1167" s="66">
        <v>100</v>
      </c>
      <c r="G1167" s="63"/>
      <c r="H1167" s="67"/>
      <c r="I1167" s="68"/>
      <c r="J1167" s="68"/>
      <c r="K1167" s="34" t="s">
        <v>64</v>
      </c>
      <c r="L1167" s="75">
        <v>1167</v>
      </c>
      <c r="M1167" s="75"/>
      <c r="N1167" s="70"/>
      <c r="O1167" s="77" t="s">
        <v>382</v>
      </c>
      <c r="P1167" s="79">
        <v>41124.25708333333</v>
      </c>
      <c r="Q1167" s="77"/>
      <c r="R1167" s="77"/>
      <c r="S1167" s="77"/>
      <c r="T1167" s="77"/>
      <c r="U1167" s="77"/>
      <c r="V1167" s="77"/>
      <c r="W1167" s="77"/>
      <c r="X1167" s="77"/>
      <c r="Y1167">
        <v>1</v>
      </c>
    </row>
    <row r="1168" spans="1:25" x14ac:dyDescent="0.25">
      <c r="A1168" s="62" t="s">
        <v>346</v>
      </c>
      <c r="B1168" s="62" t="s">
        <v>346</v>
      </c>
      <c r="C1168" s="63" t="s">
        <v>2219</v>
      </c>
      <c r="D1168" s="64">
        <v>3.5</v>
      </c>
      <c r="E1168" s="65"/>
      <c r="F1168" s="66">
        <v>88.888888888888886</v>
      </c>
      <c r="G1168" s="63"/>
      <c r="H1168" s="67"/>
      <c r="I1168" s="68"/>
      <c r="J1168" s="68"/>
      <c r="K1168" s="34" t="s">
        <v>64</v>
      </c>
      <c r="L1168" s="75">
        <v>1168</v>
      </c>
      <c r="M1168" s="75"/>
      <c r="N1168" s="70"/>
      <c r="O1168" s="77" t="s">
        <v>180</v>
      </c>
      <c r="P1168" s="79">
        <v>41123.662314814814</v>
      </c>
      <c r="Q1168" s="77" t="s">
        <v>593</v>
      </c>
      <c r="R1168" s="77"/>
      <c r="S1168" s="77" t="s">
        <v>643</v>
      </c>
      <c r="T1168" s="79">
        <v>41123.662314814814</v>
      </c>
      <c r="U1168" s="81" t="s">
        <v>944</v>
      </c>
      <c r="V1168" s="77"/>
      <c r="W1168" s="77"/>
      <c r="X1168" s="84" t="s">
        <v>1241</v>
      </c>
      <c r="Y1168" s="82">
        <v>6</v>
      </c>
    </row>
    <row r="1169" spans="1:25" x14ac:dyDescent="0.25">
      <c r="A1169" s="62" t="s">
        <v>346</v>
      </c>
      <c r="B1169" s="62" t="s">
        <v>346</v>
      </c>
      <c r="C1169" s="63" t="s">
        <v>2219</v>
      </c>
      <c r="D1169" s="64">
        <v>3.5</v>
      </c>
      <c r="E1169" s="65"/>
      <c r="F1169" s="66">
        <v>88.888888888888886</v>
      </c>
      <c r="G1169" s="63"/>
      <c r="H1169" s="67"/>
      <c r="I1169" s="68"/>
      <c r="J1169" s="68"/>
      <c r="K1169" s="34" t="s">
        <v>64</v>
      </c>
      <c r="L1169" s="75">
        <v>1169</v>
      </c>
      <c r="M1169" s="75"/>
      <c r="N1169" s="70"/>
      <c r="O1169" s="77" t="s">
        <v>180</v>
      </c>
      <c r="P1169" s="79">
        <v>41123.666446759256</v>
      </c>
      <c r="Q1169" s="77" t="s">
        <v>594</v>
      </c>
      <c r="R1169" s="77"/>
      <c r="S1169" s="77" t="s">
        <v>643</v>
      </c>
      <c r="T1169" s="79">
        <v>41123.666446759256</v>
      </c>
      <c r="U1169" s="81" t="s">
        <v>945</v>
      </c>
      <c r="V1169" s="77"/>
      <c r="W1169" s="77"/>
      <c r="X1169" s="84" t="s">
        <v>1242</v>
      </c>
      <c r="Y1169" s="82">
        <v>6</v>
      </c>
    </row>
    <row r="1170" spans="1:25" x14ac:dyDescent="0.25">
      <c r="A1170" s="62" t="s">
        <v>346</v>
      </c>
      <c r="B1170" s="62" t="s">
        <v>346</v>
      </c>
      <c r="C1170" s="63" t="s">
        <v>2219</v>
      </c>
      <c r="D1170" s="64">
        <v>3.5</v>
      </c>
      <c r="E1170" s="65"/>
      <c r="F1170" s="66">
        <v>88.888888888888886</v>
      </c>
      <c r="G1170" s="63"/>
      <c r="H1170" s="67"/>
      <c r="I1170" s="68"/>
      <c r="J1170" s="68"/>
      <c r="K1170" s="34" t="s">
        <v>64</v>
      </c>
      <c r="L1170" s="75">
        <v>1170</v>
      </c>
      <c r="M1170" s="75"/>
      <c r="N1170" s="70"/>
      <c r="O1170" s="77" t="s">
        <v>180</v>
      </c>
      <c r="P1170" s="79">
        <v>41123.672627314816</v>
      </c>
      <c r="Q1170" s="77" t="s">
        <v>595</v>
      </c>
      <c r="R1170" s="77"/>
      <c r="S1170" s="77" t="s">
        <v>643</v>
      </c>
      <c r="T1170" s="79">
        <v>41123.672627314816</v>
      </c>
      <c r="U1170" s="81" t="s">
        <v>946</v>
      </c>
      <c r="V1170" s="77"/>
      <c r="W1170" s="77"/>
      <c r="X1170" s="84" t="s">
        <v>1243</v>
      </c>
      <c r="Y1170" s="82">
        <v>6</v>
      </c>
    </row>
    <row r="1171" spans="1:25" x14ac:dyDescent="0.25">
      <c r="A1171" s="62" t="s">
        <v>346</v>
      </c>
      <c r="B1171" s="62" t="s">
        <v>346</v>
      </c>
      <c r="C1171" s="63" t="s">
        <v>2219</v>
      </c>
      <c r="D1171" s="64">
        <v>3.5</v>
      </c>
      <c r="E1171" s="65"/>
      <c r="F1171" s="66">
        <v>88.888888888888886</v>
      </c>
      <c r="G1171" s="63"/>
      <c r="H1171" s="67"/>
      <c r="I1171" s="68"/>
      <c r="J1171" s="68"/>
      <c r="K1171" s="34" t="s">
        <v>64</v>
      </c>
      <c r="L1171" s="75">
        <v>1171</v>
      </c>
      <c r="M1171" s="75"/>
      <c r="N1171" s="70"/>
      <c r="O1171" s="77" t="s">
        <v>180</v>
      </c>
      <c r="P1171" s="79">
        <v>41123.673067129632</v>
      </c>
      <c r="Q1171" s="77" t="s">
        <v>596</v>
      </c>
      <c r="R1171" s="77"/>
      <c r="S1171" s="77" t="s">
        <v>643</v>
      </c>
      <c r="T1171" s="79">
        <v>41123.673067129632</v>
      </c>
      <c r="U1171" s="81" t="s">
        <v>947</v>
      </c>
      <c r="V1171" s="77"/>
      <c r="W1171" s="77"/>
      <c r="X1171" s="84" t="s">
        <v>1244</v>
      </c>
      <c r="Y1171" s="82">
        <v>6</v>
      </c>
    </row>
    <row r="1172" spans="1:25" x14ac:dyDescent="0.25">
      <c r="A1172" s="62" t="s">
        <v>346</v>
      </c>
      <c r="B1172" s="62" t="s">
        <v>346</v>
      </c>
      <c r="C1172" s="63" t="s">
        <v>2219</v>
      </c>
      <c r="D1172" s="64">
        <v>3.5</v>
      </c>
      <c r="E1172" s="65"/>
      <c r="F1172" s="66">
        <v>88.888888888888886</v>
      </c>
      <c r="G1172" s="63"/>
      <c r="H1172" s="67"/>
      <c r="I1172" s="68"/>
      <c r="J1172" s="68"/>
      <c r="K1172" s="34" t="s">
        <v>64</v>
      </c>
      <c r="L1172" s="75">
        <v>1172</v>
      </c>
      <c r="M1172" s="75"/>
      <c r="N1172" s="70"/>
      <c r="O1172" s="77" t="s">
        <v>180</v>
      </c>
      <c r="P1172" s="79">
        <v>41124.00613425926</v>
      </c>
      <c r="Q1172" s="77" t="s">
        <v>597</v>
      </c>
      <c r="R1172" s="77"/>
      <c r="S1172" s="77" t="s">
        <v>643</v>
      </c>
      <c r="T1172" s="79">
        <v>41124.00613425926</v>
      </c>
      <c r="U1172" s="81" t="s">
        <v>948</v>
      </c>
      <c r="V1172" s="77"/>
      <c r="W1172" s="77"/>
      <c r="X1172" s="84" t="s">
        <v>1245</v>
      </c>
      <c r="Y1172" s="82">
        <v>6</v>
      </c>
    </row>
    <row r="1173" spans="1:25" x14ac:dyDescent="0.25">
      <c r="A1173" s="62" t="s">
        <v>346</v>
      </c>
      <c r="B1173" s="62" t="s">
        <v>346</v>
      </c>
      <c r="C1173" s="63" t="s">
        <v>2219</v>
      </c>
      <c r="D1173" s="64">
        <v>3.5</v>
      </c>
      <c r="E1173" s="65"/>
      <c r="F1173" s="66">
        <v>88.888888888888886</v>
      </c>
      <c r="G1173" s="63"/>
      <c r="H1173" s="67"/>
      <c r="I1173" s="68"/>
      <c r="J1173" s="68"/>
      <c r="K1173" s="34" t="s">
        <v>64</v>
      </c>
      <c r="L1173" s="75">
        <v>1173</v>
      </c>
      <c r="M1173" s="75"/>
      <c r="N1173" s="70"/>
      <c r="O1173" s="77" t="s">
        <v>180</v>
      </c>
      <c r="P1173" s="79">
        <v>41124.135914351849</v>
      </c>
      <c r="Q1173" s="77" t="s">
        <v>598</v>
      </c>
      <c r="R1173" s="77"/>
      <c r="S1173" s="77"/>
      <c r="T1173" s="79">
        <v>41124.135914351849</v>
      </c>
      <c r="U1173" s="81" t="s">
        <v>949</v>
      </c>
      <c r="V1173" s="77"/>
      <c r="W1173" s="77"/>
      <c r="X1173" s="84" t="s">
        <v>1246</v>
      </c>
      <c r="Y1173" s="82">
        <v>6</v>
      </c>
    </row>
    <row r="1174" spans="1:25" x14ac:dyDescent="0.25">
      <c r="A1174" s="62" t="s">
        <v>240</v>
      </c>
      <c r="B1174" s="62" t="s">
        <v>346</v>
      </c>
      <c r="C1174" s="63" t="s">
        <v>2222</v>
      </c>
      <c r="D1174" s="64">
        <v>1</v>
      </c>
      <c r="E1174" s="65"/>
      <c r="F1174" s="66">
        <v>100</v>
      </c>
      <c r="G1174" s="63"/>
      <c r="H1174" s="67"/>
      <c r="I1174" s="68"/>
      <c r="J1174" s="68"/>
      <c r="K1174" s="34" t="s">
        <v>65</v>
      </c>
      <c r="L1174" s="75">
        <v>1174</v>
      </c>
      <c r="M1174" s="75"/>
      <c r="N1174" s="70"/>
      <c r="O1174" s="77" t="s">
        <v>382</v>
      </c>
      <c r="P1174" s="79">
        <v>41124.25708333333</v>
      </c>
      <c r="Q1174" s="77"/>
      <c r="R1174" s="77"/>
      <c r="S1174" s="77"/>
      <c r="T1174" s="77"/>
      <c r="U1174" s="77"/>
      <c r="V1174" s="77"/>
      <c r="W1174" s="77"/>
      <c r="X1174" s="77"/>
      <c r="Y1174">
        <v>1</v>
      </c>
    </row>
    <row r="1175" spans="1:25" x14ac:dyDescent="0.25">
      <c r="A1175" s="62" t="s">
        <v>346</v>
      </c>
      <c r="B1175" s="62" t="s">
        <v>352</v>
      </c>
      <c r="C1175" s="63" t="s">
        <v>2222</v>
      </c>
      <c r="D1175" s="64">
        <v>1</v>
      </c>
      <c r="E1175" s="65"/>
      <c r="F1175" s="66">
        <v>100</v>
      </c>
      <c r="G1175" s="63"/>
      <c r="H1175" s="67"/>
      <c r="I1175" s="68"/>
      <c r="J1175" s="68"/>
      <c r="K1175" s="34" t="s">
        <v>65</v>
      </c>
      <c r="L1175" s="75">
        <v>1175</v>
      </c>
      <c r="M1175" s="75"/>
      <c r="N1175" s="70"/>
      <c r="O1175" s="77" t="s">
        <v>382</v>
      </c>
      <c r="P1175" s="79">
        <v>41124.25708333333</v>
      </c>
      <c r="Q1175" s="77"/>
      <c r="R1175" s="77"/>
      <c r="S1175" s="77"/>
      <c r="T1175" s="77"/>
      <c r="U1175" s="77"/>
      <c r="V1175" s="77"/>
      <c r="W1175" s="77"/>
      <c r="X1175" s="77"/>
      <c r="Y1175">
        <v>1</v>
      </c>
    </row>
    <row r="1176" spans="1:25" x14ac:dyDescent="0.25">
      <c r="A1176" s="62" t="s">
        <v>346</v>
      </c>
      <c r="B1176" s="62" t="s">
        <v>240</v>
      </c>
      <c r="C1176" s="63" t="s">
        <v>2222</v>
      </c>
      <c r="D1176" s="64">
        <v>1</v>
      </c>
      <c r="E1176" s="65"/>
      <c r="F1176" s="66">
        <v>100</v>
      </c>
      <c r="G1176" s="63"/>
      <c r="H1176" s="67"/>
      <c r="I1176" s="68"/>
      <c r="J1176" s="68"/>
      <c r="K1176" s="34" t="s">
        <v>65</v>
      </c>
      <c r="L1176" s="75">
        <v>1176</v>
      </c>
      <c r="M1176" s="75"/>
      <c r="N1176" s="70"/>
      <c r="O1176" s="77" t="s">
        <v>382</v>
      </c>
      <c r="P1176" s="79">
        <v>41124.25708333333</v>
      </c>
      <c r="Q1176" s="77"/>
      <c r="R1176" s="77"/>
      <c r="S1176" s="77"/>
      <c r="T1176" s="77"/>
      <c r="U1176" s="77"/>
      <c r="V1176" s="77"/>
      <c r="W1176" s="77"/>
      <c r="X1176" s="77"/>
      <c r="Y1176">
        <v>1</v>
      </c>
    </row>
    <row r="1177" spans="1:25" x14ac:dyDescent="0.25">
      <c r="A1177" s="62" t="s">
        <v>352</v>
      </c>
      <c r="B1177" s="62" t="s">
        <v>346</v>
      </c>
      <c r="C1177" s="63" t="s">
        <v>2222</v>
      </c>
      <c r="D1177" s="64">
        <v>1</v>
      </c>
      <c r="E1177" s="65"/>
      <c r="F1177" s="66">
        <v>100</v>
      </c>
      <c r="G1177" s="63"/>
      <c r="H1177" s="67"/>
      <c r="I1177" s="68"/>
      <c r="J1177" s="68"/>
      <c r="K1177" s="34" t="s">
        <v>65</v>
      </c>
      <c r="L1177" s="75">
        <v>1177</v>
      </c>
      <c r="M1177" s="75"/>
      <c r="N1177" s="70"/>
      <c r="O1177" s="77" t="s">
        <v>382</v>
      </c>
      <c r="P1177" s="79">
        <v>41124.25708333333</v>
      </c>
      <c r="Q1177" s="77"/>
      <c r="R1177" s="77"/>
      <c r="S1177" s="77"/>
      <c r="T1177" s="77"/>
      <c r="U1177" s="77"/>
      <c r="V1177" s="77"/>
      <c r="W1177" s="77"/>
      <c r="X1177" s="77"/>
      <c r="Y1177">
        <v>1</v>
      </c>
    </row>
    <row r="1178" spans="1:25" x14ac:dyDescent="0.25">
      <c r="A1178" s="62" t="s">
        <v>345</v>
      </c>
      <c r="B1178" s="62" t="s">
        <v>346</v>
      </c>
      <c r="C1178" s="63" t="s">
        <v>2222</v>
      </c>
      <c r="D1178" s="64">
        <v>1</v>
      </c>
      <c r="E1178" s="65"/>
      <c r="F1178" s="66">
        <v>100</v>
      </c>
      <c r="G1178" s="63"/>
      <c r="H1178" s="67"/>
      <c r="I1178" s="68"/>
      <c r="J1178" s="68"/>
      <c r="K1178" s="34" t="s">
        <v>64</v>
      </c>
      <c r="L1178" s="75">
        <v>1178</v>
      </c>
      <c r="M1178" s="75"/>
      <c r="N1178" s="70"/>
      <c r="O1178" s="77" t="s">
        <v>382</v>
      </c>
      <c r="P1178" s="79">
        <v>41124.25708333333</v>
      </c>
      <c r="Q1178" s="77"/>
      <c r="R1178" s="77"/>
      <c r="S1178" s="77"/>
      <c r="T1178" s="77"/>
      <c r="U1178" s="77"/>
      <c r="V1178" s="77"/>
      <c r="W1178" s="77"/>
      <c r="X1178" s="77"/>
      <c r="Y1178">
        <v>1</v>
      </c>
    </row>
    <row r="1179" spans="1:25" x14ac:dyDescent="0.25">
      <c r="A1179" s="62" t="s">
        <v>345</v>
      </c>
      <c r="B1179" s="62" t="s">
        <v>345</v>
      </c>
      <c r="C1179" s="63" t="s">
        <v>2219</v>
      </c>
      <c r="D1179" s="64">
        <v>3</v>
      </c>
      <c r="E1179" s="65"/>
      <c r="F1179" s="66">
        <v>91.111111111111114</v>
      </c>
      <c r="G1179" s="63"/>
      <c r="H1179" s="67"/>
      <c r="I1179" s="68"/>
      <c r="J1179" s="68"/>
      <c r="K1179" s="34" t="s">
        <v>64</v>
      </c>
      <c r="L1179" s="75">
        <v>1179</v>
      </c>
      <c r="M1179" s="75"/>
      <c r="N1179" s="70"/>
      <c r="O1179" s="77" t="s">
        <v>180</v>
      </c>
      <c r="P1179" s="79">
        <v>41123.992013888892</v>
      </c>
      <c r="Q1179" s="77" t="s">
        <v>599</v>
      </c>
      <c r="R1179" s="77"/>
      <c r="S1179" s="77"/>
      <c r="T1179" s="79">
        <v>41123.992013888892</v>
      </c>
      <c r="U1179" s="81" t="s">
        <v>950</v>
      </c>
      <c r="V1179" s="77"/>
      <c r="W1179" s="77"/>
      <c r="X1179" s="84" t="s">
        <v>1247</v>
      </c>
      <c r="Y1179" s="82">
        <v>5</v>
      </c>
    </row>
    <row r="1180" spans="1:25" x14ac:dyDescent="0.25">
      <c r="A1180" s="62" t="s">
        <v>345</v>
      </c>
      <c r="B1180" s="62" t="s">
        <v>345</v>
      </c>
      <c r="C1180" s="63" t="s">
        <v>2219</v>
      </c>
      <c r="D1180" s="64">
        <v>3</v>
      </c>
      <c r="E1180" s="65"/>
      <c r="F1180" s="66">
        <v>91.111111111111114</v>
      </c>
      <c r="G1180" s="63"/>
      <c r="H1180" s="67"/>
      <c r="I1180" s="68"/>
      <c r="J1180" s="68"/>
      <c r="K1180" s="34" t="s">
        <v>64</v>
      </c>
      <c r="L1180" s="75">
        <v>1180</v>
      </c>
      <c r="M1180" s="75"/>
      <c r="N1180" s="70"/>
      <c r="O1180" s="77" t="s">
        <v>180</v>
      </c>
      <c r="P1180" s="79">
        <v>41124.129976851851</v>
      </c>
      <c r="Q1180" s="77" t="s">
        <v>600</v>
      </c>
      <c r="R1180" s="77"/>
      <c r="S1180" s="77"/>
      <c r="T1180" s="79">
        <v>41124.129976851851</v>
      </c>
      <c r="U1180" s="81" t="s">
        <v>951</v>
      </c>
      <c r="V1180" s="77"/>
      <c r="W1180" s="77"/>
      <c r="X1180" s="84" t="s">
        <v>1248</v>
      </c>
      <c r="Y1180" s="82">
        <v>5</v>
      </c>
    </row>
    <row r="1181" spans="1:25" x14ac:dyDescent="0.25">
      <c r="A1181" s="62" t="s">
        <v>345</v>
      </c>
      <c r="B1181" s="62" t="s">
        <v>345</v>
      </c>
      <c r="C1181" s="63" t="s">
        <v>2219</v>
      </c>
      <c r="D1181" s="64">
        <v>3</v>
      </c>
      <c r="E1181" s="65"/>
      <c r="F1181" s="66">
        <v>91.111111111111114</v>
      </c>
      <c r="G1181" s="63"/>
      <c r="H1181" s="67"/>
      <c r="I1181" s="68"/>
      <c r="J1181" s="68"/>
      <c r="K1181" s="34" t="s">
        <v>64</v>
      </c>
      <c r="L1181" s="75">
        <v>1181</v>
      </c>
      <c r="M1181" s="75"/>
      <c r="N1181" s="70"/>
      <c r="O1181" s="77" t="s">
        <v>180</v>
      </c>
      <c r="P1181" s="79">
        <v>41124.132256944446</v>
      </c>
      <c r="Q1181" s="77" t="s">
        <v>601</v>
      </c>
      <c r="R1181" s="77"/>
      <c r="S1181" s="77"/>
      <c r="T1181" s="79">
        <v>41124.132256944446</v>
      </c>
      <c r="U1181" s="81" t="s">
        <v>952</v>
      </c>
      <c r="V1181" s="77"/>
      <c r="W1181" s="77"/>
      <c r="X1181" s="84" t="s">
        <v>1249</v>
      </c>
      <c r="Y1181" s="82">
        <v>5</v>
      </c>
    </row>
    <row r="1182" spans="1:25" x14ac:dyDescent="0.25">
      <c r="A1182" s="62" t="s">
        <v>345</v>
      </c>
      <c r="B1182" s="62" t="s">
        <v>345</v>
      </c>
      <c r="C1182" s="63" t="s">
        <v>2219</v>
      </c>
      <c r="D1182" s="64">
        <v>3</v>
      </c>
      <c r="E1182" s="65"/>
      <c r="F1182" s="66">
        <v>91.111111111111114</v>
      </c>
      <c r="G1182" s="63"/>
      <c r="H1182" s="67"/>
      <c r="I1182" s="68"/>
      <c r="J1182" s="68"/>
      <c r="K1182" s="34" t="s">
        <v>64</v>
      </c>
      <c r="L1182" s="75">
        <v>1182</v>
      </c>
      <c r="M1182" s="75"/>
      <c r="N1182" s="70"/>
      <c r="O1182" s="77" t="s">
        <v>180</v>
      </c>
      <c r="P1182" s="79">
        <v>41124.133680555555</v>
      </c>
      <c r="Q1182" s="77" t="s">
        <v>602</v>
      </c>
      <c r="R1182" s="77"/>
      <c r="S1182" s="77"/>
      <c r="T1182" s="79">
        <v>41124.133680555555</v>
      </c>
      <c r="U1182" s="81" t="s">
        <v>953</v>
      </c>
      <c r="V1182" s="77"/>
      <c r="W1182" s="77"/>
      <c r="X1182" s="84" t="s">
        <v>1250</v>
      </c>
      <c r="Y1182" s="82">
        <v>5</v>
      </c>
    </row>
    <row r="1183" spans="1:25" x14ac:dyDescent="0.25">
      <c r="A1183" s="62" t="s">
        <v>345</v>
      </c>
      <c r="B1183" s="62" t="s">
        <v>345</v>
      </c>
      <c r="C1183" s="63" t="s">
        <v>2219</v>
      </c>
      <c r="D1183" s="64">
        <v>3</v>
      </c>
      <c r="E1183" s="65"/>
      <c r="F1183" s="66">
        <v>91.111111111111114</v>
      </c>
      <c r="G1183" s="63"/>
      <c r="H1183" s="67"/>
      <c r="I1183" s="68"/>
      <c r="J1183" s="68"/>
      <c r="K1183" s="34" t="s">
        <v>64</v>
      </c>
      <c r="L1183" s="75">
        <v>1183</v>
      </c>
      <c r="M1183" s="75"/>
      <c r="N1183" s="70"/>
      <c r="O1183" s="77" t="s">
        <v>180</v>
      </c>
      <c r="P1183" s="79">
        <v>41124.143784722219</v>
      </c>
      <c r="Q1183" s="77" t="s">
        <v>603</v>
      </c>
      <c r="R1183" s="77"/>
      <c r="S1183" s="77"/>
      <c r="T1183" s="79">
        <v>41124.143784722219</v>
      </c>
      <c r="U1183" s="81" t="s">
        <v>954</v>
      </c>
      <c r="V1183" s="77"/>
      <c r="W1183" s="77"/>
      <c r="X1183" s="84" t="s">
        <v>1251</v>
      </c>
      <c r="Y1183" s="82">
        <v>5</v>
      </c>
    </row>
    <row r="1184" spans="1:25" x14ac:dyDescent="0.25">
      <c r="A1184" s="62" t="s">
        <v>240</v>
      </c>
      <c r="B1184" s="62" t="s">
        <v>345</v>
      </c>
      <c r="C1184" s="63" t="s">
        <v>2222</v>
      </c>
      <c r="D1184" s="64">
        <v>1</v>
      </c>
      <c r="E1184" s="65"/>
      <c r="F1184" s="66">
        <v>100</v>
      </c>
      <c r="G1184" s="63"/>
      <c r="H1184" s="67"/>
      <c r="I1184" s="68"/>
      <c r="J1184" s="68"/>
      <c r="K1184" s="34" t="s">
        <v>65</v>
      </c>
      <c r="L1184" s="75">
        <v>1184</v>
      </c>
      <c r="M1184" s="75"/>
      <c r="N1184" s="70"/>
      <c r="O1184" s="77" t="s">
        <v>382</v>
      </c>
      <c r="P1184" s="79">
        <v>41124.25708333333</v>
      </c>
      <c r="Q1184" s="77"/>
      <c r="R1184" s="77"/>
      <c r="S1184" s="77"/>
      <c r="T1184" s="77"/>
      <c r="U1184" s="77"/>
      <c r="V1184" s="77"/>
      <c r="W1184" s="77"/>
      <c r="X1184" s="77"/>
      <c r="Y1184">
        <v>1</v>
      </c>
    </row>
    <row r="1185" spans="1:25" x14ac:dyDescent="0.25">
      <c r="A1185" s="62" t="s">
        <v>352</v>
      </c>
      <c r="B1185" s="62" t="s">
        <v>345</v>
      </c>
      <c r="C1185" s="63" t="s">
        <v>2222</v>
      </c>
      <c r="D1185" s="64">
        <v>1</v>
      </c>
      <c r="E1185" s="65"/>
      <c r="F1185" s="66">
        <v>100</v>
      </c>
      <c r="G1185" s="63"/>
      <c r="H1185" s="67"/>
      <c r="I1185" s="68"/>
      <c r="J1185" s="68"/>
      <c r="K1185" s="34" t="s">
        <v>65</v>
      </c>
      <c r="L1185" s="75">
        <v>1185</v>
      </c>
      <c r="M1185" s="75"/>
      <c r="N1185" s="70"/>
      <c r="O1185" s="77" t="s">
        <v>382</v>
      </c>
      <c r="P1185" s="79">
        <v>41124.25708333333</v>
      </c>
      <c r="Q1185" s="77"/>
      <c r="R1185" s="77"/>
      <c r="S1185" s="77"/>
      <c r="T1185" s="77"/>
      <c r="U1185" s="77"/>
      <c r="V1185" s="77"/>
      <c r="W1185" s="77"/>
      <c r="X1185" s="77"/>
      <c r="Y1185">
        <v>1</v>
      </c>
    </row>
    <row r="1186" spans="1:25" x14ac:dyDescent="0.25">
      <c r="A1186" s="62" t="s">
        <v>345</v>
      </c>
      <c r="B1186" s="62" t="s">
        <v>352</v>
      </c>
      <c r="C1186" s="63" t="s">
        <v>2222</v>
      </c>
      <c r="D1186" s="64">
        <v>1</v>
      </c>
      <c r="E1186" s="65"/>
      <c r="F1186" s="66">
        <v>100</v>
      </c>
      <c r="G1186" s="63"/>
      <c r="H1186" s="67"/>
      <c r="I1186" s="68"/>
      <c r="J1186" s="68"/>
      <c r="K1186" s="34" t="s">
        <v>65</v>
      </c>
      <c r="L1186" s="75">
        <v>1186</v>
      </c>
      <c r="M1186" s="75"/>
      <c r="N1186" s="70"/>
      <c r="O1186" s="77" t="s">
        <v>382</v>
      </c>
      <c r="P1186" s="79">
        <v>41124.25708333333</v>
      </c>
      <c r="Q1186" s="77"/>
      <c r="R1186" s="77"/>
      <c r="S1186" s="77"/>
      <c r="T1186" s="77"/>
      <c r="U1186" s="77"/>
      <c r="V1186" s="77"/>
      <c r="W1186" s="77"/>
      <c r="X1186" s="77"/>
      <c r="Y1186">
        <v>1</v>
      </c>
    </row>
    <row r="1187" spans="1:25" x14ac:dyDescent="0.25">
      <c r="A1187" s="62" t="s">
        <v>345</v>
      </c>
      <c r="B1187" s="62" t="s">
        <v>240</v>
      </c>
      <c r="C1187" s="63" t="s">
        <v>2222</v>
      </c>
      <c r="D1187" s="64">
        <v>1</v>
      </c>
      <c r="E1187" s="65"/>
      <c r="F1187" s="66">
        <v>100</v>
      </c>
      <c r="G1187" s="63"/>
      <c r="H1187" s="67"/>
      <c r="I1187" s="68"/>
      <c r="J1187" s="68"/>
      <c r="K1187" s="34" t="s">
        <v>65</v>
      </c>
      <c r="L1187" s="75">
        <v>1187</v>
      </c>
      <c r="M1187" s="75"/>
      <c r="N1187" s="70"/>
      <c r="O1187" s="77" t="s">
        <v>382</v>
      </c>
      <c r="P1187" s="79">
        <v>41124.25708333333</v>
      </c>
      <c r="Q1187" s="77"/>
      <c r="R1187" s="77"/>
      <c r="S1187" s="77"/>
      <c r="T1187" s="77"/>
      <c r="U1187" s="77"/>
      <c r="V1187" s="77"/>
      <c r="W1187" s="77"/>
      <c r="X1187" s="77"/>
      <c r="Y1187">
        <v>1</v>
      </c>
    </row>
    <row r="1188" spans="1:25" x14ac:dyDescent="0.25">
      <c r="A1188" s="62" t="s">
        <v>376</v>
      </c>
      <c r="B1188" s="62" t="s">
        <v>376</v>
      </c>
      <c r="C1188" s="63" t="s">
        <v>2219</v>
      </c>
      <c r="D1188" s="64">
        <v>1</v>
      </c>
      <c r="E1188" s="65"/>
      <c r="F1188" s="66">
        <v>100</v>
      </c>
      <c r="G1188" s="63"/>
      <c r="H1188" s="67"/>
      <c r="I1188" s="68"/>
      <c r="J1188" s="68"/>
      <c r="K1188" s="34" t="s">
        <v>64</v>
      </c>
      <c r="L1188" s="75">
        <v>1188</v>
      </c>
      <c r="M1188" s="75"/>
      <c r="N1188" s="70"/>
      <c r="O1188" s="77" t="s">
        <v>180</v>
      </c>
      <c r="P1188" s="79">
        <v>41123.678252314814</v>
      </c>
      <c r="Q1188" s="77" t="s">
        <v>604</v>
      </c>
      <c r="R1188" s="77"/>
      <c r="S1188" s="77"/>
      <c r="T1188" s="79">
        <v>41123.678252314814</v>
      </c>
      <c r="U1188" s="81" t="s">
        <v>955</v>
      </c>
      <c r="V1188" s="77"/>
      <c r="W1188" s="77"/>
      <c r="X1188" s="84" t="s">
        <v>1252</v>
      </c>
      <c r="Y1188" s="82">
        <v>1</v>
      </c>
    </row>
    <row r="1189" spans="1:25" x14ac:dyDescent="0.25">
      <c r="A1189" s="62" t="s">
        <v>377</v>
      </c>
      <c r="B1189" s="62" t="s">
        <v>376</v>
      </c>
      <c r="C1189" s="63" t="s">
        <v>2222</v>
      </c>
      <c r="D1189" s="64">
        <v>1</v>
      </c>
      <c r="E1189" s="65"/>
      <c r="F1189" s="66">
        <v>100</v>
      </c>
      <c r="G1189" s="63"/>
      <c r="H1189" s="67"/>
      <c r="I1189" s="68"/>
      <c r="J1189" s="68"/>
      <c r="K1189" s="34" t="s">
        <v>64</v>
      </c>
      <c r="L1189" s="75">
        <v>1189</v>
      </c>
      <c r="M1189" s="75"/>
      <c r="N1189" s="70"/>
      <c r="O1189" s="77" t="s">
        <v>382</v>
      </c>
      <c r="P1189" s="79">
        <v>41124.25708333333</v>
      </c>
      <c r="Q1189" s="77"/>
      <c r="R1189" s="77"/>
      <c r="S1189" s="77"/>
      <c r="T1189" s="77"/>
      <c r="U1189" s="77"/>
      <c r="V1189" s="77"/>
      <c r="W1189" s="77"/>
      <c r="X1189" s="77"/>
      <c r="Y1189">
        <v>1</v>
      </c>
    </row>
    <row r="1190" spans="1:25" x14ac:dyDescent="0.25">
      <c r="A1190" s="62" t="s">
        <v>367</v>
      </c>
      <c r="B1190" s="62" t="s">
        <v>367</v>
      </c>
      <c r="C1190" s="63" t="s">
        <v>2219</v>
      </c>
      <c r="D1190" s="64">
        <v>1</v>
      </c>
      <c r="E1190" s="65"/>
      <c r="F1190" s="66">
        <v>100</v>
      </c>
      <c r="G1190" s="63"/>
      <c r="H1190" s="67"/>
      <c r="I1190" s="68"/>
      <c r="J1190" s="68"/>
      <c r="K1190" s="34" t="s">
        <v>64</v>
      </c>
      <c r="L1190" s="75">
        <v>1190</v>
      </c>
      <c r="M1190" s="75"/>
      <c r="N1190" s="70"/>
      <c r="O1190" s="77" t="s">
        <v>180</v>
      </c>
      <c r="P1190" s="79">
        <v>41123.683854166666</v>
      </c>
      <c r="Q1190" s="77" t="s">
        <v>605</v>
      </c>
      <c r="R1190" s="81" t="s">
        <v>615</v>
      </c>
      <c r="S1190" s="77"/>
      <c r="T1190" s="79">
        <v>41123.683854166666</v>
      </c>
      <c r="U1190" s="81" t="s">
        <v>956</v>
      </c>
      <c r="V1190" s="77"/>
      <c r="W1190" s="77"/>
      <c r="X1190" s="84" t="s">
        <v>1253</v>
      </c>
      <c r="Y1190" s="82">
        <v>1</v>
      </c>
    </row>
    <row r="1191" spans="1:25" x14ac:dyDescent="0.25">
      <c r="A1191" s="62" t="s">
        <v>240</v>
      </c>
      <c r="B1191" s="62" t="s">
        <v>367</v>
      </c>
      <c r="C1191" s="63" t="s">
        <v>2222</v>
      </c>
      <c r="D1191" s="64">
        <v>1</v>
      </c>
      <c r="E1191" s="65"/>
      <c r="F1191" s="66">
        <v>100</v>
      </c>
      <c r="G1191" s="63"/>
      <c r="H1191" s="67"/>
      <c r="I1191" s="68"/>
      <c r="J1191" s="68"/>
      <c r="K1191" s="34" t="s">
        <v>64</v>
      </c>
      <c r="L1191" s="75">
        <v>1191</v>
      </c>
      <c r="M1191" s="75"/>
      <c r="N1191" s="70"/>
      <c r="O1191" s="77" t="s">
        <v>382</v>
      </c>
      <c r="P1191" s="79">
        <v>41124.25708333333</v>
      </c>
      <c r="Q1191" s="77"/>
      <c r="R1191" s="77"/>
      <c r="S1191" s="77"/>
      <c r="T1191" s="77"/>
      <c r="U1191" s="77"/>
      <c r="V1191" s="77"/>
      <c r="W1191" s="77"/>
      <c r="X1191" s="77"/>
      <c r="Y1191">
        <v>1</v>
      </c>
    </row>
    <row r="1192" spans="1:25" x14ac:dyDescent="0.25">
      <c r="A1192" s="62" t="s">
        <v>352</v>
      </c>
      <c r="B1192" s="62" t="s">
        <v>367</v>
      </c>
      <c r="C1192" s="63" t="s">
        <v>2222</v>
      </c>
      <c r="D1192" s="64">
        <v>1</v>
      </c>
      <c r="E1192" s="65"/>
      <c r="F1192" s="66">
        <v>100</v>
      </c>
      <c r="G1192" s="63"/>
      <c r="H1192" s="67"/>
      <c r="I1192" s="68"/>
      <c r="J1192" s="68"/>
      <c r="K1192" s="34" t="s">
        <v>64</v>
      </c>
      <c r="L1192" s="75">
        <v>1192</v>
      </c>
      <c r="M1192" s="75"/>
      <c r="N1192" s="70"/>
      <c r="O1192" s="77" t="s">
        <v>382</v>
      </c>
      <c r="P1192" s="79">
        <v>41124.25708333333</v>
      </c>
      <c r="Q1192" s="77"/>
      <c r="R1192" s="77"/>
      <c r="S1192" s="77"/>
      <c r="T1192" s="77"/>
      <c r="U1192" s="77"/>
      <c r="V1192" s="77"/>
      <c r="W1192" s="77"/>
      <c r="X1192" s="77"/>
      <c r="Y1192">
        <v>1</v>
      </c>
    </row>
    <row r="1193" spans="1:25" x14ac:dyDescent="0.25">
      <c r="A1193" s="62" t="s">
        <v>377</v>
      </c>
      <c r="B1193" s="62" t="s">
        <v>367</v>
      </c>
      <c r="C1193" s="63" t="s">
        <v>2222</v>
      </c>
      <c r="D1193" s="64">
        <v>1</v>
      </c>
      <c r="E1193" s="65"/>
      <c r="F1193" s="66">
        <v>100</v>
      </c>
      <c r="G1193" s="63"/>
      <c r="H1193" s="67"/>
      <c r="I1193" s="68"/>
      <c r="J1193" s="68"/>
      <c r="K1193" s="34" t="s">
        <v>64</v>
      </c>
      <c r="L1193" s="75">
        <v>1193</v>
      </c>
      <c r="M1193" s="75"/>
      <c r="N1193" s="70"/>
      <c r="O1193" s="77" t="s">
        <v>382</v>
      </c>
      <c r="P1193" s="79">
        <v>41124.25708333333</v>
      </c>
      <c r="Q1193" s="77"/>
      <c r="R1193" s="77"/>
      <c r="S1193" s="77"/>
      <c r="T1193" s="77"/>
      <c r="U1193" s="77"/>
      <c r="V1193" s="77"/>
      <c r="W1193" s="77"/>
      <c r="X1193" s="77"/>
      <c r="Y1193">
        <v>1</v>
      </c>
    </row>
    <row r="1194" spans="1:25" x14ac:dyDescent="0.25">
      <c r="A1194" s="62" t="s">
        <v>377</v>
      </c>
      <c r="B1194" s="62" t="s">
        <v>377</v>
      </c>
      <c r="C1194" s="63" t="s">
        <v>2219</v>
      </c>
      <c r="D1194" s="64">
        <v>1</v>
      </c>
      <c r="E1194" s="65"/>
      <c r="F1194" s="66">
        <v>100</v>
      </c>
      <c r="G1194" s="63"/>
      <c r="H1194" s="67"/>
      <c r="I1194" s="68"/>
      <c r="J1194" s="68"/>
      <c r="K1194" s="34" t="s">
        <v>64</v>
      </c>
      <c r="L1194" s="75">
        <v>1194</v>
      </c>
      <c r="M1194" s="75"/>
      <c r="N1194" s="70"/>
      <c r="O1194" s="77" t="s">
        <v>180</v>
      </c>
      <c r="P1194" s="79">
        <v>41124.153124999997</v>
      </c>
      <c r="Q1194" s="77" t="s">
        <v>592</v>
      </c>
      <c r="R1194" s="77"/>
      <c r="S1194" s="77" t="s">
        <v>665</v>
      </c>
      <c r="T1194" s="79">
        <v>41124.153124999997</v>
      </c>
      <c r="U1194" s="81" t="s">
        <v>957</v>
      </c>
      <c r="V1194" s="77"/>
      <c r="W1194" s="77"/>
      <c r="X1194" s="84" t="s">
        <v>1254</v>
      </c>
      <c r="Y1194" s="82">
        <v>1</v>
      </c>
    </row>
    <row r="1195" spans="1:25" x14ac:dyDescent="0.25">
      <c r="A1195" s="62" t="s">
        <v>240</v>
      </c>
      <c r="B1195" s="62" t="s">
        <v>240</v>
      </c>
      <c r="C1195" s="63" t="s">
        <v>2219</v>
      </c>
      <c r="D1195" s="64">
        <v>1</v>
      </c>
      <c r="E1195" s="65"/>
      <c r="F1195" s="66">
        <v>100</v>
      </c>
      <c r="G1195" s="63"/>
      <c r="H1195" s="67"/>
      <c r="I1195" s="68"/>
      <c r="J1195" s="68"/>
      <c r="K1195" s="34" t="s">
        <v>64</v>
      </c>
      <c r="L1195" s="75">
        <v>1195</v>
      </c>
      <c r="M1195" s="75"/>
      <c r="N1195" s="70"/>
      <c r="O1195" s="77" t="s">
        <v>180</v>
      </c>
      <c r="P1195" s="79">
        <v>41123.748425925929</v>
      </c>
      <c r="Q1195" s="77" t="s">
        <v>433</v>
      </c>
      <c r="R1195" s="81" t="s">
        <v>615</v>
      </c>
      <c r="S1195" s="77"/>
      <c r="T1195" s="79">
        <v>41123.748425925929</v>
      </c>
      <c r="U1195" s="81" t="s">
        <v>958</v>
      </c>
      <c r="V1195" s="77"/>
      <c r="W1195" s="77"/>
      <c r="X1195" s="84" t="s">
        <v>1255</v>
      </c>
      <c r="Y1195" s="82">
        <v>1</v>
      </c>
    </row>
    <row r="1196" spans="1:25" x14ac:dyDescent="0.25">
      <c r="A1196" s="62" t="s">
        <v>240</v>
      </c>
      <c r="B1196" s="62" t="s">
        <v>352</v>
      </c>
      <c r="C1196" s="63" t="s">
        <v>2222</v>
      </c>
      <c r="D1196" s="64">
        <v>1</v>
      </c>
      <c r="E1196" s="65"/>
      <c r="F1196" s="66">
        <v>100</v>
      </c>
      <c r="G1196" s="63"/>
      <c r="H1196" s="67"/>
      <c r="I1196" s="68"/>
      <c r="J1196" s="68"/>
      <c r="K1196" s="34" t="s">
        <v>65</v>
      </c>
      <c r="L1196" s="75">
        <v>1196</v>
      </c>
      <c r="M1196" s="75"/>
      <c r="N1196" s="70"/>
      <c r="O1196" s="77" t="s">
        <v>382</v>
      </c>
      <c r="P1196" s="79">
        <v>41124.25708333333</v>
      </c>
      <c r="Q1196" s="77"/>
      <c r="R1196" s="77"/>
      <c r="S1196" s="77"/>
      <c r="T1196" s="77"/>
      <c r="U1196" s="77"/>
      <c r="V1196" s="77"/>
      <c r="W1196" s="77"/>
      <c r="X1196" s="77"/>
      <c r="Y1196">
        <v>1</v>
      </c>
    </row>
    <row r="1197" spans="1:25" x14ac:dyDescent="0.25">
      <c r="A1197" s="62" t="s">
        <v>240</v>
      </c>
      <c r="B1197" s="62" t="s">
        <v>378</v>
      </c>
      <c r="C1197" s="63" t="s">
        <v>2222</v>
      </c>
      <c r="D1197" s="64">
        <v>1</v>
      </c>
      <c r="E1197" s="65"/>
      <c r="F1197" s="66">
        <v>100</v>
      </c>
      <c r="G1197" s="63"/>
      <c r="H1197" s="67"/>
      <c r="I1197" s="68"/>
      <c r="J1197" s="68"/>
      <c r="K1197" s="34" t="s">
        <v>65</v>
      </c>
      <c r="L1197" s="75">
        <v>1197</v>
      </c>
      <c r="M1197" s="75"/>
      <c r="N1197" s="70"/>
      <c r="O1197" s="77" t="s">
        <v>382</v>
      </c>
      <c r="P1197" s="79">
        <v>41124.25708333333</v>
      </c>
      <c r="Q1197" s="77"/>
      <c r="R1197" s="77"/>
      <c r="S1197" s="77"/>
      <c r="T1197" s="77"/>
      <c r="U1197" s="77"/>
      <c r="V1197" s="77"/>
      <c r="W1197" s="77"/>
      <c r="X1197" s="77"/>
      <c r="Y1197">
        <v>1</v>
      </c>
    </row>
    <row r="1198" spans="1:25" x14ac:dyDescent="0.25">
      <c r="A1198" s="62" t="s">
        <v>352</v>
      </c>
      <c r="B1198" s="62" t="s">
        <v>240</v>
      </c>
      <c r="C1198" s="63" t="s">
        <v>2222</v>
      </c>
      <c r="D1198" s="64">
        <v>1</v>
      </c>
      <c r="E1198" s="65"/>
      <c r="F1198" s="66">
        <v>100</v>
      </c>
      <c r="G1198" s="63"/>
      <c r="H1198" s="67"/>
      <c r="I1198" s="68"/>
      <c r="J1198" s="68"/>
      <c r="K1198" s="34" t="s">
        <v>65</v>
      </c>
      <c r="L1198" s="75">
        <v>1198</v>
      </c>
      <c r="M1198" s="75"/>
      <c r="N1198" s="70"/>
      <c r="O1198" s="77" t="s">
        <v>382</v>
      </c>
      <c r="P1198" s="79">
        <v>41124.25708333333</v>
      </c>
      <c r="Q1198" s="77"/>
      <c r="R1198" s="77"/>
      <c r="S1198" s="77"/>
      <c r="T1198" s="77"/>
      <c r="U1198" s="77"/>
      <c r="V1198" s="77"/>
      <c r="W1198" s="77"/>
      <c r="X1198" s="77"/>
      <c r="Y1198">
        <v>1</v>
      </c>
    </row>
    <row r="1199" spans="1:25" x14ac:dyDescent="0.25">
      <c r="A1199" s="62" t="s">
        <v>378</v>
      </c>
      <c r="B1199" s="62" t="s">
        <v>240</v>
      </c>
      <c r="C1199" s="63" t="s">
        <v>2222</v>
      </c>
      <c r="D1199" s="64">
        <v>1</v>
      </c>
      <c r="E1199" s="65"/>
      <c r="F1199" s="66">
        <v>100</v>
      </c>
      <c r="G1199" s="63"/>
      <c r="H1199" s="67"/>
      <c r="I1199" s="68"/>
      <c r="J1199" s="68"/>
      <c r="K1199" s="34" t="s">
        <v>65</v>
      </c>
      <c r="L1199" s="75">
        <v>1199</v>
      </c>
      <c r="M1199" s="75"/>
      <c r="N1199" s="70"/>
      <c r="O1199" s="77" t="s">
        <v>382</v>
      </c>
      <c r="P1199" s="79">
        <v>41124.25708333333</v>
      </c>
      <c r="Q1199" s="77"/>
      <c r="R1199" s="77"/>
      <c r="S1199" s="77"/>
      <c r="T1199" s="77"/>
      <c r="U1199" s="77"/>
      <c r="V1199" s="77"/>
      <c r="W1199" s="77"/>
      <c r="X1199" s="77"/>
      <c r="Y1199">
        <v>1</v>
      </c>
    </row>
    <row r="1200" spans="1:25" x14ac:dyDescent="0.25">
      <c r="A1200" s="62" t="s">
        <v>378</v>
      </c>
      <c r="B1200" s="62" t="s">
        <v>378</v>
      </c>
      <c r="C1200" s="63" t="s">
        <v>2219</v>
      </c>
      <c r="D1200" s="64">
        <v>1.5</v>
      </c>
      <c r="E1200" s="65"/>
      <c r="F1200" s="66">
        <v>97.777777777777771</v>
      </c>
      <c r="G1200" s="63"/>
      <c r="H1200" s="67"/>
      <c r="I1200" s="68"/>
      <c r="J1200" s="68"/>
      <c r="K1200" s="34" t="s">
        <v>64</v>
      </c>
      <c r="L1200" s="75">
        <v>1200</v>
      </c>
      <c r="M1200" s="75"/>
      <c r="N1200" s="70"/>
      <c r="O1200" s="77" t="s">
        <v>180</v>
      </c>
      <c r="P1200" s="79">
        <v>41124.153541666667</v>
      </c>
      <c r="Q1200" s="77" t="s">
        <v>592</v>
      </c>
      <c r="R1200" s="77"/>
      <c r="S1200" s="77" t="s">
        <v>665</v>
      </c>
      <c r="T1200" s="79">
        <v>41124.153541666667</v>
      </c>
      <c r="U1200" s="81" t="s">
        <v>959</v>
      </c>
      <c r="V1200" s="77"/>
      <c r="W1200" s="77"/>
      <c r="X1200" s="84" t="s">
        <v>1256</v>
      </c>
      <c r="Y1200" s="82">
        <v>2</v>
      </c>
    </row>
    <row r="1201" spans="1:25" x14ac:dyDescent="0.25">
      <c r="A1201" s="62" t="s">
        <v>378</v>
      </c>
      <c r="B1201" s="62" t="s">
        <v>378</v>
      </c>
      <c r="C1201" s="63" t="s">
        <v>2219</v>
      </c>
      <c r="D1201" s="64">
        <v>1.5</v>
      </c>
      <c r="E1201" s="65"/>
      <c r="F1201" s="66">
        <v>97.777777777777771</v>
      </c>
      <c r="G1201" s="63"/>
      <c r="H1201" s="67"/>
      <c r="I1201" s="68"/>
      <c r="J1201" s="68"/>
      <c r="K1201" s="34" t="s">
        <v>64</v>
      </c>
      <c r="L1201" s="75">
        <v>1201</v>
      </c>
      <c r="M1201" s="75"/>
      <c r="N1201" s="70"/>
      <c r="O1201" s="77" t="s">
        <v>180</v>
      </c>
      <c r="P1201" s="79">
        <v>41124.153703703705</v>
      </c>
      <c r="Q1201" s="77" t="s">
        <v>606</v>
      </c>
      <c r="R1201" s="77"/>
      <c r="S1201" s="77" t="s">
        <v>661</v>
      </c>
      <c r="T1201" s="79">
        <v>41124.153703703705</v>
      </c>
      <c r="U1201" s="81" t="s">
        <v>960</v>
      </c>
      <c r="V1201" s="77"/>
      <c r="W1201" s="77"/>
      <c r="X1201" s="84" t="s">
        <v>1257</v>
      </c>
      <c r="Y1201" s="82">
        <v>2</v>
      </c>
    </row>
    <row r="1202" spans="1:25" x14ac:dyDescent="0.25">
      <c r="A1202" s="62" t="s">
        <v>352</v>
      </c>
      <c r="B1202" s="62" t="s">
        <v>378</v>
      </c>
      <c r="C1202" s="63" t="s">
        <v>2222</v>
      </c>
      <c r="D1202" s="64">
        <v>1</v>
      </c>
      <c r="E1202" s="65"/>
      <c r="F1202" s="66">
        <v>100</v>
      </c>
      <c r="G1202" s="63"/>
      <c r="H1202" s="67"/>
      <c r="I1202" s="68"/>
      <c r="J1202" s="68"/>
      <c r="K1202" s="34" t="s">
        <v>65</v>
      </c>
      <c r="L1202" s="75">
        <v>1202</v>
      </c>
      <c r="M1202" s="75"/>
      <c r="N1202" s="70"/>
      <c r="O1202" s="77" t="s">
        <v>382</v>
      </c>
      <c r="P1202" s="79">
        <v>41124.25708333333</v>
      </c>
      <c r="Q1202" s="77"/>
      <c r="R1202" s="77"/>
      <c r="S1202" s="77"/>
      <c r="T1202" s="77"/>
      <c r="U1202" s="77"/>
      <c r="V1202" s="77"/>
      <c r="W1202" s="77"/>
      <c r="X1202" s="77"/>
      <c r="Y1202">
        <v>1</v>
      </c>
    </row>
    <row r="1203" spans="1:25" x14ac:dyDescent="0.25">
      <c r="A1203" s="62" t="s">
        <v>378</v>
      </c>
      <c r="B1203" s="62" t="s">
        <v>352</v>
      </c>
      <c r="C1203" s="63" t="s">
        <v>2222</v>
      </c>
      <c r="D1203" s="64">
        <v>1</v>
      </c>
      <c r="E1203" s="65"/>
      <c r="F1203" s="66">
        <v>100</v>
      </c>
      <c r="G1203" s="63"/>
      <c r="H1203" s="67"/>
      <c r="I1203" s="68"/>
      <c r="J1203" s="68"/>
      <c r="K1203" s="34" t="s">
        <v>65</v>
      </c>
      <c r="L1203" s="75">
        <v>1203</v>
      </c>
      <c r="M1203" s="75"/>
      <c r="N1203" s="70"/>
      <c r="O1203" s="77" t="s">
        <v>382</v>
      </c>
      <c r="P1203" s="79">
        <v>41124.25708333333</v>
      </c>
      <c r="Q1203" s="77"/>
      <c r="R1203" s="77"/>
      <c r="S1203" s="77"/>
      <c r="T1203" s="77"/>
      <c r="U1203" s="77"/>
      <c r="V1203" s="77"/>
      <c r="W1203" s="77"/>
      <c r="X1203" s="77"/>
      <c r="Y1203">
        <v>1</v>
      </c>
    </row>
    <row r="1204" spans="1:25" x14ac:dyDescent="0.25">
      <c r="A1204" s="62" t="s">
        <v>352</v>
      </c>
      <c r="B1204" s="62" t="s">
        <v>352</v>
      </c>
      <c r="C1204" s="63" t="s">
        <v>2219</v>
      </c>
      <c r="D1204" s="64">
        <v>1</v>
      </c>
      <c r="E1204" s="65"/>
      <c r="F1204" s="66">
        <v>100</v>
      </c>
      <c r="G1204" s="63"/>
      <c r="H1204" s="67"/>
      <c r="I1204" s="68"/>
      <c r="J1204" s="68"/>
      <c r="K1204" s="34" t="s">
        <v>64</v>
      </c>
      <c r="L1204" s="75">
        <v>1204</v>
      </c>
      <c r="M1204" s="75"/>
      <c r="N1204" s="70"/>
      <c r="O1204" s="77" t="s">
        <v>180</v>
      </c>
      <c r="P1204" s="79">
        <v>41124.151087962964</v>
      </c>
      <c r="Q1204" s="77" t="s">
        <v>607</v>
      </c>
      <c r="R1204" s="77"/>
      <c r="S1204" s="77" t="s">
        <v>665</v>
      </c>
      <c r="T1204" s="79">
        <v>41124.151087962964</v>
      </c>
      <c r="U1204" s="81" t="s">
        <v>961</v>
      </c>
      <c r="V1204" s="77"/>
      <c r="W1204" s="77"/>
      <c r="X1204" s="84" t="s">
        <v>1258</v>
      </c>
      <c r="Y1204" s="82">
        <v>1</v>
      </c>
    </row>
    <row r="1205" spans="1:25" x14ac:dyDescent="0.25">
      <c r="A1205" s="62" t="s">
        <v>352</v>
      </c>
      <c r="B1205" s="62" t="s">
        <v>379</v>
      </c>
      <c r="C1205" s="63" t="s">
        <v>2222</v>
      </c>
      <c r="D1205" s="64">
        <v>1</v>
      </c>
      <c r="E1205" s="65"/>
      <c r="F1205" s="66">
        <v>100</v>
      </c>
      <c r="G1205" s="63"/>
      <c r="H1205" s="67"/>
      <c r="I1205" s="68"/>
      <c r="J1205" s="68"/>
      <c r="K1205" s="34" t="s">
        <v>65</v>
      </c>
      <c r="L1205" s="75">
        <v>1205</v>
      </c>
      <c r="M1205" s="75"/>
      <c r="N1205" s="70"/>
      <c r="O1205" s="77" t="s">
        <v>382</v>
      </c>
      <c r="P1205" s="79">
        <v>41124.25708333333</v>
      </c>
      <c r="Q1205" s="77"/>
      <c r="R1205" s="77"/>
      <c r="S1205" s="77"/>
      <c r="T1205" s="77"/>
      <c r="U1205" s="77"/>
      <c r="V1205" s="77"/>
      <c r="W1205" s="77"/>
      <c r="X1205" s="77"/>
      <c r="Y1205">
        <v>1</v>
      </c>
    </row>
    <row r="1206" spans="1:25" x14ac:dyDescent="0.25">
      <c r="A1206" s="62" t="s">
        <v>379</v>
      </c>
      <c r="B1206" s="62" t="s">
        <v>352</v>
      </c>
      <c r="C1206" s="63" t="s">
        <v>2222</v>
      </c>
      <c r="D1206" s="64">
        <v>1</v>
      </c>
      <c r="E1206" s="65"/>
      <c r="F1206" s="66">
        <v>100</v>
      </c>
      <c r="G1206" s="63"/>
      <c r="H1206" s="67"/>
      <c r="I1206" s="68"/>
      <c r="J1206" s="68"/>
      <c r="K1206" s="34" t="s">
        <v>65</v>
      </c>
      <c r="L1206" s="75">
        <v>1206</v>
      </c>
      <c r="M1206" s="75"/>
      <c r="N1206" s="70"/>
      <c r="O1206" s="77" t="s">
        <v>382</v>
      </c>
      <c r="P1206" s="79">
        <v>41124.25708333333</v>
      </c>
      <c r="Q1206" s="77"/>
      <c r="R1206" s="77"/>
      <c r="S1206" s="77"/>
      <c r="T1206" s="77"/>
      <c r="U1206" s="77"/>
      <c r="V1206" s="77"/>
      <c r="W1206" s="77"/>
      <c r="X1206" s="77"/>
      <c r="Y1206">
        <v>1</v>
      </c>
    </row>
    <row r="1207" spans="1:25" x14ac:dyDescent="0.25">
      <c r="A1207" s="62" t="s">
        <v>379</v>
      </c>
      <c r="B1207" s="62" t="s">
        <v>379</v>
      </c>
      <c r="C1207" s="63" t="s">
        <v>2219</v>
      </c>
      <c r="D1207" s="64">
        <v>1</v>
      </c>
      <c r="E1207" s="65"/>
      <c r="F1207" s="66">
        <v>100</v>
      </c>
      <c r="G1207" s="63"/>
      <c r="H1207" s="67"/>
      <c r="I1207" s="68"/>
      <c r="J1207" s="68"/>
      <c r="K1207" s="34" t="s">
        <v>64</v>
      </c>
      <c r="L1207" s="75">
        <v>1207</v>
      </c>
      <c r="M1207" s="75"/>
      <c r="N1207" s="70"/>
      <c r="O1207" s="77" t="s">
        <v>180</v>
      </c>
      <c r="P1207" s="79">
        <v>41124.180567129632</v>
      </c>
      <c r="Q1207" s="77" t="s">
        <v>592</v>
      </c>
      <c r="R1207" s="77"/>
      <c r="S1207" s="77" t="s">
        <v>665</v>
      </c>
      <c r="T1207" s="79">
        <v>41124.180567129632</v>
      </c>
      <c r="U1207" s="81" t="s">
        <v>962</v>
      </c>
      <c r="V1207" s="77"/>
      <c r="W1207" s="77"/>
      <c r="X1207" s="84" t="s">
        <v>1259</v>
      </c>
      <c r="Y1207" s="82">
        <v>1</v>
      </c>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1207"/>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1207"/>
    <dataValidation allowBlank="1" showErrorMessage="1" sqref="N2:N1207"/>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1207"/>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1207"/>
    <dataValidation allowBlank="1" showInputMessage="1" promptTitle="Edge Color" prompt="To select an optional edge color, right-click and select Select Color on the right-click menu." sqref="C3:C1207"/>
    <dataValidation allowBlank="1" showInputMessage="1" errorTitle="Invalid Edge Width" error="The optional edge width must be a whole number between 1 and 10." promptTitle="Edge Width" prompt="Enter an optional edge width between 1 and 10." sqref="D3:D1207"/>
    <dataValidation allowBlank="1" showInputMessage="1" errorTitle="Invalid Edge Opacity" error="The optional edge opacity must be a whole number between 0 and 10." promptTitle="Edge Opacity" prompt="Enter an optional edge opacity between 0 (transparent) and 100 (opaque)." sqref="F3:F1207"/>
    <dataValidation type="list" allowBlank="1" showInputMessage="1" showErrorMessage="1" errorTitle="Invalid Edge Visibility" error="You have entered an invalid edge visibility.  Try selecting from the drop-down list instead." promptTitle="Edge Visibility" prompt="Select an optional edge visibility.  Edges are shown by default." sqref="G3:G1207">
      <formula1>ValidEdgeVisibilities</formula1>
    </dataValidation>
    <dataValidation allowBlank="1" showInputMessage="1" showErrorMessage="1" promptTitle="Vertex 1 Name" prompt="Enter the name of the edge's first vertex." sqref="A3:A1207"/>
    <dataValidation allowBlank="1" showInputMessage="1" showErrorMessage="1" promptTitle="Vertex 2 Name" prompt="Enter the name of the edge's second vertex." sqref="B3:B1207"/>
    <dataValidation allowBlank="1" showInputMessage="1" showErrorMessage="1" errorTitle="Invalid Edge Visibility" error="You have entered an unrecognized edge visibility.  Try selecting from the drop-down list instead." promptTitle="Edge Label" prompt="Enter an optional edge label." sqref="H3:H1207"/>
    <dataValidation type="list" allowBlank="1" showInputMessage="1" showErrorMessage="1" errorTitle="Invalid Edge Style" error="You have entered an invalid edge style.  Try selecting from the drop-down list instead." promptTitle="Edge Style" prompt="Select an optional edge style.  Edges are Solid by default." sqref="E3:E1207">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1207"/>
  </dataValidations>
  <hyperlinks>
    <hyperlink ref="R3" r:id="rId1"/>
    <hyperlink ref="R6" r:id="rId2"/>
    <hyperlink ref="R18" r:id="rId3"/>
    <hyperlink ref="R25" r:id="rId4"/>
    <hyperlink ref="R45" r:id="rId5"/>
    <hyperlink ref="R49" r:id="rId6"/>
    <hyperlink ref="R73" r:id="rId7"/>
    <hyperlink ref="R85" r:id="rId8"/>
    <hyperlink ref="R117" r:id="rId9"/>
    <hyperlink ref="R122" r:id="rId10"/>
    <hyperlink ref="R128" r:id="rId11"/>
    <hyperlink ref="R155" r:id="rId12"/>
    <hyperlink ref="R187" r:id="rId13"/>
    <hyperlink ref="R191" r:id="rId14"/>
    <hyperlink ref="R219" r:id="rId15"/>
    <hyperlink ref="R220" r:id="rId16"/>
    <hyperlink ref="R228" r:id="rId17"/>
    <hyperlink ref="R229" r:id="rId18"/>
    <hyperlink ref="R265" r:id="rId19"/>
    <hyperlink ref="R267" r:id="rId20"/>
    <hyperlink ref="R268" r:id="rId21"/>
    <hyperlink ref="R341" r:id="rId22"/>
    <hyperlink ref="R346" r:id="rId23"/>
    <hyperlink ref="R362" r:id="rId24"/>
    <hyperlink ref="R430" r:id="rId25"/>
    <hyperlink ref="R484" r:id="rId26"/>
    <hyperlink ref="R504" r:id="rId27"/>
    <hyperlink ref="R568" r:id="rId28"/>
    <hyperlink ref="R581" r:id="rId29"/>
    <hyperlink ref="R586" r:id="rId30"/>
    <hyperlink ref="R677" r:id="rId31"/>
    <hyperlink ref="R707" r:id="rId32"/>
    <hyperlink ref="R752" r:id="rId33"/>
    <hyperlink ref="R803" r:id="rId34"/>
    <hyperlink ref="R813" r:id="rId35"/>
    <hyperlink ref="R918" r:id="rId36"/>
    <hyperlink ref="R936" r:id="rId37"/>
    <hyperlink ref="R971" r:id="rId38"/>
    <hyperlink ref="R1004" r:id="rId39"/>
    <hyperlink ref="R1021" r:id="rId40"/>
    <hyperlink ref="R1043" r:id="rId41"/>
    <hyperlink ref="R1046" r:id="rId42"/>
    <hyperlink ref="R1086" r:id="rId43"/>
    <hyperlink ref="R1092" r:id="rId44"/>
    <hyperlink ref="R1093" r:id="rId45"/>
    <hyperlink ref="R1094" r:id="rId46"/>
    <hyperlink ref="R1120" r:id="rId47"/>
    <hyperlink ref="R1132" r:id="rId48"/>
    <hyperlink ref="R1146" r:id="rId49"/>
    <hyperlink ref="R1153" r:id="rId50"/>
    <hyperlink ref="R1158" r:id="rId51"/>
    <hyperlink ref="R1190" r:id="rId52"/>
    <hyperlink ref="R1195" r:id="rId53"/>
    <hyperlink ref="U3" r:id="rId54" location="!/RawLinks/status/231051788185399296"/>
    <hyperlink ref="U4" r:id="rId55" location="!/Paul_Hanlin_Jr/status/231054597530206208"/>
    <hyperlink ref="U5" r:id="rId56" location="!/Paul_Hanlin_Jr/status/231055722912305152"/>
    <hyperlink ref="U6" r:id="rId57" location="!/sweet_tWhits/status/231056570333683712"/>
    <hyperlink ref="U7" r:id="rId58" location="!/CharlieShield/status/231063050332012545"/>
    <hyperlink ref="U8" r:id="rId59" location="!/PaulMadrigal099/status/231067265762742272"/>
    <hyperlink ref="U9" r:id="rId60" location="!/Shmoe/status/231072679942299648"/>
    <hyperlink ref="U10" r:id="rId61" location="!/flocktard/status/231067404887801856"/>
    <hyperlink ref="U11" r:id="rId62" location="!/flocktard/status/231074597263511552"/>
    <hyperlink ref="U12" r:id="rId63" location="!/flocktard/status/231080956004536320"/>
    <hyperlink ref="U13" r:id="rId64" location="!/flocktard/status/231081158274842625"/>
    <hyperlink ref="U14" r:id="rId65" location="!/FATCA_Fallout/status/231073864371822592"/>
    <hyperlink ref="U15" r:id="rId66" location="!/FATCA_Fallout/status/231080015847096320"/>
    <hyperlink ref="U16" r:id="rId67" location="!/FATCA_Fallout/status/231080481159008256"/>
    <hyperlink ref="U17" r:id="rId68" location="!/FATCA_Fallout/status/231081895507673088"/>
    <hyperlink ref="U18" r:id="rId69" location="!/jmachats/status/231083945356304384"/>
    <hyperlink ref="U19" r:id="rId70" location="!/AngryGamingSub/status/231092575925325824"/>
    <hyperlink ref="U20" r:id="rId71" location="!/spottythebeagle/status/231093451771494401"/>
    <hyperlink ref="U21" r:id="rId72" location="!/spottythebeagle/status/231094446102552576"/>
    <hyperlink ref="U22" r:id="rId73" location="!/loganthomison/status/231097908005568514"/>
    <hyperlink ref="U23" r:id="rId74" location="!/andyfr8nk/status/231103703497719808"/>
    <hyperlink ref="U24" r:id="rId75" location="!/GrampaSparkles/status/231106613220605953"/>
    <hyperlink ref="U25" r:id="rId76" location="!/PuntaVerdeBK/status/231111417753903105"/>
    <hyperlink ref="U26" r:id="rId77" location="!/BothArmsUp/status/231134161136652288"/>
    <hyperlink ref="U27" r:id="rId78" location="!/StParmenide/status/231134874130604032"/>
    <hyperlink ref="U28" r:id="rId79" location="!/chagresgirl/status/231143842060042240"/>
    <hyperlink ref="U29" r:id="rId80" location="!/chagresgirl/status/231143842060042240"/>
    <hyperlink ref="U30" r:id="rId81" location="!/PricklyPete77/status/231195065756835843"/>
    <hyperlink ref="U31" r:id="rId82" location="!/msmilonich/status/231210012658266113"/>
    <hyperlink ref="U32" r:id="rId83" location="!/msmilonich/status/231210525336432640"/>
    <hyperlink ref="U33" r:id="rId84" location="!/RepubliConMen/status/231212817636794369"/>
    <hyperlink ref="U34" r:id="rId85" location="!/i8dc/status/231215263918465025"/>
    <hyperlink ref="U35" r:id="rId86" location="!/jackrabbit0047/status/231167794278985728"/>
    <hyperlink ref="U36" r:id="rId87" location="!/jackrabbit0047/status/231196119286300673"/>
    <hyperlink ref="U37" r:id="rId88" location="!/jackrabbit0047/status/231220486951034880"/>
    <hyperlink ref="U38" r:id="rId89" location="!/mikepizzitola/status/231223242248048641"/>
    <hyperlink ref="U39" r:id="rId90" location="!/gvrtwpkwy/status/231148569040650242"/>
    <hyperlink ref="U40" r:id="rId91" location="!/gvrtwpkwy/status/231224510035148800"/>
    <hyperlink ref="U41" r:id="rId92" location="!/gvrtwpkwy/status/231233952126488576"/>
    <hyperlink ref="U42" r:id="rId93" location="!/MiddleClassTXN/status/231058607708450816"/>
    <hyperlink ref="U45" r:id="rId94" location="!/GotchaMedia/status/231057874825125889"/>
    <hyperlink ref="U49" r:id="rId95" location="!/GIFsFLN/status/231060209173413888"/>
    <hyperlink ref="U50" r:id="rId96" location="!/chrontelli/status/231060222729400321"/>
    <hyperlink ref="U57" r:id="rId97" location="!/jedibrettski/status/231060466393292800"/>
    <hyperlink ref="U59" r:id="rId98" location="!/bigeasyWI/status/231060901472641024"/>
    <hyperlink ref="U67" r:id="rId99" location="!/strangep00rk/status/231061537513676800"/>
    <hyperlink ref="U69" r:id="rId100" location="!/Swauny/status/231061689821450241"/>
    <hyperlink ref="U71" r:id="rId101" location="!/ben_techpro/status/231061776647745537"/>
    <hyperlink ref="U73" r:id="rId102" location="!/tummler10/status/231059949864747009"/>
    <hyperlink ref="U74" r:id="rId103" location="!/tummler10/status/231061806947393536"/>
    <hyperlink ref="U76" r:id="rId104" location="!/gryffon57/status/231063043612753922"/>
    <hyperlink ref="U78" r:id="rId105" location="!/WisemanBill/status/231061421188853760"/>
    <hyperlink ref="U79" r:id="rId106" location="!/WisemanBill/status/231063527929040896"/>
    <hyperlink ref="U81" r:id="rId107" location="!/Bassmaster12/status/231062416119721985"/>
    <hyperlink ref="U82" r:id="rId108" location="!/Bassmaster12/status/231064616241868801"/>
    <hyperlink ref="U85" r:id="rId109" location="!/CarefreeConserv/status/231065792509247489"/>
    <hyperlink ref="U87" r:id="rId110" location="!/BarddeBelmont/status/231061307598721024"/>
    <hyperlink ref="U88" r:id="rId111" location="!/BarddeBelmont/status/231061423755767808"/>
    <hyperlink ref="U89" r:id="rId112" location="!/BarddeBelmont/status/231061639477211136"/>
    <hyperlink ref="U90" r:id="rId113" location="!/BarddeBelmont/status/231063042127966208"/>
    <hyperlink ref="U91" r:id="rId114" location="!/BarddeBelmont/status/231063194813231105"/>
    <hyperlink ref="U92" r:id="rId115" location="!/BarddeBelmont/status/231063537571725313"/>
    <hyperlink ref="U93" r:id="rId116" location="!/BarddeBelmont/status/231063726902636544"/>
    <hyperlink ref="U94" r:id="rId117" location="!/BarddeBelmont/status/231064005769302017"/>
    <hyperlink ref="U95" r:id="rId118" location="!/BarddeBelmont/status/231064202637365248"/>
    <hyperlink ref="U96" r:id="rId119" location="!/BarddeBelmont/status/231064899047014400"/>
    <hyperlink ref="U97" r:id="rId120" location="!/BarddeBelmont/status/231065038453084160"/>
    <hyperlink ref="U98" r:id="rId121" location="!/BarddeBelmont/status/231065368234442752"/>
    <hyperlink ref="U99" r:id="rId122" location="!/BarddeBelmont/status/231065520454135809"/>
    <hyperlink ref="U100" r:id="rId123" location="!/BarddeBelmont/status/231065742521548800"/>
    <hyperlink ref="U101" r:id="rId124" location="!/BarddeBelmont/status/231065950248636417"/>
    <hyperlink ref="U102" r:id="rId125" location="!/BarddeBelmont/status/231066265156993025"/>
    <hyperlink ref="U103" r:id="rId126" location="!/BarddeBelmont/status/231066439455485952"/>
    <hyperlink ref="U104" r:id="rId127" location="!/BarddeBelmont/status/231066523526115329"/>
    <hyperlink ref="U105" r:id="rId128" location="!/BarddeBelmont/status/231066714417283072"/>
    <hyperlink ref="U107" r:id="rId129" location="!/JeremyDanilson/status/231068835388719104"/>
    <hyperlink ref="U109" r:id="rId130" location="!/Shortrosen/status/231068650747068416"/>
    <hyperlink ref="U114" r:id="rId131" location="!/Brownasaur44/status/231069835143024640"/>
    <hyperlink ref="U115" r:id="rId132" location="!/Brownasaur44/status/231074450727116800"/>
    <hyperlink ref="U117" r:id="rId133" location="!/totomovies/status/231068450242588674"/>
    <hyperlink ref="U120" r:id="rId134" location="!/talaroque/status/231080030090973184"/>
    <hyperlink ref="U122" r:id="rId135" location="!/zealousgranny/status/231077000700375040"/>
    <hyperlink ref="U128" r:id="rId136" location="!/HollywoodTParty/status/231087750093365248"/>
    <hyperlink ref="U133" r:id="rId137" location="!/dpkesq/status/231087798441099264"/>
    <hyperlink ref="U134" r:id="rId138" location="!/eagle17765/status/231092192624668672"/>
    <hyperlink ref="U135" r:id="rId139" location="!/eagle17765/status/231092774475280384"/>
    <hyperlink ref="U141" r:id="rId140" location="!/AxelRugger/status/231091789229072384"/>
    <hyperlink ref="U143" r:id="rId141" location="!/bannerite/status/231079286172430338"/>
    <hyperlink ref="U147" r:id="rId142" location="!/bostonsboy87/status/231092221053661184"/>
    <hyperlink ref="U148" r:id="rId143" location="!/bostonsboy87/status/231092281644572672"/>
    <hyperlink ref="U150" r:id="rId144" location="!/TaoistSoul/status/231092737389256704"/>
    <hyperlink ref="U152" r:id="rId145" location="!/jhf5/status/231092781060333568"/>
    <hyperlink ref="U155" r:id="rId146" location="!/jsmar/status/231093769095745536"/>
    <hyperlink ref="U161" r:id="rId147" location="!/sunsetarival/status/231094023278956544"/>
    <hyperlink ref="U163" r:id="rId148" location="!/trvlgk/status/231094040236548096"/>
    <hyperlink ref="U165" r:id="rId149" location="!/Darin_Driscoll/status/231092769052049408"/>
    <hyperlink ref="U176" r:id="rId150" location="!/AhTrini/status/231094345502191616"/>
    <hyperlink ref="U178" r:id="rId151" location="!/chefmike44/status/231094687996448770"/>
    <hyperlink ref="U180" r:id="rId152" location="!/the_Sabla/status/231102972124340224"/>
    <hyperlink ref="U182" r:id="rId153" location="!/ChristopherGary/status/231063335456624640"/>
    <hyperlink ref="U187" r:id="rId154" location="!/TuxcedoCat/status/231116637233872897"/>
    <hyperlink ref="U191" r:id="rId155" location="!/fabucat/status/231053372415938560"/>
    <hyperlink ref="U196" r:id="rId156" location="!/BlackMaxDesign/status/231066825503428608"/>
    <hyperlink ref="U200" r:id="rId157" location="!/robteed/status/231092340641636352"/>
    <hyperlink ref="U208" r:id="rId158" location="!/LennyJLem/status/231131970124525569"/>
    <hyperlink ref="U210" r:id="rId159" location="!/J_Rippel/status/231135878410555392"/>
    <hyperlink ref="U212" r:id="rId160" location="!/yewkalaylee/status/231059149197279232"/>
    <hyperlink ref="U216" r:id="rId161" location="!/dsunhawk/status/231138858836824064"/>
    <hyperlink ref="U217" r:id="rId162" location="!/dsunhawk/status/231139339134984192"/>
    <hyperlink ref="U219" r:id="rId163" location="!/eagle17765/status/231059356056182784"/>
    <hyperlink ref="U220" r:id="rId164" location="!/eagle17765/status/231059566165651456"/>
    <hyperlink ref="U221" r:id="rId165" location="!/eagle17765/status/231064153526263808"/>
    <hyperlink ref="U222" r:id="rId166" location="!/eagle17765/status/231064626706653184"/>
    <hyperlink ref="U223" r:id="rId167" location="!/eagle17765/status/231065019004100609"/>
    <hyperlink ref="U224" r:id="rId168" location="!/eagle17765/status/231065283123634177"/>
    <hyperlink ref="U225" r:id="rId169" location="!/eagle17765/status/231066011288367104"/>
    <hyperlink ref="U226" r:id="rId170" location="!/eagle17765/status/231091688016326656"/>
    <hyperlink ref="U227" r:id="rId171" location="!/eagle17765/status/231093173345210368"/>
    <hyperlink ref="U228" r:id="rId172" location="!/eagle17765/status/231093420167401472"/>
    <hyperlink ref="U229" r:id="rId173" location="!/eagle17765/status/231103568369831936"/>
    <hyperlink ref="U230" r:id="rId174" location="!/eagle17765/status/231104831551594496"/>
    <hyperlink ref="U231" r:id="rId175" location="!/eagle17765/status/231105662887792640"/>
    <hyperlink ref="U232" r:id="rId176" location="!/eagle17765/status/231158132754231298"/>
    <hyperlink ref="U233" r:id="rId177" location="!/eagle17765/status/231158542671937536"/>
    <hyperlink ref="U236" r:id="rId178" location="!/_silversmith/status/231104350536220672"/>
    <hyperlink ref="U237" r:id="rId179" location="!/_silversmith/status/231104748084920320"/>
    <hyperlink ref="U240" r:id="rId180" location="!/mattduss/status/231066428181188608"/>
    <hyperlink ref="U247" r:id="rId181" location="!/Pilot9/status/231141886239322112"/>
    <hyperlink ref="U250" r:id="rId182" location="!/jhseher/status/231141279529041920"/>
    <hyperlink ref="U251" r:id="rId183" location="!/jhseher/status/231141720459464704"/>
    <hyperlink ref="U252" r:id="rId184" location="!/AshJen4Politics/status/231142052837068801"/>
    <hyperlink ref="U265" r:id="rId185" location="!/MisterSilverman/status/231144740479971328"/>
    <hyperlink ref="U267" r:id="rId186" location="!/tbogg/status/231139065230155776"/>
    <hyperlink ref="U268" r:id="rId187" location="!/Zenman1550/status/231170797354491904"/>
    <hyperlink ref="U272" r:id="rId188" location="!/OldBlackMajic/status/231068833899745280"/>
    <hyperlink ref="U279" r:id="rId189" location="!/SouthernLady328/status/231083324595122176"/>
    <hyperlink ref="U293" r:id="rId190" location="!/JoshDorner/status/231066172081176576"/>
    <hyperlink ref="U308" r:id="rId191" location="!/buckaroo1260/status/231118672763183104"/>
    <hyperlink ref="U312" r:id="rId192" location="!/pretcap/status/231175119303741440"/>
    <hyperlink ref="U324" r:id="rId193" location="!/facepalm23/status/231057816817913858"/>
    <hyperlink ref="U337" r:id="rId194" location="!/spqr1052/status/231064581324300288"/>
    <hyperlink ref="U341" r:id="rId195" location="!/Newsericks/status/231178421558996994"/>
    <hyperlink ref="U346" r:id="rId196" location="!/ThisisntEasy/status/231113913117327360"/>
    <hyperlink ref="U362" r:id="rId197" location="!/aDemocratKnows/status/231117789908316160"/>
    <hyperlink ref="U368" r:id="rId198" location="!/TeamOlbermann/status/231092887889268736"/>
    <hyperlink ref="U378" r:id="rId199" location="!/Gukorru/status/231180522032869376"/>
    <hyperlink ref="U380" r:id="rId200" location="!/MMBlosser/status/231181904181862400"/>
    <hyperlink ref="U383" r:id="rId201" location="!/DaveJensen7/status/231184873367408640"/>
    <hyperlink ref="U388" r:id="rId202" location="!/mummylal/status/231109098769379328"/>
    <hyperlink ref="U404" r:id="rId203" location="!/JacquelineHine1/status/231079379214684160"/>
    <hyperlink ref="U414" r:id="rId204" location="!/Black124/status/231060675483541504"/>
    <hyperlink ref="U418" r:id="rId205" location="!/TIMEPolitics/status/231141722292375552"/>
    <hyperlink ref="U430" r:id="rId206" location="!/RWwatchMA/status/231118220101308417"/>
    <hyperlink ref="U442" r:id="rId207" location="!/Indybluebird/status/231135124769632256"/>
    <hyperlink ref="U461" r:id="rId208" location="!/AWiseLatina/status/231174987325767680"/>
    <hyperlink ref="U474" r:id="rId209" location="!/John_Scott_G/status/231193462584782849"/>
    <hyperlink ref="U484" r:id="rId210" location="!/utahpioneer/status/231112356271362049"/>
    <hyperlink ref="U485" r:id="rId211" location="!/utahpioneer/status/231113561945042944"/>
    <hyperlink ref="U494" r:id="rId212" location="!/MissMarple2/status/231097903140184066"/>
    <hyperlink ref="U501" r:id="rId213" location="!/VictorB123/status/231114084072968192"/>
    <hyperlink ref="U504" r:id="rId214" location="!/DefendWallSt/status/231094110424014848"/>
    <hyperlink ref="U514" r:id="rId215" location="!/LeahAnakin/status/231127589194969088"/>
    <hyperlink ref="U521" r:id="rId216" location="!/bobdobolina/status/231053951057944578"/>
    <hyperlink ref="U528" r:id="rId217" location="!/sherijr/status/231107744613154816"/>
    <hyperlink ref="U540" r:id="rId218" location="!/havewhatusay/status/231141698531647488"/>
    <hyperlink ref="U549" r:id="rId219" location="!/PolopersonGwen/status/231131093607251968"/>
    <hyperlink ref="U564" r:id="rId220" location="!/DianeMNRN/status/231121230491701248"/>
    <hyperlink ref="U568" r:id="rId221" location="!/SueWinMA/status/231191029586460672"/>
    <hyperlink ref="U574" r:id="rId222" location="!/JNeumann54/status/231076124719984643"/>
    <hyperlink ref="U575" r:id="rId223" location="!/JNeumann54/status/231076924838010880"/>
    <hyperlink ref="U581" r:id="rId224" location="!/OccupyGay/status/231052803261472769"/>
    <hyperlink ref="U586" r:id="rId225" location="!/scarylawyerguy/status/231191590616563712"/>
    <hyperlink ref="U592" r:id="rId226" location="!/psalm82/status/231066671585050624"/>
    <hyperlink ref="U593" r:id="rId227" location="!/psalm82/status/231160192010698753"/>
    <hyperlink ref="U601" r:id="rId228" location="!/Nanbp/status/231126906081267712"/>
    <hyperlink ref="U608" r:id="rId229" location="!/ChristiMtl/status/231078162342244352"/>
    <hyperlink ref="U614" r:id="rId230" location="!/crankydem/status/231178832516874240"/>
    <hyperlink ref="U615" r:id="rId231" location="!/wolfiemouse/status/231178994828054528"/>
    <hyperlink ref="U619" r:id="rId232" location="!/beehonest50/status/231100384956006400"/>
    <hyperlink ref="U624" r:id="rId233" location="!/dachdo/status/231116289421213698"/>
    <hyperlink ref="U630" r:id="rId234" location="!/VandelayDelores/status/231208758657814528"/>
    <hyperlink ref="U634" r:id="rId235" location="!/DariMD/status/231080454504189954"/>
    <hyperlink ref="U642" r:id="rId236" location="!/theonlyadult/status/231077676759281664"/>
    <hyperlink ref="U643" r:id="rId237" location="!/theonlyadult/status/231142475258023937"/>
    <hyperlink ref="U651" r:id="rId238" location="!/SrCal/status/231209185331789824"/>
    <hyperlink ref="U653" r:id="rId239" location="!/LisaTalmadge/status/231210893659209728"/>
    <hyperlink ref="U658" r:id="rId240" location="!/Time2Standup80/status/231054816288325633"/>
    <hyperlink ref="U659" r:id="rId241" location="!/Time2Standup80/status/231056133538848769"/>
    <hyperlink ref="U660" r:id="rId242" location="!/Time2Standup80/status/231058274202554369"/>
    <hyperlink ref="U661" r:id="rId243" location="!/Time2Standup80/status/231070507401871360"/>
    <hyperlink ref="U662" r:id="rId244" location="!/Time2Standup80/status/231179482415906816"/>
    <hyperlink ref="U663" r:id="rId245" location="!/Time2Standup80/status/231186067699687424"/>
    <hyperlink ref="U670" r:id="rId246" location="!/HiJCP/status/231212522672369665"/>
    <hyperlink ref="U671" r:id="rId247" location="!/SayethSimon/status/231107683787341824"/>
    <hyperlink ref="U672" r:id="rId248" location="!/SayethSimon/status/231208534698782720"/>
    <hyperlink ref="U677" r:id="rId249" location="!/missb62/status/231053519703134208"/>
    <hyperlink ref="U685" r:id="rId250" location="!/turnapage/status/231114150787571712"/>
    <hyperlink ref="U688" r:id="rId251" location="!/8th_of_Branstad/status/231214401045278721"/>
    <hyperlink ref="U690" r:id="rId252" location="!/tikibandur/status/231071542262513665"/>
    <hyperlink ref="U697" r:id="rId253" location="!/AmPriorities/status/231073421172285441"/>
    <hyperlink ref="U698" r:id="rId254" location="!/AmPriorities/status/231222233601810433"/>
    <hyperlink ref="U699" r:id="rId255" location="!/AmPriorities/status/231223024580452352"/>
    <hyperlink ref="U700" r:id="rId256" location="!/AmPriorities/status/231223830109093888"/>
    <hyperlink ref="U702" r:id="rId257" location="!/DavidShuster/status/231092114438623233"/>
    <hyperlink ref="U707" r:id="rId258" location="!/mwoodward4/status/231114145876045825"/>
    <hyperlink ref="U708" r:id="rId259" location="!/mwoodward4/status/231225415019143168"/>
    <hyperlink ref="U709" r:id="rId260" location="!/mike_truman/status/231180258827710465"/>
    <hyperlink ref="U710" r:id="rId261" location="!/JamesYontrofsky/status/231230491938926592"/>
    <hyperlink ref="U711" r:id="rId262" location="!/Imjetta/status/231225331451826176"/>
    <hyperlink ref="U712" r:id="rId263" location="!/Imjetta/status/231229262496165888"/>
    <hyperlink ref="U713" r:id="rId264" location="!/Imjetta/status/231232968235036672"/>
    <hyperlink ref="U716" r:id="rId265" location="!/ksmith474/status/231059215962210304"/>
    <hyperlink ref="U717" r:id="rId266" location="!/ksmith474/status/231059895791779840"/>
    <hyperlink ref="U718" r:id="rId267" location="!/ksmith474/status/231062587066970112"/>
    <hyperlink ref="U719" r:id="rId268" location="!/FJ473/status/231060715572715520"/>
    <hyperlink ref="U720" r:id="rId269" location="!/FJ473/status/231062616561311745"/>
    <hyperlink ref="U721" r:id="rId270" location="!/TheWrightWingv2/status/231059635774312449"/>
    <hyperlink ref="U722" r:id="rId271" location="!/TheWrightWingv2/status/231062318157537281"/>
    <hyperlink ref="U723" r:id="rId272" location="!/TheWrightWingv2/status/231063981547196417"/>
    <hyperlink ref="U724" r:id="rId273" location="!/Imjetta/status/231060844727914497"/>
    <hyperlink ref="U728" r:id="rId274" location="!/FJ473/status/231055724527104001"/>
    <hyperlink ref="U729" r:id="rId275" location="!/FJ473/status/231057126599053312"/>
    <hyperlink ref="U734" r:id="rId276" location="!/pmrushirish/status/231068767873032192"/>
    <hyperlink ref="U740" r:id="rId277" location="!/davidwebbshow/status/231062317834579969"/>
    <hyperlink ref="U752" r:id="rId278" location="!/Loxodonta_s/status/231106860558721024"/>
    <hyperlink ref="U769" r:id="rId279" location="!/GregWHoward/status/231058136822337537"/>
    <hyperlink ref="U803" r:id="rId280" location="!/owendbanks/status/231073360275202048"/>
    <hyperlink ref="U813" r:id="rId281" location="!/canadians4mitt/status/231063848910721026"/>
    <hyperlink ref="U835" r:id="rId282" location="!/AmericanMind/status/231137654522146816"/>
    <hyperlink ref="U836" r:id="rId283" location="!/AmericanMind/status/231140216860184576"/>
    <hyperlink ref="U847" r:id="rId284" location="!/lymurp/status/231061526348455936"/>
    <hyperlink ref="U857" r:id="rId285" location="!/connnutmeg/status/231062105208541184"/>
    <hyperlink ref="U863" r:id="rId286" location="!/ZekeJMiller/status/231140820873527296"/>
    <hyperlink ref="U864" r:id="rId287" location="!/globeglen/status/231140774971072512"/>
    <hyperlink ref="U865" r:id="rId288" location="!/globeglen/status/231145083792158721"/>
    <hyperlink ref="U875" r:id="rId289" location="!/RJF_723/status/231052867681792000"/>
    <hyperlink ref="U876" r:id="rId290" location="!/RJF_723/status/231053942564470784"/>
    <hyperlink ref="U877" r:id="rId291" location="!/RJF_723/status/231055296963940353"/>
    <hyperlink ref="U896" r:id="rId292" location="!/IngerRobberstad/status/231064743354441728"/>
    <hyperlink ref="U918" r:id="rId293" location="!/AndrewHClark/status/231062295986438144"/>
    <hyperlink ref="U935" r:id="rId294" location="!/lilmsunshne/status/231064109708374016"/>
    <hyperlink ref="U936" r:id="rId295" location="!/lilmsunshne/status/231066409994706944"/>
    <hyperlink ref="U949" r:id="rId296" location="!/mantone1/status/231059397625929728"/>
    <hyperlink ref="U971" r:id="rId297" location="!/gitmo62/status/231196524208590848"/>
    <hyperlink ref="U992" r:id="rId298" location="!/ChrisMatthewspu/status/231130991970897920"/>
    <hyperlink ref="U993" r:id="rId299" location="!/ChrisMatthewspu/status/231131516233736193"/>
    <hyperlink ref="U994" r:id="rId300" location="!/ChrisMatthewspu/status/231133981293309953"/>
    <hyperlink ref="U995" r:id="rId301" location="!/ChrisMatthewspu/status/231134423737847808"/>
    <hyperlink ref="U996" r:id="rId302" location="!/ChrisMatthewspu/status/231136409287798784"/>
    <hyperlink ref="U997" r:id="rId303" location="!/ChrisMatthewspu/status/231137291798732801"/>
    <hyperlink ref="U998" r:id="rId304" location="!/ChrisMatthewspu/status/231215739414147072"/>
    <hyperlink ref="U1004" r:id="rId305" location="!/ZekeJMiller/status/231052070000672768"/>
    <hyperlink ref="U1021" r:id="rId306" location="!/RalstonFlash/status/231059863260770304"/>
    <hyperlink ref="U1026" r:id="rId307" location="!/ACollinsByrnes/status/231230363127668736"/>
    <hyperlink ref="U1039" r:id="rId308" location="!/sidney_fife/status/231076132928245760"/>
    <hyperlink ref="U1043" r:id="rId309" location="!/hkistemann/status/231051070913265666"/>
    <hyperlink ref="U1046" r:id="rId310" location="!/sarahcgoldstein/status/231085994898767873"/>
    <hyperlink ref="U1058" r:id="rId311" location="!/Jlessard/status/231071085586677761"/>
    <hyperlink ref="U1062" r:id="rId312" location="!/coxwebdev/status/231056326007074816"/>
    <hyperlink ref="U1065" r:id="rId313" location="!/juliagulia614/status/231184645436354560"/>
    <hyperlink ref="U1074" r:id="rId314" location="!/rterenzi1/status/231201034058477568"/>
    <hyperlink ref="U1086" r:id="rId315" location="!/Timodc/status/231061042023772160"/>
    <hyperlink ref="U1092" r:id="rId316" location="!/Dcarter888K/status/231088202100916224"/>
    <hyperlink ref="U1093" r:id="rId317" location="!/Dcarter888K/status/231172151116431360"/>
    <hyperlink ref="U1094" r:id="rId318" location="!/Dcarter888K/status/231189214962798594"/>
    <hyperlink ref="U1099" r:id="rId319" location="!/dysinger1231/status/231071643093581824"/>
    <hyperlink ref="U1105" r:id="rId320" location="!/JoAnnEileen/status/231138823730524160"/>
    <hyperlink ref="U1114" r:id="rId321" location="!/SierraDante/status/231062939229102080"/>
    <hyperlink ref="U1120" r:id="rId322" location="!/sigstarget/status/231086628540657664"/>
    <hyperlink ref="U1127" r:id="rId323" location="!/ProudlyWeHail/status/231060293252423681"/>
    <hyperlink ref="U1132" r:id="rId324" location="!/dcseth/status/231062534487146496"/>
    <hyperlink ref="U1137" r:id="rId325" location="!/ComfyPaws/status/231198701794775040"/>
    <hyperlink ref="U1141" r:id="rId326" location="!/PeterLaCrosse/status/231162873617977345"/>
    <hyperlink ref="U1144" r:id="rId327" location="!/TeamEmailSMS/status/231065323376373761"/>
    <hyperlink ref="U1146" r:id="rId328" location="!/liars_never_win/status/231086497363808256"/>
    <hyperlink ref="U1153" r:id="rId329" location="!/DefeatObama/status/231089860696477697"/>
    <hyperlink ref="U1158" r:id="rId330" location="!/eeyrehead/status/231078691000705024"/>
    <hyperlink ref="U1161" r:id="rId331" location="!/Anewhomestar/status/231232853185290240"/>
    <hyperlink ref="U1165" r:id="rId332" location="!/CindyCoops/status/231096399608020993"/>
    <hyperlink ref="U1168" r:id="rId333" location="!/TheWrightWingv2/status/231055188838985728"/>
    <hyperlink ref="U1169" r:id="rId334" location="!/TheWrightWingv2/status/231056687107297280"/>
    <hyperlink ref="U1170" r:id="rId335" location="!/TheWrightWingv2/status/231058925007552514"/>
    <hyperlink ref="U1171" r:id="rId336" location="!/TheWrightWingv2/status/231059084454031360"/>
    <hyperlink ref="U1172" r:id="rId337" location="!/TheWrightWingv2/status/231179786318401536"/>
    <hyperlink ref="U1173" r:id="rId338" location="!/TheWrightWingv2/status/231226816331915264"/>
    <hyperlink ref="U1179" r:id="rId339" location="!/Imjetta/status/231174667975667712"/>
    <hyperlink ref="U1180" r:id="rId340" location="!/Imjetta/status/231224665639620608"/>
    <hyperlink ref="U1181" r:id="rId341" location="!/Imjetta/status/231225491091230720"/>
    <hyperlink ref="U1182" r:id="rId342" location="!/Imjetta/status/231226006000779264"/>
    <hyperlink ref="U1183" r:id="rId343" location="!/Imjetta/status/231229668257316864"/>
    <hyperlink ref="U1188" r:id="rId344" location="!/BillHemmer/status/231060963477049345"/>
    <hyperlink ref="U1190" r:id="rId345" location="!/RomneyResponse/status/231062993474031617"/>
    <hyperlink ref="U1194" r:id="rId346" location="!/NathanSFurtado/status/231233053253578753"/>
    <hyperlink ref="U1195" r:id="rId347" location="!/TIMENOUT/status/231086394272002050"/>
    <hyperlink ref="U1200" r:id="rId348" location="!/CAP741776/status/231233204881850368"/>
    <hyperlink ref="U1201" r:id="rId349" location="!/CAP741776/status/231233262960381952"/>
    <hyperlink ref="U1204" r:id="rId350" location="!/Norsu2/status/231232313550323713"/>
    <hyperlink ref="U1207" r:id="rId351" location="!/Patriot38/status/231242996866240513"/>
  </hyperlinks>
  <pageMargins left="0.7" right="0.7" top="0.75" bottom="0.75" header="0.3" footer="0.3"/>
  <pageSetup orientation="portrait" horizontalDpi="0" verticalDpi="0" r:id="rId352"/>
  <legacyDrawing r:id="rId353"/>
  <tableParts count="1">
    <tablePart r:id="rId35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T194"/>
  <sheetViews>
    <sheetView tabSelected="1" workbookViewId="0">
      <pane xSplit="1" ySplit="2" topLeftCell="R3" activePane="bottomRight" state="frozen"/>
      <selection pane="topRight" activeCell="B1" sqref="B1"/>
      <selection pane="bottomLeft" activeCell="A3" sqref="A3"/>
      <selection pane="bottomRight" activeCell="T1" sqref="T1"/>
    </sheetView>
  </sheetViews>
  <sheetFormatPr defaultRowHeight="15" x14ac:dyDescent="0.25"/>
  <cols>
    <col min="1" max="1" width="17" style="1" bestFit="1" customWidth="1"/>
    <col min="2" max="2" width="7.85546875" hidden="1" customWidth="1"/>
    <col min="3" max="3" width="8.5703125" hidden="1" customWidth="1"/>
    <col min="4" max="4" width="6.7109375" hidden="1" customWidth="1"/>
    <col min="5" max="5" width="9.85546875" hidden="1" customWidth="1"/>
    <col min="6" max="6" width="7.7109375" hidden="1" customWidth="1"/>
    <col min="7" max="7" width="11" hidden="1" customWidth="1"/>
    <col min="8" max="8" width="8.5703125" hidden="1" customWidth="1"/>
    <col min="9" max="9" width="9.7109375" hidden="1" customWidth="1"/>
    <col min="10" max="10" width="10.5703125" style="3" hidden="1" customWidth="1"/>
    <col min="11" max="12" width="9.140625" hidden="1" customWidth="1"/>
    <col min="13" max="14" width="4.28515625" hidden="1" customWidth="1"/>
    <col min="15" max="15" width="10.28515625" hidden="1" customWidth="1"/>
    <col min="16" max="16" width="6.42578125" hidden="1" customWidth="1"/>
    <col min="17" max="17" width="8.28515625" hidden="1" customWidth="1"/>
    <col min="18" max="18" width="11.7109375" customWidth="1"/>
    <col min="19" max="19" width="9.28515625" customWidth="1"/>
    <col min="20" max="20" width="9.5703125" customWidth="1"/>
    <col min="21" max="23" width="14.28515625" customWidth="1"/>
    <col min="24" max="24" width="11.85546875" customWidth="1"/>
    <col min="25" max="25" width="14.42578125" customWidth="1"/>
    <col min="26" max="26" width="18.28515625" customWidth="1"/>
    <col min="27" max="27" width="5" style="3" hidden="1" customWidth="1"/>
    <col min="28" max="28" width="16" style="3" hidden="1" customWidth="1"/>
    <col min="29" max="29" width="16" style="6" hidden="1" customWidth="1"/>
    <col min="30" max="30" width="11.42578125" style="2" bestFit="1" customWidth="1"/>
    <col min="31" max="31" width="11.85546875" style="3" bestFit="1" customWidth="1"/>
    <col min="32" max="32" width="9.5703125" style="3" bestFit="1" customWidth="1"/>
    <col min="33" max="33" width="11.28515625" style="3" bestFit="1" customWidth="1"/>
    <col min="34" max="34" width="13.28515625" style="3" bestFit="1" customWidth="1"/>
    <col min="35" max="35" width="8.28515625" bestFit="1" customWidth="1"/>
    <col min="36" max="36" width="7.28515625" bestFit="1" customWidth="1"/>
    <col min="37" max="37" width="12.42578125" bestFit="1" customWidth="1"/>
    <col min="38" max="38" width="18" bestFit="1" customWidth="1"/>
    <col min="39" max="39" width="16" bestFit="1" customWidth="1"/>
    <col min="40" max="41" width="15.5703125" bestFit="1" customWidth="1"/>
  </cols>
  <sheetData>
    <row r="1" spans="1:46" x14ac:dyDescent="0.25">
      <c r="A1" s="1" t="s">
        <v>2235</v>
      </c>
      <c r="B1" s="23" t="s">
        <v>38</v>
      </c>
      <c r="C1" s="16"/>
      <c r="D1" s="16"/>
      <c r="E1" s="16"/>
      <c r="F1" s="16"/>
      <c r="G1" s="16"/>
      <c r="H1" s="25" t="s">
        <v>42</v>
      </c>
      <c r="I1" s="24"/>
      <c r="J1" s="24"/>
      <c r="K1" s="24"/>
      <c r="L1" s="27" t="s">
        <v>43</v>
      </c>
      <c r="M1" s="26"/>
      <c r="N1" s="26"/>
      <c r="O1" s="26"/>
      <c r="P1" s="26"/>
      <c r="Q1" s="26"/>
      <c r="S1" s="22" t="s">
        <v>41</v>
      </c>
      <c r="T1" s="20"/>
      <c r="U1" s="21"/>
      <c r="V1" s="19"/>
      <c r="W1" s="19"/>
      <c r="X1" s="19"/>
      <c r="Y1" s="19"/>
      <c r="Z1" s="19"/>
      <c r="AA1" s="28" t="s">
        <v>39</v>
      </c>
      <c r="AB1" s="18"/>
      <c r="AC1" s="29" t="s">
        <v>40</v>
      </c>
      <c r="AD1"/>
      <c r="AE1"/>
      <c r="AF1"/>
      <c r="AG1"/>
      <c r="AH1"/>
    </row>
    <row r="2" spans="1:46" ht="30" customHeight="1" x14ac:dyDescent="0.25">
      <c r="A2" s="11" t="s">
        <v>5</v>
      </c>
      <c r="B2" s="8" t="s">
        <v>2</v>
      </c>
      <c r="C2" s="8" t="s">
        <v>8</v>
      </c>
      <c r="D2" s="9" t="s">
        <v>44</v>
      </c>
      <c r="E2" s="10" t="s">
        <v>4</v>
      </c>
      <c r="F2" s="8" t="s">
        <v>47</v>
      </c>
      <c r="G2" s="8" t="s">
        <v>11</v>
      </c>
      <c r="H2" s="8" t="s">
        <v>45</v>
      </c>
      <c r="I2" s="8" t="s">
        <v>46</v>
      </c>
      <c r="J2" s="8" t="s">
        <v>76</v>
      </c>
      <c r="K2" s="8" t="s">
        <v>10</v>
      </c>
      <c r="L2" s="8" t="s">
        <v>27</v>
      </c>
      <c r="M2" s="8" t="s">
        <v>15</v>
      </c>
      <c r="N2" s="8" t="s">
        <v>16</v>
      </c>
      <c r="O2" s="8" t="s">
        <v>13</v>
      </c>
      <c r="P2" s="8" t="s">
        <v>28</v>
      </c>
      <c r="Q2" s="8" t="s">
        <v>29</v>
      </c>
      <c r="R2" t="s">
        <v>2788</v>
      </c>
      <c r="S2" s="13" t="s">
        <v>31</v>
      </c>
      <c r="T2" s="13" t="s">
        <v>32</v>
      </c>
      <c r="U2" s="13" t="s">
        <v>33</v>
      </c>
      <c r="V2" s="13" t="s">
        <v>34</v>
      </c>
      <c r="W2" s="13" t="s">
        <v>35</v>
      </c>
      <c r="X2" s="13" t="s">
        <v>136</v>
      </c>
      <c r="Y2" s="13" t="s">
        <v>36</v>
      </c>
      <c r="Z2" s="13" t="s">
        <v>169</v>
      </c>
      <c r="AA2" s="11" t="s">
        <v>12</v>
      </c>
      <c r="AB2" s="11" t="s">
        <v>37</v>
      </c>
      <c r="AC2" s="8" t="s">
        <v>26</v>
      </c>
      <c r="AD2" s="13" t="s">
        <v>382</v>
      </c>
      <c r="AE2" s="13" t="s">
        <v>1260</v>
      </c>
      <c r="AF2" s="13" t="s">
        <v>1261</v>
      </c>
      <c r="AG2" s="13" t="s">
        <v>1262</v>
      </c>
      <c r="AH2" s="13" t="s">
        <v>1263</v>
      </c>
      <c r="AI2" s="13" t="s">
        <v>1264</v>
      </c>
      <c r="AJ2" s="13" t="s">
        <v>1265</v>
      </c>
      <c r="AK2" s="13" t="s">
        <v>1266</v>
      </c>
      <c r="AL2" s="13" t="s">
        <v>1267</v>
      </c>
      <c r="AM2" s="13" t="s">
        <v>1268</v>
      </c>
      <c r="AN2" s="13" t="s">
        <v>1269</v>
      </c>
      <c r="AO2" s="13" t="s">
        <v>1270</v>
      </c>
      <c r="AP2" s="3"/>
      <c r="AQ2" s="3"/>
    </row>
    <row r="3" spans="1:46" ht="41.45" customHeight="1" x14ac:dyDescent="0.25">
      <c r="A3" s="62" t="s">
        <v>246</v>
      </c>
      <c r="B3" s="63"/>
      <c r="C3" s="63" t="s">
        <v>63</v>
      </c>
      <c r="D3" s="64">
        <v>10</v>
      </c>
      <c r="E3" s="66">
        <v>79.939839785529628</v>
      </c>
      <c r="F3" s="97" t="s">
        <v>1674</v>
      </c>
      <c r="G3" s="63"/>
      <c r="H3" s="67" t="s">
        <v>246</v>
      </c>
      <c r="I3" s="68"/>
      <c r="J3" s="68"/>
      <c r="K3" s="67" t="s">
        <v>2057</v>
      </c>
      <c r="L3" s="71">
        <v>6686.3827274758241</v>
      </c>
      <c r="M3" s="72">
        <v>3646.800048828125</v>
      </c>
      <c r="N3" s="72">
        <v>3090.914306640625</v>
      </c>
      <c r="O3" s="73"/>
      <c r="P3" s="74"/>
      <c r="Q3" s="74"/>
      <c r="S3" s="48">
        <v>52</v>
      </c>
      <c r="T3" s="48">
        <v>5</v>
      </c>
      <c r="U3" s="49">
        <v>7853.0833830000001</v>
      </c>
      <c r="V3" s="49">
        <v>2.7699999999999999E-3</v>
      </c>
      <c r="W3" s="49">
        <v>1.3546000000000001E-2</v>
      </c>
      <c r="X3" s="49">
        <v>6.3633810000000004</v>
      </c>
      <c r="Y3" s="49">
        <v>4.9411764705882349E-2</v>
      </c>
      <c r="Z3" s="49">
        <v>7.8431372549019607E-2</v>
      </c>
      <c r="AA3" s="69">
        <v>45</v>
      </c>
      <c r="AB3" s="69"/>
      <c r="AC3" s="70"/>
      <c r="AD3" s="76">
        <v>8244</v>
      </c>
      <c r="AE3" s="76">
        <v>41903</v>
      </c>
      <c r="AF3" s="76">
        <v>4433</v>
      </c>
      <c r="AG3" s="76">
        <v>62</v>
      </c>
      <c r="AH3" s="76" t="s">
        <v>1299</v>
      </c>
      <c r="AI3" s="76" t="s">
        <v>1461</v>
      </c>
      <c r="AJ3" s="80" t="s">
        <v>1584</v>
      </c>
      <c r="AK3" s="76" t="s">
        <v>1625</v>
      </c>
      <c r="AL3" s="76">
        <v>-18000</v>
      </c>
      <c r="AM3" s="78">
        <v>39854.015729166669</v>
      </c>
      <c r="AN3" s="76" t="s">
        <v>1823</v>
      </c>
      <c r="AO3" s="80" t="s">
        <v>1866</v>
      </c>
      <c r="AP3" s="3"/>
      <c r="AQ3" s="3"/>
    </row>
    <row r="4" spans="1:46" ht="41.45" customHeight="1" x14ac:dyDescent="0.25">
      <c r="A4" s="62" t="s">
        <v>286</v>
      </c>
      <c r="B4" s="63"/>
      <c r="C4" s="63" t="s">
        <v>63</v>
      </c>
      <c r="D4" s="64">
        <v>10</v>
      </c>
      <c r="E4" s="66">
        <v>90.85867934765264</v>
      </c>
      <c r="F4" s="97" t="s">
        <v>1665</v>
      </c>
      <c r="G4" s="63"/>
      <c r="H4" s="67" t="s">
        <v>286</v>
      </c>
      <c r="I4" s="68"/>
      <c r="J4" s="68"/>
      <c r="K4" s="67" t="s">
        <v>2047</v>
      </c>
      <c r="L4" s="71">
        <v>3047.4974627389652</v>
      </c>
      <c r="M4" s="72">
        <v>8930.2109375</v>
      </c>
      <c r="N4" s="72">
        <v>4018.74853515625</v>
      </c>
      <c r="O4" s="73"/>
      <c r="P4" s="74"/>
      <c r="Q4" s="74"/>
      <c r="S4" s="48">
        <v>32</v>
      </c>
      <c r="T4" s="48">
        <v>10</v>
      </c>
      <c r="U4" s="49">
        <v>5144.4605119999997</v>
      </c>
      <c r="V4" s="49">
        <v>2.967E-3</v>
      </c>
      <c r="W4" s="49">
        <v>2.8920999999999999E-2</v>
      </c>
      <c r="X4" s="49">
        <v>3.1701510000000002</v>
      </c>
      <c r="Y4" s="49">
        <v>0.14516129032258066</v>
      </c>
      <c r="Z4" s="49">
        <v>0.25</v>
      </c>
      <c r="AA4" s="69">
        <v>35</v>
      </c>
      <c r="AB4" s="69"/>
      <c r="AC4" s="70"/>
      <c r="AD4" s="76">
        <v>2989</v>
      </c>
      <c r="AE4" s="76">
        <v>19095</v>
      </c>
      <c r="AF4" s="76">
        <v>60087</v>
      </c>
      <c r="AG4" s="76">
        <v>0</v>
      </c>
      <c r="AH4" s="76" t="s">
        <v>1293</v>
      </c>
      <c r="AI4" s="76" t="s">
        <v>1455</v>
      </c>
      <c r="AJ4" s="80" t="s">
        <v>1579</v>
      </c>
      <c r="AK4" s="76" t="s">
        <v>1625</v>
      </c>
      <c r="AL4" s="76">
        <v>-18000</v>
      </c>
      <c r="AM4" s="78">
        <v>39863.70921296296</v>
      </c>
      <c r="AN4" s="76" t="s">
        <v>1823</v>
      </c>
      <c r="AO4" s="80" t="s">
        <v>1856</v>
      </c>
      <c r="AP4" s="2"/>
      <c r="AQ4" s="3"/>
      <c r="AR4" s="3"/>
      <c r="AS4" s="3"/>
      <c r="AT4" s="3"/>
    </row>
    <row r="5" spans="1:46" ht="41.45" customHeight="1" x14ac:dyDescent="0.25">
      <c r="A5" s="62" t="s">
        <v>376</v>
      </c>
      <c r="B5" s="63"/>
      <c r="C5" s="63" t="s">
        <v>63</v>
      </c>
      <c r="D5" s="64">
        <v>10</v>
      </c>
      <c r="E5" s="66">
        <v>70</v>
      </c>
      <c r="F5" s="97" t="s">
        <v>1662</v>
      </c>
      <c r="G5" s="63"/>
      <c r="H5" s="67" t="s">
        <v>376</v>
      </c>
      <c r="I5" s="68"/>
      <c r="J5" s="68"/>
      <c r="K5" s="67" t="s">
        <v>2044</v>
      </c>
      <c r="L5" s="71">
        <v>9999</v>
      </c>
      <c r="M5" s="72">
        <v>3815.5947265625</v>
      </c>
      <c r="N5" s="72">
        <v>5829.65625</v>
      </c>
      <c r="O5" s="73"/>
      <c r="P5" s="74"/>
      <c r="Q5" s="74"/>
      <c r="S5" s="48">
        <v>34</v>
      </c>
      <c r="T5" s="48">
        <v>1</v>
      </c>
      <c r="U5" s="49">
        <v>4882.7936609999997</v>
      </c>
      <c r="V5" s="49">
        <v>2.5249999999999999E-3</v>
      </c>
      <c r="W5" s="49">
        <v>1.4574E-2</v>
      </c>
      <c r="X5" s="49">
        <v>4.6100370000000002</v>
      </c>
      <c r="Y5" s="49">
        <v>2.1780303030303032E-2</v>
      </c>
      <c r="Z5" s="49">
        <v>0</v>
      </c>
      <c r="AA5" s="69">
        <v>32</v>
      </c>
      <c r="AB5" s="69"/>
      <c r="AC5" s="70"/>
      <c r="AD5" s="76">
        <v>178</v>
      </c>
      <c r="AE5" s="76">
        <v>62666</v>
      </c>
      <c r="AF5" s="76">
        <v>2027</v>
      </c>
      <c r="AG5" s="76">
        <v>16</v>
      </c>
      <c r="AH5" s="76" t="s">
        <v>1291</v>
      </c>
      <c r="AI5" s="76" t="s">
        <v>1454</v>
      </c>
      <c r="AJ5" s="80" t="s">
        <v>1576</v>
      </c>
      <c r="AK5" s="76" t="s">
        <v>1625</v>
      </c>
      <c r="AL5" s="76">
        <v>-18000</v>
      </c>
      <c r="AM5" s="78">
        <v>39860.765752314815</v>
      </c>
      <c r="AN5" s="76" t="s">
        <v>1823</v>
      </c>
      <c r="AO5" s="80" t="s">
        <v>1853</v>
      </c>
      <c r="AP5" s="2"/>
      <c r="AQ5" s="3"/>
      <c r="AR5" s="3"/>
      <c r="AS5" s="3"/>
      <c r="AT5" s="3"/>
    </row>
    <row r="6" spans="1:46" ht="41.45" customHeight="1" x14ac:dyDescent="0.25">
      <c r="A6" s="62" t="s">
        <v>352</v>
      </c>
      <c r="B6" s="63"/>
      <c r="C6" s="63" t="s">
        <v>63</v>
      </c>
      <c r="D6" s="64">
        <v>10</v>
      </c>
      <c r="E6" s="66">
        <v>95.044202597899982</v>
      </c>
      <c r="F6" s="97" t="s">
        <v>1799</v>
      </c>
      <c r="G6" s="63"/>
      <c r="H6" s="67" t="s">
        <v>352</v>
      </c>
      <c r="I6" s="68"/>
      <c r="J6" s="68"/>
      <c r="K6" s="67" t="s">
        <v>2183</v>
      </c>
      <c r="L6" s="71">
        <v>1652.6020808732007</v>
      </c>
      <c r="M6" s="72">
        <v>3708.9736328125</v>
      </c>
      <c r="N6" s="72">
        <v>7696.3955078125</v>
      </c>
      <c r="O6" s="73"/>
      <c r="P6" s="74"/>
      <c r="Q6" s="74"/>
      <c r="S6" s="48">
        <v>35</v>
      </c>
      <c r="T6" s="48">
        <v>49</v>
      </c>
      <c r="U6" s="49">
        <v>4613.3945940000003</v>
      </c>
      <c r="V6" s="49">
        <v>2.7699999999999999E-3</v>
      </c>
      <c r="W6" s="49">
        <v>4.1079999999999998E-2</v>
      </c>
      <c r="X6" s="49">
        <v>4.9040039999999996</v>
      </c>
      <c r="Y6" s="49">
        <v>0.12677304964539007</v>
      </c>
      <c r="Z6" s="49">
        <v>0.70833333333333337</v>
      </c>
      <c r="AA6" s="69">
        <v>171</v>
      </c>
      <c r="AB6" s="69"/>
      <c r="AC6" s="70"/>
      <c r="AD6" s="76">
        <v>11384</v>
      </c>
      <c r="AE6" s="76">
        <v>10352</v>
      </c>
      <c r="AF6" s="76">
        <v>77847</v>
      </c>
      <c r="AG6" s="76">
        <v>1</v>
      </c>
      <c r="AH6" s="76" t="s">
        <v>1416</v>
      </c>
      <c r="AI6" s="76" t="s">
        <v>1552</v>
      </c>
      <c r="AJ6" s="80" t="s">
        <v>1615</v>
      </c>
      <c r="AK6" s="76" t="s">
        <v>1625</v>
      </c>
      <c r="AL6" s="76">
        <v>-18000</v>
      </c>
      <c r="AM6" s="78">
        <v>40327.010752314818</v>
      </c>
      <c r="AN6" s="76" t="s">
        <v>1823</v>
      </c>
      <c r="AO6" s="80" t="s">
        <v>1991</v>
      </c>
      <c r="AP6" s="2"/>
      <c r="AQ6" s="3"/>
      <c r="AR6" s="3"/>
      <c r="AS6" s="3"/>
      <c r="AT6" s="3"/>
    </row>
    <row r="7" spans="1:46" ht="41.45" customHeight="1" x14ac:dyDescent="0.25">
      <c r="A7" s="62" t="s">
        <v>367</v>
      </c>
      <c r="B7" s="63"/>
      <c r="C7" s="63" t="s">
        <v>63</v>
      </c>
      <c r="D7" s="64">
        <v>3.6973906740758635</v>
      </c>
      <c r="E7" s="66">
        <v>98.97552101618102</v>
      </c>
      <c r="F7" s="97" t="s">
        <v>1663</v>
      </c>
      <c r="G7" s="63"/>
      <c r="H7" s="67" t="s">
        <v>367</v>
      </c>
      <c r="I7" s="68"/>
      <c r="J7" s="68"/>
      <c r="K7" s="67" t="s">
        <v>2045</v>
      </c>
      <c r="L7" s="71">
        <v>342.42469600740435</v>
      </c>
      <c r="M7" s="72">
        <v>3295.662841796875</v>
      </c>
      <c r="N7" s="72">
        <v>8125.64453125</v>
      </c>
      <c r="O7" s="73"/>
      <c r="P7" s="74"/>
      <c r="Q7" s="74"/>
      <c r="S7" s="48">
        <v>32</v>
      </c>
      <c r="T7" s="48">
        <v>3</v>
      </c>
      <c r="U7" s="49">
        <v>2517.5455280000001</v>
      </c>
      <c r="V7" s="49">
        <v>2.5509999999999999E-3</v>
      </c>
      <c r="W7" s="49">
        <v>2.5479999999999999E-2</v>
      </c>
      <c r="X7" s="49">
        <v>3.4352390000000002</v>
      </c>
      <c r="Y7" s="49">
        <v>0.11075268817204301</v>
      </c>
      <c r="Z7" s="49">
        <v>6.4516129032258063E-2</v>
      </c>
      <c r="AA7" s="69">
        <v>33</v>
      </c>
      <c r="AB7" s="69"/>
      <c r="AC7" s="70"/>
      <c r="AD7" s="76">
        <v>103</v>
      </c>
      <c r="AE7" s="76">
        <v>2140</v>
      </c>
      <c r="AF7" s="76">
        <v>53</v>
      </c>
      <c r="AG7" s="76">
        <v>0</v>
      </c>
      <c r="AH7" s="76"/>
      <c r="AI7" s="76"/>
      <c r="AJ7" s="80" t="s">
        <v>1577</v>
      </c>
      <c r="AK7" s="76"/>
      <c r="AL7" s="76"/>
      <c r="AM7" s="78">
        <v>41115.584409722222</v>
      </c>
      <c r="AN7" s="76" t="s">
        <v>1823</v>
      </c>
      <c r="AO7" s="80" t="s">
        <v>1854</v>
      </c>
      <c r="AP7" s="2"/>
      <c r="AQ7" s="3"/>
      <c r="AR7" s="3"/>
      <c r="AS7" s="3"/>
      <c r="AT7" s="3"/>
    </row>
    <row r="8" spans="1:46" ht="41.45" customHeight="1" x14ac:dyDescent="0.25">
      <c r="A8" s="62" t="s">
        <v>280</v>
      </c>
      <c r="B8" s="63"/>
      <c r="C8" s="63" t="s">
        <v>63</v>
      </c>
      <c r="D8" s="64">
        <v>2.9272771200773136</v>
      </c>
      <c r="E8" s="66">
        <v>99.334567389014779</v>
      </c>
      <c r="F8" s="97" t="s">
        <v>1737</v>
      </c>
      <c r="G8" s="63"/>
      <c r="H8" s="67" t="s">
        <v>280</v>
      </c>
      <c r="I8" s="68"/>
      <c r="J8" s="68"/>
      <c r="K8" s="67" t="s">
        <v>2121</v>
      </c>
      <c r="L8" s="71">
        <v>222.76650815434206</v>
      </c>
      <c r="M8" s="72">
        <v>8497.7802734375</v>
      </c>
      <c r="N8" s="72">
        <v>3726.51416015625</v>
      </c>
      <c r="O8" s="73"/>
      <c r="P8" s="74"/>
      <c r="Q8" s="74"/>
      <c r="S8" s="48">
        <v>8</v>
      </c>
      <c r="T8" s="48">
        <v>10</v>
      </c>
      <c r="U8" s="49">
        <v>2503.717416</v>
      </c>
      <c r="V8" s="49">
        <v>2.8089999999999999E-3</v>
      </c>
      <c r="W8" s="49">
        <v>1.2248999999999999E-2</v>
      </c>
      <c r="X8" s="49">
        <v>1.5447489999999999</v>
      </c>
      <c r="Y8" s="49">
        <v>0.15384615384615385</v>
      </c>
      <c r="Z8" s="49">
        <v>0.14285714285714285</v>
      </c>
      <c r="AA8" s="69">
        <v>109</v>
      </c>
      <c r="AB8" s="69"/>
      <c r="AC8" s="70"/>
      <c r="AD8" s="76">
        <v>2001</v>
      </c>
      <c r="AE8" s="76">
        <v>1390</v>
      </c>
      <c r="AF8" s="76">
        <v>21504</v>
      </c>
      <c r="AG8" s="76">
        <v>3</v>
      </c>
      <c r="AH8" s="76" t="s">
        <v>1358</v>
      </c>
      <c r="AI8" s="76" t="s">
        <v>1512</v>
      </c>
      <c r="AJ8" s="76"/>
      <c r="AK8" s="76" t="s">
        <v>1627</v>
      </c>
      <c r="AL8" s="76">
        <v>-18000</v>
      </c>
      <c r="AM8" s="78">
        <v>39883.838194444441</v>
      </c>
      <c r="AN8" s="76" t="s">
        <v>1823</v>
      </c>
      <c r="AO8" s="80" t="s">
        <v>1929</v>
      </c>
      <c r="AP8" s="2"/>
      <c r="AQ8" s="3"/>
      <c r="AR8" s="3"/>
      <c r="AS8" s="3"/>
      <c r="AT8" s="3"/>
    </row>
    <row r="9" spans="1:46" ht="41.45" customHeight="1" x14ac:dyDescent="0.25">
      <c r="A9" s="62" t="s">
        <v>368</v>
      </c>
      <c r="B9" s="63"/>
      <c r="C9" s="63" t="s">
        <v>63</v>
      </c>
      <c r="D9" s="64">
        <v>10</v>
      </c>
      <c r="E9" s="66">
        <v>93.001946829221581</v>
      </c>
      <c r="F9" s="97" t="s">
        <v>1675</v>
      </c>
      <c r="G9" s="63"/>
      <c r="H9" s="67" t="s">
        <v>368</v>
      </c>
      <c r="I9" s="68"/>
      <c r="J9" s="68"/>
      <c r="K9" s="67" t="s">
        <v>2058</v>
      </c>
      <c r="L9" s="71">
        <v>2333.217853381419</v>
      </c>
      <c r="M9" s="72">
        <v>3251.509521484375</v>
      </c>
      <c r="N9" s="72">
        <v>1065.244873046875</v>
      </c>
      <c r="O9" s="73"/>
      <c r="P9" s="74"/>
      <c r="Q9" s="74"/>
      <c r="S9" s="48">
        <v>22</v>
      </c>
      <c r="T9" s="48">
        <v>3</v>
      </c>
      <c r="U9" s="49">
        <v>1805.0455079999999</v>
      </c>
      <c r="V9" s="49">
        <v>2.5769999999999999E-3</v>
      </c>
      <c r="W9" s="49">
        <v>1.6313000000000001E-2</v>
      </c>
      <c r="X9" s="49">
        <v>2.1020560000000001</v>
      </c>
      <c r="Y9" s="49">
        <v>0.1</v>
      </c>
      <c r="Z9" s="49">
        <v>9.5238095238095233E-2</v>
      </c>
      <c r="AA9" s="69">
        <v>46</v>
      </c>
      <c r="AB9" s="69"/>
      <c r="AC9" s="70"/>
      <c r="AD9" s="76">
        <v>529</v>
      </c>
      <c r="AE9" s="76">
        <v>14618</v>
      </c>
      <c r="AF9" s="76">
        <v>25349</v>
      </c>
      <c r="AG9" s="76">
        <v>8</v>
      </c>
      <c r="AH9" s="76" t="s">
        <v>1300</v>
      </c>
      <c r="AI9" s="76" t="s">
        <v>1462</v>
      </c>
      <c r="AJ9" s="80" t="s">
        <v>1585</v>
      </c>
      <c r="AK9" s="76" t="s">
        <v>1626</v>
      </c>
      <c r="AL9" s="76">
        <v>-28800</v>
      </c>
      <c r="AM9" s="78">
        <v>39554.916180555556</v>
      </c>
      <c r="AN9" s="76" t="s">
        <v>1823</v>
      </c>
      <c r="AO9" s="80" t="s">
        <v>1867</v>
      </c>
      <c r="AP9" s="2"/>
      <c r="AQ9" s="3"/>
      <c r="AR9" s="3"/>
      <c r="AS9" s="3"/>
      <c r="AT9" s="3"/>
    </row>
    <row r="10" spans="1:46" ht="41.45" customHeight="1" x14ac:dyDescent="0.25">
      <c r="A10" s="62" t="s">
        <v>301</v>
      </c>
      <c r="B10" s="63"/>
      <c r="C10" s="63" t="s">
        <v>63</v>
      </c>
      <c r="D10" s="64">
        <v>5.1318555206571634</v>
      </c>
      <c r="E10" s="66">
        <v>98.306737305716013</v>
      </c>
      <c r="F10" s="97" t="s">
        <v>1707</v>
      </c>
      <c r="G10" s="63"/>
      <c r="H10" s="67" t="s">
        <v>301</v>
      </c>
      <c r="I10" s="68"/>
      <c r="J10" s="68"/>
      <c r="K10" s="67" t="s">
        <v>2090</v>
      </c>
      <c r="L10" s="71">
        <v>565.30801391504167</v>
      </c>
      <c r="M10" s="72">
        <v>4562.20556640625</v>
      </c>
      <c r="N10" s="72">
        <v>2220.885498046875</v>
      </c>
      <c r="O10" s="73"/>
      <c r="P10" s="74"/>
      <c r="Q10" s="74"/>
      <c r="S10" s="48">
        <v>20</v>
      </c>
      <c r="T10" s="48">
        <v>15</v>
      </c>
      <c r="U10" s="49">
        <v>1787.4124159999999</v>
      </c>
      <c r="V10" s="49">
        <v>2.5509999999999999E-3</v>
      </c>
      <c r="W10" s="49">
        <v>8.7720000000000003E-3</v>
      </c>
      <c r="X10" s="49">
        <v>2.6755559999999998</v>
      </c>
      <c r="Y10" s="49">
        <v>0.13500000000000001</v>
      </c>
      <c r="Z10" s="49">
        <v>0.32</v>
      </c>
      <c r="AA10" s="69">
        <v>78</v>
      </c>
      <c r="AB10" s="69"/>
      <c r="AC10" s="70"/>
      <c r="AD10" s="76">
        <v>1480</v>
      </c>
      <c r="AE10" s="76">
        <v>3537</v>
      </c>
      <c r="AF10" s="76">
        <v>42551</v>
      </c>
      <c r="AG10" s="76">
        <v>58</v>
      </c>
      <c r="AH10" s="76" t="s">
        <v>1329</v>
      </c>
      <c r="AI10" s="76"/>
      <c r="AJ10" s="76"/>
      <c r="AK10" s="76"/>
      <c r="AL10" s="76"/>
      <c r="AM10" s="78">
        <v>40544.599398148152</v>
      </c>
      <c r="AN10" s="76" t="s">
        <v>1823</v>
      </c>
      <c r="AO10" s="80" t="s">
        <v>1899</v>
      </c>
      <c r="AP10" s="2"/>
      <c r="AQ10" s="3"/>
      <c r="AR10" s="3"/>
      <c r="AS10" s="3"/>
      <c r="AT10" s="3"/>
    </row>
    <row r="11" spans="1:46" ht="41.45" customHeight="1" x14ac:dyDescent="0.25">
      <c r="A11" s="62" t="s">
        <v>319</v>
      </c>
      <c r="B11" s="63"/>
      <c r="C11" s="63" t="s">
        <v>63</v>
      </c>
      <c r="D11" s="64">
        <v>2.3553394539743899</v>
      </c>
      <c r="E11" s="66">
        <v>99.601219161905973</v>
      </c>
      <c r="F11" s="97" t="s">
        <v>1770</v>
      </c>
      <c r="G11" s="63"/>
      <c r="H11" s="67" t="s">
        <v>319</v>
      </c>
      <c r="I11" s="68"/>
      <c r="J11" s="68"/>
      <c r="K11" s="67" t="s">
        <v>2154</v>
      </c>
      <c r="L11" s="71">
        <v>133.9003606421345</v>
      </c>
      <c r="M11" s="72">
        <v>4243.73193359375</v>
      </c>
      <c r="N11" s="72">
        <v>2844.490966796875</v>
      </c>
      <c r="O11" s="73"/>
      <c r="P11" s="74"/>
      <c r="Q11" s="74"/>
      <c r="S11" s="48">
        <v>8</v>
      </c>
      <c r="T11" s="48">
        <v>14</v>
      </c>
      <c r="U11" s="49">
        <v>1219.9553410000001</v>
      </c>
      <c r="V11" s="49">
        <v>2.1930000000000001E-3</v>
      </c>
      <c r="W11" s="49">
        <v>3.9480000000000001E-3</v>
      </c>
      <c r="X11" s="49">
        <v>1.5853200000000001</v>
      </c>
      <c r="Y11" s="49">
        <v>0.11538461538461539</v>
      </c>
      <c r="Z11" s="49">
        <v>0.53846153846153844</v>
      </c>
      <c r="AA11" s="69">
        <v>142</v>
      </c>
      <c r="AB11" s="69"/>
      <c r="AC11" s="70"/>
      <c r="AD11" s="76">
        <v>1153</v>
      </c>
      <c r="AE11" s="76">
        <v>833</v>
      </c>
      <c r="AF11" s="76">
        <v>3691</v>
      </c>
      <c r="AG11" s="76">
        <v>17</v>
      </c>
      <c r="AH11" s="76" t="s">
        <v>1389</v>
      </c>
      <c r="AI11" s="76"/>
      <c r="AJ11" s="76"/>
      <c r="AK11" s="76" t="s">
        <v>1630</v>
      </c>
      <c r="AL11" s="76">
        <v>-14400</v>
      </c>
      <c r="AM11" s="78">
        <v>40971.062303240738</v>
      </c>
      <c r="AN11" s="76" t="s">
        <v>1823</v>
      </c>
      <c r="AO11" s="80" t="s">
        <v>1962</v>
      </c>
      <c r="AP11" s="2"/>
      <c r="AQ11" s="3"/>
      <c r="AR11" s="3"/>
      <c r="AS11" s="3"/>
      <c r="AT11" s="3"/>
    </row>
    <row r="12" spans="1:46" ht="41.45" customHeight="1" x14ac:dyDescent="0.25">
      <c r="A12" s="62" t="s">
        <v>240</v>
      </c>
      <c r="B12" s="63"/>
      <c r="C12" s="63" t="s">
        <v>63</v>
      </c>
      <c r="D12" s="64">
        <v>10</v>
      </c>
      <c r="E12" s="66">
        <v>90.626496026553468</v>
      </c>
      <c r="F12" s="97" t="s">
        <v>1698</v>
      </c>
      <c r="G12" s="63"/>
      <c r="H12" s="67" t="s">
        <v>240</v>
      </c>
      <c r="I12" s="68"/>
      <c r="J12" s="68"/>
      <c r="K12" s="67" t="s">
        <v>2081</v>
      </c>
      <c r="L12" s="71">
        <v>3124.8764242172788</v>
      </c>
      <c r="M12" s="72">
        <v>2964.755615234375</v>
      </c>
      <c r="N12" s="72">
        <v>7544.0849609375</v>
      </c>
      <c r="O12" s="73"/>
      <c r="P12" s="74"/>
      <c r="Q12" s="74"/>
      <c r="S12" s="48">
        <v>30</v>
      </c>
      <c r="T12" s="48">
        <v>32</v>
      </c>
      <c r="U12" s="49">
        <v>1125.0752279999999</v>
      </c>
      <c r="V12" s="49">
        <v>2.2369999999999998E-3</v>
      </c>
      <c r="W12" s="49">
        <v>2.2971999999999999E-2</v>
      </c>
      <c r="X12" s="49">
        <v>3.3444750000000001</v>
      </c>
      <c r="Y12" s="49">
        <v>0.13548387096774195</v>
      </c>
      <c r="Z12" s="49">
        <v>0.93548387096774188</v>
      </c>
      <c r="AA12" s="69">
        <v>69</v>
      </c>
      <c r="AB12" s="69"/>
      <c r="AC12" s="70"/>
      <c r="AD12" s="76">
        <v>20214</v>
      </c>
      <c r="AE12" s="76">
        <v>19580</v>
      </c>
      <c r="AF12" s="76">
        <v>13089</v>
      </c>
      <c r="AG12" s="76">
        <v>165</v>
      </c>
      <c r="AH12" s="76" t="s">
        <v>1321</v>
      </c>
      <c r="AI12" s="76" t="s">
        <v>1479</v>
      </c>
      <c r="AJ12" s="80" t="s">
        <v>1594</v>
      </c>
      <c r="AK12" s="76" t="s">
        <v>1625</v>
      </c>
      <c r="AL12" s="76">
        <v>-18000</v>
      </c>
      <c r="AM12" s="78">
        <v>40002.105092592596</v>
      </c>
      <c r="AN12" s="76" t="s">
        <v>1823</v>
      </c>
      <c r="AO12" s="80" t="s">
        <v>1890</v>
      </c>
      <c r="AP12" s="2"/>
      <c r="AQ12" s="3"/>
      <c r="AR12" s="3"/>
      <c r="AS12" s="3"/>
      <c r="AT12" s="3"/>
    </row>
    <row r="13" spans="1:46" ht="41.45" customHeight="1" x14ac:dyDescent="0.25">
      <c r="A13" s="62" t="s">
        <v>346</v>
      </c>
      <c r="B13" s="63"/>
      <c r="C13" s="63" t="s">
        <v>63</v>
      </c>
      <c r="D13" s="64">
        <v>5.6411572843682052</v>
      </c>
      <c r="E13" s="66">
        <v>98.069287971148626</v>
      </c>
      <c r="F13" s="97" t="s">
        <v>1685</v>
      </c>
      <c r="G13" s="63"/>
      <c r="H13" s="67" t="s">
        <v>346</v>
      </c>
      <c r="I13" s="68"/>
      <c r="J13" s="68"/>
      <c r="K13" s="67" t="s">
        <v>2068</v>
      </c>
      <c r="L13" s="71">
        <v>644.44196214853355</v>
      </c>
      <c r="M13" s="72">
        <v>1922.5616455078125</v>
      </c>
      <c r="N13" s="72">
        <v>7070.47021484375</v>
      </c>
      <c r="O13" s="73"/>
      <c r="P13" s="74"/>
      <c r="Q13" s="74"/>
      <c r="S13" s="48">
        <v>19</v>
      </c>
      <c r="T13" s="48">
        <v>14</v>
      </c>
      <c r="U13" s="49">
        <v>1079.8212530000001</v>
      </c>
      <c r="V13" s="49">
        <v>2.1689999999999999E-3</v>
      </c>
      <c r="W13" s="49">
        <v>1.1721000000000001E-2</v>
      </c>
      <c r="X13" s="49">
        <v>2.2802760000000002</v>
      </c>
      <c r="Y13" s="49">
        <v>0.18128654970760233</v>
      </c>
      <c r="Z13" s="49">
        <v>0.63157894736842102</v>
      </c>
      <c r="AA13" s="69">
        <v>56</v>
      </c>
      <c r="AB13" s="69"/>
      <c r="AC13" s="70"/>
      <c r="AD13" s="76">
        <v>2096</v>
      </c>
      <c r="AE13" s="76">
        <v>4033</v>
      </c>
      <c r="AF13" s="76">
        <v>48436</v>
      </c>
      <c r="AG13" s="76">
        <v>5</v>
      </c>
      <c r="AH13" s="76" t="s">
        <v>1310</v>
      </c>
      <c r="AI13" s="76" t="s">
        <v>1440</v>
      </c>
      <c r="AJ13" s="80" t="s">
        <v>1587</v>
      </c>
      <c r="AK13" s="76" t="s">
        <v>1627</v>
      </c>
      <c r="AL13" s="76">
        <v>-18000</v>
      </c>
      <c r="AM13" s="78">
        <v>40598.13077546296</v>
      </c>
      <c r="AN13" s="76" t="s">
        <v>1823</v>
      </c>
      <c r="AO13" s="80" t="s">
        <v>1877</v>
      </c>
      <c r="AP13" s="2"/>
      <c r="AQ13" s="3"/>
      <c r="AR13" s="3"/>
      <c r="AS13" s="3"/>
      <c r="AT13" s="3"/>
    </row>
    <row r="14" spans="1:46" ht="41.45" customHeight="1" x14ac:dyDescent="0.25">
      <c r="A14" s="62" t="s">
        <v>287</v>
      </c>
      <c r="B14" s="63"/>
      <c r="C14" s="63" t="s">
        <v>63</v>
      </c>
      <c r="D14" s="64">
        <v>10</v>
      </c>
      <c r="E14" s="66">
        <v>85.94165895381866</v>
      </c>
      <c r="F14" s="97" t="s">
        <v>1710</v>
      </c>
      <c r="G14" s="63"/>
      <c r="H14" s="67" t="s">
        <v>287</v>
      </c>
      <c r="I14" s="68"/>
      <c r="J14" s="68"/>
      <c r="K14" s="67" t="s">
        <v>2093</v>
      </c>
      <c r="L14" s="71">
        <v>4686.176459324035</v>
      </c>
      <c r="M14" s="72">
        <v>8747.2783203125</v>
      </c>
      <c r="N14" s="72">
        <v>3112.881591796875</v>
      </c>
      <c r="O14" s="73"/>
      <c r="P14" s="74"/>
      <c r="Q14" s="74"/>
      <c r="S14" s="48">
        <v>16</v>
      </c>
      <c r="T14" s="48">
        <v>4</v>
      </c>
      <c r="U14" s="49">
        <v>1023.876572</v>
      </c>
      <c r="V14" s="49">
        <v>2.4450000000000001E-3</v>
      </c>
      <c r="W14" s="49">
        <v>1.0392E-2</v>
      </c>
      <c r="X14" s="49">
        <v>1.7492460000000001</v>
      </c>
      <c r="Y14" s="49">
        <v>0.10952380952380952</v>
      </c>
      <c r="Z14" s="49">
        <v>0.2</v>
      </c>
      <c r="AA14" s="69">
        <v>81</v>
      </c>
      <c r="AB14" s="69"/>
      <c r="AC14" s="70"/>
      <c r="AD14" s="76">
        <v>247</v>
      </c>
      <c r="AE14" s="76">
        <v>29366</v>
      </c>
      <c r="AF14" s="76">
        <v>5393</v>
      </c>
      <c r="AG14" s="76">
        <v>0</v>
      </c>
      <c r="AH14" s="76" t="s">
        <v>1332</v>
      </c>
      <c r="AI14" s="76"/>
      <c r="AJ14" s="80" t="s">
        <v>1599</v>
      </c>
      <c r="AK14" s="76" t="s">
        <v>1625</v>
      </c>
      <c r="AL14" s="76">
        <v>-18000</v>
      </c>
      <c r="AM14" s="78">
        <v>39664.640682870369</v>
      </c>
      <c r="AN14" s="76" t="s">
        <v>1823</v>
      </c>
      <c r="AO14" s="80" t="s">
        <v>1902</v>
      </c>
      <c r="AP14" s="2"/>
      <c r="AQ14" s="3"/>
      <c r="AR14" s="3"/>
      <c r="AS14" s="3"/>
      <c r="AT14" s="3"/>
    </row>
    <row r="15" spans="1:46" ht="41.45" customHeight="1" x14ac:dyDescent="0.25">
      <c r="A15" s="62" t="s">
        <v>217</v>
      </c>
      <c r="B15" s="63"/>
      <c r="C15" s="63" t="s">
        <v>63</v>
      </c>
      <c r="D15" s="64">
        <v>10</v>
      </c>
      <c r="E15" s="66">
        <v>87.796253151629273</v>
      </c>
      <c r="F15" s="97" t="s">
        <v>1668</v>
      </c>
      <c r="G15" s="63"/>
      <c r="H15" s="67" t="s">
        <v>217</v>
      </c>
      <c r="I15" s="68"/>
      <c r="J15" s="68"/>
      <c r="K15" s="67" t="s">
        <v>2050</v>
      </c>
      <c r="L15" s="71">
        <v>4068.1020330003512</v>
      </c>
      <c r="M15" s="72">
        <v>3477.71484375</v>
      </c>
      <c r="N15" s="72">
        <v>7350.03662109375</v>
      </c>
      <c r="O15" s="73"/>
      <c r="P15" s="74"/>
      <c r="Q15" s="74"/>
      <c r="S15" s="48">
        <v>24</v>
      </c>
      <c r="T15" s="48">
        <v>23</v>
      </c>
      <c r="U15" s="49">
        <v>837.65163500000006</v>
      </c>
      <c r="V15" s="49">
        <v>2.1879999999999998E-3</v>
      </c>
      <c r="W15" s="49">
        <v>1.9744000000000001E-2</v>
      </c>
      <c r="X15" s="49">
        <v>2.4592049999999999</v>
      </c>
      <c r="Y15" s="49">
        <v>0.22134387351778656</v>
      </c>
      <c r="Z15" s="49">
        <v>0.95652173913043481</v>
      </c>
      <c r="AA15" s="69">
        <v>38</v>
      </c>
      <c r="AB15" s="69"/>
      <c r="AC15" s="70"/>
      <c r="AD15" s="76">
        <v>25372</v>
      </c>
      <c r="AE15" s="76">
        <v>25492</v>
      </c>
      <c r="AF15" s="76">
        <v>213327</v>
      </c>
      <c r="AG15" s="76">
        <v>372</v>
      </c>
      <c r="AH15" s="76" t="s">
        <v>1295</v>
      </c>
      <c r="AI15" s="76" t="s">
        <v>1457</v>
      </c>
      <c r="AJ15" s="80" t="s">
        <v>1582</v>
      </c>
      <c r="AK15" s="76" t="s">
        <v>1630</v>
      </c>
      <c r="AL15" s="76">
        <v>-14400</v>
      </c>
      <c r="AM15" s="78">
        <v>39901.874247685184</v>
      </c>
      <c r="AN15" s="76" t="s">
        <v>1823</v>
      </c>
      <c r="AO15" s="80" t="s">
        <v>1859</v>
      </c>
      <c r="AP15" s="2"/>
      <c r="AQ15" s="3"/>
      <c r="AR15" s="3"/>
      <c r="AS15" s="3"/>
      <c r="AT15" s="3"/>
    </row>
    <row r="16" spans="1:46" ht="41.45" customHeight="1" x14ac:dyDescent="0.25">
      <c r="A16" s="62" t="s">
        <v>282</v>
      </c>
      <c r="B16" s="63"/>
      <c r="C16" s="63" t="s">
        <v>63</v>
      </c>
      <c r="D16" s="64">
        <v>1.9918458564870742</v>
      </c>
      <c r="E16" s="66">
        <v>99.770689049883515</v>
      </c>
      <c r="F16" s="97" t="s">
        <v>1740</v>
      </c>
      <c r="G16" s="63"/>
      <c r="H16" s="67" t="s">
        <v>282</v>
      </c>
      <c r="I16" s="68"/>
      <c r="J16" s="68"/>
      <c r="K16" s="67" t="s">
        <v>2124</v>
      </c>
      <c r="L16" s="71">
        <v>77.421695975489101</v>
      </c>
      <c r="M16" s="72">
        <v>8570.6748046875</v>
      </c>
      <c r="N16" s="72">
        <v>4013.367919921875</v>
      </c>
      <c r="O16" s="73"/>
      <c r="P16" s="74"/>
      <c r="Q16" s="74"/>
      <c r="S16" s="48">
        <v>5</v>
      </c>
      <c r="T16" s="48">
        <v>10</v>
      </c>
      <c r="U16" s="49">
        <v>748.31177500000001</v>
      </c>
      <c r="V16" s="49">
        <v>2.5769999999999999E-3</v>
      </c>
      <c r="W16" s="49">
        <v>1.0068000000000001E-2</v>
      </c>
      <c r="X16" s="49">
        <v>1.173176</v>
      </c>
      <c r="Y16" s="49">
        <v>0.25555555555555554</v>
      </c>
      <c r="Z16" s="49">
        <v>0.3</v>
      </c>
      <c r="AA16" s="69">
        <v>112</v>
      </c>
      <c r="AB16" s="69"/>
      <c r="AC16" s="70"/>
      <c r="AD16" s="76">
        <v>1347</v>
      </c>
      <c r="AE16" s="76">
        <v>479</v>
      </c>
      <c r="AF16" s="76">
        <v>3343</v>
      </c>
      <c r="AG16" s="76">
        <v>3</v>
      </c>
      <c r="AH16" s="76" t="s">
        <v>1361</v>
      </c>
      <c r="AI16" s="76" t="s">
        <v>1454</v>
      </c>
      <c r="AJ16" s="80" t="s">
        <v>1606</v>
      </c>
      <c r="AK16" s="76" t="s">
        <v>1625</v>
      </c>
      <c r="AL16" s="76">
        <v>-18000</v>
      </c>
      <c r="AM16" s="78">
        <v>39934.862997685188</v>
      </c>
      <c r="AN16" s="76" t="s">
        <v>1823</v>
      </c>
      <c r="AO16" s="80" t="s">
        <v>1932</v>
      </c>
      <c r="AP16" s="2"/>
      <c r="AQ16" s="3"/>
      <c r="AR16" s="3"/>
      <c r="AS16" s="3"/>
      <c r="AT16" s="3"/>
    </row>
    <row r="17" spans="1:46" ht="41.45" customHeight="1" x14ac:dyDescent="0.25">
      <c r="A17" s="62" t="s">
        <v>350</v>
      </c>
      <c r="B17" s="63"/>
      <c r="C17" s="63" t="s">
        <v>63</v>
      </c>
      <c r="D17" s="64">
        <v>10</v>
      </c>
      <c r="E17" s="66">
        <v>96.037085500909583</v>
      </c>
      <c r="F17" s="97" t="s">
        <v>1691</v>
      </c>
      <c r="G17" s="63"/>
      <c r="H17" s="67" t="s">
        <v>350</v>
      </c>
      <c r="I17" s="68"/>
      <c r="J17" s="68"/>
      <c r="K17" s="67" t="s">
        <v>2074</v>
      </c>
      <c r="L17" s="71">
        <v>1321.7073053968659</v>
      </c>
      <c r="M17" s="72">
        <v>2008.7469482421875</v>
      </c>
      <c r="N17" s="72">
        <v>6059.70458984375</v>
      </c>
      <c r="O17" s="73"/>
      <c r="P17" s="74"/>
      <c r="Q17" s="74"/>
      <c r="S17" s="48">
        <v>12</v>
      </c>
      <c r="T17" s="48">
        <v>2</v>
      </c>
      <c r="U17" s="49">
        <v>740.37465899999995</v>
      </c>
      <c r="V17" s="49">
        <v>2.075E-3</v>
      </c>
      <c r="W17" s="49">
        <v>6.496E-3</v>
      </c>
      <c r="X17" s="49">
        <v>1.6062669999999999</v>
      </c>
      <c r="Y17" s="49">
        <v>9.8484848484848481E-2</v>
      </c>
      <c r="Z17" s="49">
        <v>0</v>
      </c>
      <c r="AA17" s="69">
        <v>62</v>
      </c>
      <c r="AB17" s="69"/>
      <c r="AC17" s="70"/>
      <c r="AD17" s="76">
        <v>369</v>
      </c>
      <c r="AE17" s="76">
        <v>8278</v>
      </c>
      <c r="AF17" s="76">
        <v>22389</v>
      </c>
      <c r="AG17" s="76">
        <v>5</v>
      </c>
      <c r="AH17" s="76" t="s">
        <v>1316</v>
      </c>
      <c r="AI17" s="76" t="s">
        <v>1475</v>
      </c>
      <c r="AJ17" s="80" t="s">
        <v>1589</v>
      </c>
      <c r="AK17" s="76" t="s">
        <v>1625</v>
      </c>
      <c r="AL17" s="76">
        <v>-18000</v>
      </c>
      <c r="AM17" s="78">
        <v>39886.035914351851</v>
      </c>
      <c r="AN17" s="76" t="s">
        <v>1823</v>
      </c>
      <c r="AO17" s="80" t="s">
        <v>1883</v>
      </c>
      <c r="AP17" s="2"/>
      <c r="AQ17" s="3"/>
      <c r="AR17" s="3"/>
      <c r="AS17" s="3"/>
      <c r="AT17" s="3"/>
    </row>
    <row r="18" spans="1:46" ht="41.45" customHeight="1" x14ac:dyDescent="0.25">
      <c r="A18" s="62" t="s">
        <v>302</v>
      </c>
      <c r="B18" s="63"/>
      <c r="C18" s="63" t="s">
        <v>63</v>
      </c>
      <c r="D18" s="64">
        <v>1.9938994926310702</v>
      </c>
      <c r="E18" s="66">
        <v>99.769731592889286</v>
      </c>
      <c r="F18" s="97" t="s">
        <v>1699</v>
      </c>
      <c r="G18" s="63"/>
      <c r="H18" s="67" t="s">
        <v>302</v>
      </c>
      <c r="I18" s="68"/>
      <c r="J18" s="68"/>
      <c r="K18" s="67" t="s">
        <v>2082</v>
      </c>
      <c r="L18" s="71">
        <v>77.740784476430605</v>
      </c>
      <c r="M18" s="72">
        <v>2397.18408203125</v>
      </c>
      <c r="N18" s="72">
        <v>7541.25732421875</v>
      </c>
      <c r="O18" s="73"/>
      <c r="P18" s="74"/>
      <c r="Q18" s="74"/>
      <c r="S18" s="48">
        <v>6</v>
      </c>
      <c r="T18" s="48">
        <v>17</v>
      </c>
      <c r="U18" s="49">
        <v>735.74548500000003</v>
      </c>
      <c r="V18" s="49">
        <v>2.4629999999999999E-3</v>
      </c>
      <c r="W18" s="49">
        <v>1.8748999999999998E-2</v>
      </c>
      <c r="X18" s="49">
        <v>1.743277</v>
      </c>
      <c r="Y18" s="49">
        <v>0.22794117647058823</v>
      </c>
      <c r="Z18" s="49">
        <v>0.23529411764705882</v>
      </c>
      <c r="AA18" s="69">
        <v>70</v>
      </c>
      <c r="AB18" s="69"/>
      <c r="AC18" s="70"/>
      <c r="AD18" s="76">
        <v>1816</v>
      </c>
      <c r="AE18" s="76">
        <v>481</v>
      </c>
      <c r="AF18" s="76">
        <v>817</v>
      </c>
      <c r="AG18" s="76">
        <v>8</v>
      </c>
      <c r="AH18" s="76" t="s">
        <v>1322</v>
      </c>
      <c r="AI18" s="76" t="s">
        <v>1480</v>
      </c>
      <c r="AJ18" s="76"/>
      <c r="AK18" s="76"/>
      <c r="AL18" s="76"/>
      <c r="AM18" s="78">
        <v>40614.580729166664</v>
      </c>
      <c r="AN18" s="76" t="s">
        <v>1823</v>
      </c>
      <c r="AO18" s="80" t="s">
        <v>1891</v>
      </c>
      <c r="AP18" s="2"/>
      <c r="AQ18" s="3"/>
      <c r="AR18" s="3"/>
      <c r="AS18" s="3"/>
      <c r="AT18" s="3"/>
    </row>
    <row r="19" spans="1:46" ht="41.45" customHeight="1" x14ac:dyDescent="0.25">
      <c r="A19" s="62" t="s">
        <v>300</v>
      </c>
      <c r="B19" s="63"/>
      <c r="C19" s="63" t="s">
        <v>63</v>
      </c>
      <c r="D19" s="64">
        <v>2.3039985503744864</v>
      </c>
      <c r="E19" s="66">
        <v>99.625155586761565</v>
      </c>
      <c r="F19" s="97" t="s">
        <v>1723</v>
      </c>
      <c r="G19" s="63"/>
      <c r="H19" s="67" t="s">
        <v>300</v>
      </c>
      <c r="I19" s="68"/>
      <c r="J19" s="68"/>
      <c r="K19" s="67" t="s">
        <v>2106</v>
      </c>
      <c r="L19" s="71">
        <v>125.92314811859701</v>
      </c>
      <c r="M19" s="72">
        <v>5110.10546875</v>
      </c>
      <c r="N19" s="72">
        <v>2742.2275390625</v>
      </c>
      <c r="O19" s="73"/>
      <c r="P19" s="74"/>
      <c r="Q19" s="74"/>
      <c r="S19" s="48">
        <v>10</v>
      </c>
      <c r="T19" s="48">
        <v>12</v>
      </c>
      <c r="U19" s="49">
        <v>619.97951</v>
      </c>
      <c r="V19" s="49">
        <v>2.415E-3</v>
      </c>
      <c r="W19" s="49">
        <v>6.169E-3</v>
      </c>
      <c r="X19" s="49">
        <v>1.5381560000000001</v>
      </c>
      <c r="Y19" s="49">
        <v>0.2087912087912088</v>
      </c>
      <c r="Z19" s="49">
        <v>0.42857142857142855</v>
      </c>
      <c r="AA19" s="69">
        <v>94</v>
      </c>
      <c r="AB19" s="69"/>
      <c r="AC19" s="70"/>
      <c r="AD19" s="76">
        <v>1348</v>
      </c>
      <c r="AE19" s="76">
        <v>783</v>
      </c>
      <c r="AF19" s="76">
        <v>20111</v>
      </c>
      <c r="AG19" s="76">
        <v>55</v>
      </c>
      <c r="AH19" s="76" t="s">
        <v>1344</v>
      </c>
      <c r="AI19" s="76" t="s">
        <v>1498</v>
      </c>
      <c r="AJ19" s="80" t="s">
        <v>1602</v>
      </c>
      <c r="AK19" s="76" t="s">
        <v>1626</v>
      </c>
      <c r="AL19" s="76">
        <v>-28800</v>
      </c>
      <c r="AM19" s="78">
        <v>40840.755856481483</v>
      </c>
      <c r="AN19" s="76" t="s">
        <v>1823</v>
      </c>
      <c r="AO19" s="80" t="s">
        <v>1602</v>
      </c>
      <c r="AP19" s="2"/>
      <c r="AQ19" s="3"/>
      <c r="AR19" s="3"/>
      <c r="AS19" s="3"/>
      <c r="AT19" s="3"/>
    </row>
    <row r="20" spans="1:46" ht="41.45" customHeight="1" x14ac:dyDescent="0.25">
      <c r="A20" s="62" t="s">
        <v>285</v>
      </c>
      <c r="B20" s="63"/>
      <c r="C20" s="63" t="s">
        <v>63</v>
      </c>
      <c r="D20" s="64">
        <v>6.7614158009180958</v>
      </c>
      <c r="E20" s="66">
        <v>97.546995180799797</v>
      </c>
      <c r="F20" s="97" t="s">
        <v>1676</v>
      </c>
      <c r="G20" s="63"/>
      <c r="H20" s="67" t="s">
        <v>285</v>
      </c>
      <c r="I20" s="68"/>
      <c r="J20" s="68"/>
      <c r="K20" s="67" t="s">
        <v>2059</v>
      </c>
      <c r="L20" s="71">
        <v>818.50473941212135</v>
      </c>
      <c r="M20" s="72">
        <v>3189.318603515625</v>
      </c>
      <c r="N20" s="72">
        <v>8470.8095703125</v>
      </c>
      <c r="O20" s="73"/>
      <c r="P20" s="74"/>
      <c r="Q20" s="74"/>
      <c r="S20" s="48">
        <v>17</v>
      </c>
      <c r="T20" s="48">
        <v>6</v>
      </c>
      <c r="U20" s="49">
        <v>612.46031700000003</v>
      </c>
      <c r="V20" s="49">
        <v>2.4689999999999998E-3</v>
      </c>
      <c r="W20" s="49">
        <v>1.8964999999999999E-2</v>
      </c>
      <c r="X20" s="49">
        <v>1.7944310000000001</v>
      </c>
      <c r="Y20" s="49">
        <v>0.23897058823529413</v>
      </c>
      <c r="Z20" s="49">
        <v>0.23529411764705882</v>
      </c>
      <c r="AA20" s="69">
        <v>47</v>
      </c>
      <c r="AB20" s="69"/>
      <c r="AC20" s="70"/>
      <c r="AD20" s="76">
        <v>909</v>
      </c>
      <c r="AE20" s="76">
        <v>5124</v>
      </c>
      <c r="AF20" s="76">
        <v>10298</v>
      </c>
      <c r="AG20" s="76">
        <v>243</v>
      </c>
      <c r="AH20" s="76" t="s">
        <v>1301</v>
      </c>
      <c r="AI20" s="76" t="s">
        <v>1463</v>
      </c>
      <c r="AJ20" s="80" t="s">
        <v>1586</v>
      </c>
      <c r="AK20" s="76" t="s">
        <v>1627</v>
      </c>
      <c r="AL20" s="76">
        <v>-18000</v>
      </c>
      <c r="AM20" s="78">
        <v>39863.951238425929</v>
      </c>
      <c r="AN20" s="76" t="s">
        <v>1823</v>
      </c>
      <c r="AO20" s="80" t="s">
        <v>1868</v>
      </c>
      <c r="AP20" s="2"/>
      <c r="AQ20" s="3"/>
      <c r="AR20" s="3"/>
      <c r="AS20" s="3"/>
      <c r="AT20" s="3"/>
    </row>
    <row r="21" spans="1:46" ht="41.45" customHeight="1" x14ac:dyDescent="0.25">
      <c r="A21" s="62" t="s">
        <v>220</v>
      </c>
      <c r="B21" s="63"/>
      <c r="C21" s="63" t="s">
        <v>63</v>
      </c>
      <c r="D21" s="64">
        <v>1.6252718047837642</v>
      </c>
      <c r="E21" s="66">
        <v>99.941595123352371</v>
      </c>
      <c r="F21" s="97" t="s">
        <v>1672</v>
      </c>
      <c r="G21" s="63"/>
      <c r="H21" s="67" t="s">
        <v>220</v>
      </c>
      <c r="I21" s="68"/>
      <c r="J21" s="68"/>
      <c r="K21" s="67" t="s">
        <v>2055</v>
      </c>
      <c r="L21" s="71">
        <v>20.464398557431462</v>
      </c>
      <c r="M21" s="72">
        <v>8272.189453125</v>
      </c>
      <c r="N21" s="72">
        <v>5044.6708984375</v>
      </c>
      <c r="O21" s="73"/>
      <c r="P21" s="74"/>
      <c r="Q21" s="74"/>
      <c r="S21" s="48">
        <v>1</v>
      </c>
      <c r="T21" s="48">
        <v>8</v>
      </c>
      <c r="U21" s="49">
        <v>609.45511999999997</v>
      </c>
      <c r="V21" s="49">
        <v>2.5249999999999999E-3</v>
      </c>
      <c r="W21" s="49">
        <v>6.7609999999999996E-3</v>
      </c>
      <c r="X21" s="49">
        <v>0.91695499999999996</v>
      </c>
      <c r="Y21" s="49">
        <v>0.14285714285714285</v>
      </c>
      <c r="Z21" s="49">
        <v>0</v>
      </c>
      <c r="AA21" s="69">
        <v>43</v>
      </c>
      <c r="AB21" s="69"/>
      <c r="AC21" s="70"/>
      <c r="AD21" s="76">
        <v>1990</v>
      </c>
      <c r="AE21" s="76">
        <v>122</v>
      </c>
      <c r="AF21" s="76">
        <v>3885</v>
      </c>
      <c r="AG21" s="76">
        <v>1</v>
      </c>
      <c r="AH21" s="76"/>
      <c r="AI21" s="76" t="s">
        <v>1459</v>
      </c>
      <c r="AJ21" s="76"/>
      <c r="AK21" s="76" t="s">
        <v>1627</v>
      </c>
      <c r="AL21" s="76">
        <v>-18000</v>
      </c>
      <c r="AM21" s="78">
        <v>40286.113796296297</v>
      </c>
      <c r="AN21" s="76" t="s">
        <v>1823</v>
      </c>
      <c r="AO21" s="80" t="s">
        <v>1864</v>
      </c>
      <c r="AP21" s="2"/>
      <c r="AQ21" s="3"/>
      <c r="AR21" s="3"/>
      <c r="AS21" s="3"/>
      <c r="AT21" s="3"/>
    </row>
    <row r="22" spans="1:46" ht="41.45" customHeight="1" x14ac:dyDescent="0.25">
      <c r="A22" s="62" t="s">
        <v>276</v>
      </c>
      <c r="B22" s="63"/>
      <c r="C22" s="63" t="s">
        <v>63</v>
      </c>
      <c r="D22" s="64">
        <v>2.0955544817588789</v>
      </c>
      <c r="E22" s="66">
        <v>99.722337471675232</v>
      </c>
      <c r="F22" s="97" t="s">
        <v>1654</v>
      </c>
      <c r="G22" s="63"/>
      <c r="H22" s="67" t="s">
        <v>276</v>
      </c>
      <c r="I22" s="68"/>
      <c r="J22" s="68"/>
      <c r="K22" s="67" t="s">
        <v>2035</v>
      </c>
      <c r="L22" s="71">
        <v>93.535665273034823</v>
      </c>
      <c r="M22" s="72">
        <v>2391.71044921875</v>
      </c>
      <c r="N22" s="72">
        <v>2737.673828125</v>
      </c>
      <c r="O22" s="73"/>
      <c r="P22" s="74"/>
      <c r="Q22" s="74"/>
      <c r="S22" s="48">
        <v>6</v>
      </c>
      <c r="T22" s="48">
        <v>12</v>
      </c>
      <c r="U22" s="49">
        <v>601.91969500000005</v>
      </c>
      <c r="V22" s="49">
        <v>2.3640000000000002E-3</v>
      </c>
      <c r="W22" s="49">
        <v>6.1320000000000003E-3</v>
      </c>
      <c r="X22" s="49">
        <v>1.469463</v>
      </c>
      <c r="Y22" s="49">
        <v>0.14743589743589744</v>
      </c>
      <c r="Z22" s="49">
        <v>0.38461538461538464</v>
      </c>
      <c r="AA22" s="69">
        <v>23</v>
      </c>
      <c r="AB22" s="69"/>
      <c r="AC22" s="70"/>
      <c r="AD22" s="76">
        <v>1092</v>
      </c>
      <c r="AE22" s="76">
        <v>580</v>
      </c>
      <c r="AF22" s="76">
        <v>38180</v>
      </c>
      <c r="AG22" s="76">
        <v>2785</v>
      </c>
      <c r="AH22" s="76" t="s">
        <v>1284</v>
      </c>
      <c r="AI22" s="76" t="s">
        <v>1450</v>
      </c>
      <c r="AJ22" s="76"/>
      <c r="AK22" s="76" t="s">
        <v>1625</v>
      </c>
      <c r="AL22" s="76">
        <v>-18000</v>
      </c>
      <c r="AM22" s="78">
        <v>39993.152986111112</v>
      </c>
      <c r="AN22" s="76" t="s">
        <v>1823</v>
      </c>
      <c r="AO22" s="80" t="s">
        <v>1844</v>
      </c>
      <c r="AP22" s="2"/>
      <c r="AQ22" s="3"/>
      <c r="AR22" s="3"/>
      <c r="AS22" s="3"/>
      <c r="AT22" s="3"/>
    </row>
    <row r="23" spans="1:46" ht="41.45" customHeight="1" x14ac:dyDescent="0.25">
      <c r="A23" s="62" t="s">
        <v>330</v>
      </c>
      <c r="B23" s="63"/>
      <c r="C23" s="63" t="s">
        <v>63</v>
      </c>
      <c r="D23" s="64">
        <v>2.7373157767576708</v>
      </c>
      <c r="E23" s="66">
        <v>99.42313216098043</v>
      </c>
      <c r="F23" s="97" t="s">
        <v>1781</v>
      </c>
      <c r="G23" s="63"/>
      <c r="H23" s="67" t="s">
        <v>330</v>
      </c>
      <c r="I23" s="68"/>
      <c r="J23" s="68"/>
      <c r="K23" s="67" t="s">
        <v>2165</v>
      </c>
      <c r="L23" s="71">
        <v>193.25082181725338</v>
      </c>
      <c r="M23" s="72">
        <v>9270.8037109375</v>
      </c>
      <c r="N23" s="72">
        <v>4184.48583984375</v>
      </c>
      <c r="O23" s="73"/>
      <c r="P23" s="74"/>
      <c r="Q23" s="74"/>
      <c r="S23" s="48">
        <v>5</v>
      </c>
      <c r="T23" s="48">
        <v>5</v>
      </c>
      <c r="U23" s="49">
        <v>586.87584700000002</v>
      </c>
      <c r="V23" s="49">
        <v>2.532E-3</v>
      </c>
      <c r="W23" s="49">
        <v>9.0489999999999998E-3</v>
      </c>
      <c r="X23" s="49">
        <v>0.87324900000000005</v>
      </c>
      <c r="Y23" s="49">
        <v>0.23809523809523808</v>
      </c>
      <c r="Z23" s="49">
        <v>0.14285714285714285</v>
      </c>
      <c r="AA23" s="69">
        <v>153</v>
      </c>
      <c r="AB23" s="69"/>
      <c r="AC23" s="70"/>
      <c r="AD23" s="76">
        <v>525</v>
      </c>
      <c r="AE23" s="76">
        <v>1205</v>
      </c>
      <c r="AF23" s="76">
        <v>47946</v>
      </c>
      <c r="AG23" s="76">
        <v>7</v>
      </c>
      <c r="AH23" s="76" t="s">
        <v>1399</v>
      </c>
      <c r="AI23" s="76" t="s">
        <v>1540</v>
      </c>
      <c r="AJ23" s="76"/>
      <c r="AK23" s="76" t="s">
        <v>1629</v>
      </c>
      <c r="AL23" s="76">
        <v>-25200</v>
      </c>
      <c r="AM23" s="78">
        <v>39892.862800925926</v>
      </c>
      <c r="AN23" s="76" t="s">
        <v>1823</v>
      </c>
      <c r="AO23" s="80" t="s">
        <v>1973</v>
      </c>
      <c r="AP23" s="2"/>
      <c r="AQ23" s="3"/>
      <c r="AR23" s="3"/>
      <c r="AS23" s="3"/>
      <c r="AT23" s="3"/>
    </row>
    <row r="24" spans="1:46" ht="41.45" customHeight="1" x14ac:dyDescent="0.25">
      <c r="A24" s="62" t="s">
        <v>322</v>
      </c>
      <c r="B24" s="63"/>
      <c r="C24" s="63" t="s">
        <v>63</v>
      </c>
      <c r="D24" s="64">
        <v>4.9275187243295484</v>
      </c>
      <c r="E24" s="66">
        <v>98.402004276641236</v>
      </c>
      <c r="F24" s="97" t="s">
        <v>1677</v>
      </c>
      <c r="G24" s="63"/>
      <c r="H24" s="67" t="s">
        <v>322</v>
      </c>
      <c r="I24" s="68"/>
      <c r="J24" s="68"/>
      <c r="K24" s="67" t="s">
        <v>2060</v>
      </c>
      <c r="L24" s="71">
        <v>533.5587080713625</v>
      </c>
      <c r="M24" s="72">
        <v>3847.209228515625</v>
      </c>
      <c r="N24" s="72">
        <v>6960.736328125</v>
      </c>
      <c r="O24" s="73"/>
      <c r="P24" s="74"/>
      <c r="Q24" s="74"/>
      <c r="S24" s="48">
        <v>17</v>
      </c>
      <c r="T24" s="48">
        <v>7</v>
      </c>
      <c r="U24" s="49">
        <v>581.21458900000005</v>
      </c>
      <c r="V24" s="49">
        <v>2.5709999999999999E-3</v>
      </c>
      <c r="W24" s="49">
        <v>2.2596999999999999E-2</v>
      </c>
      <c r="X24" s="49">
        <v>1.870525</v>
      </c>
      <c r="Y24" s="49">
        <v>0.26900584795321636</v>
      </c>
      <c r="Z24" s="49">
        <v>0.15789473684210525</v>
      </c>
      <c r="AA24" s="69">
        <v>48</v>
      </c>
      <c r="AB24" s="69"/>
      <c r="AC24" s="70"/>
      <c r="AD24" s="76">
        <v>1617</v>
      </c>
      <c r="AE24" s="76">
        <v>3338</v>
      </c>
      <c r="AF24" s="76">
        <v>78340</v>
      </c>
      <c r="AG24" s="76">
        <v>218</v>
      </c>
      <c r="AH24" s="76" t="s">
        <v>1302</v>
      </c>
      <c r="AI24" s="76" t="s">
        <v>1464</v>
      </c>
      <c r="AJ24" s="76"/>
      <c r="AK24" s="76" t="s">
        <v>1625</v>
      </c>
      <c r="AL24" s="76">
        <v>-18000</v>
      </c>
      <c r="AM24" s="78">
        <v>39870.679629629631</v>
      </c>
      <c r="AN24" s="76" t="s">
        <v>1823</v>
      </c>
      <c r="AO24" s="80" t="s">
        <v>1869</v>
      </c>
      <c r="AP24" s="2"/>
      <c r="AQ24" s="3"/>
      <c r="AR24" s="3"/>
      <c r="AS24" s="3"/>
      <c r="AT24" s="3"/>
    </row>
    <row r="25" spans="1:46" ht="41.45" customHeight="1" x14ac:dyDescent="0.25">
      <c r="A25" s="62" t="s">
        <v>278</v>
      </c>
      <c r="B25" s="63"/>
      <c r="C25" s="63" t="s">
        <v>63</v>
      </c>
      <c r="D25" s="64">
        <v>7.078702585165499</v>
      </c>
      <c r="E25" s="66">
        <v>97.399068075192289</v>
      </c>
      <c r="F25" s="97" t="s">
        <v>1673</v>
      </c>
      <c r="G25" s="63"/>
      <c r="H25" s="67" t="s">
        <v>278</v>
      </c>
      <c r="I25" s="68"/>
      <c r="J25" s="68"/>
      <c r="K25" s="67" t="s">
        <v>2056</v>
      </c>
      <c r="L25" s="71">
        <v>867.80391280758306</v>
      </c>
      <c r="M25" s="72">
        <v>8144.26025390625</v>
      </c>
      <c r="N25" s="72">
        <v>4098.2978515625</v>
      </c>
      <c r="O25" s="73"/>
      <c r="P25" s="74"/>
      <c r="Q25" s="74"/>
      <c r="S25" s="48">
        <v>7</v>
      </c>
      <c r="T25" s="48">
        <v>3</v>
      </c>
      <c r="U25" s="49">
        <v>580.56361200000003</v>
      </c>
      <c r="V25" s="49">
        <v>2.0119999999999999E-3</v>
      </c>
      <c r="W25" s="49">
        <v>2.5119999999999999E-3</v>
      </c>
      <c r="X25" s="49">
        <v>1.116627</v>
      </c>
      <c r="Y25" s="49">
        <v>0</v>
      </c>
      <c r="Z25" s="49">
        <v>0.14285714285714285</v>
      </c>
      <c r="AA25" s="69">
        <v>44</v>
      </c>
      <c r="AB25" s="69"/>
      <c r="AC25" s="70"/>
      <c r="AD25" s="76">
        <v>999</v>
      </c>
      <c r="AE25" s="76">
        <v>5433</v>
      </c>
      <c r="AF25" s="76">
        <v>19615</v>
      </c>
      <c r="AG25" s="76">
        <v>1</v>
      </c>
      <c r="AH25" s="76" t="s">
        <v>1298</v>
      </c>
      <c r="AI25" s="76" t="s">
        <v>1460</v>
      </c>
      <c r="AJ25" s="80" t="s">
        <v>1583</v>
      </c>
      <c r="AK25" s="76" t="s">
        <v>1627</v>
      </c>
      <c r="AL25" s="76">
        <v>-18000</v>
      </c>
      <c r="AM25" s="78">
        <v>39831.635104166664</v>
      </c>
      <c r="AN25" s="76" t="s">
        <v>1823</v>
      </c>
      <c r="AO25" s="80" t="s">
        <v>1865</v>
      </c>
      <c r="AP25" s="2"/>
      <c r="AQ25" s="3"/>
      <c r="AR25" s="3"/>
      <c r="AS25" s="3"/>
      <c r="AT25" s="3"/>
    </row>
    <row r="26" spans="1:46" ht="41.45" customHeight="1" x14ac:dyDescent="0.25">
      <c r="A26" s="62" t="s">
        <v>299</v>
      </c>
      <c r="B26" s="63"/>
      <c r="C26" s="63" t="s">
        <v>63</v>
      </c>
      <c r="D26" s="64">
        <v>2.3009180961584925</v>
      </c>
      <c r="E26" s="66">
        <v>99.626591772252894</v>
      </c>
      <c r="F26" s="97" t="s">
        <v>1750</v>
      </c>
      <c r="G26" s="63"/>
      <c r="H26" s="67" t="s">
        <v>299</v>
      </c>
      <c r="I26" s="68"/>
      <c r="J26" s="68"/>
      <c r="K26" s="67" t="s">
        <v>2134</v>
      </c>
      <c r="L26" s="71">
        <v>125.44451536718476</v>
      </c>
      <c r="M26" s="72">
        <v>4271.06884765625</v>
      </c>
      <c r="N26" s="72">
        <v>1714.4034423828125</v>
      </c>
      <c r="O26" s="73"/>
      <c r="P26" s="74"/>
      <c r="Q26" s="74"/>
      <c r="S26" s="48">
        <v>6</v>
      </c>
      <c r="T26" s="48">
        <v>12</v>
      </c>
      <c r="U26" s="49">
        <v>549.90229299999999</v>
      </c>
      <c r="V26" s="49">
        <v>2.3530000000000001E-3</v>
      </c>
      <c r="W26" s="49">
        <v>4.5630000000000002E-3</v>
      </c>
      <c r="X26" s="49">
        <v>1.2943640000000001</v>
      </c>
      <c r="Y26" s="49">
        <v>0.1</v>
      </c>
      <c r="Z26" s="49">
        <v>0.45454545454545453</v>
      </c>
      <c r="AA26" s="69">
        <v>122</v>
      </c>
      <c r="AB26" s="69"/>
      <c r="AC26" s="70"/>
      <c r="AD26" s="76">
        <v>1999</v>
      </c>
      <c r="AE26" s="76">
        <v>780</v>
      </c>
      <c r="AF26" s="76">
        <v>12550</v>
      </c>
      <c r="AG26" s="76">
        <v>232</v>
      </c>
      <c r="AH26" s="76" t="s">
        <v>1370</v>
      </c>
      <c r="AI26" s="76" t="s">
        <v>1520</v>
      </c>
      <c r="AJ26" s="76"/>
      <c r="AK26" s="76" t="s">
        <v>1625</v>
      </c>
      <c r="AL26" s="76">
        <v>-18000</v>
      </c>
      <c r="AM26" s="78">
        <v>40822.730011574073</v>
      </c>
      <c r="AN26" s="76" t="s">
        <v>1823</v>
      </c>
      <c r="AO26" s="80" t="s">
        <v>1942</v>
      </c>
      <c r="AP26" s="2"/>
      <c r="AQ26" s="3"/>
      <c r="AR26" s="3"/>
      <c r="AS26" s="3"/>
      <c r="AT26" s="3"/>
    </row>
    <row r="27" spans="1:46" ht="41.45" customHeight="1" x14ac:dyDescent="0.25">
      <c r="A27" s="62" t="s">
        <v>259</v>
      </c>
      <c r="B27" s="63"/>
      <c r="C27" s="63" t="s">
        <v>63</v>
      </c>
      <c r="D27" s="64">
        <v>2.8872312152693889</v>
      </c>
      <c r="E27" s="66">
        <v>99.353237800402127</v>
      </c>
      <c r="F27" s="97" t="s">
        <v>1719</v>
      </c>
      <c r="G27" s="63"/>
      <c r="H27" s="67" t="s">
        <v>259</v>
      </c>
      <c r="I27" s="68"/>
      <c r="J27" s="68"/>
      <c r="K27" s="67" t="s">
        <v>2102</v>
      </c>
      <c r="L27" s="71">
        <v>216.54428238598283</v>
      </c>
      <c r="M27" s="72">
        <v>2641.9169921875</v>
      </c>
      <c r="N27" s="72">
        <v>5297.595703125</v>
      </c>
      <c r="O27" s="73"/>
      <c r="P27" s="74"/>
      <c r="Q27" s="74"/>
      <c r="S27" s="48">
        <v>2</v>
      </c>
      <c r="T27" s="48">
        <v>4</v>
      </c>
      <c r="U27" s="49">
        <v>473.93589500000002</v>
      </c>
      <c r="V27" s="49">
        <v>2.3869999999999998E-3</v>
      </c>
      <c r="W27" s="49">
        <v>2.575E-3</v>
      </c>
      <c r="X27" s="49">
        <v>0.58421299999999998</v>
      </c>
      <c r="Y27" s="49">
        <v>0</v>
      </c>
      <c r="Z27" s="49">
        <v>0.33333333333333331</v>
      </c>
      <c r="AA27" s="69">
        <v>90</v>
      </c>
      <c r="AB27" s="69"/>
      <c r="AC27" s="70"/>
      <c r="AD27" s="76">
        <v>769</v>
      </c>
      <c r="AE27" s="76">
        <v>1351</v>
      </c>
      <c r="AF27" s="76">
        <v>76740</v>
      </c>
      <c r="AG27" s="76">
        <v>13</v>
      </c>
      <c r="AH27" s="76" t="s">
        <v>1340</v>
      </c>
      <c r="AI27" s="76" t="s">
        <v>1494</v>
      </c>
      <c r="AJ27" s="80" t="s">
        <v>1601</v>
      </c>
      <c r="AK27" s="76" t="s">
        <v>1624</v>
      </c>
      <c r="AL27" s="76">
        <v>-21600</v>
      </c>
      <c r="AM27" s="78">
        <v>39826.946550925924</v>
      </c>
      <c r="AN27" s="76" t="s">
        <v>1823</v>
      </c>
      <c r="AO27" s="80" t="s">
        <v>1911</v>
      </c>
      <c r="AP27" s="2"/>
      <c r="AQ27" s="3"/>
      <c r="AR27" s="3"/>
      <c r="AS27" s="3"/>
      <c r="AT27" s="3"/>
    </row>
    <row r="28" spans="1:46" ht="41.45" customHeight="1" x14ac:dyDescent="0.25">
      <c r="A28" s="62" t="s">
        <v>254</v>
      </c>
      <c r="B28" s="63"/>
      <c r="C28" s="63" t="s">
        <v>63</v>
      </c>
      <c r="D28" s="64">
        <v>1.8121526938874124</v>
      </c>
      <c r="E28" s="66">
        <v>99.85446653687805</v>
      </c>
      <c r="F28" s="97" t="s">
        <v>1684</v>
      </c>
      <c r="G28" s="63"/>
      <c r="H28" s="67" t="s">
        <v>254</v>
      </c>
      <c r="I28" s="68"/>
      <c r="J28" s="68"/>
      <c r="K28" s="67" t="s">
        <v>2067</v>
      </c>
      <c r="L28" s="71">
        <v>49.501452143107905</v>
      </c>
      <c r="M28" s="72">
        <v>8064.990234375</v>
      </c>
      <c r="N28" s="72">
        <v>663.643310546875</v>
      </c>
      <c r="O28" s="73"/>
      <c r="P28" s="74"/>
      <c r="Q28" s="74"/>
      <c r="S28" s="48">
        <v>7</v>
      </c>
      <c r="T28" s="48">
        <v>3</v>
      </c>
      <c r="U28" s="49">
        <v>466.37211600000001</v>
      </c>
      <c r="V28" s="49">
        <v>2.0449999999999999E-3</v>
      </c>
      <c r="W28" s="49">
        <v>1.983E-3</v>
      </c>
      <c r="X28" s="49">
        <v>0.93659199999999998</v>
      </c>
      <c r="Y28" s="49">
        <v>0.16666666666666666</v>
      </c>
      <c r="Z28" s="49">
        <v>0.33333333333333331</v>
      </c>
      <c r="AA28" s="69">
        <v>55</v>
      </c>
      <c r="AB28" s="69"/>
      <c r="AC28" s="70"/>
      <c r="AD28" s="76">
        <v>463</v>
      </c>
      <c r="AE28" s="76">
        <v>304</v>
      </c>
      <c r="AF28" s="76">
        <v>4429</v>
      </c>
      <c r="AG28" s="76">
        <v>10</v>
      </c>
      <c r="AH28" s="76" t="s">
        <v>1309</v>
      </c>
      <c r="AI28" s="76" t="s">
        <v>1471</v>
      </c>
      <c r="AJ28" s="76"/>
      <c r="AK28" s="76" t="s">
        <v>1626</v>
      </c>
      <c r="AL28" s="76">
        <v>-28800</v>
      </c>
      <c r="AM28" s="78">
        <v>40004.581122685187</v>
      </c>
      <c r="AN28" s="76" t="s">
        <v>1823</v>
      </c>
      <c r="AO28" s="80" t="s">
        <v>1876</v>
      </c>
      <c r="AP28" s="2"/>
      <c r="AQ28" s="3"/>
      <c r="AR28" s="3"/>
      <c r="AS28" s="3"/>
      <c r="AT28" s="3"/>
    </row>
    <row r="29" spans="1:46" ht="41.45" customHeight="1" x14ac:dyDescent="0.25">
      <c r="A29" s="62" t="s">
        <v>323</v>
      </c>
      <c r="B29" s="63"/>
      <c r="C29" s="63" t="s">
        <v>63</v>
      </c>
      <c r="D29" s="64">
        <v>2.3799830877023433</v>
      </c>
      <c r="E29" s="66">
        <v>99.589729677975299</v>
      </c>
      <c r="F29" s="97" t="s">
        <v>1775</v>
      </c>
      <c r="G29" s="63"/>
      <c r="H29" s="67" t="s">
        <v>323</v>
      </c>
      <c r="I29" s="68"/>
      <c r="J29" s="68"/>
      <c r="K29" s="67" t="s">
        <v>2159</v>
      </c>
      <c r="L29" s="71">
        <v>137.72942265343249</v>
      </c>
      <c r="M29" s="72">
        <v>4472.90673828125</v>
      </c>
      <c r="N29" s="72">
        <v>7070.5947265625</v>
      </c>
      <c r="O29" s="73"/>
      <c r="P29" s="74"/>
      <c r="Q29" s="74"/>
      <c r="S29" s="48">
        <v>11</v>
      </c>
      <c r="T29" s="48">
        <v>16</v>
      </c>
      <c r="U29" s="49">
        <v>435.92018100000001</v>
      </c>
      <c r="V29" s="49">
        <v>2.5000000000000001E-3</v>
      </c>
      <c r="W29" s="49">
        <v>2.1323999999999999E-2</v>
      </c>
      <c r="X29" s="49">
        <v>1.709392</v>
      </c>
      <c r="Y29" s="49">
        <v>0.31617647058823528</v>
      </c>
      <c r="Z29" s="49">
        <v>0.47058823529411764</v>
      </c>
      <c r="AA29" s="69">
        <v>147</v>
      </c>
      <c r="AB29" s="69"/>
      <c r="AC29" s="70"/>
      <c r="AD29" s="76">
        <v>2000</v>
      </c>
      <c r="AE29" s="76">
        <v>857</v>
      </c>
      <c r="AF29" s="76">
        <v>18849</v>
      </c>
      <c r="AG29" s="76">
        <v>439</v>
      </c>
      <c r="AH29" s="76" t="s">
        <v>1394</v>
      </c>
      <c r="AI29" s="76"/>
      <c r="AJ29" s="76"/>
      <c r="AK29" s="76" t="s">
        <v>1631</v>
      </c>
      <c r="AL29" s="76">
        <v>-25200</v>
      </c>
      <c r="AM29" s="78">
        <v>40730.608599537038</v>
      </c>
      <c r="AN29" s="76" t="s">
        <v>1823</v>
      </c>
      <c r="AO29" s="80" t="s">
        <v>1967</v>
      </c>
      <c r="AP29" s="2"/>
      <c r="AQ29" s="3"/>
      <c r="AR29" s="3"/>
      <c r="AS29" s="3"/>
      <c r="AT29" s="3"/>
    </row>
    <row r="30" spans="1:46" ht="41.45" customHeight="1" x14ac:dyDescent="0.25">
      <c r="A30" s="62" t="s">
        <v>332</v>
      </c>
      <c r="B30" s="63"/>
      <c r="C30" s="63" t="s">
        <v>63</v>
      </c>
      <c r="D30" s="64">
        <v>7.3066561971490698</v>
      </c>
      <c r="E30" s="66">
        <v>97.292790348833492</v>
      </c>
      <c r="F30" s="97" t="s">
        <v>1783</v>
      </c>
      <c r="G30" s="63"/>
      <c r="H30" s="67" t="s">
        <v>332</v>
      </c>
      <c r="I30" s="68"/>
      <c r="J30" s="68"/>
      <c r="K30" s="67" t="s">
        <v>2167</v>
      </c>
      <c r="L30" s="71">
        <v>903.22273641208949</v>
      </c>
      <c r="M30" s="72">
        <v>3366.198974609375</v>
      </c>
      <c r="N30" s="72">
        <v>1467.895263671875</v>
      </c>
      <c r="O30" s="73"/>
      <c r="P30" s="74"/>
      <c r="Q30" s="74"/>
      <c r="S30" s="48">
        <v>15</v>
      </c>
      <c r="T30" s="48">
        <v>14</v>
      </c>
      <c r="U30" s="49">
        <v>433.97096399999998</v>
      </c>
      <c r="V30" s="49">
        <v>1.9610000000000001E-3</v>
      </c>
      <c r="W30" s="49">
        <v>3.8739999999999998E-3</v>
      </c>
      <c r="X30" s="49">
        <v>1.731762</v>
      </c>
      <c r="Y30" s="49">
        <v>0.10476190476190476</v>
      </c>
      <c r="Z30" s="49">
        <v>0.8</v>
      </c>
      <c r="AA30" s="69">
        <v>155</v>
      </c>
      <c r="AB30" s="69"/>
      <c r="AC30" s="70"/>
      <c r="AD30" s="76">
        <v>3867</v>
      </c>
      <c r="AE30" s="76">
        <v>5655</v>
      </c>
      <c r="AF30" s="76">
        <v>53982</v>
      </c>
      <c r="AG30" s="76">
        <v>25</v>
      </c>
      <c r="AH30" s="76" t="s">
        <v>1401</v>
      </c>
      <c r="AI30" s="76" t="s">
        <v>1542</v>
      </c>
      <c r="AJ30" s="80" t="s">
        <v>1612</v>
      </c>
      <c r="AK30" s="76" t="s">
        <v>1625</v>
      </c>
      <c r="AL30" s="76">
        <v>-18000</v>
      </c>
      <c r="AM30" s="78">
        <v>39629.736493055556</v>
      </c>
      <c r="AN30" s="76" t="s">
        <v>1823</v>
      </c>
      <c r="AO30" s="80" t="s">
        <v>1975</v>
      </c>
      <c r="AP30" s="2"/>
      <c r="AQ30" s="3"/>
      <c r="AR30" s="3"/>
      <c r="AS30" s="3"/>
      <c r="AT30" s="3"/>
    </row>
    <row r="31" spans="1:46" ht="41.45" customHeight="1" x14ac:dyDescent="0.25">
      <c r="A31" s="62" t="s">
        <v>331</v>
      </c>
      <c r="B31" s="63"/>
      <c r="C31" s="63" t="s">
        <v>63</v>
      </c>
      <c r="D31" s="64">
        <v>2.8810703068374002</v>
      </c>
      <c r="E31" s="66">
        <v>99.356110171384799</v>
      </c>
      <c r="F31" s="97" t="s">
        <v>1782</v>
      </c>
      <c r="G31" s="63"/>
      <c r="H31" s="67" t="s">
        <v>331</v>
      </c>
      <c r="I31" s="68"/>
      <c r="J31" s="68"/>
      <c r="K31" s="67" t="s">
        <v>2166</v>
      </c>
      <c r="L31" s="71">
        <v>215.58701688315833</v>
      </c>
      <c r="M31" s="72">
        <v>2616.1162109375</v>
      </c>
      <c r="N31" s="72">
        <v>6758.521484375</v>
      </c>
      <c r="O31" s="73"/>
      <c r="P31" s="74"/>
      <c r="Q31" s="74"/>
      <c r="S31" s="48">
        <v>11</v>
      </c>
      <c r="T31" s="48">
        <v>16</v>
      </c>
      <c r="U31" s="49">
        <v>426.96855599999998</v>
      </c>
      <c r="V31" s="49">
        <v>2.2079999999999999E-3</v>
      </c>
      <c r="W31" s="49">
        <v>1.5774E-2</v>
      </c>
      <c r="X31" s="49">
        <v>1.640144</v>
      </c>
      <c r="Y31" s="49">
        <v>0.26190476190476192</v>
      </c>
      <c r="Z31" s="49">
        <v>0.66666666666666663</v>
      </c>
      <c r="AA31" s="69">
        <v>154</v>
      </c>
      <c r="AB31" s="69"/>
      <c r="AC31" s="70"/>
      <c r="AD31" s="76">
        <v>1932</v>
      </c>
      <c r="AE31" s="76">
        <v>1345</v>
      </c>
      <c r="AF31" s="76">
        <v>4938</v>
      </c>
      <c r="AG31" s="76">
        <v>4</v>
      </c>
      <c r="AH31" s="76" t="s">
        <v>1400</v>
      </c>
      <c r="AI31" s="76" t="s">
        <v>1541</v>
      </c>
      <c r="AJ31" s="76"/>
      <c r="AK31" s="76" t="s">
        <v>1630</v>
      </c>
      <c r="AL31" s="76">
        <v>-14400</v>
      </c>
      <c r="AM31" s="78">
        <v>40974.119479166664</v>
      </c>
      <c r="AN31" s="76" t="s">
        <v>1823</v>
      </c>
      <c r="AO31" s="80" t="s">
        <v>1974</v>
      </c>
      <c r="AP31" s="2"/>
      <c r="AQ31" s="3"/>
      <c r="AR31" s="3"/>
      <c r="AS31" s="3"/>
      <c r="AT31" s="3"/>
    </row>
    <row r="32" spans="1:46" ht="41.45" customHeight="1" x14ac:dyDescent="0.25">
      <c r="A32" s="62" t="s">
        <v>281</v>
      </c>
      <c r="B32" s="63"/>
      <c r="C32" s="63" t="s">
        <v>63</v>
      </c>
      <c r="D32" s="64">
        <v>2.3553394539743899</v>
      </c>
      <c r="E32" s="66">
        <v>99.601219161905973</v>
      </c>
      <c r="F32" s="97" t="s">
        <v>1739</v>
      </c>
      <c r="G32" s="63"/>
      <c r="H32" s="67" t="s">
        <v>281</v>
      </c>
      <c r="I32" s="68"/>
      <c r="J32" s="68"/>
      <c r="K32" s="67" t="s">
        <v>2123</v>
      </c>
      <c r="L32" s="71">
        <v>133.9003606421345</v>
      </c>
      <c r="M32" s="72">
        <v>3093.75634765625</v>
      </c>
      <c r="N32" s="72">
        <v>2272.576904296875</v>
      </c>
      <c r="O32" s="73"/>
      <c r="P32" s="74"/>
      <c r="Q32" s="74"/>
      <c r="S32" s="48">
        <v>4</v>
      </c>
      <c r="T32" s="48">
        <v>11</v>
      </c>
      <c r="U32" s="49">
        <v>413.98292700000002</v>
      </c>
      <c r="V32" s="49">
        <v>2.3700000000000001E-3</v>
      </c>
      <c r="W32" s="49">
        <v>6.3109999999999998E-3</v>
      </c>
      <c r="X32" s="49">
        <v>1.294098</v>
      </c>
      <c r="Y32" s="49">
        <v>0.13636363636363635</v>
      </c>
      <c r="Z32" s="49">
        <v>0.18181818181818182</v>
      </c>
      <c r="AA32" s="69">
        <v>111</v>
      </c>
      <c r="AB32" s="69"/>
      <c r="AC32" s="70"/>
      <c r="AD32" s="76">
        <v>1987</v>
      </c>
      <c r="AE32" s="76">
        <v>833</v>
      </c>
      <c r="AF32" s="76">
        <v>12434</v>
      </c>
      <c r="AG32" s="76">
        <v>44</v>
      </c>
      <c r="AH32" s="76" t="s">
        <v>1360</v>
      </c>
      <c r="AI32" s="76" t="s">
        <v>1514</v>
      </c>
      <c r="AJ32" s="76"/>
      <c r="AK32" s="76" t="s">
        <v>1625</v>
      </c>
      <c r="AL32" s="76">
        <v>-18000</v>
      </c>
      <c r="AM32" s="78">
        <v>40032.545011574075</v>
      </c>
      <c r="AN32" s="76" t="s">
        <v>1823</v>
      </c>
      <c r="AO32" s="80" t="s">
        <v>1931</v>
      </c>
      <c r="AP32" s="2"/>
      <c r="AQ32" s="3"/>
      <c r="AR32" s="3"/>
      <c r="AS32" s="3"/>
      <c r="AT32" s="3"/>
    </row>
    <row r="33" spans="1:46" ht="41.45" customHeight="1" x14ac:dyDescent="0.25">
      <c r="A33" s="62" t="s">
        <v>284</v>
      </c>
      <c r="B33" s="63"/>
      <c r="C33" s="63" t="s">
        <v>63</v>
      </c>
      <c r="D33" s="64">
        <v>1.7556776999275188</v>
      </c>
      <c r="E33" s="66">
        <v>99.880796604219199</v>
      </c>
      <c r="F33" s="97" t="s">
        <v>1742</v>
      </c>
      <c r="G33" s="63"/>
      <c r="H33" s="67" t="s">
        <v>284</v>
      </c>
      <c r="I33" s="68"/>
      <c r="J33" s="68"/>
      <c r="K33" s="67" t="s">
        <v>2126</v>
      </c>
      <c r="L33" s="71">
        <v>40.72651836721667</v>
      </c>
      <c r="M33" s="72">
        <v>8770.0498046875</v>
      </c>
      <c r="N33" s="72">
        <v>3771.689208984375</v>
      </c>
      <c r="O33" s="73"/>
      <c r="P33" s="74"/>
      <c r="Q33" s="74"/>
      <c r="S33" s="48">
        <v>2</v>
      </c>
      <c r="T33" s="48">
        <v>7</v>
      </c>
      <c r="U33" s="49">
        <v>393.40377599999999</v>
      </c>
      <c r="V33" s="49">
        <v>2.5839999999999999E-3</v>
      </c>
      <c r="W33" s="49">
        <v>1.0633E-2</v>
      </c>
      <c r="X33" s="49">
        <v>0.93609399999999998</v>
      </c>
      <c r="Y33" s="49">
        <v>0.41666666666666669</v>
      </c>
      <c r="Z33" s="49">
        <v>0</v>
      </c>
      <c r="AA33" s="69">
        <v>114</v>
      </c>
      <c r="AB33" s="69"/>
      <c r="AC33" s="70"/>
      <c r="AD33" s="76">
        <v>1636</v>
      </c>
      <c r="AE33" s="76">
        <v>249</v>
      </c>
      <c r="AF33" s="76">
        <v>5976</v>
      </c>
      <c r="AG33" s="76">
        <v>135</v>
      </c>
      <c r="AH33" s="76" t="s">
        <v>1363</v>
      </c>
      <c r="AI33" s="76"/>
      <c r="AJ33" s="76"/>
      <c r="AK33" s="76" t="s">
        <v>1631</v>
      </c>
      <c r="AL33" s="76">
        <v>-25200</v>
      </c>
      <c r="AM33" s="78">
        <v>40912.151284722226</v>
      </c>
      <c r="AN33" s="76" t="s">
        <v>1823</v>
      </c>
      <c r="AO33" s="80" t="s">
        <v>1934</v>
      </c>
      <c r="AP33" s="2"/>
      <c r="AQ33" s="3"/>
      <c r="AR33" s="3"/>
      <c r="AS33" s="3"/>
      <c r="AT33" s="3"/>
    </row>
    <row r="34" spans="1:46" ht="41.45" customHeight="1" x14ac:dyDescent="0.25">
      <c r="A34" s="62" t="s">
        <v>366</v>
      </c>
      <c r="B34" s="63"/>
      <c r="C34" s="63" t="s">
        <v>63</v>
      </c>
      <c r="D34" s="64">
        <v>7.3785334621889342</v>
      </c>
      <c r="E34" s="66">
        <v>97.259279354035684</v>
      </c>
      <c r="F34" s="97" t="s">
        <v>1653</v>
      </c>
      <c r="G34" s="63"/>
      <c r="H34" s="67" t="s">
        <v>366</v>
      </c>
      <c r="I34" s="68"/>
      <c r="J34" s="68"/>
      <c r="K34" s="67" t="s">
        <v>2034</v>
      </c>
      <c r="L34" s="71">
        <v>914.390833945042</v>
      </c>
      <c r="M34" s="72">
        <v>8668.607421875</v>
      </c>
      <c r="N34" s="72">
        <v>4678.48046875</v>
      </c>
      <c r="O34" s="73"/>
      <c r="P34" s="74"/>
      <c r="Q34" s="74"/>
      <c r="S34" s="48">
        <v>14</v>
      </c>
      <c r="T34" s="48">
        <v>3</v>
      </c>
      <c r="U34" s="49">
        <v>393.19181500000002</v>
      </c>
      <c r="V34" s="49">
        <v>2.4390000000000002E-3</v>
      </c>
      <c r="W34" s="49">
        <v>1.3596E-2</v>
      </c>
      <c r="X34" s="49">
        <v>1.419257</v>
      </c>
      <c r="Y34" s="49">
        <v>0.21794871794871795</v>
      </c>
      <c r="Z34" s="49">
        <v>0.15384615384615385</v>
      </c>
      <c r="AA34" s="69">
        <v>22</v>
      </c>
      <c r="AB34" s="69"/>
      <c r="AC34" s="70"/>
      <c r="AD34" s="76">
        <v>432</v>
      </c>
      <c r="AE34" s="76">
        <v>5725</v>
      </c>
      <c r="AF34" s="76">
        <v>7803</v>
      </c>
      <c r="AG34" s="76">
        <v>2</v>
      </c>
      <c r="AH34" s="76" t="s">
        <v>1283</v>
      </c>
      <c r="AI34" s="76" t="s">
        <v>1449</v>
      </c>
      <c r="AJ34" s="80" t="s">
        <v>1573</v>
      </c>
      <c r="AK34" s="76" t="s">
        <v>1624</v>
      </c>
      <c r="AL34" s="76">
        <v>-21600</v>
      </c>
      <c r="AM34" s="78">
        <v>40522.797175925924</v>
      </c>
      <c r="AN34" s="76" t="s">
        <v>1823</v>
      </c>
      <c r="AO34" s="80" t="s">
        <v>1843</v>
      </c>
      <c r="AP34" s="2"/>
      <c r="AQ34" s="3"/>
      <c r="AR34" s="3"/>
      <c r="AS34" s="3"/>
      <c r="AT34" s="3"/>
    </row>
    <row r="35" spans="1:46" ht="41.45" customHeight="1" x14ac:dyDescent="0.25">
      <c r="A35" s="62" t="s">
        <v>228</v>
      </c>
      <c r="B35" s="63"/>
      <c r="C35" s="63" t="s">
        <v>63</v>
      </c>
      <c r="D35" s="64">
        <v>2.1273858419908191</v>
      </c>
      <c r="E35" s="66">
        <v>99.707496888264771</v>
      </c>
      <c r="F35" s="97" t="s">
        <v>1669</v>
      </c>
      <c r="G35" s="63"/>
      <c r="H35" s="67" t="s">
        <v>228</v>
      </c>
      <c r="I35" s="68"/>
      <c r="J35" s="68"/>
      <c r="K35" s="67" t="s">
        <v>2051</v>
      </c>
      <c r="L35" s="71">
        <v>98.481537037628058</v>
      </c>
      <c r="M35" s="72">
        <v>4945.85498046875</v>
      </c>
      <c r="N35" s="72">
        <v>6495.31689453125</v>
      </c>
      <c r="O35" s="73"/>
      <c r="P35" s="74"/>
      <c r="Q35" s="74"/>
      <c r="S35" s="48">
        <v>5</v>
      </c>
      <c r="T35" s="48">
        <v>5</v>
      </c>
      <c r="U35" s="49">
        <v>369.73674699999998</v>
      </c>
      <c r="V35" s="49">
        <v>2.088E-3</v>
      </c>
      <c r="W35" s="49">
        <v>5.4619999999999998E-3</v>
      </c>
      <c r="X35" s="49">
        <v>0.88002599999999997</v>
      </c>
      <c r="Y35" s="49">
        <v>0.15</v>
      </c>
      <c r="Z35" s="49">
        <v>0.6</v>
      </c>
      <c r="AA35" s="69">
        <v>39</v>
      </c>
      <c r="AB35" s="69"/>
      <c r="AC35" s="70"/>
      <c r="AD35" s="76">
        <v>1118</v>
      </c>
      <c r="AE35" s="76">
        <v>611</v>
      </c>
      <c r="AF35" s="76">
        <v>16494</v>
      </c>
      <c r="AG35" s="76">
        <v>21</v>
      </c>
      <c r="AH35" s="76" t="s">
        <v>1296</v>
      </c>
      <c r="AI35" s="76" t="s">
        <v>1458</v>
      </c>
      <c r="AJ35" s="76"/>
      <c r="AK35" s="76"/>
      <c r="AL35" s="76"/>
      <c r="AM35" s="78">
        <v>40528.580763888887</v>
      </c>
      <c r="AN35" s="76" t="s">
        <v>1823</v>
      </c>
      <c r="AO35" s="80" t="s">
        <v>1860</v>
      </c>
      <c r="AP35" s="2"/>
      <c r="AQ35" s="3"/>
      <c r="AR35" s="3"/>
      <c r="AS35" s="3"/>
      <c r="AT35" s="3"/>
    </row>
    <row r="36" spans="1:46" ht="41.45" customHeight="1" x14ac:dyDescent="0.25">
      <c r="A36" s="62" t="s">
        <v>312</v>
      </c>
      <c r="B36" s="63"/>
      <c r="C36" s="63" t="s">
        <v>63</v>
      </c>
      <c r="D36" s="64">
        <v>7.9319884029958931</v>
      </c>
      <c r="E36" s="66">
        <v>97.001244694092492</v>
      </c>
      <c r="F36" s="97" t="s">
        <v>1705</v>
      </c>
      <c r="G36" s="63"/>
      <c r="H36" s="67" t="s">
        <v>312</v>
      </c>
      <c r="I36" s="68"/>
      <c r="J36" s="68"/>
      <c r="K36" s="67" t="s">
        <v>2088</v>
      </c>
      <c r="L36" s="71">
        <v>1000.3851849487761</v>
      </c>
      <c r="M36" s="72">
        <v>2735.25341796875</v>
      </c>
      <c r="N36" s="72">
        <v>3011.4267578125</v>
      </c>
      <c r="O36" s="73"/>
      <c r="P36" s="74"/>
      <c r="Q36" s="74"/>
      <c r="S36" s="48">
        <v>11</v>
      </c>
      <c r="T36" s="48">
        <v>2</v>
      </c>
      <c r="U36" s="49">
        <v>369.12975</v>
      </c>
      <c r="V36" s="49">
        <v>2.016E-3</v>
      </c>
      <c r="W36" s="49">
        <v>3.4329999999999999E-3</v>
      </c>
      <c r="X36" s="49">
        <v>1.2637529999999999</v>
      </c>
      <c r="Y36" s="49">
        <v>0.13333333333333333</v>
      </c>
      <c r="Z36" s="49">
        <v>0.1</v>
      </c>
      <c r="AA36" s="69">
        <v>76</v>
      </c>
      <c r="AB36" s="69"/>
      <c r="AC36" s="70"/>
      <c r="AD36" s="76">
        <v>36</v>
      </c>
      <c r="AE36" s="76">
        <v>6264</v>
      </c>
      <c r="AF36" s="76">
        <v>3829</v>
      </c>
      <c r="AG36" s="76">
        <v>21</v>
      </c>
      <c r="AH36" s="76" t="s">
        <v>1327</v>
      </c>
      <c r="AI36" s="76"/>
      <c r="AJ36" s="76"/>
      <c r="AK36" s="76" t="s">
        <v>1625</v>
      </c>
      <c r="AL36" s="76">
        <v>-18000</v>
      </c>
      <c r="AM36" s="78">
        <v>40013.164837962962</v>
      </c>
      <c r="AN36" s="76" t="s">
        <v>1823</v>
      </c>
      <c r="AO36" s="80" t="s">
        <v>1897</v>
      </c>
      <c r="AP36" s="2"/>
      <c r="AQ36" s="3"/>
      <c r="AR36" s="3"/>
      <c r="AS36" s="3"/>
      <c r="AT36" s="3"/>
    </row>
    <row r="37" spans="1:46" ht="41.45" customHeight="1" x14ac:dyDescent="0.25">
      <c r="A37" s="62" t="s">
        <v>349</v>
      </c>
      <c r="B37" s="63"/>
      <c r="C37" s="63" t="s">
        <v>63</v>
      </c>
      <c r="D37" s="64">
        <v>2.4734235322541678</v>
      </c>
      <c r="E37" s="66">
        <v>99.546165384738131</v>
      </c>
      <c r="F37" s="97" t="s">
        <v>1797</v>
      </c>
      <c r="G37" s="63"/>
      <c r="H37" s="67" t="s">
        <v>349</v>
      </c>
      <c r="I37" s="68"/>
      <c r="J37" s="68"/>
      <c r="K37" s="67" t="s">
        <v>2181</v>
      </c>
      <c r="L37" s="71">
        <v>152.2479494462707</v>
      </c>
      <c r="M37" s="72">
        <v>4197.77490234375</v>
      </c>
      <c r="N37" s="72">
        <v>7583.75</v>
      </c>
      <c r="O37" s="73"/>
      <c r="P37" s="74"/>
      <c r="Q37" s="74"/>
      <c r="S37" s="48">
        <v>15</v>
      </c>
      <c r="T37" s="48">
        <v>18</v>
      </c>
      <c r="U37" s="49">
        <v>361.20756799999998</v>
      </c>
      <c r="V37" s="49">
        <v>2.4039999999999999E-3</v>
      </c>
      <c r="W37" s="49">
        <v>2.3392E-2</v>
      </c>
      <c r="X37" s="49">
        <v>1.737671</v>
      </c>
      <c r="Y37" s="49">
        <v>0.39542483660130717</v>
      </c>
      <c r="Z37" s="49">
        <v>0.72222222222222221</v>
      </c>
      <c r="AA37" s="69">
        <v>169</v>
      </c>
      <c r="AB37" s="69"/>
      <c r="AC37" s="70"/>
      <c r="AD37" s="76">
        <v>1298</v>
      </c>
      <c r="AE37" s="76">
        <v>948</v>
      </c>
      <c r="AF37" s="76">
        <v>7855</v>
      </c>
      <c r="AG37" s="76">
        <v>5</v>
      </c>
      <c r="AH37" s="76" t="s">
        <v>1414</v>
      </c>
      <c r="AI37" s="76"/>
      <c r="AJ37" s="76"/>
      <c r="AK37" s="76" t="s">
        <v>1625</v>
      </c>
      <c r="AL37" s="76">
        <v>-18000</v>
      </c>
      <c r="AM37" s="78">
        <v>40933.07439814815</v>
      </c>
      <c r="AN37" s="76" t="s">
        <v>1823</v>
      </c>
      <c r="AO37" s="80" t="s">
        <v>1989</v>
      </c>
      <c r="AP37" s="2"/>
      <c r="AQ37" s="3"/>
      <c r="AR37" s="3"/>
      <c r="AS37" s="3"/>
      <c r="AT37" s="3"/>
    </row>
    <row r="38" spans="1:46" ht="41.45" customHeight="1" x14ac:dyDescent="0.25">
      <c r="A38" s="62" t="s">
        <v>321</v>
      </c>
      <c r="B38" s="63"/>
      <c r="C38" s="63" t="s">
        <v>63</v>
      </c>
      <c r="D38" s="64">
        <v>2.3953853587823146</v>
      </c>
      <c r="E38" s="66">
        <v>99.582548750518626</v>
      </c>
      <c r="F38" s="97" t="s">
        <v>1774</v>
      </c>
      <c r="G38" s="63"/>
      <c r="H38" s="67" t="s">
        <v>321</v>
      </c>
      <c r="I38" s="68"/>
      <c r="J38" s="68"/>
      <c r="K38" s="67" t="s">
        <v>2158</v>
      </c>
      <c r="L38" s="71">
        <v>140.12258641049374</v>
      </c>
      <c r="M38" s="72">
        <v>3671.42431640625</v>
      </c>
      <c r="N38" s="72">
        <v>8118.94775390625</v>
      </c>
      <c r="O38" s="73"/>
      <c r="P38" s="74"/>
      <c r="Q38" s="74"/>
      <c r="S38" s="48">
        <v>10</v>
      </c>
      <c r="T38" s="48">
        <v>12</v>
      </c>
      <c r="U38" s="49">
        <v>355.09076499999998</v>
      </c>
      <c r="V38" s="49">
        <v>2.4510000000000001E-3</v>
      </c>
      <c r="W38" s="49">
        <v>1.7564E-2</v>
      </c>
      <c r="X38" s="49">
        <v>1.3309629999999999</v>
      </c>
      <c r="Y38" s="49">
        <v>0.32051282051282054</v>
      </c>
      <c r="Z38" s="49">
        <v>0.53846153846153844</v>
      </c>
      <c r="AA38" s="69">
        <v>146</v>
      </c>
      <c r="AB38" s="69"/>
      <c r="AC38" s="70"/>
      <c r="AD38" s="76">
        <v>1002</v>
      </c>
      <c r="AE38" s="76">
        <v>872</v>
      </c>
      <c r="AF38" s="76">
        <v>515</v>
      </c>
      <c r="AG38" s="76">
        <v>0</v>
      </c>
      <c r="AH38" s="76" t="s">
        <v>1393</v>
      </c>
      <c r="AI38" s="76" t="s">
        <v>1536</v>
      </c>
      <c r="AJ38" s="76"/>
      <c r="AK38" s="76" t="s">
        <v>1626</v>
      </c>
      <c r="AL38" s="76">
        <v>-28800</v>
      </c>
      <c r="AM38" s="78">
        <v>40020.901018518518</v>
      </c>
      <c r="AN38" s="76" t="s">
        <v>1823</v>
      </c>
      <c r="AO38" s="80" t="s">
        <v>1966</v>
      </c>
      <c r="AP38" s="2"/>
      <c r="AQ38" s="3"/>
      <c r="AR38" s="3"/>
      <c r="AS38" s="3"/>
      <c r="AT38" s="3"/>
    </row>
    <row r="39" spans="1:46" ht="41.45" customHeight="1" x14ac:dyDescent="0.25">
      <c r="A39" s="62" t="s">
        <v>293</v>
      </c>
      <c r="B39" s="63"/>
      <c r="C39" s="63" t="s">
        <v>63</v>
      </c>
      <c r="D39" s="64">
        <v>2.0472940323749698</v>
      </c>
      <c r="E39" s="66">
        <v>99.74483771103948</v>
      </c>
      <c r="F39" s="97" t="s">
        <v>1746</v>
      </c>
      <c r="G39" s="63"/>
      <c r="H39" s="67" t="s">
        <v>293</v>
      </c>
      <c r="I39" s="68"/>
      <c r="J39" s="68"/>
      <c r="K39" s="67" t="s">
        <v>2130</v>
      </c>
      <c r="L39" s="71">
        <v>86.037085500909583</v>
      </c>
      <c r="M39" s="72">
        <v>5108.1201171875</v>
      </c>
      <c r="N39" s="72">
        <v>1426.73046875</v>
      </c>
      <c r="O39" s="73"/>
      <c r="P39" s="74"/>
      <c r="Q39" s="74"/>
      <c r="S39" s="48">
        <v>7</v>
      </c>
      <c r="T39" s="48">
        <v>13</v>
      </c>
      <c r="U39" s="49">
        <v>346.318375</v>
      </c>
      <c r="V39" s="49">
        <v>2.1099999999999999E-3</v>
      </c>
      <c r="W39" s="49">
        <v>3.8920000000000001E-3</v>
      </c>
      <c r="X39" s="49">
        <v>1.3586720000000001</v>
      </c>
      <c r="Y39" s="49">
        <v>0.15909090909090909</v>
      </c>
      <c r="Z39" s="49">
        <v>0.5</v>
      </c>
      <c r="AA39" s="69">
        <v>118</v>
      </c>
      <c r="AB39" s="69"/>
      <c r="AC39" s="70"/>
      <c r="AD39" s="76">
        <v>1005</v>
      </c>
      <c r="AE39" s="76">
        <v>533</v>
      </c>
      <c r="AF39" s="76">
        <v>5360</v>
      </c>
      <c r="AG39" s="76">
        <v>364</v>
      </c>
      <c r="AH39" s="76" t="s">
        <v>1366</v>
      </c>
      <c r="AI39" s="76" t="s">
        <v>1517</v>
      </c>
      <c r="AJ39" s="76"/>
      <c r="AK39" s="76"/>
      <c r="AL39" s="76"/>
      <c r="AM39" s="78">
        <v>40739.723449074074</v>
      </c>
      <c r="AN39" s="76" t="s">
        <v>1823</v>
      </c>
      <c r="AO39" s="80" t="s">
        <v>1938</v>
      </c>
      <c r="AP39" s="2"/>
      <c r="AQ39" s="3"/>
      <c r="AR39" s="3"/>
      <c r="AS39" s="3"/>
      <c r="AT39" s="3"/>
    </row>
    <row r="40" spans="1:46" ht="41.45" customHeight="1" x14ac:dyDescent="0.25">
      <c r="A40" s="62" t="s">
        <v>297</v>
      </c>
      <c r="B40" s="63"/>
      <c r="C40" s="63" t="s">
        <v>63</v>
      </c>
      <c r="D40" s="64">
        <v>2.6479826044938393</v>
      </c>
      <c r="E40" s="66">
        <v>99.464781540229154</v>
      </c>
      <c r="F40" s="97" t="s">
        <v>1752</v>
      </c>
      <c r="G40" s="63"/>
      <c r="H40" s="67" t="s">
        <v>297</v>
      </c>
      <c r="I40" s="68"/>
      <c r="J40" s="68"/>
      <c r="K40" s="67" t="s">
        <v>2136</v>
      </c>
      <c r="L40" s="71">
        <v>179.37047202629816</v>
      </c>
      <c r="M40" s="72">
        <v>4118.80908203125</v>
      </c>
      <c r="N40" s="72">
        <v>2206.0380859375</v>
      </c>
      <c r="O40" s="73"/>
      <c r="P40" s="74"/>
      <c r="Q40" s="74"/>
      <c r="S40" s="48">
        <v>13</v>
      </c>
      <c r="T40" s="48">
        <v>17</v>
      </c>
      <c r="U40" s="49">
        <v>339.63464399999998</v>
      </c>
      <c r="V40" s="49">
        <v>2.3470000000000001E-3</v>
      </c>
      <c r="W40" s="49">
        <v>6.2950000000000002E-3</v>
      </c>
      <c r="X40" s="49">
        <v>1.6901459999999999</v>
      </c>
      <c r="Y40" s="49">
        <v>0.20833333333333334</v>
      </c>
      <c r="Z40" s="49">
        <v>0.75</v>
      </c>
      <c r="AA40" s="69">
        <v>124</v>
      </c>
      <c r="AB40" s="69"/>
      <c r="AC40" s="70"/>
      <c r="AD40" s="76">
        <v>1750</v>
      </c>
      <c r="AE40" s="76">
        <v>1118</v>
      </c>
      <c r="AF40" s="76">
        <v>20156</v>
      </c>
      <c r="AG40" s="76">
        <v>4364</v>
      </c>
      <c r="AH40" s="76" t="s">
        <v>1372</v>
      </c>
      <c r="AI40" s="76" t="s">
        <v>1522</v>
      </c>
      <c r="AJ40" s="76"/>
      <c r="AK40" s="76" t="s">
        <v>1625</v>
      </c>
      <c r="AL40" s="76">
        <v>-18000</v>
      </c>
      <c r="AM40" s="78">
        <v>40672.932685185187</v>
      </c>
      <c r="AN40" s="76" t="s">
        <v>1823</v>
      </c>
      <c r="AO40" s="80" t="s">
        <v>1944</v>
      </c>
      <c r="AP40" s="2"/>
      <c r="AQ40" s="3"/>
      <c r="AR40" s="3"/>
      <c r="AS40" s="3"/>
      <c r="AT40" s="3"/>
    </row>
    <row r="41" spans="1:46" ht="41.45" customHeight="1" x14ac:dyDescent="0.25">
      <c r="A41" s="62" t="s">
        <v>247</v>
      </c>
      <c r="B41" s="63"/>
      <c r="C41" s="63" t="s">
        <v>63</v>
      </c>
      <c r="D41" s="64">
        <v>1.5698236288958685</v>
      </c>
      <c r="E41" s="66">
        <v>99.967446462196406</v>
      </c>
      <c r="F41" s="97" t="s">
        <v>1651</v>
      </c>
      <c r="G41" s="63"/>
      <c r="H41" s="67" t="s">
        <v>247</v>
      </c>
      <c r="I41" s="68"/>
      <c r="J41" s="68"/>
      <c r="K41" s="67" t="s">
        <v>2031</v>
      </c>
      <c r="L41" s="71">
        <v>11.849009032010979</v>
      </c>
      <c r="M41" s="72">
        <v>9361.61328125</v>
      </c>
      <c r="N41" s="72">
        <v>430.91744995117187</v>
      </c>
      <c r="O41" s="73"/>
      <c r="P41" s="74"/>
      <c r="Q41" s="74"/>
      <c r="S41" s="48">
        <v>2</v>
      </c>
      <c r="T41" s="48">
        <v>2</v>
      </c>
      <c r="U41" s="49">
        <v>334</v>
      </c>
      <c r="V41" s="49">
        <v>1.9009999999999999E-3</v>
      </c>
      <c r="W41" s="49">
        <v>9.01E-4</v>
      </c>
      <c r="X41" s="49">
        <v>0.801786</v>
      </c>
      <c r="Y41" s="49">
        <v>0</v>
      </c>
      <c r="Z41" s="49">
        <v>0</v>
      </c>
      <c r="AA41" s="69">
        <v>19</v>
      </c>
      <c r="AB41" s="69"/>
      <c r="AC41" s="70"/>
      <c r="AD41" s="76">
        <v>252</v>
      </c>
      <c r="AE41" s="76">
        <v>68</v>
      </c>
      <c r="AF41" s="76">
        <v>1609</v>
      </c>
      <c r="AG41" s="76">
        <v>2</v>
      </c>
      <c r="AH41" s="76" t="s">
        <v>1281</v>
      </c>
      <c r="AI41" s="76"/>
      <c r="AJ41" s="76"/>
      <c r="AK41" s="76" t="s">
        <v>1625</v>
      </c>
      <c r="AL41" s="76">
        <v>-18000</v>
      </c>
      <c r="AM41" s="78">
        <v>40842.125</v>
      </c>
      <c r="AN41" s="76" t="s">
        <v>1823</v>
      </c>
      <c r="AO41" s="80" t="s">
        <v>1840</v>
      </c>
      <c r="AP41" s="2"/>
      <c r="AQ41" s="3"/>
      <c r="AR41" s="3"/>
      <c r="AS41" s="3"/>
      <c r="AT41" s="3"/>
    </row>
    <row r="42" spans="1:46" ht="41.45" customHeight="1" x14ac:dyDescent="0.25">
      <c r="A42" s="62" t="s">
        <v>214</v>
      </c>
      <c r="B42" s="63"/>
      <c r="C42" s="63" t="s">
        <v>63</v>
      </c>
      <c r="D42" s="64">
        <v>3.2815293549166467</v>
      </c>
      <c r="E42" s="66">
        <v>99.169406057511253</v>
      </c>
      <c r="F42" s="97" t="s">
        <v>1664</v>
      </c>
      <c r="G42" s="63"/>
      <c r="H42" s="67" t="s">
        <v>214</v>
      </c>
      <c r="I42" s="68"/>
      <c r="J42" s="68"/>
      <c r="K42" s="67" t="s">
        <v>2046</v>
      </c>
      <c r="L42" s="71">
        <v>277.80927456675073</v>
      </c>
      <c r="M42" s="72">
        <v>9330.8994140625</v>
      </c>
      <c r="N42" s="72">
        <v>3552.98681640625</v>
      </c>
      <c r="O42" s="73"/>
      <c r="P42" s="74"/>
      <c r="Q42" s="74"/>
      <c r="S42" s="48">
        <v>2</v>
      </c>
      <c r="T42" s="48">
        <v>3</v>
      </c>
      <c r="U42" s="49">
        <v>334</v>
      </c>
      <c r="V42" s="49">
        <v>1.9919999999999998E-3</v>
      </c>
      <c r="W42" s="49">
        <v>1.9239999999999999E-3</v>
      </c>
      <c r="X42" s="49">
        <v>0.67526299999999995</v>
      </c>
      <c r="Y42" s="49">
        <v>0</v>
      </c>
      <c r="Z42" s="49">
        <v>0.5</v>
      </c>
      <c r="AA42" s="69">
        <v>34</v>
      </c>
      <c r="AB42" s="69"/>
      <c r="AC42" s="70"/>
      <c r="AD42" s="76">
        <v>357</v>
      </c>
      <c r="AE42" s="76">
        <v>1735</v>
      </c>
      <c r="AF42" s="76">
        <v>9982</v>
      </c>
      <c r="AG42" s="76">
        <v>2386</v>
      </c>
      <c r="AH42" s="76" t="s">
        <v>1292</v>
      </c>
      <c r="AI42" s="76"/>
      <c r="AJ42" s="80" t="s">
        <v>1578</v>
      </c>
      <c r="AK42" s="76" t="s">
        <v>1625</v>
      </c>
      <c r="AL42" s="76">
        <v>-18000</v>
      </c>
      <c r="AM42" s="78">
        <v>39884.730115740742</v>
      </c>
      <c r="AN42" s="76" t="s">
        <v>1823</v>
      </c>
      <c r="AO42" s="80" t="s">
        <v>1855</v>
      </c>
      <c r="AP42" s="2"/>
      <c r="AQ42" s="3"/>
      <c r="AR42" s="3"/>
      <c r="AS42" s="3"/>
      <c r="AT42" s="3"/>
    </row>
    <row r="43" spans="1:46" ht="41.45" customHeight="1" x14ac:dyDescent="0.25">
      <c r="A43" s="62" t="s">
        <v>362</v>
      </c>
      <c r="B43" s="63"/>
      <c r="C43" s="63" t="s">
        <v>63</v>
      </c>
      <c r="D43" s="64">
        <v>2.0483208504469679</v>
      </c>
      <c r="E43" s="66">
        <v>99.744358982542366</v>
      </c>
      <c r="F43" s="97" t="s">
        <v>1809</v>
      </c>
      <c r="G43" s="63"/>
      <c r="H43" s="67" t="s">
        <v>362</v>
      </c>
      <c r="I43" s="68"/>
      <c r="J43" s="68"/>
      <c r="K43" s="67" t="s">
        <v>2193</v>
      </c>
      <c r="L43" s="71">
        <v>86.196629751380328</v>
      </c>
      <c r="M43" s="72">
        <v>4055.83984375</v>
      </c>
      <c r="N43" s="72">
        <v>7148.91796875</v>
      </c>
      <c r="O43" s="73"/>
      <c r="P43" s="74"/>
      <c r="Q43" s="74"/>
      <c r="S43" s="48">
        <v>10</v>
      </c>
      <c r="T43" s="48">
        <v>18</v>
      </c>
      <c r="U43" s="49">
        <v>327.29629499999999</v>
      </c>
      <c r="V43" s="49">
        <v>2.545E-3</v>
      </c>
      <c r="W43" s="49">
        <v>2.2863999999999999E-2</v>
      </c>
      <c r="X43" s="49">
        <v>1.6649769999999999</v>
      </c>
      <c r="Y43" s="49">
        <v>0.36029411764705882</v>
      </c>
      <c r="Z43" s="49">
        <v>0.52941176470588236</v>
      </c>
      <c r="AA43" s="69">
        <v>181</v>
      </c>
      <c r="AB43" s="69"/>
      <c r="AC43" s="70"/>
      <c r="AD43" s="76">
        <v>1223</v>
      </c>
      <c r="AE43" s="76">
        <v>534</v>
      </c>
      <c r="AF43" s="76">
        <v>3960</v>
      </c>
      <c r="AG43" s="76">
        <v>21</v>
      </c>
      <c r="AH43" s="76"/>
      <c r="AI43" s="76" t="s">
        <v>1558</v>
      </c>
      <c r="AJ43" s="76"/>
      <c r="AK43" s="76" t="s">
        <v>1626</v>
      </c>
      <c r="AL43" s="76">
        <v>-28800</v>
      </c>
      <c r="AM43" s="78">
        <v>40733.753831018519</v>
      </c>
      <c r="AN43" s="76" t="s">
        <v>1823</v>
      </c>
      <c r="AO43" s="80" t="s">
        <v>2001</v>
      </c>
      <c r="AP43" s="2"/>
      <c r="AQ43" s="3"/>
      <c r="AR43" s="3"/>
      <c r="AS43" s="3"/>
      <c r="AT43" s="3"/>
    </row>
    <row r="44" spans="1:46" ht="41.45" customHeight="1" x14ac:dyDescent="0.25">
      <c r="A44" s="62" t="s">
        <v>328</v>
      </c>
      <c r="B44" s="63"/>
      <c r="C44" s="63" t="s">
        <v>63</v>
      </c>
      <c r="D44" s="64">
        <v>4.1851292582749453</v>
      </c>
      <c r="E44" s="66">
        <v>98.748124980052978</v>
      </c>
      <c r="F44" s="97" t="s">
        <v>1778</v>
      </c>
      <c r="G44" s="63"/>
      <c r="H44" s="67" t="s">
        <v>328</v>
      </c>
      <c r="I44" s="68"/>
      <c r="J44" s="68"/>
      <c r="K44" s="67" t="s">
        <v>2162</v>
      </c>
      <c r="L44" s="71">
        <v>418.20821498101043</v>
      </c>
      <c r="M44" s="72">
        <v>3272.8916015625</v>
      </c>
      <c r="N44" s="72">
        <v>7773.49169921875</v>
      </c>
      <c r="O44" s="73"/>
      <c r="P44" s="74"/>
      <c r="Q44" s="74"/>
      <c r="S44" s="48">
        <v>17</v>
      </c>
      <c r="T44" s="48">
        <v>19</v>
      </c>
      <c r="U44" s="49">
        <v>273.67662300000001</v>
      </c>
      <c r="V44" s="49">
        <v>2.4390000000000002E-3</v>
      </c>
      <c r="W44" s="49">
        <v>2.2388999999999999E-2</v>
      </c>
      <c r="X44" s="49">
        <v>1.7886409999999999</v>
      </c>
      <c r="Y44" s="49">
        <v>0.33333333333333331</v>
      </c>
      <c r="Z44" s="49">
        <v>0.88888888888888884</v>
      </c>
      <c r="AA44" s="69">
        <v>150</v>
      </c>
      <c r="AB44" s="69"/>
      <c r="AC44" s="70"/>
      <c r="AD44" s="76">
        <v>2612</v>
      </c>
      <c r="AE44" s="76">
        <v>2615</v>
      </c>
      <c r="AF44" s="76">
        <v>21009</v>
      </c>
      <c r="AG44" s="76">
        <v>206</v>
      </c>
      <c r="AH44" s="76" t="s">
        <v>1397</v>
      </c>
      <c r="AI44" s="76" t="s">
        <v>1539</v>
      </c>
      <c r="AJ44" s="76"/>
      <c r="AK44" s="76" t="s">
        <v>1625</v>
      </c>
      <c r="AL44" s="76">
        <v>-18000</v>
      </c>
      <c r="AM44" s="78">
        <v>40785.909513888888</v>
      </c>
      <c r="AN44" s="76" t="s">
        <v>1823</v>
      </c>
      <c r="AO44" s="80" t="s">
        <v>1970</v>
      </c>
      <c r="AP44" s="2"/>
      <c r="AQ44" s="3"/>
      <c r="AR44" s="3"/>
      <c r="AS44" s="3"/>
      <c r="AT44" s="3"/>
    </row>
    <row r="45" spans="1:46" ht="41.45" customHeight="1" x14ac:dyDescent="0.25">
      <c r="A45" s="62" t="s">
        <v>273</v>
      </c>
      <c r="B45" s="63"/>
      <c r="C45" s="63" t="s">
        <v>63</v>
      </c>
      <c r="D45" s="64">
        <v>2.7732544092776035</v>
      </c>
      <c r="E45" s="66">
        <v>99.406376663581526</v>
      </c>
      <c r="F45" s="97" t="s">
        <v>1732</v>
      </c>
      <c r="G45" s="63"/>
      <c r="H45" s="67" t="s">
        <v>273</v>
      </c>
      <c r="I45" s="68"/>
      <c r="J45" s="68"/>
      <c r="K45" s="67" t="s">
        <v>2116</v>
      </c>
      <c r="L45" s="71">
        <v>198.83487058372961</v>
      </c>
      <c r="M45" s="72">
        <v>3175.39892578125</v>
      </c>
      <c r="N45" s="72">
        <v>7133.603515625</v>
      </c>
      <c r="O45" s="73"/>
      <c r="P45" s="74"/>
      <c r="Q45" s="74"/>
      <c r="S45" s="48">
        <v>10</v>
      </c>
      <c r="T45" s="48">
        <v>14</v>
      </c>
      <c r="U45" s="49">
        <v>266.94804399999998</v>
      </c>
      <c r="V45" s="49">
        <v>2.1280000000000001E-3</v>
      </c>
      <c r="W45" s="49">
        <v>1.43E-2</v>
      </c>
      <c r="X45" s="49">
        <v>1.5112479999999999</v>
      </c>
      <c r="Y45" s="49">
        <v>0.2857142857142857</v>
      </c>
      <c r="Z45" s="49">
        <v>0.5714285714285714</v>
      </c>
      <c r="AA45" s="69">
        <v>104</v>
      </c>
      <c r="AB45" s="69"/>
      <c r="AC45" s="70"/>
      <c r="AD45" s="76">
        <v>1213</v>
      </c>
      <c r="AE45" s="76">
        <v>1240</v>
      </c>
      <c r="AF45" s="76">
        <v>25735</v>
      </c>
      <c r="AG45" s="76">
        <v>147</v>
      </c>
      <c r="AH45" s="76" t="s">
        <v>1353</v>
      </c>
      <c r="AI45" s="76" t="s">
        <v>1507</v>
      </c>
      <c r="AJ45" s="76"/>
      <c r="AK45" s="76" t="s">
        <v>1624</v>
      </c>
      <c r="AL45" s="76">
        <v>-21600</v>
      </c>
      <c r="AM45" s="78">
        <v>39922.906805555554</v>
      </c>
      <c r="AN45" s="76" t="s">
        <v>1823</v>
      </c>
      <c r="AO45" s="80" t="s">
        <v>1924</v>
      </c>
      <c r="AP45" s="2"/>
      <c r="AQ45" s="3"/>
      <c r="AR45" s="3"/>
      <c r="AS45" s="3"/>
      <c r="AT45" s="3"/>
    </row>
    <row r="46" spans="1:46" ht="41.45" customHeight="1" x14ac:dyDescent="0.25">
      <c r="A46" s="62" t="s">
        <v>313</v>
      </c>
      <c r="B46" s="63"/>
      <c r="C46" s="63" t="s">
        <v>63</v>
      </c>
      <c r="D46" s="64">
        <v>3.8288233872916164</v>
      </c>
      <c r="E46" s="66">
        <v>98.914243768550733</v>
      </c>
      <c r="F46" s="97" t="s">
        <v>1765</v>
      </c>
      <c r="G46" s="63"/>
      <c r="H46" s="67" t="s">
        <v>313</v>
      </c>
      <c r="I46" s="68"/>
      <c r="J46" s="68"/>
      <c r="K46" s="67" t="s">
        <v>2149</v>
      </c>
      <c r="L46" s="71">
        <v>362.84636006766027</v>
      </c>
      <c r="M46" s="72">
        <v>2371.409912109375</v>
      </c>
      <c r="N46" s="72">
        <v>2156.325927734375</v>
      </c>
      <c r="O46" s="73"/>
      <c r="P46" s="74"/>
      <c r="Q46" s="74"/>
      <c r="S46" s="48">
        <v>5</v>
      </c>
      <c r="T46" s="48">
        <v>8</v>
      </c>
      <c r="U46" s="49">
        <v>242.85598100000001</v>
      </c>
      <c r="V46" s="49">
        <v>2.3259999999999999E-3</v>
      </c>
      <c r="W46" s="49">
        <v>6.3449999999999999E-3</v>
      </c>
      <c r="X46" s="49">
        <v>1.1472100000000001</v>
      </c>
      <c r="Y46" s="49">
        <v>0.18888888888888888</v>
      </c>
      <c r="Z46" s="49">
        <v>0.1</v>
      </c>
      <c r="AA46" s="69">
        <v>137</v>
      </c>
      <c r="AB46" s="69"/>
      <c r="AC46" s="70"/>
      <c r="AD46" s="76">
        <v>1591</v>
      </c>
      <c r="AE46" s="76">
        <v>2268</v>
      </c>
      <c r="AF46" s="76">
        <v>216402</v>
      </c>
      <c r="AG46" s="76">
        <v>122</v>
      </c>
      <c r="AH46" s="76" t="s">
        <v>1385</v>
      </c>
      <c r="AI46" s="76" t="s">
        <v>1530</v>
      </c>
      <c r="AJ46" s="76"/>
      <c r="AK46" s="76" t="s">
        <v>1631</v>
      </c>
      <c r="AL46" s="76">
        <v>-25200</v>
      </c>
      <c r="AM46" s="78">
        <v>40288.015451388892</v>
      </c>
      <c r="AN46" s="76" t="s">
        <v>1823</v>
      </c>
      <c r="AO46" s="80" t="s">
        <v>1957</v>
      </c>
      <c r="AP46" s="2"/>
      <c r="AQ46" s="3"/>
      <c r="AR46" s="3"/>
      <c r="AS46" s="3"/>
      <c r="AT46" s="3"/>
    </row>
    <row r="47" spans="1:46" ht="41.45" customHeight="1" x14ac:dyDescent="0.25">
      <c r="A47" s="62" t="s">
        <v>298</v>
      </c>
      <c r="B47" s="63"/>
      <c r="C47" s="63" t="s">
        <v>63</v>
      </c>
      <c r="D47" s="64">
        <v>2.3892244503503264</v>
      </c>
      <c r="E47" s="66">
        <v>99.585421121501298</v>
      </c>
      <c r="F47" s="97" t="s">
        <v>1751</v>
      </c>
      <c r="G47" s="63"/>
      <c r="H47" s="67" t="s">
        <v>298</v>
      </c>
      <c r="I47" s="68"/>
      <c r="J47" s="68"/>
      <c r="K47" s="67" t="s">
        <v>2135</v>
      </c>
      <c r="L47" s="71">
        <v>139.16532090766924</v>
      </c>
      <c r="M47" s="72">
        <v>3539.07373046875</v>
      </c>
      <c r="N47" s="72">
        <v>2565.776611328125</v>
      </c>
      <c r="O47" s="73"/>
      <c r="P47" s="74"/>
      <c r="Q47" s="74"/>
      <c r="S47" s="48">
        <v>10</v>
      </c>
      <c r="T47" s="48">
        <v>15</v>
      </c>
      <c r="U47" s="49">
        <v>235.91859199999999</v>
      </c>
      <c r="V47" s="49">
        <v>2.3809999999999999E-3</v>
      </c>
      <c r="W47" s="49">
        <v>6.613E-3</v>
      </c>
      <c r="X47" s="49">
        <v>1.5113700000000001</v>
      </c>
      <c r="Y47" s="49">
        <v>0.2967032967032967</v>
      </c>
      <c r="Z47" s="49">
        <v>0.6428571428571429</v>
      </c>
      <c r="AA47" s="69">
        <v>123</v>
      </c>
      <c r="AB47" s="69"/>
      <c r="AC47" s="70"/>
      <c r="AD47" s="76">
        <v>1311</v>
      </c>
      <c r="AE47" s="76">
        <v>866</v>
      </c>
      <c r="AF47" s="76">
        <v>4875</v>
      </c>
      <c r="AG47" s="76">
        <v>1</v>
      </c>
      <c r="AH47" s="76" t="s">
        <v>1371</v>
      </c>
      <c r="AI47" s="76" t="s">
        <v>1521</v>
      </c>
      <c r="AJ47" s="76"/>
      <c r="AK47" s="76" t="s">
        <v>1625</v>
      </c>
      <c r="AL47" s="76">
        <v>-18000</v>
      </c>
      <c r="AM47" s="78">
        <v>41017.015081018515</v>
      </c>
      <c r="AN47" s="76" t="s">
        <v>1823</v>
      </c>
      <c r="AO47" s="80" t="s">
        <v>1943</v>
      </c>
      <c r="AP47" s="2"/>
      <c r="AQ47" s="3"/>
      <c r="AR47" s="3"/>
      <c r="AS47" s="3"/>
      <c r="AT47" s="3"/>
    </row>
    <row r="48" spans="1:46" ht="41.45" customHeight="1" x14ac:dyDescent="0.25">
      <c r="A48" s="62" t="s">
        <v>275</v>
      </c>
      <c r="B48" s="63"/>
      <c r="C48" s="63" t="s">
        <v>63</v>
      </c>
      <c r="D48" s="64">
        <v>2.6972698719497461</v>
      </c>
      <c r="E48" s="66">
        <v>99.441802572367791</v>
      </c>
      <c r="F48" s="97" t="s">
        <v>1734</v>
      </c>
      <c r="G48" s="63"/>
      <c r="H48" s="67" t="s">
        <v>275</v>
      </c>
      <c r="I48" s="68"/>
      <c r="J48" s="68"/>
      <c r="K48" s="67" t="s">
        <v>2118</v>
      </c>
      <c r="L48" s="71">
        <v>187.02859604889414</v>
      </c>
      <c r="M48" s="72">
        <v>2767.093017578125</v>
      </c>
      <c r="N48" s="72">
        <v>1386.9307861328125</v>
      </c>
      <c r="O48" s="73"/>
      <c r="P48" s="74"/>
      <c r="Q48" s="74"/>
      <c r="S48" s="48">
        <v>6</v>
      </c>
      <c r="T48" s="48">
        <v>12</v>
      </c>
      <c r="U48" s="49">
        <v>232.87227799999999</v>
      </c>
      <c r="V48" s="49">
        <v>2.114E-3</v>
      </c>
      <c r="W48" s="49">
        <v>3.238E-3</v>
      </c>
      <c r="X48" s="49">
        <v>1.3019160000000001</v>
      </c>
      <c r="Y48" s="49">
        <v>9.0909090909090912E-2</v>
      </c>
      <c r="Z48" s="49">
        <v>0.45454545454545453</v>
      </c>
      <c r="AA48" s="69">
        <v>106</v>
      </c>
      <c r="AB48" s="69"/>
      <c r="AC48" s="70"/>
      <c r="AD48" s="76">
        <v>1652</v>
      </c>
      <c r="AE48" s="76">
        <v>1166</v>
      </c>
      <c r="AF48" s="76">
        <v>7197</v>
      </c>
      <c r="AG48" s="76">
        <v>32</v>
      </c>
      <c r="AH48" s="76" t="s">
        <v>1355</v>
      </c>
      <c r="AI48" s="76" t="s">
        <v>1509</v>
      </c>
      <c r="AJ48" s="76"/>
      <c r="AK48" s="76" t="s">
        <v>1625</v>
      </c>
      <c r="AL48" s="76">
        <v>-18000</v>
      </c>
      <c r="AM48" s="78">
        <v>39715.809490740743</v>
      </c>
      <c r="AN48" s="76" t="s">
        <v>1823</v>
      </c>
      <c r="AO48" s="80" t="s">
        <v>1926</v>
      </c>
      <c r="AP48" s="2"/>
      <c r="AQ48" s="3"/>
      <c r="AR48" s="3"/>
      <c r="AS48" s="3"/>
      <c r="AT48" s="3"/>
    </row>
    <row r="49" spans="1:46" ht="41.45" customHeight="1" x14ac:dyDescent="0.25">
      <c r="A49" s="62" t="s">
        <v>345</v>
      </c>
      <c r="B49" s="63"/>
      <c r="C49" s="63" t="s">
        <v>63</v>
      </c>
      <c r="D49" s="64">
        <v>1.8994322300072481</v>
      </c>
      <c r="E49" s="66">
        <v>99.813774614623554</v>
      </c>
      <c r="F49" s="97" t="s">
        <v>1794</v>
      </c>
      <c r="G49" s="63"/>
      <c r="H49" s="67" t="s">
        <v>345</v>
      </c>
      <c r="I49" s="68"/>
      <c r="J49" s="68"/>
      <c r="K49" s="67" t="s">
        <v>2178</v>
      </c>
      <c r="L49" s="71">
        <v>63.06271343312163</v>
      </c>
      <c r="M49" s="72">
        <v>7875.67822265625</v>
      </c>
      <c r="N49" s="72">
        <v>1095.77294921875</v>
      </c>
      <c r="O49" s="73"/>
      <c r="P49" s="74"/>
      <c r="Q49" s="74"/>
      <c r="S49" s="48">
        <v>3</v>
      </c>
      <c r="T49" s="48">
        <v>7</v>
      </c>
      <c r="U49" s="49">
        <v>226.24652</v>
      </c>
      <c r="V49" s="49">
        <v>2.1649999999999998E-3</v>
      </c>
      <c r="W49" s="49">
        <v>5.8450000000000004E-3</v>
      </c>
      <c r="X49" s="49">
        <v>0.85799999999999998</v>
      </c>
      <c r="Y49" s="49">
        <v>0.36666666666666664</v>
      </c>
      <c r="Z49" s="49">
        <v>0.33333333333333331</v>
      </c>
      <c r="AA49" s="69">
        <v>166</v>
      </c>
      <c r="AB49" s="69"/>
      <c r="AC49" s="70"/>
      <c r="AD49" s="76">
        <v>583</v>
      </c>
      <c r="AE49" s="76">
        <v>389</v>
      </c>
      <c r="AF49" s="76">
        <v>4785</v>
      </c>
      <c r="AG49" s="76">
        <v>5</v>
      </c>
      <c r="AH49" s="76" t="s">
        <v>1411</v>
      </c>
      <c r="AI49" s="76" t="s">
        <v>1551</v>
      </c>
      <c r="AJ49" s="80" t="s">
        <v>1614</v>
      </c>
      <c r="AK49" s="76" t="s">
        <v>1626</v>
      </c>
      <c r="AL49" s="76">
        <v>-28800</v>
      </c>
      <c r="AM49" s="78">
        <v>39951.959803240738</v>
      </c>
      <c r="AN49" s="76" t="s">
        <v>1823</v>
      </c>
      <c r="AO49" s="80" t="s">
        <v>1986</v>
      </c>
      <c r="AP49" s="2"/>
      <c r="AQ49" s="3"/>
      <c r="AR49" s="3"/>
      <c r="AS49" s="3"/>
      <c r="AT49" s="3"/>
    </row>
    <row r="50" spans="1:46" ht="41.45" customHeight="1" x14ac:dyDescent="0.25">
      <c r="A50" s="62" t="s">
        <v>242</v>
      </c>
      <c r="B50" s="63"/>
      <c r="C50" s="63" t="s">
        <v>63</v>
      </c>
      <c r="D50" s="64">
        <v>1.6191108963517757</v>
      </c>
      <c r="E50" s="66">
        <v>99.944467494335044</v>
      </c>
      <c r="F50" s="97" t="s">
        <v>1702</v>
      </c>
      <c r="G50" s="63"/>
      <c r="H50" s="67" t="s">
        <v>242</v>
      </c>
      <c r="I50" s="68"/>
      <c r="J50" s="68"/>
      <c r="K50" s="67" t="s">
        <v>2085</v>
      </c>
      <c r="L50" s="71">
        <v>19.507133054606964</v>
      </c>
      <c r="M50" s="72">
        <v>2377.2021484375</v>
      </c>
      <c r="N50" s="72">
        <v>6354.18701171875</v>
      </c>
      <c r="O50" s="73"/>
      <c r="P50" s="74"/>
      <c r="Q50" s="74"/>
      <c r="S50" s="48">
        <v>3</v>
      </c>
      <c r="T50" s="48">
        <v>5</v>
      </c>
      <c r="U50" s="49">
        <v>210.648596</v>
      </c>
      <c r="V50" s="49">
        <v>2.137E-3</v>
      </c>
      <c r="W50" s="49">
        <v>4.6649999999999999E-3</v>
      </c>
      <c r="X50" s="49">
        <v>0.78239800000000004</v>
      </c>
      <c r="Y50" s="49">
        <v>0.1</v>
      </c>
      <c r="Z50" s="49">
        <v>0.2</v>
      </c>
      <c r="AA50" s="69">
        <v>73</v>
      </c>
      <c r="AB50" s="69"/>
      <c r="AC50" s="70"/>
      <c r="AD50" s="76">
        <v>243</v>
      </c>
      <c r="AE50" s="76">
        <v>116</v>
      </c>
      <c r="AF50" s="76">
        <v>1833</v>
      </c>
      <c r="AG50" s="76">
        <v>254</v>
      </c>
      <c r="AH50" s="76" t="s">
        <v>1325</v>
      </c>
      <c r="AI50" s="76" t="s">
        <v>1483</v>
      </c>
      <c r="AJ50" s="76"/>
      <c r="AK50" s="76" t="s">
        <v>1626</v>
      </c>
      <c r="AL50" s="76">
        <v>-28800</v>
      </c>
      <c r="AM50" s="78">
        <v>40561.831342592595</v>
      </c>
      <c r="AN50" s="76" t="s">
        <v>1823</v>
      </c>
      <c r="AO50" s="80" t="s">
        <v>1894</v>
      </c>
      <c r="AP50" s="2"/>
      <c r="AQ50" s="3"/>
      <c r="AR50" s="3"/>
      <c r="AS50" s="3"/>
      <c r="AT50" s="3"/>
    </row>
    <row r="51" spans="1:46" ht="41.45" customHeight="1" x14ac:dyDescent="0.25">
      <c r="A51" s="62" t="s">
        <v>265</v>
      </c>
      <c r="B51" s="63"/>
      <c r="C51" s="63" t="s">
        <v>63</v>
      </c>
      <c r="D51" s="64">
        <v>3.6614520415559313</v>
      </c>
      <c r="E51" s="66">
        <v>98.992276513579938</v>
      </c>
      <c r="F51" s="97" t="s">
        <v>1726</v>
      </c>
      <c r="G51" s="63"/>
      <c r="H51" s="67" t="s">
        <v>265</v>
      </c>
      <c r="I51" s="68"/>
      <c r="J51" s="68"/>
      <c r="K51" s="67" t="s">
        <v>2109</v>
      </c>
      <c r="L51" s="71">
        <v>336.84064724092809</v>
      </c>
      <c r="M51" s="72">
        <v>2455.378173828125</v>
      </c>
      <c r="N51" s="72">
        <v>2548.4140625</v>
      </c>
      <c r="O51" s="73"/>
      <c r="P51" s="74"/>
      <c r="Q51" s="74"/>
      <c r="S51" s="48">
        <v>10</v>
      </c>
      <c r="T51" s="48">
        <v>6</v>
      </c>
      <c r="U51" s="49">
        <v>196.40057999999999</v>
      </c>
      <c r="V51" s="49">
        <v>2.0079999999999998E-3</v>
      </c>
      <c r="W51" s="49">
        <v>2.8730000000000001E-3</v>
      </c>
      <c r="X51" s="49">
        <v>1.2917099999999999</v>
      </c>
      <c r="Y51" s="49">
        <v>0.1111111111111111</v>
      </c>
      <c r="Z51" s="49">
        <v>0.4</v>
      </c>
      <c r="AA51" s="69">
        <v>97</v>
      </c>
      <c r="AB51" s="69"/>
      <c r="AC51" s="70"/>
      <c r="AD51" s="76">
        <v>1071</v>
      </c>
      <c r="AE51" s="76">
        <v>2105</v>
      </c>
      <c r="AF51" s="76">
        <v>39024</v>
      </c>
      <c r="AG51" s="76">
        <v>55</v>
      </c>
      <c r="AH51" s="76" t="s">
        <v>1347</v>
      </c>
      <c r="AI51" s="76" t="s">
        <v>1501</v>
      </c>
      <c r="AJ51" s="76"/>
      <c r="AK51" s="76"/>
      <c r="AL51" s="76"/>
      <c r="AM51" s="78">
        <v>40575.319490740738</v>
      </c>
      <c r="AN51" s="76" t="s">
        <v>1823</v>
      </c>
      <c r="AO51" s="80" t="s">
        <v>1917</v>
      </c>
      <c r="AP51" s="2"/>
      <c r="AQ51" s="3"/>
      <c r="AR51" s="3"/>
      <c r="AS51" s="3"/>
      <c r="AT51" s="3"/>
    </row>
    <row r="52" spans="1:46" ht="41.45" customHeight="1" x14ac:dyDescent="0.25">
      <c r="A52" s="62" t="s">
        <v>239</v>
      </c>
      <c r="B52" s="63"/>
      <c r="C52" s="63" t="s">
        <v>63</v>
      </c>
      <c r="D52" s="64">
        <v>5.0096641700893931</v>
      </c>
      <c r="E52" s="66">
        <v>98.363705996872312</v>
      </c>
      <c r="F52" s="97" t="s">
        <v>1700</v>
      </c>
      <c r="G52" s="63"/>
      <c r="H52" s="67" t="s">
        <v>239</v>
      </c>
      <c r="I52" s="68"/>
      <c r="J52" s="68"/>
      <c r="K52" s="67" t="s">
        <v>2083</v>
      </c>
      <c r="L52" s="71">
        <v>546.32224810902244</v>
      </c>
      <c r="M52" s="72">
        <v>2926.931884765625</v>
      </c>
      <c r="N52" s="72">
        <v>6793.87548828125</v>
      </c>
      <c r="O52" s="73"/>
      <c r="P52" s="74"/>
      <c r="Q52" s="74"/>
      <c r="S52" s="48">
        <v>10</v>
      </c>
      <c r="T52" s="48">
        <v>12</v>
      </c>
      <c r="U52" s="49">
        <v>193.148043</v>
      </c>
      <c r="V52" s="49">
        <v>2.2079999999999999E-3</v>
      </c>
      <c r="W52" s="49">
        <v>1.6712999999999999E-2</v>
      </c>
      <c r="X52" s="49">
        <v>1.499077</v>
      </c>
      <c r="Y52" s="49">
        <v>0.2857142857142857</v>
      </c>
      <c r="Z52" s="49">
        <v>0.42857142857142855</v>
      </c>
      <c r="AA52" s="69">
        <v>71</v>
      </c>
      <c r="AB52" s="69"/>
      <c r="AC52" s="70"/>
      <c r="AD52" s="76">
        <v>2803</v>
      </c>
      <c r="AE52" s="76">
        <v>3418</v>
      </c>
      <c r="AF52" s="76">
        <v>6727</v>
      </c>
      <c r="AG52" s="76">
        <v>115</v>
      </c>
      <c r="AH52" s="76" t="s">
        <v>1323</v>
      </c>
      <c r="AI52" s="76" t="s">
        <v>1481</v>
      </c>
      <c r="AJ52" s="80" t="s">
        <v>1595</v>
      </c>
      <c r="AK52" s="76" t="s">
        <v>1626</v>
      </c>
      <c r="AL52" s="76">
        <v>-28800</v>
      </c>
      <c r="AM52" s="78">
        <v>40611.310416666667</v>
      </c>
      <c r="AN52" s="76" t="s">
        <v>1823</v>
      </c>
      <c r="AO52" s="80" t="s">
        <v>1892</v>
      </c>
      <c r="AP52" s="2"/>
      <c r="AQ52" s="3"/>
      <c r="AR52" s="3"/>
      <c r="AS52" s="3"/>
      <c r="AT52" s="3"/>
    </row>
    <row r="53" spans="1:46" ht="41.45" customHeight="1" x14ac:dyDescent="0.25">
      <c r="A53" s="62" t="s">
        <v>326</v>
      </c>
      <c r="B53" s="63"/>
      <c r="C53" s="63" t="s">
        <v>63</v>
      </c>
      <c r="D53" s="64">
        <v>1.9415317709591688</v>
      </c>
      <c r="E53" s="66">
        <v>99.794146746241978</v>
      </c>
      <c r="F53" s="97" t="s">
        <v>1777</v>
      </c>
      <c r="G53" s="63"/>
      <c r="H53" s="67" t="s">
        <v>326</v>
      </c>
      <c r="I53" s="68"/>
      <c r="J53" s="68"/>
      <c r="K53" s="67" t="s">
        <v>2161</v>
      </c>
      <c r="L53" s="71">
        <v>69.604027702422371</v>
      </c>
      <c r="M53" s="72">
        <v>1897.941650390625</v>
      </c>
      <c r="N53" s="72">
        <v>8709.580078125</v>
      </c>
      <c r="O53" s="73"/>
      <c r="P53" s="74"/>
      <c r="Q53" s="74"/>
      <c r="S53" s="48">
        <v>4</v>
      </c>
      <c r="T53" s="48">
        <v>6</v>
      </c>
      <c r="U53" s="49">
        <v>192.55490499999999</v>
      </c>
      <c r="V53" s="49">
        <v>2.2369999999999998E-3</v>
      </c>
      <c r="W53" s="49">
        <v>6.705E-3</v>
      </c>
      <c r="X53" s="49">
        <v>0.729765</v>
      </c>
      <c r="Y53" s="49">
        <v>0.35</v>
      </c>
      <c r="Z53" s="49">
        <v>0.6</v>
      </c>
      <c r="AA53" s="69">
        <v>149</v>
      </c>
      <c r="AB53" s="69"/>
      <c r="AC53" s="70"/>
      <c r="AD53" s="76">
        <v>502</v>
      </c>
      <c r="AE53" s="76">
        <v>430</v>
      </c>
      <c r="AF53" s="76">
        <v>1139</v>
      </c>
      <c r="AG53" s="76">
        <v>4</v>
      </c>
      <c r="AH53" s="76" t="s">
        <v>1396</v>
      </c>
      <c r="AI53" s="76" t="s">
        <v>1538</v>
      </c>
      <c r="AJ53" s="76"/>
      <c r="AK53" s="76" t="s">
        <v>1630</v>
      </c>
      <c r="AL53" s="76">
        <v>-14400</v>
      </c>
      <c r="AM53" s="78">
        <v>41084.791666666664</v>
      </c>
      <c r="AN53" s="76" t="s">
        <v>1823</v>
      </c>
      <c r="AO53" s="80" t="s">
        <v>1969</v>
      </c>
      <c r="AP53" s="2"/>
      <c r="AQ53" s="3"/>
      <c r="AR53" s="3"/>
      <c r="AS53" s="3"/>
      <c r="AT53" s="3"/>
    </row>
    <row r="54" spans="1:46" ht="41.45" customHeight="1" x14ac:dyDescent="0.25">
      <c r="A54" s="62" t="s">
        <v>360</v>
      </c>
      <c r="B54" s="63"/>
      <c r="C54" s="63" t="s">
        <v>63</v>
      </c>
      <c r="D54" s="64">
        <v>2.0668035757429331</v>
      </c>
      <c r="E54" s="66">
        <v>99.735741869594364</v>
      </c>
      <c r="F54" s="97" t="s">
        <v>1807</v>
      </c>
      <c r="G54" s="63"/>
      <c r="H54" s="67" t="s">
        <v>360</v>
      </c>
      <c r="I54" s="68"/>
      <c r="J54" s="68"/>
      <c r="K54" s="67" t="s">
        <v>2191</v>
      </c>
      <c r="L54" s="71">
        <v>89.068426259853823</v>
      </c>
      <c r="M54" s="72">
        <v>4953.81298828125</v>
      </c>
      <c r="N54" s="72">
        <v>7936.98779296875</v>
      </c>
      <c r="O54" s="73"/>
      <c r="P54" s="74"/>
      <c r="Q54" s="74"/>
      <c r="S54" s="48">
        <v>7</v>
      </c>
      <c r="T54" s="48">
        <v>15</v>
      </c>
      <c r="U54" s="49">
        <v>183.04956899999999</v>
      </c>
      <c r="V54" s="49">
        <v>2.415E-3</v>
      </c>
      <c r="W54" s="49">
        <v>1.8332999999999999E-2</v>
      </c>
      <c r="X54" s="49">
        <v>1.4055489999999999</v>
      </c>
      <c r="Y54" s="49">
        <v>0.34615384615384615</v>
      </c>
      <c r="Z54" s="49">
        <v>0.42857142857142855</v>
      </c>
      <c r="AA54" s="69">
        <v>179</v>
      </c>
      <c r="AB54" s="69"/>
      <c r="AC54" s="70"/>
      <c r="AD54" s="76">
        <v>1426</v>
      </c>
      <c r="AE54" s="76">
        <v>552</v>
      </c>
      <c r="AF54" s="76">
        <v>8970</v>
      </c>
      <c r="AG54" s="76">
        <v>22</v>
      </c>
      <c r="AH54" s="76" t="s">
        <v>1424</v>
      </c>
      <c r="AI54" s="76" t="s">
        <v>1556</v>
      </c>
      <c r="AJ54" s="76"/>
      <c r="AK54" s="76" t="s">
        <v>1625</v>
      </c>
      <c r="AL54" s="76">
        <v>-18000</v>
      </c>
      <c r="AM54" s="78">
        <v>39959.667650462965</v>
      </c>
      <c r="AN54" s="76" t="s">
        <v>1823</v>
      </c>
      <c r="AO54" s="80" t="s">
        <v>1999</v>
      </c>
      <c r="AP54" s="2"/>
      <c r="AQ54" s="3"/>
      <c r="AR54" s="3"/>
      <c r="AS54" s="3"/>
      <c r="AT54" s="3"/>
    </row>
    <row r="55" spans="1:46" ht="41.45" customHeight="1" x14ac:dyDescent="0.25">
      <c r="A55" s="62" t="s">
        <v>236</v>
      </c>
      <c r="B55" s="63"/>
      <c r="C55" s="63" t="s">
        <v>63</v>
      </c>
      <c r="D55" s="64">
        <v>3.4273375211403723</v>
      </c>
      <c r="E55" s="66">
        <v>99.101426610921393</v>
      </c>
      <c r="F55" s="97" t="s">
        <v>1695</v>
      </c>
      <c r="G55" s="63"/>
      <c r="H55" s="67" t="s">
        <v>236</v>
      </c>
      <c r="I55" s="68"/>
      <c r="J55" s="68"/>
      <c r="K55" s="67" t="s">
        <v>2078</v>
      </c>
      <c r="L55" s="71">
        <v>300.46455813359717</v>
      </c>
      <c r="M55" s="72">
        <v>4848.9521484375</v>
      </c>
      <c r="N55" s="72">
        <v>6863.62890625</v>
      </c>
      <c r="O55" s="73"/>
      <c r="P55" s="74"/>
      <c r="Q55" s="74"/>
      <c r="S55" s="48">
        <v>7</v>
      </c>
      <c r="T55" s="48">
        <v>6</v>
      </c>
      <c r="U55" s="49">
        <v>180.18170599999999</v>
      </c>
      <c r="V55" s="49">
        <v>2.114E-3</v>
      </c>
      <c r="W55" s="49">
        <v>7.7840000000000001E-3</v>
      </c>
      <c r="X55" s="49">
        <v>1.0365899999999999</v>
      </c>
      <c r="Y55" s="49">
        <v>0.17857142857142858</v>
      </c>
      <c r="Z55" s="49">
        <v>0.375</v>
      </c>
      <c r="AA55" s="69">
        <v>66</v>
      </c>
      <c r="AB55" s="69"/>
      <c r="AC55" s="70"/>
      <c r="AD55" s="76">
        <v>2024</v>
      </c>
      <c r="AE55" s="76">
        <v>1877</v>
      </c>
      <c r="AF55" s="76">
        <v>31165</v>
      </c>
      <c r="AG55" s="76">
        <v>96115</v>
      </c>
      <c r="AH55" s="76" t="s">
        <v>1319</v>
      </c>
      <c r="AI55" s="76" t="s">
        <v>1477</v>
      </c>
      <c r="AJ55" s="80" t="s">
        <v>1592</v>
      </c>
      <c r="AK55" s="76" t="s">
        <v>1625</v>
      </c>
      <c r="AL55" s="76">
        <v>-18000</v>
      </c>
      <c r="AM55" s="78">
        <v>39881.073368055557</v>
      </c>
      <c r="AN55" s="76" t="s">
        <v>1823</v>
      </c>
      <c r="AO55" s="80" t="s">
        <v>1887</v>
      </c>
      <c r="AP55" s="2"/>
      <c r="AQ55" s="3"/>
      <c r="AR55" s="3"/>
      <c r="AS55" s="3"/>
      <c r="AT55" s="3"/>
    </row>
    <row r="56" spans="1:46" ht="41.45" customHeight="1" x14ac:dyDescent="0.25">
      <c r="A56" s="62" t="s">
        <v>314</v>
      </c>
      <c r="B56" s="63"/>
      <c r="C56" s="63" t="s">
        <v>63</v>
      </c>
      <c r="D56" s="64">
        <v>2.6911089635177579</v>
      </c>
      <c r="E56" s="66">
        <v>99.444674943350464</v>
      </c>
      <c r="F56" s="97" t="s">
        <v>1762</v>
      </c>
      <c r="G56" s="63"/>
      <c r="H56" s="67" t="s">
        <v>314</v>
      </c>
      <c r="I56" s="68"/>
      <c r="J56" s="68"/>
      <c r="K56" s="67" t="s">
        <v>2146</v>
      </c>
      <c r="L56" s="71">
        <v>186.07133054606965</v>
      </c>
      <c r="M56" s="72">
        <v>4953.169921875</v>
      </c>
      <c r="N56" s="72">
        <v>3096.489013671875</v>
      </c>
      <c r="O56" s="73"/>
      <c r="P56" s="74"/>
      <c r="Q56" s="74"/>
      <c r="S56" s="48">
        <v>8</v>
      </c>
      <c r="T56" s="48">
        <v>9</v>
      </c>
      <c r="U56" s="49">
        <v>136.04248100000001</v>
      </c>
      <c r="V56" s="49">
        <v>2.0330000000000001E-3</v>
      </c>
      <c r="W56" s="49">
        <v>2.8960000000000001E-3</v>
      </c>
      <c r="X56" s="49">
        <v>1.291307</v>
      </c>
      <c r="Y56" s="49">
        <v>0.17424242424242425</v>
      </c>
      <c r="Z56" s="49">
        <v>0.41666666666666669</v>
      </c>
      <c r="AA56" s="69">
        <v>134</v>
      </c>
      <c r="AB56" s="69"/>
      <c r="AC56" s="70"/>
      <c r="AD56" s="76">
        <v>2000</v>
      </c>
      <c r="AE56" s="76">
        <v>1160</v>
      </c>
      <c r="AF56" s="76">
        <v>23611</v>
      </c>
      <c r="AG56" s="76">
        <v>178</v>
      </c>
      <c r="AH56" s="76" t="s">
        <v>1382</v>
      </c>
      <c r="AI56" s="76" t="s">
        <v>1528</v>
      </c>
      <c r="AJ56" s="80" t="s">
        <v>1609</v>
      </c>
      <c r="AK56" s="76" t="s">
        <v>1626</v>
      </c>
      <c r="AL56" s="76">
        <v>-28800</v>
      </c>
      <c r="AM56" s="78">
        <v>39688.05028935185</v>
      </c>
      <c r="AN56" s="76" t="s">
        <v>1823</v>
      </c>
      <c r="AO56" s="80" t="s">
        <v>1954</v>
      </c>
      <c r="AP56" s="2"/>
      <c r="AQ56" s="3"/>
      <c r="AR56" s="3"/>
      <c r="AS56" s="3"/>
      <c r="AT56" s="3"/>
    </row>
    <row r="57" spans="1:46" ht="41.45" customHeight="1" x14ac:dyDescent="0.25">
      <c r="A57" s="62" t="s">
        <v>292</v>
      </c>
      <c r="B57" s="63"/>
      <c r="C57" s="63" t="s">
        <v>63</v>
      </c>
      <c r="D57" s="64">
        <v>2.0924740275428846</v>
      </c>
      <c r="E57" s="66">
        <v>99.723773657166561</v>
      </c>
      <c r="F57" s="97" t="s">
        <v>1748</v>
      </c>
      <c r="G57" s="63"/>
      <c r="H57" s="67" t="s">
        <v>292</v>
      </c>
      <c r="I57" s="68"/>
      <c r="J57" s="68"/>
      <c r="K57" s="67" t="s">
        <v>2132</v>
      </c>
      <c r="L57" s="71">
        <v>93.057032521622574</v>
      </c>
      <c r="M57" s="72">
        <v>3363.952392578125</v>
      </c>
      <c r="N57" s="72">
        <v>1942.731689453125</v>
      </c>
      <c r="O57" s="73"/>
      <c r="P57" s="74"/>
      <c r="Q57" s="74"/>
      <c r="S57" s="48">
        <v>8</v>
      </c>
      <c r="T57" s="48">
        <v>9</v>
      </c>
      <c r="U57" s="49">
        <v>130.08311499999999</v>
      </c>
      <c r="V57" s="49">
        <v>2E-3</v>
      </c>
      <c r="W57" s="49">
        <v>2.898E-3</v>
      </c>
      <c r="X57" s="49">
        <v>1.0963849999999999</v>
      </c>
      <c r="Y57" s="49">
        <v>0.18055555555555555</v>
      </c>
      <c r="Z57" s="49">
        <v>0.66666666666666663</v>
      </c>
      <c r="AA57" s="69">
        <v>120</v>
      </c>
      <c r="AB57" s="69"/>
      <c r="AC57" s="70"/>
      <c r="AD57" s="76">
        <v>579</v>
      </c>
      <c r="AE57" s="76">
        <v>577</v>
      </c>
      <c r="AF57" s="76">
        <v>15156</v>
      </c>
      <c r="AG57" s="76">
        <v>513</v>
      </c>
      <c r="AH57" s="76" t="s">
        <v>1368</v>
      </c>
      <c r="AI57" s="76"/>
      <c r="AJ57" s="76"/>
      <c r="AK57" s="76" t="s">
        <v>1625</v>
      </c>
      <c r="AL57" s="76">
        <v>-18000</v>
      </c>
      <c r="AM57" s="78">
        <v>40346.577314814815</v>
      </c>
      <c r="AN57" s="76" t="s">
        <v>1823</v>
      </c>
      <c r="AO57" s="80" t="s">
        <v>1940</v>
      </c>
      <c r="AP57" s="2"/>
      <c r="AQ57" s="3"/>
      <c r="AR57" s="3"/>
      <c r="AS57" s="3"/>
      <c r="AT57" s="3"/>
    </row>
    <row r="58" spans="1:46" ht="41.45" customHeight="1" x14ac:dyDescent="0.25">
      <c r="A58" s="62" t="s">
        <v>310</v>
      </c>
      <c r="B58" s="63"/>
      <c r="C58" s="63" t="s">
        <v>63</v>
      </c>
      <c r="D58" s="64">
        <v>2.0462672143029716</v>
      </c>
      <c r="E58" s="66">
        <v>99.745316439536595</v>
      </c>
      <c r="F58" s="97" t="s">
        <v>1763</v>
      </c>
      <c r="G58" s="63"/>
      <c r="H58" s="67" t="s">
        <v>310</v>
      </c>
      <c r="I58" s="68"/>
      <c r="J58" s="68"/>
      <c r="K58" s="67" t="s">
        <v>2147</v>
      </c>
      <c r="L58" s="71">
        <v>85.877541250438838</v>
      </c>
      <c r="M58" s="72">
        <v>4096.38671875</v>
      </c>
      <c r="N58" s="72">
        <v>2519.7744140625</v>
      </c>
      <c r="O58" s="73"/>
      <c r="P58" s="74"/>
      <c r="Q58" s="74"/>
      <c r="S58" s="48">
        <v>4</v>
      </c>
      <c r="T58" s="48">
        <v>9</v>
      </c>
      <c r="U58" s="49">
        <v>127.37209</v>
      </c>
      <c r="V58" s="49">
        <v>2.1879999999999998E-3</v>
      </c>
      <c r="W58" s="49">
        <v>3.3270000000000001E-3</v>
      </c>
      <c r="X58" s="49">
        <v>0.98368699999999998</v>
      </c>
      <c r="Y58" s="49">
        <v>0.17857142857142858</v>
      </c>
      <c r="Z58" s="49">
        <v>0.375</v>
      </c>
      <c r="AA58" s="69">
        <v>135</v>
      </c>
      <c r="AB58" s="69"/>
      <c r="AC58" s="70"/>
      <c r="AD58" s="76">
        <v>982</v>
      </c>
      <c r="AE58" s="76">
        <v>532</v>
      </c>
      <c r="AF58" s="76">
        <v>9821</v>
      </c>
      <c r="AG58" s="76">
        <v>74</v>
      </c>
      <c r="AH58" s="76" t="s">
        <v>1383</v>
      </c>
      <c r="AI58" s="76" t="s">
        <v>1529</v>
      </c>
      <c r="AJ58" s="76"/>
      <c r="AK58" s="76" t="s">
        <v>1629</v>
      </c>
      <c r="AL58" s="76">
        <v>-25200</v>
      </c>
      <c r="AM58" s="78">
        <v>40814.775127314817</v>
      </c>
      <c r="AN58" s="76" t="s">
        <v>1823</v>
      </c>
      <c r="AO58" s="80" t="s">
        <v>1955</v>
      </c>
      <c r="AP58" s="2"/>
      <c r="AQ58" s="3"/>
      <c r="AR58" s="3"/>
      <c r="AS58" s="3"/>
      <c r="AT58" s="3"/>
    </row>
    <row r="59" spans="1:46" ht="41.45" customHeight="1" x14ac:dyDescent="0.25">
      <c r="A59" s="62" t="s">
        <v>269</v>
      </c>
      <c r="B59" s="63"/>
      <c r="C59" s="63" t="s">
        <v>63</v>
      </c>
      <c r="D59" s="64">
        <v>1.7649190625755014</v>
      </c>
      <c r="E59" s="66">
        <v>99.876488047745184</v>
      </c>
      <c r="F59" s="97" t="s">
        <v>1730</v>
      </c>
      <c r="G59" s="63"/>
      <c r="H59" s="67" t="s">
        <v>269</v>
      </c>
      <c r="I59" s="68"/>
      <c r="J59" s="68"/>
      <c r="K59" s="67" t="s">
        <v>2113</v>
      </c>
      <c r="L59" s="71">
        <v>42.162416621453417</v>
      </c>
      <c r="M59" s="72">
        <v>1599.812255859375</v>
      </c>
      <c r="N59" s="72">
        <v>1458.2562255859375</v>
      </c>
      <c r="O59" s="73"/>
      <c r="P59" s="74"/>
      <c r="Q59" s="74"/>
      <c r="S59" s="48">
        <v>3</v>
      </c>
      <c r="T59" s="48">
        <v>6</v>
      </c>
      <c r="U59" s="49">
        <v>122.75206799999999</v>
      </c>
      <c r="V59" s="49">
        <v>2.137E-3</v>
      </c>
      <c r="W59" s="49">
        <v>2.4299999999999999E-3</v>
      </c>
      <c r="X59" s="49">
        <v>0.72502999999999995</v>
      </c>
      <c r="Y59" s="49">
        <v>0.05</v>
      </c>
      <c r="Z59" s="49">
        <v>0.4</v>
      </c>
      <c r="AA59" s="69">
        <v>101</v>
      </c>
      <c r="AB59" s="69"/>
      <c r="AC59" s="70"/>
      <c r="AD59" s="76">
        <v>541</v>
      </c>
      <c r="AE59" s="76">
        <v>258</v>
      </c>
      <c r="AF59" s="76">
        <v>6035</v>
      </c>
      <c r="AG59" s="76">
        <v>241</v>
      </c>
      <c r="AH59" s="76" t="s">
        <v>1350</v>
      </c>
      <c r="AI59" s="76" t="s">
        <v>1504</v>
      </c>
      <c r="AJ59" s="76"/>
      <c r="AK59" s="76"/>
      <c r="AL59" s="76"/>
      <c r="AM59" s="78">
        <v>40488.834270833337</v>
      </c>
      <c r="AN59" s="76" t="s">
        <v>1823</v>
      </c>
      <c r="AO59" s="80" t="s">
        <v>1921</v>
      </c>
      <c r="AP59" s="2"/>
      <c r="AQ59" s="3"/>
      <c r="AR59" s="3"/>
      <c r="AS59" s="3"/>
      <c r="AT59" s="3"/>
    </row>
    <row r="60" spans="1:46" ht="41.45" customHeight="1" x14ac:dyDescent="0.25">
      <c r="A60" s="62" t="s">
        <v>290</v>
      </c>
      <c r="B60" s="63"/>
      <c r="C60" s="63" t="s">
        <v>63</v>
      </c>
      <c r="D60" s="64">
        <v>1.9086735926552307</v>
      </c>
      <c r="E60" s="66">
        <v>99.809466058149553</v>
      </c>
      <c r="F60" s="97" t="s">
        <v>1744</v>
      </c>
      <c r="G60" s="63"/>
      <c r="H60" s="67" t="s">
        <v>290</v>
      </c>
      <c r="I60" s="68"/>
      <c r="J60" s="68"/>
      <c r="K60" s="67" t="s">
        <v>2128</v>
      </c>
      <c r="L60" s="71">
        <v>64.498611687358377</v>
      </c>
      <c r="M60" s="72">
        <v>7409.61767578125</v>
      </c>
      <c r="N60" s="72">
        <v>4779.92822265625</v>
      </c>
      <c r="O60" s="73"/>
      <c r="P60" s="74"/>
      <c r="Q60" s="74"/>
      <c r="S60" s="48">
        <v>1</v>
      </c>
      <c r="T60" s="48">
        <v>2</v>
      </c>
      <c r="U60" s="49">
        <v>120.72069399999999</v>
      </c>
      <c r="V60" s="49">
        <v>1.908E-3</v>
      </c>
      <c r="W60" s="49">
        <v>8.5499999999999997E-4</v>
      </c>
      <c r="X60" s="49">
        <v>0.432973</v>
      </c>
      <c r="Y60" s="49">
        <v>0</v>
      </c>
      <c r="Z60" s="49">
        <v>0.5</v>
      </c>
      <c r="AA60" s="69">
        <v>116</v>
      </c>
      <c r="AB60" s="69"/>
      <c r="AC60" s="70"/>
      <c r="AD60" s="76">
        <v>1997</v>
      </c>
      <c r="AE60" s="76">
        <v>398</v>
      </c>
      <c r="AF60" s="76">
        <v>34855</v>
      </c>
      <c r="AG60" s="76">
        <v>6</v>
      </c>
      <c r="AH60" s="76"/>
      <c r="AI60" s="76"/>
      <c r="AJ60" s="76"/>
      <c r="AK60" s="76" t="s">
        <v>1631</v>
      </c>
      <c r="AL60" s="76">
        <v>-25200</v>
      </c>
      <c r="AM60" s="78">
        <v>39823.961180555554</v>
      </c>
      <c r="AN60" s="76" t="s">
        <v>1823</v>
      </c>
      <c r="AO60" s="80" t="s">
        <v>1936</v>
      </c>
      <c r="AP60" s="2"/>
      <c r="AQ60" s="3"/>
      <c r="AR60" s="3"/>
      <c r="AS60" s="3"/>
      <c r="AT60" s="3"/>
    </row>
    <row r="61" spans="1:46" ht="41.45" customHeight="1" x14ac:dyDescent="0.25">
      <c r="A61" s="62" t="s">
        <v>260</v>
      </c>
      <c r="B61" s="63"/>
      <c r="C61" s="63" t="s">
        <v>63</v>
      </c>
      <c r="D61" s="64">
        <v>7.7297052428122734</v>
      </c>
      <c r="E61" s="66">
        <v>97.095554208023486</v>
      </c>
      <c r="F61" s="97" t="s">
        <v>1720</v>
      </c>
      <c r="G61" s="63"/>
      <c r="H61" s="67" t="s">
        <v>260</v>
      </c>
      <c r="I61" s="68"/>
      <c r="J61" s="68"/>
      <c r="K61" s="67" t="s">
        <v>2103</v>
      </c>
      <c r="L61" s="71">
        <v>968.95496760603839</v>
      </c>
      <c r="M61" s="72">
        <v>1993.6136474609375</v>
      </c>
      <c r="N61" s="72">
        <v>7392.63037109375</v>
      </c>
      <c r="O61" s="73"/>
      <c r="P61" s="74"/>
      <c r="Q61" s="74"/>
      <c r="S61" s="48">
        <v>10</v>
      </c>
      <c r="T61" s="48">
        <v>10</v>
      </c>
      <c r="U61" s="49">
        <v>120.411841</v>
      </c>
      <c r="V61" s="49">
        <v>2.2520000000000001E-3</v>
      </c>
      <c r="W61" s="49">
        <v>1.0761E-2</v>
      </c>
      <c r="X61" s="49">
        <v>1.0682400000000001</v>
      </c>
      <c r="Y61" s="49">
        <v>0.55555555555555558</v>
      </c>
      <c r="Z61" s="49">
        <v>1</v>
      </c>
      <c r="AA61" s="69">
        <v>91</v>
      </c>
      <c r="AB61" s="69"/>
      <c r="AC61" s="70"/>
      <c r="AD61" s="76">
        <v>5066</v>
      </c>
      <c r="AE61" s="76">
        <v>6067</v>
      </c>
      <c r="AF61" s="76">
        <v>30016</v>
      </c>
      <c r="AG61" s="76">
        <v>58</v>
      </c>
      <c r="AH61" s="76" t="s">
        <v>1341</v>
      </c>
      <c r="AI61" s="76" t="s">
        <v>1495</v>
      </c>
      <c r="AJ61" s="76"/>
      <c r="AK61" s="76" t="s">
        <v>1625</v>
      </c>
      <c r="AL61" s="76">
        <v>-18000</v>
      </c>
      <c r="AM61" s="78">
        <v>39983.06621527778</v>
      </c>
      <c r="AN61" s="76" t="s">
        <v>1823</v>
      </c>
      <c r="AO61" s="80" t="s">
        <v>1912</v>
      </c>
      <c r="AP61" s="2"/>
      <c r="AQ61" s="3"/>
      <c r="AR61" s="3"/>
      <c r="AS61" s="3"/>
      <c r="AT61" s="3"/>
    </row>
    <row r="62" spans="1:46" ht="41.45" customHeight="1" x14ac:dyDescent="0.25">
      <c r="A62" s="62" t="s">
        <v>218</v>
      </c>
      <c r="B62" s="63"/>
      <c r="C62" s="63" t="s">
        <v>63</v>
      </c>
      <c r="D62" s="64">
        <v>3.1634452766368688</v>
      </c>
      <c r="E62" s="66">
        <v>99.224459834679095</v>
      </c>
      <c r="F62" s="97" t="s">
        <v>1671</v>
      </c>
      <c r="G62" s="63"/>
      <c r="H62" s="67" t="s">
        <v>218</v>
      </c>
      <c r="I62" s="68"/>
      <c r="J62" s="68"/>
      <c r="K62" s="67" t="s">
        <v>2053</v>
      </c>
      <c r="L62" s="71">
        <v>259.46168576261448</v>
      </c>
      <c r="M62" s="72">
        <v>2360.35302734375</v>
      </c>
      <c r="N62" s="72">
        <v>7259.53857421875</v>
      </c>
      <c r="O62" s="73"/>
      <c r="P62" s="74"/>
      <c r="Q62" s="74"/>
      <c r="S62" s="48">
        <v>9</v>
      </c>
      <c r="T62" s="48">
        <v>11</v>
      </c>
      <c r="U62" s="49">
        <v>106.87672000000001</v>
      </c>
      <c r="V62" s="49">
        <v>2.0790000000000001E-3</v>
      </c>
      <c r="W62" s="49">
        <v>1.0503999999999999E-2</v>
      </c>
      <c r="X62" s="49">
        <v>1.178912</v>
      </c>
      <c r="Y62" s="49">
        <v>0.3888888888888889</v>
      </c>
      <c r="Z62" s="49">
        <v>0.8</v>
      </c>
      <c r="AA62" s="69">
        <v>41</v>
      </c>
      <c r="AB62" s="69"/>
      <c r="AC62" s="70"/>
      <c r="AD62" s="76">
        <v>1992</v>
      </c>
      <c r="AE62" s="76">
        <v>1620</v>
      </c>
      <c r="AF62" s="76">
        <v>7655</v>
      </c>
      <c r="AG62" s="76">
        <v>33</v>
      </c>
      <c r="AH62" s="76" t="s">
        <v>1297</v>
      </c>
      <c r="AI62" s="76"/>
      <c r="AJ62" s="76"/>
      <c r="AK62" s="76" t="s">
        <v>1626</v>
      </c>
      <c r="AL62" s="76">
        <v>-28800</v>
      </c>
      <c r="AM62" s="78">
        <v>40257.644247685188</v>
      </c>
      <c r="AN62" s="76" t="s">
        <v>1823</v>
      </c>
      <c r="AO62" s="80" t="s">
        <v>1862</v>
      </c>
      <c r="AP62" s="2"/>
      <c r="AQ62" s="3"/>
      <c r="AR62" s="3"/>
      <c r="AS62" s="3"/>
      <c r="AT62" s="3"/>
    </row>
    <row r="63" spans="1:46" ht="41.45" customHeight="1" x14ac:dyDescent="0.25">
      <c r="A63" s="62" t="s">
        <v>320</v>
      </c>
      <c r="B63" s="63"/>
      <c r="C63" s="63" t="s">
        <v>63</v>
      </c>
      <c r="D63" s="64">
        <v>1.6078158975597971</v>
      </c>
      <c r="E63" s="66">
        <v>99.949733507803273</v>
      </c>
      <c r="F63" s="97" t="s">
        <v>1773</v>
      </c>
      <c r="G63" s="63"/>
      <c r="H63" s="67" t="s">
        <v>320</v>
      </c>
      <c r="I63" s="68"/>
      <c r="J63" s="68"/>
      <c r="K63" s="67" t="s">
        <v>2157</v>
      </c>
      <c r="L63" s="71">
        <v>17.752146299428716</v>
      </c>
      <c r="M63" s="72">
        <v>7170.59765625</v>
      </c>
      <c r="N63" s="72">
        <v>3524.778564453125</v>
      </c>
      <c r="O63" s="73"/>
      <c r="P63" s="74"/>
      <c r="Q63" s="74"/>
      <c r="S63" s="48">
        <v>2</v>
      </c>
      <c r="T63" s="48">
        <v>3</v>
      </c>
      <c r="U63" s="49">
        <v>106.859842</v>
      </c>
      <c r="V63" s="49">
        <v>1.9919999999999998E-3</v>
      </c>
      <c r="W63" s="49">
        <v>1.0380000000000001E-3</v>
      </c>
      <c r="X63" s="49">
        <v>0.47883199999999998</v>
      </c>
      <c r="Y63" s="49">
        <v>0</v>
      </c>
      <c r="Z63" s="49">
        <v>0.5</v>
      </c>
      <c r="AA63" s="69">
        <v>145</v>
      </c>
      <c r="AB63" s="69"/>
      <c r="AC63" s="70"/>
      <c r="AD63" s="76">
        <v>318</v>
      </c>
      <c r="AE63" s="76">
        <v>105</v>
      </c>
      <c r="AF63" s="76">
        <v>3429</v>
      </c>
      <c r="AG63" s="76">
        <v>27</v>
      </c>
      <c r="AH63" s="76" t="s">
        <v>1392</v>
      </c>
      <c r="AI63" s="76" t="s">
        <v>1535</v>
      </c>
      <c r="AJ63" s="76"/>
      <c r="AK63" s="76" t="s">
        <v>1625</v>
      </c>
      <c r="AL63" s="76">
        <v>-18000</v>
      </c>
      <c r="AM63" s="78">
        <v>39957.87363425926</v>
      </c>
      <c r="AN63" s="76" t="s">
        <v>1823</v>
      </c>
      <c r="AO63" s="80" t="s">
        <v>1965</v>
      </c>
      <c r="AP63" s="2"/>
      <c r="AQ63" s="3"/>
      <c r="AR63" s="3"/>
      <c r="AS63" s="3"/>
      <c r="AT63" s="3"/>
    </row>
    <row r="64" spans="1:46" ht="41.45" customHeight="1" x14ac:dyDescent="0.25">
      <c r="A64" s="62" t="s">
        <v>361</v>
      </c>
      <c r="B64" s="63"/>
      <c r="C64" s="63" t="s">
        <v>63</v>
      </c>
      <c r="D64" s="64">
        <v>2.5216839816380769</v>
      </c>
      <c r="E64" s="66">
        <v>99.523665145373883</v>
      </c>
      <c r="F64" s="97" t="s">
        <v>1808</v>
      </c>
      <c r="G64" s="63"/>
      <c r="H64" s="67" t="s">
        <v>361</v>
      </c>
      <c r="I64" s="68"/>
      <c r="J64" s="68"/>
      <c r="K64" s="67" t="s">
        <v>2192</v>
      </c>
      <c r="L64" s="71">
        <v>159.74652921839595</v>
      </c>
      <c r="M64" s="72">
        <v>4001.62890625</v>
      </c>
      <c r="N64" s="72">
        <v>8035.54052734375</v>
      </c>
      <c r="O64" s="73"/>
      <c r="P64" s="74"/>
      <c r="Q64" s="74"/>
      <c r="S64" s="48">
        <v>14</v>
      </c>
      <c r="T64" s="48">
        <v>17</v>
      </c>
      <c r="U64" s="49">
        <v>105.626374</v>
      </c>
      <c r="V64" s="49">
        <v>2.421E-3</v>
      </c>
      <c r="W64" s="49">
        <v>2.5326000000000001E-2</v>
      </c>
      <c r="X64" s="49">
        <v>1.7075400000000001</v>
      </c>
      <c r="Y64" s="49">
        <v>0.42156862745098039</v>
      </c>
      <c r="Z64" s="49">
        <v>0.61111111111111116</v>
      </c>
      <c r="AA64" s="69">
        <v>180</v>
      </c>
      <c r="AB64" s="69"/>
      <c r="AC64" s="70"/>
      <c r="AD64" s="76">
        <v>1065</v>
      </c>
      <c r="AE64" s="76">
        <v>995</v>
      </c>
      <c r="AF64" s="76">
        <v>22559</v>
      </c>
      <c r="AG64" s="76">
        <v>694</v>
      </c>
      <c r="AH64" s="76" t="s">
        <v>1425</v>
      </c>
      <c r="AI64" s="76" t="s">
        <v>1557</v>
      </c>
      <c r="AJ64" s="76"/>
      <c r="AK64" s="76" t="s">
        <v>1627</v>
      </c>
      <c r="AL64" s="76">
        <v>-18000</v>
      </c>
      <c r="AM64" s="78">
        <v>39979.90520833333</v>
      </c>
      <c r="AN64" s="76" t="s">
        <v>1823</v>
      </c>
      <c r="AO64" s="80" t="s">
        <v>2000</v>
      </c>
      <c r="AP64" s="2"/>
      <c r="AQ64" s="3"/>
      <c r="AR64" s="3"/>
      <c r="AS64" s="3"/>
      <c r="AT64" s="3"/>
    </row>
    <row r="65" spans="1:46" ht="41.45" customHeight="1" x14ac:dyDescent="0.25">
      <c r="A65" s="62" t="s">
        <v>279</v>
      </c>
      <c r="B65" s="63"/>
      <c r="C65" s="63" t="s">
        <v>63</v>
      </c>
      <c r="D65" s="64">
        <v>2.7712007731336072</v>
      </c>
      <c r="E65" s="66">
        <v>99.407334120575754</v>
      </c>
      <c r="F65" s="97" t="s">
        <v>1736</v>
      </c>
      <c r="G65" s="63"/>
      <c r="H65" s="67" t="s">
        <v>279</v>
      </c>
      <c r="I65" s="68"/>
      <c r="J65" s="68"/>
      <c r="K65" s="67" t="s">
        <v>2120</v>
      </c>
      <c r="L65" s="71">
        <v>198.51578208278812</v>
      </c>
      <c r="M65" s="72">
        <v>5423.56005859375</v>
      </c>
      <c r="N65" s="72">
        <v>2407.392578125</v>
      </c>
      <c r="O65" s="73"/>
      <c r="P65" s="74"/>
      <c r="Q65" s="74"/>
      <c r="S65" s="48">
        <v>5</v>
      </c>
      <c r="T65" s="48">
        <v>6</v>
      </c>
      <c r="U65" s="49">
        <v>100.502017</v>
      </c>
      <c r="V65" s="49">
        <v>1.9919999999999998E-3</v>
      </c>
      <c r="W65" s="49">
        <v>2.15E-3</v>
      </c>
      <c r="X65" s="49">
        <v>0.84976600000000002</v>
      </c>
      <c r="Y65" s="49">
        <v>0.16666666666666666</v>
      </c>
      <c r="Z65" s="49">
        <v>0.5</v>
      </c>
      <c r="AA65" s="69">
        <v>108</v>
      </c>
      <c r="AB65" s="69"/>
      <c r="AC65" s="70"/>
      <c r="AD65" s="76">
        <v>1113</v>
      </c>
      <c r="AE65" s="76">
        <v>1238</v>
      </c>
      <c r="AF65" s="76">
        <v>1431</v>
      </c>
      <c r="AG65" s="76">
        <v>13</v>
      </c>
      <c r="AH65" s="76" t="s">
        <v>1357</v>
      </c>
      <c r="AI65" s="76" t="s">
        <v>1511</v>
      </c>
      <c r="AJ65" s="76"/>
      <c r="AK65" s="76" t="s">
        <v>1624</v>
      </c>
      <c r="AL65" s="76">
        <v>-21600</v>
      </c>
      <c r="AM65" s="78">
        <v>39700.803946759261</v>
      </c>
      <c r="AN65" s="76" t="s">
        <v>1823</v>
      </c>
      <c r="AO65" s="80" t="s">
        <v>1928</v>
      </c>
      <c r="AP65" s="2"/>
      <c r="AQ65" s="3"/>
      <c r="AR65" s="3"/>
      <c r="AS65" s="3"/>
      <c r="AT65" s="3"/>
    </row>
    <row r="66" spans="1:46" ht="41.45" customHeight="1" x14ac:dyDescent="0.25">
      <c r="A66" s="62" t="s">
        <v>359</v>
      </c>
      <c r="B66" s="63"/>
      <c r="C66" s="63" t="s">
        <v>63</v>
      </c>
      <c r="D66" s="64">
        <v>2.1243053877748248</v>
      </c>
      <c r="E66" s="66">
        <v>99.7089330737561</v>
      </c>
      <c r="F66" s="97" t="s">
        <v>1806</v>
      </c>
      <c r="G66" s="63"/>
      <c r="H66" s="67" t="s">
        <v>359</v>
      </c>
      <c r="I66" s="68"/>
      <c r="J66" s="68"/>
      <c r="K66" s="67" t="s">
        <v>2190</v>
      </c>
      <c r="L66" s="71">
        <v>98.002904286215809</v>
      </c>
      <c r="M66" s="72">
        <v>4424.3466796875</v>
      </c>
      <c r="N66" s="72">
        <v>6825.7685546875</v>
      </c>
      <c r="O66" s="73"/>
      <c r="P66" s="74"/>
      <c r="Q66" s="74"/>
      <c r="S66" s="48">
        <v>11</v>
      </c>
      <c r="T66" s="48">
        <v>12</v>
      </c>
      <c r="U66" s="49">
        <v>96.574495999999996</v>
      </c>
      <c r="V66" s="49">
        <v>2.1280000000000001E-3</v>
      </c>
      <c r="W66" s="49">
        <v>1.5755999999999999E-2</v>
      </c>
      <c r="X66" s="49">
        <v>1.2463040000000001</v>
      </c>
      <c r="Y66" s="49">
        <v>0.4621212121212121</v>
      </c>
      <c r="Z66" s="49">
        <v>0.75</v>
      </c>
      <c r="AA66" s="69">
        <v>178</v>
      </c>
      <c r="AB66" s="69"/>
      <c r="AC66" s="70"/>
      <c r="AD66" s="76">
        <v>902</v>
      </c>
      <c r="AE66" s="76">
        <v>608</v>
      </c>
      <c r="AF66" s="76">
        <v>5070</v>
      </c>
      <c r="AG66" s="76">
        <v>10</v>
      </c>
      <c r="AH66" s="76" t="s">
        <v>1423</v>
      </c>
      <c r="AI66" s="76" t="s">
        <v>1555</v>
      </c>
      <c r="AJ66" s="80" t="s">
        <v>1619</v>
      </c>
      <c r="AK66" s="76" t="s">
        <v>1625</v>
      </c>
      <c r="AL66" s="76">
        <v>-18000</v>
      </c>
      <c r="AM66" s="78">
        <v>40581.706307870372</v>
      </c>
      <c r="AN66" s="76" t="s">
        <v>1823</v>
      </c>
      <c r="AO66" s="80" t="s">
        <v>1998</v>
      </c>
      <c r="AP66" s="2"/>
      <c r="AQ66" s="3"/>
      <c r="AR66" s="3"/>
      <c r="AS66" s="3"/>
      <c r="AT66" s="3"/>
    </row>
    <row r="67" spans="1:46" ht="41.45" customHeight="1" x14ac:dyDescent="0.25">
      <c r="A67" s="62" t="s">
        <v>334</v>
      </c>
      <c r="B67" s="63"/>
      <c r="C67" s="63" t="s">
        <v>63</v>
      </c>
      <c r="D67" s="64">
        <v>1.7135781589755981</v>
      </c>
      <c r="E67" s="66">
        <v>99.900424472600776</v>
      </c>
      <c r="F67" s="97" t="s">
        <v>1784</v>
      </c>
      <c r="G67" s="63"/>
      <c r="H67" s="67" t="s">
        <v>334</v>
      </c>
      <c r="I67" s="68"/>
      <c r="J67" s="68"/>
      <c r="K67" s="67" t="s">
        <v>2168</v>
      </c>
      <c r="L67" s="71">
        <v>34.185204097915936</v>
      </c>
      <c r="M67" s="72">
        <v>5255.5263671875</v>
      </c>
      <c r="N67" s="72">
        <v>1871.0570068359375</v>
      </c>
      <c r="O67" s="73"/>
      <c r="P67" s="74"/>
      <c r="Q67" s="74"/>
      <c r="S67" s="48">
        <v>2</v>
      </c>
      <c r="T67" s="48">
        <v>14</v>
      </c>
      <c r="U67" s="49">
        <v>93.310124000000002</v>
      </c>
      <c r="V67" s="49">
        <v>1.9189999999999999E-3</v>
      </c>
      <c r="W67" s="49">
        <v>3.137E-3</v>
      </c>
      <c r="X67" s="49">
        <v>1.4473800000000001</v>
      </c>
      <c r="Y67" s="49">
        <v>0.13461538461538461</v>
      </c>
      <c r="Z67" s="49">
        <v>7.6923076923076927E-2</v>
      </c>
      <c r="AA67" s="69">
        <v>156</v>
      </c>
      <c r="AB67" s="69"/>
      <c r="AC67" s="70"/>
      <c r="AD67" s="76">
        <v>650</v>
      </c>
      <c r="AE67" s="76">
        <v>208</v>
      </c>
      <c r="AF67" s="76">
        <v>678</v>
      </c>
      <c r="AG67" s="76">
        <v>31</v>
      </c>
      <c r="AH67" s="76" t="s">
        <v>1402</v>
      </c>
      <c r="AI67" s="76" t="s">
        <v>1543</v>
      </c>
      <c r="AJ67" s="76"/>
      <c r="AK67" s="76"/>
      <c r="AL67" s="76"/>
      <c r="AM67" s="78">
        <v>41114.225682870368</v>
      </c>
      <c r="AN67" s="76" t="s">
        <v>1823</v>
      </c>
      <c r="AO67" s="80" t="s">
        <v>1976</v>
      </c>
      <c r="AP67" s="2"/>
      <c r="AQ67" s="3"/>
      <c r="AR67" s="3"/>
      <c r="AS67" s="3"/>
      <c r="AT67" s="3"/>
    </row>
    <row r="68" spans="1:46" ht="41.45" customHeight="1" x14ac:dyDescent="0.25">
      <c r="A68" s="62" t="s">
        <v>324</v>
      </c>
      <c r="B68" s="63"/>
      <c r="C68" s="63" t="s">
        <v>63</v>
      </c>
      <c r="D68" s="64">
        <v>2.1530562937907707</v>
      </c>
      <c r="E68" s="66">
        <v>99.695528675836982</v>
      </c>
      <c r="F68" s="97" t="s">
        <v>1772</v>
      </c>
      <c r="G68" s="63"/>
      <c r="H68" s="67" t="s">
        <v>324</v>
      </c>
      <c r="I68" s="68"/>
      <c r="J68" s="68"/>
      <c r="K68" s="67" t="s">
        <v>2156</v>
      </c>
      <c r="L68" s="71">
        <v>102.4701432993968</v>
      </c>
      <c r="M68" s="72">
        <v>3695.23876953125</v>
      </c>
      <c r="N68" s="72">
        <v>2095.95654296875</v>
      </c>
      <c r="O68" s="73"/>
      <c r="P68" s="74"/>
      <c r="Q68" s="74"/>
      <c r="S68" s="48">
        <v>11</v>
      </c>
      <c r="T68" s="48">
        <v>7</v>
      </c>
      <c r="U68" s="49">
        <v>92.008003000000002</v>
      </c>
      <c r="V68" s="49">
        <v>2.0530000000000001E-3</v>
      </c>
      <c r="W68" s="49">
        <v>3.617E-3</v>
      </c>
      <c r="X68" s="49">
        <v>1.2510790000000001</v>
      </c>
      <c r="Y68" s="49">
        <v>0.27272727272727271</v>
      </c>
      <c r="Z68" s="49">
        <v>0.45454545454545453</v>
      </c>
      <c r="AA68" s="69">
        <v>144</v>
      </c>
      <c r="AB68" s="69"/>
      <c r="AC68" s="70"/>
      <c r="AD68" s="76">
        <v>558</v>
      </c>
      <c r="AE68" s="76">
        <v>636</v>
      </c>
      <c r="AF68" s="76">
        <v>7961</v>
      </c>
      <c r="AG68" s="76">
        <v>1045</v>
      </c>
      <c r="AH68" s="76" t="s">
        <v>1391</v>
      </c>
      <c r="AI68" s="76" t="s">
        <v>1534</v>
      </c>
      <c r="AJ68" s="76"/>
      <c r="AK68" s="76" t="s">
        <v>1625</v>
      </c>
      <c r="AL68" s="76">
        <v>-18000</v>
      </c>
      <c r="AM68" s="78">
        <v>40824.911157407405</v>
      </c>
      <c r="AN68" s="76" t="s">
        <v>1823</v>
      </c>
      <c r="AO68" s="80" t="s">
        <v>1964</v>
      </c>
      <c r="AP68" s="2"/>
      <c r="AQ68" s="3"/>
      <c r="AR68" s="3"/>
      <c r="AS68" s="3"/>
      <c r="AT68" s="3"/>
    </row>
    <row r="69" spans="1:46" ht="41.45" customHeight="1" x14ac:dyDescent="0.25">
      <c r="A69" s="62" t="s">
        <v>296</v>
      </c>
      <c r="B69" s="63"/>
      <c r="C69" s="63" t="s">
        <v>63</v>
      </c>
      <c r="D69" s="64">
        <v>2.7599057743416284</v>
      </c>
      <c r="E69" s="66">
        <v>99.412600134043984</v>
      </c>
      <c r="F69" s="97" t="s">
        <v>1754</v>
      </c>
      <c r="G69" s="63"/>
      <c r="H69" s="67" t="s">
        <v>296</v>
      </c>
      <c r="I69" s="68"/>
      <c r="J69" s="68"/>
      <c r="K69" s="67" t="s">
        <v>2138</v>
      </c>
      <c r="L69" s="71">
        <v>196.76079532760986</v>
      </c>
      <c r="M69" s="72">
        <v>2775.798828125</v>
      </c>
      <c r="N69" s="72">
        <v>1939.73876953125</v>
      </c>
      <c r="O69" s="73"/>
      <c r="P69" s="74"/>
      <c r="Q69" s="74"/>
      <c r="S69" s="48">
        <v>6</v>
      </c>
      <c r="T69" s="48">
        <v>6</v>
      </c>
      <c r="U69" s="49">
        <v>90.628304</v>
      </c>
      <c r="V69" s="49">
        <v>2.1689999999999999E-3</v>
      </c>
      <c r="W69" s="49">
        <v>3.5200000000000001E-3</v>
      </c>
      <c r="X69" s="49">
        <v>0.97502200000000006</v>
      </c>
      <c r="Y69" s="49">
        <v>0.17857142857142858</v>
      </c>
      <c r="Z69" s="49">
        <v>0.25</v>
      </c>
      <c r="AA69" s="69">
        <v>126</v>
      </c>
      <c r="AB69" s="69"/>
      <c r="AC69" s="70"/>
      <c r="AD69" s="76">
        <v>983</v>
      </c>
      <c r="AE69" s="76">
        <v>1227</v>
      </c>
      <c r="AF69" s="76">
        <v>30759</v>
      </c>
      <c r="AG69" s="76">
        <v>133</v>
      </c>
      <c r="AH69" s="76" t="s">
        <v>1374</v>
      </c>
      <c r="AI69" s="76" t="s">
        <v>1523</v>
      </c>
      <c r="AJ69" s="76"/>
      <c r="AK69" s="76"/>
      <c r="AL69" s="76"/>
      <c r="AM69" s="78">
        <v>40027.786516203705</v>
      </c>
      <c r="AN69" s="76" t="s">
        <v>1823</v>
      </c>
      <c r="AO69" s="80" t="s">
        <v>1946</v>
      </c>
      <c r="AP69" s="2"/>
      <c r="AQ69" s="3"/>
      <c r="AR69" s="3"/>
      <c r="AS69" s="3"/>
      <c r="AT69" s="3"/>
    </row>
    <row r="70" spans="1:46" ht="41.45" customHeight="1" x14ac:dyDescent="0.25">
      <c r="A70" s="62" t="s">
        <v>253</v>
      </c>
      <c r="B70" s="63"/>
      <c r="C70" s="63" t="s">
        <v>63</v>
      </c>
      <c r="D70" s="64">
        <v>2.0709108480309255</v>
      </c>
      <c r="E70" s="66">
        <v>99.733826955605906</v>
      </c>
      <c r="F70" s="97" t="s">
        <v>1714</v>
      </c>
      <c r="G70" s="63"/>
      <c r="H70" s="67" t="s">
        <v>253</v>
      </c>
      <c r="I70" s="68"/>
      <c r="J70" s="68"/>
      <c r="K70" s="67" t="s">
        <v>2097</v>
      </c>
      <c r="L70" s="71">
        <v>89.706603261736831</v>
      </c>
      <c r="M70" s="72">
        <v>1484.54541015625</v>
      </c>
      <c r="N70" s="72">
        <v>7583.36328125</v>
      </c>
      <c r="O70" s="73"/>
      <c r="P70" s="74"/>
      <c r="Q70" s="74"/>
      <c r="S70" s="48">
        <v>5</v>
      </c>
      <c r="T70" s="48">
        <v>7</v>
      </c>
      <c r="U70" s="49">
        <v>87.463617999999997</v>
      </c>
      <c r="V70" s="49">
        <v>2.0409999999999998E-3</v>
      </c>
      <c r="W70" s="49">
        <v>5.1460000000000004E-3</v>
      </c>
      <c r="X70" s="49">
        <v>0.83138599999999996</v>
      </c>
      <c r="Y70" s="49">
        <v>0.26666666666666666</v>
      </c>
      <c r="Z70" s="49">
        <v>0.66666666666666663</v>
      </c>
      <c r="AA70" s="69">
        <v>85</v>
      </c>
      <c r="AB70" s="69"/>
      <c r="AC70" s="70"/>
      <c r="AD70" s="76">
        <v>1205</v>
      </c>
      <c r="AE70" s="76">
        <v>556</v>
      </c>
      <c r="AF70" s="76">
        <v>7934</v>
      </c>
      <c r="AG70" s="76">
        <v>234</v>
      </c>
      <c r="AH70" s="76" t="s">
        <v>1336</v>
      </c>
      <c r="AI70" s="76" t="s">
        <v>1490</v>
      </c>
      <c r="AJ70" s="76"/>
      <c r="AK70" s="76" t="s">
        <v>1626</v>
      </c>
      <c r="AL70" s="76">
        <v>-28800</v>
      </c>
      <c r="AM70" s="78">
        <v>39988.663414351853</v>
      </c>
      <c r="AN70" s="76" t="s">
        <v>1823</v>
      </c>
      <c r="AO70" s="80" t="s">
        <v>1906</v>
      </c>
      <c r="AP70" s="2"/>
      <c r="AQ70" s="3"/>
      <c r="AR70" s="3"/>
      <c r="AS70" s="3"/>
      <c r="AT70" s="3"/>
    </row>
    <row r="71" spans="1:46" ht="41.45" customHeight="1" x14ac:dyDescent="0.25">
      <c r="A71" s="62" t="s">
        <v>357</v>
      </c>
      <c r="B71" s="63"/>
      <c r="C71" s="63" t="s">
        <v>63</v>
      </c>
      <c r="D71" s="64">
        <v>1.880949504711283</v>
      </c>
      <c r="E71" s="66">
        <v>99.822391727571571</v>
      </c>
      <c r="F71" s="97" t="s">
        <v>1804</v>
      </c>
      <c r="G71" s="63"/>
      <c r="H71" s="67" t="s">
        <v>357</v>
      </c>
      <c r="I71" s="68"/>
      <c r="J71" s="68"/>
      <c r="K71" s="67" t="s">
        <v>2188</v>
      </c>
      <c r="L71" s="71">
        <v>60.190916924648135</v>
      </c>
      <c r="M71" s="72">
        <v>4511.2197265625</v>
      </c>
      <c r="N71" s="72">
        <v>8203.6787109375</v>
      </c>
      <c r="O71" s="73"/>
      <c r="P71" s="74"/>
      <c r="Q71" s="74"/>
      <c r="S71" s="48">
        <v>7</v>
      </c>
      <c r="T71" s="48">
        <v>10</v>
      </c>
      <c r="U71" s="49">
        <v>86.025581000000003</v>
      </c>
      <c r="V71" s="49">
        <v>2.3749999999999999E-3</v>
      </c>
      <c r="W71" s="49">
        <v>1.6174999999999998E-2</v>
      </c>
      <c r="X71" s="49">
        <v>1.061245</v>
      </c>
      <c r="Y71" s="49">
        <v>0.4777777777777778</v>
      </c>
      <c r="Z71" s="49">
        <v>0.5</v>
      </c>
      <c r="AA71" s="69">
        <v>176</v>
      </c>
      <c r="AB71" s="69"/>
      <c r="AC71" s="70"/>
      <c r="AD71" s="76">
        <v>722</v>
      </c>
      <c r="AE71" s="76">
        <v>371</v>
      </c>
      <c r="AF71" s="76">
        <v>5536</v>
      </c>
      <c r="AG71" s="76">
        <v>326</v>
      </c>
      <c r="AH71" s="76" t="s">
        <v>1421</v>
      </c>
      <c r="AI71" s="76"/>
      <c r="AJ71" s="76"/>
      <c r="AK71" s="76"/>
      <c r="AL71" s="76"/>
      <c r="AM71" s="78">
        <v>40418.866527777776</v>
      </c>
      <c r="AN71" s="76" t="s">
        <v>1823</v>
      </c>
      <c r="AO71" s="80" t="s">
        <v>1996</v>
      </c>
      <c r="AP71" s="2"/>
      <c r="AQ71" s="3"/>
      <c r="AR71" s="3"/>
      <c r="AS71" s="3"/>
      <c r="AT71" s="3"/>
    </row>
    <row r="72" spans="1:46" ht="41.45" customHeight="1" x14ac:dyDescent="0.25">
      <c r="A72" s="62" t="s">
        <v>243</v>
      </c>
      <c r="B72" s="63"/>
      <c r="C72" s="63" t="s">
        <v>63</v>
      </c>
      <c r="D72" s="64">
        <v>1.7649190625755014</v>
      </c>
      <c r="E72" s="66">
        <v>99.876488047745184</v>
      </c>
      <c r="F72" s="97" t="s">
        <v>1703</v>
      </c>
      <c r="G72" s="63"/>
      <c r="H72" s="67" t="s">
        <v>243</v>
      </c>
      <c r="I72" s="68"/>
      <c r="J72" s="68"/>
      <c r="K72" s="67" t="s">
        <v>2086</v>
      </c>
      <c r="L72" s="71">
        <v>42.162416621453417</v>
      </c>
      <c r="M72" s="72">
        <v>696.449462890625</v>
      </c>
      <c r="N72" s="72">
        <v>1842.9931640625</v>
      </c>
      <c r="O72" s="73"/>
      <c r="P72" s="74"/>
      <c r="Q72" s="74"/>
      <c r="S72" s="48">
        <v>3</v>
      </c>
      <c r="T72" s="48">
        <v>2</v>
      </c>
      <c r="U72" s="49">
        <v>84.054946999999999</v>
      </c>
      <c r="V72" s="49">
        <v>2.0200000000000001E-3</v>
      </c>
      <c r="W72" s="49">
        <v>9.2900000000000003E-4</v>
      </c>
      <c r="X72" s="49">
        <v>0.57033500000000004</v>
      </c>
      <c r="Y72" s="49">
        <v>0</v>
      </c>
      <c r="Z72" s="49">
        <v>0</v>
      </c>
      <c r="AA72" s="69">
        <v>74</v>
      </c>
      <c r="AB72" s="69"/>
      <c r="AC72" s="70"/>
      <c r="AD72" s="76">
        <v>56</v>
      </c>
      <c r="AE72" s="76">
        <v>258</v>
      </c>
      <c r="AF72" s="76">
        <v>12298</v>
      </c>
      <c r="AG72" s="76">
        <v>12</v>
      </c>
      <c r="AH72" s="76"/>
      <c r="AI72" s="76"/>
      <c r="AJ72" s="76"/>
      <c r="AK72" s="76"/>
      <c r="AL72" s="76"/>
      <c r="AM72" s="78">
        <v>40470.702175925922</v>
      </c>
      <c r="AN72" s="76" t="s">
        <v>1823</v>
      </c>
      <c r="AO72" s="80" t="s">
        <v>1895</v>
      </c>
      <c r="AP72" s="2"/>
      <c r="AQ72" s="3"/>
      <c r="AR72" s="3"/>
      <c r="AS72" s="3"/>
      <c r="AT72" s="3"/>
    </row>
    <row r="73" spans="1:46" ht="41.45" customHeight="1" x14ac:dyDescent="0.25">
      <c r="A73" s="62" t="s">
        <v>353</v>
      </c>
      <c r="B73" s="63"/>
      <c r="C73" s="63" t="s">
        <v>63</v>
      </c>
      <c r="D73" s="64">
        <v>3.8236892969316258</v>
      </c>
      <c r="E73" s="66">
        <v>98.916637411036291</v>
      </c>
      <c r="F73" s="97" t="s">
        <v>1802</v>
      </c>
      <c r="G73" s="63"/>
      <c r="H73" s="67" t="s">
        <v>353</v>
      </c>
      <c r="I73" s="68"/>
      <c r="J73" s="68"/>
      <c r="K73" s="67" t="s">
        <v>2186</v>
      </c>
      <c r="L73" s="71">
        <v>362.04863881530656</v>
      </c>
      <c r="M73" s="72">
        <v>3314.564453125</v>
      </c>
      <c r="N73" s="72">
        <v>6478.40234375</v>
      </c>
      <c r="O73" s="73"/>
      <c r="P73" s="74"/>
      <c r="Q73" s="74"/>
      <c r="S73" s="48">
        <v>6</v>
      </c>
      <c r="T73" s="48">
        <v>7</v>
      </c>
      <c r="U73" s="49">
        <v>81.160747999999998</v>
      </c>
      <c r="V73" s="49">
        <v>2.1320000000000002E-3</v>
      </c>
      <c r="W73" s="49">
        <v>8.7729999999999995E-3</v>
      </c>
      <c r="X73" s="49">
        <v>0.80037199999999997</v>
      </c>
      <c r="Y73" s="49">
        <v>0.6</v>
      </c>
      <c r="Z73" s="49">
        <v>0.83333333333333337</v>
      </c>
      <c r="AA73" s="69">
        <v>174</v>
      </c>
      <c r="AB73" s="69"/>
      <c r="AC73" s="70"/>
      <c r="AD73" s="76">
        <v>2025</v>
      </c>
      <c r="AE73" s="76">
        <v>2263</v>
      </c>
      <c r="AF73" s="76">
        <v>48370</v>
      </c>
      <c r="AG73" s="76">
        <v>222</v>
      </c>
      <c r="AH73" s="76" t="s">
        <v>1419</v>
      </c>
      <c r="AI73" s="76" t="s">
        <v>1519</v>
      </c>
      <c r="AJ73" s="76"/>
      <c r="AK73" s="76" t="s">
        <v>1626</v>
      </c>
      <c r="AL73" s="76">
        <v>-28800</v>
      </c>
      <c r="AM73" s="78">
        <v>39918.511863425927</v>
      </c>
      <c r="AN73" s="76" t="s">
        <v>1823</v>
      </c>
      <c r="AO73" s="80" t="s">
        <v>1994</v>
      </c>
      <c r="AP73" s="2"/>
      <c r="AQ73" s="3"/>
      <c r="AR73" s="3"/>
      <c r="AS73" s="3"/>
      <c r="AT73" s="3"/>
    </row>
    <row r="74" spans="1:46" ht="41.45" customHeight="1" x14ac:dyDescent="0.25">
      <c r="A74" s="62" t="s">
        <v>216</v>
      </c>
      <c r="B74" s="63"/>
      <c r="C74" s="63" t="s">
        <v>63</v>
      </c>
      <c r="D74" s="64">
        <v>2.2649794636385598</v>
      </c>
      <c r="E74" s="66">
        <v>99.643347269651798</v>
      </c>
      <c r="F74" s="97" t="s">
        <v>1667</v>
      </c>
      <c r="G74" s="63"/>
      <c r="H74" s="67" t="s">
        <v>216</v>
      </c>
      <c r="I74" s="68"/>
      <c r="J74" s="68"/>
      <c r="K74" s="67" t="s">
        <v>2049</v>
      </c>
      <c r="L74" s="71">
        <v>119.86046660070852</v>
      </c>
      <c r="M74" s="72">
        <v>4672.17138671875</v>
      </c>
      <c r="N74" s="72">
        <v>5785.2138671875</v>
      </c>
      <c r="O74" s="73"/>
      <c r="P74" s="74"/>
      <c r="Q74" s="74"/>
      <c r="S74" s="48">
        <v>3</v>
      </c>
      <c r="T74" s="48">
        <v>5</v>
      </c>
      <c r="U74" s="49">
        <v>79.623525000000001</v>
      </c>
      <c r="V74" s="49">
        <v>1.9189999999999999E-3</v>
      </c>
      <c r="W74" s="49">
        <v>3.4940000000000001E-3</v>
      </c>
      <c r="X74" s="49">
        <v>0.79892399999999997</v>
      </c>
      <c r="Y74" s="49">
        <v>0.25</v>
      </c>
      <c r="Z74" s="49">
        <v>0.2</v>
      </c>
      <c r="AA74" s="69">
        <v>37</v>
      </c>
      <c r="AB74" s="69"/>
      <c r="AC74" s="70"/>
      <c r="AD74" s="76">
        <v>720</v>
      </c>
      <c r="AE74" s="76">
        <v>745</v>
      </c>
      <c r="AF74" s="76">
        <v>18620</v>
      </c>
      <c r="AG74" s="76">
        <v>4</v>
      </c>
      <c r="AH74" s="76" t="s">
        <v>1294</v>
      </c>
      <c r="AI74" s="76" t="s">
        <v>1456</v>
      </c>
      <c r="AJ74" s="80" t="s">
        <v>1581</v>
      </c>
      <c r="AK74" s="76" t="s">
        <v>1624</v>
      </c>
      <c r="AL74" s="76">
        <v>-21600</v>
      </c>
      <c r="AM74" s="78">
        <v>40127.652384259258</v>
      </c>
      <c r="AN74" s="76" t="s">
        <v>1823</v>
      </c>
      <c r="AO74" s="80" t="s">
        <v>1858</v>
      </c>
      <c r="AP74" s="2"/>
      <c r="AQ74" s="3"/>
      <c r="AR74" s="3"/>
      <c r="AS74" s="3"/>
      <c r="AT74" s="3"/>
    </row>
    <row r="75" spans="1:46" ht="41.45" customHeight="1" x14ac:dyDescent="0.25">
      <c r="A75" s="62" t="s">
        <v>304</v>
      </c>
      <c r="B75" s="63"/>
      <c r="C75" s="63" t="s">
        <v>63</v>
      </c>
      <c r="D75" s="64">
        <v>3.8524402029475717</v>
      </c>
      <c r="E75" s="66">
        <v>98.903233013117159</v>
      </c>
      <c r="F75" s="97" t="s">
        <v>1756</v>
      </c>
      <c r="G75" s="63"/>
      <c r="H75" s="67" t="s">
        <v>304</v>
      </c>
      <c r="I75" s="68"/>
      <c r="J75" s="68"/>
      <c r="K75" s="67" t="s">
        <v>2140</v>
      </c>
      <c r="L75" s="71">
        <v>366.51587782848753</v>
      </c>
      <c r="M75" s="72">
        <v>4818.939453125</v>
      </c>
      <c r="N75" s="72">
        <v>2690.631103515625</v>
      </c>
      <c r="O75" s="73"/>
      <c r="P75" s="74"/>
      <c r="Q75" s="74"/>
      <c r="S75" s="48">
        <v>9</v>
      </c>
      <c r="T75" s="48">
        <v>10</v>
      </c>
      <c r="U75" s="49">
        <v>74.140154999999993</v>
      </c>
      <c r="V75" s="49">
        <v>2.0040000000000001E-3</v>
      </c>
      <c r="W75" s="49">
        <v>2.9849999999999998E-3</v>
      </c>
      <c r="X75" s="49">
        <v>1.1018319999999999</v>
      </c>
      <c r="Y75" s="49">
        <v>0.20833333333333334</v>
      </c>
      <c r="Z75" s="49">
        <v>0.88888888888888884</v>
      </c>
      <c r="AA75" s="69">
        <v>128</v>
      </c>
      <c r="AB75" s="69"/>
      <c r="AC75" s="70"/>
      <c r="AD75" s="76">
        <v>2336</v>
      </c>
      <c r="AE75" s="76">
        <v>2291</v>
      </c>
      <c r="AF75" s="76">
        <v>32857</v>
      </c>
      <c r="AG75" s="76">
        <v>62</v>
      </c>
      <c r="AH75" s="76" t="s">
        <v>1376</v>
      </c>
      <c r="AI75" s="76" t="s">
        <v>1524</v>
      </c>
      <c r="AJ75" s="76"/>
      <c r="AK75" s="76" t="s">
        <v>1624</v>
      </c>
      <c r="AL75" s="76">
        <v>-21600</v>
      </c>
      <c r="AM75" s="78">
        <v>40466.776655092595</v>
      </c>
      <c r="AN75" s="76" t="s">
        <v>1823</v>
      </c>
      <c r="AO75" s="80" t="s">
        <v>1948</v>
      </c>
      <c r="AP75" s="2"/>
      <c r="AQ75" s="3"/>
      <c r="AR75" s="3"/>
      <c r="AS75" s="3"/>
      <c r="AT75" s="3"/>
    </row>
    <row r="76" spans="1:46" ht="41.45" customHeight="1" x14ac:dyDescent="0.25">
      <c r="A76" s="62" t="s">
        <v>336</v>
      </c>
      <c r="B76" s="63"/>
      <c r="C76" s="63" t="s">
        <v>63</v>
      </c>
      <c r="D76" s="64">
        <v>1.6006281710558106</v>
      </c>
      <c r="E76" s="66">
        <v>99.95308460728306</v>
      </c>
      <c r="F76" s="97" t="s">
        <v>1785</v>
      </c>
      <c r="G76" s="63"/>
      <c r="H76" s="67" t="s">
        <v>336</v>
      </c>
      <c r="I76" s="68"/>
      <c r="J76" s="68"/>
      <c r="K76" s="67" t="s">
        <v>2169</v>
      </c>
      <c r="L76" s="71">
        <v>16.63533654613347</v>
      </c>
      <c r="M76" s="72">
        <v>3352.138427734375</v>
      </c>
      <c r="N76" s="72">
        <v>3430.1630859375</v>
      </c>
      <c r="O76" s="73"/>
      <c r="P76" s="74"/>
      <c r="Q76" s="74"/>
      <c r="S76" s="48">
        <v>3</v>
      </c>
      <c r="T76" s="48">
        <v>3</v>
      </c>
      <c r="U76" s="49">
        <v>72.672921000000002</v>
      </c>
      <c r="V76" s="49">
        <v>2.2620000000000001E-3</v>
      </c>
      <c r="W76" s="49">
        <v>3.2759999999999998E-3</v>
      </c>
      <c r="X76" s="49">
        <v>0.621143</v>
      </c>
      <c r="Y76" s="49">
        <v>0.16666666666666666</v>
      </c>
      <c r="Z76" s="49">
        <v>0</v>
      </c>
      <c r="AA76" s="69">
        <v>157</v>
      </c>
      <c r="AB76" s="69"/>
      <c r="AC76" s="70"/>
      <c r="AD76" s="76">
        <v>160</v>
      </c>
      <c r="AE76" s="76">
        <v>98</v>
      </c>
      <c r="AF76" s="76">
        <v>3505</v>
      </c>
      <c r="AG76" s="76">
        <v>0</v>
      </c>
      <c r="AH76" s="76" t="s">
        <v>1403</v>
      </c>
      <c r="AI76" s="76" t="s">
        <v>1544</v>
      </c>
      <c r="AJ76" s="76"/>
      <c r="AK76" s="76" t="s">
        <v>1624</v>
      </c>
      <c r="AL76" s="76">
        <v>-21600</v>
      </c>
      <c r="AM76" s="78">
        <v>40956.107210648152</v>
      </c>
      <c r="AN76" s="76" t="s">
        <v>1823</v>
      </c>
      <c r="AO76" s="80" t="s">
        <v>1977</v>
      </c>
      <c r="AP76" s="2"/>
      <c r="AQ76" s="3"/>
      <c r="AR76" s="3"/>
      <c r="AS76" s="3"/>
      <c r="AT76" s="3"/>
    </row>
    <row r="77" spans="1:46" ht="41.45" customHeight="1" x14ac:dyDescent="0.25">
      <c r="A77" s="62" t="s">
        <v>294</v>
      </c>
      <c r="B77" s="63"/>
      <c r="C77" s="63" t="s">
        <v>63</v>
      </c>
      <c r="D77" s="64">
        <v>3.8236892969316258</v>
      </c>
      <c r="E77" s="66">
        <v>98.916637411036291</v>
      </c>
      <c r="F77" s="97" t="s">
        <v>1747</v>
      </c>
      <c r="G77" s="63"/>
      <c r="H77" s="67" t="s">
        <v>294</v>
      </c>
      <c r="I77" s="68"/>
      <c r="J77" s="68"/>
      <c r="K77" s="67" t="s">
        <v>2131</v>
      </c>
      <c r="L77" s="71">
        <v>362.04863881530656</v>
      </c>
      <c r="M77" s="72">
        <v>4716.09716796875</v>
      </c>
      <c r="N77" s="72">
        <v>1160.7537841796875</v>
      </c>
      <c r="O77" s="73"/>
      <c r="P77" s="74"/>
      <c r="Q77" s="74"/>
      <c r="S77" s="48">
        <v>10</v>
      </c>
      <c r="T77" s="48">
        <v>10</v>
      </c>
      <c r="U77" s="49">
        <v>70.777441999999994</v>
      </c>
      <c r="V77" s="49">
        <v>1.89E-3</v>
      </c>
      <c r="W77" s="49">
        <v>2.3770000000000002E-3</v>
      </c>
      <c r="X77" s="49">
        <v>1.0963670000000001</v>
      </c>
      <c r="Y77" s="49">
        <v>0.1388888888888889</v>
      </c>
      <c r="Z77" s="49">
        <v>1</v>
      </c>
      <c r="AA77" s="69">
        <v>119</v>
      </c>
      <c r="AB77" s="69"/>
      <c r="AC77" s="70"/>
      <c r="AD77" s="76">
        <v>2281</v>
      </c>
      <c r="AE77" s="76">
        <v>2263</v>
      </c>
      <c r="AF77" s="76">
        <v>58051</v>
      </c>
      <c r="AG77" s="76">
        <v>3716</v>
      </c>
      <c r="AH77" s="76" t="s">
        <v>1367</v>
      </c>
      <c r="AI77" s="76" t="s">
        <v>1518</v>
      </c>
      <c r="AJ77" s="80" t="s">
        <v>1607</v>
      </c>
      <c r="AK77" s="76" t="s">
        <v>1625</v>
      </c>
      <c r="AL77" s="76">
        <v>-18000</v>
      </c>
      <c r="AM77" s="78">
        <v>40010.001956018517</v>
      </c>
      <c r="AN77" s="76" t="s">
        <v>1823</v>
      </c>
      <c r="AO77" s="80" t="s">
        <v>1939</v>
      </c>
      <c r="AP77" s="2"/>
      <c r="AQ77" s="3"/>
      <c r="AR77" s="3"/>
      <c r="AS77" s="3"/>
      <c r="AT77" s="3"/>
    </row>
    <row r="78" spans="1:46" ht="41.45" customHeight="1" x14ac:dyDescent="0.25">
      <c r="A78" s="62" t="s">
        <v>306</v>
      </c>
      <c r="B78" s="63"/>
      <c r="C78" s="63" t="s">
        <v>63</v>
      </c>
      <c r="D78" s="64">
        <v>1.9990335829910606</v>
      </c>
      <c r="E78" s="66">
        <v>99.767337950403729</v>
      </c>
      <c r="F78" s="97" t="s">
        <v>1758</v>
      </c>
      <c r="G78" s="63"/>
      <c r="H78" s="67" t="s">
        <v>306</v>
      </c>
      <c r="I78" s="68"/>
      <c r="J78" s="68"/>
      <c r="K78" s="67" t="s">
        <v>2142</v>
      </c>
      <c r="L78" s="71">
        <v>78.538505728784344</v>
      </c>
      <c r="M78" s="72">
        <v>5031.84228515625</v>
      </c>
      <c r="N78" s="72">
        <v>2206.18603515625</v>
      </c>
      <c r="O78" s="73"/>
      <c r="P78" s="74"/>
      <c r="Q78" s="74"/>
      <c r="S78" s="48">
        <v>5</v>
      </c>
      <c r="T78" s="48">
        <v>5</v>
      </c>
      <c r="U78" s="49">
        <v>68.488628000000006</v>
      </c>
      <c r="V78" s="49">
        <v>2.1649999999999998E-3</v>
      </c>
      <c r="W78" s="49">
        <v>3.326E-3</v>
      </c>
      <c r="X78" s="49">
        <v>0.77576199999999995</v>
      </c>
      <c r="Y78" s="49">
        <v>0.26190476190476192</v>
      </c>
      <c r="Z78" s="49">
        <v>0.42857142857142855</v>
      </c>
      <c r="AA78" s="69">
        <v>130</v>
      </c>
      <c r="AB78" s="69"/>
      <c r="AC78" s="70"/>
      <c r="AD78" s="76">
        <v>360</v>
      </c>
      <c r="AE78" s="76">
        <v>486</v>
      </c>
      <c r="AF78" s="76">
        <v>5901</v>
      </c>
      <c r="AG78" s="76">
        <v>2</v>
      </c>
      <c r="AH78" s="76" t="s">
        <v>1378</v>
      </c>
      <c r="AI78" s="76" t="s">
        <v>1526</v>
      </c>
      <c r="AJ78" s="76"/>
      <c r="AK78" s="76" t="s">
        <v>1625</v>
      </c>
      <c r="AL78" s="76">
        <v>-18000</v>
      </c>
      <c r="AM78" s="78">
        <v>39923.644861111112</v>
      </c>
      <c r="AN78" s="76" t="s">
        <v>1823</v>
      </c>
      <c r="AO78" s="80" t="s">
        <v>1950</v>
      </c>
      <c r="AP78" s="2"/>
      <c r="AQ78" s="3"/>
      <c r="AR78" s="3"/>
      <c r="AS78" s="3"/>
      <c r="AT78" s="3"/>
    </row>
    <row r="79" spans="1:46" ht="41.45" customHeight="1" x14ac:dyDescent="0.25">
      <c r="A79" s="62" t="s">
        <v>356</v>
      </c>
      <c r="B79" s="63"/>
      <c r="C79" s="63" t="s">
        <v>63</v>
      </c>
      <c r="D79" s="64">
        <v>2.8430780381734717</v>
      </c>
      <c r="E79" s="66">
        <v>99.373823125777932</v>
      </c>
      <c r="F79" s="97" t="s">
        <v>1801</v>
      </c>
      <c r="G79" s="63"/>
      <c r="H79" s="67" t="s">
        <v>356</v>
      </c>
      <c r="I79" s="68"/>
      <c r="J79" s="68"/>
      <c r="K79" s="67" t="s">
        <v>2185</v>
      </c>
      <c r="L79" s="71">
        <v>209.68387961574058</v>
      </c>
      <c r="M79" s="72">
        <v>5340.47314453125</v>
      </c>
      <c r="N79" s="72">
        <v>7582.0234375</v>
      </c>
      <c r="O79" s="73"/>
      <c r="P79" s="74"/>
      <c r="Q79" s="74"/>
      <c r="S79" s="48">
        <v>7</v>
      </c>
      <c r="T79" s="48">
        <v>7</v>
      </c>
      <c r="U79" s="49">
        <v>68.125438000000003</v>
      </c>
      <c r="V79" s="49">
        <v>2.1740000000000002E-3</v>
      </c>
      <c r="W79" s="49">
        <v>1.06E-2</v>
      </c>
      <c r="X79" s="49">
        <v>0.811635</v>
      </c>
      <c r="Y79" s="49">
        <v>0.66666666666666663</v>
      </c>
      <c r="Z79" s="49">
        <v>0.7142857142857143</v>
      </c>
      <c r="AA79" s="69">
        <v>173</v>
      </c>
      <c r="AB79" s="69"/>
      <c r="AC79" s="70"/>
      <c r="AD79" s="76">
        <v>1999</v>
      </c>
      <c r="AE79" s="76">
        <v>1308</v>
      </c>
      <c r="AF79" s="76">
        <v>8550</v>
      </c>
      <c r="AG79" s="76">
        <v>197</v>
      </c>
      <c r="AH79" s="76" t="s">
        <v>1418</v>
      </c>
      <c r="AI79" s="76" t="s">
        <v>1553</v>
      </c>
      <c r="AJ79" s="80" t="s">
        <v>1616</v>
      </c>
      <c r="AK79" s="76" t="s">
        <v>1625</v>
      </c>
      <c r="AL79" s="76">
        <v>-18000</v>
      </c>
      <c r="AM79" s="78">
        <v>40006.635254629633</v>
      </c>
      <c r="AN79" s="76" t="s">
        <v>1823</v>
      </c>
      <c r="AO79" s="80" t="s">
        <v>1993</v>
      </c>
      <c r="AP79" s="2"/>
      <c r="AQ79" s="3"/>
      <c r="AR79" s="3"/>
      <c r="AS79" s="3"/>
      <c r="AT79" s="3"/>
    </row>
    <row r="80" spans="1:46" ht="41.45" customHeight="1" x14ac:dyDescent="0.25">
      <c r="A80" s="62" t="s">
        <v>307</v>
      </c>
      <c r="B80" s="63"/>
      <c r="C80" s="63" t="s">
        <v>63</v>
      </c>
      <c r="D80" s="64">
        <v>1.9487194974631554</v>
      </c>
      <c r="E80" s="66">
        <v>99.790795646762206</v>
      </c>
      <c r="F80" s="97" t="s">
        <v>1759</v>
      </c>
      <c r="G80" s="63"/>
      <c r="H80" s="67" t="s">
        <v>307</v>
      </c>
      <c r="I80" s="68"/>
      <c r="J80" s="68"/>
      <c r="K80" s="67" t="s">
        <v>2143</v>
      </c>
      <c r="L80" s="71">
        <v>70.720837455717614</v>
      </c>
      <c r="M80" s="72">
        <v>4366.22998046875</v>
      </c>
      <c r="N80" s="72">
        <v>3052.78466796875</v>
      </c>
      <c r="O80" s="73"/>
      <c r="P80" s="74"/>
      <c r="Q80" s="74"/>
      <c r="S80" s="48">
        <v>9</v>
      </c>
      <c r="T80" s="48">
        <v>11</v>
      </c>
      <c r="U80" s="49">
        <v>59.334564999999998</v>
      </c>
      <c r="V80" s="49">
        <v>2.0330000000000001E-3</v>
      </c>
      <c r="W80" s="49">
        <v>4.0010000000000002E-3</v>
      </c>
      <c r="X80" s="49">
        <v>1.2442839999999999</v>
      </c>
      <c r="Y80" s="49">
        <v>0.39090909090909093</v>
      </c>
      <c r="Z80" s="49">
        <v>0.63636363636363635</v>
      </c>
      <c r="AA80" s="69">
        <v>131</v>
      </c>
      <c r="AB80" s="69"/>
      <c r="AC80" s="70"/>
      <c r="AD80" s="76">
        <v>709</v>
      </c>
      <c r="AE80" s="76">
        <v>437</v>
      </c>
      <c r="AF80" s="76">
        <v>15094</v>
      </c>
      <c r="AG80" s="76">
        <v>153</v>
      </c>
      <c r="AH80" s="76" t="s">
        <v>1379</v>
      </c>
      <c r="AI80" s="76" t="s">
        <v>1527</v>
      </c>
      <c r="AJ80" s="76"/>
      <c r="AK80" s="76" t="s">
        <v>1624</v>
      </c>
      <c r="AL80" s="76">
        <v>-21600</v>
      </c>
      <c r="AM80" s="78">
        <v>40278.035104166665</v>
      </c>
      <c r="AN80" s="76" t="s">
        <v>1823</v>
      </c>
      <c r="AO80" s="80" t="s">
        <v>1951</v>
      </c>
      <c r="AP80" s="2"/>
      <c r="AQ80" s="3"/>
      <c r="AR80" s="3"/>
      <c r="AS80" s="3"/>
      <c r="AT80" s="3"/>
    </row>
    <row r="81" spans="1:46" ht="41.45" customHeight="1" x14ac:dyDescent="0.25">
      <c r="A81" s="62" t="s">
        <v>241</v>
      </c>
      <c r="B81" s="63"/>
      <c r="C81" s="63" t="s">
        <v>63</v>
      </c>
      <c r="D81" s="64">
        <v>1.942558589031167</v>
      </c>
      <c r="E81" s="66">
        <v>99.793668017744864</v>
      </c>
      <c r="F81" s="97" t="s">
        <v>1701</v>
      </c>
      <c r="G81" s="63"/>
      <c r="H81" s="67" t="s">
        <v>241</v>
      </c>
      <c r="I81" s="68"/>
      <c r="J81" s="68"/>
      <c r="K81" s="67" t="s">
        <v>2084</v>
      </c>
      <c r="L81" s="71">
        <v>69.763571952893116</v>
      </c>
      <c r="M81" s="72">
        <v>9101.3720703125</v>
      </c>
      <c r="N81" s="72">
        <v>4973.46484375</v>
      </c>
      <c r="O81" s="73"/>
      <c r="P81" s="74"/>
      <c r="Q81" s="74"/>
      <c r="S81" s="48">
        <v>2</v>
      </c>
      <c r="T81" s="48">
        <v>4</v>
      </c>
      <c r="U81" s="49">
        <v>57.227815</v>
      </c>
      <c r="V81" s="49">
        <v>2.3149999999999998E-3</v>
      </c>
      <c r="W81" s="49">
        <v>4.4010000000000004E-3</v>
      </c>
      <c r="X81" s="49">
        <v>0.55332499999999996</v>
      </c>
      <c r="Y81" s="49">
        <v>0</v>
      </c>
      <c r="Z81" s="49">
        <v>0.33333333333333331</v>
      </c>
      <c r="AA81" s="69">
        <v>72</v>
      </c>
      <c r="AB81" s="69"/>
      <c r="AC81" s="70"/>
      <c r="AD81" s="76">
        <v>2000</v>
      </c>
      <c r="AE81" s="76">
        <v>431</v>
      </c>
      <c r="AF81" s="76">
        <v>5302</v>
      </c>
      <c r="AG81" s="76">
        <v>64</v>
      </c>
      <c r="AH81" s="76" t="s">
        <v>1324</v>
      </c>
      <c r="AI81" s="76" t="s">
        <v>1482</v>
      </c>
      <c r="AJ81" s="80" t="s">
        <v>1596</v>
      </c>
      <c r="AK81" s="76" t="s">
        <v>1625</v>
      </c>
      <c r="AL81" s="76">
        <v>-18000</v>
      </c>
      <c r="AM81" s="78">
        <v>40959.554664351854</v>
      </c>
      <c r="AN81" s="76" t="s">
        <v>1823</v>
      </c>
      <c r="AO81" s="80" t="s">
        <v>1893</v>
      </c>
      <c r="AP81" s="2"/>
      <c r="AQ81" s="3"/>
      <c r="AR81" s="3"/>
      <c r="AS81" s="3"/>
      <c r="AT81" s="3"/>
    </row>
    <row r="82" spans="1:46" ht="41.45" customHeight="1" x14ac:dyDescent="0.25">
      <c r="A82" s="62" t="s">
        <v>233</v>
      </c>
      <c r="B82" s="63"/>
      <c r="C82" s="63" t="s">
        <v>63</v>
      </c>
      <c r="D82" s="64">
        <v>1.6129499879197875</v>
      </c>
      <c r="E82" s="66">
        <v>99.947339865317716</v>
      </c>
      <c r="F82" s="97" t="s">
        <v>1692</v>
      </c>
      <c r="G82" s="63"/>
      <c r="H82" s="67" t="s">
        <v>233</v>
      </c>
      <c r="I82" s="68"/>
      <c r="J82" s="68"/>
      <c r="K82" s="67" t="s">
        <v>2075</v>
      </c>
      <c r="L82" s="71">
        <v>18.549867551782466</v>
      </c>
      <c r="M82" s="72">
        <v>3328.202392578125</v>
      </c>
      <c r="N82" s="72">
        <v>6128.87548828125</v>
      </c>
      <c r="O82" s="73"/>
      <c r="P82" s="74"/>
      <c r="Q82" s="74"/>
      <c r="S82" s="48">
        <v>4</v>
      </c>
      <c r="T82" s="48">
        <v>3</v>
      </c>
      <c r="U82" s="49">
        <v>55.967053</v>
      </c>
      <c r="V82" s="49">
        <v>2.0579999999999999E-3</v>
      </c>
      <c r="W82" s="49">
        <v>5.0410000000000003E-3</v>
      </c>
      <c r="X82" s="49">
        <v>0.679172</v>
      </c>
      <c r="Y82" s="49">
        <v>0.25</v>
      </c>
      <c r="Z82" s="49">
        <v>0.25</v>
      </c>
      <c r="AA82" s="69">
        <v>63</v>
      </c>
      <c r="AB82" s="69"/>
      <c r="AC82" s="70"/>
      <c r="AD82" s="76">
        <v>88</v>
      </c>
      <c r="AE82" s="76">
        <v>110</v>
      </c>
      <c r="AF82" s="76">
        <v>832</v>
      </c>
      <c r="AG82" s="76">
        <v>4</v>
      </c>
      <c r="AH82" s="76"/>
      <c r="AI82" s="76"/>
      <c r="AJ82" s="76"/>
      <c r="AK82" s="76" t="s">
        <v>1626</v>
      </c>
      <c r="AL82" s="76">
        <v>-28800</v>
      </c>
      <c r="AM82" s="78">
        <v>39885.856064814812</v>
      </c>
      <c r="AN82" s="76" t="s">
        <v>1823</v>
      </c>
      <c r="AO82" s="80" t="s">
        <v>1884</v>
      </c>
      <c r="AP82" s="2"/>
      <c r="AQ82" s="3"/>
      <c r="AR82" s="3"/>
      <c r="AS82" s="3"/>
      <c r="AT82" s="3"/>
    </row>
    <row r="83" spans="1:46" ht="41.45" customHeight="1" x14ac:dyDescent="0.25">
      <c r="A83" s="62" t="s">
        <v>268</v>
      </c>
      <c r="B83" s="63"/>
      <c r="C83" s="63" t="s">
        <v>63</v>
      </c>
      <c r="D83" s="64">
        <v>1.912780864943223</v>
      </c>
      <c r="E83" s="66">
        <v>99.80755114416111</v>
      </c>
      <c r="F83" s="97" t="s">
        <v>1729</v>
      </c>
      <c r="G83" s="63"/>
      <c r="H83" s="67" t="s">
        <v>268</v>
      </c>
      <c r="I83" s="68"/>
      <c r="J83" s="68"/>
      <c r="K83" s="67" t="s">
        <v>2112</v>
      </c>
      <c r="L83" s="71">
        <v>65.136788689241371</v>
      </c>
      <c r="M83" s="72">
        <v>3020.861083984375</v>
      </c>
      <c r="N83" s="72">
        <v>2960.90869140625</v>
      </c>
      <c r="O83" s="73"/>
      <c r="P83" s="74"/>
      <c r="Q83" s="74"/>
      <c r="S83" s="48">
        <v>5</v>
      </c>
      <c r="T83" s="48">
        <v>5</v>
      </c>
      <c r="U83" s="49">
        <v>51.803899999999999</v>
      </c>
      <c r="V83" s="49">
        <v>2.0040000000000001E-3</v>
      </c>
      <c r="W83" s="49">
        <v>1.928E-3</v>
      </c>
      <c r="X83" s="49">
        <v>0.94125999999999999</v>
      </c>
      <c r="Y83" s="49">
        <v>0.14285714285714285</v>
      </c>
      <c r="Z83" s="49">
        <v>0.14285714285714285</v>
      </c>
      <c r="AA83" s="69">
        <v>100</v>
      </c>
      <c r="AB83" s="69"/>
      <c r="AC83" s="70"/>
      <c r="AD83" s="76">
        <v>635</v>
      </c>
      <c r="AE83" s="76">
        <v>402</v>
      </c>
      <c r="AF83" s="76">
        <v>18785</v>
      </c>
      <c r="AG83" s="76">
        <v>51</v>
      </c>
      <c r="AH83" s="76" t="s">
        <v>1349</v>
      </c>
      <c r="AI83" s="76" t="s">
        <v>1503</v>
      </c>
      <c r="AJ83" s="76"/>
      <c r="AK83" s="76" t="s">
        <v>1624</v>
      </c>
      <c r="AL83" s="76">
        <v>-21600</v>
      </c>
      <c r="AM83" s="78">
        <v>39872.160381944443</v>
      </c>
      <c r="AN83" s="76" t="s">
        <v>1823</v>
      </c>
      <c r="AO83" s="80" t="s">
        <v>1920</v>
      </c>
      <c r="AP83" s="2"/>
      <c r="AQ83" s="3"/>
      <c r="AR83" s="3"/>
      <c r="AS83" s="3"/>
      <c r="AT83" s="3"/>
    </row>
    <row r="84" spans="1:46" ht="41.45" customHeight="1" x14ac:dyDescent="0.25">
      <c r="A84" s="62" t="s">
        <v>308</v>
      </c>
      <c r="B84" s="63"/>
      <c r="C84" s="63" t="s">
        <v>63</v>
      </c>
      <c r="D84" s="64">
        <v>1.8275549649673835</v>
      </c>
      <c r="E84" s="66">
        <v>99.847285609421377</v>
      </c>
      <c r="F84" s="97" t="s">
        <v>1760</v>
      </c>
      <c r="G84" s="63"/>
      <c r="H84" s="67" t="s">
        <v>308</v>
      </c>
      <c r="I84" s="68"/>
      <c r="J84" s="68"/>
      <c r="K84" s="67" t="s">
        <v>2144</v>
      </c>
      <c r="L84" s="71">
        <v>51.89461590016915</v>
      </c>
      <c r="M84" s="72">
        <v>5615.39794921875</v>
      </c>
      <c r="N84" s="72">
        <v>3030.180419921875</v>
      </c>
      <c r="O84" s="73"/>
      <c r="P84" s="74"/>
      <c r="Q84" s="74"/>
      <c r="S84" s="48">
        <v>2</v>
      </c>
      <c r="T84" s="48">
        <v>7</v>
      </c>
      <c r="U84" s="49">
        <v>50.156211999999996</v>
      </c>
      <c r="V84" s="49">
        <v>1.9880000000000002E-3</v>
      </c>
      <c r="W84" s="49">
        <v>2.294E-3</v>
      </c>
      <c r="X84" s="49">
        <v>0.85520600000000002</v>
      </c>
      <c r="Y84" s="49">
        <v>0.23333333333333334</v>
      </c>
      <c r="Z84" s="49">
        <v>0.16666666666666666</v>
      </c>
      <c r="AA84" s="69">
        <v>132</v>
      </c>
      <c r="AB84" s="69"/>
      <c r="AC84" s="70"/>
      <c r="AD84" s="76">
        <v>736</v>
      </c>
      <c r="AE84" s="76">
        <v>319</v>
      </c>
      <c r="AF84" s="76">
        <v>4037</v>
      </c>
      <c r="AG84" s="76">
        <v>6</v>
      </c>
      <c r="AH84" s="76" t="s">
        <v>1380</v>
      </c>
      <c r="AI84" s="76" t="s">
        <v>1460</v>
      </c>
      <c r="AJ84" s="76"/>
      <c r="AK84" s="76" t="s">
        <v>1625</v>
      </c>
      <c r="AL84" s="76">
        <v>-18000</v>
      </c>
      <c r="AM84" s="78">
        <v>40001.957303240742</v>
      </c>
      <c r="AN84" s="76" t="s">
        <v>1823</v>
      </c>
      <c r="AO84" s="80" t="s">
        <v>1952</v>
      </c>
      <c r="AP84" s="2"/>
      <c r="AQ84" s="3"/>
      <c r="AR84" s="3"/>
      <c r="AS84" s="3"/>
      <c r="AT84" s="3"/>
    </row>
    <row r="85" spans="1:46" ht="41.45" customHeight="1" x14ac:dyDescent="0.25">
      <c r="A85" s="62" t="s">
        <v>295</v>
      </c>
      <c r="B85" s="63"/>
      <c r="C85" s="63" t="s">
        <v>63</v>
      </c>
      <c r="D85" s="64">
        <v>2.645928968349843</v>
      </c>
      <c r="E85" s="66">
        <v>99.465738997223369</v>
      </c>
      <c r="F85" s="97" t="s">
        <v>1749</v>
      </c>
      <c r="G85" s="63"/>
      <c r="H85" s="67" t="s">
        <v>295</v>
      </c>
      <c r="I85" s="68"/>
      <c r="J85" s="68"/>
      <c r="K85" s="67" t="s">
        <v>2133</v>
      </c>
      <c r="L85" s="71">
        <v>179.05138352535664</v>
      </c>
      <c r="M85" s="72">
        <v>4390.52783203125</v>
      </c>
      <c r="N85" s="72">
        <v>3249.76513671875</v>
      </c>
      <c r="O85" s="73"/>
      <c r="P85" s="74"/>
      <c r="Q85" s="74"/>
      <c r="S85" s="48">
        <v>8</v>
      </c>
      <c r="T85" s="48">
        <v>9</v>
      </c>
      <c r="U85" s="49">
        <v>49.772798000000002</v>
      </c>
      <c r="V85" s="49">
        <v>2E-3</v>
      </c>
      <c r="W85" s="49">
        <v>3.2590000000000002E-3</v>
      </c>
      <c r="X85" s="49">
        <v>1.074106</v>
      </c>
      <c r="Y85" s="49">
        <v>0.30555555555555558</v>
      </c>
      <c r="Z85" s="49">
        <v>0.66666666666666663</v>
      </c>
      <c r="AA85" s="69">
        <v>121</v>
      </c>
      <c r="AB85" s="69"/>
      <c r="AC85" s="70"/>
      <c r="AD85" s="76">
        <v>1657</v>
      </c>
      <c r="AE85" s="76">
        <v>1116</v>
      </c>
      <c r="AF85" s="76">
        <v>2992</v>
      </c>
      <c r="AG85" s="76">
        <v>557</v>
      </c>
      <c r="AH85" s="76" t="s">
        <v>1369</v>
      </c>
      <c r="AI85" s="76" t="s">
        <v>1519</v>
      </c>
      <c r="AJ85" s="76"/>
      <c r="AK85" s="76" t="s">
        <v>1626</v>
      </c>
      <c r="AL85" s="76">
        <v>-28800</v>
      </c>
      <c r="AM85" s="78">
        <v>40127.766226851854</v>
      </c>
      <c r="AN85" s="76" t="s">
        <v>1823</v>
      </c>
      <c r="AO85" s="80" t="s">
        <v>1941</v>
      </c>
      <c r="AP85" s="2"/>
      <c r="AQ85" s="3"/>
      <c r="AR85" s="3"/>
      <c r="AS85" s="3"/>
      <c r="AT85" s="3"/>
    </row>
    <row r="86" spans="1:46" ht="41.45" customHeight="1" x14ac:dyDescent="0.25">
      <c r="A86" s="62" t="s">
        <v>267</v>
      </c>
      <c r="B86" s="63"/>
      <c r="C86" s="63" t="s">
        <v>63</v>
      </c>
      <c r="D86" s="64">
        <v>3.4530079729403238</v>
      </c>
      <c r="E86" s="66">
        <v>99.089458398493605</v>
      </c>
      <c r="F86" s="97" t="s">
        <v>1728</v>
      </c>
      <c r="G86" s="63"/>
      <c r="H86" s="67" t="s">
        <v>267</v>
      </c>
      <c r="I86" s="68"/>
      <c r="J86" s="68"/>
      <c r="K86" s="67" t="s">
        <v>2111</v>
      </c>
      <c r="L86" s="71">
        <v>304.45316439536589</v>
      </c>
      <c r="M86" s="72">
        <v>3935.238037109375</v>
      </c>
      <c r="N86" s="72">
        <v>1435.30126953125</v>
      </c>
      <c r="O86" s="73"/>
      <c r="P86" s="74"/>
      <c r="Q86" s="74"/>
      <c r="S86" s="48">
        <v>11</v>
      </c>
      <c r="T86" s="48">
        <v>12</v>
      </c>
      <c r="U86" s="49">
        <v>49.072566999999999</v>
      </c>
      <c r="V86" s="49">
        <v>1.9009999999999999E-3</v>
      </c>
      <c r="W86" s="49">
        <v>3.0969999999999999E-3</v>
      </c>
      <c r="X86" s="49">
        <v>1.254696</v>
      </c>
      <c r="Y86" s="49">
        <v>0.25454545454545452</v>
      </c>
      <c r="Z86" s="49">
        <v>0.90909090909090906</v>
      </c>
      <c r="AA86" s="69">
        <v>99</v>
      </c>
      <c r="AB86" s="69"/>
      <c r="AC86" s="70"/>
      <c r="AD86" s="76">
        <v>2091</v>
      </c>
      <c r="AE86" s="76">
        <v>1902</v>
      </c>
      <c r="AF86" s="76">
        <v>24130</v>
      </c>
      <c r="AG86" s="76">
        <v>698</v>
      </c>
      <c r="AH86" s="76" t="s">
        <v>1348</v>
      </c>
      <c r="AI86" s="76" t="s">
        <v>1502</v>
      </c>
      <c r="AJ86" s="76"/>
      <c r="AK86" s="76" t="s">
        <v>1624</v>
      </c>
      <c r="AL86" s="76">
        <v>-21600</v>
      </c>
      <c r="AM86" s="78">
        <v>40700.782384259262</v>
      </c>
      <c r="AN86" s="76" t="s">
        <v>1823</v>
      </c>
      <c r="AO86" s="80" t="s">
        <v>1919</v>
      </c>
      <c r="AP86" s="2"/>
      <c r="AQ86" s="3"/>
      <c r="AR86" s="3"/>
      <c r="AS86" s="3"/>
      <c r="AT86" s="3"/>
    </row>
    <row r="87" spans="1:46" ht="41.45" customHeight="1" x14ac:dyDescent="0.25">
      <c r="A87" s="62" t="s">
        <v>311</v>
      </c>
      <c r="B87" s="63"/>
      <c r="C87" s="63" t="s">
        <v>63</v>
      </c>
      <c r="D87" s="64">
        <v>1.6642908915196908</v>
      </c>
      <c r="E87" s="66">
        <v>99.923403440462138</v>
      </c>
      <c r="F87" s="97" t="s">
        <v>1764</v>
      </c>
      <c r="G87" s="63"/>
      <c r="H87" s="67" t="s">
        <v>311</v>
      </c>
      <c r="I87" s="68"/>
      <c r="J87" s="68"/>
      <c r="K87" s="67" t="s">
        <v>2148</v>
      </c>
      <c r="L87" s="71">
        <v>26.527080075319951</v>
      </c>
      <c r="M87" s="72">
        <v>6197.86865234375</v>
      </c>
      <c r="N87" s="72">
        <v>2672.56640625</v>
      </c>
      <c r="O87" s="73"/>
      <c r="P87" s="74"/>
      <c r="Q87" s="74"/>
      <c r="S87" s="48">
        <v>8</v>
      </c>
      <c r="T87" s="48">
        <v>5</v>
      </c>
      <c r="U87" s="49">
        <v>48.019150000000003</v>
      </c>
      <c r="V87" s="49">
        <v>1.7210000000000001E-3</v>
      </c>
      <c r="W87" s="49">
        <v>1.2310000000000001E-3</v>
      </c>
      <c r="X87" s="49">
        <v>0.92473700000000003</v>
      </c>
      <c r="Y87" s="49">
        <v>0.16666666666666666</v>
      </c>
      <c r="Z87" s="49">
        <v>0.5714285714285714</v>
      </c>
      <c r="AA87" s="69">
        <v>136</v>
      </c>
      <c r="AB87" s="69"/>
      <c r="AC87" s="70"/>
      <c r="AD87" s="76">
        <v>305</v>
      </c>
      <c r="AE87" s="76">
        <v>160</v>
      </c>
      <c r="AF87" s="76">
        <v>1264</v>
      </c>
      <c r="AG87" s="76">
        <v>9</v>
      </c>
      <c r="AH87" s="76" t="s">
        <v>1384</v>
      </c>
      <c r="AI87" s="76" t="s">
        <v>1454</v>
      </c>
      <c r="AJ87" s="76"/>
      <c r="AK87" s="76" t="s">
        <v>1630</v>
      </c>
      <c r="AL87" s="76">
        <v>-14400</v>
      </c>
      <c r="AM87" s="78">
        <v>40267.705150462964</v>
      </c>
      <c r="AN87" s="76" t="s">
        <v>1823</v>
      </c>
      <c r="AO87" s="80" t="s">
        <v>1956</v>
      </c>
      <c r="AP87" s="2"/>
      <c r="AQ87" s="3"/>
      <c r="AR87" s="3"/>
      <c r="AS87" s="3"/>
      <c r="AT87" s="3"/>
    </row>
    <row r="88" spans="1:46" ht="41.45" customHeight="1" x14ac:dyDescent="0.25">
      <c r="A88" s="62" t="s">
        <v>255</v>
      </c>
      <c r="B88" s="63"/>
      <c r="C88" s="63" t="s">
        <v>63</v>
      </c>
      <c r="D88" s="64">
        <v>4.9141700893935729</v>
      </c>
      <c r="E88" s="66">
        <v>98.408227747103695</v>
      </c>
      <c r="F88" s="97" t="s">
        <v>1715</v>
      </c>
      <c r="G88" s="63"/>
      <c r="H88" s="67" t="s">
        <v>255</v>
      </c>
      <c r="I88" s="68"/>
      <c r="J88" s="68"/>
      <c r="K88" s="67" t="s">
        <v>2098</v>
      </c>
      <c r="L88" s="71">
        <v>531.48463281524266</v>
      </c>
      <c r="M88" s="72">
        <v>1539.8453369140625</v>
      </c>
      <c r="N88" s="72">
        <v>7061.56689453125</v>
      </c>
      <c r="O88" s="73"/>
      <c r="P88" s="74"/>
      <c r="Q88" s="74"/>
      <c r="S88" s="48">
        <v>7</v>
      </c>
      <c r="T88" s="48">
        <v>6</v>
      </c>
      <c r="U88" s="49">
        <v>45.561256</v>
      </c>
      <c r="V88" s="49">
        <v>2.0040000000000001E-3</v>
      </c>
      <c r="W88" s="49">
        <v>7.7780000000000002E-3</v>
      </c>
      <c r="X88" s="49">
        <v>0.97205600000000003</v>
      </c>
      <c r="Y88" s="49">
        <v>0.16071428571428573</v>
      </c>
      <c r="Z88" s="49">
        <v>0.375</v>
      </c>
      <c r="AA88" s="69">
        <v>86</v>
      </c>
      <c r="AB88" s="69"/>
      <c r="AC88" s="70"/>
      <c r="AD88" s="76">
        <v>924</v>
      </c>
      <c r="AE88" s="76">
        <v>3325</v>
      </c>
      <c r="AF88" s="76">
        <v>44498</v>
      </c>
      <c r="AG88" s="76">
        <v>340</v>
      </c>
      <c r="AH88" s="76" t="s">
        <v>1337</v>
      </c>
      <c r="AI88" s="76" t="s">
        <v>1454</v>
      </c>
      <c r="AJ88" s="76"/>
      <c r="AK88" s="76" t="s">
        <v>1625</v>
      </c>
      <c r="AL88" s="76">
        <v>-18000</v>
      </c>
      <c r="AM88" s="78">
        <v>40805.840509259258</v>
      </c>
      <c r="AN88" s="76" t="s">
        <v>1823</v>
      </c>
      <c r="AO88" s="80" t="s">
        <v>1907</v>
      </c>
      <c r="AP88" s="2"/>
      <c r="AQ88" s="3"/>
      <c r="AR88" s="3"/>
      <c r="AS88" s="3"/>
      <c r="AT88" s="3"/>
    </row>
    <row r="89" spans="1:46" ht="41.45" customHeight="1" x14ac:dyDescent="0.25">
      <c r="A89" s="62" t="s">
        <v>342</v>
      </c>
      <c r="B89" s="63"/>
      <c r="C89" s="63" t="s">
        <v>63</v>
      </c>
      <c r="D89" s="64">
        <v>1.5780381734718532</v>
      </c>
      <c r="E89" s="66">
        <v>99.96361663421952</v>
      </c>
      <c r="F89" s="97" t="s">
        <v>1791</v>
      </c>
      <c r="G89" s="63"/>
      <c r="H89" s="67" t="s">
        <v>342</v>
      </c>
      <c r="I89" s="68"/>
      <c r="J89" s="68"/>
      <c r="K89" s="67" t="s">
        <v>2175</v>
      </c>
      <c r="L89" s="71">
        <v>13.125363035776976</v>
      </c>
      <c r="M89" s="72">
        <v>5563.8916015625</v>
      </c>
      <c r="N89" s="72">
        <v>5471.61767578125</v>
      </c>
      <c r="O89" s="73"/>
      <c r="P89" s="74"/>
      <c r="Q89" s="74"/>
      <c r="S89" s="48">
        <v>2</v>
      </c>
      <c r="T89" s="48">
        <v>3</v>
      </c>
      <c r="U89" s="49">
        <v>43.987129000000003</v>
      </c>
      <c r="V89" s="49">
        <v>1.818E-3</v>
      </c>
      <c r="W89" s="49">
        <v>1.157E-3</v>
      </c>
      <c r="X89" s="49">
        <v>0.55169500000000005</v>
      </c>
      <c r="Y89" s="49">
        <v>0</v>
      </c>
      <c r="Z89" s="49">
        <v>0.5</v>
      </c>
      <c r="AA89" s="69">
        <v>163</v>
      </c>
      <c r="AB89" s="69"/>
      <c r="AC89" s="70"/>
      <c r="AD89" s="76">
        <v>314</v>
      </c>
      <c r="AE89" s="76">
        <v>76</v>
      </c>
      <c r="AF89" s="76">
        <v>337</v>
      </c>
      <c r="AG89" s="76">
        <v>0</v>
      </c>
      <c r="AH89" s="76" t="s">
        <v>1408</v>
      </c>
      <c r="AI89" s="76" t="s">
        <v>1549</v>
      </c>
      <c r="AJ89" s="80" t="s">
        <v>1613</v>
      </c>
      <c r="AK89" s="76" t="s">
        <v>1625</v>
      </c>
      <c r="AL89" s="76">
        <v>-18000</v>
      </c>
      <c r="AM89" s="78">
        <v>41038.807650462964</v>
      </c>
      <c r="AN89" s="76" t="s">
        <v>1823</v>
      </c>
      <c r="AO89" s="80" t="s">
        <v>1983</v>
      </c>
      <c r="AP89" s="2"/>
      <c r="AQ89" s="3"/>
      <c r="AR89" s="3"/>
      <c r="AS89" s="3"/>
      <c r="AT89" s="3"/>
    </row>
    <row r="90" spans="1:46" ht="41.45" customHeight="1" x14ac:dyDescent="0.25">
      <c r="A90" s="62" t="s">
        <v>341</v>
      </c>
      <c r="B90" s="63"/>
      <c r="C90" s="63" t="s">
        <v>63</v>
      </c>
      <c r="D90" s="64">
        <v>1.6725054360956753</v>
      </c>
      <c r="E90" s="66">
        <v>99.919573612485237</v>
      </c>
      <c r="F90" s="97" t="s">
        <v>1790</v>
      </c>
      <c r="G90" s="63"/>
      <c r="H90" s="67" t="s">
        <v>341</v>
      </c>
      <c r="I90" s="68"/>
      <c r="J90" s="68"/>
      <c r="K90" s="67" t="s">
        <v>2174</v>
      </c>
      <c r="L90" s="71">
        <v>27.803434079085946</v>
      </c>
      <c r="M90" s="72">
        <v>5843.69677734375</v>
      </c>
      <c r="N90" s="72">
        <v>7122.23095703125</v>
      </c>
      <c r="O90" s="73"/>
      <c r="P90" s="74"/>
      <c r="Q90" s="74"/>
      <c r="S90" s="48">
        <v>4</v>
      </c>
      <c r="T90" s="48">
        <v>4</v>
      </c>
      <c r="U90" s="49">
        <v>42.308152999999997</v>
      </c>
      <c r="V90" s="49">
        <v>1.709E-3</v>
      </c>
      <c r="W90" s="49">
        <v>2.905E-3</v>
      </c>
      <c r="X90" s="49">
        <v>0.61237799999999998</v>
      </c>
      <c r="Y90" s="49">
        <v>0.33333333333333331</v>
      </c>
      <c r="Z90" s="49">
        <v>1</v>
      </c>
      <c r="AA90" s="69">
        <v>162</v>
      </c>
      <c r="AB90" s="69"/>
      <c r="AC90" s="70"/>
      <c r="AD90" s="76">
        <v>299</v>
      </c>
      <c r="AE90" s="76">
        <v>168</v>
      </c>
      <c r="AF90" s="76">
        <v>1057</v>
      </c>
      <c r="AG90" s="76">
        <v>9</v>
      </c>
      <c r="AH90" s="76"/>
      <c r="AI90" s="76" t="s">
        <v>1548</v>
      </c>
      <c r="AJ90" s="76"/>
      <c r="AK90" s="76" t="s">
        <v>1626</v>
      </c>
      <c r="AL90" s="76">
        <v>-28800</v>
      </c>
      <c r="AM90" s="78">
        <v>39923.738356481481</v>
      </c>
      <c r="AN90" s="76" t="s">
        <v>1823</v>
      </c>
      <c r="AO90" s="80" t="s">
        <v>1982</v>
      </c>
      <c r="AP90" s="2"/>
      <c r="AQ90" s="3"/>
      <c r="AR90" s="3"/>
      <c r="AS90" s="3"/>
      <c r="AT90" s="3"/>
    </row>
    <row r="91" spans="1:46" ht="41.45" customHeight="1" x14ac:dyDescent="0.25">
      <c r="A91" s="62" t="s">
        <v>335</v>
      </c>
      <c r="B91" s="63"/>
      <c r="C91" s="63" t="s">
        <v>63</v>
      </c>
      <c r="D91" s="64">
        <v>2.3635539985503744</v>
      </c>
      <c r="E91" s="66">
        <v>99.597389333929087</v>
      </c>
      <c r="F91" s="97" t="s">
        <v>1753</v>
      </c>
      <c r="G91" s="63"/>
      <c r="H91" s="67" t="s">
        <v>335</v>
      </c>
      <c r="I91" s="68"/>
      <c r="J91" s="68"/>
      <c r="K91" s="67" t="s">
        <v>2137</v>
      </c>
      <c r="L91" s="71">
        <v>135.17671464590049</v>
      </c>
      <c r="M91" s="72">
        <v>5329.8857421875</v>
      </c>
      <c r="N91" s="72">
        <v>1607.1199951171875</v>
      </c>
      <c r="O91" s="73"/>
      <c r="P91" s="74"/>
      <c r="Q91" s="74"/>
      <c r="S91" s="48">
        <v>10</v>
      </c>
      <c r="T91" s="48">
        <v>1</v>
      </c>
      <c r="U91" s="49">
        <v>41.887478999999999</v>
      </c>
      <c r="V91" s="49">
        <v>1.9009999999999999E-3</v>
      </c>
      <c r="W91" s="49">
        <v>2.1610000000000002E-3</v>
      </c>
      <c r="X91" s="49">
        <v>1.07362</v>
      </c>
      <c r="Y91" s="49">
        <v>0.15277777777777779</v>
      </c>
      <c r="Z91" s="49">
        <v>0</v>
      </c>
      <c r="AA91" s="69">
        <v>125</v>
      </c>
      <c r="AB91" s="69"/>
      <c r="AC91" s="70"/>
      <c r="AD91" s="76">
        <v>450</v>
      </c>
      <c r="AE91" s="76">
        <v>841</v>
      </c>
      <c r="AF91" s="76">
        <v>13837</v>
      </c>
      <c r="AG91" s="76">
        <v>14</v>
      </c>
      <c r="AH91" s="76" t="s">
        <v>1373</v>
      </c>
      <c r="AI91" s="76"/>
      <c r="AJ91" s="80" t="s">
        <v>1608</v>
      </c>
      <c r="AK91" s="76" t="s">
        <v>1630</v>
      </c>
      <c r="AL91" s="76">
        <v>-14400</v>
      </c>
      <c r="AM91" s="78">
        <v>40406.838090277779</v>
      </c>
      <c r="AN91" s="76" t="s">
        <v>1823</v>
      </c>
      <c r="AO91" s="80" t="s">
        <v>1945</v>
      </c>
      <c r="AP91" s="2"/>
      <c r="AQ91" s="3"/>
      <c r="AR91" s="3"/>
      <c r="AS91" s="3"/>
      <c r="AT91" s="3"/>
    </row>
    <row r="92" spans="1:46" ht="41.45" customHeight="1" x14ac:dyDescent="0.25">
      <c r="A92" s="62" t="s">
        <v>329</v>
      </c>
      <c r="B92" s="63"/>
      <c r="C92" s="63" t="s">
        <v>63</v>
      </c>
      <c r="D92" s="64">
        <v>1.8891640492872674</v>
      </c>
      <c r="E92" s="66">
        <v>99.81856189959467</v>
      </c>
      <c r="F92" s="97" t="s">
        <v>1780</v>
      </c>
      <c r="G92" s="63"/>
      <c r="H92" s="67" t="s">
        <v>329</v>
      </c>
      <c r="I92" s="68"/>
      <c r="J92" s="68"/>
      <c r="K92" s="67" t="s">
        <v>2164</v>
      </c>
      <c r="L92" s="71">
        <v>61.467270928414131</v>
      </c>
      <c r="M92" s="72">
        <v>9257.2568359375</v>
      </c>
      <c r="N92" s="72">
        <v>4579.99267578125</v>
      </c>
      <c r="O92" s="73"/>
      <c r="P92" s="74"/>
      <c r="Q92" s="74"/>
      <c r="S92" s="48">
        <v>3</v>
      </c>
      <c r="T92" s="48">
        <v>5</v>
      </c>
      <c r="U92" s="49">
        <v>41.083528000000001</v>
      </c>
      <c r="V92" s="49">
        <v>2.2729999999999998E-3</v>
      </c>
      <c r="W92" s="49">
        <v>6.326E-3</v>
      </c>
      <c r="X92" s="49">
        <v>0.68042899999999995</v>
      </c>
      <c r="Y92" s="49">
        <v>0.25</v>
      </c>
      <c r="Z92" s="49">
        <v>0.2</v>
      </c>
      <c r="AA92" s="69">
        <v>152</v>
      </c>
      <c r="AB92" s="69"/>
      <c r="AC92" s="70"/>
      <c r="AD92" s="76">
        <v>437</v>
      </c>
      <c r="AE92" s="76">
        <v>379</v>
      </c>
      <c r="AF92" s="76">
        <v>12468</v>
      </c>
      <c r="AG92" s="76">
        <v>6</v>
      </c>
      <c r="AH92" s="76"/>
      <c r="AI92" s="76"/>
      <c r="AJ92" s="76"/>
      <c r="AK92" s="76"/>
      <c r="AL92" s="76"/>
      <c r="AM92" s="78">
        <v>39829.718761574077</v>
      </c>
      <c r="AN92" s="76" t="s">
        <v>1823</v>
      </c>
      <c r="AO92" s="80" t="s">
        <v>1972</v>
      </c>
      <c r="AP92" s="2"/>
      <c r="AQ92" s="3"/>
      <c r="AR92" s="3"/>
      <c r="AS92" s="3"/>
      <c r="AT92" s="3"/>
    </row>
    <row r="93" spans="1:46" ht="41.45" customHeight="1" x14ac:dyDescent="0.25">
      <c r="A93" s="62" t="s">
        <v>339</v>
      </c>
      <c r="B93" s="63"/>
      <c r="C93" s="63" t="s">
        <v>63</v>
      </c>
      <c r="D93" s="64">
        <v>3.0371466537811065</v>
      </c>
      <c r="E93" s="66">
        <v>99.283343439823824</v>
      </c>
      <c r="F93" s="97" t="s">
        <v>1789</v>
      </c>
      <c r="G93" s="63"/>
      <c r="H93" s="67" t="s">
        <v>339</v>
      </c>
      <c r="I93" s="68"/>
      <c r="J93" s="68"/>
      <c r="K93" s="67" t="s">
        <v>2173</v>
      </c>
      <c r="L93" s="71">
        <v>239.8377429547123</v>
      </c>
      <c r="M93" s="72">
        <v>1544.718505859375</v>
      </c>
      <c r="N93" s="72">
        <v>1025.451416015625</v>
      </c>
      <c r="O93" s="73"/>
      <c r="P93" s="74"/>
      <c r="Q93" s="74"/>
      <c r="S93" s="48">
        <v>3</v>
      </c>
      <c r="T93" s="48">
        <v>3</v>
      </c>
      <c r="U93" s="49">
        <v>35.322516999999998</v>
      </c>
      <c r="V93" s="49">
        <v>1.616E-3</v>
      </c>
      <c r="W93" s="49">
        <v>2.7999999999999998E-4</v>
      </c>
      <c r="X93" s="49">
        <v>0.56549300000000002</v>
      </c>
      <c r="Y93" s="49">
        <v>0</v>
      </c>
      <c r="Z93" s="49">
        <v>1</v>
      </c>
      <c r="AA93" s="69">
        <v>161</v>
      </c>
      <c r="AB93" s="69"/>
      <c r="AC93" s="70"/>
      <c r="AD93" s="76">
        <v>1234</v>
      </c>
      <c r="AE93" s="76">
        <v>1497</v>
      </c>
      <c r="AF93" s="76">
        <v>59034</v>
      </c>
      <c r="AG93" s="76">
        <v>19609</v>
      </c>
      <c r="AH93" s="76" t="s">
        <v>1407</v>
      </c>
      <c r="AI93" s="76" t="s">
        <v>1547</v>
      </c>
      <c r="AJ93" s="76"/>
      <c r="AK93" s="76" t="s">
        <v>1626</v>
      </c>
      <c r="AL93" s="76">
        <v>-28800</v>
      </c>
      <c r="AM93" s="78">
        <v>40285.294374999998</v>
      </c>
      <c r="AN93" s="76" t="s">
        <v>1823</v>
      </c>
      <c r="AO93" s="80" t="s">
        <v>1981</v>
      </c>
      <c r="AP93" s="2"/>
      <c r="AQ93" s="3"/>
      <c r="AR93" s="3"/>
      <c r="AS93" s="3"/>
      <c r="AT93" s="3"/>
    </row>
    <row r="94" spans="1:46" ht="41.45" customHeight="1" x14ac:dyDescent="0.25">
      <c r="A94" s="62" t="s">
        <v>263</v>
      </c>
      <c r="B94" s="63"/>
      <c r="C94" s="63" t="s">
        <v>63</v>
      </c>
      <c r="D94" s="64">
        <v>1.7258999758395748</v>
      </c>
      <c r="E94" s="66">
        <v>99.894679730635431</v>
      </c>
      <c r="F94" s="97" t="s">
        <v>1724</v>
      </c>
      <c r="G94" s="63"/>
      <c r="H94" s="67" t="s">
        <v>263</v>
      </c>
      <c r="I94" s="68"/>
      <c r="J94" s="68"/>
      <c r="K94" s="67" t="s">
        <v>2107</v>
      </c>
      <c r="L94" s="71">
        <v>36.099735103564932</v>
      </c>
      <c r="M94" s="72">
        <v>5567.55908203125</v>
      </c>
      <c r="N94" s="72">
        <v>3377.777587890625</v>
      </c>
      <c r="O94" s="73"/>
      <c r="P94" s="74"/>
      <c r="Q94" s="74"/>
      <c r="S94" s="48">
        <v>5</v>
      </c>
      <c r="T94" s="48">
        <v>6</v>
      </c>
      <c r="U94" s="49">
        <v>34.548870999999998</v>
      </c>
      <c r="V94" s="49">
        <v>1.9530000000000001E-3</v>
      </c>
      <c r="W94" s="49">
        <v>1.531E-3</v>
      </c>
      <c r="X94" s="49">
        <v>0.76585700000000001</v>
      </c>
      <c r="Y94" s="49">
        <v>0.25</v>
      </c>
      <c r="Z94" s="49">
        <v>0.8</v>
      </c>
      <c r="AA94" s="69">
        <v>95</v>
      </c>
      <c r="AB94" s="69"/>
      <c r="AC94" s="70"/>
      <c r="AD94" s="76">
        <v>259</v>
      </c>
      <c r="AE94" s="76">
        <v>220</v>
      </c>
      <c r="AF94" s="76">
        <v>3242</v>
      </c>
      <c r="AG94" s="76">
        <v>6</v>
      </c>
      <c r="AH94" s="76" t="s">
        <v>1345</v>
      </c>
      <c r="AI94" s="76" t="s">
        <v>1499</v>
      </c>
      <c r="AJ94" s="76"/>
      <c r="AK94" s="76" t="s">
        <v>1624</v>
      </c>
      <c r="AL94" s="76">
        <v>-21600</v>
      </c>
      <c r="AM94" s="78">
        <v>41053.529594907406</v>
      </c>
      <c r="AN94" s="76" t="s">
        <v>1823</v>
      </c>
      <c r="AO94" s="80" t="s">
        <v>1915</v>
      </c>
      <c r="AP94" s="2"/>
      <c r="AQ94" s="3"/>
      <c r="AR94" s="3"/>
      <c r="AS94" s="3"/>
      <c r="AT94" s="3"/>
    </row>
    <row r="95" spans="1:46" ht="41.45" customHeight="1" x14ac:dyDescent="0.25">
      <c r="A95" s="62" t="s">
        <v>344</v>
      </c>
      <c r="B95" s="63"/>
      <c r="C95" s="63" t="s">
        <v>63</v>
      </c>
      <c r="D95" s="64">
        <v>1.6098695337037932</v>
      </c>
      <c r="E95" s="66">
        <v>99.948776050809045</v>
      </c>
      <c r="F95" s="97" t="s">
        <v>1793</v>
      </c>
      <c r="G95" s="63"/>
      <c r="H95" s="67" t="s">
        <v>344</v>
      </c>
      <c r="I95" s="68"/>
      <c r="J95" s="68"/>
      <c r="K95" s="67" t="s">
        <v>2177</v>
      </c>
      <c r="L95" s="71">
        <v>18.071234800370217</v>
      </c>
      <c r="M95" s="72">
        <v>980.9715576171875</v>
      </c>
      <c r="N95" s="72">
        <v>6821.77978515625</v>
      </c>
      <c r="O95" s="73"/>
      <c r="P95" s="74"/>
      <c r="Q95" s="74"/>
      <c r="S95" s="48">
        <v>2</v>
      </c>
      <c r="T95" s="48">
        <v>5</v>
      </c>
      <c r="U95" s="49">
        <v>33.281488000000003</v>
      </c>
      <c r="V95" s="49">
        <v>1.761E-3</v>
      </c>
      <c r="W95" s="49">
        <v>3.3019999999999998E-3</v>
      </c>
      <c r="X95" s="49">
        <v>0.65835600000000005</v>
      </c>
      <c r="Y95" s="49">
        <v>0.35</v>
      </c>
      <c r="Z95" s="49">
        <v>0.4</v>
      </c>
      <c r="AA95" s="69">
        <v>165</v>
      </c>
      <c r="AB95" s="69"/>
      <c r="AC95" s="70"/>
      <c r="AD95" s="76">
        <v>192</v>
      </c>
      <c r="AE95" s="76">
        <v>107</v>
      </c>
      <c r="AF95" s="76">
        <v>574</v>
      </c>
      <c r="AG95" s="76">
        <v>1</v>
      </c>
      <c r="AH95" s="76" t="s">
        <v>1410</v>
      </c>
      <c r="AI95" s="76"/>
      <c r="AJ95" s="76"/>
      <c r="AK95" s="76"/>
      <c r="AL95" s="76"/>
      <c r="AM95" s="78">
        <v>41117.867430555554</v>
      </c>
      <c r="AN95" s="76" t="s">
        <v>1823</v>
      </c>
      <c r="AO95" s="80" t="s">
        <v>1985</v>
      </c>
      <c r="AP95" s="2"/>
      <c r="AQ95" s="3"/>
      <c r="AR95" s="3"/>
      <c r="AS95" s="3"/>
      <c r="AT95" s="3"/>
    </row>
    <row r="96" spans="1:46" ht="41.45" customHeight="1" x14ac:dyDescent="0.25">
      <c r="A96" s="62" t="s">
        <v>340</v>
      </c>
      <c r="B96" s="63"/>
      <c r="C96" s="63" t="s">
        <v>63</v>
      </c>
      <c r="D96" s="64">
        <v>2.0041676733510512</v>
      </c>
      <c r="E96" s="66">
        <v>99.764944307918171</v>
      </c>
      <c r="F96" s="97" t="s">
        <v>1787</v>
      </c>
      <c r="G96" s="63"/>
      <c r="H96" s="67" t="s">
        <v>340</v>
      </c>
      <c r="I96" s="68"/>
      <c r="J96" s="68"/>
      <c r="K96" s="67" t="s">
        <v>2171</v>
      </c>
      <c r="L96" s="71">
        <v>79.336226981138097</v>
      </c>
      <c r="M96" s="72">
        <v>2047.1658935546875</v>
      </c>
      <c r="N96" s="72">
        <v>2448.478271484375</v>
      </c>
      <c r="O96" s="73"/>
      <c r="P96" s="74"/>
      <c r="Q96" s="74"/>
      <c r="S96" s="48">
        <v>3</v>
      </c>
      <c r="T96" s="48">
        <v>6</v>
      </c>
      <c r="U96" s="49">
        <v>28.657475000000002</v>
      </c>
      <c r="V96" s="49">
        <v>1.98E-3</v>
      </c>
      <c r="W96" s="49">
        <v>2.1080000000000001E-3</v>
      </c>
      <c r="X96" s="49">
        <v>0.81764499999999996</v>
      </c>
      <c r="Y96" s="49">
        <v>0.23333333333333334</v>
      </c>
      <c r="Z96" s="49">
        <v>0.16666666666666666</v>
      </c>
      <c r="AA96" s="69">
        <v>159</v>
      </c>
      <c r="AB96" s="69"/>
      <c r="AC96" s="70"/>
      <c r="AD96" s="76">
        <v>1629</v>
      </c>
      <c r="AE96" s="76">
        <v>491</v>
      </c>
      <c r="AF96" s="76">
        <v>11915</v>
      </c>
      <c r="AG96" s="76">
        <v>5</v>
      </c>
      <c r="AH96" s="76" t="s">
        <v>1405</v>
      </c>
      <c r="AI96" s="76" t="s">
        <v>1545</v>
      </c>
      <c r="AJ96" s="76"/>
      <c r="AK96" s="76" t="s">
        <v>1631</v>
      </c>
      <c r="AL96" s="76">
        <v>-25200</v>
      </c>
      <c r="AM96" s="78">
        <v>40570.934374999997</v>
      </c>
      <c r="AN96" s="76" t="s">
        <v>1823</v>
      </c>
      <c r="AO96" s="80" t="s">
        <v>1979</v>
      </c>
      <c r="AP96" s="2"/>
      <c r="AQ96" s="3"/>
      <c r="AR96" s="3"/>
      <c r="AS96" s="3"/>
      <c r="AT96" s="3"/>
    </row>
    <row r="97" spans="1:46" ht="41.45" customHeight="1" x14ac:dyDescent="0.25">
      <c r="A97" s="62" t="s">
        <v>351</v>
      </c>
      <c r="B97" s="63"/>
      <c r="C97" s="63" t="s">
        <v>63</v>
      </c>
      <c r="D97" s="64">
        <v>6.8897680599178548</v>
      </c>
      <c r="E97" s="66">
        <v>97.48715411866084</v>
      </c>
      <c r="F97" s="97" t="s">
        <v>1798</v>
      </c>
      <c r="G97" s="63"/>
      <c r="H97" s="67" t="s">
        <v>351</v>
      </c>
      <c r="I97" s="68"/>
      <c r="J97" s="68"/>
      <c r="K97" s="67" t="s">
        <v>2182</v>
      </c>
      <c r="L97" s="71">
        <v>838.44777072096508</v>
      </c>
      <c r="M97" s="72">
        <v>1925.3858642578125</v>
      </c>
      <c r="N97" s="72">
        <v>8336.4375</v>
      </c>
      <c r="O97" s="73"/>
      <c r="P97" s="74"/>
      <c r="Q97" s="74"/>
      <c r="S97" s="48">
        <v>6</v>
      </c>
      <c r="T97" s="48">
        <v>7</v>
      </c>
      <c r="U97" s="49">
        <v>24.436353</v>
      </c>
      <c r="V97" s="49">
        <v>2.0200000000000001E-3</v>
      </c>
      <c r="W97" s="49">
        <v>7.5100000000000002E-3</v>
      </c>
      <c r="X97" s="49">
        <v>0.78981900000000005</v>
      </c>
      <c r="Y97" s="49">
        <v>0.53333333333333333</v>
      </c>
      <c r="Z97" s="49">
        <v>0.83333333333333337</v>
      </c>
      <c r="AA97" s="69">
        <v>170</v>
      </c>
      <c r="AB97" s="69"/>
      <c r="AC97" s="70"/>
      <c r="AD97" s="76">
        <v>4570</v>
      </c>
      <c r="AE97" s="76">
        <v>5249</v>
      </c>
      <c r="AF97" s="76">
        <v>83340</v>
      </c>
      <c r="AG97" s="76">
        <v>298</v>
      </c>
      <c r="AH97" s="76" t="s">
        <v>1415</v>
      </c>
      <c r="AI97" s="76" t="s">
        <v>1519</v>
      </c>
      <c r="AJ97" s="76"/>
      <c r="AK97" s="76" t="s">
        <v>1626</v>
      </c>
      <c r="AL97" s="76">
        <v>-28800</v>
      </c>
      <c r="AM97" s="78">
        <v>39889.004363425927</v>
      </c>
      <c r="AN97" s="76" t="s">
        <v>1823</v>
      </c>
      <c r="AO97" s="80" t="s">
        <v>1990</v>
      </c>
      <c r="AP97" s="2"/>
      <c r="AQ97" s="3"/>
      <c r="AR97" s="3"/>
      <c r="AS97" s="3"/>
      <c r="AT97" s="3"/>
    </row>
    <row r="98" spans="1:46" ht="41.45" customHeight="1" x14ac:dyDescent="0.25">
      <c r="A98" s="62" t="s">
        <v>318</v>
      </c>
      <c r="B98" s="63"/>
      <c r="C98" s="63" t="s">
        <v>63</v>
      </c>
      <c r="D98" s="64">
        <v>1.6868808891036482</v>
      </c>
      <c r="E98" s="66">
        <v>99.912871413525679</v>
      </c>
      <c r="F98" s="97" t="s">
        <v>1769</v>
      </c>
      <c r="G98" s="63"/>
      <c r="H98" s="67" t="s">
        <v>318</v>
      </c>
      <c r="I98" s="68"/>
      <c r="J98" s="68"/>
      <c r="K98" s="67" t="s">
        <v>2153</v>
      </c>
      <c r="L98" s="71">
        <v>30.037053585676443</v>
      </c>
      <c r="M98" s="72">
        <v>7696.09716796875</v>
      </c>
      <c r="N98" s="72">
        <v>1518.638916015625</v>
      </c>
      <c r="O98" s="73"/>
      <c r="P98" s="74"/>
      <c r="Q98" s="74"/>
      <c r="S98" s="48">
        <v>5</v>
      </c>
      <c r="T98" s="48">
        <v>3</v>
      </c>
      <c r="U98" s="49">
        <v>23.951637000000002</v>
      </c>
      <c r="V98" s="49">
        <v>1.6919999999999999E-3</v>
      </c>
      <c r="W98" s="49">
        <v>1.469E-3</v>
      </c>
      <c r="X98" s="49">
        <v>0.74402400000000002</v>
      </c>
      <c r="Y98" s="49">
        <v>0.16666666666666666</v>
      </c>
      <c r="Z98" s="49">
        <v>0.5</v>
      </c>
      <c r="AA98" s="69">
        <v>141</v>
      </c>
      <c r="AB98" s="69"/>
      <c r="AC98" s="70"/>
      <c r="AD98" s="76">
        <v>134</v>
      </c>
      <c r="AE98" s="76">
        <v>182</v>
      </c>
      <c r="AF98" s="76">
        <v>2050</v>
      </c>
      <c r="AG98" s="76">
        <v>12</v>
      </c>
      <c r="AH98" s="76" t="s">
        <v>1388</v>
      </c>
      <c r="AI98" s="76" t="s">
        <v>1533</v>
      </c>
      <c r="AJ98" s="80" t="s">
        <v>1610</v>
      </c>
      <c r="AK98" s="76" t="s">
        <v>1625</v>
      </c>
      <c r="AL98" s="76">
        <v>-18000</v>
      </c>
      <c r="AM98" s="78">
        <v>40686.987546296295</v>
      </c>
      <c r="AN98" s="76" t="s">
        <v>1823</v>
      </c>
      <c r="AO98" s="80" t="s">
        <v>1961</v>
      </c>
      <c r="AP98" s="2"/>
      <c r="AQ98" s="3"/>
      <c r="AR98" s="3"/>
      <c r="AS98" s="3"/>
      <c r="AT98" s="3"/>
    </row>
    <row r="99" spans="1:46" ht="41.45" customHeight="1" x14ac:dyDescent="0.25">
      <c r="A99" s="62" t="s">
        <v>266</v>
      </c>
      <c r="B99" s="63"/>
      <c r="C99" s="63" t="s">
        <v>63</v>
      </c>
      <c r="D99" s="64">
        <v>1.9456390432471611</v>
      </c>
      <c r="E99" s="66">
        <v>99.792231832253535</v>
      </c>
      <c r="F99" s="97" t="s">
        <v>1727</v>
      </c>
      <c r="G99" s="63"/>
      <c r="H99" s="67" t="s">
        <v>266</v>
      </c>
      <c r="I99" s="68"/>
      <c r="J99" s="68"/>
      <c r="K99" s="67" t="s">
        <v>2110</v>
      </c>
      <c r="L99" s="71">
        <v>70.242204704305365</v>
      </c>
      <c r="M99" s="72">
        <v>1703.5137939453125</v>
      </c>
      <c r="N99" s="72">
        <v>2846.915771484375</v>
      </c>
      <c r="O99" s="73"/>
      <c r="P99" s="74"/>
      <c r="Q99" s="74"/>
      <c r="S99" s="48">
        <v>4</v>
      </c>
      <c r="T99" s="48">
        <v>5</v>
      </c>
      <c r="U99" s="49">
        <v>22.401509000000001</v>
      </c>
      <c r="V99" s="49">
        <v>1.934E-3</v>
      </c>
      <c r="W99" s="49">
        <v>1.3910000000000001E-3</v>
      </c>
      <c r="X99" s="49">
        <v>0.65736399999999995</v>
      </c>
      <c r="Y99" s="49">
        <v>0.16666666666666666</v>
      </c>
      <c r="Z99" s="49">
        <v>0.75</v>
      </c>
      <c r="AA99" s="69">
        <v>98</v>
      </c>
      <c r="AB99" s="69"/>
      <c r="AC99" s="70"/>
      <c r="AD99" s="76">
        <v>667</v>
      </c>
      <c r="AE99" s="76">
        <v>434</v>
      </c>
      <c r="AF99" s="76">
        <v>12560</v>
      </c>
      <c r="AG99" s="76">
        <v>178</v>
      </c>
      <c r="AH99" s="76"/>
      <c r="AI99" s="76"/>
      <c r="AJ99" s="76"/>
      <c r="AK99" s="76" t="s">
        <v>1624</v>
      </c>
      <c r="AL99" s="76">
        <v>-21600</v>
      </c>
      <c r="AM99" s="78">
        <v>39460.964155092595</v>
      </c>
      <c r="AN99" s="76" t="s">
        <v>1823</v>
      </c>
      <c r="AO99" s="80" t="s">
        <v>1918</v>
      </c>
      <c r="AP99" s="2"/>
      <c r="AQ99" s="3"/>
      <c r="AR99" s="3"/>
      <c r="AS99" s="3"/>
      <c r="AT99" s="3"/>
    </row>
    <row r="100" spans="1:46" ht="41.45" customHeight="1" x14ac:dyDescent="0.25">
      <c r="A100" s="62" t="s">
        <v>363</v>
      </c>
      <c r="B100" s="63"/>
      <c r="C100" s="63" t="s">
        <v>63</v>
      </c>
      <c r="D100" s="64">
        <v>2.049347668518966</v>
      </c>
      <c r="E100" s="66">
        <v>99.743880254045251</v>
      </c>
      <c r="F100" s="97" t="s">
        <v>1811</v>
      </c>
      <c r="G100" s="63"/>
      <c r="H100" s="67" t="s">
        <v>363</v>
      </c>
      <c r="I100" s="68"/>
      <c r="J100" s="68"/>
      <c r="K100" s="67" t="s">
        <v>2195</v>
      </c>
      <c r="L100" s="71">
        <v>86.356174001851087</v>
      </c>
      <c r="M100" s="72">
        <v>4438.28076171875</v>
      </c>
      <c r="N100" s="72">
        <v>7892.00830078125</v>
      </c>
      <c r="O100" s="73"/>
      <c r="P100" s="74"/>
      <c r="Q100" s="74"/>
      <c r="S100" s="48">
        <v>10</v>
      </c>
      <c r="T100" s="48">
        <v>10</v>
      </c>
      <c r="U100" s="49">
        <v>21.758769999999998</v>
      </c>
      <c r="V100" s="49">
        <v>2.0960000000000002E-3</v>
      </c>
      <c r="W100" s="49">
        <v>1.5761000000000001E-2</v>
      </c>
      <c r="X100" s="49">
        <v>1.1406940000000001</v>
      </c>
      <c r="Y100" s="49">
        <v>0.53636363636363638</v>
      </c>
      <c r="Z100" s="49">
        <v>0.63636363636363635</v>
      </c>
      <c r="AA100" s="69">
        <v>183</v>
      </c>
      <c r="AB100" s="69"/>
      <c r="AC100" s="70"/>
      <c r="AD100" s="76">
        <v>293</v>
      </c>
      <c r="AE100" s="76">
        <v>535</v>
      </c>
      <c r="AF100" s="76">
        <v>19851</v>
      </c>
      <c r="AG100" s="76">
        <v>0</v>
      </c>
      <c r="AH100" s="76" t="s">
        <v>1427</v>
      </c>
      <c r="AI100" s="76" t="s">
        <v>1560</v>
      </c>
      <c r="AJ100" s="76"/>
      <c r="AK100" s="76" t="s">
        <v>1625</v>
      </c>
      <c r="AL100" s="76">
        <v>-18000</v>
      </c>
      <c r="AM100" s="78">
        <v>40681.108229166668</v>
      </c>
      <c r="AN100" s="76" t="s">
        <v>1823</v>
      </c>
      <c r="AO100" s="80" t="s">
        <v>2003</v>
      </c>
      <c r="AP100" s="2"/>
      <c r="AQ100" s="3"/>
      <c r="AR100" s="3"/>
      <c r="AS100" s="3"/>
      <c r="AT100" s="3"/>
    </row>
    <row r="101" spans="1:46" ht="41.45" customHeight="1" x14ac:dyDescent="0.25">
      <c r="A101" s="62" t="s">
        <v>372</v>
      </c>
      <c r="B101" s="63"/>
      <c r="C101" s="63" t="s">
        <v>63</v>
      </c>
      <c r="D101" s="64">
        <v>1.7207658854795844</v>
      </c>
      <c r="E101" s="66">
        <v>99.897073373120989</v>
      </c>
      <c r="F101" s="97" t="s">
        <v>1816</v>
      </c>
      <c r="G101" s="63"/>
      <c r="H101" s="67" t="s">
        <v>372</v>
      </c>
      <c r="I101" s="68"/>
      <c r="J101" s="68"/>
      <c r="K101" s="67" t="s">
        <v>2200</v>
      </c>
      <c r="L101" s="71">
        <v>35.302013851211186</v>
      </c>
      <c r="M101" s="72">
        <v>4378.22265625</v>
      </c>
      <c r="N101" s="72">
        <v>6348.55078125</v>
      </c>
      <c r="O101" s="73"/>
      <c r="P101" s="74"/>
      <c r="Q101" s="74"/>
      <c r="S101" s="48">
        <v>3</v>
      </c>
      <c r="T101" s="48">
        <v>4</v>
      </c>
      <c r="U101" s="49">
        <v>21.025214999999999</v>
      </c>
      <c r="V101" s="49">
        <v>2.0699999999999998E-3</v>
      </c>
      <c r="W101" s="49">
        <v>5.2059999999999997E-3</v>
      </c>
      <c r="X101" s="49">
        <v>0.55766099999999996</v>
      </c>
      <c r="Y101" s="49">
        <v>0.33333333333333331</v>
      </c>
      <c r="Z101" s="49">
        <v>0.66666666666666663</v>
      </c>
      <c r="AA101" s="69">
        <v>188</v>
      </c>
      <c r="AB101" s="69"/>
      <c r="AC101" s="70"/>
      <c r="AD101" s="76">
        <v>526</v>
      </c>
      <c r="AE101" s="76">
        <v>215</v>
      </c>
      <c r="AF101" s="76">
        <v>2210</v>
      </c>
      <c r="AG101" s="76">
        <v>46</v>
      </c>
      <c r="AH101" s="76" t="s">
        <v>1432</v>
      </c>
      <c r="AI101" s="76" t="s">
        <v>1563</v>
      </c>
      <c r="AJ101" s="80" t="s">
        <v>1621</v>
      </c>
      <c r="AK101" s="76" t="s">
        <v>1624</v>
      </c>
      <c r="AL101" s="76">
        <v>-21600</v>
      </c>
      <c r="AM101" s="78">
        <v>40987.720960648148</v>
      </c>
      <c r="AN101" s="76" t="s">
        <v>1823</v>
      </c>
      <c r="AO101" s="80" t="s">
        <v>2008</v>
      </c>
      <c r="AP101" s="2"/>
      <c r="AQ101" s="3"/>
      <c r="AR101" s="3"/>
      <c r="AS101" s="3"/>
      <c r="AT101" s="3"/>
    </row>
    <row r="102" spans="1:46" ht="41.45" customHeight="1" x14ac:dyDescent="0.25">
      <c r="A102" s="62" t="s">
        <v>373</v>
      </c>
      <c r="B102" s="63"/>
      <c r="C102" s="63" t="s">
        <v>63</v>
      </c>
      <c r="D102" s="64">
        <v>1.9261294998791978</v>
      </c>
      <c r="E102" s="66">
        <v>99.801327673698651</v>
      </c>
      <c r="F102" s="97" t="s">
        <v>1817</v>
      </c>
      <c r="G102" s="63"/>
      <c r="H102" s="67" t="s">
        <v>373</v>
      </c>
      <c r="I102" s="68"/>
      <c r="J102" s="68"/>
      <c r="K102" s="67" t="s">
        <v>2201</v>
      </c>
      <c r="L102" s="71">
        <v>67.210863945361126</v>
      </c>
      <c r="M102" s="72">
        <v>3969.072265625</v>
      </c>
      <c r="N102" s="72">
        <v>6293.23095703125</v>
      </c>
      <c r="O102" s="73"/>
      <c r="P102" s="74"/>
      <c r="Q102" s="74"/>
      <c r="S102" s="48">
        <v>3</v>
      </c>
      <c r="T102" s="48">
        <v>4</v>
      </c>
      <c r="U102" s="49">
        <v>21.025214999999999</v>
      </c>
      <c r="V102" s="49">
        <v>2.0699999999999998E-3</v>
      </c>
      <c r="W102" s="49">
        <v>5.2059999999999997E-3</v>
      </c>
      <c r="X102" s="49">
        <v>0.55766099999999996</v>
      </c>
      <c r="Y102" s="49">
        <v>0.33333333333333331</v>
      </c>
      <c r="Z102" s="49">
        <v>0.66666666666666663</v>
      </c>
      <c r="AA102" s="69">
        <v>189</v>
      </c>
      <c r="AB102" s="69"/>
      <c r="AC102" s="70"/>
      <c r="AD102" s="76">
        <v>681</v>
      </c>
      <c r="AE102" s="76">
        <v>415</v>
      </c>
      <c r="AF102" s="76">
        <v>2350</v>
      </c>
      <c r="AG102" s="76">
        <v>28</v>
      </c>
      <c r="AH102" s="76" t="s">
        <v>1433</v>
      </c>
      <c r="AI102" s="76" t="s">
        <v>1564</v>
      </c>
      <c r="AJ102" s="80" t="s">
        <v>1622</v>
      </c>
      <c r="AK102" s="76"/>
      <c r="AL102" s="76"/>
      <c r="AM102" s="78">
        <v>40845.128437500003</v>
      </c>
      <c r="AN102" s="76" t="s">
        <v>1823</v>
      </c>
      <c r="AO102" s="80" t="s">
        <v>2009</v>
      </c>
      <c r="AP102" s="2"/>
      <c r="AQ102" s="3"/>
      <c r="AR102" s="3"/>
      <c r="AS102" s="3"/>
      <c r="AT102" s="3"/>
    </row>
    <row r="103" spans="1:46" ht="41.45" customHeight="1" x14ac:dyDescent="0.25">
      <c r="A103" s="62" t="s">
        <v>305</v>
      </c>
      <c r="B103" s="63"/>
      <c r="C103" s="63" t="s">
        <v>63</v>
      </c>
      <c r="D103" s="64">
        <v>2.2280140130466295</v>
      </c>
      <c r="E103" s="66">
        <v>99.660581495547831</v>
      </c>
      <c r="F103" s="97" t="s">
        <v>1757</v>
      </c>
      <c r="G103" s="63"/>
      <c r="H103" s="67" t="s">
        <v>305</v>
      </c>
      <c r="I103" s="68"/>
      <c r="J103" s="68"/>
      <c r="K103" s="67" t="s">
        <v>2141</v>
      </c>
      <c r="L103" s="71">
        <v>114.11687358376153</v>
      </c>
      <c r="M103" s="72">
        <v>5993.73974609375</v>
      </c>
      <c r="N103" s="72">
        <v>1787.2310791015625</v>
      </c>
      <c r="O103" s="73"/>
      <c r="P103" s="74"/>
      <c r="Q103" s="74"/>
      <c r="S103" s="48">
        <v>9</v>
      </c>
      <c r="T103" s="48">
        <v>6</v>
      </c>
      <c r="U103" s="49">
        <v>17.214839000000001</v>
      </c>
      <c r="V103" s="49">
        <v>1.8799999999999999E-3</v>
      </c>
      <c r="W103" s="49">
        <v>2.3909999999999999E-3</v>
      </c>
      <c r="X103" s="49">
        <v>0.97201000000000004</v>
      </c>
      <c r="Y103" s="49">
        <v>0.2857142857142857</v>
      </c>
      <c r="Z103" s="49">
        <v>0.625</v>
      </c>
      <c r="AA103" s="69">
        <v>129</v>
      </c>
      <c r="AB103" s="69"/>
      <c r="AC103" s="70"/>
      <c r="AD103" s="76">
        <v>437</v>
      </c>
      <c r="AE103" s="76">
        <v>709</v>
      </c>
      <c r="AF103" s="76">
        <v>965</v>
      </c>
      <c r="AG103" s="76">
        <v>595</v>
      </c>
      <c r="AH103" s="76" t="s">
        <v>1377</v>
      </c>
      <c r="AI103" s="76" t="s">
        <v>1525</v>
      </c>
      <c r="AJ103" s="76"/>
      <c r="AK103" s="76" t="s">
        <v>1625</v>
      </c>
      <c r="AL103" s="76">
        <v>-18000</v>
      </c>
      <c r="AM103" s="78">
        <v>40651.860347222224</v>
      </c>
      <c r="AN103" s="76" t="s">
        <v>1823</v>
      </c>
      <c r="AO103" s="80" t="s">
        <v>1949</v>
      </c>
      <c r="AP103" s="2"/>
      <c r="AQ103" s="3"/>
      <c r="AR103" s="3"/>
      <c r="AS103" s="3"/>
      <c r="AT103" s="3"/>
    </row>
    <row r="104" spans="1:46" ht="41.45" customHeight="1" x14ac:dyDescent="0.25">
      <c r="A104" s="62" t="s">
        <v>213</v>
      </c>
      <c r="B104" s="63"/>
      <c r="C104" s="63" t="s">
        <v>63</v>
      </c>
      <c r="D104" s="64">
        <v>1.5195095433679633</v>
      </c>
      <c r="E104" s="66">
        <v>99.990904158554883</v>
      </c>
      <c r="F104" s="97" t="s">
        <v>1644</v>
      </c>
      <c r="G104" s="63"/>
      <c r="H104" s="67" t="s">
        <v>213</v>
      </c>
      <c r="I104" s="68"/>
      <c r="J104" s="68"/>
      <c r="K104" s="67" t="s">
        <v>2043</v>
      </c>
      <c r="L104" s="71">
        <v>4.0313407589442445</v>
      </c>
      <c r="M104" s="72">
        <v>3020.462890625</v>
      </c>
      <c r="N104" s="72">
        <v>5897.67919921875</v>
      </c>
      <c r="O104" s="73"/>
      <c r="P104" s="74"/>
      <c r="Q104" s="74"/>
      <c r="S104" s="48">
        <v>1</v>
      </c>
      <c r="T104" s="48">
        <v>3</v>
      </c>
      <c r="U104" s="49">
        <v>15.822932</v>
      </c>
      <c r="V104" s="49">
        <v>1.949E-3</v>
      </c>
      <c r="W104" s="49">
        <v>2.6519999999999998E-3</v>
      </c>
      <c r="X104" s="49">
        <v>0.49744100000000002</v>
      </c>
      <c r="Y104" s="49">
        <v>0</v>
      </c>
      <c r="Z104" s="49">
        <v>0</v>
      </c>
      <c r="AA104" s="69">
        <v>31</v>
      </c>
      <c r="AB104" s="69"/>
      <c r="AC104" s="70"/>
      <c r="AD104" s="76">
        <v>130</v>
      </c>
      <c r="AE104" s="76">
        <v>19</v>
      </c>
      <c r="AF104" s="76">
        <v>503</v>
      </c>
      <c r="AG104" s="76">
        <v>64</v>
      </c>
      <c r="AH104" s="76" t="s">
        <v>1290</v>
      </c>
      <c r="AI104" s="76"/>
      <c r="AJ104" s="76"/>
      <c r="AK104" s="76" t="s">
        <v>1625</v>
      </c>
      <c r="AL104" s="76">
        <v>-18000</v>
      </c>
      <c r="AM104" s="78">
        <v>41107.958912037036</v>
      </c>
      <c r="AN104" s="76" t="s">
        <v>1823</v>
      </c>
      <c r="AO104" s="80" t="s">
        <v>1852</v>
      </c>
      <c r="AP104" s="2"/>
      <c r="AQ104" s="3"/>
      <c r="AR104" s="3"/>
      <c r="AS104" s="3"/>
      <c r="AT104" s="3"/>
    </row>
    <row r="105" spans="1:46" ht="41.45" customHeight="1" x14ac:dyDescent="0.25">
      <c r="A105" s="62" t="s">
        <v>377</v>
      </c>
      <c r="B105" s="63"/>
      <c r="C105" s="63" t="s">
        <v>63</v>
      </c>
      <c r="D105" s="64">
        <v>1.5431263590239188</v>
      </c>
      <c r="E105" s="66">
        <v>99.979893403121309</v>
      </c>
      <c r="F105" s="97" t="s">
        <v>1820</v>
      </c>
      <c r="G105" s="63"/>
      <c r="H105" s="67" t="s">
        <v>377</v>
      </c>
      <c r="I105" s="68"/>
      <c r="J105" s="68"/>
      <c r="K105" s="67" t="s">
        <v>2204</v>
      </c>
      <c r="L105" s="71">
        <v>7.7008585197714865</v>
      </c>
      <c r="M105" s="72">
        <v>5216.521484375</v>
      </c>
      <c r="N105" s="72">
        <v>6280.14404296875</v>
      </c>
      <c r="O105" s="73"/>
      <c r="P105" s="74"/>
      <c r="Q105" s="74"/>
      <c r="S105" s="48">
        <v>1</v>
      </c>
      <c r="T105" s="48">
        <v>3</v>
      </c>
      <c r="U105" s="49">
        <v>15.822932</v>
      </c>
      <c r="V105" s="49">
        <v>1.949E-3</v>
      </c>
      <c r="W105" s="49">
        <v>2.6519999999999998E-3</v>
      </c>
      <c r="X105" s="49">
        <v>0.49744100000000002</v>
      </c>
      <c r="Y105" s="49">
        <v>0</v>
      </c>
      <c r="Z105" s="49">
        <v>0</v>
      </c>
      <c r="AA105" s="69">
        <v>192</v>
      </c>
      <c r="AB105" s="69"/>
      <c r="AC105" s="70"/>
      <c r="AD105" s="76">
        <v>192</v>
      </c>
      <c r="AE105" s="76">
        <v>42</v>
      </c>
      <c r="AF105" s="76">
        <v>527</v>
      </c>
      <c r="AG105" s="76">
        <v>0</v>
      </c>
      <c r="AH105" s="76" t="s">
        <v>1435</v>
      </c>
      <c r="AI105" s="76" t="s">
        <v>1566</v>
      </c>
      <c r="AJ105" s="76"/>
      <c r="AK105" s="76" t="s">
        <v>1625</v>
      </c>
      <c r="AL105" s="76">
        <v>-18000</v>
      </c>
      <c r="AM105" s="78">
        <v>40288.958356481482</v>
      </c>
      <c r="AN105" s="76" t="s">
        <v>1823</v>
      </c>
      <c r="AO105" s="80" t="s">
        <v>2012</v>
      </c>
      <c r="AP105" s="2"/>
      <c r="AQ105" s="3"/>
      <c r="AR105" s="3"/>
      <c r="AS105" s="3"/>
      <c r="AT105" s="3"/>
    </row>
    <row r="106" spans="1:46" ht="41.45" customHeight="1" x14ac:dyDescent="0.25">
      <c r="A106" s="62" t="s">
        <v>338</v>
      </c>
      <c r="B106" s="63"/>
      <c r="C106" s="63" t="s">
        <v>63</v>
      </c>
      <c r="D106" s="64">
        <v>1.6971490698236289</v>
      </c>
      <c r="E106" s="66">
        <v>99.908084128554563</v>
      </c>
      <c r="F106" s="97" t="s">
        <v>1788</v>
      </c>
      <c r="G106" s="63"/>
      <c r="H106" s="67" t="s">
        <v>338</v>
      </c>
      <c r="I106" s="68"/>
      <c r="J106" s="68"/>
      <c r="K106" s="67" t="s">
        <v>2172</v>
      </c>
      <c r="L106" s="71">
        <v>31.632496090383942</v>
      </c>
      <c r="M106" s="72">
        <v>2434.103271484375</v>
      </c>
      <c r="N106" s="72">
        <v>305.30020141601562</v>
      </c>
      <c r="O106" s="73"/>
      <c r="P106" s="74"/>
      <c r="Q106" s="74"/>
      <c r="S106" s="48">
        <v>3</v>
      </c>
      <c r="T106" s="48">
        <v>3</v>
      </c>
      <c r="U106" s="49">
        <v>13.642555</v>
      </c>
      <c r="V106" s="49">
        <v>1.506E-3</v>
      </c>
      <c r="W106" s="49">
        <v>2.7500000000000002E-4</v>
      </c>
      <c r="X106" s="49">
        <v>0.56124099999999999</v>
      </c>
      <c r="Y106" s="49">
        <v>0</v>
      </c>
      <c r="Z106" s="49">
        <v>1</v>
      </c>
      <c r="AA106" s="69">
        <v>160</v>
      </c>
      <c r="AB106" s="69"/>
      <c r="AC106" s="70"/>
      <c r="AD106" s="76">
        <v>683</v>
      </c>
      <c r="AE106" s="76">
        <v>192</v>
      </c>
      <c r="AF106" s="76">
        <v>1001</v>
      </c>
      <c r="AG106" s="76">
        <v>478</v>
      </c>
      <c r="AH106" s="76" t="s">
        <v>1406</v>
      </c>
      <c r="AI106" s="76" t="s">
        <v>1546</v>
      </c>
      <c r="AJ106" s="76"/>
      <c r="AK106" s="76" t="s">
        <v>1625</v>
      </c>
      <c r="AL106" s="76">
        <v>-18000</v>
      </c>
      <c r="AM106" s="78">
        <v>40926.035358796296</v>
      </c>
      <c r="AN106" s="76" t="s">
        <v>1823</v>
      </c>
      <c r="AO106" s="80" t="s">
        <v>1980</v>
      </c>
      <c r="AP106" s="2"/>
      <c r="AQ106" s="3"/>
      <c r="AR106" s="3"/>
      <c r="AS106" s="3"/>
      <c r="AT106" s="3"/>
    </row>
    <row r="107" spans="1:46" ht="41.45" customHeight="1" x14ac:dyDescent="0.25">
      <c r="A107" s="62" t="s">
        <v>325</v>
      </c>
      <c r="B107" s="63"/>
      <c r="C107" s="63" t="s">
        <v>63</v>
      </c>
      <c r="D107" s="64">
        <v>3.9561488282193769</v>
      </c>
      <c r="E107" s="66">
        <v>98.854881434908876</v>
      </c>
      <c r="F107" s="97" t="s">
        <v>1776</v>
      </c>
      <c r="G107" s="63"/>
      <c r="H107" s="67" t="s">
        <v>325</v>
      </c>
      <c r="I107" s="68"/>
      <c r="J107" s="68"/>
      <c r="K107" s="67" t="s">
        <v>2160</v>
      </c>
      <c r="L107" s="71">
        <v>382.62984712603327</v>
      </c>
      <c r="M107" s="72">
        <v>6426.681640625</v>
      </c>
      <c r="N107" s="72">
        <v>2142.942626953125</v>
      </c>
      <c r="O107" s="73"/>
      <c r="P107" s="74"/>
      <c r="Q107" s="74"/>
      <c r="S107" s="48">
        <v>4</v>
      </c>
      <c r="T107" s="48">
        <v>6</v>
      </c>
      <c r="U107" s="49">
        <v>13.302102</v>
      </c>
      <c r="V107" s="49">
        <v>1.8420000000000001E-3</v>
      </c>
      <c r="W107" s="49">
        <v>1.2179999999999999E-3</v>
      </c>
      <c r="X107" s="49">
        <v>0.69827600000000001</v>
      </c>
      <c r="Y107" s="49">
        <v>0.2</v>
      </c>
      <c r="Z107" s="49">
        <v>0.66666666666666663</v>
      </c>
      <c r="AA107" s="69">
        <v>148</v>
      </c>
      <c r="AB107" s="69"/>
      <c r="AC107" s="70"/>
      <c r="AD107" s="76">
        <v>2588</v>
      </c>
      <c r="AE107" s="76">
        <v>2392</v>
      </c>
      <c r="AF107" s="76">
        <v>4867</v>
      </c>
      <c r="AG107" s="76">
        <v>29</v>
      </c>
      <c r="AH107" s="76" t="s">
        <v>1395</v>
      </c>
      <c r="AI107" s="76" t="s">
        <v>1537</v>
      </c>
      <c r="AJ107" s="80" t="s">
        <v>1611</v>
      </c>
      <c r="AK107" s="76" t="s">
        <v>1626</v>
      </c>
      <c r="AL107" s="76">
        <v>-28800</v>
      </c>
      <c r="AM107" s="78">
        <v>39911.750497685185</v>
      </c>
      <c r="AN107" s="76" t="s">
        <v>1823</v>
      </c>
      <c r="AO107" s="80" t="s">
        <v>1968</v>
      </c>
      <c r="AP107" s="2"/>
      <c r="AQ107" s="3"/>
      <c r="AR107" s="3"/>
      <c r="AS107" s="3"/>
      <c r="AT107" s="3"/>
    </row>
    <row r="108" spans="1:46" ht="41.45" customHeight="1" x14ac:dyDescent="0.25">
      <c r="A108" s="62" t="s">
        <v>347</v>
      </c>
      <c r="B108" s="63"/>
      <c r="C108" s="63" t="s">
        <v>63</v>
      </c>
      <c r="D108" s="64">
        <v>1.6519690746557139</v>
      </c>
      <c r="E108" s="66">
        <v>99.929148182427468</v>
      </c>
      <c r="F108" s="97" t="s">
        <v>1795</v>
      </c>
      <c r="G108" s="63"/>
      <c r="H108" s="67" t="s">
        <v>347</v>
      </c>
      <c r="I108" s="68"/>
      <c r="J108" s="68"/>
      <c r="K108" s="67" t="s">
        <v>2179</v>
      </c>
      <c r="L108" s="71">
        <v>24.612549069670955</v>
      </c>
      <c r="M108" s="72">
        <v>8446.91015625</v>
      </c>
      <c r="N108" s="72">
        <v>482.72515869140625</v>
      </c>
      <c r="O108" s="73"/>
      <c r="P108" s="74"/>
      <c r="Q108" s="74"/>
      <c r="S108" s="48">
        <v>3</v>
      </c>
      <c r="T108" s="48">
        <v>4</v>
      </c>
      <c r="U108" s="49">
        <v>10.760600999999999</v>
      </c>
      <c r="V108" s="49">
        <v>1.8450000000000001E-3</v>
      </c>
      <c r="W108" s="49">
        <v>2.4290000000000002E-3</v>
      </c>
      <c r="X108" s="49">
        <v>0.570766</v>
      </c>
      <c r="Y108" s="49">
        <v>0.66666666666666663</v>
      </c>
      <c r="Z108" s="49">
        <v>0.66666666666666663</v>
      </c>
      <c r="AA108" s="69">
        <v>167</v>
      </c>
      <c r="AB108" s="69"/>
      <c r="AC108" s="70"/>
      <c r="AD108" s="76">
        <v>207</v>
      </c>
      <c r="AE108" s="76">
        <v>148</v>
      </c>
      <c r="AF108" s="76">
        <v>3058</v>
      </c>
      <c r="AG108" s="76">
        <v>64</v>
      </c>
      <c r="AH108" s="76" t="s">
        <v>1412</v>
      </c>
      <c r="AI108" s="76"/>
      <c r="AJ108" s="76"/>
      <c r="AK108" s="76"/>
      <c r="AL108" s="76"/>
      <c r="AM108" s="78">
        <v>41053.713541666664</v>
      </c>
      <c r="AN108" s="76" t="s">
        <v>1823</v>
      </c>
      <c r="AO108" s="80" t="s">
        <v>1987</v>
      </c>
      <c r="AP108" s="2"/>
      <c r="AQ108" s="3"/>
      <c r="AR108" s="3"/>
      <c r="AS108" s="3"/>
      <c r="AT108" s="3"/>
    </row>
    <row r="109" spans="1:46" ht="41.45" customHeight="1" x14ac:dyDescent="0.25">
      <c r="A109" s="62" t="s">
        <v>354</v>
      </c>
      <c r="B109" s="63"/>
      <c r="C109" s="63" t="s">
        <v>63</v>
      </c>
      <c r="D109" s="64">
        <v>1.9805508576950954</v>
      </c>
      <c r="E109" s="66">
        <v>99.775955063351731</v>
      </c>
      <c r="F109" s="97" t="s">
        <v>1803</v>
      </c>
      <c r="G109" s="63"/>
      <c r="H109" s="67" t="s">
        <v>354</v>
      </c>
      <c r="I109" s="68"/>
      <c r="J109" s="68"/>
      <c r="K109" s="67" t="s">
        <v>2187</v>
      </c>
      <c r="L109" s="71">
        <v>75.66670922031085</v>
      </c>
      <c r="M109" s="72">
        <v>4792.2041015625</v>
      </c>
      <c r="N109" s="72">
        <v>7631.9794921875</v>
      </c>
      <c r="O109" s="73"/>
      <c r="P109" s="74"/>
      <c r="Q109" s="74"/>
      <c r="S109" s="48">
        <v>4</v>
      </c>
      <c r="T109" s="48">
        <v>7</v>
      </c>
      <c r="U109" s="49">
        <v>9.9265179999999997</v>
      </c>
      <c r="V109" s="49">
        <v>2.062E-3</v>
      </c>
      <c r="W109" s="49">
        <v>8.6979999999999991E-3</v>
      </c>
      <c r="X109" s="49">
        <v>0.78057399999999999</v>
      </c>
      <c r="Y109" s="49">
        <v>0.5</v>
      </c>
      <c r="Z109" s="49">
        <v>0.5</v>
      </c>
      <c r="AA109" s="69">
        <v>175</v>
      </c>
      <c r="AB109" s="69"/>
      <c r="AC109" s="70"/>
      <c r="AD109" s="76">
        <v>699</v>
      </c>
      <c r="AE109" s="76">
        <v>468</v>
      </c>
      <c r="AF109" s="76">
        <v>3288</v>
      </c>
      <c r="AG109" s="76">
        <v>17</v>
      </c>
      <c r="AH109" s="76" t="s">
        <v>1420</v>
      </c>
      <c r="AI109" s="76" t="s">
        <v>1554</v>
      </c>
      <c r="AJ109" s="80" t="s">
        <v>1617</v>
      </c>
      <c r="AK109" s="76" t="s">
        <v>1625</v>
      </c>
      <c r="AL109" s="76">
        <v>-18000</v>
      </c>
      <c r="AM109" s="78">
        <v>40002.801921296297</v>
      </c>
      <c r="AN109" s="76" t="s">
        <v>1823</v>
      </c>
      <c r="AO109" s="80" t="s">
        <v>1995</v>
      </c>
      <c r="AP109" s="2"/>
      <c r="AQ109" s="3"/>
      <c r="AR109" s="3"/>
      <c r="AS109" s="3"/>
      <c r="AT109" s="3"/>
    </row>
    <row r="110" spans="1:46" ht="41.45" customHeight="1" x14ac:dyDescent="0.25">
      <c r="A110" s="62" t="s">
        <v>333</v>
      </c>
      <c r="B110" s="63"/>
      <c r="C110" s="63" t="s">
        <v>63</v>
      </c>
      <c r="D110" s="64">
        <v>2.1684585648707415</v>
      </c>
      <c r="E110" s="66">
        <v>99.688347748380295</v>
      </c>
      <c r="F110" s="97" t="s">
        <v>1771</v>
      </c>
      <c r="G110" s="63"/>
      <c r="H110" s="67" t="s">
        <v>333</v>
      </c>
      <c r="I110" s="68"/>
      <c r="J110" s="68"/>
      <c r="K110" s="67" t="s">
        <v>2155</v>
      </c>
      <c r="L110" s="71">
        <v>104.86330705645804</v>
      </c>
      <c r="M110" s="72">
        <v>5988.05419921875</v>
      </c>
      <c r="N110" s="72">
        <v>1422.099365234375</v>
      </c>
      <c r="O110" s="73"/>
      <c r="P110" s="74"/>
      <c r="Q110" s="74"/>
      <c r="S110" s="48">
        <v>6</v>
      </c>
      <c r="T110" s="48">
        <v>4</v>
      </c>
      <c r="U110" s="49">
        <v>7.9707489999999996</v>
      </c>
      <c r="V110" s="49">
        <v>1.8550000000000001E-3</v>
      </c>
      <c r="W110" s="49">
        <v>1.384E-3</v>
      </c>
      <c r="X110" s="49">
        <v>0.71478200000000003</v>
      </c>
      <c r="Y110" s="49">
        <v>0.15</v>
      </c>
      <c r="Z110" s="49">
        <v>0.6</v>
      </c>
      <c r="AA110" s="69">
        <v>143</v>
      </c>
      <c r="AB110" s="69"/>
      <c r="AC110" s="70"/>
      <c r="AD110" s="76">
        <v>588</v>
      </c>
      <c r="AE110" s="76">
        <v>651</v>
      </c>
      <c r="AF110" s="76">
        <v>7545</v>
      </c>
      <c r="AG110" s="76">
        <v>10</v>
      </c>
      <c r="AH110" s="76" t="s">
        <v>1390</v>
      </c>
      <c r="AI110" s="76"/>
      <c r="AJ110" s="76"/>
      <c r="AK110" s="76"/>
      <c r="AL110" s="76"/>
      <c r="AM110" s="78">
        <v>40569.068622685183</v>
      </c>
      <c r="AN110" s="76" t="s">
        <v>1823</v>
      </c>
      <c r="AO110" s="80" t="s">
        <v>1963</v>
      </c>
      <c r="AP110" s="2"/>
      <c r="AQ110" s="3"/>
      <c r="AR110" s="3"/>
      <c r="AS110" s="3"/>
      <c r="AT110" s="3"/>
    </row>
    <row r="111" spans="1:46" ht="41.45" customHeight="1" x14ac:dyDescent="0.25">
      <c r="A111" s="62" t="s">
        <v>317</v>
      </c>
      <c r="B111" s="63"/>
      <c r="C111" s="63" t="s">
        <v>63</v>
      </c>
      <c r="D111" s="64">
        <v>1.7669726987194974</v>
      </c>
      <c r="E111" s="66">
        <v>99.875530590750969</v>
      </c>
      <c r="F111" s="97" t="s">
        <v>1768</v>
      </c>
      <c r="G111" s="63"/>
      <c r="H111" s="67" t="s">
        <v>317</v>
      </c>
      <c r="I111" s="68"/>
      <c r="J111" s="68"/>
      <c r="K111" s="67" t="s">
        <v>2152</v>
      </c>
      <c r="L111" s="71">
        <v>42.481505122394921</v>
      </c>
      <c r="M111" s="72">
        <v>7409.61767578125</v>
      </c>
      <c r="N111" s="72">
        <v>1912.3302001953125</v>
      </c>
      <c r="O111" s="73"/>
      <c r="P111" s="74"/>
      <c r="Q111" s="74"/>
      <c r="S111" s="48">
        <v>2</v>
      </c>
      <c r="T111" s="48">
        <v>2</v>
      </c>
      <c r="U111" s="49">
        <v>6.6883970000000001</v>
      </c>
      <c r="V111" s="49">
        <v>1.6130000000000001E-3</v>
      </c>
      <c r="W111" s="49">
        <v>1.317E-3</v>
      </c>
      <c r="X111" s="49">
        <v>0.36358099999999999</v>
      </c>
      <c r="Y111" s="49">
        <v>0</v>
      </c>
      <c r="Z111" s="49">
        <v>1</v>
      </c>
      <c r="AA111" s="69">
        <v>140</v>
      </c>
      <c r="AB111" s="69"/>
      <c r="AC111" s="70"/>
      <c r="AD111" s="76">
        <v>482</v>
      </c>
      <c r="AE111" s="76">
        <v>260</v>
      </c>
      <c r="AF111" s="76">
        <v>3740</v>
      </c>
      <c r="AG111" s="76">
        <v>154</v>
      </c>
      <c r="AH111" s="76" t="s">
        <v>1387</v>
      </c>
      <c r="AI111" s="76" t="s">
        <v>1532</v>
      </c>
      <c r="AJ111" s="76"/>
      <c r="AK111" s="76" t="s">
        <v>1626</v>
      </c>
      <c r="AL111" s="76">
        <v>-28800</v>
      </c>
      <c r="AM111" s="78">
        <v>40983.777025462965</v>
      </c>
      <c r="AN111" s="76" t="s">
        <v>1823</v>
      </c>
      <c r="AO111" s="80" t="s">
        <v>1960</v>
      </c>
      <c r="AP111" s="2"/>
      <c r="AQ111" s="3"/>
      <c r="AR111" s="3"/>
      <c r="AS111" s="3"/>
      <c r="AT111" s="3"/>
    </row>
    <row r="112" spans="1:46" ht="41.45" customHeight="1" x14ac:dyDescent="0.25">
      <c r="A112" s="62" t="s">
        <v>249</v>
      </c>
      <c r="B112" s="63"/>
      <c r="C112" s="63" t="s">
        <v>63</v>
      </c>
      <c r="D112" s="64">
        <v>1.9713094950471128</v>
      </c>
      <c r="E112" s="66">
        <v>99.780263619825746</v>
      </c>
      <c r="F112" s="97" t="s">
        <v>1709</v>
      </c>
      <c r="G112" s="63"/>
      <c r="H112" s="67" t="s">
        <v>249</v>
      </c>
      <c r="I112" s="68"/>
      <c r="J112" s="68"/>
      <c r="K112" s="67" t="s">
        <v>2092</v>
      </c>
      <c r="L112" s="71">
        <v>74.230810966074102</v>
      </c>
      <c r="M112" s="72">
        <v>8756.8671875</v>
      </c>
      <c r="N112" s="72">
        <v>2169.59423828125</v>
      </c>
      <c r="O112" s="73"/>
      <c r="P112" s="74"/>
      <c r="Q112" s="74"/>
      <c r="S112" s="48">
        <v>1</v>
      </c>
      <c r="T112" s="48">
        <v>3</v>
      </c>
      <c r="U112" s="49">
        <v>6.5315459999999996</v>
      </c>
      <c r="V112" s="49">
        <v>1.9719999999999998E-3</v>
      </c>
      <c r="W112" s="49">
        <v>1.585E-3</v>
      </c>
      <c r="X112" s="49">
        <v>0.48410999999999998</v>
      </c>
      <c r="Y112" s="49">
        <v>0</v>
      </c>
      <c r="Z112" s="49">
        <v>0</v>
      </c>
      <c r="AA112" s="69">
        <v>80</v>
      </c>
      <c r="AB112" s="69"/>
      <c r="AC112" s="70"/>
      <c r="AD112" s="76">
        <v>1779</v>
      </c>
      <c r="AE112" s="76">
        <v>459</v>
      </c>
      <c r="AF112" s="76">
        <v>31274</v>
      </c>
      <c r="AG112" s="76">
        <v>671</v>
      </c>
      <c r="AH112" s="76" t="s">
        <v>1331</v>
      </c>
      <c r="AI112" s="76" t="s">
        <v>1486</v>
      </c>
      <c r="AJ112" s="76"/>
      <c r="AK112" s="76" t="s">
        <v>1625</v>
      </c>
      <c r="AL112" s="76">
        <v>-18000</v>
      </c>
      <c r="AM112" s="78">
        <v>40237.494305555556</v>
      </c>
      <c r="AN112" s="76" t="s">
        <v>1823</v>
      </c>
      <c r="AO112" s="80" t="s">
        <v>1901</v>
      </c>
      <c r="AP112" s="2"/>
      <c r="AQ112" s="3"/>
      <c r="AR112" s="3"/>
      <c r="AS112" s="3"/>
      <c r="AT112" s="3"/>
    </row>
    <row r="113" spans="1:46" ht="41.45" customHeight="1" x14ac:dyDescent="0.25">
      <c r="A113" s="62" t="s">
        <v>283</v>
      </c>
      <c r="B113" s="63"/>
      <c r="C113" s="63" t="s">
        <v>63</v>
      </c>
      <c r="D113" s="64">
        <v>1.6786663445276637</v>
      </c>
      <c r="E113" s="66">
        <v>99.916701241502565</v>
      </c>
      <c r="F113" s="97" t="s">
        <v>1741</v>
      </c>
      <c r="G113" s="63"/>
      <c r="H113" s="67" t="s">
        <v>283</v>
      </c>
      <c r="I113" s="68"/>
      <c r="J113" s="68"/>
      <c r="K113" s="67" t="s">
        <v>2125</v>
      </c>
      <c r="L113" s="71">
        <v>28.760699581910448</v>
      </c>
      <c r="M113" s="72">
        <v>9001.8193359375</v>
      </c>
      <c r="N113" s="72">
        <v>2326.523681640625</v>
      </c>
      <c r="O113" s="73"/>
      <c r="P113" s="74"/>
      <c r="Q113" s="74"/>
      <c r="S113" s="48">
        <v>1</v>
      </c>
      <c r="T113" s="48">
        <v>3</v>
      </c>
      <c r="U113" s="49">
        <v>6.5315459999999996</v>
      </c>
      <c r="V113" s="49">
        <v>1.9719999999999998E-3</v>
      </c>
      <c r="W113" s="49">
        <v>1.585E-3</v>
      </c>
      <c r="X113" s="49">
        <v>0.48410999999999998</v>
      </c>
      <c r="Y113" s="49">
        <v>0</v>
      </c>
      <c r="Z113" s="49">
        <v>0</v>
      </c>
      <c r="AA113" s="69">
        <v>113</v>
      </c>
      <c r="AB113" s="69"/>
      <c r="AC113" s="70"/>
      <c r="AD113" s="76">
        <v>519</v>
      </c>
      <c r="AE113" s="76">
        <v>174</v>
      </c>
      <c r="AF113" s="76">
        <v>4049</v>
      </c>
      <c r="AG113" s="76">
        <v>4</v>
      </c>
      <c r="AH113" s="76" t="s">
        <v>1362</v>
      </c>
      <c r="AI113" s="76" t="s">
        <v>1515</v>
      </c>
      <c r="AJ113" s="76"/>
      <c r="AK113" s="76" t="s">
        <v>1625</v>
      </c>
      <c r="AL113" s="76">
        <v>-18000</v>
      </c>
      <c r="AM113" s="78">
        <v>39882.84033564815</v>
      </c>
      <c r="AN113" s="76" t="s">
        <v>1823</v>
      </c>
      <c r="AO113" s="80" t="s">
        <v>1933</v>
      </c>
      <c r="AP113" s="2"/>
      <c r="AQ113" s="3"/>
      <c r="AR113" s="3"/>
      <c r="AS113" s="3"/>
      <c r="AT113" s="3"/>
    </row>
    <row r="114" spans="1:46" ht="41.45" customHeight="1" x14ac:dyDescent="0.25">
      <c r="A114" s="62" t="s">
        <v>250</v>
      </c>
      <c r="B114" s="63"/>
      <c r="C114" s="63" t="s">
        <v>63</v>
      </c>
      <c r="D114" s="64">
        <v>1.821394056535395</v>
      </c>
      <c r="E114" s="66">
        <v>99.850157980404049</v>
      </c>
      <c r="F114" s="97" t="s">
        <v>1711</v>
      </c>
      <c r="G114" s="63"/>
      <c r="H114" s="67" t="s">
        <v>250</v>
      </c>
      <c r="I114" s="68"/>
      <c r="J114" s="68"/>
      <c r="K114" s="67" t="s">
        <v>2094</v>
      </c>
      <c r="L114" s="71">
        <v>50.937350397344652</v>
      </c>
      <c r="M114" s="72">
        <v>1500.919677734375</v>
      </c>
      <c r="N114" s="72">
        <v>8532.861328125</v>
      </c>
      <c r="O114" s="73"/>
      <c r="P114" s="74"/>
      <c r="Q114" s="74"/>
      <c r="S114" s="48">
        <v>3</v>
      </c>
      <c r="T114" s="48">
        <v>4</v>
      </c>
      <c r="U114" s="49">
        <v>5.2951829999999998</v>
      </c>
      <c r="V114" s="49">
        <v>1.887E-3</v>
      </c>
      <c r="W114" s="49">
        <v>3.6900000000000001E-3</v>
      </c>
      <c r="X114" s="49">
        <v>0.53262600000000004</v>
      </c>
      <c r="Y114" s="49">
        <v>0.33333333333333331</v>
      </c>
      <c r="Z114" s="49">
        <v>0.66666666666666663</v>
      </c>
      <c r="AA114" s="69">
        <v>82</v>
      </c>
      <c r="AB114" s="69"/>
      <c r="AC114" s="70"/>
      <c r="AD114" s="76">
        <v>367</v>
      </c>
      <c r="AE114" s="76">
        <v>313</v>
      </c>
      <c r="AF114" s="76">
        <v>1378</v>
      </c>
      <c r="AG114" s="76">
        <v>121</v>
      </c>
      <c r="AH114" s="76" t="s">
        <v>1333</v>
      </c>
      <c r="AI114" s="76" t="s">
        <v>1487</v>
      </c>
      <c r="AJ114" s="76"/>
      <c r="AK114" s="76" t="s">
        <v>1625</v>
      </c>
      <c r="AL114" s="76">
        <v>-18000</v>
      </c>
      <c r="AM114" s="78">
        <v>39727.81355324074</v>
      </c>
      <c r="AN114" s="76" t="s">
        <v>1823</v>
      </c>
      <c r="AO114" s="80" t="s">
        <v>1903</v>
      </c>
      <c r="AP114" s="2"/>
      <c r="AQ114" s="3"/>
      <c r="AR114" s="3"/>
      <c r="AS114" s="3"/>
      <c r="AT114" s="3"/>
    </row>
    <row r="115" spans="1:46" ht="41.45" customHeight="1" x14ac:dyDescent="0.25">
      <c r="A115" s="62" t="s">
        <v>262</v>
      </c>
      <c r="B115" s="63"/>
      <c r="C115" s="63" t="s">
        <v>63</v>
      </c>
      <c r="D115" s="64">
        <v>2.1838608359507128</v>
      </c>
      <c r="E115" s="66">
        <v>99.681166820923622</v>
      </c>
      <c r="F115" s="97" t="s">
        <v>1722</v>
      </c>
      <c r="G115" s="63"/>
      <c r="H115" s="67" t="s">
        <v>262</v>
      </c>
      <c r="I115" s="68"/>
      <c r="J115" s="68"/>
      <c r="K115" s="67" t="s">
        <v>2105</v>
      </c>
      <c r="L115" s="71">
        <v>107.25647081351929</v>
      </c>
      <c r="M115" s="72">
        <v>5349.87744140625</v>
      </c>
      <c r="N115" s="72">
        <v>3870.063232421875</v>
      </c>
      <c r="O115" s="73"/>
      <c r="P115" s="74"/>
      <c r="Q115" s="74"/>
      <c r="S115" s="48">
        <v>3</v>
      </c>
      <c r="T115" s="48">
        <v>5</v>
      </c>
      <c r="U115" s="49">
        <v>4.8293650000000001</v>
      </c>
      <c r="V115" s="49">
        <v>1.9269999999999999E-3</v>
      </c>
      <c r="W115" s="49">
        <v>1.4729999999999999E-3</v>
      </c>
      <c r="X115" s="49">
        <v>0.72116800000000003</v>
      </c>
      <c r="Y115" s="49">
        <v>0.25</v>
      </c>
      <c r="Z115" s="49">
        <v>0.5</v>
      </c>
      <c r="AA115" s="69">
        <v>93</v>
      </c>
      <c r="AB115" s="69"/>
      <c r="AC115" s="70"/>
      <c r="AD115" s="76">
        <v>1810</v>
      </c>
      <c r="AE115" s="76">
        <v>666</v>
      </c>
      <c r="AF115" s="76">
        <v>13542</v>
      </c>
      <c r="AG115" s="76">
        <v>855</v>
      </c>
      <c r="AH115" s="76" t="s">
        <v>1343</v>
      </c>
      <c r="AI115" s="76" t="s">
        <v>1497</v>
      </c>
      <c r="AJ115" s="76"/>
      <c r="AK115" s="76" t="s">
        <v>1625</v>
      </c>
      <c r="AL115" s="76">
        <v>-18000</v>
      </c>
      <c r="AM115" s="78">
        <v>39397.98505787037</v>
      </c>
      <c r="AN115" s="76" t="s">
        <v>1823</v>
      </c>
      <c r="AO115" s="80" t="s">
        <v>1914</v>
      </c>
      <c r="AP115" s="2"/>
      <c r="AQ115" s="3"/>
      <c r="AR115" s="3"/>
      <c r="AS115" s="3"/>
      <c r="AT115" s="3"/>
    </row>
    <row r="116" spans="1:46" ht="41.45" customHeight="1" x14ac:dyDescent="0.25">
      <c r="A116" s="62" t="s">
        <v>289</v>
      </c>
      <c r="B116" s="63"/>
      <c r="C116" s="63" t="s">
        <v>63</v>
      </c>
      <c r="D116" s="64">
        <v>5.2037327856970279</v>
      </c>
      <c r="E116" s="66">
        <v>98.273226310918204</v>
      </c>
      <c r="F116" s="97" t="s">
        <v>1738</v>
      </c>
      <c r="G116" s="63"/>
      <c r="H116" s="67" t="s">
        <v>289</v>
      </c>
      <c r="I116" s="68"/>
      <c r="J116" s="68"/>
      <c r="K116" s="67" t="s">
        <v>2122</v>
      </c>
      <c r="L116" s="71">
        <v>576.47611144799407</v>
      </c>
      <c r="M116" s="72">
        <v>7776.876953125</v>
      </c>
      <c r="N116" s="72">
        <v>4489.056640625</v>
      </c>
      <c r="O116" s="73"/>
      <c r="P116" s="74"/>
      <c r="Q116" s="74"/>
      <c r="S116" s="48">
        <v>3</v>
      </c>
      <c r="T116" s="48">
        <v>1</v>
      </c>
      <c r="U116" s="49">
        <v>4</v>
      </c>
      <c r="V116" s="49">
        <v>1.6230000000000001E-3</v>
      </c>
      <c r="W116" s="49">
        <v>2.23E-4</v>
      </c>
      <c r="X116" s="49">
        <v>0.63161199999999995</v>
      </c>
      <c r="Y116" s="49">
        <v>0</v>
      </c>
      <c r="Z116" s="49">
        <v>0</v>
      </c>
      <c r="AA116" s="69">
        <v>110</v>
      </c>
      <c r="AB116" s="69"/>
      <c r="AC116" s="70"/>
      <c r="AD116" s="76">
        <v>267</v>
      </c>
      <c r="AE116" s="76">
        <v>3607</v>
      </c>
      <c r="AF116" s="76">
        <v>4566</v>
      </c>
      <c r="AG116" s="76">
        <v>11</v>
      </c>
      <c r="AH116" s="76" t="s">
        <v>1359</v>
      </c>
      <c r="AI116" s="76" t="s">
        <v>1513</v>
      </c>
      <c r="AJ116" s="80" t="s">
        <v>1605</v>
      </c>
      <c r="AK116" s="76" t="s">
        <v>1626</v>
      </c>
      <c r="AL116" s="76">
        <v>-28800</v>
      </c>
      <c r="AM116" s="78">
        <v>39880.948229166665</v>
      </c>
      <c r="AN116" s="76" t="s">
        <v>1823</v>
      </c>
      <c r="AO116" s="80" t="s">
        <v>1930</v>
      </c>
      <c r="AP116" s="2"/>
      <c r="AQ116" s="3"/>
      <c r="AR116" s="3"/>
      <c r="AS116" s="3"/>
      <c r="AT116" s="3"/>
    </row>
    <row r="117" spans="1:46" ht="41.45" customHeight="1" x14ac:dyDescent="0.25">
      <c r="A117" s="62" t="s">
        <v>358</v>
      </c>
      <c r="B117" s="63"/>
      <c r="C117" s="63" t="s">
        <v>63</v>
      </c>
      <c r="D117" s="64">
        <v>2.6387412418458567</v>
      </c>
      <c r="E117" s="66">
        <v>99.469090096703155</v>
      </c>
      <c r="F117" s="97" t="s">
        <v>1805</v>
      </c>
      <c r="G117" s="63"/>
      <c r="H117" s="67" t="s">
        <v>358</v>
      </c>
      <c r="I117" s="68"/>
      <c r="J117" s="68"/>
      <c r="K117" s="67" t="s">
        <v>2189</v>
      </c>
      <c r="L117" s="71">
        <v>177.93457377206141</v>
      </c>
      <c r="M117" s="72">
        <v>3370.26318359375</v>
      </c>
      <c r="N117" s="72">
        <v>8869.8701171875</v>
      </c>
      <c r="O117" s="73"/>
      <c r="P117" s="74"/>
      <c r="Q117" s="74"/>
      <c r="S117" s="48">
        <v>5</v>
      </c>
      <c r="T117" s="48">
        <v>5</v>
      </c>
      <c r="U117" s="49">
        <v>3.8591090000000001</v>
      </c>
      <c r="V117" s="49">
        <v>1.9919999999999998E-3</v>
      </c>
      <c r="W117" s="49">
        <v>7.9080000000000001E-3</v>
      </c>
      <c r="X117" s="49">
        <v>0.68863700000000005</v>
      </c>
      <c r="Y117" s="49">
        <v>0.65</v>
      </c>
      <c r="Z117" s="49">
        <v>0.6</v>
      </c>
      <c r="AA117" s="69">
        <v>177</v>
      </c>
      <c r="AB117" s="69"/>
      <c r="AC117" s="70"/>
      <c r="AD117" s="76">
        <v>1856</v>
      </c>
      <c r="AE117" s="76">
        <v>1109</v>
      </c>
      <c r="AF117" s="76">
        <v>6790</v>
      </c>
      <c r="AG117" s="76">
        <v>3</v>
      </c>
      <c r="AH117" s="76" t="s">
        <v>1422</v>
      </c>
      <c r="AI117" s="76" t="s">
        <v>1483</v>
      </c>
      <c r="AJ117" s="80" t="s">
        <v>1618</v>
      </c>
      <c r="AK117" s="76" t="s">
        <v>1633</v>
      </c>
      <c r="AL117" s="76">
        <v>-32400</v>
      </c>
      <c r="AM117" s="78">
        <v>40834.430833333332</v>
      </c>
      <c r="AN117" s="76" t="s">
        <v>1823</v>
      </c>
      <c r="AO117" s="80" t="s">
        <v>1997</v>
      </c>
      <c r="AP117" s="2"/>
      <c r="AQ117" s="3"/>
      <c r="AR117" s="3"/>
      <c r="AS117" s="3"/>
      <c r="AT117" s="3"/>
    </row>
    <row r="118" spans="1:46" ht="41.45" customHeight="1" x14ac:dyDescent="0.25">
      <c r="A118" s="62" t="s">
        <v>365</v>
      </c>
      <c r="B118" s="63"/>
      <c r="C118" s="63" t="s">
        <v>63</v>
      </c>
      <c r="D118" s="64">
        <v>2.126359023918821</v>
      </c>
      <c r="E118" s="66">
        <v>99.707975616761885</v>
      </c>
      <c r="F118" s="97" t="s">
        <v>1810</v>
      </c>
      <c r="G118" s="63"/>
      <c r="H118" s="67" t="s">
        <v>365</v>
      </c>
      <c r="I118" s="68"/>
      <c r="J118" s="68"/>
      <c r="K118" s="67" t="s">
        <v>2194</v>
      </c>
      <c r="L118" s="71">
        <v>98.321992787157313</v>
      </c>
      <c r="M118" s="72">
        <v>2356.307373046875</v>
      </c>
      <c r="N118" s="72">
        <v>8010.94140625</v>
      </c>
      <c r="O118" s="73"/>
      <c r="P118" s="74"/>
      <c r="Q118" s="74"/>
      <c r="S118" s="48">
        <v>5</v>
      </c>
      <c r="T118" s="48">
        <v>5</v>
      </c>
      <c r="U118" s="49">
        <v>3.7763789999999999</v>
      </c>
      <c r="V118" s="49">
        <v>2.0119999999999999E-3</v>
      </c>
      <c r="W118" s="49">
        <v>7.5700000000000003E-3</v>
      </c>
      <c r="X118" s="49">
        <v>0.66234899999999997</v>
      </c>
      <c r="Y118" s="49">
        <v>0.5</v>
      </c>
      <c r="Z118" s="49">
        <v>0.6</v>
      </c>
      <c r="AA118" s="69">
        <v>182</v>
      </c>
      <c r="AB118" s="69"/>
      <c r="AC118" s="70"/>
      <c r="AD118" s="76">
        <v>1056</v>
      </c>
      <c r="AE118" s="76">
        <v>610</v>
      </c>
      <c r="AF118" s="76">
        <v>7175</v>
      </c>
      <c r="AG118" s="76">
        <v>44</v>
      </c>
      <c r="AH118" s="76" t="s">
        <v>1426</v>
      </c>
      <c r="AI118" s="76" t="s">
        <v>1559</v>
      </c>
      <c r="AJ118" s="76"/>
      <c r="AK118" s="76" t="s">
        <v>1627</v>
      </c>
      <c r="AL118" s="76">
        <v>-18000</v>
      </c>
      <c r="AM118" s="78">
        <v>40015.52851851852</v>
      </c>
      <c r="AN118" s="76" t="s">
        <v>1823</v>
      </c>
      <c r="AO118" s="80" t="s">
        <v>2002</v>
      </c>
      <c r="AP118" s="2"/>
      <c r="AQ118" s="3"/>
      <c r="AR118" s="3"/>
      <c r="AS118" s="3"/>
      <c r="AT118" s="3"/>
    </row>
    <row r="119" spans="1:46" ht="41.45" customHeight="1" x14ac:dyDescent="0.25">
      <c r="A119" s="62" t="s">
        <v>364</v>
      </c>
      <c r="B119" s="63"/>
      <c r="C119" s="63" t="s">
        <v>63</v>
      </c>
      <c r="D119" s="64">
        <v>4.4387533220584681</v>
      </c>
      <c r="E119" s="66">
        <v>98.629879041266392</v>
      </c>
      <c r="F119" s="97" t="s">
        <v>1812</v>
      </c>
      <c r="G119" s="63"/>
      <c r="H119" s="67" t="s">
        <v>364</v>
      </c>
      <c r="I119" s="68"/>
      <c r="J119" s="68"/>
      <c r="K119" s="67" t="s">
        <v>2196</v>
      </c>
      <c r="L119" s="71">
        <v>457.61564484728564</v>
      </c>
      <c r="M119" s="72">
        <v>5167.431640625</v>
      </c>
      <c r="N119" s="72">
        <v>8196.3994140625</v>
      </c>
      <c r="O119" s="73"/>
      <c r="P119" s="74"/>
      <c r="Q119" s="74"/>
      <c r="S119" s="48">
        <v>10</v>
      </c>
      <c r="T119" s="48">
        <v>6</v>
      </c>
      <c r="U119" s="49">
        <v>3.2967390000000001</v>
      </c>
      <c r="V119" s="49">
        <v>2E-3</v>
      </c>
      <c r="W119" s="49">
        <v>1.3434E-2</v>
      </c>
      <c r="X119" s="49">
        <v>0.95277500000000004</v>
      </c>
      <c r="Y119" s="49">
        <v>0.625</v>
      </c>
      <c r="Z119" s="49">
        <v>0.55555555555555558</v>
      </c>
      <c r="AA119" s="69">
        <v>184</v>
      </c>
      <c r="AB119" s="69"/>
      <c r="AC119" s="70"/>
      <c r="AD119" s="76">
        <v>199</v>
      </c>
      <c r="AE119" s="76">
        <v>2862</v>
      </c>
      <c r="AF119" s="76">
        <v>4321</v>
      </c>
      <c r="AG119" s="76">
        <v>49</v>
      </c>
      <c r="AH119" s="76" t="s">
        <v>1428</v>
      </c>
      <c r="AI119" s="76"/>
      <c r="AJ119" s="76"/>
      <c r="AK119" s="76" t="s">
        <v>1627</v>
      </c>
      <c r="AL119" s="76">
        <v>-18000</v>
      </c>
      <c r="AM119" s="78">
        <v>39900.009421296294</v>
      </c>
      <c r="AN119" s="76" t="s">
        <v>1823</v>
      </c>
      <c r="AO119" s="80" t="s">
        <v>2004</v>
      </c>
      <c r="AP119" s="2"/>
      <c r="AQ119" s="3"/>
      <c r="AR119" s="3"/>
      <c r="AS119" s="3"/>
      <c r="AT119" s="3"/>
    </row>
    <row r="120" spans="1:46" ht="41.45" customHeight="1" x14ac:dyDescent="0.25">
      <c r="A120" s="62" t="s">
        <v>371</v>
      </c>
      <c r="B120" s="63"/>
      <c r="C120" s="63" t="s">
        <v>63</v>
      </c>
      <c r="D120" s="64">
        <v>4.2949987919787391</v>
      </c>
      <c r="E120" s="66">
        <v>98.696901030862037</v>
      </c>
      <c r="F120" s="97" t="s">
        <v>1815</v>
      </c>
      <c r="G120" s="63"/>
      <c r="H120" s="67" t="s">
        <v>371</v>
      </c>
      <c r="I120" s="68"/>
      <c r="J120" s="68"/>
      <c r="K120" s="67" t="s">
        <v>2199</v>
      </c>
      <c r="L120" s="71">
        <v>435.27944978138066</v>
      </c>
      <c r="M120" s="72">
        <v>2809.251220703125</v>
      </c>
      <c r="N120" s="72">
        <v>8530.291015625</v>
      </c>
      <c r="O120" s="73"/>
      <c r="P120" s="74"/>
      <c r="Q120" s="74"/>
      <c r="S120" s="48">
        <v>3</v>
      </c>
      <c r="T120" s="48">
        <v>4</v>
      </c>
      <c r="U120" s="49">
        <v>2.953846</v>
      </c>
      <c r="V120" s="49">
        <v>2.0279999999999999E-3</v>
      </c>
      <c r="W120" s="49">
        <v>6.7080000000000004E-3</v>
      </c>
      <c r="X120" s="49">
        <v>0.60022600000000004</v>
      </c>
      <c r="Y120" s="49">
        <v>0.41666666666666669</v>
      </c>
      <c r="Z120" s="49">
        <v>0.25</v>
      </c>
      <c r="AA120" s="69">
        <v>187</v>
      </c>
      <c r="AB120" s="69"/>
      <c r="AC120" s="70"/>
      <c r="AD120" s="76">
        <v>946</v>
      </c>
      <c r="AE120" s="76">
        <v>2722</v>
      </c>
      <c r="AF120" s="76">
        <v>82847</v>
      </c>
      <c r="AG120" s="76">
        <v>35</v>
      </c>
      <c r="AH120" s="76" t="s">
        <v>1431</v>
      </c>
      <c r="AI120" s="76" t="s">
        <v>1483</v>
      </c>
      <c r="AJ120" s="76"/>
      <c r="AK120" s="76" t="s">
        <v>1626</v>
      </c>
      <c r="AL120" s="76">
        <v>-28800</v>
      </c>
      <c r="AM120" s="78">
        <v>39878.26116898148</v>
      </c>
      <c r="AN120" s="76" t="s">
        <v>1823</v>
      </c>
      <c r="AO120" s="80" t="s">
        <v>2007</v>
      </c>
      <c r="AP120" s="2"/>
      <c r="AQ120" s="3"/>
      <c r="AR120" s="3"/>
      <c r="AS120" s="3"/>
      <c r="AT120" s="3"/>
    </row>
    <row r="121" spans="1:46" ht="41.45" customHeight="1" x14ac:dyDescent="0.25">
      <c r="A121" s="62" t="s">
        <v>232</v>
      </c>
      <c r="B121" s="63"/>
      <c r="C121" s="63" t="s">
        <v>63</v>
      </c>
      <c r="D121" s="64">
        <v>1.5431263590239188</v>
      </c>
      <c r="E121" s="66">
        <v>99.979893403121309</v>
      </c>
      <c r="F121" s="97" t="s">
        <v>1690</v>
      </c>
      <c r="G121" s="63"/>
      <c r="H121" s="67" t="s">
        <v>232</v>
      </c>
      <c r="I121" s="68"/>
      <c r="J121" s="68"/>
      <c r="K121" s="67" t="s">
        <v>2073</v>
      </c>
      <c r="L121" s="71">
        <v>7.7008585197714865</v>
      </c>
      <c r="M121" s="72">
        <v>2219.76171875</v>
      </c>
      <c r="N121" s="72">
        <v>5229.8212890625</v>
      </c>
      <c r="O121" s="73"/>
      <c r="P121" s="74"/>
      <c r="Q121" s="74"/>
      <c r="S121" s="48">
        <v>2</v>
      </c>
      <c r="T121" s="48">
        <v>4</v>
      </c>
      <c r="U121" s="49">
        <v>2.5</v>
      </c>
      <c r="V121" s="49">
        <v>1.859E-3</v>
      </c>
      <c r="W121" s="49">
        <v>1.7290000000000001E-3</v>
      </c>
      <c r="X121" s="49">
        <v>0.61680699999999999</v>
      </c>
      <c r="Y121" s="49">
        <v>0.33333333333333331</v>
      </c>
      <c r="Z121" s="49">
        <v>0.33333333333333331</v>
      </c>
      <c r="AA121" s="69">
        <v>61</v>
      </c>
      <c r="AB121" s="69"/>
      <c r="AC121" s="70"/>
      <c r="AD121" s="76">
        <v>224</v>
      </c>
      <c r="AE121" s="76">
        <v>42</v>
      </c>
      <c r="AF121" s="76">
        <v>1822</v>
      </c>
      <c r="AG121" s="76">
        <v>3</v>
      </c>
      <c r="AH121" s="76" t="s">
        <v>1315</v>
      </c>
      <c r="AI121" s="76"/>
      <c r="AJ121" s="76"/>
      <c r="AK121" s="76" t="s">
        <v>1624</v>
      </c>
      <c r="AL121" s="76">
        <v>-21600</v>
      </c>
      <c r="AM121" s="78">
        <v>40303.132152777776</v>
      </c>
      <c r="AN121" s="76" t="s">
        <v>1823</v>
      </c>
      <c r="AO121" s="80" t="s">
        <v>1882</v>
      </c>
      <c r="AP121" s="2"/>
      <c r="AQ121" s="3"/>
      <c r="AR121" s="3"/>
      <c r="AS121" s="3"/>
      <c r="AT121" s="3"/>
    </row>
    <row r="122" spans="1:46" ht="41.45" customHeight="1" x14ac:dyDescent="0.25">
      <c r="A122" s="62" t="s">
        <v>348</v>
      </c>
      <c r="B122" s="63"/>
      <c r="C122" s="63" t="s">
        <v>63</v>
      </c>
      <c r="D122" s="64">
        <v>1.6252718047837642</v>
      </c>
      <c r="E122" s="66">
        <v>99.941595123352371</v>
      </c>
      <c r="F122" s="97" t="s">
        <v>1796</v>
      </c>
      <c r="G122" s="63"/>
      <c r="H122" s="67" t="s">
        <v>348</v>
      </c>
      <c r="I122" s="68"/>
      <c r="J122" s="68"/>
      <c r="K122" s="67" t="s">
        <v>2180</v>
      </c>
      <c r="L122" s="71">
        <v>20.464398557431462</v>
      </c>
      <c r="M122" s="72">
        <v>1296.3006591796875</v>
      </c>
      <c r="N122" s="72">
        <v>6110.896484375</v>
      </c>
      <c r="O122" s="73"/>
      <c r="P122" s="74"/>
      <c r="Q122" s="74"/>
      <c r="S122" s="48">
        <v>3</v>
      </c>
      <c r="T122" s="48">
        <v>4</v>
      </c>
      <c r="U122" s="49">
        <v>2.4190290000000001</v>
      </c>
      <c r="V122" s="49">
        <v>1.8320000000000001E-3</v>
      </c>
      <c r="W122" s="49">
        <v>2.9260000000000002E-3</v>
      </c>
      <c r="X122" s="49">
        <v>0.53130200000000005</v>
      </c>
      <c r="Y122" s="49">
        <v>0.5</v>
      </c>
      <c r="Z122" s="49">
        <v>0.66666666666666663</v>
      </c>
      <c r="AA122" s="69">
        <v>168</v>
      </c>
      <c r="AB122" s="69"/>
      <c r="AC122" s="70"/>
      <c r="AD122" s="76">
        <v>202</v>
      </c>
      <c r="AE122" s="76">
        <v>122</v>
      </c>
      <c r="AF122" s="76">
        <v>3226</v>
      </c>
      <c r="AG122" s="76">
        <v>1</v>
      </c>
      <c r="AH122" s="76" t="s">
        <v>1413</v>
      </c>
      <c r="AI122" s="76"/>
      <c r="AJ122" s="76"/>
      <c r="AK122" s="76"/>
      <c r="AL122" s="76"/>
      <c r="AM122" s="78">
        <v>40897.818854166668</v>
      </c>
      <c r="AN122" s="76" t="s">
        <v>1823</v>
      </c>
      <c r="AO122" s="80" t="s">
        <v>1988</v>
      </c>
      <c r="AP122" s="2"/>
      <c r="AQ122" s="3"/>
      <c r="AR122" s="3"/>
      <c r="AS122" s="3"/>
      <c r="AT122" s="3"/>
    </row>
    <row r="123" spans="1:46" ht="41.45" customHeight="1" x14ac:dyDescent="0.25">
      <c r="A123" s="62" t="s">
        <v>291</v>
      </c>
      <c r="B123" s="63"/>
      <c r="C123" s="63" t="s">
        <v>63</v>
      </c>
      <c r="D123" s="64">
        <v>2.2844890070065231</v>
      </c>
      <c r="E123" s="66">
        <v>99.634251428206682</v>
      </c>
      <c r="F123" s="97" t="s">
        <v>1745</v>
      </c>
      <c r="G123" s="63"/>
      <c r="H123" s="67" t="s">
        <v>291</v>
      </c>
      <c r="I123" s="68"/>
      <c r="J123" s="68"/>
      <c r="K123" s="67" t="s">
        <v>2129</v>
      </c>
      <c r="L123" s="71">
        <v>122.89180735965276</v>
      </c>
      <c r="M123" s="72">
        <v>5378.4384765625</v>
      </c>
      <c r="N123" s="72">
        <v>715.48553466796875</v>
      </c>
      <c r="O123" s="73"/>
      <c r="P123" s="74"/>
      <c r="Q123" s="74"/>
      <c r="S123" s="48">
        <v>3</v>
      </c>
      <c r="T123" s="48">
        <v>3</v>
      </c>
      <c r="U123" s="49">
        <v>1.983333</v>
      </c>
      <c r="V123" s="49">
        <v>1.6639999999999999E-3</v>
      </c>
      <c r="W123" s="49">
        <v>5.6899999999999995E-4</v>
      </c>
      <c r="X123" s="49">
        <v>0.42521999999999999</v>
      </c>
      <c r="Y123" s="49">
        <v>0</v>
      </c>
      <c r="Z123" s="49">
        <v>1</v>
      </c>
      <c r="AA123" s="69">
        <v>117</v>
      </c>
      <c r="AB123" s="69"/>
      <c r="AC123" s="70"/>
      <c r="AD123" s="76">
        <v>861</v>
      </c>
      <c r="AE123" s="76">
        <v>764</v>
      </c>
      <c r="AF123" s="76">
        <v>13192</v>
      </c>
      <c r="AG123" s="76">
        <v>160</v>
      </c>
      <c r="AH123" s="76" t="s">
        <v>1365</v>
      </c>
      <c r="AI123" s="76" t="s">
        <v>1516</v>
      </c>
      <c r="AJ123" s="76"/>
      <c r="AK123" s="76" t="s">
        <v>1629</v>
      </c>
      <c r="AL123" s="76">
        <v>-25200</v>
      </c>
      <c r="AM123" s="78">
        <v>40404.083252314813</v>
      </c>
      <c r="AN123" s="76" t="s">
        <v>1823</v>
      </c>
      <c r="AO123" s="80" t="s">
        <v>1937</v>
      </c>
      <c r="AP123" s="2"/>
      <c r="AQ123" s="3"/>
      <c r="AR123" s="3"/>
      <c r="AS123" s="3"/>
      <c r="AT123" s="3"/>
    </row>
    <row r="124" spans="1:46" ht="41.45" customHeight="1" x14ac:dyDescent="0.25">
      <c r="A124" s="62" t="s">
        <v>327</v>
      </c>
      <c r="B124" s="63"/>
      <c r="C124" s="63" t="s">
        <v>63</v>
      </c>
      <c r="D124" s="64">
        <v>1.8090722396714183</v>
      </c>
      <c r="E124" s="66">
        <v>99.855902722369393</v>
      </c>
      <c r="F124" s="97" t="s">
        <v>1779</v>
      </c>
      <c r="G124" s="63"/>
      <c r="H124" s="67" t="s">
        <v>327</v>
      </c>
      <c r="I124" s="68"/>
      <c r="J124" s="68"/>
      <c r="K124" s="67" t="s">
        <v>2163</v>
      </c>
      <c r="L124" s="71">
        <v>49.022819391695656</v>
      </c>
      <c r="M124" s="72">
        <v>239.01991271972656</v>
      </c>
      <c r="N124" s="72">
        <v>7363.6669921875</v>
      </c>
      <c r="O124" s="73"/>
      <c r="P124" s="74"/>
      <c r="Q124" s="74"/>
      <c r="S124" s="48">
        <v>3</v>
      </c>
      <c r="T124" s="48">
        <v>3</v>
      </c>
      <c r="U124" s="49">
        <v>1.515447</v>
      </c>
      <c r="V124" s="49">
        <v>1.786E-3</v>
      </c>
      <c r="W124" s="49">
        <v>1.4890000000000001E-3</v>
      </c>
      <c r="X124" s="49">
        <v>0.47513899999999998</v>
      </c>
      <c r="Y124" s="49">
        <v>0</v>
      </c>
      <c r="Z124" s="49">
        <v>1</v>
      </c>
      <c r="AA124" s="69">
        <v>151</v>
      </c>
      <c r="AB124" s="69"/>
      <c r="AC124" s="70"/>
      <c r="AD124" s="76">
        <v>353</v>
      </c>
      <c r="AE124" s="76">
        <v>301</v>
      </c>
      <c r="AF124" s="76">
        <v>3331</v>
      </c>
      <c r="AG124" s="76">
        <v>11</v>
      </c>
      <c r="AH124" s="76" t="s">
        <v>1398</v>
      </c>
      <c r="AI124" s="76" t="s">
        <v>1519</v>
      </c>
      <c r="AJ124" s="76"/>
      <c r="AK124" s="76" t="s">
        <v>1626</v>
      </c>
      <c r="AL124" s="76">
        <v>-28800</v>
      </c>
      <c r="AM124" s="78">
        <v>39863.924120370371</v>
      </c>
      <c r="AN124" s="76" t="s">
        <v>1823</v>
      </c>
      <c r="AO124" s="80" t="s">
        <v>1971</v>
      </c>
      <c r="AP124" s="2"/>
      <c r="AQ124" s="3"/>
      <c r="AR124" s="3"/>
      <c r="AS124" s="3"/>
      <c r="AT124" s="3"/>
    </row>
    <row r="125" spans="1:46" ht="41.45" customHeight="1" x14ac:dyDescent="0.25">
      <c r="A125" s="62" t="s">
        <v>238</v>
      </c>
      <c r="B125" s="63"/>
      <c r="C125" s="63" t="s">
        <v>63</v>
      </c>
      <c r="D125" s="64">
        <v>1.7608117902875091</v>
      </c>
      <c r="E125" s="66">
        <v>99.878402961733642</v>
      </c>
      <c r="F125" s="97" t="s">
        <v>1697</v>
      </c>
      <c r="G125" s="63"/>
      <c r="H125" s="67" t="s">
        <v>238</v>
      </c>
      <c r="I125" s="68"/>
      <c r="J125" s="68"/>
      <c r="K125" s="67" t="s">
        <v>2080</v>
      </c>
      <c r="L125" s="71">
        <v>41.524239619570423</v>
      </c>
      <c r="M125" s="72">
        <v>1470.8074951171875</v>
      </c>
      <c r="N125" s="72">
        <v>7871.02490234375</v>
      </c>
      <c r="O125" s="73"/>
      <c r="P125" s="74"/>
      <c r="Q125" s="74"/>
      <c r="S125" s="48">
        <v>3</v>
      </c>
      <c r="T125" s="48">
        <v>4</v>
      </c>
      <c r="U125" s="49">
        <v>1.415629</v>
      </c>
      <c r="V125" s="49">
        <v>1.9689999999999998E-3</v>
      </c>
      <c r="W125" s="49">
        <v>5.5570000000000003E-3</v>
      </c>
      <c r="X125" s="49">
        <v>0.59922299999999995</v>
      </c>
      <c r="Y125" s="49">
        <v>0.41666666666666669</v>
      </c>
      <c r="Z125" s="49">
        <v>0.25</v>
      </c>
      <c r="AA125" s="69">
        <v>68</v>
      </c>
      <c r="AB125" s="69"/>
      <c r="AC125" s="70"/>
      <c r="AD125" s="76">
        <v>302</v>
      </c>
      <c r="AE125" s="76">
        <v>254</v>
      </c>
      <c r="AF125" s="76">
        <v>2134</v>
      </c>
      <c r="AG125" s="76">
        <v>6</v>
      </c>
      <c r="AH125" s="76" t="s">
        <v>1320</v>
      </c>
      <c r="AI125" s="76" t="s">
        <v>1478</v>
      </c>
      <c r="AJ125" s="80" t="s">
        <v>1593</v>
      </c>
      <c r="AK125" s="76" t="s">
        <v>1626</v>
      </c>
      <c r="AL125" s="76">
        <v>-28800</v>
      </c>
      <c r="AM125" s="78">
        <v>40419.225081018521</v>
      </c>
      <c r="AN125" s="76" t="s">
        <v>1823</v>
      </c>
      <c r="AO125" s="80" t="s">
        <v>1889</v>
      </c>
      <c r="AP125" s="2"/>
      <c r="AQ125" s="3"/>
      <c r="AR125" s="3"/>
      <c r="AS125" s="3"/>
      <c r="AT125" s="3"/>
    </row>
    <row r="126" spans="1:46" ht="41.45" customHeight="1" x14ac:dyDescent="0.25">
      <c r="A126" s="62" t="s">
        <v>235</v>
      </c>
      <c r="B126" s="63"/>
      <c r="C126" s="63" t="s">
        <v>63</v>
      </c>
      <c r="D126" s="64">
        <v>2.5802126117419668</v>
      </c>
      <c r="E126" s="66">
        <v>99.496377621038519</v>
      </c>
      <c r="F126" s="97" t="s">
        <v>1694</v>
      </c>
      <c r="G126" s="63"/>
      <c r="H126" s="67" t="s">
        <v>235</v>
      </c>
      <c r="I126" s="68"/>
      <c r="J126" s="68"/>
      <c r="K126" s="67" t="s">
        <v>2077</v>
      </c>
      <c r="L126" s="71">
        <v>168.84055149522868</v>
      </c>
      <c r="M126" s="72">
        <v>5936.34228515625</v>
      </c>
      <c r="N126" s="72">
        <v>8355.3046875</v>
      </c>
      <c r="O126" s="73"/>
      <c r="P126" s="74"/>
      <c r="Q126" s="74"/>
      <c r="S126" s="48">
        <v>2</v>
      </c>
      <c r="T126" s="48">
        <v>2</v>
      </c>
      <c r="U126" s="49">
        <v>1.3855040000000001</v>
      </c>
      <c r="V126" s="49">
        <v>1.8519999999999999E-3</v>
      </c>
      <c r="W126" s="49">
        <v>2.2030000000000001E-3</v>
      </c>
      <c r="X126" s="49">
        <v>0.47323100000000001</v>
      </c>
      <c r="Y126" s="49">
        <v>0</v>
      </c>
      <c r="Z126" s="49">
        <v>0</v>
      </c>
      <c r="AA126" s="69">
        <v>65</v>
      </c>
      <c r="AB126" s="69"/>
      <c r="AC126" s="70"/>
      <c r="AD126" s="76">
        <v>552</v>
      </c>
      <c r="AE126" s="76">
        <v>1052</v>
      </c>
      <c r="AF126" s="76">
        <v>2827</v>
      </c>
      <c r="AG126" s="76">
        <v>7</v>
      </c>
      <c r="AH126" s="76" t="s">
        <v>1318</v>
      </c>
      <c r="AI126" s="76" t="s">
        <v>1476</v>
      </c>
      <c r="AJ126" s="80" t="s">
        <v>1591</v>
      </c>
      <c r="AK126" s="76" t="s">
        <v>1626</v>
      </c>
      <c r="AL126" s="76">
        <v>-28800</v>
      </c>
      <c r="AM126" s="78">
        <v>39767.735717592594</v>
      </c>
      <c r="AN126" s="76" t="s">
        <v>1823</v>
      </c>
      <c r="AO126" s="80" t="s">
        <v>1886</v>
      </c>
      <c r="AP126" s="2"/>
      <c r="AQ126" s="3"/>
      <c r="AR126" s="3"/>
      <c r="AS126" s="3"/>
      <c r="AT126" s="3"/>
    </row>
    <row r="127" spans="1:46" ht="41.45" customHeight="1" x14ac:dyDescent="0.25">
      <c r="A127" s="62" t="s">
        <v>272</v>
      </c>
      <c r="B127" s="63"/>
      <c r="C127" s="63" t="s">
        <v>63</v>
      </c>
      <c r="D127" s="64">
        <v>1.7176854312635903</v>
      </c>
      <c r="E127" s="66">
        <v>99.898509558612332</v>
      </c>
      <c r="F127" s="97" t="s">
        <v>1670</v>
      </c>
      <c r="G127" s="63"/>
      <c r="H127" s="67" t="s">
        <v>272</v>
      </c>
      <c r="I127" s="68"/>
      <c r="J127" s="68"/>
      <c r="K127" s="67" t="s">
        <v>2052</v>
      </c>
      <c r="L127" s="71">
        <v>34.823381099798937</v>
      </c>
      <c r="M127" s="72">
        <v>6053.724609375</v>
      </c>
      <c r="N127" s="72">
        <v>6591.33642578125</v>
      </c>
      <c r="O127" s="73"/>
      <c r="P127" s="74"/>
      <c r="Q127" s="74"/>
      <c r="S127" s="48">
        <v>4</v>
      </c>
      <c r="T127" s="48">
        <v>2</v>
      </c>
      <c r="U127" s="49">
        <v>1.2484850000000001</v>
      </c>
      <c r="V127" s="49">
        <v>1.6670000000000001E-3</v>
      </c>
      <c r="W127" s="49">
        <v>2.4859999999999999E-3</v>
      </c>
      <c r="X127" s="49">
        <v>0.55354300000000001</v>
      </c>
      <c r="Y127" s="49">
        <v>0.66666666666666663</v>
      </c>
      <c r="Z127" s="49">
        <v>0.33333333333333331</v>
      </c>
      <c r="AA127" s="69">
        <v>40</v>
      </c>
      <c r="AB127" s="69"/>
      <c r="AC127" s="70"/>
      <c r="AD127" s="76">
        <v>76</v>
      </c>
      <c r="AE127" s="76">
        <v>212</v>
      </c>
      <c r="AF127" s="76">
        <v>5707</v>
      </c>
      <c r="AG127" s="76">
        <v>1627</v>
      </c>
      <c r="AH127" s="76"/>
      <c r="AI127" s="76"/>
      <c r="AJ127" s="76"/>
      <c r="AK127" s="76" t="s">
        <v>1624</v>
      </c>
      <c r="AL127" s="76">
        <v>-21600</v>
      </c>
      <c r="AM127" s="78">
        <v>39790.820231481484</v>
      </c>
      <c r="AN127" s="76" t="s">
        <v>1823</v>
      </c>
      <c r="AO127" s="80" t="s">
        <v>1861</v>
      </c>
      <c r="AP127" s="2"/>
      <c r="AQ127" s="3"/>
      <c r="AR127" s="3"/>
      <c r="AS127" s="3"/>
      <c r="AT127" s="3"/>
    </row>
    <row r="128" spans="1:46" ht="41.45" customHeight="1" x14ac:dyDescent="0.25">
      <c r="A128" s="62" t="s">
        <v>303</v>
      </c>
      <c r="B128" s="63"/>
      <c r="C128" s="63" t="s">
        <v>63</v>
      </c>
      <c r="D128" s="64">
        <v>1.6488886204397197</v>
      </c>
      <c r="E128" s="66">
        <v>99.930584367918811</v>
      </c>
      <c r="F128" s="97" t="s">
        <v>1755</v>
      </c>
      <c r="G128" s="63"/>
      <c r="H128" s="67" t="s">
        <v>303</v>
      </c>
      <c r="I128" s="68"/>
      <c r="J128" s="68"/>
      <c r="K128" s="67" t="s">
        <v>2139</v>
      </c>
      <c r="L128" s="71">
        <v>24.133916318258706</v>
      </c>
      <c r="M128" s="72">
        <v>3894.391357421875</v>
      </c>
      <c r="N128" s="72">
        <v>257.26416015625</v>
      </c>
      <c r="O128" s="73"/>
      <c r="P128" s="74"/>
      <c r="Q128" s="74"/>
      <c r="S128" s="48">
        <v>2</v>
      </c>
      <c r="T128" s="48">
        <v>3</v>
      </c>
      <c r="U128" s="49">
        <v>1.1176470000000001</v>
      </c>
      <c r="V128" s="49">
        <v>1.7240000000000001E-3</v>
      </c>
      <c r="W128" s="49">
        <v>4.9200000000000003E-4</v>
      </c>
      <c r="X128" s="49">
        <v>0.47650900000000002</v>
      </c>
      <c r="Y128" s="49">
        <v>0</v>
      </c>
      <c r="Z128" s="49">
        <v>0.5</v>
      </c>
      <c r="AA128" s="69">
        <v>127</v>
      </c>
      <c r="AB128" s="69"/>
      <c r="AC128" s="70"/>
      <c r="AD128" s="76">
        <v>307</v>
      </c>
      <c r="AE128" s="76">
        <v>145</v>
      </c>
      <c r="AF128" s="76">
        <v>4882</v>
      </c>
      <c r="AG128" s="76">
        <v>5</v>
      </c>
      <c r="AH128" s="76" t="s">
        <v>1375</v>
      </c>
      <c r="AI128" s="76"/>
      <c r="AJ128" s="76"/>
      <c r="AK128" s="76" t="s">
        <v>1631</v>
      </c>
      <c r="AL128" s="76">
        <v>-25200</v>
      </c>
      <c r="AM128" s="78">
        <v>39882.1871875</v>
      </c>
      <c r="AN128" s="76" t="s">
        <v>1823</v>
      </c>
      <c r="AO128" s="80" t="s">
        <v>1947</v>
      </c>
      <c r="AP128" s="2"/>
      <c r="AQ128" s="3"/>
      <c r="AR128" s="3"/>
      <c r="AS128" s="3"/>
      <c r="AT128" s="3"/>
    </row>
    <row r="129" spans="1:46" ht="41.45" customHeight="1" x14ac:dyDescent="0.25">
      <c r="A129" s="62" t="s">
        <v>188</v>
      </c>
      <c r="B129" s="63"/>
      <c r="C129" s="63" t="s">
        <v>63</v>
      </c>
      <c r="D129" s="64">
        <v>1.6314327132157527</v>
      </c>
      <c r="E129" s="66">
        <v>99.938722752369699</v>
      </c>
      <c r="F129" s="97" t="s">
        <v>1635</v>
      </c>
      <c r="G129" s="63"/>
      <c r="H129" s="67" t="s">
        <v>188</v>
      </c>
      <c r="I129" s="68"/>
      <c r="J129" s="68"/>
      <c r="K129" s="67" t="s">
        <v>2015</v>
      </c>
      <c r="L129" s="71">
        <v>21.42166406025596</v>
      </c>
      <c r="M129" s="72">
        <v>8291.00390625</v>
      </c>
      <c r="N129" s="72">
        <v>6924.693359375</v>
      </c>
      <c r="O129" s="73"/>
      <c r="P129" s="74"/>
      <c r="Q129" s="74"/>
      <c r="S129" s="48">
        <v>1</v>
      </c>
      <c r="T129" s="48">
        <v>1</v>
      </c>
      <c r="U129" s="49">
        <v>0</v>
      </c>
      <c r="V129" s="49">
        <v>0</v>
      </c>
      <c r="W129" s="49">
        <v>0</v>
      </c>
      <c r="X129" s="49">
        <v>0.99999700000000002</v>
      </c>
      <c r="Y129" s="49">
        <v>0</v>
      </c>
      <c r="Z129" s="49" t="s">
        <v>2233</v>
      </c>
      <c r="AA129" s="69">
        <v>3</v>
      </c>
      <c r="AB129" s="69"/>
      <c r="AC129" s="70"/>
      <c r="AD129" s="76">
        <v>337</v>
      </c>
      <c r="AE129" s="76">
        <v>128</v>
      </c>
      <c r="AF129" s="76">
        <v>498</v>
      </c>
      <c r="AG129" s="76">
        <v>0</v>
      </c>
      <c r="AH129" s="76" t="s">
        <v>1271</v>
      </c>
      <c r="AI129" s="76"/>
      <c r="AJ129" s="80" t="s">
        <v>1568</v>
      </c>
      <c r="AK129" s="76" t="s">
        <v>1624</v>
      </c>
      <c r="AL129" s="76">
        <v>-21600</v>
      </c>
      <c r="AM129" s="78">
        <v>40808.961516203701</v>
      </c>
      <c r="AN129" s="76" t="s">
        <v>1823</v>
      </c>
      <c r="AO129" s="80" t="s">
        <v>1824</v>
      </c>
      <c r="AP129" s="2"/>
      <c r="AQ129" s="3"/>
      <c r="AR129" s="3"/>
      <c r="AS129" s="3"/>
      <c r="AT129" s="3"/>
    </row>
    <row r="130" spans="1:46" ht="41.45" customHeight="1" x14ac:dyDescent="0.25">
      <c r="A130" s="62" t="s">
        <v>189</v>
      </c>
      <c r="B130" s="63"/>
      <c r="C130" s="63" t="s">
        <v>63</v>
      </c>
      <c r="D130" s="64">
        <v>1.6591568011597004</v>
      </c>
      <c r="E130" s="66">
        <v>99.925797082947696</v>
      </c>
      <c r="F130" s="97" t="s">
        <v>1636</v>
      </c>
      <c r="G130" s="63"/>
      <c r="H130" s="67" t="s">
        <v>189</v>
      </c>
      <c r="I130" s="68"/>
      <c r="J130" s="68"/>
      <c r="K130" s="67" t="s">
        <v>2016</v>
      </c>
      <c r="L130" s="71">
        <v>25.729358822966201</v>
      </c>
      <c r="M130" s="72">
        <v>9466.1845703125</v>
      </c>
      <c r="N130" s="72">
        <v>6924.693359375</v>
      </c>
      <c r="O130" s="73"/>
      <c r="P130" s="74"/>
      <c r="Q130" s="74"/>
      <c r="S130" s="48">
        <v>1</v>
      </c>
      <c r="T130" s="48">
        <v>1</v>
      </c>
      <c r="U130" s="49">
        <v>0</v>
      </c>
      <c r="V130" s="49">
        <v>0</v>
      </c>
      <c r="W130" s="49">
        <v>0</v>
      </c>
      <c r="X130" s="49">
        <v>0.99999700000000002</v>
      </c>
      <c r="Y130" s="49">
        <v>0</v>
      </c>
      <c r="Z130" s="49" t="s">
        <v>2233</v>
      </c>
      <c r="AA130" s="69">
        <v>4</v>
      </c>
      <c r="AB130" s="69"/>
      <c r="AC130" s="70"/>
      <c r="AD130" s="76">
        <v>146</v>
      </c>
      <c r="AE130" s="76">
        <v>155</v>
      </c>
      <c r="AF130" s="76">
        <v>12399</v>
      </c>
      <c r="AG130" s="76">
        <v>113</v>
      </c>
      <c r="AH130" s="76" t="s">
        <v>1272</v>
      </c>
      <c r="AI130" s="76" t="s">
        <v>1438</v>
      </c>
      <c r="AJ130" s="80" t="s">
        <v>1569</v>
      </c>
      <c r="AK130" s="76" t="s">
        <v>1625</v>
      </c>
      <c r="AL130" s="76">
        <v>-18000</v>
      </c>
      <c r="AM130" s="78">
        <v>39777.811226851853</v>
      </c>
      <c r="AN130" s="76" t="s">
        <v>1823</v>
      </c>
      <c r="AO130" s="80" t="s">
        <v>1825</v>
      </c>
      <c r="AP130" s="2"/>
      <c r="AQ130" s="3"/>
      <c r="AR130" s="3"/>
      <c r="AS130" s="3"/>
      <c r="AT130" s="3"/>
    </row>
    <row r="131" spans="1:46" ht="41.45" customHeight="1" x14ac:dyDescent="0.25">
      <c r="A131" s="62" t="s">
        <v>190</v>
      </c>
      <c r="B131" s="63"/>
      <c r="C131" s="63" t="s">
        <v>63</v>
      </c>
      <c r="D131" s="64">
        <v>1.5503140855279054</v>
      </c>
      <c r="E131" s="66">
        <v>99.976542303641523</v>
      </c>
      <c r="F131" s="97" t="s">
        <v>1637</v>
      </c>
      <c r="G131" s="63"/>
      <c r="H131" s="67" t="s">
        <v>190</v>
      </c>
      <c r="I131" s="68"/>
      <c r="J131" s="68"/>
      <c r="K131" s="67" t="s">
        <v>2017</v>
      </c>
      <c r="L131" s="71">
        <v>8.8176682730667348</v>
      </c>
      <c r="M131" s="72">
        <v>9466.1845703125</v>
      </c>
      <c r="N131" s="72">
        <v>8176.71240234375</v>
      </c>
      <c r="O131" s="73"/>
      <c r="P131" s="74"/>
      <c r="Q131" s="74"/>
      <c r="S131" s="48">
        <v>1</v>
      </c>
      <c r="T131" s="48">
        <v>1</v>
      </c>
      <c r="U131" s="49">
        <v>0</v>
      </c>
      <c r="V131" s="49">
        <v>0</v>
      </c>
      <c r="W131" s="49">
        <v>0</v>
      </c>
      <c r="X131" s="49">
        <v>0.99999700000000002</v>
      </c>
      <c r="Y131" s="49">
        <v>0</v>
      </c>
      <c r="Z131" s="49" t="s">
        <v>2233</v>
      </c>
      <c r="AA131" s="69">
        <v>5</v>
      </c>
      <c r="AB131" s="69"/>
      <c r="AC131" s="70"/>
      <c r="AD131" s="76">
        <v>407</v>
      </c>
      <c r="AE131" s="76">
        <v>49</v>
      </c>
      <c r="AF131" s="76">
        <v>454</v>
      </c>
      <c r="AG131" s="76">
        <v>7</v>
      </c>
      <c r="AH131" s="76" t="s">
        <v>1273</v>
      </c>
      <c r="AI131" s="76" t="s">
        <v>1439</v>
      </c>
      <c r="AJ131" s="76"/>
      <c r="AK131" s="76" t="s">
        <v>1626</v>
      </c>
      <c r="AL131" s="76">
        <v>-28800</v>
      </c>
      <c r="AM131" s="78">
        <v>39954.727314814816</v>
      </c>
      <c r="AN131" s="76" t="s">
        <v>1823</v>
      </c>
      <c r="AO131" s="80" t="s">
        <v>1826</v>
      </c>
      <c r="AP131" s="2"/>
      <c r="AQ131" s="3"/>
      <c r="AR131" s="3"/>
      <c r="AS131" s="3"/>
      <c r="AT131" s="3"/>
    </row>
    <row r="132" spans="1:46" ht="41.45" customHeight="1" x14ac:dyDescent="0.25">
      <c r="A132" s="62" t="s">
        <v>191</v>
      </c>
      <c r="B132" s="63"/>
      <c r="C132" s="63" t="s">
        <v>63</v>
      </c>
      <c r="D132" s="64">
        <v>1.5431263590239188</v>
      </c>
      <c r="E132" s="66">
        <v>99.979893403121309</v>
      </c>
      <c r="F132" s="97" t="s">
        <v>1638</v>
      </c>
      <c r="G132" s="63"/>
      <c r="H132" s="67" t="s">
        <v>191</v>
      </c>
      <c r="I132" s="68"/>
      <c r="J132" s="68"/>
      <c r="K132" s="67" t="s">
        <v>2018</v>
      </c>
      <c r="L132" s="71">
        <v>7.7008585197714865</v>
      </c>
      <c r="M132" s="72">
        <v>8291.00390625</v>
      </c>
      <c r="N132" s="72">
        <v>8176.71240234375</v>
      </c>
      <c r="O132" s="73"/>
      <c r="P132" s="74"/>
      <c r="Q132" s="74"/>
      <c r="S132" s="48">
        <v>1</v>
      </c>
      <c r="T132" s="48">
        <v>1</v>
      </c>
      <c r="U132" s="49">
        <v>0</v>
      </c>
      <c r="V132" s="49">
        <v>0</v>
      </c>
      <c r="W132" s="49">
        <v>0</v>
      </c>
      <c r="X132" s="49">
        <v>0.99999700000000002</v>
      </c>
      <c r="Y132" s="49">
        <v>0</v>
      </c>
      <c r="Z132" s="49" t="s">
        <v>2233</v>
      </c>
      <c r="AA132" s="69">
        <v>6</v>
      </c>
      <c r="AB132" s="69"/>
      <c r="AC132" s="70"/>
      <c r="AD132" s="76">
        <v>58</v>
      </c>
      <c r="AE132" s="76">
        <v>42</v>
      </c>
      <c r="AF132" s="76">
        <v>1038</v>
      </c>
      <c r="AG132" s="76">
        <v>81</v>
      </c>
      <c r="AH132" s="76"/>
      <c r="AI132" s="76" t="s">
        <v>1440</v>
      </c>
      <c r="AJ132" s="76"/>
      <c r="AK132" s="76"/>
      <c r="AL132" s="76"/>
      <c r="AM132" s="78">
        <v>40802.000868055555</v>
      </c>
      <c r="AN132" s="76" t="s">
        <v>1823</v>
      </c>
      <c r="AO132" s="80" t="s">
        <v>1827</v>
      </c>
      <c r="AP132" s="2"/>
      <c r="AQ132" s="3"/>
      <c r="AR132" s="3"/>
      <c r="AS132" s="3"/>
      <c r="AT132" s="3"/>
    </row>
    <row r="133" spans="1:46" ht="41.45" customHeight="1" x14ac:dyDescent="0.25">
      <c r="A133" s="62" t="s">
        <v>192</v>
      </c>
      <c r="B133" s="63"/>
      <c r="C133" s="63" t="s">
        <v>63</v>
      </c>
      <c r="D133" s="64">
        <v>1.5030804542159941</v>
      </c>
      <c r="E133" s="66">
        <v>99.998563814508671</v>
      </c>
      <c r="F133" s="97" t="s">
        <v>1639</v>
      </c>
      <c r="G133" s="63"/>
      <c r="H133" s="67" t="s">
        <v>192</v>
      </c>
      <c r="I133" s="68"/>
      <c r="J133" s="68"/>
      <c r="K133" s="67" t="s">
        <v>2019</v>
      </c>
      <c r="L133" s="71">
        <v>1.478632751412249</v>
      </c>
      <c r="M133" s="72">
        <v>8291.00390625</v>
      </c>
      <c r="N133" s="72">
        <v>9428.7314453125</v>
      </c>
      <c r="O133" s="73"/>
      <c r="P133" s="74"/>
      <c r="Q133" s="74"/>
      <c r="S133" s="48">
        <v>1</v>
      </c>
      <c r="T133" s="48">
        <v>1</v>
      </c>
      <c r="U133" s="49">
        <v>0</v>
      </c>
      <c r="V133" s="49">
        <v>0</v>
      </c>
      <c r="W133" s="49">
        <v>0</v>
      </c>
      <c r="X133" s="49">
        <v>0.99999700000000002</v>
      </c>
      <c r="Y133" s="49">
        <v>0</v>
      </c>
      <c r="Z133" s="49" t="s">
        <v>2233</v>
      </c>
      <c r="AA133" s="69">
        <v>7</v>
      </c>
      <c r="AB133" s="69"/>
      <c r="AC133" s="70"/>
      <c r="AD133" s="76">
        <v>26</v>
      </c>
      <c r="AE133" s="76">
        <v>3</v>
      </c>
      <c r="AF133" s="76">
        <v>421</v>
      </c>
      <c r="AG133" s="76">
        <v>1</v>
      </c>
      <c r="AH133" s="76"/>
      <c r="AI133" s="76"/>
      <c r="AJ133" s="76"/>
      <c r="AK133" s="76" t="s">
        <v>1625</v>
      </c>
      <c r="AL133" s="76">
        <v>-18000</v>
      </c>
      <c r="AM133" s="78">
        <v>40756.682592592595</v>
      </c>
      <c r="AN133" s="76" t="s">
        <v>1823</v>
      </c>
      <c r="AO133" s="80" t="s">
        <v>1828</v>
      </c>
      <c r="AP133" s="2"/>
      <c r="AQ133" s="3"/>
      <c r="AR133" s="3"/>
      <c r="AS133" s="3"/>
      <c r="AT133" s="3"/>
    </row>
    <row r="134" spans="1:46" ht="41.45" customHeight="1" x14ac:dyDescent="0.25">
      <c r="A134" s="62" t="s">
        <v>193</v>
      </c>
      <c r="B134" s="63"/>
      <c r="C134" s="63" t="s">
        <v>63</v>
      </c>
      <c r="D134" s="64">
        <v>2.2331481034066201</v>
      </c>
      <c r="E134" s="66">
        <v>99.658187853062273</v>
      </c>
      <c r="F134" s="97" t="s">
        <v>1640</v>
      </c>
      <c r="G134" s="63"/>
      <c r="H134" s="67" t="s">
        <v>193</v>
      </c>
      <c r="I134" s="68"/>
      <c r="J134" s="68"/>
      <c r="K134" s="67" t="s">
        <v>2020</v>
      </c>
      <c r="L134" s="71">
        <v>114.91459483611528</v>
      </c>
      <c r="M134" s="72">
        <v>7703.4130859375</v>
      </c>
      <c r="N134" s="72">
        <v>6298.68408203125</v>
      </c>
      <c r="O134" s="73"/>
      <c r="P134" s="74"/>
      <c r="Q134" s="74"/>
      <c r="S134" s="48">
        <v>1</v>
      </c>
      <c r="T134" s="48">
        <v>1</v>
      </c>
      <c r="U134" s="49">
        <v>0</v>
      </c>
      <c r="V134" s="49">
        <v>0</v>
      </c>
      <c r="W134" s="49">
        <v>0</v>
      </c>
      <c r="X134" s="49">
        <v>0.99999700000000002</v>
      </c>
      <c r="Y134" s="49">
        <v>0</v>
      </c>
      <c r="Z134" s="49" t="s">
        <v>2233</v>
      </c>
      <c r="AA134" s="69">
        <v>8</v>
      </c>
      <c r="AB134" s="69"/>
      <c r="AC134" s="70"/>
      <c r="AD134" s="76">
        <v>719</v>
      </c>
      <c r="AE134" s="76">
        <v>714</v>
      </c>
      <c r="AF134" s="76">
        <v>7644</v>
      </c>
      <c r="AG134" s="76">
        <v>0</v>
      </c>
      <c r="AH134" s="76" t="s">
        <v>1274</v>
      </c>
      <c r="AI134" s="76" t="s">
        <v>1441</v>
      </c>
      <c r="AJ134" s="80" t="s">
        <v>1570</v>
      </c>
      <c r="AK134" s="76" t="s">
        <v>1625</v>
      </c>
      <c r="AL134" s="76">
        <v>-18000</v>
      </c>
      <c r="AM134" s="78">
        <v>38988.178379629629</v>
      </c>
      <c r="AN134" s="76" t="s">
        <v>1823</v>
      </c>
      <c r="AO134" s="80" t="s">
        <v>1829</v>
      </c>
      <c r="AP134" s="2"/>
      <c r="AQ134" s="3"/>
      <c r="AR134" s="3"/>
      <c r="AS134" s="3"/>
      <c r="AT134" s="3"/>
    </row>
    <row r="135" spans="1:46" ht="41.45" customHeight="1" x14ac:dyDescent="0.25">
      <c r="A135" s="62" t="s">
        <v>194</v>
      </c>
      <c r="B135" s="63"/>
      <c r="C135" s="63" t="s">
        <v>63</v>
      </c>
      <c r="D135" s="64">
        <v>1.6488886204397197</v>
      </c>
      <c r="E135" s="66">
        <v>99.930584367918811</v>
      </c>
      <c r="F135" s="97" t="s">
        <v>1641</v>
      </c>
      <c r="G135" s="63"/>
      <c r="H135" s="67" t="s">
        <v>194</v>
      </c>
      <c r="I135" s="68"/>
      <c r="J135" s="68"/>
      <c r="K135" s="67" t="s">
        <v>2021</v>
      </c>
      <c r="L135" s="71">
        <v>24.133916318258706</v>
      </c>
      <c r="M135" s="72">
        <v>8963.2470703125</v>
      </c>
      <c r="N135" s="72">
        <v>1209.1414794921875</v>
      </c>
      <c r="O135" s="73"/>
      <c r="P135" s="74"/>
      <c r="Q135" s="74"/>
      <c r="S135" s="48">
        <v>2</v>
      </c>
      <c r="T135" s="48">
        <v>1</v>
      </c>
      <c r="U135" s="49">
        <v>0</v>
      </c>
      <c r="V135" s="49">
        <v>1</v>
      </c>
      <c r="W135" s="49">
        <v>0</v>
      </c>
      <c r="X135" s="49">
        <v>1.2982419999999999</v>
      </c>
      <c r="Y135" s="49">
        <v>0</v>
      </c>
      <c r="Z135" s="49">
        <v>0</v>
      </c>
      <c r="AA135" s="69">
        <v>9</v>
      </c>
      <c r="AB135" s="69"/>
      <c r="AC135" s="70"/>
      <c r="AD135" s="76">
        <v>287</v>
      </c>
      <c r="AE135" s="76">
        <v>145</v>
      </c>
      <c r="AF135" s="76">
        <v>7972</v>
      </c>
      <c r="AG135" s="76">
        <v>81</v>
      </c>
      <c r="AH135" s="76" t="s">
        <v>1275</v>
      </c>
      <c r="AI135" s="76" t="s">
        <v>1442</v>
      </c>
      <c r="AJ135" s="76"/>
      <c r="AK135" s="76"/>
      <c r="AL135" s="76"/>
      <c r="AM135" s="78">
        <v>40554.805949074071</v>
      </c>
      <c r="AN135" s="76" t="s">
        <v>1823</v>
      </c>
      <c r="AO135" s="80" t="s">
        <v>1830</v>
      </c>
      <c r="AP135" s="2"/>
      <c r="AQ135" s="3"/>
      <c r="AR135" s="3"/>
      <c r="AS135" s="3"/>
      <c r="AT135" s="3"/>
    </row>
    <row r="136" spans="1:46" ht="41.45" customHeight="1" x14ac:dyDescent="0.25">
      <c r="A136" s="62" t="s">
        <v>195</v>
      </c>
      <c r="B136" s="63"/>
      <c r="C136" s="63" t="s">
        <v>63</v>
      </c>
      <c r="D136" s="64">
        <v>1.6950954336796327</v>
      </c>
      <c r="E136" s="66">
        <v>99.909041585548778</v>
      </c>
      <c r="F136" s="97" t="s">
        <v>1642</v>
      </c>
      <c r="G136" s="63"/>
      <c r="H136" s="67" t="s">
        <v>195</v>
      </c>
      <c r="I136" s="68"/>
      <c r="J136" s="68"/>
      <c r="K136" s="67" t="s">
        <v>2022</v>
      </c>
      <c r="L136" s="71">
        <v>31.313407589442441</v>
      </c>
      <c r="M136" s="72">
        <v>9759.98046875</v>
      </c>
      <c r="N136" s="72">
        <v>1912.3302001953125</v>
      </c>
      <c r="O136" s="73"/>
      <c r="P136" s="74"/>
      <c r="Q136" s="74"/>
      <c r="S136" s="48">
        <v>0</v>
      </c>
      <c r="T136" s="48">
        <v>1</v>
      </c>
      <c r="U136" s="49">
        <v>0</v>
      </c>
      <c r="V136" s="49">
        <v>1</v>
      </c>
      <c r="W136" s="49">
        <v>0</v>
      </c>
      <c r="X136" s="49">
        <v>0.70175299999999996</v>
      </c>
      <c r="Y136" s="49">
        <v>0</v>
      </c>
      <c r="Z136" s="49">
        <v>0</v>
      </c>
      <c r="AA136" s="69">
        <v>10</v>
      </c>
      <c r="AB136" s="69"/>
      <c r="AC136" s="70"/>
      <c r="AD136" s="76">
        <v>264</v>
      </c>
      <c r="AE136" s="76">
        <v>190</v>
      </c>
      <c r="AF136" s="76">
        <v>3909</v>
      </c>
      <c r="AG136" s="76">
        <v>7</v>
      </c>
      <c r="AH136" s="76" t="s">
        <v>1276</v>
      </c>
      <c r="AI136" s="76" t="s">
        <v>1443</v>
      </c>
      <c r="AJ136" s="76"/>
      <c r="AK136" s="76" t="s">
        <v>1626</v>
      </c>
      <c r="AL136" s="76">
        <v>-28800</v>
      </c>
      <c r="AM136" s="78">
        <v>40788.025717592594</v>
      </c>
      <c r="AN136" s="76" t="s">
        <v>1823</v>
      </c>
      <c r="AO136" s="80" t="s">
        <v>1831</v>
      </c>
      <c r="AP136" s="2"/>
      <c r="AQ136" s="3"/>
      <c r="AR136" s="3"/>
      <c r="AS136" s="3"/>
      <c r="AT136" s="3"/>
    </row>
    <row r="137" spans="1:46" ht="41.45" customHeight="1" x14ac:dyDescent="0.25">
      <c r="A137" s="62" t="s">
        <v>196</v>
      </c>
      <c r="B137" s="63"/>
      <c r="C137" s="63" t="s">
        <v>63</v>
      </c>
      <c r="D137" s="64">
        <v>1.636566803575743</v>
      </c>
      <c r="E137" s="66">
        <v>99.936329109884142</v>
      </c>
      <c r="F137" s="97" t="s">
        <v>1643</v>
      </c>
      <c r="G137" s="63"/>
      <c r="H137" s="67" t="s">
        <v>196</v>
      </c>
      <c r="I137" s="68"/>
      <c r="J137" s="68"/>
      <c r="K137" s="67" t="s">
        <v>2023</v>
      </c>
      <c r="L137" s="71">
        <v>22.21938531260971</v>
      </c>
      <c r="M137" s="72">
        <v>8878.59375</v>
      </c>
      <c r="N137" s="72">
        <v>6924.693359375</v>
      </c>
      <c r="O137" s="73"/>
      <c r="P137" s="74"/>
      <c r="Q137" s="74"/>
      <c r="S137" s="48">
        <v>1</v>
      </c>
      <c r="T137" s="48">
        <v>1</v>
      </c>
      <c r="U137" s="49">
        <v>0</v>
      </c>
      <c r="V137" s="49">
        <v>0</v>
      </c>
      <c r="W137" s="49">
        <v>0</v>
      </c>
      <c r="X137" s="49">
        <v>0.99999700000000002</v>
      </c>
      <c r="Y137" s="49">
        <v>0</v>
      </c>
      <c r="Z137" s="49" t="s">
        <v>2233</v>
      </c>
      <c r="AA137" s="69">
        <v>11</v>
      </c>
      <c r="AB137" s="69"/>
      <c r="AC137" s="70"/>
      <c r="AD137" s="76">
        <v>50</v>
      </c>
      <c r="AE137" s="76">
        <v>133</v>
      </c>
      <c r="AF137" s="76">
        <v>4584</v>
      </c>
      <c r="AG137" s="76">
        <v>358</v>
      </c>
      <c r="AH137" s="76" t="s">
        <v>1277</v>
      </c>
      <c r="AI137" s="76"/>
      <c r="AJ137" s="76"/>
      <c r="AK137" s="76" t="s">
        <v>1627</v>
      </c>
      <c r="AL137" s="76">
        <v>-18000</v>
      </c>
      <c r="AM137" s="78">
        <v>39917.326354166667</v>
      </c>
      <c r="AN137" s="76" t="s">
        <v>1823</v>
      </c>
      <c r="AO137" s="80" t="s">
        <v>1832</v>
      </c>
      <c r="AP137" s="2"/>
      <c r="AQ137" s="3"/>
      <c r="AR137" s="3"/>
      <c r="AS137" s="3"/>
      <c r="AT137" s="3"/>
    </row>
    <row r="138" spans="1:46" ht="41.45" customHeight="1" x14ac:dyDescent="0.25">
      <c r="A138" s="62" t="s">
        <v>197</v>
      </c>
      <c r="B138" s="63"/>
      <c r="C138" s="63" t="s">
        <v>63</v>
      </c>
      <c r="D138" s="64">
        <v>1.5082145445759845</v>
      </c>
      <c r="E138" s="66">
        <v>99.996170172023113</v>
      </c>
      <c r="F138" s="97" t="s">
        <v>1644</v>
      </c>
      <c r="G138" s="63"/>
      <c r="H138" s="67" t="s">
        <v>197</v>
      </c>
      <c r="I138" s="68"/>
      <c r="J138" s="68"/>
      <c r="K138" s="67" t="s">
        <v>2024</v>
      </c>
      <c r="L138" s="71">
        <v>2.2763540037659977</v>
      </c>
      <c r="M138" s="72">
        <v>9466.1845703125</v>
      </c>
      <c r="N138" s="72">
        <v>9428.7314453125</v>
      </c>
      <c r="O138" s="73"/>
      <c r="P138" s="74"/>
      <c r="Q138" s="74"/>
      <c r="S138" s="48">
        <v>1</v>
      </c>
      <c r="T138" s="48">
        <v>1</v>
      </c>
      <c r="U138" s="49">
        <v>0</v>
      </c>
      <c r="V138" s="49">
        <v>0</v>
      </c>
      <c r="W138" s="49">
        <v>0</v>
      </c>
      <c r="X138" s="49">
        <v>0.99999700000000002</v>
      </c>
      <c r="Y138" s="49">
        <v>0</v>
      </c>
      <c r="Z138" s="49" t="s">
        <v>2233</v>
      </c>
      <c r="AA138" s="69">
        <v>12</v>
      </c>
      <c r="AB138" s="69"/>
      <c r="AC138" s="70"/>
      <c r="AD138" s="76">
        <v>82</v>
      </c>
      <c r="AE138" s="76">
        <v>8</v>
      </c>
      <c r="AF138" s="76">
        <v>401</v>
      </c>
      <c r="AG138" s="76">
        <v>2</v>
      </c>
      <c r="AH138" s="76" t="s">
        <v>1278</v>
      </c>
      <c r="AI138" s="76"/>
      <c r="AJ138" s="76"/>
      <c r="AK138" s="76"/>
      <c r="AL138" s="76"/>
      <c r="AM138" s="78">
        <v>40729.054363425923</v>
      </c>
      <c r="AN138" s="76" t="s">
        <v>1823</v>
      </c>
      <c r="AO138" s="80" t="s">
        <v>1833</v>
      </c>
      <c r="AP138" s="2"/>
      <c r="AQ138" s="3"/>
      <c r="AR138" s="3"/>
      <c r="AS138" s="3"/>
      <c r="AT138" s="3"/>
    </row>
    <row r="139" spans="1:46" ht="41.45" customHeight="1" x14ac:dyDescent="0.25">
      <c r="A139" s="62" t="s">
        <v>198</v>
      </c>
      <c r="B139" s="63"/>
      <c r="C139" s="63" t="s">
        <v>63</v>
      </c>
      <c r="D139" s="64">
        <v>1.5</v>
      </c>
      <c r="E139" s="66">
        <v>100</v>
      </c>
      <c r="F139" s="97" t="s">
        <v>1645</v>
      </c>
      <c r="G139" s="63"/>
      <c r="H139" s="67" t="s">
        <v>198</v>
      </c>
      <c r="I139" s="68"/>
      <c r="J139" s="68"/>
      <c r="K139" s="67" t="s">
        <v>2025</v>
      </c>
      <c r="L139" s="71">
        <v>1</v>
      </c>
      <c r="M139" s="72">
        <v>7703.4130859375</v>
      </c>
      <c r="N139" s="72">
        <v>9428.7314453125</v>
      </c>
      <c r="O139" s="73"/>
      <c r="P139" s="74"/>
      <c r="Q139" s="74"/>
      <c r="S139" s="48">
        <v>1</v>
      </c>
      <c r="T139" s="48">
        <v>1</v>
      </c>
      <c r="U139" s="49">
        <v>0</v>
      </c>
      <c r="V139" s="49">
        <v>0</v>
      </c>
      <c r="W139" s="49">
        <v>0</v>
      </c>
      <c r="X139" s="49">
        <v>0.99999700000000002</v>
      </c>
      <c r="Y139" s="49">
        <v>0</v>
      </c>
      <c r="Z139" s="49" t="s">
        <v>2233</v>
      </c>
      <c r="AA139" s="69">
        <v>13</v>
      </c>
      <c r="AB139" s="69"/>
      <c r="AC139" s="70"/>
      <c r="AD139" s="76">
        <v>0</v>
      </c>
      <c r="AE139" s="76">
        <v>0</v>
      </c>
      <c r="AF139" s="76">
        <v>4</v>
      </c>
      <c r="AG139" s="76">
        <v>0</v>
      </c>
      <c r="AH139" s="76"/>
      <c r="AI139" s="76"/>
      <c r="AJ139" s="76"/>
      <c r="AK139" s="76"/>
      <c r="AL139" s="76"/>
      <c r="AM139" s="78">
        <v>40468.769687499997</v>
      </c>
      <c r="AN139" s="76" t="s">
        <v>1823</v>
      </c>
      <c r="AO139" s="80" t="s">
        <v>1834</v>
      </c>
      <c r="AP139" s="2"/>
      <c r="AQ139" s="3"/>
      <c r="AR139" s="3"/>
      <c r="AS139" s="3"/>
      <c r="AT139" s="3"/>
    </row>
    <row r="140" spans="1:46" ht="41.45" customHeight="1" x14ac:dyDescent="0.25">
      <c r="A140" s="62" t="s">
        <v>199</v>
      </c>
      <c r="B140" s="63"/>
      <c r="C140" s="63" t="s">
        <v>63</v>
      </c>
      <c r="D140" s="64">
        <v>1.6170572602077797</v>
      </c>
      <c r="E140" s="66">
        <v>99.945424951329272</v>
      </c>
      <c r="F140" s="97" t="s">
        <v>1646</v>
      </c>
      <c r="G140" s="63"/>
      <c r="H140" s="67" t="s">
        <v>199</v>
      </c>
      <c r="I140" s="68"/>
      <c r="J140" s="68"/>
      <c r="K140" s="67" t="s">
        <v>2026</v>
      </c>
      <c r="L140" s="71">
        <v>19.188044553665463</v>
      </c>
      <c r="M140" s="72">
        <v>7703.4130859375</v>
      </c>
      <c r="N140" s="72">
        <v>6924.693359375</v>
      </c>
      <c r="O140" s="73"/>
      <c r="P140" s="74"/>
      <c r="Q140" s="74"/>
      <c r="S140" s="48">
        <v>1</v>
      </c>
      <c r="T140" s="48">
        <v>1</v>
      </c>
      <c r="U140" s="49">
        <v>0</v>
      </c>
      <c r="V140" s="49">
        <v>0</v>
      </c>
      <c r="W140" s="49">
        <v>0</v>
      </c>
      <c r="X140" s="49">
        <v>0.99999700000000002</v>
      </c>
      <c r="Y140" s="49">
        <v>0</v>
      </c>
      <c r="Z140" s="49" t="s">
        <v>2233</v>
      </c>
      <c r="AA140" s="69">
        <v>14</v>
      </c>
      <c r="AB140" s="69"/>
      <c r="AC140" s="70"/>
      <c r="AD140" s="76">
        <v>615</v>
      </c>
      <c r="AE140" s="76">
        <v>114</v>
      </c>
      <c r="AF140" s="76">
        <v>633</v>
      </c>
      <c r="AG140" s="76">
        <v>7</v>
      </c>
      <c r="AH140" s="76"/>
      <c r="AI140" s="76" t="s">
        <v>1444</v>
      </c>
      <c r="AJ140" s="80" t="s">
        <v>1571</v>
      </c>
      <c r="AK140" s="76" t="s">
        <v>1624</v>
      </c>
      <c r="AL140" s="76">
        <v>-21600</v>
      </c>
      <c r="AM140" s="78">
        <v>39485.747037037036</v>
      </c>
      <c r="AN140" s="76" t="s">
        <v>1823</v>
      </c>
      <c r="AO140" s="80" t="s">
        <v>1835</v>
      </c>
      <c r="AP140" s="2"/>
      <c r="AQ140" s="3"/>
      <c r="AR140" s="3"/>
      <c r="AS140" s="3"/>
      <c r="AT140" s="3"/>
    </row>
    <row r="141" spans="1:46" ht="41.45" customHeight="1" x14ac:dyDescent="0.25">
      <c r="A141" s="62" t="s">
        <v>200</v>
      </c>
      <c r="B141" s="63"/>
      <c r="C141" s="63" t="s">
        <v>63</v>
      </c>
      <c r="D141" s="64">
        <v>1.5082145445759845</v>
      </c>
      <c r="E141" s="66">
        <v>99.996170172023113</v>
      </c>
      <c r="F141" s="97" t="s">
        <v>1647</v>
      </c>
      <c r="G141" s="63"/>
      <c r="H141" s="67" t="s">
        <v>200</v>
      </c>
      <c r="I141" s="68"/>
      <c r="J141" s="68"/>
      <c r="K141" s="67" t="s">
        <v>2027</v>
      </c>
      <c r="L141" s="71">
        <v>2.2763540037659977</v>
      </c>
      <c r="M141" s="72">
        <v>7703.4130859375</v>
      </c>
      <c r="N141" s="72">
        <v>8802.7216796875</v>
      </c>
      <c r="O141" s="73"/>
      <c r="P141" s="74"/>
      <c r="Q141" s="74"/>
      <c r="S141" s="48">
        <v>1</v>
      </c>
      <c r="T141" s="48">
        <v>1</v>
      </c>
      <c r="U141" s="49">
        <v>0</v>
      </c>
      <c r="V141" s="49">
        <v>0</v>
      </c>
      <c r="W141" s="49">
        <v>0</v>
      </c>
      <c r="X141" s="49">
        <v>0.99999700000000002</v>
      </c>
      <c r="Y141" s="49">
        <v>0</v>
      </c>
      <c r="Z141" s="49" t="s">
        <v>2233</v>
      </c>
      <c r="AA141" s="69">
        <v>15</v>
      </c>
      <c r="AB141" s="69"/>
      <c r="AC141" s="70"/>
      <c r="AD141" s="76">
        <v>14</v>
      </c>
      <c r="AE141" s="76">
        <v>8</v>
      </c>
      <c r="AF141" s="76">
        <v>6</v>
      </c>
      <c r="AG141" s="76">
        <v>0</v>
      </c>
      <c r="AH141" s="76"/>
      <c r="AI141" s="76" t="s">
        <v>1445</v>
      </c>
      <c r="AJ141" s="76"/>
      <c r="AK141" s="76"/>
      <c r="AL141" s="76"/>
      <c r="AM141" s="78">
        <v>39964.950578703705</v>
      </c>
      <c r="AN141" s="76" t="s">
        <v>1823</v>
      </c>
      <c r="AO141" s="80" t="s">
        <v>1836</v>
      </c>
      <c r="AP141" s="2"/>
      <c r="AQ141" s="3"/>
      <c r="AR141" s="3"/>
      <c r="AS141" s="3"/>
      <c r="AT141" s="3"/>
    </row>
    <row r="142" spans="1:46" ht="41.45" customHeight="1" x14ac:dyDescent="0.25">
      <c r="A142" s="62" t="s">
        <v>201</v>
      </c>
      <c r="B142" s="63"/>
      <c r="C142" s="63" t="s">
        <v>63</v>
      </c>
      <c r="D142" s="64">
        <v>1.5164290891519692</v>
      </c>
      <c r="E142" s="66">
        <v>99.992340344046212</v>
      </c>
      <c r="F142" s="97" t="s">
        <v>1648</v>
      </c>
      <c r="G142" s="63"/>
      <c r="H142" s="67" t="s">
        <v>201</v>
      </c>
      <c r="I142" s="68"/>
      <c r="J142" s="68"/>
      <c r="K142" s="67" t="s">
        <v>2028</v>
      </c>
      <c r="L142" s="71">
        <v>3.552708007531995</v>
      </c>
      <c r="M142" s="72">
        <v>8878.59375</v>
      </c>
      <c r="N142" s="72">
        <v>8802.7216796875</v>
      </c>
      <c r="O142" s="73"/>
      <c r="P142" s="74"/>
      <c r="Q142" s="74"/>
      <c r="S142" s="48">
        <v>1</v>
      </c>
      <c r="T142" s="48">
        <v>1</v>
      </c>
      <c r="U142" s="49">
        <v>0</v>
      </c>
      <c r="V142" s="49">
        <v>0</v>
      </c>
      <c r="W142" s="49">
        <v>0</v>
      </c>
      <c r="X142" s="49">
        <v>0.99999700000000002</v>
      </c>
      <c r="Y142" s="49">
        <v>0</v>
      </c>
      <c r="Z142" s="49" t="s">
        <v>2233</v>
      </c>
      <c r="AA142" s="69">
        <v>16</v>
      </c>
      <c r="AB142" s="69"/>
      <c r="AC142" s="70"/>
      <c r="AD142" s="76">
        <v>0</v>
      </c>
      <c r="AE142" s="76">
        <v>16</v>
      </c>
      <c r="AF142" s="76">
        <v>414</v>
      </c>
      <c r="AG142" s="76">
        <v>0</v>
      </c>
      <c r="AH142" s="76" t="s">
        <v>1279</v>
      </c>
      <c r="AI142" s="76" t="s">
        <v>1446</v>
      </c>
      <c r="AJ142" s="76"/>
      <c r="AK142" s="76" t="s">
        <v>1626</v>
      </c>
      <c r="AL142" s="76">
        <v>-28800</v>
      </c>
      <c r="AM142" s="78">
        <v>40809.77616898148</v>
      </c>
      <c r="AN142" s="76" t="s">
        <v>1823</v>
      </c>
      <c r="AO142" s="80" t="s">
        <v>1837</v>
      </c>
      <c r="AP142" s="2"/>
      <c r="AQ142" s="3"/>
      <c r="AR142" s="3"/>
      <c r="AS142" s="3"/>
      <c r="AT142" s="3"/>
    </row>
    <row r="143" spans="1:46" ht="41.45" customHeight="1" x14ac:dyDescent="0.25">
      <c r="A143" s="62" t="s">
        <v>202</v>
      </c>
      <c r="B143" s="63"/>
      <c r="C143" s="63" t="s">
        <v>63</v>
      </c>
      <c r="D143" s="64">
        <v>1.5123218168639767</v>
      </c>
      <c r="E143" s="66">
        <v>99.994255258034656</v>
      </c>
      <c r="F143" s="97" t="s">
        <v>1649</v>
      </c>
      <c r="G143" s="63"/>
      <c r="H143" s="67" t="s">
        <v>202</v>
      </c>
      <c r="I143" s="68"/>
      <c r="J143" s="68"/>
      <c r="K143" s="67" t="s">
        <v>2029</v>
      </c>
      <c r="L143" s="71">
        <v>2.9145310056489961</v>
      </c>
      <c r="M143" s="72">
        <v>8291.00390625</v>
      </c>
      <c r="N143" s="72">
        <v>8802.7216796875</v>
      </c>
      <c r="O143" s="73"/>
      <c r="P143" s="74"/>
      <c r="Q143" s="74"/>
      <c r="S143" s="48">
        <v>1</v>
      </c>
      <c r="T143" s="48">
        <v>1</v>
      </c>
      <c r="U143" s="49">
        <v>0</v>
      </c>
      <c r="V143" s="49">
        <v>0</v>
      </c>
      <c r="W143" s="49">
        <v>0</v>
      </c>
      <c r="X143" s="49">
        <v>0.99999700000000002</v>
      </c>
      <c r="Y143" s="49">
        <v>0</v>
      </c>
      <c r="Z143" s="49" t="s">
        <v>2233</v>
      </c>
      <c r="AA143" s="69">
        <v>17</v>
      </c>
      <c r="AB143" s="69"/>
      <c r="AC143" s="70"/>
      <c r="AD143" s="76">
        <v>88</v>
      </c>
      <c r="AE143" s="76">
        <v>12</v>
      </c>
      <c r="AF143" s="76">
        <v>307</v>
      </c>
      <c r="AG143" s="76">
        <v>8</v>
      </c>
      <c r="AH143" s="76" t="s">
        <v>1280</v>
      </c>
      <c r="AI143" s="76" t="s">
        <v>1447</v>
      </c>
      <c r="AJ143" s="76"/>
      <c r="AK143" s="76" t="s">
        <v>1628</v>
      </c>
      <c r="AL143" s="76">
        <v>21600</v>
      </c>
      <c r="AM143" s="78">
        <v>40787.767395833333</v>
      </c>
      <c r="AN143" s="76" t="s">
        <v>1823</v>
      </c>
      <c r="AO143" s="80" t="s">
        <v>1838</v>
      </c>
      <c r="AP143" s="2"/>
      <c r="AQ143" s="3"/>
      <c r="AR143" s="3"/>
      <c r="AS143" s="3"/>
      <c r="AT143" s="3"/>
    </row>
    <row r="144" spans="1:46" ht="41.45" customHeight="1" x14ac:dyDescent="0.25">
      <c r="A144" s="62" t="s">
        <v>203</v>
      </c>
      <c r="B144" s="63"/>
      <c r="C144" s="63" t="s">
        <v>63</v>
      </c>
      <c r="D144" s="64">
        <v>1.529777724087944</v>
      </c>
      <c r="E144" s="66">
        <v>99.986116873583768</v>
      </c>
      <c r="F144" s="97" t="s">
        <v>1650</v>
      </c>
      <c r="G144" s="63"/>
      <c r="H144" s="67" t="s">
        <v>203</v>
      </c>
      <c r="I144" s="68"/>
      <c r="J144" s="68"/>
      <c r="K144" s="67" t="s">
        <v>2030</v>
      </c>
      <c r="L144" s="71">
        <v>5.626783263651741</v>
      </c>
      <c r="M144" s="72">
        <v>9361.61328125</v>
      </c>
      <c r="N144" s="72">
        <v>778.22406005859375</v>
      </c>
      <c r="O144" s="73"/>
      <c r="P144" s="74"/>
      <c r="Q144" s="74"/>
      <c r="S144" s="48">
        <v>0</v>
      </c>
      <c r="T144" s="48">
        <v>1</v>
      </c>
      <c r="U144" s="49">
        <v>0</v>
      </c>
      <c r="V144" s="49">
        <v>1.4430000000000001E-3</v>
      </c>
      <c r="W144" s="49">
        <v>5.5999999999999999E-5</v>
      </c>
      <c r="X144" s="49">
        <v>0.37717299999999998</v>
      </c>
      <c r="Y144" s="49">
        <v>0</v>
      </c>
      <c r="Z144" s="49">
        <v>0</v>
      </c>
      <c r="AA144" s="69">
        <v>18</v>
      </c>
      <c r="AB144" s="69"/>
      <c r="AC144" s="70"/>
      <c r="AD144" s="76">
        <v>62</v>
      </c>
      <c r="AE144" s="76">
        <v>29</v>
      </c>
      <c r="AF144" s="76">
        <v>112</v>
      </c>
      <c r="AG144" s="76">
        <v>12</v>
      </c>
      <c r="AH144" s="76"/>
      <c r="AI144" s="76"/>
      <c r="AJ144" s="80" t="s">
        <v>1572</v>
      </c>
      <c r="AK144" s="76" t="s">
        <v>1627</v>
      </c>
      <c r="AL144" s="76">
        <v>-18000</v>
      </c>
      <c r="AM144" s="78">
        <v>40825.919212962966</v>
      </c>
      <c r="AN144" s="76" t="s">
        <v>1823</v>
      </c>
      <c r="AO144" s="80" t="s">
        <v>1839</v>
      </c>
      <c r="AP144" s="2"/>
      <c r="AQ144" s="3"/>
      <c r="AR144" s="3"/>
      <c r="AS144" s="3"/>
      <c r="AT144" s="3"/>
    </row>
    <row r="145" spans="1:46" ht="41.45" customHeight="1" x14ac:dyDescent="0.25">
      <c r="A145" s="62" t="s">
        <v>204</v>
      </c>
      <c r="B145" s="63"/>
      <c r="C145" s="63" t="s">
        <v>63</v>
      </c>
      <c r="D145" s="64">
        <v>1.5472336313119111</v>
      </c>
      <c r="E145" s="66">
        <v>99.977978489132866</v>
      </c>
      <c r="F145" s="97" t="s">
        <v>1652</v>
      </c>
      <c r="G145" s="63"/>
      <c r="H145" s="67" t="s">
        <v>204</v>
      </c>
      <c r="I145" s="68"/>
      <c r="J145" s="68"/>
      <c r="K145" s="67" t="s">
        <v>2032</v>
      </c>
      <c r="L145" s="71">
        <v>8.3390355216544858</v>
      </c>
      <c r="M145" s="72">
        <v>8878.59375</v>
      </c>
      <c r="N145" s="72">
        <v>8176.71240234375</v>
      </c>
      <c r="O145" s="73"/>
      <c r="P145" s="74"/>
      <c r="Q145" s="74"/>
      <c r="S145" s="48">
        <v>1</v>
      </c>
      <c r="T145" s="48">
        <v>1</v>
      </c>
      <c r="U145" s="49">
        <v>0</v>
      </c>
      <c r="V145" s="49">
        <v>0</v>
      </c>
      <c r="W145" s="49">
        <v>0</v>
      </c>
      <c r="X145" s="49">
        <v>0.99999700000000002</v>
      </c>
      <c r="Y145" s="49">
        <v>0</v>
      </c>
      <c r="Z145" s="49" t="s">
        <v>2233</v>
      </c>
      <c r="AA145" s="69">
        <v>20</v>
      </c>
      <c r="AB145" s="69"/>
      <c r="AC145" s="70"/>
      <c r="AD145" s="76">
        <v>436</v>
      </c>
      <c r="AE145" s="76">
        <v>46</v>
      </c>
      <c r="AF145" s="76">
        <v>204</v>
      </c>
      <c r="AG145" s="76">
        <v>9</v>
      </c>
      <c r="AH145" s="76"/>
      <c r="AI145" s="76" t="s">
        <v>1448</v>
      </c>
      <c r="AJ145" s="76"/>
      <c r="AK145" s="76"/>
      <c r="AL145" s="76"/>
      <c r="AM145" s="78">
        <v>40818.65693287037</v>
      </c>
      <c r="AN145" s="76" t="s">
        <v>1823</v>
      </c>
      <c r="AO145" s="80" t="s">
        <v>1841</v>
      </c>
      <c r="AP145" s="2"/>
      <c r="AQ145" s="3"/>
      <c r="AR145" s="3"/>
      <c r="AS145" s="3"/>
      <c r="AT145" s="3"/>
    </row>
    <row r="146" spans="1:46" ht="41.45" customHeight="1" x14ac:dyDescent="0.25">
      <c r="A146" s="62" t="s">
        <v>205</v>
      </c>
      <c r="B146" s="63"/>
      <c r="C146" s="63" t="s">
        <v>63</v>
      </c>
      <c r="D146" s="64">
        <v>1.5030804542159941</v>
      </c>
      <c r="E146" s="66">
        <v>99.998563814508671</v>
      </c>
      <c r="F146" s="97" t="s">
        <v>1644</v>
      </c>
      <c r="G146" s="63"/>
      <c r="H146" s="67" t="s">
        <v>205</v>
      </c>
      <c r="I146" s="68"/>
      <c r="J146" s="68"/>
      <c r="K146" s="67" t="s">
        <v>2033</v>
      </c>
      <c r="L146" s="71">
        <v>1.478632751412249</v>
      </c>
      <c r="M146" s="72">
        <v>8715.037109375</v>
      </c>
      <c r="N146" s="72">
        <v>5728.4150390625</v>
      </c>
      <c r="O146" s="73"/>
      <c r="P146" s="74"/>
      <c r="Q146" s="74"/>
      <c r="S146" s="48">
        <v>0</v>
      </c>
      <c r="T146" s="48">
        <v>2</v>
      </c>
      <c r="U146" s="49">
        <v>0</v>
      </c>
      <c r="V146" s="49">
        <v>1.9269999999999999E-3</v>
      </c>
      <c r="W146" s="49">
        <v>1.225E-3</v>
      </c>
      <c r="X146" s="49">
        <v>0.33224900000000002</v>
      </c>
      <c r="Y146" s="49">
        <v>0.5</v>
      </c>
      <c r="Z146" s="49">
        <v>0</v>
      </c>
      <c r="AA146" s="69">
        <v>21</v>
      </c>
      <c r="AB146" s="69"/>
      <c r="AC146" s="70"/>
      <c r="AD146" s="76">
        <v>32</v>
      </c>
      <c r="AE146" s="76">
        <v>3</v>
      </c>
      <c r="AF146" s="76">
        <v>269</v>
      </c>
      <c r="AG146" s="76">
        <v>9</v>
      </c>
      <c r="AH146" s="76" t="s">
        <v>1282</v>
      </c>
      <c r="AI146" s="76"/>
      <c r="AJ146" s="76"/>
      <c r="AK146" s="76"/>
      <c r="AL146" s="76"/>
      <c r="AM146" s="78">
        <v>40647.916620370372</v>
      </c>
      <c r="AN146" s="76" t="s">
        <v>1823</v>
      </c>
      <c r="AO146" s="80" t="s">
        <v>1842</v>
      </c>
      <c r="AP146" s="2"/>
      <c r="AQ146" s="3"/>
      <c r="AR146" s="3"/>
      <c r="AS146" s="3"/>
      <c r="AT146" s="3"/>
    </row>
    <row r="147" spans="1:46" ht="41.45" customHeight="1" x14ac:dyDescent="0.25">
      <c r="A147" s="62" t="s">
        <v>206</v>
      </c>
      <c r="B147" s="63"/>
      <c r="C147" s="63" t="s">
        <v>63</v>
      </c>
      <c r="D147" s="64">
        <v>1.5564749939598936</v>
      </c>
      <c r="E147" s="66">
        <v>99.973669932658865</v>
      </c>
      <c r="F147" s="97" t="s">
        <v>1655</v>
      </c>
      <c r="G147" s="63"/>
      <c r="H147" s="67" t="s">
        <v>206</v>
      </c>
      <c r="I147" s="68"/>
      <c r="J147" s="68"/>
      <c r="K147" s="67" t="s">
        <v>2036</v>
      </c>
      <c r="L147" s="71">
        <v>9.7749337758912329</v>
      </c>
      <c r="M147" s="72">
        <v>7703.4130859375</v>
      </c>
      <c r="N147" s="72">
        <v>7550.70263671875</v>
      </c>
      <c r="O147" s="73"/>
      <c r="P147" s="74"/>
      <c r="Q147" s="74"/>
      <c r="S147" s="48">
        <v>1</v>
      </c>
      <c r="T147" s="48">
        <v>1</v>
      </c>
      <c r="U147" s="49">
        <v>0</v>
      </c>
      <c r="V147" s="49">
        <v>0</v>
      </c>
      <c r="W147" s="49">
        <v>0</v>
      </c>
      <c r="X147" s="49">
        <v>0.99999700000000002</v>
      </c>
      <c r="Y147" s="49">
        <v>0</v>
      </c>
      <c r="Z147" s="49" t="s">
        <v>2233</v>
      </c>
      <c r="AA147" s="69">
        <v>24</v>
      </c>
      <c r="AB147" s="69"/>
      <c r="AC147" s="70"/>
      <c r="AD147" s="76">
        <v>120</v>
      </c>
      <c r="AE147" s="76">
        <v>55</v>
      </c>
      <c r="AF147" s="76">
        <v>799</v>
      </c>
      <c r="AG147" s="76">
        <v>0</v>
      </c>
      <c r="AH147" s="76" t="s">
        <v>1285</v>
      </c>
      <c r="AI147" s="76"/>
      <c r="AJ147" s="76"/>
      <c r="AK147" s="76" t="s">
        <v>1625</v>
      </c>
      <c r="AL147" s="76">
        <v>-18000</v>
      </c>
      <c r="AM147" s="78">
        <v>40486.740624999999</v>
      </c>
      <c r="AN147" s="76" t="s">
        <v>1823</v>
      </c>
      <c r="AO147" s="80" t="s">
        <v>1845</v>
      </c>
      <c r="AP147" s="2"/>
      <c r="AQ147" s="3"/>
      <c r="AR147" s="3"/>
      <c r="AS147" s="3"/>
      <c r="AT147" s="3"/>
    </row>
    <row r="148" spans="1:46" ht="41.45" customHeight="1" x14ac:dyDescent="0.25">
      <c r="A148" s="62" t="s">
        <v>207</v>
      </c>
      <c r="B148" s="63"/>
      <c r="C148" s="63" t="s">
        <v>63</v>
      </c>
      <c r="D148" s="64">
        <v>1.529777724087944</v>
      </c>
      <c r="E148" s="66">
        <v>99.986116873583768</v>
      </c>
      <c r="F148" s="97" t="s">
        <v>1656</v>
      </c>
      <c r="G148" s="63"/>
      <c r="H148" s="67" t="s">
        <v>207</v>
      </c>
      <c r="I148" s="68"/>
      <c r="J148" s="68"/>
      <c r="K148" s="67" t="s">
        <v>2037</v>
      </c>
      <c r="L148" s="71">
        <v>5.626783263651741</v>
      </c>
      <c r="M148" s="72">
        <v>9466.1845703125</v>
      </c>
      <c r="N148" s="72">
        <v>8802.7216796875</v>
      </c>
      <c r="O148" s="73"/>
      <c r="P148" s="74"/>
      <c r="Q148" s="74"/>
      <c r="S148" s="48">
        <v>1</v>
      </c>
      <c r="T148" s="48">
        <v>1</v>
      </c>
      <c r="U148" s="49">
        <v>0</v>
      </c>
      <c r="V148" s="49">
        <v>0</v>
      </c>
      <c r="W148" s="49">
        <v>0</v>
      </c>
      <c r="X148" s="49">
        <v>0.99999700000000002</v>
      </c>
      <c r="Y148" s="49">
        <v>0</v>
      </c>
      <c r="Z148" s="49" t="s">
        <v>2233</v>
      </c>
      <c r="AA148" s="69">
        <v>25</v>
      </c>
      <c r="AB148" s="69"/>
      <c r="AC148" s="70"/>
      <c r="AD148" s="76">
        <v>139</v>
      </c>
      <c r="AE148" s="76">
        <v>29</v>
      </c>
      <c r="AF148" s="76">
        <v>181</v>
      </c>
      <c r="AG148" s="76">
        <v>7</v>
      </c>
      <c r="AH148" s="76" t="s">
        <v>1286</v>
      </c>
      <c r="AI148" s="76" t="s">
        <v>1451</v>
      </c>
      <c r="AJ148" s="80" t="s">
        <v>1574</v>
      </c>
      <c r="AK148" s="76" t="s">
        <v>1625</v>
      </c>
      <c r="AL148" s="76">
        <v>-18000</v>
      </c>
      <c r="AM148" s="78">
        <v>39231.784421296295</v>
      </c>
      <c r="AN148" s="76" t="s">
        <v>1823</v>
      </c>
      <c r="AO148" s="80" t="s">
        <v>1846</v>
      </c>
      <c r="AP148" s="2"/>
      <c r="AQ148" s="3"/>
      <c r="AR148" s="3"/>
      <c r="AS148" s="3"/>
      <c r="AT148" s="3"/>
    </row>
    <row r="149" spans="1:46" ht="41.45" customHeight="1" x14ac:dyDescent="0.25">
      <c r="A149" s="62" t="s">
        <v>208</v>
      </c>
      <c r="B149" s="63"/>
      <c r="C149" s="63" t="s">
        <v>63</v>
      </c>
      <c r="D149" s="64">
        <v>1.5841990819038414</v>
      </c>
      <c r="E149" s="66">
        <v>99.960744263236847</v>
      </c>
      <c r="F149" s="97" t="s">
        <v>1657</v>
      </c>
      <c r="G149" s="63"/>
      <c r="H149" s="67" t="s">
        <v>208</v>
      </c>
      <c r="I149" s="68"/>
      <c r="J149" s="68"/>
      <c r="K149" s="67" t="s">
        <v>2038</v>
      </c>
      <c r="L149" s="71">
        <v>14.082628538601474</v>
      </c>
      <c r="M149" s="72">
        <v>8878.59375</v>
      </c>
      <c r="N149" s="72">
        <v>7550.70263671875</v>
      </c>
      <c r="O149" s="73"/>
      <c r="P149" s="74"/>
      <c r="Q149" s="74"/>
      <c r="S149" s="48">
        <v>1</v>
      </c>
      <c r="T149" s="48">
        <v>1</v>
      </c>
      <c r="U149" s="49">
        <v>0</v>
      </c>
      <c r="V149" s="49">
        <v>0</v>
      </c>
      <c r="W149" s="49">
        <v>0</v>
      </c>
      <c r="X149" s="49">
        <v>0.99999700000000002</v>
      </c>
      <c r="Y149" s="49">
        <v>0</v>
      </c>
      <c r="Z149" s="49" t="s">
        <v>2233</v>
      </c>
      <c r="AA149" s="69">
        <v>26</v>
      </c>
      <c r="AB149" s="69"/>
      <c r="AC149" s="70"/>
      <c r="AD149" s="76">
        <v>267</v>
      </c>
      <c r="AE149" s="76">
        <v>82</v>
      </c>
      <c r="AF149" s="76">
        <v>1458</v>
      </c>
      <c r="AG149" s="76">
        <v>8</v>
      </c>
      <c r="AH149" s="76"/>
      <c r="AI149" s="76"/>
      <c r="AJ149" s="76"/>
      <c r="AK149" s="76" t="s">
        <v>1625</v>
      </c>
      <c r="AL149" s="76">
        <v>-18000</v>
      </c>
      <c r="AM149" s="78">
        <v>40715.618425925924</v>
      </c>
      <c r="AN149" s="76" t="s">
        <v>1823</v>
      </c>
      <c r="AO149" s="80" t="s">
        <v>1847</v>
      </c>
      <c r="AP149" s="2"/>
      <c r="AQ149" s="3"/>
      <c r="AR149" s="3"/>
      <c r="AS149" s="3"/>
      <c r="AT149" s="3"/>
    </row>
    <row r="150" spans="1:46" ht="41.45" customHeight="1" x14ac:dyDescent="0.25">
      <c r="A150" s="62" t="s">
        <v>209</v>
      </c>
      <c r="B150" s="63"/>
      <c r="C150" s="63" t="s">
        <v>63</v>
      </c>
      <c r="D150" s="64">
        <v>1.5349118144479343</v>
      </c>
      <c r="E150" s="66">
        <v>99.98372323109821</v>
      </c>
      <c r="F150" s="97" t="s">
        <v>1658</v>
      </c>
      <c r="G150" s="63"/>
      <c r="H150" s="67" t="s">
        <v>209</v>
      </c>
      <c r="I150" s="68"/>
      <c r="J150" s="68"/>
      <c r="K150" s="67" t="s">
        <v>2039</v>
      </c>
      <c r="L150" s="71">
        <v>6.4245045160054897</v>
      </c>
      <c r="M150" s="72">
        <v>7703.4130859375</v>
      </c>
      <c r="N150" s="72">
        <v>8176.71240234375</v>
      </c>
      <c r="O150" s="73"/>
      <c r="P150" s="74"/>
      <c r="Q150" s="74"/>
      <c r="S150" s="48">
        <v>1</v>
      </c>
      <c r="T150" s="48">
        <v>1</v>
      </c>
      <c r="U150" s="49">
        <v>0</v>
      </c>
      <c r="V150" s="49">
        <v>0</v>
      </c>
      <c r="W150" s="49">
        <v>0</v>
      </c>
      <c r="X150" s="49">
        <v>0.99999700000000002</v>
      </c>
      <c r="Y150" s="49">
        <v>0</v>
      </c>
      <c r="Z150" s="49" t="s">
        <v>2233</v>
      </c>
      <c r="AA150" s="69">
        <v>27</v>
      </c>
      <c r="AB150" s="69"/>
      <c r="AC150" s="70"/>
      <c r="AD150" s="76">
        <v>93</v>
      </c>
      <c r="AE150" s="76">
        <v>34</v>
      </c>
      <c r="AF150" s="76">
        <v>1500</v>
      </c>
      <c r="AG150" s="76">
        <v>173</v>
      </c>
      <c r="AH150" s="76" t="s">
        <v>1287</v>
      </c>
      <c r="AI150" s="76" t="s">
        <v>1452</v>
      </c>
      <c r="AJ150" s="80" t="s">
        <v>1575</v>
      </c>
      <c r="AK150" s="76" t="s">
        <v>1625</v>
      </c>
      <c r="AL150" s="76">
        <v>-18000</v>
      </c>
      <c r="AM150" s="78">
        <v>40366.775219907409</v>
      </c>
      <c r="AN150" s="76" t="s">
        <v>1823</v>
      </c>
      <c r="AO150" s="80" t="s">
        <v>1848</v>
      </c>
      <c r="AP150" s="2"/>
      <c r="AQ150" s="3"/>
      <c r="AR150" s="3"/>
      <c r="AS150" s="3"/>
      <c r="AT150" s="3"/>
    </row>
    <row r="151" spans="1:46" ht="41.45" customHeight="1" x14ac:dyDescent="0.25">
      <c r="A151" s="62" t="s">
        <v>210</v>
      </c>
      <c r="B151" s="63"/>
      <c r="C151" s="63" t="s">
        <v>63</v>
      </c>
      <c r="D151" s="64">
        <v>1.5051340903599904</v>
      </c>
      <c r="E151" s="66">
        <v>99.997606357514442</v>
      </c>
      <c r="F151" s="97" t="s">
        <v>1659</v>
      </c>
      <c r="G151" s="63"/>
      <c r="H151" s="67" t="s">
        <v>210</v>
      </c>
      <c r="I151" s="68"/>
      <c r="J151" s="68"/>
      <c r="K151" s="67" t="s">
        <v>2040</v>
      </c>
      <c r="L151" s="71">
        <v>1.7977212523537485</v>
      </c>
      <c r="M151" s="72">
        <v>8878.59375</v>
      </c>
      <c r="N151" s="72">
        <v>9428.7314453125</v>
      </c>
      <c r="O151" s="73"/>
      <c r="P151" s="74"/>
      <c r="Q151" s="74"/>
      <c r="S151" s="48">
        <v>1</v>
      </c>
      <c r="T151" s="48">
        <v>1</v>
      </c>
      <c r="U151" s="49">
        <v>0</v>
      </c>
      <c r="V151" s="49">
        <v>0</v>
      </c>
      <c r="W151" s="49">
        <v>0</v>
      </c>
      <c r="X151" s="49">
        <v>0.99999700000000002</v>
      </c>
      <c r="Y151" s="49">
        <v>0</v>
      </c>
      <c r="Z151" s="49" t="s">
        <v>2233</v>
      </c>
      <c r="AA151" s="69">
        <v>28</v>
      </c>
      <c r="AB151" s="69"/>
      <c r="AC151" s="70"/>
      <c r="AD151" s="76">
        <v>29</v>
      </c>
      <c r="AE151" s="76">
        <v>5</v>
      </c>
      <c r="AF151" s="76">
        <v>265</v>
      </c>
      <c r="AG151" s="76">
        <v>2</v>
      </c>
      <c r="AH151" s="76"/>
      <c r="AI151" s="76"/>
      <c r="AJ151" s="76"/>
      <c r="AK151" s="76"/>
      <c r="AL151" s="76"/>
      <c r="AM151" s="78">
        <v>40986.042974537035</v>
      </c>
      <c r="AN151" s="76" t="s">
        <v>1823</v>
      </c>
      <c r="AO151" s="80" t="s">
        <v>1849</v>
      </c>
      <c r="AP151" s="2"/>
      <c r="AQ151" s="3"/>
      <c r="AR151" s="3"/>
      <c r="AS151" s="3"/>
      <c r="AT151" s="3"/>
    </row>
    <row r="152" spans="1:46" ht="41.45" customHeight="1" x14ac:dyDescent="0.25">
      <c r="A152" s="62" t="s">
        <v>211</v>
      </c>
      <c r="B152" s="63"/>
      <c r="C152" s="63" t="s">
        <v>63</v>
      </c>
      <c r="D152" s="64">
        <v>1.6037086252718047</v>
      </c>
      <c r="E152" s="66">
        <v>99.951648421791717</v>
      </c>
      <c r="F152" s="97" t="s">
        <v>1660</v>
      </c>
      <c r="G152" s="63"/>
      <c r="H152" s="67" t="s">
        <v>211</v>
      </c>
      <c r="I152" s="68"/>
      <c r="J152" s="68"/>
      <c r="K152" s="67" t="s">
        <v>2041</v>
      </c>
      <c r="L152" s="71">
        <v>17.113969297545719</v>
      </c>
      <c r="M152" s="72">
        <v>9466.1845703125</v>
      </c>
      <c r="N152" s="72">
        <v>7550.70263671875</v>
      </c>
      <c r="O152" s="73"/>
      <c r="P152" s="74"/>
      <c r="Q152" s="74"/>
      <c r="S152" s="48">
        <v>1</v>
      </c>
      <c r="T152" s="48">
        <v>1</v>
      </c>
      <c r="U152" s="49">
        <v>0</v>
      </c>
      <c r="V152" s="49">
        <v>0</v>
      </c>
      <c r="W152" s="49">
        <v>0</v>
      </c>
      <c r="X152" s="49">
        <v>0.99999700000000002</v>
      </c>
      <c r="Y152" s="49">
        <v>0</v>
      </c>
      <c r="Z152" s="49" t="s">
        <v>2233</v>
      </c>
      <c r="AA152" s="69">
        <v>29</v>
      </c>
      <c r="AB152" s="69"/>
      <c r="AC152" s="70"/>
      <c r="AD152" s="76">
        <v>220</v>
      </c>
      <c r="AE152" s="76">
        <v>101</v>
      </c>
      <c r="AF152" s="76">
        <v>5284</v>
      </c>
      <c r="AG152" s="76">
        <v>0</v>
      </c>
      <c r="AH152" s="76" t="s">
        <v>1288</v>
      </c>
      <c r="AI152" s="76"/>
      <c r="AJ152" s="76"/>
      <c r="AK152" s="76" t="s">
        <v>1624</v>
      </c>
      <c r="AL152" s="76">
        <v>-21600</v>
      </c>
      <c r="AM152" s="78">
        <v>40325.014236111114</v>
      </c>
      <c r="AN152" s="76" t="s">
        <v>1823</v>
      </c>
      <c r="AO152" s="80" t="s">
        <v>1850</v>
      </c>
      <c r="AP152" s="2"/>
      <c r="AQ152" s="3"/>
      <c r="AR152" s="3"/>
      <c r="AS152" s="3"/>
      <c r="AT152" s="3"/>
    </row>
    <row r="153" spans="1:46" ht="41.45" customHeight="1" x14ac:dyDescent="0.25">
      <c r="A153" s="62" t="s">
        <v>212</v>
      </c>
      <c r="B153" s="63"/>
      <c r="C153" s="63" t="s">
        <v>63</v>
      </c>
      <c r="D153" s="64">
        <v>1.5585286301038899</v>
      </c>
      <c r="E153" s="66">
        <v>99.972712475664636</v>
      </c>
      <c r="F153" s="97" t="s">
        <v>1661</v>
      </c>
      <c r="G153" s="63"/>
      <c r="H153" s="67" t="s">
        <v>212</v>
      </c>
      <c r="I153" s="68"/>
      <c r="J153" s="68"/>
      <c r="K153" s="67" t="s">
        <v>2042</v>
      </c>
      <c r="L153" s="71">
        <v>10.094022276832732</v>
      </c>
      <c r="M153" s="72">
        <v>8291.00390625</v>
      </c>
      <c r="N153" s="72">
        <v>7550.70263671875</v>
      </c>
      <c r="O153" s="73"/>
      <c r="P153" s="74"/>
      <c r="Q153" s="74"/>
      <c r="S153" s="48">
        <v>1</v>
      </c>
      <c r="T153" s="48">
        <v>1</v>
      </c>
      <c r="U153" s="49">
        <v>0</v>
      </c>
      <c r="V153" s="49">
        <v>0</v>
      </c>
      <c r="W153" s="49">
        <v>0</v>
      </c>
      <c r="X153" s="49">
        <v>0.99999700000000002</v>
      </c>
      <c r="Y153" s="49">
        <v>0</v>
      </c>
      <c r="Z153" s="49" t="s">
        <v>2233</v>
      </c>
      <c r="AA153" s="69">
        <v>30</v>
      </c>
      <c r="AB153" s="69"/>
      <c r="AC153" s="70"/>
      <c r="AD153" s="76">
        <v>210</v>
      </c>
      <c r="AE153" s="76">
        <v>57</v>
      </c>
      <c r="AF153" s="76">
        <v>1153</v>
      </c>
      <c r="AG153" s="76">
        <v>12</v>
      </c>
      <c r="AH153" s="76" t="s">
        <v>1289</v>
      </c>
      <c r="AI153" s="76" t="s">
        <v>1453</v>
      </c>
      <c r="AJ153" s="76"/>
      <c r="AK153" s="76" t="s">
        <v>1624</v>
      </c>
      <c r="AL153" s="76">
        <v>-21600</v>
      </c>
      <c r="AM153" s="78">
        <v>39894.22583333333</v>
      </c>
      <c r="AN153" s="76" t="s">
        <v>1823</v>
      </c>
      <c r="AO153" s="80" t="s">
        <v>1851</v>
      </c>
      <c r="AP153" s="2"/>
      <c r="AQ153" s="3"/>
      <c r="AR153" s="3"/>
      <c r="AS153" s="3"/>
      <c r="AT153" s="3"/>
    </row>
    <row r="154" spans="1:46" ht="41.45" customHeight="1" x14ac:dyDescent="0.25">
      <c r="A154" s="62" t="s">
        <v>215</v>
      </c>
      <c r="B154" s="63"/>
      <c r="C154" s="63" t="s">
        <v>63</v>
      </c>
      <c r="D154" s="64">
        <v>1.5462068132399129</v>
      </c>
      <c r="E154" s="66">
        <v>99.97845721762998</v>
      </c>
      <c r="F154" s="97" t="s">
        <v>1666</v>
      </c>
      <c r="G154" s="63"/>
      <c r="H154" s="67" t="s">
        <v>215</v>
      </c>
      <c r="I154" s="68"/>
      <c r="J154" s="68"/>
      <c r="K154" s="67" t="s">
        <v>2048</v>
      </c>
      <c r="L154" s="71">
        <v>8.1794912711837355</v>
      </c>
      <c r="M154" s="72">
        <v>9759.98046875</v>
      </c>
      <c r="N154" s="72">
        <v>3517.05615234375</v>
      </c>
      <c r="O154" s="73"/>
      <c r="P154" s="74"/>
      <c r="Q154" s="74"/>
      <c r="S154" s="48">
        <v>2</v>
      </c>
      <c r="T154" s="48">
        <v>2</v>
      </c>
      <c r="U154" s="49">
        <v>0</v>
      </c>
      <c r="V154" s="49">
        <v>1.495E-3</v>
      </c>
      <c r="W154" s="49">
        <v>1.27E-4</v>
      </c>
      <c r="X154" s="49">
        <v>0.59360800000000002</v>
      </c>
      <c r="Y154" s="49">
        <v>0</v>
      </c>
      <c r="Z154" s="49">
        <v>1</v>
      </c>
      <c r="AA154" s="69">
        <v>36</v>
      </c>
      <c r="AB154" s="69"/>
      <c r="AC154" s="70"/>
      <c r="AD154" s="76">
        <v>203</v>
      </c>
      <c r="AE154" s="76">
        <v>45</v>
      </c>
      <c r="AF154" s="76">
        <v>306</v>
      </c>
      <c r="AG154" s="76">
        <v>0</v>
      </c>
      <c r="AH154" s="76"/>
      <c r="AI154" s="76"/>
      <c r="AJ154" s="80" t="s">
        <v>1580</v>
      </c>
      <c r="AK154" s="76" t="s">
        <v>1629</v>
      </c>
      <c r="AL154" s="76">
        <v>-25200</v>
      </c>
      <c r="AM154" s="78">
        <v>41049.876307870371</v>
      </c>
      <c r="AN154" s="76" t="s">
        <v>1823</v>
      </c>
      <c r="AO154" s="80" t="s">
        <v>1857</v>
      </c>
      <c r="AP154" s="2"/>
      <c r="AQ154" s="3"/>
      <c r="AR154" s="3"/>
      <c r="AS154" s="3"/>
      <c r="AT154" s="3"/>
    </row>
    <row r="155" spans="1:46" ht="41.45" customHeight="1" x14ac:dyDescent="0.25">
      <c r="A155" s="62" t="s">
        <v>219</v>
      </c>
      <c r="B155" s="63"/>
      <c r="C155" s="63" t="s">
        <v>63</v>
      </c>
      <c r="D155" s="64">
        <v>1.5030804542159941</v>
      </c>
      <c r="E155" s="66">
        <v>99.998563814508671</v>
      </c>
      <c r="F155" s="97" t="s">
        <v>1639</v>
      </c>
      <c r="G155" s="63"/>
      <c r="H155" s="67" t="s">
        <v>219</v>
      </c>
      <c r="I155" s="68"/>
      <c r="J155" s="68"/>
      <c r="K155" s="67" t="s">
        <v>2054</v>
      </c>
      <c r="L155" s="71">
        <v>1.478632751412249</v>
      </c>
      <c r="M155" s="72">
        <v>3790.86279296875</v>
      </c>
      <c r="N155" s="72">
        <v>9741.736328125</v>
      </c>
      <c r="O155" s="73"/>
      <c r="P155" s="74"/>
      <c r="Q155" s="74"/>
      <c r="S155" s="48">
        <v>1</v>
      </c>
      <c r="T155" s="48">
        <v>2</v>
      </c>
      <c r="U155" s="49">
        <v>0</v>
      </c>
      <c r="V155" s="49">
        <v>1.789E-3</v>
      </c>
      <c r="W155" s="49">
        <v>1.6869999999999999E-3</v>
      </c>
      <c r="X155" s="49">
        <v>0.41956199999999999</v>
      </c>
      <c r="Y155" s="49">
        <v>0</v>
      </c>
      <c r="Z155" s="49">
        <v>0</v>
      </c>
      <c r="AA155" s="69">
        <v>42</v>
      </c>
      <c r="AB155" s="69"/>
      <c r="AC155" s="70"/>
      <c r="AD155" s="76">
        <v>2</v>
      </c>
      <c r="AE155" s="76">
        <v>3</v>
      </c>
      <c r="AF155" s="76">
        <v>3</v>
      </c>
      <c r="AG155" s="76">
        <v>1</v>
      </c>
      <c r="AH155" s="76"/>
      <c r="AI155" s="76"/>
      <c r="AJ155" s="76"/>
      <c r="AK155" s="76" t="s">
        <v>1626</v>
      </c>
      <c r="AL155" s="76">
        <v>-28800</v>
      </c>
      <c r="AM155" s="78">
        <v>40665.963240740741</v>
      </c>
      <c r="AN155" s="76" t="s">
        <v>1823</v>
      </c>
      <c r="AO155" s="80" t="s">
        <v>1863</v>
      </c>
      <c r="AP155" s="2"/>
      <c r="AQ155" s="3"/>
      <c r="AR155" s="3"/>
      <c r="AS155" s="3"/>
      <c r="AT155" s="3"/>
    </row>
    <row r="156" spans="1:46" ht="41.45" customHeight="1" x14ac:dyDescent="0.25">
      <c r="A156" s="62" t="s">
        <v>221</v>
      </c>
      <c r="B156" s="63"/>
      <c r="C156" s="63" t="s">
        <v>63</v>
      </c>
      <c r="D156" s="64">
        <v>1.5082145445759845</v>
      </c>
      <c r="E156" s="66">
        <v>99.996170172023113</v>
      </c>
      <c r="F156" s="97" t="s">
        <v>1678</v>
      </c>
      <c r="G156" s="63"/>
      <c r="H156" s="67" t="s">
        <v>221</v>
      </c>
      <c r="I156" s="68"/>
      <c r="J156" s="68"/>
      <c r="K156" s="67" t="s">
        <v>2061</v>
      </c>
      <c r="L156" s="71">
        <v>2.2763540037659977</v>
      </c>
      <c r="M156" s="72">
        <v>4103.36181640625</v>
      </c>
      <c r="N156" s="72">
        <v>4660.92822265625</v>
      </c>
      <c r="O156" s="73"/>
      <c r="P156" s="74"/>
      <c r="Q156" s="74"/>
      <c r="S156" s="48">
        <v>1</v>
      </c>
      <c r="T156" s="48">
        <v>2</v>
      </c>
      <c r="U156" s="49">
        <v>0</v>
      </c>
      <c r="V156" s="49">
        <v>1.776E-3</v>
      </c>
      <c r="W156" s="49">
        <v>9.6500000000000004E-4</v>
      </c>
      <c r="X156" s="49">
        <v>0.46130599999999999</v>
      </c>
      <c r="Y156" s="49">
        <v>0</v>
      </c>
      <c r="Z156" s="49">
        <v>0</v>
      </c>
      <c r="AA156" s="69">
        <v>49</v>
      </c>
      <c r="AB156" s="69"/>
      <c r="AC156" s="70"/>
      <c r="AD156" s="76">
        <v>46</v>
      </c>
      <c r="AE156" s="76">
        <v>8</v>
      </c>
      <c r="AF156" s="76">
        <v>1144</v>
      </c>
      <c r="AG156" s="76">
        <v>1</v>
      </c>
      <c r="AH156" s="76" t="s">
        <v>1303</v>
      </c>
      <c r="AI156" s="76" t="s">
        <v>1465</v>
      </c>
      <c r="AJ156" s="76"/>
      <c r="AK156" s="76"/>
      <c r="AL156" s="76"/>
      <c r="AM156" s="78">
        <v>40987.737488425926</v>
      </c>
      <c r="AN156" s="76" t="s">
        <v>1823</v>
      </c>
      <c r="AO156" s="80" t="s">
        <v>1870</v>
      </c>
      <c r="AP156" s="2"/>
      <c r="AQ156" s="3"/>
      <c r="AR156" s="3"/>
      <c r="AS156" s="3"/>
      <c r="AT156" s="3"/>
    </row>
    <row r="157" spans="1:46" ht="41.45" customHeight="1" x14ac:dyDescent="0.25">
      <c r="A157" s="62" t="s">
        <v>222</v>
      </c>
      <c r="B157" s="63"/>
      <c r="C157" s="63" t="s">
        <v>63</v>
      </c>
      <c r="D157" s="64">
        <v>1.606789079487799</v>
      </c>
      <c r="E157" s="66">
        <v>99.950212236300388</v>
      </c>
      <c r="F157" s="97" t="s">
        <v>1679</v>
      </c>
      <c r="G157" s="63"/>
      <c r="H157" s="67" t="s">
        <v>222</v>
      </c>
      <c r="I157" s="68"/>
      <c r="J157" s="68"/>
      <c r="K157" s="67" t="s">
        <v>2062</v>
      </c>
      <c r="L157" s="71">
        <v>17.592602048957968</v>
      </c>
      <c r="M157" s="72">
        <v>3778.428955078125</v>
      </c>
      <c r="N157" s="72">
        <v>4613.60400390625</v>
      </c>
      <c r="O157" s="73"/>
      <c r="P157" s="74"/>
      <c r="Q157" s="74"/>
      <c r="S157" s="48">
        <v>1</v>
      </c>
      <c r="T157" s="48">
        <v>2</v>
      </c>
      <c r="U157" s="49">
        <v>0</v>
      </c>
      <c r="V157" s="49">
        <v>1.776E-3</v>
      </c>
      <c r="W157" s="49">
        <v>9.6500000000000004E-4</v>
      </c>
      <c r="X157" s="49">
        <v>0.46130599999999999</v>
      </c>
      <c r="Y157" s="49">
        <v>0</v>
      </c>
      <c r="Z157" s="49">
        <v>0</v>
      </c>
      <c r="AA157" s="69">
        <v>50</v>
      </c>
      <c r="AB157" s="69"/>
      <c r="AC157" s="70"/>
      <c r="AD157" s="76">
        <v>68</v>
      </c>
      <c r="AE157" s="76">
        <v>104</v>
      </c>
      <c r="AF157" s="76">
        <v>6392</v>
      </c>
      <c r="AG157" s="76">
        <v>16</v>
      </c>
      <c r="AH157" s="76" t="s">
        <v>1304</v>
      </c>
      <c r="AI157" s="76" t="s">
        <v>1466</v>
      </c>
      <c r="AJ157" s="76"/>
      <c r="AK157" s="76" t="s">
        <v>1625</v>
      </c>
      <c r="AL157" s="76">
        <v>-18000</v>
      </c>
      <c r="AM157" s="78">
        <v>39921.120185185187</v>
      </c>
      <c r="AN157" s="76" t="s">
        <v>1823</v>
      </c>
      <c r="AO157" s="80" t="s">
        <v>1871</v>
      </c>
      <c r="AP157" s="2"/>
      <c r="AQ157" s="3"/>
      <c r="AR157" s="3"/>
      <c r="AS157" s="3"/>
      <c r="AT157" s="3"/>
    </row>
    <row r="158" spans="1:46" ht="41.45" customHeight="1" x14ac:dyDescent="0.25">
      <c r="A158" s="62" t="s">
        <v>223</v>
      </c>
      <c r="B158" s="63"/>
      <c r="C158" s="63" t="s">
        <v>63</v>
      </c>
      <c r="D158" s="64">
        <v>1.7525972457115244</v>
      </c>
      <c r="E158" s="66">
        <v>99.882232789710528</v>
      </c>
      <c r="F158" s="97" t="s">
        <v>1680</v>
      </c>
      <c r="G158" s="63"/>
      <c r="H158" s="67" t="s">
        <v>223</v>
      </c>
      <c r="I158" s="68"/>
      <c r="J158" s="68"/>
      <c r="K158" s="67" t="s">
        <v>2063</v>
      </c>
      <c r="L158" s="71">
        <v>40.247885615804421</v>
      </c>
      <c r="M158" s="72">
        <v>5104.16064453125</v>
      </c>
      <c r="N158" s="72">
        <v>4917.2490234375</v>
      </c>
      <c r="O158" s="73"/>
      <c r="P158" s="74"/>
      <c r="Q158" s="74"/>
      <c r="S158" s="48">
        <v>1</v>
      </c>
      <c r="T158" s="48">
        <v>2</v>
      </c>
      <c r="U158" s="49">
        <v>0</v>
      </c>
      <c r="V158" s="49">
        <v>1.776E-3</v>
      </c>
      <c r="W158" s="49">
        <v>9.6500000000000004E-4</v>
      </c>
      <c r="X158" s="49">
        <v>0.46130599999999999</v>
      </c>
      <c r="Y158" s="49">
        <v>0</v>
      </c>
      <c r="Z158" s="49">
        <v>0</v>
      </c>
      <c r="AA158" s="69">
        <v>51</v>
      </c>
      <c r="AB158" s="69"/>
      <c r="AC158" s="70"/>
      <c r="AD158" s="76">
        <v>430</v>
      </c>
      <c r="AE158" s="76">
        <v>246</v>
      </c>
      <c r="AF158" s="76">
        <v>5523</v>
      </c>
      <c r="AG158" s="76">
        <v>3</v>
      </c>
      <c r="AH158" s="76" t="s">
        <v>1305</v>
      </c>
      <c r="AI158" s="76" t="s">
        <v>1467</v>
      </c>
      <c r="AJ158" s="76"/>
      <c r="AK158" s="76" t="s">
        <v>1626</v>
      </c>
      <c r="AL158" s="76">
        <v>-28800</v>
      </c>
      <c r="AM158" s="78">
        <v>40984.101134259261</v>
      </c>
      <c r="AN158" s="76" t="s">
        <v>1823</v>
      </c>
      <c r="AO158" s="80" t="s">
        <v>1872</v>
      </c>
      <c r="AP158" s="2"/>
      <c r="AQ158" s="3"/>
      <c r="AR158" s="3"/>
      <c r="AS158" s="3"/>
      <c r="AT158" s="3"/>
    </row>
    <row r="159" spans="1:46" ht="41.45" customHeight="1" x14ac:dyDescent="0.25">
      <c r="A159" s="62" t="s">
        <v>224</v>
      </c>
      <c r="B159" s="63"/>
      <c r="C159" s="63" t="s">
        <v>63</v>
      </c>
      <c r="D159" s="64">
        <v>2.2680599178545542</v>
      </c>
      <c r="E159" s="66">
        <v>99.641911084160469</v>
      </c>
      <c r="F159" s="97" t="s">
        <v>1681</v>
      </c>
      <c r="G159" s="63"/>
      <c r="H159" s="67" t="s">
        <v>224</v>
      </c>
      <c r="I159" s="68"/>
      <c r="J159" s="68"/>
      <c r="K159" s="67" t="s">
        <v>2064</v>
      </c>
      <c r="L159" s="71">
        <v>120.33909935212077</v>
      </c>
      <c r="M159" s="72">
        <v>3399.02197265625</v>
      </c>
      <c r="N159" s="72">
        <v>4183.74755859375</v>
      </c>
      <c r="O159" s="73"/>
      <c r="P159" s="74"/>
      <c r="Q159" s="74"/>
      <c r="S159" s="48">
        <v>1</v>
      </c>
      <c r="T159" s="48">
        <v>2</v>
      </c>
      <c r="U159" s="49">
        <v>0</v>
      </c>
      <c r="V159" s="49">
        <v>1.8940000000000001E-3</v>
      </c>
      <c r="W159" s="49">
        <v>8.9700000000000001E-4</v>
      </c>
      <c r="X159" s="49">
        <v>0.44176799999999999</v>
      </c>
      <c r="Y159" s="49">
        <v>0</v>
      </c>
      <c r="Z159" s="49">
        <v>0</v>
      </c>
      <c r="AA159" s="69">
        <v>52</v>
      </c>
      <c r="AB159" s="69"/>
      <c r="AC159" s="70"/>
      <c r="AD159" s="76">
        <v>671</v>
      </c>
      <c r="AE159" s="76">
        <v>748</v>
      </c>
      <c r="AF159" s="76">
        <v>19948</v>
      </c>
      <c r="AG159" s="76">
        <v>10866</v>
      </c>
      <c r="AH159" s="76" t="s">
        <v>1306</v>
      </c>
      <c r="AI159" s="76" t="s">
        <v>1468</v>
      </c>
      <c r="AJ159" s="76"/>
      <c r="AK159" s="76" t="s">
        <v>1630</v>
      </c>
      <c r="AL159" s="76">
        <v>-14400</v>
      </c>
      <c r="AM159" s="78">
        <v>39216.143564814818</v>
      </c>
      <c r="AN159" s="76" t="s">
        <v>1823</v>
      </c>
      <c r="AO159" s="80" t="s">
        <v>1873</v>
      </c>
      <c r="AP159" s="2"/>
      <c r="AQ159" s="3"/>
      <c r="AR159" s="3"/>
      <c r="AS159" s="3"/>
      <c r="AT159" s="3"/>
    </row>
    <row r="160" spans="1:46" ht="41.45" customHeight="1" x14ac:dyDescent="0.25">
      <c r="A160" s="62" t="s">
        <v>225</v>
      </c>
      <c r="B160" s="63"/>
      <c r="C160" s="63" t="s">
        <v>63</v>
      </c>
      <c r="D160" s="64">
        <v>1.5236168156559555</v>
      </c>
      <c r="E160" s="66">
        <v>99.988989244566426</v>
      </c>
      <c r="F160" s="97" t="s">
        <v>1682</v>
      </c>
      <c r="G160" s="63"/>
      <c r="H160" s="67" t="s">
        <v>225</v>
      </c>
      <c r="I160" s="68"/>
      <c r="J160" s="68"/>
      <c r="K160" s="67" t="s">
        <v>2065</v>
      </c>
      <c r="L160" s="71">
        <v>4.6695177608272429</v>
      </c>
      <c r="M160" s="72">
        <v>3090.63134765625</v>
      </c>
      <c r="N160" s="72">
        <v>4636.23486328125</v>
      </c>
      <c r="O160" s="73"/>
      <c r="P160" s="74"/>
      <c r="Q160" s="74"/>
      <c r="S160" s="48">
        <v>1</v>
      </c>
      <c r="T160" s="48">
        <v>2</v>
      </c>
      <c r="U160" s="49">
        <v>0</v>
      </c>
      <c r="V160" s="49">
        <v>1.776E-3</v>
      </c>
      <c r="W160" s="49">
        <v>9.6500000000000004E-4</v>
      </c>
      <c r="X160" s="49">
        <v>0.46130599999999999</v>
      </c>
      <c r="Y160" s="49">
        <v>0</v>
      </c>
      <c r="Z160" s="49">
        <v>0</v>
      </c>
      <c r="AA160" s="69">
        <v>53</v>
      </c>
      <c r="AB160" s="69"/>
      <c r="AC160" s="70"/>
      <c r="AD160" s="76">
        <v>66</v>
      </c>
      <c r="AE160" s="76">
        <v>23</v>
      </c>
      <c r="AF160" s="76">
        <v>1186</v>
      </c>
      <c r="AG160" s="76">
        <v>7</v>
      </c>
      <c r="AH160" s="76" t="s">
        <v>1307</v>
      </c>
      <c r="AI160" s="76" t="s">
        <v>1469</v>
      </c>
      <c r="AJ160" s="76"/>
      <c r="AK160" s="76" t="s">
        <v>1631</v>
      </c>
      <c r="AL160" s="76">
        <v>-25200</v>
      </c>
      <c r="AM160" s="78">
        <v>39897.483946759261</v>
      </c>
      <c r="AN160" s="76" t="s">
        <v>1823</v>
      </c>
      <c r="AO160" s="80" t="s">
        <v>1874</v>
      </c>
      <c r="AP160" s="2"/>
      <c r="AQ160" s="3"/>
      <c r="AR160" s="3"/>
      <c r="AS160" s="3"/>
      <c r="AT160" s="3"/>
    </row>
    <row r="161" spans="1:46" ht="41.45" customHeight="1" x14ac:dyDescent="0.25">
      <c r="A161" s="62" t="s">
        <v>226</v>
      </c>
      <c r="B161" s="63"/>
      <c r="C161" s="63" t="s">
        <v>63</v>
      </c>
      <c r="D161" s="64">
        <v>1.6550495288717082</v>
      </c>
      <c r="E161" s="66">
        <v>99.927711996936139</v>
      </c>
      <c r="F161" s="97" t="s">
        <v>1683</v>
      </c>
      <c r="G161" s="63"/>
      <c r="H161" s="67" t="s">
        <v>226</v>
      </c>
      <c r="I161" s="68"/>
      <c r="J161" s="68"/>
      <c r="K161" s="67" t="s">
        <v>2066</v>
      </c>
      <c r="L161" s="71">
        <v>25.091181821083204</v>
      </c>
      <c r="M161" s="72">
        <v>8724.2275390625</v>
      </c>
      <c r="N161" s="72">
        <v>257.26416015625</v>
      </c>
      <c r="O161" s="73"/>
      <c r="P161" s="74"/>
      <c r="Q161" s="74"/>
      <c r="S161" s="48">
        <v>0</v>
      </c>
      <c r="T161" s="48">
        <v>2</v>
      </c>
      <c r="U161" s="49">
        <v>0</v>
      </c>
      <c r="V161" s="49">
        <v>1.745E-3</v>
      </c>
      <c r="W161" s="49">
        <v>8.5099999999999998E-4</v>
      </c>
      <c r="X161" s="49">
        <v>0.36064099999999999</v>
      </c>
      <c r="Y161" s="49">
        <v>1</v>
      </c>
      <c r="Z161" s="49">
        <v>0</v>
      </c>
      <c r="AA161" s="69">
        <v>54</v>
      </c>
      <c r="AB161" s="69"/>
      <c r="AC161" s="70"/>
      <c r="AD161" s="76">
        <v>270</v>
      </c>
      <c r="AE161" s="76">
        <v>151</v>
      </c>
      <c r="AF161" s="76">
        <v>1515</v>
      </c>
      <c r="AG161" s="76">
        <v>1</v>
      </c>
      <c r="AH161" s="76" t="s">
        <v>1308</v>
      </c>
      <c r="AI161" s="76" t="s">
        <v>1470</v>
      </c>
      <c r="AJ161" s="76"/>
      <c r="AK161" s="76"/>
      <c r="AL161" s="76"/>
      <c r="AM161" s="78">
        <v>40939.93986111111</v>
      </c>
      <c r="AN161" s="76" t="s">
        <v>1823</v>
      </c>
      <c r="AO161" s="80" t="s">
        <v>1875</v>
      </c>
      <c r="AP161" s="2"/>
      <c r="AQ161" s="3"/>
      <c r="AR161" s="3"/>
      <c r="AS161" s="3"/>
      <c r="AT161" s="3"/>
    </row>
    <row r="162" spans="1:46" ht="41.45" customHeight="1" x14ac:dyDescent="0.25">
      <c r="A162" s="62" t="s">
        <v>227</v>
      </c>
      <c r="B162" s="63"/>
      <c r="C162" s="63" t="s">
        <v>63</v>
      </c>
      <c r="D162" s="64">
        <v>1.8450108721913505</v>
      </c>
      <c r="E162" s="66">
        <v>99.839147224970475</v>
      </c>
      <c r="F162" s="97" t="s">
        <v>1686</v>
      </c>
      <c r="G162" s="63"/>
      <c r="H162" s="67" t="s">
        <v>227</v>
      </c>
      <c r="I162" s="68"/>
      <c r="J162" s="68"/>
      <c r="K162" s="67" t="s">
        <v>2069</v>
      </c>
      <c r="L162" s="71">
        <v>54.606868158171892</v>
      </c>
      <c r="M162" s="72">
        <v>7170.59765625</v>
      </c>
      <c r="N162" s="72">
        <v>6469.927734375</v>
      </c>
      <c r="O162" s="73"/>
      <c r="P162" s="74"/>
      <c r="Q162" s="74"/>
      <c r="S162" s="48">
        <v>2</v>
      </c>
      <c r="T162" s="48">
        <v>2</v>
      </c>
      <c r="U162" s="49">
        <v>0</v>
      </c>
      <c r="V162" s="49">
        <v>1.5479999999999999E-3</v>
      </c>
      <c r="W162" s="49">
        <v>3.6200000000000002E-4</v>
      </c>
      <c r="X162" s="49">
        <v>0.47768699999999997</v>
      </c>
      <c r="Y162" s="49">
        <v>0</v>
      </c>
      <c r="Z162" s="49">
        <v>1</v>
      </c>
      <c r="AA162" s="69">
        <v>57</v>
      </c>
      <c r="AB162" s="69"/>
      <c r="AC162" s="70"/>
      <c r="AD162" s="76">
        <v>337</v>
      </c>
      <c r="AE162" s="76">
        <v>336</v>
      </c>
      <c r="AF162" s="76">
        <v>11224</v>
      </c>
      <c r="AG162" s="76">
        <v>11</v>
      </c>
      <c r="AH162" s="76" t="s">
        <v>1311</v>
      </c>
      <c r="AI162" s="76" t="s">
        <v>1472</v>
      </c>
      <c r="AJ162" s="80" t="s">
        <v>1588</v>
      </c>
      <c r="AK162" s="76" t="s">
        <v>1624</v>
      </c>
      <c r="AL162" s="76">
        <v>-21600</v>
      </c>
      <c r="AM162" s="78">
        <v>40387.074525462966</v>
      </c>
      <c r="AN162" s="76" t="s">
        <v>1823</v>
      </c>
      <c r="AO162" s="80" t="s">
        <v>1878</v>
      </c>
      <c r="AP162" s="2"/>
      <c r="AQ162" s="3"/>
      <c r="AR162" s="3"/>
      <c r="AS162" s="3"/>
      <c r="AT162" s="3"/>
    </row>
    <row r="163" spans="1:46" ht="41.45" customHeight="1" x14ac:dyDescent="0.25">
      <c r="A163" s="62" t="s">
        <v>229</v>
      </c>
      <c r="B163" s="63"/>
      <c r="C163" s="63" t="s">
        <v>63</v>
      </c>
      <c r="D163" s="64">
        <v>1.5287509060159459</v>
      </c>
      <c r="E163" s="66">
        <v>99.986595602080868</v>
      </c>
      <c r="F163" s="97" t="s">
        <v>1687</v>
      </c>
      <c r="G163" s="63"/>
      <c r="H163" s="67" t="s">
        <v>229</v>
      </c>
      <c r="I163" s="68"/>
      <c r="J163" s="68"/>
      <c r="K163" s="67" t="s">
        <v>2070</v>
      </c>
      <c r="L163" s="71">
        <v>5.4672390131809916</v>
      </c>
      <c r="M163" s="72">
        <v>2883.92529296875</v>
      </c>
      <c r="N163" s="72">
        <v>9704.724609375</v>
      </c>
      <c r="O163" s="73"/>
      <c r="P163" s="74"/>
      <c r="Q163" s="74"/>
      <c r="S163" s="48">
        <v>1</v>
      </c>
      <c r="T163" s="48">
        <v>2</v>
      </c>
      <c r="U163" s="49">
        <v>0</v>
      </c>
      <c r="V163" s="49">
        <v>1.789E-3</v>
      </c>
      <c r="W163" s="49">
        <v>1.6869999999999999E-3</v>
      </c>
      <c r="X163" s="49">
        <v>0.41956199999999999</v>
      </c>
      <c r="Y163" s="49">
        <v>0</v>
      </c>
      <c r="Z163" s="49">
        <v>0</v>
      </c>
      <c r="AA163" s="69">
        <v>58</v>
      </c>
      <c r="AB163" s="69"/>
      <c r="AC163" s="70"/>
      <c r="AD163" s="76">
        <v>37</v>
      </c>
      <c r="AE163" s="76">
        <v>28</v>
      </c>
      <c r="AF163" s="76">
        <v>212</v>
      </c>
      <c r="AG163" s="76">
        <v>0</v>
      </c>
      <c r="AH163" s="76" t="s">
        <v>1312</v>
      </c>
      <c r="AI163" s="76"/>
      <c r="AJ163" s="76"/>
      <c r="AK163" s="76"/>
      <c r="AL163" s="76"/>
      <c r="AM163" s="78">
        <v>41043.688773148147</v>
      </c>
      <c r="AN163" s="76" t="s">
        <v>1823</v>
      </c>
      <c r="AO163" s="80" t="s">
        <v>1879</v>
      </c>
      <c r="AP163" s="2"/>
      <c r="AQ163" s="3"/>
      <c r="AR163" s="3"/>
      <c r="AS163" s="3"/>
      <c r="AT163" s="3"/>
    </row>
    <row r="164" spans="1:46" ht="41.45" customHeight="1" x14ac:dyDescent="0.25">
      <c r="A164" s="62" t="s">
        <v>230</v>
      </c>
      <c r="B164" s="63"/>
      <c r="C164" s="63" t="s">
        <v>63</v>
      </c>
      <c r="D164" s="64">
        <v>1.9630949504711284</v>
      </c>
      <c r="E164" s="66">
        <v>99.784093447802633</v>
      </c>
      <c r="F164" s="97" t="s">
        <v>1688</v>
      </c>
      <c r="G164" s="63"/>
      <c r="H164" s="67" t="s">
        <v>230</v>
      </c>
      <c r="I164" s="68"/>
      <c r="J164" s="68"/>
      <c r="K164" s="67" t="s">
        <v>2071</v>
      </c>
      <c r="L164" s="71">
        <v>72.954456962308114</v>
      </c>
      <c r="M164" s="72">
        <v>1366.1922607421875</v>
      </c>
      <c r="N164" s="72">
        <v>9609.0166015625</v>
      </c>
      <c r="O164" s="73"/>
      <c r="P164" s="74"/>
      <c r="Q164" s="74"/>
      <c r="S164" s="48">
        <v>1</v>
      </c>
      <c r="T164" s="48">
        <v>2</v>
      </c>
      <c r="U164" s="49">
        <v>0</v>
      </c>
      <c r="V164" s="49">
        <v>1.748E-3</v>
      </c>
      <c r="W164" s="49">
        <v>1.256E-3</v>
      </c>
      <c r="X164" s="49">
        <v>0.40823799999999999</v>
      </c>
      <c r="Y164" s="49">
        <v>0</v>
      </c>
      <c r="Z164" s="49">
        <v>0</v>
      </c>
      <c r="AA164" s="69">
        <v>59</v>
      </c>
      <c r="AB164" s="69"/>
      <c r="AC164" s="70"/>
      <c r="AD164" s="76">
        <v>193</v>
      </c>
      <c r="AE164" s="76">
        <v>451</v>
      </c>
      <c r="AF164" s="76">
        <v>99922</v>
      </c>
      <c r="AG164" s="76">
        <v>421</v>
      </c>
      <c r="AH164" s="76" t="s">
        <v>1313</v>
      </c>
      <c r="AI164" s="76" t="s">
        <v>1473</v>
      </c>
      <c r="AJ164" s="76"/>
      <c r="AK164" s="76" t="s">
        <v>1625</v>
      </c>
      <c r="AL164" s="76">
        <v>-18000</v>
      </c>
      <c r="AM164" s="78">
        <v>39923.614756944444</v>
      </c>
      <c r="AN164" s="76" t="s">
        <v>1823</v>
      </c>
      <c r="AO164" s="80" t="s">
        <v>1880</v>
      </c>
      <c r="AP164" s="2"/>
      <c r="AQ164" s="3"/>
      <c r="AR164" s="3"/>
      <c r="AS164" s="3"/>
      <c r="AT164" s="3"/>
    </row>
    <row r="165" spans="1:46" ht="41.45" customHeight="1" x14ac:dyDescent="0.25">
      <c r="A165" s="62" t="s">
        <v>231</v>
      </c>
      <c r="B165" s="63"/>
      <c r="C165" s="63" t="s">
        <v>63</v>
      </c>
      <c r="D165" s="64">
        <v>1.7402754288475477</v>
      </c>
      <c r="E165" s="66">
        <v>99.887977531675872</v>
      </c>
      <c r="F165" s="97" t="s">
        <v>1689</v>
      </c>
      <c r="G165" s="63"/>
      <c r="H165" s="67" t="s">
        <v>231</v>
      </c>
      <c r="I165" s="68"/>
      <c r="J165" s="68"/>
      <c r="K165" s="67" t="s">
        <v>2072</v>
      </c>
      <c r="L165" s="71">
        <v>38.333354610155425</v>
      </c>
      <c r="M165" s="72">
        <v>2684.20654296875</v>
      </c>
      <c r="N165" s="72">
        <v>4676.15966796875</v>
      </c>
      <c r="O165" s="73"/>
      <c r="P165" s="74"/>
      <c r="Q165" s="74"/>
      <c r="S165" s="48">
        <v>1</v>
      </c>
      <c r="T165" s="48">
        <v>2</v>
      </c>
      <c r="U165" s="49">
        <v>0</v>
      </c>
      <c r="V165" s="49">
        <v>1.776E-3</v>
      </c>
      <c r="W165" s="49">
        <v>9.6500000000000004E-4</v>
      </c>
      <c r="X165" s="49">
        <v>0.46130599999999999</v>
      </c>
      <c r="Y165" s="49">
        <v>0</v>
      </c>
      <c r="Z165" s="49">
        <v>0</v>
      </c>
      <c r="AA165" s="69">
        <v>60</v>
      </c>
      <c r="AB165" s="69"/>
      <c r="AC165" s="70"/>
      <c r="AD165" s="76">
        <v>190</v>
      </c>
      <c r="AE165" s="76">
        <v>234</v>
      </c>
      <c r="AF165" s="76">
        <v>8175</v>
      </c>
      <c r="AG165" s="76">
        <v>10</v>
      </c>
      <c r="AH165" s="76" t="s">
        <v>1314</v>
      </c>
      <c r="AI165" s="76" t="s">
        <v>1474</v>
      </c>
      <c r="AJ165" s="76"/>
      <c r="AK165" s="76" t="s">
        <v>1624</v>
      </c>
      <c r="AL165" s="76">
        <v>-21600</v>
      </c>
      <c r="AM165" s="78">
        <v>40129.879548611112</v>
      </c>
      <c r="AN165" s="76" t="s">
        <v>1823</v>
      </c>
      <c r="AO165" s="80" t="s">
        <v>1881</v>
      </c>
      <c r="AP165" s="2"/>
      <c r="AQ165" s="3"/>
      <c r="AR165" s="3"/>
      <c r="AS165" s="3"/>
      <c r="AT165" s="3"/>
    </row>
    <row r="166" spans="1:46" ht="41.45" customHeight="1" x14ac:dyDescent="0.25">
      <c r="A166" s="62" t="s">
        <v>234</v>
      </c>
      <c r="B166" s="63"/>
      <c r="C166" s="63" t="s">
        <v>63</v>
      </c>
      <c r="D166" s="64">
        <v>1.5431263590239188</v>
      </c>
      <c r="E166" s="66">
        <v>99.979893403121309</v>
      </c>
      <c r="F166" s="97" t="s">
        <v>1693</v>
      </c>
      <c r="G166" s="63"/>
      <c r="H166" s="67" t="s">
        <v>234</v>
      </c>
      <c r="I166" s="68"/>
      <c r="J166" s="68"/>
      <c r="K166" s="67" t="s">
        <v>2076</v>
      </c>
      <c r="L166" s="71">
        <v>7.7008585197714865</v>
      </c>
      <c r="M166" s="72">
        <v>491.51104736328125</v>
      </c>
      <c r="N166" s="72">
        <v>5292.58740234375</v>
      </c>
      <c r="O166" s="73"/>
      <c r="P166" s="74"/>
      <c r="Q166" s="74"/>
      <c r="S166" s="48">
        <v>1</v>
      </c>
      <c r="T166" s="48">
        <v>2</v>
      </c>
      <c r="U166" s="49">
        <v>0</v>
      </c>
      <c r="V166" s="49">
        <v>1.5410000000000001E-3</v>
      </c>
      <c r="W166" s="49">
        <v>4.2999999999999999E-4</v>
      </c>
      <c r="X166" s="49">
        <v>0.44352200000000003</v>
      </c>
      <c r="Y166" s="49">
        <v>0</v>
      </c>
      <c r="Z166" s="49">
        <v>0</v>
      </c>
      <c r="AA166" s="69">
        <v>64</v>
      </c>
      <c r="AB166" s="69"/>
      <c r="AC166" s="70"/>
      <c r="AD166" s="76">
        <v>50</v>
      </c>
      <c r="AE166" s="76">
        <v>42</v>
      </c>
      <c r="AF166" s="76">
        <v>1193</v>
      </c>
      <c r="AG166" s="76">
        <v>4</v>
      </c>
      <c r="AH166" s="76" t="s">
        <v>1317</v>
      </c>
      <c r="AI166" s="76"/>
      <c r="AJ166" s="80" t="s">
        <v>1590</v>
      </c>
      <c r="AK166" s="76" t="s">
        <v>1624</v>
      </c>
      <c r="AL166" s="76">
        <v>-21600</v>
      </c>
      <c r="AM166" s="78">
        <v>40988.945844907408</v>
      </c>
      <c r="AN166" s="76" t="s">
        <v>1823</v>
      </c>
      <c r="AO166" s="80" t="s">
        <v>1885</v>
      </c>
      <c r="AP166" s="2"/>
      <c r="AQ166" s="3"/>
      <c r="AR166" s="3"/>
      <c r="AS166" s="3"/>
      <c r="AT166" s="3"/>
    </row>
    <row r="167" spans="1:46" ht="41.45" customHeight="1" x14ac:dyDescent="0.25">
      <c r="A167" s="62" t="s">
        <v>237</v>
      </c>
      <c r="B167" s="63"/>
      <c r="C167" s="63" t="s">
        <v>63</v>
      </c>
      <c r="D167" s="64">
        <v>1.5071877265039866</v>
      </c>
      <c r="E167" s="66">
        <v>99.996648900520213</v>
      </c>
      <c r="F167" s="97" t="s">
        <v>1696</v>
      </c>
      <c r="G167" s="63"/>
      <c r="H167" s="67" t="s">
        <v>237</v>
      </c>
      <c r="I167" s="68"/>
      <c r="J167" s="68"/>
      <c r="K167" s="67" t="s">
        <v>2079</v>
      </c>
      <c r="L167" s="71">
        <v>2.1168097532952479</v>
      </c>
      <c r="M167" s="72">
        <v>4785.27001953125</v>
      </c>
      <c r="N167" s="72">
        <v>4784.57861328125</v>
      </c>
      <c r="O167" s="73"/>
      <c r="P167" s="74"/>
      <c r="Q167" s="74"/>
      <c r="S167" s="48">
        <v>1</v>
      </c>
      <c r="T167" s="48">
        <v>2</v>
      </c>
      <c r="U167" s="49">
        <v>0</v>
      </c>
      <c r="V167" s="49">
        <v>1.776E-3</v>
      </c>
      <c r="W167" s="49">
        <v>9.6500000000000004E-4</v>
      </c>
      <c r="X167" s="49">
        <v>0.46130599999999999</v>
      </c>
      <c r="Y167" s="49">
        <v>0</v>
      </c>
      <c r="Z167" s="49">
        <v>0</v>
      </c>
      <c r="AA167" s="69">
        <v>67</v>
      </c>
      <c r="AB167" s="69"/>
      <c r="AC167" s="70"/>
      <c r="AD167" s="76">
        <v>65</v>
      </c>
      <c r="AE167" s="76">
        <v>7</v>
      </c>
      <c r="AF167" s="76">
        <v>289</v>
      </c>
      <c r="AG167" s="76">
        <v>1</v>
      </c>
      <c r="AH167" s="76"/>
      <c r="AI167" s="76"/>
      <c r="AJ167" s="76"/>
      <c r="AK167" s="76"/>
      <c r="AL167" s="76"/>
      <c r="AM167" s="78">
        <v>40948.190578703703</v>
      </c>
      <c r="AN167" s="76" t="s">
        <v>1823</v>
      </c>
      <c r="AO167" s="80" t="s">
        <v>1888</v>
      </c>
      <c r="AP167" s="2"/>
      <c r="AQ167" s="3"/>
      <c r="AR167" s="3"/>
      <c r="AS167" s="3"/>
      <c r="AT167" s="3"/>
    </row>
    <row r="168" spans="1:46" ht="41.45" customHeight="1" x14ac:dyDescent="0.25">
      <c r="A168" s="62" t="s">
        <v>244</v>
      </c>
      <c r="B168" s="63"/>
      <c r="C168" s="63" t="s">
        <v>63</v>
      </c>
      <c r="D168" s="64">
        <v>1.6673713457356849</v>
      </c>
      <c r="E168" s="66">
        <v>99.921967254970795</v>
      </c>
      <c r="F168" s="97" t="s">
        <v>1704</v>
      </c>
      <c r="G168" s="63"/>
      <c r="H168" s="67" t="s">
        <v>244</v>
      </c>
      <c r="I168" s="68"/>
      <c r="J168" s="68"/>
      <c r="K168" s="67" t="s">
        <v>2087</v>
      </c>
      <c r="L168" s="71">
        <v>27.0057128267322</v>
      </c>
      <c r="M168" s="72">
        <v>239.01991271972656</v>
      </c>
      <c r="N168" s="72">
        <v>3172.574462890625</v>
      </c>
      <c r="O168" s="73"/>
      <c r="P168" s="74"/>
      <c r="Q168" s="74"/>
      <c r="S168" s="48">
        <v>1</v>
      </c>
      <c r="T168" s="48">
        <v>2</v>
      </c>
      <c r="U168" s="49">
        <v>0</v>
      </c>
      <c r="V168" s="49">
        <v>1.508E-3</v>
      </c>
      <c r="W168" s="49">
        <v>2.2699999999999999E-4</v>
      </c>
      <c r="X168" s="49">
        <v>0.43070199999999997</v>
      </c>
      <c r="Y168" s="49">
        <v>0</v>
      </c>
      <c r="Z168" s="49">
        <v>0</v>
      </c>
      <c r="AA168" s="69">
        <v>75</v>
      </c>
      <c r="AB168" s="69"/>
      <c r="AC168" s="70"/>
      <c r="AD168" s="76">
        <v>693</v>
      </c>
      <c r="AE168" s="76">
        <v>163</v>
      </c>
      <c r="AF168" s="76">
        <v>691</v>
      </c>
      <c r="AG168" s="76">
        <v>14</v>
      </c>
      <c r="AH168" s="76" t="s">
        <v>1326</v>
      </c>
      <c r="AI168" s="76" t="s">
        <v>1484</v>
      </c>
      <c r="AJ168" s="76"/>
      <c r="AK168" s="76" t="s">
        <v>1632</v>
      </c>
      <c r="AL168" s="76">
        <v>-36000</v>
      </c>
      <c r="AM168" s="78">
        <v>40015.735162037039</v>
      </c>
      <c r="AN168" s="76" t="s">
        <v>1823</v>
      </c>
      <c r="AO168" s="80" t="s">
        <v>1896</v>
      </c>
      <c r="AP168" s="2"/>
      <c r="AQ168" s="3"/>
      <c r="AR168" s="3"/>
      <c r="AS168" s="3"/>
      <c r="AT168" s="3"/>
    </row>
    <row r="169" spans="1:46" ht="41.45" customHeight="1" x14ac:dyDescent="0.25">
      <c r="A169" s="62" t="s">
        <v>245</v>
      </c>
      <c r="B169" s="63"/>
      <c r="C169" s="63" t="s">
        <v>63</v>
      </c>
      <c r="D169" s="64">
        <v>1.5893331722638318</v>
      </c>
      <c r="E169" s="66">
        <v>99.95835062075129</v>
      </c>
      <c r="F169" s="97" t="s">
        <v>1706</v>
      </c>
      <c r="G169" s="63"/>
      <c r="H169" s="67" t="s">
        <v>245</v>
      </c>
      <c r="I169" s="68"/>
      <c r="J169" s="68"/>
      <c r="K169" s="67" t="s">
        <v>2089</v>
      </c>
      <c r="L169" s="71">
        <v>14.880349790955224</v>
      </c>
      <c r="M169" s="72">
        <v>4871.8828125</v>
      </c>
      <c r="N169" s="72">
        <v>3680.27392578125</v>
      </c>
      <c r="O169" s="73"/>
      <c r="P169" s="74"/>
      <c r="Q169" s="74"/>
      <c r="S169" s="48">
        <v>1</v>
      </c>
      <c r="T169" s="48">
        <v>2</v>
      </c>
      <c r="U169" s="49">
        <v>0</v>
      </c>
      <c r="V169" s="49">
        <v>1.946E-3</v>
      </c>
      <c r="W169" s="49">
        <v>1.3860000000000001E-3</v>
      </c>
      <c r="X169" s="49">
        <v>0.34148699999999999</v>
      </c>
      <c r="Y169" s="49">
        <v>0.5</v>
      </c>
      <c r="Z169" s="49">
        <v>0.5</v>
      </c>
      <c r="AA169" s="69">
        <v>77</v>
      </c>
      <c r="AB169" s="69"/>
      <c r="AC169" s="70"/>
      <c r="AD169" s="76">
        <v>262</v>
      </c>
      <c r="AE169" s="76">
        <v>87</v>
      </c>
      <c r="AF169" s="76">
        <v>3067</v>
      </c>
      <c r="AG169" s="76">
        <v>8</v>
      </c>
      <c r="AH169" s="76" t="s">
        <v>1328</v>
      </c>
      <c r="AI169" s="76" t="s">
        <v>1440</v>
      </c>
      <c r="AJ169" s="80" t="s">
        <v>1597</v>
      </c>
      <c r="AK169" s="76" t="s">
        <v>1624</v>
      </c>
      <c r="AL169" s="76">
        <v>-21600</v>
      </c>
      <c r="AM169" s="78">
        <v>39829.927673611113</v>
      </c>
      <c r="AN169" s="76" t="s">
        <v>1823</v>
      </c>
      <c r="AO169" s="80" t="s">
        <v>1898</v>
      </c>
      <c r="AP169" s="2"/>
      <c r="AQ169" s="3"/>
      <c r="AR169" s="3"/>
      <c r="AS169" s="3"/>
      <c r="AT169" s="3"/>
    </row>
    <row r="170" spans="1:46" ht="41.45" customHeight="1" x14ac:dyDescent="0.25">
      <c r="A170" s="62" t="s">
        <v>248</v>
      </c>
      <c r="B170" s="63"/>
      <c r="C170" s="63" t="s">
        <v>63</v>
      </c>
      <c r="D170" s="64">
        <v>2.1838608359507128</v>
      </c>
      <c r="E170" s="66">
        <v>99.681166820923622</v>
      </c>
      <c r="F170" s="97" t="s">
        <v>1708</v>
      </c>
      <c r="G170" s="63"/>
      <c r="H170" s="67" t="s">
        <v>248</v>
      </c>
      <c r="I170" s="68"/>
      <c r="J170" s="68"/>
      <c r="K170" s="67" t="s">
        <v>2091</v>
      </c>
      <c r="L170" s="71">
        <v>107.25647081351929</v>
      </c>
      <c r="M170" s="72">
        <v>4052.951171875</v>
      </c>
      <c r="N170" s="72">
        <v>4295.37890625</v>
      </c>
      <c r="O170" s="73"/>
      <c r="P170" s="74"/>
      <c r="Q170" s="74"/>
      <c r="S170" s="48">
        <v>1</v>
      </c>
      <c r="T170" s="48">
        <v>2</v>
      </c>
      <c r="U170" s="49">
        <v>0</v>
      </c>
      <c r="V170" s="49">
        <v>1.8940000000000001E-3</v>
      </c>
      <c r="W170" s="49">
        <v>8.9700000000000001E-4</v>
      </c>
      <c r="X170" s="49">
        <v>0.44176799999999999</v>
      </c>
      <c r="Y170" s="49">
        <v>0</v>
      </c>
      <c r="Z170" s="49">
        <v>0</v>
      </c>
      <c r="AA170" s="69">
        <v>79</v>
      </c>
      <c r="AB170" s="69"/>
      <c r="AC170" s="70"/>
      <c r="AD170" s="76">
        <v>633</v>
      </c>
      <c r="AE170" s="76">
        <v>666</v>
      </c>
      <c r="AF170" s="76">
        <v>29569</v>
      </c>
      <c r="AG170" s="76">
        <v>120</v>
      </c>
      <c r="AH170" s="76" t="s">
        <v>1330</v>
      </c>
      <c r="AI170" s="76" t="s">
        <v>1485</v>
      </c>
      <c r="AJ170" s="80" t="s">
        <v>1598</v>
      </c>
      <c r="AK170" s="76" t="s">
        <v>1624</v>
      </c>
      <c r="AL170" s="76">
        <v>-21600</v>
      </c>
      <c r="AM170" s="78">
        <v>39967.250567129631</v>
      </c>
      <c r="AN170" s="76" t="s">
        <v>1823</v>
      </c>
      <c r="AO170" s="80" t="s">
        <v>1900</v>
      </c>
      <c r="AP170" s="2"/>
      <c r="AQ170" s="3"/>
      <c r="AR170" s="3"/>
      <c r="AS170" s="3"/>
      <c r="AT170" s="3"/>
    </row>
    <row r="171" spans="1:46" ht="41.45" customHeight="1" x14ac:dyDescent="0.25">
      <c r="A171" s="62" t="s">
        <v>251</v>
      </c>
      <c r="B171" s="63"/>
      <c r="C171" s="63" t="s">
        <v>63</v>
      </c>
      <c r="D171" s="64">
        <v>1.6930417975356367</v>
      </c>
      <c r="E171" s="66">
        <v>99.909999042543006</v>
      </c>
      <c r="F171" s="97" t="s">
        <v>1712</v>
      </c>
      <c r="G171" s="63"/>
      <c r="H171" s="67" t="s">
        <v>251</v>
      </c>
      <c r="I171" s="68"/>
      <c r="J171" s="68"/>
      <c r="K171" s="67" t="s">
        <v>2095</v>
      </c>
      <c r="L171" s="71">
        <v>30.994319088500941</v>
      </c>
      <c r="M171" s="72">
        <v>5444.9873046875</v>
      </c>
      <c r="N171" s="72">
        <v>5031.31201171875</v>
      </c>
      <c r="O171" s="73"/>
      <c r="P171" s="74"/>
      <c r="Q171" s="74"/>
      <c r="S171" s="48">
        <v>1</v>
      </c>
      <c r="T171" s="48">
        <v>2</v>
      </c>
      <c r="U171" s="49">
        <v>0</v>
      </c>
      <c r="V171" s="49">
        <v>1.776E-3</v>
      </c>
      <c r="W171" s="49">
        <v>9.6500000000000004E-4</v>
      </c>
      <c r="X171" s="49">
        <v>0.46130599999999999</v>
      </c>
      <c r="Y171" s="49">
        <v>0</v>
      </c>
      <c r="Z171" s="49">
        <v>0</v>
      </c>
      <c r="AA171" s="69">
        <v>83</v>
      </c>
      <c r="AB171" s="69"/>
      <c r="AC171" s="70"/>
      <c r="AD171" s="76">
        <v>47</v>
      </c>
      <c r="AE171" s="76">
        <v>188</v>
      </c>
      <c r="AF171" s="76">
        <v>23743</v>
      </c>
      <c r="AG171" s="76">
        <v>12</v>
      </c>
      <c r="AH171" s="76" t="s">
        <v>1334</v>
      </c>
      <c r="AI171" s="76" t="s">
        <v>1488</v>
      </c>
      <c r="AJ171" s="80" t="s">
        <v>1600</v>
      </c>
      <c r="AK171" s="76" t="s">
        <v>1624</v>
      </c>
      <c r="AL171" s="76">
        <v>-21600</v>
      </c>
      <c r="AM171" s="78">
        <v>40215.806122685186</v>
      </c>
      <c r="AN171" s="76" t="s">
        <v>1823</v>
      </c>
      <c r="AO171" s="80" t="s">
        <v>1904</v>
      </c>
      <c r="AP171" s="2"/>
      <c r="AQ171" s="3"/>
      <c r="AR171" s="3"/>
      <c r="AS171" s="3"/>
      <c r="AT171" s="3"/>
    </row>
    <row r="172" spans="1:46" ht="41.45" customHeight="1" x14ac:dyDescent="0.25">
      <c r="A172" s="62" t="s">
        <v>252</v>
      </c>
      <c r="B172" s="63"/>
      <c r="C172" s="63" t="s">
        <v>63</v>
      </c>
      <c r="D172" s="64">
        <v>1.6550495288717082</v>
      </c>
      <c r="E172" s="66">
        <v>99.927711996936139</v>
      </c>
      <c r="F172" s="97" t="s">
        <v>1713</v>
      </c>
      <c r="G172" s="63"/>
      <c r="H172" s="67" t="s">
        <v>252</v>
      </c>
      <c r="I172" s="68"/>
      <c r="J172" s="68"/>
      <c r="K172" s="67" t="s">
        <v>2096</v>
      </c>
      <c r="L172" s="71">
        <v>25.091181821083204</v>
      </c>
      <c r="M172" s="72">
        <v>2330.457763671875</v>
      </c>
      <c r="N172" s="72">
        <v>4040.961181640625</v>
      </c>
      <c r="O172" s="73"/>
      <c r="P172" s="74"/>
      <c r="Q172" s="74"/>
      <c r="S172" s="48">
        <v>1</v>
      </c>
      <c r="T172" s="48">
        <v>2</v>
      </c>
      <c r="U172" s="49">
        <v>0</v>
      </c>
      <c r="V172" s="49">
        <v>1.8940000000000001E-3</v>
      </c>
      <c r="W172" s="49">
        <v>8.9700000000000001E-4</v>
      </c>
      <c r="X172" s="49">
        <v>0.44176799999999999</v>
      </c>
      <c r="Y172" s="49">
        <v>0</v>
      </c>
      <c r="Z172" s="49">
        <v>0</v>
      </c>
      <c r="AA172" s="69">
        <v>84</v>
      </c>
      <c r="AB172" s="69"/>
      <c r="AC172" s="70"/>
      <c r="AD172" s="76">
        <v>422</v>
      </c>
      <c r="AE172" s="76">
        <v>151</v>
      </c>
      <c r="AF172" s="76">
        <v>1723</v>
      </c>
      <c r="AG172" s="76">
        <v>313</v>
      </c>
      <c r="AH172" s="76" t="s">
        <v>1335</v>
      </c>
      <c r="AI172" s="76" t="s">
        <v>1489</v>
      </c>
      <c r="AJ172" s="76"/>
      <c r="AK172" s="76" t="s">
        <v>1625</v>
      </c>
      <c r="AL172" s="76">
        <v>-18000</v>
      </c>
      <c r="AM172" s="78">
        <v>39996.123842592591</v>
      </c>
      <c r="AN172" s="76" t="s">
        <v>1823</v>
      </c>
      <c r="AO172" s="80" t="s">
        <v>1905</v>
      </c>
      <c r="AP172" s="2"/>
      <c r="AQ172" s="3"/>
      <c r="AR172" s="3"/>
      <c r="AS172" s="3"/>
      <c r="AT172" s="3"/>
    </row>
    <row r="173" spans="1:46" ht="41.45" customHeight="1" x14ac:dyDescent="0.25">
      <c r="A173" s="62" t="s">
        <v>256</v>
      </c>
      <c r="B173" s="63"/>
      <c r="C173" s="63" t="s">
        <v>63</v>
      </c>
      <c r="D173" s="64">
        <v>1.6499154385117178</v>
      </c>
      <c r="E173" s="66">
        <v>99.930105639421697</v>
      </c>
      <c r="F173" s="97" t="s">
        <v>1716</v>
      </c>
      <c r="G173" s="63"/>
      <c r="H173" s="67" t="s">
        <v>256</v>
      </c>
      <c r="I173" s="68"/>
      <c r="J173" s="68"/>
      <c r="K173" s="67" t="s">
        <v>2099</v>
      </c>
      <c r="L173" s="71">
        <v>24.293460568729454</v>
      </c>
      <c r="M173" s="72">
        <v>2994.429931640625</v>
      </c>
      <c r="N173" s="72">
        <v>4259.45849609375</v>
      </c>
      <c r="O173" s="73"/>
      <c r="P173" s="74"/>
      <c r="Q173" s="74"/>
      <c r="S173" s="48">
        <v>1</v>
      </c>
      <c r="T173" s="48">
        <v>2</v>
      </c>
      <c r="U173" s="49">
        <v>0</v>
      </c>
      <c r="V173" s="49">
        <v>1.8940000000000001E-3</v>
      </c>
      <c r="W173" s="49">
        <v>8.9700000000000001E-4</v>
      </c>
      <c r="X173" s="49">
        <v>0.44176799999999999</v>
      </c>
      <c r="Y173" s="49">
        <v>0</v>
      </c>
      <c r="Z173" s="49">
        <v>0</v>
      </c>
      <c r="AA173" s="69">
        <v>87</v>
      </c>
      <c r="AB173" s="69"/>
      <c r="AC173" s="70"/>
      <c r="AD173" s="76">
        <v>216</v>
      </c>
      <c r="AE173" s="76">
        <v>146</v>
      </c>
      <c r="AF173" s="76">
        <v>4604</v>
      </c>
      <c r="AG173" s="76">
        <v>29</v>
      </c>
      <c r="AH173" s="76" t="s">
        <v>1338</v>
      </c>
      <c r="AI173" s="76" t="s">
        <v>1491</v>
      </c>
      <c r="AJ173" s="76"/>
      <c r="AK173" s="76" t="s">
        <v>1625</v>
      </c>
      <c r="AL173" s="76">
        <v>-18000</v>
      </c>
      <c r="AM173" s="78">
        <v>39923.14261574074</v>
      </c>
      <c r="AN173" s="76" t="s">
        <v>1823</v>
      </c>
      <c r="AO173" s="80" t="s">
        <v>1908</v>
      </c>
      <c r="AP173" s="2"/>
      <c r="AQ173" s="3"/>
      <c r="AR173" s="3"/>
      <c r="AS173" s="3"/>
      <c r="AT173" s="3"/>
    </row>
    <row r="174" spans="1:46" ht="41.45" customHeight="1" x14ac:dyDescent="0.25">
      <c r="A174" s="62" t="s">
        <v>257</v>
      </c>
      <c r="B174" s="63"/>
      <c r="C174" s="63" t="s">
        <v>63</v>
      </c>
      <c r="D174" s="64">
        <v>1.5041072722879922</v>
      </c>
      <c r="E174" s="66">
        <v>99.998085086011557</v>
      </c>
      <c r="F174" s="97" t="s">
        <v>1717</v>
      </c>
      <c r="G174" s="63"/>
      <c r="H174" s="67" t="s">
        <v>257</v>
      </c>
      <c r="I174" s="68"/>
      <c r="J174" s="68"/>
      <c r="K174" s="67" t="s">
        <v>2100</v>
      </c>
      <c r="L174" s="71">
        <v>1.6381770018829989</v>
      </c>
      <c r="M174" s="72">
        <v>4384.658203125</v>
      </c>
      <c r="N174" s="72">
        <v>4266.8369140625</v>
      </c>
      <c r="O174" s="73"/>
      <c r="P174" s="74"/>
      <c r="Q174" s="74"/>
      <c r="S174" s="48">
        <v>1</v>
      </c>
      <c r="T174" s="48">
        <v>2</v>
      </c>
      <c r="U174" s="49">
        <v>0</v>
      </c>
      <c r="V174" s="49">
        <v>1.8940000000000001E-3</v>
      </c>
      <c r="W174" s="49">
        <v>8.9700000000000001E-4</v>
      </c>
      <c r="X174" s="49">
        <v>0.44176799999999999</v>
      </c>
      <c r="Y174" s="49">
        <v>0</v>
      </c>
      <c r="Z174" s="49">
        <v>0</v>
      </c>
      <c r="AA174" s="69">
        <v>88</v>
      </c>
      <c r="AB174" s="69"/>
      <c r="AC174" s="70"/>
      <c r="AD174" s="76">
        <v>96</v>
      </c>
      <c r="AE174" s="76">
        <v>4</v>
      </c>
      <c r="AF174" s="76">
        <v>141</v>
      </c>
      <c r="AG174" s="76">
        <v>9</v>
      </c>
      <c r="AH174" s="76"/>
      <c r="AI174" s="76" t="s">
        <v>1492</v>
      </c>
      <c r="AJ174" s="76"/>
      <c r="AK174" s="76" t="s">
        <v>1633</v>
      </c>
      <c r="AL174" s="76">
        <v>-32400</v>
      </c>
      <c r="AM174" s="78">
        <v>39882.65425925926</v>
      </c>
      <c r="AN174" s="76" t="s">
        <v>1823</v>
      </c>
      <c r="AO174" s="80" t="s">
        <v>1909</v>
      </c>
      <c r="AP174" s="2"/>
      <c r="AQ174" s="3"/>
      <c r="AR174" s="3"/>
      <c r="AS174" s="3"/>
      <c r="AT174" s="3"/>
    </row>
    <row r="175" spans="1:46" ht="41.45" customHeight="1" x14ac:dyDescent="0.25">
      <c r="A175" s="62" t="s">
        <v>258</v>
      </c>
      <c r="B175" s="63"/>
      <c r="C175" s="63" t="s">
        <v>63</v>
      </c>
      <c r="D175" s="64">
        <v>1.5739309011838609</v>
      </c>
      <c r="E175" s="66">
        <v>99.965531548207963</v>
      </c>
      <c r="F175" s="97" t="s">
        <v>1718</v>
      </c>
      <c r="G175" s="63"/>
      <c r="H175" s="67" t="s">
        <v>258</v>
      </c>
      <c r="I175" s="68"/>
      <c r="J175" s="68"/>
      <c r="K175" s="67" t="s">
        <v>2101</v>
      </c>
      <c r="L175" s="71">
        <v>12.487186033893977</v>
      </c>
      <c r="M175" s="72">
        <v>4447.73876953125</v>
      </c>
      <c r="N175" s="72">
        <v>4716.84423828125</v>
      </c>
      <c r="O175" s="73"/>
      <c r="P175" s="74"/>
      <c r="Q175" s="74"/>
      <c r="S175" s="48">
        <v>1</v>
      </c>
      <c r="T175" s="48">
        <v>2</v>
      </c>
      <c r="U175" s="49">
        <v>0</v>
      </c>
      <c r="V175" s="49">
        <v>1.776E-3</v>
      </c>
      <c r="W175" s="49">
        <v>9.6500000000000004E-4</v>
      </c>
      <c r="X175" s="49">
        <v>0.46130599999999999</v>
      </c>
      <c r="Y175" s="49">
        <v>0</v>
      </c>
      <c r="Z175" s="49">
        <v>0</v>
      </c>
      <c r="AA175" s="69">
        <v>89</v>
      </c>
      <c r="AB175" s="69"/>
      <c r="AC175" s="70"/>
      <c r="AD175" s="76">
        <v>179</v>
      </c>
      <c r="AE175" s="76">
        <v>72</v>
      </c>
      <c r="AF175" s="76">
        <v>609</v>
      </c>
      <c r="AG175" s="76">
        <v>2</v>
      </c>
      <c r="AH175" s="76" t="s">
        <v>1339</v>
      </c>
      <c r="AI175" s="76" t="s">
        <v>1493</v>
      </c>
      <c r="AJ175" s="76"/>
      <c r="AK175" s="76" t="s">
        <v>1624</v>
      </c>
      <c r="AL175" s="76">
        <v>-21600</v>
      </c>
      <c r="AM175" s="78">
        <v>40241.104537037034</v>
      </c>
      <c r="AN175" s="76" t="s">
        <v>1823</v>
      </c>
      <c r="AO175" s="80" t="s">
        <v>1910</v>
      </c>
      <c r="AP175" s="2"/>
      <c r="AQ175" s="3"/>
      <c r="AR175" s="3"/>
      <c r="AS175" s="3"/>
      <c r="AT175" s="3"/>
    </row>
    <row r="176" spans="1:46" ht="41.45" customHeight="1" x14ac:dyDescent="0.25">
      <c r="A176" s="62" t="s">
        <v>261</v>
      </c>
      <c r="B176" s="63"/>
      <c r="C176" s="63" t="s">
        <v>63</v>
      </c>
      <c r="D176" s="64">
        <v>1.7628654264315051</v>
      </c>
      <c r="E176" s="66">
        <v>99.877445504739413</v>
      </c>
      <c r="F176" s="97" t="s">
        <v>1721</v>
      </c>
      <c r="G176" s="63"/>
      <c r="H176" s="67" t="s">
        <v>261</v>
      </c>
      <c r="I176" s="68"/>
      <c r="J176" s="68"/>
      <c r="K176" s="67" t="s">
        <v>2104</v>
      </c>
      <c r="L176" s="71">
        <v>41.84332812051192</v>
      </c>
      <c r="M176" s="72">
        <v>4847.66357421875</v>
      </c>
      <c r="N176" s="72">
        <v>4212.994140625</v>
      </c>
      <c r="O176" s="73"/>
      <c r="P176" s="74"/>
      <c r="Q176" s="74"/>
      <c r="S176" s="48">
        <v>2</v>
      </c>
      <c r="T176" s="48">
        <v>3</v>
      </c>
      <c r="U176" s="49">
        <v>0</v>
      </c>
      <c r="V176" s="49">
        <v>1.8979999999999999E-3</v>
      </c>
      <c r="W176" s="49">
        <v>9.9500000000000001E-4</v>
      </c>
      <c r="X176" s="49">
        <v>0.52551000000000003</v>
      </c>
      <c r="Y176" s="49">
        <v>0.5</v>
      </c>
      <c r="Z176" s="49">
        <v>0.5</v>
      </c>
      <c r="AA176" s="69">
        <v>92</v>
      </c>
      <c r="AB176" s="69"/>
      <c r="AC176" s="70"/>
      <c r="AD176" s="76">
        <v>308</v>
      </c>
      <c r="AE176" s="76">
        <v>256</v>
      </c>
      <c r="AF176" s="76">
        <v>2594</v>
      </c>
      <c r="AG176" s="76">
        <v>687</v>
      </c>
      <c r="AH176" s="76" t="s">
        <v>1342</v>
      </c>
      <c r="AI176" s="76" t="s">
        <v>1496</v>
      </c>
      <c r="AJ176" s="76"/>
      <c r="AK176" s="76" t="s">
        <v>1626</v>
      </c>
      <c r="AL176" s="76">
        <v>-28800</v>
      </c>
      <c r="AM176" s="78">
        <v>41019.004942129628</v>
      </c>
      <c r="AN176" s="76" t="s">
        <v>1823</v>
      </c>
      <c r="AO176" s="80" t="s">
        <v>1913</v>
      </c>
      <c r="AP176" s="2"/>
      <c r="AQ176" s="3"/>
      <c r="AR176" s="3"/>
      <c r="AS176" s="3"/>
      <c r="AT176" s="3"/>
    </row>
    <row r="177" spans="1:46" ht="41.45" customHeight="1" x14ac:dyDescent="0.25">
      <c r="A177" s="62" t="s">
        <v>264</v>
      </c>
      <c r="B177" s="63"/>
      <c r="C177" s="63" t="s">
        <v>63</v>
      </c>
      <c r="D177" s="64">
        <v>2.0093017637110413</v>
      </c>
      <c r="E177" s="66">
        <v>99.762550665432613</v>
      </c>
      <c r="F177" s="97" t="s">
        <v>1725</v>
      </c>
      <c r="G177" s="63"/>
      <c r="H177" s="67" t="s">
        <v>264</v>
      </c>
      <c r="I177" s="68"/>
      <c r="J177" s="68"/>
      <c r="K177" s="67" t="s">
        <v>2108</v>
      </c>
      <c r="L177" s="71">
        <v>80.13394823349185</v>
      </c>
      <c r="M177" s="72">
        <v>2278.27978515625</v>
      </c>
      <c r="N177" s="72">
        <v>3623.453857421875</v>
      </c>
      <c r="O177" s="73"/>
      <c r="P177" s="74"/>
      <c r="Q177" s="74"/>
      <c r="S177" s="48">
        <v>2</v>
      </c>
      <c r="T177" s="48">
        <v>3</v>
      </c>
      <c r="U177" s="49">
        <v>0</v>
      </c>
      <c r="V177" s="49">
        <v>1.908E-3</v>
      </c>
      <c r="W177" s="49">
        <v>1.0870000000000001E-3</v>
      </c>
      <c r="X177" s="49">
        <v>0.49371700000000002</v>
      </c>
      <c r="Y177" s="49">
        <v>0.5</v>
      </c>
      <c r="Z177" s="49">
        <v>0.5</v>
      </c>
      <c r="AA177" s="69">
        <v>96</v>
      </c>
      <c r="AB177" s="69"/>
      <c r="AC177" s="70"/>
      <c r="AD177" s="76">
        <v>571</v>
      </c>
      <c r="AE177" s="76">
        <v>496</v>
      </c>
      <c r="AF177" s="76">
        <v>17116</v>
      </c>
      <c r="AG177" s="76">
        <v>11</v>
      </c>
      <c r="AH177" s="76" t="s">
        <v>1346</v>
      </c>
      <c r="AI177" s="76" t="s">
        <v>1500</v>
      </c>
      <c r="AJ177" s="80" t="s">
        <v>1603</v>
      </c>
      <c r="AK177" s="76" t="s">
        <v>1625</v>
      </c>
      <c r="AL177" s="76">
        <v>-18000</v>
      </c>
      <c r="AM177" s="78">
        <v>40018.151354166665</v>
      </c>
      <c r="AN177" s="76" t="s">
        <v>1823</v>
      </c>
      <c r="AO177" s="80" t="s">
        <v>1916</v>
      </c>
      <c r="AP177" s="2"/>
      <c r="AQ177" s="3"/>
      <c r="AR177" s="3"/>
      <c r="AS177" s="3"/>
      <c r="AT177" s="3"/>
    </row>
    <row r="178" spans="1:46" ht="41.45" customHeight="1" x14ac:dyDescent="0.25">
      <c r="A178" s="62" t="s">
        <v>270</v>
      </c>
      <c r="B178" s="63"/>
      <c r="C178" s="63" t="s">
        <v>63</v>
      </c>
      <c r="D178" s="64">
        <v>1.5051340903599904</v>
      </c>
      <c r="E178" s="66">
        <v>99.997606357514442</v>
      </c>
      <c r="F178" s="97" t="s">
        <v>1645</v>
      </c>
      <c r="G178" s="63"/>
      <c r="H178" s="67" t="s">
        <v>270</v>
      </c>
      <c r="I178" s="68"/>
      <c r="J178" s="68"/>
      <c r="K178" s="67" t="s">
        <v>2114</v>
      </c>
      <c r="L178" s="71">
        <v>1.7977212523537485</v>
      </c>
      <c r="M178" s="72">
        <v>3702.6123046875</v>
      </c>
      <c r="N178" s="72">
        <v>4356.33984375</v>
      </c>
      <c r="O178" s="73"/>
      <c r="P178" s="74"/>
      <c r="Q178" s="74"/>
      <c r="S178" s="48">
        <v>1</v>
      </c>
      <c r="T178" s="48">
        <v>2</v>
      </c>
      <c r="U178" s="49">
        <v>0</v>
      </c>
      <c r="V178" s="49">
        <v>1.8940000000000001E-3</v>
      </c>
      <c r="W178" s="49">
        <v>8.9700000000000001E-4</v>
      </c>
      <c r="X178" s="49">
        <v>0.44176799999999999</v>
      </c>
      <c r="Y178" s="49">
        <v>0</v>
      </c>
      <c r="Z178" s="49">
        <v>0</v>
      </c>
      <c r="AA178" s="69">
        <v>102</v>
      </c>
      <c r="AB178" s="69"/>
      <c r="AC178" s="70"/>
      <c r="AD178" s="76">
        <v>7</v>
      </c>
      <c r="AE178" s="76">
        <v>5</v>
      </c>
      <c r="AF178" s="76">
        <v>14</v>
      </c>
      <c r="AG178" s="76">
        <v>0</v>
      </c>
      <c r="AH178" s="76" t="s">
        <v>1351</v>
      </c>
      <c r="AI178" s="76" t="s">
        <v>1505</v>
      </c>
      <c r="AJ178" s="76"/>
      <c r="AK178" s="76" t="s">
        <v>1625</v>
      </c>
      <c r="AL178" s="76">
        <v>-18000</v>
      </c>
      <c r="AM178" s="78">
        <v>40552.999861111108</v>
      </c>
      <c r="AN178" s="76" t="s">
        <v>1823</v>
      </c>
      <c r="AO178" s="80" t="s">
        <v>1922</v>
      </c>
      <c r="AP178" s="2"/>
      <c r="AQ178" s="3"/>
      <c r="AR178" s="3"/>
      <c r="AS178" s="3"/>
      <c r="AT178" s="3"/>
    </row>
    <row r="179" spans="1:46" ht="41.45" customHeight="1" x14ac:dyDescent="0.25">
      <c r="A179" s="62" t="s">
        <v>271</v>
      </c>
      <c r="B179" s="63"/>
      <c r="C179" s="63" t="s">
        <v>63</v>
      </c>
      <c r="D179" s="64">
        <v>1.5266972698719496</v>
      </c>
      <c r="E179" s="66">
        <v>99.987553059075097</v>
      </c>
      <c r="F179" s="97" t="s">
        <v>1731</v>
      </c>
      <c r="G179" s="63"/>
      <c r="H179" s="67" t="s">
        <v>271</v>
      </c>
      <c r="I179" s="68"/>
      <c r="J179" s="68"/>
      <c r="K179" s="67" t="s">
        <v>2115</v>
      </c>
      <c r="L179" s="71">
        <v>5.1481505122394919</v>
      </c>
      <c r="M179" s="72">
        <v>7807.71484375</v>
      </c>
      <c r="N179" s="72">
        <v>3470.200927734375</v>
      </c>
      <c r="O179" s="73"/>
      <c r="P179" s="74"/>
      <c r="Q179" s="74"/>
      <c r="S179" s="48">
        <v>1</v>
      </c>
      <c r="T179" s="48">
        <v>2</v>
      </c>
      <c r="U179" s="49">
        <v>0</v>
      </c>
      <c r="V179" s="49">
        <v>1.506E-3</v>
      </c>
      <c r="W179" s="49">
        <v>1.66E-4</v>
      </c>
      <c r="X179" s="49">
        <v>0.46720299999999998</v>
      </c>
      <c r="Y179" s="49">
        <v>0</v>
      </c>
      <c r="Z179" s="49">
        <v>0</v>
      </c>
      <c r="AA179" s="69">
        <v>103</v>
      </c>
      <c r="AB179" s="69"/>
      <c r="AC179" s="70"/>
      <c r="AD179" s="76">
        <v>50</v>
      </c>
      <c r="AE179" s="76">
        <v>26</v>
      </c>
      <c r="AF179" s="76">
        <v>608</v>
      </c>
      <c r="AG179" s="76">
        <v>3</v>
      </c>
      <c r="AH179" s="76" t="s">
        <v>1352</v>
      </c>
      <c r="AI179" s="76" t="s">
        <v>1506</v>
      </c>
      <c r="AJ179" s="76"/>
      <c r="AK179" s="76" t="s">
        <v>1626</v>
      </c>
      <c r="AL179" s="76">
        <v>-28800</v>
      </c>
      <c r="AM179" s="78">
        <v>40046.995208333334</v>
      </c>
      <c r="AN179" s="76" t="s">
        <v>1823</v>
      </c>
      <c r="AO179" s="80" t="s">
        <v>1923</v>
      </c>
      <c r="AP179" s="2"/>
      <c r="AQ179" s="3"/>
      <c r="AR179" s="3"/>
      <c r="AS179" s="3"/>
      <c r="AT179" s="3"/>
    </row>
    <row r="180" spans="1:46" ht="41.45" customHeight="1" x14ac:dyDescent="0.25">
      <c r="A180" s="62" t="s">
        <v>274</v>
      </c>
      <c r="B180" s="63"/>
      <c r="C180" s="63" t="s">
        <v>63</v>
      </c>
      <c r="D180" s="64">
        <v>1.5687968108238706</v>
      </c>
      <c r="E180" s="66">
        <v>99.967925190693521</v>
      </c>
      <c r="F180" s="97" t="s">
        <v>1733</v>
      </c>
      <c r="G180" s="63"/>
      <c r="H180" s="67" t="s">
        <v>274</v>
      </c>
      <c r="I180" s="68"/>
      <c r="J180" s="68"/>
      <c r="K180" s="67" t="s">
        <v>2117</v>
      </c>
      <c r="L180" s="71">
        <v>11.689464781540229</v>
      </c>
      <c r="M180" s="72">
        <v>3432.29052734375</v>
      </c>
      <c r="N180" s="72">
        <v>4624.81689453125</v>
      </c>
      <c r="O180" s="73"/>
      <c r="P180" s="74"/>
      <c r="Q180" s="74"/>
      <c r="S180" s="48">
        <v>1</v>
      </c>
      <c r="T180" s="48">
        <v>2</v>
      </c>
      <c r="U180" s="49">
        <v>0</v>
      </c>
      <c r="V180" s="49">
        <v>1.776E-3</v>
      </c>
      <c r="W180" s="49">
        <v>9.6500000000000004E-4</v>
      </c>
      <c r="X180" s="49">
        <v>0.46130599999999999</v>
      </c>
      <c r="Y180" s="49">
        <v>0</v>
      </c>
      <c r="Z180" s="49">
        <v>0</v>
      </c>
      <c r="AA180" s="69">
        <v>105</v>
      </c>
      <c r="AB180" s="69"/>
      <c r="AC180" s="70"/>
      <c r="AD180" s="76">
        <v>179</v>
      </c>
      <c r="AE180" s="76">
        <v>67</v>
      </c>
      <c r="AF180" s="76">
        <v>1621</v>
      </c>
      <c r="AG180" s="76">
        <v>8</v>
      </c>
      <c r="AH180" s="76" t="s">
        <v>1354</v>
      </c>
      <c r="AI180" s="76" t="s">
        <v>1508</v>
      </c>
      <c r="AJ180" s="76"/>
      <c r="AK180" s="76" t="s">
        <v>1625</v>
      </c>
      <c r="AL180" s="76">
        <v>-18000</v>
      </c>
      <c r="AM180" s="78">
        <v>39708.567291666666</v>
      </c>
      <c r="AN180" s="76" t="s">
        <v>1823</v>
      </c>
      <c r="AO180" s="80" t="s">
        <v>1925</v>
      </c>
      <c r="AP180" s="2"/>
      <c r="AQ180" s="3"/>
      <c r="AR180" s="3"/>
      <c r="AS180" s="3"/>
      <c r="AT180" s="3"/>
    </row>
    <row r="181" spans="1:46" ht="41.45" customHeight="1" x14ac:dyDescent="0.25">
      <c r="A181" s="62" t="s">
        <v>277</v>
      </c>
      <c r="B181" s="63"/>
      <c r="C181" s="63" t="s">
        <v>63</v>
      </c>
      <c r="D181" s="64">
        <v>1.668398163807683</v>
      </c>
      <c r="E181" s="66">
        <v>99.921488526473681</v>
      </c>
      <c r="F181" s="97" t="s">
        <v>1735</v>
      </c>
      <c r="G181" s="63"/>
      <c r="H181" s="67" t="s">
        <v>277</v>
      </c>
      <c r="I181" s="68"/>
      <c r="J181" s="68"/>
      <c r="K181" s="67" t="s">
        <v>2119</v>
      </c>
      <c r="L181" s="71">
        <v>27.165257077202948</v>
      </c>
      <c r="M181" s="72">
        <v>1672.9219970703125</v>
      </c>
      <c r="N181" s="72">
        <v>3391.434814453125</v>
      </c>
      <c r="O181" s="73"/>
      <c r="P181" s="74"/>
      <c r="Q181" s="74"/>
      <c r="S181" s="48">
        <v>2</v>
      </c>
      <c r="T181" s="48">
        <v>2</v>
      </c>
      <c r="U181" s="49">
        <v>0</v>
      </c>
      <c r="V181" s="49">
        <v>1.9269999999999999E-3</v>
      </c>
      <c r="W181" s="49">
        <v>1.3029999999999999E-3</v>
      </c>
      <c r="X181" s="49">
        <v>0.48850700000000002</v>
      </c>
      <c r="Y181" s="49">
        <v>0.5</v>
      </c>
      <c r="Z181" s="49">
        <v>0</v>
      </c>
      <c r="AA181" s="69">
        <v>107</v>
      </c>
      <c r="AB181" s="69"/>
      <c r="AC181" s="70"/>
      <c r="AD181" s="76">
        <v>78</v>
      </c>
      <c r="AE181" s="76">
        <v>164</v>
      </c>
      <c r="AF181" s="76">
        <v>26713</v>
      </c>
      <c r="AG181" s="76">
        <v>11</v>
      </c>
      <c r="AH181" s="76" t="s">
        <v>1356</v>
      </c>
      <c r="AI181" s="76" t="s">
        <v>1510</v>
      </c>
      <c r="AJ181" s="80" t="s">
        <v>1604</v>
      </c>
      <c r="AK181" s="76" t="s">
        <v>1624</v>
      </c>
      <c r="AL181" s="76">
        <v>-21600</v>
      </c>
      <c r="AM181" s="78">
        <v>40295.624236111114</v>
      </c>
      <c r="AN181" s="76" t="s">
        <v>1823</v>
      </c>
      <c r="AO181" s="80" t="s">
        <v>1927</v>
      </c>
      <c r="AP181" s="2"/>
      <c r="AQ181" s="3"/>
      <c r="AR181" s="3"/>
      <c r="AS181" s="3"/>
      <c r="AT181" s="3"/>
    </row>
    <row r="182" spans="1:46" ht="41.45" customHeight="1" x14ac:dyDescent="0.25">
      <c r="A182" s="62" t="s">
        <v>288</v>
      </c>
      <c r="B182" s="63"/>
      <c r="C182" s="63" t="s">
        <v>63</v>
      </c>
      <c r="D182" s="64">
        <v>1.7022831601836192</v>
      </c>
      <c r="E182" s="66">
        <v>99.905690486069005</v>
      </c>
      <c r="F182" s="97" t="s">
        <v>1743</v>
      </c>
      <c r="G182" s="63"/>
      <c r="H182" s="67" t="s">
        <v>288</v>
      </c>
      <c r="I182" s="68"/>
      <c r="J182" s="68"/>
      <c r="K182" s="67" t="s">
        <v>2127</v>
      </c>
      <c r="L182" s="71">
        <v>32.430217342737691</v>
      </c>
      <c r="M182" s="72">
        <v>2754.189453125</v>
      </c>
      <c r="N182" s="72">
        <v>4089.02197265625</v>
      </c>
      <c r="O182" s="73"/>
      <c r="P182" s="74"/>
      <c r="Q182" s="74"/>
      <c r="S182" s="48">
        <v>1</v>
      </c>
      <c r="T182" s="48">
        <v>2</v>
      </c>
      <c r="U182" s="49">
        <v>0</v>
      </c>
      <c r="V182" s="49">
        <v>1.8940000000000001E-3</v>
      </c>
      <c r="W182" s="49">
        <v>8.9700000000000001E-4</v>
      </c>
      <c r="X182" s="49">
        <v>0.44176799999999999</v>
      </c>
      <c r="Y182" s="49">
        <v>0</v>
      </c>
      <c r="Z182" s="49">
        <v>0</v>
      </c>
      <c r="AA182" s="69">
        <v>115</v>
      </c>
      <c r="AB182" s="69"/>
      <c r="AC182" s="70"/>
      <c r="AD182" s="76">
        <v>338</v>
      </c>
      <c r="AE182" s="76">
        <v>197</v>
      </c>
      <c r="AF182" s="76">
        <v>3542</v>
      </c>
      <c r="AG182" s="76">
        <v>52</v>
      </c>
      <c r="AH182" s="76" t="s">
        <v>1364</v>
      </c>
      <c r="AI182" s="76" t="s">
        <v>1460</v>
      </c>
      <c r="AJ182" s="76"/>
      <c r="AK182" s="76" t="s">
        <v>1625</v>
      </c>
      <c r="AL182" s="76">
        <v>-18000</v>
      </c>
      <c r="AM182" s="78">
        <v>40247.092743055553</v>
      </c>
      <c r="AN182" s="76" t="s">
        <v>1823</v>
      </c>
      <c r="AO182" s="80" t="s">
        <v>1935</v>
      </c>
      <c r="AP182" s="2"/>
      <c r="AQ182" s="3"/>
      <c r="AR182" s="3"/>
      <c r="AS182" s="3"/>
      <c r="AT182" s="3"/>
    </row>
    <row r="183" spans="1:46" ht="41.45" customHeight="1" x14ac:dyDescent="0.25">
      <c r="A183" s="62" t="s">
        <v>309</v>
      </c>
      <c r="B183" s="63"/>
      <c r="C183" s="63" t="s">
        <v>63</v>
      </c>
      <c r="D183" s="64">
        <v>1.5821454457598454</v>
      </c>
      <c r="E183" s="66">
        <v>99.961701720231062</v>
      </c>
      <c r="F183" s="97" t="s">
        <v>1761</v>
      </c>
      <c r="G183" s="63"/>
      <c r="H183" s="67" t="s">
        <v>309</v>
      </c>
      <c r="I183" s="68"/>
      <c r="J183" s="68"/>
      <c r="K183" s="67" t="s">
        <v>2145</v>
      </c>
      <c r="L183" s="71">
        <v>13.763540037659975</v>
      </c>
      <c r="M183" s="72">
        <v>7118.37060546875</v>
      </c>
      <c r="N183" s="72">
        <v>2330.287109375</v>
      </c>
      <c r="O183" s="73"/>
      <c r="P183" s="74"/>
      <c r="Q183" s="74"/>
      <c r="S183" s="48">
        <v>2</v>
      </c>
      <c r="T183" s="48">
        <v>3</v>
      </c>
      <c r="U183" s="49">
        <v>0</v>
      </c>
      <c r="V183" s="49">
        <v>1.7949999999999999E-3</v>
      </c>
      <c r="W183" s="49">
        <v>7.3300000000000004E-4</v>
      </c>
      <c r="X183" s="49">
        <v>0.47625499999999998</v>
      </c>
      <c r="Y183" s="49">
        <v>0.5</v>
      </c>
      <c r="Z183" s="49">
        <v>0.5</v>
      </c>
      <c r="AA183" s="69">
        <v>133</v>
      </c>
      <c r="AB183" s="69"/>
      <c r="AC183" s="70"/>
      <c r="AD183" s="76">
        <v>113</v>
      </c>
      <c r="AE183" s="76">
        <v>80</v>
      </c>
      <c r="AF183" s="76">
        <v>3126</v>
      </c>
      <c r="AG183" s="76">
        <v>4</v>
      </c>
      <c r="AH183" s="76" t="s">
        <v>1381</v>
      </c>
      <c r="AI183" s="76"/>
      <c r="AJ183" s="76"/>
      <c r="AK183" s="76" t="s">
        <v>1634</v>
      </c>
      <c r="AL183" s="76">
        <v>3600</v>
      </c>
      <c r="AM183" s="78">
        <v>40398.041354166664</v>
      </c>
      <c r="AN183" s="76" t="s">
        <v>1823</v>
      </c>
      <c r="AO183" s="80" t="s">
        <v>1953</v>
      </c>
      <c r="AP183" s="2"/>
      <c r="AQ183" s="3"/>
      <c r="AR183" s="3"/>
      <c r="AS183" s="3"/>
      <c r="AT183" s="3"/>
    </row>
    <row r="184" spans="1:46" ht="41.45" customHeight="1" x14ac:dyDescent="0.25">
      <c r="A184" s="62" t="s">
        <v>315</v>
      </c>
      <c r="B184" s="63"/>
      <c r="C184" s="63" t="s">
        <v>63</v>
      </c>
      <c r="D184" s="64">
        <v>1.5112949987919788</v>
      </c>
      <c r="E184" s="66">
        <v>99.99473398653177</v>
      </c>
      <c r="F184" s="97" t="s">
        <v>1766</v>
      </c>
      <c r="G184" s="63"/>
      <c r="H184" s="67" t="s">
        <v>315</v>
      </c>
      <c r="I184" s="68"/>
      <c r="J184" s="68"/>
      <c r="K184" s="67" t="s">
        <v>2150</v>
      </c>
      <c r="L184" s="71">
        <v>2.7549867551782468</v>
      </c>
      <c r="M184" s="72">
        <v>8510.6123046875</v>
      </c>
      <c r="N184" s="72">
        <v>2282.45947265625</v>
      </c>
      <c r="O184" s="73"/>
      <c r="P184" s="74"/>
      <c r="Q184" s="74"/>
      <c r="S184" s="48">
        <v>1</v>
      </c>
      <c r="T184" s="48">
        <v>2</v>
      </c>
      <c r="U184" s="49">
        <v>0</v>
      </c>
      <c r="V184" s="49">
        <v>1.7359999999999999E-3</v>
      </c>
      <c r="W184" s="49">
        <v>6.8800000000000003E-4</v>
      </c>
      <c r="X184" s="49">
        <v>0.42248400000000003</v>
      </c>
      <c r="Y184" s="49">
        <v>0</v>
      </c>
      <c r="Z184" s="49">
        <v>0</v>
      </c>
      <c r="AA184" s="69">
        <v>138</v>
      </c>
      <c r="AB184" s="69"/>
      <c r="AC184" s="70"/>
      <c r="AD184" s="76">
        <v>57</v>
      </c>
      <c r="AE184" s="76">
        <v>11</v>
      </c>
      <c r="AF184" s="76">
        <v>703</v>
      </c>
      <c r="AG184" s="76">
        <v>11</v>
      </c>
      <c r="AH184" s="76"/>
      <c r="AI184" s="76"/>
      <c r="AJ184" s="76"/>
      <c r="AK184" s="76" t="s">
        <v>1626</v>
      </c>
      <c r="AL184" s="76">
        <v>-28800</v>
      </c>
      <c r="AM184" s="78">
        <v>40768.497372685182</v>
      </c>
      <c r="AN184" s="76" t="s">
        <v>1823</v>
      </c>
      <c r="AO184" s="80" t="s">
        <v>1958</v>
      </c>
      <c r="AP184" s="2"/>
      <c r="AQ184" s="3"/>
      <c r="AR184" s="3"/>
      <c r="AS184" s="3"/>
      <c r="AT184" s="3"/>
    </row>
    <row r="185" spans="1:46" ht="41.45" customHeight="1" x14ac:dyDescent="0.25">
      <c r="A185" s="62" t="s">
        <v>316</v>
      </c>
      <c r="B185" s="63"/>
      <c r="C185" s="63" t="s">
        <v>63</v>
      </c>
      <c r="D185" s="64">
        <v>1.5564749939598936</v>
      </c>
      <c r="E185" s="66">
        <v>99.973669932658865</v>
      </c>
      <c r="F185" s="97" t="s">
        <v>1767</v>
      </c>
      <c r="G185" s="63"/>
      <c r="H185" s="67" t="s">
        <v>316</v>
      </c>
      <c r="I185" s="68"/>
      <c r="J185" s="68"/>
      <c r="K185" s="67" t="s">
        <v>2151</v>
      </c>
      <c r="L185" s="71">
        <v>9.7749337758912329</v>
      </c>
      <c r="M185" s="72">
        <v>415.71701049804687</v>
      </c>
      <c r="N185" s="72">
        <v>6251.1826171875</v>
      </c>
      <c r="O185" s="73"/>
      <c r="P185" s="74"/>
      <c r="Q185" s="74"/>
      <c r="S185" s="48">
        <v>1</v>
      </c>
      <c r="T185" s="48">
        <v>3</v>
      </c>
      <c r="U185" s="49">
        <v>0</v>
      </c>
      <c r="V185" s="49">
        <v>1.6670000000000001E-3</v>
      </c>
      <c r="W185" s="49">
        <v>1.206E-3</v>
      </c>
      <c r="X185" s="49">
        <v>0.49107499999999998</v>
      </c>
      <c r="Y185" s="49">
        <v>0.5</v>
      </c>
      <c r="Z185" s="49">
        <v>0</v>
      </c>
      <c r="AA185" s="69">
        <v>139</v>
      </c>
      <c r="AB185" s="69"/>
      <c r="AC185" s="70"/>
      <c r="AD185" s="76">
        <v>96</v>
      </c>
      <c r="AE185" s="76">
        <v>55</v>
      </c>
      <c r="AF185" s="76">
        <v>867</v>
      </c>
      <c r="AG185" s="76">
        <v>37</v>
      </c>
      <c r="AH185" s="76" t="s">
        <v>1386</v>
      </c>
      <c r="AI185" s="76" t="s">
        <v>1531</v>
      </c>
      <c r="AJ185" s="76"/>
      <c r="AK185" s="76"/>
      <c r="AL185" s="76"/>
      <c r="AM185" s="78">
        <v>41026.92528935185</v>
      </c>
      <c r="AN185" s="76" t="s">
        <v>1823</v>
      </c>
      <c r="AO185" s="80" t="s">
        <v>1959</v>
      </c>
      <c r="AP185" s="2"/>
      <c r="AQ185" s="3"/>
      <c r="AR185" s="3"/>
      <c r="AS185" s="3"/>
      <c r="AT185" s="3"/>
    </row>
    <row r="186" spans="1:46" ht="41.45" customHeight="1" x14ac:dyDescent="0.25">
      <c r="A186" s="62" t="s">
        <v>337</v>
      </c>
      <c r="B186" s="63"/>
      <c r="C186" s="63" t="s">
        <v>63</v>
      </c>
      <c r="D186" s="64">
        <v>1.9949263107030684</v>
      </c>
      <c r="E186" s="66">
        <v>99.769252864392172</v>
      </c>
      <c r="F186" s="97" t="s">
        <v>1786</v>
      </c>
      <c r="G186" s="63"/>
      <c r="H186" s="67" t="s">
        <v>337</v>
      </c>
      <c r="I186" s="68"/>
      <c r="J186" s="68"/>
      <c r="K186" s="67" t="s">
        <v>2170</v>
      </c>
      <c r="L186" s="71">
        <v>77.90032872690135</v>
      </c>
      <c r="M186" s="72">
        <v>3961.474609375</v>
      </c>
      <c r="N186" s="72">
        <v>787.27789306640625</v>
      </c>
      <c r="O186" s="73"/>
      <c r="P186" s="74"/>
      <c r="Q186" s="74"/>
      <c r="S186" s="48">
        <v>2</v>
      </c>
      <c r="T186" s="48">
        <v>4</v>
      </c>
      <c r="U186" s="49">
        <v>0</v>
      </c>
      <c r="V186" s="49">
        <v>1.848E-3</v>
      </c>
      <c r="W186" s="49">
        <v>1.052E-3</v>
      </c>
      <c r="X186" s="49">
        <v>0.53547800000000001</v>
      </c>
      <c r="Y186" s="49">
        <v>0.83333333333333337</v>
      </c>
      <c r="Z186" s="49">
        <v>0.33333333333333331</v>
      </c>
      <c r="AA186" s="69">
        <v>158</v>
      </c>
      <c r="AB186" s="69"/>
      <c r="AC186" s="70"/>
      <c r="AD186" s="76">
        <v>574</v>
      </c>
      <c r="AE186" s="76">
        <v>482</v>
      </c>
      <c r="AF186" s="76">
        <v>9594</v>
      </c>
      <c r="AG186" s="76">
        <v>6</v>
      </c>
      <c r="AH186" s="76" t="s">
        <v>1404</v>
      </c>
      <c r="AI186" s="76" t="s">
        <v>1519</v>
      </c>
      <c r="AJ186" s="76"/>
      <c r="AK186" s="76" t="s">
        <v>1626</v>
      </c>
      <c r="AL186" s="76">
        <v>-28800</v>
      </c>
      <c r="AM186" s="78">
        <v>39971.914351851854</v>
      </c>
      <c r="AN186" s="76" t="s">
        <v>1823</v>
      </c>
      <c r="AO186" s="80" t="s">
        <v>1978</v>
      </c>
      <c r="AP186" s="2"/>
      <c r="AQ186" s="3"/>
      <c r="AR186" s="3"/>
      <c r="AS186" s="3"/>
      <c r="AT186" s="3"/>
    </row>
    <row r="187" spans="1:46" ht="41.45" customHeight="1" x14ac:dyDescent="0.25">
      <c r="A187" s="62" t="s">
        <v>343</v>
      </c>
      <c r="B187" s="63"/>
      <c r="C187" s="63" t="s">
        <v>63</v>
      </c>
      <c r="D187" s="64">
        <v>1.650942256583716</v>
      </c>
      <c r="E187" s="66">
        <v>99.929626910924583</v>
      </c>
      <c r="F187" s="97" t="s">
        <v>1792</v>
      </c>
      <c r="G187" s="63"/>
      <c r="H187" s="67" t="s">
        <v>343</v>
      </c>
      <c r="I187" s="68"/>
      <c r="J187" s="68"/>
      <c r="K187" s="67" t="s">
        <v>2176</v>
      </c>
      <c r="L187" s="71">
        <v>24.453004819200203</v>
      </c>
      <c r="M187" s="72">
        <v>1946.5943603515625</v>
      </c>
      <c r="N187" s="72">
        <v>3829.075927734375</v>
      </c>
      <c r="O187" s="73"/>
      <c r="P187" s="74"/>
      <c r="Q187" s="74"/>
      <c r="S187" s="48">
        <v>1</v>
      </c>
      <c r="T187" s="48">
        <v>2</v>
      </c>
      <c r="U187" s="49">
        <v>0</v>
      </c>
      <c r="V187" s="49">
        <v>1.8940000000000001E-3</v>
      </c>
      <c r="W187" s="49">
        <v>8.9700000000000001E-4</v>
      </c>
      <c r="X187" s="49">
        <v>0.44176799999999999</v>
      </c>
      <c r="Y187" s="49">
        <v>0</v>
      </c>
      <c r="Z187" s="49">
        <v>0</v>
      </c>
      <c r="AA187" s="69">
        <v>164</v>
      </c>
      <c r="AB187" s="69"/>
      <c r="AC187" s="70"/>
      <c r="AD187" s="76">
        <v>349</v>
      </c>
      <c r="AE187" s="76">
        <v>147</v>
      </c>
      <c r="AF187" s="76">
        <v>860</v>
      </c>
      <c r="AG187" s="76">
        <v>0</v>
      </c>
      <c r="AH187" s="76" t="s">
        <v>1409</v>
      </c>
      <c r="AI187" s="76" t="s">
        <v>1550</v>
      </c>
      <c r="AJ187" s="76"/>
      <c r="AK187" s="76" t="s">
        <v>1624</v>
      </c>
      <c r="AL187" s="76">
        <v>-21600</v>
      </c>
      <c r="AM187" s="78">
        <v>39898.045706018522</v>
      </c>
      <c r="AN187" s="76" t="s">
        <v>1823</v>
      </c>
      <c r="AO187" s="80" t="s">
        <v>1984</v>
      </c>
      <c r="AP187" s="2"/>
      <c r="AQ187" s="3"/>
      <c r="AR187" s="3"/>
      <c r="AS187" s="3"/>
      <c r="AT187" s="3"/>
    </row>
    <row r="188" spans="1:46" ht="41.45" customHeight="1" x14ac:dyDescent="0.25">
      <c r="A188" s="62" t="s">
        <v>355</v>
      </c>
      <c r="B188" s="63"/>
      <c r="C188" s="63" t="s">
        <v>63</v>
      </c>
      <c r="D188" s="64">
        <v>2.6418216960618506</v>
      </c>
      <c r="E188" s="66">
        <v>99.467653911211826</v>
      </c>
      <c r="F188" s="97" t="s">
        <v>1800</v>
      </c>
      <c r="G188" s="63"/>
      <c r="H188" s="67" t="s">
        <v>355</v>
      </c>
      <c r="I188" s="68"/>
      <c r="J188" s="68"/>
      <c r="K188" s="67" t="s">
        <v>2184</v>
      </c>
      <c r="L188" s="71">
        <v>178.41320652347366</v>
      </c>
      <c r="M188" s="72">
        <v>2371.433349609375</v>
      </c>
      <c r="N188" s="72">
        <v>8564.40234375</v>
      </c>
      <c r="O188" s="73"/>
      <c r="P188" s="74"/>
      <c r="Q188" s="74"/>
      <c r="S188" s="48">
        <v>5</v>
      </c>
      <c r="T188" s="48">
        <v>5</v>
      </c>
      <c r="U188" s="49">
        <v>0</v>
      </c>
      <c r="V188" s="49">
        <v>1.9959999999999999E-3</v>
      </c>
      <c r="W188" s="49">
        <v>6.3249999999999999E-3</v>
      </c>
      <c r="X188" s="49">
        <v>0.61194599999999999</v>
      </c>
      <c r="Y188" s="49">
        <v>1</v>
      </c>
      <c r="Z188" s="49">
        <v>1</v>
      </c>
      <c r="AA188" s="69">
        <v>172</v>
      </c>
      <c r="AB188" s="69"/>
      <c r="AC188" s="70"/>
      <c r="AD188" s="76">
        <v>1316</v>
      </c>
      <c r="AE188" s="76">
        <v>1112</v>
      </c>
      <c r="AF188" s="76">
        <v>4256</v>
      </c>
      <c r="AG188" s="76">
        <v>7</v>
      </c>
      <c r="AH188" s="76" t="s">
        <v>1417</v>
      </c>
      <c r="AI188" s="76" t="s">
        <v>1516</v>
      </c>
      <c r="AJ188" s="76"/>
      <c r="AK188" s="76" t="s">
        <v>1626</v>
      </c>
      <c r="AL188" s="76">
        <v>-28800</v>
      </c>
      <c r="AM188" s="78">
        <v>39990.264189814814</v>
      </c>
      <c r="AN188" s="76" t="s">
        <v>1823</v>
      </c>
      <c r="AO188" s="80" t="s">
        <v>1992</v>
      </c>
      <c r="AP188" s="2"/>
      <c r="AQ188" s="3"/>
      <c r="AR188" s="3"/>
      <c r="AS188" s="3"/>
      <c r="AT188" s="3"/>
    </row>
    <row r="189" spans="1:46" ht="41.45" customHeight="1" x14ac:dyDescent="0.25">
      <c r="A189" s="62" t="s">
        <v>369</v>
      </c>
      <c r="B189" s="63"/>
      <c r="C189" s="63" t="s">
        <v>63</v>
      </c>
      <c r="D189" s="64">
        <v>1.5708504469678666</v>
      </c>
      <c r="E189" s="66">
        <v>99.966967733699292</v>
      </c>
      <c r="F189" s="97" t="s">
        <v>1813</v>
      </c>
      <c r="G189" s="63"/>
      <c r="H189" s="67" t="s">
        <v>369</v>
      </c>
      <c r="I189" s="68"/>
      <c r="J189" s="68"/>
      <c r="K189" s="67" t="s">
        <v>2197</v>
      </c>
      <c r="L189" s="71">
        <v>12.008553282481728</v>
      </c>
      <c r="M189" s="72">
        <v>5880.26953125</v>
      </c>
      <c r="N189" s="72">
        <v>7792.26806640625</v>
      </c>
      <c r="O189" s="73"/>
      <c r="P189" s="74"/>
      <c r="Q189" s="74"/>
      <c r="S189" s="48">
        <v>2</v>
      </c>
      <c r="T189" s="48">
        <v>2</v>
      </c>
      <c r="U189" s="49">
        <v>0</v>
      </c>
      <c r="V189" s="49">
        <v>1.9689999999999998E-3</v>
      </c>
      <c r="W189" s="49">
        <v>4.1320000000000003E-3</v>
      </c>
      <c r="X189" s="49">
        <v>0.44063799999999997</v>
      </c>
      <c r="Y189" s="49">
        <v>1</v>
      </c>
      <c r="Z189" s="49">
        <v>0</v>
      </c>
      <c r="AA189" s="69">
        <v>185</v>
      </c>
      <c r="AB189" s="69"/>
      <c r="AC189" s="70"/>
      <c r="AD189" s="76">
        <v>121</v>
      </c>
      <c r="AE189" s="76">
        <v>69</v>
      </c>
      <c r="AF189" s="76">
        <v>1182</v>
      </c>
      <c r="AG189" s="76">
        <v>22</v>
      </c>
      <c r="AH189" s="76" t="s">
        <v>1429</v>
      </c>
      <c r="AI189" s="76" t="s">
        <v>1561</v>
      </c>
      <c r="AJ189" s="76"/>
      <c r="AK189" s="76" t="s">
        <v>1633</v>
      </c>
      <c r="AL189" s="76">
        <v>-32400</v>
      </c>
      <c r="AM189" s="78">
        <v>39747.989606481482</v>
      </c>
      <c r="AN189" s="76" t="s">
        <v>1823</v>
      </c>
      <c r="AO189" s="80" t="s">
        <v>2005</v>
      </c>
      <c r="AP189" s="2"/>
      <c r="AQ189" s="3"/>
      <c r="AR189" s="3"/>
      <c r="AS189" s="3"/>
      <c r="AT189" s="3"/>
    </row>
    <row r="190" spans="1:46" ht="41.45" customHeight="1" x14ac:dyDescent="0.25">
      <c r="A190" s="62" t="s">
        <v>370</v>
      </c>
      <c r="B190" s="63"/>
      <c r="C190" s="63" t="s">
        <v>63</v>
      </c>
      <c r="D190" s="64">
        <v>1.5266972698719496</v>
      </c>
      <c r="E190" s="66">
        <v>99.987553059075097</v>
      </c>
      <c r="F190" s="97" t="s">
        <v>1814</v>
      </c>
      <c r="G190" s="63"/>
      <c r="H190" s="67" t="s">
        <v>370</v>
      </c>
      <c r="I190" s="68"/>
      <c r="J190" s="68"/>
      <c r="K190" s="67" t="s">
        <v>2198</v>
      </c>
      <c r="L190" s="71">
        <v>5.1481505122394919</v>
      </c>
      <c r="M190" s="72">
        <v>3920.1142578125</v>
      </c>
      <c r="N190" s="72">
        <v>9055.333984375</v>
      </c>
      <c r="O190" s="73"/>
      <c r="P190" s="74"/>
      <c r="Q190" s="74"/>
      <c r="S190" s="48">
        <v>2</v>
      </c>
      <c r="T190" s="48">
        <v>2</v>
      </c>
      <c r="U190" s="49">
        <v>0</v>
      </c>
      <c r="V190" s="49">
        <v>1.9610000000000001E-3</v>
      </c>
      <c r="W190" s="49">
        <v>4.4070000000000003E-3</v>
      </c>
      <c r="X190" s="49">
        <v>0.45532699999999998</v>
      </c>
      <c r="Y190" s="49">
        <v>0.5</v>
      </c>
      <c r="Z190" s="49">
        <v>0</v>
      </c>
      <c r="AA190" s="69">
        <v>186</v>
      </c>
      <c r="AB190" s="69"/>
      <c r="AC190" s="70"/>
      <c r="AD190" s="76">
        <v>46</v>
      </c>
      <c r="AE190" s="76">
        <v>26</v>
      </c>
      <c r="AF190" s="76">
        <v>676</v>
      </c>
      <c r="AG190" s="76">
        <v>4</v>
      </c>
      <c r="AH190" s="76" t="s">
        <v>1430</v>
      </c>
      <c r="AI190" s="76" t="s">
        <v>1562</v>
      </c>
      <c r="AJ190" s="80" t="s">
        <v>1620</v>
      </c>
      <c r="AK190" s="76" t="s">
        <v>1626</v>
      </c>
      <c r="AL190" s="76">
        <v>-28800</v>
      </c>
      <c r="AM190" s="78">
        <v>40560.88040509259</v>
      </c>
      <c r="AN190" s="76" t="s">
        <v>1823</v>
      </c>
      <c r="AO190" s="80" t="s">
        <v>2006</v>
      </c>
      <c r="AP190" s="2"/>
      <c r="AQ190" s="3"/>
      <c r="AR190" s="3"/>
      <c r="AS190" s="3"/>
      <c r="AT190" s="3"/>
    </row>
    <row r="191" spans="1:46" ht="41.45" customHeight="1" x14ac:dyDescent="0.25">
      <c r="A191" s="62" t="s">
        <v>374</v>
      </c>
      <c r="B191" s="63"/>
      <c r="C191" s="63" t="s">
        <v>63</v>
      </c>
      <c r="D191" s="64">
        <v>1.5564749939598936</v>
      </c>
      <c r="E191" s="66">
        <v>99.973669932658865</v>
      </c>
      <c r="F191" s="97" t="s">
        <v>1818</v>
      </c>
      <c r="G191" s="63"/>
      <c r="H191" s="67" t="s">
        <v>374</v>
      </c>
      <c r="I191" s="68"/>
      <c r="J191" s="68"/>
      <c r="K191" s="67" t="s">
        <v>2202</v>
      </c>
      <c r="L191" s="71">
        <v>9.7749337758912329</v>
      </c>
      <c r="M191" s="72">
        <v>5005.10107421875</v>
      </c>
      <c r="N191" s="72">
        <v>9019.3447265625</v>
      </c>
      <c r="O191" s="73"/>
      <c r="P191" s="74"/>
      <c r="Q191" s="74"/>
      <c r="S191" s="48">
        <v>2</v>
      </c>
      <c r="T191" s="48">
        <v>1</v>
      </c>
      <c r="U191" s="49">
        <v>0</v>
      </c>
      <c r="V191" s="49">
        <v>1.8940000000000001E-3</v>
      </c>
      <c r="W191" s="49">
        <v>2.7200000000000002E-3</v>
      </c>
      <c r="X191" s="49">
        <v>0.40881600000000001</v>
      </c>
      <c r="Y191" s="49">
        <v>0</v>
      </c>
      <c r="Z191" s="49">
        <v>0</v>
      </c>
      <c r="AA191" s="69">
        <v>190</v>
      </c>
      <c r="AB191" s="69"/>
      <c r="AC191" s="70"/>
      <c r="AD191" s="76">
        <v>21</v>
      </c>
      <c r="AE191" s="76">
        <v>55</v>
      </c>
      <c r="AF191" s="76">
        <v>3205</v>
      </c>
      <c r="AG191" s="76">
        <v>0</v>
      </c>
      <c r="AH191" s="76" t="s">
        <v>1434</v>
      </c>
      <c r="AI191" s="76" t="s">
        <v>1565</v>
      </c>
      <c r="AJ191" s="80" t="s">
        <v>1623</v>
      </c>
      <c r="AK191" s="76" t="s">
        <v>1627</v>
      </c>
      <c r="AL191" s="76">
        <v>-18000</v>
      </c>
      <c r="AM191" s="78">
        <v>40808.827013888891</v>
      </c>
      <c r="AN191" s="76" t="s">
        <v>1823</v>
      </c>
      <c r="AO191" s="80" t="s">
        <v>2010</v>
      </c>
      <c r="AP191" s="2"/>
      <c r="AQ191" s="3"/>
      <c r="AR191" s="3"/>
      <c r="AS191" s="3"/>
      <c r="AT191" s="3"/>
    </row>
    <row r="192" spans="1:46" ht="41.45" customHeight="1" x14ac:dyDescent="0.25">
      <c r="A192" s="62" t="s">
        <v>375</v>
      </c>
      <c r="B192" s="63"/>
      <c r="C192" s="63" t="s">
        <v>63</v>
      </c>
      <c r="D192" s="64">
        <v>1.6047354433438028</v>
      </c>
      <c r="E192" s="66">
        <v>99.951169693294617</v>
      </c>
      <c r="F192" s="97" t="s">
        <v>1819</v>
      </c>
      <c r="G192" s="63"/>
      <c r="H192" s="67" t="s">
        <v>375</v>
      </c>
      <c r="I192" s="68"/>
      <c r="J192" s="68"/>
      <c r="K192" s="67" t="s">
        <v>2203</v>
      </c>
      <c r="L192" s="71">
        <v>17.273513548016467</v>
      </c>
      <c r="M192" s="72">
        <v>4283.21923828125</v>
      </c>
      <c r="N192" s="72">
        <v>8972.40234375</v>
      </c>
      <c r="O192" s="73"/>
      <c r="P192" s="74"/>
      <c r="Q192" s="74"/>
      <c r="S192" s="48">
        <v>2</v>
      </c>
      <c r="T192" s="48">
        <v>3</v>
      </c>
      <c r="U192" s="49">
        <v>0</v>
      </c>
      <c r="V192" s="49">
        <v>1.9610000000000001E-3</v>
      </c>
      <c r="W192" s="49">
        <v>4.4070000000000003E-3</v>
      </c>
      <c r="X192" s="49">
        <v>0.45532699999999998</v>
      </c>
      <c r="Y192" s="49">
        <v>0.5</v>
      </c>
      <c r="Z192" s="49">
        <v>0.5</v>
      </c>
      <c r="AA192" s="69">
        <v>191</v>
      </c>
      <c r="AB192" s="69"/>
      <c r="AC192" s="70"/>
      <c r="AD192" s="76">
        <v>189</v>
      </c>
      <c r="AE192" s="76">
        <v>102</v>
      </c>
      <c r="AF192" s="76">
        <v>742</v>
      </c>
      <c r="AG192" s="76">
        <v>4</v>
      </c>
      <c r="AH192" s="76"/>
      <c r="AI192" s="76"/>
      <c r="AJ192" s="76"/>
      <c r="AK192" s="76"/>
      <c r="AL192" s="76"/>
      <c r="AM192" s="78">
        <v>40449.929988425924</v>
      </c>
      <c r="AN192" s="76" t="s">
        <v>1823</v>
      </c>
      <c r="AO192" s="80" t="s">
        <v>2011</v>
      </c>
      <c r="AP192" s="2"/>
      <c r="AQ192" s="3"/>
      <c r="AR192" s="3"/>
      <c r="AS192" s="3"/>
      <c r="AT192" s="3"/>
    </row>
    <row r="193" spans="1:46" ht="41.45" customHeight="1" x14ac:dyDescent="0.25">
      <c r="A193" s="62" t="s">
        <v>378</v>
      </c>
      <c r="B193" s="63"/>
      <c r="C193" s="63" t="s">
        <v>63</v>
      </c>
      <c r="D193" s="64">
        <v>2.0431867600869777</v>
      </c>
      <c r="E193" s="66">
        <v>99.746752625027924</v>
      </c>
      <c r="F193" s="97" t="s">
        <v>1821</v>
      </c>
      <c r="G193" s="63"/>
      <c r="H193" s="67" t="s">
        <v>378</v>
      </c>
      <c r="I193" s="68"/>
      <c r="J193" s="68"/>
      <c r="K193" s="67" t="s">
        <v>2205</v>
      </c>
      <c r="L193" s="71">
        <v>85.398908499026589</v>
      </c>
      <c r="M193" s="72">
        <v>3197.292724609375</v>
      </c>
      <c r="N193" s="72">
        <v>9102.3955078125</v>
      </c>
      <c r="O193" s="73"/>
      <c r="P193" s="74"/>
      <c r="Q193" s="74"/>
      <c r="S193" s="48">
        <v>3</v>
      </c>
      <c r="T193" s="48">
        <v>3</v>
      </c>
      <c r="U193" s="49">
        <v>0</v>
      </c>
      <c r="V193" s="49">
        <v>1.934E-3</v>
      </c>
      <c r="W193" s="49">
        <v>4.241E-3</v>
      </c>
      <c r="X193" s="49">
        <v>0.451963</v>
      </c>
      <c r="Y193" s="49">
        <v>1</v>
      </c>
      <c r="Z193" s="49">
        <v>1</v>
      </c>
      <c r="AA193" s="69">
        <v>193</v>
      </c>
      <c r="AB193" s="69"/>
      <c r="AC193" s="70"/>
      <c r="AD193" s="76">
        <v>914</v>
      </c>
      <c r="AE193" s="76">
        <v>529</v>
      </c>
      <c r="AF193" s="76">
        <v>2443</v>
      </c>
      <c r="AG193" s="76">
        <v>10</v>
      </c>
      <c r="AH193" s="76" t="s">
        <v>1436</v>
      </c>
      <c r="AI193" s="76"/>
      <c r="AJ193" s="76"/>
      <c r="AK193" s="76"/>
      <c r="AL193" s="76"/>
      <c r="AM193" s="78">
        <v>41101.726006944446</v>
      </c>
      <c r="AN193" s="76" t="s">
        <v>1823</v>
      </c>
      <c r="AO193" s="80" t="s">
        <v>2013</v>
      </c>
      <c r="AP193" s="2"/>
      <c r="AQ193" s="3"/>
      <c r="AR193" s="3"/>
      <c r="AS193" s="3"/>
      <c r="AT193" s="3"/>
    </row>
    <row r="194" spans="1:46" ht="41.45" customHeight="1" x14ac:dyDescent="0.25">
      <c r="A194" s="85" t="s">
        <v>379</v>
      </c>
      <c r="B194" s="86"/>
      <c r="C194" s="86" t="s">
        <v>63</v>
      </c>
      <c r="D194" s="87">
        <v>1.5308045421599421</v>
      </c>
      <c r="E194" s="88">
        <v>99.985638145086654</v>
      </c>
      <c r="F194" s="98" t="s">
        <v>1822</v>
      </c>
      <c r="G194" s="86"/>
      <c r="H194" s="89" t="s">
        <v>379</v>
      </c>
      <c r="I194" s="90"/>
      <c r="J194" s="90"/>
      <c r="K194" s="89" t="s">
        <v>2206</v>
      </c>
      <c r="L194" s="91">
        <v>5.7863275141224904</v>
      </c>
      <c r="M194" s="92">
        <v>5408.86083984375</v>
      </c>
      <c r="N194" s="92">
        <v>8806.5380859375</v>
      </c>
      <c r="O194" s="93"/>
      <c r="P194" s="94"/>
      <c r="Q194" s="94"/>
      <c r="S194" s="48">
        <v>2</v>
      </c>
      <c r="T194" s="48">
        <v>2</v>
      </c>
      <c r="U194" s="49">
        <v>0</v>
      </c>
      <c r="V194" s="49">
        <v>1.8940000000000001E-3</v>
      </c>
      <c r="W194" s="49">
        <v>2.7200000000000002E-3</v>
      </c>
      <c r="X194" s="49">
        <v>0.40881600000000001</v>
      </c>
      <c r="Y194" s="49">
        <v>0</v>
      </c>
      <c r="Z194" s="49">
        <v>1</v>
      </c>
      <c r="AA194" s="95">
        <v>194</v>
      </c>
      <c r="AB194" s="95"/>
      <c r="AC194" s="96"/>
      <c r="AD194" s="76">
        <v>47</v>
      </c>
      <c r="AE194" s="76">
        <v>30</v>
      </c>
      <c r="AF194" s="76">
        <v>658</v>
      </c>
      <c r="AG194" s="76">
        <v>3</v>
      </c>
      <c r="AH194" s="76" t="s">
        <v>1437</v>
      </c>
      <c r="AI194" s="76" t="s">
        <v>1567</v>
      </c>
      <c r="AJ194" s="76"/>
      <c r="AK194" s="76"/>
      <c r="AL194" s="76"/>
      <c r="AM194" s="78">
        <v>40415.117893518516</v>
      </c>
      <c r="AN194" s="76" t="s">
        <v>1823</v>
      </c>
      <c r="AO194" s="80" t="s">
        <v>2014</v>
      </c>
      <c r="AP194" s="2"/>
      <c r="AQ194" s="3"/>
      <c r="AR194" s="3"/>
      <c r="AS194" s="3"/>
      <c r="AT194" s="3"/>
    </row>
  </sheetData>
  <dataConsolidate/>
  <dataValidations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AA3:AA194"/>
    <dataValidation allowBlank="1" errorTitle="Invalid Vertex Visibility" error="You have entered an unrecognized vertex visibility.  Try selecting from the drop-down list instead." sqref="AP3"/>
    <dataValidation allowBlank="1" showErrorMessage="1" sqref="AP2"/>
    <dataValidation type="list" allowBlank="1" showInputMessage="1" showErrorMessage="1" errorTitle="Invalid Vertex Locked" error="You have entered an invalid vertex &quot;locked.&quot;  Try selecting from the drop-down list instead." promptTitle="Vertex Locked?" prompt="Set to Yes to lock the vertex at its current location." sqref="O3:O194">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194"/>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194"/>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194"/>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194"/>
    <dataValidation allowBlank="1" showInputMessage="1" errorTitle="Invalid Vertex Image Key" promptTitle="Vertex Tooltip" prompt="Enter optional text that will pop up when the mouse is hovered over the vertex." sqref="K3:K194"/>
    <dataValidation allowBlank="1" errorTitle="Invalid Vertex Visibility" error="You have entered an unrecognized vertex visibility.  Try selecting from the drop-down list instead." promptTitle="Vertex ID" prompt="This is a unique ID that gets filled in automatically.  Do not edit this column." sqref="AB3:AB194"/>
    <dataValidation type="list" allowBlank="1" showInputMessage="1" showErrorMessage="1" errorTitle="Invalid Vertex Visibility" error="You have entered an invalid vertex visibility.  Try selecting from the drop-down list instead." promptTitle="Vertex Visibility" prompt="Select an optional vertex visibility.  Vertices are &quot;Show if in an Edge&quot; by default." sqref="G3:G194">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194"/>
    <dataValidation allowBlank="1" showInputMessage="1" promptTitle="Vertex Label Fill Color" prompt="To select an optional fill color for the Label shape, right-click and select Select Color on the right-click menu." sqref="I3:I194"/>
    <dataValidation allowBlank="1" showInputMessage="1" errorTitle="Invalid Vertex Image Key" promptTitle="Vertex Image File" prompt="Enter the path to an image file.  Hover over the column header for examples." sqref="F3:F194"/>
    <dataValidation allowBlank="1" showInputMessage="1" promptTitle="Vertex Color" prompt="To select an optional vertex color, right-click and select Select Color on the right-click menu." sqref="B3:B194"/>
    <dataValidation allowBlank="1" showInputMessage="1" errorTitle="Invalid Vertex Opacity" error="The optional vertex opacity must be a whole number between 0 and 10." promptTitle="Vertex Opacity" prompt="Enter an optional vertex opacity between 0 (transparent) and 100 (opaque)." sqref="E3:E194"/>
    <dataValidation type="list" allowBlank="1" showInputMessage="1" showErrorMessage="1" errorTitle="Invalid Vertex Shape" error="You have entered an invalid vertex shape.  Try selecting from the drop-down list instead." promptTitle="Vertex Shape" prompt="Select an optional vertex shape." sqref="C3:C194">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D194"/>
    <dataValidation type="list" allowBlank="1" showInputMessage="1" showErrorMessage="1" errorTitle="Invalid Vertex Label Position" error="You have entered an invalid vertex label position.  Try selecting from the drop-down list instead." promptTitle="Vertex Label Position" prompt="Select an optional vertex label position." sqref="J3:J194">
      <formula1>ValidVertexLabelPositions</formula1>
    </dataValidation>
    <dataValidation allowBlank="1" showInputMessage="1" showErrorMessage="1" promptTitle="Vertex Name" prompt="Enter the name of the vertex." sqref="A3:A194"/>
  </dataValidations>
  <hyperlinks>
    <hyperlink ref="AJ129" r:id="rId1"/>
    <hyperlink ref="AJ130" r:id="rId2"/>
    <hyperlink ref="AJ134" r:id="rId3"/>
    <hyperlink ref="AJ140" r:id="rId4"/>
    <hyperlink ref="AJ144" r:id="rId5"/>
    <hyperlink ref="AJ34" r:id="rId6"/>
    <hyperlink ref="AJ148" r:id="rId7"/>
    <hyperlink ref="AJ150" r:id="rId8"/>
    <hyperlink ref="AJ5" r:id="rId9" location="s=h-l"/>
    <hyperlink ref="AJ7" r:id="rId10"/>
    <hyperlink ref="AJ42" r:id="rId11"/>
    <hyperlink ref="AJ4" r:id="rId12"/>
    <hyperlink ref="AJ154" r:id="rId13"/>
    <hyperlink ref="AJ74" r:id="rId14"/>
    <hyperlink ref="AJ15" r:id="rId15"/>
    <hyperlink ref="AJ25" r:id="rId16"/>
    <hyperlink ref="AJ3" r:id="rId17"/>
    <hyperlink ref="AJ9" r:id="rId18"/>
    <hyperlink ref="AJ20" r:id="rId19"/>
    <hyperlink ref="AJ13" r:id="rId20"/>
    <hyperlink ref="AJ162" r:id="rId21"/>
    <hyperlink ref="AJ17" r:id="rId22"/>
    <hyperlink ref="AJ166" r:id="rId23"/>
    <hyperlink ref="AJ126" r:id="rId24"/>
    <hyperlink ref="AJ55" r:id="rId25"/>
    <hyperlink ref="AJ125" r:id="rId26"/>
    <hyperlink ref="AJ12" r:id="rId27"/>
    <hyperlink ref="AJ52" r:id="rId28"/>
    <hyperlink ref="AJ81" r:id="rId29"/>
    <hyperlink ref="AJ169" r:id="rId30"/>
    <hyperlink ref="AJ170" r:id="rId31"/>
    <hyperlink ref="AJ14" r:id="rId32"/>
    <hyperlink ref="AJ171" r:id="rId33"/>
    <hyperlink ref="AJ27" r:id="rId34"/>
    <hyperlink ref="AJ19" r:id="rId35"/>
    <hyperlink ref="AJ177" r:id="rId36"/>
    <hyperlink ref="AJ181" r:id="rId37"/>
    <hyperlink ref="AJ116" r:id="rId38"/>
    <hyperlink ref="AJ16" r:id="rId39"/>
    <hyperlink ref="AJ77" r:id="rId40"/>
    <hyperlink ref="AJ91" r:id="rId41"/>
    <hyperlink ref="AJ56" r:id="rId42"/>
    <hyperlink ref="AJ98" r:id="rId43"/>
    <hyperlink ref="AJ107" r:id="rId44"/>
    <hyperlink ref="AJ30" r:id="rId45"/>
    <hyperlink ref="AJ89" r:id="rId46"/>
    <hyperlink ref="AJ49" r:id="rId47"/>
    <hyperlink ref="AJ6" r:id="rId48"/>
    <hyperlink ref="AJ79" r:id="rId49"/>
    <hyperlink ref="AJ109" r:id="rId50"/>
    <hyperlink ref="AJ117" r:id="rId51"/>
    <hyperlink ref="AJ66" r:id="rId52"/>
    <hyperlink ref="AJ190" r:id="rId53"/>
    <hyperlink ref="AJ101" r:id="rId54"/>
    <hyperlink ref="AJ102" r:id="rId55"/>
    <hyperlink ref="AJ191" r:id="rId56"/>
    <hyperlink ref="F129" r:id="rId57"/>
    <hyperlink ref="F130" r:id="rId58"/>
    <hyperlink ref="F131" r:id="rId59"/>
    <hyperlink ref="F132" r:id="rId60"/>
    <hyperlink ref="F133" r:id="rId61"/>
    <hyperlink ref="F134" r:id="rId62"/>
    <hyperlink ref="F135" r:id="rId63"/>
    <hyperlink ref="F136" r:id="rId64"/>
    <hyperlink ref="F137" r:id="rId65"/>
    <hyperlink ref="F138" r:id="rId66"/>
    <hyperlink ref="F139" r:id="rId67"/>
    <hyperlink ref="F140" r:id="rId68"/>
    <hyperlink ref="F141" r:id="rId69"/>
    <hyperlink ref="F142" r:id="rId70"/>
    <hyperlink ref="F143" r:id="rId71"/>
    <hyperlink ref="F144" r:id="rId72"/>
    <hyperlink ref="F41" r:id="rId73"/>
    <hyperlink ref="F145" r:id="rId74"/>
    <hyperlink ref="F146" r:id="rId75"/>
    <hyperlink ref="F34" r:id="rId76"/>
    <hyperlink ref="F22" r:id="rId77"/>
    <hyperlink ref="F147" r:id="rId78"/>
    <hyperlink ref="F148" r:id="rId79"/>
    <hyperlink ref="F149" r:id="rId80"/>
    <hyperlink ref="F150" r:id="rId81"/>
    <hyperlink ref="F151" r:id="rId82"/>
    <hyperlink ref="F152" r:id="rId83"/>
    <hyperlink ref="F153" r:id="rId84"/>
    <hyperlink ref="F104" r:id="rId85"/>
    <hyperlink ref="F5" r:id="rId86"/>
    <hyperlink ref="F7" r:id="rId87"/>
    <hyperlink ref="F42" r:id="rId88"/>
    <hyperlink ref="F4" r:id="rId89"/>
    <hyperlink ref="F154" r:id="rId90"/>
    <hyperlink ref="F74" r:id="rId91"/>
    <hyperlink ref="F15" r:id="rId92"/>
    <hyperlink ref="F35" r:id="rId93"/>
    <hyperlink ref="F127" r:id="rId94"/>
    <hyperlink ref="F62" r:id="rId95"/>
    <hyperlink ref="F155" r:id="rId96"/>
    <hyperlink ref="F21" r:id="rId97"/>
    <hyperlink ref="F25" r:id="rId98"/>
    <hyperlink ref="F3" r:id="rId99"/>
    <hyperlink ref="F9" r:id="rId100"/>
    <hyperlink ref="F20" r:id="rId101"/>
    <hyperlink ref="F24" r:id="rId102"/>
    <hyperlink ref="F156" r:id="rId103"/>
    <hyperlink ref="F157" r:id="rId104"/>
    <hyperlink ref="F158" r:id="rId105"/>
    <hyperlink ref="F159" r:id="rId106"/>
    <hyperlink ref="F160" r:id="rId107"/>
    <hyperlink ref="F161" r:id="rId108"/>
    <hyperlink ref="F28" r:id="rId109"/>
    <hyperlink ref="F13" r:id="rId110"/>
    <hyperlink ref="F162" r:id="rId111"/>
    <hyperlink ref="F163" r:id="rId112"/>
    <hyperlink ref="F164" r:id="rId113"/>
    <hyperlink ref="F165" r:id="rId114"/>
    <hyperlink ref="F121" r:id="rId115"/>
    <hyperlink ref="F17" r:id="rId116"/>
    <hyperlink ref="F82" r:id="rId117"/>
    <hyperlink ref="F166" r:id="rId118"/>
    <hyperlink ref="F126" r:id="rId119"/>
    <hyperlink ref="F55" r:id="rId120"/>
    <hyperlink ref="F167" r:id="rId121"/>
    <hyperlink ref="F125" r:id="rId122"/>
    <hyperlink ref="F12" r:id="rId123"/>
    <hyperlink ref="F18" r:id="rId124"/>
    <hyperlink ref="F52" r:id="rId125"/>
    <hyperlink ref="F81" r:id="rId126"/>
    <hyperlink ref="F50" r:id="rId127"/>
    <hyperlink ref="F72" r:id="rId128"/>
    <hyperlink ref="F168" r:id="rId129"/>
    <hyperlink ref="F36" r:id="rId130"/>
    <hyperlink ref="F169" r:id="rId131"/>
    <hyperlink ref="F10" r:id="rId132"/>
    <hyperlink ref="F170" r:id="rId133"/>
    <hyperlink ref="F112" r:id="rId134"/>
    <hyperlink ref="F14" r:id="rId135"/>
    <hyperlink ref="F114" r:id="rId136"/>
    <hyperlink ref="F171" r:id="rId137"/>
    <hyperlink ref="F172" r:id="rId138"/>
    <hyperlink ref="F70" r:id="rId139"/>
    <hyperlink ref="F88" r:id="rId140"/>
    <hyperlink ref="F173" r:id="rId141"/>
    <hyperlink ref="F174" r:id="rId142"/>
    <hyperlink ref="F175" r:id="rId143"/>
    <hyperlink ref="F27" r:id="rId144"/>
    <hyperlink ref="F61" r:id="rId145"/>
    <hyperlink ref="F176" r:id="rId146"/>
    <hyperlink ref="F115" r:id="rId147"/>
    <hyperlink ref="F19" r:id="rId148"/>
    <hyperlink ref="F94" r:id="rId149"/>
    <hyperlink ref="F177" r:id="rId150"/>
    <hyperlink ref="F51" r:id="rId151"/>
    <hyperlink ref="F99" r:id="rId152"/>
    <hyperlink ref="F86" r:id="rId153"/>
    <hyperlink ref="F83" r:id="rId154"/>
    <hyperlink ref="F59" r:id="rId155"/>
    <hyperlink ref="F178" r:id="rId156"/>
    <hyperlink ref="F179" r:id="rId157"/>
    <hyperlink ref="F45" r:id="rId158"/>
    <hyperlink ref="F180" r:id="rId159"/>
    <hyperlink ref="F48" r:id="rId160"/>
    <hyperlink ref="F181" r:id="rId161"/>
    <hyperlink ref="F65" r:id="rId162"/>
    <hyperlink ref="F8" r:id="rId163"/>
    <hyperlink ref="F116" r:id="rId164"/>
    <hyperlink ref="F32" r:id="rId165"/>
    <hyperlink ref="F16" r:id="rId166"/>
    <hyperlink ref="F113" r:id="rId167"/>
    <hyperlink ref="F33" r:id="rId168"/>
    <hyperlink ref="F182" r:id="rId169"/>
    <hyperlink ref="F60" r:id="rId170"/>
    <hyperlink ref="F123" r:id="rId171"/>
    <hyperlink ref="F39" r:id="rId172"/>
    <hyperlink ref="F77" r:id="rId173"/>
    <hyperlink ref="F57" r:id="rId174"/>
    <hyperlink ref="F85" r:id="rId175"/>
    <hyperlink ref="F26" r:id="rId176"/>
    <hyperlink ref="F47" r:id="rId177"/>
    <hyperlink ref="F40" r:id="rId178"/>
    <hyperlink ref="F91" r:id="rId179"/>
    <hyperlink ref="F69" r:id="rId180"/>
    <hyperlink ref="F128" r:id="rId181"/>
    <hyperlink ref="F75" r:id="rId182"/>
    <hyperlink ref="F103" r:id="rId183"/>
    <hyperlink ref="F78" r:id="rId184"/>
    <hyperlink ref="F80" r:id="rId185"/>
    <hyperlink ref="F84" r:id="rId186"/>
    <hyperlink ref="F183" r:id="rId187"/>
    <hyperlink ref="F56" r:id="rId188"/>
    <hyperlink ref="F58" r:id="rId189"/>
    <hyperlink ref="F87" r:id="rId190"/>
    <hyperlink ref="F46" r:id="rId191"/>
    <hyperlink ref="F184" r:id="rId192"/>
    <hyperlink ref="F185" r:id="rId193"/>
    <hyperlink ref="F111" r:id="rId194"/>
    <hyperlink ref="F98" r:id="rId195"/>
    <hyperlink ref="F11" r:id="rId196"/>
    <hyperlink ref="F110" r:id="rId197"/>
    <hyperlink ref="F68" r:id="rId198"/>
    <hyperlink ref="F63" r:id="rId199"/>
    <hyperlink ref="F38" r:id="rId200"/>
    <hyperlink ref="F29" r:id="rId201"/>
    <hyperlink ref="F107" r:id="rId202"/>
    <hyperlink ref="F53" r:id="rId203"/>
    <hyperlink ref="F44" r:id="rId204"/>
    <hyperlink ref="F124" r:id="rId205"/>
    <hyperlink ref="F92" r:id="rId206"/>
    <hyperlink ref="F23" r:id="rId207"/>
    <hyperlink ref="F31" r:id="rId208"/>
    <hyperlink ref="F30" r:id="rId209"/>
    <hyperlink ref="F67" r:id="rId210"/>
    <hyperlink ref="F76" r:id="rId211"/>
    <hyperlink ref="F186" r:id="rId212"/>
    <hyperlink ref="F96" r:id="rId213"/>
    <hyperlink ref="F106" r:id="rId214"/>
    <hyperlink ref="F93" r:id="rId215"/>
    <hyperlink ref="F90" r:id="rId216"/>
    <hyperlink ref="F89" r:id="rId217"/>
    <hyperlink ref="F187" r:id="rId218"/>
    <hyperlink ref="F95" r:id="rId219"/>
    <hyperlink ref="F49" r:id="rId220"/>
    <hyperlink ref="F108" r:id="rId221"/>
    <hyperlink ref="F122" r:id="rId222"/>
    <hyperlink ref="F37" r:id="rId223"/>
    <hyperlink ref="F97" r:id="rId224"/>
    <hyperlink ref="F6" r:id="rId225"/>
    <hyperlink ref="F188" r:id="rId226"/>
    <hyperlink ref="F79" r:id="rId227"/>
    <hyperlink ref="F73" r:id="rId228"/>
    <hyperlink ref="F109" r:id="rId229"/>
    <hyperlink ref="F71" r:id="rId230"/>
    <hyperlink ref="F117" r:id="rId231"/>
    <hyperlink ref="F66" r:id="rId232"/>
    <hyperlink ref="F54" r:id="rId233"/>
    <hyperlink ref="F64" r:id="rId234"/>
    <hyperlink ref="F43" r:id="rId235"/>
    <hyperlink ref="F118" r:id="rId236"/>
    <hyperlink ref="F100" r:id="rId237"/>
    <hyperlink ref="F119" r:id="rId238"/>
    <hyperlink ref="F189" r:id="rId239"/>
    <hyperlink ref="F190" r:id="rId240"/>
    <hyperlink ref="F120" r:id="rId241"/>
    <hyperlink ref="F101" r:id="rId242"/>
    <hyperlink ref="F102" r:id="rId243"/>
    <hyperlink ref="F191" r:id="rId244"/>
    <hyperlink ref="F192" r:id="rId245"/>
    <hyperlink ref="F105" r:id="rId246"/>
    <hyperlink ref="F193" r:id="rId247"/>
    <hyperlink ref="F194" r:id="rId248"/>
    <hyperlink ref="AO129" r:id="rId249"/>
    <hyperlink ref="AO130" r:id="rId250"/>
    <hyperlink ref="AO131" r:id="rId251"/>
    <hyperlink ref="AO132" r:id="rId252"/>
    <hyperlink ref="AO133" r:id="rId253"/>
    <hyperlink ref="AO134" r:id="rId254"/>
    <hyperlink ref="AO135" r:id="rId255"/>
    <hyperlink ref="AO136" r:id="rId256"/>
    <hyperlink ref="AO137" r:id="rId257"/>
    <hyperlink ref="AO138" r:id="rId258"/>
    <hyperlink ref="AO139" r:id="rId259"/>
    <hyperlink ref="AO140" r:id="rId260"/>
    <hyperlink ref="AO141" r:id="rId261"/>
    <hyperlink ref="AO142" r:id="rId262"/>
    <hyperlink ref="AO143" r:id="rId263"/>
    <hyperlink ref="AO144" r:id="rId264"/>
    <hyperlink ref="AO41" r:id="rId265"/>
    <hyperlink ref="AO145" r:id="rId266"/>
    <hyperlink ref="AO146" r:id="rId267"/>
    <hyperlink ref="AO34" r:id="rId268"/>
    <hyperlink ref="AO22" r:id="rId269"/>
    <hyperlink ref="AO147" r:id="rId270"/>
    <hyperlink ref="AO148" r:id="rId271"/>
    <hyperlink ref="AO149" r:id="rId272"/>
    <hyperlink ref="AO150" r:id="rId273"/>
    <hyperlink ref="AO151" r:id="rId274"/>
    <hyperlink ref="AO152" r:id="rId275"/>
    <hyperlink ref="AO153" r:id="rId276"/>
    <hyperlink ref="AO104" r:id="rId277"/>
    <hyperlink ref="AO5" r:id="rId278"/>
    <hyperlink ref="AO7" r:id="rId279"/>
    <hyperlink ref="AO42" r:id="rId280"/>
    <hyperlink ref="AO4" r:id="rId281"/>
    <hyperlink ref="AO154" r:id="rId282"/>
    <hyperlink ref="AO74" r:id="rId283"/>
    <hyperlink ref="AO15" r:id="rId284"/>
    <hyperlink ref="AO35" r:id="rId285"/>
    <hyperlink ref="AO127" r:id="rId286"/>
    <hyperlink ref="AO62" r:id="rId287"/>
    <hyperlink ref="AO155" r:id="rId288"/>
    <hyperlink ref="AO21" r:id="rId289"/>
    <hyperlink ref="AO25" r:id="rId290"/>
    <hyperlink ref="AO3" r:id="rId291"/>
    <hyperlink ref="AO9" r:id="rId292"/>
    <hyperlink ref="AO20" r:id="rId293"/>
    <hyperlink ref="AO24" r:id="rId294"/>
    <hyperlink ref="AO156" r:id="rId295"/>
    <hyperlink ref="AO157" r:id="rId296"/>
    <hyperlink ref="AO158" r:id="rId297"/>
    <hyperlink ref="AO159" r:id="rId298"/>
    <hyperlink ref="AO160" r:id="rId299"/>
    <hyperlink ref="AO161" r:id="rId300"/>
    <hyperlink ref="AO28" r:id="rId301"/>
    <hyperlink ref="AO13" r:id="rId302"/>
    <hyperlink ref="AO162" r:id="rId303"/>
    <hyperlink ref="AO163" r:id="rId304"/>
    <hyperlink ref="AO164" r:id="rId305"/>
    <hyperlink ref="AO165" r:id="rId306"/>
    <hyperlink ref="AO121" r:id="rId307"/>
    <hyperlink ref="AO17" r:id="rId308"/>
    <hyperlink ref="AO82" r:id="rId309"/>
    <hyperlink ref="AO166" r:id="rId310"/>
    <hyperlink ref="AO126" r:id="rId311"/>
    <hyperlink ref="AO55" r:id="rId312"/>
    <hyperlink ref="AO167" r:id="rId313"/>
    <hyperlink ref="AO125" r:id="rId314"/>
    <hyperlink ref="AO12" r:id="rId315"/>
    <hyperlink ref="AO18" r:id="rId316"/>
    <hyperlink ref="AO52" r:id="rId317"/>
    <hyperlink ref="AO81" r:id="rId318"/>
    <hyperlink ref="AO50" r:id="rId319"/>
    <hyperlink ref="AO72" r:id="rId320"/>
    <hyperlink ref="AO168" r:id="rId321"/>
    <hyperlink ref="AO36" r:id="rId322"/>
    <hyperlink ref="AO169" r:id="rId323"/>
    <hyperlink ref="AO10" r:id="rId324"/>
    <hyperlink ref="AO170" r:id="rId325"/>
    <hyperlink ref="AO112" r:id="rId326"/>
    <hyperlink ref="AO14" r:id="rId327"/>
    <hyperlink ref="AO114" r:id="rId328"/>
    <hyperlink ref="AO171" r:id="rId329"/>
    <hyperlink ref="AO172" r:id="rId330"/>
    <hyperlink ref="AO70" r:id="rId331"/>
    <hyperlink ref="AO88" r:id="rId332"/>
    <hyperlink ref="AO173" r:id="rId333"/>
    <hyperlink ref="AO174" r:id="rId334"/>
    <hyperlink ref="AO175" r:id="rId335"/>
    <hyperlink ref="AO27" r:id="rId336"/>
    <hyperlink ref="AO61" r:id="rId337"/>
    <hyperlink ref="AO176" r:id="rId338"/>
    <hyperlink ref="AO115" r:id="rId339"/>
    <hyperlink ref="AO19" r:id="rId340"/>
    <hyperlink ref="AO94" r:id="rId341"/>
    <hyperlink ref="AO177" r:id="rId342"/>
    <hyperlink ref="AO51" r:id="rId343"/>
    <hyperlink ref="AO99" r:id="rId344"/>
    <hyperlink ref="AO86" r:id="rId345"/>
    <hyperlink ref="AO83" r:id="rId346"/>
    <hyperlink ref="AO59" r:id="rId347"/>
    <hyperlink ref="AO178" r:id="rId348"/>
    <hyperlink ref="AO179" r:id="rId349"/>
    <hyperlink ref="AO45" r:id="rId350"/>
    <hyperlink ref="AO180" r:id="rId351"/>
    <hyperlink ref="AO48" r:id="rId352"/>
    <hyperlink ref="AO181" r:id="rId353"/>
    <hyperlink ref="AO65" r:id="rId354"/>
    <hyperlink ref="AO8" r:id="rId355"/>
    <hyperlink ref="AO116" r:id="rId356"/>
    <hyperlink ref="AO32" r:id="rId357"/>
    <hyperlink ref="AO16" r:id="rId358"/>
    <hyperlink ref="AO113" r:id="rId359"/>
    <hyperlink ref="AO33" r:id="rId360"/>
    <hyperlink ref="AO182" r:id="rId361"/>
    <hyperlink ref="AO60" r:id="rId362"/>
    <hyperlink ref="AO123" r:id="rId363"/>
    <hyperlink ref="AO39" r:id="rId364"/>
    <hyperlink ref="AO77" r:id="rId365"/>
    <hyperlink ref="AO57" r:id="rId366"/>
    <hyperlink ref="AO85" r:id="rId367"/>
    <hyperlink ref="AO26" r:id="rId368"/>
    <hyperlink ref="AO47" r:id="rId369"/>
    <hyperlink ref="AO40" r:id="rId370"/>
    <hyperlink ref="AO91" r:id="rId371"/>
    <hyperlink ref="AO69" r:id="rId372"/>
    <hyperlink ref="AO128" r:id="rId373"/>
    <hyperlink ref="AO75" r:id="rId374"/>
    <hyperlink ref="AO103" r:id="rId375"/>
    <hyperlink ref="AO78" r:id="rId376"/>
    <hyperlink ref="AO80" r:id="rId377"/>
    <hyperlink ref="AO84" r:id="rId378"/>
    <hyperlink ref="AO183" r:id="rId379"/>
    <hyperlink ref="AO56" r:id="rId380"/>
    <hyperlink ref="AO58" r:id="rId381"/>
    <hyperlink ref="AO87" r:id="rId382"/>
    <hyperlink ref="AO46" r:id="rId383"/>
    <hyperlink ref="AO184" r:id="rId384"/>
    <hyperlink ref="AO185" r:id="rId385"/>
    <hyperlink ref="AO111" r:id="rId386"/>
    <hyperlink ref="AO98" r:id="rId387"/>
    <hyperlink ref="AO11" r:id="rId388"/>
    <hyperlink ref="AO110" r:id="rId389"/>
    <hyperlink ref="AO68" r:id="rId390"/>
    <hyperlink ref="AO63" r:id="rId391"/>
    <hyperlink ref="AO38" r:id="rId392"/>
    <hyperlink ref="AO29" r:id="rId393"/>
    <hyperlink ref="AO107" r:id="rId394"/>
    <hyperlink ref="AO53" r:id="rId395"/>
    <hyperlink ref="AO44" r:id="rId396"/>
    <hyperlink ref="AO124" r:id="rId397"/>
    <hyperlink ref="AO92" r:id="rId398"/>
    <hyperlink ref="AO23" r:id="rId399"/>
    <hyperlink ref="AO31" r:id="rId400"/>
    <hyperlink ref="AO30" r:id="rId401"/>
    <hyperlink ref="AO67" r:id="rId402"/>
    <hyperlink ref="AO76" r:id="rId403"/>
    <hyperlink ref="AO186" r:id="rId404"/>
    <hyperlink ref="AO96" r:id="rId405"/>
    <hyperlink ref="AO106" r:id="rId406"/>
    <hyperlink ref="AO93" r:id="rId407"/>
    <hyperlink ref="AO90" r:id="rId408"/>
    <hyperlink ref="AO89" r:id="rId409"/>
    <hyperlink ref="AO187" r:id="rId410"/>
    <hyperlink ref="AO95" r:id="rId411"/>
    <hyperlink ref="AO49" r:id="rId412"/>
    <hyperlink ref="AO108" r:id="rId413"/>
    <hyperlink ref="AO122" r:id="rId414"/>
    <hyperlink ref="AO37" r:id="rId415"/>
    <hyperlink ref="AO97" r:id="rId416"/>
    <hyperlink ref="AO6" r:id="rId417"/>
    <hyperlink ref="AO188" r:id="rId418"/>
    <hyperlink ref="AO79" r:id="rId419"/>
    <hyperlink ref="AO73" r:id="rId420"/>
    <hyperlink ref="AO109" r:id="rId421"/>
    <hyperlink ref="AO71" r:id="rId422"/>
    <hyperlink ref="AO117" r:id="rId423"/>
    <hyperlink ref="AO66" r:id="rId424"/>
    <hyperlink ref="AO54" r:id="rId425"/>
    <hyperlink ref="AO64" r:id="rId426"/>
    <hyperlink ref="AO43" r:id="rId427"/>
    <hyperlink ref="AO118" r:id="rId428"/>
    <hyperlink ref="AO100" r:id="rId429"/>
    <hyperlink ref="AO119" r:id="rId430"/>
    <hyperlink ref="AO189" r:id="rId431"/>
    <hyperlink ref="AO190" r:id="rId432"/>
    <hyperlink ref="AO120" r:id="rId433"/>
    <hyperlink ref="AO101" r:id="rId434"/>
    <hyperlink ref="AO102" r:id="rId435"/>
    <hyperlink ref="AO191" r:id="rId436"/>
    <hyperlink ref="AO192" r:id="rId437"/>
    <hyperlink ref="AO105" r:id="rId438"/>
    <hyperlink ref="AO193" r:id="rId439"/>
    <hyperlink ref="AO194" r:id="rId440"/>
  </hyperlinks>
  <pageMargins left="0.7" right="0.7" top="0.75" bottom="0.75" header="0.3" footer="0.3"/>
  <pageSetup orientation="portrait" horizontalDpi="0" verticalDpi="0" r:id="rId441"/>
  <drawing r:id="rId442"/>
  <legacyDrawing r:id="rId443"/>
  <tableParts count="1">
    <tablePart r:id="rId44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48</v>
      </c>
    </row>
    <row r="2" spans="1:1" ht="15" customHeight="1" x14ac:dyDescent="0.25"/>
    <row r="3" spans="1:1" ht="15" customHeight="1" x14ac:dyDescent="0.25">
      <c r="A3" s="30" t="s">
        <v>49</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Y10"/>
  <sheetViews>
    <sheetView workbookViewId="0">
      <pane ySplit="2" topLeftCell="A3" activePane="bottomLeft" state="frozen"/>
      <selection pane="bottomLeft" activeCell="A3" sqref="A3"/>
    </sheetView>
  </sheetViews>
  <sheetFormatPr defaultRowHeight="15" x14ac:dyDescent="0.25"/>
  <cols>
    <col min="1" max="1" width="9.42578125" style="1" bestFit="1" customWidth="1"/>
    <col min="2" max="2" width="14.28515625" hidden="1" customWidth="1"/>
    <col min="3" max="3" width="15" hidden="1" customWidth="1"/>
    <col min="4" max="4" width="11.140625" hidden="1" customWidth="1"/>
    <col min="5" max="5" width="13" hidden="1" customWidth="1"/>
    <col min="6" max="6" width="8" hidden="1" customWidth="1"/>
    <col min="7" max="8" width="13.5703125" hidden="1" customWidth="1"/>
    <col min="9" max="9" width="11" hidden="1" customWidth="1"/>
    <col min="10" max="10" width="12.5703125" hidden="1" customWidth="1"/>
    <col min="11" max="11" width="11" customWidth="1"/>
    <col min="12" max="12" width="9.7109375" customWidth="1"/>
    <col min="13" max="13" width="13.140625" customWidth="1"/>
    <col min="14" max="15" width="8.42578125" customWidth="1"/>
    <col min="16" max="16" width="18.28515625" customWidth="1"/>
    <col min="17" max="17" width="14.85546875" customWidth="1"/>
    <col min="18" max="18" width="14.5703125" customWidth="1"/>
    <col min="19" max="21" width="24.140625" customWidth="1"/>
    <col min="22" max="22" width="21.28515625" customWidth="1"/>
    <col min="23" max="23" width="19.28515625" customWidth="1"/>
    <col min="24" max="24" width="10" customWidth="1"/>
    <col min="25" max="25" width="14.7109375" bestFit="1" customWidth="1"/>
  </cols>
  <sheetData>
    <row r="1" spans="1:25" x14ac:dyDescent="0.25">
      <c r="B1" s="53" t="s">
        <v>38</v>
      </c>
      <c r="C1" s="54"/>
      <c r="D1" s="54"/>
      <c r="E1" s="55"/>
      <c r="F1" s="51" t="s">
        <v>42</v>
      </c>
      <c r="G1" s="56" t="s">
        <v>43</v>
      </c>
      <c r="H1" s="57"/>
      <c r="I1" s="58" t="s">
        <v>39</v>
      </c>
      <c r="J1" s="59"/>
      <c r="K1" s="60" t="s">
        <v>41</v>
      </c>
      <c r="L1" s="61"/>
      <c r="M1" s="61"/>
      <c r="N1" s="61"/>
      <c r="O1" s="61"/>
      <c r="P1" s="61"/>
      <c r="Q1" s="61"/>
      <c r="R1" s="61"/>
      <c r="S1" s="61"/>
      <c r="T1" s="61"/>
      <c r="U1" s="61"/>
      <c r="V1" s="61"/>
      <c r="W1" s="61"/>
      <c r="X1" s="61"/>
    </row>
    <row r="2" spans="1:25" s="13" customFormat="1" ht="30" customHeight="1" x14ac:dyDescent="0.25">
      <c r="A2" s="11" t="s">
        <v>143</v>
      </c>
      <c r="B2" s="13" t="s">
        <v>21</v>
      </c>
      <c r="C2" s="13" t="s">
        <v>20</v>
      </c>
      <c r="D2" s="13" t="s">
        <v>11</v>
      </c>
      <c r="E2" s="13" t="s">
        <v>144</v>
      </c>
      <c r="F2" s="13" t="s">
        <v>45</v>
      </c>
      <c r="G2" s="13" t="s">
        <v>166</v>
      </c>
      <c r="H2" s="13" t="s">
        <v>167</v>
      </c>
      <c r="I2" s="13" t="s">
        <v>12</v>
      </c>
      <c r="J2" s="13" t="s">
        <v>165</v>
      </c>
      <c r="K2" s="13" t="s">
        <v>145</v>
      </c>
      <c r="L2" s="13" t="s">
        <v>147</v>
      </c>
      <c r="M2" s="13" t="s">
        <v>148</v>
      </c>
      <c r="N2" s="13" t="s">
        <v>149</v>
      </c>
      <c r="O2" s="13" t="s">
        <v>150</v>
      </c>
      <c r="P2" s="13" t="s">
        <v>169</v>
      </c>
      <c r="Q2" s="13" t="s">
        <v>170</v>
      </c>
      <c r="R2" s="13" t="s">
        <v>151</v>
      </c>
      <c r="S2" s="13" t="s">
        <v>152</v>
      </c>
      <c r="T2" s="13" t="s">
        <v>153</v>
      </c>
      <c r="U2" s="13" t="s">
        <v>154</v>
      </c>
      <c r="V2" s="13" t="s">
        <v>155</v>
      </c>
      <c r="W2" s="13" t="s">
        <v>156</v>
      </c>
      <c r="X2" s="13" t="s">
        <v>157</v>
      </c>
      <c r="Y2" s="13" t="s">
        <v>2781</v>
      </c>
    </row>
    <row r="3" spans="1:25" x14ac:dyDescent="0.25">
      <c r="A3" s="85" t="s">
        <v>2212</v>
      </c>
      <c r="B3" s="63" t="s">
        <v>2219</v>
      </c>
      <c r="C3" s="63" t="s">
        <v>55</v>
      </c>
      <c r="D3" s="100"/>
      <c r="E3" s="99"/>
      <c r="F3" s="101" t="s">
        <v>2782</v>
      </c>
      <c r="G3" s="102"/>
      <c r="H3" s="102"/>
      <c r="I3" s="103">
        <v>3</v>
      </c>
      <c r="J3" s="104"/>
      <c r="K3" s="48">
        <v>78</v>
      </c>
      <c r="L3" s="48">
        <v>499</v>
      </c>
      <c r="M3" s="48">
        <v>56</v>
      </c>
      <c r="N3" s="48">
        <v>555</v>
      </c>
      <c r="O3" s="48">
        <v>119</v>
      </c>
      <c r="P3" s="49">
        <v>0.53710247349823326</v>
      </c>
      <c r="Q3" s="49">
        <v>0.69885057471264367</v>
      </c>
      <c r="R3" s="48">
        <v>1</v>
      </c>
      <c r="S3" s="48">
        <v>0</v>
      </c>
      <c r="T3" s="48">
        <v>78</v>
      </c>
      <c r="U3" s="48">
        <v>555</v>
      </c>
      <c r="V3" s="48">
        <v>4</v>
      </c>
      <c r="W3" s="49">
        <v>2.3096649999999999</v>
      </c>
      <c r="X3" s="49">
        <v>7.2427572427572431E-2</v>
      </c>
      <c r="Y3" s="76" t="s">
        <v>2782</v>
      </c>
    </row>
    <row r="4" spans="1:25" x14ac:dyDescent="0.25">
      <c r="A4" s="85" t="s">
        <v>2213</v>
      </c>
      <c r="B4" s="63" t="s">
        <v>2220</v>
      </c>
      <c r="C4" s="63" t="s">
        <v>55</v>
      </c>
      <c r="D4" s="106"/>
      <c r="E4" s="105"/>
      <c r="F4" s="107" t="s">
        <v>2783</v>
      </c>
      <c r="G4" s="108"/>
      <c r="H4" s="108"/>
      <c r="I4" s="109">
        <v>4</v>
      </c>
      <c r="J4" s="110"/>
      <c r="K4" s="48">
        <v>63</v>
      </c>
      <c r="L4" s="48">
        <v>366</v>
      </c>
      <c r="M4" s="48">
        <v>40</v>
      </c>
      <c r="N4" s="48">
        <v>406</v>
      </c>
      <c r="O4" s="48">
        <v>82</v>
      </c>
      <c r="P4" s="49">
        <v>0.44594594594594594</v>
      </c>
      <c r="Q4" s="49">
        <v>0.61682242990654201</v>
      </c>
      <c r="R4" s="48">
        <v>1</v>
      </c>
      <c r="S4" s="48">
        <v>0</v>
      </c>
      <c r="T4" s="48">
        <v>63</v>
      </c>
      <c r="U4" s="48">
        <v>406</v>
      </c>
      <c r="V4" s="48">
        <v>4</v>
      </c>
      <c r="W4" s="49">
        <v>2.1607460000000001</v>
      </c>
      <c r="X4" s="49">
        <v>8.218125960061444E-2</v>
      </c>
      <c r="Y4" s="76" t="s">
        <v>2783</v>
      </c>
    </row>
    <row r="5" spans="1:25" x14ac:dyDescent="0.25">
      <c r="A5" s="85" t="s">
        <v>2214</v>
      </c>
      <c r="B5" s="63" t="s">
        <v>2221</v>
      </c>
      <c r="C5" s="63" t="s">
        <v>55</v>
      </c>
      <c r="D5" s="106"/>
      <c r="E5" s="105"/>
      <c r="F5" s="107" t="s">
        <v>2784</v>
      </c>
      <c r="G5" s="108"/>
      <c r="H5" s="108"/>
      <c r="I5" s="109">
        <v>5</v>
      </c>
      <c r="J5" s="110"/>
      <c r="K5" s="48">
        <v>21</v>
      </c>
      <c r="L5" s="48">
        <v>16</v>
      </c>
      <c r="M5" s="48">
        <v>12</v>
      </c>
      <c r="N5" s="48">
        <v>28</v>
      </c>
      <c r="O5" s="48">
        <v>28</v>
      </c>
      <c r="P5" s="49" t="s">
        <v>2233</v>
      </c>
      <c r="Q5" s="49" t="s">
        <v>2233</v>
      </c>
      <c r="R5" s="48">
        <v>21</v>
      </c>
      <c r="S5" s="48">
        <v>21</v>
      </c>
      <c r="T5" s="48">
        <v>1</v>
      </c>
      <c r="U5" s="48">
        <v>3</v>
      </c>
      <c r="V5" s="48">
        <v>0</v>
      </c>
      <c r="W5" s="49">
        <v>0</v>
      </c>
      <c r="X5" s="49">
        <v>0</v>
      </c>
      <c r="Y5" s="76" t="s">
        <v>2784</v>
      </c>
    </row>
    <row r="6" spans="1:25" x14ac:dyDescent="0.25">
      <c r="A6" s="85" t="s">
        <v>2215</v>
      </c>
      <c r="B6" s="63" t="s">
        <v>2222</v>
      </c>
      <c r="C6" s="63" t="s">
        <v>55</v>
      </c>
      <c r="D6" s="106"/>
      <c r="E6" s="105"/>
      <c r="F6" s="107" t="s">
        <v>639</v>
      </c>
      <c r="G6" s="108"/>
      <c r="H6" s="108"/>
      <c r="I6" s="109">
        <v>6</v>
      </c>
      <c r="J6" s="110"/>
      <c r="K6" s="48">
        <v>20</v>
      </c>
      <c r="L6" s="48">
        <v>49</v>
      </c>
      <c r="M6" s="48">
        <v>10</v>
      </c>
      <c r="N6" s="48">
        <v>59</v>
      </c>
      <c r="O6" s="48">
        <v>19</v>
      </c>
      <c r="P6" s="49">
        <v>0.27586206896551724</v>
      </c>
      <c r="Q6" s="49">
        <v>0.43243243243243246</v>
      </c>
      <c r="R6" s="48">
        <v>1</v>
      </c>
      <c r="S6" s="48">
        <v>0</v>
      </c>
      <c r="T6" s="48">
        <v>20</v>
      </c>
      <c r="U6" s="48">
        <v>59</v>
      </c>
      <c r="V6" s="48">
        <v>6</v>
      </c>
      <c r="W6" s="49">
        <v>2.5099999999999998</v>
      </c>
      <c r="X6" s="49">
        <v>9.7368421052631576E-2</v>
      </c>
      <c r="Y6" s="76" t="s">
        <v>639</v>
      </c>
    </row>
    <row r="7" spans="1:25" x14ac:dyDescent="0.25">
      <c r="A7" s="85" t="s">
        <v>2216</v>
      </c>
      <c r="B7" s="63" t="s">
        <v>2223</v>
      </c>
      <c r="C7" s="63" t="s">
        <v>55</v>
      </c>
      <c r="D7" s="106"/>
      <c r="E7" s="105"/>
      <c r="F7" s="107" t="s">
        <v>2785</v>
      </c>
      <c r="G7" s="108"/>
      <c r="H7" s="108"/>
      <c r="I7" s="109">
        <v>7</v>
      </c>
      <c r="J7" s="110"/>
      <c r="K7" s="48">
        <v>6</v>
      </c>
      <c r="L7" s="48">
        <v>3</v>
      </c>
      <c r="M7" s="48">
        <v>20</v>
      </c>
      <c r="N7" s="48">
        <v>23</v>
      </c>
      <c r="O7" s="48">
        <v>11</v>
      </c>
      <c r="P7" s="49">
        <v>0.2</v>
      </c>
      <c r="Q7" s="49">
        <v>0.33333333333333331</v>
      </c>
      <c r="R7" s="48">
        <v>1</v>
      </c>
      <c r="S7" s="48">
        <v>0</v>
      </c>
      <c r="T7" s="48">
        <v>6</v>
      </c>
      <c r="U7" s="48">
        <v>23</v>
      </c>
      <c r="V7" s="48">
        <v>4</v>
      </c>
      <c r="W7" s="49">
        <v>1.7777780000000001</v>
      </c>
      <c r="X7" s="49">
        <v>0.2</v>
      </c>
      <c r="Y7" s="76" t="s">
        <v>2785</v>
      </c>
    </row>
    <row r="8" spans="1:25" x14ac:dyDescent="0.25">
      <c r="A8" s="85" t="s">
        <v>2217</v>
      </c>
      <c r="B8" s="63" t="s">
        <v>2224</v>
      </c>
      <c r="C8" s="63" t="s">
        <v>55</v>
      </c>
      <c r="D8" s="106"/>
      <c r="E8" s="105"/>
      <c r="F8" s="107" t="s">
        <v>638</v>
      </c>
      <c r="G8" s="108"/>
      <c r="H8" s="108"/>
      <c r="I8" s="109">
        <v>8</v>
      </c>
      <c r="J8" s="110"/>
      <c r="K8" s="48">
        <v>2</v>
      </c>
      <c r="L8" s="48">
        <v>1</v>
      </c>
      <c r="M8" s="48">
        <v>2</v>
      </c>
      <c r="N8" s="48">
        <v>3</v>
      </c>
      <c r="O8" s="48">
        <v>2</v>
      </c>
      <c r="P8" s="49">
        <v>0</v>
      </c>
      <c r="Q8" s="49">
        <v>0</v>
      </c>
      <c r="R8" s="48">
        <v>1</v>
      </c>
      <c r="S8" s="48">
        <v>0</v>
      </c>
      <c r="T8" s="48">
        <v>2</v>
      </c>
      <c r="U8" s="48">
        <v>3</v>
      </c>
      <c r="V8" s="48">
        <v>1</v>
      </c>
      <c r="W8" s="49">
        <v>0.5</v>
      </c>
      <c r="X8" s="49">
        <v>0.5</v>
      </c>
      <c r="Y8" s="76" t="s">
        <v>638</v>
      </c>
    </row>
    <row r="9" spans="1:25" x14ac:dyDescent="0.25">
      <c r="A9" s="85" t="s">
        <v>2218</v>
      </c>
      <c r="B9" s="63" t="s">
        <v>2225</v>
      </c>
      <c r="C9" s="63" t="s">
        <v>55</v>
      </c>
      <c r="D9" s="106"/>
      <c r="E9" s="105"/>
      <c r="F9" s="107"/>
      <c r="G9" s="108"/>
      <c r="H9" s="108"/>
      <c r="I9" s="109">
        <v>9</v>
      </c>
      <c r="J9" s="110"/>
      <c r="K9" s="48">
        <v>2</v>
      </c>
      <c r="L9" s="48">
        <v>0</v>
      </c>
      <c r="M9" s="48">
        <v>8</v>
      </c>
      <c r="N9" s="48">
        <v>8</v>
      </c>
      <c r="O9" s="48">
        <v>4</v>
      </c>
      <c r="P9" s="49">
        <v>0</v>
      </c>
      <c r="Q9" s="49">
        <v>0</v>
      </c>
      <c r="R9" s="48">
        <v>1</v>
      </c>
      <c r="S9" s="48">
        <v>0</v>
      </c>
      <c r="T9" s="48">
        <v>2</v>
      </c>
      <c r="U9" s="48">
        <v>8</v>
      </c>
      <c r="V9" s="48">
        <v>1</v>
      </c>
      <c r="W9" s="49">
        <v>0.5</v>
      </c>
      <c r="X9" s="49">
        <v>0.5</v>
      </c>
      <c r="Y9" s="76"/>
    </row>
    <row r="10" spans="1:25" ht="14.25" customHeight="1" x14ac:dyDescent="0.25"/>
  </sheetData>
  <dataConsolidate/>
  <dataValidations count="8">
    <dataValidation allowBlank="1" showInputMessage="1" promptTitle="Group Vertex Color" prompt="To select a color to use for all vertices in the group, right-click and select Select Color on the right-click menu." sqref="B3"/>
    <dataValidation type="list" allowBlank="1" showInputMessage="1" showErrorMessage="1" errorTitle="Invalid Group Vertex Shape" error="You have entered an invalid group vertex shape.  Try selecting from the drop-down list instead." promptTitle="Group 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invalid group &quot;collapsed.&quot;  Try selecting from the drop-down list instead." promptTitle="Group Collapsed?" prompt="Set to Yes to collapse the group." sqref="E3">
      <formula1>ValidBooleansDefaultFalse</formula1>
    </dataValidation>
    <dataValidation allowBlank="1" sqref="K3"/>
    <dataValidation allowBlank="1" showInputMessage="1" showErrorMessage="1" errorTitle="Invalid Group Collapsed" error="You have entered an unrecognized &quot;group collapsed.&quot;  Try selecting from the drop-down list instead." promptTitle="Group Label" prompt="Enter an optional group label." sqref="F3"/>
    <dataValidation allowBlank="1" showInputMessage="1" showErrorMessage="1" errorTitle="Invalid Group Collapsed" error="You have entered an unrecognized &quot;group collapsed.&quot;  Try selecting from the drop-down list instead." promptTitle="Collapsed Location" prompt="Enter an optional collapsed location.  Collapsed X and Y values should be between 0 and 9,999.  If you enter Collapsed X and Y values, you should set NodeXL, Graph, Layout to &quot;None&quot; to prevent NodeXL from overwriting your values when you show the graph." sqref="G3:H3"/>
    <dataValidation type="list" allowBlank="1" showInputMessage="1" showErrorMessage="1" errorTitle="Invalid Group Visibility" error="You have entered an invalid group visibility.  Try selecting from the drop-down list instead." promptTitle="Group Visibility" prompt="Select an optional group visibility.  Groups are shown by default." sqref="D3">
      <formula1>ValidGroupVisibilities</formula1>
    </dataValidation>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193"/>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ht="15" customHeight="1" x14ac:dyDescent="0.25">
      <c r="A1" s="11" t="s">
        <v>143</v>
      </c>
      <c r="B1" s="11" t="s">
        <v>5</v>
      </c>
      <c r="C1" s="11" t="s">
        <v>146</v>
      </c>
    </row>
    <row r="2" spans="1:3" x14ac:dyDescent="0.25">
      <c r="A2" s="76" t="s">
        <v>2212</v>
      </c>
      <c r="B2" s="83" t="s">
        <v>379</v>
      </c>
      <c r="C2" s="76">
        <f>VLOOKUP(GroupVertices[[#This Row],[Vertex]], Vertices[], MATCH("ID", Vertices[#Headers], 0), FALSE)</f>
        <v>194</v>
      </c>
    </row>
    <row r="3" spans="1:3" x14ac:dyDescent="0.25">
      <c r="A3" s="76" t="s">
        <v>2212</v>
      </c>
      <c r="B3" s="83" t="s">
        <v>352</v>
      </c>
      <c r="C3" s="76">
        <f>VLOOKUP(GroupVertices[[#This Row],[Vertex]], Vertices[], MATCH("ID", Vertices[#Headers], 0), FALSE)</f>
        <v>171</v>
      </c>
    </row>
    <row r="4" spans="1:3" x14ac:dyDescent="0.25">
      <c r="A4" s="76" t="s">
        <v>2212</v>
      </c>
      <c r="B4" s="83" t="s">
        <v>378</v>
      </c>
      <c r="C4" s="76">
        <f>VLOOKUP(GroupVertices[[#This Row],[Vertex]], Vertices[], MATCH("ID", Vertices[#Headers], 0), FALSE)</f>
        <v>193</v>
      </c>
    </row>
    <row r="5" spans="1:3" x14ac:dyDescent="0.25">
      <c r="A5" s="76" t="s">
        <v>2212</v>
      </c>
      <c r="B5" s="83" t="s">
        <v>240</v>
      </c>
      <c r="C5" s="76">
        <f>VLOOKUP(GroupVertices[[#This Row],[Vertex]], Vertices[], MATCH("ID", Vertices[#Headers], 0), FALSE)</f>
        <v>69</v>
      </c>
    </row>
    <row r="6" spans="1:3" x14ac:dyDescent="0.25">
      <c r="A6" s="76" t="s">
        <v>2212</v>
      </c>
      <c r="B6" s="83" t="s">
        <v>377</v>
      </c>
      <c r="C6" s="76">
        <f>VLOOKUP(GroupVertices[[#This Row],[Vertex]], Vertices[], MATCH("ID", Vertices[#Headers], 0), FALSE)</f>
        <v>192</v>
      </c>
    </row>
    <row r="7" spans="1:3" x14ac:dyDescent="0.25">
      <c r="A7" s="76" t="s">
        <v>2212</v>
      </c>
      <c r="B7" s="83" t="s">
        <v>367</v>
      </c>
      <c r="C7" s="76">
        <f>VLOOKUP(GroupVertices[[#This Row],[Vertex]], Vertices[], MATCH("ID", Vertices[#Headers], 0), FALSE)</f>
        <v>33</v>
      </c>
    </row>
    <row r="8" spans="1:3" x14ac:dyDescent="0.25">
      <c r="A8" s="76" t="s">
        <v>2212</v>
      </c>
      <c r="B8" s="83" t="s">
        <v>376</v>
      </c>
      <c r="C8" s="76">
        <f>VLOOKUP(GroupVertices[[#This Row],[Vertex]], Vertices[], MATCH("ID", Vertices[#Headers], 0), FALSE)</f>
        <v>32</v>
      </c>
    </row>
    <row r="9" spans="1:3" x14ac:dyDescent="0.25">
      <c r="A9" s="76" t="s">
        <v>2212</v>
      </c>
      <c r="B9" s="83" t="s">
        <v>375</v>
      </c>
      <c r="C9" s="76">
        <f>VLOOKUP(GroupVertices[[#This Row],[Vertex]], Vertices[], MATCH("ID", Vertices[#Headers], 0), FALSE)</f>
        <v>191</v>
      </c>
    </row>
    <row r="10" spans="1:3" x14ac:dyDescent="0.25">
      <c r="A10" s="76" t="s">
        <v>2212</v>
      </c>
      <c r="B10" s="83" t="s">
        <v>374</v>
      </c>
      <c r="C10" s="76">
        <f>VLOOKUP(GroupVertices[[#This Row],[Vertex]], Vertices[], MATCH("ID", Vertices[#Headers], 0), FALSE)</f>
        <v>190</v>
      </c>
    </row>
    <row r="11" spans="1:3" x14ac:dyDescent="0.25">
      <c r="A11" s="76" t="s">
        <v>2212</v>
      </c>
      <c r="B11" s="83" t="s">
        <v>373</v>
      </c>
      <c r="C11" s="76">
        <f>VLOOKUP(GroupVertices[[#This Row],[Vertex]], Vertices[], MATCH("ID", Vertices[#Headers], 0), FALSE)</f>
        <v>189</v>
      </c>
    </row>
    <row r="12" spans="1:3" x14ac:dyDescent="0.25">
      <c r="A12" s="76" t="s">
        <v>2212</v>
      </c>
      <c r="B12" s="83" t="s">
        <v>372</v>
      </c>
      <c r="C12" s="76">
        <f>VLOOKUP(GroupVertices[[#This Row],[Vertex]], Vertices[], MATCH("ID", Vertices[#Headers], 0), FALSE)</f>
        <v>188</v>
      </c>
    </row>
    <row r="13" spans="1:3" x14ac:dyDescent="0.25">
      <c r="A13" s="76" t="s">
        <v>2212</v>
      </c>
      <c r="B13" s="83" t="s">
        <v>371</v>
      </c>
      <c r="C13" s="76">
        <f>VLOOKUP(GroupVertices[[#This Row],[Vertex]], Vertices[], MATCH("ID", Vertices[#Headers], 0), FALSE)</f>
        <v>187</v>
      </c>
    </row>
    <row r="14" spans="1:3" x14ac:dyDescent="0.25">
      <c r="A14" s="76" t="s">
        <v>2212</v>
      </c>
      <c r="B14" s="83" t="s">
        <v>285</v>
      </c>
      <c r="C14" s="76">
        <f>VLOOKUP(GroupVertices[[#This Row],[Vertex]], Vertices[], MATCH("ID", Vertices[#Headers], 0), FALSE)</f>
        <v>47</v>
      </c>
    </row>
    <row r="15" spans="1:3" x14ac:dyDescent="0.25">
      <c r="A15" s="76" t="s">
        <v>2212</v>
      </c>
      <c r="B15" s="83" t="s">
        <v>331</v>
      </c>
      <c r="C15" s="76">
        <f>VLOOKUP(GroupVertices[[#This Row],[Vertex]], Vertices[], MATCH("ID", Vertices[#Headers], 0), FALSE)</f>
        <v>154</v>
      </c>
    </row>
    <row r="16" spans="1:3" x14ac:dyDescent="0.25">
      <c r="A16" s="76" t="s">
        <v>2212</v>
      </c>
      <c r="B16" s="83" t="s">
        <v>370</v>
      </c>
      <c r="C16" s="76">
        <f>VLOOKUP(GroupVertices[[#This Row],[Vertex]], Vertices[], MATCH("ID", Vertices[#Headers], 0), FALSE)</f>
        <v>186</v>
      </c>
    </row>
    <row r="17" spans="1:3" x14ac:dyDescent="0.25">
      <c r="A17" s="76" t="s">
        <v>2212</v>
      </c>
      <c r="B17" s="83" t="s">
        <v>369</v>
      </c>
      <c r="C17" s="76">
        <f>VLOOKUP(GroupVertices[[#This Row],[Vertex]], Vertices[], MATCH("ID", Vertices[#Headers], 0), FALSE)</f>
        <v>185</v>
      </c>
    </row>
    <row r="18" spans="1:3" x14ac:dyDescent="0.25">
      <c r="A18" s="76" t="s">
        <v>2212</v>
      </c>
      <c r="B18" s="83" t="s">
        <v>323</v>
      </c>
      <c r="C18" s="76">
        <f>VLOOKUP(GroupVertices[[#This Row],[Vertex]], Vertices[], MATCH("ID", Vertices[#Headers], 0), FALSE)</f>
        <v>147</v>
      </c>
    </row>
    <row r="19" spans="1:3" x14ac:dyDescent="0.25">
      <c r="A19" s="76" t="s">
        <v>2212</v>
      </c>
      <c r="B19" s="83" t="s">
        <v>364</v>
      </c>
      <c r="C19" s="76">
        <f>VLOOKUP(GroupVertices[[#This Row],[Vertex]], Vertices[], MATCH("ID", Vertices[#Headers], 0), FALSE)</f>
        <v>184</v>
      </c>
    </row>
    <row r="20" spans="1:3" x14ac:dyDescent="0.25">
      <c r="A20" s="76" t="s">
        <v>2212</v>
      </c>
      <c r="B20" s="83" t="s">
        <v>357</v>
      </c>
      <c r="C20" s="76">
        <f>VLOOKUP(GroupVertices[[#This Row],[Vertex]], Vertices[], MATCH("ID", Vertices[#Headers], 0), FALSE)</f>
        <v>176</v>
      </c>
    </row>
    <row r="21" spans="1:3" x14ac:dyDescent="0.25">
      <c r="A21" s="76" t="s">
        <v>2212</v>
      </c>
      <c r="B21" s="83" t="s">
        <v>349</v>
      </c>
      <c r="C21" s="76">
        <f>VLOOKUP(GroupVertices[[#This Row],[Vertex]], Vertices[], MATCH("ID", Vertices[#Headers], 0), FALSE)</f>
        <v>169</v>
      </c>
    </row>
    <row r="22" spans="1:3" x14ac:dyDescent="0.25">
      <c r="A22" s="76" t="s">
        <v>2212</v>
      </c>
      <c r="B22" s="83" t="s">
        <v>328</v>
      </c>
      <c r="C22" s="76">
        <f>VLOOKUP(GroupVertices[[#This Row],[Vertex]], Vertices[], MATCH("ID", Vertices[#Headers], 0), FALSE)</f>
        <v>150</v>
      </c>
    </row>
    <row r="23" spans="1:3" x14ac:dyDescent="0.25">
      <c r="A23" s="76" t="s">
        <v>2212</v>
      </c>
      <c r="B23" s="83" t="s">
        <v>361</v>
      </c>
      <c r="C23" s="76">
        <f>VLOOKUP(GroupVertices[[#This Row],[Vertex]], Vertices[], MATCH("ID", Vertices[#Headers], 0), FALSE)</f>
        <v>180</v>
      </c>
    </row>
    <row r="24" spans="1:3" x14ac:dyDescent="0.25">
      <c r="A24" s="76" t="s">
        <v>2212</v>
      </c>
      <c r="B24" s="83" t="s">
        <v>321</v>
      </c>
      <c r="C24" s="76">
        <f>VLOOKUP(GroupVertices[[#This Row],[Vertex]], Vertices[], MATCH("ID", Vertices[#Headers], 0), FALSE)</f>
        <v>146</v>
      </c>
    </row>
    <row r="25" spans="1:3" x14ac:dyDescent="0.25">
      <c r="A25" s="76" t="s">
        <v>2212</v>
      </c>
      <c r="B25" s="83" t="s">
        <v>362</v>
      </c>
      <c r="C25" s="76">
        <f>VLOOKUP(GroupVertices[[#This Row],[Vertex]], Vertices[], MATCH("ID", Vertices[#Headers], 0), FALSE)</f>
        <v>181</v>
      </c>
    </row>
    <row r="26" spans="1:3" x14ac:dyDescent="0.25">
      <c r="A26" s="76" t="s">
        <v>2212</v>
      </c>
      <c r="B26" s="83" t="s">
        <v>360</v>
      </c>
      <c r="C26" s="76">
        <f>VLOOKUP(GroupVertices[[#This Row],[Vertex]], Vertices[], MATCH("ID", Vertices[#Headers], 0), FALSE)</f>
        <v>179</v>
      </c>
    </row>
    <row r="27" spans="1:3" x14ac:dyDescent="0.25">
      <c r="A27" s="76" t="s">
        <v>2212</v>
      </c>
      <c r="B27" s="83" t="s">
        <v>359</v>
      </c>
      <c r="C27" s="76">
        <f>VLOOKUP(GroupVertices[[#This Row],[Vertex]], Vertices[], MATCH("ID", Vertices[#Headers], 0), FALSE)</f>
        <v>178</v>
      </c>
    </row>
    <row r="28" spans="1:3" x14ac:dyDescent="0.25">
      <c r="A28" s="76" t="s">
        <v>2212</v>
      </c>
      <c r="B28" s="83" t="s">
        <v>363</v>
      </c>
      <c r="C28" s="76">
        <f>VLOOKUP(GroupVertices[[#This Row],[Vertex]], Vertices[], MATCH("ID", Vertices[#Headers], 0), FALSE)</f>
        <v>183</v>
      </c>
    </row>
    <row r="29" spans="1:3" x14ac:dyDescent="0.25">
      <c r="A29" s="76" t="s">
        <v>2212</v>
      </c>
      <c r="B29" s="83" t="s">
        <v>365</v>
      </c>
      <c r="C29" s="76">
        <f>VLOOKUP(GroupVertices[[#This Row],[Vertex]], Vertices[], MATCH("ID", Vertices[#Headers], 0), FALSE)</f>
        <v>182</v>
      </c>
    </row>
    <row r="30" spans="1:3" x14ac:dyDescent="0.25">
      <c r="A30" s="76" t="s">
        <v>2212</v>
      </c>
      <c r="B30" s="83" t="s">
        <v>273</v>
      </c>
      <c r="C30" s="76">
        <f>VLOOKUP(GroupVertices[[#This Row],[Vertex]], Vertices[], MATCH("ID", Vertices[#Headers], 0), FALSE)</f>
        <v>104</v>
      </c>
    </row>
    <row r="31" spans="1:3" x14ac:dyDescent="0.25">
      <c r="A31" s="76" t="s">
        <v>2212</v>
      </c>
      <c r="B31" s="83" t="s">
        <v>322</v>
      </c>
      <c r="C31" s="76">
        <f>VLOOKUP(GroupVertices[[#This Row],[Vertex]], Vertices[], MATCH("ID", Vertices[#Headers], 0), FALSE)</f>
        <v>48</v>
      </c>
    </row>
    <row r="32" spans="1:3" x14ac:dyDescent="0.25">
      <c r="A32" s="76" t="s">
        <v>2212</v>
      </c>
      <c r="B32" s="83" t="s">
        <v>302</v>
      </c>
      <c r="C32" s="76">
        <f>VLOOKUP(GroupVertices[[#This Row],[Vertex]], Vertices[], MATCH("ID", Vertices[#Headers], 0), FALSE)</f>
        <v>70</v>
      </c>
    </row>
    <row r="33" spans="1:3" x14ac:dyDescent="0.25">
      <c r="A33" s="76" t="s">
        <v>2212</v>
      </c>
      <c r="B33" s="83" t="s">
        <v>356</v>
      </c>
      <c r="C33" s="76">
        <f>VLOOKUP(GroupVertices[[#This Row],[Vertex]], Vertices[], MATCH("ID", Vertices[#Headers], 0), FALSE)</f>
        <v>173</v>
      </c>
    </row>
    <row r="34" spans="1:3" x14ac:dyDescent="0.25">
      <c r="A34" s="76" t="s">
        <v>2212</v>
      </c>
      <c r="B34" s="83" t="s">
        <v>239</v>
      </c>
      <c r="C34" s="76">
        <f>VLOOKUP(GroupVertices[[#This Row],[Vertex]], Vertices[], MATCH("ID", Vertices[#Headers], 0), FALSE)</f>
        <v>71</v>
      </c>
    </row>
    <row r="35" spans="1:3" x14ac:dyDescent="0.25">
      <c r="A35" s="76" t="s">
        <v>2212</v>
      </c>
      <c r="B35" s="83" t="s">
        <v>236</v>
      </c>
      <c r="C35" s="76">
        <f>VLOOKUP(GroupVertices[[#This Row],[Vertex]], Vertices[], MATCH("ID", Vertices[#Headers], 0), FALSE)</f>
        <v>66</v>
      </c>
    </row>
    <row r="36" spans="1:3" x14ac:dyDescent="0.25">
      <c r="A36" s="76" t="s">
        <v>2212</v>
      </c>
      <c r="B36" s="83" t="s">
        <v>358</v>
      </c>
      <c r="C36" s="76">
        <f>VLOOKUP(GroupVertices[[#This Row],[Vertex]], Vertices[], MATCH("ID", Vertices[#Headers], 0), FALSE)</f>
        <v>177</v>
      </c>
    </row>
    <row r="37" spans="1:3" x14ac:dyDescent="0.25">
      <c r="A37" s="76" t="s">
        <v>2212</v>
      </c>
      <c r="B37" s="83" t="s">
        <v>351</v>
      </c>
      <c r="C37" s="76">
        <f>VLOOKUP(GroupVertices[[#This Row],[Vertex]], Vertices[], MATCH("ID", Vertices[#Headers], 0), FALSE)</f>
        <v>170</v>
      </c>
    </row>
    <row r="38" spans="1:3" x14ac:dyDescent="0.25">
      <c r="A38" s="76" t="s">
        <v>2212</v>
      </c>
      <c r="B38" s="83" t="s">
        <v>217</v>
      </c>
      <c r="C38" s="76">
        <f>VLOOKUP(GroupVertices[[#This Row],[Vertex]], Vertices[], MATCH("ID", Vertices[#Headers], 0), FALSE)</f>
        <v>38</v>
      </c>
    </row>
    <row r="39" spans="1:3" x14ac:dyDescent="0.25">
      <c r="A39" s="76" t="s">
        <v>2212</v>
      </c>
      <c r="B39" s="83" t="s">
        <v>354</v>
      </c>
      <c r="C39" s="76">
        <f>VLOOKUP(GroupVertices[[#This Row],[Vertex]], Vertices[], MATCH("ID", Vertices[#Headers], 0), FALSE)</f>
        <v>175</v>
      </c>
    </row>
    <row r="40" spans="1:3" x14ac:dyDescent="0.25">
      <c r="A40" s="76" t="s">
        <v>2212</v>
      </c>
      <c r="B40" s="83" t="s">
        <v>353</v>
      </c>
      <c r="C40" s="76">
        <f>VLOOKUP(GroupVertices[[#This Row],[Vertex]], Vertices[], MATCH("ID", Vertices[#Headers], 0), FALSE)</f>
        <v>174</v>
      </c>
    </row>
    <row r="41" spans="1:3" x14ac:dyDescent="0.25">
      <c r="A41" s="76" t="s">
        <v>2212</v>
      </c>
      <c r="B41" s="83" t="s">
        <v>346</v>
      </c>
      <c r="C41" s="76">
        <f>VLOOKUP(GroupVertices[[#This Row],[Vertex]], Vertices[], MATCH("ID", Vertices[#Headers], 0), FALSE)</f>
        <v>56</v>
      </c>
    </row>
    <row r="42" spans="1:3" x14ac:dyDescent="0.25">
      <c r="A42" s="76" t="s">
        <v>2212</v>
      </c>
      <c r="B42" s="83" t="s">
        <v>355</v>
      </c>
      <c r="C42" s="76">
        <f>VLOOKUP(GroupVertices[[#This Row],[Vertex]], Vertices[], MATCH("ID", Vertices[#Headers], 0), FALSE)</f>
        <v>172</v>
      </c>
    </row>
    <row r="43" spans="1:3" x14ac:dyDescent="0.25">
      <c r="A43" s="76" t="s">
        <v>2212</v>
      </c>
      <c r="B43" s="83" t="s">
        <v>218</v>
      </c>
      <c r="C43" s="76">
        <f>VLOOKUP(GroupVertices[[#This Row],[Vertex]], Vertices[], MATCH("ID", Vertices[#Headers], 0), FALSE)</f>
        <v>41</v>
      </c>
    </row>
    <row r="44" spans="1:3" x14ac:dyDescent="0.25">
      <c r="A44" s="76" t="s">
        <v>2212</v>
      </c>
      <c r="B44" s="83" t="s">
        <v>233</v>
      </c>
      <c r="C44" s="76">
        <f>VLOOKUP(GroupVertices[[#This Row],[Vertex]], Vertices[], MATCH("ID", Vertices[#Headers], 0), FALSE)</f>
        <v>63</v>
      </c>
    </row>
    <row r="45" spans="1:3" x14ac:dyDescent="0.25">
      <c r="A45" s="76" t="s">
        <v>2212</v>
      </c>
      <c r="B45" s="83" t="s">
        <v>228</v>
      </c>
      <c r="C45" s="76">
        <f>VLOOKUP(GroupVertices[[#This Row],[Vertex]], Vertices[], MATCH("ID", Vertices[#Headers], 0), FALSE)</f>
        <v>39</v>
      </c>
    </row>
    <row r="46" spans="1:3" x14ac:dyDescent="0.25">
      <c r="A46" s="76" t="s">
        <v>2212</v>
      </c>
      <c r="B46" s="83" t="s">
        <v>260</v>
      </c>
      <c r="C46" s="76">
        <f>VLOOKUP(GroupVertices[[#This Row],[Vertex]], Vertices[], MATCH("ID", Vertices[#Headers], 0), FALSE)</f>
        <v>91</v>
      </c>
    </row>
    <row r="47" spans="1:3" x14ac:dyDescent="0.25">
      <c r="A47" s="76" t="s">
        <v>2212</v>
      </c>
      <c r="B47" s="83" t="s">
        <v>348</v>
      </c>
      <c r="C47" s="76">
        <f>VLOOKUP(GroupVertices[[#This Row],[Vertex]], Vertices[], MATCH("ID", Vertices[#Headers], 0), FALSE)</f>
        <v>168</v>
      </c>
    </row>
    <row r="48" spans="1:3" x14ac:dyDescent="0.25">
      <c r="A48" s="76" t="s">
        <v>2212</v>
      </c>
      <c r="B48" s="83" t="s">
        <v>350</v>
      </c>
      <c r="C48" s="76">
        <f>VLOOKUP(GroupVertices[[#This Row],[Vertex]], Vertices[], MATCH("ID", Vertices[#Headers], 0), FALSE)</f>
        <v>62</v>
      </c>
    </row>
    <row r="49" spans="1:3" x14ac:dyDescent="0.25">
      <c r="A49" s="76" t="s">
        <v>2212</v>
      </c>
      <c r="B49" s="83" t="s">
        <v>344</v>
      </c>
      <c r="C49" s="76">
        <f>VLOOKUP(GroupVertices[[#This Row],[Vertex]], Vertices[], MATCH("ID", Vertices[#Headers], 0), FALSE)</f>
        <v>165</v>
      </c>
    </row>
    <row r="50" spans="1:3" x14ac:dyDescent="0.25">
      <c r="A50" s="76" t="s">
        <v>2212</v>
      </c>
      <c r="B50" s="83" t="s">
        <v>342</v>
      </c>
      <c r="C50" s="76">
        <f>VLOOKUP(GroupVertices[[#This Row],[Vertex]], Vertices[], MATCH("ID", Vertices[#Headers], 0), FALSE)</f>
        <v>163</v>
      </c>
    </row>
    <row r="51" spans="1:3" x14ac:dyDescent="0.25">
      <c r="A51" s="76" t="s">
        <v>2212</v>
      </c>
      <c r="B51" s="83" t="s">
        <v>341</v>
      </c>
      <c r="C51" s="76">
        <f>VLOOKUP(GroupVertices[[#This Row],[Vertex]], Vertices[], MATCH("ID", Vertices[#Headers], 0), FALSE)</f>
        <v>162</v>
      </c>
    </row>
    <row r="52" spans="1:3" x14ac:dyDescent="0.25">
      <c r="A52" s="76" t="s">
        <v>2212</v>
      </c>
      <c r="B52" s="83" t="s">
        <v>255</v>
      </c>
      <c r="C52" s="76">
        <f>VLOOKUP(GroupVertices[[#This Row],[Vertex]], Vertices[], MATCH("ID", Vertices[#Headers], 0), FALSE)</f>
        <v>86</v>
      </c>
    </row>
    <row r="53" spans="1:3" x14ac:dyDescent="0.25">
      <c r="A53" s="76" t="s">
        <v>2212</v>
      </c>
      <c r="B53" s="83" t="s">
        <v>327</v>
      </c>
      <c r="C53" s="76">
        <f>VLOOKUP(GroupVertices[[#This Row],[Vertex]], Vertices[], MATCH("ID", Vertices[#Headers], 0), FALSE)</f>
        <v>151</v>
      </c>
    </row>
    <row r="54" spans="1:3" x14ac:dyDescent="0.25">
      <c r="A54" s="76" t="s">
        <v>2212</v>
      </c>
      <c r="B54" s="83" t="s">
        <v>326</v>
      </c>
      <c r="C54" s="76">
        <f>VLOOKUP(GroupVertices[[#This Row],[Vertex]], Vertices[], MATCH("ID", Vertices[#Headers], 0), FALSE)</f>
        <v>149</v>
      </c>
    </row>
    <row r="55" spans="1:3" x14ac:dyDescent="0.25">
      <c r="A55" s="76" t="s">
        <v>2212</v>
      </c>
      <c r="B55" s="83" t="s">
        <v>316</v>
      </c>
      <c r="C55" s="76">
        <f>VLOOKUP(GroupVertices[[#This Row],[Vertex]], Vertices[], MATCH("ID", Vertices[#Headers], 0), FALSE)</f>
        <v>139</v>
      </c>
    </row>
    <row r="56" spans="1:3" x14ac:dyDescent="0.25">
      <c r="A56" s="76" t="s">
        <v>2212</v>
      </c>
      <c r="B56" s="83" t="s">
        <v>274</v>
      </c>
      <c r="C56" s="76">
        <f>VLOOKUP(GroupVertices[[#This Row],[Vertex]], Vertices[], MATCH("ID", Vertices[#Headers], 0), FALSE)</f>
        <v>105</v>
      </c>
    </row>
    <row r="57" spans="1:3" x14ac:dyDescent="0.25">
      <c r="A57" s="76" t="s">
        <v>2212</v>
      </c>
      <c r="B57" s="83" t="s">
        <v>272</v>
      </c>
      <c r="C57" s="76">
        <f>VLOOKUP(GroupVertices[[#This Row],[Vertex]], Vertices[], MATCH("ID", Vertices[#Headers], 0), FALSE)</f>
        <v>40</v>
      </c>
    </row>
    <row r="58" spans="1:3" x14ac:dyDescent="0.25">
      <c r="A58" s="76" t="s">
        <v>2212</v>
      </c>
      <c r="B58" s="83" t="s">
        <v>259</v>
      </c>
      <c r="C58" s="76">
        <f>VLOOKUP(GroupVertices[[#This Row],[Vertex]], Vertices[], MATCH("ID", Vertices[#Headers], 0), FALSE)</f>
        <v>90</v>
      </c>
    </row>
    <row r="59" spans="1:3" x14ac:dyDescent="0.25">
      <c r="A59" s="76" t="s">
        <v>2212</v>
      </c>
      <c r="B59" s="83" t="s">
        <v>258</v>
      </c>
      <c r="C59" s="76">
        <f>VLOOKUP(GroupVertices[[#This Row],[Vertex]], Vertices[], MATCH("ID", Vertices[#Headers], 0), FALSE)</f>
        <v>89</v>
      </c>
    </row>
    <row r="60" spans="1:3" x14ac:dyDescent="0.25">
      <c r="A60" s="76" t="s">
        <v>2212</v>
      </c>
      <c r="B60" s="83" t="s">
        <v>253</v>
      </c>
      <c r="C60" s="76">
        <f>VLOOKUP(GroupVertices[[#This Row],[Vertex]], Vertices[], MATCH("ID", Vertices[#Headers], 0), FALSE)</f>
        <v>85</v>
      </c>
    </row>
    <row r="61" spans="1:3" x14ac:dyDescent="0.25">
      <c r="A61" s="76" t="s">
        <v>2212</v>
      </c>
      <c r="B61" s="83" t="s">
        <v>251</v>
      </c>
      <c r="C61" s="76">
        <f>VLOOKUP(GroupVertices[[#This Row],[Vertex]], Vertices[], MATCH("ID", Vertices[#Headers], 0), FALSE)</f>
        <v>83</v>
      </c>
    </row>
    <row r="62" spans="1:3" x14ac:dyDescent="0.25">
      <c r="A62" s="76" t="s">
        <v>2212</v>
      </c>
      <c r="B62" s="83" t="s">
        <v>250</v>
      </c>
      <c r="C62" s="76">
        <f>VLOOKUP(GroupVertices[[#This Row],[Vertex]], Vertices[], MATCH("ID", Vertices[#Headers], 0), FALSE)</f>
        <v>82</v>
      </c>
    </row>
    <row r="63" spans="1:3" x14ac:dyDescent="0.25">
      <c r="A63" s="76" t="s">
        <v>2212</v>
      </c>
      <c r="B63" s="83" t="s">
        <v>242</v>
      </c>
      <c r="C63" s="76">
        <f>VLOOKUP(GroupVertices[[#This Row],[Vertex]], Vertices[], MATCH("ID", Vertices[#Headers], 0), FALSE)</f>
        <v>73</v>
      </c>
    </row>
    <row r="64" spans="1:3" x14ac:dyDescent="0.25">
      <c r="A64" s="76" t="s">
        <v>2212</v>
      </c>
      <c r="B64" s="83" t="s">
        <v>238</v>
      </c>
      <c r="C64" s="76">
        <f>VLOOKUP(GroupVertices[[#This Row],[Vertex]], Vertices[], MATCH("ID", Vertices[#Headers], 0), FALSE)</f>
        <v>68</v>
      </c>
    </row>
    <row r="65" spans="1:3" x14ac:dyDescent="0.25">
      <c r="A65" s="76" t="s">
        <v>2212</v>
      </c>
      <c r="B65" s="83" t="s">
        <v>237</v>
      </c>
      <c r="C65" s="76">
        <f>VLOOKUP(GroupVertices[[#This Row],[Vertex]], Vertices[], MATCH("ID", Vertices[#Headers], 0), FALSE)</f>
        <v>67</v>
      </c>
    </row>
    <row r="66" spans="1:3" x14ac:dyDescent="0.25">
      <c r="A66" s="76" t="s">
        <v>2212</v>
      </c>
      <c r="B66" s="83" t="s">
        <v>235</v>
      </c>
      <c r="C66" s="76">
        <f>VLOOKUP(GroupVertices[[#This Row],[Vertex]], Vertices[], MATCH("ID", Vertices[#Headers], 0), FALSE)</f>
        <v>65</v>
      </c>
    </row>
    <row r="67" spans="1:3" x14ac:dyDescent="0.25">
      <c r="A67" s="76" t="s">
        <v>2212</v>
      </c>
      <c r="B67" s="83" t="s">
        <v>234</v>
      </c>
      <c r="C67" s="76">
        <f>VLOOKUP(GroupVertices[[#This Row],[Vertex]], Vertices[], MATCH("ID", Vertices[#Headers], 0), FALSE)</f>
        <v>64</v>
      </c>
    </row>
    <row r="68" spans="1:3" x14ac:dyDescent="0.25">
      <c r="A68" s="76" t="s">
        <v>2212</v>
      </c>
      <c r="B68" s="83" t="s">
        <v>232</v>
      </c>
      <c r="C68" s="76">
        <f>VLOOKUP(GroupVertices[[#This Row],[Vertex]], Vertices[], MATCH("ID", Vertices[#Headers], 0), FALSE)</f>
        <v>61</v>
      </c>
    </row>
    <row r="69" spans="1:3" x14ac:dyDescent="0.25">
      <c r="A69" s="76" t="s">
        <v>2212</v>
      </c>
      <c r="B69" s="83" t="s">
        <v>231</v>
      </c>
      <c r="C69" s="76">
        <f>VLOOKUP(GroupVertices[[#This Row],[Vertex]], Vertices[], MATCH("ID", Vertices[#Headers], 0), FALSE)</f>
        <v>60</v>
      </c>
    </row>
    <row r="70" spans="1:3" x14ac:dyDescent="0.25">
      <c r="A70" s="76" t="s">
        <v>2212</v>
      </c>
      <c r="B70" s="83" t="s">
        <v>230</v>
      </c>
      <c r="C70" s="76">
        <f>VLOOKUP(GroupVertices[[#This Row],[Vertex]], Vertices[], MATCH("ID", Vertices[#Headers], 0), FALSE)</f>
        <v>59</v>
      </c>
    </row>
    <row r="71" spans="1:3" x14ac:dyDescent="0.25">
      <c r="A71" s="76" t="s">
        <v>2212</v>
      </c>
      <c r="B71" s="83" t="s">
        <v>229</v>
      </c>
      <c r="C71" s="76">
        <f>VLOOKUP(GroupVertices[[#This Row],[Vertex]], Vertices[], MATCH("ID", Vertices[#Headers], 0), FALSE)</f>
        <v>58</v>
      </c>
    </row>
    <row r="72" spans="1:3" x14ac:dyDescent="0.25">
      <c r="A72" s="76" t="s">
        <v>2212</v>
      </c>
      <c r="B72" s="83" t="s">
        <v>227</v>
      </c>
      <c r="C72" s="76">
        <f>VLOOKUP(GroupVertices[[#This Row],[Vertex]], Vertices[], MATCH("ID", Vertices[#Headers], 0), FALSE)</f>
        <v>57</v>
      </c>
    </row>
    <row r="73" spans="1:3" x14ac:dyDescent="0.25">
      <c r="A73" s="76" t="s">
        <v>2212</v>
      </c>
      <c r="B73" s="83" t="s">
        <v>225</v>
      </c>
      <c r="C73" s="76">
        <f>VLOOKUP(GroupVertices[[#This Row],[Vertex]], Vertices[], MATCH("ID", Vertices[#Headers], 0), FALSE)</f>
        <v>53</v>
      </c>
    </row>
    <row r="74" spans="1:3" x14ac:dyDescent="0.25">
      <c r="A74" s="76" t="s">
        <v>2212</v>
      </c>
      <c r="B74" s="83" t="s">
        <v>223</v>
      </c>
      <c r="C74" s="76">
        <f>VLOOKUP(GroupVertices[[#This Row],[Vertex]], Vertices[], MATCH("ID", Vertices[#Headers], 0), FALSE)</f>
        <v>51</v>
      </c>
    </row>
    <row r="75" spans="1:3" x14ac:dyDescent="0.25">
      <c r="A75" s="76" t="s">
        <v>2212</v>
      </c>
      <c r="B75" s="83" t="s">
        <v>222</v>
      </c>
      <c r="C75" s="76">
        <f>VLOOKUP(GroupVertices[[#This Row],[Vertex]], Vertices[], MATCH("ID", Vertices[#Headers], 0), FALSE)</f>
        <v>50</v>
      </c>
    </row>
    <row r="76" spans="1:3" x14ac:dyDescent="0.25">
      <c r="A76" s="76" t="s">
        <v>2212</v>
      </c>
      <c r="B76" s="83" t="s">
        <v>221</v>
      </c>
      <c r="C76" s="76">
        <f>VLOOKUP(GroupVertices[[#This Row],[Vertex]], Vertices[], MATCH("ID", Vertices[#Headers], 0), FALSE)</f>
        <v>49</v>
      </c>
    </row>
    <row r="77" spans="1:3" x14ac:dyDescent="0.25">
      <c r="A77" s="76" t="s">
        <v>2212</v>
      </c>
      <c r="B77" s="83" t="s">
        <v>219</v>
      </c>
      <c r="C77" s="76">
        <f>VLOOKUP(GroupVertices[[#This Row],[Vertex]], Vertices[], MATCH("ID", Vertices[#Headers], 0), FALSE)</f>
        <v>42</v>
      </c>
    </row>
    <row r="78" spans="1:3" x14ac:dyDescent="0.25">
      <c r="A78" s="76" t="s">
        <v>2212</v>
      </c>
      <c r="B78" s="83" t="s">
        <v>216</v>
      </c>
      <c r="C78" s="76">
        <f>VLOOKUP(GroupVertices[[#This Row],[Vertex]], Vertices[], MATCH("ID", Vertices[#Headers], 0), FALSE)</f>
        <v>37</v>
      </c>
    </row>
    <row r="79" spans="1:3" x14ac:dyDescent="0.25">
      <c r="A79" s="76" t="s">
        <v>2212</v>
      </c>
      <c r="B79" s="83" t="s">
        <v>213</v>
      </c>
      <c r="C79" s="76">
        <f>VLOOKUP(GroupVertices[[#This Row],[Vertex]], Vertices[], MATCH("ID", Vertices[#Headers], 0), FALSE)</f>
        <v>31</v>
      </c>
    </row>
    <row r="80" spans="1:3" x14ac:dyDescent="0.25">
      <c r="A80" s="76" t="s">
        <v>2213</v>
      </c>
      <c r="B80" s="83" t="s">
        <v>368</v>
      </c>
      <c r="C80" s="76">
        <f>VLOOKUP(GroupVertices[[#This Row],[Vertex]], Vertices[], MATCH("ID", Vertices[#Headers], 0), FALSE)</f>
        <v>46</v>
      </c>
    </row>
    <row r="81" spans="1:3" x14ac:dyDescent="0.25">
      <c r="A81" s="76" t="s">
        <v>2213</v>
      </c>
      <c r="B81" s="83" t="s">
        <v>343</v>
      </c>
      <c r="C81" s="76">
        <f>VLOOKUP(GroupVertices[[#This Row],[Vertex]], Vertices[], MATCH("ID", Vertices[#Headers], 0), FALSE)</f>
        <v>164</v>
      </c>
    </row>
    <row r="82" spans="1:3" x14ac:dyDescent="0.25">
      <c r="A82" s="76" t="s">
        <v>2213</v>
      </c>
      <c r="B82" s="83" t="s">
        <v>246</v>
      </c>
      <c r="C82" s="76">
        <f>VLOOKUP(GroupVertices[[#This Row],[Vertex]], Vertices[], MATCH("ID", Vertices[#Headers], 0), FALSE)</f>
        <v>45</v>
      </c>
    </row>
    <row r="83" spans="1:3" x14ac:dyDescent="0.25">
      <c r="A83" s="76" t="s">
        <v>2213</v>
      </c>
      <c r="B83" s="83" t="s">
        <v>339</v>
      </c>
      <c r="C83" s="76">
        <f>VLOOKUP(GroupVertices[[#This Row],[Vertex]], Vertices[], MATCH("ID", Vertices[#Headers], 0), FALSE)</f>
        <v>161</v>
      </c>
    </row>
    <row r="84" spans="1:3" x14ac:dyDescent="0.25">
      <c r="A84" s="76" t="s">
        <v>2213</v>
      </c>
      <c r="B84" s="83" t="s">
        <v>319</v>
      </c>
      <c r="C84" s="76">
        <f>VLOOKUP(GroupVertices[[#This Row],[Vertex]], Vertices[], MATCH("ID", Vertices[#Headers], 0), FALSE)</f>
        <v>142</v>
      </c>
    </row>
    <row r="85" spans="1:3" x14ac:dyDescent="0.25">
      <c r="A85" s="76" t="s">
        <v>2213</v>
      </c>
      <c r="B85" s="83" t="s">
        <v>338</v>
      </c>
      <c r="C85" s="76">
        <f>VLOOKUP(GroupVertices[[#This Row],[Vertex]], Vertices[], MATCH("ID", Vertices[#Headers], 0), FALSE)</f>
        <v>160</v>
      </c>
    </row>
    <row r="86" spans="1:3" x14ac:dyDescent="0.25">
      <c r="A86" s="76" t="s">
        <v>2213</v>
      </c>
      <c r="B86" s="83" t="s">
        <v>332</v>
      </c>
      <c r="C86" s="76">
        <f>VLOOKUP(GroupVertices[[#This Row],[Vertex]], Vertices[], MATCH("ID", Vertices[#Headers], 0), FALSE)</f>
        <v>155</v>
      </c>
    </row>
    <row r="87" spans="1:3" x14ac:dyDescent="0.25">
      <c r="A87" s="76" t="s">
        <v>2213</v>
      </c>
      <c r="B87" s="83" t="s">
        <v>340</v>
      </c>
      <c r="C87" s="76">
        <f>VLOOKUP(GroupVertices[[#This Row],[Vertex]], Vertices[], MATCH("ID", Vertices[#Headers], 0), FALSE)</f>
        <v>159</v>
      </c>
    </row>
    <row r="88" spans="1:3" x14ac:dyDescent="0.25">
      <c r="A88" s="76" t="s">
        <v>2213</v>
      </c>
      <c r="B88" s="83" t="s">
        <v>268</v>
      </c>
      <c r="C88" s="76">
        <f>VLOOKUP(GroupVertices[[#This Row],[Vertex]], Vertices[], MATCH("ID", Vertices[#Headers], 0), FALSE)</f>
        <v>100</v>
      </c>
    </row>
    <row r="89" spans="1:3" x14ac:dyDescent="0.25">
      <c r="A89" s="76" t="s">
        <v>2213</v>
      </c>
      <c r="B89" s="83" t="s">
        <v>314</v>
      </c>
      <c r="C89" s="76">
        <f>VLOOKUP(GroupVertices[[#This Row],[Vertex]], Vertices[], MATCH("ID", Vertices[#Headers], 0), FALSE)</f>
        <v>134</v>
      </c>
    </row>
    <row r="90" spans="1:3" x14ac:dyDescent="0.25">
      <c r="A90" s="76" t="s">
        <v>2213</v>
      </c>
      <c r="B90" s="83" t="s">
        <v>313</v>
      </c>
      <c r="C90" s="76">
        <f>VLOOKUP(GroupVertices[[#This Row],[Vertex]], Vertices[], MATCH("ID", Vertices[#Headers], 0), FALSE)</f>
        <v>137</v>
      </c>
    </row>
    <row r="91" spans="1:3" x14ac:dyDescent="0.25">
      <c r="A91" s="76" t="s">
        <v>2213</v>
      </c>
      <c r="B91" s="83" t="s">
        <v>275</v>
      </c>
      <c r="C91" s="76">
        <f>VLOOKUP(GroupVertices[[#This Row],[Vertex]], Vertices[], MATCH("ID", Vertices[#Headers], 0), FALSE)</f>
        <v>106</v>
      </c>
    </row>
    <row r="92" spans="1:3" x14ac:dyDescent="0.25">
      <c r="A92" s="76" t="s">
        <v>2213</v>
      </c>
      <c r="B92" s="83" t="s">
        <v>337</v>
      </c>
      <c r="C92" s="76">
        <f>VLOOKUP(GroupVertices[[#This Row],[Vertex]], Vertices[], MATCH("ID", Vertices[#Headers], 0), FALSE)</f>
        <v>158</v>
      </c>
    </row>
    <row r="93" spans="1:3" x14ac:dyDescent="0.25">
      <c r="A93" s="76" t="s">
        <v>2213</v>
      </c>
      <c r="B93" s="83" t="s">
        <v>301</v>
      </c>
      <c r="C93" s="76">
        <f>VLOOKUP(GroupVertices[[#This Row],[Vertex]], Vertices[], MATCH("ID", Vertices[#Headers], 0), FALSE)</f>
        <v>78</v>
      </c>
    </row>
    <row r="94" spans="1:3" x14ac:dyDescent="0.25">
      <c r="A94" s="76" t="s">
        <v>2213</v>
      </c>
      <c r="B94" s="83" t="s">
        <v>334</v>
      </c>
      <c r="C94" s="76">
        <f>VLOOKUP(GroupVertices[[#This Row],[Vertex]], Vertices[], MATCH("ID", Vertices[#Headers], 0), FALSE)</f>
        <v>156</v>
      </c>
    </row>
    <row r="95" spans="1:3" x14ac:dyDescent="0.25">
      <c r="A95" s="76" t="s">
        <v>2213</v>
      </c>
      <c r="B95" s="83" t="s">
        <v>336</v>
      </c>
      <c r="C95" s="76">
        <f>VLOOKUP(GroupVertices[[#This Row],[Vertex]], Vertices[], MATCH("ID", Vertices[#Headers], 0), FALSE)</f>
        <v>157</v>
      </c>
    </row>
    <row r="96" spans="1:3" x14ac:dyDescent="0.25">
      <c r="A96" s="76" t="s">
        <v>2213</v>
      </c>
      <c r="B96" s="83" t="s">
        <v>295</v>
      </c>
      <c r="C96" s="76">
        <f>VLOOKUP(GroupVertices[[#This Row],[Vertex]], Vertices[], MATCH("ID", Vertices[#Headers], 0), FALSE)</f>
        <v>121</v>
      </c>
    </row>
    <row r="97" spans="1:3" x14ac:dyDescent="0.25">
      <c r="A97" s="76" t="s">
        <v>2213</v>
      </c>
      <c r="B97" s="83" t="s">
        <v>311</v>
      </c>
      <c r="C97" s="76">
        <f>VLOOKUP(GroupVertices[[#This Row],[Vertex]], Vertices[], MATCH("ID", Vertices[#Headers], 0), FALSE)</f>
        <v>136</v>
      </c>
    </row>
    <row r="98" spans="1:3" x14ac:dyDescent="0.25">
      <c r="A98" s="76" t="s">
        <v>2213</v>
      </c>
      <c r="B98" s="83" t="s">
        <v>306</v>
      </c>
      <c r="C98" s="76">
        <f>VLOOKUP(GroupVertices[[#This Row],[Vertex]], Vertices[], MATCH("ID", Vertices[#Headers], 0), FALSE)</f>
        <v>130</v>
      </c>
    </row>
    <row r="99" spans="1:3" x14ac:dyDescent="0.25">
      <c r="A99" s="76" t="s">
        <v>2213</v>
      </c>
      <c r="B99" s="83" t="s">
        <v>296</v>
      </c>
      <c r="C99" s="76">
        <f>VLOOKUP(GroupVertices[[#This Row],[Vertex]], Vertices[], MATCH("ID", Vertices[#Headers], 0), FALSE)</f>
        <v>126</v>
      </c>
    </row>
    <row r="100" spans="1:3" x14ac:dyDescent="0.25">
      <c r="A100" s="76" t="s">
        <v>2213</v>
      </c>
      <c r="B100" s="83" t="s">
        <v>293</v>
      </c>
      <c r="C100" s="76">
        <f>VLOOKUP(GroupVertices[[#This Row],[Vertex]], Vertices[], MATCH("ID", Vertices[#Headers], 0), FALSE)</f>
        <v>118</v>
      </c>
    </row>
    <row r="101" spans="1:3" x14ac:dyDescent="0.25">
      <c r="A101" s="76" t="s">
        <v>2213</v>
      </c>
      <c r="B101" s="83" t="s">
        <v>335</v>
      </c>
      <c r="C101" s="76">
        <f>VLOOKUP(GroupVertices[[#This Row],[Vertex]], Vertices[], MATCH("ID", Vertices[#Headers], 0), FALSE)</f>
        <v>125</v>
      </c>
    </row>
    <row r="102" spans="1:3" x14ac:dyDescent="0.25">
      <c r="A102" s="76" t="s">
        <v>2213</v>
      </c>
      <c r="B102" s="83" t="s">
        <v>300</v>
      </c>
      <c r="C102" s="76">
        <f>VLOOKUP(GroupVertices[[#This Row],[Vertex]], Vertices[], MATCH("ID", Vertices[#Headers], 0), FALSE)</f>
        <v>94</v>
      </c>
    </row>
    <row r="103" spans="1:3" x14ac:dyDescent="0.25">
      <c r="A103" s="76" t="s">
        <v>2213</v>
      </c>
      <c r="B103" s="83" t="s">
        <v>333</v>
      </c>
      <c r="C103" s="76">
        <f>VLOOKUP(GroupVertices[[#This Row],[Vertex]], Vertices[], MATCH("ID", Vertices[#Headers], 0), FALSE)</f>
        <v>143</v>
      </c>
    </row>
    <row r="104" spans="1:3" x14ac:dyDescent="0.25">
      <c r="A104" s="76" t="s">
        <v>2213</v>
      </c>
      <c r="B104" s="83" t="s">
        <v>324</v>
      </c>
      <c r="C104" s="76">
        <f>VLOOKUP(GroupVertices[[#This Row],[Vertex]], Vertices[], MATCH("ID", Vertices[#Headers], 0), FALSE)</f>
        <v>144</v>
      </c>
    </row>
    <row r="105" spans="1:3" x14ac:dyDescent="0.25">
      <c r="A105" s="76" t="s">
        <v>2213</v>
      </c>
      <c r="B105" s="83" t="s">
        <v>269</v>
      </c>
      <c r="C105" s="76">
        <f>VLOOKUP(GroupVertices[[#This Row],[Vertex]], Vertices[], MATCH("ID", Vertices[#Headers], 0), FALSE)</f>
        <v>101</v>
      </c>
    </row>
    <row r="106" spans="1:3" x14ac:dyDescent="0.25">
      <c r="A106" s="76" t="s">
        <v>2213</v>
      </c>
      <c r="B106" s="83" t="s">
        <v>297</v>
      </c>
      <c r="C106" s="76">
        <f>VLOOKUP(GroupVertices[[#This Row],[Vertex]], Vertices[], MATCH("ID", Vertices[#Headers], 0), FALSE)</f>
        <v>124</v>
      </c>
    </row>
    <row r="107" spans="1:3" x14ac:dyDescent="0.25">
      <c r="A107" s="76" t="s">
        <v>2213</v>
      </c>
      <c r="B107" s="83" t="s">
        <v>276</v>
      </c>
      <c r="C107" s="76">
        <f>VLOOKUP(GroupVertices[[#This Row],[Vertex]], Vertices[], MATCH("ID", Vertices[#Headers], 0), FALSE)</f>
        <v>23</v>
      </c>
    </row>
    <row r="108" spans="1:3" x14ac:dyDescent="0.25">
      <c r="A108" s="76" t="s">
        <v>2213</v>
      </c>
      <c r="B108" s="83" t="s">
        <v>267</v>
      </c>
      <c r="C108" s="76">
        <f>VLOOKUP(GroupVertices[[#This Row],[Vertex]], Vertices[], MATCH("ID", Vertices[#Headers], 0), FALSE)</f>
        <v>99</v>
      </c>
    </row>
    <row r="109" spans="1:3" x14ac:dyDescent="0.25">
      <c r="A109" s="76" t="s">
        <v>2213</v>
      </c>
      <c r="B109" s="83" t="s">
        <v>279</v>
      </c>
      <c r="C109" s="76">
        <f>VLOOKUP(GroupVertices[[#This Row],[Vertex]], Vertices[], MATCH("ID", Vertices[#Headers], 0), FALSE)</f>
        <v>108</v>
      </c>
    </row>
    <row r="110" spans="1:3" x14ac:dyDescent="0.25">
      <c r="A110" s="76" t="s">
        <v>2213</v>
      </c>
      <c r="B110" s="83" t="s">
        <v>281</v>
      </c>
      <c r="C110" s="76">
        <f>VLOOKUP(GroupVertices[[#This Row],[Vertex]], Vertices[], MATCH("ID", Vertices[#Headers], 0), FALSE)</f>
        <v>111</v>
      </c>
    </row>
    <row r="111" spans="1:3" x14ac:dyDescent="0.25">
      <c r="A111" s="76" t="s">
        <v>2213</v>
      </c>
      <c r="B111" s="83" t="s">
        <v>325</v>
      </c>
      <c r="C111" s="76">
        <f>VLOOKUP(GroupVertices[[#This Row],[Vertex]], Vertices[], MATCH("ID", Vertices[#Headers], 0), FALSE)</f>
        <v>148</v>
      </c>
    </row>
    <row r="112" spans="1:3" x14ac:dyDescent="0.25">
      <c r="A112" s="76" t="s">
        <v>2213</v>
      </c>
      <c r="B112" s="83" t="s">
        <v>320</v>
      </c>
      <c r="C112" s="76">
        <f>VLOOKUP(GroupVertices[[#This Row],[Vertex]], Vertices[], MATCH("ID", Vertices[#Headers], 0), FALSE)</f>
        <v>145</v>
      </c>
    </row>
    <row r="113" spans="1:3" x14ac:dyDescent="0.25">
      <c r="A113" s="76" t="s">
        <v>2213</v>
      </c>
      <c r="B113" s="83" t="s">
        <v>294</v>
      </c>
      <c r="C113" s="76">
        <f>VLOOKUP(GroupVertices[[#This Row],[Vertex]], Vertices[], MATCH("ID", Vertices[#Headers], 0), FALSE)</f>
        <v>119</v>
      </c>
    </row>
    <row r="114" spans="1:3" x14ac:dyDescent="0.25">
      <c r="A114" s="76" t="s">
        <v>2213</v>
      </c>
      <c r="B114" s="83" t="s">
        <v>298</v>
      </c>
      <c r="C114" s="76">
        <f>VLOOKUP(GroupVertices[[#This Row],[Vertex]], Vertices[], MATCH("ID", Vertices[#Headers], 0), FALSE)</f>
        <v>123</v>
      </c>
    </row>
    <row r="115" spans="1:3" x14ac:dyDescent="0.25">
      <c r="A115" s="76" t="s">
        <v>2213</v>
      </c>
      <c r="B115" s="83" t="s">
        <v>265</v>
      </c>
      <c r="C115" s="76">
        <f>VLOOKUP(GroupVertices[[#This Row],[Vertex]], Vertices[], MATCH("ID", Vertices[#Headers], 0), FALSE)</f>
        <v>97</v>
      </c>
    </row>
    <row r="116" spans="1:3" x14ac:dyDescent="0.25">
      <c r="A116" s="76" t="s">
        <v>2213</v>
      </c>
      <c r="B116" s="83" t="s">
        <v>310</v>
      </c>
      <c r="C116" s="76">
        <f>VLOOKUP(GroupVertices[[#This Row],[Vertex]], Vertices[], MATCH("ID", Vertices[#Headers], 0), FALSE)</f>
        <v>135</v>
      </c>
    </row>
    <row r="117" spans="1:3" x14ac:dyDescent="0.25">
      <c r="A117" s="76" t="s">
        <v>2213</v>
      </c>
      <c r="B117" s="83" t="s">
        <v>307</v>
      </c>
      <c r="C117" s="76">
        <f>VLOOKUP(GroupVertices[[#This Row],[Vertex]], Vertices[], MATCH("ID", Vertices[#Headers], 0), FALSE)</f>
        <v>131</v>
      </c>
    </row>
    <row r="118" spans="1:3" x14ac:dyDescent="0.25">
      <c r="A118" s="76" t="s">
        <v>2213</v>
      </c>
      <c r="B118" s="83" t="s">
        <v>312</v>
      </c>
      <c r="C118" s="76">
        <f>VLOOKUP(GroupVertices[[#This Row],[Vertex]], Vertices[], MATCH("ID", Vertices[#Headers], 0), FALSE)</f>
        <v>76</v>
      </c>
    </row>
    <row r="119" spans="1:3" x14ac:dyDescent="0.25">
      <c r="A119" s="76" t="s">
        <v>2213</v>
      </c>
      <c r="B119" s="83" t="s">
        <v>263</v>
      </c>
      <c r="C119" s="76">
        <f>VLOOKUP(GroupVertices[[#This Row],[Vertex]], Vertices[], MATCH("ID", Vertices[#Headers], 0), FALSE)</f>
        <v>95</v>
      </c>
    </row>
    <row r="120" spans="1:3" x14ac:dyDescent="0.25">
      <c r="A120" s="76" t="s">
        <v>2213</v>
      </c>
      <c r="B120" s="83" t="s">
        <v>304</v>
      </c>
      <c r="C120" s="76">
        <f>VLOOKUP(GroupVertices[[#This Row],[Vertex]], Vertices[], MATCH("ID", Vertices[#Headers], 0), FALSE)</f>
        <v>128</v>
      </c>
    </row>
    <row r="121" spans="1:3" x14ac:dyDescent="0.25">
      <c r="A121" s="76" t="s">
        <v>2213</v>
      </c>
      <c r="B121" s="83" t="s">
        <v>308</v>
      </c>
      <c r="C121" s="76">
        <f>VLOOKUP(GroupVertices[[#This Row],[Vertex]], Vertices[], MATCH("ID", Vertices[#Headers], 0), FALSE)</f>
        <v>132</v>
      </c>
    </row>
    <row r="122" spans="1:3" x14ac:dyDescent="0.25">
      <c r="A122" s="76" t="s">
        <v>2213</v>
      </c>
      <c r="B122" s="83" t="s">
        <v>309</v>
      </c>
      <c r="C122" s="76">
        <f>VLOOKUP(GroupVertices[[#This Row],[Vertex]], Vertices[], MATCH("ID", Vertices[#Headers], 0), FALSE)</f>
        <v>133</v>
      </c>
    </row>
    <row r="123" spans="1:3" x14ac:dyDescent="0.25">
      <c r="A123" s="76" t="s">
        <v>2213</v>
      </c>
      <c r="B123" s="83" t="s">
        <v>305</v>
      </c>
      <c r="C123" s="76">
        <f>VLOOKUP(GroupVertices[[#This Row],[Vertex]], Vertices[], MATCH("ID", Vertices[#Headers], 0), FALSE)</f>
        <v>129</v>
      </c>
    </row>
    <row r="124" spans="1:3" x14ac:dyDescent="0.25">
      <c r="A124" s="76" t="s">
        <v>2213</v>
      </c>
      <c r="B124" s="83" t="s">
        <v>299</v>
      </c>
      <c r="C124" s="76">
        <f>VLOOKUP(GroupVertices[[#This Row],[Vertex]], Vertices[], MATCH("ID", Vertices[#Headers], 0), FALSE)</f>
        <v>122</v>
      </c>
    </row>
    <row r="125" spans="1:3" x14ac:dyDescent="0.25">
      <c r="A125" s="76" t="s">
        <v>2213</v>
      </c>
      <c r="B125" s="83" t="s">
        <v>303</v>
      </c>
      <c r="C125" s="76">
        <f>VLOOKUP(GroupVertices[[#This Row],[Vertex]], Vertices[], MATCH("ID", Vertices[#Headers], 0), FALSE)</f>
        <v>127</v>
      </c>
    </row>
    <row r="126" spans="1:3" x14ac:dyDescent="0.25">
      <c r="A126" s="76" t="s">
        <v>2213</v>
      </c>
      <c r="B126" s="83" t="s">
        <v>292</v>
      </c>
      <c r="C126" s="76">
        <f>VLOOKUP(GroupVertices[[#This Row],[Vertex]], Vertices[], MATCH("ID", Vertices[#Headers], 0), FALSE)</f>
        <v>120</v>
      </c>
    </row>
    <row r="127" spans="1:3" x14ac:dyDescent="0.25">
      <c r="A127" s="76" t="s">
        <v>2213</v>
      </c>
      <c r="B127" s="83" t="s">
        <v>291</v>
      </c>
      <c r="C127" s="76">
        <f>VLOOKUP(GroupVertices[[#This Row],[Vertex]], Vertices[], MATCH("ID", Vertices[#Headers], 0), FALSE)</f>
        <v>117</v>
      </c>
    </row>
    <row r="128" spans="1:3" x14ac:dyDescent="0.25">
      <c r="A128" s="76" t="s">
        <v>2213</v>
      </c>
      <c r="B128" s="83" t="s">
        <v>288</v>
      </c>
      <c r="C128" s="76">
        <f>VLOOKUP(GroupVertices[[#This Row],[Vertex]], Vertices[], MATCH("ID", Vertices[#Headers], 0), FALSE)</f>
        <v>115</v>
      </c>
    </row>
    <row r="129" spans="1:3" x14ac:dyDescent="0.25">
      <c r="A129" s="76" t="s">
        <v>2213</v>
      </c>
      <c r="B129" s="83" t="s">
        <v>277</v>
      </c>
      <c r="C129" s="76">
        <f>VLOOKUP(GroupVertices[[#This Row],[Vertex]], Vertices[], MATCH("ID", Vertices[#Headers], 0), FALSE)</f>
        <v>107</v>
      </c>
    </row>
    <row r="130" spans="1:3" x14ac:dyDescent="0.25">
      <c r="A130" s="76" t="s">
        <v>2213</v>
      </c>
      <c r="B130" s="83" t="s">
        <v>243</v>
      </c>
      <c r="C130" s="76">
        <f>VLOOKUP(GroupVertices[[#This Row],[Vertex]], Vertices[], MATCH("ID", Vertices[#Headers], 0), FALSE)</f>
        <v>74</v>
      </c>
    </row>
    <row r="131" spans="1:3" x14ac:dyDescent="0.25">
      <c r="A131" s="76" t="s">
        <v>2213</v>
      </c>
      <c r="B131" s="83" t="s">
        <v>270</v>
      </c>
      <c r="C131" s="76">
        <f>VLOOKUP(GroupVertices[[#This Row],[Vertex]], Vertices[], MATCH("ID", Vertices[#Headers], 0), FALSE)</f>
        <v>102</v>
      </c>
    </row>
    <row r="132" spans="1:3" x14ac:dyDescent="0.25">
      <c r="A132" s="76" t="s">
        <v>2213</v>
      </c>
      <c r="B132" s="83" t="s">
        <v>266</v>
      </c>
      <c r="C132" s="76">
        <f>VLOOKUP(GroupVertices[[#This Row],[Vertex]], Vertices[], MATCH("ID", Vertices[#Headers], 0), FALSE)</f>
        <v>98</v>
      </c>
    </row>
    <row r="133" spans="1:3" x14ac:dyDescent="0.25">
      <c r="A133" s="76" t="s">
        <v>2213</v>
      </c>
      <c r="B133" s="83" t="s">
        <v>264</v>
      </c>
      <c r="C133" s="76">
        <f>VLOOKUP(GroupVertices[[#This Row],[Vertex]], Vertices[], MATCH("ID", Vertices[#Headers], 0), FALSE)</f>
        <v>96</v>
      </c>
    </row>
    <row r="134" spans="1:3" x14ac:dyDescent="0.25">
      <c r="A134" s="76" t="s">
        <v>2213</v>
      </c>
      <c r="B134" s="83" t="s">
        <v>262</v>
      </c>
      <c r="C134" s="76">
        <f>VLOOKUP(GroupVertices[[#This Row],[Vertex]], Vertices[], MATCH("ID", Vertices[#Headers], 0), FALSE)</f>
        <v>93</v>
      </c>
    </row>
    <row r="135" spans="1:3" x14ac:dyDescent="0.25">
      <c r="A135" s="76" t="s">
        <v>2213</v>
      </c>
      <c r="B135" s="83" t="s">
        <v>261</v>
      </c>
      <c r="C135" s="76">
        <f>VLOOKUP(GroupVertices[[#This Row],[Vertex]], Vertices[], MATCH("ID", Vertices[#Headers], 0), FALSE)</f>
        <v>92</v>
      </c>
    </row>
    <row r="136" spans="1:3" x14ac:dyDescent="0.25">
      <c r="A136" s="76" t="s">
        <v>2213</v>
      </c>
      <c r="B136" s="83" t="s">
        <v>257</v>
      </c>
      <c r="C136" s="76">
        <f>VLOOKUP(GroupVertices[[#This Row],[Vertex]], Vertices[], MATCH("ID", Vertices[#Headers], 0), FALSE)</f>
        <v>88</v>
      </c>
    </row>
    <row r="137" spans="1:3" x14ac:dyDescent="0.25">
      <c r="A137" s="76" t="s">
        <v>2213</v>
      </c>
      <c r="B137" s="83" t="s">
        <v>256</v>
      </c>
      <c r="C137" s="76">
        <f>VLOOKUP(GroupVertices[[#This Row],[Vertex]], Vertices[], MATCH("ID", Vertices[#Headers], 0), FALSE)</f>
        <v>87</v>
      </c>
    </row>
    <row r="138" spans="1:3" x14ac:dyDescent="0.25">
      <c r="A138" s="76" t="s">
        <v>2213</v>
      </c>
      <c r="B138" s="83" t="s">
        <v>252</v>
      </c>
      <c r="C138" s="76">
        <f>VLOOKUP(GroupVertices[[#This Row],[Vertex]], Vertices[], MATCH("ID", Vertices[#Headers], 0), FALSE)</f>
        <v>84</v>
      </c>
    </row>
    <row r="139" spans="1:3" x14ac:dyDescent="0.25">
      <c r="A139" s="76" t="s">
        <v>2213</v>
      </c>
      <c r="B139" s="83" t="s">
        <v>248</v>
      </c>
      <c r="C139" s="76">
        <f>VLOOKUP(GroupVertices[[#This Row],[Vertex]], Vertices[], MATCH("ID", Vertices[#Headers], 0), FALSE)</f>
        <v>79</v>
      </c>
    </row>
    <row r="140" spans="1:3" x14ac:dyDescent="0.25">
      <c r="A140" s="76" t="s">
        <v>2213</v>
      </c>
      <c r="B140" s="83" t="s">
        <v>245</v>
      </c>
      <c r="C140" s="76">
        <f>VLOOKUP(GroupVertices[[#This Row],[Vertex]], Vertices[], MATCH("ID", Vertices[#Headers], 0), FALSE)</f>
        <v>77</v>
      </c>
    </row>
    <row r="141" spans="1:3" x14ac:dyDescent="0.25">
      <c r="A141" s="76" t="s">
        <v>2213</v>
      </c>
      <c r="B141" s="83" t="s">
        <v>244</v>
      </c>
      <c r="C141" s="76">
        <f>VLOOKUP(GroupVertices[[#This Row],[Vertex]], Vertices[], MATCH("ID", Vertices[#Headers], 0), FALSE)</f>
        <v>75</v>
      </c>
    </row>
    <row r="142" spans="1:3" x14ac:dyDescent="0.25">
      <c r="A142" s="76" t="s">
        <v>2213</v>
      </c>
      <c r="B142" s="83" t="s">
        <v>224</v>
      </c>
      <c r="C142" s="76">
        <f>VLOOKUP(GroupVertices[[#This Row],[Vertex]], Vertices[], MATCH("ID", Vertices[#Headers], 0), FALSE)</f>
        <v>52</v>
      </c>
    </row>
    <row r="143" spans="1:3" x14ac:dyDescent="0.25">
      <c r="A143" s="76" t="s">
        <v>2214</v>
      </c>
      <c r="B143" s="83" t="s">
        <v>188</v>
      </c>
      <c r="C143" s="76">
        <f>VLOOKUP(GroupVertices[[#This Row],[Vertex]], Vertices[], MATCH("ID", Vertices[#Headers], 0), FALSE)</f>
        <v>3</v>
      </c>
    </row>
    <row r="144" spans="1:3" x14ac:dyDescent="0.25">
      <c r="A144" s="76" t="s">
        <v>2214</v>
      </c>
      <c r="B144" s="83" t="s">
        <v>189</v>
      </c>
      <c r="C144" s="76">
        <f>VLOOKUP(GroupVertices[[#This Row],[Vertex]], Vertices[], MATCH("ID", Vertices[#Headers], 0), FALSE)</f>
        <v>4</v>
      </c>
    </row>
    <row r="145" spans="1:3" x14ac:dyDescent="0.25">
      <c r="A145" s="76" t="s">
        <v>2214</v>
      </c>
      <c r="B145" s="83" t="s">
        <v>190</v>
      </c>
      <c r="C145" s="76">
        <f>VLOOKUP(GroupVertices[[#This Row],[Vertex]], Vertices[], MATCH("ID", Vertices[#Headers], 0), FALSE)</f>
        <v>5</v>
      </c>
    </row>
    <row r="146" spans="1:3" x14ac:dyDescent="0.25">
      <c r="A146" s="76" t="s">
        <v>2214</v>
      </c>
      <c r="B146" s="83" t="s">
        <v>191</v>
      </c>
      <c r="C146" s="76">
        <f>VLOOKUP(GroupVertices[[#This Row],[Vertex]], Vertices[], MATCH("ID", Vertices[#Headers], 0), FALSE)</f>
        <v>6</v>
      </c>
    </row>
    <row r="147" spans="1:3" x14ac:dyDescent="0.25">
      <c r="A147" s="76" t="s">
        <v>2214</v>
      </c>
      <c r="B147" s="83" t="s">
        <v>192</v>
      </c>
      <c r="C147" s="76">
        <f>VLOOKUP(GroupVertices[[#This Row],[Vertex]], Vertices[], MATCH("ID", Vertices[#Headers], 0), FALSE)</f>
        <v>7</v>
      </c>
    </row>
    <row r="148" spans="1:3" x14ac:dyDescent="0.25">
      <c r="A148" s="76" t="s">
        <v>2214</v>
      </c>
      <c r="B148" s="83" t="s">
        <v>193</v>
      </c>
      <c r="C148" s="76">
        <f>VLOOKUP(GroupVertices[[#This Row],[Vertex]], Vertices[], MATCH("ID", Vertices[#Headers], 0), FALSE)</f>
        <v>8</v>
      </c>
    </row>
    <row r="149" spans="1:3" x14ac:dyDescent="0.25">
      <c r="A149" s="76" t="s">
        <v>2214</v>
      </c>
      <c r="B149" s="83" t="s">
        <v>196</v>
      </c>
      <c r="C149" s="76">
        <f>VLOOKUP(GroupVertices[[#This Row],[Vertex]], Vertices[], MATCH("ID", Vertices[#Headers], 0), FALSE)</f>
        <v>11</v>
      </c>
    </row>
    <row r="150" spans="1:3" x14ac:dyDescent="0.25">
      <c r="A150" s="76" t="s">
        <v>2214</v>
      </c>
      <c r="B150" s="83" t="s">
        <v>197</v>
      </c>
      <c r="C150" s="76">
        <f>VLOOKUP(GroupVertices[[#This Row],[Vertex]], Vertices[], MATCH("ID", Vertices[#Headers], 0), FALSE)</f>
        <v>12</v>
      </c>
    </row>
    <row r="151" spans="1:3" x14ac:dyDescent="0.25">
      <c r="A151" s="76" t="s">
        <v>2214</v>
      </c>
      <c r="B151" s="83" t="s">
        <v>198</v>
      </c>
      <c r="C151" s="76">
        <f>VLOOKUP(GroupVertices[[#This Row],[Vertex]], Vertices[], MATCH("ID", Vertices[#Headers], 0), FALSE)</f>
        <v>13</v>
      </c>
    </row>
    <row r="152" spans="1:3" x14ac:dyDescent="0.25">
      <c r="A152" s="76" t="s">
        <v>2214</v>
      </c>
      <c r="B152" s="83" t="s">
        <v>199</v>
      </c>
      <c r="C152" s="76">
        <f>VLOOKUP(GroupVertices[[#This Row],[Vertex]], Vertices[], MATCH("ID", Vertices[#Headers], 0), FALSE)</f>
        <v>14</v>
      </c>
    </row>
    <row r="153" spans="1:3" x14ac:dyDescent="0.25">
      <c r="A153" s="76" t="s">
        <v>2214</v>
      </c>
      <c r="B153" s="83" t="s">
        <v>200</v>
      </c>
      <c r="C153" s="76">
        <f>VLOOKUP(GroupVertices[[#This Row],[Vertex]], Vertices[], MATCH("ID", Vertices[#Headers], 0), FALSE)</f>
        <v>15</v>
      </c>
    </row>
    <row r="154" spans="1:3" x14ac:dyDescent="0.25">
      <c r="A154" s="76" t="s">
        <v>2214</v>
      </c>
      <c r="B154" s="83" t="s">
        <v>201</v>
      </c>
      <c r="C154" s="76">
        <f>VLOOKUP(GroupVertices[[#This Row],[Vertex]], Vertices[], MATCH("ID", Vertices[#Headers], 0), FALSE)</f>
        <v>16</v>
      </c>
    </row>
    <row r="155" spans="1:3" x14ac:dyDescent="0.25">
      <c r="A155" s="76" t="s">
        <v>2214</v>
      </c>
      <c r="B155" s="83" t="s">
        <v>202</v>
      </c>
      <c r="C155" s="76">
        <f>VLOOKUP(GroupVertices[[#This Row],[Vertex]], Vertices[], MATCH("ID", Vertices[#Headers], 0), FALSE)</f>
        <v>17</v>
      </c>
    </row>
    <row r="156" spans="1:3" x14ac:dyDescent="0.25">
      <c r="A156" s="76" t="s">
        <v>2214</v>
      </c>
      <c r="B156" s="83" t="s">
        <v>204</v>
      </c>
      <c r="C156" s="76">
        <f>VLOOKUP(GroupVertices[[#This Row],[Vertex]], Vertices[], MATCH("ID", Vertices[#Headers], 0), FALSE)</f>
        <v>20</v>
      </c>
    </row>
    <row r="157" spans="1:3" x14ac:dyDescent="0.25">
      <c r="A157" s="76" t="s">
        <v>2214</v>
      </c>
      <c r="B157" s="83" t="s">
        <v>206</v>
      </c>
      <c r="C157" s="76">
        <f>VLOOKUP(GroupVertices[[#This Row],[Vertex]], Vertices[], MATCH("ID", Vertices[#Headers], 0), FALSE)</f>
        <v>24</v>
      </c>
    </row>
    <row r="158" spans="1:3" x14ac:dyDescent="0.25">
      <c r="A158" s="76" t="s">
        <v>2214</v>
      </c>
      <c r="B158" s="83" t="s">
        <v>207</v>
      </c>
      <c r="C158" s="76">
        <f>VLOOKUP(GroupVertices[[#This Row],[Vertex]], Vertices[], MATCH("ID", Vertices[#Headers], 0), FALSE)</f>
        <v>25</v>
      </c>
    </row>
    <row r="159" spans="1:3" x14ac:dyDescent="0.25">
      <c r="A159" s="76" t="s">
        <v>2214</v>
      </c>
      <c r="B159" s="83" t="s">
        <v>208</v>
      </c>
      <c r="C159" s="76">
        <f>VLOOKUP(GroupVertices[[#This Row],[Vertex]], Vertices[], MATCH("ID", Vertices[#Headers], 0), FALSE)</f>
        <v>26</v>
      </c>
    </row>
    <row r="160" spans="1:3" x14ac:dyDescent="0.25">
      <c r="A160" s="76" t="s">
        <v>2214</v>
      </c>
      <c r="B160" s="83" t="s">
        <v>209</v>
      </c>
      <c r="C160" s="76">
        <f>VLOOKUP(GroupVertices[[#This Row],[Vertex]], Vertices[], MATCH("ID", Vertices[#Headers], 0), FALSE)</f>
        <v>27</v>
      </c>
    </row>
    <row r="161" spans="1:3" x14ac:dyDescent="0.25">
      <c r="A161" s="76" t="s">
        <v>2214</v>
      </c>
      <c r="B161" s="83" t="s">
        <v>210</v>
      </c>
      <c r="C161" s="76">
        <f>VLOOKUP(GroupVertices[[#This Row],[Vertex]], Vertices[], MATCH("ID", Vertices[#Headers], 0), FALSE)</f>
        <v>28</v>
      </c>
    </row>
    <row r="162" spans="1:3" x14ac:dyDescent="0.25">
      <c r="A162" s="76" t="s">
        <v>2214</v>
      </c>
      <c r="B162" s="83" t="s">
        <v>211</v>
      </c>
      <c r="C162" s="76">
        <f>VLOOKUP(GroupVertices[[#This Row],[Vertex]], Vertices[], MATCH("ID", Vertices[#Headers], 0), FALSE)</f>
        <v>29</v>
      </c>
    </row>
    <row r="163" spans="1:3" x14ac:dyDescent="0.25">
      <c r="A163" s="76" t="s">
        <v>2214</v>
      </c>
      <c r="B163" s="83" t="s">
        <v>212</v>
      </c>
      <c r="C163" s="76">
        <f>VLOOKUP(GroupVertices[[#This Row],[Vertex]], Vertices[], MATCH("ID", Vertices[#Headers], 0), FALSE)</f>
        <v>30</v>
      </c>
    </row>
    <row r="164" spans="1:3" x14ac:dyDescent="0.25">
      <c r="A164" s="76" t="s">
        <v>2215</v>
      </c>
      <c r="B164" s="83" t="s">
        <v>286</v>
      </c>
      <c r="C164" s="76">
        <f>VLOOKUP(GroupVertices[[#This Row],[Vertex]], Vertices[], MATCH("ID", Vertices[#Headers], 0), FALSE)</f>
        <v>35</v>
      </c>
    </row>
    <row r="165" spans="1:3" x14ac:dyDescent="0.25">
      <c r="A165" s="76" t="s">
        <v>2215</v>
      </c>
      <c r="B165" s="83" t="s">
        <v>366</v>
      </c>
      <c r="C165" s="76">
        <f>VLOOKUP(GroupVertices[[#This Row],[Vertex]], Vertices[], MATCH("ID", Vertices[#Headers], 0), FALSE)</f>
        <v>22</v>
      </c>
    </row>
    <row r="166" spans="1:3" x14ac:dyDescent="0.25">
      <c r="A166" s="76" t="s">
        <v>2215</v>
      </c>
      <c r="B166" s="83" t="s">
        <v>330</v>
      </c>
      <c r="C166" s="76">
        <f>VLOOKUP(GroupVertices[[#This Row],[Vertex]], Vertices[], MATCH("ID", Vertices[#Headers], 0), FALSE)</f>
        <v>153</v>
      </c>
    </row>
    <row r="167" spans="1:3" x14ac:dyDescent="0.25">
      <c r="A167" s="76" t="s">
        <v>2215</v>
      </c>
      <c r="B167" s="83" t="s">
        <v>284</v>
      </c>
      <c r="C167" s="76">
        <f>VLOOKUP(GroupVertices[[#This Row],[Vertex]], Vertices[], MATCH("ID", Vertices[#Headers], 0), FALSE)</f>
        <v>114</v>
      </c>
    </row>
    <row r="168" spans="1:3" x14ac:dyDescent="0.25">
      <c r="A168" s="76" t="s">
        <v>2215</v>
      </c>
      <c r="B168" s="83" t="s">
        <v>329</v>
      </c>
      <c r="C168" s="76">
        <f>VLOOKUP(GroupVertices[[#This Row],[Vertex]], Vertices[], MATCH("ID", Vertices[#Headers], 0), FALSE)</f>
        <v>152</v>
      </c>
    </row>
    <row r="169" spans="1:3" x14ac:dyDescent="0.25">
      <c r="A169" s="76" t="s">
        <v>2215</v>
      </c>
      <c r="B169" s="83" t="s">
        <v>287</v>
      </c>
      <c r="C169" s="76">
        <f>VLOOKUP(GroupVertices[[#This Row],[Vertex]], Vertices[], MATCH("ID", Vertices[#Headers], 0), FALSE)</f>
        <v>81</v>
      </c>
    </row>
    <row r="170" spans="1:3" x14ac:dyDescent="0.25">
      <c r="A170" s="76" t="s">
        <v>2215</v>
      </c>
      <c r="B170" s="83" t="s">
        <v>315</v>
      </c>
      <c r="C170" s="76">
        <f>VLOOKUP(GroupVertices[[#This Row],[Vertex]], Vertices[], MATCH("ID", Vertices[#Headers], 0), FALSE)</f>
        <v>138</v>
      </c>
    </row>
    <row r="171" spans="1:3" x14ac:dyDescent="0.25">
      <c r="A171" s="76" t="s">
        <v>2215</v>
      </c>
      <c r="B171" s="83" t="s">
        <v>280</v>
      </c>
      <c r="C171" s="76">
        <f>VLOOKUP(GroupVertices[[#This Row],[Vertex]], Vertices[], MATCH("ID", Vertices[#Headers], 0), FALSE)</f>
        <v>109</v>
      </c>
    </row>
    <row r="172" spans="1:3" x14ac:dyDescent="0.25">
      <c r="A172" s="76" t="s">
        <v>2215</v>
      </c>
      <c r="B172" s="83" t="s">
        <v>290</v>
      </c>
      <c r="C172" s="76">
        <f>VLOOKUP(GroupVertices[[#This Row],[Vertex]], Vertices[], MATCH("ID", Vertices[#Headers], 0), FALSE)</f>
        <v>116</v>
      </c>
    </row>
    <row r="173" spans="1:3" x14ac:dyDescent="0.25">
      <c r="A173" s="76" t="s">
        <v>2215</v>
      </c>
      <c r="B173" s="83" t="s">
        <v>289</v>
      </c>
      <c r="C173" s="76">
        <f>VLOOKUP(GroupVertices[[#This Row],[Vertex]], Vertices[], MATCH("ID", Vertices[#Headers], 0), FALSE)</f>
        <v>110</v>
      </c>
    </row>
    <row r="174" spans="1:3" x14ac:dyDescent="0.25">
      <c r="A174" s="76" t="s">
        <v>2215</v>
      </c>
      <c r="B174" s="83" t="s">
        <v>282</v>
      </c>
      <c r="C174" s="76">
        <f>VLOOKUP(GroupVertices[[#This Row],[Vertex]], Vertices[], MATCH("ID", Vertices[#Headers], 0), FALSE)</f>
        <v>112</v>
      </c>
    </row>
    <row r="175" spans="1:3" x14ac:dyDescent="0.25">
      <c r="A175" s="76" t="s">
        <v>2215</v>
      </c>
      <c r="B175" s="83" t="s">
        <v>283</v>
      </c>
      <c r="C175" s="76">
        <f>VLOOKUP(GroupVertices[[#This Row],[Vertex]], Vertices[], MATCH("ID", Vertices[#Headers], 0), FALSE)</f>
        <v>113</v>
      </c>
    </row>
    <row r="176" spans="1:3" x14ac:dyDescent="0.25">
      <c r="A176" s="76" t="s">
        <v>2215</v>
      </c>
      <c r="B176" s="83" t="s">
        <v>278</v>
      </c>
      <c r="C176" s="76">
        <f>VLOOKUP(GroupVertices[[#This Row],[Vertex]], Vertices[], MATCH("ID", Vertices[#Headers], 0), FALSE)</f>
        <v>44</v>
      </c>
    </row>
    <row r="177" spans="1:3" x14ac:dyDescent="0.25">
      <c r="A177" s="76" t="s">
        <v>2215</v>
      </c>
      <c r="B177" s="83" t="s">
        <v>271</v>
      </c>
      <c r="C177" s="76">
        <f>VLOOKUP(GroupVertices[[#This Row],[Vertex]], Vertices[], MATCH("ID", Vertices[#Headers], 0), FALSE)</f>
        <v>103</v>
      </c>
    </row>
    <row r="178" spans="1:3" x14ac:dyDescent="0.25">
      <c r="A178" s="76" t="s">
        <v>2215</v>
      </c>
      <c r="B178" s="83" t="s">
        <v>249</v>
      </c>
      <c r="C178" s="76">
        <f>VLOOKUP(GroupVertices[[#This Row],[Vertex]], Vertices[], MATCH("ID", Vertices[#Headers], 0), FALSE)</f>
        <v>80</v>
      </c>
    </row>
    <row r="179" spans="1:3" x14ac:dyDescent="0.25">
      <c r="A179" s="76" t="s">
        <v>2215</v>
      </c>
      <c r="B179" s="83" t="s">
        <v>241</v>
      </c>
      <c r="C179" s="76">
        <f>VLOOKUP(GroupVertices[[#This Row],[Vertex]], Vertices[], MATCH("ID", Vertices[#Headers], 0), FALSE)</f>
        <v>72</v>
      </c>
    </row>
    <row r="180" spans="1:3" x14ac:dyDescent="0.25">
      <c r="A180" s="76" t="s">
        <v>2215</v>
      </c>
      <c r="B180" s="83" t="s">
        <v>220</v>
      </c>
      <c r="C180" s="76">
        <f>VLOOKUP(GroupVertices[[#This Row],[Vertex]], Vertices[], MATCH("ID", Vertices[#Headers], 0), FALSE)</f>
        <v>43</v>
      </c>
    </row>
    <row r="181" spans="1:3" x14ac:dyDescent="0.25">
      <c r="A181" s="76" t="s">
        <v>2215</v>
      </c>
      <c r="B181" s="83" t="s">
        <v>215</v>
      </c>
      <c r="C181" s="76">
        <f>VLOOKUP(GroupVertices[[#This Row],[Vertex]], Vertices[], MATCH("ID", Vertices[#Headers], 0), FALSE)</f>
        <v>36</v>
      </c>
    </row>
    <row r="182" spans="1:3" x14ac:dyDescent="0.25">
      <c r="A182" s="76" t="s">
        <v>2215</v>
      </c>
      <c r="B182" s="83" t="s">
        <v>214</v>
      </c>
      <c r="C182" s="76">
        <f>VLOOKUP(GroupVertices[[#This Row],[Vertex]], Vertices[], MATCH("ID", Vertices[#Headers], 0), FALSE)</f>
        <v>34</v>
      </c>
    </row>
    <row r="183" spans="1:3" x14ac:dyDescent="0.25">
      <c r="A183" s="76" t="s">
        <v>2215</v>
      </c>
      <c r="B183" s="83" t="s">
        <v>205</v>
      </c>
      <c r="C183" s="76">
        <f>VLOOKUP(GroupVertices[[#This Row],[Vertex]], Vertices[], MATCH("ID", Vertices[#Headers], 0), FALSE)</f>
        <v>21</v>
      </c>
    </row>
    <row r="184" spans="1:3" x14ac:dyDescent="0.25">
      <c r="A184" s="76" t="s">
        <v>2216</v>
      </c>
      <c r="B184" s="83" t="s">
        <v>345</v>
      </c>
      <c r="C184" s="76">
        <f>VLOOKUP(GroupVertices[[#This Row],[Vertex]], Vertices[], MATCH("ID", Vertices[#Headers], 0), FALSE)</f>
        <v>166</v>
      </c>
    </row>
    <row r="185" spans="1:3" x14ac:dyDescent="0.25">
      <c r="A185" s="76" t="s">
        <v>2216</v>
      </c>
      <c r="B185" s="83" t="s">
        <v>347</v>
      </c>
      <c r="C185" s="76">
        <f>VLOOKUP(GroupVertices[[#This Row],[Vertex]], Vertices[], MATCH("ID", Vertices[#Headers], 0), FALSE)</f>
        <v>167</v>
      </c>
    </row>
    <row r="186" spans="1:3" x14ac:dyDescent="0.25">
      <c r="A186" s="76" t="s">
        <v>2216</v>
      </c>
      <c r="B186" s="83" t="s">
        <v>254</v>
      </c>
      <c r="C186" s="76">
        <f>VLOOKUP(GroupVertices[[#This Row],[Vertex]], Vertices[], MATCH("ID", Vertices[#Headers], 0), FALSE)</f>
        <v>55</v>
      </c>
    </row>
    <row r="187" spans="1:3" x14ac:dyDescent="0.25">
      <c r="A187" s="76" t="s">
        <v>2216</v>
      </c>
      <c r="B187" s="83" t="s">
        <v>318</v>
      </c>
      <c r="C187" s="76">
        <f>VLOOKUP(GroupVertices[[#This Row],[Vertex]], Vertices[], MATCH("ID", Vertices[#Headers], 0), FALSE)</f>
        <v>141</v>
      </c>
    </row>
    <row r="188" spans="1:3" x14ac:dyDescent="0.25">
      <c r="A188" s="76" t="s">
        <v>2216</v>
      </c>
      <c r="B188" s="83" t="s">
        <v>317</v>
      </c>
      <c r="C188" s="76">
        <f>VLOOKUP(GroupVertices[[#This Row],[Vertex]], Vertices[], MATCH("ID", Vertices[#Headers], 0), FALSE)</f>
        <v>140</v>
      </c>
    </row>
    <row r="189" spans="1:3" x14ac:dyDescent="0.25">
      <c r="A189" s="76" t="s">
        <v>2216</v>
      </c>
      <c r="B189" s="83" t="s">
        <v>226</v>
      </c>
      <c r="C189" s="76">
        <f>VLOOKUP(GroupVertices[[#This Row],[Vertex]], Vertices[], MATCH("ID", Vertices[#Headers], 0), FALSE)</f>
        <v>54</v>
      </c>
    </row>
    <row r="190" spans="1:3" x14ac:dyDescent="0.25">
      <c r="A190" s="76" t="s">
        <v>2217</v>
      </c>
      <c r="B190" s="83" t="s">
        <v>247</v>
      </c>
      <c r="C190" s="76">
        <f>VLOOKUP(GroupVertices[[#This Row],[Vertex]], Vertices[], MATCH("ID", Vertices[#Headers], 0), FALSE)</f>
        <v>19</v>
      </c>
    </row>
    <row r="191" spans="1:3" x14ac:dyDescent="0.25">
      <c r="A191" s="76" t="s">
        <v>2217</v>
      </c>
      <c r="B191" s="83" t="s">
        <v>203</v>
      </c>
      <c r="C191" s="76">
        <f>VLOOKUP(GroupVertices[[#This Row],[Vertex]], Vertices[], MATCH("ID", Vertices[#Headers], 0), FALSE)</f>
        <v>18</v>
      </c>
    </row>
    <row r="192" spans="1:3" x14ac:dyDescent="0.25">
      <c r="A192" s="76" t="s">
        <v>2218</v>
      </c>
      <c r="B192" s="83" t="s">
        <v>195</v>
      </c>
      <c r="C192" s="76">
        <f>VLOOKUP(GroupVertices[[#This Row],[Vertex]], Vertices[], MATCH("ID", Vertices[#Headers], 0), FALSE)</f>
        <v>10</v>
      </c>
    </row>
    <row r="193" spans="1:3" x14ac:dyDescent="0.25">
      <c r="A193" s="76" t="s">
        <v>2218</v>
      </c>
      <c r="B193" s="83" t="s">
        <v>194</v>
      </c>
      <c r="C193" s="76">
        <f>VLOOKUP(GroupVertices[[#This Row],[Vertex]], Vertices[], MATCH("ID", Vertices[#Headers], 0), FALSE)</f>
        <v>9</v>
      </c>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4"/>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161</v>
      </c>
      <c r="B1" s="13" t="s">
        <v>17</v>
      </c>
      <c r="D1" t="s">
        <v>78</v>
      </c>
      <c r="E1" t="s">
        <v>79</v>
      </c>
      <c r="F1" s="35" t="s">
        <v>85</v>
      </c>
      <c r="G1" s="36" t="s">
        <v>86</v>
      </c>
      <c r="H1" s="35" t="s">
        <v>91</v>
      </c>
      <c r="I1" s="36" t="s">
        <v>92</v>
      </c>
      <c r="J1" s="35" t="s">
        <v>97</v>
      </c>
      <c r="K1" s="36" t="s">
        <v>98</v>
      </c>
      <c r="L1" s="35" t="s">
        <v>103</v>
      </c>
      <c r="M1" s="36" t="s">
        <v>104</v>
      </c>
      <c r="N1" s="35" t="s">
        <v>109</v>
      </c>
      <c r="O1" s="36" t="s">
        <v>110</v>
      </c>
      <c r="P1" s="36" t="s">
        <v>137</v>
      </c>
      <c r="Q1" s="36" t="s">
        <v>138</v>
      </c>
      <c r="R1" s="35" t="s">
        <v>115</v>
      </c>
      <c r="S1" s="35" t="s">
        <v>116</v>
      </c>
      <c r="T1" s="35" t="s">
        <v>121</v>
      </c>
      <c r="U1" s="36" t="s">
        <v>122</v>
      </c>
      <c r="W1" t="s">
        <v>126</v>
      </c>
      <c r="X1" t="s">
        <v>17</v>
      </c>
    </row>
    <row r="2" spans="1:24" ht="15.75" thickTop="1" x14ac:dyDescent="0.25">
      <c r="A2" s="34" t="s">
        <v>2226</v>
      </c>
      <c r="B2" s="34" t="s">
        <v>2207</v>
      </c>
      <c r="D2" s="31" t="e">
        <f>MIN(#REF!)</f>
        <v>#REF!</v>
      </c>
      <c r="E2" s="3" t="e">
        <f>COUNTIF(#REF!, "&gt;= " &amp; D2) - COUNTIF(#REF!, "&gt;=" &amp; D3)</f>
        <v>#REF!</v>
      </c>
      <c r="F2" s="37">
        <f>MIN(Vertices[In-Degree])</f>
        <v>0</v>
      </c>
      <c r="G2" s="38">
        <f>COUNTIF(Vertices[In-Degree], "&gt;= " &amp; F2) - COUNTIF(Vertices[In-Degree], "&gt;=" &amp; F3)</f>
        <v>57</v>
      </c>
      <c r="H2" s="37">
        <f>MIN(Vertices[Out-Degree])</f>
        <v>1</v>
      </c>
      <c r="I2" s="38">
        <f>COUNTIF(Vertices[Out-Degree], "&gt;= " &amp; H2) - COUNTIF(Vertices[Out-Degree], "&gt;=" &amp; H3)</f>
        <v>69</v>
      </c>
      <c r="J2" s="37">
        <f>MIN(Vertices[Betweenness Centrality])</f>
        <v>0</v>
      </c>
      <c r="K2" s="38">
        <f>COUNTIF(Vertices[Betweenness Centrality], "&gt;= " &amp; J2) - COUNTIF(Vertices[Betweenness Centrality], "&gt;=" &amp; J3)</f>
        <v>140</v>
      </c>
      <c r="L2" s="37">
        <f>MIN(Vertices[Closeness Centrality])</f>
        <v>0</v>
      </c>
      <c r="M2" s="38">
        <f>COUNTIF(Vertices[Closeness Centrality], "&gt;= " &amp; L2) - COUNTIF(Vertices[Closeness Centrality], "&gt;=" &amp; L3)</f>
        <v>190</v>
      </c>
      <c r="N2" s="37">
        <f>MIN(Vertices[Eigenvector Centrality])</f>
        <v>0</v>
      </c>
      <c r="O2" s="38">
        <f>COUNTIF(Vertices[Eigenvector Centrality], "&gt;= " &amp; N2) - COUNTIF(Vertices[Eigenvector Centrality], "&gt;=" &amp; N3)</f>
        <v>48</v>
      </c>
      <c r="P2" s="37">
        <f>MIN(Vertices[PageRank])</f>
        <v>0.33224900000000002</v>
      </c>
      <c r="Q2" s="38">
        <f>COUNTIF(Vertices[PageRank], "&gt;= " &amp; P2) - COUNTIF(Vertices[PageRank], "&gt;=" &amp; P3)</f>
        <v>37</v>
      </c>
      <c r="R2" s="37">
        <f>MIN(Vertices[Clustering Coefficient])</f>
        <v>0</v>
      </c>
      <c r="S2" s="43">
        <f>COUNTIF(Vertices[Clustering Coefficient], "&gt;= " &amp; R2) - COUNTIF(Vertices[Clustering Coefficient], "&gt;=" &amp; R3)</f>
        <v>74</v>
      </c>
      <c r="T2" s="37" t="e">
        <f ca="1">MIN(INDIRECT(DynamicFilterSourceColumnRange))</f>
        <v>#REF!</v>
      </c>
      <c r="U2" s="38" t="e">
        <f t="shared" ref="U2:U45" ca="1" si="0">COUNTIF(INDIRECT(DynamicFilterSourceColumnRange), "&gt;= " &amp; T2) - COUNTIF(INDIRECT(DynamicFilterSourceColumnRange), "&gt;=" &amp; T3)</f>
        <v>#REF!</v>
      </c>
      <c r="W2" t="s">
        <v>123</v>
      </c>
      <c r="X2">
        <f>ROWS(HistogramBins[Degree Bin]) - 1</f>
        <v>43</v>
      </c>
    </row>
    <row r="3" spans="1:24" x14ac:dyDescent="0.25">
      <c r="A3" s="111"/>
      <c r="B3" s="111"/>
      <c r="D3" s="32" t="e">
        <f t="shared" ref="D3:D44" si="1">D2+($D$45-$D$2)/BinDivisor</f>
        <v>#REF!</v>
      </c>
      <c r="E3" s="3" t="e">
        <f>COUNTIF(#REF!, "&gt;= " &amp; D3) - COUNTIF(#REF!, "&gt;=" &amp; D4)</f>
        <v>#REF!</v>
      </c>
      <c r="F3" s="39">
        <f t="shared" ref="F3:F44" si="2">F2+($F$45-$F$2)/BinDivisor</f>
        <v>1.2093023255813953</v>
      </c>
      <c r="G3" s="40">
        <f>COUNTIF(Vertices[In-Degree], "&gt;= " &amp; F3) - COUNTIF(Vertices[In-Degree], "&gt;=" &amp; F4)</f>
        <v>27</v>
      </c>
      <c r="H3" s="39">
        <f t="shared" ref="H3:H44" si="3">H2+($H$45-$H$2)/BinDivisor</f>
        <v>2.1162790697674421</v>
      </c>
      <c r="I3" s="40">
        <f>COUNTIF(Vertices[Out-Degree], "&gt;= " &amp; H3) - COUNTIF(Vertices[Out-Degree], "&gt;=" &amp; H4)</f>
        <v>26</v>
      </c>
      <c r="J3" s="39">
        <f t="shared" ref="J3:J44" si="4">J2+($J$45-$J$2)/BinDivisor</f>
        <v>182.62984611627908</v>
      </c>
      <c r="K3" s="40">
        <f>COUNTIF(Vertices[Betweenness Centrality], "&gt;= " &amp; J3) - COUNTIF(Vertices[Betweenness Centrality], "&gt;=" &amp; J4)</f>
        <v>18</v>
      </c>
      <c r="L3" s="39">
        <f t="shared" ref="L3:L44" si="5">L2+($L$45-$L$2)/BinDivisor</f>
        <v>2.3255813953488372E-2</v>
      </c>
      <c r="M3" s="40">
        <f>COUNTIF(Vertices[Closeness Centrality], "&gt;= " &amp; L3) - COUNTIF(Vertices[Closeness Centrality], "&gt;=" &amp; L4)</f>
        <v>0</v>
      </c>
      <c r="N3" s="39">
        <f t="shared" ref="N3:N44" si="6">N2+($N$45-$N$2)/BinDivisor</f>
        <v>9.5534883720930228E-4</v>
      </c>
      <c r="O3" s="40">
        <f>COUNTIF(Vertices[Eigenvector Centrality], "&gt;= " &amp; N3) - COUNTIF(Vertices[Eigenvector Centrality], "&gt;=" &amp; N4)</f>
        <v>33</v>
      </c>
      <c r="P3" s="39">
        <f t="shared" ref="P3:P44" si="7">P2+($P$45-$P$2)/BinDivisor</f>
        <v>0.47250788372093022</v>
      </c>
      <c r="Q3" s="40">
        <f>COUNTIF(Vertices[PageRank], "&gt;= " &amp; P3) - COUNTIF(Vertices[PageRank], "&gt;=" &amp; P4)</f>
        <v>32</v>
      </c>
      <c r="R3" s="39">
        <f t="shared" ref="R3:R44" si="8">R2+($R$45-$R$2)/BinDivisor</f>
        <v>2.3255813953488372E-2</v>
      </c>
      <c r="S3" s="44">
        <f>COUNTIF(Vertices[Clustering Coefficient], "&gt;= " &amp; R3) - COUNTIF(Vertices[Clustering Coefficient], "&gt;=" &amp; R4)</f>
        <v>0</v>
      </c>
      <c r="T3" s="39" t="e">
        <f t="shared" ref="T3:T44" ca="1" si="9">T2+($T$45-$T$2)/BinDivisor</f>
        <v>#REF!</v>
      </c>
      <c r="U3" s="40" t="e">
        <f t="shared" ca="1" si="0"/>
        <v>#REF!</v>
      </c>
      <c r="W3" t="s">
        <v>124</v>
      </c>
      <c r="X3" t="s">
        <v>84</v>
      </c>
    </row>
    <row r="4" spans="1:24" x14ac:dyDescent="0.25">
      <c r="A4" s="34" t="s">
        <v>145</v>
      </c>
      <c r="B4" s="34">
        <v>192</v>
      </c>
      <c r="D4" s="32" t="e">
        <f t="shared" si="1"/>
        <v>#REF!</v>
      </c>
      <c r="E4" s="3" t="e">
        <f>COUNTIF(#REF!, "&gt;= " &amp; D4) - COUNTIF(#REF!, "&gt;=" &amp; D5)</f>
        <v>#REF!</v>
      </c>
      <c r="F4" s="37">
        <f t="shared" si="2"/>
        <v>2.4186046511627906</v>
      </c>
      <c r="G4" s="38">
        <f>COUNTIF(Vertices[In-Degree], "&gt;= " &amp; F4) - COUNTIF(Vertices[In-Degree], "&gt;=" &amp; F5)</f>
        <v>22</v>
      </c>
      <c r="H4" s="37">
        <f t="shared" si="3"/>
        <v>3.2325581395348841</v>
      </c>
      <c r="I4" s="38">
        <f>COUNTIF(Vertices[Out-Degree], "&gt;= " &amp; H4) - COUNTIF(Vertices[Out-Degree], "&gt;=" &amp; H5)</f>
        <v>14</v>
      </c>
      <c r="J4" s="37">
        <f t="shared" si="4"/>
        <v>365.25969223255817</v>
      </c>
      <c r="K4" s="38">
        <f>COUNTIF(Vertices[Betweenness Centrality], "&gt;= " &amp; J4) - COUNTIF(Vertices[Betweenness Centrality], "&gt;=" &amp; J5)</f>
        <v>10</v>
      </c>
      <c r="L4" s="37">
        <f t="shared" si="5"/>
        <v>4.6511627906976744E-2</v>
      </c>
      <c r="M4" s="38">
        <f>COUNTIF(Vertices[Closeness Centrality], "&gt;= " &amp; L4) - COUNTIF(Vertices[Closeness Centrality], "&gt;=" &amp; L5)</f>
        <v>0</v>
      </c>
      <c r="N4" s="37">
        <f t="shared" si="6"/>
        <v>1.9106976744186046E-3</v>
      </c>
      <c r="O4" s="38">
        <f>COUNTIF(Vertices[Eigenvector Centrality], "&gt;= " &amp; N4) - COUNTIF(Vertices[Eigenvector Centrality], "&gt;=" &amp; N5)</f>
        <v>19</v>
      </c>
      <c r="P4" s="37">
        <f t="shared" si="7"/>
        <v>0.61276676744186043</v>
      </c>
      <c r="Q4" s="38">
        <f>COUNTIF(Vertices[PageRank], "&gt;= " &amp; P4) - COUNTIF(Vertices[PageRank], "&gt;=" &amp; P5)</f>
        <v>17</v>
      </c>
      <c r="R4" s="37">
        <f t="shared" si="8"/>
        <v>4.6511627906976744E-2</v>
      </c>
      <c r="S4" s="43">
        <f>COUNTIF(Vertices[Clustering Coefficient], "&gt;= " &amp; R4) - COUNTIF(Vertices[Clustering Coefficient], "&gt;=" &amp; R5)</f>
        <v>2</v>
      </c>
      <c r="T4" s="37" t="e">
        <f t="shared" ca="1" si="9"/>
        <v>#REF!</v>
      </c>
      <c r="U4" s="38" t="e">
        <f t="shared" ca="1" si="0"/>
        <v>#REF!</v>
      </c>
      <c r="W4" s="12" t="s">
        <v>125</v>
      </c>
      <c r="X4" s="12" t="s">
        <v>127</v>
      </c>
    </row>
    <row r="5" spans="1:24" x14ac:dyDescent="0.25">
      <c r="A5" s="111"/>
      <c r="B5" s="111"/>
      <c r="D5" s="32" t="e">
        <f t="shared" si="1"/>
        <v>#REF!</v>
      </c>
      <c r="E5" s="3" t="e">
        <f>COUNTIF(#REF!, "&gt;= " &amp; D5) - COUNTIF(#REF!, "&gt;=" &amp; D6)</f>
        <v>#REF!</v>
      </c>
      <c r="F5" s="39">
        <f t="shared" si="2"/>
        <v>3.6279069767441858</v>
      </c>
      <c r="G5" s="40">
        <f>COUNTIF(Vertices[In-Degree], "&gt;= " &amp; F5) - COUNTIF(Vertices[In-Degree], "&gt;=" &amp; F6)</f>
        <v>9</v>
      </c>
      <c r="H5" s="39">
        <f t="shared" si="3"/>
        <v>4.3488372093023262</v>
      </c>
      <c r="I5" s="40">
        <f>COUNTIF(Vertices[Out-Degree], "&gt;= " &amp; H5) - COUNTIF(Vertices[Out-Degree], "&gt;=" &amp; H6)</f>
        <v>15</v>
      </c>
      <c r="J5" s="39">
        <f t="shared" si="4"/>
        <v>547.88953834883728</v>
      </c>
      <c r="K5" s="40">
        <f>COUNTIF(Vertices[Betweenness Centrality], "&gt;= " &amp; J5) - COUNTIF(Vertices[Betweenness Centrality], "&gt;=" &amp; J6)</f>
        <v>8</v>
      </c>
      <c r="L5" s="39">
        <f t="shared" si="5"/>
        <v>6.9767441860465115E-2</v>
      </c>
      <c r="M5" s="40">
        <f>COUNTIF(Vertices[Closeness Centrality], "&gt;= " &amp; L5) - COUNTIF(Vertices[Closeness Centrality], "&gt;=" &amp; L6)</f>
        <v>0</v>
      </c>
      <c r="N5" s="39">
        <f t="shared" si="6"/>
        <v>2.8660465116279068E-3</v>
      </c>
      <c r="O5" s="40">
        <f>COUNTIF(Vertices[Eigenvector Centrality], "&gt;= " &amp; N5) - COUNTIF(Vertices[Eigenvector Centrality], "&gt;=" &amp; N6)</f>
        <v>19</v>
      </c>
      <c r="P5" s="39">
        <f t="shared" si="7"/>
        <v>0.75302565116279063</v>
      </c>
      <c r="Q5" s="40">
        <f>COUNTIF(Vertices[PageRank], "&gt;= " &amp; P5) - COUNTIF(Vertices[PageRank], "&gt;=" &amp; P6)</f>
        <v>16</v>
      </c>
      <c r="R5" s="39">
        <f t="shared" si="8"/>
        <v>6.9767441860465115E-2</v>
      </c>
      <c r="S5" s="44">
        <f>COUNTIF(Vertices[Clustering Coefficient], "&gt;= " &amp; R5) - COUNTIF(Vertices[Clustering Coefficient], "&gt;=" &amp; R6)</f>
        <v>1</v>
      </c>
      <c r="T5" s="39" t="e">
        <f t="shared" ca="1" si="9"/>
        <v>#REF!</v>
      </c>
      <c r="U5" s="40" t="e">
        <f t="shared" ca="1" si="0"/>
        <v>#REF!</v>
      </c>
    </row>
    <row r="6" spans="1:24" x14ac:dyDescent="0.25">
      <c r="A6" s="34" t="s">
        <v>147</v>
      </c>
      <c r="B6" s="34">
        <v>1051</v>
      </c>
      <c r="D6" s="32" t="e">
        <f t="shared" si="1"/>
        <v>#REF!</v>
      </c>
      <c r="E6" s="3" t="e">
        <f>COUNTIF(#REF!, "&gt;= " &amp; D6) - COUNTIF(#REF!, "&gt;=" &amp; D7)</f>
        <v>#REF!</v>
      </c>
      <c r="F6" s="37">
        <f t="shared" si="2"/>
        <v>4.8372093023255811</v>
      </c>
      <c r="G6" s="38">
        <f>COUNTIF(Vertices[In-Degree], "&gt;= " &amp; F6) - COUNTIF(Vertices[In-Degree], "&gt;=" &amp; F7)</f>
        <v>21</v>
      </c>
      <c r="H6" s="37">
        <f t="shared" si="3"/>
        <v>5.4651162790697683</v>
      </c>
      <c r="I6" s="38">
        <f>COUNTIF(Vertices[Out-Degree], "&gt;= " &amp; H6) - COUNTIF(Vertices[Out-Degree], "&gt;=" &amp; H7)</f>
        <v>13</v>
      </c>
      <c r="J6" s="37">
        <f t="shared" si="4"/>
        <v>730.51938446511633</v>
      </c>
      <c r="K6" s="38">
        <f>COUNTIF(Vertices[Betweenness Centrality], "&gt;= " &amp; J6) - COUNTIF(Vertices[Betweenness Centrality], "&gt;=" &amp; J7)</f>
        <v>4</v>
      </c>
      <c r="L6" s="37">
        <f t="shared" si="5"/>
        <v>9.3023255813953487E-2</v>
      </c>
      <c r="M6" s="38">
        <f>COUNTIF(Vertices[Closeness Centrality], "&gt;= " &amp; L6) - COUNTIF(Vertices[Closeness Centrality], "&gt;=" &amp; L7)</f>
        <v>0</v>
      </c>
      <c r="N6" s="37">
        <f t="shared" si="6"/>
        <v>3.8213953488372091E-3</v>
      </c>
      <c r="O6" s="38">
        <f>COUNTIF(Vertices[Eigenvector Centrality], "&gt;= " &amp; N6) - COUNTIF(Vertices[Eigenvector Centrality], "&gt;=" &amp; N7)</f>
        <v>11</v>
      </c>
      <c r="P6" s="37">
        <f t="shared" si="7"/>
        <v>0.89328453488372084</v>
      </c>
      <c r="Q6" s="38">
        <f>COUNTIF(Vertices[PageRank], "&gt;= " &amp; P6) - COUNTIF(Vertices[PageRank], "&gt;=" &amp; P7)</f>
        <v>31</v>
      </c>
      <c r="R6" s="37">
        <f t="shared" si="8"/>
        <v>9.3023255813953487E-2</v>
      </c>
      <c r="S6" s="43">
        <f>COUNTIF(Vertices[Clustering Coefficient], "&gt;= " &amp; R6) - COUNTIF(Vertices[Clustering Coefficient], "&gt;=" &amp; R7)</f>
        <v>9</v>
      </c>
      <c r="T6" s="37" t="e">
        <f t="shared" ca="1" si="9"/>
        <v>#REF!</v>
      </c>
      <c r="U6" s="38" t="e">
        <f t="shared" ca="1" si="0"/>
        <v>#REF!</v>
      </c>
    </row>
    <row r="7" spans="1:24" x14ac:dyDescent="0.25">
      <c r="A7" s="34" t="s">
        <v>148</v>
      </c>
      <c r="B7" s="34">
        <v>154</v>
      </c>
      <c r="D7" s="32" t="e">
        <f t="shared" si="1"/>
        <v>#REF!</v>
      </c>
      <c r="E7" s="3" t="e">
        <f>COUNTIF(#REF!, "&gt;= " &amp; D7) - COUNTIF(#REF!, "&gt;=" &amp; D8)</f>
        <v>#REF!</v>
      </c>
      <c r="F7" s="39">
        <f t="shared" si="2"/>
        <v>6.0465116279069768</v>
      </c>
      <c r="G7" s="40">
        <f>COUNTIF(Vertices[In-Degree], "&gt;= " &amp; F7) - COUNTIF(Vertices[In-Degree], "&gt;=" &amp; F8)</f>
        <v>8</v>
      </c>
      <c r="H7" s="39">
        <f t="shared" si="3"/>
        <v>6.5813953488372103</v>
      </c>
      <c r="I7" s="40">
        <f>COUNTIF(Vertices[Out-Degree], "&gt;= " &amp; H7) - COUNTIF(Vertices[Out-Degree], "&gt;=" &amp; H8)</f>
        <v>10</v>
      </c>
      <c r="J7" s="39">
        <f t="shared" si="4"/>
        <v>913.14923058139539</v>
      </c>
      <c r="K7" s="40">
        <f>COUNTIF(Vertices[Betweenness Centrality], "&gt;= " &amp; J7) - COUNTIF(Vertices[Betweenness Centrality], "&gt;=" &amp; J8)</f>
        <v>2</v>
      </c>
      <c r="L7" s="39">
        <f t="shared" si="5"/>
        <v>0.11627906976744186</v>
      </c>
      <c r="M7" s="40">
        <f>COUNTIF(Vertices[Closeness Centrality], "&gt;= " &amp; L7) - COUNTIF(Vertices[Closeness Centrality], "&gt;=" &amp; L8)</f>
        <v>0</v>
      </c>
      <c r="N7" s="39">
        <f t="shared" si="6"/>
        <v>4.776744186046511E-3</v>
      </c>
      <c r="O7" s="40">
        <f>COUNTIF(Vertices[Eigenvector Centrality], "&gt;= " &amp; N7) - COUNTIF(Vertices[Eigenvector Centrality], "&gt;=" &amp; N8)</f>
        <v>6</v>
      </c>
      <c r="P7" s="39">
        <f t="shared" si="7"/>
        <v>1.033543418604651</v>
      </c>
      <c r="Q7" s="40">
        <f>COUNTIF(Vertices[PageRank], "&gt;= " &amp; P7) - COUNTIF(Vertices[PageRank], "&gt;=" &amp; P8)</f>
        <v>12</v>
      </c>
      <c r="R7" s="39">
        <f t="shared" si="8"/>
        <v>0.11627906976744186</v>
      </c>
      <c r="S7" s="44">
        <f>COUNTIF(Vertices[Clustering Coefficient], "&gt;= " &amp; R7) - COUNTIF(Vertices[Clustering Coefficient], "&gt;=" &amp; R8)</f>
        <v>7</v>
      </c>
      <c r="T7" s="39" t="e">
        <f t="shared" ca="1" si="9"/>
        <v>#REF!</v>
      </c>
      <c r="U7" s="40" t="e">
        <f t="shared" ca="1" si="0"/>
        <v>#REF!</v>
      </c>
    </row>
    <row r="8" spans="1:24" x14ac:dyDescent="0.25">
      <c r="A8" s="34" t="s">
        <v>149</v>
      </c>
      <c r="B8" s="34">
        <v>1205</v>
      </c>
      <c r="D8" s="32" t="e">
        <f t="shared" si="1"/>
        <v>#REF!</v>
      </c>
      <c r="E8" s="3" t="e">
        <f>COUNTIF(#REF!, "&gt;= " &amp; D8) - COUNTIF(#REF!, "&gt;=" &amp; D9)</f>
        <v>#REF!</v>
      </c>
      <c r="F8" s="37">
        <f t="shared" si="2"/>
        <v>7.2558139534883725</v>
      </c>
      <c r="G8" s="38">
        <f>COUNTIF(Vertices[In-Degree], "&gt;= " &amp; F8) - COUNTIF(Vertices[In-Degree], "&gt;=" &amp; F9)</f>
        <v>6</v>
      </c>
      <c r="H8" s="37">
        <f t="shared" si="3"/>
        <v>7.6976744186046524</v>
      </c>
      <c r="I8" s="38">
        <f>COUNTIF(Vertices[Out-Degree], "&gt;= " &amp; H8) - COUNTIF(Vertices[Out-Degree], "&gt;=" &amp; H9)</f>
        <v>2</v>
      </c>
      <c r="J8" s="37">
        <f t="shared" si="4"/>
        <v>1095.7790766976746</v>
      </c>
      <c r="K8" s="38">
        <f>COUNTIF(Vertices[Betweenness Centrality], "&gt;= " &amp; J8) - COUNTIF(Vertices[Betweenness Centrality], "&gt;=" &amp; J9)</f>
        <v>2</v>
      </c>
      <c r="L8" s="37">
        <f t="shared" si="5"/>
        <v>0.13953488372093023</v>
      </c>
      <c r="M8" s="38">
        <f>COUNTIF(Vertices[Closeness Centrality], "&gt;= " &amp; L8) - COUNTIF(Vertices[Closeness Centrality], "&gt;=" &amp; L9)</f>
        <v>0</v>
      </c>
      <c r="N8" s="37">
        <f t="shared" si="6"/>
        <v>5.7320930232558128E-3</v>
      </c>
      <c r="O8" s="38">
        <f>COUNTIF(Vertices[Eigenvector Centrality], "&gt;= " &amp; N8) - COUNTIF(Vertices[Eigenvector Centrality], "&gt;=" &amp; N9)</f>
        <v>10</v>
      </c>
      <c r="P8" s="37">
        <f t="shared" si="7"/>
        <v>1.1738023023255812</v>
      </c>
      <c r="Q8" s="38">
        <f>COUNTIF(Vertices[PageRank], "&gt;= " &amp; P8) - COUNTIF(Vertices[PageRank], "&gt;=" &amp; P9)</f>
        <v>12</v>
      </c>
      <c r="R8" s="37">
        <f t="shared" si="8"/>
        <v>0.13953488372093023</v>
      </c>
      <c r="S8" s="43">
        <f>COUNTIF(Vertices[Clustering Coefficient], "&gt;= " &amp; R8) - COUNTIF(Vertices[Clustering Coefficient], "&gt;=" &amp; R9)</f>
        <v>10</v>
      </c>
      <c r="T8" s="37" t="e">
        <f t="shared" ca="1" si="9"/>
        <v>#REF!</v>
      </c>
      <c r="U8" s="38" t="e">
        <f t="shared" ca="1" si="0"/>
        <v>#REF!</v>
      </c>
    </row>
    <row r="9" spans="1:24" x14ac:dyDescent="0.25">
      <c r="A9" s="111"/>
      <c r="B9" s="111"/>
      <c r="D9" s="32" t="e">
        <f t="shared" si="1"/>
        <v>#REF!</v>
      </c>
      <c r="E9" s="3" t="e">
        <f>COUNTIF(#REF!, "&gt;= " &amp; D9) - COUNTIF(#REF!, "&gt;=" &amp; D10)</f>
        <v>#REF!</v>
      </c>
      <c r="F9" s="39">
        <f t="shared" si="2"/>
        <v>8.4651162790697683</v>
      </c>
      <c r="G9" s="40">
        <f>COUNTIF(Vertices[In-Degree], "&gt;= " &amp; F9) - COUNTIF(Vertices[In-Degree], "&gt;=" &amp; F10)</f>
        <v>4</v>
      </c>
      <c r="H9" s="39">
        <f t="shared" si="3"/>
        <v>8.8139534883720945</v>
      </c>
      <c r="I9" s="40">
        <f>COUNTIF(Vertices[Out-Degree], "&gt;= " &amp; H9) - COUNTIF(Vertices[Out-Degree], "&gt;=" &amp; H10)</f>
        <v>4</v>
      </c>
      <c r="J9" s="39">
        <f t="shared" si="4"/>
        <v>1278.4089228139537</v>
      </c>
      <c r="K9" s="40">
        <f>COUNTIF(Vertices[Betweenness Centrality], "&gt;= " &amp; J9) - COUNTIF(Vertices[Betweenness Centrality], "&gt;=" &amp; J10)</f>
        <v>0</v>
      </c>
      <c r="L9" s="39">
        <f t="shared" si="5"/>
        <v>0.16279069767441862</v>
      </c>
      <c r="M9" s="40">
        <f>COUNTIF(Vertices[Closeness Centrality], "&gt;= " &amp; L9) - COUNTIF(Vertices[Closeness Centrality], "&gt;=" &amp; L10)</f>
        <v>0</v>
      </c>
      <c r="N9" s="39">
        <f t="shared" si="6"/>
        <v>6.6874418604651147E-3</v>
      </c>
      <c r="O9" s="40">
        <f>COUNTIF(Vertices[Eigenvector Centrality], "&gt;= " &amp; N9) - COUNTIF(Vertices[Eigenvector Centrality], "&gt;=" &amp; N10)</f>
        <v>5</v>
      </c>
      <c r="P9" s="39">
        <f t="shared" si="7"/>
        <v>1.3140611860465115</v>
      </c>
      <c r="Q9" s="40">
        <f>COUNTIF(Vertices[PageRank], "&gt;= " &amp; P9) - COUNTIF(Vertices[PageRank], "&gt;=" &amp; P10)</f>
        <v>5</v>
      </c>
      <c r="R9" s="39">
        <f t="shared" si="8"/>
        <v>0.16279069767441862</v>
      </c>
      <c r="S9" s="44">
        <f>COUNTIF(Vertices[Clustering Coefficient], "&gt;= " &amp; R9) - COUNTIF(Vertices[Clustering Coefficient], "&gt;=" &amp; R10)</f>
        <v>12</v>
      </c>
      <c r="T9" s="39" t="e">
        <f t="shared" ca="1" si="9"/>
        <v>#REF!</v>
      </c>
      <c r="U9" s="40" t="e">
        <f t="shared" ca="1" si="0"/>
        <v>#REF!</v>
      </c>
    </row>
    <row r="10" spans="1:24" x14ac:dyDescent="0.25">
      <c r="A10" s="34" t="s">
        <v>150</v>
      </c>
      <c r="B10" s="34">
        <v>265</v>
      </c>
      <c r="D10" s="32" t="e">
        <f t="shared" si="1"/>
        <v>#REF!</v>
      </c>
      <c r="E10" s="3" t="e">
        <f>COUNTIF(#REF!, "&gt;= " &amp; D10) - COUNTIF(#REF!, "&gt;=" &amp; D11)</f>
        <v>#REF!</v>
      </c>
      <c r="F10" s="37">
        <f t="shared" si="2"/>
        <v>9.674418604651164</v>
      </c>
      <c r="G10" s="38">
        <f>COUNTIF(Vertices[In-Degree], "&gt;= " &amp; F10) - COUNTIF(Vertices[In-Degree], "&gt;=" &amp; F11)</f>
        <v>12</v>
      </c>
      <c r="H10" s="37">
        <f t="shared" si="3"/>
        <v>9.9302325581395365</v>
      </c>
      <c r="I10" s="38">
        <f>COUNTIF(Vertices[Out-Degree], "&gt;= " &amp; H10) - COUNTIF(Vertices[Out-Degree], "&gt;=" &amp; H11)</f>
        <v>11</v>
      </c>
      <c r="J10" s="37">
        <f t="shared" si="4"/>
        <v>1461.0387689302329</v>
      </c>
      <c r="K10" s="38">
        <f>COUNTIF(Vertices[Betweenness Centrality], "&gt;= " &amp; J10) - COUNTIF(Vertices[Betweenness Centrality], "&gt;=" &amp; J11)</f>
        <v>0</v>
      </c>
      <c r="L10" s="37">
        <f t="shared" si="5"/>
        <v>0.18604651162790697</v>
      </c>
      <c r="M10" s="38">
        <f>COUNTIF(Vertices[Closeness Centrality], "&gt;= " &amp; L10) - COUNTIF(Vertices[Closeness Centrality], "&gt;=" &amp; L11)</f>
        <v>0</v>
      </c>
      <c r="N10" s="37">
        <f t="shared" si="6"/>
        <v>7.6427906976744165E-3</v>
      </c>
      <c r="O10" s="38">
        <f>COUNTIF(Vertices[Eigenvector Centrality], "&gt;= " &amp; N10) - COUNTIF(Vertices[Eigenvector Centrality], "&gt;=" &amp; N11)</f>
        <v>3</v>
      </c>
      <c r="P10" s="37">
        <f t="shared" si="7"/>
        <v>1.4543200697674417</v>
      </c>
      <c r="Q10" s="38">
        <f>COUNTIF(Vertices[PageRank], "&gt;= " &amp; P10) - COUNTIF(Vertices[PageRank], "&gt;=" &amp; P11)</f>
        <v>7</v>
      </c>
      <c r="R10" s="37">
        <f t="shared" si="8"/>
        <v>0.18604651162790697</v>
      </c>
      <c r="S10" s="43">
        <f>COUNTIF(Vertices[Clustering Coefficient], "&gt;= " &amp; R10) - COUNTIF(Vertices[Clustering Coefficient], "&gt;=" &amp; R11)</f>
        <v>5</v>
      </c>
      <c r="T10" s="37" t="e">
        <f t="shared" ca="1" si="9"/>
        <v>#REF!</v>
      </c>
      <c r="U10" s="38" t="e">
        <f t="shared" ca="1" si="0"/>
        <v>#REF!</v>
      </c>
    </row>
    <row r="11" spans="1:24" x14ac:dyDescent="0.25">
      <c r="A11" s="111"/>
      <c r="B11" s="111"/>
      <c r="D11" s="32" t="e">
        <f t="shared" si="1"/>
        <v>#REF!</v>
      </c>
      <c r="E11" s="3" t="e">
        <f>COUNTIF(#REF!, "&gt;= " &amp; D11) - COUNTIF(#REF!, "&gt;=" &amp; D12)</f>
        <v>#REF!</v>
      </c>
      <c r="F11" s="39">
        <f t="shared" si="2"/>
        <v>10.88372093023256</v>
      </c>
      <c r="G11" s="40">
        <f>COUNTIF(Vertices[In-Degree], "&gt;= " &amp; F11) - COUNTIF(Vertices[In-Degree], "&gt;=" &amp; F12)</f>
        <v>7</v>
      </c>
      <c r="H11" s="39">
        <f t="shared" si="3"/>
        <v>11.046511627906979</v>
      </c>
      <c r="I11" s="40">
        <f>COUNTIF(Vertices[Out-Degree], "&gt;= " &amp; H11) - COUNTIF(Vertices[Out-Degree], "&gt;=" &amp; H12)</f>
        <v>8</v>
      </c>
      <c r="J11" s="39">
        <f t="shared" si="4"/>
        <v>1643.6686150465121</v>
      </c>
      <c r="K11" s="40">
        <f>COUNTIF(Vertices[Betweenness Centrality], "&gt;= " &amp; J11) - COUNTIF(Vertices[Betweenness Centrality], "&gt;=" &amp; J12)</f>
        <v>2</v>
      </c>
      <c r="L11" s="39">
        <f t="shared" si="5"/>
        <v>0.20930232558139533</v>
      </c>
      <c r="M11" s="40">
        <f>COUNTIF(Vertices[Closeness Centrality], "&gt;= " &amp; L11) - COUNTIF(Vertices[Closeness Centrality], "&gt;=" &amp; L12)</f>
        <v>0</v>
      </c>
      <c r="N11" s="39">
        <f t="shared" si="6"/>
        <v>8.5981395348837183E-3</v>
      </c>
      <c r="O11" s="40">
        <f>COUNTIF(Vertices[Eigenvector Centrality], "&gt;= " &amp; N11) - COUNTIF(Vertices[Eigenvector Centrality], "&gt;=" &amp; N12)</f>
        <v>4</v>
      </c>
      <c r="P11" s="39">
        <f t="shared" si="7"/>
        <v>1.5945789534883719</v>
      </c>
      <c r="Q11" s="40">
        <f>COUNTIF(Vertices[PageRank], "&gt;= " &amp; P11) - COUNTIF(Vertices[PageRank], "&gt;=" &amp; P12)</f>
        <v>7</v>
      </c>
      <c r="R11" s="39">
        <f t="shared" si="8"/>
        <v>0.20930232558139533</v>
      </c>
      <c r="S11" s="44">
        <f>COUNTIF(Vertices[Clustering Coefficient], "&gt;= " &amp; R11) - COUNTIF(Vertices[Clustering Coefficient], "&gt;=" &amp; R12)</f>
        <v>3</v>
      </c>
      <c r="T11" s="39" t="e">
        <f t="shared" ca="1" si="9"/>
        <v>#REF!</v>
      </c>
      <c r="U11" s="40" t="e">
        <f t="shared" ca="1" si="0"/>
        <v>#REF!</v>
      </c>
    </row>
    <row r="12" spans="1:24" x14ac:dyDescent="0.25">
      <c r="A12" s="34" t="s">
        <v>169</v>
      </c>
      <c r="B12" s="34">
        <v>0.43302180685358255</v>
      </c>
      <c r="D12" s="32" t="e">
        <f t="shared" si="1"/>
        <v>#REF!</v>
      </c>
      <c r="E12" s="3" t="e">
        <f>COUNTIF(#REF!, "&gt;= " &amp; D12) - COUNTIF(#REF!, "&gt;=" &amp; D13)</f>
        <v>#REF!</v>
      </c>
      <c r="F12" s="37">
        <f t="shared" si="2"/>
        <v>12.093023255813955</v>
      </c>
      <c r="G12" s="38">
        <f>COUNTIF(Vertices[In-Degree], "&gt;= " &amp; F12) - COUNTIF(Vertices[In-Degree], "&gt;=" &amp; F13)</f>
        <v>1</v>
      </c>
      <c r="H12" s="37">
        <f t="shared" si="3"/>
        <v>12.162790697674421</v>
      </c>
      <c r="I12" s="38">
        <f>COUNTIF(Vertices[Out-Degree], "&gt;= " &amp; H12) - COUNTIF(Vertices[Out-Degree], "&gt;=" &amp; H13)</f>
        <v>1</v>
      </c>
      <c r="J12" s="37">
        <f t="shared" si="4"/>
        <v>1826.2984611627912</v>
      </c>
      <c r="K12" s="38">
        <f>COUNTIF(Vertices[Betweenness Centrality], "&gt;= " &amp; J12) - COUNTIF(Vertices[Betweenness Centrality], "&gt;=" &amp; J13)</f>
        <v>0</v>
      </c>
      <c r="L12" s="37">
        <f t="shared" si="5"/>
        <v>0.23255813953488369</v>
      </c>
      <c r="M12" s="38">
        <f>COUNTIF(Vertices[Closeness Centrality], "&gt;= " &amp; L12) - COUNTIF(Vertices[Closeness Centrality], "&gt;=" &amp; L13)</f>
        <v>0</v>
      </c>
      <c r="N12" s="37">
        <f t="shared" si="6"/>
        <v>9.5534883720930202E-3</v>
      </c>
      <c r="O12" s="38">
        <f>COUNTIF(Vertices[Eigenvector Centrality], "&gt;= " &amp; N12) - COUNTIF(Vertices[Eigenvector Centrality], "&gt;=" &amp; N13)</f>
        <v>3</v>
      </c>
      <c r="P12" s="37">
        <f t="shared" si="7"/>
        <v>1.7348378372093021</v>
      </c>
      <c r="Q12" s="38">
        <f>COUNTIF(Vertices[PageRank], "&gt;= " &amp; P12) - COUNTIF(Vertices[PageRank], "&gt;=" &amp; P13)</f>
        <v>6</v>
      </c>
      <c r="R12" s="37">
        <f t="shared" si="8"/>
        <v>0.23255813953488369</v>
      </c>
      <c r="S12" s="43">
        <f>COUNTIF(Vertices[Clustering Coefficient], "&gt;= " &amp; R12) - COUNTIF(Vertices[Clustering Coefficient], "&gt;=" &amp; R13)</f>
        <v>11</v>
      </c>
      <c r="T12" s="37" t="e">
        <f t="shared" ca="1" si="9"/>
        <v>#REF!</v>
      </c>
      <c r="U12" s="38" t="e">
        <f t="shared" ca="1" si="0"/>
        <v>#REF!</v>
      </c>
    </row>
    <row r="13" spans="1:24" x14ac:dyDescent="0.25">
      <c r="A13" s="34" t="s">
        <v>170</v>
      </c>
      <c r="B13" s="34">
        <v>0.60434782608695647</v>
      </c>
      <c r="D13" s="32" t="e">
        <f t="shared" si="1"/>
        <v>#REF!</v>
      </c>
      <c r="E13" s="3" t="e">
        <f>COUNTIF(#REF!, "&gt;= " &amp; D13) - COUNTIF(#REF!, "&gt;=" &amp; D14)</f>
        <v>#REF!</v>
      </c>
      <c r="F13" s="39">
        <f t="shared" si="2"/>
        <v>13.302325581395351</v>
      </c>
      <c r="G13" s="40">
        <f>COUNTIF(Vertices[In-Degree], "&gt;= " &amp; F13) - COUNTIF(Vertices[In-Degree], "&gt;=" &amp; F14)</f>
        <v>2</v>
      </c>
      <c r="H13" s="39">
        <f t="shared" si="3"/>
        <v>13.279069767441863</v>
      </c>
      <c r="I13" s="40">
        <f>COUNTIF(Vertices[Out-Degree], "&gt;= " &amp; H13) - COUNTIF(Vertices[Out-Degree], "&gt;=" &amp; H14)</f>
        <v>5</v>
      </c>
      <c r="J13" s="39">
        <f t="shared" si="4"/>
        <v>2008.9283072790704</v>
      </c>
      <c r="K13" s="40">
        <f>COUNTIF(Vertices[Betweenness Centrality], "&gt;= " &amp; J13) - COUNTIF(Vertices[Betweenness Centrality], "&gt;=" &amp; J14)</f>
        <v>0</v>
      </c>
      <c r="L13" s="39">
        <f t="shared" si="5"/>
        <v>0.25581395348837205</v>
      </c>
      <c r="M13" s="40">
        <f>COUNTIF(Vertices[Closeness Centrality], "&gt;= " &amp; L13) - COUNTIF(Vertices[Closeness Centrality], "&gt;=" &amp; L14)</f>
        <v>0</v>
      </c>
      <c r="N13" s="39">
        <f t="shared" si="6"/>
        <v>1.0508837209302322E-2</v>
      </c>
      <c r="O13" s="40">
        <f>COUNTIF(Vertices[Eigenvector Centrality], "&gt;= " &amp; N13) - COUNTIF(Vertices[Eigenvector Centrality], "&gt;=" &amp; N14)</f>
        <v>3</v>
      </c>
      <c r="P13" s="39">
        <f t="shared" si="7"/>
        <v>1.8750967209302323</v>
      </c>
      <c r="Q13" s="40">
        <f>COUNTIF(Vertices[PageRank], "&gt;= " &amp; P13) - COUNTIF(Vertices[PageRank], "&gt;=" &amp; P14)</f>
        <v>0</v>
      </c>
      <c r="R13" s="39">
        <f t="shared" si="8"/>
        <v>0.25581395348837205</v>
      </c>
      <c r="S13" s="44">
        <f>COUNTIF(Vertices[Clustering Coefficient], "&gt;= " &amp; R13) - COUNTIF(Vertices[Clustering Coefficient], "&gt;=" &amp; R14)</f>
        <v>5</v>
      </c>
      <c r="T13" s="39" t="e">
        <f t="shared" ca="1" si="9"/>
        <v>#REF!</v>
      </c>
      <c r="U13" s="40" t="e">
        <f t="shared" ca="1" si="0"/>
        <v>#REF!</v>
      </c>
    </row>
    <row r="14" spans="1:24" x14ac:dyDescent="0.25">
      <c r="A14" s="111"/>
      <c r="B14" s="111"/>
      <c r="D14" s="32" t="e">
        <f t="shared" si="1"/>
        <v>#REF!</v>
      </c>
      <c r="E14" s="3" t="e">
        <f>COUNTIF(#REF!, "&gt;= " &amp; D14) - COUNTIF(#REF!, "&gt;=" &amp; D15)</f>
        <v>#REF!</v>
      </c>
      <c r="F14" s="37">
        <f t="shared" si="2"/>
        <v>14.511627906976747</v>
      </c>
      <c r="G14" s="38">
        <f>COUNTIF(Vertices[In-Degree], "&gt;= " &amp; F14) - COUNTIF(Vertices[In-Degree], "&gt;=" &amp; F15)</f>
        <v>2</v>
      </c>
      <c r="H14" s="37">
        <f t="shared" si="3"/>
        <v>14.395348837209305</v>
      </c>
      <c r="I14" s="38">
        <f>COUNTIF(Vertices[Out-Degree], "&gt;= " &amp; H14) - COUNTIF(Vertices[Out-Degree], "&gt;=" &amp; H15)</f>
        <v>3</v>
      </c>
      <c r="J14" s="37">
        <f t="shared" si="4"/>
        <v>2191.5581533953496</v>
      </c>
      <c r="K14" s="38">
        <f>COUNTIF(Vertices[Betweenness Centrality], "&gt;= " &amp; J14) - COUNTIF(Vertices[Betweenness Centrality], "&gt;=" &amp; J15)</f>
        <v>0</v>
      </c>
      <c r="L14" s="37">
        <f t="shared" si="5"/>
        <v>0.27906976744186041</v>
      </c>
      <c r="M14" s="38">
        <f>COUNTIF(Vertices[Closeness Centrality], "&gt;= " &amp; L14) - COUNTIF(Vertices[Closeness Centrality], "&gt;=" &amp; L15)</f>
        <v>0</v>
      </c>
      <c r="N14" s="37">
        <f t="shared" si="6"/>
        <v>1.1464186046511624E-2</v>
      </c>
      <c r="O14" s="38">
        <f>COUNTIF(Vertices[Eigenvector Centrality], "&gt;= " &amp; N14) - COUNTIF(Vertices[Eigenvector Centrality], "&gt;=" &amp; N15)</f>
        <v>2</v>
      </c>
      <c r="P14" s="37">
        <f t="shared" si="7"/>
        <v>2.0153556046511625</v>
      </c>
      <c r="Q14" s="38">
        <f>COUNTIF(Vertices[PageRank], "&gt;= " &amp; P14) - COUNTIF(Vertices[PageRank], "&gt;=" &amp; P15)</f>
        <v>1</v>
      </c>
      <c r="R14" s="37">
        <f t="shared" si="8"/>
        <v>0.27906976744186041</v>
      </c>
      <c r="S14" s="43">
        <f>COUNTIF(Vertices[Clustering Coefficient], "&gt;= " &amp; R14) - COUNTIF(Vertices[Clustering Coefficient], "&gt;=" &amp; R15)</f>
        <v>4</v>
      </c>
      <c r="T14" s="37" t="e">
        <f t="shared" ca="1" si="9"/>
        <v>#REF!</v>
      </c>
      <c r="U14" s="38" t="e">
        <f t="shared" ca="1" si="0"/>
        <v>#REF!</v>
      </c>
    </row>
    <row r="15" spans="1:24" x14ac:dyDescent="0.25">
      <c r="A15" s="34" t="s">
        <v>151</v>
      </c>
      <c r="B15" s="34">
        <v>23</v>
      </c>
      <c r="D15" s="32" t="e">
        <f t="shared" si="1"/>
        <v>#REF!</v>
      </c>
      <c r="E15" s="3" t="e">
        <f>COUNTIF(#REF!, "&gt;= " &amp; D15) - COUNTIF(#REF!, "&gt;=" &amp; D16)</f>
        <v>#REF!</v>
      </c>
      <c r="F15" s="39">
        <f t="shared" si="2"/>
        <v>15.720930232558143</v>
      </c>
      <c r="G15" s="40">
        <f>COUNTIF(Vertices[In-Degree], "&gt;= " &amp; F15) - COUNTIF(Vertices[In-Degree], "&gt;=" &amp; F16)</f>
        <v>1</v>
      </c>
      <c r="H15" s="39">
        <f t="shared" si="3"/>
        <v>15.511627906976747</v>
      </c>
      <c r="I15" s="40">
        <f>COUNTIF(Vertices[Out-Degree], "&gt;= " &amp; H15) - COUNTIF(Vertices[Out-Degree], "&gt;=" &amp; H16)</f>
        <v>2</v>
      </c>
      <c r="J15" s="39">
        <f t="shared" si="4"/>
        <v>2374.1879995116287</v>
      </c>
      <c r="K15" s="40">
        <f>COUNTIF(Vertices[Betweenness Centrality], "&gt;= " &amp; J15) - COUNTIF(Vertices[Betweenness Centrality], "&gt;=" &amp; J16)</f>
        <v>2</v>
      </c>
      <c r="L15" s="39">
        <f t="shared" si="5"/>
        <v>0.30232558139534876</v>
      </c>
      <c r="M15" s="40">
        <f>COUNTIF(Vertices[Closeness Centrality], "&gt;= " &amp; L15) - COUNTIF(Vertices[Closeness Centrality], "&gt;=" &amp; L16)</f>
        <v>0</v>
      </c>
      <c r="N15" s="39">
        <f t="shared" si="6"/>
        <v>1.2419534883720926E-2</v>
      </c>
      <c r="O15" s="40">
        <f>COUNTIF(Vertices[Eigenvector Centrality], "&gt;= " &amp; N15) - COUNTIF(Vertices[Eigenvector Centrality], "&gt;=" &amp; N16)</f>
        <v>0</v>
      </c>
      <c r="P15" s="39">
        <f t="shared" si="7"/>
        <v>2.1556144883720929</v>
      </c>
      <c r="Q15" s="40">
        <f>COUNTIF(Vertices[PageRank], "&gt;= " &amp; P15) - COUNTIF(Vertices[PageRank], "&gt;=" &amp; P16)</f>
        <v>1</v>
      </c>
      <c r="R15" s="39">
        <f t="shared" si="8"/>
        <v>0.30232558139534876</v>
      </c>
      <c r="S15" s="44">
        <f>COUNTIF(Vertices[Clustering Coefficient], "&gt;= " &amp; R15) - COUNTIF(Vertices[Clustering Coefficient], "&gt;=" &amp; R16)</f>
        <v>3</v>
      </c>
      <c r="T15" s="39" t="e">
        <f t="shared" ca="1" si="9"/>
        <v>#REF!</v>
      </c>
      <c r="U15" s="40" t="e">
        <f t="shared" ca="1" si="0"/>
        <v>#REF!</v>
      </c>
    </row>
    <row r="16" spans="1:24" x14ac:dyDescent="0.25">
      <c r="A16" s="34" t="s">
        <v>152</v>
      </c>
      <c r="B16" s="34">
        <v>21</v>
      </c>
      <c r="D16" s="32" t="e">
        <f t="shared" si="1"/>
        <v>#REF!</v>
      </c>
      <c r="E16" s="3" t="e">
        <f>COUNTIF(#REF!, "&gt;= " &amp; D16) - COUNTIF(#REF!, "&gt;=" &amp; D17)</f>
        <v>#REF!</v>
      </c>
      <c r="F16" s="37">
        <f t="shared" si="2"/>
        <v>16.930232558139537</v>
      </c>
      <c r="G16" s="38">
        <f>COUNTIF(Vertices[In-Degree], "&gt;= " &amp; F16) - COUNTIF(Vertices[In-Degree], "&gt;=" &amp; F17)</f>
        <v>3</v>
      </c>
      <c r="H16" s="37">
        <f t="shared" si="3"/>
        <v>16.627906976744189</v>
      </c>
      <c r="I16" s="38">
        <f>COUNTIF(Vertices[Out-Degree], "&gt;= " &amp; H16) - COUNTIF(Vertices[Out-Degree], "&gt;=" &amp; H17)</f>
        <v>3</v>
      </c>
      <c r="J16" s="37">
        <f t="shared" si="4"/>
        <v>2556.8178456279079</v>
      </c>
      <c r="K16" s="38">
        <f>COUNTIF(Vertices[Betweenness Centrality], "&gt;= " &amp; J16) - COUNTIF(Vertices[Betweenness Centrality], "&gt;=" &amp; J17)</f>
        <v>0</v>
      </c>
      <c r="L16" s="37">
        <f t="shared" si="5"/>
        <v>0.32558139534883712</v>
      </c>
      <c r="M16" s="38">
        <f>COUNTIF(Vertices[Closeness Centrality], "&gt;= " &amp; L16) - COUNTIF(Vertices[Closeness Centrality], "&gt;=" &amp; L17)</f>
        <v>0</v>
      </c>
      <c r="N16" s="37">
        <f t="shared" si="6"/>
        <v>1.3374883720930228E-2</v>
      </c>
      <c r="O16" s="38">
        <f>COUNTIF(Vertices[Eigenvector Centrality], "&gt;= " &amp; N16) - COUNTIF(Vertices[Eigenvector Centrality], "&gt;=" &amp; N17)</f>
        <v>4</v>
      </c>
      <c r="P16" s="37">
        <f t="shared" si="7"/>
        <v>2.2958733720930233</v>
      </c>
      <c r="Q16" s="38">
        <f>COUNTIF(Vertices[PageRank], "&gt;= " &amp; P16) - COUNTIF(Vertices[PageRank], "&gt;=" &amp; P17)</f>
        <v>0</v>
      </c>
      <c r="R16" s="37">
        <f t="shared" si="8"/>
        <v>0.32558139534883712</v>
      </c>
      <c r="S16" s="43">
        <f>COUNTIF(Vertices[Clustering Coefficient], "&gt;= " &amp; R16) - COUNTIF(Vertices[Clustering Coefficient], "&gt;=" &amp; R17)</f>
        <v>7</v>
      </c>
      <c r="T16" s="37" t="e">
        <f t="shared" ca="1" si="9"/>
        <v>#REF!</v>
      </c>
      <c r="U16" s="38" t="e">
        <f t="shared" ca="1" si="0"/>
        <v>#REF!</v>
      </c>
    </row>
    <row r="17" spans="1:21" x14ac:dyDescent="0.25">
      <c r="A17" s="34" t="s">
        <v>153</v>
      </c>
      <c r="B17" s="34">
        <v>169</v>
      </c>
      <c r="D17" s="32" t="e">
        <f t="shared" si="1"/>
        <v>#REF!</v>
      </c>
      <c r="E17" s="3" t="e">
        <f>COUNTIF(#REF!, "&gt;= " &amp; D17) - COUNTIF(#REF!, "&gt;=" &amp; D18)</f>
        <v>#REF!</v>
      </c>
      <c r="F17" s="39">
        <f t="shared" si="2"/>
        <v>18.13953488372093</v>
      </c>
      <c r="G17" s="40">
        <f>COUNTIF(Vertices[In-Degree], "&gt;= " &amp; F17) - COUNTIF(Vertices[In-Degree], "&gt;=" &amp; F18)</f>
        <v>1</v>
      </c>
      <c r="H17" s="39">
        <f t="shared" si="3"/>
        <v>17.744186046511629</v>
      </c>
      <c r="I17" s="40">
        <f>COUNTIF(Vertices[Out-Degree], "&gt;= " &amp; H17) - COUNTIF(Vertices[Out-Degree], "&gt;=" &amp; H18)</f>
        <v>2</v>
      </c>
      <c r="J17" s="39">
        <f t="shared" si="4"/>
        <v>2739.4476917441871</v>
      </c>
      <c r="K17" s="40">
        <f>COUNTIF(Vertices[Betweenness Centrality], "&gt;= " &amp; J17) - COUNTIF(Vertices[Betweenness Centrality], "&gt;=" &amp; J18)</f>
        <v>0</v>
      </c>
      <c r="L17" s="39">
        <f t="shared" si="5"/>
        <v>0.34883720930232548</v>
      </c>
      <c r="M17" s="40">
        <f>COUNTIF(Vertices[Closeness Centrality], "&gt;= " &amp; L17) - COUNTIF(Vertices[Closeness Centrality], "&gt;=" &amp; L18)</f>
        <v>0</v>
      </c>
      <c r="N17" s="39">
        <f t="shared" si="6"/>
        <v>1.4330232558139529E-2</v>
      </c>
      <c r="O17" s="40">
        <f>COUNTIF(Vertices[Eigenvector Centrality], "&gt;= " &amp; N17) - COUNTIF(Vertices[Eigenvector Centrality], "&gt;=" &amp; N18)</f>
        <v>1</v>
      </c>
      <c r="P17" s="39">
        <f t="shared" si="7"/>
        <v>2.4361322558139538</v>
      </c>
      <c r="Q17" s="40">
        <f>COUNTIF(Vertices[PageRank], "&gt;= " &amp; P17) - COUNTIF(Vertices[PageRank], "&gt;=" &amp; P18)</f>
        <v>1</v>
      </c>
      <c r="R17" s="39">
        <f t="shared" si="8"/>
        <v>0.34883720930232548</v>
      </c>
      <c r="S17" s="44">
        <f>COUNTIF(Vertices[Clustering Coefficient], "&gt;= " &amp; R17) - COUNTIF(Vertices[Clustering Coefficient], "&gt;=" &amp; R18)</f>
        <v>4</v>
      </c>
      <c r="T17" s="39" t="e">
        <f t="shared" ca="1" si="9"/>
        <v>#REF!</v>
      </c>
      <c r="U17" s="40" t="e">
        <f t="shared" ca="1" si="0"/>
        <v>#REF!</v>
      </c>
    </row>
    <row r="18" spans="1:21" x14ac:dyDescent="0.25">
      <c r="A18" s="34" t="s">
        <v>154</v>
      </c>
      <c r="B18" s="34">
        <v>1169</v>
      </c>
      <c r="D18" s="32" t="e">
        <f t="shared" si="1"/>
        <v>#REF!</v>
      </c>
      <c r="E18" s="3" t="e">
        <f>COUNTIF(#REF!, "&gt;= " &amp; D18) - COUNTIF(#REF!, "&gt;=" &amp; D19)</f>
        <v>#REF!</v>
      </c>
      <c r="F18" s="37">
        <f t="shared" si="2"/>
        <v>19.348837209302324</v>
      </c>
      <c r="G18" s="38">
        <f>COUNTIF(Vertices[In-Degree], "&gt;= " &amp; F18) - COUNTIF(Vertices[In-Degree], "&gt;=" &amp; F19)</f>
        <v>1</v>
      </c>
      <c r="H18" s="37">
        <f t="shared" si="3"/>
        <v>18.86046511627907</v>
      </c>
      <c r="I18" s="38">
        <f>COUNTIF(Vertices[Out-Degree], "&gt;= " &amp; H18) - COUNTIF(Vertices[Out-Degree], "&gt;=" &amp; H19)</f>
        <v>1</v>
      </c>
      <c r="J18" s="37">
        <f t="shared" si="4"/>
        <v>2922.0775378604662</v>
      </c>
      <c r="K18" s="38">
        <f>COUNTIF(Vertices[Betweenness Centrality], "&gt;= " &amp; J18) - COUNTIF(Vertices[Betweenness Centrality], "&gt;=" &amp; J19)</f>
        <v>0</v>
      </c>
      <c r="L18" s="37">
        <f t="shared" si="5"/>
        <v>0.37209302325581384</v>
      </c>
      <c r="M18" s="38">
        <f>COUNTIF(Vertices[Closeness Centrality], "&gt;= " &amp; L18) - COUNTIF(Vertices[Closeness Centrality], "&gt;=" &amp; L19)</f>
        <v>0</v>
      </c>
      <c r="N18" s="37">
        <f t="shared" si="6"/>
        <v>1.5285581395348831E-2</v>
      </c>
      <c r="O18" s="38">
        <f>COUNTIF(Vertices[Eigenvector Centrality], "&gt;= " &amp; N18) - COUNTIF(Vertices[Eigenvector Centrality], "&gt;=" &amp; N19)</f>
        <v>4</v>
      </c>
      <c r="P18" s="37">
        <f t="shared" si="7"/>
        <v>2.5763911395348842</v>
      </c>
      <c r="Q18" s="38">
        <f>COUNTIF(Vertices[PageRank], "&gt;= " &amp; P18) - COUNTIF(Vertices[PageRank], "&gt;=" &amp; P19)</f>
        <v>1</v>
      </c>
      <c r="R18" s="37">
        <f t="shared" si="8"/>
        <v>0.37209302325581384</v>
      </c>
      <c r="S18" s="43">
        <f>COUNTIF(Vertices[Clustering Coefficient], "&gt;= " &amp; R18) - COUNTIF(Vertices[Clustering Coefficient], "&gt;=" &amp; R19)</f>
        <v>2</v>
      </c>
      <c r="T18" s="37" t="e">
        <f t="shared" ca="1" si="9"/>
        <v>#REF!</v>
      </c>
      <c r="U18" s="38" t="e">
        <f t="shared" ca="1" si="0"/>
        <v>#REF!</v>
      </c>
    </row>
    <row r="19" spans="1:21" x14ac:dyDescent="0.25">
      <c r="A19" s="111"/>
      <c r="B19" s="111"/>
      <c r="D19" s="32" t="e">
        <f t="shared" si="1"/>
        <v>#REF!</v>
      </c>
      <c r="E19" s="3" t="e">
        <f>COUNTIF(#REF!, "&gt;= " &amp; D19) - COUNTIF(#REF!, "&gt;=" &amp; D20)</f>
        <v>#REF!</v>
      </c>
      <c r="F19" s="39">
        <f t="shared" si="2"/>
        <v>20.558139534883718</v>
      </c>
      <c r="G19" s="40">
        <f>COUNTIF(Vertices[In-Degree], "&gt;= " &amp; F19) - COUNTIF(Vertices[In-Degree], "&gt;=" &amp; F20)</f>
        <v>0</v>
      </c>
      <c r="H19" s="39">
        <f t="shared" si="3"/>
        <v>19.97674418604651</v>
      </c>
      <c r="I19" s="40">
        <f>COUNTIF(Vertices[Out-Degree], "&gt;= " &amp; H19) - COUNTIF(Vertices[Out-Degree], "&gt;=" &amp; H20)</f>
        <v>0</v>
      </c>
      <c r="J19" s="39">
        <f t="shared" si="4"/>
        <v>3104.7073839767454</v>
      </c>
      <c r="K19" s="40">
        <f>COUNTIF(Vertices[Betweenness Centrality], "&gt;= " &amp; J19) - COUNTIF(Vertices[Betweenness Centrality], "&gt;=" &amp; J20)</f>
        <v>0</v>
      </c>
      <c r="L19" s="39">
        <f t="shared" si="5"/>
        <v>0.3953488372093022</v>
      </c>
      <c r="M19" s="40">
        <f>COUNTIF(Vertices[Closeness Centrality], "&gt;= " &amp; L19) - COUNTIF(Vertices[Closeness Centrality], "&gt;=" &amp; L20)</f>
        <v>0</v>
      </c>
      <c r="N19" s="39">
        <f t="shared" si="6"/>
        <v>1.6240930232558133E-2</v>
      </c>
      <c r="O19" s="40">
        <f>COUNTIF(Vertices[Eigenvector Centrality], "&gt;= " &amp; N19) - COUNTIF(Vertices[Eigenvector Centrality], "&gt;=" &amp; N20)</f>
        <v>2</v>
      </c>
      <c r="P19" s="39">
        <f t="shared" si="7"/>
        <v>2.7166500232558146</v>
      </c>
      <c r="Q19" s="40">
        <f>COUNTIF(Vertices[PageRank], "&gt;= " &amp; P19) - COUNTIF(Vertices[PageRank], "&gt;=" &amp; P20)</f>
        <v>0</v>
      </c>
      <c r="R19" s="39">
        <f t="shared" si="8"/>
        <v>0.3953488372093022</v>
      </c>
      <c r="S19" s="44">
        <f>COUNTIF(Vertices[Clustering Coefficient], "&gt;= " &amp; R19) - COUNTIF(Vertices[Clustering Coefficient], "&gt;=" &amp; R20)</f>
        <v>4</v>
      </c>
      <c r="T19" s="39" t="e">
        <f t="shared" ca="1" si="9"/>
        <v>#REF!</v>
      </c>
      <c r="U19" s="40" t="e">
        <f t="shared" ca="1" si="0"/>
        <v>#REF!</v>
      </c>
    </row>
    <row r="20" spans="1:21" x14ac:dyDescent="0.25">
      <c r="A20" s="34" t="s">
        <v>155</v>
      </c>
      <c r="B20" s="34">
        <v>6</v>
      </c>
      <c r="D20" s="32" t="e">
        <f t="shared" si="1"/>
        <v>#REF!</v>
      </c>
      <c r="E20" s="3" t="e">
        <f>COUNTIF(#REF!, "&gt;= " &amp; D20) - COUNTIF(#REF!, "&gt;=" &amp; D21)</f>
        <v>#REF!</v>
      </c>
      <c r="F20" s="37">
        <f t="shared" si="2"/>
        <v>21.767441860465112</v>
      </c>
      <c r="G20" s="38">
        <f>COUNTIF(Vertices[In-Degree], "&gt;= " &amp; F20) - COUNTIF(Vertices[In-Degree], "&gt;=" &amp; F21)</f>
        <v>1</v>
      </c>
      <c r="H20" s="37">
        <f t="shared" si="3"/>
        <v>21.09302325581395</v>
      </c>
      <c r="I20" s="38">
        <f>COUNTIF(Vertices[Out-Degree], "&gt;= " &amp; H20) - COUNTIF(Vertices[Out-Degree], "&gt;=" &amp; H21)</f>
        <v>0</v>
      </c>
      <c r="J20" s="37">
        <f t="shared" si="4"/>
        <v>3287.3372300930246</v>
      </c>
      <c r="K20" s="38">
        <f>COUNTIF(Vertices[Betweenness Centrality], "&gt;= " &amp; J20) - COUNTIF(Vertices[Betweenness Centrality], "&gt;=" &amp; J21)</f>
        <v>0</v>
      </c>
      <c r="L20" s="37">
        <f t="shared" si="5"/>
        <v>0.41860465116279055</v>
      </c>
      <c r="M20" s="38">
        <f>COUNTIF(Vertices[Closeness Centrality], "&gt;= " &amp; L20) - COUNTIF(Vertices[Closeness Centrality], "&gt;=" &amp; L21)</f>
        <v>0</v>
      </c>
      <c r="N20" s="37">
        <f t="shared" si="6"/>
        <v>1.7196279069767437E-2</v>
      </c>
      <c r="O20" s="38">
        <f>COUNTIF(Vertices[Eigenvector Centrality], "&gt;= " &amp; N20) - COUNTIF(Vertices[Eigenvector Centrality], "&gt;=" &amp; N21)</f>
        <v>1</v>
      </c>
      <c r="P20" s="37">
        <f t="shared" si="7"/>
        <v>2.856908906976745</v>
      </c>
      <c r="Q20" s="38">
        <f>COUNTIF(Vertices[PageRank], "&gt;= " &amp; P20) - COUNTIF(Vertices[PageRank], "&gt;=" &amp; P21)</f>
        <v>0</v>
      </c>
      <c r="R20" s="37">
        <f t="shared" si="8"/>
        <v>0.41860465116279055</v>
      </c>
      <c r="S20" s="43">
        <f>COUNTIF(Vertices[Clustering Coefficient], "&gt;= " &amp; R20) - COUNTIF(Vertices[Clustering Coefficient], "&gt;=" &amp; R21)</f>
        <v>1</v>
      </c>
      <c r="T20" s="37" t="e">
        <f t="shared" ca="1" si="9"/>
        <v>#REF!</v>
      </c>
      <c r="U20" s="38" t="e">
        <f t="shared" ca="1" si="0"/>
        <v>#REF!</v>
      </c>
    </row>
    <row r="21" spans="1:21" x14ac:dyDescent="0.25">
      <c r="A21" s="34" t="s">
        <v>156</v>
      </c>
      <c r="B21" s="34">
        <v>2.950885</v>
      </c>
      <c r="D21" s="32" t="e">
        <f t="shared" si="1"/>
        <v>#REF!</v>
      </c>
      <c r="E21" s="3" t="e">
        <f>COUNTIF(#REF!, "&gt;= " &amp; D21) - COUNTIF(#REF!, "&gt;=" &amp; D22)</f>
        <v>#REF!</v>
      </c>
      <c r="F21" s="39">
        <f t="shared" si="2"/>
        <v>22.976744186046506</v>
      </c>
      <c r="G21" s="40">
        <f>COUNTIF(Vertices[In-Degree], "&gt;= " &amp; F21) - COUNTIF(Vertices[In-Degree], "&gt;=" &amp; F22)</f>
        <v>1</v>
      </c>
      <c r="H21" s="39">
        <f t="shared" si="3"/>
        <v>22.20930232558139</v>
      </c>
      <c r="I21" s="40">
        <f>COUNTIF(Vertices[Out-Degree], "&gt;= " &amp; H21) - COUNTIF(Vertices[Out-Degree], "&gt;=" &amp; H22)</f>
        <v>1</v>
      </c>
      <c r="J21" s="39">
        <f t="shared" si="4"/>
        <v>3469.9670762093037</v>
      </c>
      <c r="K21" s="40">
        <f>COUNTIF(Vertices[Betweenness Centrality], "&gt;= " &amp; J21) - COUNTIF(Vertices[Betweenness Centrality], "&gt;=" &amp; J22)</f>
        <v>0</v>
      </c>
      <c r="L21" s="39">
        <f t="shared" si="5"/>
        <v>0.44186046511627891</v>
      </c>
      <c r="M21" s="40">
        <f>COUNTIF(Vertices[Closeness Centrality], "&gt;= " &amp; L21) - COUNTIF(Vertices[Closeness Centrality], "&gt;=" &amp; L22)</f>
        <v>0</v>
      </c>
      <c r="N21" s="39">
        <f t="shared" si="6"/>
        <v>1.815162790697674E-2</v>
      </c>
      <c r="O21" s="40">
        <f>COUNTIF(Vertices[Eigenvector Centrality], "&gt;= " &amp; N21) - COUNTIF(Vertices[Eigenvector Centrality], "&gt;=" &amp; N22)</f>
        <v>3</v>
      </c>
      <c r="P21" s="39">
        <f t="shared" si="7"/>
        <v>2.9971677906976755</v>
      </c>
      <c r="Q21" s="40">
        <f>COUNTIF(Vertices[PageRank], "&gt;= " &amp; P21) - COUNTIF(Vertices[PageRank], "&gt;=" &amp; P22)</f>
        <v>0</v>
      </c>
      <c r="R21" s="39">
        <f t="shared" si="8"/>
        <v>0.44186046511627891</v>
      </c>
      <c r="S21" s="44">
        <f>COUNTIF(Vertices[Clustering Coefficient], "&gt;= " &amp; R21) - COUNTIF(Vertices[Clustering Coefficient], "&gt;=" &amp; R22)</f>
        <v>1</v>
      </c>
      <c r="T21" s="39" t="e">
        <f t="shared" ca="1" si="9"/>
        <v>#REF!</v>
      </c>
      <c r="U21" s="40" t="e">
        <f t="shared" ca="1" si="0"/>
        <v>#REF!</v>
      </c>
    </row>
    <row r="22" spans="1:21" x14ac:dyDescent="0.25">
      <c r="A22" s="111"/>
      <c r="B22" s="111"/>
      <c r="D22" s="32" t="e">
        <f t="shared" si="1"/>
        <v>#REF!</v>
      </c>
      <c r="E22" s="3" t="e">
        <f>COUNTIF(#REF!, "&gt;= " &amp; D22) - COUNTIF(#REF!, "&gt;=" &amp; D23)</f>
        <v>#REF!</v>
      </c>
      <c r="F22" s="37">
        <f t="shared" si="2"/>
        <v>24.1860465116279</v>
      </c>
      <c r="G22" s="38">
        <f>COUNTIF(Vertices[In-Degree], "&gt;= " &amp; F22) - COUNTIF(Vertices[In-Degree], "&gt;=" &amp; F23)</f>
        <v>0</v>
      </c>
      <c r="H22" s="37">
        <f t="shared" si="3"/>
        <v>23.325581395348831</v>
      </c>
      <c r="I22" s="38">
        <f>COUNTIF(Vertices[Out-Degree], "&gt;= " &amp; H22) - COUNTIF(Vertices[Out-Degree], "&gt;=" &amp; H23)</f>
        <v>0</v>
      </c>
      <c r="J22" s="37">
        <f t="shared" si="4"/>
        <v>3652.5969223255829</v>
      </c>
      <c r="K22" s="38">
        <f>COUNTIF(Vertices[Betweenness Centrality], "&gt;= " &amp; J22) - COUNTIF(Vertices[Betweenness Centrality], "&gt;=" &amp; J23)</f>
        <v>0</v>
      </c>
      <c r="L22" s="37">
        <f t="shared" si="5"/>
        <v>0.46511627906976727</v>
      </c>
      <c r="M22" s="38">
        <f>COUNTIF(Vertices[Closeness Centrality], "&gt;= " &amp; L22) - COUNTIF(Vertices[Closeness Centrality], "&gt;=" &amp; L23)</f>
        <v>0</v>
      </c>
      <c r="N22" s="37">
        <f t="shared" si="6"/>
        <v>1.9106976744186044E-2</v>
      </c>
      <c r="O22" s="38">
        <f>COUNTIF(Vertices[Eigenvector Centrality], "&gt;= " &amp; N22) - COUNTIF(Vertices[Eigenvector Centrality], "&gt;=" &amp; N23)</f>
        <v>1</v>
      </c>
      <c r="P22" s="37">
        <f t="shared" si="7"/>
        <v>3.1374266744186059</v>
      </c>
      <c r="Q22" s="38">
        <f>COUNTIF(Vertices[PageRank], "&gt;= " &amp; P22) - COUNTIF(Vertices[PageRank], "&gt;=" &amp; P23)</f>
        <v>1</v>
      </c>
      <c r="R22" s="37">
        <f t="shared" si="8"/>
        <v>0.46511627906976727</v>
      </c>
      <c r="S22" s="43">
        <f>COUNTIF(Vertices[Clustering Coefficient], "&gt;= " &amp; R22) - COUNTIF(Vertices[Clustering Coefficient], "&gt;=" &amp; R23)</f>
        <v>1</v>
      </c>
      <c r="T22" s="37" t="e">
        <f t="shared" ca="1" si="9"/>
        <v>#REF!</v>
      </c>
      <c r="U22" s="38" t="e">
        <f t="shared" ca="1" si="0"/>
        <v>#REF!</v>
      </c>
    </row>
    <row r="23" spans="1:21" x14ac:dyDescent="0.25">
      <c r="A23" s="34" t="s">
        <v>157</v>
      </c>
      <c r="B23" s="34">
        <v>2.5087260034904014E-2</v>
      </c>
      <c r="D23" s="32" t="e">
        <f t="shared" si="1"/>
        <v>#REF!</v>
      </c>
      <c r="E23" s="3" t="e">
        <f>COUNTIF(#REF!, "&gt;= " &amp; D23) - COUNTIF(#REF!, "&gt;=" &amp; D24)</f>
        <v>#REF!</v>
      </c>
      <c r="F23" s="39">
        <f t="shared" si="2"/>
        <v>25.395348837209294</v>
      </c>
      <c r="G23" s="40">
        <f>COUNTIF(Vertices[In-Degree], "&gt;= " &amp; F23) - COUNTIF(Vertices[In-Degree], "&gt;=" &amp; F24)</f>
        <v>0</v>
      </c>
      <c r="H23" s="39">
        <f t="shared" si="3"/>
        <v>24.441860465116271</v>
      </c>
      <c r="I23" s="40">
        <f>COUNTIF(Vertices[Out-Degree], "&gt;= " &amp; H23) - COUNTIF(Vertices[Out-Degree], "&gt;=" &amp; H24)</f>
        <v>0</v>
      </c>
      <c r="J23" s="39">
        <f t="shared" si="4"/>
        <v>3835.2267684418621</v>
      </c>
      <c r="K23" s="40">
        <f>COUNTIF(Vertices[Betweenness Centrality], "&gt;= " &amp; J23) - COUNTIF(Vertices[Betweenness Centrality], "&gt;=" &amp; J24)</f>
        <v>0</v>
      </c>
      <c r="L23" s="39">
        <f t="shared" si="5"/>
        <v>0.48837209302325563</v>
      </c>
      <c r="M23" s="40">
        <f>COUNTIF(Vertices[Closeness Centrality], "&gt;= " &amp; L23) - COUNTIF(Vertices[Closeness Centrality], "&gt;=" &amp; L24)</f>
        <v>0</v>
      </c>
      <c r="N23" s="39">
        <f t="shared" si="6"/>
        <v>2.0062325581395347E-2</v>
      </c>
      <c r="O23" s="40">
        <f>COUNTIF(Vertices[Eigenvector Centrality], "&gt;= " &amp; N23) - COUNTIF(Vertices[Eigenvector Centrality], "&gt;=" &amp; N24)</f>
        <v>0</v>
      </c>
      <c r="P23" s="39">
        <f t="shared" si="7"/>
        <v>3.2776855581395363</v>
      </c>
      <c r="Q23" s="40">
        <f>COUNTIF(Vertices[PageRank], "&gt;= " &amp; P23) - COUNTIF(Vertices[PageRank], "&gt;=" &amp; P24)</f>
        <v>1</v>
      </c>
      <c r="R23" s="39">
        <f t="shared" si="8"/>
        <v>0.48837209302325563</v>
      </c>
      <c r="S23" s="44">
        <f>COUNTIF(Vertices[Clustering Coefficient], "&gt;= " &amp; R23) - COUNTIF(Vertices[Clustering Coefficient], "&gt;=" &amp; R24)</f>
        <v>12</v>
      </c>
      <c r="T23" s="39" t="e">
        <f t="shared" ca="1" si="9"/>
        <v>#REF!</v>
      </c>
      <c r="U23" s="40" t="e">
        <f t="shared" ca="1" si="0"/>
        <v>#REF!</v>
      </c>
    </row>
    <row r="24" spans="1:21" x14ac:dyDescent="0.25">
      <c r="A24" s="34" t="s">
        <v>2227</v>
      </c>
      <c r="B24" s="34">
        <v>0.38130700000000001</v>
      </c>
      <c r="D24" s="32" t="e">
        <f t="shared" si="1"/>
        <v>#REF!</v>
      </c>
      <c r="E24" s="3" t="e">
        <f>COUNTIF(#REF!, "&gt;= " &amp; D24) - COUNTIF(#REF!, "&gt;=" &amp; D25)</f>
        <v>#REF!</v>
      </c>
      <c r="F24" s="37">
        <f t="shared" si="2"/>
        <v>26.604651162790688</v>
      </c>
      <c r="G24" s="38">
        <f>COUNTIF(Vertices[In-Degree], "&gt;= " &amp; F24) - COUNTIF(Vertices[In-Degree], "&gt;=" &amp; F25)</f>
        <v>0</v>
      </c>
      <c r="H24" s="37">
        <f t="shared" si="3"/>
        <v>25.558139534883711</v>
      </c>
      <c r="I24" s="38">
        <f>COUNTIF(Vertices[Out-Degree], "&gt;= " &amp; H24) - COUNTIF(Vertices[Out-Degree], "&gt;=" &amp; H25)</f>
        <v>0</v>
      </c>
      <c r="J24" s="37">
        <f t="shared" si="4"/>
        <v>4017.8566145581412</v>
      </c>
      <c r="K24" s="38">
        <f>COUNTIF(Vertices[Betweenness Centrality], "&gt;= " &amp; J24) - COUNTIF(Vertices[Betweenness Centrality], "&gt;=" &amp; J25)</f>
        <v>0</v>
      </c>
      <c r="L24" s="37">
        <f t="shared" si="5"/>
        <v>0.51162790697674398</v>
      </c>
      <c r="M24" s="38">
        <f>COUNTIF(Vertices[Closeness Centrality], "&gt;= " &amp; L24) - COUNTIF(Vertices[Closeness Centrality], "&gt;=" &amp; L25)</f>
        <v>0</v>
      </c>
      <c r="N24" s="37">
        <f t="shared" si="6"/>
        <v>2.1017674418604651E-2</v>
      </c>
      <c r="O24" s="38">
        <f>COUNTIF(Vertices[Eigenvector Centrality], "&gt;= " &amp; N24) - COUNTIF(Vertices[Eigenvector Centrality], "&gt;=" &amp; N25)</f>
        <v>1</v>
      </c>
      <c r="P24" s="37">
        <f t="shared" si="7"/>
        <v>3.4179444418604668</v>
      </c>
      <c r="Q24" s="38">
        <f>COUNTIF(Vertices[PageRank], "&gt;= " &amp; P24) - COUNTIF(Vertices[PageRank], "&gt;=" &amp; P25)</f>
        <v>1</v>
      </c>
      <c r="R24" s="37">
        <f t="shared" si="8"/>
        <v>0.51162790697674398</v>
      </c>
      <c r="S24" s="43">
        <f>COUNTIF(Vertices[Clustering Coefficient], "&gt;= " &amp; R24) - COUNTIF(Vertices[Clustering Coefficient], "&gt;=" &amp; R25)</f>
        <v>1</v>
      </c>
      <c r="T24" s="37" t="e">
        <f t="shared" ca="1" si="9"/>
        <v>#REF!</v>
      </c>
      <c r="U24" s="38" t="e">
        <f t="shared" ca="1" si="0"/>
        <v>#REF!</v>
      </c>
    </row>
    <row r="25" spans="1:21" x14ac:dyDescent="0.25">
      <c r="A25" s="111"/>
      <c r="B25" s="111"/>
      <c r="D25" s="32" t="e">
        <f t="shared" si="1"/>
        <v>#REF!</v>
      </c>
      <c r="E25" s="3" t="e">
        <f>COUNTIF(#REF!, "&gt;= " &amp; D25) - COUNTIF(#REF!, "&gt;=" &amp; D26)</f>
        <v>#REF!</v>
      </c>
      <c r="F25" s="39">
        <f t="shared" si="2"/>
        <v>27.813953488372082</v>
      </c>
      <c r="G25" s="40">
        <f>COUNTIF(Vertices[In-Degree], "&gt;= " &amp; F25) - COUNTIF(Vertices[In-Degree], "&gt;=" &amp; F26)</f>
        <v>0</v>
      </c>
      <c r="H25" s="39">
        <f t="shared" si="3"/>
        <v>26.674418604651152</v>
      </c>
      <c r="I25" s="40">
        <f>COUNTIF(Vertices[Out-Degree], "&gt;= " &amp; H25) - COUNTIF(Vertices[Out-Degree], "&gt;=" &amp; H26)</f>
        <v>0</v>
      </c>
      <c r="J25" s="39">
        <f t="shared" si="4"/>
        <v>4200.4864606744204</v>
      </c>
      <c r="K25" s="40">
        <f>COUNTIF(Vertices[Betweenness Centrality], "&gt;= " &amp; J25) - COUNTIF(Vertices[Betweenness Centrality], "&gt;=" &amp; J26)</f>
        <v>0</v>
      </c>
      <c r="L25" s="39">
        <f t="shared" si="5"/>
        <v>0.5348837209302324</v>
      </c>
      <c r="M25" s="40">
        <f>COUNTIF(Vertices[Closeness Centrality], "&gt;= " &amp; L25) - COUNTIF(Vertices[Closeness Centrality], "&gt;=" &amp; L26)</f>
        <v>0</v>
      </c>
      <c r="N25" s="39">
        <f t="shared" si="6"/>
        <v>2.1973023255813955E-2</v>
      </c>
      <c r="O25" s="40">
        <f>COUNTIF(Vertices[Eigenvector Centrality], "&gt;= " &amp; N25) - COUNTIF(Vertices[Eigenvector Centrality], "&gt;=" &amp; N26)</f>
        <v>3</v>
      </c>
      <c r="P25" s="39">
        <f t="shared" si="7"/>
        <v>3.5582033255813972</v>
      </c>
      <c r="Q25" s="40">
        <f>COUNTIF(Vertices[PageRank], "&gt;= " &amp; P25) - COUNTIF(Vertices[PageRank], "&gt;=" &amp; P26)</f>
        <v>0</v>
      </c>
      <c r="R25" s="39">
        <f t="shared" si="8"/>
        <v>0.5348837209302324</v>
      </c>
      <c r="S25" s="44">
        <f>COUNTIF(Vertices[Clustering Coefficient], "&gt;= " &amp; R25) - COUNTIF(Vertices[Clustering Coefficient], "&gt;=" &amp; R26)</f>
        <v>2</v>
      </c>
      <c r="T25" s="39" t="e">
        <f t="shared" ca="1" si="9"/>
        <v>#REF!</v>
      </c>
      <c r="U25" s="40" t="e">
        <f t="shared" ca="1" si="0"/>
        <v>#REF!</v>
      </c>
    </row>
    <row r="26" spans="1:21" x14ac:dyDescent="0.25">
      <c r="A26" s="34" t="s">
        <v>2228</v>
      </c>
      <c r="B26" s="34" t="s">
        <v>2229</v>
      </c>
      <c r="D26" s="32" t="e">
        <f t="shared" si="1"/>
        <v>#REF!</v>
      </c>
      <c r="E26" s="3" t="e">
        <f>COUNTIF(#REF!, "&gt;= " &amp; D26) - COUNTIF(#REF!, "&gt;=" &amp; D27)</f>
        <v>#REF!</v>
      </c>
      <c r="F26" s="37">
        <f t="shared" si="2"/>
        <v>29.023255813953476</v>
      </c>
      <c r="G26" s="38">
        <f>COUNTIF(Vertices[In-Degree], "&gt;= " &amp; F26) - COUNTIF(Vertices[In-Degree], "&gt;=" &amp; F27)</f>
        <v>1</v>
      </c>
      <c r="H26" s="37">
        <f t="shared" si="3"/>
        <v>27.790697674418592</v>
      </c>
      <c r="I26" s="38">
        <f>COUNTIF(Vertices[Out-Degree], "&gt;= " &amp; H26) - COUNTIF(Vertices[Out-Degree], "&gt;=" &amp; H27)</f>
        <v>0</v>
      </c>
      <c r="J26" s="37">
        <f t="shared" si="4"/>
        <v>4383.1163067906991</v>
      </c>
      <c r="K26" s="38">
        <f>COUNTIF(Vertices[Betweenness Centrality], "&gt;= " &amp; J26) - COUNTIF(Vertices[Betweenness Centrality], "&gt;=" &amp; J27)</f>
        <v>0</v>
      </c>
      <c r="L26" s="37">
        <f t="shared" si="5"/>
        <v>0.55813953488372081</v>
      </c>
      <c r="M26" s="38">
        <f>COUNTIF(Vertices[Closeness Centrality], "&gt;= " &amp; L26) - COUNTIF(Vertices[Closeness Centrality], "&gt;=" &amp; L27)</f>
        <v>0</v>
      </c>
      <c r="N26" s="37">
        <f t="shared" si="6"/>
        <v>2.2928372093023258E-2</v>
      </c>
      <c r="O26" s="38">
        <f>COUNTIF(Vertices[Eigenvector Centrality], "&gt;= " &amp; N26) - COUNTIF(Vertices[Eigenvector Centrality], "&gt;=" &amp; N27)</f>
        <v>2</v>
      </c>
      <c r="P26" s="37">
        <f t="shared" si="7"/>
        <v>3.6984622093023276</v>
      </c>
      <c r="Q26" s="38">
        <f>COUNTIF(Vertices[PageRank], "&gt;= " &amp; P26) - COUNTIF(Vertices[PageRank], "&gt;=" &amp; P27)</f>
        <v>0</v>
      </c>
      <c r="R26" s="37">
        <f t="shared" si="8"/>
        <v>0.55813953488372081</v>
      </c>
      <c r="S26" s="43">
        <f>COUNTIF(Vertices[Clustering Coefficient], "&gt;= " &amp; R26) - COUNTIF(Vertices[Clustering Coefficient], "&gt;=" &amp; R27)</f>
        <v>0</v>
      </c>
      <c r="T26" s="37" t="e">
        <f t="shared" ca="1" si="9"/>
        <v>#REF!</v>
      </c>
      <c r="U26" s="38" t="e">
        <f t="shared" ca="1" si="0"/>
        <v>#REF!</v>
      </c>
    </row>
    <row r="27" spans="1:21" x14ac:dyDescent="0.25">
      <c r="D27" s="32" t="e">
        <f t="shared" si="1"/>
        <v>#REF!</v>
      </c>
      <c r="E27" s="3" t="e">
        <f>COUNTIF(#REF!, "&gt;= " &amp; D27) - COUNTIF(#REF!, "&gt;=" &amp; D28)</f>
        <v>#REF!</v>
      </c>
      <c r="F27" s="39">
        <f t="shared" si="2"/>
        <v>30.23255813953487</v>
      </c>
      <c r="G27" s="40">
        <f>COUNTIF(Vertices[In-Degree], "&gt;= " &amp; F27) - COUNTIF(Vertices[In-Degree], "&gt;=" &amp; F28)</f>
        <v>0</v>
      </c>
      <c r="H27" s="39">
        <f t="shared" si="3"/>
        <v>28.906976744186032</v>
      </c>
      <c r="I27" s="40">
        <f>COUNTIF(Vertices[Out-Degree], "&gt;= " &amp; H27) - COUNTIF(Vertices[Out-Degree], "&gt;=" &amp; H28)</f>
        <v>0</v>
      </c>
      <c r="J27" s="39">
        <f t="shared" si="4"/>
        <v>4565.7461529069778</v>
      </c>
      <c r="K27" s="40">
        <f>COUNTIF(Vertices[Betweenness Centrality], "&gt;= " &amp; J27) - COUNTIF(Vertices[Betweenness Centrality], "&gt;=" &amp; J28)</f>
        <v>1</v>
      </c>
      <c r="L27" s="39">
        <f t="shared" si="5"/>
        <v>0.58139534883720922</v>
      </c>
      <c r="M27" s="40">
        <f>COUNTIF(Vertices[Closeness Centrality], "&gt;= " &amp; L27) - COUNTIF(Vertices[Closeness Centrality], "&gt;=" &amp; L28)</f>
        <v>0</v>
      </c>
      <c r="N27" s="39">
        <f t="shared" si="6"/>
        <v>2.3883720930232562E-2</v>
      </c>
      <c r="O27" s="40">
        <f>COUNTIF(Vertices[Eigenvector Centrality], "&gt;= " &amp; N27) - COUNTIF(Vertices[Eigenvector Centrality], "&gt;=" &amp; N28)</f>
        <v>0</v>
      </c>
      <c r="P27" s="39">
        <f t="shared" si="7"/>
        <v>3.838721093023258</v>
      </c>
      <c r="Q27" s="40">
        <f>COUNTIF(Vertices[PageRank], "&gt;= " &amp; P27) - COUNTIF(Vertices[PageRank], "&gt;=" &amp; P28)</f>
        <v>0</v>
      </c>
      <c r="R27" s="39">
        <f t="shared" si="8"/>
        <v>0.58139534883720922</v>
      </c>
      <c r="S27" s="44">
        <f>COUNTIF(Vertices[Clustering Coefficient], "&gt;= " &amp; R27) - COUNTIF(Vertices[Clustering Coefficient], "&gt;=" &amp; R28)</f>
        <v>1</v>
      </c>
      <c r="T27" s="39" t="e">
        <f t="shared" ca="1" si="9"/>
        <v>#REF!</v>
      </c>
      <c r="U27" s="40" t="e">
        <f t="shared" ca="1" si="0"/>
        <v>#REF!</v>
      </c>
    </row>
    <row r="28" spans="1:21" x14ac:dyDescent="0.25">
      <c r="D28" s="32" t="e">
        <f t="shared" si="1"/>
        <v>#REF!</v>
      </c>
      <c r="E28" s="3" t="e">
        <f>COUNTIF(#REF!, "&gt;= " &amp; D28) - COUNTIF(#REF!, "&gt;=" &amp; D29)</f>
        <v>#REF!</v>
      </c>
      <c r="F28" s="37">
        <f t="shared" si="2"/>
        <v>31.441860465116264</v>
      </c>
      <c r="G28" s="38">
        <f>COUNTIF(Vertices[In-Degree], "&gt;= " &amp; F28) - COUNTIF(Vertices[In-Degree], "&gt;=" &amp; F29)</f>
        <v>2</v>
      </c>
      <c r="H28" s="37">
        <f t="shared" si="3"/>
        <v>30.023255813953472</v>
      </c>
      <c r="I28" s="38">
        <f>COUNTIF(Vertices[Out-Degree], "&gt;= " &amp; H28) - COUNTIF(Vertices[Out-Degree], "&gt;=" &amp; H29)</f>
        <v>0</v>
      </c>
      <c r="J28" s="37">
        <f t="shared" si="4"/>
        <v>4748.3759990232566</v>
      </c>
      <c r="K28" s="38">
        <f>COUNTIF(Vertices[Betweenness Centrality], "&gt;= " &amp; J28) - COUNTIF(Vertices[Betweenness Centrality], "&gt;=" &amp; J29)</f>
        <v>1</v>
      </c>
      <c r="L28" s="37">
        <f t="shared" si="5"/>
        <v>0.60465116279069764</v>
      </c>
      <c r="M28" s="38">
        <f>COUNTIF(Vertices[Closeness Centrality], "&gt;= " &amp; L28) - COUNTIF(Vertices[Closeness Centrality], "&gt;=" &amp; L29)</f>
        <v>0</v>
      </c>
      <c r="N28" s="37">
        <f t="shared" si="6"/>
        <v>2.4839069767441865E-2</v>
      </c>
      <c r="O28" s="38">
        <f>COUNTIF(Vertices[Eigenvector Centrality], "&gt;= " &amp; N28) - COUNTIF(Vertices[Eigenvector Centrality], "&gt;=" &amp; N29)</f>
        <v>2</v>
      </c>
      <c r="P28" s="37">
        <f t="shared" si="7"/>
        <v>3.9789799767441885</v>
      </c>
      <c r="Q28" s="38">
        <f>COUNTIF(Vertices[PageRank], "&gt;= " &amp; P28) - COUNTIF(Vertices[PageRank], "&gt;=" &amp; P29)</f>
        <v>0</v>
      </c>
      <c r="R28" s="37">
        <f t="shared" si="8"/>
        <v>0.60465116279069764</v>
      </c>
      <c r="S28" s="43">
        <f>COUNTIF(Vertices[Clustering Coefficient], "&gt;= " &amp; R28) - COUNTIF(Vertices[Clustering Coefficient], "&gt;=" &amp; R29)</f>
        <v>1</v>
      </c>
      <c r="T28" s="37" t="e">
        <f t="shared" ca="1" si="9"/>
        <v>#REF!</v>
      </c>
      <c r="U28" s="38" t="e">
        <f t="shared" ca="1" si="0"/>
        <v>#REF!</v>
      </c>
    </row>
    <row r="29" spans="1:21" x14ac:dyDescent="0.25">
      <c r="A29" t="s">
        <v>162</v>
      </c>
      <c r="B29" t="s">
        <v>17</v>
      </c>
      <c r="D29" s="32" t="e">
        <f t="shared" si="1"/>
        <v>#REF!</v>
      </c>
      <c r="E29" s="3" t="e">
        <f>COUNTIF(#REF!, "&gt;= " &amp; D29) - COUNTIF(#REF!, "&gt;=" &amp; D30)</f>
        <v>#REF!</v>
      </c>
      <c r="F29" s="39">
        <f t="shared" si="2"/>
        <v>32.651162790697661</v>
      </c>
      <c r="G29" s="40">
        <f>COUNTIF(Vertices[In-Degree], "&gt;= " &amp; F29) - COUNTIF(Vertices[In-Degree], "&gt;=" &amp; F30)</f>
        <v>0</v>
      </c>
      <c r="H29" s="39">
        <f t="shared" si="3"/>
        <v>31.139534883720913</v>
      </c>
      <c r="I29" s="40">
        <f>COUNTIF(Vertices[Out-Degree], "&gt;= " &amp; H29) - COUNTIF(Vertices[Out-Degree], "&gt;=" &amp; H30)</f>
        <v>1</v>
      </c>
      <c r="J29" s="39">
        <f t="shared" si="4"/>
        <v>4931.0058451395353</v>
      </c>
      <c r="K29" s="40">
        <f>COUNTIF(Vertices[Betweenness Centrality], "&gt;= " &amp; J29) - COUNTIF(Vertices[Betweenness Centrality], "&gt;=" &amp; J30)</f>
        <v>0</v>
      </c>
      <c r="L29" s="39">
        <f t="shared" si="5"/>
        <v>0.62790697674418605</v>
      </c>
      <c r="M29" s="40">
        <f>COUNTIF(Vertices[Closeness Centrality], "&gt;= " &amp; L29) - COUNTIF(Vertices[Closeness Centrality], "&gt;=" &amp; L30)</f>
        <v>0</v>
      </c>
      <c r="N29" s="39">
        <f t="shared" si="6"/>
        <v>2.5794418604651169E-2</v>
      </c>
      <c r="O29" s="40">
        <f>COUNTIF(Vertices[Eigenvector Centrality], "&gt;= " &amp; N29) - COUNTIF(Vertices[Eigenvector Centrality], "&gt;=" &amp; N30)</f>
        <v>0</v>
      </c>
      <c r="P29" s="39">
        <f t="shared" si="7"/>
        <v>4.1192388604651189</v>
      </c>
      <c r="Q29" s="40">
        <f>COUNTIF(Vertices[PageRank], "&gt;= " &amp; P29) - COUNTIF(Vertices[PageRank], "&gt;=" &amp; P30)</f>
        <v>0</v>
      </c>
      <c r="R29" s="39">
        <f t="shared" si="8"/>
        <v>0.62790697674418605</v>
      </c>
      <c r="S29" s="44">
        <f>COUNTIF(Vertices[Clustering Coefficient], "&gt;= " &amp; R29) - COUNTIF(Vertices[Clustering Coefficient], "&gt;=" &amp; R30)</f>
        <v>1</v>
      </c>
      <c r="T29" s="39" t="e">
        <f t="shared" ca="1" si="9"/>
        <v>#REF!</v>
      </c>
      <c r="U29" s="40" t="e">
        <f t="shared" ca="1" si="0"/>
        <v>#REF!</v>
      </c>
    </row>
    <row r="30" spans="1:21" x14ac:dyDescent="0.25">
      <c r="A30" s="33"/>
      <c r="B30" s="33"/>
      <c r="D30" s="32" t="e">
        <f t="shared" si="1"/>
        <v>#REF!</v>
      </c>
      <c r="E30" s="3" t="e">
        <f>COUNTIF(#REF!, "&gt;= " &amp; D30) - COUNTIF(#REF!, "&gt;=" &amp; D31)</f>
        <v>#REF!</v>
      </c>
      <c r="F30" s="37">
        <f t="shared" si="2"/>
        <v>33.860465116279059</v>
      </c>
      <c r="G30" s="38">
        <f>COUNTIF(Vertices[In-Degree], "&gt;= " &amp; F30) - COUNTIF(Vertices[In-Degree], "&gt;=" &amp; F31)</f>
        <v>2</v>
      </c>
      <c r="H30" s="37">
        <f t="shared" si="3"/>
        <v>32.255813953488357</v>
      </c>
      <c r="I30" s="38">
        <f>COUNTIF(Vertices[Out-Degree], "&gt;= " &amp; H30) - COUNTIF(Vertices[Out-Degree], "&gt;=" &amp; H31)</f>
        <v>0</v>
      </c>
      <c r="J30" s="37">
        <f t="shared" si="4"/>
        <v>5113.635691255814</v>
      </c>
      <c r="K30" s="38">
        <f>COUNTIF(Vertices[Betweenness Centrality], "&gt;= " &amp; J30) - COUNTIF(Vertices[Betweenness Centrality], "&gt;=" &amp; J31)</f>
        <v>1</v>
      </c>
      <c r="L30" s="37">
        <f t="shared" si="5"/>
        <v>0.65116279069767447</v>
      </c>
      <c r="M30" s="38">
        <f>COUNTIF(Vertices[Closeness Centrality], "&gt;= " &amp; L30) - COUNTIF(Vertices[Closeness Centrality], "&gt;=" &amp; L31)</f>
        <v>0</v>
      </c>
      <c r="N30" s="37">
        <f t="shared" si="6"/>
        <v>2.6749767441860473E-2</v>
      </c>
      <c r="O30" s="38">
        <f>COUNTIF(Vertices[Eigenvector Centrality], "&gt;= " &amp; N30) - COUNTIF(Vertices[Eigenvector Centrality], "&gt;=" &amp; N31)</f>
        <v>0</v>
      </c>
      <c r="P30" s="37">
        <f t="shared" si="7"/>
        <v>4.2594977441860493</v>
      </c>
      <c r="Q30" s="38">
        <f>COUNTIF(Vertices[PageRank], "&gt;= " &amp; P30) - COUNTIF(Vertices[PageRank], "&gt;=" &amp; P31)</f>
        <v>0</v>
      </c>
      <c r="R30" s="37">
        <f t="shared" si="8"/>
        <v>0.65116279069767447</v>
      </c>
      <c r="S30" s="43">
        <f>COUNTIF(Vertices[Clustering Coefficient], "&gt;= " &amp; R30) - COUNTIF(Vertices[Clustering Coefficient], "&gt;=" &amp; R31)</f>
        <v>3</v>
      </c>
      <c r="T30" s="37" t="e">
        <f t="shared" ca="1" si="9"/>
        <v>#REF!</v>
      </c>
      <c r="U30" s="38" t="e">
        <f t="shared" ca="1" si="0"/>
        <v>#REF!</v>
      </c>
    </row>
    <row r="31" spans="1:21" x14ac:dyDescent="0.25">
      <c r="D31" s="32" t="e">
        <f t="shared" si="1"/>
        <v>#REF!</v>
      </c>
      <c r="E31" s="3" t="e">
        <f>COUNTIF(#REF!, "&gt;= " &amp; D31) - COUNTIF(#REF!, "&gt;=" &amp; D32)</f>
        <v>#REF!</v>
      </c>
      <c r="F31" s="39">
        <f t="shared" si="2"/>
        <v>35.069767441860456</v>
      </c>
      <c r="G31" s="40">
        <f>COUNTIF(Vertices[In-Degree], "&gt;= " &amp; F31) - COUNTIF(Vertices[In-Degree], "&gt;=" &amp; F32)</f>
        <v>0</v>
      </c>
      <c r="H31" s="39">
        <f t="shared" si="3"/>
        <v>33.3720930232558</v>
      </c>
      <c r="I31" s="40">
        <f>COUNTIF(Vertices[Out-Degree], "&gt;= " &amp; H31) - COUNTIF(Vertices[Out-Degree], "&gt;=" &amp; H32)</f>
        <v>0</v>
      </c>
      <c r="J31" s="39">
        <f t="shared" si="4"/>
        <v>5296.2655373720927</v>
      </c>
      <c r="K31" s="40">
        <f>COUNTIF(Vertices[Betweenness Centrality], "&gt;= " &amp; J31) - COUNTIF(Vertices[Betweenness Centrality], "&gt;=" &amp; J32)</f>
        <v>0</v>
      </c>
      <c r="L31" s="39">
        <f t="shared" si="5"/>
        <v>0.67441860465116288</v>
      </c>
      <c r="M31" s="40">
        <f>COUNTIF(Vertices[Closeness Centrality], "&gt;= " &amp; L31) - COUNTIF(Vertices[Closeness Centrality], "&gt;=" &amp; L32)</f>
        <v>0</v>
      </c>
      <c r="N31" s="39">
        <f t="shared" si="6"/>
        <v>2.7705116279069776E-2</v>
      </c>
      <c r="O31" s="40">
        <f>COUNTIF(Vertices[Eigenvector Centrality], "&gt;= " &amp; N31) - COUNTIF(Vertices[Eigenvector Centrality], "&gt;=" &amp; N32)</f>
        <v>0</v>
      </c>
      <c r="P31" s="39">
        <f t="shared" si="7"/>
        <v>4.3997566279069797</v>
      </c>
      <c r="Q31" s="40">
        <f>COUNTIF(Vertices[PageRank], "&gt;= " &amp; P31) - COUNTIF(Vertices[PageRank], "&gt;=" &amp; P32)</f>
        <v>0</v>
      </c>
      <c r="R31" s="39">
        <f t="shared" si="8"/>
        <v>0.67441860465116288</v>
      </c>
      <c r="S31" s="44">
        <f>COUNTIF(Vertices[Clustering Coefficient], "&gt;= " &amp; R31) - COUNTIF(Vertices[Clustering Coefficient], "&gt;=" &amp; R32)</f>
        <v>0</v>
      </c>
      <c r="T31" s="39" t="e">
        <f t="shared" ca="1" si="9"/>
        <v>#REF!</v>
      </c>
      <c r="U31" s="40" t="e">
        <f t="shared" ca="1" si="0"/>
        <v>#REF!</v>
      </c>
    </row>
    <row r="32" spans="1:21" x14ac:dyDescent="0.25">
      <c r="D32" s="32" t="e">
        <f t="shared" si="1"/>
        <v>#REF!</v>
      </c>
      <c r="E32" s="3" t="e">
        <f>COUNTIF(#REF!, "&gt;= " &amp; D32) - COUNTIF(#REF!, "&gt;=" &amp; D33)</f>
        <v>#REF!</v>
      </c>
      <c r="F32" s="37">
        <f t="shared" si="2"/>
        <v>36.279069767441854</v>
      </c>
      <c r="G32" s="38">
        <f>COUNTIF(Vertices[In-Degree], "&gt;= " &amp; F32) - COUNTIF(Vertices[In-Degree], "&gt;=" &amp; F33)</f>
        <v>0</v>
      </c>
      <c r="H32" s="37">
        <f t="shared" si="3"/>
        <v>34.488372093023244</v>
      </c>
      <c r="I32" s="38">
        <f>COUNTIF(Vertices[Out-Degree], "&gt;= " &amp; H32) - COUNTIF(Vertices[Out-Degree], "&gt;=" &amp; H33)</f>
        <v>0</v>
      </c>
      <c r="J32" s="37">
        <f t="shared" si="4"/>
        <v>5478.8953834883714</v>
      </c>
      <c r="K32" s="38">
        <f>COUNTIF(Vertices[Betweenness Centrality], "&gt;= " &amp; J32) - COUNTIF(Vertices[Betweenness Centrality], "&gt;=" &amp; J33)</f>
        <v>0</v>
      </c>
      <c r="L32" s="37">
        <f t="shared" si="5"/>
        <v>0.69767441860465129</v>
      </c>
      <c r="M32" s="38">
        <f>COUNTIF(Vertices[Closeness Centrality], "&gt;= " &amp; L32) - COUNTIF(Vertices[Closeness Centrality], "&gt;=" &amp; L33)</f>
        <v>0</v>
      </c>
      <c r="N32" s="37">
        <f t="shared" si="6"/>
        <v>2.866046511627908E-2</v>
      </c>
      <c r="O32" s="38">
        <f>COUNTIF(Vertices[Eigenvector Centrality], "&gt;= " &amp; N32) - COUNTIF(Vertices[Eigenvector Centrality], "&gt;=" &amp; N33)</f>
        <v>1</v>
      </c>
      <c r="P32" s="37">
        <f t="shared" si="7"/>
        <v>4.5400155116279102</v>
      </c>
      <c r="Q32" s="38">
        <f>COUNTIF(Vertices[PageRank], "&gt;= " &amp; P32) - COUNTIF(Vertices[PageRank], "&gt;=" &amp; P33)</f>
        <v>1</v>
      </c>
      <c r="R32" s="37">
        <f t="shared" si="8"/>
        <v>0.69767441860465129</v>
      </c>
      <c r="S32" s="43">
        <f>COUNTIF(Vertices[Clustering Coefficient], "&gt;= " &amp; R32) - COUNTIF(Vertices[Clustering Coefficient], "&gt;=" &amp; R33)</f>
        <v>0</v>
      </c>
      <c r="T32" s="37" t="e">
        <f t="shared" ca="1" si="9"/>
        <v>#REF!</v>
      </c>
      <c r="U32" s="38" t="e">
        <f t="shared" ca="1" si="0"/>
        <v>#REF!</v>
      </c>
    </row>
    <row r="33" spans="1:21" x14ac:dyDescent="0.25">
      <c r="D33" s="32" t="e">
        <f t="shared" si="1"/>
        <v>#REF!</v>
      </c>
      <c r="E33" s="3" t="e">
        <f>COUNTIF(#REF!, "&gt;= " &amp; D33) - COUNTIF(#REF!, "&gt;=" &amp; D34)</f>
        <v>#REF!</v>
      </c>
      <c r="F33" s="39">
        <f t="shared" si="2"/>
        <v>37.488372093023251</v>
      </c>
      <c r="G33" s="40">
        <f>COUNTIF(Vertices[In-Degree], "&gt;= " &amp; F33) - COUNTIF(Vertices[In-Degree], "&gt;=" &amp; F34)</f>
        <v>0</v>
      </c>
      <c r="H33" s="39">
        <f t="shared" si="3"/>
        <v>35.604651162790688</v>
      </c>
      <c r="I33" s="40">
        <f>COUNTIF(Vertices[Out-Degree], "&gt;= " &amp; H33) - COUNTIF(Vertices[Out-Degree], "&gt;=" &amp; H34)</f>
        <v>0</v>
      </c>
      <c r="J33" s="39">
        <f t="shared" si="4"/>
        <v>5661.5252296046501</v>
      </c>
      <c r="K33" s="40">
        <f>COUNTIF(Vertices[Betweenness Centrality], "&gt;= " &amp; J33) - COUNTIF(Vertices[Betweenness Centrality], "&gt;=" &amp; J34)</f>
        <v>0</v>
      </c>
      <c r="L33" s="39">
        <f t="shared" si="5"/>
        <v>0.72093023255813971</v>
      </c>
      <c r="M33" s="40">
        <f>COUNTIF(Vertices[Closeness Centrality], "&gt;= " &amp; L33) - COUNTIF(Vertices[Closeness Centrality], "&gt;=" &amp; L34)</f>
        <v>0</v>
      </c>
      <c r="N33" s="39">
        <f t="shared" si="6"/>
        <v>2.9615813953488383E-2</v>
      </c>
      <c r="O33" s="40">
        <f>COUNTIF(Vertices[Eigenvector Centrality], "&gt;= " &amp; N33) - COUNTIF(Vertices[Eigenvector Centrality], "&gt;=" &amp; N34)</f>
        <v>0</v>
      </c>
      <c r="P33" s="39">
        <f t="shared" si="7"/>
        <v>4.6802743953488406</v>
      </c>
      <c r="Q33" s="40">
        <f>COUNTIF(Vertices[PageRank], "&gt;= " &amp; P33) - COUNTIF(Vertices[PageRank], "&gt;=" &amp; P34)</f>
        <v>0</v>
      </c>
      <c r="R33" s="39">
        <f t="shared" si="8"/>
        <v>0.72093023255813971</v>
      </c>
      <c r="S33" s="44">
        <f>COUNTIF(Vertices[Clustering Coefficient], "&gt;= " &amp; R33) - COUNTIF(Vertices[Clustering Coefficient], "&gt;=" &amp; R34)</f>
        <v>0</v>
      </c>
      <c r="T33" s="39" t="e">
        <f t="shared" ca="1" si="9"/>
        <v>#REF!</v>
      </c>
      <c r="U33" s="40" t="e">
        <f t="shared" ca="1" si="0"/>
        <v>#REF!</v>
      </c>
    </row>
    <row r="34" spans="1:21" x14ac:dyDescent="0.25">
      <c r="D34" s="32" t="e">
        <f t="shared" si="1"/>
        <v>#REF!</v>
      </c>
      <c r="E34" s="3" t="e">
        <f>COUNTIF(#REF!, "&gt;= " &amp; D34) - COUNTIF(#REF!, "&gt;=" &amp; D35)</f>
        <v>#REF!</v>
      </c>
      <c r="F34" s="37">
        <f t="shared" si="2"/>
        <v>38.697674418604649</v>
      </c>
      <c r="G34" s="38">
        <f>COUNTIF(Vertices[In-Degree], "&gt;= " &amp; F34) - COUNTIF(Vertices[In-Degree], "&gt;=" &amp; F35)</f>
        <v>0</v>
      </c>
      <c r="H34" s="37">
        <f t="shared" si="3"/>
        <v>36.720930232558132</v>
      </c>
      <c r="I34" s="38">
        <f>COUNTIF(Vertices[Out-Degree], "&gt;= " &amp; H34) - COUNTIF(Vertices[Out-Degree], "&gt;=" &amp; H35)</f>
        <v>0</v>
      </c>
      <c r="J34" s="37">
        <f t="shared" si="4"/>
        <v>5844.1550757209288</v>
      </c>
      <c r="K34" s="38">
        <f>COUNTIF(Vertices[Betweenness Centrality], "&gt;= " &amp; J34) - COUNTIF(Vertices[Betweenness Centrality], "&gt;=" &amp; J35)</f>
        <v>0</v>
      </c>
      <c r="L34" s="37">
        <f t="shared" si="5"/>
        <v>0.74418604651162812</v>
      </c>
      <c r="M34" s="38">
        <f>COUNTIF(Vertices[Closeness Centrality], "&gt;= " &amp; L34) - COUNTIF(Vertices[Closeness Centrality], "&gt;=" &amp; L35)</f>
        <v>0</v>
      </c>
      <c r="N34" s="37">
        <f t="shared" si="6"/>
        <v>3.0571162790697687E-2</v>
      </c>
      <c r="O34" s="38">
        <f>COUNTIF(Vertices[Eigenvector Centrality], "&gt;= " &amp; N34) - COUNTIF(Vertices[Eigenvector Centrality], "&gt;=" &amp; N35)</f>
        <v>0</v>
      </c>
      <c r="P34" s="37">
        <f t="shared" si="7"/>
        <v>4.820533279069771</v>
      </c>
      <c r="Q34" s="38">
        <f>COUNTIF(Vertices[PageRank], "&gt;= " &amp; P34) - COUNTIF(Vertices[PageRank], "&gt;=" &amp; P35)</f>
        <v>1</v>
      </c>
      <c r="R34" s="37">
        <f t="shared" si="8"/>
        <v>0.74418604651162812</v>
      </c>
      <c r="S34" s="43">
        <f>COUNTIF(Vertices[Clustering Coefficient], "&gt;= " &amp; R34) - COUNTIF(Vertices[Clustering Coefficient], "&gt;=" &amp; R35)</f>
        <v>0</v>
      </c>
      <c r="T34" s="37" t="e">
        <f t="shared" ca="1" si="9"/>
        <v>#REF!</v>
      </c>
      <c r="U34" s="38" t="e">
        <f t="shared" ca="1" si="0"/>
        <v>#REF!</v>
      </c>
    </row>
    <row r="35" spans="1:21" x14ac:dyDescent="0.25">
      <c r="D35" s="32" t="e">
        <f t="shared" si="1"/>
        <v>#REF!</v>
      </c>
      <c r="E35" s="3" t="e">
        <f>COUNTIF(#REF!, "&gt;= " &amp; D35) - COUNTIF(#REF!, "&gt;=" &amp; D36)</f>
        <v>#REF!</v>
      </c>
      <c r="F35" s="39">
        <f t="shared" si="2"/>
        <v>39.906976744186046</v>
      </c>
      <c r="G35" s="40">
        <f>COUNTIF(Vertices[In-Degree], "&gt;= " &amp; F35) - COUNTIF(Vertices[In-Degree], "&gt;=" &amp; F36)</f>
        <v>0</v>
      </c>
      <c r="H35" s="39">
        <f t="shared" si="3"/>
        <v>37.837209302325576</v>
      </c>
      <c r="I35" s="40">
        <f>COUNTIF(Vertices[Out-Degree], "&gt;= " &amp; H35) - COUNTIF(Vertices[Out-Degree], "&gt;=" &amp; H36)</f>
        <v>0</v>
      </c>
      <c r="J35" s="39">
        <f t="shared" si="4"/>
        <v>6026.7849218372075</v>
      </c>
      <c r="K35" s="40">
        <f>COUNTIF(Vertices[Betweenness Centrality], "&gt;= " &amp; J35) - COUNTIF(Vertices[Betweenness Centrality], "&gt;=" &amp; J36)</f>
        <v>0</v>
      </c>
      <c r="L35" s="39">
        <f t="shared" si="5"/>
        <v>0.76744186046511653</v>
      </c>
      <c r="M35" s="40">
        <f>COUNTIF(Vertices[Closeness Centrality], "&gt;= " &amp; L35) - COUNTIF(Vertices[Closeness Centrality], "&gt;=" &amp; L36)</f>
        <v>0</v>
      </c>
      <c r="N35" s="39">
        <f t="shared" si="6"/>
        <v>3.152651162790699E-2</v>
      </c>
      <c r="O35" s="40">
        <f>COUNTIF(Vertices[Eigenvector Centrality], "&gt;= " &amp; N35) - COUNTIF(Vertices[Eigenvector Centrality], "&gt;=" &amp; N36)</f>
        <v>0</v>
      </c>
      <c r="P35" s="39">
        <f t="shared" si="7"/>
        <v>4.9607921627907015</v>
      </c>
      <c r="Q35" s="40">
        <f>COUNTIF(Vertices[PageRank], "&gt;= " &amp; P35) - COUNTIF(Vertices[PageRank], "&gt;=" &amp; P36)</f>
        <v>0</v>
      </c>
      <c r="R35" s="39">
        <f t="shared" si="8"/>
        <v>0.76744186046511653</v>
      </c>
      <c r="S35" s="44">
        <f>COUNTIF(Vertices[Clustering Coefficient], "&gt;= " &amp; R35) - COUNTIF(Vertices[Clustering Coefficient], "&gt;=" &amp; R36)</f>
        <v>0</v>
      </c>
      <c r="T35" s="39" t="e">
        <f t="shared" ca="1" si="9"/>
        <v>#REF!</v>
      </c>
      <c r="U35" s="40" t="e">
        <f t="shared" ca="1" si="0"/>
        <v>#REF!</v>
      </c>
    </row>
    <row r="36" spans="1:21" x14ac:dyDescent="0.25">
      <c r="D36" s="32" t="e">
        <f t="shared" si="1"/>
        <v>#REF!</v>
      </c>
      <c r="E36" s="3" t="e">
        <f>COUNTIF(#REF!, "&gt;= " &amp; D36) - COUNTIF(#REF!, "&gt;=" &amp; D37)</f>
        <v>#REF!</v>
      </c>
      <c r="F36" s="37">
        <f t="shared" si="2"/>
        <v>41.116279069767444</v>
      </c>
      <c r="G36" s="38">
        <f>COUNTIF(Vertices[In-Degree], "&gt;= " &amp; F36) - COUNTIF(Vertices[In-Degree], "&gt;=" &amp; F37)</f>
        <v>0</v>
      </c>
      <c r="H36" s="37">
        <f t="shared" si="3"/>
        <v>38.95348837209302</v>
      </c>
      <c r="I36" s="38">
        <f>COUNTIF(Vertices[Out-Degree], "&gt;= " &amp; H36) - COUNTIF(Vertices[Out-Degree], "&gt;=" &amp; H37)</f>
        <v>0</v>
      </c>
      <c r="J36" s="37">
        <f t="shared" si="4"/>
        <v>6209.4147679534863</v>
      </c>
      <c r="K36" s="38">
        <f>COUNTIF(Vertices[Betweenness Centrality], "&gt;= " &amp; J36) - COUNTIF(Vertices[Betweenness Centrality], "&gt;=" &amp; J37)</f>
        <v>0</v>
      </c>
      <c r="L36" s="37">
        <f t="shared" si="5"/>
        <v>0.79069767441860495</v>
      </c>
      <c r="M36" s="38">
        <f>COUNTIF(Vertices[Closeness Centrality], "&gt;= " &amp; L36) - COUNTIF(Vertices[Closeness Centrality], "&gt;=" &amp; L37)</f>
        <v>0</v>
      </c>
      <c r="N36" s="37">
        <f t="shared" si="6"/>
        <v>3.2481860465116294E-2</v>
      </c>
      <c r="O36" s="38">
        <f>COUNTIF(Vertices[Eigenvector Centrality], "&gt;= " &amp; N36) - COUNTIF(Vertices[Eigenvector Centrality], "&gt;=" &amp; N37)</f>
        <v>0</v>
      </c>
      <c r="P36" s="37">
        <f t="shared" si="7"/>
        <v>5.1010510465116319</v>
      </c>
      <c r="Q36" s="38">
        <f>COUNTIF(Vertices[PageRank], "&gt;= " &amp; P36) - COUNTIF(Vertices[PageRank], "&gt;=" &amp; P37)</f>
        <v>0</v>
      </c>
      <c r="R36" s="37">
        <f t="shared" si="8"/>
        <v>0.79069767441860495</v>
      </c>
      <c r="S36" s="43">
        <f>COUNTIF(Vertices[Clustering Coefficient], "&gt;= " &amp; R36) - COUNTIF(Vertices[Clustering Coefficient], "&gt;=" &amp; R37)</f>
        <v>0</v>
      </c>
      <c r="T36" s="37" t="e">
        <f t="shared" ca="1" si="9"/>
        <v>#REF!</v>
      </c>
      <c r="U36" s="38" t="e">
        <f t="shared" ca="1" si="0"/>
        <v>#REF!</v>
      </c>
    </row>
    <row r="37" spans="1:21" x14ac:dyDescent="0.25">
      <c r="D37" s="32" t="e">
        <f t="shared" si="1"/>
        <v>#REF!</v>
      </c>
      <c r="E37" s="3" t="e">
        <f>COUNTIF(#REF!, "&gt;= " &amp; D37) - COUNTIF(#REF!, "&gt;=" &amp; D38)</f>
        <v>#REF!</v>
      </c>
      <c r="F37" s="39">
        <f t="shared" si="2"/>
        <v>42.325581395348841</v>
      </c>
      <c r="G37" s="40">
        <f>COUNTIF(Vertices[In-Degree], "&gt;= " &amp; F37) - COUNTIF(Vertices[In-Degree], "&gt;=" &amp; F38)</f>
        <v>0</v>
      </c>
      <c r="H37" s="39">
        <f t="shared" si="3"/>
        <v>40.069767441860463</v>
      </c>
      <c r="I37" s="40">
        <f>COUNTIF(Vertices[Out-Degree], "&gt;= " &amp; H37) - COUNTIF(Vertices[Out-Degree], "&gt;=" &amp; H38)</f>
        <v>0</v>
      </c>
      <c r="J37" s="39">
        <f t="shared" si="4"/>
        <v>6392.044614069765</v>
      </c>
      <c r="K37" s="40">
        <f>COUNTIF(Vertices[Betweenness Centrality], "&gt;= " &amp; J37) - COUNTIF(Vertices[Betweenness Centrality], "&gt;=" &amp; J38)</f>
        <v>0</v>
      </c>
      <c r="L37" s="39">
        <f t="shared" si="5"/>
        <v>0.81395348837209336</v>
      </c>
      <c r="M37" s="40">
        <f>COUNTIF(Vertices[Closeness Centrality], "&gt;= " &amp; L37) - COUNTIF(Vertices[Closeness Centrality], "&gt;=" &amp; L38)</f>
        <v>0</v>
      </c>
      <c r="N37" s="39">
        <f t="shared" si="6"/>
        <v>3.3437209302325598E-2</v>
      </c>
      <c r="O37" s="40">
        <f>COUNTIF(Vertices[Eigenvector Centrality], "&gt;= " &amp; N37) - COUNTIF(Vertices[Eigenvector Centrality], "&gt;=" &amp; N38)</f>
        <v>0</v>
      </c>
      <c r="P37" s="39">
        <f t="shared" si="7"/>
        <v>5.2413099302325623</v>
      </c>
      <c r="Q37" s="40">
        <f>COUNTIF(Vertices[PageRank], "&gt;= " &amp; P37) - COUNTIF(Vertices[PageRank], "&gt;=" &amp; P38)</f>
        <v>0</v>
      </c>
      <c r="R37" s="39">
        <f t="shared" si="8"/>
        <v>0.81395348837209336</v>
      </c>
      <c r="S37" s="44">
        <f>COUNTIF(Vertices[Clustering Coefficient], "&gt;= " &amp; R37) - COUNTIF(Vertices[Clustering Coefficient], "&gt;=" &amp; R38)</f>
        <v>1</v>
      </c>
      <c r="T37" s="39" t="e">
        <f t="shared" ca="1" si="9"/>
        <v>#REF!</v>
      </c>
      <c r="U37" s="40" t="e">
        <f t="shared" ca="1" si="0"/>
        <v>#REF!</v>
      </c>
    </row>
    <row r="38" spans="1:21" x14ac:dyDescent="0.25">
      <c r="D38" s="32" t="e">
        <f t="shared" si="1"/>
        <v>#REF!</v>
      </c>
      <c r="E38" s="3" t="e">
        <f>COUNTIF(#REF!, "&gt;= " &amp; D38) - COUNTIF(#REF!, "&gt;=" &amp; D39)</f>
        <v>#REF!</v>
      </c>
      <c r="F38" s="37">
        <f t="shared" si="2"/>
        <v>43.534883720930239</v>
      </c>
      <c r="G38" s="38">
        <f>COUNTIF(Vertices[In-Degree], "&gt;= " &amp; F38) - COUNTIF(Vertices[In-Degree], "&gt;=" &amp; F39)</f>
        <v>0</v>
      </c>
      <c r="H38" s="37">
        <f t="shared" si="3"/>
        <v>41.186046511627907</v>
      </c>
      <c r="I38" s="38">
        <f>COUNTIF(Vertices[Out-Degree], "&gt;= " &amp; H38) - COUNTIF(Vertices[Out-Degree], "&gt;=" &amp; H39)</f>
        <v>0</v>
      </c>
      <c r="J38" s="37">
        <f t="shared" si="4"/>
        <v>6574.6744601860437</v>
      </c>
      <c r="K38" s="38">
        <f>COUNTIF(Vertices[Betweenness Centrality], "&gt;= " &amp; J38) - COUNTIF(Vertices[Betweenness Centrality], "&gt;=" &amp; J39)</f>
        <v>0</v>
      </c>
      <c r="L38" s="37">
        <f t="shared" si="5"/>
        <v>0.83720930232558177</v>
      </c>
      <c r="M38" s="38">
        <f>COUNTIF(Vertices[Closeness Centrality], "&gt;= " &amp; L38) - COUNTIF(Vertices[Closeness Centrality], "&gt;=" &amp; L39)</f>
        <v>0</v>
      </c>
      <c r="N38" s="37">
        <f t="shared" si="6"/>
        <v>3.4392558139534901E-2</v>
      </c>
      <c r="O38" s="38">
        <f>COUNTIF(Vertices[Eigenvector Centrality], "&gt;= " &amp; N38) - COUNTIF(Vertices[Eigenvector Centrality], "&gt;=" &amp; N39)</f>
        <v>0</v>
      </c>
      <c r="P38" s="37">
        <f t="shared" si="7"/>
        <v>5.3815688139534927</v>
      </c>
      <c r="Q38" s="38">
        <f>COUNTIF(Vertices[PageRank], "&gt;= " &amp; P38) - COUNTIF(Vertices[PageRank], "&gt;=" &amp; P39)</f>
        <v>0</v>
      </c>
      <c r="R38" s="37">
        <f t="shared" si="8"/>
        <v>0.83720930232558177</v>
      </c>
      <c r="S38" s="43">
        <f>COUNTIF(Vertices[Clustering Coefficient], "&gt;= " &amp; R38) - COUNTIF(Vertices[Clustering Coefficient], "&gt;=" &amp; R39)</f>
        <v>0</v>
      </c>
      <c r="T38" s="37" t="e">
        <f t="shared" ca="1" si="9"/>
        <v>#REF!</v>
      </c>
      <c r="U38" s="38" t="e">
        <f t="shared" ca="1" si="0"/>
        <v>#REF!</v>
      </c>
    </row>
    <row r="39" spans="1:21" x14ac:dyDescent="0.25">
      <c r="D39" s="32" t="e">
        <f t="shared" si="1"/>
        <v>#REF!</v>
      </c>
      <c r="E39" s="3" t="e">
        <f>COUNTIF(#REF!, "&gt;= " &amp; D39) - COUNTIF(#REF!, "&gt;=" &amp; D40)</f>
        <v>#REF!</v>
      </c>
      <c r="F39" s="39">
        <f t="shared" si="2"/>
        <v>44.744186046511636</v>
      </c>
      <c r="G39" s="40">
        <f>COUNTIF(Vertices[In-Degree], "&gt;= " &amp; F39) - COUNTIF(Vertices[In-Degree], "&gt;=" &amp; F40)</f>
        <v>0</v>
      </c>
      <c r="H39" s="39">
        <f t="shared" si="3"/>
        <v>42.302325581395351</v>
      </c>
      <c r="I39" s="40">
        <f>COUNTIF(Vertices[Out-Degree], "&gt;= " &amp; H39) - COUNTIF(Vertices[Out-Degree], "&gt;=" &amp; H40)</f>
        <v>0</v>
      </c>
      <c r="J39" s="39">
        <f t="shared" si="4"/>
        <v>6757.3043063023224</v>
      </c>
      <c r="K39" s="40">
        <f>COUNTIF(Vertices[Betweenness Centrality], "&gt;= " &amp; J39) - COUNTIF(Vertices[Betweenness Centrality], "&gt;=" &amp; J40)</f>
        <v>0</v>
      </c>
      <c r="L39" s="39">
        <f t="shared" si="5"/>
        <v>0.86046511627907019</v>
      </c>
      <c r="M39" s="40">
        <f>COUNTIF(Vertices[Closeness Centrality], "&gt;= " &amp; L39) - COUNTIF(Vertices[Closeness Centrality], "&gt;=" &amp; L40)</f>
        <v>0</v>
      </c>
      <c r="N39" s="39">
        <f t="shared" si="6"/>
        <v>3.5347906976744205E-2</v>
      </c>
      <c r="O39" s="40">
        <f>COUNTIF(Vertices[Eigenvector Centrality], "&gt;= " &amp; N39) - COUNTIF(Vertices[Eigenvector Centrality], "&gt;=" &amp; N40)</f>
        <v>0</v>
      </c>
      <c r="P39" s="39">
        <f t="shared" si="7"/>
        <v>5.5218276976744232</v>
      </c>
      <c r="Q39" s="40">
        <f>COUNTIF(Vertices[PageRank], "&gt;= " &amp; P39) - COUNTIF(Vertices[PageRank], "&gt;=" &amp; P40)</f>
        <v>0</v>
      </c>
      <c r="R39" s="39">
        <f t="shared" si="8"/>
        <v>0.86046511627907019</v>
      </c>
      <c r="S39" s="44">
        <f>COUNTIF(Vertices[Clustering Coefficient], "&gt;= " &amp; R39) - COUNTIF(Vertices[Clustering Coefficient], "&gt;=" &amp; R40)</f>
        <v>0</v>
      </c>
      <c r="T39" s="39" t="e">
        <f t="shared" ca="1" si="9"/>
        <v>#REF!</v>
      </c>
      <c r="U39" s="40" t="e">
        <f t="shared" ca="1" si="0"/>
        <v>#REF!</v>
      </c>
    </row>
    <row r="40" spans="1:21" x14ac:dyDescent="0.25">
      <c r="D40" s="32" t="e">
        <f t="shared" si="1"/>
        <v>#REF!</v>
      </c>
      <c r="E40" s="3" t="e">
        <f>COUNTIF(#REF!, "&gt;= " &amp; D40) - COUNTIF(#REF!, "&gt;=" &amp; D41)</f>
        <v>#REF!</v>
      </c>
      <c r="F40" s="37">
        <f t="shared" si="2"/>
        <v>45.953488372093034</v>
      </c>
      <c r="G40" s="38">
        <f>COUNTIF(Vertices[In-Degree], "&gt;= " &amp; F40) - COUNTIF(Vertices[In-Degree], "&gt;=" &amp; F41)</f>
        <v>0</v>
      </c>
      <c r="H40" s="37">
        <f t="shared" si="3"/>
        <v>43.418604651162795</v>
      </c>
      <c r="I40" s="38">
        <f>COUNTIF(Vertices[Out-Degree], "&gt;= " &amp; H40) - COUNTIF(Vertices[Out-Degree], "&gt;=" &amp; H41)</f>
        <v>0</v>
      </c>
      <c r="J40" s="37">
        <f t="shared" si="4"/>
        <v>6939.9341524186011</v>
      </c>
      <c r="K40" s="38">
        <f>COUNTIF(Vertices[Betweenness Centrality], "&gt;= " &amp; J40) - COUNTIF(Vertices[Betweenness Centrality], "&gt;=" &amp; J41)</f>
        <v>0</v>
      </c>
      <c r="L40" s="37">
        <f t="shared" si="5"/>
        <v>0.8837209302325586</v>
      </c>
      <c r="M40" s="38">
        <f>COUNTIF(Vertices[Closeness Centrality], "&gt;= " &amp; L40) - COUNTIF(Vertices[Closeness Centrality], "&gt;=" &amp; L41)</f>
        <v>0</v>
      </c>
      <c r="N40" s="37">
        <f t="shared" si="6"/>
        <v>3.6303255813953508E-2</v>
      </c>
      <c r="O40" s="38">
        <f>COUNTIF(Vertices[Eigenvector Centrality], "&gt;= " &amp; N40) - COUNTIF(Vertices[Eigenvector Centrality], "&gt;=" &amp; N41)</f>
        <v>0</v>
      </c>
      <c r="P40" s="37">
        <f t="shared" si="7"/>
        <v>5.6620865813953536</v>
      </c>
      <c r="Q40" s="38">
        <f>COUNTIF(Vertices[PageRank], "&gt;= " &amp; P40) - COUNTIF(Vertices[PageRank], "&gt;=" &amp; P41)</f>
        <v>0</v>
      </c>
      <c r="R40" s="37">
        <f t="shared" si="8"/>
        <v>0.8837209302325586</v>
      </c>
      <c r="S40" s="43">
        <f>COUNTIF(Vertices[Clustering Coefficient], "&gt;= " &amp; R40) - COUNTIF(Vertices[Clustering Coefficient], "&gt;=" &amp; R41)</f>
        <v>0</v>
      </c>
      <c r="T40" s="37" t="e">
        <f t="shared" ca="1" si="9"/>
        <v>#REF!</v>
      </c>
      <c r="U40" s="38" t="e">
        <f t="shared" ca="1" si="0"/>
        <v>#REF!</v>
      </c>
    </row>
    <row r="41" spans="1:21" x14ac:dyDescent="0.25">
      <c r="D41" s="32" t="e">
        <f t="shared" si="1"/>
        <v>#REF!</v>
      </c>
      <c r="E41" s="3" t="e">
        <f>COUNTIF(#REF!, "&gt;= " &amp; D41) - COUNTIF(#REF!, "&gt;=" &amp; D42)</f>
        <v>#REF!</v>
      </c>
      <c r="F41" s="39">
        <f t="shared" si="2"/>
        <v>47.162790697674431</v>
      </c>
      <c r="G41" s="40">
        <f>COUNTIF(Vertices[In-Degree], "&gt;= " &amp; F41) - COUNTIF(Vertices[In-Degree], "&gt;=" &amp; F42)</f>
        <v>0</v>
      </c>
      <c r="H41" s="39">
        <f t="shared" si="3"/>
        <v>44.534883720930239</v>
      </c>
      <c r="I41" s="40">
        <f>COUNTIF(Vertices[Out-Degree], "&gt;= " &amp; H41) - COUNTIF(Vertices[Out-Degree], "&gt;=" &amp; H42)</f>
        <v>0</v>
      </c>
      <c r="J41" s="39">
        <f t="shared" si="4"/>
        <v>7122.5639985348798</v>
      </c>
      <c r="K41" s="40">
        <f>COUNTIF(Vertices[Betweenness Centrality], "&gt;= " &amp; J41) - COUNTIF(Vertices[Betweenness Centrality], "&gt;=" &amp; J42)</f>
        <v>0</v>
      </c>
      <c r="L41" s="39">
        <f t="shared" si="5"/>
        <v>0.90697674418604701</v>
      </c>
      <c r="M41" s="40">
        <f>COUNTIF(Vertices[Closeness Centrality], "&gt;= " &amp; L41) - COUNTIF(Vertices[Closeness Centrality], "&gt;=" &amp; L42)</f>
        <v>0</v>
      </c>
      <c r="N41" s="39">
        <f t="shared" si="6"/>
        <v>3.7258604651162812E-2</v>
      </c>
      <c r="O41" s="40">
        <f>COUNTIF(Vertices[Eigenvector Centrality], "&gt;= " &amp; N41) - COUNTIF(Vertices[Eigenvector Centrality], "&gt;=" &amp; N42)</f>
        <v>0</v>
      </c>
      <c r="P41" s="39">
        <f t="shared" si="7"/>
        <v>5.802345465116284</v>
      </c>
      <c r="Q41" s="40">
        <f>COUNTIF(Vertices[PageRank], "&gt;= " &amp; P41) - COUNTIF(Vertices[PageRank], "&gt;=" &amp; P42)</f>
        <v>0</v>
      </c>
      <c r="R41" s="39">
        <f t="shared" si="8"/>
        <v>0.90697674418604701</v>
      </c>
      <c r="S41" s="44">
        <f>COUNTIF(Vertices[Clustering Coefficient], "&gt;= " &amp; R41) - COUNTIF(Vertices[Clustering Coefficient], "&gt;=" &amp; R42)</f>
        <v>0</v>
      </c>
      <c r="T41" s="39" t="e">
        <f t="shared" ca="1" si="9"/>
        <v>#REF!</v>
      </c>
      <c r="U41" s="40" t="e">
        <f t="shared" ca="1" si="0"/>
        <v>#REF!</v>
      </c>
    </row>
    <row r="42" spans="1:21" x14ac:dyDescent="0.25">
      <c r="D42" s="32" t="e">
        <f t="shared" si="1"/>
        <v>#REF!</v>
      </c>
      <c r="E42" s="3" t="e">
        <f>COUNTIF(#REF!, "&gt;= " &amp; D42) - COUNTIF(#REF!, "&gt;=" &amp; D43)</f>
        <v>#REF!</v>
      </c>
      <c r="F42" s="37">
        <f t="shared" si="2"/>
        <v>48.372093023255829</v>
      </c>
      <c r="G42" s="38">
        <f>COUNTIF(Vertices[In-Degree], "&gt;= " &amp; F42) - COUNTIF(Vertices[In-Degree], "&gt;=" &amp; F43)</f>
        <v>0</v>
      </c>
      <c r="H42" s="37">
        <f t="shared" si="3"/>
        <v>45.651162790697683</v>
      </c>
      <c r="I42" s="38">
        <f>COUNTIF(Vertices[Out-Degree], "&gt;= " &amp; H42) - COUNTIF(Vertices[Out-Degree], "&gt;=" &amp; H43)</f>
        <v>0</v>
      </c>
      <c r="J42" s="37">
        <f t="shared" si="4"/>
        <v>7305.1938446511585</v>
      </c>
      <c r="K42" s="38">
        <f>COUNTIF(Vertices[Betweenness Centrality], "&gt;= " &amp; J42) - COUNTIF(Vertices[Betweenness Centrality], "&gt;=" &amp; J43)</f>
        <v>0</v>
      </c>
      <c r="L42" s="37">
        <f t="shared" si="5"/>
        <v>0.93023255813953543</v>
      </c>
      <c r="M42" s="38">
        <f>COUNTIF(Vertices[Closeness Centrality], "&gt;= " &amp; L42) - COUNTIF(Vertices[Closeness Centrality], "&gt;=" &amp; L43)</f>
        <v>0</v>
      </c>
      <c r="N42" s="37">
        <f t="shared" si="6"/>
        <v>3.8213953488372115E-2</v>
      </c>
      <c r="O42" s="38">
        <f>COUNTIF(Vertices[Eigenvector Centrality], "&gt;= " &amp; N42) - COUNTIF(Vertices[Eigenvector Centrality], "&gt;=" &amp; N43)</f>
        <v>0</v>
      </c>
      <c r="P42" s="37">
        <f t="shared" si="7"/>
        <v>5.9426043488372144</v>
      </c>
      <c r="Q42" s="38">
        <f>COUNTIF(Vertices[PageRank], "&gt;= " &amp; P42) - COUNTIF(Vertices[PageRank], "&gt;=" &amp; P43)</f>
        <v>0</v>
      </c>
      <c r="R42" s="37">
        <f t="shared" si="8"/>
        <v>0.93023255813953543</v>
      </c>
      <c r="S42" s="43">
        <f>COUNTIF(Vertices[Clustering Coefficient], "&gt;= " &amp; R42) - COUNTIF(Vertices[Clustering Coefficient], "&gt;=" &amp; R43)</f>
        <v>0</v>
      </c>
      <c r="T42" s="37" t="e">
        <f t="shared" ca="1" si="9"/>
        <v>#REF!</v>
      </c>
      <c r="U42" s="38" t="e">
        <f t="shared" ca="1" si="0"/>
        <v>#REF!</v>
      </c>
    </row>
    <row r="43" spans="1:21" x14ac:dyDescent="0.25">
      <c r="A43" s="33" t="s">
        <v>80</v>
      </c>
      <c r="B43" s="46" t="str">
        <f>IF(COUNT(#REF!)&gt;0, D2, NoMetricMessage)</f>
        <v>Not Available</v>
      </c>
      <c r="D43" s="32" t="e">
        <f t="shared" si="1"/>
        <v>#REF!</v>
      </c>
      <c r="E43" s="3" t="e">
        <f>COUNTIF(#REF!, "&gt;= " &amp; D43) - COUNTIF(#REF!, "&gt;=" &amp; D44)</f>
        <v>#REF!</v>
      </c>
      <c r="F43" s="39">
        <f t="shared" si="2"/>
        <v>49.581395348837226</v>
      </c>
      <c r="G43" s="40">
        <f>COUNTIF(Vertices[In-Degree], "&gt;= " &amp; F43) - COUNTIF(Vertices[In-Degree], "&gt;=" &amp; F44)</f>
        <v>0</v>
      </c>
      <c r="H43" s="39">
        <f t="shared" si="3"/>
        <v>46.767441860465127</v>
      </c>
      <c r="I43" s="40">
        <f>COUNTIF(Vertices[Out-Degree], "&gt;= " &amp; H43) - COUNTIF(Vertices[Out-Degree], "&gt;=" &amp; H44)</f>
        <v>0</v>
      </c>
      <c r="J43" s="39">
        <f t="shared" si="4"/>
        <v>7487.8236907674373</v>
      </c>
      <c r="K43" s="40">
        <f>COUNTIF(Vertices[Betweenness Centrality], "&gt;= " &amp; J43) - COUNTIF(Vertices[Betweenness Centrality], "&gt;=" &amp; J44)</f>
        <v>0</v>
      </c>
      <c r="L43" s="39">
        <f t="shared" si="5"/>
        <v>0.95348837209302384</v>
      </c>
      <c r="M43" s="40">
        <f>COUNTIF(Vertices[Closeness Centrality], "&gt;= " &amp; L43) - COUNTIF(Vertices[Closeness Centrality], "&gt;=" &amp; L44)</f>
        <v>0</v>
      </c>
      <c r="N43" s="39">
        <f t="shared" si="6"/>
        <v>3.9169302325581419E-2</v>
      </c>
      <c r="O43" s="40">
        <f>COUNTIF(Vertices[Eigenvector Centrality], "&gt;= " &amp; N43) - COUNTIF(Vertices[Eigenvector Centrality], "&gt;=" &amp; N44)</f>
        <v>0</v>
      </c>
      <c r="P43" s="39">
        <f t="shared" si="7"/>
        <v>6.0828632325581449</v>
      </c>
      <c r="Q43" s="40">
        <f>COUNTIF(Vertices[PageRank], "&gt;= " &amp; P43) - COUNTIF(Vertices[PageRank], "&gt;=" &amp; P44)</f>
        <v>0</v>
      </c>
      <c r="R43" s="39">
        <f t="shared" si="8"/>
        <v>0.95348837209302384</v>
      </c>
      <c r="S43" s="44">
        <f>COUNTIF(Vertices[Clustering Coefficient], "&gt;= " &amp; R43) - COUNTIF(Vertices[Clustering Coefficient], "&gt;=" &amp; R44)</f>
        <v>0</v>
      </c>
      <c r="T43" s="39" t="e">
        <f t="shared" ca="1" si="9"/>
        <v>#REF!</v>
      </c>
      <c r="U43" s="40" t="e">
        <f t="shared" ca="1" si="0"/>
        <v>#REF!</v>
      </c>
    </row>
    <row r="44" spans="1:21" x14ac:dyDescent="0.25">
      <c r="A44" s="33" t="s">
        <v>81</v>
      </c>
      <c r="B44" s="46" t="str">
        <f>IF(COUNT(#REF!)&gt;0, D45, NoMetricMessage)</f>
        <v>Not Available</v>
      </c>
      <c r="D44" s="32" t="e">
        <f t="shared" si="1"/>
        <v>#REF!</v>
      </c>
      <c r="E44" s="3" t="e">
        <f>COUNTIF(#REF!, "&gt;= " &amp; D44) - COUNTIF(#REF!, "&gt;=" &amp; D45)</f>
        <v>#REF!</v>
      </c>
      <c r="F44" s="37">
        <f t="shared" si="2"/>
        <v>50.790697674418624</v>
      </c>
      <c r="G44" s="38">
        <f>COUNTIF(Vertices[In-Degree], "&gt;= " &amp; F44) - COUNTIF(Vertices[In-Degree], "&gt;=" &amp; F45)</f>
        <v>0</v>
      </c>
      <c r="H44" s="37">
        <f t="shared" si="3"/>
        <v>47.88372093023257</v>
      </c>
      <c r="I44" s="38">
        <f>COUNTIF(Vertices[Out-Degree], "&gt;= " &amp; H44) - COUNTIF(Vertices[Out-Degree], "&gt;=" &amp; H45)</f>
        <v>0</v>
      </c>
      <c r="J44" s="37">
        <f t="shared" si="4"/>
        <v>7670.453536883716</v>
      </c>
      <c r="K44" s="38">
        <f>COUNTIF(Vertices[Betweenness Centrality], "&gt;= " &amp; J44) - COUNTIF(Vertices[Betweenness Centrality], "&gt;=" &amp; J45)</f>
        <v>0</v>
      </c>
      <c r="L44" s="37">
        <f t="shared" si="5"/>
        <v>0.97674418604651225</v>
      </c>
      <c r="M44" s="38">
        <f>COUNTIF(Vertices[Closeness Centrality], "&gt;= " &amp; L44) - COUNTIF(Vertices[Closeness Centrality], "&gt;=" &amp; L45)</f>
        <v>0</v>
      </c>
      <c r="N44" s="37">
        <f t="shared" si="6"/>
        <v>4.0124651162790723E-2</v>
      </c>
      <c r="O44" s="38">
        <f>COUNTIF(Vertices[Eigenvector Centrality], "&gt;= " &amp; N44) - COUNTIF(Vertices[Eigenvector Centrality], "&gt;=" &amp; N45)</f>
        <v>0</v>
      </c>
      <c r="P44" s="37">
        <f t="shared" si="7"/>
        <v>6.2231221162790753</v>
      </c>
      <c r="Q44" s="38">
        <f>COUNTIF(Vertices[PageRank], "&gt;= " &amp; P44) - COUNTIF(Vertices[PageRank], "&gt;=" &amp; P45)</f>
        <v>0</v>
      </c>
      <c r="R44" s="37">
        <f t="shared" si="8"/>
        <v>0.97674418604651225</v>
      </c>
      <c r="S44" s="43">
        <f>COUNTIF(Vertices[Clustering Coefficient], "&gt;= " &amp; R44) - COUNTIF(Vertices[Clustering Coefficient], "&gt;=" &amp; R45)</f>
        <v>0</v>
      </c>
      <c r="T44" s="37" t="e">
        <f t="shared" ca="1" si="9"/>
        <v>#REF!</v>
      </c>
      <c r="U44" s="38" t="e">
        <f t="shared" ca="1" si="0"/>
        <v>#REF!</v>
      </c>
    </row>
    <row r="45" spans="1:21" x14ac:dyDescent="0.25">
      <c r="A45" s="33" t="s">
        <v>82</v>
      </c>
      <c r="B45" s="47" t="str">
        <f>IFERROR(AVERAGE(#REF!),NoMetricMessage)</f>
        <v>Not Available</v>
      </c>
      <c r="D45" s="32" t="e">
        <f>MAX(#REF!)</f>
        <v>#REF!</v>
      </c>
      <c r="E45" s="3" t="e">
        <f>COUNTIF(#REF!, "&gt;= " &amp; D45) - COUNTIF(#REF!, "&gt;=" &amp; D46)</f>
        <v>#REF!</v>
      </c>
      <c r="F45" s="41">
        <f>MAX(Vertices[In-Degree])</f>
        <v>52</v>
      </c>
      <c r="G45" s="42">
        <f>COUNTIF(Vertices[In-Degree], "&gt;= " &amp; F45) - COUNTIF(Vertices[In-Degree], "&gt;=" &amp; F46)</f>
        <v>1</v>
      </c>
      <c r="H45" s="41">
        <f>MAX(Vertices[Out-Degree])</f>
        <v>49</v>
      </c>
      <c r="I45" s="42">
        <f>COUNTIF(Vertices[Out-Degree], "&gt;= " &amp; H45) - COUNTIF(Vertices[Out-Degree], "&gt;=" &amp; H46)</f>
        <v>1</v>
      </c>
      <c r="J45" s="41">
        <f>MAX(Vertices[Betweenness Centrality])</f>
        <v>7853.0833830000001</v>
      </c>
      <c r="K45" s="42">
        <f>COUNTIF(Vertices[Betweenness Centrality], "&gt;= " &amp; J45) - COUNTIF(Vertices[Betweenness Centrality], "&gt;=" &amp; J46)</f>
        <v>1</v>
      </c>
      <c r="L45" s="41">
        <f>MAX(Vertices[Closeness Centrality])</f>
        <v>1</v>
      </c>
      <c r="M45" s="42">
        <f>COUNTIF(Vertices[Closeness Centrality], "&gt;= " &amp; L45) - COUNTIF(Vertices[Closeness Centrality], "&gt;=" &amp; L46)</f>
        <v>2</v>
      </c>
      <c r="N45" s="41">
        <f>MAX(Vertices[Eigenvector Centrality])</f>
        <v>4.1079999999999998E-2</v>
      </c>
      <c r="O45" s="42">
        <f>COUNTIF(Vertices[Eigenvector Centrality], "&gt;= " &amp; N45) - COUNTIF(Vertices[Eigenvector Centrality], "&gt;=" &amp; N46)</f>
        <v>1</v>
      </c>
      <c r="P45" s="41">
        <f>MAX(Vertices[PageRank])</f>
        <v>6.3633810000000004</v>
      </c>
      <c r="Q45" s="42">
        <f>COUNTIF(Vertices[PageRank], "&gt;= " &amp; P45) - COUNTIF(Vertices[PageRank], "&gt;=" &amp; P46)</f>
        <v>1</v>
      </c>
      <c r="R45" s="41">
        <f>MAX(Vertices[Clustering Coefficient])</f>
        <v>1</v>
      </c>
      <c r="S45" s="45">
        <f>COUNTIF(Vertices[Clustering Coefficient], "&gt;= " &amp; R45) - COUNTIF(Vertices[Clustering Coefficient], "&gt;=" &amp; R46)</f>
        <v>4</v>
      </c>
      <c r="T45" s="41" t="e">
        <f ca="1">MAX(INDIRECT(DynamicFilterSourceColumnRange))</f>
        <v>#REF!</v>
      </c>
      <c r="U45" s="42" t="e">
        <f t="shared" ca="1" si="0"/>
        <v>#REF!</v>
      </c>
    </row>
    <row r="46" spans="1:21" x14ac:dyDescent="0.25">
      <c r="A46" s="33" t="s">
        <v>83</v>
      </c>
      <c r="B46" s="47" t="str">
        <f>IFERROR(MEDIAN(#REF!),NoMetricMessage)</f>
        <v>Not Available</v>
      </c>
    </row>
    <row r="57" spans="1:2" x14ac:dyDescent="0.25">
      <c r="A57" s="33" t="s">
        <v>87</v>
      </c>
      <c r="B57" s="46">
        <f>IF(COUNT(Vertices[In-Degree])&gt;0, F2, NoMetricMessage)</f>
        <v>0</v>
      </c>
    </row>
    <row r="58" spans="1:2" x14ac:dyDescent="0.25">
      <c r="A58" s="33" t="s">
        <v>88</v>
      </c>
      <c r="B58" s="46">
        <f>IF(COUNT(Vertices[In-Degree])&gt;0, F45, NoMetricMessage)</f>
        <v>52</v>
      </c>
    </row>
    <row r="59" spans="1:2" x14ac:dyDescent="0.25">
      <c r="A59" s="33" t="s">
        <v>89</v>
      </c>
      <c r="B59" s="47">
        <f>IFERROR(AVERAGE(Vertices[In-Degree]),NoMetricMessage)</f>
        <v>5.71875</v>
      </c>
    </row>
    <row r="60" spans="1:2" x14ac:dyDescent="0.25">
      <c r="A60" s="33" t="s">
        <v>90</v>
      </c>
      <c r="B60" s="47">
        <f>IFERROR(MEDIAN(Vertices[In-Degree]),NoMetricMessage)</f>
        <v>3</v>
      </c>
    </row>
    <row r="71" spans="1:2" x14ac:dyDescent="0.25">
      <c r="A71" s="33" t="s">
        <v>93</v>
      </c>
      <c r="B71" s="46">
        <f>IF(COUNT(Vertices[Out-Degree])&gt;0, H2, NoMetricMessage)</f>
        <v>1</v>
      </c>
    </row>
    <row r="72" spans="1:2" x14ac:dyDescent="0.25">
      <c r="A72" s="33" t="s">
        <v>94</v>
      </c>
      <c r="B72" s="46">
        <f>IF(COUNT(Vertices[Out-Degree])&gt;0, H45, NoMetricMessage)</f>
        <v>49</v>
      </c>
    </row>
    <row r="73" spans="1:2" x14ac:dyDescent="0.25">
      <c r="A73" s="33" t="s">
        <v>95</v>
      </c>
      <c r="B73" s="47">
        <f>IFERROR(AVERAGE(Vertices[Out-Degree]),NoMetricMessage)</f>
        <v>5.71875</v>
      </c>
    </row>
    <row r="74" spans="1:2" x14ac:dyDescent="0.25">
      <c r="A74" s="33" t="s">
        <v>96</v>
      </c>
      <c r="B74" s="47">
        <f>IFERROR(MEDIAN(Vertices[Out-Degree]),NoMetricMessage)</f>
        <v>4</v>
      </c>
    </row>
    <row r="85" spans="1:2" x14ac:dyDescent="0.25">
      <c r="A85" s="33" t="s">
        <v>99</v>
      </c>
      <c r="B85" s="47">
        <f>IF(COUNT(Vertices[Betweenness Centrality])&gt;0, J2, NoMetricMessage)</f>
        <v>0</v>
      </c>
    </row>
    <row r="86" spans="1:2" x14ac:dyDescent="0.25">
      <c r="A86" s="33" t="s">
        <v>100</v>
      </c>
      <c r="B86" s="47">
        <f>IF(COUNT(Vertices[Betweenness Centrality])&gt;0, J45, NoMetricMessage)</f>
        <v>7853.0833830000001</v>
      </c>
    </row>
    <row r="87" spans="1:2" x14ac:dyDescent="0.25">
      <c r="A87" s="33" t="s">
        <v>101</v>
      </c>
      <c r="B87" s="47">
        <f>IFERROR(AVERAGE(Vertices[Betweenness Centrality]),NoMetricMessage)</f>
        <v>291.45833332812498</v>
      </c>
    </row>
    <row r="88" spans="1:2" x14ac:dyDescent="0.25">
      <c r="A88" s="33" t="s">
        <v>102</v>
      </c>
      <c r="B88" s="47">
        <f>IFERROR(MEDIAN(Vertices[Betweenness Centrality]),NoMetricMessage)</f>
        <v>23.176573000000001</v>
      </c>
    </row>
    <row r="99" spans="1:2" x14ac:dyDescent="0.25">
      <c r="A99" s="33" t="s">
        <v>105</v>
      </c>
      <c r="B99" s="47">
        <f>IF(COUNT(Vertices[Closeness Centrality])&gt;0, L2, NoMetricMessage)</f>
        <v>0</v>
      </c>
    </row>
    <row r="100" spans="1:2" x14ac:dyDescent="0.25">
      <c r="A100" s="33" t="s">
        <v>106</v>
      </c>
      <c r="B100" s="47">
        <f>IF(COUNT(Vertices[Closeness Centrality])&gt;0, L45, NoMetricMessage)</f>
        <v>1</v>
      </c>
    </row>
    <row r="101" spans="1:2" x14ac:dyDescent="0.25">
      <c r="A101" s="33" t="s">
        <v>107</v>
      </c>
      <c r="B101" s="47">
        <f>IFERROR(AVERAGE(Vertices[Closeness Centrality]),NoMetricMessage)</f>
        <v>1.2213927083333334E-2</v>
      </c>
    </row>
    <row r="102" spans="1:2" x14ac:dyDescent="0.25">
      <c r="A102" s="33" t="s">
        <v>108</v>
      </c>
      <c r="B102" s="47">
        <f>IFERROR(MEDIAN(Vertices[Closeness Centrality]),NoMetricMessage)</f>
        <v>1.9649999999999997E-3</v>
      </c>
    </row>
    <row r="113" spans="1:2" x14ac:dyDescent="0.25">
      <c r="A113" s="33" t="s">
        <v>111</v>
      </c>
      <c r="B113" s="47">
        <f>IF(COUNT(Vertices[Eigenvector Centrality])&gt;0, N2, NoMetricMessage)</f>
        <v>0</v>
      </c>
    </row>
    <row r="114" spans="1:2" x14ac:dyDescent="0.25">
      <c r="A114" s="33" t="s">
        <v>112</v>
      </c>
      <c r="B114" s="47">
        <f>IF(COUNT(Vertices[Eigenvector Centrality])&gt;0, N45, NoMetricMessage)</f>
        <v>4.1079999999999998E-2</v>
      </c>
    </row>
    <row r="115" spans="1:2" x14ac:dyDescent="0.25">
      <c r="A115" s="33" t="s">
        <v>113</v>
      </c>
      <c r="B115" s="47">
        <f>IFERROR(AVERAGE(Vertices[Eigenvector Centrality]),NoMetricMessage)</f>
        <v>5.2082916666666692E-3</v>
      </c>
    </row>
    <row r="116" spans="1:2" x14ac:dyDescent="0.25">
      <c r="A116" s="33" t="s">
        <v>114</v>
      </c>
      <c r="B116" s="47">
        <f>IFERROR(MEDIAN(Vertices[Eigenvector Centrality]),NoMetricMessage)</f>
        <v>2.6134999999999999E-3</v>
      </c>
    </row>
    <row r="127" spans="1:2" x14ac:dyDescent="0.25">
      <c r="A127" s="33" t="s">
        <v>139</v>
      </c>
      <c r="B127" s="47">
        <f>IF(COUNT(Vertices[PageRank])&gt;0, P2, NoMetricMessage)</f>
        <v>0.33224900000000002</v>
      </c>
    </row>
    <row r="128" spans="1:2" x14ac:dyDescent="0.25">
      <c r="A128" s="33" t="s">
        <v>140</v>
      </c>
      <c r="B128" s="47">
        <f>IF(COUNT(Vertices[PageRank])&gt;0, P45, NoMetricMessage)</f>
        <v>6.3633810000000004</v>
      </c>
    </row>
    <row r="129" spans="1:2" x14ac:dyDescent="0.25">
      <c r="A129" s="33" t="s">
        <v>141</v>
      </c>
      <c r="B129" s="47">
        <f>IFERROR(AVERAGE(Vertices[PageRank]),NoMetricMessage)</f>
        <v>0.99999732291666765</v>
      </c>
    </row>
    <row r="130" spans="1:2" x14ac:dyDescent="0.25">
      <c r="A130" s="33" t="s">
        <v>142</v>
      </c>
      <c r="B130" s="47">
        <f>IFERROR(MEDIAN(Vertices[PageRank]),NoMetricMessage)</f>
        <v>0.82451549999999996</v>
      </c>
    </row>
    <row r="141" spans="1:2" x14ac:dyDescent="0.25">
      <c r="A141" s="33" t="s">
        <v>117</v>
      </c>
      <c r="B141" s="47">
        <f>IF(COUNT(Vertices[Clustering Coefficient])&gt;0, R2, NoMetricMessage)</f>
        <v>0</v>
      </c>
    </row>
    <row r="142" spans="1:2" x14ac:dyDescent="0.25">
      <c r="A142" s="33" t="s">
        <v>118</v>
      </c>
      <c r="B142" s="47">
        <f>IF(COUNT(Vertices[Clustering Coefficient])&gt;0, R45, NoMetricMessage)</f>
        <v>1</v>
      </c>
    </row>
    <row r="143" spans="1:2" x14ac:dyDescent="0.25">
      <c r="A143" s="33" t="s">
        <v>119</v>
      </c>
      <c r="B143" s="47">
        <f>IFERROR(AVERAGE(Vertices[Clustering Coefficient]),NoMetricMessage)</f>
        <v>0.19471991137949976</v>
      </c>
    </row>
    <row r="144" spans="1:2" x14ac:dyDescent="0.25">
      <c r="A144" s="33" t="s">
        <v>120</v>
      </c>
      <c r="B144" s="47">
        <f>IFERROR(MEDIAN(Vertices[Clustering Coefficient]),NoMetricMessage)</f>
        <v>0.14629859387923905</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6" width="16.85546875" customWidth="1"/>
    <col min="7" max="7" width="14.28515625" bestFit="1" customWidth="1"/>
    <col min="8" max="8" width="14.28515625" customWidth="1"/>
    <col min="10" max="10" width="39.140625" bestFit="1" customWidth="1"/>
    <col min="11" max="11" width="10.85546875" bestFit="1" customWidth="1"/>
    <col min="13" max="13" width="8.42578125" bestFit="1" customWidth="1"/>
    <col min="14" max="14" width="10" bestFit="1" customWidth="1"/>
    <col min="15" max="15" width="11.85546875" bestFit="1" customWidth="1"/>
    <col min="16" max="16" width="12.140625" bestFit="1" customWidth="1"/>
  </cols>
  <sheetData>
    <row r="1" spans="1:18" s="4" customFormat="1" ht="36" customHeight="1" x14ac:dyDescent="0.25">
      <c r="A1" s="5" t="s">
        <v>6</v>
      </c>
      <c r="B1" s="5" t="s">
        <v>130</v>
      </c>
      <c r="C1" s="4" t="s">
        <v>7</v>
      </c>
      <c r="D1" s="4" t="s">
        <v>9</v>
      </c>
      <c r="E1" s="4" t="s">
        <v>163</v>
      </c>
      <c r="F1" s="5" t="s">
        <v>168</v>
      </c>
      <c r="G1" s="4" t="s">
        <v>14</v>
      </c>
      <c r="H1" s="4" t="s">
        <v>66</v>
      </c>
      <c r="J1" s="4" t="s">
        <v>18</v>
      </c>
      <c r="K1" s="4" t="s">
        <v>17</v>
      </c>
      <c r="M1" s="4" t="s">
        <v>22</v>
      </c>
      <c r="N1" s="4" t="s">
        <v>23</v>
      </c>
      <c r="O1" s="4" t="s">
        <v>24</v>
      </c>
      <c r="P1" s="4" t="s">
        <v>25</v>
      </c>
    </row>
    <row r="2" spans="1:18" x14ac:dyDescent="0.25">
      <c r="A2" s="1" t="s">
        <v>50</v>
      </c>
      <c r="B2" s="1" t="s">
        <v>131</v>
      </c>
      <c r="C2" t="s">
        <v>53</v>
      </c>
      <c r="D2" t="s">
        <v>54</v>
      </c>
      <c r="E2" t="s">
        <v>54</v>
      </c>
      <c r="F2" s="1" t="s">
        <v>50</v>
      </c>
      <c r="G2" t="s">
        <v>64</v>
      </c>
      <c r="H2" t="s">
        <v>158</v>
      </c>
      <c r="J2" t="s">
        <v>19</v>
      </c>
      <c r="K2">
        <v>104</v>
      </c>
    </row>
    <row r="3" spans="1:18" x14ac:dyDescent="0.25">
      <c r="A3" s="1" t="s">
        <v>51</v>
      </c>
      <c r="B3" s="1" t="s">
        <v>132</v>
      </c>
      <c r="C3" t="s">
        <v>51</v>
      </c>
      <c r="D3" t="s">
        <v>55</v>
      </c>
      <c r="E3" t="s">
        <v>55</v>
      </c>
      <c r="F3" s="1" t="s">
        <v>51</v>
      </c>
      <c r="G3" t="s">
        <v>65</v>
      </c>
      <c r="H3" t="s">
        <v>67</v>
      </c>
      <c r="J3" t="s">
        <v>30</v>
      </c>
      <c r="K3" t="s">
        <v>2207</v>
      </c>
    </row>
    <row r="4" spans="1:18" x14ac:dyDescent="0.25">
      <c r="A4" s="1" t="s">
        <v>52</v>
      </c>
      <c r="B4" s="1" t="s">
        <v>133</v>
      </c>
      <c r="C4" t="s">
        <v>52</v>
      </c>
      <c r="D4" t="s">
        <v>56</v>
      </c>
      <c r="E4" t="s">
        <v>56</v>
      </c>
      <c r="F4" s="1" t="s">
        <v>52</v>
      </c>
      <c r="G4">
        <v>0</v>
      </c>
      <c r="H4" t="s">
        <v>68</v>
      </c>
      <c r="J4" s="12" t="s">
        <v>77</v>
      </c>
      <c r="K4" s="12"/>
    </row>
    <row r="5" spans="1:18" ht="409.5" x14ac:dyDescent="0.25">
      <c r="A5">
        <v>1</v>
      </c>
      <c r="B5" s="1" t="s">
        <v>134</v>
      </c>
      <c r="C5" t="s">
        <v>50</v>
      </c>
      <c r="D5" t="s">
        <v>57</v>
      </c>
      <c r="E5" t="s">
        <v>57</v>
      </c>
      <c r="F5">
        <v>1</v>
      </c>
      <c r="G5">
        <v>1</v>
      </c>
      <c r="H5" t="s">
        <v>69</v>
      </c>
      <c r="J5" t="s">
        <v>171</v>
      </c>
      <c r="K5" s="13" t="s">
        <v>2208</v>
      </c>
    </row>
    <row r="6" spans="1:18" ht="409.5" x14ac:dyDescent="0.25">
      <c r="A6">
        <v>0</v>
      </c>
      <c r="B6" s="1" t="s">
        <v>135</v>
      </c>
      <c r="C6">
        <v>1</v>
      </c>
      <c r="D6" t="s">
        <v>58</v>
      </c>
      <c r="E6" t="s">
        <v>58</v>
      </c>
      <c r="F6">
        <v>0</v>
      </c>
      <c r="H6" t="s">
        <v>70</v>
      </c>
      <c r="J6" t="s">
        <v>172</v>
      </c>
      <c r="K6" s="13" t="s">
        <v>2209</v>
      </c>
      <c r="R6" t="s">
        <v>128</v>
      </c>
    </row>
    <row r="7" spans="1:18" ht="409.5" x14ac:dyDescent="0.25">
      <c r="A7">
        <v>2</v>
      </c>
      <c r="B7">
        <v>1</v>
      </c>
      <c r="C7">
        <v>0</v>
      </c>
      <c r="D7" t="s">
        <v>59</v>
      </c>
      <c r="E7" t="s">
        <v>59</v>
      </c>
      <c r="F7">
        <v>2</v>
      </c>
      <c r="H7" t="s">
        <v>71</v>
      </c>
      <c r="J7" t="s">
        <v>173</v>
      </c>
      <c r="K7" s="13" t="s">
        <v>2210</v>
      </c>
    </row>
    <row r="8" spans="1:18" ht="409.5" x14ac:dyDescent="0.25">
      <c r="A8"/>
      <c r="B8">
        <v>2</v>
      </c>
      <c r="C8">
        <v>2</v>
      </c>
      <c r="D8" t="s">
        <v>60</v>
      </c>
      <c r="E8" t="s">
        <v>60</v>
      </c>
      <c r="H8" t="s">
        <v>72</v>
      </c>
      <c r="J8" t="s">
        <v>174</v>
      </c>
      <c r="K8" s="13" t="s">
        <v>2790</v>
      </c>
    </row>
    <row r="9" spans="1:18" x14ac:dyDescent="0.25">
      <c r="A9"/>
      <c r="B9">
        <v>3</v>
      </c>
      <c r="C9">
        <v>4</v>
      </c>
      <c r="D9" t="s">
        <v>61</v>
      </c>
      <c r="E9" t="s">
        <v>61</v>
      </c>
      <c r="H9" t="s">
        <v>73</v>
      </c>
      <c r="J9" t="s">
        <v>175</v>
      </c>
      <c r="K9">
        <v>4</v>
      </c>
    </row>
    <row r="10" spans="1:18" x14ac:dyDescent="0.25">
      <c r="A10"/>
      <c r="B10">
        <v>4</v>
      </c>
      <c r="D10" t="s">
        <v>62</v>
      </c>
      <c r="E10" t="s">
        <v>62</v>
      </c>
      <c r="H10" t="s">
        <v>74</v>
      </c>
      <c r="J10" t="s">
        <v>176</v>
      </c>
      <c r="K10" t="s">
        <v>2787</v>
      </c>
    </row>
    <row r="11" spans="1:18" x14ac:dyDescent="0.25">
      <c r="A11"/>
      <c r="B11">
        <v>5</v>
      </c>
      <c r="D11" t="s">
        <v>45</v>
      </c>
      <c r="E11">
        <v>1</v>
      </c>
      <c r="H11" t="s">
        <v>75</v>
      </c>
      <c r="J11" t="s">
        <v>177</v>
      </c>
      <c r="K11" t="s">
        <v>2789</v>
      </c>
    </row>
    <row r="12" spans="1:18" x14ac:dyDescent="0.25">
      <c r="A12"/>
      <c r="B12"/>
      <c r="D12" t="s">
        <v>63</v>
      </c>
      <c r="E12">
        <v>2</v>
      </c>
      <c r="H12">
        <v>0</v>
      </c>
    </row>
    <row r="13" spans="1:18" x14ac:dyDescent="0.25">
      <c r="A13"/>
      <c r="B13"/>
      <c r="D13">
        <v>1</v>
      </c>
      <c r="E13">
        <v>3</v>
      </c>
      <c r="H13">
        <v>1</v>
      </c>
    </row>
    <row r="14" spans="1:18" x14ac:dyDescent="0.25">
      <c r="D14">
        <v>2</v>
      </c>
      <c r="E14">
        <v>4</v>
      </c>
      <c r="H14">
        <v>2</v>
      </c>
    </row>
    <row r="15" spans="1:18" x14ac:dyDescent="0.25">
      <c r="D15">
        <v>3</v>
      </c>
      <c r="E15">
        <v>5</v>
      </c>
      <c r="H15">
        <v>3</v>
      </c>
    </row>
    <row r="16" spans="1:18" x14ac:dyDescent="0.25">
      <c r="D16">
        <v>4</v>
      </c>
      <c r="E16">
        <v>6</v>
      </c>
      <c r="H16">
        <v>4</v>
      </c>
    </row>
    <row r="17" spans="4:8" x14ac:dyDescent="0.25">
      <c r="D17">
        <v>5</v>
      </c>
      <c r="E17">
        <v>7</v>
      </c>
      <c r="H17">
        <v>5</v>
      </c>
    </row>
    <row r="18" spans="4:8" x14ac:dyDescent="0.25">
      <c r="D18">
        <v>6</v>
      </c>
      <c r="E18">
        <v>8</v>
      </c>
      <c r="H18">
        <v>6</v>
      </c>
    </row>
    <row r="19" spans="4:8" x14ac:dyDescent="0.25">
      <c r="D19">
        <v>7</v>
      </c>
      <c r="E19">
        <v>9</v>
      </c>
      <c r="H19">
        <v>7</v>
      </c>
    </row>
    <row r="20" spans="4:8" x14ac:dyDescent="0.25">
      <c r="D20">
        <v>8</v>
      </c>
      <c r="H20">
        <v>8</v>
      </c>
    </row>
    <row r="21" spans="4:8" x14ac:dyDescent="0.25">
      <c r="D21">
        <v>9</v>
      </c>
      <c r="H21">
        <v>9</v>
      </c>
    </row>
    <row r="22" spans="4:8" x14ac:dyDescent="0.25">
      <c r="D22">
        <v>10</v>
      </c>
    </row>
    <row r="23" spans="4:8"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heetViews>
  <sheetFormatPr defaultRowHeight="15" x14ac:dyDescent="0.25"/>
  <cols>
    <col min="1" max="1" width="10" customWidth="1"/>
    <col min="2" max="2" width="10" bestFit="1" customWidth="1"/>
    <col min="3" max="3" width="13.42578125" bestFit="1" customWidth="1"/>
  </cols>
  <sheetData>
    <row r="1" spans="1:3" x14ac:dyDescent="0.25">
      <c r="C1" s="33" t="s">
        <v>41</v>
      </c>
    </row>
    <row r="2" spans="1:3" ht="15" customHeight="1" x14ac:dyDescent="0.25">
      <c r="A2" s="13" t="s">
        <v>2230</v>
      </c>
      <c r="B2" s="113" t="s">
        <v>2231</v>
      </c>
      <c r="C2" s="52" t="s">
        <v>2232</v>
      </c>
    </row>
    <row r="3" spans="1:3" x14ac:dyDescent="0.25">
      <c r="A3" s="112" t="s">
        <v>2212</v>
      </c>
      <c r="B3" s="112" t="s">
        <v>2212</v>
      </c>
      <c r="C3" s="34">
        <v>555</v>
      </c>
    </row>
    <row r="4" spans="1:3" x14ac:dyDescent="0.25">
      <c r="A4" s="112" t="s">
        <v>2212</v>
      </c>
      <c r="B4" s="112" t="s">
        <v>2213</v>
      </c>
      <c r="C4" s="34">
        <v>7</v>
      </c>
    </row>
    <row r="5" spans="1:3" x14ac:dyDescent="0.25">
      <c r="A5" s="112" t="s">
        <v>2212</v>
      </c>
      <c r="B5" s="112" t="s">
        <v>2215</v>
      </c>
      <c r="C5" s="34">
        <v>29</v>
      </c>
    </row>
    <row r="6" spans="1:3" x14ac:dyDescent="0.25">
      <c r="A6" s="112" t="s">
        <v>2212</v>
      </c>
      <c r="B6" s="112" t="s">
        <v>2216</v>
      </c>
      <c r="C6" s="34">
        <v>12</v>
      </c>
    </row>
    <row r="7" spans="1:3" x14ac:dyDescent="0.25">
      <c r="A7" s="112" t="s">
        <v>2213</v>
      </c>
      <c r="B7" s="112" t="s">
        <v>2212</v>
      </c>
      <c r="C7" s="34">
        <v>4</v>
      </c>
    </row>
    <row r="8" spans="1:3" x14ac:dyDescent="0.25">
      <c r="A8" s="112" t="s">
        <v>2213</v>
      </c>
      <c r="B8" s="112" t="s">
        <v>2213</v>
      </c>
      <c r="C8" s="34">
        <v>406</v>
      </c>
    </row>
    <row r="9" spans="1:3" x14ac:dyDescent="0.25">
      <c r="A9" s="112" t="s">
        <v>2213</v>
      </c>
      <c r="B9" s="112" t="s">
        <v>2215</v>
      </c>
      <c r="C9" s="34">
        <v>23</v>
      </c>
    </row>
    <row r="10" spans="1:3" x14ac:dyDescent="0.25">
      <c r="A10" s="112" t="s">
        <v>2213</v>
      </c>
      <c r="B10" s="112" t="s">
        <v>2216</v>
      </c>
      <c r="C10" s="34">
        <v>1</v>
      </c>
    </row>
    <row r="11" spans="1:3" x14ac:dyDescent="0.25">
      <c r="A11" s="112" t="s">
        <v>2214</v>
      </c>
      <c r="B11" s="112" t="s">
        <v>2214</v>
      </c>
      <c r="C11" s="34">
        <v>28</v>
      </c>
    </row>
    <row r="12" spans="1:3" x14ac:dyDescent="0.25">
      <c r="A12" s="112" t="s">
        <v>2215</v>
      </c>
      <c r="B12" s="112" t="s">
        <v>2212</v>
      </c>
      <c r="C12" s="34">
        <v>19</v>
      </c>
    </row>
    <row r="13" spans="1:3" x14ac:dyDescent="0.25">
      <c r="A13" s="112" t="s">
        <v>2215</v>
      </c>
      <c r="B13" s="112" t="s">
        <v>2213</v>
      </c>
      <c r="C13" s="34">
        <v>16</v>
      </c>
    </row>
    <row r="14" spans="1:3" x14ac:dyDescent="0.25">
      <c r="A14" s="112" t="s">
        <v>2215</v>
      </c>
      <c r="B14" s="112" t="s">
        <v>2215</v>
      </c>
      <c r="C14" s="34">
        <v>59</v>
      </c>
    </row>
    <row r="15" spans="1:3" x14ac:dyDescent="0.25">
      <c r="A15" s="112" t="s">
        <v>2216</v>
      </c>
      <c r="B15" s="112" t="s">
        <v>2212</v>
      </c>
      <c r="C15" s="34">
        <v>10</v>
      </c>
    </row>
    <row r="16" spans="1:3" x14ac:dyDescent="0.25">
      <c r="A16" s="112" t="s">
        <v>2216</v>
      </c>
      <c r="B16" s="112" t="s">
        <v>2215</v>
      </c>
      <c r="C16" s="34">
        <v>1</v>
      </c>
    </row>
    <row r="17" spans="1:3" x14ac:dyDescent="0.25">
      <c r="A17" s="112" t="s">
        <v>2216</v>
      </c>
      <c r="B17" s="112" t="s">
        <v>2216</v>
      </c>
      <c r="C17" s="34">
        <v>23</v>
      </c>
    </row>
    <row r="18" spans="1:3" x14ac:dyDescent="0.25">
      <c r="A18" s="112" t="s">
        <v>2217</v>
      </c>
      <c r="B18" s="112" t="s">
        <v>2213</v>
      </c>
      <c r="C18" s="34">
        <v>1</v>
      </c>
    </row>
    <row r="19" spans="1:3" x14ac:dyDescent="0.25">
      <c r="A19" s="112" t="s">
        <v>2217</v>
      </c>
      <c r="B19" s="112" t="s">
        <v>2217</v>
      </c>
      <c r="C19" s="34">
        <v>3</v>
      </c>
    </row>
    <row r="20" spans="1:3" x14ac:dyDescent="0.25">
      <c r="A20" s="112" t="s">
        <v>2218</v>
      </c>
      <c r="B20" s="112" t="s">
        <v>2218</v>
      </c>
      <c r="C20" s="34">
        <v>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4"/>
  <sheetViews>
    <sheetView workbookViewId="0"/>
  </sheetViews>
  <sheetFormatPr defaultRowHeight="15" x14ac:dyDescent="0.25"/>
  <cols>
    <col min="1" max="1" width="8" customWidth="1"/>
    <col min="2" max="2" width="8.42578125" bestFit="1" customWidth="1"/>
    <col min="3" max="3" width="10.5703125" bestFit="1" customWidth="1"/>
    <col min="4" max="4" width="8.5703125" bestFit="1" customWidth="1"/>
  </cols>
  <sheetData>
    <row r="1" spans="1:4" ht="15" customHeight="1" x14ac:dyDescent="0.25">
      <c r="A1" s="13" t="s">
        <v>2234</v>
      </c>
      <c r="B1" s="13" t="s">
        <v>2624</v>
      </c>
      <c r="C1" s="13" t="s">
        <v>2625</v>
      </c>
      <c r="D1" s="13" t="s">
        <v>143</v>
      </c>
    </row>
    <row r="2" spans="1:4" x14ac:dyDescent="0.25">
      <c r="A2" s="83" t="s">
        <v>2235</v>
      </c>
      <c r="B2" s="83">
        <v>297</v>
      </c>
      <c r="C2" s="114">
        <v>0</v>
      </c>
      <c r="D2" s="83" t="s">
        <v>2626</v>
      </c>
    </row>
    <row r="3" spans="1:4" x14ac:dyDescent="0.25">
      <c r="A3" s="83" t="s">
        <v>2236</v>
      </c>
      <c r="B3" s="83">
        <v>127</v>
      </c>
      <c r="C3" s="114">
        <v>1.3507841373151511E-2</v>
      </c>
      <c r="D3" s="83" t="s">
        <v>2626</v>
      </c>
    </row>
    <row r="4" spans="1:4" x14ac:dyDescent="0.25">
      <c r="A4" s="83" t="s">
        <v>2237</v>
      </c>
      <c r="B4" s="83">
        <v>77</v>
      </c>
      <c r="C4" s="114">
        <v>1.1977304526172525E-2</v>
      </c>
      <c r="D4" s="83" t="s">
        <v>2626</v>
      </c>
    </row>
    <row r="5" spans="1:4" x14ac:dyDescent="0.25">
      <c r="A5" s="83" t="s">
        <v>657</v>
      </c>
      <c r="B5" s="83">
        <v>62</v>
      </c>
      <c r="C5" s="114">
        <v>1.1919140934805715E-2</v>
      </c>
      <c r="D5" s="83" t="s">
        <v>2626</v>
      </c>
    </row>
    <row r="6" spans="1:4" x14ac:dyDescent="0.25">
      <c r="A6" s="83" t="s">
        <v>2238</v>
      </c>
      <c r="B6" s="83">
        <v>54</v>
      </c>
      <c r="C6" s="114">
        <v>1.060747817264239E-2</v>
      </c>
      <c r="D6" s="83" t="s">
        <v>2626</v>
      </c>
    </row>
    <row r="7" spans="1:4" x14ac:dyDescent="0.25">
      <c r="A7" s="83" t="s">
        <v>2239</v>
      </c>
      <c r="B7" s="83">
        <v>53</v>
      </c>
      <c r="C7" s="114">
        <v>1.1258929515314202E-2</v>
      </c>
      <c r="D7" s="83" t="s">
        <v>2626</v>
      </c>
    </row>
    <row r="8" spans="1:4" x14ac:dyDescent="0.25">
      <c r="A8" s="83" t="s">
        <v>2240</v>
      </c>
      <c r="B8" s="83">
        <v>47</v>
      </c>
      <c r="C8" s="114">
        <v>1.0100805261044043E-2</v>
      </c>
      <c r="D8" s="83" t="s">
        <v>2626</v>
      </c>
    </row>
    <row r="9" spans="1:4" x14ac:dyDescent="0.25">
      <c r="A9" s="83" t="s">
        <v>2241</v>
      </c>
      <c r="B9" s="83">
        <v>45</v>
      </c>
      <c r="C9" s="114">
        <v>1.0020684456936367E-2</v>
      </c>
      <c r="D9" s="83" t="s">
        <v>2626</v>
      </c>
    </row>
    <row r="10" spans="1:4" x14ac:dyDescent="0.25">
      <c r="A10" s="83" t="s">
        <v>2242</v>
      </c>
      <c r="B10" s="83">
        <v>45</v>
      </c>
      <c r="C10" s="114">
        <v>9.7849501457638877E-3</v>
      </c>
      <c r="D10" s="83" t="s">
        <v>2626</v>
      </c>
    </row>
    <row r="11" spans="1:4" x14ac:dyDescent="0.25">
      <c r="A11" s="83" t="s">
        <v>2243</v>
      </c>
      <c r="B11" s="83">
        <v>43</v>
      </c>
      <c r="C11" s="114">
        <v>9.5753207032947488E-3</v>
      </c>
      <c r="D11" s="83" t="s">
        <v>2626</v>
      </c>
    </row>
    <row r="12" spans="1:4" x14ac:dyDescent="0.25">
      <c r="A12" s="83" t="s">
        <v>2244</v>
      </c>
      <c r="B12" s="83">
        <v>41</v>
      </c>
      <c r="C12" s="114">
        <v>9.3549685053055318E-3</v>
      </c>
      <c r="D12" s="83" t="s">
        <v>2626</v>
      </c>
    </row>
    <row r="13" spans="1:4" x14ac:dyDescent="0.25">
      <c r="A13" s="83" t="s">
        <v>2245</v>
      </c>
      <c r="B13" s="83">
        <v>38</v>
      </c>
      <c r="C13" s="114">
        <v>9.003175484907212E-3</v>
      </c>
      <c r="D13" s="83" t="s">
        <v>2626</v>
      </c>
    </row>
    <row r="14" spans="1:4" x14ac:dyDescent="0.25">
      <c r="A14" s="83" t="s">
        <v>2246</v>
      </c>
      <c r="B14" s="83">
        <v>36</v>
      </c>
      <c r="C14" s="114">
        <v>8.753606300821783E-3</v>
      </c>
      <c r="D14" s="83" t="s">
        <v>2626</v>
      </c>
    </row>
    <row r="15" spans="1:4" x14ac:dyDescent="0.25">
      <c r="A15" s="83" t="s">
        <v>2247</v>
      </c>
      <c r="B15" s="83">
        <v>34</v>
      </c>
      <c r="C15" s="114">
        <v>8.4912274070969868E-3</v>
      </c>
      <c r="D15" s="83" t="s">
        <v>2626</v>
      </c>
    </row>
    <row r="16" spans="1:4" x14ac:dyDescent="0.25">
      <c r="A16" s="83" t="s">
        <v>2248</v>
      </c>
      <c r="B16" s="83">
        <v>33</v>
      </c>
      <c r="C16" s="114">
        <v>8.4720120835529607E-3</v>
      </c>
      <c r="D16" s="83" t="s">
        <v>2626</v>
      </c>
    </row>
    <row r="17" spans="1:4" x14ac:dyDescent="0.25">
      <c r="A17" s="83" t="s">
        <v>662</v>
      </c>
      <c r="B17" s="83">
        <v>30</v>
      </c>
      <c r="C17" s="114">
        <v>7.9249285852816386E-3</v>
      </c>
      <c r="D17" s="83" t="s">
        <v>2626</v>
      </c>
    </row>
    <row r="18" spans="1:4" x14ac:dyDescent="0.25">
      <c r="A18" s="83" t="s">
        <v>644</v>
      </c>
      <c r="B18" s="83">
        <v>26</v>
      </c>
      <c r="C18" s="114">
        <v>7.2969914128432614E-3</v>
      </c>
      <c r="D18" s="83" t="s">
        <v>2626</v>
      </c>
    </row>
    <row r="19" spans="1:4" x14ac:dyDescent="0.25">
      <c r="A19" s="83" t="s">
        <v>2249</v>
      </c>
      <c r="B19" s="83">
        <v>26</v>
      </c>
      <c r="C19" s="114">
        <v>7.2969914128432614E-3</v>
      </c>
      <c r="D19" s="83" t="s">
        <v>2626</v>
      </c>
    </row>
    <row r="20" spans="1:4" x14ac:dyDescent="0.25">
      <c r="A20" s="83" t="s">
        <v>2250</v>
      </c>
      <c r="B20" s="83">
        <v>25</v>
      </c>
      <c r="C20" s="114">
        <v>7.1293210443431594E-3</v>
      </c>
      <c r="D20" s="83" t="s">
        <v>2626</v>
      </c>
    </row>
    <row r="21" spans="1:4" x14ac:dyDescent="0.25">
      <c r="A21" s="83" t="s">
        <v>2251</v>
      </c>
      <c r="B21" s="83">
        <v>25</v>
      </c>
      <c r="C21" s="114">
        <v>7.1293210443431594E-3</v>
      </c>
      <c r="D21" s="83" t="s">
        <v>2626</v>
      </c>
    </row>
    <row r="22" spans="1:4" x14ac:dyDescent="0.25">
      <c r="A22" s="83" t="s">
        <v>2252</v>
      </c>
      <c r="B22" s="83">
        <v>23</v>
      </c>
      <c r="C22" s="114">
        <v>6.7799570458719144E-3</v>
      </c>
      <c r="D22" s="83" t="s">
        <v>2626</v>
      </c>
    </row>
    <row r="23" spans="1:4" x14ac:dyDescent="0.25">
      <c r="A23" s="83" t="s">
        <v>2253</v>
      </c>
      <c r="B23" s="83">
        <v>23</v>
      </c>
      <c r="C23" s="114">
        <v>6.7799570458719144E-3</v>
      </c>
      <c r="D23" s="83" t="s">
        <v>2626</v>
      </c>
    </row>
    <row r="24" spans="1:4" x14ac:dyDescent="0.25">
      <c r="A24" s="83" t="s">
        <v>2254</v>
      </c>
      <c r="B24" s="83">
        <v>23</v>
      </c>
      <c r="C24" s="114">
        <v>6.7799570458719144E-3</v>
      </c>
      <c r="D24" s="83" t="s">
        <v>2626</v>
      </c>
    </row>
    <row r="25" spans="1:4" x14ac:dyDescent="0.25">
      <c r="A25" s="83" t="s">
        <v>655</v>
      </c>
      <c r="B25" s="83">
        <v>23</v>
      </c>
      <c r="C25" s="114">
        <v>6.7799570458719144E-3</v>
      </c>
      <c r="D25" s="83" t="s">
        <v>2626</v>
      </c>
    </row>
    <row r="26" spans="1:4" x14ac:dyDescent="0.25">
      <c r="A26" s="83" t="s">
        <v>2255</v>
      </c>
      <c r="B26" s="83">
        <v>22</v>
      </c>
      <c r="C26" s="114">
        <v>6.5978622729875652E-3</v>
      </c>
      <c r="D26" s="83" t="s">
        <v>2626</v>
      </c>
    </row>
    <row r="27" spans="1:4" x14ac:dyDescent="0.25">
      <c r="A27" s="83" t="s">
        <v>2256</v>
      </c>
      <c r="B27" s="83">
        <v>21</v>
      </c>
      <c r="C27" s="114">
        <v>6.6527088924521229E-3</v>
      </c>
      <c r="D27" s="83" t="s">
        <v>2626</v>
      </c>
    </row>
    <row r="28" spans="1:4" x14ac:dyDescent="0.25">
      <c r="A28" s="83" t="s">
        <v>2257</v>
      </c>
      <c r="B28" s="83">
        <v>21</v>
      </c>
      <c r="C28" s="114">
        <v>6.4105280568450915E-3</v>
      </c>
      <c r="D28" s="83" t="s">
        <v>2626</v>
      </c>
    </row>
    <row r="29" spans="1:4" x14ac:dyDescent="0.25">
      <c r="A29" s="83" t="s">
        <v>2258</v>
      </c>
      <c r="B29" s="83">
        <v>20</v>
      </c>
      <c r="C29" s="114">
        <v>6.2177047155915696E-3</v>
      </c>
      <c r="D29" s="83" t="s">
        <v>2626</v>
      </c>
    </row>
    <row r="30" spans="1:4" x14ac:dyDescent="0.25">
      <c r="A30" s="83" t="s">
        <v>2259</v>
      </c>
      <c r="B30" s="83">
        <v>20</v>
      </c>
      <c r="C30" s="114">
        <v>6.2177047155915696E-3</v>
      </c>
      <c r="D30" s="83" t="s">
        <v>2626</v>
      </c>
    </row>
    <row r="31" spans="1:4" x14ac:dyDescent="0.25">
      <c r="A31" s="83" t="s">
        <v>2260</v>
      </c>
      <c r="B31" s="83">
        <v>19</v>
      </c>
      <c r="C31" s="114">
        <v>6.0191175693614452E-3</v>
      </c>
      <c r="D31" s="83" t="s">
        <v>2626</v>
      </c>
    </row>
    <row r="32" spans="1:4" x14ac:dyDescent="0.25">
      <c r="A32" s="83" t="s">
        <v>2261</v>
      </c>
      <c r="B32" s="83">
        <v>19</v>
      </c>
      <c r="C32" s="114">
        <v>6.0191175693614452E-3</v>
      </c>
      <c r="D32" s="83" t="s">
        <v>2626</v>
      </c>
    </row>
    <row r="33" spans="1:4" x14ac:dyDescent="0.25">
      <c r="A33" s="83" t="s">
        <v>2262</v>
      </c>
      <c r="B33" s="83">
        <v>19</v>
      </c>
      <c r="C33" s="114">
        <v>6.0191175693614452E-3</v>
      </c>
      <c r="D33" s="83" t="s">
        <v>2626</v>
      </c>
    </row>
    <row r="34" spans="1:4" x14ac:dyDescent="0.25">
      <c r="A34" s="83" t="s">
        <v>2263</v>
      </c>
      <c r="B34" s="83">
        <v>19</v>
      </c>
      <c r="C34" s="114">
        <v>7.0251867503640661E-3</v>
      </c>
      <c r="D34" s="83" t="s">
        <v>2626</v>
      </c>
    </row>
    <row r="35" spans="1:4" x14ac:dyDescent="0.25">
      <c r="A35" s="83" t="s">
        <v>2264</v>
      </c>
      <c r="B35" s="83">
        <v>18</v>
      </c>
      <c r="C35" s="114">
        <v>5.8144629864288434E-3</v>
      </c>
      <c r="D35" s="83" t="s">
        <v>2626</v>
      </c>
    </row>
    <row r="36" spans="1:4" x14ac:dyDescent="0.25">
      <c r="A36" s="83" t="s">
        <v>2265</v>
      </c>
      <c r="B36" s="83">
        <v>18</v>
      </c>
      <c r="C36" s="114">
        <v>5.8144629864288434E-3</v>
      </c>
      <c r="D36" s="83" t="s">
        <v>2626</v>
      </c>
    </row>
    <row r="37" spans="1:4" x14ac:dyDescent="0.25">
      <c r="A37" s="83" t="s">
        <v>2266</v>
      </c>
      <c r="B37" s="83">
        <v>18</v>
      </c>
      <c r="C37" s="114">
        <v>5.8144629864288434E-3</v>
      </c>
      <c r="D37" s="83" t="s">
        <v>2626</v>
      </c>
    </row>
    <row r="38" spans="1:4" x14ac:dyDescent="0.25">
      <c r="A38" s="83" t="s">
        <v>2267</v>
      </c>
      <c r="B38" s="83">
        <v>18</v>
      </c>
      <c r="C38" s="114">
        <v>5.8144629864288434E-3</v>
      </c>
      <c r="D38" s="83" t="s">
        <v>2626</v>
      </c>
    </row>
    <row r="39" spans="1:4" x14ac:dyDescent="0.25">
      <c r="A39" s="83" t="s">
        <v>2268</v>
      </c>
      <c r="B39" s="83">
        <v>17</v>
      </c>
      <c r="C39" s="114">
        <v>5.6034035486765598E-3</v>
      </c>
      <c r="D39" s="83" t="s">
        <v>2626</v>
      </c>
    </row>
    <row r="40" spans="1:4" x14ac:dyDescent="0.25">
      <c r="A40" s="83" t="s">
        <v>2269</v>
      </c>
      <c r="B40" s="83">
        <v>17</v>
      </c>
      <c r="C40" s="114">
        <v>5.6034035486765598E-3</v>
      </c>
      <c r="D40" s="83" t="s">
        <v>2626</v>
      </c>
    </row>
    <row r="41" spans="1:4" x14ac:dyDescent="0.25">
      <c r="A41" s="83" t="s">
        <v>2270</v>
      </c>
      <c r="B41" s="83">
        <v>17</v>
      </c>
      <c r="C41" s="114">
        <v>5.6034035486765598E-3</v>
      </c>
      <c r="D41" s="83" t="s">
        <v>2626</v>
      </c>
    </row>
    <row r="42" spans="1:4" x14ac:dyDescent="0.25">
      <c r="A42" s="83" t="s">
        <v>2271</v>
      </c>
      <c r="B42" s="83">
        <v>17</v>
      </c>
      <c r="C42" s="114">
        <v>5.6034035486765598E-3</v>
      </c>
      <c r="D42" s="83" t="s">
        <v>2626</v>
      </c>
    </row>
    <row r="43" spans="1:4" x14ac:dyDescent="0.25">
      <c r="A43" s="83" t="s">
        <v>2272</v>
      </c>
      <c r="B43" s="83">
        <v>17</v>
      </c>
      <c r="C43" s="114">
        <v>5.6034035486765598E-3</v>
      </c>
      <c r="D43" s="83" t="s">
        <v>2626</v>
      </c>
    </row>
    <row r="44" spans="1:4" x14ac:dyDescent="0.25">
      <c r="A44" s="83" t="s">
        <v>2273</v>
      </c>
      <c r="B44" s="83">
        <v>16</v>
      </c>
      <c r="C44" s="114">
        <v>5.3855620765668874E-3</v>
      </c>
      <c r="D44" s="83" t="s">
        <v>2626</v>
      </c>
    </row>
    <row r="45" spans="1:4" x14ac:dyDescent="0.25">
      <c r="A45" s="83" t="s">
        <v>2274</v>
      </c>
      <c r="B45" s="83">
        <v>16</v>
      </c>
      <c r="C45" s="114">
        <v>5.3855620765668874E-3</v>
      </c>
      <c r="D45" s="83" t="s">
        <v>2626</v>
      </c>
    </row>
    <row r="46" spans="1:4" x14ac:dyDescent="0.25">
      <c r="A46" s="83" t="s">
        <v>2275</v>
      </c>
      <c r="B46" s="83">
        <v>15</v>
      </c>
      <c r="C46" s="114">
        <v>5.1605141559891128E-3</v>
      </c>
      <c r="D46" s="83" t="s">
        <v>2626</v>
      </c>
    </row>
    <row r="47" spans="1:4" x14ac:dyDescent="0.25">
      <c r="A47" s="83" t="s">
        <v>2276</v>
      </c>
      <c r="B47" s="83">
        <v>15</v>
      </c>
      <c r="C47" s="114">
        <v>5.1605141559891128E-3</v>
      </c>
      <c r="D47" s="83" t="s">
        <v>2626</v>
      </c>
    </row>
    <row r="48" spans="1:4" x14ac:dyDescent="0.25">
      <c r="A48" s="83" t="s">
        <v>2277</v>
      </c>
      <c r="B48" s="83">
        <v>15</v>
      </c>
      <c r="C48" s="114">
        <v>5.1605141559891128E-3</v>
      </c>
      <c r="D48" s="83" t="s">
        <v>2626</v>
      </c>
    </row>
    <row r="49" spans="1:4" x14ac:dyDescent="0.25">
      <c r="A49" s="83" t="s">
        <v>2278</v>
      </c>
      <c r="B49" s="83">
        <v>15</v>
      </c>
      <c r="C49" s="114">
        <v>5.1605141559891128E-3</v>
      </c>
      <c r="D49" s="83" t="s">
        <v>2626</v>
      </c>
    </row>
    <row r="50" spans="1:4" x14ac:dyDescent="0.25">
      <c r="A50" s="83" t="s">
        <v>2279</v>
      </c>
      <c r="B50" s="83">
        <v>14</v>
      </c>
      <c r="C50" s="114">
        <v>4.9277786656793951E-3</v>
      </c>
      <c r="D50" s="83" t="s">
        <v>2626</v>
      </c>
    </row>
    <row r="51" spans="1:4" x14ac:dyDescent="0.25">
      <c r="A51" s="83" t="s">
        <v>2280</v>
      </c>
      <c r="B51" s="83">
        <v>14</v>
      </c>
      <c r="C51" s="114">
        <v>4.9277786656793951E-3</v>
      </c>
      <c r="D51" s="83" t="s">
        <v>2626</v>
      </c>
    </row>
    <row r="52" spans="1:4" x14ac:dyDescent="0.25">
      <c r="A52" s="83" t="s">
        <v>2281</v>
      </c>
      <c r="B52" s="83">
        <v>14</v>
      </c>
      <c r="C52" s="114">
        <v>4.9277786656793951E-3</v>
      </c>
      <c r="D52" s="83" t="s">
        <v>2626</v>
      </c>
    </row>
    <row r="53" spans="1:4" x14ac:dyDescent="0.25">
      <c r="A53" s="83" t="s">
        <v>2282</v>
      </c>
      <c r="B53" s="83">
        <v>14</v>
      </c>
      <c r="C53" s="114">
        <v>4.9277786656793951E-3</v>
      </c>
      <c r="D53" s="83" t="s">
        <v>2626</v>
      </c>
    </row>
    <row r="54" spans="1:4" x14ac:dyDescent="0.25">
      <c r="A54" s="83" t="s">
        <v>2283</v>
      </c>
      <c r="B54" s="83">
        <v>14</v>
      </c>
      <c r="C54" s="114">
        <v>4.9277786656793951E-3</v>
      </c>
      <c r="D54" s="83" t="s">
        <v>2626</v>
      </c>
    </row>
    <row r="55" spans="1:4" x14ac:dyDescent="0.25">
      <c r="A55" s="83" t="s">
        <v>2284</v>
      </c>
      <c r="B55" s="83">
        <v>14</v>
      </c>
      <c r="C55" s="114">
        <v>4.9277786656793951E-3</v>
      </c>
      <c r="D55" s="83" t="s">
        <v>2626</v>
      </c>
    </row>
    <row r="56" spans="1:4" x14ac:dyDescent="0.25">
      <c r="A56" s="83" t="s">
        <v>2285</v>
      </c>
      <c r="B56" s="83">
        <v>14</v>
      </c>
      <c r="C56" s="114">
        <v>4.9277786656793951E-3</v>
      </c>
      <c r="D56" s="83" t="s">
        <v>2626</v>
      </c>
    </row>
    <row r="57" spans="1:4" x14ac:dyDescent="0.25">
      <c r="A57" s="83" t="s">
        <v>2286</v>
      </c>
      <c r="B57" s="83">
        <v>14</v>
      </c>
      <c r="C57" s="114">
        <v>4.9277786656793951E-3</v>
      </c>
      <c r="D57" s="83" t="s">
        <v>2626</v>
      </c>
    </row>
    <row r="58" spans="1:4" x14ac:dyDescent="0.25">
      <c r="A58" s="83" t="s">
        <v>2287</v>
      </c>
      <c r="B58" s="83">
        <v>14</v>
      </c>
      <c r="C58" s="114">
        <v>6.0459585381378023E-3</v>
      </c>
      <c r="D58" s="83" t="s">
        <v>2626</v>
      </c>
    </row>
    <row r="59" spans="1:4" x14ac:dyDescent="0.25">
      <c r="A59" s="83" t="s">
        <v>2288</v>
      </c>
      <c r="B59" s="83">
        <v>14</v>
      </c>
      <c r="C59" s="114">
        <v>4.9277786656793951E-3</v>
      </c>
      <c r="D59" s="83" t="s">
        <v>2626</v>
      </c>
    </row>
    <row r="60" spans="1:4" x14ac:dyDescent="0.25">
      <c r="A60" s="83" t="s">
        <v>2289</v>
      </c>
      <c r="B60" s="83">
        <v>13</v>
      </c>
      <c r="C60" s="114">
        <v>4.6868055879901518E-3</v>
      </c>
      <c r="D60" s="83" t="s">
        <v>2626</v>
      </c>
    </row>
    <row r="61" spans="1:4" x14ac:dyDescent="0.25">
      <c r="A61" s="83" t="s">
        <v>2290</v>
      </c>
      <c r="B61" s="83">
        <v>13</v>
      </c>
      <c r="C61" s="114">
        <v>4.6868055879901518E-3</v>
      </c>
      <c r="D61" s="83" t="s">
        <v>2626</v>
      </c>
    </row>
    <row r="62" spans="1:4" x14ac:dyDescent="0.25">
      <c r="A62" s="83" t="s">
        <v>2291</v>
      </c>
      <c r="B62" s="83">
        <v>13</v>
      </c>
      <c r="C62" s="114">
        <v>4.6868055879901518E-3</v>
      </c>
      <c r="D62" s="83" t="s">
        <v>2626</v>
      </c>
    </row>
    <row r="63" spans="1:4" x14ac:dyDescent="0.25">
      <c r="A63" s="83" t="s">
        <v>2292</v>
      </c>
      <c r="B63" s="83">
        <v>12</v>
      </c>
      <c r="C63" s="114">
        <v>4.4369600528615157E-3</v>
      </c>
      <c r="D63" s="83" t="s">
        <v>2626</v>
      </c>
    </row>
    <row r="64" spans="1:4" x14ac:dyDescent="0.25">
      <c r="A64" s="83" t="s">
        <v>2293</v>
      </c>
      <c r="B64" s="83">
        <v>12</v>
      </c>
      <c r="C64" s="114">
        <v>4.4369600528615157E-3</v>
      </c>
      <c r="D64" s="83" t="s">
        <v>2626</v>
      </c>
    </row>
    <row r="65" spans="1:4" x14ac:dyDescent="0.25">
      <c r="A65" s="83" t="s">
        <v>661</v>
      </c>
      <c r="B65" s="83">
        <v>11</v>
      </c>
      <c r="C65" s="114">
        <v>4.1775010362825318E-3</v>
      </c>
      <c r="D65" s="83" t="s">
        <v>2626</v>
      </c>
    </row>
    <row r="66" spans="1:4" x14ac:dyDescent="0.25">
      <c r="A66" s="83" t="s">
        <v>2294</v>
      </c>
      <c r="B66" s="83">
        <v>11</v>
      </c>
      <c r="C66" s="114">
        <v>4.431852835939709E-3</v>
      </c>
      <c r="D66" s="83" t="s">
        <v>2626</v>
      </c>
    </row>
    <row r="67" spans="1:4" x14ac:dyDescent="0.25">
      <c r="A67" s="83" t="s">
        <v>2295</v>
      </c>
      <c r="B67" s="83">
        <v>11</v>
      </c>
      <c r="C67" s="114">
        <v>4.1775010362825318E-3</v>
      </c>
      <c r="D67" s="83" t="s">
        <v>2626</v>
      </c>
    </row>
    <row r="68" spans="1:4" x14ac:dyDescent="0.25">
      <c r="A68" s="83" t="s">
        <v>2296</v>
      </c>
      <c r="B68" s="83">
        <v>11</v>
      </c>
      <c r="C68" s="114">
        <v>4.1775010362825318E-3</v>
      </c>
      <c r="D68" s="83" t="s">
        <v>2626</v>
      </c>
    </row>
    <row r="69" spans="1:4" x14ac:dyDescent="0.25">
      <c r="A69" s="83" t="s">
        <v>254</v>
      </c>
      <c r="B69" s="83">
        <v>10</v>
      </c>
      <c r="C69" s="114">
        <v>3.9075522666946463E-3</v>
      </c>
      <c r="D69" s="83" t="s">
        <v>2626</v>
      </c>
    </row>
    <row r="70" spans="1:4" x14ac:dyDescent="0.25">
      <c r="A70" s="83" t="s">
        <v>2297</v>
      </c>
      <c r="B70" s="83">
        <v>10</v>
      </c>
      <c r="C70" s="114">
        <v>3.9075522666946463E-3</v>
      </c>
      <c r="D70" s="83" t="s">
        <v>2626</v>
      </c>
    </row>
    <row r="71" spans="1:4" x14ac:dyDescent="0.25">
      <c r="A71" s="83" t="s">
        <v>2298</v>
      </c>
      <c r="B71" s="83">
        <v>10</v>
      </c>
      <c r="C71" s="114">
        <v>3.9075522666946463E-3</v>
      </c>
      <c r="D71" s="83" t="s">
        <v>2626</v>
      </c>
    </row>
    <row r="72" spans="1:4" x14ac:dyDescent="0.25">
      <c r="A72" s="83" t="s">
        <v>2299</v>
      </c>
      <c r="B72" s="83">
        <v>10</v>
      </c>
      <c r="C72" s="114">
        <v>3.9075522666946463E-3</v>
      </c>
      <c r="D72" s="83" t="s">
        <v>2626</v>
      </c>
    </row>
    <row r="73" spans="1:4" x14ac:dyDescent="0.25">
      <c r="A73" s="83" t="s">
        <v>2300</v>
      </c>
      <c r="B73" s="83">
        <v>10</v>
      </c>
      <c r="C73" s="114">
        <v>3.9075522666946463E-3</v>
      </c>
      <c r="D73" s="83" t="s">
        <v>2626</v>
      </c>
    </row>
    <row r="74" spans="1:4" x14ac:dyDescent="0.25">
      <c r="A74" s="83" t="s">
        <v>2301</v>
      </c>
      <c r="B74" s="83">
        <v>9</v>
      </c>
      <c r="C74" s="114">
        <v>3.6260614112233981E-3</v>
      </c>
      <c r="D74" s="83" t="s">
        <v>2626</v>
      </c>
    </row>
    <row r="75" spans="1:4" x14ac:dyDescent="0.25">
      <c r="A75" s="83" t="s">
        <v>2302</v>
      </c>
      <c r="B75" s="83">
        <v>9</v>
      </c>
      <c r="C75" s="114">
        <v>3.6260614112233981E-3</v>
      </c>
      <c r="D75" s="83" t="s">
        <v>2626</v>
      </c>
    </row>
    <row r="76" spans="1:4" x14ac:dyDescent="0.25">
      <c r="A76" s="83" t="s">
        <v>2303</v>
      </c>
      <c r="B76" s="83">
        <v>9</v>
      </c>
      <c r="C76" s="114">
        <v>3.6260614112233981E-3</v>
      </c>
      <c r="D76" s="83" t="s">
        <v>2626</v>
      </c>
    </row>
    <row r="77" spans="1:4" x14ac:dyDescent="0.25">
      <c r="A77" s="83" t="s">
        <v>2304</v>
      </c>
      <c r="B77" s="83">
        <v>9</v>
      </c>
      <c r="C77" s="114">
        <v>3.6260614112233981E-3</v>
      </c>
      <c r="D77" s="83" t="s">
        <v>2626</v>
      </c>
    </row>
    <row r="78" spans="1:4" x14ac:dyDescent="0.25">
      <c r="A78" s="83" t="s">
        <v>2305</v>
      </c>
      <c r="B78" s="83">
        <v>9</v>
      </c>
      <c r="C78" s="114">
        <v>3.6260614112233981E-3</v>
      </c>
      <c r="D78" s="83" t="s">
        <v>2626</v>
      </c>
    </row>
    <row r="79" spans="1:4" x14ac:dyDescent="0.25">
      <c r="A79" s="83" t="s">
        <v>2306</v>
      </c>
      <c r="B79" s="83">
        <v>9</v>
      </c>
      <c r="C79" s="114">
        <v>3.6260614112233981E-3</v>
      </c>
      <c r="D79" s="83" t="s">
        <v>2626</v>
      </c>
    </row>
    <row r="80" spans="1:4" x14ac:dyDescent="0.25">
      <c r="A80" s="83" t="s">
        <v>2307</v>
      </c>
      <c r="B80" s="83">
        <v>9</v>
      </c>
      <c r="C80" s="114">
        <v>3.6260614112233981E-3</v>
      </c>
      <c r="D80" s="83" t="s">
        <v>2626</v>
      </c>
    </row>
    <row r="81" spans="1:4" x14ac:dyDescent="0.25">
      <c r="A81" s="83" t="s">
        <v>2308</v>
      </c>
      <c r="B81" s="83">
        <v>9</v>
      </c>
      <c r="C81" s="114">
        <v>3.6260614112233981E-3</v>
      </c>
      <c r="D81" s="83" t="s">
        <v>2626</v>
      </c>
    </row>
    <row r="82" spans="1:4" x14ac:dyDescent="0.25">
      <c r="A82" s="83" t="s">
        <v>2309</v>
      </c>
      <c r="B82" s="83">
        <v>9</v>
      </c>
      <c r="C82" s="114">
        <v>3.7482085860778501E-3</v>
      </c>
      <c r="D82" s="83" t="s">
        <v>2626</v>
      </c>
    </row>
    <row r="83" spans="1:4" x14ac:dyDescent="0.25">
      <c r="A83" s="83" t="s">
        <v>2310</v>
      </c>
      <c r="B83" s="83">
        <v>8</v>
      </c>
      <c r="C83" s="114">
        <v>3.3317409654025337E-3</v>
      </c>
      <c r="D83" s="83" t="s">
        <v>2626</v>
      </c>
    </row>
    <row r="84" spans="1:4" x14ac:dyDescent="0.25">
      <c r="A84" s="83" t="s">
        <v>2311</v>
      </c>
      <c r="B84" s="83">
        <v>8</v>
      </c>
      <c r="C84" s="114">
        <v>3.3317409654025337E-3</v>
      </c>
      <c r="D84" s="83" t="s">
        <v>2626</v>
      </c>
    </row>
    <row r="85" spans="1:4" x14ac:dyDescent="0.25">
      <c r="A85" s="83" t="s">
        <v>645</v>
      </c>
      <c r="B85" s="83">
        <v>8</v>
      </c>
      <c r="C85" s="114">
        <v>3.3317409654025337E-3</v>
      </c>
      <c r="D85" s="83" t="s">
        <v>2626</v>
      </c>
    </row>
    <row r="86" spans="1:4" x14ac:dyDescent="0.25">
      <c r="A86" s="83" t="s">
        <v>658</v>
      </c>
      <c r="B86" s="83">
        <v>8</v>
      </c>
      <c r="C86" s="114">
        <v>3.3317409654025337E-3</v>
      </c>
      <c r="D86" s="83" t="s">
        <v>2626</v>
      </c>
    </row>
    <row r="87" spans="1:4" x14ac:dyDescent="0.25">
      <c r="A87" s="83" t="s">
        <v>2312</v>
      </c>
      <c r="B87" s="83">
        <v>8</v>
      </c>
      <c r="C87" s="114">
        <v>3.3317409654025337E-3</v>
      </c>
      <c r="D87" s="83" t="s">
        <v>2626</v>
      </c>
    </row>
    <row r="88" spans="1:4" x14ac:dyDescent="0.25">
      <c r="A88" s="83" t="s">
        <v>2313</v>
      </c>
      <c r="B88" s="83">
        <v>8</v>
      </c>
      <c r="C88" s="114">
        <v>3.3317409654025337E-3</v>
      </c>
      <c r="D88" s="83" t="s">
        <v>2626</v>
      </c>
    </row>
    <row r="89" spans="1:4" x14ac:dyDescent="0.25">
      <c r="A89" s="83" t="s">
        <v>2314</v>
      </c>
      <c r="B89" s="83">
        <v>8</v>
      </c>
      <c r="C89" s="114">
        <v>3.3317409654025337E-3</v>
      </c>
      <c r="D89" s="83" t="s">
        <v>2626</v>
      </c>
    </row>
    <row r="90" spans="1:4" x14ac:dyDescent="0.25">
      <c r="A90" s="83" t="s">
        <v>2315</v>
      </c>
      <c r="B90" s="83">
        <v>8</v>
      </c>
      <c r="C90" s="114">
        <v>3.3317409654025337E-3</v>
      </c>
      <c r="D90" s="83" t="s">
        <v>2626</v>
      </c>
    </row>
    <row r="91" spans="1:4" x14ac:dyDescent="0.25">
      <c r="A91" s="83" t="s">
        <v>2316</v>
      </c>
      <c r="B91" s="83">
        <v>8</v>
      </c>
      <c r="C91" s="114">
        <v>3.3317409654025337E-3</v>
      </c>
      <c r="D91" s="83" t="s">
        <v>2626</v>
      </c>
    </row>
    <row r="92" spans="1:4" x14ac:dyDescent="0.25">
      <c r="A92" s="83" t="s">
        <v>2317</v>
      </c>
      <c r="B92" s="83">
        <v>8</v>
      </c>
      <c r="C92" s="114">
        <v>3.3317409654025337E-3</v>
      </c>
      <c r="D92" s="83" t="s">
        <v>2626</v>
      </c>
    </row>
    <row r="93" spans="1:4" x14ac:dyDescent="0.25">
      <c r="A93" s="83" t="s">
        <v>2318</v>
      </c>
      <c r="B93" s="83">
        <v>8</v>
      </c>
      <c r="C93" s="114">
        <v>3.3317409654025337E-3</v>
      </c>
      <c r="D93" s="83" t="s">
        <v>2626</v>
      </c>
    </row>
    <row r="94" spans="1:4" x14ac:dyDescent="0.25">
      <c r="A94" s="83" t="s">
        <v>2319</v>
      </c>
      <c r="B94" s="83">
        <v>7</v>
      </c>
      <c r="C94" s="114">
        <v>3.0229792690689011E-3</v>
      </c>
      <c r="D94" s="83" t="s">
        <v>2626</v>
      </c>
    </row>
    <row r="95" spans="1:4" x14ac:dyDescent="0.25">
      <c r="A95" s="83" t="s">
        <v>2320</v>
      </c>
      <c r="B95" s="83">
        <v>7</v>
      </c>
      <c r="C95" s="114">
        <v>3.0229792690689011E-3</v>
      </c>
      <c r="D95" s="83" t="s">
        <v>2626</v>
      </c>
    </row>
    <row r="96" spans="1:4" x14ac:dyDescent="0.25">
      <c r="A96" s="83" t="s">
        <v>2321</v>
      </c>
      <c r="B96" s="83">
        <v>7</v>
      </c>
      <c r="C96" s="114">
        <v>3.0229792690689011E-3</v>
      </c>
      <c r="D96" s="83" t="s">
        <v>2626</v>
      </c>
    </row>
    <row r="97" spans="1:4" x14ac:dyDescent="0.25">
      <c r="A97" s="83" t="s">
        <v>2322</v>
      </c>
      <c r="B97" s="83">
        <v>7</v>
      </c>
      <c r="C97" s="114">
        <v>3.147316633731754E-3</v>
      </c>
      <c r="D97" s="83" t="s">
        <v>2626</v>
      </c>
    </row>
    <row r="98" spans="1:4" x14ac:dyDescent="0.25">
      <c r="A98" s="83" t="s">
        <v>2323</v>
      </c>
      <c r="B98" s="83">
        <v>7</v>
      </c>
      <c r="C98" s="114">
        <v>3.0229792690689011E-3</v>
      </c>
      <c r="D98" s="83" t="s">
        <v>2626</v>
      </c>
    </row>
    <row r="99" spans="1:4" x14ac:dyDescent="0.25">
      <c r="A99" s="83" t="s">
        <v>2324</v>
      </c>
      <c r="B99" s="83">
        <v>7</v>
      </c>
      <c r="C99" s="114">
        <v>3.147316633731754E-3</v>
      </c>
      <c r="D99" s="83" t="s">
        <v>2626</v>
      </c>
    </row>
    <row r="100" spans="1:4" x14ac:dyDescent="0.25">
      <c r="A100" s="83" t="s">
        <v>2325</v>
      </c>
      <c r="B100" s="83">
        <v>7</v>
      </c>
      <c r="C100" s="114">
        <v>3.0229792690689011E-3</v>
      </c>
      <c r="D100" s="83" t="s">
        <v>2626</v>
      </c>
    </row>
    <row r="101" spans="1:4" x14ac:dyDescent="0.25">
      <c r="A101" s="83" t="s">
        <v>2326</v>
      </c>
      <c r="B101" s="83">
        <v>7</v>
      </c>
      <c r="C101" s="114">
        <v>3.0229792690689011E-3</v>
      </c>
      <c r="D101" s="83" t="s">
        <v>2626</v>
      </c>
    </row>
    <row r="102" spans="1:4" x14ac:dyDescent="0.25">
      <c r="A102" s="83" t="s">
        <v>2327</v>
      </c>
      <c r="B102" s="83">
        <v>7</v>
      </c>
      <c r="C102" s="114">
        <v>3.4743632809564207E-3</v>
      </c>
      <c r="D102" s="83" t="s">
        <v>2626</v>
      </c>
    </row>
    <row r="103" spans="1:4" x14ac:dyDescent="0.25">
      <c r="A103" s="83" t="s">
        <v>2328</v>
      </c>
      <c r="B103" s="83">
        <v>7</v>
      </c>
      <c r="C103" s="114">
        <v>3.0229792690689011E-3</v>
      </c>
      <c r="D103" s="83" t="s">
        <v>2626</v>
      </c>
    </row>
    <row r="104" spans="1:4" x14ac:dyDescent="0.25">
      <c r="A104" s="83" t="s">
        <v>2329</v>
      </c>
      <c r="B104" s="83">
        <v>7</v>
      </c>
      <c r="C104" s="114">
        <v>3.0229792690689011E-3</v>
      </c>
      <c r="D104" s="83" t="s">
        <v>2626</v>
      </c>
    </row>
    <row r="105" spans="1:4" x14ac:dyDescent="0.25">
      <c r="A105" s="83" t="s">
        <v>639</v>
      </c>
      <c r="B105" s="83">
        <v>7</v>
      </c>
      <c r="C105" s="114">
        <v>3.0229792690689011E-3</v>
      </c>
      <c r="D105" s="83" t="s">
        <v>2626</v>
      </c>
    </row>
    <row r="106" spans="1:4" x14ac:dyDescent="0.25">
      <c r="A106" s="83" t="s">
        <v>2330</v>
      </c>
      <c r="B106" s="83">
        <v>7</v>
      </c>
      <c r="C106" s="114">
        <v>3.0229792690689011E-3</v>
      </c>
      <c r="D106" s="83" t="s">
        <v>2626</v>
      </c>
    </row>
    <row r="107" spans="1:4" x14ac:dyDescent="0.25">
      <c r="A107" s="83" t="s">
        <v>2331</v>
      </c>
      <c r="B107" s="83">
        <v>7</v>
      </c>
      <c r="C107" s="114">
        <v>3.0229792690689011E-3</v>
      </c>
      <c r="D107" s="83" t="s">
        <v>2626</v>
      </c>
    </row>
    <row r="108" spans="1:4" x14ac:dyDescent="0.25">
      <c r="A108" s="83" t="s">
        <v>2332</v>
      </c>
      <c r="B108" s="83">
        <v>7</v>
      </c>
      <c r="C108" s="114">
        <v>3.0229792690689011E-3</v>
      </c>
      <c r="D108" s="83" t="s">
        <v>2626</v>
      </c>
    </row>
    <row r="109" spans="1:4" x14ac:dyDescent="0.25">
      <c r="A109" s="83" t="s">
        <v>2333</v>
      </c>
      <c r="B109" s="83">
        <v>6</v>
      </c>
      <c r="C109" s="114">
        <v>2.697699971770075E-3</v>
      </c>
      <c r="D109" s="83" t="s">
        <v>2626</v>
      </c>
    </row>
    <row r="110" spans="1:4" x14ac:dyDescent="0.25">
      <c r="A110" s="83" t="s">
        <v>2334</v>
      </c>
      <c r="B110" s="83">
        <v>6</v>
      </c>
      <c r="C110" s="114">
        <v>2.697699971770075E-3</v>
      </c>
      <c r="D110" s="83" t="s">
        <v>2626</v>
      </c>
    </row>
    <row r="111" spans="1:4" x14ac:dyDescent="0.25">
      <c r="A111" s="83" t="s">
        <v>2335</v>
      </c>
      <c r="B111" s="83">
        <v>6</v>
      </c>
      <c r="C111" s="114">
        <v>2.697699971770075E-3</v>
      </c>
      <c r="D111" s="83" t="s">
        <v>2626</v>
      </c>
    </row>
    <row r="112" spans="1:4" x14ac:dyDescent="0.25">
      <c r="A112" s="83" t="s">
        <v>2336</v>
      </c>
      <c r="B112" s="83">
        <v>6</v>
      </c>
      <c r="C112" s="114">
        <v>2.697699971770075E-3</v>
      </c>
      <c r="D112" s="83" t="s">
        <v>2626</v>
      </c>
    </row>
    <row r="113" spans="1:4" x14ac:dyDescent="0.25">
      <c r="A113" s="83" t="s">
        <v>2337</v>
      </c>
      <c r="B113" s="83">
        <v>6</v>
      </c>
      <c r="C113" s="114">
        <v>2.697699971770075E-3</v>
      </c>
      <c r="D113" s="83" t="s">
        <v>2626</v>
      </c>
    </row>
    <row r="114" spans="1:4" x14ac:dyDescent="0.25">
      <c r="A114" s="83" t="s">
        <v>2338</v>
      </c>
      <c r="B114" s="83">
        <v>6</v>
      </c>
      <c r="C114" s="114">
        <v>2.697699971770075E-3</v>
      </c>
      <c r="D114" s="83" t="s">
        <v>2626</v>
      </c>
    </row>
    <row r="115" spans="1:4" x14ac:dyDescent="0.25">
      <c r="A115" s="83" t="s">
        <v>2339</v>
      </c>
      <c r="B115" s="83">
        <v>6</v>
      </c>
      <c r="C115" s="114">
        <v>2.697699971770075E-3</v>
      </c>
      <c r="D115" s="83" t="s">
        <v>2626</v>
      </c>
    </row>
    <row r="116" spans="1:4" x14ac:dyDescent="0.25">
      <c r="A116" s="83" t="s">
        <v>2340</v>
      </c>
      <c r="B116" s="83">
        <v>6</v>
      </c>
      <c r="C116" s="114">
        <v>2.697699971770075E-3</v>
      </c>
      <c r="D116" s="83" t="s">
        <v>2626</v>
      </c>
    </row>
    <row r="117" spans="1:4" x14ac:dyDescent="0.25">
      <c r="A117" s="83" t="s">
        <v>2341</v>
      </c>
      <c r="B117" s="83">
        <v>6</v>
      </c>
      <c r="C117" s="114">
        <v>2.697699971770075E-3</v>
      </c>
      <c r="D117" s="83" t="s">
        <v>2626</v>
      </c>
    </row>
    <row r="118" spans="1:4" x14ac:dyDescent="0.25">
      <c r="A118" s="83" t="s">
        <v>2342</v>
      </c>
      <c r="B118" s="83">
        <v>6</v>
      </c>
      <c r="C118" s="114">
        <v>2.697699971770075E-3</v>
      </c>
      <c r="D118" s="83" t="s">
        <v>2626</v>
      </c>
    </row>
    <row r="119" spans="1:4" x14ac:dyDescent="0.25">
      <c r="A119" s="83" t="s">
        <v>2343</v>
      </c>
      <c r="B119" s="83">
        <v>6</v>
      </c>
      <c r="C119" s="114">
        <v>2.697699971770075E-3</v>
      </c>
      <c r="D119" s="83" t="s">
        <v>2626</v>
      </c>
    </row>
    <row r="120" spans="1:4" x14ac:dyDescent="0.25">
      <c r="A120" s="83" t="s">
        <v>2344</v>
      </c>
      <c r="B120" s="83">
        <v>6</v>
      </c>
      <c r="C120" s="114">
        <v>2.8237513053561056E-3</v>
      </c>
      <c r="D120" s="83" t="s">
        <v>2626</v>
      </c>
    </row>
    <row r="121" spans="1:4" x14ac:dyDescent="0.25">
      <c r="A121" s="83" t="s">
        <v>2345</v>
      </c>
      <c r="B121" s="83">
        <v>6</v>
      </c>
      <c r="C121" s="114">
        <v>2.697699971770075E-3</v>
      </c>
      <c r="D121" s="83" t="s">
        <v>2626</v>
      </c>
    </row>
    <row r="122" spans="1:4" x14ac:dyDescent="0.25">
      <c r="A122" s="83" t="s">
        <v>2346</v>
      </c>
      <c r="B122" s="83">
        <v>6</v>
      </c>
      <c r="C122" s="114">
        <v>2.697699971770075E-3</v>
      </c>
      <c r="D122" s="83" t="s">
        <v>2626</v>
      </c>
    </row>
    <row r="123" spans="1:4" x14ac:dyDescent="0.25">
      <c r="A123" s="83" t="s">
        <v>2347</v>
      </c>
      <c r="B123" s="83">
        <v>6</v>
      </c>
      <c r="C123" s="114">
        <v>2.697699971770075E-3</v>
      </c>
      <c r="D123" s="83" t="s">
        <v>2626</v>
      </c>
    </row>
    <row r="124" spans="1:4" x14ac:dyDescent="0.25">
      <c r="A124" s="83" t="s">
        <v>2348</v>
      </c>
      <c r="B124" s="83">
        <v>6</v>
      </c>
      <c r="C124" s="114">
        <v>2.697699971770075E-3</v>
      </c>
      <c r="D124" s="83" t="s">
        <v>2626</v>
      </c>
    </row>
    <row r="125" spans="1:4" x14ac:dyDescent="0.25">
      <c r="A125" s="83" t="s">
        <v>654</v>
      </c>
      <c r="B125" s="83">
        <v>6</v>
      </c>
      <c r="C125" s="114">
        <v>2.697699971770075E-3</v>
      </c>
      <c r="D125" s="83" t="s">
        <v>2626</v>
      </c>
    </row>
    <row r="126" spans="1:4" x14ac:dyDescent="0.25">
      <c r="A126" s="83" t="s">
        <v>649</v>
      </c>
      <c r="B126" s="83">
        <v>6</v>
      </c>
      <c r="C126" s="114">
        <v>2.697699971770075E-3</v>
      </c>
      <c r="D126" s="83" t="s">
        <v>2626</v>
      </c>
    </row>
    <row r="127" spans="1:4" x14ac:dyDescent="0.25">
      <c r="A127" s="83" t="s">
        <v>2349</v>
      </c>
      <c r="B127" s="83">
        <v>6</v>
      </c>
      <c r="C127" s="114">
        <v>2.697699971770075E-3</v>
      </c>
      <c r="D127" s="83" t="s">
        <v>2626</v>
      </c>
    </row>
    <row r="128" spans="1:4" x14ac:dyDescent="0.25">
      <c r="A128" s="83" t="s">
        <v>2350</v>
      </c>
      <c r="B128" s="83">
        <v>6</v>
      </c>
      <c r="C128" s="114">
        <v>2.697699971770075E-3</v>
      </c>
      <c r="D128" s="83" t="s">
        <v>2626</v>
      </c>
    </row>
    <row r="129" spans="1:4" x14ac:dyDescent="0.25">
      <c r="A129" s="83" t="s">
        <v>2351</v>
      </c>
      <c r="B129" s="83">
        <v>6</v>
      </c>
      <c r="C129" s="114">
        <v>2.697699971770075E-3</v>
      </c>
      <c r="D129" s="83" t="s">
        <v>2626</v>
      </c>
    </row>
    <row r="130" spans="1:4" x14ac:dyDescent="0.25">
      <c r="A130" s="83" t="s">
        <v>2352</v>
      </c>
      <c r="B130" s="83">
        <v>6</v>
      </c>
      <c r="C130" s="114">
        <v>2.697699971770075E-3</v>
      </c>
      <c r="D130" s="83" t="s">
        <v>2626</v>
      </c>
    </row>
    <row r="131" spans="1:4" x14ac:dyDescent="0.25">
      <c r="A131" s="83" t="s">
        <v>2353</v>
      </c>
      <c r="B131" s="83">
        <v>6</v>
      </c>
      <c r="C131" s="114">
        <v>2.697699971770075E-3</v>
      </c>
      <c r="D131" s="83" t="s">
        <v>2626</v>
      </c>
    </row>
    <row r="132" spans="1:4" x14ac:dyDescent="0.25">
      <c r="A132" s="83" t="s">
        <v>2354</v>
      </c>
      <c r="B132" s="83">
        <v>6</v>
      </c>
      <c r="C132" s="114">
        <v>2.697699971770075E-3</v>
      </c>
      <c r="D132" s="83" t="s">
        <v>2626</v>
      </c>
    </row>
    <row r="133" spans="1:4" x14ac:dyDescent="0.25">
      <c r="A133" s="83" t="s">
        <v>2355</v>
      </c>
      <c r="B133" s="83">
        <v>6</v>
      </c>
      <c r="C133" s="114">
        <v>2.697699971770075E-3</v>
      </c>
      <c r="D133" s="83" t="s">
        <v>2626</v>
      </c>
    </row>
    <row r="134" spans="1:4" x14ac:dyDescent="0.25">
      <c r="A134" s="83" t="s">
        <v>2356</v>
      </c>
      <c r="B134" s="83">
        <v>5</v>
      </c>
      <c r="C134" s="114">
        <v>2.3531260877967543E-3</v>
      </c>
      <c r="D134" s="83" t="s">
        <v>2626</v>
      </c>
    </row>
    <row r="135" spans="1:4" x14ac:dyDescent="0.25">
      <c r="A135" s="83" t="s">
        <v>2357</v>
      </c>
      <c r="B135" s="83">
        <v>5</v>
      </c>
      <c r="C135" s="114">
        <v>2.3531260877967543E-3</v>
      </c>
      <c r="D135" s="83" t="s">
        <v>2626</v>
      </c>
    </row>
    <row r="136" spans="1:4" x14ac:dyDescent="0.25">
      <c r="A136" s="83" t="s">
        <v>2358</v>
      </c>
      <c r="B136" s="83">
        <v>5</v>
      </c>
      <c r="C136" s="114">
        <v>2.3531260877967543E-3</v>
      </c>
      <c r="D136" s="83" t="s">
        <v>2626</v>
      </c>
    </row>
    <row r="137" spans="1:4" x14ac:dyDescent="0.25">
      <c r="A137" s="83" t="s">
        <v>2359</v>
      </c>
      <c r="B137" s="83">
        <v>5</v>
      </c>
      <c r="C137" s="114">
        <v>2.3531260877967543E-3</v>
      </c>
      <c r="D137" s="83" t="s">
        <v>2626</v>
      </c>
    </row>
    <row r="138" spans="1:4" x14ac:dyDescent="0.25">
      <c r="A138" s="83" t="s">
        <v>2360</v>
      </c>
      <c r="B138" s="83">
        <v>5</v>
      </c>
      <c r="C138" s="114">
        <v>2.3531260877967543E-3</v>
      </c>
      <c r="D138" s="83" t="s">
        <v>2626</v>
      </c>
    </row>
    <row r="139" spans="1:4" x14ac:dyDescent="0.25">
      <c r="A139" s="83" t="s">
        <v>2361</v>
      </c>
      <c r="B139" s="83">
        <v>5</v>
      </c>
      <c r="C139" s="114">
        <v>2.3531260877967543E-3</v>
      </c>
      <c r="D139" s="83" t="s">
        <v>2626</v>
      </c>
    </row>
    <row r="140" spans="1:4" x14ac:dyDescent="0.25">
      <c r="A140" s="83" t="s">
        <v>2362</v>
      </c>
      <c r="B140" s="83">
        <v>5</v>
      </c>
      <c r="C140" s="114">
        <v>2.3531260877967543E-3</v>
      </c>
      <c r="D140" s="83" t="s">
        <v>2626</v>
      </c>
    </row>
    <row r="141" spans="1:4" x14ac:dyDescent="0.25">
      <c r="A141" s="83" t="s">
        <v>2363</v>
      </c>
      <c r="B141" s="83">
        <v>5</v>
      </c>
      <c r="C141" s="114">
        <v>2.3531260877967543E-3</v>
      </c>
      <c r="D141" s="83" t="s">
        <v>2626</v>
      </c>
    </row>
    <row r="142" spans="1:4" x14ac:dyDescent="0.25">
      <c r="A142" s="83" t="s">
        <v>2364</v>
      </c>
      <c r="B142" s="83">
        <v>5</v>
      </c>
      <c r="C142" s="114">
        <v>2.3531260877967543E-3</v>
      </c>
      <c r="D142" s="83" t="s">
        <v>2626</v>
      </c>
    </row>
    <row r="143" spans="1:4" x14ac:dyDescent="0.25">
      <c r="A143" s="83" t="s">
        <v>318</v>
      </c>
      <c r="B143" s="83">
        <v>5</v>
      </c>
      <c r="C143" s="114">
        <v>2.3531260877967543E-3</v>
      </c>
      <c r="D143" s="83" t="s">
        <v>2626</v>
      </c>
    </row>
    <row r="144" spans="1:4" x14ac:dyDescent="0.25">
      <c r="A144" s="83" t="s">
        <v>2365</v>
      </c>
      <c r="B144" s="83">
        <v>5</v>
      </c>
      <c r="C144" s="114">
        <v>2.3531260877967543E-3</v>
      </c>
      <c r="D144" s="83" t="s">
        <v>2626</v>
      </c>
    </row>
    <row r="145" spans="1:4" x14ac:dyDescent="0.25">
      <c r="A145" s="83" t="s">
        <v>2366</v>
      </c>
      <c r="B145" s="83">
        <v>5</v>
      </c>
      <c r="C145" s="114">
        <v>2.3531260877967543E-3</v>
      </c>
      <c r="D145" s="83" t="s">
        <v>2626</v>
      </c>
    </row>
    <row r="146" spans="1:4" x14ac:dyDescent="0.25">
      <c r="A146" s="83" t="s">
        <v>2367</v>
      </c>
      <c r="B146" s="83">
        <v>5</v>
      </c>
      <c r="C146" s="114">
        <v>2.3531260877967543E-3</v>
      </c>
      <c r="D146" s="83" t="s">
        <v>2626</v>
      </c>
    </row>
    <row r="147" spans="1:4" x14ac:dyDescent="0.25">
      <c r="A147" s="83" t="s">
        <v>2368</v>
      </c>
      <c r="B147" s="83">
        <v>5</v>
      </c>
      <c r="C147" s="114">
        <v>2.3531260877967543E-3</v>
      </c>
      <c r="D147" s="83" t="s">
        <v>2626</v>
      </c>
    </row>
    <row r="148" spans="1:4" x14ac:dyDescent="0.25">
      <c r="A148" s="83" t="s">
        <v>653</v>
      </c>
      <c r="B148" s="83">
        <v>5</v>
      </c>
      <c r="C148" s="114">
        <v>2.3531260877967543E-3</v>
      </c>
      <c r="D148" s="83" t="s">
        <v>2626</v>
      </c>
    </row>
    <row r="149" spans="1:4" x14ac:dyDescent="0.25">
      <c r="A149" s="83" t="s">
        <v>2369</v>
      </c>
      <c r="B149" s="83">
        <v>5</v>
      </c>
      <c r="C149" s="114">
        <v>2.3531260877967543E-3</v>
      </c>
      <c r="D149" s="83" t="s">
        <v>2626</v>
      </c>
    </row>
    <row r="150" spans="1:4" x14ac:dyDescent="0.25">
      <c r="A150" s="83" t="s">
        <v>2370</v>
      </c>
      <c r="B150" s="83">
        <v>5</v>
      </c>
      <c r="C150" s="114">
        <v>2.3531260877967543E-3</v>
      </c>
      <c r="D150" s="83" t="s">
        <v>2626</v>
      </c>
    </row>
    <row r="151" spans="1:4" x14ac:dyDescent="0.25">
      <c r="A151" s="83" t="s">
        <v>2371</v>
      </c>
      <c r="B151" s="83">
        <v>5</v>
      </c>
      <c r="C151" s="114">
        <v>2.6474332642578268E-3</v>
      </c>
      <c r="D151" s="83" t="s">
        <v>2626</v>
      </c>
    </row>
    <row r="152" spans="1:4" x14ac:dyDescent="0.25">
      <c r="A152" s="83" t="s">
        <v>2372</v>
      </c>
      <c r="B152" s="83">
        <v>5</v>
      </c>
      <c r="C152" s="114">
        <v>2.6474332642578268E-3</v>
      </c>
      <c r="D152" s="83" t="s">
        <v>2626</v>
      </c>
    </row>
    <row r="153" spans="1:4" x14ac:dyDescent="0.25">
      <c r="A153" s="83" t="s">
        <v>2373</v>
      </c>
      <c r="B153" s="83">
        <v>5</v>
      </c>
      <c r="C153" s="114">
        <v>2.4816880578260149E-3</v>
      </c>
      <c r="D153" s="83" t="s">
        <v>2626</v>
      </c>
    </row>
    <row r="154" spans="1:4" x14ac:dyDescent="0.25">
      <c r="A154" s="83" t="s">
        <v>2374</v>
      </c>
      <c r="B154" s="83">
        <v>5</v>
      </c>
      <c r="C154" s="114">
        <v>2.4816880578260149E-3</v>
      </c>
      <c r="D154" s="83" t="s">
        <v>2626</v>
      </c>
    </row>
    <row r="155" spans="1:4" x14ac:dyDescent="0.25">
      <c r="A155" s="83" t="s">
        <v>2375</v>
      </c>
      <c r="B155" s="83">
        <v>4</v>
      </c>
      <c r="C155" s="114">
        <v>2.3048304098203564E-3</v>
      </c>
      <c r="D155" s="83" t="s">
        <v>2626</v>
      </c>
    </row>
    <row r="156" spans="1:4" x14ac:dyDescent="0.25">
      <c r="A156" s="83" t="s">
        <v>2376</v>
      </c>
      <c r="B156" s="83">
        <v>4</v>
      </c>
      <c r="C156" s="114">
        <v>1.9853504462608116E-3</v>
      </c>
      <c r="D156" s="83" t="s">
        <v>2626</v>
      </c>
    </row>
    <row r="157" spans="1:4" x14ac:dyDescent="0.25">
      <c r="A157" s="83" t="s">
        <v>2377</v>
      </c>
      <c r="B157" s="83">
        <v>4</v>
      </c>
      <c r="C157" s="114">
        <v>1.9853504462608116E-3</v>
      </c>
      <c r="D157" s="83" t="s">
        <v>2626</v>
      </c>
    </row>
    <row r="158" spans="1:4" x14ac:dyDescent="0.25">
      <c r="A158" s="83" t="s">
        <v>2378</v>
      </c>
      <c r="B158" s="83">
        <v>4</v>
      </c>
      <c r="C158" s="114">
        <v>1.9853504462608116E-3</v>
      </c>
      <c r="D158" s="83" t="s">
        <v>2626</v>
      </c>
    </row>
    <row r="159" spans="1:4" x14ac:dyDescent="0.25">
      <c r="A159" s="83" t="s">
        <v>2379</v>
      </c>
      <c r="B159" s="83">
        <v>4</v>
      </c>
      <c r="C159" s="114">
        <v>1.9853504462608116E-3</v>
      </c>
      <c r="D159" s="83" t="s">
        <v>2626</v>
      </c>
    </row>
    <row r="160" spans="1:4" x14ac:dyDescent="0.25">
      <c r="A160" s="83" t="s">
        <v>2380</v>
      </c>
      <c r="B160" s="83">
        <v>4</v>
      </c>
      <c r="C160" s="114">
        <v>1.9853504462608116E-3</v>
      </c>
      <c r="D160" s="83" t="s">
        <v>2626</v>
      </c>
    </row>
    <row r="161" spans="1:4" x14ac:dyDescent="0.25">
      <c r="A161" s="83" t="s">
        <v>2381</v>
      </c>
      <c r="B161" s="83">
        <v>4</v>
      </c>
      <c r="C161" s="114">
        <v>1.9853504462608116E-3</v>
      </c>
      <c r="D161" s="83" t="s">
        <v>2626</v>
      </c>
    </row>
    <row r="162" spans="1:4" x14ac:dyDescent="0.25">
      <c r="A162" s="83" t="s">
        <v>2382</v>
      </c>
      <c r="B162" s="83">
        <v>4</v>
      </c>
      <c r="C162" s="114">
        <v>1.9853504462608116E-3</v>
      </c>
      <c r="D162" s="83" t="s">
        <v>2626</v>
      </c>
    </row>
    <row r="163" spans="1:4" x14ac:dyDescent="0.25">
      <c r="A163" s="83" t="s">
        <v>2383</v>
      </c>
      <c r="B163" s="83">
        <v>4</v>
      </c>
      <c r="C163" s="114">
        <v>1.9853504462608116E-3</v>
      </c>
      <c r="D163" s="83" t="s">
        <v>2626</v>
      </c>
    </row>
    <row r="164" spans="1:4" x14ac:dyDescent="0.25">
      <c r="A164" s="83" t="s">
        <v>2384</v>
      </c>
      <c r="B164" s="83">
        <v>4</v>
      </c>
      <c r="C164" s="114">
        <v>1.9853504462608116E-3</v>
      </c>
      <c r="D164" s="83" t="s">
        <v>2626</v>
      </c>
    </row>
    <row r="165" spans="1:4" x14ac:dyDescent="0.25">
      <c r="A165" s="83" t="s">
        <v>2385</v>
      </c>
      <c r="B165" s="83">
        <v>4</v>
      </c>
      <c r="C165" s="114">
        <v>1.9853504462608116E-3</v>
      </c>
      <c r="D165" s="83" t="s">
        <v>2626</v>
      </c>
    </row>
    <row r="166" spans="1:4" x14ac:dyDescent="0.25">
      <c r="A166" s="83" t="s">
        <v>2386</v>
      </c>
      <c r="B166" s="83">
        <v>4</v>
      </c>
      <c r="C166" s="114">
        <v>1.9853504462608116E-3</v>
      </c>
      <c r="D166" s="83" t="s">
        <v>2626</v>
      </c>
    </row>
    <row r="167" spans="1:4" x14ac:dyDescent="0.25">
      <c r="A167" s="83" t="s">
        <v>2387</v>
      </c>
      <c r="B167" s="83">
        <v>4</v>
      </c>
      <c r="C167" s="114">
        <v>1.9853504462608116E-3</v>
      </c>
      <c r="D167" s="83" t="s">
        <v>2626</v>
      </c>
    </row>
    <row r="168" spans="1:4" x14ac:dyDescent="0.25">
      <c r="A168" s="83" t="s">
        <v>2388</v>
      </c>
      <c r="B168" s="83">
        <v>4</v>
      </c>
      <c r="C168" s="114">
        <v>1.9853504462608116E-3</v>
      </c>
      <c r="D168" s="83" t="s">
        <v>2626</v>
      </c>
    </row>
    <row r="169" spans="1:4" x14ac:dyDescent="0.25">
      <c r="A169" s="83" t="s">
        <v>2389</v>
      </c>
      <c r="B169" s="83">
        <v>4</v>
      </c>
      <c r="C169" s="114">
        <v>1.9853504462608116E-3</v>
      </c>
      <c r="D169" s="83" t="s">
        <v>2626</v>
      </c>
    </row>
    <row r="170" spans="1:4" x14ac:dyDescent="0.25">
      <c r="A170" s="83" t="s">
        <v>2390</v>
      </c>
      <c r="B170" s="83">
        <v>4</v>
      </c>
      <c r="C170" s="114">
        <v>1.9853504462608116E-3</v>
      </c>
      <c r="D170" s="83" t="s">
        <v>2626</v>
      </c>
    </row>
    <row r="171" spans="1:4" x14ac:dyDescent="0.25">
      <c r="A171" s="83" t="s">
        <v>2391</v>
      </c>
      <c r="B171" s="83">
        <v>4</v>
      </c>
      <c r="C171" s="114">
        <v>1.9853504462608116E-3</v>
      </c>
      <c r="D171" s="83" t="s">
        <v>2626</v>
      </c>
    </row>
    <row r="172" spans="1:4" x14ac:dyDescent="0.25">
      <c r="A172" s="83" t="s">
        <v>2392</v>
      </c>
      <c r="B172" s="83">
        <v>4</v>
      </c>
      <c r="C172" s="114">
        <v>1.9853504462608116E-3</v>
      </c>
      <c r="D172" s="83" t="s">
        <v>2626</v>
      </c>
    </row>
    <row r="173" spans="1:4" x14ac:dyDescent="0.25">
      <c r="A173" s="83" t="s">
        <v>2393</v>
      </c>
      <c r="B173" s="83">
        <v>4</v>
      </c>
      <c r="C173" s="114">
        <v>1.9853504462608116E-3</v>
      </c>
      <c r="D173" s="83" t="s">
        <v>2626</v>
      </c>
    </row>
    <row r="174" spans="1:4" x14ac:dyDescent="0.25">
      <c r="A174" s="83" t="s">
        <v>2394</v>
      </c>
      <c r="B174" s="83">
        <v>4</v>
      </c>
      <c r="C174" s="114">
        <v>1.9853504462608116E-3</v>
      </c>
      <c r="D174" s="83" t="s">
        <v>2626</v>
      </c>
    </row>
    <row r="175" spans="1:4" x14ac:dyDescent="0.25">
      <c r="A175" s="83" t="s">
        <v>2395</v>
      </c>
      <c r="B175" s="83">
        <v>4</v>
      </c>
      <c r="C175" s="114">
        <v>1.9853504462608116E-3</v>
      </c>
      <c r="D175" s="83" t="s">
        <v>2626</v>
      </c>
    </row>
    <row r="176" spans="1:4" x14ac:dyDescent="0.25">
      <c r="A176" s="83" t="s">
        <v>2396</v>
      </c>
      <c r="B176" s="83">
        <v>4</v>
      </c>
      <c r="C176" s="114">
        <v>1.9853504462608116E-3</v>
      </c>
      <c r="D176" s="83" t="s">
        <v>2626</v>
      </c>
    </row>
    <row r="177" spans="1:4" x14ac:dyDescent="0.25">
      <c r="A177" s="83" t="s">
        <v>2397</v>
      </c>
      <c r="B177" s="83">
        <v>4</v>
      </c>
      <c r="C177" s="114">
        <v>1.9853504462608116E-3</v>
      </c>
      <c r="D177" s="83" t="s">
        <v>2626</v>
      </c>
    </row>
    <row r="178" spans="1:4" x14ac:dyDescent="0.25">
      <c r="A178" s="83" t="s">
        <v>2398</v>
      </c>
      <c r="B178" s="83">
        <v>4</v>
      </c>
      <c r="C178" s="114">
        <v>1.9853504462608116E-3</v>
      </c>
      <c r="D178" s="83" t="s">
        <v>2626</v>
      </c>
    </row>
    <row r="179" spans="1:4" x14ac:dyDescent="0.25">
      <c r="A179" s="83" t="s">
        <v>2399</v>
      </c>
      <c r="B179" s="83">
        <v>4</v>
      </c>
      <c r="C179" s="114">
        <v>1.9853504462608116E-3</v>
      </c>
      <c r="D179" s="83" t="s">
        <v>2626</v>
      </c>
    </row>
    <row r="180" spans="1:4" x14ac:dyDescent="0.25">
      <c r="A180" s="83" t="s">
        <v>2400</v>
      </c>
      <c r="B180" s="83">
        <v>4</v>
      </c>
      <c r="C180" s="114">
        <v>1.9853504462608116E-3</v>
      </c>
      <c r="D180" s="83" t="s">
        <v>2626</v>
      </c>
    </row>
    <row r="181" spans="1:4" x14ac:dyDescent="0.25">
      <c r="A181" s="83" t="s">
        <v>2401</v>
      </c>
      <c r="B181" s="83">
        <v>4</v>
      </c>
      <c r="C181" s="114">
        <v>1.9853504462608116E-3</v>
      </c>
      <c r="D181" s="83" t="s">
        <v>2626</v>
      </c>
    </row>
    <row r="182" spans="1:4" x14ac:dyDescent="0.25">
      <c r="A182" s="83" t="s">
        <v>2402</v>
      </c>
      <c r="B182" s="83">
        <v>4</v>
      </c>
      <c r="C182" s="114">
        <v>1.9853504462608116E-3</v>
      </c>
      <c r="D182" s="83" t="s">
        <v>2626</v>
      </c>
    </row>
    <row r="183" spans="1:4" x14ac:dyDescent="0.25">
      <c r="A183" s="83" t="s">
        <v>2403</v>
      </c>
      <c r="B183" s="83">
        <v>4</v>
      </c>
      <c r="C183" s="114">
        <v>1.9853504462608116E-3</v>
      </c>
      <c r="D183" s="83" t="s">
        <v>2626</v>
      </c>
    </row>
    <row r="184" spans="1:4" x14ac:dyDescent="0.25">
      <c r="A184" s="83" t="s">
        <v>2404</v>
      </c>
      <c r="B184" s="83">
        <v>4</v>
      </c>
      <c r="C184" s="114">
        <v>1.9853504462608116E-3</v>
      </c>
      <c r="D184" s="83" t="s">
        <v>2626</v>
      </c>
    </row>
    <row r="185" spans="1:4" x14ac:dyDescent="0.25">
      <c r="A185" s="83" t="s">
        <v>2405</v>
      </c>
      <c r="B185" s="83">
        <v>4</v>
      </c>
      <c r="C185" s="114">
        <v>1.9853504462608116E-3</v>
      </c>
      <c r="D185" s="83" t="s">
        <v>2626</v>
      </c>
    </row>
    <row r="186" spans="1:4" x14ac:dyDescent="0.25">
      <c r="A186" s="83" t="s">
        <v>2406</v>
      </c>
      <c r="B186" s="83">
        <v>4</v>
      </c>
      <c r="C186" s="114">
        <v>1.9853504462608116E-3</v>
      </c>
      <c r="D186" s="83" t="s">
        <v>2626</v>
      </c>
    </row>
    <row r="187" spans="1:4" x14ac:dyDescent="0.25">
      <c r="A187" s="83" t="s">
        <v>2407</v>
      </c>
      <c r="B187" s="83">
        <v>4</v>
      </c>
      <c r="C187" s="114">
        <v>1.9853504462608116E-3</v>
      </c>
      <c r="D187" s="83" t="s">
        <v>2626</v>
      </c>
    </row>
    <row r="188" spans="1:4" x14ac:dyDescent="0.25">
      <c r="A188" s="83" t="s">
        <v>2408</v>
      </c>
      <c r="B188" s="83">
        <v>4</v>
      </c>
      <c r="C188" s="114">
        <v>1.9853504462608116E-3</v>
      </c>
      <c r="D188" s="83" t="s">
        <v>2626</v>
      </c>
    </row>
    <row r="189" spans="1:4" x14ac:dyDescent="0.25">
      <c r="A189" s="83" t="s">
        <v>2409</v>
      </c>
      <c r="B189" s="83">
        <v>4</v>
      </c>
      <c r="C189" s="114">
        <v>1.9853504462608116E-3</v>
      </c>
      <c r="D189" s="83" t="s">
        <v>2626</v>
      </c>
    </row>
    <row r="190" spans="1:4" x14ac:dyDescent="0.25">
      <c r="A190" s="83" t="s">
        <v>2410</v>
      </c>
      <c r="B190" s="83">
        <v>4</v>
      </c>
      <c r="C190" s="114">
        <v>1.9853504462608116E-3</v>
      </c>
      <c r="D190" s="83" t="s">
        <v>2626</v>
      </c>
    </row>
    <row r="191" spans="1:4" x14ac:dyDescent="0.25">
      <c r="A191" s="83" t="s">
        <v>194</v>
      </c>
      <c r="B191" s="83">
        <v>4</v>
      </c>
      <c r="C191" s="114">
        <v>1.9853504462608116E-3</v>
      </c>
      <c r="D191" s="83" t="s">
        <v>2626</v>
      </c>
    </row>
    <row r="192" spans="1:4" x14ac:dyDescent="0.25">
      <c r="A192" s="83" t="s">
        <v>2411</v>
      </c>
      <c r="B192" s="83">
        <v>3</v>
      </c>
      <c r="C192" s="114">
        <v>1.5884599585546961E-3</v>
      </c>
      <c r="D192" s="83" t="s">
        <v>2626</v>
      </c>
    </row>
    <row r="193" spans="1:4" x14ac:dyDescent="0.25">
      <c r="A193" s="83" t="s">
        <v>2412</v>
      </c>
      <c r="B193" s="83">
        <v>3</v>
      </c>
      <c r="C193" s="114">
        <v>1.5884599585546961E-3</v>
      </c>
      <c r="D193" s="83" t="s">
        <v>2626</v>
      </c>
    </row>
    <row r="194" spans="1:4" x14ac:dyDescent="0.25">
      <c r="A194" s="83" t="s">
        <v>2413</v>
      </c>
      <c r="B194" s="83">
        <v>3</v>
      </c>
      <c r="C194" s="114">
        <v>1.5884599585546961E-3</v>
      </c>
      <c r="D194" s="83" t="s">
        <v>2626</v>
      </c>
    </row>
    <row r="195" spans="1:4" x14ac:dyDescent="0.25">
      <c r="A195" s="83" t="s">
        <v>2414</v>
      </c>
      <c r="B195" s="83">
        <v>3</v>
      </c>
      <c r="C195" s="114">
        <v>1.5884599585546961E-3</v>
      </c>
      <c r="D195" s="83" t="s">
        <v>2626</v>
      </c>
    </row>
    <row r="196" spans="1:4" x14ac:dyDescent="0.25">
      <c r="A196" s="83" t="s">
        <v>2415</v>
      </c>
      <c r="B196" s="83">
        <v>3</v>
      </c>
      <c r="C196" s="114">
        <v>1.5884599585546961E-3</v>
      </c>
      <c r="D196" s="83" t="s">
        <v>2626</v>
      </c>
    </row>
    <row r="197" spans="1:4" x14ac:dyDescent="0.25">
      <c r="A197" s="83" t="s">
        <v>2416</v>
      </c>
      <c r="B197" s="83">
        <v>3</v>
      </c>
      <c r="C197" s="114">
        <v>1.5884599585546961E-3</v>
      </c>
      <c r="D197" s="83" t="s">
        <v>2626</v>
      </c>
    </row>
    <row r="198" spans="1:4" x14ac:dyDescent="0.25">
      <c r="A198" s="83" t="s">
        <v>2417</v>
      </c>
      <c r="B198" s="83">
        <v>3</v>
      </c>
      <c r="C198" s="114">
        <v>1.5884599585546961E-3</v>
      </c>
      <c r="D198" s="83" t="s">
        <v>2626</v>
      </c>
    </row>
    <row r="199" spans="1:4" x14ac:dyDescent="0.25">
      <c r="A199" s="83" t="s">
        <v>2418</v>
      </c>
      <c r="B199" s="83">
        <v>3</v>
      </c>
      <c r="C199" s="114">
        <v>1.5884599585546961E-3</v>
      </c>
      <c r="D199" s="83" t="s">
        <v>2626</v>
      </c>
    </row>
    <row r="200" spans="1:4" x14ac:dyDescent="0.25">
      <c r="A200" s="83" t="s">
        <v>2419</v>
      </c>
      <c r="B200" s="83">
        <v>3</v>
      </c>
      <c r="C200" s="114">
        <v>1.5884599585546961E-3</v>
      </c>
      <c r="D200" s="83" t="s">
        <v>2626</v>
      </c>
    </row>
    <row r="201" spans="1:4" x14ac:dyDescent="0.25">
      <c r="A201" s="83" t="s">
        <v>2420</v>
      </c>
      <c r="B201" s="83">
        <v>3</v>
      </c>
      <c r="C201" s="114">
        <v>1.5884599585546961E-3</v>
      </c>
      <c r="D201" s="83" t="s">
        <v>2626</v>
      </c>
    </row>
    <row r="202" spans="1:4" x14ac:dyDescent="0.25">
      <c r="A202" s="83" t="s">
        <v>2421</v>
      </c>
      <c r="B202" s="83">
        <v>3</v>
      </c>
      <c r="C202" s="114">
        <v>1.5884599585546961E-3</v>
      </c>
      <c r="D202" s="83" t="s">
        <v>2626</v>
      </c>
    </row>
    <row r="203" spans="1:4" x14ac:dyDescent="0.25">
      <c r="A203" s="83" t="s">
        <v>2422</v>
      </c>
      <c r="B203" s="83">
        <v>3</v>
      </c>
      <c r="C203" s="114">
        <v>1.5884599585546961E-3</v>
      </c>
      <c r="D203" s="83" t="s">
        <v>2626</v>
      </c>
    </row>
    <row r="204" spans="1:4" x14ac:dyDescent="0.25">
      <c r="A204" s="83" t="s">
        <v>2423</v>
      </c>
      <c r="B204" s="83">
        <v>3</v>
      </c>
      <c r="C204" s="114">
        <v>1.5884599585546961E-3</v>
      </c>
      <c r="D204" s="83" t="s">
        <v>2626</v>
      </c>
    </row>
    <row r="205" spans="1:4" x14ac:dyDescent="0.25">
      <c r="A205" s="83" t="s">
        <v>2424</v>
      </c>
      <c r="B205" s="83">
        <v>3</v>
      </c>
      <c r="C205" s="114">
        <v>1.5884599585546961E-3</v>
      </c>
      <c r="D205" s="83" t="s">
        <v>2626</v>
      </c>
    </row>
    <row r="206" spans="1:4" x14ac:dyDescent="0.25">
      <c r="A206" s="83" t="s">
        <v>2425</v>
      </c>
      <c r="B206" s="83">
        <v>3</v>
      </c>
      <c r="C206" s="114">
        <v>1.5884599585546961E-3</v>
      </c>
      <c r="D206" s="83" t="s">
        <v>2626</v>
      </c>
    </row>
    <row r="207" spans="1:4" x14ac:dyDescent="0.25">
      <c r="A207" s="83" t="s">
        <v>2426</v>
      </c>
      <c r="B207" s="83">
        <v>3</v>
      </c>
      <c r="C207" s="114">
        <v>1.5884599585546961E-3</v>
      </c>
      <c r="D207" s="83" t="s">
        <v>2626</v>
      </c>
    </row>
    <row r="208" spans="1:4" x14ac:dyDescent="0.25">
      <c r="A208" s="83" t="s">
        <v>2427</v>
      </c>
      <c r="B208" s="83">
        <v>3</v>
      </c>
      <c r="C208" s="114">
        <v>1.5884599585546961E-3</v>
      </c>
      <c r="D208" s="83" t="s">
        <v>2626</v>
      </c>
    </row>
    <row r="209" spans="1:4" x14ac:dyDescent="0.25">
      <c r="A209" s="83" t="s">
        <v>635</v>
      </c>
      <c r="B209" s="83">
        <v>3</v>
      </c>
      <c r="C209" s="114">
        <v>1.5884599585546961E-3</v>
      </c>
      <c r="D209" s="83" t="s">
        <v>2626</v>
      </c>
    </row>
    <row r="210" spans="1:4" x14ac:dyDescent="0.25">
      <c r="A210" s="83" t="s">
        <v>2428</v>
      </c>
      <c r="B210" s="83">
        <v>3</v>
      </c>
      <c r="C210" s="114">
        <v>1.5884599585546961E-3</v>
      </c>
      <c r="D210" s="83" t="s">
        <v>2626</v>
      </c>
    </row>
    <row r="211" spans="1:4" x14ac:dyDescent="0.25">
      <c r="A211" s="83" t="s">
        <v>2429</v>
      </c>
      <c r="B211" s="83">
        <v>3</v>
      </c>
      <c r="C211" s="114">
        <v>1.5884599585546961E-3</v>
      </c>
      <c r="D211" s="83" t="s">
        <v>2626</v>
      </c>
    </row>
    <row r="212" spans="1:4" x14ac:dyDescent="0.25">
      <c r="A212" s="83" t="s">
        <v>2430</v>
      </c>
      <c r="B212" s="83">
        <v>3</v>
      </c>
      <c r="C212" s="114">
        <v>1.5884599585546961E-3</v>
      </c>
      <c r="D212" s="83" t="s">
        <v>2626</v>
      </c>
    </row>
    <row r="213" spans="1:4" x14ac:dyDescent="0.25">
      <c r="A213" s="83" t="s">
        <v>2431</v>
      </c>
      <c r="B213" s="83">
        <v>3</v>
      </c>
      <c r="C213" s="114">
        <v>1.5884599585546961E-3</v>
      </c>
      <c r="D213" s="83" t="s">
        <v>2626</v>
      </c>
    </row>
    <row r="214" spans="1:4" x14ac:dyDescent="0.25">
      <c r="A214" s="83" t="s">
        <v>2432</v>
      </c>
      <c r="B214" s="83">
        <v>3</v>
      </c>
      <c r="C214" s="114">
        <v>1.5884599585546961E-3</v>
      </c>
      <c r="D214" s="83" t="s">
        <v>2626</v>
      </c>
    </row>
    <row r="215" spans="1:4" x14ac:dyDescent="0.25">
      <c r="A215" s="83" t="s">
        <v>2433</v>
      </c>
      <c r="B215" s="83">
        <v>3</v>
      </c>
      <c r="C215" s="114">
        <v>1.5884599585546961E-3</v>
      </c>
      <c r="D215" s="83" t="s">
        <v>2626</v>
      </c>
    </row>
    <row r="216" spans="1:4" x14ac:dyDescent="0.25">
      <c r="A216" s="83" t="s">
        <v>2434</v>
      </c>
      <c r="B216" s="83">
        <v>3</v>
      </c>
      <c r="C216" s="114">
        <v>1.5884599585546961E-3</v>
      </c>
      <c r="D216" s="83" t="s">
        <v>2626</v>
      </c>
    </row>
    <row r="217" spans="1:4" x14ac:dyDescent="0.25">
      <c r="A217" s="83" t="s">
        <v>2435</v>
      </c>
      <c r="B217" s="83">
        <v>3</v>
      </c>
      <c r="C217" s="114">
        <v>1.5884599585546961E-3</v>
      </c>
      <c r="D217" s="83" t="s">
        <v>2626</v>
      </c>
    </row>
    <row r="218" spans="1:4" x14ac:dyDescent="0.25">
      <c r="A218" s="83" t="s">
        <v>2436</v>
      </c>
      <c r="B218" s="83">
        <v>3</v>
      </c>
      <c r="C218" s="114">
        <v>1.5884599585546961E-3</v>
      </c>
      <c r="D218" s="83" t="s">
        <v>2626</v>
      </c>
    </row>
    <row r="219" spans="1:4" x14ac:dyDescent="0.25">
      <c r="A219" s="83" t="s">
        <v>2437</v>
      </c>
      <c r="B219" s="83">
        <v>3</v>
      </c>
      <c r="C219" s="114">
        <v>1.5884599585546961E-3</v>
      </c>
      <c r="D219" s="83" t="s">
        <v>2626</v>
      </c>
    </row>
    <row r="220" spans="1:4" x14ac:dyDescent="0.25">
      <c r="A220" s="83" t="s">
        <v>2438</v>
      </c>
      <c r="B220" s="83">
        <v>3</v>
      </c>
      <c r="C220" s="114">
        <v>1.5884599585546961E-3</v>
      </c>
      <c r="D220" s="83" t="s">
        <v>2626</v>
      </c>
    </row>
    <row r="221" spans="1:4" x14ac:dyDescent="0.25">
      <c r="A221" s="83" t="s">
        <v>2439</v>
      </c>
      <c r="B221" s="83">
        <v>3</v>
      </c>
      <c r="C221" s="114">
        <v>1.5884599585546961E-3</v>
      </c>
      <c r="D221" s="83" t="s">
        <v>2626</v>
      </c>
    </row>
    <row r="222" spans="1:4" x14ac:dyDescent="0.25">
      <c r="A222" s="83" t="s">
        <v>2440</v>
      </c>
      <c r="B222" s="83">
        <v>3</v>
      </c>
      <c r="C222" s="114">
        <v>1.5884599585546961E-3</v>
      </c>
      <c r="D222" s="83" t="s">
        <v>2626</v>
      </c>
    </row>
    <row r="223" spans="1:4" x14ac:dyDescent="0.25">
      <c r="A223" s="83" t="s">
        <v>2441</v>
      </c>
      <c r="B223" s="83">
        <v>3</v>
      </c>
      <c r="C223" s="114">
        <v>1.5884599585546961E-3</v>
      </c>
      <c r="D223" s="83" t="s">
        <v>2626</v>
      </c>
    </row>
    <row r="224" spans="1:4" x14ac:dyDescent="0.25">
      <c r="A224" s="83" t="s">
        <v>2442</v>
      </c>
      <c r="B224" s="83">
        <v>3</v>
      </c>
      <c r="C224" s="114">
        <v>1.5884599585546961E-3</v>
      </c>
      <c r="D224" s="83" t="s">
        <v>2626</v>
      </c>
    </row>
    <row r="225" spans="1:4" x14ac:dyDescent="0.25">
      <c r="A225" s="83" t="s">
        <v>2443</v>
      </c>
      <c r="B225" s="83">
        <v>3</v>
      </c>
      <c r="C225" s="114">
        <v>1.5884599585546961E-3</v>
      </c>
      <c r="D225" s="83" t="s">
        <v>2626</v>
      </c>
    </row>
    <row r="226" spans="1:4" x14ac:dyDescent="0.25">
      <c r="A226" s="83" t="s">
        <v>2444</v>
      </c>
      <c r="B226" s="83">
        <v>3</v>
      </c>
      <c r="C226" s="114">
        <v>1.5884599585546961E-3</v>
      </c>
      <c r="D226" s="83" t="s">
        <v>2626</v>
      </c>
    </row>
    <row r="227" spans="1:4" x14ac:dyDescent="0.25">
      <c r="A227" s="83" t="s">
        <v>2445</v>
      </c>
      <c r="B227" s="83">
        <v>3</v>
      </c>
      <c r="C227" s="114">
        <v>1.5884599585546961E-3</v>
      </c>
      <c r="D227" s="83" t="s">
        <v>2626</v>
      </c>
    </row>
    <row r="228" spans="1:4" x14ac:dyDescent="0.25">
      <c r="A228" s="83" t="s">
        <v>2446</v>
      </c>
      <c r="B228" s="83">
        <v>3</v>
      </c>
      <c r="C228" s="114">
        <v>1.5884599585546961E-3</v>
      </c>
      <c r="D228" s="83" t="s">
        <v>2626</v>
      </c>
    </row>
    <row r="229" spans="1:4" x14ac:dyDescent="0.25">
      <c r="A229" s="83" t="s">
        <v>2447</v>
      </c>
      <c r="B229" s="83">
        <v>3</v>
      </c>
      <c r="C229" s="114">
        <v>1.5884599585546961E-3</v>
      </c>
      <c r="D229" s="83" t="s">
        <v>2626</v>
      </c>
    </row>
    <row r="230" spans="1:4" x14ac:dyDescent="0.25">
      <c r="A230" s="83" t="s">
        <v>2448</v>
      </c>
      <c r="B230" s="83">
        <v>3</v>
      </c>
      <c r="C230" s="114">
        <v>1.5884599585546961E-3</v>
      </c>
      <c r="D230" s="83" t="s">
        <v>2626</v>
      </c>
    </row>
    <row r="231" spans="1:4" x14ac:dyDescent="0.25">
      <c r="A231" s="83" t="s">
        <v>2449</v>
      </c>
      <c r="B231" s="83">
        <v>3</v>
      </c>
      <c r="C231" s="114">
        <v>1.5884599585546961E-3</v>
      </c>
      <c r="D231" s="83" t="s">
        <v>2626</v>
      </c>
    </row>
    <row r="232" spans="1:4" x14ac:dyDescent="0.25">
      <c r="A232" s="83" t="s">
        <v>2450</v>
      </c>
      <c r="B232" s="83">
        <v>3</v>
      </c>
      <c r="C232" s="114">
        <v>1.5884599585546961E-3</v>
      </c>
      <c r="D232" s="83" t="s">
        <v>2626</v>
      </c>
    </row>
    <row r="233" spans="1:4" x14ac:dyDescent="0.25">
      <c r="A233" s="83" t="s">
        <v>2451</v>
      </c>
      <c r="B233" s="83">
        <v>3</v>
      </c>
      <c r="C233" s="114">
        <v>1.5884599585546961E-3</v>
      </c>
      <c r="D233" s="83" t="s">
        <v>2626</v>
      </c>
    </row>
    <row r="234" spans="1:4" x14ac:dyDescent="0.25">
      <c r="A234" s="83" t="s">
        <v>2452</v>
      </c>
      <c r="B234" s="83">
        <v>3</v>
      </c>
      <c r="C234" s="114">
        <v>1.7286228073652675E-3</v>
      </c>
      <c r="D234" s="83" t="s">
        <v>2626</v>
      </c>
    </row>
    <row r="235" spans="1:4" x14ac:dyDescent="0.25">
      <c r="A235" s="83" t="s">
        <v>2453</v>
      </c>
      <c r="B235" s="83">
        <v>3</v>
      </c>
      <c r="C235" s="114">
        <v>1.5884599585546961E-3</v>
      </c>
      <c r="D235" s="83" t="s">
        <v>2626</v>
      </c>
    </row>
    <row r="236" spans="1:4" x14ac:dyDescent="0.25">
      <c r="A236" s="83" t="s">
        <v>2454</v>
      </c>
      <c r="B236" s="83">
        <v>3</v>
      </c>
      <c r="C236" s="114">
        <v>1.5884599585546961E-3</v>
      </c>
      <c r="D236" s="83" t="s">
        <v>2626</v>
      </c>
    </row>
    <row r="237" spans="1:4" x14ac:dyDescent="0.25">
      <c r="A237" s="83" t="s">
        <v>2455</v>
      </c>
      <c r="B237" s="83">
        <v>3</v>
      </c>
      <c r="C237" s="114">
        <v>1.5884599585546961E-3</v>
      </c>
      <c r="D237" s="83" t="s">
        <v>2626</v>
      </c>
    </row>
    <row r="238" spans="1:4" x14ac:dyDescent="0.25">
      <c r="A238" s="83" t="s">
        <v>2456</v>
      </c>
      <c r="B238" s="83">
        <v>3</v>
      </c>
      <c r="C238" s="114">
        <v>1.5884599585546961E-3</v>
      </c>
      <c r="D238" s="83" t="s">
        <v>2626</v>
      </c>
    </row>
    <row r="239" spans="1:4" x14ac:dyDescent="0.25">
      <c r="A239" s="83" t="s">
        <v>2457</v>
      </c>
      <c r="B239" s="83">
        <v>3</v>
      </c>
      <c r="C239" s="114">
        <v>1.5884599585546961E-3</v>
      </c>
      <c r="D239" s="83" t="s">
        <v>2626</v>
      </c>
    </row>
    <row r="240" spans="1:4" x14ac:dyDescent="0.25">
      <c r="A240" s="83" t="s">
        <v>2458</v>
      </c>
      <c r="B240" s="83">
        <v>3</v>
      </c>
      <c r="C240" s="114">
        <v>1.5884599585546961E-3</v>
      </c>
      <c r="D240" s="83" t="s">
        <v>2626</v>
      </c>
    </row>
    <row r="241" spans="1:4" x14ac:dyDescent="0.25">
      <c r="A241" s="83" t="s">
        <v>2459</v>
      </c>
      <c r="B241" s="83">
        <v>3</v>
      </c>
      <c r="C241" s="114">
        <v>1.5884599585546961E-3</v>
      </c>
      <c r="D241" s="83" t="s">
        <v>2626</v>
      </c>
    </row>
    <row r="242" spans="1:4" x14ac:dyDescent="0.25">
      <c r="A242" s="83" t="s">
        <v>2460</v>
      </c>
      <c r="B242" s="83">
        <v>3</v>
      </c>
      <c r="C242" s="114">
        <v>1.5884599585546961E-3</v>
      </c>
      <c r="D242" s="83" t="s">
        <v>2626</v>
      </c>
    </row>
    <row r="243" spans="1:4" x14ac:dyDescent="0.25">
      <c r="A243" s="83" t="s">
        <v>2461</v>
      </c>
      <c r="B243" s="83">
        <v>3</v>
      </c>
      <c r="C243" s="114">
        <v>1.5884599585546961E-3</v>
      </c>
      <c r="D243" s="83" t="s">
        <v>2626</v>
      </c>
    </row>
    <row r="244" spans="1:4" x14ac:dyDescent="0.25">
      <c r="A244" s="83" t="s">
        <v>2462</v>
      </c>
      <c r="B244" s="83">
        <v>3</v>
      </c>
      <c r="C244" s="114">
        <v>1.5884599585546961E-3</v>
      </c>
      <c r="D244" s="83" t="s">
        <v>2626</v>
      </c>
    </row>
    <row r="245" spans="1:4" x14ac:dyDescent="0.25">
      <c r="A245" s="83" t="s">
        <v>2463</v>
      </c>
      <c r="B245" s="83">
        <v>3</v>
      </c>
      <c r="C245" s="114">
        <v>1.5884599585546961E-3</v>
      </c>
      <c r="D245" s="83" t="s">
        <v>2626</v>
      </c>
    </row>
    <row r="246" spans="1:4" x14ac:dyDescent="0.25">
      <c r="A246" s="83" t="s">
        <v>2464</v>
      </c>
      <c r="B246" s="83">
        <v>3</v>
      </c>
      <c r="C246" s="114">
        <v>1.5884599585546961E-3</v>
      </c>
      <c r="D246" s="83" t="s">
        <v>2626</v>
      </c>
    </row>
    <row r="247" spans="1:4" x14ac:dyDescent="0.25">
      <c r="A247" s="83" t="s">
        <v>2465</v>
      </c>
      <c r="B247" s="83">
        <v>3</v>
      </c>
      <c r="C247" s="114">
        <v>1.5884599585546961E-3</v>
      </c>
      <c r="D247" s="83" t="s">
        <v>2626</v>
      </c>
    </row>
    <row r="248" spans="1:4" x14ac:dyDescent="0.25">
      <c r="A248" s="83" t="s">
        <v>2466</v>
      </c>
      <c r="B248" s="83">
        <v>3</v>
      </c>
      <c r="C248" s="114">
        <v>1.5884599585546961E-3</v>
      </c>
      <c r="D248" s="83" t="s">
        <v>2626</v>
      </c>
    </row>
    <row r="249" spans="1:4" x14ac:dyDescent="0.25">
      <c r="A249" s="83" t="s">
        <v>2467</v>
      </c>
      <c r="B249" s="83">
        <v>3</v>
      </c>
      <c r="C249" s="114">
        <v>1.5884599585546961E-3</v>
      </c>
      <c r="D249" s="83" t="s">
        <v>2626</v>
      </c>
    </row>
    <row r="250" spans="1:4" x14ac:dyDescent="0.25">
      <c r="A250" s="83" t="s">
        <v>2468</v>
      </c>
      <c r="B250" s="83">
        <v>3</v>
      </c>
      <c r="C250" s="114">
        <v>1.5884599585546961E-3</v>
      </c>
      <c r="D250" s="83" t="s">
        <v>2626</v>
      </c>
    </row>
    <row r="251" spans="1:4" x14ac:dyDescent="0.25">
      <c r="A251" s="83" t="s">
        <v>2469</v>
      </c>
      <c r="B251" s="83">
        <v>3</v>
      </c>
      <c r="C251" s="114">
        <v>1.5884599585546961E-3</v>
      </c>
      <c r="D251" s="83" t="s">
        <v>2626</v>
      </c>
    </row>
    <row r="252" spans="1:4" x14ac:dyDescent="0.25">
      <c r="A252" s="83" t="s">
        <v>2470</v>
      </c>
      <c r="B252" s="83">
        <v>3</v>
      </c>
      <c r="C252" s="114">
        <v>1.5884599585546961E-3</v>
      </c>
      <c r="D252" s="83" t="s">
        <v>2626</v>
      </c>
    </row>
    <row r="253" spans="1:4" x14ac:dyDescent="0.25">
      <c r="A253" s="83" t="s">
        <v>2471</v>
      </c>
      <c r="B253" s="83">
        <v>3</v>
      </c>
      <c r="C253" s="114">
        <v>1.5884599585546961E-3</v>
      </c>
      <c r="D253" s="83" t="s">
        <v>2626</v>
      </c>
    </row>
    <row r="254" spans="1:4" x14ac:dyDescent="0.25">
      <c r="A254" s="83" t="s">
        <v>2472</v>
      </c>
      <c r="B254" s="83">
        <v>3</v>
      </c>
      <c r="C254" s="114">
        <v>1.5884599585546961E-3</v>
      </c>
      <c r="D254" s="83" t="s">
        <v>2626</v>
      </c>
    </row>
    <row r="255" spans="1:4" x14ac:dyDescent="0.25">
      <c r="A255" s="83" t="s">
        <v>2473</v>
      </c>
      <c r="B255" s="83">
        <v>3</v>
      </c>
      <c r="C255" s="114">
        <v>1.5884599585546961E-3</v>
      </c>
      <c r="D255" s="83" t="s">
        <v>2626</v>
      </c>
    </row>
    <row r="256" spans="1:4" x14ac:dyDescent="0.25">
      <c r="A256" s="83" t="s">
        <v>2474</v>
      </c>
      <c r="B256" s="83">
        <v>3</v>
      </c>
      <c r="C256" s="114">
        <v>1.5884599585546961E-3</v>
      </c>
      <c r="D256" s="83" t="s">
        <v>2626</v>
      </c>
    </row>
    <row r="257" spans="1:4" x14ac:dyDescent="0.25">
      <c r="A257" s="83" t="s">
        <v>366</v>
      </c>
      <c r="B257" s="83">
        <v>3</v>
      </c>
      <c r="C257" s="114">
        <v>1.5884599585546961E-3</v>
      </c>
      <c r="D257" s="83" t="s">
        <v>2626</v>
      </c>
    </row>
    <row r="258" spans="1:4" x14ac:dyDescent="0.25">
      <c r="A258" s="83" t="s">
        <v>2475</v>
      </c>
      <c r="B258" s="83">
        <v>3</v>
      </c>
      <c r="C258" s="114">
        <v>1.5884599585546961E-3</v>
      </c>
      <c r="D258" s="83" t="s">
        <v>2626</v>
      </c>
    </row>
    <row r="259" spans="1:4" x14ac:dyDescent="0.25">
      <c r="A259" s="83" t="s">
        <v>2476</v>
      </c>
      <c r="B259" s="83">
        <v>3</v>
      </c>
      <c r="C259" s="114">
        <v>1.5884599585546961E-3</v>
      </c>
      <c r="D259" s="83" t="s">
        <v>2626</v>
      </c>
    </row>
    <row r="260" spans="1:4" x14ac:dyDescent="0.25">
      <c r="A260" s="83" t="s">
        <v>2477</v>
      </c>
      <c r="B260" s="83">
        <v>2</v>
      </c>
      <c r="C260" s="114">
        <v>1.1524152049101782E-3</v>
      </c>
      <c r="D260" s="83" t="s">
        <v>2626</v>
      </c>
    </row>
    <row r="261" spans="1:4" x14ac:dyDescent="0.25">
      <c r="A261" s="83" t="s">
        <v>2478</v>
      </c>
      <c r="B261" s="83">
        <v>2</v>
      </c>
      <c r="C261" s="114">
        <v>1.1524152049101782E-3</v>
      </c>
      <c r="D261" s="83" t="s">
        <v>2626</v>
      </c>
    </row>
    <row r="262" spans="1:4" x14ac:dyDescent="0.25">
      <c r="A262" s="83" t="s">
        <v>2479</v>
      </c>
      <c r="B262" s="83">
        <v>2</v>
      </c>
      <c r="C262" s="114">
        <v>1.1524152049101782E-3</v>
      </c>
      <c r="D262" s="83" t="s">
        <v>2626</v>
      </c>
    </row>
    <row r="263" spans="1:4" x14ac:dyDescent="0.25">
      <c r="A263" s="83" t="s">
        <v>2480</v>
      </c>
      <c r="B263" s="83">
        <v>2</v>
      </c>
      <c r="C263" s="114">
        <v>1.1524152049101782E-3</v>
      </c>
      <c r="D263" s="83" t="s">
        <v>2626</v>
      </c>
    </row>
    <row r="264" spans="1:4" x14ac:dyDescent="0.25">
      <c r="A264" s="83" t="s">
        <v>2481</v>
      </c>
      <c r="B264" s="83">
        <v>2</v>
      </c>
      <c r="C264" s="114">
        <v>1.1524152049101782E-3</v>
      </c>
      <c r="D264" s="83" t="s">
        <v>2626</v>
      </c>
    </row>
    <row r="265" spans="1:4" x14ac:dyDescent="0.25">
      <c r="A265" s="83" t="s">
        <v>2482</v>
      </c>
      <c r="B265" s="83">
        <v>2</v>
      </c>
      <c r="C265" s="114">
        <v>1.1524152049101782E-3</v>
      </c>
      <c r="D265" s="83" t="s">
        <v>2626</v>
      </c>
    </row>
    <row r="266" spans="1:4" x14ac:dyDescent="0.25">
      <c r="A266" s="83" t="s">
        <v>2483</v>
      </c>
      <c r="B266" s="83">
        <v>2</v>
      </c>
      <c r="C266" s="114">
        <v>1.1524152049101782E-3</v>
      </c>
      <c r="D266" s="83" t="s">
        <v>2626</v>
      </c>
    </row>
    <row r="267" spans="1:4" x14ac:dyDescent="0.25">
      <c r="A267" s="83" t="s">
        <v>2484</v>
      </c>
      <c r="B267" s="83">
        <v>2</v>
      </c>
      <c r="C267" s="114">
        <v>1.1524152049101782E-3</v>
      </c>
      <c r="D267" s="83" t="s">
        <v>2626</v>
      </c>
    </row>
    <row r="268" spans="1:4" x14ac:dyDescent="0.25">
      <c r="A268" s="83" t="s">
        <v>2485</v>
      </c>
      <c r="B268" s="83">
        <v>2</v>
      </c>
      <c r="C268" s="114">
        <v>1.3121551866899506E-3</v>
      </c>
      <c r="D268" s="83" t="s">
        <v>2626</v>
      </c>
    </row>
    <row r="269" spans="1:4" x14ac:dyDescent="0.25">
      <c r="A269" s="83" t="s">
        <v>2486</v>
      </c>
      <c r="B269" s="83">
        <v>2</v>
      </c>
      <c r="C269" s="114">
        <v>1.1524152049101782E-3</v>
      </c>
      <c r="D269" s="83" t="s">
        <v>2626</v>
      </c>
    </row>
    <row r="270" spans="1:4" x14ac:dyDescent="0.25">
      <c r="A270" s="83" t="s">
        <v>2487</v>
      </c>
      <c r="B270" s="83">
        <v>2</v>
      </c>
      <c r="C270" s="114">
        <v>1.1524152049101782E-3</v>
      </c>
      <c r="D270" s="83" t="s">
        <v>2626</v>
      </c>
    </row>
    <row r="271" spans="1:4" x14ac:dyDescent="0.25">
      <c r="A271" s="83" t="s">
        <v>2488</v>
      </c>
      <c r="B271" s="83">
        <v>2</v>
      </c>
      <c r="C271" s="114">
        <v>1.1524152049101782E-3</v>
      </c>
      <c r="D271" s="83" t="s">
        <v>2626</v>
      </c>
    </row>
    <row r="272" spans="1:4" x14ac:dyDescent="0.25">
      <c r="A272" s="83" t="s">
        <v>2489</v>
      </c>
      <c r="B272" s="83">
        <v>2</v>
      </c>
      <c r="C272" s="114">
        <v>1.1524152049101782E-3</v>
      </c>
      <c r="D272" s="83" t="s">
        <v>2626</v>
      </c>
    </row>
    <row r="273" spans="1:4" x14ac:dyDescent="0.25">
      <c r="A273" s="83" t="s">
        <v>2490</v>
      </c>
      <c r="B273" s="83">
        <v>2</v>
      </c>
      <c r="C273" s="114">
        <v>1.1524152049101782E-3</v>
      </c>
      <c r="D273" s="83" t="s">
        <v>2626</v>
      </c>
    </row>
    <row r="274" spans="1:4" x14ac:dyDescent="0.25">
      <c r="A274" s="83" t="s">
        <v>2491</v>
      </c>
      <c r="B274" s="83">
        <v>2</v>
      </c>
      <c r="C274" s="114">
        <v>1.1524152049101782E-3</v>
      </c>
      <c r="D274" s="83" t="s">
        <v>2626</v>
      </c>
    </row>
    <row r="275" spans="1:4" x14ac:dyDescent="0.25">
      <c r="A275" s="83" t="s">
        <v>2492</v>
      </c>
      <c r="B275" s="83">
        <v>2</v>
      </c>
      <c r="C275" s="114">
        <v>1.1524152049101782E-3</v>
      </c>
      <c r="D275" s="83" t="s">
        <v>2626</v>
      </c>
    </row>
    <row r="276" spans="1:4" x14ac:dyDescent="0.25">
      <c r="A276" s="83" t="s">
        <v>2493</v>
      </c>
      <c r="B276" s="83">
        <v>2</v>
      </c>
      <c r="C276" s="114">
        <v>1.1524152049101782E-3</v>
      </c>
      <c r="D276" s="83" t="s">
        <v>2626</v>
      </c>
    </row>
    <row r="277" spans="1:4" x14ac:dyDescent="0.25">
      <c r="A277" s="83" t="s">
        <v>2494</v>
      </c>
      <c r="B277" s="83">
        <v>2</v>
      </c>
      <c r="C277" s="114">
        <v>1.1524152049101782E-3</v>
      </c>
      <c r="D277" s="83" t="s">
        <v>2626</v>
      </c>
    </row>
    <row r="278" spans="1:4" x14ac:dyDescent="0.25">
      <c r="A278" s="83" t="s">
        <v>2495</v>
      </c>
      <c r="B278" s="83">
        <v>2</v>
      </c>
      <c r="C278" s="114">
        <v>1.1524152049101782E-3</v>
      </c>
      <c r="D278" s="83" t="s">
        <v>2626</v>
      </c>
    </row>
    <row r="279" spans="1:4" x14ac:dyDescent="0.25">
      <c r="A279" s="83" t="s">
        <v>2496</v>
      </c>
      <c r="B279" s="83">
        <v>2</v>
      </c>
      <c r="C279" s="114">
        <v>1.1524152049101782E-3</v>
      </c>
      <c r="D279" s="83" t="s">
        <v>2626</v>
      </c>
    </row>
    <row r="280" spans="1:4" x14ac:dyDescent="0.25">
      <c r="A280" s="83" t="s">
        <v>2497</v>
      </c>
      <c r="B280" s="83">
        <v>2</v>
      </c>
      <c r="C280" s="114">
        <v>1.1524152049101782E-3</v>
      </c>
      <c r="D280" s="83" t="s">
        <v>2626</v>
      </c>
    </row>
    <row r="281" spans="1:4" x14ac:dyDescent="0.25">
      <c r="A281" s="83" t="s">
        <v>2498</v>
      </c>
      <c r="B281" s="83">
        <v>2</v>
      </c>
      <c r="C281" s="114">
        <v>1.1524152049101782E-3</v>
      </c>
      <c r="D281" s="83" t="s">
        <v>2626</v>
      </c>
    </row>
    <row r="282" spans="1:4" x14ac:dyDescent="0.25">
      <c r="A282" s="83" t="s">
        <v>2499</v>
      </c>
      <c r="B282" s="83">
        <v>2</v>
      </c>
      <c r="C282" s="114">
        <v>1.1524152049101782E-3</v>
      </c>
      <c r="D282" s="83" t="s">
        <v>2626</v>
      </c>
    </row>
    <row r="283" spans="1:4" x14ac:dyDescent="0.25">
      <c r="A283" s="83" t="s">
        <v>2500</v>
      </c>
      <c r="B283" s="83">
        <v>2</v>
      </c>
      <c r="C283" s="114">
        <v>1.1524152049101782E-3</v>
      </c>
      <c r="D283" s="83" t="s">
        <v>2626</v>
      </c>
    </row>
    <row r="284" spans="1:4" x14ac:dyDescent="0.25">
      <c r="A284" s="83" t="s">
        <v>2501</v>
      </c>
      <c r="B284" s="83">
        <v>2</v>
      </c>
      <c r="C284" s="114">
        <v>1.1524152049101782E-3</v>
      </c>
      <c r="D284" s="83" t="s">
        <v>2626</v>
      </c>
    </row>
    <row r="285" spans="1:4" x14ac:dyDescent="0.25">
      <c r="A285" s="83" t="s">
        <v>2502</v>
      </c>
      <c r="B285" s="83">
        <v>2</v>
      </c>
      <c r="C285" s="114">
        <v>1.1524152049101782E-3</v>
      </c>
      <c r="D285" s="83" t="s">
        <v>2626</v>
      </c>
    </row>
    <row r="286" spans="1:4" x14ac:dyDescent="0.25">
      <c r="A286" s="83" t="s">
        <v>2503</v>
      </c>
      <c r="B286" s="83">
        <v>2</v>
      </c>
      <c r="C286" s="114">
        <v>1.1524152049101782E-3</v>
      </c>
      <c r="D286" s="83" t="s">
        <v>2626</v>
      </c>
    </row>
    <row r="287" spans="1:4" x14ac:dyDescent="0.25">
      <c r="A287" s="83" t="s">
        <v>2504</v>
      </c>
      <c r="B287" s="83">
        <v>2</v>
      </c>
      <c r="C287" s="114">
        <v>1.1524152049101782E-3</v>
      </c>
      <c r="D287" s="83" t="s">
        <v>2626</v>
      </c>
    </row>
    <row r="288" spans="1:4" x14ac:dyDescent="0.25">
      <c r="A288" s="83" t="s">
        <v>2505</v>
      </c>
      <c r="B288" s="83">
        <v>2</v>
      </c>
      <c r="C288" s="114">
        <v>1.1524152049101782E-3</v>
      </c>
      <c r="D288" s="83" t="s">
        <v>2626</v>
      </c>
    </row>
    <row r="289" spans="1:4" x14ac:dyDescent="0.25">
      <c r="A289" s="83" t="s">
        <v>2506</v>
      </c>
      <c r="B289" s="83">
        <v>2</v>
      </c>
      <c r="C289" s="114">
        <v>1.1524152049101782E-3</v>
      </c>
      <c r="D289" s="83" t="s">
        <v>2626</v>
      </c>
    </row>
    <row r="290" spans="1:4" x14ac:dyDescent="0.25">
      <c r="A290" s="83" t="s">
        <v>2507</v>
      </c>
      <c r="B290" s="83">
        <v>2</v>
      </c>
      <c r="C290" s="114">
        <v>1.1524152049101782E-3</v>
      </c>
      <c r="D290" s="83" t="s">
        <v>2626</v>
      </c>
    </row>
    <row r="291" spans="1:4" x14ac:dyDescent="0.25">
      <c r="A291" s="83" t="s">
        <v>2508</v>
      </c>
      <c r="B291" s="83">
        <v>2</v>
      </c>
      <c r="C291" s="114">
        <v>1.1524152049101782E-3</v>
      </c>
      <c r="D291" s="83" t="s">
        <v>2626</v>
      </c>
    </row>
    <row r="292" spans="1:4" x14ac:dyDescent="0.25">
      <c r="A292" s="83" t="s">
        <v>2509</v>
      </c>
      <c r="B292" s="83">
        <v>2</v>
      </c>
      <c r="C292" s="114">
        <v>1.1524152049101782E-3</v>
      </c>
      <c r="D292" s="83" t="s">
        <v>2626</v>
      </c>
    </row>
    <row r="293" spans="1:4" x14ac:dyDescent="0.25">
      <c r="A293" s="83" t="s">
        <v>2510</v>
      </c>
      <c r="B293" s="83">
        <v>2</v>
      </c>
      <c r="C293" s="114">
        <v>1.1524152049101782E-3</v>
      </c>
      <c r="D293" s="83" t="s">
        <v>2626</v>
      </c>
    </row>
    <row r="294" spans="1:4" x14ac:dyDescent="0.25">
      <c r="A294" s="83" t="s">
        <v>2511</v>
      </c>
      <c r="B294" s="83">
        <v>2</v>
      </c>
      <c r="C294" s="114">
        <v>1.1524152049101782E-3</v>
      </c>
      <c r="D294" s="83" t="s">
        <v>2626</v>
      </c>
    </row>
    <row r="295" spans="1:4" x14ac:dyDescent="0.25">
      <c r="A295" s="83" t="s">
        <v>2512</v>
      </c>
      <c r="B295" s="83">
        <v>2</v>
      </c>
      <c r="C295" s="114">
        <v>1.1524152049101782E-3</v>
      </c>
      <c r="D295" s="83" t="s">
        <v>2626</v>
      </c>
    </row>
    <row r="296" spans="1:4" x14ac:dyDescent="0.25">
      <c r="A296" s="83" t="s">
        <v>2513</v>
      </c>
      <c r="B296" s="83">
        <v>2</v>
      </c>
      <c r="C296" s="114">
        <v>1.1524152049101782E-3</v>
      </c>
      <c r="D296" s="83" t="s">
        <v>2626</v>
      </c>
    </row>
    <row r="297" spans="1:4" x14ac:dyDescent="0.25">
      <c r="A297" s="83" t="s">
        <v>2514</v>
      </c>
      <c r="B297" s="83">
        <v>2</v>
      </c>
      <c r="C297" s="114">
        <v>1.3121551866899506E-3</v>
      </c>
      <c r="D297" s="83" t="s">
        <v>2626</v>
      </c>
    </row>
    <row r="298" spans="1:4" x14ac:dyDescent="0.25">
      <c r="A298" s="83" t="s">
        <v>2515</v>
      </c>
      <c r="B298" s="83">
        <v>2</v>
      </c>
      <c r="C298" s="114">
        <v>1.1524152049101782E-3</v>
      </c>
      <c r="D298" s="83" t="s">
        <v>2626</v>
      </c>
    </row>
    <row r="299" spans="1:4" x14ac:dyDescent="0.25">
      <c r="A299" s="83" t="s">
        <v>2516</v>
      </c>
      <c r="B299" s="83">
        <v>2</v>
      </c>
      <c r="C299" s="114">
        <v>1.1524152049101782E-3</v>
      </c>
      <c r="D299" s="83" t="s">
        <v>2626</v>
      </c>
    </row>
    <row r="300" spans="1:4" x14ac:dyDescent="0.25">
      <c r="A300" s="83" t="s">
        <v>2517</v>
      </c>
      <c r="B300" s="83">
        <v>2</v>
      </c>
      <c r="C300" s="114">
        <v>1.1524152049101782E-3</v>
      </c>
      <c r="D300" s="83" t="s">
        <v>2626</v>
      </c>
    </row>
    <row r="301" spans="1:4" x14ac:dyDescent="0.25">
      <c r="A301" s="83" t="s">
        <v>2518</v>
      </c>
      <c r="B301" s="83">
        <v>2</v>
      </c>
      <c r="C301" s="114">
        <v>1.1524152049101782E-3</v>
      </c>
      <c r="D301" s="83" t="s">
        <v>2626</v>
      </c>
    </row>
    <row r="302" spans="1:4" x14ac:dyDescent="0.25">
      <c r="A302" s="83" t="s">
        <v>2519</v>
      </c>
      <c r="B302" s="83">
        <v>2</v>
      </c>
      <c r="C302" s="114">
        <v>1.1524152049101782E-3</v>
      </c>
      <c r="D302" s="83" t="s">
        <v>2626</v>
      </c>
    </row>
    <row r="303" spans="1:4" x14ac:dyDescent="0.25">
      <c r="A303" s="83" t="s">
        <v>2520</v>
      </c>
      <c r="B303" s="83">
        <v>2</v>
      </c>
      <c r="C303" s="114">
        <v>1.1524152049101782E-3</v>
      </c>
      <c r="D303" s="83" t="s">
        <v>2626</v>
      </c>
    </row>
    <row r="304" spans="1:4" x14ac:dyDescent="0.25">
      <c r="A304" s="83" t="s">
        <v>2521</v>
      </c>
      <c r="B304" s="83">
        <v>2</v>
      </c>
      <c r="C304" s="114">
        <v>1.1524152049101782E-3</v>
      </c>
      <c r="D304" s="83" t="s">
        <v>2626</v>
      </c>
    </row>
    <row r="305" spans="1:4" x14ac:dyDescent="0.25">
      <c r="A305" s="83" t="s">
        <v>2522</v>
      </c>
      <c r="B305" s="83">
        <v>2</v>
      </c>
      <c r="C305" s="114">
        <v>1.1524152049101782E-3</v>
      </c>
      <c r="D305" s="83" t="s">
        <v>2626</v>
      </c>
    </row>
    <row r="306" spans="1:4" x14ac:dyDescent="0.25">
      <c r="A306" s="83" t="s">
        <v>2523</v>
      </c>
      <c r="B306" s="83">
        <v>2</v>
      </c>
      <c r="C306" s="114">
        <v>1.1524152049101782E-3</v>
      </c>
      <c r="D306" s="83" t="s">
        <v>2626</v>
      </c>
    </row>
    <row r="307" spans="1:4" x14ac:dyDescent="0.25">
      <c r="A307" s="83" t="s">
        <v>2524</v>
      </c>
      <c r="B307" s="83">
        <v>2</v>
      </c>
      <c r="C307" s="114">
        <v>1.1524152049101782E-3</v>
      </c>
      <c r="D307" s="83" t="s">
        <v>2626</v>
      </c>
    </row>
    <row r="308" spans="1:4" x14ac:dyDescent="0.25">
      <c r="A308" s="83" t="s">
        <v>2525</v>
      </c>
      <c r="B308" s="83">
        <v>2</v>
      </c>
      <c r="C308" s="114">
        <v>1.1524152049101782E-3</v>
      </c>
      <c r="D308" s="83" t="s">
        <v>2626</v>
      </c>
    </row>
    <row r="309" spans="1:4" x14ac:dyDescent="0.25">
      <c r="A309" s="83" t="s">
        <v>2526</v>
      </c>
      <c r="B309" s="83">
        <v>2</v>
      </c>
      <c r="C309" s="114">
        <v>1.1524152049101782E-3</v>
      </c>
      <c r="D309" s="83" t="s">
        <v>2626</v>
      </c>
    </row>
    <row r="310" spans="1:4" x14ac:dyDescent="0.25">
      <c r="A310" s="83" t="s">
        <v>2527</v>
      </c>
      <c r="B310" s="83">
        <v>2</v>
      </c>
      <c r="C310" s="114">
        <v>1.1524152049101782E-3</v>
      </c>
      <c r="D310" s="83" t="s">
        <v>2626</v>
      </c>
    </row>
    <row r="311" spans="1:4" x14ac:dyDescent="0.25">
      <c r="A311" s="83" t="s">
        <v>2528</v>
      </c>
      <c r="B311" s="83">
        <v>2</v>
      </c>
      <c r="C311" s="114">
        <v>1.1524152049101782E-3</v>
      </c>
      <c r="D311" s="83" t="s">
        <v>2626</v>
      </c>
    </row>
    <row r="312" spans="1:4" x14ac:dyDescent="0.25">
      <c r="A312" s="83" t="s">
        <v>2529</v>
      </c>
      <c r="B312" s="83">
        <v>2</v>
      </c>
      <c r="C312" s="114">
        <v>1.1524152049101782E-3</v>
      </c>
      <c r="D312" s="83" t="s">
        <v>2626</v>
      </c>
    </row>
    <row r="313" spans="1:4" x14ac:dyDescent="0.25">
      <c r="A313" s="83" t="s">
        <v>2530</v>
      </c>
      <c r="B313" s="83">
        <v>2</v>
      </c>
      <c r="C313" s="114">
        <v>1.1524152049101782E-3</v>
      </c>
      <c r="D313" s="83" t="s">
        <v>2626</v>
      </c>
    </row>
    <row r="314" spans="1:4" x14ac:dyDescent="0.25">
      <c r="A314" s="83" t="s">
        <v>311</v>
      </c>
      <c r="B314" s="83">
        <v>2</v>
      </c>
      <c r="C314" s="114">
        <v>1.1524152049101782E-3</v>
      </c>
      <c r="D314" s="83" t="s">
        <v>2626</v>
      </c>
    </row>
    <row r="315" spans="1:4" x14ac:dyDescent="0.25">
      <c r="A315" s="83" t="s">
        <v>2531</v>
      </c>
      <c r="B315" s="83">
        <v>2</v>
      </c>
      <c r="C315" s="114">
        <v>1.1524152049101782E-3</v>
      </c>
      <c r="D315" s="83" t="s">
        <v>2626</v>
      </c>
    </row>
    <row r="316" spans="1:4" x14ac:dyDescent="0.25">
      <c r="A316" s="83" t="s">
        <v>2532</v>
      </c>
      <c r="B316" s="83">
        <v>2</v>
      </c>
      <c r="C316" s="114">
        <v>1.1524152049101782E-3</v>
      </c>
      <c r="D316" s="83" t="s">
        <v>2626</v>
      </c>
    </row>
    <row r="317" spans="1:4" x14ac:dyDescent="0.25">
      <c r="A317" s="83" t="s">
        <v>2533</v>
      </c>
      <c r="B317" s="83">
        <v>2</v>
      </c>
      <c r="C317" s="114">
        <v>1.3121551866899506E-3</v>
      </c>
      <c r="D317" s="83" t="s">
        <v>2626</v>
      </c>
    </row>
    <row r="318" spans="1:4" x14ac:dyDescent="0.25">
      <c r="A318" s="83" t="s">
        <v>2534</v>
      </c>
      <c r="B318" s="83">
        <v>2</v>
      </c>
      <c r="C318" s="114">
        <v>1.1524152049101782E-3</v>
      </c>
      <c r="D318" s="83" t="s">
        <v>2626</v>
      </c>
    </row>
    <row r="319" spans="1:4" x14ac:dyDescent="0.25">
      <c r="A319" s="83" t="s">
        <v>2535</v>
      </c>
      <c r="B319" s="83">
        <v>2</v>
      </c>
      <c r="C319" s="114">
        <v>1.1524152049101782E-3</v>
      </c>
      <c r="D319" s="83" t="s">
        <v>2626</v>
      </c>
    </row>
    <row r="320" spans="1:4" x14ac:dyDescent="0.25">
      <c r="A320" s="83" t="s">
        <v>2536</v>
      </c>
      <c r="B320" s="83">
        <v>2</v>
      </c>
      <c r="C320" s="114">
        <v>1.1524152049101782E-3</v>
      </c>
      <c r="D320" s="83" t="s">
        <v>2626</v>
      </c>
    </row>
    <row r="321" spans="1:4" x14ac:dyDescent="0.25">
      <c r="A321" s="83" t="s">
        <v>2537</v>
      </c>
      <c r="B321" s="83">
        <v>2</v>
      </c>
      <c r="C321" s="114">
        <v>1.1524152049101782E-3</v>
      </c>
      <c r="D321" s="83" t="s">
        <v>2626</v>
      </c>
    </row>
    <row r="322" spans="1:4" x14ac:dyDescent="0.25">
      <c r="A322" s="83" t="s">
        <v>2538</v>
      </c>
      <c r="B322" s="83">
        <v>2</v>
      </c>
      <c r="C322" s="114">
        <v>1.1524152049101782E-3</v>
      </c>
      <c r="D322" s="83" t="s">
        <v>2626</v>
      </c>
    </row>
    <row r="323" spans="1:4" x14ac:dyDescent="0.25">
      <c r="A323" s="83" t="s">
        <v>2539</v>
      </c>
      <c r="B323" s="83">
        <v>2</v>
      </c>
      <c r="C323" s="114">
        <v>1.1524152049101782E-3</v>
      </c>
      <c r="D323" s="83" t="s">
        <v>2626</v>
      </c>
    </row>
    <row r="324" spans="1:4" x14ac:dyDescent="0.25">
      <c r="A324" s="83" t="s">
        <v>2540</v>
      </c>
      <c r="B324" s="83">
        <v>2</v>
      </c>
      <c r="C324" s="114">
        <v>1.1524152049101782E-3</v>
      </c>
      <c r="D324" s="83" t="s">
        <v>2626</v>
      </c>
    </row>
    <row r="325" spans="1:4" x14ac:dyDescent="0.25">
      <c r="A325" s="83" t="s">
        <v>2541</v>
      </c>
      <c r="B325" s="83">
        <v>2</v>
      </c>
      <c r="C325" s="114">
        <v>1.1524152049101782E-3</v>
      </c>
      <c r="D325" s="83" t="s">
        <v>2626</v>
      </c>
    </row>
    <row r="326" spans="1:4" x14ac:dyDescent="0.25">
      <c r="A326" s="83" t="s">
        <v>2542</v>
      </c>
      <c r="B326" s="83">
        <v>2</v>
      </c>
      <c r="C326" s="114">
        <v>1.1524152049101782E-3</v>
      </c>
      <c r="D326" s="83" t="s">
        <v>2626</v>
      </c>
    </row>
    <row r="327" spans="1:4" x14ac:dyDescent="0.25">
      <c r="A327" s="83" t="s">
        <v>2543</v>
      </c>
      <c r="B327" s="83">
        <v>2</v>
      </c>
      <c r="C327" s="114">
        <v>1.1524152049101782E-3</v>
      </c>
      <c r="D327" s="83" t="s">
        <v>2626</v>
      </c>
    </row>
    <row r="328" spans="1:4" x14ac:dyDescent="0.25">
      <c r="A328" s="83" t="s">
        <v>2544</v>
      </c>
      <c r="B328" s="83">
        <v>2</v>
      </c>
      <c r="C328" s="114">
        <v>1.1524152049101782E-3</v>
      </c>
      <c r="D328" s="83" t="s">
        <v>2626</v>
      </c>
    </row>
    <row r="329" spans="1:4" x14ac:dyDescent="0.25">
      <c r="A329" s="83" t="s">
        <v>2545</v>
      </c>
      <c r="B329" s="83">
        <v>2</v>
      </c>
      <c r="C329" s="114">
        <v>1.1524152049101782E-3</v>
      </c>
      <c r="D329" s="83" t="s">
        <v>2626</v>
      </c>
    </row>
    <row r="330" spans="1:4" x14ac:dyDescent="0.25">
      <c r="A330" s="83" t="s">
        <v>301</v>
      </c>
      <c r="B330" s="83">
        <v>2</v>
      </c>
      <c r="C330" s="114">
        <v>1.1524152049101782E-3</v>
      </c>
      <c r="D330" s="83" t="s">
        <v>2626</v>
      </c>
    </row>
    <row r="331" spans="1:4" x14ac:dyDescent="0.25">
      <c r="A331" s="83" t="s">
        <v>2546</v>
      </c>
      <c r="B331" s="83">
        <v>2</v>
      </c>
      <c r="C331" s="114">
        <v>1.1524152049101782E-3</v>
      </c>
      <c r="D331" s="83" t="s">
        <v>2626</v>
      </c>
    </row>
    <row r="332" spans="1:4" x14ac:dyDescent="0.25">
      <c r="A332" s="83" t="s">
        <v>2547</v>
      </c>
      <c r="B332" s="83">
        <v>2</v>
      </c>
      <c r="C332" s="114">
        <v>1.1524152049101782E-3</v>
      </c>
      <c r="D332" s="83" t="s">
        <v>2626</v>
      </c>
    </row>
    <row r="333" spans="1:4" x14ac:dyDescent="0.25">
      <c r="A333" s="83" t="s">
        <v>2548</v>
      </c>
      <c r="B333" s="83">
        <v>2</v>
      </c>
      <c r="C333" s="114">
        <v>1.1524152049101782E-3</v>
      </c>
      <c r="D333" s="83" t="s">
        <v>2626</v>
      </c>
    </row>
    <row r="334" spans="1:4" x14ac:dyDescent="0.25">
      <c r="A334" s="83" t="s">
        <v>2549</v>
      </c>
      <c r="B334" s="83">
        <v>2</v>
      </c>
      <c r="C334" s="114">
        <v>1.1524152049101782E-3</v>
      </c>
      <c r="D334" s="83" t="s">
        <v>2626</v>
      </c>
    </row>
    <row r="335" spans="1:4" x14ac:dyDescent="0.25">
      <c r="A335" s="83" t="s">
        <v>2550</v>
      </c>
      <c r="B335" s="83">
        <v>2</v>
      </c>
      <c r="C335" s="114">
        <v>1.1524152049101782E-3</v>
      </c>
      <c r="D335" s="83" t="s">
        <v>2626</v>
      </c>
    </row>
    <row r="336" spans="1:4" x14ac:dyDescent="0.25">
      <c r="A336" s="83" t="s">
        <v>2551</v>
      </c>
      <c r="B336" s="83">
        <v>2</v>
      </c>
      <c r="C336" s="114">
        <v>1.1524152049101782E-3</v>
      </c>
      <c r="D336" s="83" t="s">
        <v>2626</v>
      </c>
    </row>
    <row r="337" spans="1:4" x14ac:dyDescent="0.25">
      <c r="A337" s="83" t="s">
        <v>2552</v>
      </c>
      <c r="B337" s="83">
        <v>2</v>
      </c>
      <c r="C337" s="114">
        <v>1.1524152049101782E-3</v>
      </c>
      <c r="D337" s="83" t="s">
        <v>2626</v>
      </c>
    </row>
    <row r="338" spans="1:4" x14ac:dyDescent="0.25">
      <c r="A338" s="83" t="s">
        <v>2553</v>
      </c>
      <c r="B338" s="83">
        <v>2</v>
      </c>
      <c r="C338" s="114">
        <v>1.1524152049101782E-3</v>
      </c>
      <c r="D338" s="83" t="s">
        <v>2626</v>
      </c>
    </row>
    <row r="339" spans="1:4" x14ac:dyDescent="0.25">
      <c r="A339" s="83" t="s">
        <v>2554</v>
      </c>
      <c r="B339" s="83">
        <v>2</v>
      </c>
      <c r="C339" s="114">
        <v>1.1524152049101782E-3</v>
      </c>
      <c r="D339" s="83" t="s">
        <v>2626</v>
      </c>
    </row>
    <row r="340" spans="1:4" x14ac:dyDescent="0.25">
      <c r="A340" s="83" t="s">
        <v>2555</v>
      </c>
      <c r="B340" s="83">
        <v>2</v>
      </c>
      <c r="C340" s="114">
        <v>1.1524152049101782E-3</v>
      </c>
      <c r="D340" s="83" t="s">
        <v>2626</v>
      </c>
    </row>
    <row r="341" spans="1:4" x14ac:dyDescent="0.25">
      <c r="A341" s="83" t="s">
        <v>2556</v>
      </c>
      <c r="B341" s="83">
        <v>2</v>
      </c>
      <c r="C341" s="114">
        <v>1.1524152049101782E-3</v>
      </c>
      <c r="D341" s="83" t="s">
        <v>2626</v>
      </c>
    </row>
    <row r="342" spans="1:4" x14ac:dyDescent="0.25">
      <c r="A342" s="83" t="s">
        <v>2557</v>
      </c>
      <c r="B342" s="83">
        <v>2</v>
      </c>
      <c r="C342" s="114">
        <v>1.1524152049101782E-3</v>
      </c>
      <c r="D342" s="83" t="s">
        <v>2626</v>
      </c>
    </row>
    <row r="343" spans="1:4" x14ac:dyDescent="0.25">
      <c r="A343" s="83" t="s">
        <v>2558</v>
      </c>
      <c r="B343" s="83">
        <v>2</v>
      </c>
      <c r="C343" s="114">
        <v>1.1524152049101782E-3</v>
      </c>
      <c r="D343" s="83" t="s">
        <v>2626</v>
      </c>
    </row>
    <row r="344" spans="1:4" x14ac:dyDescent="0.25">
      <c r="A344" s="83" t="s">
        <v>2559</v>
      </c>
      <c r="B344" s="83">
        <v>2</v>
      </c>
      <c r="C344" s="114">
        <v>1.1524152049101782E-3</v>
      </c>
      <c r="D344" s="83" t="s">
        <v>2626</v>
      </c>
    </row>
    <row r="345" spans="1:4" x14ac:dyDescent="0.25">
      <c r="A345" s="83" t="s">
        <v>2560</v>
      </c>
      <c r="B345" s="83">
        <v>2</v>
      </c>
      <c r="C345" s="114">
        <v>1.1524152049101782E-3</v>
      </c>
      <c r="D345" s="83" t="s">
        <v>2626</v>
      </c>
    </row>
    <row r="346" spans="1:4" x14ac:dyDescent="0.25">
      <c r="A346" s="83" t="s">
        <v>2561</v>
      </c>
      <c r="B346" s="83">
        <v>2</v>
      </c>
      <c r="C346" s="114">
        <v>1.1524152049101782E-3</v>
      </c>
      <c r="D346" s="83" t="s">
        <v>2626</v>
      </c>
    </row>
    <row r="347" spans="1:4" x14ac:dyDescent="0.25">
      <c r="A347" s="83" t="s">
        <v>2562</v>
      </c>
      <c r="B347" s="83">
        <v>2</v>
      </c>
      <c r="C347" s="114">
        <v>1.1524152049101782E-3</v>
      </c>
      <c r="D347" s="83" t="s">
        <v>2626</v>
      </c>
    </row>
    <row r="348" spans="1:4" x14ac:dyDescent="0.25">
      <c r="A348" s="83" t="s">
        <v>2563</v>
      </c>
      <c r="B348" s="83">
        <v>2</v>
      </c>
      <c r="C348" s="114">
        <v>1.1524152049101782E-3</v>
      </c>
      <c r="D348" s="83" t="s">
        <v>2626</v>
      </c>
    </row>
    <row r="349" spans="1:4" x14ac:dyDescent="0.25">
      <c r="A349" s="83" t="s">
        <v>2564</v>
      </c>
      <c r="B349" s="83">
        <v>2</v>
      </c>
      <c r="C349" s="114">
        <v>1.1524152049101782E-3</v>
      </c>
      <c r="D349" s="83" t="s">
        <v>2626</v>
      </c>
    </row>
    <row r="350" spans="1:4" x14ac:dyDescent="0.25">
      <c r="A350" s="83" t="s">
        <v>2565</v>
      </c>
      <c r="B350" s="83">
        <v>2</v>
      </c>
      <c r="C350" s="114">
        <v>1.1524152049101782E-3</v>
      </c>
      <c r="D350" s="83" t="s">
        <v>2626</v>
      </c>
    </row>
    <row r="351" spans="1:4" x14ac:dyDescent="0.25">
      <c r="A351" s="83" t="s">
        <v>2566</v>
      </c>
      <c r="B351" s="83">
        <v>2</v>
      </c>
      <c r="C351" s="114">
        <v>1.1524152049101782E-3</v>
      </c>
      <c r="D351" s="83" t="s">
        <v>2626</v>
      </c>
    </row>
    <row r="352" spans="1:4" x14ac:dyDescent="0.25">
      <c r="A352" s="83" t="s">
        <v>2567</v>
      </c>
      <c r="B352" s="83">
        <v>2</v>
      </c>
      <c r="C352" s="114">
        <v>1.1524152049101782E-3</v>
      </c>
      <c r="D352" s="83" t="s">
        <v>2626</v>
      </c>
    </row>
    <row r="353" spans="1:4" x14ac:dyDescent="0.25">
      <c r="A353" s="83" t="s">
        <v>2568</v>
      </c>
      <c r="B353" s="83">
        <v>2</v>
      </c>
      <c r="C353" s="114">
        <v>1.3121551866899506E-3</v>
      </c>
      <c r="D353" s="83" t="s">
        <v>2626</v>
      </c>
    </row>
    <row r="354" spans="1:4" x14ac:dyDescent="0.25">
      <c r="A354" s="83" t="s">
        <v>2569</v>
      </c>
      <c r="B354" s="83">
        <v>2</v>
      </c>
      <c r="C354" s="114">
        <v>1.1524152049101782E-3</v>
      </c>
      <c r="D354" s="83" t="s">
        <v>2626</v>
      </c>
    </row>
    <row r="355" spans="1:4" x14ac:dyDescent="0.25">
      <c r="A355" s="83" t="s">
        <v>2570</v>
      </c>
      <c r="B355" s="83">
        <v>2</v>
      </c>
      <c r="C355" s="114">
        <v>1.1524152049101782E-3</v>
      </c>
      <c r="D355" s="83" t="s">
        <v>2626</v>
      </c>
    </row>
    <row r="356" spans="1:4" x14ac:dyDescent="0.25">
      <c r="A356" s="83" t="s">
        <v>2571</v>
      </c>
      <c r="B356" s="83">
        <v>2</v>
      </c>
      <c r="C356" s="114">
        <v>1.1524152049101782E-3</v>
      </c>
      <c r="D356" s="83" t="s">
        <v>2626</v>
      </c>
    </row>
    <row r="357" spans="1:4" x14ac:dyDescent="0.25">
      <c r="A357" s="83" t="s">
        <v>2572</v>
      </c>
      <c r="B357" s="83">
        <v>2</v>
      </c>
      <c r="C357" s="114">
        <v>1.1524152049101782E-3</v>
      </c>
      <c r="D357" s="83" t="s">
        <v>2626</v>
      </c>
    </row>
    <row r="358" spans="1:4" x14ac:dyDescent="0.25">
      <c r="A358" s="83" t="s">
        <v>2573</v>
      </c>
      <c r="B358" s="83">
        <v>2</v>
      </c>
      <c r="C358" s="114">
        <v>1.1524152049101782E-3</v>
      </c>
      <c r="D358" s="83" t="s">
        <v>2626</v>
      </c>
    </row>
    <row r="359" spans="1:4" x14ac:dyDescent="0.25">
      <c r="A359" s="83" t="s">
        <v>2574</v>
      </c>
      <c r="B359" s="83">
        <v>2</v>
      </c>
      <c r="C359" s="114">
        <v>1.1524152049101782E-3</v>
      </c>
      <c r="D359" s="83" t="s">
        <v>2626</v>
      </c>
    </row>
    <row r="360" spans="1:4" x14ac:dyDescent="0.25">
      <c r="A360" s="83" t="s">
        <v>2575</v>
      </c>
      <c r="B360" s="83">
        <v>2</v>
      </c>
      <c r="C360" s="114">
        <v>1.1524152049101782E-3</v>
      </c>
      <c r="D360" s="83" t="s">
        <v>2626</v>
      </c>
    </row>
    <row r="361" spans="1:4" x14ac:dyDescent="0.25">
      <c r="A361" s="83" t="s">
        <v>2576</v>
      </c>
      <c r="B361" s="83">
        <v>2</v>
      </c>
      <c r="C361" s="114">
        <v>1.1524152049101782E-3</v>
      </c>
      <c r="D361" s="83" t="s">
        <v>2626</v>
      </c>
    </row>
    <row r="362" spans="1:4" x14ac:dyDescent="0.25">
      <c r="A362" s="83" t="s">
        <v>2577</v>
      </c>
      <c r="B362" s="83">
        <v>2</v>
      </c>
      <c r="C362" s="114">
        <v>1.1524152049101782E-3</v>
      </c>
      <c r="D362" s="83" t="s">
        <v>2626</v>
      </c>
    </row>
    <row r="363" spans="1:4" x14ac:dyDescent="0.25">
      <c r="A363" s="83" t="s">
        <v>2578</v>
      </c>
      <c r="B363" s="83">
        <v>2</v>
      </c>
      <c r="C363" s="114">
        <v>1.1524152049101782E-3</v>
      </c>
      <c r="D363" s="83" t="s">
        <v>2626</v>
      </c>
    </row>
    <row r="364" spans="1:4" x14ac:dyDescent="0.25">
      <c r="A364" s="83" t="s">
        <v>2579</v>
      </c>
      <c r="B364" s="83">
        <v>2</v>
      </c>
      <c r="C364" s="114">
        <v>1.1524152049101782E-3</v>
      </c>
      <c r="D364" s="83" t="s">
        <v>2626</v>
      </c>
    </row>
    <row r="365" spans="1:4" x14ac:dyDescent="0.25">
      <c r="A365" s="83" t="s">
        <v>2580</v>
      </c>
      <c r="B365" s="83">
        <v>2</v>
      </c>
      <c r="C365" s="114">
        <v>1.1524152049101782E-3</v>
      </c>
      <c r="D365" s="83" t="s">
        <v>2626</v>
      </c>
    </row>
    <row r="366" spans="1:4" x14ac:dyDescent="0.25">
      <c r="A366" s="83" t="s">
        <v>2581</v>
      </c>
      <c r="B366" s="83">
        <v>2</v>
      </c>
      <c r="C366" s="114">
        <v>1.1524152049101782E-3</v>
      </c>
      <c r="D366" s="83" t="s">
        <v>2626</v>
      </c>
    </row>
    <row r="367" spans="1:4" x14ac:dyDescent="0.25">
      <c r="A367" s="83" t="s">
        <v>2582</v>
      </c>
      <c r="B367" s="83">
        <v>2</v>
      </c>
      <c r="C367" s="114">
        <v>1.1524152049101782E-3</v>
      </c>
      <c r="D367" s="83" t="s">
        <v>2626</v>
      </c>
    </row>
    <row r="368" spans="1:4" x14ac:dyDescent="0.25">
      <c r="A368" s="83" t="s">
        <v>2583</v>
      </c>
      <c r="B368" s="83">
        <v>2</v>
      </c>
      <c r="C368" s="114">
        <v>1.1524152049101782E-3</v>
      </c>
      <c r="D368" s="83" t="s">
        <v>2626</v>
      </c>
    </row>
    <row r="369" spans="1:4" x14ac:dyDescent="0.25">
      <c r="A369" s="83" t="s">
        <v>2584</v>
      </c>
      <c r="B369" s="83">
        <v>2</v>
      </c>
      <c r="C369" s="114">
        <v>1.1524152049101782E-3</v>
      </c>
      <c r="D369" s="83" t="s">
        <v>2626</v>
      </c>
    </row>
    <row r="370" spans="1:4" x14ac:dyDescent="0.25">
      <c r="A370" s="83" t="s">
        <v>2585</v>
      </c>
      <c r="B370" s="83">
        <v>2</v>
      </c>
      <c r="C370" s="114">
        <v>1.1524152049101782E-3</v>
      </c>
      <c r="D370" s="83" t="s">
        <v>2626</v>
      </c>
    </row>
    <row r="371" spans="1:4" x14ac:dyDescent="0.25">
      <c r="A371" s="83" t="s">
        <v>2586</v>
      </c>
      <c r="B371" s="83">
        <v>2</v>
      </c>
      <c r="C371" s="114">
        <v>1.1524152049101782E-3</v>
      </c>
      <c r="D371" s="83" t="s">
        <v>2626</v>
      </c>
    </row>
    <row r="372" spans="1:4" x14ac:dyDescent="0.25">
      <c r="A372" s="83" t="s">
        <v>2587</v>
      </c>
      <c r="B372" s="83">
        <v>2</v>
      </c>
      <c r="C372" s="114">
        <v>1.1524152049101782E-3</v>
      </c>
      <c r="D372" s="83" t="s">
        <v>2626</v>
      </c>
    </row>
    <row r="373" spans="1:4" x14ac:dyDescent="0.25">
      <c r="A373" s="83" t="s">
        <v>2588</v>
      </c>
      <c r="B373" s="83">
        <v>2</v>
      </c>
      <c r="C373" s="114">
        <v>1.1524152049101782E-3</v>
      </c>
      <c r="D373" s="83" t="s">
        <v>2626</v>
      </c>
    </row>
    <row r="374" spans="1:4" x14ac:dyDescent="0.25">
      <c r="A374" s="83" t="s">
        <v>242</v>
      </c>
      <c r="B374" s="83">
        <v>2</v>
      </c>
      <c r="C374" s="114">
        <v>1.1524152049101782E-3</v>
      </c>
      <c r="D374" s="83" t="s">
        <v>2626</v>
      </c>
    </row>
    <row r="375" spans="1:4" x14ac:dyDescent="0.25">
      <c r="A375" s="83" t="s">
        <v>2589</v>
      </c>
      <c r="B375" s="83">
        <v>2</v>
      </c>
      <c r="C375" s="114">
        <v>1.1524152049101782E-3</v>
      </c>
      <c r="D375" s="83" t="s">
        <v>2626</v>
      </c>
    </row>
    <row r="376" spans="1:4" x14ac:dyDescent="0.25">
      <c r="A376" s="83" t="s">
        <v>2590</v>
      </c>
      <c r="B376" s="83">
        <v>2</v>
      </c>
      <c r="C376" s="114">
        <v>1.1524152049101782E-3</v>
      </c>
      <c r="D376" s="83" t="s">
        <v>2626</v>
      </c>
    </row>
    <row r="377" spans="1:4" x14ac:dyDescent="0.25">
      <c r="A377" s="83" t="s">
        <v>2591</v>
      </c>
      <c r="B377" s="83">
        <v>2</v>
      </c>
      <c r="C377" s="114">
        <v>1.1524152049101782E-3</v>
      </c>
      <c r="D377" s="83" t="s">
        <v>2626</v>
      </c>
    </row>
    <row r="378" spans="1:4" x14ac:dyDescent="0.25">
      <c r="A378" s="83" t="s">
        <v>2592</v>
      </c>
      <c r="B378" s="83">
        <v>2</v>
      </c>
      <c r="C378" s="114">
        <v>1.1524152049101782E-3</v>
      </c>
      <c r="D378" s="83" t="s">
        <v>2626</v>
      </c>
    </row>
    <row r="379" spans="1:4" x14ac:dyDescent="0.25">
      <c r="A379" s="83" t="s">
        <v>2593</v>
      </c>
      <c r="B379" s="83">
        <v>2</v>
      </c>
      <c r="C379" s="114">
        <v>1.1524152049101782E-3</v>
      </c>
      <c r="D379" s="83" t="s">
        <v>2626</v>
      </c>
    </row>
    <row r="380" spans="1:4" x14ac:dyDescent="0.25">
      <c r="A380" s="83" t="s">
        <v>2594</v>
      </c>
      <c r="B380" s="83">
        <v>2</v>
      </c>
      <c r="C380" s="114">
        <v>1.1524152049101782E-3</v>
      </c>
      <c r="D380" s="83" t="s">
        <v>2626</v>
      </c>
    </row>
    <row r="381" spans="1:4" x14ac:dyDescent="0.25">
      <c r="A381" s="83" t="s">
        <v>2595</v>
      </c>
      <c r="B381" s="83">
        <v>2</v>
      </c>
      <c r="C381" s="114">
        <v>1.1524152049101782E-3</v>
      </c>
      <c r="D381" s="83" t="s">
        <v>2626</v>
      </c>
    </row>
    <row r="382" spans="1:4" x14ac:dyDescent="0.25">
      <c r="A382" s="83" t="s">
        <v>2596</v>
      </c>
      <c r="B382" s="83">
        <v>2</v>
      </c>
      <c r="C382" s="114">
        <v>1.3121551866899506E-3</v>
      </c>
      <c r="D382" s="83" t="s">
        <v>2626</v>
      </c>
    </row>
    <row r="383" spans="1:4" x14ac:dyDescent="0.25">
      <c r="A383" s="83" t="s">
        <v>2597</v>
      </c>
      <c r="B383" s="83">
        <v>2</v>
      </c>
      <c r="C383" s="114">
        <v>1.1524152049101782E-3</v>
      </c>
      <c r="D383" s="83" t="s">
        <v>2626</v>
      </c>
    </row>
    <row r="384" spans="1:4" x14ac:dyDescent="0.25">
      <c r="A384" s="83" t="s">
        <v>2598</v>
      </c>
      <c r="B384" s="83">
        <v>2</v>
      </c>
      <c r="C384" s="114">
        <v>1.1524152049101782E-3</v>
      </c>
      <c r="D384" s="83" t="s">
        <v>2626</v>
      </c>
    </row>
    <row r="385" spans="1:4" x14ac:dyDescent="0.25">
      <c r="A385" s="83" t="s">
        <v>2599</v>
      </c>
      <c r="B385" s="83">
        <v>2</v>
      </c>
      <c r="C385" s="114">
        <v>1.1524152049101782E-3</v>
      </c>
      <c r="D385" s="83" t="s">
        <v>2626</v>
      </c>
    </row>
    <row r="386" spans="1:4" x14ac:dyDescent="0.25">
      <c r="A386" s="83" t="s">
        <v>2600</v>
      </c>
      <c r="B386" s="83">
        <v>2</v>
      </c>
      <c r="C386" s="114">
        <v>1.1524152049101782E-3</v>
      </c>
      <c r="D386" s="83" t="s">
        <v>2626</v>
      </c>
    </row>
    <row r="387" spans="1:4" x14ac:dyDescent="0.25">
      <c r="A387" s="83" t="s">
        <v>2601</v>
      </c>
      <c r="B387" s="83">
        <v>2</v>
      </c>
      <c r="C387" s="114">
        <v>1.1524152049101782E-3</v>
      </c>
      <c r="D387" s="83" t="s">
        <v>2626</v>
      </c>
    </row>
    <row r="388" spans="1:4" x14ac:dyDescent="0.25">
      <c r="A388" s="83" t="s">
        <v>2602</v>
      </c>
      <c r="B388" s="83">
        <v>2</v>
      </c>
      <c r="C388" s="114">
        <v>1.3121551866899506E-3</v>
      </c>
      <c r="D388" s="83" t="s">
        <v>2626</v>
      </c>
    </row>
    <row r="389" spans="1:4" x14ac:dyDescent="0.25">
      <c r="A389" s="83" t="s">
        <v>2603</v>
      </c>
      <c r="B389" s="83">
        <v>2</v>
      </c>
      <c r="C389" s="114">
        <v>1.1524152049101782E-3</v>
      </c>
      <c r="D389" s="83" t="s">
        <v>2626</v>
      </c>
    </row>
    <row r="390" spans="1:4" x14ac:dyDescent="0.25">
      <c r="A390" s="83" t="s">
        <v>2604</v>
      </c>
      <c r="B390" s="83">
        <v>2</v>
      </c>
      <c r="C390" s="114">
        <v>1.1524152049101782E-3</v>
      </c>
      <c r="D390" s="83" t="s">
        <v>2626</v>
      </c>
    </row>
    <row r="391" spans="1:4" x14ac:dyDescent="0.25">
      <c r="A391" s="83" t="s">
        <v>2605</v>
      </c>
      <c r="B391" s="83">
        <v>2</v>
      </c>
      <c r="C391" s="114">
        <v>1.1524152049101782E-3</v>
      </c>
      <c r="D391" s="83" t="s">
        <v>2626</v>
      </c>
    </row>
    <row r="392" spans="1:4" x14ac:dyDescent="0.25">
      <c r="A392" s="83" t="s">
        <v>2606</v>
      </c>
      <c r="B392" s="83">
        <v>2</v>
      </c>
      <c r="C392" s="114">
        <v>1.1524152049101782E-3</v>
      </c>
      <c r="D392" s="83" t="s">
        <v>2626</v>
      </c>
    </row>
    <row r="393" spans="1:4" x14ac:dyDescent="0.25">
      <c r="A393" s="83" t="s">
        <v>2607</v>
      </c>
      <c r="B393" s="83">
        <v>2</v>
      </c>
      <c r="C393" s="114">
        <v>1.1524152049101782E-3</v>
      </c>
      <c r="D393" s="83" t="s">
        <v>2626</v>
      </c>
    </row>
    <row r="394" spans="1:4" x14ac:dyDescent="0.25">
      <c r="A394" s="83" t="s">
        <v>2608</v>
      </c>
      <c r="B394" s="83">
        <v>2</v>
      </c>
      <c r="C394" s="114">
        <v>1.1524152049101782E-3</v>
      </c>
      <c r="D394" s="83" t="s">
        <v>2626</v>
      </c>
    </row>
    <row r="395" spans="1:4" x14ac:dyDescent="0.25">
      <c r="A395" s="83" t="s">
        <v>641</v>
      </c>
      <c r="B395" s="83">
        <v>2</v>
      </c>
      <c r="C395" s="114">
        <v>1.1524152049101782E-3</v>
      </c>
      <c r="D395" s="83" t="s">
        <v>2626</v>
      </c>
    </row>
    <row r="396" spans="1:4" x14ac:dyDescent="0.25">
      <c r="A396" s="83" t="s">
        <v>2609</v>
      </c>
      <c r="B396" s="83">
        <v>2</v>
      </c>
      <c r="C396" s="114">
        <v>1.1524152049101782E-3</v>
      </c>
      <c r="D396" s="83" t="s">
        <v>2626</v>
      </c>
    </row>
    <row r="397" spans="1:4" x14ac:dyDescent="0.25">
      <c r="A397" s="83" t="s">
        <v>2610</v>
      </c>
      <c r="B397" s="83">
        <v>2</v>
      </c>
      <c r="C397" s="114">
        <v>1.1524152049101782E-3</v>
      </c>
      <c r="D397" s="83" t="s">
        <v>2626</v>
      </c>
    </row>
    <row r="398" spans="1:4" x14ac:dyDescent="0.25">
      <c r="A398" s="83" t="s">
        <v>2611</v>
      </c>
      <c r="B398" s="83">
        <v>2</v>
      </c>
      <c r="C398" s="114">
        <v>1.1524152049101782E-3</v>
      </c>
      <c r="D398" s="83" t="s">
        <v>2626</v>
      </c>
    </row>
    <row r="399" spans="1:4" x14ac:dyDescent="0.25">
      <c r="A399" s="83" t="s">
        <v>2612</v>
      </c>
      <c r="B399" s="83">
        <v>2</v>
      </c>
      <c r="C399" s="114">
        <v>1.1524152049101782E-3</v>
      </c>
      <c r="D399" s="83" t="s">
        <v>2626</v>
      </c>
    </row>
    <row r="400" spans="1:4" x14ac:dyDescent="0.25">
      <c r="A400" s="83" t="s">
        <v>2613</v>
      </c>
      <c r="B400" s="83">
        <v>2</v>
      </c>
      <c r="C400" s="114">
        <v>1.1524152049101782E-3</v>
      </c>
      <c r="D400" s="83" t="s">
        <v>2626</v>
      </c>
    </row>
    <row r="401" spans="1:4" x14ac:dyDescent="0.25">
      <c r="A401" s="83" t="s">
        <v>2614</v>
      </c>
      <c r="B401" s="83">
        <v>2</v>
      </c>
      <c r="C401" s="114">
        <v>1.1524152049101782E-3</v>
      </c>
      <c r="D401" s="83" t="s">
        <v>2626</v>
      </c>
    </row>
    <row r="402" spans="1:4" x14ac:dyDescent="0.25">
      <c r="A402" s="83" t="s">
        <v>2615</v>
      </c>
      <c r="B402" s="83">
        <v>2</v>
      </c>
      <c r="C402" s="114">
        <v>1.1524152049101782E-3</v>
      </c>
      <c r="D402" s="83" t="s">
        <v>2626</v>
      </c>
    </row>
    <row r="403" spans="1:4" x14ac:dyDescent="0.25">
      <c r="A403" s="83" t="s">
        <v>638</v>
      </c>
      <c r="B403" s="83">
        <v>2</v>
      </c>
      <c r="C403" s="114">
        <v>1.1524152049101782E-3</v>
      </c>
      <c r="D403" s="83" t="s">
        <v>2626</v>
      </c>
    </row>
    <row r="404" spans="1:4" x14ac:dyDescent="0.25">
      <c r="A404" s="83" t="s">
        <v>2616</v>
      </c>
      <c r="B404" s="83">
        <v>2</v>
      </c>
      <c r="C404" s="114">
        <v>1.3121551866899506E-3</v>
      </c>
      <c r="D404" s="83" t="s">
        <v>2626</v>
      </c>
    </row>
    <row r="405" spans="1:4" x14ac:dyDescent="0.25">
      <c r="A405" s="83" t="s">
        <v>2617</v>
      </c>
      <c r="B405" s="83">
        <v>2</v>
      </c>
      <c r="C405" s="114">
        <v>1.1524152049101782E-3</v>
      </c>
      <c r="D405" s="83" t="s">
        <v>2626</v>
      </c>
    </row>
    <row r="406" spans="1:4" x14ac:dyDescent="0.25">
      <c r="A406" s="83" t="s">
        <v>2618</v>
      </c>
      <c r="B406" s="83">
        <v>2</v>
      </c>
      <c r="C406" s="114">
        <v>1.1524152049101782E-3</v>
      </c>
      <c r="D406" s="83" t="s">
        <v>2626</v>
      </c>
    </row>
    <row r="407" spans="1:4" x14ac:dyDescent="0.25">
      <c r="A407" s="83" t="s">
        <v>2619</v>
      </c>
      <c r="B407" s="83">
        <v>2</v>
      </c>
      <c r="C407" s="114">
        <v>1.1524152049101782E-3</v>
      </c>
      <c r="D407" s="83" t="s">
        <v>2626</v>
      </c>
    </row>
    <row r="408" spans="1:4" x14ac:dyDescent="0.25">
      <c r="A408" s="83" t="s">
        <v>2620</v>
      </c>
      <c r="B408" s="83">
        <v>2</v>
      </c>
      <c r="C408" s="114">
        <v>1.1524152049101782E-3</v>
      </c>
      <c r="D408" s="83" t="s">
        <v>2626</v>
      </c>
    </row>
    <row r="409" spans="1:4" x14ac:dyDescent="0.25">
      <c r="A409" s="83" t="s">
        <v>2621</v>
      </c>
      <c r="B409" s="83">
        <v>2</v>
      </c>
      <c r="C409" s="114">
        <v>1.1524152049101782E-3</v>
      </c>
      <c r="D409" s="83" t="s">
        <v>2626</v>
      </c>
    </row>
    <row r="410" spans="1:4" x14ac:dyDescent="0.25">
      <c r="A410" s="83" t="s">
        <v>2622</v>
      </c>
      <c r="B410" s="83">
        <v>2</v>
      </c>
      <c r="C410" s="114">
        <v>1.1524152049101782E-3</v>
      </c>
      <c r="D410" s="83" t="s">
        <v>2626</v>
      </c>
    </row>
    <row r="411" spans="1:4" x14ac:dyDescent="0.25">
      <c r="A411" s="83" t="s">
        <v>2623</v>
      </c>
      <c r="B411" s="83">
        <v>2</v>
      </c>
      <c r="C411" s="114">
        <v>1.1524152049101782E-3</v>
      </c>
      <c r="D411" s="83" t="s">
        <v>2626</v>
      </c>
    </row>
    <row r="412" spans="1:4" x14ac:dyDescent="0.25">
      <c r="A412" s="83" t="s">
        <v>2235</v>
      </c>
      <c r="B412" s="83">
        <v>124</v>
      </c>
      <c r="C412" s="114">
        <v>0</v>
      </c>
      <c r="D412" s="83" t="s">
        <v>2212</v>
      </c>
    </row>
    <row r="413" spans="1:4" x14ac:dyDescent="0.25">
      <c r="A413" s="83" t="s">
        <v>2236</v>
      </c>
      <c r="B413" s="83">
        <v>63</v>
      </c>
      <c r="C413" s="114">
        <v>1.3484749687922544E-2</v>
      </c>
      <c r="D413" s="83" t="s">
        <v>2212</v>
      </c>
    </row>
    <row r="414" spans="1:4" x14ac:dyDescent="0.25">
      <c r="A414" s="83" t="s">
        <v>2237</v>
      </c>
      <c r="B414" s="83">
        <v>50</v>
      </c>
      <c r="C414" s="114">
        <v>1.2506394445980224E-2</v>
      </c>
      <c r="D414" s="83" t="s">
        <v>2212</v>
      </c>
    </row>
    <row r="415" spans="1:4" x14ac:dyDescent="0.25">
      <c r="A415" s="83" t="s">
        <v>2238</v>
      </c>
      <c r="B415" s="83">
        <v>45</v>
      </c>
      <c r="C415" s="114">
        <v>1.2561453844267666E-2</v>
      </c>
      <c r="D415" s="83" t="s">
        <v>2212</v>
      </c>
    </row>
    <row r="416" spans="1:4" x14ac:dyDescent="0.25">
      <c r="A416" s="83" t="s">
        <v>2243</v>
      </c>
      <c r="B416" s="83">
        <v>35</v>
      </c>
      <c r="C416" s="114">
        <v>1.2192376302104362E-2</v>
      </c>
      <c r="D416" s="83" t="s">
        <v>2212</v>
      </c>
    </row>
    <row r="417" spans="1:4" x14ac:dyDescent="0.25">
      <c r="A417" s="83" t="s">
        <v>2244</v>
      </c>
      <c r="B417" s="83">
        <v>27</v>
      </c>
      <c r="C417" s="114">
        <v>1.1335170492763278E-2</v>
      </c>
      <c r="D417" s="83" t="s">
        <v>2212</v>
      </c>
    </row>
    <row r="418" spans="1:4" x14ac:dyDescent="0.25">
      <c r="A418" s="83" t="s">
        <v>662</v>
      </c>
      <c r="B418" s="83">
        <v>25</v>
      </c>
      <c r="C418" s="114">
        <v>1.1025391193566858E-2</v>
      </c>
      <c r="D418" s="83" t="s">
        <v>2212</v>
      </c>
    </row>
    <row r="419" spans="1:4" x14ac:dyDescent="0.25">
      <c r="A419" s="83" t="s">
        <v>2248</v>
      </c>
      <c r="B419" s="83">
        <v>23</v>
      </c>
      <c r="C419" s="114">
        <v>1.0953060938377085E-2</v>
      </c>
      <c r="D419" s="83" t="s">
        <v>2212</v>
      </c>
    </row>
    <row r="420" spans="1:4" x14ac:dyDescent="0.25">
      <c r="A420" s="83" t="s">
        <v>2253</v>
      </c>
      <c r="B420" s="83">
        <v>20</v>
      </c>
      <c r="C420" s="114">
        <v>1.0049355605558072E-2</v>
      </c>
      <c r="D420" s="83" t="s">
        <v>2212</v>
      </c>
    </row>
    <row r="421" spans="1:4" x14ac:dyDescent="0.25">
      <c r="A421" s="83" t="s">
        <v>2258</v>
      </c>
      <c r="B421" s="83">
        <v>20</v>
      </c>
      <c r="C421" s="114">
        <v>1.0049355605558072E-2</v>
      </c>
      <c r="D421" s="83" t="s">
        <v>2212</v>
      </c>
    </row>
    <row r="422" spans="1:4" x14ac:dyDescent="0.25">
      <c r="A422" s="83" t="s">
        <v>2257</v>
      </c>
      <c r="B422" s="83">
        <v>20</v>
      </c>
      <c r="C422" s="114">
        <v>1.0049355605558072E-2</v>
      </c>
      <c r="D422" s="83" t="s">
        <v>2212</v>
      </c>
    </row>
    <row r="423" spans="1:4" x14ac:dyDescent="0.25">
      <c r="A423" s="83" t="s">
        <v>644</v>
      </c>
      <c r="B423" s="83">
        <v>19</v>
      </c>
      <c r="C423" s="114">
        <v>9.8152781230048929E-3</v>
      </c>
      <c r="D423" s="83" t="s">
        <v>2212</v>
      </c>
    </row>
    <row r="424" spans="1:4" x14ac:dyDescent="0.25">
      <c r="A424" s="83" t="s">
        <v>2252</v>
      </c>
      <c r="B424" s="83">
        <v>18</v>
      </c>
      <c r="C424" s="114">
        <v>9.5666995821564512E-3</v>
      </c>
      <c r="D424" s="83" t="s">
        <v>2212</v>
      </c>
    </row>
    <row r="425" spans="1:4" x14ac:dyDescent="0.25">
      <c r="A425" s="83" t="s">
        <v>2264</v>
      </c>
      <c r="B425" s="83">
        <v>18</v>
      </c>
      <c r="C425" s="114">
        <v>9.5666995821564512E-3</v>
      </c>
      <c r="D425" s="83" t="s">
        <v>2212</v>
      </c>
    </row>
    <row r="426" spans="1:4" x14ac:dyDescent="0.25">
      <c r="A426" s="83" t="s">
        <v>2247</v>
      </c>
      <c r="B426" s="83">
        <v>18</v>
      </c>
      <c r="C426" s="114">
        <v>9.5666995821564512E-3</v>
      </c>
      <c r="D426" s="83" t="s">
        <v>2212</v>
      </c>
    </row>
    <row r="427" spans="1:4" x14ac:dyDescent="0.25">
      <c r="A427" s="83" t="s">
        <v>2260</v>
      </c>
      <c r="B427" s="83">
        <v>18</v>
      </c>
      <c r="C427" s="114">
        <v>9.5666995821564512E-3</v>
      </c>
      <c r="D427" s="83" t="s">
        <v>2212</v>
      </c>
    </row>
    <row r="428" spans="1:4" x14ac:dyDescent="0.25">
      <c r="A428" s="83" t="s">
        <v>2261</v>
      </c>
      <c r="B428" s="83">
        <v>17</v>
      </c>
      <c r="C428" s="114">
        <v>9.3028135601314777E-3</v>
      </c>
      <c r="D428" s="83" t="s">
        <v>2212</v>
      </c>
    </row>
    <row r="429" spans="1:4" x14ac:dyDescent="0.25">
      <c r="A429" s="83" t="s">
        <v>2265</v>
      </c>
      <c r="B429" s="83">
        <v>17</v>
      </c>
      <c r="C429" s="114">
        <v>9.3028135601314777E-3</v>
      </c>
      <c r="D429" s="83" t="s">
        <v>2212</v>
      </c>
    </row>
    <row r="430" spans="1:4" x14ac:dyDescent="0.25">
      <c r="A430" s="83" t="s">
        <v>2266</v>
      </c>
      <c r="B430" s="83">
        <v>17</v>
      </c>
      <c r="C430" s="114">
        <v>9.3028135601314777E-3</v>
      </c>
      <c r="D430" s="83" t="s">
        <v>2212</v>
      </c>
    </row>
    <row r="431" spans="1:4" x14ac:dyDescent="0.25">
      <c r="A431" s="83" t="s">
        <v>2251</v>
      </c>
      <c r="B431" s="83">
        <v>17</v>
      </c>
      <c r="C431" s="114">
        <v>9.3028135601314777E-3</v>
      </c>
      <c r="D431" s="83" t="s">
        <v>2212</v>
      </c>
    </row>
    <row r="432" spans="1:4" x14ac:dyDescent="0.25">
      <c r="A432" s="83" t="s">
        <v>2241</v>
      </c>
      <c r="B432" s="83">
        <v>17</v>
      </c>
      <c r="C432" s="114">
        <v>9.3028135601314777E-3</v>
      </c>
      <c r="D432" s="83" t="s">
        <v>2212</v>
      </c>
    </row>
    <row r="433" spans="1:4" x14ac:dyDescent="0.25">
      <c r="A433" s="83" t="s">
        <v>2245</v>
      </c>
      <c r="B433" s="83">
        <v>17</v>
      </c>
      <c r="C433" s="114">
        <v>9.3028135601314777E-3</v>
      </c>
      <c r="D433" s="83" t="s">
        <v>2212</v>
      </c>
    </row>
    <row r="434" spans="1:4" x14ac:dyDescent="0.25">
      <c r="A434" s="83" t="s">
        <v>2267</v>
      </c>
      <c r="B434" s="83">
        <v>17</v>
      </c>
      <c r="C434" s="114">
        <v>9.3028135601314777E-3</v>
      </c>
      <c r="D434" s="83" t="s">
        <v>2212</v>
      </c>
    </row>
    <row r="435" spans="1:4" x14ac:dyDescent="0.25">
      <c r="A435" s="83" t="s">
        <v>2250</v>
      </c>
      <c r="B435" s="83">
        <v>16</v>
      </c>
      <c r="C435" s="114">
        <v>9.0227186050101226E-3</v>
      </c>
      <c r="D435" s="83" t="s">
        <v>2212</v>
      </c>
    </row>
    <row r="436" spans="1:4" x14ac:dyDescent="0.25">
      <c r="A436" s="83" t="s">
        <v>2276</v>
      </c>
      <c r="B436" s="83">
        <v>14</v>
      </c>
      <c r="C436" s="114">
        <v>8.4097089998579309E-3</v>
      </c>
      <c r="D436" s="83" t="s">
        <v>2212</v>
      </c>
    </row>
    <row r="437" spans="1:4" x14ac:dyDescent="0.25">
      <c r="A437" s="83" t="s">
        <v>655</v>
      </c>
      <c r="B437" s="83">
        <v>14</v>
      </c>
      <c r="C437" s="114">
        <v>8.4097089998579309E-3</v>
      </c>
      <c r="D437" s="83" t="s">
        <v>2212</v>
      </c>
    </row>
    <row r="438" spans="1:4" x14ac:dyDescent="0.25">
      <c r="A438" s="83" t="s">
        <v>657</v>
      </c>
      <c r="B438" s="83">
        <v>13</v>
      </c>
      <c r="C438" s="114">
        <v>8.0743299474446278E-3</v>
      </c>
      <c r="D438" s="83" t="s">
        <v>2212</v>
      </c>
    </row>
    <row r="439" spans="1:4" x14ac:dyDescent="0.25">
      <c r="A439" s="83" t="s">
        <v>2280</v>
      </c>
      <c r="B439" s="83">
        <v>13</v>
      </c>
      <c r="C439" s="114">
        <v>8.0743299474446278E-3</v>
      </c>
      <c r="D439" s="83" t="s">
        <v>2212</v>
      </c>
    </row>
    <row r="440" spans="1:4" x14ac:dyDescent="0.25">
      <c r="A440" s="83" t="s">
        <v>2281</v>
      </c>
      <c r="B440" s="83">
        <v>13</v>
      </c>
      <c r="C440" s="114">
        <v>8.0743299474446278E-3</v>
      </c>
      <c r="D440" s="83" t="s">
        <v>2212</v>
      </c>
    </row>
    <row r="441" spans="1:4" x14ac:dyDescent="0.25">
      <c r="A441" s="83" t="s">
        <v>2273</v>
      </c>
      <c r="B441" s="83">
        <v>12</v>
      </c>
      <c r="C441" s="114">
        <v>7.7177458905360328E-3</v>
      </c>
      <c r="D441" s="83" t="s">
        <v>2212</v>
      </c>
    </row>
    <row r="442" spans="1:4" x14ac:dyDescent="0.25">
      <c r="A442" s="83" t="s">
        <v>2256</v>
      </c>
      <c r="B442" s="83">
        <v>12</v>
      </c>
      <c r="C442" s="114">
        <v>7.7177458905360328E-3</v>
      </c>
      <c r="D442" s="83" t="s">
        <v>2212</v>
      </c>
    </row>
    <row r="443" spans="1:4" x14ac:dyDescent="0.25">
      <c r="A443" s="83" t="s">
        <v>2270</v>
      </c>
      <c r="B443" s="83">
        <v>12</v>
      </c>
      <c r="C443" s="114">
        <v>7.7177458905360328E-3</v>
      </c>
      <c r="D443" s="83" t="s">
        <v>2212</v>
      </c>
    </row>
    <row r="444" spans="1:4" x14ac:dyDescent="0.25">
      <c r="A444" s="83" t="s">
        <v>2271</v>
      </c>
      <c r="B444" s="83">
        <v>12</v>
      </c>
      <c r="C444" s="114">
        <v>7.7177458905360328E-3</v>
      </c>
      <c r="D444" s="83" t="s">
        <v>2212</v>
      </c>
    </row>
    <row r="445" spans="1:4" x14ac:dyDescent="0.25">
      <c r="A445" s="83" t="s">
        <v>661</v>
      </c>
      <c r="B445" s="83">
        <v>11</v>
      </c>
      <c r="C445" s="114">
        <v>7.3381857958428089E-3</v>
      </c>
      <c r="D445" s="83" t="s">
        <v>2212</v>
      </c>
    </row>
    <row r="446" spans="1:4" x14ac:dyDescent="0.25">
      <c r="A446" s="83" t="s">
        <v>2296</v>
      </c>
      <c r="B446" s="83">
        <v>11</v>
      </c>
      <c r="C446" s="114">
        <v>7.3381857958428089E-3</v>
      </c>
      <c r="D446" s="83" t="s">
        <v>2212</v>
      </c>
    </row>
    <row r="447" spans="1:4" x14ac:dyDescent="0.25">
      <c r="A447" s="83" t="s">
        <v>2246</v>
      </c>
      <c r="B447" s="83">
        <v>10</v>
      </c>
      <c r="C447" s="114">
        <v>6.9335553910097351E-3</v>
      </c>
      <c r="D447" s="83" t="s">
        <v>2212</v>
      </c>
    </row>
    <row r="448" spans="1:4" x14ac:dyDescent="0.25">
      <c r="A448" s="83" t="s">
        <v>2283</v>
      </c>
      <c r="B448" s="83">
        <v>10</v>
      </c>
      <c r="C448" s="114">
        <v>6.9335553910097351E-3</v>
      </c>
      <c r="D448" s="83" t="s">
        <v>2212</v>
      </c>
    </row>
    <row r="449" spans="1:4" x14ac:dyDescent="0.25">
      <c r="A449" s="83" t="s">
        <v>2284</v>
      </c>
      <c r="B449" s="83">
        <v>10</v>
      </c>
      <c r="C449" s="114">
        <v>6.9335553910097351E-3</v>
      </c>
      <c r="D449" s="83" t="s">
        <v>2212</v>
      </c>
    </row>
    <row r="450" spans="1:4" x14ac:dyDescent="0.25">
      <c r="A450" s="83" t="s">
        <v>2249</v>
      </c>
      <c r="B450" s="83">
        <v>10</v>
      </c>
      <c r="C450" s="114">
        <v>6.9335553910097351E-3</v>
      </c>
      <c r="D450" s="83" t="s">
        <v>2212</v>
      </c>
    </row>
    <row r="451" spans="1:4" x14ac:dyDescent="0.25">
      <c r="A451" s="83" t="s">
        <v>2301</v>
      </c>
      <c r="B451" s="83">
        <v>9</v>
      </c>
      <c r="C451" s="114">
        <v>6.5013396204858537E-3</v>
      </c>
      <c r="D451" s="83" t="s">
        <v>2212</v>
      </c>
    </row>
    <row r="452" spans="1:4" x14ac:dyDescent="0.25">
      <c r="A452" s="83" t="s">
        <v>2275</v>
      </c>
      <c r="B452" s="83">
        <v>9</v>
      </c>
      <c r="C452" s="114">
        <v>6.5013396204858537E-3</v>
      </c>
      <c r="D452" s="83" t="s">
        <v>2212</v>
      </c>
    </row>
    <row r="453" spans="1:4" x14ac:dyDescent="0.25">
      <c r="A453" s="83" t="s">
        <v>2302</v>
      </c>
      <c r="B453" s="83">
        <v>9</v>
      </c>
      <c r="C453" s="114">
        <v>6.5013396204858537E-3</v>
      </c>
      <c r="D453" s="83" t="s">
        <v>2212</v>
      </c>
    </row>
    <row r="454" spans="1:4" x14ac:dyDescent="0.25">
      <c r="A454" s="83" t="s">
        <v>2303</v>
      </c>
      <c r="B454" s="83">
        <v>9</v>
      </c>
      <c r="C454" s="114">
        <v>6.5013396204858537E-3</v>
      </c>
      <c r="D454" s="83" t="s">
        <v>2212</v>
      </c>
    </row>
    <row r="455" spans="1:4" x14ac:dyDescent="0.25">
      <c r="A455" s="83" t="s">
        <v>2304</v>
      </c>
      <c r="B455" s="83">
        <v>9</v>
      </c>
      <c r="C455" s="114">
        <v>6.5013396204858537E-3</v>
      </c>
      <c r="D455" s="83" t="s">
        <v>2212</v>
      </c>
    </row>
    <row r="456" spans="1:4" x14ac:dyDescent="0.25">
      <c r="A456" s="83" t="s">
        <v>2305</v>
      </c>
      <c r="B456" s="83">
        <v>9</v>
      </c>
      <c r="C456" s="114">
        <v>6.5013396204858537E-3</v>
      </c>
      <c r="D456" s="83" t="s">
        <v>2212</v>
      </c>
    </row>
    <row r="457" spans="1:4" x14ac:dyDescent="0.25">
      <c r="A457" s="83" t="s">
        <v>2306</v>
      </c>
      <c r="B457" s="83">
        <v>9</v>
      </c>
      <c r="C457" s="114">
        <v>6.5013396204858537E-3</v>
      </c>
      <c r="D457" s="83" t="s">
        <v>2212</v>
      </c>
    </row>
    <row r="458" spans="1:4" x14ac:dyDescent="0.25">
      <c r="A458" s="83" t="s">
        <v>645</v>
      </c>
      <c r="B458" s="83">
        <v>8</v>
      </c>
      <c r="C458" s="114">
        <v>6.0384613730896201E-3</v>
      </c>
      <c r="D458" s="83" t="s">
        <v>2212</v>
      </c>
    </row>
    <row r="459" spans="1:4" x14ac:dyDescent="0.25">
      <c r="A459" s="83" t="s">
        <v>2279</v>
      </c>
      <c r="B459" s="83">
        <v>8</v>
      </c>
      <c r="C459" s="114">
        <v>6.0384613730896201E-3</v>
      </c>
      <c r="D459" s="83" t="s">
        <v>2212</v>
      </c>
    </row>
    <row r="460" spans="1:4" x14ac:dyDescent="0.25">
      <c r="A460" s="83" t="s">
        <v>2242</v>
      </c>
      <c r="B460" s="83">
        <v>8</v>
      </c>
      <c r="C460" s="114">
        <v>6.0384613730896201E-3</v>
      </c>
      <c r="D460" s="83" t="s">
        <v>2212</v>
      </c>
    </row>
    <row r="461" spans="1:4" x14ac:dyDescent="0.25">
      <c r="A461" s="83" t="s">
        <v>2320</v>
      </c>
      <c r="B461" s="83">
        <v>7</v>
      </c>
      <c r="C461" s="114">
        <v>5.541068811690455E-3</v>
      </c>
      <c r="D461" s="83" t="s">
        <v>2212</v>
      </c>
    </row>
    <row r="462" spans="1:4" x14ac:dyDescent="0.25">
      <c r="A462" s="83" t="s">
        <v>2268</v>
      </c>
      <c r="B462" s="83">
        <v>7</v>
      </c>
      <c r="C462" s="114">
        <v>5.541068811690455E-3</v>
      </c>
      <c r="D462" s="83" t="s">
        <v>2212</v>
      </c>
    </row>
    <row r="463" spans="1:4" x14ac:dyDescent="0.25">
      <c r="A463" s="83" t="s">
        <v>2254</v>
      </c>
      <c r="B463" s="83">
        <v>7</v>
      </c>
      <c r="C463" s="114">
        <v>5.541068811690455E-3</v>
      </c>
      <c r="D463" s="83" t="s">
        <v>2212</v>
      </c>
    </row>
    <row r="464" spans="1:4" x14ac:dyDescent="0.25">
      <c r="A464" s="83" t="s">
        <v>2311</v>
      </c>
      <c r="B464" s="83">
        <v>7</v>
      </c>
      <c r="C464" s="114">
        <v>5.541068811690455E-3</v>
      </c>
      <c r="D464" s="83" t="s">
        <v>2212</v>
      </c>
    </row>
    <row r="465" spans="1:4" x14ac:dyDescent="0.25">
      <c r="A465" s="83" t="s">
        <v>2332</v>
      </c>
      <c r="B465" s="83">
        <v>7</v>
      </c>
      <c r="C465" s="114">
        <v>5.541068811690455E-3</v>
      </c>
      <c r="D465" s="83" t="s">
        <v>2212</v>
      </c>
    </row>
    <row r="466" spans="1:4" x14ac:dyDescent="0.25">
      <c r="A466" s="83" t="s">
        <v>2319</v>
      </c>
      <c r="B466" s="83">
        <v>6</v>
      </c>
      <c r="C466" s="114">
        <v>5.0041994982064353E-3</v>
      </c>
      <c r="D466" s="83" t="s">
        <v>2212</v>
      </c>
    </row>
    <row r="467" spans="1:4" x14ac:dyDescent="0.25">
      <c r="A467" s="83" t="s">
        <v>2333</v>
      </c>
      <c r="B467" s="83">
        <v>6</v>
      </c>
      <c r="C467" s="114">
        <v>5.0041994982064353E-3</v>
      </c>
      <c r="D467" s="83" t="s">
        <v>2212</v>
      </c>
    </row>
    <row r="468" spans="1:4" x14ac:dyDescent="0.25">
      <c r="A468" s="83" t="s">
        <v>2334</v>
      </c>
      <c r="B468" s="83">
        <v>6</v>
      </c>
      <c r="C468" s="114">
        <v>5.0041994982064353E-3</v>
      </c>
      <c r="D468" s="83" t="s">
        <v>2212</v>
      </c>
    </row>
    <row r="469" spans="1:4" x14ac:dyDescent="0.25">
      <c r="A469" s="83" t="s">
        <v>2335</v>
      </c>
      <c r="B469" s="83">
        <v>6</v>
      </c>
      <c r="C469" s="114">
        <v>5.0041994982064353E-3</v>
      </c>
      <c r="D469" s="83" t="s">
        <v>2212</v>
      </c>
    </row>
    <row r="470" spans="1:4" x14ac:dyDescent="0.25">
      <c r="A470" s="83" t="s">
        <v>2336</v>
      </c>
      <c r="B470" s="83">
        <v>6</v>
      </c>
      <c r="C470" s="114">
        <v>5.0041994982064353E-3</v>
      </c>
      <c r="D470" s="83" t="s">
        <v>2212</v>
      </c>
    </row>
    <row r="471" spans="1:4" x14ac:dyDescent="0.25">
      <c r="A471" s="83" t="s">
        <v>2337</v>
      </c>
      <c r="B471" s="83">
        <v>6</v>
      </c>
      <c r="C471" s="114">
        <v>5.0041994982064353E-3</v>
      </c>
      <c r="D471" s="83" t="s">
        <v>2212</v>
      </c>
    </row>
    <row r="472" spans="1:4" x14ac:dyDescent="0.25">
      <c r="A472" s="83" t="s">
        <v>2338</v>
      </c>
      <c r="B472" s="83">
        <v>6</v>
      </c>
      <c r="C472" s="114">
        <v>5.0041994982064353E-3</v>
      </c>
      <c r="D472" s="83" t="s">
        <v>2212</v>
      </c>
    </row>
    <row r="473" spans="1:4" x14ac:dyDescent="0.25">
      <c r="A473" s="83" t="s">
        <v>2339</v>
      </c>
      <c r="B473" s="83">
        <v>6</v>
      </c>
      <c r="C473" s="114">
        <v>5.0041994982064353E-3</v>
      </c>
      <c r="D473" s="83" t="s">
        <v>2212</v>
      </c>
    </row>
    <row r="474" spans="1:4" x14ac:dyDescent="0.25">
      <c r="A474" s="83" t="s">
        <v>2340</v>
      </c>
      <c r="B474" s="83">
        <v>6</v>
      </c>
      <c r="C474" s="114">
        <v>5.0041994982064353E-3</v>
      </c>
      <c r="D474" s="83" t="s">
        <v>2212</v>
      </c>
    </row>
    <row r="475" spans="1:4" x14ac:dyDescent="0.25">
      <c r="A475" s="83" t="s">
        <v>2341</v>
      </c>
      <c r="B475" s="83">
        <v>6</v>
      </c>
      <c r="C475" s="114">
        <v>5.0041994982064353E-3</v>
      </c>
      <c r="D475" s="83" t="s">
        <v>2212</v>
      </c>
    </row>
    <row r="476" spans="1:4" x14ac:dyDescent="0.25">
      <c r="A476" s="83" t="s">
        <v>2342</v>
      </c>
      <c r="B476" s="83">
        <v>6</v>
      </c>
      <c r="C476" s="114">
        <v>5.0041994982064353E-3</v>
      </c>
      <c r="D476" s="83" t="s">
        <v>2212</v>
      </c>
    </row>
    <row r="477" spans="1:4" x14ac:dyDescent="0.25">
      <c r="A477" s="83" t="s">
        <v>2239</v>
      </c>
      <c r="B477" s="83">
        <v>6</v>
      </c>
      <c r="C477" s="114">
        <v>5.3054597875442592E-3</v>
      </c>
      <c r="D477" s="83" t="s">
        <v>2212</v>
      </c>
    </row>
    <row r="478" spans="1:4" x14ac:dyDescent="0.25">
      <c r="A478" s="83" t="s">
        <v>2269</v>
      </c>
      <c r="B478" s="83">
        <v>6</v>
      </c>
      <c r="C478" s="114">
        <v>5.0041994982064353E-3</v>
      </c>
      <c r="D478" s="83" t="s">
        <v>2212</v>
      </c>
    </row>
    <row r="479" spans="1:4" x14ac:dyDescent="0.25">
      <c r="A479" s="83" t="s">
        <v>2289</v>
      </c>
      <c r="B479" s="83">
        <v>6</v>
      </c>
      <c r="C479" s="114">
        <v>5.0041994982064353E-3</v>
      </c>
      <c r="D479" s="83" t="s">
        <v>2212</v>
      </c>
    </row>
    <row r="480" spans="1:4" x14ac:dyDescent="0.25">
      <c r="A480" s="83" t="s">
        <v>2356</v>
      </c>
      <c r="B480" s="83">
        <v>5</v>
      </c>
      <c r="C480" s="114">
        <v>4.4212164896202163E-3</v>
      </c>
      <c r="D480" s="83" t="s">
        <v>2212</v>
      </c>
    </row>
    <row r="481" spans="1:4" x14ac:dyDescent="0.25">
      <c r="A481" s="83" t="s">
        <v>2357</v>
      </c>
      <c r="B481" s="83">
        <v>5</v>
      </c>
      <c r="C481" s="114">
        <v>4.4212164896202163E-3</v>
      </c>
      <c r="D481" s="83" t="s">
        <v>2212</v>
      </c>
    </row>
    <row r="482" spans="1:4" x14ac:dyDescent="0.25">
      <c r="A482" s="83" t="s">
        <v>2321</v>
      </c>
      <c r="B482" s="83">
        <v>5</v>
      </c>
      <c r="C482" s="114">
        <v>4.4212164896202163E-3</v>
      </c>
      <c r="D482" s="83" t="s">
        <v>2212</v>
      </c>
    </row>
    <row r="483" spans="1:4" x14ac:dyDescent="0.25">
      <c r="A483" s="83" t="s">
        <v>2358</v>
      </c>
      <c r="B483" s="83">
        <v>5</v>
      </c>
      <c r="C483" s="114">
        <v>4.4212164896202163E-3</v>
      </c>
      <c r="D483" s="83" t="s">
        <v>2212</v>
      </c>
    </row>
    <row r="484" spans="1:4" x14ac:dyDescent="0.25">
      <c r="A484" s="83" t="s">
        <v>2375</v>
      </c>
      <c r="B484" s="83">
        <v>4</v>
      </c>
      <c r="C484" s="114">
        <v>4.5463327571293698E-3</v>
      </c>
      <c r="D484" s="83" t="s">
        <v>2212</v>
      </c>
    </row>
    <row r="485" spans="1:4" x14ac:dyDescent="0.25">
      <c r="A485" s="83" t="s">
        <v>2324</v>
      </c>
      <c r="B485" s="83">
        <v>4</v>
      </c>
      <c r="C485" s="114">
        <v>4.0996840340965703E-3</v>
      </c>
      <c r="D485" s="83" t="s">
        <v>2212</v>
      </c>
    </row>
    <row r="486" spans="1:4" x14ac:dyDescent="0.25">
      <c r="A486" s="83" t="s">
        <v>2378</v>
      </c>
      <c r="B486" s="83">
        <v>4</v>
      </c>
      <c r="C486" s="114">
        <v>3.7827817218370899E-3</v>
      </c>
      <c r="D486" s="83" t="s">
        <v>2212</v>
      </c>
    </row>
    <row r="487" spans="1:4" x14ac:dyDescent="0.25">
      <c r="A487" s="83" t="s">
        <v>2308</v>
      </c>
      <c r="B487" s="83">
        <v>4</v>
      </c>
      <c r="C487" s="114">
        <v>3.7827817218370899E-3</v>
      </c>
      <c r="D487" s="83" t="s">
        <v>2212</v>
      </c>
    </row>
    <row r="488" spans="1:4" x14ac:dyDescent="0.25">
      <c r="A488" s="83" t="s">
        <v>2411</v>
      </c>
      <c r="B488" s="83">
        <v>3</v>
      </c>
      <c r="C488" s="114">
        <v>3.0747630255724277E-3</v>
      </c>
      <c r="D488" s="83" t="s">
        <v>2212</v>
      </c>
    </row>
    <row r="489" spans="1:4" x14ac:dyDescent="0.25">
      <c r="A489" s="83" t="s">
        <v>2376</v>
      </c>
      <c r="B489" s="83">
        <v>3</v>
      </c>
      <c r="C489" s="114">
        <v>3.0747630255724277E-3</v>
      </c>
      <c r="D489" s="83" t="s">
        <v>2212</v>
      </c>
    </row>
    <row r="490" spans="1:4" x14ac:dyDescent="0.25">
      <c r="A490" s="83" t="s">
        <v>2298</v>
      </c>
      <c r="B490" s="83">
        <v>3</v>
      </c>
      <c r="C490" s="114">
        <v>3.0747630255724277E-3</v>
      </c>
      <c r="D490" s="83" t="s">
        <v>2212</v>
      </c>
    </row>
    <row r="491" spans="1:4" x14ac:dyDescent="0.25">
      <c r="A491" s="83" t="s">
        <v>2329</v>
      </c>
      <c r="B491" s="83">
        <v>3</v>
      </c>
      <c r="C491" s="114">
        <v>3.0747630255724277E-3</v>
      </c>
      <c r="D491" s="83" t="s">
        <v>2212</v>
      </c>
    </row>
    <row r="492" spans="1:4" x14ac:dyDescent="0.25">
      <c r="A492" s="83" t="s">
        <v>2377</v>
      </c>
      <c r="B492" s="83">
        <v>3</v>
      </c>
      <c r="C492" s="114">
        <v>3.0747630255724277E-3</v>
      </c>
      <c r="D492" s="83" t="s">
        <v>2212</v>
      </c>
    </row>
    <row r="493" spans="1:4" x14ac:dyDescent="0.25">
      <c r="A493" s="83" t="s">
        <v>2412</v>
      </c>
      <c r="B493" s="83">
        <v>3</v>
      </c>
      <c r="C493" s="114">
        <v>3.0747630255724277E-3</v>
      </c>
      <c r="D493" s="83" t="s">
        <v>2212</v>
      </c>
    </row>
    <row r="494" spans="1:4" x14ac:dyDescent="0.25">
      <c r="A494" s="83" t="s">
        <v>2255</v>
      </c>
      <c r="B494" s="83">
        <v>3</v>
      </c>
      <c r="C494" s="114">
        <v>3.0747630255724277E-3</v>
      </c>
      <c r="D494" s="83" t="s">
        <v>2212</v>
      </c>
    </row>
    <row r="495" spans="1:4" x14ac:dyDescent="0.25">
      <c r="A495" s="83" t="s">
        <v>2418</v>
      </c>
      <c r="B495" s="83">
        <v>3</v>
      </c>
      <c r="C495" s="114">
        <v>3.0747630255724277E-3</v>
      </c>
      <c r="D495" s="83" t="s">
        <v>2212</v>
      </c>
    </row>
    <row r="496" spans="1:4" x14ac:dyDescent="0.25">
      <c r="A496" s="83" t="s">
        <v>2379</v>
      </c>
      <c r="B496" s="83">
        <v>3</v>
      </c>
      <c r="C496" s="114">
        <v>3.0747630255724277E-3</v>
      </c>
      <c r="D496" s="83" t="s">
        <v>2212</v>
      </c>
    </row>
    <row r="497" spans="1:4" x14ac:dyDescent="0.25">
      <c r="A497" s="83" t="s">
        <v>2413</v>
      </c>
      <c r="B497" s="83">
        <v>3</v>
      </c>
      <c r="C497" s="114">
        <v>3.0747630255724277E-3</v>
      </c>
      <c r="D497" s="83" t="s">
        <v>2212</v>
      </c>
    </row>
    <row r="498" spans="1:4" x14ac:dyDescent="0.25">
      <c r="A498" s="83" t="s">
        <v>2274</v>
      </c>
      <c r="B498" s="83">
        <v>3</v>
      </c>
      <c r="C498" s="114">
        <v>3.0747630255724277E-3</v>
      </c>
      <c r="D498" s="83" t="s">
        <v>2212</v>
      </c>
    </row>
    <row r="499" spans="1:4" x14ac:dyDescent="0.25">
      <c r="A499" s="83" t="s">
        <v>254</v>
      </c>
      <c r="B499" s="83">
        <v>3</v>
      </c>
      <c r="C499" s="114">
        <v>3.0747630255724277E-3</v>
      </c>
      <c r="D499" s="83" t="s">
        <v>2212</v>
      </c>
    </row>
    <row r="500" spans="1:4" x14ac:dyDescent="0.25">
      <c r="A500" s="83" t="s">
        <v>2326</v>
      </c>
      <c r="B500" s="83">
        <v>3</v>
      </c>
      <c r="C500" s="114">
        <v>3.0747630255724277E-3</v>
      </c>
      <c r="D500" s="83" t="s">
        <v>2212</v>
      </c>
    </row>
    <row r="501" spans="1:4" x14ac:dyDescent="0.25">
      <c r="A501" s="83" t="s">
        <v>2240</v>
      </c>
      <c r="B501" s="83">
        <v>3</v>
      </c>
      <c r="C501" s="114">
        <v>3.0747630255724277E-3</v>
      </c>
      <c r="D501" s="83" t="s">
        <v>2212</v>
      </c>
    </row>
    <row r="502" spans="1:4" x14ac:dyDescent="0.25">
      <c r="A502" s="83" t="s">
        <v>2330</v>
      </c>
      <c r="B502" s="83">
        <v>3</v>
      </c>
      <c r="C502" s="114">
        <v>3.0747630255724277E-3</v>
      </c>
      <c r="D502" s="83" t="s">
        <v>2212</v>
      </c>
    </row>
    <row r="503" spans="1:4" x14ac:dyDescent="0.25">
      <c r="A503" s="83" t="s">
        <v>2317</v>
      </c>
      <c r="B503" s="83">
        <v>3</v>
      </c>
      <c r="C503" s="114">
        <v>3.0747630255724277E-3</v>
      </c>
      <c r="D503" s="83" t="s">
        <v>2212</v>
      </c>
    </row>
    <row r="504" spans="1:4" x14ac:dyDescent="0.25">
      <c r="A504" s="83" t="s">
        <v>2472</v>
      </c>
      <c r="B504" s="83">
        <v>3</v>
      </c>
      <c r="C504" s="114">
        <v>3.0747630255724277E-3</v>
      </c>
      <c r="D504" s="83" t="s">
        <v>2212</v>
      </c>
    </row>
    <row r="505" spans="1:4" x14ac:dyDescent="0.25">
      <c r="A505" s="83" t="s">
        <v>2477</v>
      </c>
      <c r="B505" s="83">
        <v>2</v>
      </c>
      <c r="C505" s="114">
        <v>2.2731663785646849E-3</v>
      </c>
      <c r="D505" s="83" t="s">
        <v>2212</v>
      </c>
    </row>
    <row r="506" spans="1:4" x14ac:dyDescent="0.25">
      <c r="A506" s="83" t="s">
        <v>2478</v>
      </c>
      <c r="B506" s="83">
        <v>2</v>
      </c>
      <c r="C506" s="114">
        <v>2.2731663785646849E-3</v>
      </c>
      <c r="D506" s="83" t="s">
        <v>2212</v>
      </c>
    </row>
    <row r="507" spans="1:4" x14ac:dyDescent="0.25">
      <c r="A507" s="83" t="s">
        <v>2479</v>
      </c>
      <c r="B507" s="83">
        <v>2</v>
      </c>
      <c r="C507" s="114">
        <v>2.2731663785646849E-3</v>
      </c>
      <c r="D507" s="83" t="s">
        <v>2212</v>
      </c>
    </row>
    <row r="508" spans="1:4" x14ac:dyDescent="0.25">
      <c r="A508" s="83" t="s">
        <v>2480</v>
      </c>
      <c r="B508" s="83">
        <v>2</v>
      </c>
      <c r="C508" s="114">
        <v>2.2731663785646849E-3</v>
      </c>
      <c r="D508" s="83" t="s">
        <v>2212</v>
      </c>
    </row>
    <row r="509" spans="1:4" x14ac:dyDescent="0.25">
      <c r="A509" s="83" t="s">
        <v>2481</v>
      </c>
      <c r="B509" s="83">
        <v>2</v>
      </c>
      <c r="C509" s="114">
        <v>2.2731663785646849E-3</v>
      </c>
      <c r="D509" s="83" t="s">
        <v>2212</v>
      </c>
    </row>
    <row r="510" spans="1:4" x14ac:dyDescent="0.25">
      <c r="A510" s="83" t="s">
        <v>2482</v>
      </c>
      <c r="B510" s="83">
        <v>2</v>
      </c>
      <c r="C510" s="114">
        <v>2.2731663785646849E-3</v>
      </c>
      <c r="D510" s="83" t="s">
        <v>2212</v>
      </c>
    </row>
    <row r="511" spans="1:4" x14ac:dyDescent="0.25">
      <c r="A511" s="83" t="s">
        <v>2483</v>
      </c>
      <c r="B511" s="83">
        <v>2</v>
      </c>
      <c r="C511" s="114">
        <v>2.2731663785646849E-3</v>
      </c>
      <c r="D511" s="83" t="s">
        <v>2212</v>
      </c>
    </row>
    <row r="512" spans="1:4" x14ac:dyDescent="0.25">
      <c r="A512" s="83" t="s">
        <v>2512</v>
      </c>
      <c r="B512" s="83">
        <v>2</v>
      </c>
      <c r="C512" s="114">
        <v>2.2731663785646849E-3</v>
      </c>
      <c r="D512" s="83" t="s">
        <v>2212</v>
      </c>
    </row>
    <row r="513" spans="1:4" x14ac:dyDescent="0.25">
      <c r="A513" s="83" t="s">
        <v>2484</v>
      </c>
      <c r="B513" s="83">
        <v>2</v>
      </c>
      <c r="C513" s="114">
        <v>2.2731663785646849E-3</v>
      </c>
      <c r="D513" s="83" t="s">
        <v>2212</v>
      </c>
    </row>
    <row r="514" spans="1:4" x14ac:dyDescent="0.25">
      <c r="A514" s="83" t="s">
        <v>2485</v>
      </c>
      <c r="B514" s="83">
        <v>2</v>
      </c>
      <c r="C514" s="114">
        <v>2.6549418962108244E-3</v>
      </c>
      <c r="D514" s="83" t="s">
        <v>2212</v>
      </c>
    </row>
    <row r="515" spans="1:4" x14ac:dyDescent="0.25">
      <c r="A515" s="83" t="s">
        <v>2343</v>
      </c>
      <c r="B515" s="83">
        <v>2</v>
      </c>
      <c r="C515" s="114">
        <v>2.2731663785646849E-3</v>
      </c>
      <c r="D515" s="83" t="s">
        <v>2212</v>
      </c>
    </row>
    <row r="516" spans="1:4" x14ac:dyDescent="0.25">
      <c r="A516" s="83" t="s">
        <v>2487</v>
      </c>
      <c r="B516" s="83">
        <v>2</v>
      </c>
      <c r="C516" s="114">
        <v>2.2731663785646849E-3</v>
      </c>
      <c r="D516" s="83" t="s">
        <v>2212</v>
      </c>
    </row>
    <row r="517" spans="1:4" x14ac:dyDescent="0.25">
      <c r="A517" s="83" t="s">
        <v>2533</v>
      </c>
      <c r="B517" s="83">
        <v>2</v>
      </c>
      <c r="C517" s="114">
        <v>2.6549418962108244E-3</v>
      </c>
      <c r="D517" s="83" t="s">
        <v>2212</v>
      </c>
    </row>
    <row r="518" spans="1:4" x14ac:dyDescent="0.25">
      <c r="A518" s="83" t="s">
        <v>2310</v>
      </c>
      <c r="B518" s="83">
        <v>2</v>
      </c>
      <c r="C518" s="114">
        <v>2.2731663785646849E-3</v>
      </c>
      <c r="D518" s="83" t="s">
        <v>2212</v>
      </c>
    </row>
    <row r="519" spans="1:4" x14ac:dyDescent="0.25">
      <c r="A519" s="83" t="s">
        <v>2488</v>
      </c>
      <c r="B519" s="83">
        <v>2</v>
      </c>
      <c r="C519" s="114">
        <v>2.2731663785646849E-3</v>
      </c>
      <c r="D519" s="83" t="s">
        <v>2212</v>
      </c>
    </row>
    <row r="520" spans="1:4" x14ac:dyDescent="0.25">
      <c r="A520" s="83" t="s">
        <v>2489</v>
      </c>
      <c r="B520" s="83">
        <v>2</v>
      </c>
      <c r="C520" s="114">
        <v>2.2731663785646849E-3</v>
      </c>
      <c r="D520" s="83" t="s">
        <v>2212</v>
      </c>
    </row>
    <row r="521" spans="1:4" x14ac:dyDescent="0.25">
      <c r="A521" s="83" t="s">
        <v>2490</v>
      </c>
      <c r="B521" s="83">
        <v>2</v>
      </c>
      <c r="C521" s="114">
        <v>2.2731663785646849E-3</v>
      </c>
      <c r="D521" s="83" t="s">
        <v>2212</v>
      </c>
    </row>
    <row r="522" spans="1:4" x14ac:dyDescent="0.25">
      <c r="A522" s="83" t="s">
        <v>2491</v>
      </c>
      <c r="B522" s="83">
        <v>2</v>
      </c>
      <c r="C522" s="114">
        <v>2.2731663785646849E-3</v>
      </c>
      <c r="D522" s="83" t="s">
        <v>2212</v>
      </c>
    </row>
    <row r="523" spans="1:4" x14ac:dyDescent="0.25">
      <c r="A523" s="83" t="s">
        <v>2492</v>
      </c>
      <c r="B523" s="83">
        <v>2</v>
      </c>
      <c r="C523" s="114">
        <v>2.2731663785646849E-3</v>
      </c>
      <c r="D523" s="83" t="s">
        <v>2212</v>
      </c>
    </row>
    <row r="524" spans="1:4" x14ac:dyDescent="0.25">
      <c r="A524" s="83" t="s">
        <v>2382</v>
      </c>
      <c r="B524" s="83">
        <v>2</v>
      </c>
      <c r="C524" s="114">
        <v>2.2731663785646849E-3</v>
      </c>
      <c r="D524" s="83" t="s">
        <v>2212</v>
      </c>
    </row>
    <row r="525" spans="1:4" x14ac:dyDescent="0.25">
      <c r="A525" s="83" t="s">
        <v>2493</v>
      </c>
      <c r="B525" s="83">
        <v>2</v>
      </c>
      <c r="C525" s="114">
        <v>2.2731663785646849E-3</v>
      </c>
      <c r="D525" s="83" t="s">
        <v>2212</v>
      </c>
    </row>
    <row r="526" spans="1:4" x14ac:dyDescent="0.25">
      <c r="A526" s="83" t="s">
        <v>2503</v>
      </c>
      <c r="B526" s="83">
        <v>2</v>
      </c>
      <c r="C526" s="114">
        <v>2.2731663785646849E-3</v>
      </c>
      <c r="D526" s="83" t="s">
        <v>2212</v>
      </c>
    </row>
    <row r="527" spans="1:4" x14ac:dyDescent="0.25">
      <c r="A527" s="83" t="s">
        <v>2381</v>
      </c>
      <c r="B527" s="83">
        <v>2</v>
      </c>
      <c r="C527" s="114">
        <v>2.2731663785646849E-3</v>
      </c>
      <c r="D527" s="83" t="s">
        <v>2212</v>
      </c>
    </row>
    <row r="528" spans="1:4" x14ac:dyDescent="0.25">
      <c r="A528" s="83" t="s">
        <v>2322</v>
      </c>
      <c r="B528" s="83">
        <v>2</v>
      </c>
      <c r="C528" s="114">
        <v>2.2731663785646849E-3</v>
      </c>
      <c r="D528" s="83" t="s">
        <v>2212</v>
      </c>
    </row>
    <row r="529" spans="1:4" x14ac:dyDescent="0.25">
      <c r="A529" s="83" t="s">
        <v>2495</v>
      </c>
      <c r="B529" s="83">
        <v>2</v>
      </c>
      <c r="C529" s="114">
        <v>2.2731663785646849E-3</v>
      </c>
      <c r="D529" s="83" t="s">
        <v>2212</v>
      </c>
    </row>
    <row r="530" spans="1:4" x14ac:dyDescent="0.25">
      <c r="A530" s="83" t="s">
        <v>2417</v>
      </c>
      <c r="B530" s="83">
        <v>2</v>
      </c>
      <c r="C530" s="114">
        <v>2.2731663785646849E-3</v>
      </c>
      <c r="D530" s="83" t="s">
        <v>2212</v>
      </c>
    </row>
    <row r="531" spans="1:4" x14ac:dyDescent="0.25">
      <c r="A531" s="83" t="s">
        <v>2415</v>
      </c>
      <c r="B531" s="83">
        <v>2</v>
      </c>
      <c r="C531" s="114">
        <v>2.2731663785646849E-3</v>
      </c>
      <c r="D531" s="83" t="s">
        <v>2212</v>
      </c>
    </row>
    <row r="532" spans="1:4" x14ac:dyDescent="0.25">
      <c r="A532" s="83" t="s">
        <v>2496</v>
      </c>
      <c r="B532" s="83">
        <v>2</v>
      </c>
      <c r="C532" s="114">
        <v>2.2731663785646849E-3</v>
      </c>
      <c r="D532" s="83" t="s">
        <v>2212</v>
      </c>
    </row>
    <row r="533" spans="1:4" x14ac:dyDescent="0.25">
      <c r="A533" s="83" t="s">
        <v>2498</v>
      </c>
      <c r="B533" s="83">
        <v>2</v>
      </c>
      <c r="C533" s="114">
        <v>2.2731663785646849E-3</v>
      </c>
      <c r="D533" s="83" t="s">
        <v>2212</v>
      </c>
    </row>
    <row r="534" spans="1:4" x14ac:dyDescent="0.25">
      <c r="A534" s="83" t="s">
        <v>2497</v>
      </c>
      <c r="B534" s="83">
        <v>2</v>
      </c>
      <c r="C534" s="114">
        <v>2.2731663785646849E-3</v>
      </c>
      <c r="D534" s="83" t="s">
        <v>2212</v>
      </c>
    </row>
    <row r="535" spans="1:4" x14ac:dyDescent="0.25">
      <c r="A535" s="83" t="s">
        <v>2294</v>
      </c>
      <c r="B535" s="83">
        <v>2</v>
      </c>
      <c r="C535" s="114">
        <v>2.2731663785646849E-3</v>
      </c>
      <c r="D535" s="83" t="s">
        <v>2212</v>
      </c>
    </row>
    <row r="536" spans="1:4" x14ac:dyDescent="0.25">
      <c r="A536" s="83" t="s">
        <v>2361</v>
      </c>
      <c r="B536" s="83">
        <v>2</v>
      </c>
      <c r="C536" s="114">
        <v>2.2731663785646849E-3</v>
      </c>
      <c r="D536" s="83" t="s">
        <v>2212</v>
      </c>
    </row>
    <row r="537" spans="1:4" x14ac:dyDescent="0.25">
      <c r="A537" s="83" t="s">
        <v>2325</v>
      </c>
      <c r="B537" s="83">
        <v>2</v>
      </c>
      <c r="C537" s="114">
        <v>2.2731663785646849E-3</v>
      </c>
      <c r="D537" s="83" t="s">
        <v>2212</v>
      </c>
    </row>
    <row r="538" spans="1:4" x14ac:dyDescent="0.25">
      <c r="A538" s="83" t="s">
        <v>2506</v>
      </c>
      <c r="B538" s="83">
        <v>2</v>
      </c>
      <c r="C538" s="114">
        <v>2.2731663785646849E-3</v>
      </c>
      <c r="D538" s="83" t="s">
        <v>2212</v>
      </c>
    </row>
    <row r="539" spans="1:4" x14ac:dyDescent="0.25">
      <c r="A539" s="83" t="s">
        <v>2507</v>
      </c>
      <c r="B539" s="83">
        <v>2</v>
      </c>
      <c r="C539" s="114">
        <v>2.2731663785646849E-3</v>
      </c>
      <c r="D539" s="83" t="s">
        <v>2212</v>
      </c>
    </row>
    <row r="540" spans="1:4" x14ac:dyDescent="0.25">
      <c r="A540" s="83" t="s">
        <v>2508</v>
      </c>
      <c r="B540" s="83">
        <v>2</v>
      </c>
      <c r="C540" s="114">
        <v>2.2731663785646849E-3</v>
      </c>
      <c r="D540" s="83" t="s">
        <v>2212</v>
      </c>
    </row>
    <row r="541" spans="1:4" x14ac:dyDescent="0.25">
      <c r="A541" s="83" t="s">
        <v>2509</v>
      </c>
      <c r="B541" s="83">
        <v>2</v>
      </c>
      <c r="C541" s="114">
        <v>2.2731663785646849E-3</v>
      </c>
      <c r="D541" s="83" t="s">
        <v>2212</v>
      </c>
    </row>
    <row r="542" spans="1:4" x14ac:dyDescent="0.25">
      <c r="A542" s="83" t="s">
        <v>2510</v>
      </c>
      <c r="B542" s="83">
        <v>2</v>
      </c>
      <c r="C542" s="114">
        <v>2.2731663785646849E-3</v>
      </c>
      <c r="D542" s="83" t="s">
        <v>2212</v>
      </c>
    </row>
    <row r="543" spans="1:4" x14ac:dyDescent="0.25">
      <c r="A543" s="83" t="s">
        <v>2511</v>
      </c>
      <c r="B543" s="83">
        <v>2</v>
      </c>
      <c r="C543" s="114">
        <v>2.2731663785646849E-3</v>
      </c>
      <c r="D543" s="83" t="s">
        <v>2212</v>
      </c>
    </row>
    <row r="544" spans="1:4" x14ac:dyDescent="0.25">
      <c r="A544" s="83" t="s">
        <v>2383</v>
      </c>
      <c r="B544" s="83">
        <v>2</v>
      </c>
      <c r="C544" s="114">
        <v>2.2731663785646849E-3</v>
      </c>
      <c r="D544" s="83" t="s">
        <v>2212</v>
      </c>
    </row>
    <row r="545" spans="1:4" x14ac:dyDescent="0.25">
      <c r="A545" s="83" t="s">
        <v>2471</v>
      </c>
      <c r="B545" s="83">
        <v>2</v>
      </c>
      <c r="C545" s="114">
        <v>2.2731663785646849E-3</v>
      </c>
      <c r="D545" s="83" t="s">
        <v>2212</v>
      </c>
    </row>
    <row r="546" spans="1:4" x14ac:dyDescent="0.25">
      <c r="A546" s="83" t="s">
        <v>2505</v>
      </c>
      <c r="B546" s="83">
        <v>2</v>
      </c>
      <c r="C546" s="114">
        <v>2.2731663785646849E-3</v>
      </c>
      <c r="D546" s="83" t="s">
        <v>2212</v>
      </c>
    </row>
    <row r="547" spans="1:4" x14ac:dyDescent="0.25">
      <c r="A547" s="83" t="s">
        <v>2385</v>
      </c>
      <c r="B547" s="83">
        <v>2</v>
      </c>
      <c r="C547" s="114">
        <v>2.2731663785646849E-3</v>
      </c>
      <c r="D547" s="83" t="s">
        <v>2212</v>
      </c>
    </row>
    <row r="548" spans="1:4" x14ac:dyDescent="0.25">
      <c r="A548" s="83" t="s">
        <v>2387</v>
      </c>
      <c r="B548" s="83">
        <v>2</v>
      </c>
      <c r="C548" s="114">
        <v>2.2731663785646849E-3</v>
      </c>
      <c r="D548" s="83" t="s">
        <v>2212</v>
      </c>
    </row>
    <row r="549" spans="1:4" x14ac:dyDescent="0.25">
      <c r="A549" s="83" t="s">
        <v>2362</v>
      </c>
      <c r="B549" s="83">
        <v>2</v>
      </c>
      <c r="C549" s="114">
        <v>2.2731663785646849E-3</v>
      </c>
      <c r="D549" s="83" t="s">
        <v>2212</v>
      </c>
    </row>
    <row r="550" spans="1:4" x14ac:dyDescent="0.25">
      <c r="A550" s="83" t="s">
        <v>2600</v>
      </c>
      <c r="B550" s="83">
        <v>2</v>
      </c>
      <c r="C550" s="114">
        <v>2.2731663785646849E-3</v>
      </c>
      <c r="D550" s="83" t="s">
        <v>2212</v>
      </c>
    </row>
    <row r="551" spans="1:4" x14ac:dyDescent="0.25">
      <c r="A551" s="83" t="s">
        <v>2307</v>
      </c>
      <c r="B551" s="83">
        <v>2</v>
      </c>
      <c r="C551" s="114">
        <v>2.2731663785646849E-3</v>
      </c>
      <c r="D551" s="83" t="s">
        <v>2212</v>
      </c>
    </row>
    <row r="552" spans="1:4" x14ac:dyDescent="0.25">
      <c r="A552" s="83" t="s">
        <v>2313</v>
      </c>
      <c r="B552" s="83">
        <v>2</v>
      </c>
      <c r="C552" s="114">
        <v>2.2731663785646849E-3</v>
      </c>
      <c r="D552" s="83" t="s">
        <v>2212</v>
      </c>
    </row>
    <row r="553" spans="1:4" x14ac:dyDescent="0.25">
      <c r="A553" s="83" t="s">
        <v>2528</v>
      </c>
      <c r="B553" s="83">
        <v>2</v>
      </c>
      <c r="C553" s="114">
        <v>2.2731663785646849E-3</v>
      </c>
      <c r="D553" s="83" t="s">
        <v>2212</v>
      </c>
    </row>
    <row r="554" spans="1:4" x14ac:dyDescent="0.25">
      <c r="A554" s="83" t="s">
        <v>653</v>
      </c>
      <c r="B554" s="83">
        <v>2</v>
      </c>
      <c r="C554" s="114">
        <v>2.2731663785646849E-3</v>
      </c>
      <c r="D554" s="83" t="s">
        <v>2212</v>
      </c>
    </row>
    <row r="555" spans="1:4" x14ac:dyDescent="0.25">
      <c r="A555" s="83" t="s">
        <v>2590</v>
      </c>
      <c r="B555" s="83">
        <v>2</v>
      </c>
      <c r="C555" s="114">
        <v>2.2731663785646849E-3</v>
      </c>
      <c r="D555" s="83" t="s">
        <v>2212</v>
      </c>
    </row>
    <row r="556" spans="1:4" x14ac:dyDescent="0.25">
      <c r="A556" s="83" t="s">
        <v>2602</v>
      </c>
      <c r="B556" s="83">
        <v>2</v>
      </c>
      <c r="C556" s="114">
        <v>2.6549418962108244E-3</v>
      </c>
      <c r="D556" s="83" t="s">
        <v>2212</v>
      </c>
    </row>
    <row r="557" spans="1:4" x14ac:dyDescent="0.25">
      <c r="A557" s="83" t="s">
        <v>2463</v>
      </c>
      <c r="B557" s="83">
        <v>2</v>
      </c>
      <c r="C557" s="114">
        <v>2.2731663785646849E-3</v>
      </c>
      <c r="D557" s="83" t="s">
        <v>2212</v>
      </c>
    </row>
    <row r="558" spans="1:4" x14ac:dyDescent="0.25">
      <c r="A558" s="83" t="s">
        <v>2591</v>
      </c>
      <c r="B558" s="83">
        <v>2</v>
      </c>
      <c r="C558" s="114">
        <v>2.2731663785646849E-3</v>
      </c>
      <c r="D558" s="83" t="s">
        <v>2212</v>
      </c>
    </row>
    <row r="559" spans="1:4" x14ac:dyDescent="0.25">
      <c r="A559" s="83" t="s">
        <v>2599</v>
      </c>
      <c r="B559" s="83">
        <v>2</v>
      </c>
      <c r="C559" s="114">
        <v>2.2731663785646849E-3</v>
      </c>
      <c r="D559" s="83" t="s">
        <v>2212</v>
      </c>
    </row>
    <row r="560" spans="1:4" x14ac:dyDescent="0.25">
      <c r="A560" s="83" t="s">
        <v>2598</v>
      </c>
      <c r="B560" s="83">
        <v>2</v>
      </c>
      <c r="C560" s="114">
        <v>2.2731663785646849E-3</v>
      </c>
      <c r="D560" s="83" t="s">
        <v>2212</v>
      </c>
    </row>
    <row r="561" spans="1:4" x14ac:dyDescent="0.25">
      <c r="A561" s="83" t="s">
        <v>2597</v>
      </c>
      <c r="B561" s="83">
        <v>2</v>
      </c>
      <c r="C561" s="114">
        <v>2.2731663785646849E-3</v>
      </c>
      <c r="D561" s="83" t="s">
        <v>2212</v>
      </c>
    </row>
    <row r="562" spans="1:4" x14ac:dyDescent="0.25">
      <c r="A562" s="83" t="s">
        <v>2596</v>
      </c>
      <c r="B562" s="83">
        <v>2</v>
      </c>
      <c r="C562" s="114">
        <v>2.6549418962108244E-3</v>
      </c>
      <c r="D562" s="83" t="s">
        <v>2212</v>
      </c>
    </row>
    <row r="563" spans="1:4" x14ac:dyDescent="0.25">
      <c r="A563" s="83" t="s">
        <v>2592</v>
      </c>
      <c r="B563" s="83">
        <v>2</v>
      </c>
      <c r="C563" s="114">
        <v>2.2731663785646849E-3</v>
      </c>
      <c r="D563" s="83" t="s">
        <v>2212</v>
      </c>
    </row>
    <row r="564" spans="1:4" x14ac:dyDescent="0.25">
      <c r="A564" s="83" t="s">
        <v>2235</v>
      </c>
      <c r="B564" s="83">
        <v>91</v>
      </c>
      <c r="C564" s="114">
        <v>0</v>
      </c>
      <c r="D564" s="83" t="s">
        <v>2213</v>
      </c>
    </row>
    <row r="565" spans="1:4" x14ac:dyDescent="0.25">
      <c r="A565" s="83" t="s">
        <v>2236</v>
      </c>
      <c r="B565" s="83">
        <v>43</v>
      </c>
      <c r="C565" s="114">
        <v>1.1523591686111175E-2</v>
      </c>
      <c r="D565" s="83" t="s">
        <v>2213</v>
      </c>
    </row>
    <row r="566" spans="1:4" x14ac:dyDescent="0.25">
      <c r="A566" s="83" t="s">
        <v>657</v>
      </c>
      <c r="B566" s="83">
        <v>35</v>
      </c>
      <c r="C566" s="114">
        <v>1.3872720514584845E-2</v>
      </c>
      <c r="D566" s="83" t="s">
        <v>2213</v>
      </c>
    </row>
    <row r="567" spans="1:4" x14ac:dyDescent="0.25">
      <c r="A567" s="83" t="s">
        <v>2239</v>
      </c>
      <c r="B567" s="83">
        <v>34</v>
      </c>
      <c r="C567" s="114">
        <v>1.3476357071310995E-2</v>
      </c>
      <c r="D567" s="83" t="s">
        <v>2213</v>
      </c>
    </row>
    <row r="568" spans="1:4" x14ac:dyDescent="0.25">
      <c r="A568" s="83" t="s">
        <v>2240</v>
      </c>
      <c r="B568" s="83">
        <v>30</v>
      </c>
      <c r="C568" s="114">
        <v>1.1890903298215584E-2</v>
      </c>
      <c r="D568" s="83" t="s">
        <v>2213</v>
      </c>
    </row>
    <row r="569" spans="1:4" x14ac:dyDescent="0.25">
      <c r="A569" s="83" t="s">
        <v>2242</v>
      </c>
      <c r="B569" s="83">
        <v>26</v>
      </c>
      <c r="C569" s="114">
        <v>1.1289520473349695E-2</v>
      </c>
      <c r="D569" s="83" t="s">
        <v>2213</v>
      </c>
    </row>
    <row r="570" spans="1:4" x14ac:dyDescent="0.25">
      <c r="A570" s="83" t="s">
        <v>2241</v>
      </c>
      <c r="B570" s="83">
        <v>20</v>
      </c>
      <c r="C570" s="114">
        <v>1.123334217426636E-2</v>
      </c>
      <c r="D570" s="83" t="s">
        <v>2213</v>
      </c>
    </row>
    <row r="571" spans="1:4" x14ac:dyDescent="0.25">
      <c r="A571" s="83" t="s">
        <v>2237</v>
      </c>
      <c r="B571" s="83">
        <v>18</v>
      </c>
      <c r="C571" s="114">
        <v>1.0110007956839724E-2</v>
      </c>
      <c r="D571" s="83" t="s">
        <v>2213</v>
      </c>
    </row>
    <row r="572" spans="1:4" x14ac:dyDescent="0.25">
      <c r="A572" s="83" t="s">
        <v>2262</v>
      </c>
      <c r="B572" s="83">
        <v>17</v>
      </c>
      <c r="C572" s="114">
        <v>9.8851332849384955E-3</v>
      </c>
      <c r="D572" s="83" t="s">
        <v>2213</v>
      </c>
    </row>
    <row r="573" spans="1:4" x14ac:dyDescent="0.25">
      <c r="A573" s="83" t="s">
        <v>2259</v>
      </c>
      <c r="B573" s="83">
        <v>16</v>
      </c>
      <c r="C573" s="114">
        <v>9.6398583835935366E-3</v>
      </c>
      <c r="D573" s="83" t="s">
        <v>2213</v>
      </c>
    </row>
    <row r="574" spans="1:4" x14ac:dyDescent="0.25">
      <c r="A574" s="83" t="s">
        <v>2263</v>
      </c>
      <c r="B574" s="83">
        <v>15</v>
      </c>
      <c r="C574" s="114">
        <v>1.2641078276087193E-2</v>
      </c>
      <c r="D574" s="83" t="s">
        <v>2213</v>
      </c>
    </row>
    <row r="575" spans="1:4" x14ac:dyDescent="0.25">
      <c r="A575" s="83" t="s">
        <v>2287</v>
      </c>
      <c r="B575" s="83">
        <v>14</v>
      </c>
      <c r="C575" s="114">
        <v>1.2446294439182534E-2</v>
      </c>
      <c r="D575" s="83" t="s">
        <v>2213</v>
      </c>
    </row>
    <row r="576" spans="1:4" x14ac:dyDescent="0.25">
      <c r="A576" s="83" t="s">
        <v>2272</v>
      </c>
      <c r="B576" s="83">
        <v>13</v>
      </c>
      <c r="C576" s="114">
        <v>8.7679764726139968E-3</v>
      </c>
      <c r="D576" s="83" t="s">
        <v>2213</v>
      </c>
    </row>
    <row r="577" spans="1:4" x14ac:dyDescent="0.25">
      <c r="A577" s="83" t="s">
        <v>2278</v>
      </c>
      <c r="B577" s="83">
        <v>12</v>
      </c>
      <c r="C577" s="114">
        <v>8.4264339627147852E-3</v>
      </c>
      <c r="D577" s="83" t="s">
        <v>2213</v>
      </c>
    </row>
    <row r="578" spans="1:4" x14ac:dyDescent="0.25">
      <c r="A578" s="83" t="s">
        <v>2285</v>
      </c>
      <c r="B578" s="83">
        <v>12</v>
      </c>
      <c r="C578" s="114">
        <v>8.4264339627147852E-3</v>
      </c>
      <c r="D578" s="83" t="s">
        <v>2213</v>
      </c>
    </row>
    <row r="579" spans="1:4" x14ac:dyDescent="0.25">
      <c r="A579" s="83" t="s">
        <v>2277</v>
      </c>
      <c r="B579" s="83">
        <v>11</v>
      </c>
      <c r="C579" s="114">
        <v>8.055974284749844E-3</v>
      </c>
      <c r="D579" s="83" t="s">
        <v>2213</v>
      </c>
    </row>
    <row r="580" spans="1:4" x14ac:dyDescent="0.25">
      <c r="A580" s="83" t="s">
        <v>2274</v>
      </c>
      <c r="B580" s="83">
        <v>11</v>
      </c>
      <c r="C580" s="114">
        <v>8.055974284749844E-3</v>
      </c>
      <c r="D580" s="83" t="s">
        <v>2213</v>
      </c>
    </row>
    <row r="581" spans="1:4" x14ac:dyDescent="0.25">
      <c r="A581" s="83" t="s">
        <v>2290</v>
      </c>
      <c r="B581" s="83">
        <v>11</v>
      </c>
      <c r="C581" s="114">
        <v>8.055974284749844E-3</v>
      </c>
      <c r="D581" s="83" t="s">
        <v>2213</v>
      </c>
    </row>
    <row r="582" spans="1:4" x14ac:dyDescent="0.25">
      <c r="A582" s="83" t="s">
        <v>2282</v>
      </c>
      <c r="B582" s="83">
        <v>11</v>
      </c>
      <c r="C582" s="114">
        <v>8.055974284749844E-3</v>
      </c>
      <c r="D582" s="83" t="s">
        <v>2213</v>
      </c>
    </row>
    <row r="583" spans="1:4" x14ac:dyDescent="0.25">
      <c r="A583" s="83" t="s">
        <v>2286</v>
      </c>
      <c r="B583" s="83">
        <v>11</v>
      </c>
      <c r="C583" s="114">
        <v>8.055974284749844E-3</v>
      </c>
      <c r="D583" s="83" t="s">
        <v>2213</v>
      </c>
    </row>
    <row r="584" spans="1:4" x14ac:dyDescent="0.25">
      <c r="A584" s="83" t="s">
        <v>2249</v>
      </c>
      <c r="B584" s="83">
        <v>11</v>
      </c>
      <c r="C584" s="114">
        <v>8.055974284749844E-3</v>
      </c>
      <c r="D584" s="83" t="s">
        <v>2213</v>
      </c>
    </row>
    <row r="585" spans="1:4" x14ac:dyDescent="0.25">
      <c r="A585" s="83" t="s">
        <v>2295</v>
      </c>
      <c r="B585" s="83">
        <v>11</v>
      </c>
      <c r="C585" s="114">
        <v>8.055974284749844E-3</v>
      </c>
      <c r="D585" s="83" t="s">
        <v>2213</v>
      </c>
    </row>
    <row r="586" spans="1:4" x14ac:dyDescent="0.25">
      <c r="A586" s="83" t="s">
        <v>2293</v>
      </c>
      <c r="B586" s="83">
        <v>11</v>
      </c>
      <c r="C586" s="114">
        <v>8.055974284749844E-3</v>
      </c>
      <c r="D586" s="83" t="s">
        <v>2213</v>
      </c>
    </row>
    <row r="587" spans="1:4" x14ac:dyDescent="0.25">
      <c r="A587" s="83" t="s">
        <v>2255</v>
      </c>
      <c r="B587" s="83">
        <v>11</v>
      </c>
      <c r="C587" s="114">
        <v>8.055974284749844E-3</v>
      </c>
      <c r="D587" s="83" t="s">
        <v>2213</v>
      </c>
    </row>
    <row r="588" spans="1:4" x14ac:dyDescent="0.25">
      <c r="A588" s="83" t="s">
        <v>2247</v>
      </c>
      <c r="B588" s="83">
        <v>10</v>
      </c>
      <c r="C588" s="114">
        <v>7.6539616306551756E-3</v>
      </c>
      <c r="D588" s="83" t="s">
        <v>2213</v>
      </c>
    </row>
    <row r="589" spans="1:4" x14ac:dyDescent="0.25">
      <c r="A589" s="83" t="s">
        <v>2292</v>
      </c>
      <c r="B589" s="83">
        <v>9</v>
      </c>
      <c r="C589" s="114">
        <v>7.2172306033008119E-3</v>
      </c>
      <c r="D589" s="83" t="s">
        <v>2213</v>
      </c>
    </row>
    <row r="590" spans="1:4" x14ac:dyDescent="0.25">
      <c r="A590" s="83" t="s">
        <v>2254</v>
      </c>
      <c r="B590" s="83">
        <v>9</v>
      </c>
      <c r="C590" s="114">
        <v>7.2172306033008119E-3</v>
      </c>
      <c r="D590" s="83" t="s">
        <v>2213</v>
      </c>
    </row>
    <row r="591" spans="1:4" x14ac:dyDescent="0.25">
      <c r="A591" s="83" t="s">
        <v>2299</v>
      </c>
      <c r="B591" s="83">
        <v>9</v>
      </c>
      <c r="C591" s="114">
        <v>7.2172306033008119E-3</v>
      </c>
      <c r="D591" s="83" t="s">
        <v>2213</v>
      </c>
    </row>
    <row r="592" spans="1:4" x14ac:dyDescent="0.25">
      <c r="A592" s="83" t="s">
        <v>2300</v>
      </c>
      <c r="B592" s="83">
        <v>8</v>
      </c>
      <c r="C592" s="114">
        <v>6.7419084139131698E-3</v>
      </c>
      <c r="D592" s="83" t="s">
        <v>2213</v>
      </c>
    </row>
    <row r="593" spans="1:4" x14ac:dyDescent="0.25">
      <c r="A593" s="83" t="s">
        <v>2291</v>
      </c>
      <c r="B593" s="83">
        <v>8</v>
      </c>
      <c r="C593" s="114">
        <v>6.7419084139131698E-3</v>
      </c>
      <c r="D593" s="83" t="s">
        <v>2213</v>
      </c>
    </row>
    <row r="594" spans="1:4" x14ac:dyDescent="0.25">
      <c r="A594" s="83" t="s">
        <v>2250</v>
      </c>
      <c r="B594" s="83">
        <v>7</v>
      </c>
      <c r="C594" s="114">
        <v>6.2231472195912671E-3</v>
      </c>
      <c r="D594" s="83" t="s">
        <v>2213</v>
      </c>
    </row>
    <row r="595" spans="1:4" x14ac:dyDescent="0.25">
      <c r="A595" s="83" t="s">
        <v>2314</v>
      </c>
      <c r="B595" s="83">
        <v>7</v>
      </c>
      <c r="C595" s="114">
        <v>6.2231472195912671E-3</v>
      </c>
      <c r="D595" s="83" t="s">
        <v>2213</v>
      </c>
    </row>
    <row r="596" spans="1:4" x14ac:dyDescent="0.25">
      <c r="A596" s="83" t="s">
        <v>2243</v>
      </c>
      <c r="B596" s="83">
        <v>7</v>
      </c>
      <c r="C596" s="114">
        <v>6.2231472195912671E-3</v>
      </c>
      <c r="D596" s="83" t="s">
        <v>2213</v>
      </c>
    </row>
    <row r="597" spans="1:4" x14ac:dyDescent="0.25">
      <c r="A597" s="83" t="s">
        <v>2251</v>
      </c>
      <c r="B597" s="83">
        <v>7</v>
      </c>
      <c r="C597" s="114">
        <v>6.2231472195912671E-3</v>
      </c>
      <c r="D597" s="83" t="s">
        <v>2213</v>
      </c>
    </row>
    <row r="598" spans="1:4" x14ac:dyDescent="0.25">
      <c r="A598" s="83" t="s">
        <v>2328</v>
      </c>
      <c r="B598" s="83">
        <v>7</v>
      </c>
      <c r="C598" s="114">
        <v>6.2231472195912671E-3</v>
      </c>
      <c r="D598" s="83" t="s">
        <v>2213</v>
      </c>
    </row>
    <row r="599" spans="1:4" x14ac:dyDescent="0.25">
      <c r="A599" s="83" t="s">
        <v>2244</v>
      </c>
      <c r="B599" s="83">
        <v>7</v>
      </c>
      <c r="C599" s="114">
        <v>6.2231472195912671E-3</v>
      </c>
      <c r="D599" s="83" t="s">
        <v>2213</v>
      </c>
    </row>
    <row r="600" spans="1:4" x14ac:dyDescent="0.25">
      <c r="A600" s="83" t="s">
        <v>2346</v>
      </c>
      <c r="B600" s="83">
        <v>6</v>
      </c>
      <c r="C600" s="114">
        <v>5.6547013979446926E-3</v>
      </c>
      <c r="D600" s="83" t="s">
        <v>2213</v>
      </c>
    </row>
    <row r="601" spans="1:4" x14ac:dyDescent="0.25">
      <c r="A601" s="83" t="s">
        <v>2313</v>
      </c>
      <c r="B601" s="83">
        <v>6</v>
      </c>
      <c r="C601" s="114">
        <v>5.6547013979446926E-3</v>
      </c>
      <c r="D601" s="83" t="s">
        <v>2213</v>
      </c>
    </row>
    <row r="602" spans="1:4" x14ac:dyDescent="0.25">
      <c r="A602" s="83" t="s">
        <v>2347</v>
      </c>
      <c r="B602" s="83">
        <v>6</v>
      </c>
      <c r="C602" s="114">
        <v>5.6547013979446926E-3</v>
      </c>
      <c r="D602" s="83" t="s">
        <v>2213</v>
      </c>
    </row>
    <row r="603" spans="1:4" x14ac:dyDescent="0.25">
      <c r="A603" s="83" t="s">
        <v>2348</v>
      </c>
      <c r="B603" s="83">
        <v>6</v>
      </c>
      <c r="C603" s="114">
        <v>5.6547013979446926E-3</v>
      </c>
      <c r="D603" s="83" t="s">
        <v>2213</v>
      </c>
    </row>
    <row r="604" spans="1:4" x14ac:dyDescent="0.25">
      <c r="A604" s="83" t="s">
        <v>2297</v>
      </c>
      <c r="B604" s="83">
        <v>6</v>
      </c>
      <c r="C604" s="114">
        <v>5.6547013979446926E-3</v>
      </c>
      <c r="D604" s="83" t="s">
        <v>2213</v>
      </c>
    </row>
    <row r="605" spans="1:4" x14ac:dyDescent="0.25">
      <c r="A605" s="83" t="s">
        <v>2275</v>
      </c>
      <c r="B605" s="83">
        <v>6</v>
      </c>
      <c r="C605" s="114">
        <v>5.6547013979446926E-3</v>
      </c>
      <c r="D605" s="83" t="s">
        <v>2213</v>
      </c>
    </row>
    <row r="606" spans="1:4" x14ac:dyDescent="0.25">
      <c r="A606" s="83" t="s">
        <v>654</v>
      </c>
      <c r="B606" s="83">
        <v>6</v>
      </c>
      <c r="C606" s="114">
        <v>5.6547013979446926E-3</v>
      </c>
      <c r="D606" s="83" t="s">
        <v>2213</v>
      </c>
    </row>
    <row r="607" spans="1:4" x14ac:dyDescent="0.25">
      <c r="A607" s="83" t="s">
        <v>2246</v>
      </c>
      <c r="B607" s="83">
        <v>6</v>
      </c>
      <c r="C607" s="114">
        <v>5.6547013979446926E-3</v>
      </c>
      <c r="D607" s="83" t="s">
        <v>2213</v>
      </c>
    </row>
    <row r="608" spans="1:4" x14ac:dyDescent="0.25">
      <c r="A608" s="83" t="s">
        <v>649</v>
      </c>
      <c r="B608" s="83">
        <v>6</v>
      </c>
      <c r="C608" s="114">
        <v>5.6547013979446926E-3</v>
      </c>
      <c r="D608" s="83" t="s">
        <v>2213</v>
      </c>
    </row>
    <row r="609" spans="1:4" x14ac:dyDescent="0.25">
      <c r="A609" s="83" t="s">
        <v>2312</v>
      </c>
      <c r="B609" s="83">
        <v>6</v>
      </c>
      <c r="C609" s="114">
        <v>5.6547013979446926E-3</v>
      </c>
      <c r="D609" s="83" t="s">
        <v>2213</v>
      </c>
    </row>
    <row r="610" spans="1:4" x14ac:dyDescent="0.25">
      <c r="A610" s="83" t="s">
        <v>2294</v>
      </c>
      <c r="B610" s="83">
        <v>6</v>
      </c>
      <c r="C610" s="114">
        <v>6.4979157270221759E-3</v>
      </c>
      <c r="D610" s="83" t="s">
        <v>2213</v>
      </c>
    </row>
    <row r="611" spans="1:4" x14ac:dyDescent="0.25">
      <c r="A611" s="83" t="s">
        <v>2256</v>
      </c>
      <c r="B611" s="83">
        <v>6</v>
      </c>
      <c r="C611" s="114">
        <v>6.4979157270221759E-3</v>
      </c>
      <c r="D611" s="83" t="s">
        <v>2213</v>
      </c>
    </row>
    <row r="612" spans="1:4" x14ac:dyDescent="0.25">
      <c r="A612" s="83" t="s">
        <v>2268</v>
      </c>
      <c r="B612" s="83">
        <v>6</v>
      </c>
      <c r="C612" s="114">
        <v>5.6547013979446926E-3</v>
      </c>
      <c r="D612" s="83" t="s">
        <v>2213</v>
      </c>
    </row>
    <row r="613" spans="1:4" x14ac:dyDescent="0.25">
      <c r="A613" s="83" t="s">
        <v>2353</v>
      </c>
      <c r="B613" s="83">
        <v>6</v>
      </c>
      <c r="C613" s="114">
        <v>5.6547013979446926E-3</v>
      </c>
      <c r="D613" s="83" t="s">
        <v>2213</v>
      </c>
    </row>
    <row r="614" spans="1:4" x14ac:dyDescent="0.25">
      <c r="A614" s="83" t="s">
        <v>2310</v>
      </c>
      <c r="B614" s="83">
        <v>5</v>
      </c>
      <c r="C614" s="114">
        <v>5.0282178291503376E-3</v>
      </c>
      <c r="D614" s="83" t="s">
        <v>2213</v>
      </c>
    </row>
    <row r="615" spans="1:4" x14ac:dyDescent="0.25">
      <c r="A615" s="83" t="s">
        <v>2366</v>
      </c>
      <c r="B615" s="83">
        <v>5</v>
      </c>
      <c r="C615" s="114">
        <v>5.0282178291503376E-3</v>
      </c>
      <c r="D615" s="83" t="s">
        <v>2213</v>
      </c>
    </row>
    <row r="616" spans="1:4" x14ac:dyDescent="0.25">
      <c r="A616" s="83" t="s">
        <v>2349</v>
      </c>
      <c r="B616" s="83">
        <v>5</v>
      </c>
      <c r="C616" s="114">
        <v>5.0282178291503376E-3</v>
      </c>
      <c r="D616" s="83" t="s">
        <v>2213</v>
      </c>
    </row>
    <row r="617" spans="1:4" x14ac:dyDescent="0.25">
      <c r="A617" s="83" t="s">
        <v>2323</v>
      </c>
      <c r="B617" s="83">
        <v>5</v>
      </c>
      <c r="C617" s="114">
        <v>5.0282178291503376E-3</v>
      </c>
      <c r="D617" s="83" t="s">
        <v>2213</v>
      </c>
    </row>
    <row r="618" spans="1:4" x14ac:dyDescent="0.25">
      <c r="A618" s="83" t="s">
        <v>2350</v>
      </c>
      <c r="B618" s="83">
        <v>5</v>
      </c>
      <c r="C618" s="114">
        <v>5.0282178291503376E-3</v>
      </c>
      <c r="D618" s="83" t="s">
        <v>2213</v>
      </c>
    </row>
    <row r="619" spans="1:4" x14ac:dyDescent="0.25">
      <c r="A619" s="83" t="s">
        <v>2269</v>
      </c>
      <c r="B619" s="83">
        <v>5</v>
      </c>
      <c r="C619" s="114">
        <v>5.0282178291503376E-3</v>
      </c>
      <c r="D619" s="83" t="s">
        <v>2213</v>
      </c>
    </row>
    <row r="620" spans="1:4" x14ac:dyDescent="0.25">
      <c r="A620" s="83" t="s">
        <v>2309</v>
      </c>
      <c r="B620" s="83">
        <v>5</v>
      </c>
      <c r="C620" s="114">
        <v>5.0282178291503376E-3</v>
      </c>
      <c r="D620" s="83" t="s">
        <v>2213</v>
      </c>
    </row>
    <row r="621" spans="1:4" x14ac:dyDescent="0.25">
      <c r="A621" s="83" t="s">
        <v>2368</v>
      </c>
      <c r="B621" s="83">
        <v>5</v>
      </c>
      <c r="C621" s="114">
        <v>5.0282178291503376E-3</v>
      </c>
      <c r="D621" s="83" t="s">
        <v>2213</v>
      </c>
    </row>
    <row r="622" spans="1:4" x14ac:dyDescent="0.25">
      <c r="A622" s="83" t="s">
        <v>2367</v>
      </c>
      <c r="B622" s="83">
        <v>5</v>
      </c>
      <c r="C622" s="114">
        <v>5.0282178291503376E-3</v>
      </c>
      <c r="D622" s="83" t="s">
        <v>2213</v>
      </c>
    </row>
    <row r="623" spans="1:4" x14ac:dyDescent="0.25">
      <c r="A623" s="83" t="s">
        <v>2288</v>
      </c>
      <c r="B623" s="83">
        <v>5</v>
      </c>
      <c r="C623" s="114">
        <v>5.0282178291503376E-3</v>
      </c>
      <c r="D623" s="83" t="s">
        <v>2213</v>
      </c>
    </row>
    <row r="624" spans="1:4" x14ac:dyDescent="0.25">
      <c r="A624" s="83" t="s">
        <v>2354</v>
      </c>
      <c r="B624" s="83">
        <v>5</v>
      </c>
      <c r="C624" s="114">
        <v>5.0282178291503376E-3</v>
      </c>
      <c r="D624" s="83" t="s">
        <v>2213</v>
      </c>
    </row>
    <row r="625" spans="1:4" x14ac:dyDescent="0.25">
      <c r="A625" s="83" t="s">
        <v>2331</v>
      </c>
      <c r="B625" s="83">
        <v>5</v>
      </c>
      <c r="C625" s="114">
        <v>5.0282178291503376E-3</v>
      </c>
      <c r="D625" s="83" t="s">
        <v>2213</v>
      </c>
    </row>
    <row r="626" spans="1:4" x14ac:dyDescent="0.25">
      <c r="A626" s="83" t="s">
        <v>2371</v>
      </c>
      <c r="B626" s="83">
        <v>4</v>
      </c>
      <c r="C626" s="114">
        <v>5.2929334290729851E-3</v>
      </c>
      <c r="D626" s="83" t="s">
        <v>2213</v>
      </c>
    </row>
    <row r="627" spans="1:4" x14ac:dyDescent="0.25">
      <c r="A627" s="83" t="s">
        <v>2372</v>
      </c>
      <c r="B627" s="83">
        <v>4</v>
      </c>
      <c r="C627" s="114">
        <v>5.2929334290729851E-3</v>
      </c>
      <c r="D627" s="83" t="s">
        <v>2213</v>
      </c>
    </row>
    <row r="628" spans="1:4" x14ac:dyDescent="0.25">
      <c r="A628" s="83" t="s">
        <v>2238</v>
      </c>
      <c r="B628" s="83">
        <v>4</v>
      </c>
      <c r="C628" s="114">
        <v>4.3319438180147848E-3</v>
      </c>
      <c r="D628" s="83" t="s">
        <v>2213</v>
      </c>
    </row>
    <row r="629" spans="1:4" x14ac:dyDescent="0.25">
      <c r="A629" s="83" t="s">
        <v>655</v>
      </c>
      <c r="B629" s="83">
        <v>4</v>
      </c>
      <c r="C629" s="114">
        <v>4.3319438180147848E-3</v>
      </c>
      <c r="D629" s="83" t="s">
        <v>2213</v>
      </c>
    </row>
    <row r="630" spans="1:4" x14ac:dyDescent="0.25">
      <c r="A630" s="83" t="s">
        <v>2343</v>
      </c>
      <c r="B630" s="83">
        <v>4</v>
      </c>
      <c r="C630" s="114">
        <v>4.3319438180147848E-3</v>
      </c>
      <c r="D630" s="83" t="s">
        <v>2213</v>
      </c>
    </row>
    <row r="631" spans="1:4" x14ac:dyDescent="0.25">
      <c r="A631" s="83" t="s">
        <v>2394</v>
      </c>
      <c r="B631" s="83">
        <v>4</v>
      </c>
      <c r="C631" s="114">
        <v>4.3319438180147848E-3</v>
      </c>
      <c r="D631" s="83" t="s">
        <v>2213</v>
      </c>
    </row>
    <row r="632" spans="1:4" x14ac:dyDescent="0.25">
      <c r="A632" s="83" t="s">
        <v>2316</v>
      </c>
      <c r="B632" s="83">
        <v>4</v>
      </c>
      <c r="C632" s="114">
        <v>4.3319438180147848E-3</v>
      </c>
      <c r="D632" s="83" t="s">
        <v>2213</v>
      </c>
    </row>
    <row r="633" spans="1:4" x14ac:dyDescent="0.25">
      <c r="A633" s="83" t="s">
        <v>2330</v>
      </c>
      <c r="B633" s="83">
        <v>4</v>
      </c>
      <c r="C633" s="114">
        <v>4.3319438180147848E-3</v>
      </c>
      <c r="D633" s="83" t="s">
        <v>2213</v>
      </c>
    </row>
    <row r="634" spans="1:4" x14ac:dyDescent="0.25">
      <c r="A634" s="83" t="s">
        <v>2352</v>
      </c>
      <c r="B634" s="83">
        <v>4</v>
      </c>
      <c r="C634" s="114">
        <v>4.3319438180147848E-3</v>
      </c>
      <c r="D634" s="83" t="s">
        <v>2213</v>
      </c>
    </row>
    <row r="635" spans="1:4" x14ac:dyDescent="0.25">
      <c r="A635" s="83" t="s">
        <v>2307</v>
      </c>
      <c r="B635" s="83">
        <v>4</v>
      </c>
      <c r="C635" s="114">
        <v>4.3319438180147848E-3</v>
      </c>
      <c r="D635" s="83" t="s">
        <v>2213</v>
      </c>
    </row>
    <row r="636" spans="1:4" x14ac:dyDescent="0.25">
      <c r="A636" s="83" t="s">
        <v>2329</v>
      </c>
      <c r="B636" s="83">
        <v>4</v>
      </c>
      <c r="C636" s="114">
        <v>4.3319438180147848E-3</v>
      </c>
      <c r="D636" s="83" t="s">
        <v>2213</v>
      </c>
    </row>
    <row r="637" spans="1:4" x14ac:dyDescent="0.25">
      <c r="A637" s="83" t="s">
        <v>2289</v>
      </c>
      <c r="B637" s="83">
        <v>4</v>
      </c>
      <c r="C637" s="114">
        <v>4.3319438180147848E-3</v>
      </c>
      <c r="D637" s="83" t="s">
        <v>2213</v>
      </c>
    </row>
    <row r="638" spans="1:4" x14ac:dyDescent="0.25">
      <c r="A638" s="83" t="s">
        <v>2365</v>
      </c>
      <c r="B638" s="83">
        <v>4</v>
      </c>
      <c r="C638" s="114">
        <v>4.3319438180147848E-3</v>
      </c>
      <c r="D638" s="83" t="s">
        <v>2213</v>
      </c>
    </row>
    <row r="639" spans="1:4" x14ac:dyDescent="0.25">
      <c r="A639" s="83" t="s">
        <v>2407</v>
      </c>
      <c r="B639" s="83">
        <v>4</v>
      </c>
      <c r="C639" s="114">
        <v>4.3319438180147848E-3</v>
      </c>
      <c r="D639" s="83" t="s">
        <v>2213</v>
      </c>
    </row>
    <row r="640" spans="1:4" x14ac:dyDescent="0.25">
      <c r="A640" s="83" t="s">
        <v>2318</v>
      </c>
      <c r="B640" s="83">
        <v>4</v>
      </c>
      <c r="C640" s="114">
        <v>4.3319438180147848E-3</v>
      </c>
      <c r="D640" s="83" t="s">
        <v>2213</v>
      </c>
    </row>
    <row r="641" spans="1:4" x14ac:dyDescent="0.25">
      <c r="A641" s="83" t="s">
        <v>2410</v>
      </c>
      <c r="B641" s="83">
        <v>4</v>
      </c>
      <c r="C641" s="114">
        <v>4.3319438180147848E-3</v>
      </c>
      <c r="D641" s="83" t="s">
        <v>2213</v>
      </c>
    </row>
    <row r="642" spans="1:4" x14ac:dyDescent="0.25">
      <c r="A642" s="83" t="s">
        <v>2409</v>
      </c>
      <c r="B642" s="83">
        <v>4</v>
      </c>
      <c r="C642" s="114">
        <v>4.3319438180147848E-3</v>
      </c>
      <c r="D642" s="83" t="s">
        <v>2213</v>
      </c>
    </row>
    <row r="643" spans="1:4" x14ac:dyDescent="0.25">
      <c r="A643" s="83" t="s">
        <v>2427</v>
      </c>
      <c r="B643" s="83">
        <v>3</v>
      </c>
      <c r="C643" s="114">
        <v>3.5480929072659959E-3</v>
      </c>
      <c r="D643" s="83" t="s">
        <v>2213</v>
      </c>
    </row>
    <row r="644" spans="1:4" x14ac:dyDescent="0.25">
      <c r="A644" s="83" t="s">
        <v>2395</v>
      </c>
      <c r="B644" s="83">
        <v>3</v>
      </c>
      <c r="C644" s="114">
        <v>3.5480929072659959E-3</v>
      </c>
      <c r="D644" s="83" t="s">
        <v>2213</v>
      </c>
    </row>
    <row r="645" spans="1:4" x14ac:dyDescent="0.25">
      <c r="A645" s="83" t="s">
        <v>2393</v>
      </c>
      <c r="B645" s="83">
        <v>3</v>
      </c>
      <c r="C645" s="114">
        <v>3.5480929072659959E-3</v>
      </c>
      <c r="D645" s="83" t="s">
        <v>2213</v>
      </c>
    </row>
    <row r="646" spans="1:4" x14ac:dyDescent="0.25">
      <c r="A646" s="83" t="s">
        <v>658</v>
      </c>
      <c r="B646" s="83">
        <v>3</v>
      </c>
      <c r="C646" s="114">
        <v>3.5480929072659959E-3</v>
      </c>
      <c r="D646" s="83" t="s">
        <v>2213</v>
      </c>
    </row>
    <row r="647" spans="1:4" x14ac:dyDescent="0.25">
      <c r="A647" s="83" t="s">
        <v>2360</v>
      </c>
      <c r="B647" s="83">
        <v>3</v>
      </c>
      <c r="C647" s="114">
        <v>3.5480929072659959E-3</v>
      </c>
      <c r="D647" s="83" t="s">
        <v>2213</v>
      </c>
    </row>
    <row r="648" spans="1:4" x14ac:dyDescent="0.25">
      <c r="A648" s="83" t="s">
        <v>2390</v>
      </c>
      <c r="B648" s="83">
        <v>3</v>
      </c>
      <c r="C648" s="114">
        <v>3.5480929072659959E-3</v>
      </c>
      <c r="D648" s="83" t="s">
        <v>2213</v>
      </c>
    </row>
    <row r="649" spans="1:4" x14ac:dyDescent="0.25">
      <c r="A649" s="83" t="s">
        <v>2429</v>
      </c>
      <c r="B649" s="83">
        <v>3</v>
      </c>
      <c r="C649" s="114">
        <v>3.5480929072659959E-3</v>
      </c>
      <c r="D649" s="83" t="s">
        <v>2213</v>
      </c>
    </row>
    <row r="650" spans="1:4" x14ac:dyDescent="0.25">
      <c r="A650" s="83" t="s">
        <v>2430</v>
      </c>
      <c r="B650" s="83">
        <v>3</v>
      </c>
      <c r="C650" s="114">
        <v>3.5480929072659959E-3</v>
      </c>
      <c r="D650" s="83" t="s">
        <v>2213</v>
      </c>
    </row>
    <row r="651" spans="1:4" x14ac:dyDescent="0.25">
      <c r="A651" s="83" t="s">
        <v>2431</v>
      </c>
      <c r="B651" s="83">
        <v>3</v>
      </c>
      <c r="C651" s="114">
        <v>3.5480929072659959E-3</v>
      </c>
      <c r="D651" s="83" t="s">
        <v>2213</v>
      </c>
    </row>
    <row r="652" spans="1:4" x14ac:dyDescent="0.25">
      <c r="A652" s="83" t="s">
        <v>2432</v>
      </c>
      <c r="B652" s="83">
        <v>3</v>
      </c>
      <c r="C652" s="114">
        <v>3.5480929072659959E-3</v>
      </c>
      <c r="D652" s="83" t="s">
        <v>2213</v>
      </c>
    </row>
    <row r="653" spans="1:4" x14ac:dyDescent="0.25">
      <c r="A653" s="83" t="s">
        <v>2433</v>
      </c>
      <c r="B653" s="83">
        <v>3</v>
      </c>
      <c r="C653" s="114">
        <v>3.5480929072659959E-3</v>
      </c>
      <c r="D653" s="83" t="s">
        <v>2213</v>
      </c>
    </row>
    <row r="654" spans="1:4" x14ac:dyDescent="0.25">
      <c r="A654" s="83" t="s">
        <v>2434</v>
      </c>
      <c r="B654" s="83">
        <v>3</v>
      </c>
      <c r="C654" s="114">
        <v>3.5480929072659959E-3</v>
      </c>
      <c r="D654" s="83" t="s">
        <v>2213</v>
      </c>
    </row>
    <row r="655" spans="1:4" x14ac:dyDescent="0.25">
      <c r="A655" s="83" t="s">
        <v>2396</v>
      </c>
      <c r="B655" s="83">
        <v>3</v>
      </c>
      <c r="C655" s="114">
        <v>3.5480929072659959E-3</v>
      </c>
      <c r="D655" s="83" t="s">
        <v>2213</v>
      </c>
    </row>
    <row r="656" spans="1:4" x14ac:dyDescent="0.25">
      <c r="A656" s="83" t="s">
        <v>2397</v>
      </c>
      <c r="B656" s="83">
        <v>3</v>
      </c>
      <c r="C656" s="114">
        <v>3.5480929072659959E-3</v>
      </c>
      <c r="D656" s="83" t="s">
        <v>2213</v>
      </c>
    </row>
    <row r="657" spans="1:4" x14ac:dyDescent="0.25">
      <c r="A657" s="83" t="s">
        <v>2398</v>
      </c>
      <c r="B657" s="83">
        <v>3</v>
      </c>
      <c r="C657" s="114">
        <v>3.5480929072659959E-3</v>
      </c>
      <c r="D657" s="83" t="s">
        <v>2213</v>
      </c>
    </row>
    <row r="658" spans="1:4" x14ac:dyDescent="0.25">
      <c r="A658" s="83" t="s">
        <v>2363</v>
      </c>
      <c r="B658" s="83">
        <v>3</v>
      </c>
      <c r="C658" s="114">
        <v>3.5480929072659959E-3</v>
      </c>
      <c r="D658" s="83" t="s">
        <v>2213</v>
      </c>
    </row>
    <row r="659" spans="1:4" x14ac:dyDescent="0.25">
      <c r="A659" s="83" t="s">
        <v>2442</v>
      </c>
      <c r="B659" s="83">
        <v>3</v>
      </c>
      <c r="C659" s="114">
        <v>3.5480929072659959E-3</v>
      </c>
      <c r="D659" s="83" t="s">
        <v>2213</v>
      </c>
    </row>
    <row r="660" spans="1:4" x14ac:dyDescent="0.25">
      <c r="A660" s="83" t="s">
        <v>2443</v>
      </c>
      <c r="B660" s="83">
        <v>3</v>
      </c>
      <c r="C660" s="114">
        <v>3.5480929072659959E-3</v>
      </c>
      <c r="D660" s="83" t="s">
        <v>2213</v>
      </c>
    </row>
    <row r="661" spans="1:4" x14ac:dyDescent="0.25">
      <c r="A661" s="83" t="s">
        <v>2279</v>
      </c>
      <c r="B661" s="83">
        <v>3</v>
      </c>
      <c r="C661" s="114">
        <v>3.5480929072659959E-3</v>
      </c>
      <c r="D661" s="83" t="s">
        <v>2213</v>
      </c>
    </row>
    <row r="662" spans="1:4" x14ac:dyDescent="0.25">
      <c r="A662" s="83" t="s">
        <v>2351</v>
      </c>
      <c r="B662" s="83">
        <v>3</v>
      </c>
      <c r="C662" s="114">
        <v>3.5480929072659959E-3</v>
      </c>
      <c r="D662" s="83" t="s">
        <v>2213</v>
      </c>
    </row>
    <row r="663" spans="1:4" x14ac:dyDescent="0.25">
      <c r="A663" s="83" t="s">
        <v>2392</v>
      </c>
      <c r="B663" s="83">
        <v>3</v>
      </c>
      <c r="C663" s="114">
        <v>3.5480929072659959E-3</v>
      </c>
      <c r="D663" s="83" t="s">
        <v>2213</v>
      </c>
    </row>
    <row r="664" spans="1:4" x14ac:dyDescent="0.25">
      <c r="A664" s="83" t="s">
        <v>639</v>
      </c>
      <c r="B664" s="83">
        <v>3</v>
      </c>
      <c r="C664" s="114">
        <v>3.5480929072659959E-3</v>
      </c>
      <c r="D664" s="83" t="s">
        <v>2213</v>
      </c>
    </row>
    <row r="665" spans="1:4" x14ac:dyDescent="0.25">
      <c r="A665" s="83" t="s">
        <v>2454</v>
      </c>
      <c r="B665" s="83">
        <v>3</v>
      </c>
      <c r="C665" s="114">
        <v>3.5480929072659959E-3</v>
      </c>
      <c r="D665" s="83" t="s">
        <v>2213</v>
      </c>
    </row>
    <row r="666" spans="1:4" x14ac:dyDescent="0.25">
      <c r="A666" s="83" t="s">
        <v>2452</v>
      </c>
      <c r="B666" s="83">
        <v>3</v>
      </c>
      <c r="C666" s="114">
        <v>3.969700071804738E-3</v>
      </c>
      <c r="D666" s="83" t="s">
        <v>2213</v>
      </c>
    </row>
    <row r="667" spans="1:4" x14ac:dyDescent="0.25">
      <c r="A667" s="83" t="s">
        <v>2441</v>
      </c>
      <c r="B667" s="83">
        <v>3</v>
      </c>
      <c r="C667" s="114">
        <v>3.5480929072659959E-3</v>
      </c>
      <c r="D667" s="83" t="s">
        <v>2213</v>
      </c>
    </row>
    <row r="668" spans="1:4" x14ac:dyDescent="0.25">
      <c r="A668" s="83" t="s">
        <v>2464</v>
      </c>
      <c r="B668" s="83">
        <v>3</v>
      </c>
      <c r="C668" s="114">
        <v>3.5480929072659959E-3</v>
      </c>
      <c r="D668" s="83" t="s">
        <v>2213</v>
      </c>
    </row>
    <row r="669" spans="1:4" x14ac:dyDescent="0.25">
      <c r="A669" s="83" t="s">
        <v>2465</v>
      </c>
      <c r="B669" s="83">
        <v>3</v>
      </c>
      <c r="C669" s="114">
        <v>3.5480929072659959E-3</v>
      </c>
      <c r="D669" s="83" t="s">
        <v>2213</v>
      </c>
    </row>
    <row r="670" spans="1:4" x14ac:dyDescent="0.25">
      <c r="A670" s="83" t="s">
        <v>2466</v>
      </c>
      <c r="B670" s="83">
        <v>3</v>
      </c>
      <c r="C670" s="114">
        <v>3.5480929072659959E-3</v>
      </c>
      <c r="D670" s="83" t="s">
        <v>2213</v>
      </c>
    </row>
    <row r="671" spans="1:4" x14ac:dyDescent="0.25">
      <c r="A671" s="83" t="s">
        <v>2467</v>
      </c>
      <c r="B671" s="83">
        <v>3</v>
      </c>
      <c r="C671" s="114">
        <v>3.5480929072659959E-3</v>
      </c>
      <c r="D671" s="83" t="s">
        <v>2213</v>
      </c>
    </row>
    <row r="672" spans="1:4" x14ac:dyDescent="0.25">
      <c r="A672" s="83" t="s">
        <v>2468</v>
      </c>
      <c r="B672" s="83">
        <v>3</v>
      </c>
      <c r="C672" s="114">
        <v>3.5480929072659959E-3</v>
      </c>
      <c r="D672" s="83" t="s">
        <v>2213</v>
      </c>
    </row>
    <row r="673" spans="1:4" x14ac:dyDescent="0.25">
      <c r="A673" s="83" t="s">
        <v>2322</v>
      </c>
      <c r="B673" s="83">
        <v>3</v>
      </c>
      <c r="C673" s="114">
        <v>3.969700071804738E-3</v>
      </c>
      <c r="D673" s="83" t="s">
        <v>2213</v>
      </c>
    </row>
    <row r="674" spans="1:4" x14ac:dyDescent="0.25">
      <c r="A674" s="83" t="s">
        <v>2526</v>
      </c>
      <c r="B674" s="83">
        <v>2</v>
      </c>
      <c r="C674" s="114">
        <v>2.6464667145364926E-3</v>
      </c>
      <c r="D674" s="83" t="s">
        <v>2213</v>
      </c>
    </row>
    <row r="675" spans="1:4" x14ac:dyDescent="0.25">
      <c r="A675" s="83" t="s">
        <v>2315</v>
      </c>
      <c r="B675" s="83">
        <v>2</v>
      </c>
      <c r="C675" s="114">
        <v>2.6464667145364926E-3</v>
      </c>
      <c r="D675" s="83" t="s">
        <v>2213</v>
      </c>
    </row>
    <row r="676" spans="1:4" x14ac:dyDescent="0.25">
      <c r="A676" s="83" t="s">
        <v>2540</v>
      </c>
      <c r="B676" s="83">
        <v>2</v>
      </c>
      <c r="C676" s="114">
        <v>2.6464667145364926E-3</v>
      </c>
      <c r="D676" s="83" t="s">
        <v>2213</v>
      </c>
    </row>
    <row r="677" spans="1:4" x14ac:dyDescent="0.25">
      <c r="A677" s="83" t="s">
        <v>2308</v>
      </c>
      <c r="B677" s="83">
        <v>2</v>
      </c>
      <c r="C677" s="114">
        <v>2.6464667145364926E-3</v>
      </c>
      <c r="D677" s="83" t="s">
        <v>2213</v>
      </c>
    </row>
    <row r="678" spans="1:4" x14ac:dyDescent="0.25">
      <c r="A678" s="83" t="s">
        <v>311</v>
      </c>
      <c r="B678" s="83">
        <v>2</v>
      </c>
      <c r="C678" s="114">
        <v>2.6464667145364926E-3</v>
      </c>
      <c r="D678" s="83" t="s">
        <v>2213</v>
      </c>
    </row>
    <row r="679" spans="1:4" x14ac:dyDescent="0.25">
      <c r="A679" s="83" t="s">
        <v>2555</v>
      </c>
      <c r="B679" s="83">
        <v>2</v>
      </c>
      <c r="C679" s="114">
        <v>2.6464667145364926E-3</v>
      </c>
      <c r="D679" s="83" t="s">
        <v>2213</v>
      </c>
    </row>
    <row r="680" spans="1:4" x14ac:dyDescent="0.25">
      <c r="A680" s="83" t="s">
        <v>2556</v>
      </c>
      <c r="B680" s="83">
        <v>2</v>
      </c>
      <c r="C680" s="114">
        <v>2.6464667145364926E-3</v>
      </c>
      <c r="D680" s="83" t="s">
        <v>2213</v>
      </c>
    </row>
    <row r="681" spans="1:4" x14ac:dyDescent="0.25">
      <c r="A681" s="83" t="s">
        <v>2557</v>
      </c>
      <c r="B681" s="83">
        <v>2</v>
      </c>
      <c r="C681" s="114">
        <v>2.6464667145364926E-3</v>
      </c>
      <c r="D681" s="83" t="s">
        <v>2213</v>
      </c>
    </row>
    <row r="682" spans="1:4" x14ac:dyDescent="0.25">
      <c r="A682" s="83" t="s">
        <v>2558</v>
      </c>
      <c r="B682" s="83">
        <v>2</v>
      </c>
      <c r="C682" s="114">
        <v>2.6464667145364926E-3</v>
      </c>
      <c r="D682" s="83" t="s">
        <v>2213</v>
      </c>
    </row>
    <row r="683" spans="1:4" x14ac:dyDescent="0.25">
      <c r="A683" s="83" t="s">
        <v>2559</v>
      </c>
      <c r="B683" s="83">
        <v>2</v>
      </c>
      <c r="C683" s="114">
        <v>2.6464667145364926E-3</v>
      </c>
      <c r="D683" s="83" t="s">
        <v>2213</v>
      </c>
    </row>
    <row r="684" spans="1:4" x14ac:dyDescent="0.25">
      <c r="A684" s="83" t="s">
        <v>2560</v>
      </c>
      <c r="B684" s="83">
        <v>2</v>
      </c>
      <c r="C684" s="114">
        <v>2.6464667145364926E-3</v>
      </c>
      <c r="D684" s="83" t="s">
        <v>2213</v>
      </c>
    </row>
    <row r="685" spans="1:4" x14ac:dyDescent="0.25">
      <c r="A685" s="83" t="s">
        <v>2561</v>
      </c>
      <c r="B685" s="83">
        <v>2</v>
      </c>
      <c r="C685" s="114">
        <v>2.6464667145364926E-3</v>
      </c>
      <c r="D685" s="83" t="s">
        <v>2213</v>
      </c>
    </row>
    <row r="686" spans="1:4" x14ac:dyDescent="0.25">
      <c r="A686" s="83" t="s">
        <v>2456</v>
      </c>
      <c r="B686" s="83">
        <v>2</v>
      </c>
      <c r="C686" s="114">
        <v>2.6464667145364926E-3</v>
      </c>
      <c r="D686" s="83" t="s">
        <v>2213</v>
      </c>
    </row>
    <row r="687" spans="1:4" x14ac:dyDescent="0.25">
      <c r="A687" s="83" t="s">
        <v>2317</v>
      </c>
      <c r="B687" s="83">
        <v>2</v>
      </c>
      <c r="C687" s="114">
        <v>2.6464667145364926E-3</v>
      </c>
      <c r="D687" s="83" t="s">
        <v>2213</v>
      </c>
    </row>
    <row r="688" spans="1:4" x14ac:dyDescent="0.25">
      <c r="A688" s="83" t="s">
        <v>2383</v>
      </c>
      <c r="B688" s="83">
        <v>2</v>
      </c>
      <c r="C688" s="114">
        <v>2.6464667145364926E-3</v>
      </c>
      <c r="D688" s="83" t="s">
        <v>2213</v>
      </c>
    </row>
    <row r="689" spans="1:4" x14ac:dyDescent="0.25">
      <c r="A689" s="83" t="s">
        <v>301</v>
      </c>
      <c r="B689" s="83">
        <v>2</v>
      </c>
      <c r="C689" s="114">
        <v>2.6464667145364926E-3</v>
      </c>
      <c r="D689" s="83" t="s">
        <v>2213</v>
      </c>
    </row>
    <row r="690" spans="1:4" x14ac:dyDescent="0.25">
      <c r="A690" s="83" t="s">
        <v>2563</v>
      </c>
      <c r="B690" s="83">
        <v>2</v>
      </c>
      <c r="C690" s="114">
        <v>2.6464667145364926E-3</v>
      </c>
      <c r="D690" s="83" t="s">
        <v>2213</v>
      </c>
    </row>
    <row r="691" spans="1:4" x14ac:dyDescent="0.25">
      <c r="A691" s="83" t="s">
        <v>2564</v>
      </c>
      <c r="B691" s="83">
        <v>2</v>
      </c>
      <c r="C691" s="114">
        <v>2.6464667145364926E-3</v>
      </c>
      <c r="D691" s="83" t="s">
        <v>2213</v>
      </c>
    </row>
    <row r="692" spans="1:4" x14ac:dyDescent="0.25">
      <c r="A692" s="83" t="s">
        <v>2457</v>
      </c>
      <c r="B692" s="83">
        <v>2</v>
      </c>
      <c r="C692" s="114">
        <v>2.6464667145364926E-3</v>
      </c>
      <c r="D692" s="83" t="s">
        <v>2213</v>
      </c>
    </row>
    <row r="693" spans="1:4" x14ac:dyDescent="0.25">
      <c r="A693" s="83" t="s">
        <v>2565</v>
      </c>
      <c r="B693" s="83">
        <v>2</v>
      </c>
      <c r="C693" s="114">
        <v>2.6464667145364926E-3</v>
      </c>
      <c r="D693" s="83" t="s">
        <v>2213</v>
      </c>
    </row>
    <row r="694" spans="1:4" x14ac:dyDescent="0.25">
      <c r="A694" s="83" t="s">
        <v>2566</v>
      </c>
      <c r="B694" s="83">
        <v>2</v>
      </c>
      <c r="C694" s="114">
        <v>2.6464667145364926E-3</v>
      </c>
      <c r="D694" s="83" t="s">
        <v>2213</v>
      </c>
    </row>
    <row r="695" spans="1:4" x14ac:dyDescent="0.25">
      <c r="A695" s="83" t="s">
        <v>2562</v>
      </c>
      <c r="B695" s="83">
        <v>2</v>
      </c>
      <c r="C695" s="114">
        <v>2.6464667145364926E-3</v>
      </c>
      <c r="D695" s="83" t="s">
        <v>2213</v>
      </c>
    </row>
    <row r="696" spans="1:4" x14ac:dyDescent="0.25">
      <c r="A696" s="83" t="s">
        <v>653</v>
      </c>
      <c r="B696" s="83">
        <v>2</v>
      </c>
      <c r="C696" s="114">
        <v>2.6464667145364926E-3</v>
      </c>
      <c r="D696" s="83" t="s">
        <v>2213</v>
      </c>
    </row>
    <row r="697" spans="1:4" x14ac:dyDescent="0.25">
      <c r="A697" s="83" t="s">
        <v>2535</v>
      </c>
      <c r="B697" s="83">
        <v>2</v>
      </c>
      <c r="C697" s="114">
        <v>2.6464667145364926E-3</v>
      </c>
      <c r="D697" s="83" t="s">
        <v>2213</v>
      </c>
    </row>
    <row r="698" spans="1:4" x14ac:dyDescent="0.25">
      <c r="A698" s="83" t="s">
        <v>2536</v>
      </c>
      <c r="B698" s="83">
        <v>2</v>
      </c>
      <c r="C698" s="114">
        <v>2.6464667145364926E-3</v>
      </c>
      <c r="D698" s="83" t="s">
        <v>2213</v>
      </c>
    </row>
    <row r="699" spans="1:4" x14ac:dyDescent="0.25">
      <c r="A699" s="83" t="s">
        <v>2537</v>
      </c>
      <c r="B699" s="83">
        <v>2</v>
      </c>
      <c r="C699" s="114">
        <v>2.6464667145364926E-3</v>
      </c>
      <c r="D699" s="83" t="s">
        <v>2213</v>
      </c>
    </row>
    <row r="700" spans="1:4" x14ac:dyDescent="0.25">
      <c r="A700" s="83" t="s">
        <v>2538</v>
      </c>
      <c r="B700" s="83">
        <v>2</v>
      </c>
      <c r="C700" s="114">
        <v>2.6464667145364926E-3</v>
      </c>
      <c r="D700" s="83" t="s">
        <v>2213</v>
      </c>
    </row>
    <row r="701" spans="1:4" x14ac:dyDescent="0.25">
      <c r="A701" s="83" t="s">
        <v>2380</v>
      </c>
      <c r="B701" s="83">
        <v>2</v>
      </c>
      <c r="C701" s="114">
        <v>2.6464667145364926E-3</v>
      </c>
      <c r="D701" s="83" t="s">
        <v>2213</v>
      </c>
    </row>
    <row r="702" spans="1:4" x14ac:dyDescent="0.25">
      <c r="A702" s="83" t="s">
        <v>2539</v>
      </c>
      <c r="B702" s="83">
        <v>2</v>
      </c>
      <c r="C702" s="114">
        <v>2.6464667145364926E-3</v>
      </c>
      <c r="D702" s="83" t="s">
        <v>2213</v>
      </c>
    </row>
    <row r="703" spans="1:4" x14ac:dyDescent="0.25">
      <c r="A703" s="83" t="s">
        <v>2361</v>
      </c>
      <c r="B703" s="83">
        <v>2</v>
      </c>
      <c r="C703" s="114">
        <v>2.6464667145364926E-3</v>
      </c>
      <c r="D703" s="83" t="s">
        <v>2213</v>
      </c>
    </row>
    <row r="704" spans="1:4" x14ac:dyDescent="0.25">
      <c r="A704" s="83" t="s">
        <v>2248</v>
      </c>
      <c r="B704" s="83">
        <v>2</v>
      </c>
      <c r="C704" s="114">
        <v>2.6464667145364926E-3</v>
      </c>
      <c r="D704" s="83" t="s">
        <v>2213</v>
      </c>
    </row>
    <row r="705" spans="1:4" x14ac:dyDescent="0.25">
      <c r="A705" s="83" t="s">
        <v>2435</v>
      </c>
      <c r="B705" s="83">
        <v>2</v>
      </c>
      <c r="C705" s="114">
        <v>2.6464667145364926E-3</v>
      </c>
      <c r="D705" s="83" t="s">
        <v>2213</v>
      </c>
    </row>
    <row r="706" spans="1:4" x14ac:dyDescent="0.25">
      <c r="A706" s="83" t="s">
        <v>2406</v>
      </c>
      <c r="B706" s="83">
        <v>2</v>
      </c>
      <c r="C706" s="114">
        <v>2.6464667145364926E-3</v>
      </c>
      <c r="D706" s="83" t="s">
        <v>2213</v>
      </c>
    </row>
    <row r="707" spans="1:4" x14ac:dyDescent="0.25">
      <c r="A707" s="83" t="s">
        <v>2549</v>
      </c>
      <c r="B707" s="83">
        <v>2</v>
      </c>
      <c r="C707" s="114">
        <v>2.6464667145364926E-3</v>
      </c>
      <c r="D707" s="83" t="s">
        <v>2213</v>
      </c>
    </row>
    <row r="708" spans="1:4" x14ac:dyDescent="0.25">
      <c r="A708" s="83" t="s">
        <v>2550</v>
      </c>
      <c r="B708" s="83">
        <v>2</v>
      </c>
      <c r="C708" s="114">
        <v>2.6464667145364926E-3</v>
      </c>
      <c r="D708" s="83" t="s">
        <v>2213</v>
      </c>
    </row>
    <row r="709" spans="1:4" x14ac:dyDescent="0.25">
      <c r="A709" s="83" t="s">
        <v>2551</v>
      </c>
      <c r="B709" s="83">
        <v>2</v>
      </c>
      <c r="C709" s="114">
        <v>2.6464667145364926E-3</v>
      </c>
      <c r="D709" s="83" t="s">
        <v>2213</v>
      </c>
    </row>
    <row r="710" spans="1:4" x14ac:dyDescent="0.25">
      <c r="A710" s="83" t="s">
        <v>2552</v>
      </c>
      <c r="B710" s="83">
        <v>2</v>
      </c>
      <c r="C710" s="114">
        <v>2.6464667145364926E-3</v>
      </c>
      <c r="D710" s="83" t="s">
        <v>2213</v>
      </c>
    </row>
    <row r="711" spans="1:4" x14ac:dyDescent="0.25">
      <c r="A711" s="83" t="s">
        <v>2553</v>
      </c>
      <c r="B711" s="83">
        <v>2</v>
      </c>
      <c r="C711" s="114">
        <v>2.6464667145364926E-3</v>
      </c>
      <c r="D711" s="83" t="s">
        <v>2213</v>
      </c>
    </row>
    <row r="712" spans="1:4" x14ac:dyDescent="0.25">
      <c r="A712" s="83" t="s">
        <v>2455</v>
      </c>
      <c r="B712" s="83">
        <v>2</v>
      </c>
      <c r="C712" s="114">
        <v>2.6464667145364926E-3</v>
      </c>
      <c r="D712" s="83" t="s">
        <v>2213</v>
      </c>
    </row>
    <row r="713" spans="1:4" x14ac:dyDescent="0.25">
      <c r="A713" s="83" t="s">
        <v>2554</v>
      </c>
      <c r="B713" s="83">
        <v>2</v>
      </c>
      <c r="C713" s="114">
        <v>2.6464667145364926E-3</v>
      </c>
      <c r="D713" s="83" t="s">
        <v>2213</v>
      </c>
    </row>
    <row r="714" spans="1:4" x14ac:dyDescent="0.25">
      <c r="A714" s="83" t="s">
        <v>644</v>
      </c>
      <c r="B714" s="83">
        <v>2</v>
      </c>
      <c r="C714" s="114">
        <v>2.6464667145364926E-3</v>
      </c>
      <c r="D714" s="83" t="s">
        <v>2213</v>
      </c>
    </row>
    <row r="715" spans="1:4" x14ac:dyDescent="0.25">
      <c r="A715" s="83" t="s">
        <v>2576</v>
      </c>
      <c r="B715" s="83">
        <v>2</v>
      </c>
      <c r="C715" s="114">
        <v>2.6464667145364926E-3</v>
      </c>
      <c r="D715" s="83" t="s">
        <v>2213</v>
      </c>
    </row>
    <row r="716" spans="1:4" x14ac:dyDescent="0.25">
      <c r="A716" s="83" t="s">
        <v>2547</v>
      </c>
      <c r="B716" s="83">
        <v>2</v>
      </c>
      <c r="C716" s="114">
        <v>2.6464667145364926E-3</v>
      </c>
      <c r="D716" s="83" t="s">
        <v>2213</v>
      </c>
    </row>
    <row r="717" spans="1:4" x14ac:dyDescent="0.25">
      <c r="A717" s="83" t="s">
        <v>2444</v>
      </c>
      <c r="B717" s="83">
        <v>2</v>
      </c>
      <c r="C717" s="114">
        <v>2.6464667145364926E-3</v>
      </c>
      <c r="D717" s="83" t="s">
        <v>2213</v>
      </c>
    </row>
    <row r="718" spans="1:4" x14ac:dyDescent="0.25">
      <c r="A718" s="83" t="s">
        <v>2445</v>
      </c>
      <c r="B718" s="83">
        <v>2</v>
      </c>
      <c r="C718" s="114">
        <v>2.6464667145364926E-3</v>
      </c>
      <c r="D718" s="83" t="s">
        <v>2213</v>
      </c>
    </row>
    <row r="719" spans="1:4" x14ac:dyDescent="0.25">
      <c r="A719" s="83" t="s">
        <v>2446</v>
      </c>
      <c r="B719" s="83">
        <v>2</v>
      </c>
      <c r="C719" s="114">
        <v>2.6464667145364926E-3</v>
      </c>
      <c r="D719" s="83" t="s">
        <v>2213</v>
      </c>
    </row>
    <row r="720" spans="1:4" x14ac:dyDescent="0.25">
      <c r="A720" s="83" t="s">
        <v>2447</v>
      </c>
      <c r="B720" s="83">
        <v>2</v>
      </c>
      <c r="C720" s="114">
        <v>2.6464667145364926E-3</v>
      </c>
      <c r="D720" s="83" t="s">
        <v>2213</v>
      </c>
    </row>
    <row r="721" spans="1:4" x14ac:dyDescent="0.25">
      <c r="A721" s="83" t="s">
        <v>2448</v>
      </c>
      <c r="B721" s="83">
        <v>2</v>
      </c>
      <c r="C721" s="114">
        <v>2.6464667145364926E-3</v>
      </c>
      <c r="D721" s="83" t="s">
        <v>2213</v>
      </c>
    </row>
    <row r="722" spans="1:4" x14ac:dyDescent="0.25">
      <c r="A722" s="83" t="s">
        <v>2449</v>
      </c>
      <c r="B722" s="83">
        <v>2</v>
      </c>
      <c r="C722" s="114">
        <v>2.6464667145364926E-3</v>
      </c>
      <c r="D722" s="83" t="s">
        <v>2213</v>
      </c>
    </row>
    <row r="723" spans="1:4" x14ac:dyDescent="0.25">
      <c r="A723" s="83" t="s">
        <v>2450</v>
      </c>
      <c r="B723" s="83">
        <v>2</v>
      </c>
      <c r="C723" s="114">
        <v>2.6464667145364926E-3</v>
      </c>
      <c r="D723" s="83" t="s">
        <v>2213</v>
      </c>
    </row>
    <row r="724" spans="1:4" x14ac:dyDescent="0.25">
      <c r="A724" s="83" t="s">
        <v>2451</v>
      </c>
      <c r="B724" s="83">
        <v>2</v>
      </c>
      <c r="C724" s="114">
        <v>2.6464667145364926E-3</v>
      </c>
      <c r="D724" s="83" t="s">
        <v>2213</v>
      </c>
    </row>
    <row r="725" spans="1:4" x14ac:dyDescent="0.25">
      <c r="A725" s="83" t="s">
        <v>2545</v>
      </c>
      <c r="B725" s="83">
        <v>2</v>
      </c>
      <c r="C725" s="114">
        <v>2.6464667145364926E-3</v>
      </c>
      <c r="D725" s="83" t="s">
        <v>2213</v>
      </c>
    </row>
    <row r="726" spans="1:4" x14ac:dyDescent="0.25">
      <c r="A726" s="83" t="s">
        <v>2424</v>
      </c>
      <c r="B726" s="83">
        <v>2</v>
      </c>
      <c r="C726" s="114">
        <v>2.6464667145364926E-3</v>
      </c>
      <c r="D726" s="83" t="s">
        <v>2213</v>
      </c>
    </row>
    <row r="727" spans="1:4" x14ac:dyDescent="0.25">
      <c r="A727" s="83" t="s">
        <v>2391</v>
      </c>
      <c r="B727" s="83">
        <v>2</v>
      </c>
      <c r="C727" s="114">
        <v>2.6464667145364926E-3</v>
      </c>
      <c r="D727" s="83" t="s">
        <v>2213</v>
      </c>
    </row>
    <row r="728" spans="1:4" x14ac:dyDescent="0.25">
      <c r="A728" s="83" t="s">
        <v>2569</v>
      </c>
      <c r="B728" s="83">
        <v>2</v>
      </c>
      <c r="C728" s="114">
        <v>2.6464667145364926E-3</v>
      </c>
      <c r="D728" s="83" t="s">
        <v>2213</v>
      </c>
    </row>
    <row r="729" spans="1:4" x14ac:dyDescent="0.25">
      <c r="A729" s="83" t="s">
        <v>2298</v>
      </c>
      <c r="B729" s="83">
        <v>2</v>
      </c>
      <c r="C729" s="114">
        <v>2.6464667145364926E-3</v>
      </c>
      <c r="D729" s="83" t="s">
        <v>2213</v>
      </c>
    </row>
    <row r="730" spans="1:4" x14ac:dyDescent="0.25">
      <c r="A730" s="83" t="s">
        <v>242</v>
      </c>
      <c r="B730" s="83">
        <v>2</v>
      </c>
      <c r="C730" s="114">
        <v>2.6464667145364926E-3</v>
      </c>
      <c r="D730" s="83" t="s">
        <v>2213</v>
      </c>
    </row>
    <row r="731" spans="1:4" x14ac:dyDescent="0.25">
      <c r="A731" s="83" t="s">
        <v>2253</v>
      </c>
      <c r="B731" s="83">
        <v>2</v>
      </c>
      <c r="C731" s="114">
        <v>2.6464667145364926E-3</v>
      </c>
      <c r="D731" s="83" t="s">
        <v>2213</v>
      </c>
    </row>
    <row r="732" spans="1:4" x14ac:dyDescent="0.25">
      <c r="A732" s="83" t="s">
        <v>2587</v>
      </c>
      <c r="B732" s="83">
        <v>2</v>
      </c>
      <c r="C732" s="114">
        <v>2.6464667145364926E-3</v>
      </c>
      <c r="D732" s="83" t="s">
        <v>2213</v>
      </c>
    </row>
    <row r="733" spans="1:4" x14ac:dyDescent="0.25">
      <c r="A733" s="83" t="s">
        <v>2588</v>
      </c>
      <c r="B733" s="83">
        <v>2</v>
      </c>
      <c r="C733" s="114">
        <v>2.6464667145364926E-3</v>
      </c>
      <c r="D733" s="83" t="s">
        <v>2213</v>
      </c>
    </row>
    <row r="734" spans="1:4" x14ac:dyDescent="0.25">
      <c r="A734" s="83" t="s">
        <v>2355</v>
      </c>
      <c r="B734" s="83">
        <v>2</v>
      </c>
      <c r="C734" s="114">
        <v>2.6464667145364926E-3</v>
      </c>
      <c r="D734" s="83" t="s">
        <v>2213</v>
      </c>
    </row>
    <row r="735" spans="1:4" x14ac:dyDescent="0.25">
      <c r="A735" s="83" t="s">
        <v>2578</v>
      </c>
      <c r="B735" s="83">
        <v>2</v>
      </c>
      <c r="C735" s="114">
        <v>2.6464667145364926E-3</v>
      </c>
      <c r="D735" s="83" t="s">
        <v>2213</v>
      </c>
    </row>
    <row r="736" spans="1:4" x14ac:dyDescent="0.25">
      <c r="A736" s="83" t="s">
        <v>2462</v>
      </c>
      <c r="B736" s="83">
        <v>2</v>
      </c>
      <c r="C736" s="114">
        <v>2.6464667145364926E-3</v>
      </c>
      <c r="D736" s="83" t="s">
        <v>2213</v>
      </c>
    </row>
    <row r="737" spans="1:4" x14ac:dyDescent="0.25">
      <c r="A737" s="83" t="s">
        <v>2416</v>
      </c>
      <c r="B737" s="83">
        <v>2</v>
      </c>
      <c r="C737" s="114">
        <v>2.6464667145364926E-3</v>
      </c>
      <c r="D737" s="83" t="s">
        <v>2213</v>
      </c>
    </row>
    <row r="738" spans="1:4" x14ac:dyDescent="0.25">
      <c r="A738" s="83" t="s">
        <v>2369</v>
      </c>
      <c r="B738" s="83">
        <v>2</v>
      </c>
      <c r="C738" s="114">
        <v>2.6464667145364926E-3</v>
      </c>
      <c r="D738" s="83" t="s">
        <v>2213</v>
      </c>
    </row>
    <row r="739" spans="1:4" x14ac:dyDescent="0.25">
      <c r="A739" s="83" t="s">
        <v>2370</v>
      </c>
      <c r="B739" s="83">
        <v>2</v>
      </c>
      <c r="C739" s="114">
        <v>2.6464667145364926E-3</v>
      </c>
      <c r="D739" s="83" t="s">
        <v>2213</v>
      </c>
    </row>
    <row r="740" spans="1:4" x14ac:dyDescent="0.25">
      <c r="A740" s="83" t="s">
        <v>2235</v>
      </c>
      <c r="B740" s="83">
        <v>28</v>
      </c>
      <c r="C740" s="114">
        <v>0</v>
      </c>
      <c r="D740" s="83" t="s">
        <v>2214</v>
      </c>
    </row>
    <row r="741" spans="1:4" x14ac:dyDescent="0.25">
      <c r="A741" s="83" t="s">
        <v>2239</v>
      </c>
      <c r="B741" s="83">
        <v>9</v>
      </c>
      <c r="C741" s="114">
        <v>1.3608097230448004E-2</v>
      </c>
      <c r="D741" s="83" t="s">
        <v>2214</v>
      </c>
    </row>
    <row r="742" spans="1:4" x14ac:dyDescent="0.25">
      <c r="A742" s="83" t="s">
        <v>2240</v>
      </c>
      <c r="B742" s="83">
        <v>6</v>
      </c>
      <c r="C742" s="114">
        <v>1.2313008238501393E-2</v>
      </c>
      <c r="D742" s="83" t="s">
        <v>2214</v>
      </c>
    </row>
    <row r="743" spans="1:4" x14ac:dyDescent="0.25">
      <c r="A743" s="83" t="s">
        <v>2237</v>
      </c>
      <c r="B743" s="83">
        <v>5</v>
      </c>
      <c r="C743" s="114">
        <v>1.1475276487825158E-2</v>
      </c>
      <c r="D743" s="83" t="s">
        <v>2214</v>
      </c>
    </row>
    <row r="744" spans="1:4" x14ac:dyDescent="0.25">
      <c r="A744" s="83" t="s">
        <v>657</v>
      </c>
      <c r="B744" s="83">
        <v>5</v>
      </c>
      <c r="C744" s="114">
        <v>1.1475276487825158E-2</v>
      </c>
      <c r="D744" s="83" t="s">
        <v>2214</v>
      </c>
    </row>
    <row r="745" spans="1:4" x14ac:dyDescent="0.25">
      <c r="A745" s="83" t="s">
        <v>2269</v>
      </c>
      <c r="B745" s="83">
        <v>4</v>
      </c>
      <c r="C745" s="114">
        <v>1.036930110446941E-2</v>
      </c>
      <c r="D745" s="83" t="s">
        <v>2214</v>
      </c>
    </row>
    <row r="746" spans="1:4" x14ac:dyDescent="0.25">
      <c r="A746" s="83" t="s">
        <v>2242</v>
      </c>
      <c r="B746" s="83">
        <v>4</v>
      </c>
      <c r="C746" s="114">
        <v>1.036930110446941E-2</v>
      </c>
      <c r="D746" s="83" t="s">
        <v>2214</v>
      </c>
    </row>
    <row r="747" spans="1:4" x14ac:dyDescent="0.25">
      <c r="A747" s="83" t="s">
        <v>2298</v>
      </c>
      <c r="B747" s="83">
        <v>4</v>
      </c>
      <c r="C747" s="114">
        <v>1.036930110446941E-2</v>
      </c>
      <c r="D747" s="83" t="s">
        <v>2214</v>
      </c>
    </row>
    <row r="748" spans="1:4" x14ac:dyDescent="0.25">
      <c r="A748" s="83" t="s">
        <v>658</v>
      </c>
      <c r="B748" s="83">
        <v>4</v>
      </c>
      <c r="C748" s="114">
        <v>1.036930110446941E-2</v>
      </c>
      <c r="D748" s="83" t="s">
        <v>2214</v>
      </c>
    </row>
    <row r="749" spans="1:4" x14ac:dyDescent="0.25">
      <c r="A749" s="83" t="s">
        <v>2247</v>
      </c>
      <c r="B749" s="83">
        <v>4</v>
      </c>
      <c r="C749" s="114">
        <v>1.036930110446941E-2</v>
      </c>
      <c r="D749" s="83" t="s">
        <v>2214</v>
      </c>
    </row>
    <row r="750" spans="1:4" x14ac:dyDescent="0.25">
      <c r="A750" s="83" t="s">
        <v>2294</v>
      </c>
      <c r="B750" s="83">
        <v>3</v>
      </c>
      <c r="C750" s="114">
        <v>8.9267188032750629E-3</v>
      </c>
      <c r="D750" s="83" t="s">
        <v>2214</v>
      </c>
    </row>
    <row r="751" spans="1:4" x14ac:dyDescent="0.25">
      <c r="A751" s="83" t="s">
        <v>2263</v>
      </c>
      <c r="B751" s="83">
        <v>3</v>
      </c>
      <c r="C751" s="114">
        <v>8.9267188032750629E-3</v>
      </c>
      <c r="D751" s="83" t="s">
        <v>2214</v>
      </c>
    </row>
    <row r="752" spans="1:4" x14ac:dyDescent="0.25">
      <c r="A752" s="83" t="s">
        <v>2268</v>
      </c>
      <c r="B752" s="83">
        <v>3</v>
      </c>
      <c r="C752" s="114">
        <v>8.9267188032750629E-3</v>
      </c>
      <c r="D752" s="83" t="s">
        <v>2214</v>
      </c>
    </row>
    <row r="753" spans="1:4" x14ac:dyDescent="0.25">
      <c r="A753" s="83" t="s">
        <v>2241</v>
      </c>
      <c r="B753" s="83">
        <v>3</v>
      </c>
      <c r="C753" s="114">
        <v>8.9267188032750629E-3</v>
      </c>
      <c r="D753" s="83" t="s">
        <v>2214</v>
      </c>
    </row>
    <row r="754" spans="1:4" x14ac:dyDescent="0.25">
      <c r="A754" s="83" t="s">
        <v>2318</v>
      </c>
      <c r="B754" s="83">
        <v>3</v>
      </c>
      <c r="C754" s="114">
        <v>8.9267188032750629E-3</v>
      </c>
      <c r="D754" s="83" t="s">
        <v>2214</v>
      </c>
    </row>
    <row r="755" spans="1:4" x14ac:dyDescent="0.25">
      <c r="A755" s="83" t="s">
        <v>2623</v>
      </c>
      <c r="B755" s="83">
        <v>2</v>
      </c>
      <c r="C755" s="114">
        <v>7.0314603415842824E-3</v>
      </c>
      <c r="D755" s="83" t="s">
        <v>2214</v>
      </c>
    </row>
    <row r="756" spans="1:4" x14ac:dyDescent="0.25">
      <c r="A756" s="83" t="s">
        <v>2389</v>
      </c>
      <c r="B756" s="83">
        <v>2</v>
      </c>
      <c r="C756" s="114">
        <v>7.0314603415842824E-3</v>
      </c>
      <c r="D756" s="83" t="s">
        <v>2214</v>
      </c>
    </row>
    <row r="757" spans="1:4" x14ac:dyDescent="0.25">
      <c r="A757" s="83" t="s">
        <v>2248</v>
      </c>
      <c r="B757" s="83">
        <v>2</v>
      </c>
      <c r="C757" s="114">
        <v>7.0314603415842824E-3</v>
      </c>
      <c r="D757" s="83" t="s">
        <v>2214</v>
      </c>
    </row>
    <row r="758" spans="1:4" x14ac:dyDescent="0.25">
      <c r="A758" s="83" t="s">
        <v>2254</v>
      </c>
      <c r="B758" s="83">
        <v>2</v>
      </c>
      <c r="C758" s="114">
        <v>7.0314603415842824E-3</v>
      </c>
      <c r="D758" s="83" t="s">
        <v>2214</v>
      </c>
    </row>
    <row r="759" spans="1:4" x14ac:dyDescent="0.25">
      <c r="A759" s="83" t="s">
        <v>2453</v>
      </c>
      <c r="B759" s="83">
        <v>2</v>
      </c>
      <c r="C759" s="114">
        <v>7.0314603415842824E-3</v>
      </c>
      <c r="D759" s="83" t="s">
        <v>2214</v>
      </c>
    </row>
    <row r="760" spans="1:4" x14ac:dyDescent="0.25">
      <c r="A760" s="83" t="s">
        <v>2355</v>
      </c>
      <c r="B760" s="83">
        <v>2</v>
      </c>
      <c r="C760" s="114">
        <v>7.0314603415842824E-3</v>
      </c>
      <c r="D760" s="83" t="s">
        <v>2214</v>
      </c>
    </row>
    <row r="761" spans="1:4" x14ac:dyDescent="0.25">
      <c r="A761" s="83" t="s">
        <v>2300</v>
      </c>
      <c r="B761" s="83">
        <v>2</v>
      </c>
      <c r="C761" s="114">
        <v>7.0314603415842824E-3</v>
      </c>
      <c r="D761" s="83" t="s">
        <v>2214</v>
      </c>
    </row>
    <row r="762" spans="1:4" x14ac:dyDescent="0.25">
      <c r="A762" s="83" t="s">
        <v>635</v>
      </c>
      <c r="B762" s="83">
        <v>2</v>
      </c>
      <c r="C762" s="114">
        <v>7.0314603415842824E-3</v>
      </c>
      <c r="D762" s="83" t="s">
        <v>2214</v>
      </c>
    </row>
    <row r="763" spans="1:4" x14ac:dyDescent="0.25">
      <c r="A763" s="83" t="s">
        <v>2238</v>
      </c>
      <c r="B763" s="83">
        <v>2</v>
      </c>
      <c r="C763" s="114">
        <v>7.0314603415842824E-3</v>
      </c>
      <c r="D763" s="83" t="s">
        <v>2214</v>
      </c>
    </row>
    <row r="764" spans="1:4" x14ac:dyDescent="0.25">
      <c r="A764" s="83" t="s">
        <v>2352</v>
      </c>
      <c r="B764" s="83">
        <v>2</v>
      </c>
      <c r="C764" s="114">
        <v>7.0314603415842824E-3</v>
      </c>
      <c r="D764" s="83" t="s">
        <v>2214</v>
      </c>
    </row>
    <row r="765" spans="1:4" x14ac:dyDescent="0.25">
      <c r="A765" s="83" t="s">
        <v>2609</v>
      </c>
      <c r="B765" s="83">
        <v>2</v>
      </c>
      <c r="C765" s="114">
        <v>7.0314603415842824E-3</v>
      </c>
      <c r="D765" s="83" t="s">
        <v>2214</v>
      </c>
    </row>
    <row r="766" spans="1:4" x14ac:dyDescent="0.25">
      <c r="A766" s="83" t="s">
        <v>2616</v>
      </c>
      <c r="B766" s="83">
        <v>2</v>
      </c>
      <c r="C766" s="114">
        <v>8.8782701309338598E-3</v>
      </c>
      <c r="D766" s="83" t="s">
        <v>2214</v>
      </c>
    </row>
    <row r="767" spans="1:4" x14ac:dyDescent="0.25">
      <c r="A767" s="83" t="s">
        <v>2289</v>
      </c>
      <c r="B767" s="83">
        <v>2</v>
      </c>
      <c r="C767" s="114">
        <v>7.0314603415842824E-3</v>
      </c>
      <c r="D767" s="83" t="s">
        <v>2214</v>
      </c>
    </row>
    <row r="768" spans="1:4" x14ac:dyDescent="0.25">
      <c r="A768" s="83" t="s">
        <v>2317</v>
      </c>
      <c r="B768" s="83">
        <v>2</v>
      </c>
      <c r="C768" s="114">
        <v>7.0314603415842824E-3</v>
      </c>
      <c r="D768" s="83" t="s">
        <v>2214</v>
      </c>
    </row>
    <row r="769" spans="1:4" x14ac:dyDescent="0.25">
      <c r="A769" s="83" t="s">
        <v>2255</v>
      </c>
      <c r="B769" s="83">
        <v>2</v>
      </c>
      <c r="C769" s="114">
        <v>7.0314603415842824E-3</v>
      </c>
      <c r="D769" s="83" t="s">
        <v>2214</v>
      </c>
    </row>
    <row r="770" spans="1:4" x14ac:dyDescent="0.25">
      <c r="A770" s="83" t="s">
        <v>2610</v>
      </c>
      <c r="B770" s="83">
        <v>2</v>
      </c>
      <c r="C770" s="114">
        <v>7.0314603415842824E-3</v>
      </c>
      <c r="D770" s="83" t="s">
        <v>2214</v>
      </c>
    </row>
    <row r="771" spans="1:4" x14ac:dyDescent="0.25">
      <c r="A771" s="83" t="s">
        <v>2256</v>
      </c>
      <c r="B771" s="83">
        <v>2</v>
      </c>
      <c r="C771" s="114">
        <v>7.0314603415842824E-3</v>
      </c>
      <c r="D771" s="83" t="s">
        <v>2214</v>
      </c>
    </row>
    <row r="772" spans="1:4" x14ac:dyDescent="0.25">
      <c r="A772" s="83" t="s">
        <v>641</v>
      </c>
      <c r="B772" s="83">
        <v>2</v>
      </c>
      <c r="C772" s="114">
        <v>7.0314603415842824E-3</v>
      </c>
      <c r="D772" s="83" t="s">
        <v>2214</v>
      </c>
    </row>
    <row r="773" spans="1:4" x14ac:dyDescent="0.25">
      <c r="A773" s="83" t="s">
        <v>2235</v>
      </c>
      <c r="B773" s="83">
        <v>23</v>
      </c>
      <c r="C773" s="114">
        <v>0</v>
      </c>
      <c r="D773" s="83" t="s">
        <v>2215</v>
      </c>
    </row>
    <row r="774" spans="1:4" x14ac:dyDescent="0.25">
      <c r="A774" s="83" t="s">
        <v>2236</v>
      </c>
      <c r="B774" s="83">
        <v>11</v>
      </c>
      <c r="C774" s="114">
        <v>1.8912821064814126E-2</v>
      </c>
      <c r="D774" s="83" t="s">
        <v>2215</v>
      </c>
    </row>
    <row r="775" spans="1:4" x14ac:dyDescent="0.25">
      <c r="A775" s="83" t="s">
        <v>2288</v>
      </c>
      <c r="B775" s="83">
        <v>9</v>
      </c>
      <c r="C775" s="114">
        <v>1.5474126325757011E-2</v>
      </c>
      <c r="D775" s="83" t="s">
        <v>2215</v>
      </c>
    </row>
    <row r="776" spans="1:4" x14ac:dyDescent="0.25">
      <c r="A776" s="83" t="s">
        <v>657</v>
      </c>
      <c r="B776" s="83">
        <v>8</v>
      </c>
      <c r="C776" s="114">
        <v>1.5481446380612633E-2</v>
      </c>
      <c r="D776" s="83" t="s">
        <v>2215</v>
      </c>
    </row>
    <row r="777" spans="1:4" x14ac:dyDescent="0.25">
      <c r="A777" s="83" t="s">
        <v>2255</v>
      </c>
      <c r="B777" s="83">
        <v>6</v>
      </c>
      <c r="C777" s="114">
        <v>1.4774090775543021E-2</v>
      </c>
      <c r="D777" s="83" t="s">
        <v>2215</v>
      </c>
    </row>
    <row r="778" spans="1:4" x14ac:dyDescent="0.25">
      <c r="A778" s="83" t="s">
        <v>2248</v>
      </c>
      <c r="B778" s="83">
        <v>6</v>
      </c>
      <c r="C778" s="114">
        <v>1.4774090775543021E-2</v>
      </c>
      <c r="D778" s="83" t="s">
        <v>2215</v>
      </c>
    </row>
    <row r="779" spans="1:4" x14ac:dyDescent="0.25">
      <c r="A779" s="83" t="s">
        <v>2315</v>
      </c>
      <c r="B779" s="83">
        <v>5</v>
      </c>
      <c r="C779" s="114">
        <v>1.3982232735898187E-2</v>
      </c>
      <c r="D779" s="83" t="s">
        <v>2215</v>
      </c>
    </row>
    <row r="780" spans="1:4" x14ac:dyDescent="0.25">
      <c r="A780" s="83" t="s">
        <v>2325</v>
      </c>
      <c r="B780" s="83">
        <v>5</v>
      </c>
      <c r="C780" s="114">
        <v>1.3982232735898187E-2</v>
      </c>
      <c r="D780" s="83" t="s">
        <v>2215</v>
      </c>
    </row>
    <row r="781" spans="1:4" x14ac:dyDescent="0.25">
      <c r="A781" s="83" t="s">
        <v>2254</v>
      </c>
      <c r="B781" s="83">
        <v>5</v>
      </c>
      <c r="C781" s="114">
        <v>1.3982232735898187E-2</v>
      </c>
      <c r="D781" s="83" t="s">
        <v>2215</v>
      </c>
    </row>
    <row r="782" spans="1:4" x14ac:dyDescent="0.25">
      <c r="A782" s="83" t="s">
        <v>2344</v>
      </c>
      <c r="B782" s="83">
        <v>4</v>
      </c>
      <c r="C782" s="114">
        <v>1.4930068882665492E-2</v>
      </c>
      <c r="D782" s="83" t="s">
        <v>2215</v>
      </c>
    </row>
    <row r="783" spans="1:4" x14ac:dyDescent="0.25">
      <c r="A783" s="83" t="s">
        <v>2373</v>
      </c>
      <c r="B783" s="83">
        <v>4</v>
      </c>
      <c r="C783" s="114">
        <v>1.4930068882665492E-2</v>
      </c>
      <c r="D783" s="83" t="s">
        <v>2215</v>
      </c>
    </row>
    <row r="784" spans="1:4" x14ac:dyDescent="0.25">
      <c r="A784" s="83" t="s">
        <v>2374</v>
      </c>
      <c r="B784" s="83">
        <v>4</v>
      </c>
      <c r="C784" s="114">
        <v>1.4930068882665492E-2</v>
      </c>
      <c r="D784" s="83" t="s">
        <v>2215</v>
      </c>
    </row>
    <row r="785" spans="1:4" x14ac:dyDescent="0.25">
      <c r="A785" s="83" t="s">
        <v>639</v>
      </c>
      <c r="B785" s="83">
        <v>4</v>
      </c>
      <c r="C785" s="114">
        <v>1.2821398222609795E-2</v>
      </c>
      <c r="D785" s="83" t="s">
        <v>2215</v>
      </c>
    </row>
    <row r="786" spans="1:4" x14ac:dyDescent="0.25">
      <c r="A786" s="83" t="s">
        <v>2316</v>
      </c>
      <c r="B786" s="83">
        <v>4</v>
      </c>
      <c r="C786" s="114">
        <v>1.2821398222609795E-2</v>
      </c>
      <c r="D786" s="83" t="s">
        <v>2215</v>
      </c>
    </row>
    <row r="787" spans="1:4" x14ac:dyDescent="0.25">
      <c r="A787" s="83" t="s">
        <v>2240</v>
      </c>
      <c r="B787" s="83">
        <v>3</v>
      </c>
      <c r="C787" s="114">
        <v>1.1197551661999119E-2</v>
      </c>
      <c r="D787" s="83" t="s">
        <v>2215</v>
      </c>
    </row>
    <row r="788" spans="1:4" x14ac:dyDescent="0.25">
      <c r="A788" s="83" t="s">
        <v>2369</v>
      </c>
      <c r="B788" s="83">
        <v>3</v>
      </c>
      <c r="C788" s="114">
        <v>1.1197551661999119E-2</v>
      </c>
      <c r="D788" s="83" t="s">
        <v>2215</v>
      </c>
    </row>
    <row r="789" spans="1:4" x14ac:dyDescent="0.25">
      <c r="A789" s="83" t="s">
        <v>2399</v>
      </c>
      <c r="B789" s="83">
        <v>3</v>
      </c>
      <c r="C789" s="114">
        <v>1.1197551661999119E-2</v>
      </c>
      <c r="D789" s="83" t="s">
        <v>2215</v>
      </c>
    </row>
    <row r="790" spans="1:4" x14ac:dyDescent="0.25">
      <c r="A790" s="83" t="s">
        <v>2252</v>
      </c>
      <c r="B790" s="83">
        <v>3</v>
      </c>
      <c r="C790" s="114">
        <v>1.1197551661999119E-2</v>
      </c>
      <c r="D790" s="83" t="s">
        <v>2215</v>
      </c>
    </row>
    <row r="791" spans="1:4" x14ac:dyDescent="0.25">
      <c r="A791" s="83" t="s">
        <v>2400</v>
      </c>
      <c r="B791" s="83">
        <v>3</v>
      </c>
      <c r="C791" s="114">
        <v>1.1197551661999119E-2</v>
      </c>
      <c r="D791" s="83" t="s">
        <v>2215</v>
      </c>
    </row>
    <row r="792" spans="1:4" x14ac:dyDescent="0.25">
      <c r="A792" s="83" t="s">
        <v>2401</v>
      </c>
      <c r="B792" s="83">
        <v>3</v>
      </c>
      <c r="C792" s="114">
        <v>1.1197551661999119E-2</v>
      </c>
      <c r="D792" s="83" t="s">
        <v>2215</v>
      </c>
    </row>
    <row r="793" spans="1:4" x14ac:dyDescent="0.25">
      <c r="A793" s="83" t="s">
        <v>2402</v>
      </c>
      <c r="B793" s="83">
        <v>3</v>
      </c>
      <c r="C793" s="114">
        <v>1.1197551661999119E-2</v>
      </c>
      <c r="D793" s="83" t="s">
        <v>2215</v>
      </c>
    </row>
    <row r="794" spans="1:4" x14ac:dyDescent="0.25">
      <c r="A794" s="83" t="s">
        <v>2370</v>
      </c>
      <c r="B794" s="83">
        <v>3</v>
      </c>
      <c r="C794" s="114">
        <v>1.1197551661999119E-2</v>
      </c>
      <c r="D794" s="83" t="s">
        <v>2215</v>
      </c>
    </row>
    <row r="795" spans="1:4" x14ac:dyDescent="0.25">
      <c r="A795" s="83" t="s">
        <v>2403</v>
      </c>
      <c r="B795" s="83">
        <v>3</v>
      </c>
      <c r="C795" s="114">
        <v>1.1197551661999119E-2</v>
      </c>
      <c r="D795" s="83" t="s">
        <v>2215</v>
      </c>
    </row>
    <row r="796" spans="1:4" x14ac:dyDescent="0.25">
      <c r="A796" s="83" t="s">
        <v>2404</v>
      </c>
      <c r="B796" s="83">
        <v>3</v>
      </c>
      <c r="C796" s="114">
        <v>1.1197551661999119E-2</v>
      </c>
      <c r="D796" s="83" t="s">
        <v>2215</v>
      </c>
    </row>
    <row r="797" spans="1:4" x14ac:dyDescent="0.25">
      <c r="A797" s="83" t="s">
        <v>2405</v>
      </c>
      <c r="B797" s="83">
        <v>3</v>
      </c>
      <c r="C797" s="114">
        <v>1.1197551661999119E-2</v>
      </c>
      <c r="D797" s="83" t="s">
        <v>2215</v>
      </c>
    </row>
    <row r="798" spans="1:4" x14ac:dyDescent="0.25">
      <c r="A798" s="83" t="s">
        <v>2351</v>
      </c>
      <c r="B798" s="83">
        <v>3</v>
      </c>
      <c r="C798" s="114">
        <v>1.1197551661999119E-2</v>
      </c>
      <c r="D798" s="83" t="s">
        <v>2215</v>
      </c>
    </row>
    <row r="799" spans="1:4" x14ac:dyDescent="0.25">
      <c r="A799" s="83" t="s">
        <v>2291</v>
      </c>
      <c r="B799" s="83">
        <v>3</v>
      </c>
      <c r="C799" s="114">
        <v>1.1197551661999119E-2</v>
      </c>
      <c r="D799" s="83" t="s">
        <v>2215</v>
      </c>
    </row>
    <row r="800" spans="1:4" x14ac:dyDescent="0.25">
      <c r="A800" s="83" t="s">
        <v>366</v>
      </c>
      <c r="B800" s="83">
        <v>2</v>
      </c>
      <c r="C800" s="114">
        <v>8.9510366274566378E-3</v>
      </c>
      <c r="D800" s="83" t="s">
        <v>2215</v>
      </c>
    </row>
    <row r="801" spans="1:4" x14ac:dyDescent="0.25">
      <c r="A801" s="83" t="s">
        <v>2244</v>
      </c>
      <c r="B801" s="83">
        <v>2</v>
      </c>
      <c r="C801" s="114">
        <v>8.9510366274566378E-3</v>
      </c>
      <c r="D801" s="83" t="s">
        <v>2215</v>
      </c>
    </row>
    <row r="802" spans="1:4" x14ac:dyDescent="0.25">
      <c r="A802" s="83" t="s">
        <v>2250</v>
      </c>
      <c r="B802" s="83">
        <v>2</v>
      </c>
      <c r="C802" s="114">
        <v>8.9510366274566378E-3</v>
      </c>
      <c r="D802" s="83" t="s">
        <v>2215</v>
      </c>
    </row>
    <row r="803" spans="1:4" x14ac:dyDescent="0.25">
      <c r="A803" s="83" t="s">
        <v>2272</v>
      </c>
      <c r="B803" s="83">
        <v>2</v>
      </c>
      <c r="C803" s="114">
        <v>8.9510366274566378E-3</v>
      </c>
      <c r="D803" s="83" t="s">
        <v>2215</v>
      </c>
    </row>
    <row r="804" spans="1:4" x14ac:dyDescent="0.25">
      <c r="A804" s="83" t="s">
        <v>2241</v>
      </c>
      <c r="B804" s="83">
        <v>2</v>
      </c>
      <c r="C804" s="114">
        <v>8.9510366274566378E-3</v>
      </c>
      <c r="D804" s="83" t="s">
        <v>2215</v>
      </c>
    </row>
    <row r="805" spans="1:4" x14ac:dyDescent="0.25">
      <c r="A805" s="83" t="s">
        <v>2242</v>
      </c>
      <c r="B805" s="83">
        <v>2</v>
      </c>
      <c r="C805" s="114">
        <v>8.9510366274566378E-3</v>
      </c>
      <c r="D805" s="83" t="s">
        <v>2215</v>
      </c>
    </row>
    <row r="806" spans="1:4" x14ac:dyDescent="0.25">
      <c r="A806" s="83" t="s">
        <v>2237</v>
      </c>
      <c r="B806" s="83">
        <v>2</v>
      </c>
      <c r="C806" s="114">
        <v>8.9510366274566378E-3</v>
      </c>
      <c r="D806" s="83" t="s">
        <v>2215</v>
      </c>
    </row>
    <row r="807" spans="1:4" x14ac:dyDescent="0.25">
      <c r="A807" s="83" t="s">
        <v>2440</v>
      </c>
      <c r="B807" s="83">
        <v>2</v>
      </c>
      <c r="C807" s="114">
        <v>8.9510366274566378E-3</v>
      </c>
      <c r="D807" s="83" t="s">
        <v>2215</v>
      </c>
    </row>
    <row r="808" spans="1:4" x14ac:dyDescent="0.25">
      <c r="A808" s="83" t="s">
        <v>2458</v>
      </c>
      <c r="B808" s="83">
        <v>2</v>
      </c>
      <c r="C808" s="114">
        <v>8.9510366274566378E-3</v>
      </c>
      <c r="D808" s="83" t="s">
        <v>2215</v>
      </c>
    </row>
    <row r="809" spans="1:4" x14ac:dyDescent="0.25">
      <c r="A809" s="83" t="s">
        <v>2568</v>
      </c>
      <c r="B809" s="83">
        <v>2</v>
      </c>
      <c r="C809" s="114">
        <v>1.1491374143608377E-2</v>
      </c>
      <c r="D809" s="83" t="s">
        <v>2215</v>
      </c>
    </row>
    <row r="810" spans="1:4" x14ac:dyDescent="0.25">
      <c r="A810" s="83" t="s">
        <v>2460</v>
      </c>
      <c r="B810" s="83">
        <v>2</v>
      </c>
      <c r="C810" s="114">
        <v>8.9510366274566378E-3</v>
      </c>
      <c r="D810" s="83" t="s">
        <v>2215</v>
      </c>
    </row>
    <row r="811" spans="1:4" x14ac:dyDescent="0.25">
      <c r="A811" s="83" t="s">
        <v>2246</v>
      </c>
      <c r="B811" s="83">
        <v>20</v>
      </c>
      <c r="C811" s="114">
        <v>0</v>
      </c>
      <c r="D811" s="83" t="s">
        <v>2216</v>
      </c>
    </row>
    <row r="812" spans="1:4" x14ac:dyDescent="0.25">
      <c r="A812" s="83" t="s">
        <v>2245</v>
      </c>
      <c r="B812" s="83">
        <v>20</v>
      </c>
      <c r="C812" s="114">
        <v>0</v>
      </c>
      <c r="D812" s="83" t="s">
        <v>2216</v>
      </c>
    </row>
    <row r="813" spans="1:4" x14ac:dyDescent="0.25">
      <c r="A813" s="83" t="s">
        <v>2235</v>
      </c>
      <c r="B813" s="83">
        <v>20</v>
      </c>
      <c r="C813" s="114">
        <v>0</v>
      </c>
      <c r="D813" s="83" t="s">
        <v>2216</v>
      </c>
    </row>
    <row r="814" spans="1:4" x14ac:dyDescent="0.25">
      <c r="A814" s="83" t="s">
        <v>2236</v>
      </c>
      <c r="B814" s="83">
        <v>7</v>
      </c>
      <c r="C814" s="114">
        <v>1.3242836886091579E-2</v>
      </c>
      <c r="D814" s="83" t="s">
        <v>2216</v>
      </c>
    </row>
    <row r="815" spans="1:4" x14ac:dyDescent="0.25">
      <c r="A815" s="83" t="s">
        <v>2327</v>
      </c>
      <c r="B815" s="83">
        <v>6</v>
      </c>
      <c r="C815" s="114">
        <v>2.0512250811891751E-2</v>
      </c>
      <c r="D815" s="83" t="s">
        <v>2216</v>
      </c>
    </row>
    <row r="816" spans="1:4" x14ac:dyDescent="0.25">
      <c r="A816" s="83" t="s">
        <v>254</v>
      </c>
      <c r="B816" s="83">
        <v>6</v>
      </c>
      <c r="C816" s="114">
        <v>1.3017728098265666E-2</v>
      </c>
      <c r="D816" s="83" t="s">
        <v>2216</v>
      </c>
    </row>
    <row r="817" spans="1:4" x14ac:dyDescent="0.25">
      <c r="A817" s="83" t="s">
        <v>2345</v>
      </c>
      <c r="B817" s="83">
        <v>5</v>
      </c>
      <c r="C817" s="114">
        <v>1.2490871189376813E-2</v>
      </c>
      <c r="D817" s="83" t="s">
        <v>2216</v>
      </c>
    </row>
    <row r="818" spans="1:4" x14ac:dyDescent="0.25">
      <c r="A818" s="83" t="s">
        <v>2244</v>
      </c>
      <c r="B818" s="83">
        <v>5</v>
      </c>
      <c r="C818" s="114">
        <v>1.2490871189376813E-2</v>
      </c>
      <c r="D818" s="83" t="s">
        <v>2216</v>
      </c>
    </row>
    <row r="819" spans="1:4" x14ac:dyDescent="0.25">
      <c r="A819" s="83" t="s">
        <v>655</v>
      </c>
      <c r="B819" s="83">
        <v>5</v>
      </c>
      <c r="C819" s="114">
        <v>1.2490871189376813E-2</v>
      </c>
      <c r="D819" s="83" t="s">
        <v>2216</v>
      </c>
    </row>
    <row r="820" spans="1:4" x14ac:dyDescent="0.25">
      <c r="A820" s="83" t="s">
        <v>662</v>
      </c>
      <c r="B820" s="83">
        <v>5</v>
      </c>
      <c r="C820" s="114">
        <v>1.2490871189376813E-2</v>
      </c>
      <c r="D820" s="83" t="s">
        <v>2216</v>
      </c>
    </row>
    <row r="821" spans="1:4" x14ac:dyDescent="0.25">
      <c r="A821" s="83" t="s">
        <v>644</v>
      </c>
      <c r="B821" s="83">
        <v>5</v>
      </c>
      <c r="C821" s="114">
        <v>1.2490871189376813E-2</v>
      </c>
      <c r="D821" s="83" t="s">
        <v>2216</v>
      </c>
    </row>
    <row r="822" spans="1:4" x14ac:dyDescent="0.25">
      <c r="A822" s="83" t="s">
        <v>318</v>
      </c>
      <c r="B822" s="83">
        <v>4</v>
      </c>
      <c r="C822" s="114">
        <v>1.1601161897693259E-2</v>
      </c>
      <c r="D822" s="83" t="s">
        <v>2216</v>
      </c>
    </row>
    <row r="823" spans="1:4" x14ac:dyDescent="0.25">
      <c r="A823" s="83" t="s">
        <v>2364</v>
      </c>
      <c r="B823" s="83">
        <v>4</v>
      </c>
      <c r="C823" s="114">
        <v>1.1601161897693259E-2</v>
      </c>
      <c r="D823" s="83" t="s">
        <v>2216</v>
      </c>
    </row>
    <row r="824" spans="1:4" x14ac:dyDescent="0.25">
      <c r="A824" s="83" t="s">
        <v>2283</v>
      </c>
      <c r="B824" s="83">
        <v>4</v>
      </c>
      <c r="C824" s="114">
        <v>1.1601161897693259E-2</v>
      </c>
      <c r="D824" s="83" t="s">
        <v>2216</v>
      </c>
    </row>
    <row r="825" spans="1:4" x14ac:dyDescent="0.25">
      <c r="A825" s="83" t="s">
        <v>2284</v>
      </c>
      <c r="B825" s="83">
        <v>4</v>
      </c>
      <c r="C825" s="114">
        <v>1.1601161897693259E-2</v>
      </c>
      <c r="D825" s="83" t="s">
        <v>2216</v>
      </c>
    </row>
    <row r="826" spans="1:4" x14ac:dyDescent="0.25">
      <c r="A826" s="83" t="s">
        <v>2426</v>
      </c>
      <c r="B826" s="83">
        <v>3</v>
      </c>
      <c r="C826" s="114">
        <v>1.0256125405945875E-2</v>
      </c>
      <c r="D826" s="83" t="s">
        <v>2216</v>
      </c>
    </row>
    <row r="827" spans="1:4" x14ac:dyDescent="0.25">
      <c r="A827" s="83" t="s">
        <v>2359</v>
      </c>
      <c r="B827" s="83">
        <v>3</v>
      </c>
      <c r="C827" s="114">
        <v>1.0256125405945875E-2</v>
      </c>
      <c r="D827" s="83" t="s">
        <v>2216</v>
      </c>
    </row>
    <row r="828" spans="1:4" x14ac:dyDescent="0.25">
      <c r="A828" s="83" t="s">
        <v>2308</v>
      </c>
      <c r="B828" s="83">
        <v>3</v>
      </c>
      <c r="C828" s="114">
        <v>1.0256125405945875E-2</v>
      </c>
      <c r="D828" s="83" t="s">
        <v>2216</v>
      </c>
    </row>
    <row r="829" spans="1:4" x14ac:dyDescent="0.25">
      <c r="A829" s="83" t="s">
        <v>2297</v>
      </c>
      <c r="B829" s="83">
        <v>3</v>
      </c>
      <c r="C829" s="114">
        <v>1.0256125405945875E-2</v>
      </c>
      <c r="D829" s="83" t="s">
        <v>2216</v>
      </c>
    </row>
    <row r="830" spans="1:4" x14ac:dyDescent="0.25">
      <c r="A830" s="83" t="s">
        <v>2270</v>
      </c>
      <c r="B830" s="83">
        <v>3</v>
      </c>
      <c r="C830" s="114">
        <v>1.0256125405945875E-2</v>
      </c>
      <c r="D830" s="83" t="s">
        <v>2216</v>
      </c>
    </row>
    <row r="831" spans="1:4" x14ac:dyDescent="0.25">
      <c r="A831" s="83" t="s">
        <v>2271</v>
      </c>
      <c r="B831" s="83">
        <v>3</v>
      </c>
      <c r="C831" s="114">
        <v>1.0256125405945875E-2</v>
      </c>
      <c r="D831" s="83" t="s">
        <v>2216</v>
      </c>
    </row>
    <row r="832" spans="1:4" x14ac:dyDescent="0.25">
      <c r="A832" s="83" t="s">
        <v>2384</v>
      </c>
      <c r="B832" s="83">
        <v>3</v>
      </c>
      <c r="C832" s="114">
        <v>1.0256125405945875E-2</v>
      </c>
      <c r="D832" s="83" t="s">
        <v>2216</v>
      </c>
    </row>
    <row r="833" spans="1:4" x14ac:dyDescent="0.25">
      <c r="A833" s="83" t="s">
        <v>2326</v>
      </c>
      <c r="B833" s="83">
        <v>3</v>
      </c>
      <c r="C833" s="114">
        <v>1.0256125405945875E-2</v>
      </c>
      <c r="D833" s="83" t="s">
        <v>2216</v>
      </c>
    </row>
    <row r="834" spans="1:4" x14ac:dyDescent="0.25">
      <c r="A834" s="83" t="s">
        <v>2273</v>
      </c>
      <c r="B834" s="83">
        <v>3</v>
      </c>
      <c r="C834" s="114">
        <v>1.0256125405945875E-2</v>
      </c>
      <c r="D834" s="83" t="s">
        <v>2216</v>
      </c>
    </row>
    <row r="835" spans="1:4" x14ac:dyDescent="0.25">
      <c r="A835" s="83" t="s">
        <v>2249</v>
      </c>
      <c r="B835" s="83">
        <v>3</v>
      </c>
      <c r="C835" s="114">
        <v>1.0256125405945875E-2</v>
      </c>
      <c r="D835" s="83" t="s">
        <v>2216</v>
      </c>
    </row>
    <row r="836" spans="1:4" x14ac:dyDescent="0.25">
      <c r="A836" s="83" t="s">
        <v>2516</v>
      </c>
      <c r="B836" s="83">
        <v>2</v>
      </c>
      <c r="C836" s="114">
        <v>8.2987551867219917E-3</v>
      </c>
      <c r="D836" s="83" t="s">
        <v>2216</v>
      </c>
    </row>
    <row r="837" spans="1:4" x14ac:dyDescent="0.25">
      <c r="A837" s="83" t="s">
        <v>2524</v>
      </c>
      <c r="B837" s="83">
        <v>2</v>
      </c>
      <c r="C837" s="114">
        <v>8.2987551867219917E-3</v>
      </c>
      <c r="D837" s="83" t="s">
        <v>2216</v>
      </c>
    </row>
    <row r="838" spans="1:4" x14ac:dyDescent="0.25">
      <c r="A838" s="83" t="s">
        <v>2419</v>
      </c>
      <c r="B838" s="83">
        <v>2</v>
      </c>
      <c r="C838" s="114">
        <v>8.2987551867219917E-3</v>
      </c>
      <c r="D838" s="83" t="s">
        <v>2216</v>
      </c>
    </row>
    <row r="839" spans="1:4" x14ac:dyDescent="0.25">
      <c r="A839" s="83" t="s">
        <v>2385</v>
      </c>
      <c r="B839" s="83">
        <v>2</v>
      </c>
      <c r="C839" s="114">
        <v>8.2987551867219917E-3</v>
      </c>
      <c r="D839" s="83" t="s">
        <v>2216</v>
      </c>
    </row>
    <row r="840" spans="1:4" x14ac:dyDescent="0.25">
      <c r="A840" s="83" t="s">
        <v>2386</v>
      </c>
      <c r="B840" s="83">
        <v>2</v>
      </c>
      <c r="C840" s="114">
        <v>8.2987551867219917E-3</v>
      </c>
      <c r="D840" s="83" t="s">
        <v>2216</v>
      </c>
    </row>
    <row r="841" spans="1:4" x14ac:dyDescent="0.25">
      <c r="A841" s="83" t="s">
        <v>2387</v>
      </c>
      <c r="B841" s="83">
        <v>2</v>
      </c>
      <c r="C841" s="114">
        <v>8.2987551867219917E-3</v>
      </c>
      <c r="D841" s="83" t="s">
        <v>2216</v>
      </c>
    </row>
    <row r="842" spans="1:4" x14ac:dyDescent="0.25">
      <c r="A842" s="83" t="s">
        <v>2420</v>
      </c>
      <c r="B842" s="83">
        <v>2</v>
      </c>
      <c r="C842" s="114">
        <v>8.2987551867219917E-3</v>
      </c>
      <c r="D842" s="83" t="s">
        <v>2216</v>
      </c>
    </row>
    <row r="843" spans="1:4" x14ac:dyDescent="0.25">
      <c r="A843" s="83" t="s">
        <v>2421</v>
      </c>
      <c r="B843" s="83">
        <v>2</v>
      </c>
      <c r="C843" s="114">
        <v>8.2987551867219917E-3</v>
      </c>
      <c r="D843" s="83" t="s">
        <v>2216</v>
      </c>
    </row>
    <row r="844" spans="1:4" x14ac:dyDescent="0.25">
      <c r="A844" s="83" t="s">
        <v>2422</v>
      </c>
      <c r="B844" s="83">
        <v>2</v>
      </c>
      <c r="C844" s="114">
        <v>8.2987551867219917E-3</v>
      </c>
      <c r="D844" s="83" t="s">
        <v>2216</v>
      </c>
    </row>
    <row r="845" spans="1:4" x14ac:dyDescent="0.25">
      <c r="A845" s="83" t="s">
        <v>2423</v>
      </c>
      <c r="B845" s="83">
        <v>2</v>
      </c>
      <c r="C845" s="114">
        <v>8.2987551867219917E-3</v>
      </c>
      <c r="D845" s="83" t="s">
        <v>2216</v>
      </c>
    </row>
    <row r="846" spans="1:4" x14ac:dyDescent="0.25">
      <c r="A846" s="83" t="s">
        <v>2514</v>
      </c>
      <c r="B846" s="83">
        <v>2</v>
      </c>
      <c r="C846" s="114">
        <v>1.0796929424597354E-2</v>
      </c>
      <c r="D846" s="83" t="s">
        <v>2216</v>
      </c>
    </row>
    <row r="847" spans="1:4" x14ac:dyDescent="0.25">
      <c r="A847" s="83" t="s">
        <v>2362</v>
      </c>
      <c r="B847" s="83">
        <v>2</v>
      </c>
      <c r="C847" s="114">
        <v>8.2987551867219917E-3</v>
      </c>
      <c r="D847" s="83" t="s">
        <v>2216</v>
      </c>
    </row>
    <row r="848" spans="1:4" x14ac:dyDescent="0.25">
      <c r="A848" s="83" t="s">
        <v>2309</v>
      </c>
      <c r="B848" s="83">
        <v>2</v>
      </c>
      <c r="C848" s="114">
        <v>1.0796929424597354E-2</v>
      </c>
      <c r="D848" s="83" t="s">
        <v>2216</v>
      </c>
    </row>
    <row r="849" spans="1:4" x14ac:dyDescent="0.25">
      <c r="A849" s="83" t="s">
        <v>2235</v>
      </c>
      <c r="B849" s="83">
        <v>3</v>
      </c>
      <c r="C849" s="114">
        <v>0</v>
      </c>
      <c r="D849" s="83" t="s">
        <v>2217</v>
      </c>
    </row>
    <row r="850" spans="1:4" x14ac:dyDescent="0.25">
      <c r="A850" s="83" t="s">
        <v>2242</v>
      </c>
      <c r="B850" s="83">
        <v>3</v>
      </c>
      <c r="C850" s="114">
        <v>0</v>
      </c>
      <c r="D850" s="83" t="s">
        <v>2217</v>
      </c>
    </row>
    <row r="851" spans="1:4" x14ac:dyDescent="0.25">
      <c r="A851" s="83" t="s">
        <v>2240</v>
      </c>
      <c r="B851" s="83">
        <v>3</v>
      </c>
      <c r="C851" s="114">
        <v>0</v>
      </c>
      <c r="D851" s="83" t="s">
        <v>2217</v>
      </c>
    </row>
    <row r="852" spans="1:4" x14ac:dyDescent="0.25">
      <c r="A852" s="83" t="s">
        <v>2241</v>
      </c>
      <c r="B852" s="83">
        <v>3</v>
      </c>
      <c r="C852" s="114">
        <v>0</v>
      </c>
      <c r="D852" s="83" t="s">
        <v>2217</v>
      </c>
    </row>
    <row r="853" spans="1:4" x14ac:dyDescent="0.25">
      <c r="A853" s="83" t="s">
        <v>2237</v>
      </c>
      <c r="B853" s="83">
        <v>2</v>
      </c>
      <c r="C853" s="114">
        <v>7.1873983288033155E-3</v>
      </c>
      <c r="D853" s="83" t="s">
        <v>2217</v>
      </c>
    </row>
    <row r="854" spans="1:4" x14ac:dyDescent="0.25">
      <c r="A854" s="83" t="s">
        <v>2611</v>
      </c>
      <c r="B854" s="83">
        <v>2</v>
      </c>
      <c r="C854" s="114">
        <v>7.1873983288033155E-3</v>
      </c>
      <c r="D854" s="83" t="s">
        <v>2217</v>
      </c>
    </row>
    <row r="855" spans="1:4" x14ac:dyDescent="0.25">
      <c r="A855" s="83" t="s">
        <v>2612</v>
      </c>
      <c r="B855" s="83">
        <v>2</v>
      </c>
      <c r="C855" s="114">
        <v>7.1873983288033155E-3</v>
      </c>
      <c r="D855" s="83" t="s">
        <v>2217</v>
      </c>
    </row>
    <row r="856" spans="1:4" x14ac:dyDescent="0.25">
      <c r="A856" s="83" t="s">
        <v>2475</v>
      </c>
      <c r="B856" s="83">
        <v>2</v>
      </c>
      <c r="C856" s="114">
        <v>7.1873983288033155E-3</v>
      </c>
      <c r="D856" s="83" t="s">
        <v>2217</v>
      </c>
    </row>
    <row r="857" spans="1:4" x14ac:dyDescent="0.25">
      <c r="A857" s="83" t="s">
        <v>2613</v>
      </c>
      <c r="B857" s="83">
        <v>2</v>
      </c>
      <c r="C857" s="114">
        <v>7.1873983288033155E-3</v>
      </c>
      <c r="D857" s="83" t="s">
        <v>2217</v>
      </c>
    </row>
    <row r="858" spans="1:4" x14ac:dyDescent="0.25">
      <c r="A858" s="83" t="s">
        <v>2247</v>
      </c>
      <c r="B858" s="83">
        <v>2</v>
      </c>
      <c r="C858" s="114">
        <v>7.1873983288033155E-3</v>
      </c>
      <c r="D858" s="83" t="s">
        <v>2217</v>
      </c>
    </row>
    <row r="859" spans="1:4" x14ac:dyDescent="0.25">
      <c r="A859" s="83" t="s">
        <v>2279</v>
      </c>
      <c r="B859" s="83">
        <v>2</v>
      </c>
      <c r="C859" s="114">
        <v>7.1873983288033155E-3</v>
      </c>
      <c r="D859" s="83" t="s">
        <v>2217</v>
      </c>
    </row>
    <row r="860" spans="1:4" x14ac:dyDescent="0.25">
      <c r="A860" s="83" t="s">
        <v>2614</v>
      </c>
      <c r="B860" s="83">
        <v>2</v>
      </c>
      <c r="C860" s="114">
        <v>7.1873983288033155E-3</v>
      </c>
      <c r="D860" s="83" t="s">
        <v>2217</v>
      </c>
    </row>
    <row r="861" spans="1:4" x14ac:dyDescent="0.25">
      <c r="A861" s="83" t="s">
        <v>2615</v>
      </c>
      <c r="B861" s="83">
        <v>2</v>
      </c>
      <c r="C861" s="114">
        <v>7.1873983288033155E-3</v>
      </c>
      <c r="D861" s="83" t="s">
        <v>2217</v>
      </c>
    </row>
    <row r="862" spans="1:4" x14ac:dyDescent="0.25">
      <c r="A862" s="83" t="s">
        <v>2238</v>
      </c>
      <c r="B862" s="83">
        <v>2</v>
      </c>
      <c r="C862" s="114">
        <v>7.1873983288033155E-3</v>
      </c>
      <c r="D862" s="83" t="s">
        <v>2217</v>
      </c>
    </row>
    <row r="863" spans="1:4" x14ac:dyDescent="0.25">
      <c r="A863" s="83" t="s">
        <v>638</v>
      </c>
      <c r="B863" s="83">
        <v>2</v>
      </c>
      <c r="C863" s="114">
        <v>7.1873983288033155E-3</v>
      </c>
      <c r="D863" s="83" t="s">
        <v>2217</v>
      </c>
    </row>
    <row r="864" spans="1:4" x14ac:dyDescent="0.25">
      <c r="A864" s="83" t="s">
        <v>2236</v>
      </c>
      <c r="B864" s="83">
        <v>2</v>
      </c>
      <c r="C864" s="114">
        <v>7.1873983288033155E-3</v>
      </c>
      <c r="D864" s="83" t="s">
        <v>2217</v>
      </c>
    </row>
    <row r="865" spans="1:4" x14ac:dyDescent="0.25">
      <c r="A865" s="83" t="s">
        <v>2235</v>
      </c>
      <c r="B865" s="83">
        <v>8</v>
      </c>
      <c r="C865" s="114">
        <v>0</v>
      </c>
      <c r="D865" s="83" t="s">
        <v>2218</v>
      </c>
    </row>
    <row r="866" spans="1:4" x14ac:dyDescent="0.25">
      <c r="A866" s="83" t="s">
        <v>194</v>
      </c>
      <c r="B866" s="83">
        <v>4</v>
      </c>
      <c r="C866" s="114">
        <v>1.4001395147161916E-2</v>
      </c>
      <c r="D866" s="83" t="s">
        <v>2218</v>
      </c>
    </row>
    <row r="867" spans="1:4" x14ac:dyDescent="0.25">
      <c r="A867" s="83" t="s">
        <v>2476</v>
      </c>
      <c r="B867" s="83">
        <v>3</v>
      </c>
      <c r="C867" s="114">
        <v>1.4859374381591201E-2</v>
      </c>
      <c r="D867" s="83" t="s">
        <v>2218</v>
      </c>
    </row>
    <row r="868" spans="1:4" x14ac:dyDescent="0.25">
      <c r="A868" s="83" t="s">
        <v>2388</v>
      </c>
      <c r="B868" s="83">
        <v>2</v>
      </c>
      <c r="C868" s="114">
        <v>1.4001395147161916E-2</v>
      </c>
      <c r="D868" s="83" t="s">
        <v>2218</v>
      </c>
    </row>
    <row r="869" spans="1:4" x14ac:dyDescent="0.25">
      <c r="A869" s="83" t="s">
        <v>2292</v>
      </c>
      <c r="B869" s="83">
        <v>2</v>
      </c>
      <c r="C869" s="114">
        <v>1.4001395147161916E-2</v>
      </c>
      <c r="D869" s="83" t="s">
        <v>2218</v>
      </c>
    </row>
    <row r="870" spans="1:4" x14ac:dyDescent="0.25">
      <c r="A870" s="83" t="s">
        <v>2620</v>
      </c>
      <c r="B870" s="83">
        <v>2</v>
      </c>
      <c r="C870" s="114">
        <v>1.4001395147161916E-2</v>
      </c>
      <c r="D870" s="83" t="s">
        <v>2218</v>
      </c>
    </row>
    <row r="871" spans="1:4" x14ac:dyDescent="0.25">
      <c r="A871" s="83" t="s">
        <v>2331</v>
      </c>
      <c r="B871" s="83">
        <v>2</v>
      </c>
      <c r="C871" s="114">
        <v>1.4001395147161916E-2</v>
      </c>
      <c r="D871" s="83" t="s">
        <v>2218</v>
      </c>
    </row>
    <row r="872" spans="1:4" x14ac:dyDescent="0.25">
      <c r="A872" s="83" t="s">
        <v>2621</v>
      </c>
      <c r="B872" s="83">
        <v>2</v>
      </c>
      <c r="C872" s="114">
        <v>1.4001395147161916E-2</v>
      </c>
      <c r="D872" s="83" t="s">
        <v>2218</v>
      </c>
    </row>
    <row r="873" spans="1:4" x14ac:dyDescent="0.25">
      <c r="A873" s="83" t="s">
        <v>2473</v>
      </c>
      <c r="B873" s="83">
        <v>2</v>
      </c>
      <c r="C873" s="114">
        <v>1.4001395147161916E-2</v>
      </c>
      <c r="D873" s="83" t="s">
        <v>2218</v>
      </c>
    </row>
    <row r="874" spans="1:4" x14ac:dyDescent="0.25">
      <c r="A874" s="83" t="s">
        <v>2622</v>
      </c>
      <c r="B874" s="83">
        <v>2</v>
      </c>
      <c r="C874" s="114">
        <v>1.4001395147161916E-2</v>
      </c>
      <c r="D874" s="83" t="s">
        <v>2218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8"/>
  <sheetViews>
    <sheetView workbookViewId="0"/>
  </sheetViews>
  <sheetFormatPr defaultRowHeight="15" x14ac:dyDescent="0.25"/>
  <cols>
    <col min="1" max="1" width="9.42578125" customWidth="1"/>
    <col min="2" max="2" width="9.42578125" bestFit="1" customWidth="1"/>
    <col min="3" max="3" width="8.42578125" bestFit="1" customWidth="1"/>
    <col min="4" max="4" width="10.5703125" bestFit="1" customWidth="1"/>
    <col min="5" max="5" width="8.5703125" bestFit="1" customWidth="1"/>
  </cols>
  <sheetData>
    <row r="1" spans="1:5" ht="15" customHeight="1" x14ac:dyDescent="0.25">
      <c r="A1" s="13" t="s">
        <v>2627</v>
      </c>
      <c r="B1" s="13" t="s">
        <v>2628</v>
      </c>
      <c r="C1" s="13" t="s">
        <v>2624</v>
      </c>
      <c r="D1" s="13" t="s">
        <v>2625</v>
      </c>
      <c r="E1" s="13" t="s">
        <v>143</v>
      </c>
    </row>
    <row r="2" spans="1:5" x14ac:dyDescent="0.25">
      <c r="A2" s="83" t="s">
        <v>2235</v>
      </c>
      <c r="B2" s="83" t="s">
        <v>2238</v>
      </c>
      <c r="C2" s="83">
        <v>39</v>
      </c>
      <c r="D2" s="114">
        <v>9.1233700847274633E-3</v>
      </c>
      <c r="E2" s="83" t="s">
        <v>2626</v>
      </c>
    </row>
    <row r="3" spans="1:5" x14ac:dyDescent="0.25">
      <c r="A3" s="83" t="s">
        <v>2239</v>
      </c>
      <c r="B3" s="83" t="s">
        <v>2240</v>
      </c>
      <c r="C3" s="83">
        <v>39</v>
      </c>
      <c r="D3" s="114">
        <v>9.1233700847274633E-3</v>
      </c>
      <c r="E3" s="83" t="s">
        <v>2626</v>
      </c>
    </row>
    <row r="4" spans="1:5" x14ac:dyDescent="0.25">
      <c r="A4" s="83" t="s">
        <v>2245</v>
      </c>
      <c r="B4" s="83" t="s">
        <v>2235</v>
      </c>
      <c r="C4" s="83">
        <v>27</v>
      </c>
      <c r="D4" s="114">
        <v>7.4602288403481237E-3</v>
      </c>
      <c r="E4" s="83" t="s">
        <v>2626</v>
      </c>
    </row>
    <row r="5" spans="1:5" x14ac:dyDescent="0.25">
      <c r="A5" s="83" t="s">
        <v>662</v>
      </c>
      <c r="B5" s="83" t="s">
        <v>644</v>
      </c>
      <c r="C5" s="83">
        <v>24</v>
      </c>
      <c r="D5" s="114">
        <v>6.9570403243657611E-3</v>
      </c>
      <c r="E5" s="83" t="s">
        <v>2626</v>
      </c>
    </row>
    <row r="6" spans="1:5" x14ac:dyDescent="0.25">
      <c r="A6" s="83" t="s">
        <v>2243</v>
      </c>
      <c r="B6" s="83" t="s">
        <v>2251</v>
      </c>
      <c r="C6" s="83">
        <v>24</v>
      </c>
      <c r="D6" s="114">
        <v>6.9570403243657611E-3</v>
      </c>
      <c r="E6" s="83" t="s">
        <v>2626</v>
      </c>
    </row>
    <row r="7" spans="1:5" x14ac:dyDescent="0.25">
      <c r="A7" s="83" t="s">
        <v>2257</v>
      </c>
      <c r="B7" s="83" t="s">
        <v>2235</v>
      </c>
      <c r="C7" s="83">
        <v>21</v>
      </c>
      <c r="D7" s="114">
        <v>6.4105280568450915E-3</v>
      </c>
      <c r="E7" s="83" t="s">
        <v>2626</v>
      </c>
    </row>
    <row r="8" spans="1:5" x14ac:dyDescent="0.25">
      <c r="A8" s="83" t="s">
        <v>2244</v>
      </c>
      <c r="B8" s="83" t="s">
        <v>2250</v>
      </c>
      <c r="C8" s="83">
        <v>20</v>
      </c>
      <c r="D8" s="114">
        <v>6.2177047155915696E-3</v>
      </c>
      <c r="E8" s="83" t="s">
        <v>2626</v>
      </c>
    </row>
    <row r="9" spans="1:5" x14ac:dyDescent="0.25">
      <c r="A9" s="83" t="s">
        <v>2258</v>
      </c>
      <c r="B9" s="83" t="s">
        <v>2237</v>
      </c>
      <c r="C9" s="83">
        <v>20</v>
      </c>
      <c r="D9" s="114">
        <v>6.2177047155915696E-3</v>
      </c>
      <c r="E9" s="83" t="s">
        <v>2626</v>
      </c>
    </row>
    <row r="10" spans="1:5" x14ac:dyDescent="0.25">
      <c r="A10" s="83" t="s">
        <v>2236</v>
      </c>
      <c r="B10" s="83" t="s">
        <v>2253</v>
      </c>
      <c r="C10" s="83">
        <v>20</v>
      </c>
      <c r="D10" s="114">
        <v>6.2177047155915696E-3</v>
      </c>
      <c r="E10" s="83" t="s">
        <v>2626</v>
      </c>
    </row>
    <row r="11" spans="1:5" x14ac:dyDescent="0.25">
      <c r="A11" s="83" t="s">
        <v>655</v>
      </c>
      <c r="B11" s="83" t="s">
        <v>662</v>
      </c>
      <c r="C11" s="83">
        <v>19</v>
      </c>
      <c r="D11" s="114">
        <v>6.0191175693614452E-3</v>
      </c>
      <c r="E11" s="83" t="s">
        <v>2626</v>
      </c>
    </row>
    <row r="12" spans="1:5" x14ac:dyDescent="0.25">
      <c r="A12" s="83" t="s">
        <v>2237</v>
      </c>
      <c r="B12" s="83" t="s">
        <v>2252</v>
      </c>
      <c r="C12" s="83">
        <v>18</v>
      </c>
      <c r="D12" s="114">
        <v>5.8144629864288434E-3</v>
      </c>
      <c r="E12" s="83" t="s">
        <v>2626</v>
      </c>
    </row>
    <row r="13" spans="1:5" x14ac:dyDescent="0.25">
      <c r="A13" s="83" t="s">
        <v>2252</v>
      </c>
      <c r="B13" s="83" t="s">
        <v>2235</v>
      </c>
      <c r="C13" s="83">
        <v>18</v>
      </c>
      <c r="D13" s="114">
        <v>5.8144629864288434E-3</v>
      </c>
      <c r="E13" s="83" t="s">
        <v>2626</v>
      </c>
    </row>
    <row r="14" spans="1:5" x14ac:dyDescent="0.25">
      <c r="A14" s="83" t="s">
        <v>2260</v>
      </c>
      <c r="B14" s="83" t="s">
        <v>2241</v>
      </c>
      <c r="C14" s="83">
        <v>18</v>
      </c>
      <c r="D14" s="114">
        <v>5.8144629864288434E-3</v>
      </c>
      <c r="E14" s="83" t="s">
        <v>2626</v>
      </c>
    </row>
    <row r="15" spans="1:5" x14ac:dyDescent="0.25">
      <c r="A15" s="83" t="s">
        <v>2248</v>
      </c>
      <c r="B15" s="83" t="s">
        <v>2261</v>
      </c>
      <c r="C15" s="83">
        <v>18</v>
      </c>
      <c r="D15" s="114">
        <v>5.8144629864288434E-3</v>
      </c>
      <c r="E15" s="83" t="s">
        <v>2626</v>
      </c>
    </row>
    <row r="16" spans="1:5" x14ac:dyDescent="0.25">
      <c r="A16" s="83" t="s">
        <v>2261</v>
      </c>
      <c r="B16" s="83" t="s">
        <v>2243</v>
      </c>
      <c r="C16" s="83">
        <v>18</v>
      </c>
      <c r="D16" s="114">
        <v>5.8144629864288434E-3</v>
      </c>
      <c r="E16" s="83" t="s">
        <v>2626</v>
      </c>
    </row>
    <row r="17" spans="1:5" x14ac:dyDescent="0.25">
      <c r="A17" s="83" t="s">
        <v>2243</v>
      </c>
      <c r="B17" s="83" t="s">
        <v>2265</v>
      </c>
      <c r="C17" s="83">
        <v>18</v>
      </c>
      <c r="D17" s="114">
        <v>5.8144629864288434E-3</v>
      </c>
      <c r="E17" s="83" t="s">
        <v>2626</v>
      </c>
    </row>
    <row r="18" spans="1:5" x14ac:dyDescent="0.25">
      <c r="A18" s="83" t="s">
        <v>2265</v>
      </c>
      <c r="B18" s="83" t="s">
        <v>2266</v>
      </c>
      <c r="C18" s="83">
        <v>18</v>
      </c>
      <c r="D18" s="114">
        <v>5.8144629864288434E-3</v>
      </c>
      <c r="E18" s="83" t="s">
        <v>2626</v>
      </c>
    </row>
    <row r="19" spans="1:5" x14ac:dyDescent="0.25">
      <c r="A19" s="83" t="s">
        <v>2266</v>
      </c>
      <c r="B19" s="83" t="s">
        <v>2237</v>
      </c>
      <c r="C19" s="83">
        <v>18</v>
      </c>
      <c r="D19" s="114">
        <v>5.8144629864288434E-3</v>
      </c>
      <c r="E19" s="83" t="s">
        <v>2626</v>
      </c>
    </row>
    <row r="20" spans="1:5" x14ac:dyDescent="0.25">
      <c r="A20" s="83" t="s">
        <v>2238</v>
      </c>
      <c r="B20" s="83" t="s">
        <v>2264</v>
      </c>
      <c r="C20" s="83">
        <v>17</v>
      </c>
      <c r="D20" s="114">
        <v>5.6034035486765598E-3</v>
      </c>
      <c r="E20" s="83" t="s">
        <v>2626</v>
      </c>
    </row>
    <row r="21" spans="1:5" x14ac:dyDescent="0.25">
      <c r="A21" s="83" t="s">
        <v>2264</v>
      </c>
      <c r="B21" s="83" t="s">
        <v>2247</v>
      </c>
      <c r="C21" s="83">
        <v>17</v>
      </c>
      <c r="D21" s="114">
        <v>5.6034035486765598E-3</v>
      </c>
      <c r="E21" s="83" t="s">
        <v>2626</v>
      </c>
    </row>
    <row r="22" spans="1:5" x14ac:dyDescent="0.25">
      <c r="A22" s="83" t="s">
        <v>2247</v>
      </c>
      <c r="B22" s="83" t="s">
        <v>2243</v>
      </c>
      <c r="C22" s="83">
        <v>17</v>
      </c>
      <c r="D22" s="114">
        <v>5.6034035486765598E-3</v>
      </c>
      <c r="E22" s="83" t="s">
        <v>2626</v>
      </c>
    </row>
    <row r="23" spans="1:5" x14ac:dyDescent="0.25">
      <c r="A23" s="83" t="s">
        <v>2270</v>
      </c>
      <c r="B23" s="83" t="s">
        <v>2271</v>
      </c>
      <c r="C23" s="83">
        <v>17</v>
      </c>
      <c r="D23" s="114">
        <v>5.6034035486765598E-3</v>
      </c>
      <c r="E23" s="83" t="s">
        <v>2626</v>
      </c>
    </row>
    <row r="24" spans="1:5" x14ac:dyDescent="0.25">
      <c r="A24" s="83" t="s">
        <v>2246</v>
      </c>
      <c r="B24" s="83" t="s">
        <v>2245</v>
      </c>
      <c r="C24" s="83">
        <v>17</v>
      </c>
      <c r="D24" s="114">
        <v>5.6034035486765598E-3</v>
      </c>
      <c r="E24" s="83" t="s">
        <v>2626</v>
      </c>
    </row>
    <row r="25" spans="1:5" x14ac:dyDescent="0.25">
      <c r="A25" s="83" t="s">
        <v>2235</v>
      </c>
      <c r="B25" s="83" t="s">
        <v>2237</v>
      </c>
      <c r="C25" s="83">
        <v>17</v>
      </c>
      <c r="D25" s="114">
        <v>5.6034035486765598E-3</v>
      </c>
      <c r="E25" s="83" t="s">
        <v>2626</v>
      </c>
    </row>
    <row r="26" spans="1:5" x14ac:dyDescent="0.25">
      <c r="A26" s="83" t="s">
        <v>2262</v>
      </c>
      <c r="B26" s="83" t="s">
        <v>2239</v>
      </c>
      <c r="C26" s="83">
        <v>17</v>
      </c>
      <c r="D26" s="114">
        <v>5.6034035486765598E-3</v>
      </c>
      <c r="E26" s="83" t="s">
        <v>2626</v>
      </c>
    </row>
    <row r="27" spans="1:5" x14ac:dyDescent="0.25">
      <c r="A27" s="83" t="s">
        <v>2267</v>
      </c>
      <c r="B27" s="83" t="s">
        <v>2257</v>
      </c>
      <c r="C27" s="83">
        <v>17</v>
      </c>
      <c r="D27" s="114">
        <v>5.6034035486765598E-3</v>
      </c>
      <c r="E27" s="83" t="s">
        <v>2626</v>
      </c>
    </row>
    <row r="28" spans="1:5" x14ac:dyDescent="0.25">
      <c r="A28" s="83" t="s">
        <v>2251</v>
      </c>
      <c r="B28" s="83" t="s">
        <v>2260</v>
      </c>
      <c r="C28" s="83">
        <v>16</v>
      </c>
      <c r="D28" s="114">
        <v>5.3855620765668874E-3</v>
      </c>
      <c r="E28" s="83" t="s">
        <v>2626</v>
      </c>
    </row>
    <row r="29" spans="1:5" x14ac:dyDescent="0.25">
      <c r="A29" s="83" t="s">
        <v>2272</v>
      </c>
      <c r="B29" s="83" t="s">
        <v>2235</v>
      </c>
      <c r="C29" s="83">
        <v>16</v>
      </c>
      <c r="D29" s="114">
        <v>5.3855620765668874E-3</v>
      </c>
      <c r="E29" s="83" t="s">
        <v>2626</v>
      </c>
    </row>
    <row r="30" spans="1:5" x14ac:dyDescent="0.25">
      <c r="A30" s="83" t="s">
        <v>2236</v>
      </c>
      <c r="B30" s="83" t="s">
        <v>2258</v>
      </c>
      <c r="C30" s="83">
        <v>15</v>
      </c>
      <c r="D30" s="114">
        <v>5.1605141559891128E-3</v>
      </c>
      <c r="E30" s="83" t="s">
        <v>2626</v>
      </c>
    </row>
    <row r="31" spans="1:5" x14ac:dyDescent="0.25">
      <c r="A31" s="83" t="s">
        <v>2280</v>
      </c>
      <c r="B31" s="83" t="s">
        <v>2235</v>
      </c>
      <c r="C31" s="83">
        <v>14</v>
      </c>
      <c r="D31" s="114">
        <v>4.9277786656793951E-3</v>
      </c>
      <c r="E31" s="83" t="s">
        <v>2626</v>
      </c>
    </row>
    <row r="32" spans="1:5" x14ac:dyDescent="0.25">
      <c r="A32" s="83" t="s">
        <v>2235</v>
      </c>
      <c r="B32" s="83" t="s">
        <v>2281</v>
      </c>
      <c r="C32" s="83">
        <v>14</v>
      </c>
      <c r="D32" s="114">
        <v>4.9277786656793951E-3</v>
      </c>
      <c r="E32" s="83" t="s">
        <v>2626</v>
      </c>
    </row>
    <row r="33" spans="1:5" x14ac:dyDescent="0.25">
      <c r="A33" s="83" t="s">
        <v>2281</v>
      </c>
      <c r="B33" s="83" t="s">
        <v>2248</v>
      </c>
      <c r="C33" s="83">
        <v>14</v>
      </c>
      <c r="D33" s="114">
        <v>4.9277786656793951E-3</v>
      </c>
      <c r="E33" s="83" t="s">
        <v>2626</v>
      </c>
    </row>
    <row r="34" spans="1:5" x14ac:dyDescent="0.25">
      <c r="A34" s="83" t="s">
        <v>2237</v>
      </c>
      <c r="B34" s="83" t="s">
        <v>2276</v>
      </c>
      <c r="C34" s="83">
        <v>14</v>
      </c>
      <c r="D34" s="114">
        <v>4.9277786656793951E-3</v>
      </c>
      <c r="E34" s="83" t="s">
        <v>2626</v>
      </c>
    </row>
    <row r="35" spans="1:5" x14ac:dyDescent="0.25">
      <c r="A35" s="83" t="s">
        <v>2276</v>
      </c>
      <c r="B35" s="83" t="s">
        <v>2244</v>
      </c>
      <c r="C35" s="83">
        <v>14</v>
      </c>
      <c r="D35" s="114">
        <v>4.9277786656793951E-3</v>
      </c>
      <c r="E35" s="83" t="s">
        <v>2626</v>
      </c>
    </row>
    <row r="36" spans="1:5" x14ac:dyDescent="0.25">
      <c r="A36" s="83" t="s">
        <v>2235</v>
      </c>
      <c r="B36" s="83" t="s">
        <v>2277</v>
      </c>
      <c r="C36" s="83">
        <v>14</v>
      </c>
      <c r="D36" s="114">
        <v>4.9277786656793951E-3</v>
      </c>
      <c r="E36" s="83" t="s">
        <v>2626</v>
      </c>
    </row>
    <row r="37" spans="1:5" x14ac:dyDescent="0.25">
      <c r="A37" s="83" t="s">
        <v>2255</v>
      </c>
      <c r="B37" s="83" t="s">
        <v>657</v>
      </c>
      <c r="C37" s="83">
        <v>14</v>
      </c>
      <c r="D37" s="114">
        <v>4.9277786656793951E-3</v>
      </c>
      <c r="E37" s="83" t="s">
        <v>2626</v>
      </c>
    </row>
    <row r="38" spans="1:5" x14ac:dyDescent="0.25">
      <c r="A38" s="83" t="s">
        <v>2287</v>
      </c>
      <c r="B38" s="83" t="s">
        <v>2263</v>
      </c>
      <c r="C38" s="83">
        <v>14</v>
      </c>
      <c r="D38" s="114">
        <v>6.0459585381378023E-3</v>
      </c>
      <c r="E38" s="83" t="s">
        <v>2626</v>
      </c>
    </row>
    <row r="39" spans="1:5" x14ac:dyDescent="0.25">
      <c r="A39" s="83" t="s">
        <v>2253</v>
      </c>
      <c r="B39" s="83" t="s">
        <v>2280</v>
      </c>
      <c r="C39" s="83">
        <v>13</v>
      </c>
      <c r="D39" s="114">
        <v>4.6868055879901518E-3</v>
      </c>
      <c r="E39" s="83" t="s">
        <v>2626</v>
      </c>
    </row>
    <row r="40" spans="1:5" x14ac:dyDescent="0.25">
      <c r="A40" s="83" t="s">
        <v>2284</v>
      </c>
      <c r="B40" s="83" t="s">
        <v>2273</v>
      </c>
      <c r="C40" s="83">
        <v>13</v>
      </c>
      <c r="D40" s="114">
        <v>4.6868055879901518E-3</v>
      </c>
      <c r="E40" s="83" t="s">
        <v>2626</v>
      </c>
    </row>
    <row r="41" spans="1:5" x14ac:dyDescent="0.25">
      <c r="A41" s="83" t="s">
        <v>2273</v>
      </c>
      <c r="B41" s="83" t="s">
        <v>2249</v>
      </c>
      <c r="C41" s="83">
        <v>13</v>
      </c>
      <c r="D41" s="114">
        <v>4.6868055879901518E-3</v>
      </c>
      <c r="E41" s="83" t="s">
        <v>2626</v>
      </c>
    </row>
    <row r="42" spans="1:5" x14ac:dyDescent="0.25">
      <c r="A42" s="83" t="s">
        <v>2277</v>
      </c>
      <c r="B42" s="83" t="s">
        <v>2274</v>
      </c>
      <c r="C42" s="83">
        <v>13</v>
      </c>
      <c r="D42" s="114">
        <v>4.6868055879901518E-3</v>
      </c>
      <c r="E42" s="83" t="s">
        <v>2626</v>
      </c>
    </row>
    <row r="43" spans="1:5" x14ac:dyDescent="0.25">
      <c r="A43" s="83" t="s">
        <v>2274</v>
      </c>
      <c r="B43" s="83" t="s">
        <v>2290</v>
      </c>
      <c r="C43" s="83">
        <v>13</v>
      </c>
      <c r="D43" s="114">
        <v>4.6868055879901518E-3</v>
      </c>
      <c r="E43" s="83" t="s">
        <v>2626</v>
      </c>
    </row>
    <row r="44" spans="1:5" x14ac:dyDescent="0.25">
      <c r="A44" s="83" t="s">
        <v>2290</v>
      </c>
      <c r="B44" s="83" t="s">
        <v>2259</v>
      </c>
      <c r="C44" s="83">
        <v>13</v>
      </c>
      <c r="D44" s="114">
        <v>4.6868055879901518E-3</v>
      </c>
      <c r="E44" s="83" t="s">
        <v>2626</v>
      </c>
    </row>
    <row r="45" spans="1:5" x14ac:dyDescent="0.25">
      <c r="A45" s="83" t="s">
        <v>2259</v>
      </c>
      <c r="B45" s="83" t="s">
        <v>2278</v>
      </c>
      <c r="C45" s="83">
        <v>13</v>
      </c>
      <c r="D45" s="114">
        <v>4.6868055879901518E-3</v>
      </c>
      <c r="E45" s="83" t="s">
        <v>2626</v>
      </c>
    </row>
    <row r="46" spans="1:5" x14ac:dyDescent="0.25">
      <c r="A46" s="83" t="s">
        <v>2278</v>
      </c>
      <c r="B46" s="83" t="s">
        <v>2282</v>
      </c>
      <c r="C46" s="83">
        <v>13</v>
      </c>
      <c r="D46" s="114">
        <v>4.6868055879901518E-3</v>
      </c>
      <c r="E46" s="83" t="s">
        <v>2626</v>
      </c>
    </row>
    <row r="47" spans="1:5" x14ac:dyDescent="0.25">
      <c r="A47" s="83" t="s">
        <v>2282</v>
      </c>
      <c r="B47" s="83" t="s">
        <v>2241</v>
      </c>
      <c r="C47" s="83">
        <v>13</v>
      </c>
      <c r="D47" s="114">
        <v>4.6868055879901518E-3</v>
      </c>
      <c r="E47" s="83" t="s">
        <v>2626</v>
      </c>
    </row>
    <row r="48" spans="1:5" x14ac:dyDescent="0.25">
      <c r="A48" s="83" t="s">
        <v>2241</v>
      </c>
      <c r="B48" s="83" t="s">
        <v>2285</v>
      </c>
      <c r="C48" s="83">
        <v>13</v>
      </c>
      <c r="D48" s="114">
        <v>4.6868055879901518E-3</v>
      </c>
      <c r="E48" s="83" t="s">
        <v>2626</v>
      </c>
    </row>
    <row r="49" spans="1:5" x14ac:dyDescent="0.25">
      <c r="A49" s="83" t="s">
        <v>2285</v>
      </c>
      <c r="B49" s="83" t="s">
        <v>2286</v>
      </c>
      <c r="C49" s="83">
        <v>13</v>
      </c>
      <c r="D49" s="114">
        <v>4.6868055879901518E-3</v>
      </c>
      <c r="E49" s="83" t="s">
        <v>2626</v>
      </c>
    </row>
    <row r="50" spans="1:5" x14ac:dyDescent="0.25">
      <c r="A50" s="83" t="s">
        <v>2286</v>
      </c>
      <c r="B50" s="83" t="s">
        <v>2249</v>
      </c>
      <c r="C50" s="83">
        <v>13</v>
      </c>
      <c r="D50" s="114">
        <v>4.6868055879901518E-3</v>
      </c>
      <c r="E50" s="83" t="s">
        <v>2626</v>
      </c>
    </row>
    <row r="51" spans="1:5" x14ac:dyDescent="0.25">
      <c r="A51" s="83" t="s">
        <v>2249</v>
      </c>
      <c r="B51" s="83" t="s">
        <v>2242</v>
      </c>
      <c r="C51" s="83">
        <v>13</v>
      </c>
      <c r="D51" s="114">
        <v>4.6868055879901518E-3</v>
      </c>
      <c r="E51" s="83" t="s">
        <v>2626</v>
      </c>
    </row>
    <row r="52" spans="1:5" x14ac:dyDescent="0.25">
      <c r="A52" s="83" t="s">
        <v>2235</v>
      </c>
      <c r="B52" s="83" t="s">
        <v>657</v>
      </c>
      <c r="C52" s="83">
        <v>13</v>
      </c>
      <c r="D52" s="114">
        <v>4.6868055879901518E-3</v>
      </c>
      <c r="E52" s="83" t="s">
        <v>2626</v>
      </c>
    </row>
    <row r="53" spans="1:5" x14ac:dyDescent="0.25">
      <c r="A53" s="83" t="s">
        <v>2236</v>
      </c>
      <c r="B53" s="83" t="s">
        <v>2272</v>
      </c>
      <c r="C53" s="83">
        <v>12</v>
      </c>
      <c r="D53" s="114">
        <v>4.4369600528615157E-3</v>
      </c>
      <c r="E53" s="83" t="s">
        <v>2626</v>
      </c>
    </row>
    <row r="54" spans="1:5" x14ac:dyDescent="0.25">
      <c r="A54" s="83" t="s">
        <v>2242</v>
      </c>
      <c r="B54" s="83" t="s">
        <v>2262</v>
      </c>
      <c r="C54" s="83">
        <v>12</v>
      </c>
      <c r="D54" s="114">
        <v>4.4369600528615157E-3</v>
      </c>
      <c r="E54" s="83" t="s">
        <v>2626</v>
      </c>
    </row>
    <row r="55" spans="1:5" x14ac:dyDescent="0.25">
      <c r="A55" s="83" t="s">
        <v>2248</v>
      </c>
      <c r="B55" s="83" t="s">
        <v>2254</v>
      </c>
      <c r="C55" s="83">
        <v>11</v>
      </c>
      <c r="D55" s="114">
        <v>4.1775010362825318E-3</v>
      </c>
      <c r="E55" s="83" t="s">
        <v>2626</v>
      </c>
    </row>
    <row r="56" spans="1:5" x14ac:dyDescent="0.25">
      <c r="A56" s="83" t="s">
        <v>2236</v>
      </c>
      <c r="B56" s="83" t="s">
        <v>2246</v>
      </c>
      <c r="C56" s="83">
        <v>11</v>
      </c>
      <c r="D56" s="114">
        <v>4.1775010362825318E-3</v>
      </c>
      <c r="E56" s="83" t="s">
        <v>2626</v>
      </c>
    </row>
    <row r="57" spans="1:5" x14ac:dyDescent="0.25">
      <c r="A57" s="83" t="s">
        <v>2236</v>
      </c>
      <c r="B57" s="83" t="s">
        <v>2295</v>
      </c>
      <c r="C57" s="83">
        <v>11</v>
      </c>
      <c r="D57" s="114">
        <v>4.1775010362825318E-3</v>
      </c>
      <c r="E57" s="83" t="s">
        <v>2626</v>
      </c>
    </row>
    <row r="58" spans="1:5" x14ac:dyDescent="0.25">
      <c r="A58" s="83" t="s">
        <v>2238</v>
      </c>
      <c r="B58" s="83" t="s">
        <v>2296</v>
      </c>
      <c r="C58" s="83">
        <v>11</v>
      </c>
      <c r="D58" s="114">
        <v>4.1775010362825318E-3</v>
      </c>
      <c r="E58" s="83" t="s">
        <v>2626</v>
      </c>
    </row>
    <row r="59" spans="1:5" x14ac:dyDescent="0.25">
      <c r="A59" s="83" t="s">
        <v>2244</v>
      </c>
      <c r="B59" s="83" t="s">
        <v>2283</v>
      </c>
      <c r="C59" s="83">
        <v>10</v>
      </c>
      <c r="D59" s="114">
        <v>3.9075522666946463E-3</v>
      </c>
      <c r="E59" s="83" t="s">
        <v>2626</v>
      </c>
    </row>
    <row r="60" spans="1:5" x14ac:dyDescent="0.25">
      <c r="A60" s="83" t="s">
        <v>2283</v>
      </c>
      <c r="B60" s="83" t="s">
        <v>2270</v>
      </c>
      <c r="C60" s="83">
        <v>10</v>
      </c>
      <c r="D60" s="114">
        <v>3.9075522666946463E-3</v>
      </c>
      <c r="E60" s="83" t="s">
        <v>2626</v>
      </c>
    </row>
    <row r="61" spans="1:5" x14ac:dyDescent="0.25">
      <c r="A61" s="83" t="s">
        <v>2271</v>
      </c>
      <c r="B61" s="83" t="s">
        <v>2284</v>
      </c>
      <c r="C61" s="83">
        <v>10</v>
      </c>
      <c r="D61" s="114">
        <v>3.9075522666946463E-3</v>
      </c>
      <c r="E61" s="83" t="s">
        <v>2626</v>
      </c>
    </row>
    <row r="62" spans="1:5" x14ac:dyDescent="0.25">
      <c r="A62" s="83" t="s">
        <v>2235</v>
      </c>
      <c r="B62" s="83" t="s">
        <v>2242</v>
      </c>
      <c r="C62" s="83">
        <v>10</v>
      </c>
      <c r="D62" s="114">
        <v>3.9075522666946463E-3</v>
      </c>
      <c r="E62" s="83" t="s">
        <v>2626</v>
      </c>
    </row>
    <row r="63" spans="1:5" x14ac:dyDescent="0.25">
      <c r="A63" s="83" t="s">
        <v>2235</v>
      </c>
      <c r="B63" s="83" t="s">
        <v>655</v>
      </c>
      <c r="C63" s="83">
        <v>10</v>
      </c>
      <c r="D63" s="114">
        <v>3.9075522666946463E-3</v>
      </c>
      <c r="E63" s="83" t="s">
        <v>2626</v>
      </c>
    </row>
    <row r="64" spans="1:5" x14ac:dyDescent="0.25">
      <c r="A64" s="83" t="s">
        <v>2275</v>
      </c>
      <c r="B64" s="83" t="s">
        <v>2302</v>
      </c>
      <c r="C64" s="83">
        <v>9</v>
      </c>
      <c r="D64" s="114">
        <v>3.6260614112233981E-3</v>
      </c>
      <c r="E64" s="83" t="s">
        <v>2626</v>
      </c>
    </row>
    <row r="65" spans="1:5" x14ac:dyDescent="0.25">
      <c r="A65" s="83" t="s">
        <v>2302</v>
      </c>
      <c r="B65" s="83" t="s">
        <v>2303</v>
      </c>
      <c r="C65" s="83">
        <v>9</v>
      </c>
      <c r="D65" s="114">
        <v>3.6260614112233981E-3</v>
      </c>
      <c r="E65" s="83" t="s">
        <v>2626</v>
      </c>
    </row>
    <row r="66" spans="1:5" x14ac:dyDescent="0.25">
      <c r="A66" s="83" t="s">
        <v>2303</v>
      </c>
      <c r="B66" s="83" t="s">
        <v>2304</v>
      </c>
      <c r="C66" s="83">
        <v>9</v>
      </c>
      <c r="D66" s="114">
        <v>3.6260614112233981E-3</v>
      </c>
      <c r="E66" s="83" t="s">
        <v>2626</v>
      </c>
    </row>
    <row r="67" spans="1:5" x14ac:dyDescent="0.25">
      <c r="A67" s="83" t="s">
        <v>2304</v>
      </c>
      <c r="B67" s="83" t="s">
        <v>2305</v>
      </c>
      <c r="C67" s="83">
        <v>9</v>
      </c>
      <c r="D67" s="114">
        <v>3.6260614112233981E-3</v>
      </c>
      <c r="E67" s="83" t="s">
        <v>2626</v>
      </c>
    </row>
    <row r="68" spans="1:5" x14ac:dyDescent="0.25">
      <c r="A68" s="83" t="s">
        <v>2305</v>
      </c>
      <c r="B68" s="83" t="s">
        <v>2306</v>
      </c>
      <c r="C68" s="83">
        <v>9</v>
      </c>
      <c r="D68" s="114">
        <v>3.6260614112233981E-3</v>
      </c>
      <c r="E68" s="83" t="s">
        <v>2626</v>
      </c>
    </row>
    <row r="69" spans="1:5" x14ac:dyDescent="0.25">
      <c r="A69" s="83" t="s">
        <v>2235</v>
      </c>
      <c r="B69" s="83" t="s">
        <v>2255</v>
      </c>
      <c r="C69" s="83">
        <v>9</v>
      </c>
      <c r="D69" s="114">
        <v>3.6260614112233981E-3</v>
      </c>
      <c r="E69" s="83" t="s">
        <v>2626</v>
      </c>
    </row>
    <row r="70" spans="1:5" x14ac:dyDescent="0.25">
      <c r="A70" s="83" t="s">
        <v>2249</v>
      </c>
      <c r="B70" s="83" t="s">
        <v>2245</v>
      </c>
      <c r="C70" s="83">
        <v>9</v>
      </c>
      <c r="D70" s="114">
        <v>3.6260614112233981E-3</v>
      </c>
      <c r="E70" s="83" t="s">
        <v>2626</v>
      </c>
    </row>
    <row r="71" spans="1:5" x14ac:dyDescent="0.25">
      <c r="A71" s="83" t="s">
        <v>254</v>
      </c>
      <c r="B71" s="83" t="s">
        <v>2245</v>
      </c>
      <c r="C71" s="83">
        <v>9</v>
      </c>
      <c r="D71" s="114">
        <v>3.6260614112233981E-3</v>
      </c>
      <c r="E71" s="83" t="s">
        <v>2626</v>
      </c>
    </row>
    <row r="72" spans="1:5" x14ac:dyDescent="0.25">
      <c r="A72" s="83" t="s">
        <v>2242</v>
      </c>
      <c r="B72" s="83" t="s">
        <v>655</v>
      </c>
      <c r="C72" s="83">
        <v>8</v>
      </c>
      <c r="D72" s="114">
        <v>3.3317409654025337E-3</v>
      </c>
      <c r="E72" s="83" t="s">
        <v>2626</v>
      </c>
    </row>
    <row r="73" spans="1:5" x14ac:dyDescent="0.25">
      <c r="A73" s="83" t="s">
        <v>657</v>
      </c>
      <c r="B73" s="83" t="s">
        <v>2299</v>
      </c>
      <c r="C73" s="83">
        <v>8</v>
      </c>
      <c r="D73" s="114">
        <v>3.3317409654025337E-3</v>
      </c>
      <c r="E73" s="83" t="s">
        <v>2626</v>
      </c>
    </row>
    <row r="74" spans="1:5" x14ac:dyDescent="0.25">
      <c r="A74" s="83" t="s">
        <v>2299</v>
      </c>
      <c r="B74" s="83" t="s">
        <v>2247</v>
      </c>
      <c r="C74" s="83">
        <v>8</v>
      </c>
      <c r="D74" s="114">
        <v>3.3317409654025337E-3</v>
      </c>
      <c r="E74" s="83" t="s">
        <v>2626</v>
      </c>
    </row>
    <row r="75" spans="1:5" x14ac:dyDescent="0.25">
      <c r="A75" s="83" t="s">
        <v>2253</v>
      </c>
      <c r="B75" s="83" t="s">
        <v>2275</v>
      </c>
      <c r="C75" s="83">
        <v>7</v>
      </c>
      <c r="D75" s="114">
        <v>3.0229792690689011E-3</v>
      </c>
      <c r="E75" s="83" t="s">
        <v>2626</v>
      </c>
    </row>
    <row r="76" spans="1:5" x14ac:dyDescent="0.25">
      <c r="A76" s="83" t="s">
        <v>2306</v>
      </c>
      <c r="B76" s="83" t="s">
        <v>2235</v>
      </c>
      <c r="C76" s="83">
        <v>7</v>
      </c>
      <c r="D76" s="114">
        <v>3.0229792690689011E-3</v>
      </c>
      <c r="E76" s="83" t="s">
        <v>2626</v>
      </c>
    </row>
    <row r="77" spans="1:5" x14ac:dyDescent="0.25">
      <c r="A77" s="83" t="s">
        <v>2246</v>
      </c>
      <c r="B77" s="83" t="s">
        <v>2244</v>
      </c>
      <c r="C77" s="83">
        <v>7</v>
      </c>
      <c r="D77" s="114">
        <v>3.0229792690689011E-3</v>
      </c>
      <c r="E77" s="83" t="s">
        <v>2626</v>
      </c>
    </row>
    <row r="78" spans="1:5" x14ac:dyDescent="0.25">
      <c r="A78" s="83" t="s">
        <v>2245</v>
      </c>
      <c r="B78" s="83" t="s">
        <v>2308</v>
      </c>
      <c r="C78" s="83">
        <v>7</v>
      </c>
      <c r="D78" s="114">
        <v>3.0229792690689011E-3</v>
      </c>
      <c r="E78" s="83" t="s">
        <v>2626</v>
      </c>
    </row>
    <row r="79" spans="1:5" x14ac:dyDescent="0.25">
      <c r="A79" s="83" t="s">
        <v>2308</v>
      </c>
      <c r="B79" s="83" t="s">
        <v>2235</v>
      </c>
      <c r="C79" s="83">
        <v>7</v>
      </c>
      <c r="D79" s="114">
        <v>3.0229792690689011E-3</v>
      </c>
      <c r="E79" s="83" t="s">
        <v>2626</v>
      </c>
    </row>
    <row r="80" spans="1:5" x14ac:dyDescent="0.25">
      <c r="A80" s="83" t="s">
        <v>2314</v>
      </c>
      <c r="B80" s="83" t="s">
        <v>2243</v>
      </c>
      <c r="C80" s="83">
        <v>7</v>
      </c>
      <c r="D80" s="114">
        <v>3.0229792690689011E-3</v>
      </c>
      <c r="E80" s="83" t="s">
        <v>2626</v>
      </c>
    </row>
    <row r="81" spans="1:5" x14ac:dyDescent="0.25">
      <c r="A81" s="83" t="s">
        <v>2251</v>
      </c>
      <c r="B81" s="83" t="s">
        <v>2235</v>
      </c>
      <c r="C81" s="83">
        <v>7</v>
      </c>
      <c r="D81" s="114">
        <v>3.0229792690689011E-3</v>
      </c>
      <c r="E81" s="83" t="s">
        <v>2626</v>
      </c>
    </row>
    <row r="82" spans="1:5" x14ac:dyDescent="0.25">
      <c r="A82" s="83" t="s">
        <v>2247</v>
      </c>
      <c r="B82" s="83" t="s">
        <v>2287</v>
      </c>
      <c r="C82" s="83">
        <v>7</v>
      </c>
      <c r="D82" s="114">
        <v>3.0229792690689011E-3</v>
      </c>
      <c r="E82" s="83" t="s">
        <v>2626</v>
      </c>
    </row>
    <row r="83" spans="1:5" x14ac:dyDescent="0.25">
      <c r="A83" s="83" t="s">
        <v>2263</v>
      </c>
      <c r="B83" s="83" t="s">
        <v>2300</v>
      </c>
      <c r="C83" s="83">
        <v>7</v>
      </c>
      <c r="D83" s="114">
        <v>3.0229792690689011E-3</v>
      </c>
      <c r="E83" s="83" t="s">
        <v>2626</v>
      </c>
    </row>
    <row r="84" spans="1:5" x14ac:dyDescent="0.25">
      <c r="A84" s="83" t="s">
        <v>2300</v>
      </c>
      <c r="B84" s="83" t="s">
        <v>2291</v>
      </c>
      <c r="C84" s="83">
        <v>7</v>
      </c>
      <c r="D84" s="114">
        <v>3.0229792690689011E-3</v>
      </c>
      <c r="E84" s="83" t="s">
        <v>2626</v>
      </c>
    </row>
    <row r="85" spans="1:5" x14ac:dyDescent="0.25">
      <c r="A85" s="83" t="s">
        <v>2291</v>
      </c>
      <c r="B85" s="83" t="s">
        <v>2242</v>
      </c>
      <c r="C85" s="83">
        <v>7</v>
      </c>
      <c r="D85" s="114">
        <v>3.0229792690689011E-3</v>
      </c>
      <c r="E85" s="83" t="s">
        <v>2626</v>
      </c>
    </row>
    <row r="86" spans="1:5" x14ac:dyDescent="0.25">
      <c r="A86" s="83" t="s">
        <v>2242</v>
      </c>
      <c r="B86" s="83" t="s">
        <v>2287</v>
      </c>
      <c r="C86" s="83">
        <v>7</v>
      </c>
      <c r="D86" s="114">
        <v>3.0229792690689011E-3</v>
      </c>
      <c r="E86" s="83" t="s">
        <v>2626</v>
      </c>
    </row>
    <row r="87" spans="1:5" x14ac:dyDescent="0.25">
      <c r="A87" s="83" t="s">
        <v>2235</v>
      </c>
      <c r="B87" s="83" t="s">
        <v>2288</v>
      </c>
      <c r="C87" s="83">
        <v>7</v>
      </c>
      <c r="D87" s="114">
        <v>3.0229792690689011E-3</v>
      </c>
      <c r="E87" s="83" t="s">
        <v>2626</v>
      </c>
    </row>
    <row r="88" spans="1:5" x14ac:dyDescent="0.25">
      <c r="A88" s="83" t="s">
        <v>2236</v>
      </c>
      <c r="B88" s="83" t="s">
        <v>2323</v>
      </c>
      <c r="C88" s="83">
        <v>7</v>
      </c>
      <c r="D88" s="114">
        <v>3.2943765229154561E-3</v>
      </c>
      <c r="E88" s="83" t="s">
        <v>2626</v>
      </c>
    </row>
    <row r="89" spans="1:5" x14ac:dyDescent="0.25">
      <c r="A89" s="83" t="s">
        <v>2319</v>
      </c>
      <c r="B89" s="83" t="s">
        <v>657</v>
      </c>
      <c r="C89" s="83">
        <v>6</v>
      </c>
      <c r="D89" s="114">
        <v>2.697699971770075E-3</v>
      </c>
      <c r="E89" s="83" t="s">
        <v>2626</v>
      </c>
    </row>
    <row r="90" spans="1:5" x14ac:dyDescent="0.25">
      <c r="A90" s="83" t="s">
        <v>657</v>
      </c>
      <c r="B90" s="83" t="s">
        <v>2320</v>
      </c>
      <c r="C90" s="83">
        <v>6</v>
      </c>
      <c r="D90" s="114">
        <v>2.697699971770075E-3</v>
      </c>
      <c r="E90" s="83" t="s">
        <v>2626</v>
      </c>
    </row>
    <row r="91" spans="1:5" x14ac:dyDescent="0.25">
      <c r="A91" s="83" t="s">
        <v>2320</v>
      </c>
      <c r="B91" s="83" t="s">
        <v>2268</v>
      </c>
      <c r="C91" s="83">
        <v>6</v>
      </c>
      <c r="D91" s="114">
        <v>2.697699971770075E-3</v>
      </c>
      <c r="E91" s="83" t="s">
        <v>2626</v>
      </c>
    </row>
    <row r="92" spans="1:5" x14ac:dyDescent="0.25">
      <c r="A92" s="83" t="s">
        <v>2268</v>
      </c>
      <c r="B92" s="83" t="s">
        <v>2333</v>
      </c>
      <c r="C92" s="83">
        <v>6</v>
      </c>
      <c r="D92" s="114">
        <v>2.697699971770075E-3</v>
      </c>
      <c r="E92" s="83" t="s">
        <v>2626</v>
      </c>
    </row>
    <row r="93" spans="1:5" x14ac:dyDescent="0.25">
      <c r="A93" s="83" t="s">
        <v>2333</v>
      </c>
      <c r="B93" s="83" t="s">
        <v>2334</v>
      </c>
      <c r="C93" s="83">
        <v>6</v>
      </c>
      <c r="D93" s="114">
        <v>2.697699971770075E-3</v>
      </c>
      <c r="E93" s="83" t="s">
        <v>2626</v>
      </c>
    </row>
    <row r="94" spans="1:5" x14ac:dyDescent="0.25">
      <c r="A94" s="83" t="s">
        <v>2334</v>
      </c>
      <c r="B94" s="83" t="s">
        <v>2335</v>
      </c>
      <c r="C94" s="83">
        <v>6</v>
      </c>
      <c r="D94" s="114">
        <v>2.697699971770075E-3</v>
      </c>
      <c r="E94" s="83" t="s">
        <v>2626</v>
      </c>
    </row>
    <row r="95" spans="1:5" x14ac:dyDescent="0.25">
      <c r="A95" s="83" t="s">
        <v>2335</v>
      </c>
      <c r="B95" s="83" t="s">
        <v>2336</v>
      </c>
      <c r="C95" s="83">
        <v>6</v>
      </c>
      <c r="D95" s="114">
        <v>2.697699971770075E-3</v>
      </c>
      <c r="E95" s="83" t="s">
        <v>2626</v>
      </c>
    </row>
    <row r="96" spans="1:5" x14ac:dyDescent="0.25">
      <c r="A96" s="83" t="s">
        <v>2336</v>
      </c>
      <c r="B96" s="83" t="s">
        <v>2337</v>
      </c>
      <c r="C96" s="83">
        <v>6</v>
      </c>
      <c r="D96" s="114">
        <v>2.697699971770075E-3</v>
      </c>
      <c r="E96" s="83" t="s">
        <v>2626</v>
      </c>
    </row>
    <row r="97" spans="1:5" x14ac:dyDescent="0.25">
      <c r="A97" s="83" t="s">
        <v>2337</v>
      </c>
      <c r="B97" s="83" t="s">
        <v>2338</v>
      </c>
      <c r="C97" s="83">
        <v>6</v>
      </c>
      <c r="D97" s="114">
        <v>2.697699971770075E-3</v>
      </c>
      <c r="E97" s="83" t="s">
        <v>2626</v>
      </c>
    </row>
    <row r="98" spans="1:5" x14ac:dyDescent="0.25">
      <c r="A98" s="83" t="s">
        <v>2338</v>
      </c>
      <c r="B98" s="83" t="s">
        <v>2339</v>
      </c>
      <c r="C98" s="83">
        <v>6</v>
      </c>
      <c r="D98" s="114">
        <v>2.697699971770075E-3</v>
      </c>
      <c r="E98" s="83" t="s">
        <v>2626</v>
      </c>
    </row>
    <row r="99" spans="1:5" x14ac:dyDescent="0.25">
      <c r="A99" s="83" t="s">
        <v>2339</v>
      </c>
      <c r="B99" s="83" t="s">
        <v>2301</v>
      </c>
      <c r="C99" s="83">
        <v>6</v>
      </c>
      <c r="D99" s="114">
        <v>2.697699971770075E-3</v>
      </c>
      <c r="E99" s="83" t="s">
        <v>2626</v>
      </c>
    </row>
    <row r="100" spans="1:5" x14ac:dyDescent="0.25">
      <c r="A100" s="83" t="s">
        <v>2301</v>
      </c>
      <c r="B100" s="83" t="s">
        <v>2340</v>
      </c>
      <c r="C100" s="83">
        <v>6</v>
      </c>
      <c r="D100" s="114">
        <v>2.697699971770075E-3</v>
      </c>
      <c r="E100" s="83" t="s">
        <v>2626</v>
      </c>
    </row>
    <row r="101" spans="1:5" x14ac:dyDescent="0.25">
      <c r="A101" s="83" t="s">
        <v>2340</v>
      </c>
      <c r="B101" s="83" t="s">
        <v>2341</v>
      </c>
      <c r="C101" s="83">
        <v>6</v>
      </c>
      <c r="D101" s="114">
        <v>2.697699971770075E-3</v>
      </c>
      <c r="E101" s="83" t="s">
        <v>2626</v>
      </c>
    </row>
    <row r="102" spans="1:5" x14ac:dyDescent="0.25">
      <c r="A102" s="83" t="s">
        <v>2341</v>
      </c>
      <c r="B102" s="83" t="s">
        <v>2342</v>
      </c>
      <c r="C102" s="83">
        <v>6</v>
      </c>
      <c r="D102" s="114">
        <v>2.697699971770075E-3</v>
      </c>
      <c r="E102" s="83" t="s">
        <v>2626</v>
      </c>
    </row>
    <row r="103" spans="1:5" x14ac:dyDescent="0.25">
      <c r="A103" s="83" t="s">
        <v>2235</v>
      </c>
      <c r="B103" s="83" t="s">
        <v>661</v>
      </c>
      <c r="C103" s="83">
        <v>6</v>
      </c>
      <c r="D103" s="114">
        <v>2.697699971770075E-3</v>
      </c>
      <c r="E103" s="83" t="s">
        <v>2626</v>
      </c>
    </row>
    <row r="104" spans="1:5" x14ac:dyDescent="0.25">
      <c r="A104" s="83" t="s">
        <v>2246</v>
      </c>
      <c r="B104" s="83" t="s">
        <v>2235</v>
      </c>
      <c r="C104" s="83">
        <v>6</v>
      </c>
      <c r="D104" s="114">
        <v>2.697699971770075E-3</v>
      </c>
      <c r="E104" s="83" t="s">
        <v>2626</v>
      </c>
    </row>
    <row r="105" spans="1:5" x14ac:dyDescent="0.25">
      <c r="A105" s="83" t="s">
        <v>2292</v>
      </c>
      <c r="B105" s="83" t="s">
        <v>2254</v>
      </c>
      <c r="C105" s="83">
        <v>6</v>
      </c>
      <c r="D105" s="114">
        <v>2.697699971770075E-3</v>
      </c>
      <c r="E105" s="83" t="s">
        <v>2626</v>
      </c>
    </row>
    <row r="106" spans="1:5" x14ac:dyDescent="0.25">
      <c r="A106" s="83" t="s">
        <v>2254</v>
      </c>
      <c r="B106" s="83" t="s">
        <v>2346</v>
      </c>
      <c r="C106" s="83">
        <v>6</v>
      </c>
      <c r="D106" s="114">
        <v>2.697699971770075E-3</v>
      </c>
      <c r="E106" s="83" t="s">
        <v>2626</v>
      </c>
    </row>
    <row r="107" spans="1:5" x14ac:dyDescent="0.25">
      <c r="A107" s="83" t="s">
        <v>2346</v>
      </c>
      <c r="B107" s="83" t="s">
        <v>2313</v>
      </c>
      <c r="C107" s="83">
        <v>6</v>
      </c>
      <c r="D107" s="114">
        <v>2.697699971770075E-3</v>
      </c>
      <c r="E107" s="83" t="s">
        <v>2626</v>
      </c>
    </row>
    <row r="108" spans="1:5" x14ac:dyDescent="0.25">
      <c r="A108" s="83" t="s">
        <v>2313</v>
      </c>
      <c r="B108" s="83" t="s">
        <v>2347</v>
      </c>
      <c r="C108" s="83">
        <v>6</v>
      </c>
      <c r="D108" s="114">
        <v>2.697699971770075E-3</v>
      </c>
      <c r="E108" s="83" t="s">
        <v>2626</v>
      </c>
    </row>
    <row r="109" spans="1:5" x14ac:dyDescent="0.25">
      <c r="A109" s="83" t="s">
        <v>2347</v>
      </c>
      <c r="B109" s="83" t="s">
        <v>2348</v>
      </c>
      <c r="C109" s="83">
        <v>6</v>
      </c>
      <c r="D109" s="114">
        <v>2.697699971770075E-3</v>
      </c>
      <c r="E109" s="83" t="s">
        <v>2626</v>
      </c>
    </row>
    <row r="110" spans="1:5" x14ac:dyDescent="0.25">
      <c r="A110" s="83" t="s">
        <v>2348</v>
      </c>
      <c r="B110" s="83" t="s">
        <v>2297</v>
      </c>
      <c r="C110" s="83">
        <v>6</v>
      </c>
      <c r="D110" s="114">
        <v>2.697699971770075E-3</v>
      </c>
      <c r="E110" s="83" t="s">
        <v>2626</v>
      </c>
    </row>
    <row r="111" spans="1:5" x14ac:dyDescent="0.25">
      <c r="A111" s="83" t="s">
        <v>2297</v>
      </c>
      <c r="B111" s="83" t="s">
        <v>2293</v>
      </c>
      <c r="C111" s="83">
        <v>6</v>
      </c>
      <c r="D111" s="114">
        <v>2.697699971770075E-3</v>
      </c>
      <c r="E111" s="83" t="s">
        <v>2626</v>
      </c>
    </row>
    <row r="112" spans="1:5" x14ac:dyDescent="0.25">
      <c r="A112" s="83" t="s">
        <v>2293</v>
      </c>
      <c r="B112" s="83" t="s">
        <v>2275</v>
      </c>
      <c r="C112" s="83">
        <v>6</v>
      </c>
      <c r="D112" s="114">
        <v>2.697699971770075E-3</v>
      </c>
      <c r="E112" s="83" t="s">
        <v>2626</v>
      </c>
    </row>
    <row r="113" spans="1:5" x14ac:dyDescent="0.25">
      <c r="A113" s="83" t="s">
        <v>2275</v>
      </c>
      <c r="B113" s="83" t="s">
        <v>2262</v>
      </c>
      <c r="C113" s="83">
        <v>6</v>
      </c>
      <c r="D113" s="114">
        <v>2.697699971770075E-3</v>
      </c>
      <c r="E113" s="83" t="s">
        <v>2626</v>
      </c>
    </row>
    <row r="114" spans="1:5" x14ac:dyDescent="0.25">
      <c r="A114" s="83" t="s">
        <v>2240</v>
      </c>
      <c r="B114" s="83" t="s">
        <v>2235</v>
      </c>
      <c r="C114" s="83">
        <v>6</v>
      </c>
      <c r="D114" s="114">
        <v>2.697699971770075E-3</v>
      </c>
      <c r="E114" s="83" t="s">
        <v>2626</v>
      </c>
    </row>
    <row r="115" spans="1:5" x14ac:dyDescent="0.25">
      <c r="A115" s="83" t="s">
        <v>2235</v>
      </c>
      <c r="B115" s="83" t="s">
        <v>654</v>
      </c>
      <c r="C115" s="83">
        <v>6</v>
      </c>
      <c r="D115" s="114">
        <v>2.697699971770075E-3</v>
      </c>
      <c r="E115" s="83" t="s">
        <v>2626</v>
      </c>
    </row>
    <row r="116" spans="1:5" x14ac:dyDescent="0.25">
      <c r="A116" s="83" t="s">
        <v>2295</v>
      </c>
      <c r="B116" s="83" t="s">
        <v>2314</v>
      </c>
      <c r="C116" s="83">
        <v>6</v>
      </c>
      <c r="D116" s="114">
        <v>2.697699971770075E-3</v>
      </c>
      <c r="E116" s="83" t="s">
        <v>2626</v>
      </c>
    </row>
    <row r="117" spans="1:5" x14ac:dyDescent="0.25">
      <c r="A117" s="83" t="s">
        <v>2354</v>
      </c>
      <c r="B117" s="83" t="s">
        <v>2239</v>
      </c>
      <c r="C117" s="83">
        <v>6</v>
      </c>
      <c r="D117" s="114">
        <v>2.697699971770075E-3</v>
      </c>
      <c r="E117" s="83" t="s">
        <v>2626</v>
      </c>
    </row>
    <row r="118" spans="1:5" x14ac:dyDescent="0.25">
      <c r="A118" s="83" t="s">
        <v>2296</v>
      </c>
      <c r="B118" s="83" t="s">
        <v>2332</v>
      </c>
      <c r="C118" s="83">
        <v>6</v>
      </c>
      <c r="D118" s="114">
        <v>2.697699971770075E-3</v>
      </c>
      <c r="E118" s="83" t="s">
        <v>2626</v>
      </c>
    </row>
    <row r="119" spans="1:5" x14ac:dyDescent="0.25">
      <c r="A119" s="83" t="s">
        <v>2356</v>
      </c>
      <c r="B119" s="83" t="s">
        <v>2319</v>
      </c>
      <c r="C119" s="83">
        <v>5</v>
      </c>
      <c r="D119" s="114">
        <v>2.3531260877967543E-3</v>
      </c>
      <c r="E119" s="83" t="s">
        <v>2626</v>
      </c>
    </row>
    <row r="120" spans="1:5" x14ac:dyDescent="0.25">
      <c r="A120" s="83" t="s">
        <v>2342</v>
      </c>
      <c r="B120" s="83" t="s">
        <v>662</v>
      </c>
      <c r="C120" s="83">
        <v>5</v>
      </c>
      <c r="D120" s="114">
        <v>2.3531260877967543E-3</v>
      </c>
      <c r="E120" s="83" t="s">
        <v>2626</v>
      </c>
    </row>
    <row r="121" spans="1:5" x14ac:dyDescent="0.25">
      <c r="A121" s="83" t="s">
        <v>644</v>
      </c>
      <c r="B121" s="83" t="s">
        <v>2235</v>
      </c>
      <c r="C121" s="83">
        <v>5</v>
      </c>
      <c r="D121" s="114">
        <v>2.3531260877967543E-3</v>
      </c>
      <c r="E121" s="83" t="s">
        <v>2626</v>
      </c>
    </row>
    <row r="122" spans="1:5" x14ac:dyDescent="0.25">
      <c r="A122" s="83" t="s">
        <v>2236</v>
      </c>
      <c r="B122" s="83" t="s">
        <v>2357</v>
      </c>
      <c r="C122" s="83">
        <v>5</v>
      </c>
      <c r="D122" s="114">
        <v>2.3531260877967543E-3</v>
      </c>
      <c r="E122" s="83" t="s">
        <v>2626</v>
      </c>
    </row>
    <row r="123" spans="1:5" x14ac:dyDescent="0.25">
      <c r="A123" s="83" t="s">
        <v>2321</v>
      </c>
      <c r="B123" s="83" t="s">
        <v>2235</v>
      </c>
      <c r="C123" s="83">
        <v>5</v>
      </c>
      <c r="D123" s="114">
        <v>2.3531260877967543E-3</v>
      </c>
      <c r="E123" s="83" t="s">
        <v>2626</v>
      </c>
    </row>
    <row r="124" spans="1:5" x14ac:dyDescent="0.25">
      <c r="A124" s="83" t="s">
        <v>2358</v>
      </c>
      <c r="B124" s="83" t="s">
        <v>2235</v>
      </c>
      <c r="C124" s="83">
        <v>5</v>
      </c>
      <c r="D124" s="114">
        <v>2.3531260877967543E-3</v>
      </c>
      <c r="E124" s="83" t="s">
        <v>2626</v>
      </c>
    </row>
    <row r="125" spans="1:5" x14ac:dyDescent="0.25">
      <c r="A125" s="83" t="s">
        <v>2235</v>
      </c>
      <c r="B125" s="83" t="s">
        <v>2344</v>
      </c>
      <c r="C125" s="83">
        <v>5</v>
      </c>
      <c r="D125" s="114">
        <v>2.3531260877967543E-3</v>
      </c>
      <c r="E125" s="83" t="s">
        <v>2626</v>
      </c>
    </row>
    <row r="126" spans="1:5" x14ac:dyDescent="0.25">
      <c r="A126" s="83" t="s">
        <v>2362</v>
      </c>
      <c r="B126" s="83" t="s">
        <v>254</v>
      </c>
      <c r="C126" s="83">
        <v>5</v>
      </c>
      <c r="D126" s="114">
        <v>2.3531260877967543E-3</v>
      </c>
      <c r="E126" s="83" t="s">
        <v>2626</v>
      </c>
    </row>
    <row r="127" spans="1:5" x14ac:dyDescent="0.25">
      <c r="A127" s="83" t="s">
        <v>2235</v>
      </c>
      <c r="B127" s="83" t="s">
        <v>2322</v>
      </c>
      <c r="C127" s="83">
        <v>5</v>
      </c>
      <c r="D127" s="114">
        <v>2.3531260877967543E-3</v>
      </c>
      <c r="E127" s="83" t="s">
        <v>2626</v>
      </c>
    </row>
    <row r="128" spans="1:5" x14ac:dyDescent="0.25">
      <c r="A128" s="83" t="s">
        <v>2295</v>
      </c>
      <c r="B128" s="83" t="s">
        <v>2292</v>
      </c>
      <c r="C128" s="83">
        <v>5</v>
      </c>
      <c r="D128" s="114">
        <v>2.3531260877967543E-3</v>
      </c>
      <c r="E128" s="83" t="s">
        <v>2626</v>
      </c>
    </row>
    <row r="129" spans="1:5" x14ac:dyDescent="0.25">
      <c r="A129" s="83" t="s">
        <v>2288</v>
      </c>
      <c r="B129" s="83" t="s">
        <v>2315</v>
      </c>
      <c r="C129" s="83">
        <v>5</v>
      </c>
      <c r="D129" s="114">
        <v>2.3531260877967543E-3</v>
      </c>
      <c r="E129" s="83" t="s">
        <v>2626</v>
      </c>
    </row>
    <row r="130" spans="1:5" x14ac:dyDescent="0.25">
      <c r="A130" s="83" t="s">
        <v>2315</v>
      </c>
      <c r="B130" s="83" t="s">
        <v>2325</v>
      </c>
      <c r="C130" s="83">
        <v>5</v>
      </c>
      <c r="D130" s="114">
        <v>2.3531260877967543E-3</v>
      </c>
      <c r="E130" s="83" t="s">
        <v>2626</v>
      </c>
    </row>
    <row r="131" spans="1:5" x14ac:dyDescent="0.25">
      <c r="A131" s="83" t="s">
        <v>2350</v>
      </c>
      <c r="B131" s="83" t="s">
        <v>2316</v>
      </c>
      <c r="C131" s="83">
        <v>5</v>
      </c>
      <c r="D131" s="114">
        <v>2.3531260877967543E-3</v>
      </c>
      <c r="E131" s="83" t="s">
        <v>2626</v>
      </c>
    </row>
    <row r="132" spans="1:5" x14ac:dyDescent="0.25">
      <c r="A132" s="83" t="s">
        <v>2371</v>
      </c>
      <c r="B132" s="83" t="s">
        <v>2372</v>
      </c>
      <c r="C132" s="83">
        <v>5</v>
      </c>
      <c r="D132" s="114">
        <v>2.8810380122754457E-3</v>
      </c>
      <c r="E132" s="83" t="s">
        <v>2626</v>
      </c>
    </row>
    <row r="133" spans="1:5" x14ac:dyDescent="0.25">
      <c r="A133" s="83" t="s">
        <v>2239</v>
      </c>
      <c r="B133" s="83" t="s">
        <v>2331</v>
      </c>
      <c r="C133" s="83">
        <v>5</v>
      </c>
      <c r="D133" s="114">
        <v>2.3531260877967543E-3</v>
      </c>
      <c r="E133" s="83" t="s">
        <v>2626</v>
      </c>
    </row>
    <row r="134" spans="1:5" x14ac:dyDescent="0.25">
      <c r="A134" s="83" t="s">
        <v>2344</v>
      </c>
      <c r="B134" s="83" t="s">
        <v>2373</v>
      </c>
      <c r="C134" s="83">
        <v>5</v>
      </c>
      <c r="D134" s="114">
        <v>2.4816880578260149E-3</v>
      </c>
      <c r="E134" s="83" t="s">
        <v>2626</v>
      </c>
    </row>
    <row r="135" spans="1:5" x14ac:dyDescent="0.25">
      <c r="A135" s="83" t="s">
        <v>2373</v>
      </c>
      <c r="B135" s="83" t="s">
        <v>2374</v>
      </c>
      <c r="C135" s="83">
        <v>5</v>
      </c>
      <c r="D135" s="114">
        <v>2.4816880578260149E-3</v>
      </c>
      <c r="E135" s="83" t="s">
        <v>2626</v>
      </c>
    </row>
    <row r="136" spans="1:5" x14ac:dyDescent="0.25">
      <c r="A136" s="83" t="s">
        <v>2236</v>
      </c>
      <c r="B136" s="83" t="s">
        <v>2356</v>
      </c>
      <c r="C136" s="83">
        <v>4</v>
      </c>
      <c r="D136" s="114">
        <v>1.9853504462608116E-3</v>
      </c>
      <c r="E136" s="83" t="s">
        <v>2626</v>
      </c>
    </row>
    <row r="137" spans="1:5" x14ac:dyDescent="0.25">
      <c r="A137" s="83" t="s">
        <v>2236</v>
      </c>
      <c r="B137" s="83" t="s">
        <v>2477</v>
      </c>
      <c r="C137" s="83">
        <v>4</v>
      </c>
      <c r="D137" s="114">
        <v>2.3048304098203564E-3</v>
      </c>
      <c r="E137" s="83" t="s">
        <v>2626</v>
      </c>
    </row>
    <row r="138" spans="1:5" x14ac:dyDescent="0.25">
      <c r="A138" s="83" t="s">
        <v>657</v>
      </c>
      <c r="B138" s="83" t="s">
        <v>2358</v>
      </c>
      <c r="C138" s="83">
        <v>4</v>
      </c>
      <c r="D138" s="114">
        <v>1.9853504462608116E-3</v>
      </c>
      <c r="E138" s="83" t="s">
        <v>2626</v>
      </c>
    </row>
    <row r="139" spans="1:5" x14ac:dyDescent="0.25">
      <c r="A139" s="83" t="s">
        <v>2235</v>
      </c>
      <c r="B139" s="83" t="s">
        <v>2378</v>
      </c>
      <c r="C139" s="83">
        <v>4</v>
      </c>
      <c r="D139" s="114">
        <v>1.9853504462608116E-3</v>
      </c>
      <c r="E139" s="83" t="s">
        <v>2626</v>
      </c>
    </row>
    <row r="140" spans="1:5" x14ac:dyDescent="0.25">
      <c r="A140" s="83" t="s">
        <v>2378</v>
      </c>
      <c r="B140" s="83" t="s">
        <v>2289</v>
      </c>
      <c r="C140" s="83">
        <v>4</v>
      </c>
      <c r="D140" s="114">
        <v>1.9853504462608116E-3</v>
      </c>
      <c r="E140" s="83" t="s">
        <v>2626</v>
      </c>
    </row>
    <row r="141" spans="1:5" x14ac:dyDescent="0.25">
      <c r="A141" s="83" t="s">
        <v>2289</v>
      </c>
      <c r="B141" s="83" t="s">
        <v>2248</v>
      </c>
      <c r="C141" s="83">
        <v>4</v>
      </c>
      <c r="D141" s="114">
        <v>1.9853504462608116E-3</v>
      </c>
      <c r="E141" s="83" t="s">
        <v>2626</v>
      </c>
    </row>
    <row r="142" spans="1:5" x14ac:dyDescent="0.25">
      <c r="A142" s="83" t="s">
        <v>2236</v>
      </c>
      <c r="B142" s="83" t="s">
        <v>2311</v>
      </c>
      <c r="C142" s="83">
        <v>4</v>
      </c>
      <c r="D142" s="114">
        <v>2.3048304098203564E-3</v>
      </c>
      <c r="E142" s="83" t="s">
        <v>2626</v>
      </c>
    </row>
    <row r="143" spans="1:5" x14ac:dyDescent="0.25">
      <c r="A143" s="83" t="s">
        <v>2235</v>
      </c>
      <c r="B143" s="83" t="s">
        <v>2279</v>
      </c>
      <c r="C143" s="83">
        <v>4</v>
      </c>
      <c r="D143" s="114">
        <v>1.9853504462608116E-3</v>
      </c>
      <c r="E143" s="83" t="s">
        <v>2626</v>
      </c>
    </row>
    <row r="144" spans="1:5" x14ac:dyDescent="0.25">
      <c r="A144" s="83" t="s">
        <v>2235</v>
      </c>
      <c r="B144" s="83" t="s">
        <v>2269</v>
      </c>
      <c r="C144" s="83">
        <v>4</v>
      </c>
      <c r="D144" s="114">
        <v>1.9853504462608116E-3</v>
      </c>
      <c r="E144" s="83" t="s">
        <v>2626</v>
      </c>
    </row>
    <row r="145" spans="1:5" x14ac:dyDescent="0.25">
      <c r="A145" s="83" t="s">
        <v>2343</v>
      </c>
      <c r="B145" s="83" t="s">
        <v>2393</v>
      </c>
      <c r="C145" s="83">
        <v>4</v>
      </c>
      <c r="D145" s="114">
        <v>1.9853504462608116E-3</v>
      </c>
      <c r="E145" s="83" t="s">
        <v>2626</v>
      </c>
    </row>
    <row r="146" spans="1:5" x14ac:dyDescent="0.25">
      <c r="A146" s="83" t="s">
        <v>2242</v>
      </c>
      <c r="B146" s="83" t="s">
        <v>2239</v>
      </c>
      <c r="C146" s="83">
        <v>4</v>
      </c>
      <c r="D146" s="114">
        <v>1.9853504462608116E-3</v>
      </c>
      <c r="E146" s="83" t="s">
        <v>2626</v>
      </c>
    </row>
    <row r="147" spans="1:5" x14ac:dyDescent="0.25">
      <c r="A147" s="83" t="s">
        <v>2250</v>
      </c>
      <c r="B147" s="83" t="s">
        <v>2396</v>
      </c>
      <c r="C147" s="83">
        <v>4</v>
      </c>
      <c r="D147" s="114">
        <v>1.9853504462608116E-3</v>
      </c>
      <c r="E147" s="83" t="s">
        <v>2626</v>
      </c>
    </row>
    <row r="148" spans="1:5" x14ac:dyDescent="0.25">
      <c r="A148" s="83" t="s">
        <v>2396</v>
      </c>
      <c r="B148" s="83" t="s">
        <v>2397</v>
      </c>
      <c r="C148" s="83">
        <v>4</v>
      </c>
      <c r="D148" s="114">
        <v>1.9853504462608116E-3</v>
      </c>
      <c r="E148" s="83" t="s">
        <v>2626</v>
      </c>
    </row>
    <row r="149" spans="1:5" x14ac:dyDescent="0.25">
      <c r="A149" s="83" t="s">
        <v>2397</v>
      </c>
      <c r="B149" s="83" t="s">
        <v>2235</v>
      </c>
      <c r="C149" s="83">
        <v>4</v>
      </c>
      <c r="D149" s="114">
        <v>1.9853504462608116E-3</v>
      </c>
      <c r="E149" s="83" t="s">
        <v>2626</v>
      </c>
    </row>
    <row r="150" spans="1:5" x14ac:dyDescent="0.25">
      <c r="A150" s="83" t="s">
        <v>2235</v>
      </c>
      <c r="B150" s="83" t="s">
        <v>2398</v>
      </c>
      <c r="C150" s="83">
        <v>4</v>
      </c>
      <c r="D150" s="114">
        <v>1.9853504462608116E-3</v>
      </c>
      <c r="E150" s="83" t="s">
        <v>2626</v>
      </c>
    </row>
    <row r="151" spans="1:5" x14ac:dyDescent="0.25">
      <c r="A151" s="83" t="s">
        <v>2398</v>
      </c>
      <c r="B151" s="83" t="s">
        <v>2350</v>
      </c>
      <c r="C151" s="83">
        <v>4</v>
      </c>
      <c r="D151" s="114">
        <v>1.9853504462608116E-3</v>
      </c>
      <c r="E151" s="83" t="s">
        <v>2626</v>
      </c>
    </row>
    <row r="152" spans="1:5" x14ac:dyDescent="0.25">
      <c r="A152" s="83" t="s">
        <v>2316</v>
      </c>
      <c r="B152" s="83" t="s">
        <v>2269</v>
      </c>
      <c r="C152" s="83">
        <v>4</v>
      </c>
      <c r="D152" s="114">
        <v>1.9853504462608116E-3</v>
      </c>
      <c r="E152" s="83" t="s">
        <v>2626</v>
      </c>
    </row>
    <row r="153" spans="1:5" x14ac:dyDescent="0.25">
      <c r="A153" s="83" t="s">
        <v>2269</v>
      </c>
      <c r="B153" s="83" t="s">
        <v>2309</v>
      </c>
      <c r="C153" s="83">
        <v>4</v>
      </c>
      <c r="D153" s="114">
        <v>1.9853504462608116E-3</v>
      </c>
      <c r="E153" s="83" t="s">
        <v>2626</v>
      </c>
    </row>
    <row r="154" spans="1:5" x14ac:dyDescent="0.25">
      <c r="A154" s="83" t="s">
        <v>2309</v>
      </c>
      <c r="B154" s="83" t="s">
        <v>2363</v>
      </c>
      <c r="C154" s="83">
        <v>4</v>
      </c>
      <c r="D154" s="114">
        <v>1.9853504462608116E-3</v>
      </c>
      <c r="E154" s="83" t="s">
        <v>2626</v>
      </c>
    </row>
    <row r="155" spans="1:5" x14ac:dyDescent="0.25">
      <c r="A155" s="83" t="s">
        <v>2235</v>
      </c>
      <c r="B155" s="83" t="s">
        <v>2352</v>
      </c>
      <c r="C155" s="83">
        <v>4</v>
      </c>
      <c r="D155" s="114">
        <v>1.9853504462608116E-3</v>
      </c>
      <c r="E155" s="83" t="s">
        <v>2626</v>
      </c>
    </row>
    <row r="156" spans="1:5" x14ac:dyDescent="0.25">
      <c r="A156" s="83" t="s">
        <v>2329</v>
      </c>
      <c r="B156" s="83" t="s">
        <v>2289</v>
      </c>
      <c r="C156" s="83">
        <v>4</v>
      </c>
      <c r="D156" s="114">
        <v>1.9853504462608116E-3</v>
      </c>
      <c r="E156" s="83" t="s">
        <v>2626</v>
      </c>
    </row>
    <row r="157" spans="1:5" x14ac:dyDescent="0.25">
      <c r="A157" s="83" t="s">
        <v>2235</v>
      </c>
      <c r="B157" s="83" t="s">
        <v>2248</v>
      </c>
      <c r="C157" s="83">
        <v>4</v>
      </c>
      <c r="D157" s="114">
        <v>1.9853504462608116E-3</v>
      </c>
      <c r="E157" s="83" t="s">
        <v>2626</v>
      </c>
    </row>
    <row r="158" spans="1:5" x14ac:dyDescent="0.25">
      <c r="A158" s="83" t="s">
        <v>2254</v>
      </c>
      <c r="B158" s="83" t="s">
        <v>2369</v>
      </c>
      <c r="C158" s="83">
        <v>4</v>
      </c>
      <c r="D158" s="114">
        <v>1.9853504462608116E-3</v>
      </c>
      <c r="E158" s="83" t="s">
        <v>2626</v>
      </c>
    </row>
    <row r="159" spans="1:5" x14ac:dyDescent="0.25">
      <c r="A159" s="83" t="s">
        <v>2369</v>
      </c>
      <c r="B159" s="83" t="s">
        <v>2399</v>
      </c>
      <c r="C159" s="83">
        <v>4</v>
      </c>
      <c r="D159" s="114">
        <v>1.9853504462608116E-3</v>
      </c>
      <c r="E159" s="83" t="s">
        <v>2626</v>
      </c>
    </row>
    <row r="160" spans="1:5" x14ac:dyDescent="0.25">
      <c r="A160" s="83" t="s">
        <v>2399</v>
      </c>
      <c r="B160" s="83" t="s">
        <v>657</v>
      </c>
      <c r="C160" s="83">
        <v>4</v>
      </c>
      <c r="D160" s="114">
        <v>1.9853504462608116E-3</v>
      </c>
      <c r="E160" s="83" t="s">
        <v>2626</v>
      </c>
    </row>
    <row r="161" spans="1:5" x14ac:dyDescent="0.25">
      <c r="A161" s="83" t="s">
        <v>657</v>
      </c>
      <c r="B161" s="83" t="s">
        <v>2252</v>
      </c>
      <c r="C161" s="83">
        <v>4</v>
      </c>
      <c r="D161" s="114">
        <v>1.9853504462608116E-3</v>
      </c>
      <c r="E161" s="83" t="s">
        <v>2626</v>
      </c>
    </row>
    <row r="162" spans="1:5" x14ac:dyDescent="0.25">
      <c r="A162" s="83" t="s">
        <v>2252</v>
      </c>
      <c r="B162" s="83" t="s">
        <v>2400</v>
      </c>
      <c r="C162" s="83">
        <v>4</v>
      </c>
      <c r="D162" s="114">
        <v>1.9853504462608116E-3</v>
      </c>
      <c r="E162" s="83" t="s">
        <v>2626</v>
      </c>
    </row>
    <row r="163" spans="1:5" x14ac:dyDescent="0.25">
      <c r="A163" s="83" t="s">
        <v>2400</v>
      </c>
      <c r="B163" s="83" t="s">
        <v>2401</v>
      </c>
      <c r="C163" s="83">
        <v>4</v>
      </c>
      <c r="D163" s="114">
        <v>1.9853504462608116E-3</v>
      </c>
      <c r="E163" s="83" t="s">
        <v>2626</v>
      </c>
    </row>
    <row r="164" spans="1:5" x14ac:dyDescent="0.25">
      <c r="A164" s="83" t="s">
        <v>2401</v>
      </c>
      <c r="B164" s="83" t="s">
        <v>2402</v>
      </c>
      <c r="C164" s="83">
        <v>4</v>
      </c>
      <c r="D164" s="114">
        <v>1.9853504462608116E-3</v>
      </c>
      <c r="E164" s="83" t="s">
        <v>2626</v>
      </c>
    </row>
    <row r="165" spans="1:5" x14ac:dyDescent="0.25">
      <c r="A165" s="83" t="s">
        <v>2402</v>
      </c>
      <c r="B165" s="83" t="s">
        <v>2370</v>
      </c>
      <c r="C165" s="83">
        <v>4</v>
      </c>
      <c r="D165" s="114">
        <v>1.9853504462608116E-3</v>
      </c>
      <c r="E165" s="83" t="s">
        <v>2626</v>
      </c>
    </row>
    <row r="166" spans="1:5" x14ac:dyDescent="0.25">
      <c r="A166" s="83" t="s">
        <v>2370</v>
      </c>
      <c r="B166" s="83" t="s">
        <v>2403</v>
      </c>
      <c r="C166" s="83">
        <v>4</v>
      </c>
      <c r="D166" s="114">
        <v>1.9853504462608116E-3</v>
      </c>
      <c r="E166" s="83" t="s">
        <v>2626</v>
      </c>
    </row>
    <row r="167" spans="1:5" x14ac:dyDescent="0.25">
      <c r="A167" s="83" t="s">
        <v>2403</v>
      </c>
      <c r="B167" s="83" t="s">
        <v>2404</v>
      </c>
      <c r="C167" s="83">
        <v>4</v>
      </c>
      <c r="D167" s="114">
        <v>1.9853504462608116E-3</v>
      </c>
      <c r="E167" s="83" t="s">
        <v>2626</v>
      </c>
    </row>
    <row r="168" spans="1:5" x14ac:dyDescent="0.25">
      <c r="A168" s="83" t="s">
        <v>2404</v>
      </c>
      <c r="B168" s="83" t="s">
        <v>2405</v>
      </c>
      <c r="C168" s="83">
        <v>4</v>
      </c>
      <c r="D168" s="114">
        <v>1.9853504462608116E-3</v>
      </c>
      <c r="E168" s="83" t="s">
        <v>2626</v>
      </c>
    </row>
    <row r="169" spans="1:5" x14ac:dyDescent="0.25">
      <c r="A169" s="83" t="s">
        <v>2318</v>
      </c>
      <c r="B169" s="83" t="s">
        <v>2354</v>
      </c>
      <c r="C169" s="83">
        <v>4</v>
      </c>
      <c r="D169" s="114">
        <v>1.9853504462608116E-3</v>
      </c>
      <c r="E169" s="83" t="s">
        <v>2626</v>
      </c>
    </row>
    <row r="170" spans="1:5" x14ac:dyDescent="0.25">
      <c r="A170" s="83" t="s">
        <v>2235</v>
      </c>
      <c r="B170" s="83" t="s">
        <v>2312</v>
      </c>
      <c r="C170" s="83">
        <v>4</v>
      </c>
      <c r="D170" s="114">
        <v>1.9853504462608116E-3</v>
      </c>
      <c r="E170" s="83" t="s">
        <v>2626</v>
      </c>
    </row>
    <row r="171" spans="1:5" x14ac:dyDescent="0.25">
      <c r="A171" s="83" t="s">
        <v>2312</v>
      </c>
      <c r="B171" s="83" t="s">
        <v>2268</v>
      </c>
      <c r="C171" s="83">
        <v>4</v>
      </c>
      <c r="D171" s="114">
        <v>1.9853504462608116E-3</v>
      </c>
      <c r="E171" s="83" t="s">
        <v>2626</v>
      </c>
    </row>
    <row r="172" spans="1:5" x14ac:dyDescent="0.25">
      <c r="A172" s="83" t="s">
        <v>2268</v>
      </c>
      <c r="B172" s="83" t="s">
        <v>2236</v>
      </c>
      <c r="C172" s="83">
        <v>4</v>
      </c>
      <c r="D172" s="114">
        <v>1.9853504462608116E-3</v>
      </c>
      <c r="E172" s="83" t="s">
        <v>2626</v>
      </c>
    </row>
    <row r="173" spans="1:5" x14ac:dyDescent="0.25">
      <c r="A173" s="83" t="s">
        <v>2236</v>
      </c>
      <c r="B173" s="83" t="s">
        <v>2410</v>
      </c>
      <c r="C173" s="83">
        <v>4</v>
      </c>
      <c r="D173" s="114">
        <v>1.9853504462608116E-3</v>
      </c>
      <c r="E173" s="83" t="s">
        <v>2626</v>
      </c>
    </row>
    <row r="174" spans="1:5" x14ac:dyDescent="0.25">
      <c r="A174" s="83" t="s">
        <v>2242</v>
      </c>
      <c r="B174" s="83" t="s">
        <v>2353</v>
      </c>
      <c r="C174" s="83">
        <v>4</v>
      </c>
      <c r="D174" s="114">
        <v>1.9853504462608116E-3</v>
      </c>
      <c r="E174" s="83" t="s">
        <v>2626</v>
      </c>
    </row>
    <row r="175" spans="1:5" x14ac:dyDescent="0.25">
      <c r="A175" s="83" t="s">
        <v>2355</v>
      </c>
      <c r="B175" s="83" t="s">
        <v>2263</v>
      </c>
      <c r="C175" s="83">
        <v>4</v>
      </c>
      <c r="D175" s="114">
        <v>1.9853504462608116E-3</v>
      </c>
      <c r="E175" s="83" t="s">
        <v>2626</v>
      </c>
    </row>
    <row r="176" spans="1:5" x14ac:dyDescent="0.25">
      <c r="A176" s="83" t="s">
        <v>2374</v>
      </c>
      <c r="B176" s="83" t="s">
        <v>2288</v>
      </c>
      <c r="C176" s="83">
        <v>4</v>
      </c>
      <c r="D176" s="114">
        <v>1.9853504462608116E-3</v>
      </c>
      <c r="E176" s="83" t="s">
        <v>2626</v>
      </c>
    </row>
    <row r="177" spans="1:5" x14ac:dyDescent="0.25">
      <c r="A177" s="83" t="s">
        <v>2288</v>
      </c>
      <c r="B177" s="83" t="s">
        <v>639</v>
      </c>
      <c r="C177" s="83">
        <v>4</v>
      </c>
      <c r="D177" s="114">
        <v>1.9853504462608116E-3</v>
      </c>
      <c r="E177" s="83" t="s">
        <v>2626</v>
      </c>
    </row>
    <row r="178" spans="1:5" x14ac:dyDescent="0.25">
      <c r="A178" s="83" t="s">
        <v>194</v>
      </c>
      <c r="B178" s="83" t="s">
        <v>2235</v>
      </c>
      <c r="C178" s="83">
        <v>4</v>
      </c>
      <c r="D178" s="114">
        <v>1.9853504462608116E-3</v>
      </c>
      <c r="E178" s="83" t="s">
        <v>2626</v>
      </c>
    </row>
    <row r="179" spans="1:5" x14ac:dyDescent="0.25">
      <c r="A179" s="83" t="s">
        <v>2310</v>
      </c>
      <c r="B179" s="83" t="s">
        <v>2377</v>
      </c>
      <c r="C179" s="83">
        <v>3</v>
      </c>
      <c r="D179" s="114">
        <v>1.5884599585546961E-3</v>
      </c>
      <c r="E179" s="83" t="s">
        <v>2626</v>
      </c>
    </row>
    <row r="180" spans="1:5" x14ac:dyDescent="0.25">
      <c r="A180" s="83" t="s">
        <v>2311</v>
      </c>
      <c r="B180" s="83" t="s">
        <v>2321</v>
      </c>
      <c r="C180" s="83">
        <v>3</v>
      </c>
      <c r="D180" s="114">
        <v>1.5884599585546961E-3</v>
      </c>
      <c r="E180" s="83" t="s">
        <v>2626</v>
      </c>
    </row>
    <row r="181" spans="1:5" x14ac:dyDescent="0.25">
      <c r="A181" s="83" t="s">
        <v>2357</v>
      </c>
      <c r="B181" s="83" t="s">
        <v>657</v>
      </c>
      <c r="C181" s="83">
        <v>3</v>
      </c>
      <c r="D181" s="114">
        <v>1.5884599585546961E-3</v>
      </c>
      <c r="E181" s="83" t="s">
        <v>2626</v>
      </c>
    </row>
    <row r="182" spans="1:5" x14ac:dyDescent="0.25">
      <c r="A182" s="83" t="s">
        <v>2413</v>
      </c>
      <c r="B182" s="83" t="s">
        <v>2235</v>
      </c>
      <c r="C182" s="83">
        <v>3</v>
      </c>
      <c r="D182" s="114">
        <v>1.5884599585546961E-3</v>
      </c>
      <c r="E182" s="83" t="s">
        <v>2626</v>
      </c>
    </row>
    <row r="183" spans="1:5" x14ac:dyDescent="0.25">
      <c r="A183" s="83" t="s">
        <v>661</v>
      </c>
      <c r="B183" s="83" t="s">
        <v>2274</v>
      </c>
      <c r="C183" s="83">
        <v>3</v>
      </c>
      <c r="D183" s="114">
        <v>1.5884599585546961E-3</v>
      </c>
      <c r="E183" s="83" t="s">
        <v>2626</v>
      </c>
    </row>
    <row r="184" spans="1:5" x14ac:dyDescent="0.25">
      <c r="A184" s="83" t="s">
        <v>2238</v>
      </c>
      <c r="B184" s="83" t="s">
        <v>645</v>
      </c>
      <c r="C184" s="83">
        <v>3</v>
      </c>
      <c r="D184" s="114">
        <v>1.5884599585546961E-3</v>
      </c>
      <c r="E184" s="83" t="s">
        <v>2626</v>
      </c>
    </row>
    <row r="185" spans="1:5" x14ac:dyDescent="0.25">
      <c r="A185" s="83" t="s">
        <v>2384</v>
      </c>
      <c r="B185" s="83" t="s">
        <v>2283</v>
      </c>
      <c r="C185" s="83">
        <v>3</v>
      </c>
      <c r="D185" s="114">
        <v>1.5884599585546961E-3</v>
      </c>
      <c r="E185" s="83" t="s">
        <v>2626</v>
      </c>
    </row>
    <row r="186" spans="1:5" x14ac:dyDescent="0.25">
      <c r="A186" s="83" t="s">
        <v>2283</v>
      </c>
      <c r="B186" s="83" t="s">
        <v>2326</v>
      </c>
      <c r="C186" s="83">
        <v>3</v>
      </c>
      <c r="D186" s="114">
        <v>1.5884599585546961E-3</v>
      </c>
      <c r="E186" s="83" t="s">
        <v>2626</v>
      </c>
    </row>
    <row r="187" spans="1:5" x14ac:dyDescent="0.25">
      <c r="A187" s="83" t="s">
        <v>2326</v>
      </c>
      <c r="B187" s="83" t="s">
        <v>2284</v>
      </c>
      <c r="C187" s="83">
        <v>3</v>
      </c>
      <c r="D187" s="114">
        <v>1.5884599585546961E-3</v>
      </c>
      <c r="E187" s="83" t="s">
        <v>2626</v>
      </c>
    </row>
    <row r="188" spans="1:5" x14ac:dyDescent="0.25">
      <c r="A188" s="83" t="s">
        <v>2249</v>
      </c>
      <c r="B188" s="83" t="s">
        <v>2244</v>
      </c>
      <c r="C188" s="83">
        <v>3</v>
      </c>
      <c r="D188" s="114">
        <v>1.5884599585546961E-3</v>
      </c>
      <c r="E188" s="83" t="s">
        <v>2626</v>
      </c>
    </row>
    <row r="189" spans="1:5" x14ac:dyDescent="0.25">
      <c r="A189" s="83" t="s">
        <v>2244</v>
      </c>
      <c r="B189" s="83" t="s">
        <v>2362</v>
      </c>
      <c r="C189" s="83">
        <v>3</v>
      </c>
      <c r="D189" s="114">
        <v>1.5884599585546961E-3</v>
      </c>
      <c r="E189" s="83" t="s">
        <v>2626</v>
      </c>
    </row>
    <row r="190" spans="1:5" x14ac:dyDescent="0.25">
      <c r="A190" s="83" t="s">
        <v>2419</v>
      </c>
      <c r="B190" s="83" t="s">
        <v>2385</v>
      </c>
      <c r="C190" s="83">
        <v>3</v>
      </c>
      <c r="D190" s="114">
        <v>1.5884599585546961E-3</v>
      </c>
      <c r="E190" s="83" t="s">
        <v>2626</v>
      </c>
    </row>
    <row r="191" spans="1:5" x14ac:dyDescent="0.25">
      <c r="A191" s="83" t="s">
        <v>2385</v>
      </c>
      <c r="B191" s="83" t="s">
        <v>2386</v>
      </c>
      <c r="C191" s="83">
        <v>3</v>
      </c>
      <c r="D191" s="114">
        <v>1.5884599585546961E-3</v>
      </c>
      <c r="E191" s="83" t="s">
        <v>2626</v>
      </c>
    </row>
    <row r="192" spans="1:5" x14ac:dyDescent="0.25">
      <c r="A192" s="83" t="s">
        <v>2386</v>
      </c>
      <c r="B192" s="83" t="s">
        <v>2244</v>
      </c>
      <c r="C192" s="83">
        <v>3</v>
      </c>
      <c r="D192" s="114">
        <v>1.5884599585546961E-3</v>
      </c>
      <c r="E192" s="83" t="s">
        <v>2626</v>
      </c>
    </row>
    <row r="193" spans="1:5" x14ac:dyDescent="0.25">
      <c r="A193" s="83" t="s">
        <v>2244</v>
      </c>
      <c r="B193" s="83" t="s">
        <v>2345</v>
      </c>
      <c r="C193" s="83">
        <v>3</v>
      </c>
      <c r="D193" s="114">
        <v>1.5884599585546961E-3</v>
      </c>
      <c r="E193" s="83" t="s">
        <v>2626</v>
      </c>
    </row>
    <row r="194" spans="1:5" x14ac:dyDescent="0.25">
      <c r="A194" s="83" t="s">
        <v>2345</v>
      </c>
      <c r="B194" s="83" t="s">
        <v>2270</v>
      </c>
      <c r="C194" s="83">
        <v>3</v>
      </c>
      <c r="D194" s="114">
        <v>1.5884599585546961E-3</v>
      </c>
      <c r="E194" s="83" t="s">
        <v>2626</v>
      </c>
    </row>
    <row r="195" spans="1:5" x14ac:dyDescent="0.25">
      <c r="A195" s="83" t="s">
        <v>2271</v>
      </c>
      <c r="B195" s="83" t="s">
        <v>2387</v>
      </c>
      <c r="C195" s="83">
        <v>3</v>
      </c>
      <c r="D195" s="114">
        <v>1.5884599585546961E-3</v>
      </c>
      <c r="E195" s="83" t="s">
        <v>2626</v>
      </c>
    </row>
    <row r="196" spans="1:5" x14ac:dyDescent="0.25">
      <c r="A196" s="83" t="s">
        <v>2387</v>
      </c>
      <c r="B196" s="83" t="s">
        <v>2420</v>
      </c>
      <c r="C196" s="83">
        <v>3</v>
      </c>
      <c r="D196" s="114">
        <v>1.5884599585546961E-3</v>
      </c>
      <c r="E196" s="83" t="s">
        <v>2626</v>
      </c>
    </row>
    <row r="197" spans="1:5" x14ac:dyDescent="0.25">
      <c r="A197" s="83" t="s">
        <v>2420</v>
      </c>
      <c r="B197" s="83" t="s">
        <v>254</v>
      </c>
      <c r="C197" s="83">
        <v>3</v>
      </c>
      <c r="D197" s="114">
        <v>1.5884599585546961E-3</v>
      </c>
      <c r="E197" s="83" t="s">
        <v>2626</v>
      </c>
    </row>
    <row r="198" spans="1:5" x14ac:dyDescent="0.25">
      <c r="A198" s="83" t="s">
        <v>2421</v>
      </c>
      <c r="B198" s="83" t="s">
        <v>2422</v>
      </c>
      <c r="C198" s="83">
        <v>3</v>
      </c>
      <c r="D198" s="114">
        <v>1.5884599585546961E-3</v>
      </c>
      <c r="E198" s="83" t="s">
        <v>2626</v>
      </c>
    </row>
    <row r="199" spans="1:5" x14ac:dyDescent="0.25">
      <c r="A199" s="83" t="s">
        <v>2423</v>
      </c>
      <c r="B199" s="83" t="s">
        <v>2246</v>
      </c>
      <c r="C199" s="83">
        <v>3</v>
      </c>
      <c r="D199" s="114">
        <v>1.5884599585546961E-3</v>
      </c>
      <c r="E199" s="83" t="s">
        <v>2626</v>
      </c>
    </row>
    <row r="200" spans="1:5" x14ac:dyDescent="0.25">
      <c r="A200" s="83" t="s">
        <v>318</v>
      </c>
      <c r="B200" s="83" t="s">
        <v>2246</v>
      </c>
      <c r="C200" s="83">
        <v>3</v>
      </c>
      <c r="D200" s="114">
        <v>1.5884599585546961E-3</v>
      </c>
      <c r="E200" s="83" t="s">
        <v>2626</v>
      </c>
    </row>
    <row r="201" spans="1:5" x14ac:dyDescent="0.25">
      <c r="A201" s="83" t="s">
        <v>2345</v>
      </c>
      <c r="B201" s="83" t="s">
        <v>2426</v>
      </c>
      <c r="C201" s="83">
        <v>3</v>
      </c>
      <c r="D201" s="114">
        <v>1.5884599585546961E-3</v>
      </c>
      <c r="E201" s="83" t="s">
        <v>2626</v>
      </c>
    </row>
    <row r="202" spans="1:5" x14ac:dyDescent="0.25">
      <c r="A202" s="83" t="s">
        <v>2426</v>
      </c>
      <c r="B202" s="83" t="s">
        <v>2327</v>
      </c>
      <c r="C202" s="83">
        <v>3</v>
      </c>
      <c r="D202" s="114">
        <v>1.5884599585546961E-3</v>
      </c>
      <c r="E202" s="83" t="s">
        <v>2626</v>
      </c>
    </row>
    <row r="203" spans="1:5" x14ac:dyDescent="0.25">
      <c r="A203" s="83" t="s">
        <v>2327</v>
      </c>
      <c r="B203" s="83" t="s">
        <v>2364</v>
      </c>
      <c r="C203" s="83">
        <v>3</v>
      </c>
      <c r="D203" s="114">
        <v>1.5884599585546961E-3</v>
      </c>
      <c r="E203" s="83" t="s">
        <v>2626</v>
      </c>
    </row>
    <row r="204" spans="1:5" x14ac:dyDescent="0.25">
      <c r="A204" s="83" t="s">
        <v>2364</v>
      </c>
      <c r="B204" s="83" t="s">
        <v>2359</v>
      </c>
      <c r="C204" s="83">
        <v>3</v>
      </c>
      <c r="D204" s="114">
        <v>1.5884599585546961E-3</v>
      </c>
      <c r="E204" s="83" t="s">
        <v>2626</v>
      </c>
    </row>
    <row r="205" spans="1:5" x14ac:dyDescent="0.25">
      <c r="A205" s="83" t="s">
        <v>2359</v>
      </c>
      <c r="B205" s="83" t="s">
        <v>2327</v>
      </c>
      <c r="C205" s="83">
        <v>3</v>
      </c>
      <c r="D205" s="114">
        <v>1.5884599585546961E-3</v>
      </c>
      <c r="E205" s="83" t="s">
        <v>2626</v>
      </c>
    </row>
    <row r="206" spans="1:5" x14ac:dyDescent="0.25">
      <c r="A206" s="83" t="s">
        <v>2327</v>
      </c>
      <c r="B206" s="83" t="s">
        <v>2246</v>
      </c>
      <c r="C206" s="83">
        <v>3</v>
      </c>
      <c r="D206" s="114">
        <v>1.5884599585546961E-3</v>
      </c>
      <c r="E206" s="83" t="s">
        <v>2626</v>
      </c>
    </row>
    <row r="207" spans="1:5" x14ac:dyDescent="0.25">
      <c r="A207" s="83" t="s">
        <v>2235</v>
      </c>
      <c r="B207" s="83" t="s">
        <v>2259</v>
      </c>
      <c r="C207" s="83">
        <v>3</v>
      </c>
      <c r="D207" s="114">
        <v>1.5884599585546961E-3</v>
      </c>
      <c r="E207" s="83" t="s">
        <v>2626</v>
      </c>
    </row>
    <row r="208" spans="1:5" x14ac:dyDescent="0.25">
      <c r="A208" s="83" t="s">
        <v>2259</v>
      </c>
      <c r="B208" s="83" t="s">
        <v>2360</v>
      </c>
      <c r="C208" s="83">
        <v>3</v>
      </c>
      <c r="D208" s="114">
        <v>1.5884599585546961E-3</v>
      </c>
      <c r="E208" s="83" t="s">
        <v>2626</v>
      </c>
    </row>
    <row r="209" spans="1:5" x14ac:dyDescent="0.25">
      <c r="A209" s="83" t="s">
        <v>2360</v>
      </c>
      <c r="B209" s="83" t="s">
        <v>2328</v>
      </c>
      <c r="C209" s="83">
        <v>3</v>
      </c>
      <c r="D209" s="114">
        <v>1.5884599585546961E-3</v>
      </c>
      <c r="E209" s="83" t="s">
        <v>2626</v>
      </c>
    </row>
    <row r="210" spans="1:5" x14ac:dyDescent="0.25">
      <c r="A210" s="83" t="s">
        <v>2328</v>
      </c>
      <c r="B210" s="83" t="s">
        <v>2390</v>
      </c>
      <c r="C210" s="83">
        <v>3</v>
      </c>
      <c r="D210" s="114">
        <v>1.5884599585546961E-3</v>
      </c>
      <c r="E210" s="83" t="s">
        <v>2626</v>
      </c>
    </row>
    <row r="211" spans="1:5" x14ac:dyDescent="0.25">
      <c r="A211" s="83" t="s">
        <v>2390</v>
      </c>
      <c r="B211" s="83" t="s">
        <v>2429</v>
      </c>
      <c r="C211" s="83">
        <v>3</v>
      </c>
      <c r="D211" s="114">
        <v>1.5884599585546961E-3</v>
      </c>
      <c r="E211" s="83" t="s">
        <v>2626</v>
      </c>
    </row>
    <row r="212" spans="1:5" x14ac:dyDescent="0.25">
      <c r="A212" s="83" t="s">
        <v>2429</v>
      </c>
      <c r="B212" s="83" t="s">
        <v>2293</v>
      </c>
      <c r="C212" s="83">
        <v>3</v>
      </c>
      <c r="D212" s="114">
        <v>1.5884599585546961E-3</v>
      </c>
      <c r="E212" s="83" t="s">
        <v>2626</v>
      </c>
    </row>
    <row r="213" spans="1:5" x14ac:dyDescent="0.25">
      <c r="A213" s="83" t="s">
        <v>2293</v>
      </c>
      <c r="B213" s="83" t="s">
        <v>2430</v>
      </c>
      <c r="C213" s="83">
        <v>3</v>
      </c>
      <c r="D213" s="114">
        <v>1.5884599585546961E-3</v>
      </c>
      <c r="E213" s="83" t="s">
        <v>2626</v>
      </c>
    </row>
    <row r="214" spans="1:5" x14ac:dyDescent="0.25">
      <c r="A214" s="83" t="s">
        <v>2430</v>
      </c>
      <c r="B214" s="83" t="s">
        <v>2431</v>
      </c>
      <c r="C214" s="83">
        <v>3</v>
      </c>
      <c r="D214" s="114">
        <v>1.5884599585546961E-3</v>
      </c>
      <c r="E214" s="83" t="s">
        <v>2626</v>
      </c>
    </row>
    <row r="215" spans="1:5" x14ac:dyDescent="0.25">
      <c r="A215" s="83" t="s">
        <v>2431</v>
      </c>
      <c r="B215" s="83" t="s">
        <v>2432</v>
      </c>
      <c r="C215" s="83">
        <v>3</v>
      </c>
      <c r="D215" s="114">
        <v>1.5884599585546961E-3</v>
      </c>
      <c r="E215" s="83" t="s">
        <v>2626</v>
      </c>
    </row>
    <row r="216" spans="1:5" x14ac:dyDescent="0.25">
      <c r="A216" s="83" t="s">
        <v>2432</v>
      </c>
      <c r="B216" s="83" t="s">
        <v>2433</v>
      </c>
      <c r="C216" s="83">
        <v>3</v>
      </c>
      <c r="D216" s="114">
        <v>1.5884599585546961E-3</v>
      </c>
      <c r="E216" s="83" t="s">
        <v>2626</v>
      </c>
    </row>
    <row r="217" spans="1:5" x14ac:dyDescent="0.25">
      <c r="A217" s="83" t="s">
        <v>2433</v>
      </c>
      <c r="B217" s="83" t="s">
        <v>649</v>
      </c>
      <c r="C217" s="83">
        <v>3</v>
      </c>
      <c r="D217" s="114">
        <v>1.5884599585546961E-3</v>
      </c>
      <c r="E217" s="83" t="s">
        <v>2626</v>
      </c>
    </row>
    <row r="218" spans="1:5" x14ac:dyDescent="0.25">
      <c r="A218" s="83" t="s">
        <v>649</v>
      </c>
      <c r="B218" s="83" t="s">
        <v>2434</v>
      </c>
      <c r="C218" s="83">
        <v>3</v>
      </c>
      <c r="D218" s="114">
        <v>1.5884599585546961E-3</v>
      </c>
      <c r="E218" s="83" t="s">
        <v>2626</v>
      </c>
    </row>
    <row r="219" spans="1:5" x14ac:dyDescent="0.25">
      <c r="A219" s="83" t="s">
        <v>2434</v>
      </c>
      <c r="B219" s="83" t="s">
        <v>655</v>
      </c>
      <c r="C219" s="83">
        <v>3</v>
      </c>
      <c r="D219" s="114">
        <v>1.5884599585546961E-3</v>
      </c>
      <c r="E219" s="83" t="s">
        <v>2626</v>
      </c>
    </row>
    <row r="220" spans="1:5" x14ac:dyDescent="0.25">
      <c r="A220" s="83" t="s">
        <v>2365</v>
      </c>
      <c r="B220" s="83" t="s">
        <v>2294</v>
      </c>
      <c r="C220" s="83">
        <v>3</v>
      </c>
      <c r="D220" s="114">
        <v>1.5884599585546961E-3</v>
      </c>
      <c r="E220" s="83" t="s">
        <v>2626</v>
      </c>
    </row>
    <row r="221" spans="1:5" x14ac:dyDescent="0.25">
      <c r="A221" s="83" t="s">
        <v>2294</v>
      </c>
      <c r="B221" s="83" t="s">
        <v>2435</v>
      </c>
      <c r="C221" s="83">
        <v>3</v>
      </c>
      <c r="D221" s="114">
        <v>1.7286228073652675E-3</v>
      </c>
      <c r="E221" s="83" t="s">
        <v>2626</v>
      </c>
    </row>
    <row r="222" spans="1:5" x14ac:dyDescent="0.25">
      <c r="A222" s="83" t="s">
        <v>2440</v>
      </c>
      <c r="B222" s="83" t="s">
        <v>2235</v>
      </c>
      <c r="C222" s="83">
        <v>3</v>
      </c>
      <c r="D222" s="114">
        <v>1.5884599585546961E-3</v>
      </c>
      <c r="E222" s="83" t="s">
        <v>2626</v>
      </c>
    </row>
    <row r="223" spans="1:5" x14ac:dyDescent="0.25">
      <c r="A223" s="83" t="s">
        <v>2323</v>
      </c>
      <c r="B223" s="83" t="s">
        <v>2244</v>
      </c>
      <c r="C223" s="83">
        <v>3</v>
      </c>
      <c r="D223" s="114">
        <v>1.5884599585546961E-3</v>
      </c>
      <c r="E223" s="83" t="s">
        <v>2626</v>
      </c>
    </row>
    <row r="224" spans="1:5" x14ac:dyDescent="0.25">
      <c r="A224" s="83" t="s">
        <v>2238</v>
      </c>
      <c r="B224" s="83" t="s">
        <v>2241</v>
      </c>
      <c r="C224" s="83">
        <v>3</v>
      </c>
      <c r="D224" s="114">
        <v>1.5884599585546961E-3</v>
      </c>
      <c r="E224" s="83" t="s">
        <v>2626</v>
      </c>
    </row>
    <row r="225" spans="1:5" x14ac:dyDescent="0.25">
      <c r="A225" s="83" t="s">
        <v>2330</v>
      </c>
      <c r="B225" s="83" t="s">
        <v>2328</v>
      </c>
      <c r="C225" s="83">
        <v>3</v>
      </c>
      <c r="D225" s="114">
        <v>1.5884599585546961E-3</v>
      </c>
      <c r="E225" s="83" t="s">
        <v>2626</v>
      </c>
    </row>
    <row r="226" spans="1:5" x14ac:dyDescent="0.25">
      <c r="A226" s="83" t="s">
        <v>2328</v>
      </c>
      <c r="B226" s="83" t="s">
        <v>2442</v>
      </c>
      <c r="C226" s="83">
        <v>3</v>
      </c>
      <c r="D226" s="114">
        <v>1.5884599585546961E-3</v>
      </c>
      <c r="E226" s="83" t="s">
        <v>2626</v>
      </c>
    </row>
    <row r="227" spans="1:5" x14ac:dyDescent="0.25">
      <c r="A227" s="83" t="s">
        <v>2442</v>
      </c>
      <c r="B227" s="83" t="s">
        <v>2235</v>
      </c>
      <c r="C227" s="83">
        <v>3</v>
      </c>
      <c r="D227" s="114">
        <v>1.5884599585546961E-3</v>
      </c>
      <c r="E227" s="83" t="s">
        <v>2626</v>
      </c>
    </row>
    <row r="228" spans="1:5" x14ac:dyDescent="0.25">
      <c r="A228" s="83" t="s">
        <v>2352</v>
      </c>
      <c r="B228" s="83" t="s">
        <v>2367</v>
      </c>
      <c r="C228" s="83">
        <v>3</v>
      </c>
      <c r="D228" s="114">
        <v>1.5884599585546961E-3</v>
      </c>
      <c r="E228" s="83" t="s">
        <v>2626</v>
      </c>
    </row>
    <row r="229" spans="1:5" x14ac:dyDescent="0.25">
      <c r="A229" s="83" t="s">
        <v>2367</v>
      </c>
      <c r="B229" s="83" t="s">
        <v>2443</v>
      </c>
      <c r="C229" s="83">
        <v>3</v>
      </c>
      <c r="D229" s="114">
        <v>1.5884599585546961E-3</v>
      </c>
      <c r="E229" s="83" t="s">
        <v>2626</v>
      </c>
    </row>
    <row r="230" spans="1:5" x14ac:dyDescent="0.25">
      <c r="A230" s="83" t="s">
        <v>2443</v>
      </c>
      <c r="B230" s="83" t="s">
        <v>2237</v>
      </c>
      <c r="C230" s="83">
        <v>3</v>
      </c>
      <c r="D230" s="114">
        <v>1.5884599585546961E-3</v>
      </c>
      <c r="E230" s="83" t="s">
        <v>2626</v>
      </c>
    </row>
    <row r="231" spans="1:5" x14ac:dyDescent="0.25">
      <c r="A231" s="83" t="s">
        <v>2237</v>
      </c>
      <c r="B231" s="83" t="s">
        <v>2307</v>
      </c>
      <c r="C231" s="83">
        <v>3</v>
      </c>
      <c r="D231" s="114">
        <v>1.5884599585546961E-3</v>
      </c>
      <c r="E231" s="83" t="s">
        <v>2626</v>
      </c>
    </row>
    <row r="232" spans="1:5" x14ac:dyDescent="0.25">
      <c r="A232" s="83" t="s">
        <v>2235</v>
      </c>
      <c r="B232" s="83" t="s">
        <v>2444</v>
      </c>
      <c r="C232" s="83">
        <v>3</v>
      </c>
      <c r="D232" s="114">
        <v>1.5884599585546961E-3</v>
      </c>
      <c r="E232" s="83" t="s">
        <v>2626</v>
      </c>
    </row>
    <row r="233" spans="1:5" x14ac:dyDescent="0.25">
      <c r="A233" s="83" t="s">
        <v>2444</v>
      </c>
      <c r="B233" s="83" t="s">
        <v>657</v>
      </c>
      <c r="C233" s="83">
        <v>3</v>
      </c>
      <c r="D233" s="114">
        <v>1.5884599585546961E-3</v>
      </c>
      <c r="E233" s="83" t="s">
        <v>2626</v>
      </c>
    </row>
    <row r="234" spans="1:5" x14ac:dyDescent="0.25">
      <c r="A234" s="83" t="s">
        <v>657</v>
      </c>
      <c r="B234" s="83" t="s">
        <v>2445</v>
      </c>
      <c r="C234" s="83">
        <v>3</v>
      </c>
      <c r="D234" s="114">
        <v>1.5884599585546961E-3</v>
      </c>
      <c r="E234" s="83" t="s">
        <v>2626</v>
      </c>
    </row>
    <row r="235" spans="1:5" x14ac:dyDescent="0.25">
      <c r="A235" s="83" t="s">
        <v>2445</v>
      </c>
      <c r="B235" s="83" t="s">
        <v>2446</v>
      </c>
      <c r="C235" s="83">
        <v>3</v>
      </c>
      <c r="D235" s="114">
        <v>1.5884599585546961E-3</v>
      </c>
      <c r="E235" s="83" t="s">
        <v>2626</v>
      </c>
    </row>
    <row r="236" spans="1:5" x14ac:dyDescent="0.25">
      <c r="A236" s="83" t="s">
        <v>2446</v>
      </c>
      <c r="B236" s="83" t="s">
        <v>2447</v>
      </c>
      <c r="C236" s="83">
        <v>3</v>
      </c>
      <c r="D236" s="114">
        <v>1.5884599585546961E-3</v>
      </c>
      <c r="E236" s="83" t="s">
        <v>2626</v>
      </c>
    </row>
    <row r="237" spans="1:5" x14ac:dyDescent="0.25">
      <c r="A237" s="83" t="s">
        <v>2447</v>
      </c>
      <c r="B237" s="83" t="s">
        <v>2448</v>
      </c>
      <c r="C237" s="83">
        <v>3</v>
      </c>
      <c r="D237" s="114">
        <v>1.5884599585546961E-3</v>
      </c>
      <c r="E237" s="83" t="s">
        <v>2626</v>
      </c>
    </row>
    <row r="238" spans="1:5" x14ac:dyDescent="0.25">
      <c r="A238" s="83" t="s">
        <v>2448</v>
      </c>
      <c r="B238" s="83" t="s">
        <v>2449</v>
      </c>
      <c r="C238" s="83">
        <v>3</v>
      </c>
      <c r="D238" s="114">
        <v>1.5884599585546961E-3</v>
      </c>
      <c r="E238" s="83" t="s">
        <v>2626</v>
      </c>
    </row>
    <row r="239" spans="1:5" x14ac:dyDescent="0.25">
      <c r="A239" s="83" t="s">
        <v>2449</v>
      </c>
      <c r="B239" s="83" t="s">
        <v>2349</v>
      </c>
      <c r="C239" s="83">
        <v>3</v>
      </c>
      <c r="D239" s="114">
        <v>1.5884599585546961E-3</v>
      </c>
      <c r="E239" s="83" t="s">
        <v>2626</v>
      </c>
    </row>
    <row r="240" spans="1:5" x14ac:dyDescent="0.25">
      <c r="A240" s="83" t="s">
        <v>2349</v>
      </c>
      <c r="B240" s="83" t="s">
        <v>2450</v>
      </c>
      <c r="C240" s="83">
        <v>3</v>
      </c>
      <c r="D240" s="114">
        <v>1.5884599585546961E-3</v>
      </c>
      <c r="E240" s="83" t="s">
        <v>2626</v>
      </c>
    </row>
    <row r="241" spans="1:5" x14ac:dyDescent="0.25">
      <c r="A241" s="83" t="s">
        <v>2450</v>
      </c>
      <c r="B241" s="83" t="s">
        <v>2451</v>
      </c>
      <c r="C241" s="83">
        <v>3</v>
      </c>
      <c r="D241" s="114">
        <v>1.5884599585546961E-3</v>
      </c>
      <c r="E241" s="83" t="s">
        <v>2626</v>
      </c>
    </row>
    <row r="242" spans="1:5" x14ac:dyDescent="0.25">
      <c r="A242" s="83" t="s">
        <v>2235</v>
      </c>
      <c r="B242" s="83" t="s">
        <v>2351</v>
      </c>
      <c r="C242" s="83">
        <v>3</v>
      </c>
      <c r="D242" s="114">
        <v>1.5884599585546961E-3</v>
      </c>
      <c r="E242" s="83" t="s">
        <v>2626</v>
      </c>
    </row>
    <row r="243" spans="1:5" x14ac:dyDescent="0.25">
      <c r="A243" s="83" t="s">
        <v>2254</v>
      </c>
      <c r="B243" s="83" t="s">
        <v>2458</v>
      </c>
      <c r="C243" s="83">
        <v>3</v>
      </c>
      <c r="D243" s="114">
        <v>1.5884599585546961E-3</v>
      </c>
      <c r="E243" s="83" t="s">
        <v>2626</v>
      </c>
    </row>
    <row r="244" spans="1:5" x14ac:dyDescent="0.25">
      <c r="A244" s="83" t="s">
        <v>2291</v>
      </c>
      <c r="B244" s="83" t="s">
        <v>2316</v>
      </c>
      <c r="C244" s="83">
        <v>3</v>
      </c>
      <c r="D244" s="114">
        <v>1.5884599585546961E-3</v>
      </c>
      <c r="E244" s="83" t="s">
        <v>2626</v>
      </c>
    </row>
    <row r="245" spans="1:5" x14ac:dyDescent="0.25">
      <c r="A245" s="83" t="s">
        <v>2236</v>
      </c>
      <c r="B245" s="83" t="s">
        <v>2460</v>
      </c>
      <c r="C245" s="83">
        <v>3</v>
      </c>
      <c r="D245" s="114">
        <v>1.5884599585546961E-3</v>
      </c>
      <c r="E245" s="83" t="s">
        <v>2626</v>
      </c>
    </row>
    <row r="246" spans="1:5" x14ac:dyDescent="0.25">
      <c r="A246" s="83" t="s">
        <v>2460</v>
      </c>
      <c r="B246" s="83" t="s">
        <v>2235</v>
      </c>
      <c r="C246" s="83">
        <v>3</v>
      </c>
      <c r="D246" s="114">
        <v>1.5884599585546961E-3</v>
      </c>
      <c r="E246" s="83" t="s">
        <v>2626</v>
      </c>
    </row>
    <row r="247" spans="1:5" x14ac:dyDescent="0.25">
      <c r="A247" s="83" t="s">
        <v>2310</v>
      </c>
      <c r="B247" s="83" t="s">
        <v>2239</v>
      </c>
      <c r="C247" s="83">
        <v>3</v>
      </c>
      <c r="D247" s="114">
        <v>1.5884599585546961E-3</v>
      </c>
      <c r="E247" s="83" t="s">
        <v>2626</v>
      </c>
    </row>
    <row r="248" spans="1:5" x14ac:dyDescent="0.25">
      <c r="A248" s="83" t="s">
        <v>2406</v>
      </c>
      <c r="B248" s="83" t="s">
        <v>2241</v>
      </c>
      <c r="C248" s="83">
        <v>3</v>
      </c>
      <c r="D248" s="114">
        <v>1.5884599585546961E-3</v>
      </c>
      <c r="E248" s="83" t="s">
        <v>2626</v>
      </c>
    </row>
    <row r="249" spans="1:5" x14ac:dyDescent="0.25">
      <c r="A249" s="83" t="s">
        <v>2408</v>
      </c>
      <c r="B249" s="83" t="s">
        <v>2240</v>
      </c>
      <c r="C249" s="83">
        <v>3</v>
      </c>
      <c r="D249" s="114">
        <v>1.7286228073652675E-3</v>
      </c>
      <c r="E249" s="83" t="s">
        <v>2626</v>
      </c>
    </row>
    <row r="250" spans="1:5" x14ac:dyDescent="0.25">
      <c r="A250" s="83" t="s">
        <v>2353</v>
      </c>
      <c r="B250" s="83" t="s">
        <v>2239</v>
      </c>
      <c r="C250" s="83">
        <v>3</v>
      </c>
      <c r="D250" s="114">
        <v>1.5884599585546961E-3</v>
      </c>
      <c r="E250" s="83" t="s">
        <v>2626</v>
      </c>
    </row>
    <row r="251" spans="1:5" x14ac:dyDescent="0.25">
      <c r="A251" s="83" t="s">
        <v>657</v>
      </c>
      <c r="B251" s="83" t="s">
        <v>2407</v>
      </c>
      <c r="C251" s="83">
        <v>3</v>
      </c>
      <c r="D251" s="114">
        <v>1.5884599585546961E-3</v>
      </c>
      <c r="E251" s="83" t="s">
        <v>2626</v>
      </c>
    </row>
    <row r="252" spans="1:5" x14ac:dyDescent="0.25">
      <c r="A252" s="83" t="s">
        <v>2322</v>
      </c>
      <c r="B252" s="83" t="s">
        <v>657</v>
      </c>
      <c r="C252" s="83">
        <v>3</v>
      </c>
      <c r="D252" s="114">
        <v>1.5884599585546961E-3</v>
      </c>
      <c r="E252" s="83" t="s">
        <v>2626</v>
      </c>
    </row>
    <row r="253" spans="1:5" x14ac:dyDescent="0.25">
      <c r="A253" s="83" t="s">
        <v>2410</v>
      </c>
      <c r="B253" s="83" t="s">
        <v>2288</v>
      </c>
      <c r="C253" s="83">
        <v>3</v>
      </c>
      <c r="D253" s="114">
        <v>1.5884599585546961E-3</v>
      </c>
      <c r="E253" s="83" t="s">
        <v>2626</v>
      </c>
    </row>
    <row r="254" spans="1:5" x14ac:dyDescent="0.25">
      <c r="A254" s="83" t="s">
        <v>2288</v>
      </c>
      <c r="B254" s="83" t="s">
        <v>657</v>
      </c>
      <c r="C254" s="83">
        <v>3</v>
      </c>
      <c r="D254" s="114">
        <v>1.5884599585546961E-3</v>
      </c>
      <c r="E254" s="83" t="s">
        <v>2626</v>
      </c>
    </row>
    <row r="255" spans="1:5" x14ac:dyDescent="0.25">
      <c r="A255" s="83" t="s">
        <v>657</v>
      </c>
      <c r="B255" s="83" t="s">
        <v>2464</v>
      </c>
      <c r="C255" s="83">
        <v>3</v>
      </c>
      <c r="D255" s="114">
        <v>1.5884599585546961E-3</v>
      </c>
      <c r="E255" s="83" t="s">
        <v>2626</v>
      </c>
    </row>
    <row r="256" spans="1:5" x14ac:dyDescent="0.25">
      <c r="A256" s="83" t="s">
        <v>2464</v>
      </c>
      <c r="B256" s="83" t="s">
        <v>2465</v>
      </c>
      <c r="C256" s="83">
        <v>3</v>
      </c>
      <c r="D256" s="114">
        <v>1.5884599585546961E-3</v>
      </c>
      <c r="E256" s="83" t="s">
        <v>2626</v>
      </c>
    </row>
    <row r="257" spans="1:5" x14ac:dyDescent="0.25">
      <c r="A257" s="83" t="s">
        <v>2465</v>
      </c>
      <c r="B257" s="83" t="s">
        <v>2409</v>
      </c>
      <c r="C257" s="83">
        <v>3</v>
      </c>
      <c r="D257" s="114">
        <v>1.5884599585546961E-3</v>
      </c>
      <c r="E257" s="83" t="s">
        <v>2626</v>
      </c>
    </row>
    <row r="258" spans="1:5" x14ac:dyDescent="0.25">
      <c r="A258" s="83" t="s">
        <v>2409</v>
      </c>
      <c r="B258" s="83" t="s">
        <v>2466</v>
      </c>
      <c r="C258" s="83">
        <v>3</v>
      </c>
      <c r="D258" s="114">
        <v>1.5884599585546961E-3</v>
      </c>
      <c r="E258" s="83" t="s">
        <v>2626</v>
      </c>
    </row>
    <row r="259" spans="1:5" x14ac:dyDescent="0.25">
      <c r="A259" s="83" t="s">
        <v>2466</v>
      </c>
      <c r="B259" s="83" t="s">
        <v>2467</v>
      </c>
      <c r="C259" s="83">
        <v>3</v>
      </c>
      <c r="D259" s="114">
        <v>1.5884599585546961E-3</v>
      </c>
      <c r="E259" s="83" t="s">
        <v>2626</v>
      </c>
    </row>
    <row r="260" spans="1:5" x14ac:dyDescent="0.25">
      <c r="A260" s="83" t="s">
        <v>2467</v>
      </c>
      <c r="B260" s="83" t="s">
        <v>2468</v>
      </c>
      <c r="C260" s="83">
        <v>3</v>
      </c>
      <c r="D260" s="114">
        <v>1.5884599585546961E-3</v>
      </c>
      <c r="E260" s="83" t="s">
        <v>2626</v>
      </c>
    </row>
    <row r="261" spans="1:5" x14ac:dyDescent="0.25">
      <c r="A261" s="83" t="s">
        <v>2353</v>
      </c>
      <c r="B261" s="83" t="s">
        <v>2366</v>
      </c>
      <c r="C261" s="83">
        <v>3</v>
      </c>
      <c r="D261" s="114">
        <v>1.5884599585546961E-3</v>
      </c>
      <c r="E261" s="83" t="s">
        <v>2626</v>
      </c>
    </row>
    <row r="262" spans="1:5" x14ac:dyDescent="0.25">
      <c r="A262" s="83" t="s">
        <v>2366</v>
      </c>
      <c r="B262" s="83" t="s">
        <v>2239</v>
      </c>
      <c r="C262" s="83">
        <v>3</v>
      </c>
      <c r="D262" s="114">
        <v>1.5884599585546961E-3</v>
      </c>
      <c r="E262" s="83" t="s">
        <v>2626</v>
      </c>
    </row>
    <row r="263" spans="1:5" x14ac:dyDescent="0.25">
      <c r="A263" s="83" t="s">
        <v>657</v>
      </c>
      <c r="B263" s="83" t="s">
        <v>2241</v>
      </c>
      <c r="C263" s="83">
        <v>3</v>
      </c>
      <c r="D263" s="114">
        <v>1.7286228073652675E-3</v>
      </c>
      <c r="E263" s="83" t="s">
        <v>2626</v>
      </c>
    </row>
    <row r="264" spans="1:5" x14ac:dyDescent="0.25">
      <c r="A264" s="83" t="s">
        <v>657</v>
      </c>
      <c r="B264" s="83" t="s">
        <v>2318</v>
      </c>
      <c r="C264" s="83">
        <v>3</v>
      </c>
      <c r="D264" s="114">
        <v>1.5884599585546961E-3</v>
      </c>
      <c r="E264" s="83" t="s">
        <v>2626</v>
      </c>
    </row>
    <row r="265" spans="1:5" x14ac:dyDescent="0.25">
      <c r="A265" s="83" t="s">
        <v>2253</v>
      </c>
      <c r="B265" s="83" t="s">
        <v>2235</v>
      </c>
      <c r="C265" s="83">
        <v>3</v>
      </c>
      <c r="D265" s="114">
        <v>1.5884599585546961E-3</v>
      </c>
      <c r="E265" s="83" t="s">
        <v>2626</v>
      </c>
    </row>
    <row r="266" spans="1:5" x14ac:dyDescent="0.25">
      <c r="A266" s="83" t="s">
        <v>2236</v>
      </c>
      <c r="B266" s="83" t="s">
        <v>366</v>
      </c>
      <c r="C266" s="83">
        <v>3</v>
      </c>
      <c r="D266" s="114">
        <v>1.5884599585546961E-3</v>
      </c>
      <c r="E266" s="83" t="s">
        <v>2626</v>
      </c>
    </row>
    <row r="267" spans="1:5" x14ac:dyDescent="0.25">
      <c r="A267" s="83" t="s">
        <v>366</v>
      </c>
      <c r="B267" s="83" t="s">
        <v>2255</v>
      </c>
      <c r="C267" s="83">
        <v>3</v>
      </c>
      <c r="D267" s="114">
        <v>1.5884599585546961E-3</v>
      </c>
      <c r="E267" s="83" t="s">
        <v>2626</v>
      </c>
    </row>
    <row r="268" spans="1:5" x14ac:dyDescent="0.25">
      <c r="A268" s="83" t="s">
        <v>2242</v>
      </c>
      <c r="B268" s="83" t="s">
        <v>2240</v>
      </c>
      <c r="C268" s="83">
        <v>3</v>
      </c>
      <c r="D268" s="114">
        <v>1.5884599585546961E-3</v>
      </c>
      <c r="E268" s="83" t="s">
        <v>2626</v>
      </c>
    </row>
    <row r="269" spans="1:5" x14ac:dyDescent="0.25">
      <c r="A269" s="83" t="s">
        <v>2476</v>
      </c>
      <c r="B269" s="83" t="s">
        <v>2235</v>
      </c>
      <c r="C269" s="83">
        <v>3</v>
      </c>
      <c r="D269" s="114">
        <v>1.5884599585546961E-3</v>
      </c>
      <c r="E269" s="83" t="s">
        <v>2626</v>
      </c>
    </row>
    <row r="270" spans="1:5" x14ac:dyDescent="0.25">
      <c r="A270" s="83" t="s">
        <v>2236</v>
      </c>
      <c r="B270" s="83" t="s">
        <v>2478</v>
      </c>
      <c r="C270" s="83">
        <v>2</v>
      </c>
      <c r="D270" s="114">
        <v>1.1524152049101782E-3</v>
      </c>
      <c r="E270" s="83" t="s">
        <v>2626</v>
      </c>
    </row>
    <row r="271" spans="1:5" x14ac:dyDescent="0.25">
      <c r="A271" s="83" t="s">
        <v>2478</v>
      </c>
      <c r="B271" s="83" t="s">
        <v>2375</v>
      </c>
      <c r="C271" s="83">
        <v>2</v>
      </c>
      <c r="D271" s="114">
        <v>1.1524152049101782E-3</v>
      </c>
      <c r="E271" s="83" t="s">
        <v>2626</v>
      </c>
    </row>
    <row r="272" spans="1:5" x14ac:dyDescent="0.25">
      <c r="A272" s="83" t="s">
        <v>2375</v>
      </c>
      <c r="B272" s="83" t="s">
        <v>2375</v>
      </c>
      <c r="C272" s="83">
        <v>2</v>
      </c>
      <c r="D272" s="114">
        <v>1.1524152049101782E-3</v>
      </c>
      <c r="E272" s="83" t="s">
        <v>2626</v>
      </c>
    </row>
    <row r="273" spans="1:5" x14ac:dyDescent="0.25">
      <c r="A273" s="83" t="s">
        <v>2375</v>
      </c>
      <c r="B273" s="83" t="s">
        <v>2244</v>
      </c>
      <c r="C273" s="83">
        <v>2</v>
      </c>
      <c r="D273" s="114">
        <v>1.1524152049101782E-3</v>
      </c>
      <c r="E273" s="83" t="s">
        <v>2626</v>
      </c>
    </row>
    <row r="274" spans="1:5" x14ac:dyDescent="0.25">
      <c r="A274" s="83" t="s">
        <v>2250</v>
      </c>
      <c r="B274" s="83" t="s">
        <v>2479</v>
      </c>
      <c r="C274" s="83">
        <v>2</v>
      </c>
      <c r="D274" s="114">
        <v>1.1524152049101782E-3</v>
      </c>
      <c r="E274" s="83" t="s">
        <v>2626</v>
      </c>
    </row>
    <row r="275" spans="1:5" x14ac:dyDescent="0.25">
      <c r="A275" s="83" t="s">
        <v>2479</v>
      </c>
      <c r="B275" s="83" t="s">
        <v>2480</v>
      </c>
      <c r="C275" s="83">
        <v>2</v>
      </c>
      <c r="D275" s="114">
        <v>1.1524152049101782E-3</v>
      </c>
      <c r="E275" s="83" t="s">
        <v>2626</v>
      </c>
    </row>
    <row r="276" spans="1:5" x14ac:dyDescent="0.25">
      <c r="A276" s="83" t="s">
        <v>2480</v>
      </c>
      <c r="B276" s="83" t="s">
        <v>2273</v>
      </c>
      <c r="C276" s="83">
        <v>2</v>
      </c>
      <c r="D276" s="114">
        <v>1.1524152049101782E-3</v>
      </c>
      <c r="E276" s="83" t="s">
        <v>2626</v>
      </c>
    </row>
    <row r="277" spans="1:5" x14ac:dyDescent="0.25">
      <c r="A277" s="83" t="s">
        <v>2273</v>
      </c>
      <c r="B277" s="83" t="s">
        <v>2481</v>
      </c>
      <c r="C277" s="83">
        <v>2</v>
      </c>
      <c r="D277" s="114">
        <v>1.1524152049101782E-3</v>
      </c>
      <c r="E277" s="83" t="s">
        <v>2626</v>
      </c>
    </row>
    <row r="278" spans="1:5" x14ac:dyDescent="0.25">
      <c r="A278" s="83" t="s">
        <v>2481</v>
      </c>
      <c r="B278" s="83" t="s">
        <v>2411</v>
      </c>
      <c r="C278" s="83">
        <v>2</v>
      </c>
      <c r="D278" s="114">
        <v>1.1524152049101782E-3</v>
      </c>
      <c r="E278" s="83" t="s">
        <v>2626</v>
      </c>
    </row>
    <row r="279" spans="1:5" x14ac:dyDescent="0.25">
      <c r="A279" s="83" t="s">
        <v>2411</v>
      </c>
      <c r="B279" s="83" t="s">
        <v>2482</v>
      </c>
      <c r="C279" s="83">
        <v>2</v>
      </c>
      <c r="D279" s="114">
        <v>1.1524152049101782E-3</v>
      </c>
      <c r="E279" s="83" t="s">
        <v>2626</v>
      </c>
    </row>
    <row r="280" spans="1:5" x14ac:dyDescent="0.25">
      <c r="A280" s="83" t="s">
        <v>2482</v>
      </c>
      <c r="B280" s="83" t="s">
        <v>2235</v>
      </c>
      <c r="C280" s="83">
        <v>2</v>
      </c>
      <c r="D280" s="114">
        <v>1.1524152049101782E-3</v>
      </c>
      <c r="E280" s="83" t="s">
        <v>2626</v>
      </c>
    </row>
    <row r="281" spans="1:5" x14ac:dyDescent="0.25">
      <c r="A281" s="83" t="s">
        <v>2357</v>
      </c>
      <c r="B281" s="83" t="s">
        <v>2483</v>
      </c>
      <c r="C281" s="83">
        <v>2</v>
      </c>
      <c r="D281" s="114">
        <v>1.1524152049101782E-3</v>
      </c>
      <c r="E281" s="83" t="s">
        <v>2626</v>
      </c>
    </row>
    <row r="282" spans="1:5" x14ac:dyDescent="0.25">
      <c r="A282" s="83" t="s">
        <v>2483</v>
      </c>
      <c r="B282" s="83" t="s">
        <v>2236</v>
      </c>
      <c r="C282" s="83">
        <v>2</v>
      </c>
      <c r="D282" s="114">
        <v>1.1524152049101782E-3</v>
      </c>
      <c r="E282" s="83" t="s">
        <v>2626</v>
      </c>
    </row>
    <row r="283" spans="1:5" x14ac:dyDescent="0.25">
      <c r="A283" s="83" t="s">
        <v>2235</v>
      </c>
      <c r="B283" s="83" t="s">
        <v>2484</v>
      </c>
      <c r="C283" s="83">
        <v>2</v>
      </c>
      <c r="D283" s="114">
        <v>1.1524152049101782E-3</v>
      </c>
      <c r="E283" s="83" t="s">
        <v>2626</v>
      </c>
    </row>
    <row r="284" spans="1:5" x14ac:dyDescent="0.25">
      <c r="A284" s="83" t="s">
        <v>2377</v>
      </c>
      <c r="B284" s="83" t="s">
        <v>2256</v>
      </c>
      <c r="C284" s="83">
        <v>2</v>
      </c>
      <c r="D284" s="114">
        <v>1.1524152049101782E-3</v>
      </c>
      <c r="E284" s="83" t="s">
        <v>2626</v>
      </c>
    </row>
    <row r="285" spans="1:5" x14ac:dyDescent="0.25">
      <c r="A285" s="83" t="s">
        <v>2256</v>
      </c>
      <c r="B285" s="83" t="s">
        <v>2488</v>
      </c>
      <c r="C285" s="83">
        <v>2</v>
      </c>
      <c r="D285" s="114">
        <v>1.1524152049101782E-3</v>
      </c>
      <c r="E285" s="83" t="s">
        <v>2626</v>
      </c>
    </row>
    <row r="286" spans="1:5" x14ac:dyDescent="0.25">
      <c r="A286" s="83" t="s">
        <v>2488</v>
      </c>
      <c r="B286" s="83" t="s">
        <v>2489</v>
      </c>
      <c r="C286" s="83">
        <v>2</v>
      </c>
      <c r="D286" s="114">
        <v>1.1524152049101782E-3</v>
      </c>
      <c r="E286" s="83" t="s">
        <v>2626</v>
      </c>
    </row>
    <row r="287" spans="1:5" x14ac:dyDescent="0.25">
      <c r="A287" s="83" t="s">
        <v>2489</v>
      </c>
      <c r="B287" s="83" t="s">
        <v>2412</v>
      </c>
      <c r="C287" s="83">
        <v>2</v>
      </c>
      <c r="D287" s="114">
        <v>1.1524152049101782E-3</v>
      </c>
      <c r="E287" s="83" t="s">
        <v>2626</v>
      </c>
    </row>
    <row r="288" spans="1:5" x14ac:dyDescent="0.25">
      <c r="A288" s="83" t="s">
        <v>2412</v>
      </c>
      <c r="B288" s="83" t="s">
        <v>2490</v>
      </c>
      <c r="C288" s="83">
        <v>2</v>
      </c>
      <c r="D288" s="114">
        <v>1.1524152049101782E-3</v>
      </c>
      <c r="E288" s="83" t="s">
        <v>2626</v>
      </c>
    </row>
    <row r="289" spans="1:5" x14ac:dyDescent="0.25">
      <c r="A289" s="83" t="s">
        <v>2490</v>
      </c>
      <c r="B289" s="83" t="s">
        <v>2491</v>
      </c>
      <c r="C289" s="83">
        <v>2</v>
      </c>
      <c r="D289" s="114">
        <v>1.1524152049101782E-3</v>
      </c>
      <c r="E289" s="83" t="s">
        <v>2626</v>
      </c>
    </row>
    <row r="290" spans="1:5" x14ac:dyDescent="0.25">
      <c r="A290" s="83" t="s">
        <v>2491</v>
      </c>
      <c r="B290" s="83" t="s">
        <v>2492</v>
      </c>
      <c r="C290" s="83">
        <v>2</v>
      </c>
      <c r="D290" s="114">
        <v>1.1524152049101782E-3</v>
      </c>
      <c r="E290" s="83" t="s">
        <v>2626</v>
      </c>
    </row>
    <row r="291" spans="1:5" x14ac:dyDescent="0.25">
      <c r="A291" s="83" t="s">
        <v>2492</v>
      </c>
      <c r="B291" s="83" t="s">
        <v>2311</v>
      </c>
      <c r="C291" s="83">
        <v>2</v>
      </c>
      <c r="D291" s="114">
        <v>1.1524152049101782E-3</v>
      </c>
      <c r="E291" s="83" t="s">
        <v>2626</v>
      </c>
    </row>
    <row r="292" spans="1:5" x14ac:dyDescent="0.25">
      <c r="A292" s="83" t="s">
        <v>2236</v>
      </c>
      <c r="B292" s="83" t="s">
        <v>2493</v>
      </c>
      <c r="C292" s="83">
        <v>2</v>
      </c>
      <c r="D292" s="114">
        <v>1.1524152049101782E-3</v>
      </c>
      <c r="E292" s="83" t="s">
        <v>2626</v>
      </c>
    </row>
    <row r="293" spans="1:5" x14ac:dyDescent="0.25">
      <c r="A293" s="83" t="s">
        <v>2493</v>
      </c>
      <c r="B293" s="83" t="s">
        <v>2235</v>
      </c>
      <c r="C293" s="83">
        <v>2</v>
      </c>
      <c r="D293" s="114">
        <v>1.1524152049101782E-3</v>
      </c>
      <c r="E293" s="83" t="s">
        <v>2626</v>
      </c>
    </row>
    <row r="294" spans="1:5" x14ac:dyDescent="0.25">
      <c r="A294" s="83" t="s">
        <v>2235</v>
      </c>
      <c r="B294" s="83" t="s">
        <v>2275</v>
      </c>
      <c r="C294" s="83">
        <v>2</v>
      </c>
      <c r="D294" s="114">
        <v>1.1524152049101782E-3</v>
      </c>
      <c r="E294" s="83" t="s">
        <v>2626</v>
      </c>
    </row>
    <row r="295" spans="1:5" x14ac:dyDescent="0.25">
      <c r="A295" s="83" t="s">
        <v>2237</v>
      </c>
      <c r="B295" s="83" t="s">
        <v>2413</v>
      </c>
      <c r="C295" s="83">
        <v>2</v>
      </c>
      <c r="D295" s="114">
        <v>1.1524152049101782E-3</v>
      </c>
      <c r="E295" s="83" t="s">
        <v>2626</v>
      </c>
    </row>
    <row r="296" spans="1:5" x14ac:dyDescent="0.25">
      <c r="A296" s="83" t="s">
        <v>2379</v>
      </c>
      <c r="B296" s="83" t="s">
        <v>2495</v>
      </c>
      <c r="C296" s="83">
        <v>2</v>
      </c>
      <c r="D296" s="114">
        <v>1.1524152049101782E-3</v>
      </c>
      <c r="E296" s="83" t="s">
        <v>2626</v>
      </c>
    </row>
    <row r="297" spans="1:5" x14ac:dyDescent="0.25">
      <c r="A297" s="83" t="s">
        <v>2279</v>
      </c>
      <c r="B297" s="83" t="s">
        <v>2415</v>
      </c>
      <c r="C297" s="83">
        <v>2</v>
      </c>
      <c r="D297" s="114">
        <v>1.1524152049101782E-3</v>
      </c>
      <c r="E297" s="83" t="s">
        <v>2626</v>
      </c>
    </row>
    <row r="298" spans="1:5" x14ac:dyDescent="0.25">
      <c r="A298" s="83" t="s">
        <v>2415</v>
      </c>
      <c r="B298" s="83" t="s">
        <v>2496</v>
      </c>
      <c r="C298" s="83">
        <v>2</v>
      </c>
      <c r="D298" s="114">
        <v>1.1524152049101782E-3</v>
      </c>
      <c r="E298" s="83" t="s">
        <v>2626</v>
      </c>
    </row>
    <row r="299" spans="1:5" x14ac:dyDescent="0.25">
      <c r="A299" s="83" t="s">
        <v>2269</v>
      </c>
      <c r="B299" s="83" t="s">
        <v>2279</v>
      </c>
      <c r="C299" s="83">
        <v>2</v>
      </c>
      <c r="D299" s="114">
        <v>1.1524152049101782E-3</v>
      </c>
      <c r="E299" s="83" t="s">
        <v>2626</v>
      </c>
    </row>
    <row r="300" spans="1:5" x14ac:dyDescent="0.25">
      <c r="A300" s="83" t="s">
        <v>2311</v>
      </c>
      <c r="B300" s="83" t="s">
        <v>2235</v>
      </c>
      <c r="C300" s="83">
        <v>2</v>
      </c>
      <c r="D300" s="114">
        <v>1.1524152049101782E-3</v>
      </c>
      <c r="E300" s="83" t="s">
        <v>2626</v>
      </c>
    </row>
    <row r="301" spans="1:5" x14ac:dyDescent="0.25">
      <c r="A301" s="83" t="s">
        <v>2324</v>
      </c>
      <c r="B301" s="83" t="s">
        <v>2269</v>
      </c>
      <c r="C301" s="83">
        <v>2</v>
      </c>
      <c r="D301" s="114">
        <v>1.3121551866899506E-3</v>
      </c>
      <c r="E301" s="83" t="s">
        <v>2626</v>
      </c>
    </row>
    <row r="302" spans="1:5" x14ac:dyDescent="0.25">
      <c r="A302" s="83" t="s">
        <v>2361</v>
      </c>
      <c r="B302" s="83" t="s">
        <v>661</v>
      </c>
      <c r="C302" s="83">
        <v>2</v>
      </c>
      <c r="D302" s="114">
        <v>1.1524152049101782E-3</v>
      </c>
      <c r="E302" s="83" t="s">
        <v>2626</v>
      </c>
    </row>
    <row r="303" spans="1:5" x14ac:dyDescent="0.25">
      <c r="A303" s="83" t="s">
        <v>2274</v>
      </c>
      <c r="B303" s="83" t="s">
        <v>2325</v>
      </c>
      <c r="C303" s="83">
        <v>2</v>
      </c>
      <c r="D303" s="114">
        <v>1.1524152049101782E-3</v>
      </c>
      <c r="E303" s="83" t="s">
        <v>2626</v>
      </c>
    </row>
    <row r="304" spans="1:5" x14ac:dyDescent="0.25">
      <c r="A304" s="83" t="s">
        <v>2325</v>
      </c>
      <c r="B304" s="83" t="s">
        <v>2506</v>
      </c>
      <c r="C304" s="83">
        <v>2</v>
      </c>
      <c r="D304" s="114">
        <v>1.1524152049101782E-3</v>
      </c>
      <c r="E304" s="83" t="s">
        <v>2626</v>
      </c>
    </row>
    <row r="305" spans="1:5" x14ac:dyDescent="0.25">
      <c r="A305" s="83" t="s">
        <v>2506</v>
      </c>
      <c r="B305" s="83" t="s">
        <v>2507</v>
      </c>
      <c r="C305" s="83">
        <v>2</v>
      </c>
      <c r="D305" s="114">
        <v>1.1524152049101782E-3</v>
      </c>
      <c r="E305" s="83" t="s">
        <v>2626</v>
      </c>
    </row>
    <row r="306" spans="1:5" x14ac:dyDescent="0.25">
      <c r="A306" s="83" t="s">
        <v>2507</v>
      </c>
      <c r="B306" s="83" t="s">
        <v>2508</v>
      </c>
      <c r="C306" s="83">
        <v>2</v>
      </c>
      <c r="D306" s="114">
        <v>1.1524152049101782E-3</v>
      </c>
      <c r="E306" s="83" t="s">
        <v>2626</v>
      </c>
    </row>
    <row r="307" spans="1:5" x14ac:dyDescent="0.25">
      <c r="A307" s="83" t="s">
        <v>2508</v>
      </c>
      <c r="B307" s="83" t="s">
        <v>2509</v>
      </c>
      <c r="C307" s="83">
        <v>2</v>
      </c>
      <c r="D307" s="114">
        <v>1.1524152049101782E-3</v>
      </c>
      <c r="E307" s="83" t="s">
        <v>2626</v>
      </c>
    </row>
    <row r="308" spans="1:5" x14ac:dyDescent="0.25">
      <c r="A308" s="83" t="s">
        <v>2509</v>
      </c>
      <c r="B308" s="83" t="s">
        <v>2510</v>
      </c>
      <c r="C308" s="83">
        <v>2</v>
      </c>
      <c r="D308" s="114">
        <v>1.1524152049101782E-3</v>
      </c>
      <c r="E308" s="83" t="s">
        <v>2626</v>
      </c>
    </row>
    <row r="309" spans="1:5" x14ac:dyDescent="0.25">
      <c r="A309" s="83" t="s">
        <v>2510</v>
      </c>
      <c r="B309" s="83" t="s">
        <v>2511</v>
      </c>
      <c r="C309" s="83">
        <v>2</v>
      </c>
      <c r="D309" s="114">
        <v>1.1524152049101782E-3</v>
      </c>
      <c r="E309" s="83" t="s">
        <v>2626</v>
      </c>
    </row>
    <row r="310" spans="1:5" x14ac:dyDescent="0.25">
      <c r="A310" s="83" t="s">
        <v>2511</v>
      </c>
      <c r="B310" s="83" t="s">
        <v>2256</v>
      </c>
      <c r="C310" s="83">
        <v>2</v>
      </c>
      <c r="D310" s="114">
        <v>1.1524152049101782E-3</v>
      </c>
      <c r="E310" s="83" t="s">
        <v>2626</v>
      </c>
    </row>
    <row r="311" spans="1:5" x14ac:dyDescent="0.25">
      <c r="A311" s="83" t="s">
        <v>2256</v>
      </c>
      <c r="B311" s="83" t="s">
        <v>2383</v>
      </c>
      <c r="C311" s="83">
        <v>2</v>
      </c>
      <c r="D311" s="114">
        <v>1.1524152049101782E-3</v>
      </c>
      <c r="E311" s="83" t="s">
        <v>2626</v>
      </c>
    </row>
    <row r="312" spans="1:5" x14ac:dyDescent="0.25">
      <c r="A312" s="83" t="s">
        <v>2383</v>
      </c>
      <c r="B312" s="83" t="s">
        <v>2235</v>
      </c>
      <c r="C312" s="83">
        <v>2</v>
      </c>
      <c r="D312" s="114">
        <v>1.1524152049101782E-3</v>
      </c>
      <c r="E312" s="83" t="s">
        <v>2626</v>
      </c>
    </row>
    <row r="313" spans="1:5" x14ac:dyDescent="0.25">
      <c r="A313" s="83" t="s">
        <v>2235</v>
      </c>
      <c r="B313" s="83" t="s">
        <v>2512</v>
      </c>
      <c r="C313" s="83">
        <v>2</v>
      </c>
      <c r="D313" s="114">
        <v>1.1524152049101782E-3</v>
      </c>
      <c r="E313" s="83" t="s">
        <v>2626</v>
      </c>
    </row>
    <row r="314" spans="1:5" x14ac:dyDescent="0.25">
      <c r="A314" s="83" t="s">
        <v>2512</v>
      </c>
      <c r="B314" s="83" t="s">
        <v>2238</v>
      </c>
      <c r="C314" s="83">
        <v>2</v>
      </c>
      <c r="D314" s="114">
        <v>1.1524152049101782E-3</v>
      </c>
      <c r="E314" s="83" t="s">
        <v>2626</v>
      </c>
    </row>
    <row r="315" spans="1:5" x14ac:dyDescent="0.25">
      <c r="A315" s="83" t="s">
        <v>2246</v>
      </c>
      <c r="B315" s="83" t="s">
        <v>2384</v>
      </c>
      <c r="C315" s="83">
        <v>2</v>
      </c>
      <c r="D315" s="114">
        <v>1.1524152049101782E-3</v>
      </c>
      <c r="E315" s="83" t="s">
        <v>2626</v>
      </c>
    </row>
    <row r="316" spans="1:5" x14ac:dyDescent="0.25">
      <c r="A316" s="83" t="s">
        <v>2246</v>
      </c>
      <c r="B316" s="83" t="s">
        <v>2419</v>
      </c>
      <c r="C316" s="83">
        <v>2</v>
      </c>
      <c r="D316" s="114">
        <v>1.1524152049101782E-3</v>
      </c>
      <c r="E316" s="83" t="s">
        <v>2626</v>
      </c>
    </row>
    <row r="317" spans="1:5" x14ac:dyDescent="0.25">
      <c r="A317" s="83" t="s">
        <v>2235</v>
      </c>
      <c r="B317" s="83" t="s">
        <v>2518</v>
      </c>
      <c r="C317" s="83">
        <v>2</v>
      </c>
      <c r="D317" s="114">
        <v>1.1524152049101782E-3</v>
      </c>
      <c r="E317" s="83" t="s">
        <v>2626</v>
      </c>
    </row>
    <row r="318" spans="1:5" x14ac:dyDescent="0.25">
      <c r="A318" s="83" t="s">
        <v>2518</v>
      </c>
      <c r="B318" s="83" t="s">
        <v>2519</v>
      </c>
      <c r="C318" s="83">
        <v>2</v>
      </c>
      <c r="D318" s="114">
        <v>1.1524152049101782E-3</v>
      </c>
      <c r="E318" s="83" t="s">
        <v>2626</v>
      </c>
    </row>
    <row r="319" spans="1:5" x14ac:dyDescent="0.25">
      <c r="A319" s="83" t="s">
        <v>2519</v>
      </c>
      <c r="B319" s="83" t="s">
        <v>2421</v>
      </c>
      <c r="C319" s="83">
        <v>2</v>
      </c>
      <c r="D319" s="114">
        <v>1.1524152049101782E-3</v>
      </c>
      <c r="E319" s="83" t="s">
        <v>2626</v>
      </c>
    </row>
    <row r="320" spans="1:5" x14ac:dyDescent="0.25">
      <c r="A320" s="83" t="s">
        <v>2422</v>
      </c>
      <c r="B320" s="83" t="s">
        <v>2269</v>
      </c>
      <c r="C320" s="83">
        <v>2</v>
      </c>
      <c r="D320" s="114">
        <v>1.1524152049101782E-3</v>
      </c>
      <c r="E320" s="83" t="s">
        <v>2626</v>
      </c>
    </row>
    <row r="321" spans="1:5" x14ac:dyDescent="0.25">
      <c r="A321" s="83" t="s">
        <v>2269</v>
      </c>
      <c r="B321" s="83" t="s">
        <v>2312</v>
      </c>
      <c r="C321" s="83">
        <v>2</v>
      </c>
      <c r="D321" s="114">
        <v>1.1524152049101782E-3</v>
      </c>
      <c r="E321" s="83" t="s">
        <v>2626</v>
      </c>
    </row>
    <row r="322" spans="1:5" x14ac:dyDescent="0.25">
      <c r="A322" s="83" t="s">
        <v>2312</v>
      </c>
      <c r="B322" s="83" t="s">
        <v>2520</v>
      </c>
      <c r="C322" s="83">
        <v>2</v>
      </c>
      <c r="D322" s="114">
        <v>1.1524152049101782E-3</v>
      </c>
      <c r="E322" s="83" t="s">
        <v>2626</v>
      </c>
    </row>
    <row r="323" spans="1:5" x14ac:dyDescent="0.25">
      <c r="A323" s="83" t="s">
        <v>2520</v>
      </c>
      <c r="B323" s="83" t="s">
        <v>2521</v>
      </c>
      <c r="C323" s="83">
        <v>2</v>
      </c>
      <c r="D323" s="114">
        <v>1.1524152049101782E-3</v>
      </c>
      <c r="E323" s="83" t="s">
        <v>2626</v>
      </c>
    </row>
    <row r="324" spans="1:5" x14ac:dyDescent="0.25">
      <c r="A324" s="83" t="s">
        <v>2297</v>
      </c>
      <c r="B324" s="83" t="s">
        <v>2522</v>
      </c>
      <c r="C324" s="83">
        <v>2</v>
      </c>
      <c r="D324" s="114">
        <v>1.1524152049101782E-3</v>
      </c>
      <c r="E324" s="83" t="s">
        <v>2626</v>
      </c>
    </row>
    <row r="325" spans="1:5" x14ac:dyDescent="0.25">
      <c r="A325" s="83" t="s">
        <v>2236</v>
      </c>
      <c r="B325" s="83" t="s">
        <v>318</v>
      </c>
      <c r="C325" s="83">
        <v>2</v>
      </c>
      <c r="D325" s="114">
        <v>1.1524152049101782E-3</v>
      </c>
      <c r="E325" s="83" t="s">
        <v>2626</v>
      </c>
    </row>
    <row r="326" spans="1:5" x14ac:dyDescent="0.25">
      <c r="A326" s="83" t="s">
        <v>318</v>
      </c>
      <c r="B326" s="83" t="s">
        <v>2345</v>
      </c>
      <c r="C326" s="83">
        <v>2</v>
      </c>
      <c r="D326" s="114">
        <v>1.1524152049101782E-3</v>
      </c>
      <c r="E326" s="83" t="s">
        <v>2626</v>
      </c>
    </row>
    <row r="327" spans="1:5" x14ac:dyDescent="0.25">
      <c r="A327" s="83" t="s">
        <v>2322</v>
      </c>
      <c r="B327" s="83" t="s">
        <v>2238</v>
      </c>
      <c r="C327" s="83">
        <v>2</v>
      </c>
      <c r="D327" s="114">
        <v>1.1524152049101782E-3</v>
      </c>
      <c r="E327" s="83" t="s">
        <v>2626</v>
      </c>
    </row>
    <row r="328" spans="1:5" x14ac:dyDescent="0.25">
      <c r="A328" s="83" t="s">
        <v>2238</v>
      </c>
      <c r="B328" s="83" t="s">
        <v>2237</v>
      </c>
      <c r="C328" s="83">
        <v>2</v>
      </c>
      <c r="D328" s="114">
        <v>1.1524152049101782E-3</v>
      </c>
      <c r="E328" s="83" t="s">
        <v>2626</v>
      </c>
    </row>
    <row r="329" spans="1:5" x14ac:dyDescent="0.25">
      <c r="A329" s="83" t="s">
        <v>2237</v>
      </c>
      <c r="B329" s="83" t="s">
        <v>2242</v>
      </c>
      <c r="C329" s="83">
        <v>2</v>
      </c>
      <c r="D329" s="114">
        <v>1.1524152049101782E-3</v>
      </c>
      <c r="E329" s="83" t="s">
        <v>2626</v>
      </c>
    </row>
    <row r="330" spans="1:5" x14ac:dyDescent="0.25">
      <c r="A330" s="83" t="s">
        <v>2242</v>
      </c>
      <c r="B330" s="83" t="s">
        <v>2298</v>
      </c>
      <c r="C330" s="83">
        <v>2</v>
      </c>
      <c r="D330" s="114">
        <v>1.1524152049101782E-3</v>
      </c>
      <c r="E330" s="83" t="s">
        <v>2626</v>
      </c>
    </row>
    <row r="331" spans="1:5" x14ac:dyDescent="0.25">
      <c r="A331" s="83" t="s">
        <v>2298</v>
      </c>
      <c r="B331" s="83" t="s">
        <v>2239</v>
      </c>
      <c r="C331" s="83">
        <v>2</v>
      </c>
      <c r="D331" s="114">
        <v>1.1524152049101782E-3</v>
      </c>
      <c r="E331" s="83" t="s">
        <v>2626</v>
      </c>
    </row>
    <row r="332" spans="1:5" x14ac:dyDescent="0.25">
      <c r="A332" s="83" t="s">
        <v>2240</v>
      </c>
      <c r="B332" s="83" t="s">
        <v>2307</v>
      </c>
      <c r="C332" s="83">
        <v>2</v>
      </c>
      <c r="D332" s="114">
        <v>1.1524152049101782E-3</v>
      </c>
      <c r="E332" s="83" t="s">
        <v>2626</v>
      </c>
    </row>
    <row r="333" spans="1:5" x14ac:dyDescent="0.25">
      <c r="A333" s="83" t="s">
        <v>2307</v>
      </c>
      <c r="B333" s="83" t="s">
        <v>2529</v>
      </c>
      <c r="C333" s="83">
        <v>2</v>
      </c>
      <c r="D333" s="114">
        <v>1.1524152049101782E-3</v>
      </c>
      <c r="E333" s="83" t="s">
        <v>2626</v>
      </c>
    </row>
    <row r="334" spans="1:5" x14ac:dyDescent="0.25">
      <c r="A334" s="83" t="s">
        <v>2529</v>
      </c>
      <c r="B334" s="83" t="s">
        <v>2270</v>
      </c>
      <c r="C334" s="83">
        <v>2</v>
      </c>
      <c r="D334" s="114">
        <v>1.1524152049101782E-3</v>
      </c>
      <c r="E334" s="83" t="s">
        <v>2626</v>
      </c>
    </row>
    <row r="335" spans="1:5" x14ac:dyDescent="0.25">
      <c r="A335" s="83" t="s">
        <v>2236</v>
      </c>
      <c r="B335" s="83" t="s">
        <v>311</v>
      </c>
      <c r="C335" s="83">
        <v>2</v>
      </c>
      <c r="D335" s="114">
        <v>1.1524152049101782E-3</v>
      </c>
      <c r="E335" s="83" t="s">
        <v>2626</v>
      </c>
    </row>
    <row r="336" spans="1:5" x14ac:dyDescent="0.25">
      <c r="A336" s="83" t="s">
        <v>311</v>
      </c>
      <c r="B336" s="83" t="s">
        <v>2235</v>
      </c>
      <c r="C336" s="83">
        <v>2</v>
      </c>
      <c r="D336" s="114">
        <v>1.1524152049101782E-3</v>
      </c>
      <c r="E336" s="83" t="s">
        <v>2626</v>
      </c>
    </row>
    <row r="337" spans="1:5" x14ac:dyDescent="0.25">
      <c r="A337" s="83" t="s">
        <v>2531</v>
      </c>
      <c r="B337" s="83" t="s">
        <v>2235</v>
      </c>
      <c r="C337" s="83">
        <v>2</v>
      </c>
      <c r="D337" s="114">
        <v>1.1524152049101782E-3</v>
      </c>
      <c r="E337" s="83" t="s">
        <v>2626</v>
      </c>
    </row>
    <row r="338" spans="1:5" x14ac:dyDescent="0.25">
      <c r="A338" s="83" t="s">
        <v>2256</v>
      </c>
      <c r="B338" s="83" t="s">
        <v>2535</v>
      </c>
      <c r="C338" s="83">
        <v>2</v>
      </c>
      <c r="D338" s="114">
        <v>1.1524152049101782E-3</v>
      </c>
      <c r="E338" s="83" t="s">
        <v>2626</v>
      </c>
    </row>
    <row r="339" spans="1:5" x14ac:dyDescent="0.25">
      <c r="A339" s="83" t="s">
        <v>2535</v>
      </c>
      <c r="B339" s="83" t="s">
        <v>2536</v>
      </c>
      <c r="C339" s="83">
        <v>2</v>
      </c>
      <c r="D339" s="114">
        <v>1.1524152049101782E-3</v>
      </c>
      <c r="E339" s="83" t="s">
        <v>2626</v>
      </c>
    </row>
    <row r="340" spans="1:5" x14ac:dyDescent="0.25">
      <c r="A340" s="83" t="s">
        <v>2536</v>
      </c>
      <c r="B340" s="83" t="s">
        <v>2235</v>
      </c>
      <c r="C340" s="83">
        <v>2</v>
      </c>
      <c r="D340" s="114">
        <v>1.1524152049101782E-3</v>
      </c>
      <c r="E340" s="83" t="s">
        <v>2626</v>
      </c>
    </row>
    <row r="341" spans="1:5" x14ac:dyDescent="0.25">
      <c r="A341" s="83" t="s">
        <v>2237</v>
      </c>
      <c r="B341" s="83" t="s">
        <v>2537</v>
      </c>
      <c r="C341" s="83">
        <v>2</v>
      </c>
      <c r="D341" s="114">
        <v>1.1524152049101782E-3</v>
      </c>
      <c r="E341" s="83" t="s">
        <v>2626</v>
      </c>
    </row>
    <row r="342" spans="1:5" x14ac:dyDescent="0.25">
      <c r="A342" s="83" t="s">
        <v>2537</v>
      </c>
      <c r="B342" s="83" t="s">
        <v>2256</v>
      </c>
      <c r="C342" s="83">
        <v>2</v>
      </c>
      <c r="D342" s="114">
        <v>1.1524152049101782E-3</v>
      </c>
      <c r="E342" s="83" t="s">
        <v>2626</v>
      </c>
    </row>
    <row r="343" spans="1:5" x14ac:dyDescent="0.25">
      <c r="A343" s="83" t="s">
        <v>2256</v>
      </c>
      <c r="B343" s="83" t="s">
        <v>2538</v>
      </c>
      <c r="C343" s="83">
        <v>2</v>
      </c>
      <c r="D343" s="114">
        <v>1.1524152049101782E-3</v>
      </c>
      <c r="E343" s="83" t="s">
        <v>2626</v>
      </c>
    </row>
    <row r="344" spans="1:5" x14ac:dyDescent="0.25">
      <c r="A344" s="83" t="s">
        <v>2538</v>
      </c>
      <c r="B344" s="83" t="s">
        <v>2380</v>
      </c>
      <c r="C344" s="83">
        <v>2</v>
      </c>
      <c r="D344" s="114">
        <v>1.1524152049101782E-3</v>
      </c>
      <c r="E344" s="83" t="s">
        <v>2626</v>
      </c>
    </row>
    <row r="345" spans="1:5" x14ac:dyDescent="0.25">
      <c r="A345" s="83" t="s">
        <v>2380</v>
      </c>
      <c r="B345" s="83" t="s">
        <v>2392</v>
      </c>
      <c r="C345" s="83">
        <v>2</v>
      </c>
      <c r="D345" s="114">
        <v>1.1524152049101782E-3</v>
      </c>
      <c r="E345" s="83" t="s">
        <v>2626</v>
      </c>
    </row>
    <row r="346" spans="1:5" x14ac:dyDescent="0.25">
      <c r="A346" s="83" t="s">
        <v>2392</v>
      </c>
      <c r="B346" s="83" t="s">
        <v>2349</v>
      </c>
      <c r="C346" s="83">
        <v>2</v>
      </c>
      <c r="D346" s="114">
        <v>1.1524152049101782E-3</v>
      </c>
      <c r="E346" s="83" t="s">
        <v>2626</v>
      </c>
    </row>
    <row r="347" spans="1:5" x14ac:dyDescent="0.25">
      <c r="A347" s="83" t="s">
        <v>2349</v>
      </c>
      <c r="B347" s="83" t="s">
        <v>2539</v>
      </c>
      <c r="C347" s="83">
        <v>2</v>
      </c>
      <c r="D347" s="114">
        <v>1.1524152049101782E-3</v>
      </c>
      <c r="E347" s="83" t="s">
        <v>2626</v>
      </c>
    </row>
    <row r="348" spans="1:5" x14ac:dyDescent="0.25">
      <c r="A348" s="83" t="s">
        <v>2246</v>
      </c>
      <c r="B348" s="83" t="s">
        <v>2308</v>
      </c>
      <c r="C348" s="83">
        <v>2</v>
      </c>
      <c r="D348" s="114">
        <v>1.1524152049101782E-3</v>
      </c>
      <c r="E348" s="83" t="s">
        <v>2626</v>
      </c>
    </row>
    <row r="349" spans="1:5" x14ac:dyDescent="0.25">
      <c r="A349" s="83" t="s">
        <v>2438</v>
      </c>
      <c r="B349" s="83" t="s">
        <v>2541</v>
      </c>
      <c r="C349" s="83">
        <v>2</v>
      </c>
      <c r="D349" s="114">
        <v>1.1524152049101782E-3</v>
      </c>
      <c r="E349" s="83" t="s">
        <v>2626</v>
      </c>
    </row>
    <row r="350" spans="1:5" x14ac:dyDescent="0.25">
      <c r="A350" s="83" t="s">
        <v>2545</v>
      </c>
      <c r="B350" s="83" t="s">
        <v>2424</v>
      </c>
      <c r="C350" s="83">
        <v>2</v>
      </c>
      <c r="D350" s="114">
        <v>1.1524152049101782E-3</v>
      </c>
      <c r="E350" s="83" t="s">
        <v>2626</v>
      </c>
    </row>
    <row r="351" spans="1:5" x14ac:dyDescent="0.25">
      <c r="A351" s="83" t="s">
        <v>2236</v>
      </c>
      <c r="B351" s="83" t="s">
        <v>301</v>
      </c>
      <c r="C351" s="83">
        <v>2</v>
      </c>
      <c r="D351" s="114">
        <v>1.1524152049101782E-3</v>
      </c>
      <c r="E351" s="83" t="s">
        <v>2626</v>
      </c>
    </row>
    <row r="352" spans="1:5" x14ac:dyDescent="0.25">
      <c r="A352" s="83" t="s">
        <v>301</v>
      </c>
      <c r="B352" s="83" t="s">
        <v>2330</v>
      </c>
      <c r="C352" s="83">
        <v>2</v>
      </c>
      <c r="D352" s="114">
        <v>1.1524152049101782E-3</v>
      </c>
      <c r="E352" s="83" t="s">
        <v>2626</v>
      </c>
    </row>
    <row r="353" spans="1:5" x14ac:dyDescent="0.25">
      <c r="A353" s="83" t="s">
        <v>2236</v>
      </c>
      <c r="B353" s="83" t="s">
        <v>2547</v>
      </c>
      <c r="C353" s="83">
        <v>2</v>
      </c>
      <c r="D353" s="114">
        <v>1.1524152049101782E-3</v>
      </c>
      <c r="E353" s="83" t="s">
        <v>2626</v>
      </c>
    </row>
    <row r="354" spans="1:5" x14ac:dyDescent="0.25">
      <c r="A354" s="83" t="s">
        <v>2547</v>
      </c>
      <c r="B354" s="83" t="s">
        <v>2235</v>
      </c>
      <c r="C354" s="83">
        <v>2</v>
      </c>
      <c r="D354" s="114">
        <v>1.1524152049101782E-3</v>
      </c>
      <c r="E354" s="83" t="s">
        <v>2626</v>
      </c>
    </row>
    <row r="355" spans="1:5" x14ac:dyDescent="0.25">
      <c r="A355" s="83" t="s">
        <v>2254</v>
      </c>
      <c r="B355" s="83" t="s">
        <v>2241</v>
      </c>
      <c r="C355" s="83">
        <v>2</v>
      </c>
      <c r="D355" s="114">
        <v>1.1524152049101782E-3</v>
      </c>
      <c r="E355" s="83" t="s">
        <v>2626</v>
      </c>
    </row>
    <row r="356" spans="1:5" x14ac:dyDescent="0.25">
      <c r="A356" s="83" t="s">
        <v>2237</v>
      </c>
      <c r="B356" s="83" t="s">
        <v>2549</v>
      </c>
      <c r="C356" s="83">
        <v>2</v>
      </c>
      <c r="D356" s="114">
        <v>1.1524152049101782E-3</v>
      </c>
      <c r="E356" s="83" t="s">
        <v>2626</v>
      </c>
    </row>
    <row r="357" spans="1:5" x14ac:dyDescent="0.25">
      <c r="A357" s="83" t="s">
        <v>2549</v>
      </c>
      <c r="B357" s="83" t="s">
        <v>2550</v>
      </c>
      <c r="C357" s="83">
        <v>2</v>
      </c>
      <c r="D357" s="114">
        <v>1.1524152049101782E-3</v>
      </c>
      <c r="E357" s="83" t="s">
        <v>2626</v>
      </c>
    </row>
    <row r="358" spans="1:5" x14ac:dyDescent="0.25">
      <c r="A358" s="83" t="s">
        <v>2550</v>
      </c>
      <c r="B358" s="83" t="s">
        <v>2551</v>
      </c>
      <c r="C358" s="83">
        <v>2</v>
      </c>
      <c r="D358" s="114">
        <v>1.1524152049101782E-3</v>
      </c>
      <c r="E358" s="83" t="s">
        <v>2626</v>
      </c>
    </row>
    <row r="359" spans="1:5" x14ac:dyDescent="0.25">
      <c r="A359" s="83" t="s">
        <v>2551</v>
      </c>
      <c r="B359" s="83" t="s">
        <v>2552</v>
      </c>
      <c r="C359" s="83">
        <v>2</v>
      </c>
      <c r="D359" s="114">
        <v>1.1524152049101782E-3</v>
      </c>
      <c r="E359" s="83" t="s">
        <v>2626</v>
      </c>
    </row>
    <row r="360" spans="1:5" x14ac:dyDescent="0.25">
      <c r="A360" s="83" t="s">
        <v>2552</v>
      </c>
      <c r="B360" s="83" t="s">
        <v>2454</v>
      </c>
      <c r="C360" s="83">
        <v>2</v>
      </c>
      <c r="D360" s="114">
        <v>1.1524152049101782E-3</v>
      </c>
      <c r="E360" s="83" t="s">
        <v>2626</v>
      </c>
    </row>
    <row r="361" spans="1:5" x14ac:dyDescent="0.25">
      <c r="A361" s="83" t="s">
        <v>2454</v>
      </c>
      <c r="B361" s="83" t="s">
        <v>2553</v>
      </c>
      <c r="C361" s="83">
        <v>2</v>
      </c>
      <c r="D361" s="114">
        <v>1.1524152049101782E-3</v>
      </c>
      <c r="E361" s="83" t="s">
        <v>2626</v>
      </c>
    </row>
    <row r="362" spans="1:5" x14ac:dyDescent="0.25">
      <c r="A362" s="83" t="s">
        <v>2553</v>
      </c>
      <c r="B362" s="83" t="s">
        <v>2455</v>
      </c>
      <c r="C362" s="83">
        <v>2</v>
      </c>
      <c r="D362" s="114">
        <v>1.1524152049101782E-3</v>
      </c>
      <c r="E362" s="83" t="s">
        <v>2626</v>
      </c>
    </row>
    <row r="363" spans="1:5" x14ac:dyDescent="0.25">
      <c r="A363" s="83" t="s">
        <v>2455</v>
      </c>
      <c r="B363" s="83" t="s">
        <v>2554</v>
      </c>
      <c r="C363" s="83">
        <v>2</v>
      </c>
      <c r="D363" s="114">
        <v>1.1524152049101782E-3</v>
      </c>
      <c r="E363" s="83" t="s">
        <v>2626</v>
      </c>
    </row>
    <row r="364" spans="1:5" x14ac:dyDescent="0.25">
      <c r="A364" s="83" t="s">
        <v>2554</v>
      </c>
      <c r="B364" s="83" t="s">
        <v>2235</v>
      </c>
      <c r="C364" s="83">
        <v>2</v>
      </c>
      <c r="D364" s="114">
        <v>1.1524152049101782E-3</v>
      </c>
      <c r="E364" s="83" t="s">
        <v>2626</v>
      </c>
    </row>
    <row r="365" spans="1:5" x14ac:dyDescent="0.25">
      <c r="A365" s="83" t="s">
        <v>2555</v>
      </c>
      <c r="B365" s="83" t="s">
        <v>2235</v>
      </c>
      <c r="C365" s="83">
        <v>2</v>
      </c>
      <c r="D365" s="114">
        <v>1.1524152049101782E-3</v>
      </c>
      <c r="E365" s="83" t="s">
        <v>2626</v>
      </c>
    </row>
    <row r="366" spans="1:5" x14ac:dyDescent="0.25">
      <c r="A366" s="83" t="s">
        <v>2235</v>
      </c>
      <c r="B366" s="83" t="s">
        <v>2556</v>
      </c>
      <c r="C366" s="83">
        <v>2</v>
      </c>
      <c r="D366" s="114">
        <v>1.1524152049101782E-3</v>
      </c>
      <c r="E366" s="83" t="s">
        <v>2626</v>
      </c>
    </row>
    <row r="367" spans="1:5" x14ac:dyDescent="0.25">
      <c r="A367" s="83" t="s">
        <v>2556</v>
      </c>
      <c r="B367" s="83" t="s">
        <v>2557</v>
      </c>
      <c r="C367" s="83">
        <v>2</v>
      </c>
      <c r="D367" s="114">
        <v>1.1524152049101782E-3</v>
      </c>
      <c r="E367" s="83" t="s">
        <v>2626</v>
      </c>
    </row>
    <row r="368" spans="1:5" x14ac:dyDescent="0.25">
      <c r="A368" s="83" t="s">
        <v>2557</v>
      </c>
      <c r="B368" s="83" t="s">
        <v>2558</v>
      </c>
      <c r="C368" s="83">
        <v>2</v>
      </c>
      <c r="D368" s="114">
        <v>1.1524152049101782E-3</v>
      </c>
      <c r="E368" s="83" t="s">
        <v>2626</v>
      </c>
    </row>
    <row r="369" spans="1:5" x14ac:dyDescent="0.25">
      <c r="A369" s="83" t="s">
        <v>2558</v>
      </c>
      <c r="B369" s="83" t="s">
        <v>2309</v>
      </c>
      <c r="C369" s="83">
        <v>2</v>
      </c>
      <c r="D369" s="114">
        <v>1.1524152049101782E-3</v>
      </c>
      <c r="E369" s="83" t="s">
        <v>2626</v>
      </c>
    </row>
    <row r="370" spans="1:5" x14ac:dyDescent="0.25">
      <c r="A370" s="83" t="s">
        <v>2309</v>
      </c>
      <c r="B370" s="83" t="s">
        <v>2559</v>
      </c>
      <c r="C370" s="83">
        <v>2</v>
      </c>
      <c r="D370" s="114">
        <v>1.1524152049101782E-3</v>
      </c>
      <c r="E370" s="83" t="s">
        <v>2626</v>
      </c>
    </row>
    <row r="371" spans="1:5" x14ac:dyDescent="0.25">
      <c r="A371" s="83" t="s">
        <v>2559</v>
      </c>
      <c r="B371" s="83" t="s">
        <v>2560</v>
      </c>
      <c r="C371" s="83">
        <v>2</v>
      </c>
      <c r="D371" s="114">
        <v>1.1524152049101782E-3</v>
      </c>
      <c r="E371" s="83" t="s">
        <v>2626</v>
      </c>
    </row>
    <row r="372" spans="1:5" x14ac:dyDescent="0.25">
      <c r="A372" s="83" t="s">
        <v>2560</v>
      </c>
      <c r="B372" s="83" t="s">
        <v>2561</v>
      </c>
      <c r="C372" s="83">
        <v>2</v>
      </c>
      <c r="D372" s="114">
        <v>1.1524152049101782E-3</v>
      </c>
      <c r="E372" s="83" t="s">
        <v>2626</v>
      </c>
    </row>
    <row r="373" spans="1:5" x14ac:dyDescent="0.25">
      <c r="A373" s="83" t="s">
        <v>2561</v>
      </c>
      <c r="B373" s="83" t="s">
        <v>2312</v>
      </c>
      <c r="C373" s="83">
        <v>2</v>
      </c>
      <c r="D373" s="114">
        <v>1.1524152049101782E-3</v>
      </c>
      <c r="E373" s="83" t="s">
        <v>2626</v>
      </c>
    </row>
    <row r="374" spans="1:5" x14ac:dyDescent="0.25">
      <c r="A374" s="83" t="s">
        <v>2312</v>
      </c>
      <c r="B374" s="83" t="s">
        <v>2368</v>
      </c>
      <c r="C374" s="83">
        <v>2</v>
      </c>
      <c r="D374" s="114">
        <v>1.1524152049101782E-3</v>
      </c>
      <c r="E374" s="83" t="s">
        <v>2626</v>
      </c>
    </row>
    <row r="375" spans="1:5" x14ac:dyDescent="0.25">
      <c r="A375" s="83" t="s">
        <v>2368</v>
      </c>
      <c r="B375" s="83" t="s">
        <v>2456</v>
      </c>
      <c r="C375" s="83">
        <v>2</v>
      </c>
      <c r="D375" s="114">
        <v>1.1524152049101782E-3</v>
      </c>
      <c r="E375" s="83" t="s">
        <v>2626</v>
      </c>
    </row>
    <row r="376" spans="1:5" x14ac:dyDescent="0.25">
      <c r="A376" s="83" t="s">
        <v>2456</v>
      </c>
      <c r="B376" s="83" t="s">
        <v>2394</v>
      </c>
      <c r="C376" s="83">
        <v>2</v>
      </c>
      <c r="D376" s="114">
        <v>1.1524152049101782E-3</v>
      </c>
      <c r="E376" s="83" t="s">
        <v>2626</v>
      </c>
    </row>
    <row r="377" spans="1:5" x14ac:dyDescent="0.25">
      <c r="A377" s="83" t="s">
        <v>2394</v>
      </c>
      <c r="B377" s="83" t="s">
        <v>2343</v>
      </c>
      <c r="C377" s="83">
        <v>2</v>
      </c>
      <c r="D377" s="114">
        <v>1.1524152049101782E-3</v>
      </c>
      <c r="E377" s="83" t="s">
        <v>2626</v>
      </c>
    </row>
    <row r="378" spans="1:5" x14ac:dyDescent="0.25">
      <c r="A378" s="83" t="s">
        <v>2427</v>
      </c>
      <c r="B378" s="83" t="s">
        <v>2367</v>
      </c>
      <c r="C378" s="83">
        <v>2</v>
      </c>
      <c r="D378" s="114">
        <v>1.1524152049101782E-3</v>
      </c>
      <c r="E378" s="83" t="s">
        <v>2626</v>
      </c>
    </row>
    <row r="379" spans="1:5" x14ac:dyDescent="0.25">
      <c r="A379" s="83" t="s">
        <v>2367</v>
      </c>
      <c r="B379" s="83" t="s">
        <v>2235</v>
      </c>
      <c r="C379" s="83">
        <v>2</v>
      </c>
      <c r="D379" s="114">
        <v>1.1524152049101782E-3</v>
      </c>
      <c r="E379" s="83" t="s">
        <v>2626</v>
      </c>
    </row>
    <row r="380" spans="1:5" x14ac:dyDescent="0.25">
      <c r="A380" s="83" t="s">
        <v>2235</v>
      </c>
      <c r="B380" s="83" t="s">
        <v>2563</v>
      </c>
      <c r="C380" s="83">
        <v>2</v>
      </c>
      <c r="D380" s="114">
        <v>1.1524152049101782E-3</v>
      </c>
      <c r="E380" s="83" t="s">
        <v>2626</v>
      </c>
    </row>
    <row r="381" spans="1:5" x14ac:dyDescent="0.25">
      <c r="A381" s="83" t="s">
        <v>2563</v>
      </c>
      <c r="B381" s="83" t="s">
        <v>2564</v>
      </c>
      <c r="C381" s="83">
        <v>2</v>
      </c>
      <c r="D381" s="114">
        <v>1.1524152049101782E-3</v>
      </c>
      <c r="E381" s="83" t="s">
        <v>2626</v>
      </c>
    </row>
    <row r="382" spans="1:5" x14ac:dyDescent="0.25">
      <c r="A382" s="83" t="s">
        <v>2564</v>
      </c>
      <c r="B382" s="83" t="s">
        <v>2457</v>
      </c>
      <c r="C382" s="83">
        <v>2</v>
      </c>
      <c r="D382" s="114">
        <v>1.1524152049101782E-3</v>
      </c>
      <c r="E382" s="83" t="s">
        <v>2626</v>
      </c>
    </row>
    <row r="383" spans="1:5" x14ac:dyDescent="0.25">
      <c r="A383" s="83" t="s">
        <v>2457</v>
      </c>
      <c r="B383" s="83" t="s">
        <v>2565</v>
      </c>
      <c r="C383" s="83">
        <v>2</v>
      </c>
      <c r="D383" s="114">
        <v>1.1524152049101782E-3</v>
      </c>
      <c r="E383" s="83" t="s">
        <v>2626</v>
      </c>
    </row>
    <row r="384" spans="1:5" x14ac:dyDescent="0.25">
      <c r="A384" s="83" t="s">
        <v>2565</v>
      </c>
      <c r="B384" s="83" t="s">
        <v>2566</v>
      </c>
      <c r="C384" s="83">
        <v>2</v>
      </c>
      <c r="D384" s="114">
        <v>1.1524152049101782E-3</v>
      </c>
      <c r="E384" s="83" t="s">
        <v>2626</v>
      </c>
    </row>
    <row r="385" spans="1:5" x14ac:dyDescent="0.25">
      <c r="A385" s="83" t="s">
        <v>2566</v>
      </c>
      <c r="B385" s="83" t="s">
        <v>2368</v>
      </c>
      <c r="C385" s="83">
        <v>2</v>
      </c>
      <c r="D385" s="114">
        <v>1.1524152049101782E-3</v>
      </c>
      <c r="E385" s="83" t="s">
        <v>2626</v>
      </c>
    </row>
    <row r="386" spans="1:5" x14ac:dyDescent="0.25">
      <c r="A386" s="83" t="s">
        <v>2368</v>
      </c>
      <c r="B386" s="83" t="s">
        <v>2351</v>
      </c>
      <c r="C386" s="83">
        <v>2</v>
      </c>
      <c r="D386" s="114">
        <v>1.1524152049101782E-3</v>
      </c>
      <c r="E386" s="83" t="s">
        <v>2626</v>
      </c>
    </row>
    <row r="387" spans="1:5" x14ac:dyDescent="0.25">
      <c r="A387" s="83" t="s">
        <v>2351</v>
      </c>
      <c r="B387" s="83" t="s">
        <v>2329</v>
      </c>
      <c r="C387" s="83">
        <v>2</v>
      </c>
      <c r="D387" s="114">
        <v>1.1524152049101782E-3</v>
      </c>
      <c r="E387" s="83" t="s">
        <v>2626</v>
      </c>
    </row>
    <row r="388" spans="1:5" x14ac:dyDescent="0.25">
      <c r="A388" s="83" t="s">
        <v>2289</v>
      </c>
      <c r="B388" s="83" t="s">
        <v>2238</v>
      </c>
      <c r="C388" s="83">
        <v>2</v>
      </c>
      <c r="D388" s="114">
        <v>1.1524152049101782E-3</v>
      </c>
      <c r="E388" s="83" t="s">
        <v>2626</v>
      </c>
    </row>
    <row r="389" spans="1:5" x14ac:dyDescent="0.25">
      <c r="A389" s="83" t="s">
        <v>2351</v>
      </c>
      <c r="B389" s="83" t="s">
        <v>2248</v>
      </c>
      <c r="C389" s="83">
        <v>2</v>
      </c>
      <c r="D389" s="114">
        <v>1.1524152049101782E-3</v>
      </c>
      <c r="E389" s="83" t="s">
        <v>2626</v>
      </c>
    </row>
    <row r="390" spans="1:5" x14ac:dyDescent="0.25">
      <c r="A390" s="83" t="s">
        <v>2458</v>
      </c>
      <c r="B390" s="83" t="s">
        <v>2291</v>
      </c>
      <c r="C390" s="83">
        <v>2</v>
      </c>
      <c r="D390" s="114">
        <v>1.1524152049101782E-3</v>
      </c>
      <c r="E390" s="83" t="s">
        <v>2626</v>
      </c>
    </row>
    <row r="391" spans="1:5" x14ac:dyDescent="0.25">
      <c r="A391" s="83" t="s">
        <v>2568</v>
      </c>
      <c r="B391" s="83" t="s">
        <v>2629</v>
      </c>
      <c r="C391" s="83">
        <v>2</v>
      </c>
      <c r="D391" s="114">
        <v>1.3121551866899506E-3</v>
      </c>
      <c r="E391" s="83" t="s">
        <v>2626</v>
      </c>
    </row>
    <row r="392" spans="1:5" x14ac:dyDescent="0.25">
      <c r="A392" s="83" t="s">
        <v>2571</v>
      </c>
      <c r="B392" s="83" t="s">
        <v>2462</v>
      </c>
      <c r="C392" s="83">
        <v>2</v>
      </c>
      <c r="D392" s="114">
        <v>1.1524152049101782E-3</v>
      </c>
      <c r="E392" s="83" t="s">
        <v>2626</v>
      </c>
    </row>
    <row r="393" spans="1:5" x14ac:dyDescent="0.25">
      <c r="A393" s="83" t="s">
        <v>2235</v>
      </c>
      <c r="B393" s="83" t="s">
        <v>2408</v>
      </c>
      <c r="C393" s="83">
        <v>2</v>
      </c>
      <c r="D393" s="114">
        <v>1.1524152049101782E-3</v>
      </c>
      <c r="E393" s="83" t="s">
        <v>2626</v>
      </c>
    </row>
    <row r="394" spans="1:5" x14ac:dyDescent="0.25">
      <c r="A394" s="83" t="s">
        <v>2241</v>
      </c>
      <c r="B394" s="83" t="s">
        <v>2242</v>
      </c>
      <c r="C394" s="83">
        <v>2</v>
      </c>
      <c r="D394" s="114">
        <v>1.1524152049101782E-3</v>
      </c>
      <c r="E394" s="83" t="s">
        <v>2626</v>
      </c>
    </row>
    <row r="395" spans="1:5" x14ac:dyDescent="0.25">
      <c r="A395" s="83" t="s">
        <v>2240</v>
      </c>
      <c r="B395" s="83" t="s">
        <v>657</v>
      </c>
      <c r="C395" s="83">
        <v>2</v>
      </c>
      <c r="D395" s="114">
        <v>1.1524152049101782E-3</v>
      </c>
      <c r="E395" s="83" t="s">
        <v>2626</v>
      </c>
    </row>
    <row r="396" spans="1:5" x14ac:dyDescent="0.25">
      <c r="A396" s="83" t="s">
        <v>657</v>
      </c>
      <c r="B396" s="83" t="s">
        <v>2242</v>
      </c>
      <c r="C396" s="83">
        <v>2</v>
      </c>
      <c r="D396" s="114">
        <v>1.1524152049101782E-3</v>
      </c>
      <c r="E396" s="83" t="s">
        <v>2626</v>
      </c>
    </row>
    <row r="397" spans="1:5" x14ac:dyDescent="0.25">
      <c r="A397" s="83" t="s">
        <v>2299</v>
      </c>
      <c r="B397" s="83" t="s">
        <v>2354</v>
      </c>
      <c r="C397" s="83">
        <v>2</v>
      </c>
      <c r="D397" s="114">
        <v>1.1524152049101782E-3</v>
      </c>
      <c r="E397" s="83" t="s">
        <v>2626</v>
      </c>
    </row>
    <row r="398" spans="1:5" x14ac:dyDescent="0.25">
      <c r="A398" s="83" t="s">
        <v>2582</v>
      </c>
      <c r="B398" s="83" t="s">
        <v>2365</v>
      </c>
      <c r="C398" s="83">
        <v>2</v>
      </c>
      <c r="D398" s="114">
        <v>1.1524152049101782E-3</v>
      </c>
      <c r="E398" s="83" t="s">
        <v>2626</v>
      </c>
    </row>
    <row r="399" spans="1:5" x14ac:dyDescent="0.25">
      <c r="A399" s="83" t="s">
        <v>2587</v>
      </c>
      <c r="B399" s="83" t="s">
        <v>649</v>
      </c>
      <c r="C399" s="83">
        <v>2</v>
      </c>
      <c r="D399" s="114">
        <v>1.1524152049101782E-3</v>
      </c>
      <c r="E399" s="83" t="s">
        <v>2626</v>
      </c>
    </row>
    <row r="400" spans="1:5" x14ac:dyDescent="0.25">
      <c r="A400" s="83" t="s">
        <v>649</v>
      </c>
      <c r="B400" s="83" t="s">
        <v>2588</v>
      </c>
      <c r="C400" s="83">
        <v>2</v>
      </c>
      <c r="D400" s="114">
        <v>1.1524152049101782E-3</v>
      </c>
      <c r="E400" s="83" t="s">
        <v>2626</v>
      </c>
    </row>
    <row r="401" spans="1:5" x14ac:dyDescent="0.25">
      <c r="A401" s="83" t="s">
        <v>2407</v>
      </c>
      <c r="B401" s="83" t="s">
        <v>2242</v>
      </c>
      <c r="C401" s="83">
        <v>2</v>
      </c>
      <c r="D401" s="114">
        <v>1.1524152049101782E-3</v>
      </c>
      <c r="E401" s="83" t="s">
        <v>2626</v>
      </c>
    </row>
    <row r="402" spans="1:5" x14ac:dyDescent="0.25">
      <c r="A402" s="83" t="s">
        <v>2602</v>
      </c>
      <c r="B402" s="83" t="s">
        <v>2630</v>
      </c>
      <c r="C402" s="83">
        <v>2</v>
      </c>
      <c r="D402" s="114">
        <v>1.3121551866899506E-3</v>
      </c>
      <c r="E402" s="83" t="s">
        <v>2626</v>
      </c>
    </row>
    <row r="403" spans="1:5" x14ac:dyDescent="0.25">
      <c r="A403" s="83" t="s">
        <v>2247</v>
      </c>
      <c r="B403" s="83" t="s">
        <v>2355</v>
      </c>
      <c r="C403" s="83">
        <v>2</v>
      </c>
      <c r="D403" s="114">
        <v>1.1524152049101782E-3</v>
      </c>
      <c r="E403" s="83" t="s">
        <v>2626</v>
      </c>
    </row>
    <row r="404" spans="1:5" x14ac:dyDescent="0.25">
      <c r="A404" s="83" t="s">
        <v>2309</v>
      </c>
      <c r="B404" s="83" t="s">
        <v>2631</v>
      </c>
      <c r="C404" s="83">
        <v>2</v>
      </c>
      <c r="D404" s="114">
        <v>1.3121551866899506E-3</v>
      </c>
      <c r="E404" s="83" t="s">
        <v>2626</v>
      </c>
    </row>
    <row r="405" spans="1:5" x14ac:dyDescent="0.25">
      <c r="A405" s="83" t="s">
        <v>2246</v>
      </c>
      <c r="B405" s="83" t="s">
        <v>254</v>
      </c>
      <c r="C405" s="83">
        <v>2</v>
      </c>
      <c r="D405" s="114">
        <v>1.1524152049101782E-3</v>
      </c>
      <c r="E405" s="83" t="s">
        <v>2626</v>
      </c>
    </row>
    <row r="406" spans="1:5" x14ac:dyDescent="0.25">
      <c r="A406" s="83" t="s">
        <v>2361</v>
      </c>
      <c r="B406" s="83" t="s">
        <v>2235</v>
      </c>
      <c r="C406" s="83">
        <v>2</v>
      </c>
      <c r="D406" s="114">
        <v>1.1524152049101782E-3</v>
      </c>
      <c r="E406" s="83" t="s">
        <v>2626</v>
      </c>
    </row>
    <row r="407" spans="1:5" x14ac:dyDescent="0.25">
      <c r="A407" s="83" t="s">
        <v>2318</v>
      </c>
      <c r="B407" s="83" t="s">
        <v>2247</v>
      </c>
      <c r="C407" s="83">
        <v>2</v>
      </c>
      <c r="D407" s="114">
        <v>1.1524152049101782E-3</v>
      </c>
      <c r="E407" s="83" t="s">
        <v>2626</v>
      </c>
    </row>
    <row r="408" spans="1:5" x14ac:dyDescent="0.25">
      <c r="A408" s="83" t="s">
        <v>2255</v>
      </c>
      <c r="B408" s="83" t="s">
        <v>2610</v>
      </c>
      <c r="C408" s="83">
        <v>2</v>
      </c>
      <c r="D408" s="114">
        <v>1.1524152049101782E-3</v>
      </c>
      <c r="E408" s="83" t="s">
        <v>2626</v>
      </c>
    </row>
    <row r="409" spans="1:5" x14ac:dyDescent="0.25">
      <c r="A409" s="83" t="s">
        <v>2236</v>
      </c>
      <c r="B409" s="83" t="s">
        <v>276</v>
      </c>
      <c r="C409" s="83">
        <v>2</v>
      </c>
      <c r="D409" s="114">
        <v>1.3121551866899506E-3</v>
      </c>
      <c r="E409" s="83" t="s">
        <v>2626</v>
      </c>
    </row>
    <row r="410" spans="1:5" x14ac:dyDescent="0.25">
      <c r="A410" s="83" t="s">
        <v>2237</v>
      </c>
      <c r="B410" s="83" t="s">
        <v>2611</v>
      </c>
      <c r="C410" s="83">
        <v>2</v>
      </c>
      <c r="D410" s="114">
        <v>1.1524152049101782E-3</v>
      </c>
      <c r="E410" s="83" t="s">
        <v>2626</v>
      </c>
    </row>
    <row r="411" spans="1:5" x14ac:dyDescent="0.25">
      <c r="A411" s="83" t="s">
        <v>2611</v>
      </c>
      <c r="B411" s="83" t="s">
        <v>2612</v>
      </c>
      <c r="C411" s="83">
        <v>2</v>
      </c>
      <c r="D411" s="114">
        <v>1.1524152049101782E-3</v>
      </c>
      <c r="E411" s="83" t="s">
        <v>2626</v>
      </c>
    </row>
    <row r="412" spans="1:5" x14ac:dyDescent="0.25">
      <c r="A412" s="83" t="s">
        <v>2612</v>
      </c>
      <c r="B412" s="83" t="s">
        <v>2475</v>
      </c>
      <c r="C412" s="83">
        <v>2</v>
      </c>
      <c r="D412" s="114">
        <v>1.1524152049101782E-3</v>
      </c>
      <c r="E412" s="83" t="s">
        <v>2626</v>
      </c>
    </row>
    <row r="413" spans="1:5" x14ac:dyDescent="0.25">
      <c r="A413" s="83" t="s">
        <v>2475</v>
      </c>
      <c r="B413" s="83" t="s">
        <v>2613</v>
      </c>
      <c r="C413" s="83">
        <v>2</v>
      </c>
      <c r="D413" s="114">
        <v>1.1524152049101782E-3</v>
      </c>
      <c r="E413" s="83" t="s">
        <v>2626</v>
      </c>
    </row>
    <row r="414" spans="1:5" x14ac:dyDescent="0.25">
      <c r="A414" s="83" t="s">
        <v>2613</v>
      </c>
      <c r="B414" s="83" t="s">
        <v>2247</v>
      </c>
      <c r="C414" s="83">
        <v>2</v>
      </c>
      <c r="D414" s="114">
        <v>1.1524152049101782E-3</v>
      </c>
      <c r="E414" s="83" t="s">
        <v>2626</v>
      </c>
    </row>
    <row r="415" spans="1:5" x14ac:dyDescent="0.25">
      <c r="A415" s="83" t="s">
        <v>2247</v>
      </c>
      <c r="B415" s="83" t="s">
        <v>2279</v>
      </c>
      <c r="C415" s="83">
        <v>2</v>
      </c>
      <c r="D415" s="114">
        <v>1.1524152049101782E-3</v>
      </c>
      <c r="E415" s="83" t="s">
        <v>2626</v>
      </c>
    </row>
    <row r="416" spans="1:5" x14ac:dyDescent="0.25">
      <c r="A416" s="83" t="s">
        <v>2279</v>
      </c>
      <c r="B416" s="83" t="s">
        <v>2614</v>
      </c>
      <c r="C416" s="83">
        <v>2</v>
      </c>
      <c r="D416" s="114">
        <v>1.1524152049101782E-3</v>
      </c>
      <c r="E416" s="83" t="s">
        <v>2626</v>
      </c>
    </row>
    <row r="417" spans="1:5" x14ac:dyDescent="0.25">
      <c r="A417" s="83" t="s">
        <v>2614</v>
      </c>
      <c r="B417" s="83" t="s">
        <v>2242</v>
      </c>
      <c r="C417" s="83">
        <v>2</v>
      </c>
      <c r="D417" s="114">
        <v>1.1524152049101782E-3</v>
      </c>
      <c r="E417" s="83" t="s">
        <v>2626</v>
      </c>
    </row>
    <row r="418" spans="1:5" x14ac:dyDescent="0.25">
      <c r="A418" s="83" t="s">
        <v>2240</v>
      </c>
      <c r="B418" s="83" t="s">
        <v>2615</v>
      </c>
      <c r="C418" s="83">
        <v>2</v>
      </c>
      <c r="D418" s="114">
        <v>1.1524152049101782E-3</v>
      </c>
      <c r="E418" s="83" t="s">
        <v>2626</v>
      </c>
    </row>
    <row r="419" spans="1:5" x14ac:dyDescent="0.25">
      <c r="A419" s="83" t="s">
        <v>2615</v>
      </c>
      <c r="B419" s="83" t="s">
        <v>2238</v>
      </c>
      <c r="C419" s="83">
        <v>2</v>
      </c>
      <c r="D419" s="114">
        <v>1.1524152049101782E-3</v>
      </c>
      <c r="E419" s="83" t="s">
        <v>2626</v>
      </c>
    </row>
    <row r="420" spans="1:5" x14ac:dyDescent="0.25">
      <c r="A420" s="83" t="s">
        <v>2241</v>
      </c>
      <c r="B420" s="83" t="s">
        <v>638</v>
      </c>
      <c r="C420" s="83">
        <v>2</v>
      </c>
      <c r="D420" s="114">
        <v>1.1524152049101782E-3</v>
      </c>
      <c r="E420" s="83" t="s">
        <v>2626</v>
      </c>
    </row>
    <row r="421" spans="1:5" x14ac:dyDescent="0.25">
      <c r="A421" s="83" t="s">
        <v>2239</v>
      </c>
      <c r="B421" s="83" t="s">
        <v>2618</v>
      </c>
      <c r="C421" s="83">
        <v>2</v>
      </c>
      <c r="D421" s="114">
        <v>1.1524152049101782E-3</v>
      </c>
      <c r="E421" s="83" t="s">
        <v>2626</v>
      </c>
    </row>
    <row r="422" spans="1:5" x14ac:dyDescent="0.25">
      <c r="A422" s="83" t="s">
        <v>2235</v>
      </c>
      <c r="B422" s="83" t="s">
        <v>2619</v>
      </c>
      <c r="C422" s="83">
        <v>2</v>
      </c>
      <c r="D422" s="114">
        <v>1.1524152049101782E-3</v>
      </c>
      <c r="E422" s="83" t="s">
        <v>2626</v>
      </c>
    </row>
    <row r="423" spans="1:5" x14ac:dyDescent="0.25">
      <c r="A423" s="83" t="s">
        <v>2292</v>
      </c>
      <c r="B423" s="83" t="s">
        <v>2620</v>
      </c>
      <c r="C423" s="83">
        <v>2</v>
      </c>
      <c r="D423" s="114">
        <v>1.1524152049101782E-3</v>
      </c>
      <c r="E423" s="83" t="s">
        <v>2626</v>
      </c>
    </row>
    <row r="424" spans="1:5" x14ac:dyDescent="0.25">
      <c r="A424" s="83" t="s">
        <v>2473</v>
      </c>
      <c r="B424" s="83" t="s">
        <v>2622</v>
      </c>
      <c r="C424" s="83">
        <v>2</v>
      </c>
      <c r="D424" s="114">
        <v>1.1524152049101782E-3</v>
      </c>
      <c r="E424" s="83" t="s">
        <v>2626</v>
      </c>
    </row>
    <row r="425" spans="1:5" x14ac:dyDescent="0.25">
      <c r="A425" s="83" t="s">
        <v>2294</v>
      </c>
      <c r="B425" s="83" t="s">
        <v>2453</v>
      </c>
      <c r="C425" s="83">
        <v>2</v>
      </c>
      <c r="D425" s="114">
        <v>1.1524152049101782E-3</v>
      </c>
      <c r="E425" s="83" t="s">
        <v>2626</v>
      </c>
    </row>
    <row r="426" spans="1:5" x14ac:dyDescent="0.25">
      <c r="A426" s="83" t="s">
        <v>2235</v>
      </c>
      <c r="B426" s="83" t="s">
        <v>2238</v>
      </c>
      <c r="C426" s="83">
        <v>37</v>
      </c>
      <c r="D426" s="114">
        <v>1.2322852606546534E-2</v>
      </c>
      <c r="E426" s="83" t="s">
        <v>2212</v>
      </c>
    </row>
    <row r="427" spans="1:5" x14ac:dyDescent="0.25">
      <c r="A427" s="83" t="s">
        <v>2258</v>
      </c>
      <c r="B427" s="83" t="s">
        <v>2237</v>
      </c>
      <c r="C427" s="83">
        <v>20</v>
      </c>
      <c r="D427" s="114">
        <v>1.0049355605558072E-2</v>
      </c>
      <c r="E427" s="83" t="s">
        <v>2212</v>
      </c>
    </row>
    <row r="428" spans="1:5" x14ac:dyDescent="0.25">
      <c r="A428" s="83" t="s">
        <v>2257</v>
      </c>
      <c r="B428" s="83" t="s">
        <v>2235</v>
      </c>
      <c r="C428" s="83">
        <v>20</v>
      </c>
      <c r="D428" s="114">
        <v>1.0049355605558072E-2</v>
      </c>
      <c r="E428" s="83" t="s">
        <v>2212</v>
      </c>
    </row>
    <row r="429" spans="1:5" x14ac:dyDescent="0.25">
      <c r="A429" s="83" t="s">
        <v>662</v>
      </c>
      <c r="B429" s="83" t="s">
        <v>644</v>
      </c>
      <c r="C429" s="83">
        <v>19</v>
      </c>
      <c r="D429" s="114">
        <v>9.8152781230048929E-3</v>
      </c>
      <c r="E429" s="83" t="s">
        <v>2212</v>
      </c>
    </row>
    <row r="430" spans="1:5" x14ac:dyDescent="0.25">
      <c r="A430" s="83" t="s">
        <v>2236</v>
      </c>
      <c r="B430" s="83" t="s">
        <v>2253</v>
      </c>
      <c r="C430" s="83">
        <v>19</v>
      </c>
      <c r="D430" s="114">
        <v>9.8152781230048929E-3</v>
      </c>
      <c r="E430" s="83" t="s">
        <v>2212</v>
      </c>
    </row>
    <row r="431" spans="1:5" x14ac:dyDescent="0.25">
      <c r="A431" s="83" t="s">
        <v>2237</v>
      </c>
      <c r="B431" s="83" t="s">
        <v>2252</v>
      </c>
      <c r="C431" s="83">
        <v>18</v>
      </c>
      <c r="D431" s="114">
        <v>9.5666995821564512E-3</v>
      </c>
      <c r="E431" s="83" t="s">
        <v>2212</v>
      </c>
    </row>
    <row r="432" spans="1:5" x14ac:dyDescent="0.25">
      <c r="A432" s="83" t="s">
        <v>2252</v>
      </c>
      <c r="B432" s="83" t="s">
        <v>2235</v>
      </c>
      <c r="C432" s="83">
        <v>18</v>
      </c>
      <c r="D432" s="114">
        <v>9.5666995821564512E-3</v>
      </c>
      <c r="E432" s="83" t="s">
        <v>2212</v>
      </c>
    </row>
    <row r="433" spans="1:5" x14ac:dyDescent="0.25">
      <c r="A433" s="83" t="s">
        <v>2248</v>
      </c>
      <c r="B433" s="83" t="s">
        <v>2261</v>
      </c>
      <c r="C433" s="83">
        <v>17</v>
      </c>
      <c r="D433" s="114">
        <v>9.3028135601314777E-3</v>
      </c>
      <c r="E433" s="83" t="s">
        <v>2212</v>
      </c>
    </row>
    <row r="434" spans="1:5" x14ac:dyDescent="0.25">
      <c r="A434" s="83" t="s">
        <v>2261</v>
      </c>
      <c r="B434" s="83" t="s">
        <v>2243</v>
      </c>
      <c r="C434" s="83">
        <v>17</v>
      </c>
      <c r="D434" s="114">
        <v>9.3028135601314777E-3</v>
      </c>
      <c r="E434" s="83" t="s">
        <v>2212</v>
      </c>
    </row>
    <row r="435" spans="1:5" x14ac:dyDescent="0.25">
      <c r="A435" s="83" t="s">
        <v>2243</v>
      </c>
      <c r="B435" s="83" t="s">
        <v>2265</v>
      </c>
      <c r="C435" s="83">
        <v>17</v>
      </c>
      <c r="D435" s="114">
        <v>9.3028135601314777E-3</v>
      </c>
      <c r="E435" s="83" t="s">
        <v>2212</v>
      </c>
    </row>
    <row r="436" spans="1:5" x14ac:dyDescent="0.25">
      <c r="A436" s="83" t="s">
        <v>2265</v>
      </c>
      <c r="B436" s="83" t="s">
        <v>2266</v>
      </c>
      <c r="C436" s="83">
        <v>17</v>
      </c>
      <c r="D436" s="114">
        <v>9.3028135601314777E-3</v>
      </c>
      <c r="E436" s="83" t="s">
        <v>2212</v>
      </c>
    </row>
    <row r="437" spans="1:5" x14ac:dyDescent="0.25">
      <c r="A437" s="83" t="s">
        <v>2266</v>
      </c>
      <c r="B437" s="83" t="s">
        <v>2237</v>
      </c>
      <c r="C437" s="83">
        <v>17</v>
      </c>
      <c r="D437" s="114">
        <v>9.3028135601314777E-3</v>
      </c>
      <c r="E437" s="83" t="s">
        <v>2212</v>
      </c>
    </row>
    <row r="438" spans="1:5" x14ac:dyDescent="0.25">
      <c r="A438" s="83" t="s">
        <v>2238</v>
      </c>
      <c r="B438" s="83" t="s">
        <v>2264</v>
      </c>
      <c r="C438" s="83">
        <v>17</v>
      </c>
      <c r="D438" s="114">
        <v>9.3028135601314777E-3</v>
      </c>
      <c r="E438" s="83" t="s">
        <v>2212</v>
      </c>
    </row>
    <row r="439" spans="1:5" x14ac:dyDescent="0.25">
      <c r="A439" s="83" t="s">
        <v>2264</v>
      </c>
      <c r="B439" s="83" t="s">
        <v>2247</v>
      </c>
      <c r="C439" s="83">
        <v>17</v>
      </c>
      <c r="D439" s="114">
        <v>9.3028135601314777E-3</v>
      </c>
      <c r="E439" s="83" t="s">
        <v>2212</v>
      </c>
    </row>
    <row r="440" spans="1:5" x14ac:dyDescent="0.25">
      <c r="A440" s="83" t="s">
        <v>2247</v>
      </c>
      <c r="B440" s="83" t="s">
        <v>2243</v>
      </c>
      <c r="C440" s="83">
        <v>17</v>
      </c>
      <c r="D440" s="114">
        <v>9.3028135601314777E-3</v>
      </c>
      <c r="E440" s="83" t="s">
        <v>2212</v>
      </c>
    </row>
    <row r="441" spans="1:5" x14ac:dyDescent="0.25">
      <c r="A441" s="83" t="s">
        <v>2243</v>
      </c>
      <c r="B441" s="83" t="s">
        <v>2251</v>
      </c>
      <c r="C441" s="83">
        <v>17</v>
      </c>
      <c r="D441" s="114">
        <v>9.3028135601314777E-3</v>
      </c>
      <c r="E441" s="83" t="s">
        <v>2212</v>
      </c>
    </row>
    <row r="442" spans="1:5" x14ac:dyDescent="0.25">
      <c r="A442" s="83" t="s">
        <v>2260</v>
      </c>
      <c r="B442" s="83" t="s">
        <v>2241</v>
      </c>
      <c r="C442" s="83">
        <v>17</v>
      </c>
      <c r="D442" s="114">
        <v>9.3028135601314777E-3</v>
      </c>
      <c r="E442" s="83" t="s">
        <v>2212</v>
      </c>
    </row>
    <row r="443" spans="1:5" x14ac:dyDescent="0.25">
      <c r="A443" s="83" t="s">
        <v>2251</v>
      </c>
      <c r="B443" s="83" t="s">
        <v>2260</v>
      </c>
      <c r="C443" s="83">
        <v>16</v>
      </c>
      <c r="D443" s="114">
        <v>9.0227186050101226E-3</v>
      </c>
      <c r="E443" s="83" t="s">
        <v>2212</v>
      </c>
    </row>
    <row r="444" spans="1:5" x14ac:dyDescent="0.25">
      <c r="A444" s="83" t="s">
        <v>2267</v>
      </c>
      <c r="B444" s="83" t="s">
        <v>2257</v>
      </c>
      <c r="C444" s="83">
        <v>16</v>
      </c>
      <c r="D444" s="114">
        <v>9.0227186050101226E-3</v>
      </c>
      <c r="E444" s="83" t="s">
        <v>2212</v>
      </c>
    </row>
    <row r="445" spans="1:5" x14ac:dyDescent="0.25">
      <c r="A445" s="83" t="s">
        <v>2244</v>
      </c>
      <c r="B445" s="83" t="s">
        <v>2250</v>
      </c>
      <c r="C445" s="83">
        <v>15</v>
      </c>
      <c r="D445" s="114">
        <v>8.725400375141603E-3</v>
      </c>
      <c r="E445" s="83" t="s">
        <v>2212</v>
      </c>
    </row>
    <row r="446" spans="1:5" x14ac:dyDescent="0.25">
      <c r="A446" s="83" t="s">
        <v>2236</v>
      </c>
      <c r="B446" s="83" t="s">
        <v>2258</v>
      </c>
      <c r="C446" s="83">
        <v>15</v>
      </c>
      <c r="D446" s="114">
        <v>8.725400375141603E-3</v>
      </c>
      <c r="E446" s="83" t="s">
        <v>2212</v>
      </c>
    </row>
    <row r="447" spans="1:5" x14ac:dyDescent="0.25">
      <c r="A447" s="83" t="s">
        <v>655</v>
      </c>
      <c r="B447" s="83" t="s">
        <v>662</v>
      </c>
      <c r="C447" s="83">
        <v>14</v>
      </c>
      <c r="D447" s="114">
        <v>8.4097089998579309E-3</v>
      </c>
      <c r="E447" s="83" t="s">
        <v>2212</v>
      </c>
    </row>
    <row r="448" spans="1:5" x14ac:dyDescent="0.25">
      <c r="A448" s="83" t="s">
        <v>2280</v>
      </c>
      <c r="B448" s="83" t="s">
        <v>2235</v>
      </c>
      <c r="C448" s="83">
        <v>13</v>
      </c>
      <c r="D448" s="114">
        <v>8.0743299474446278E-3</v>
      </c>
      <c r="E448" s="83" t="s">
        <v>2212</v>
      </c>
    </row>
    <row r="449" spans="1:5" x14ac:dyDescent="0.25">
      <c r="A449" s="83" t="s">
        <v>2235</v>
      </c>
      <c r="B449" s="83" t="s">
        <v>2281</v>
      </c>
      <c r="C449" s="83">
        <v>13</v>
      </c>
      <c r="D449" s="114">
        <v>8.0743299474446278E-3</v>
      </c>
      <c r="E449" s="83" t="s">
        <v>2212</v>
      </c>
    </row>
    <row r="450" spans="1:5" x14ac:dyDescent="0.25">
      <c r="A450" s="83" t="s">
        <v>2281</v>
      </c>
      <c r="B450" s="83" t="s">
        <v>2248</v>
      </c>
      <c r="C450" s="83">
        <v>13</v>
      </c>
      <c r="D450" s="114">
        <v>8.0743299474446278E-3</v>
      </c>
      <c r="E450" s="83" t="s">
        <v>2212</v>
      </c>
    </row>
    <row r="451" spans="1:5" x14ac:dyDescent="0.25">
      <c r="A451" s="83" t="s">
        <v>2237</v>
      </c>
      <c r="B451" s="83" t="s">
        <v>2276</v>
      </c>
      <c r="C451" s="83">
        <v>13</v>
      </c>
      <c r="D451" s="114">
        <v>8.0743299474446278E-3</v>
      </c>
      <c r="E451" s="83" t="s">
        <v>2212</v>
      </c>
    </row>
    <row r="452" spans="1:5" x14ac:dyDescent="0.25">
      <c r="A452" s="83" t="s">
        <v>2276</v>
      </c>
      <c r="B452" s="83" t="s">
        <v>2244</v>
      </c>
      <c r="C452" s="83">
        <v>13</v>
      </c>
      <c r="D452" s="114">
        <v>8.0743299474446278E-3</v>
      </c>
      <c r="E452" s="83" t="s">
        <v>2212</v>
      </c>
    </row>
    <row r="453" spans="1:5" x14ac:dyDescent="0.25">
      <c r="A453" s="83" t="s">
        <v>2253</v>
      </c>
      <c r="B453" s="83" t="s">
        <v>2280</v>
      </c>
      <c r="C453" s="83">
        <v>12</v>
      </c>
      <c r="D453" s="114">
        <v>7.7177458905360328E-3</v>
      </c>
      <c r="E453" s="83" t="s">
        <v>2212</v>
      </c>
    </row>
    <row r="454" spans="1:5" x14ac:dyDescent="0.25">
      <c r="A454" s="83" t="s">
        <v>2270</v>
      </c>
      <c r="B454" s="83" t="s">
        <v>2271</v>
      </c>
      <c r="C454" s="83">
        <v>12</v>
      </c>
      <c r="D454" s="114">
        <v>7.7177458905360328E-3</v>
      </c>
      <c r="E454" s="83" t="s">
        <v>2212</v>
      </c>
    </row>
    <row r="455" spans="1:5" x14ac:dyDescent="0.25">
      <c r="A455" s="83" t="s">
        <v>2245</v>
      </c>
      <c r="B455" s="83" t="s">
        <v>2235</v>
      </c>
      <c r="C455" s="83">
        <v>11</v>
      </c>
      <c r="D455" s="114">
        <v>7.3381857958428089E-3</v>
      </c>
      <c r="E455" s="83" t="s">
        <v>2212</v>
      </c>
    </row>
    <row r="456" spans="1:5" x14ac:dyDescent="0.25">
      <c r="A456" s="83" t="s">
        <v>2238</v>
      </c>
      <c r="B456" s="83" t="s">
        <v>2296</v>
      </c>
      <c r="C456" s="83">
        <v>11</v>
      </c>
      <c r="D456" s="114">
        <v>7.3381857958428089E-3</v>
      </c>
      <c r="E456" s="83" t="s">
        <v>2212</v>
      </c>
    </row>
    <row r="457" spans="1:5" x14ac:dyDescent="0.25">
      <c r="A457" s="83" t="s">
        <v>2284</v>
      </c>
      <c r="B457" s="83" t="s">
        <v>2273</v>
      </c>
      <c r="C457" s="83">
        <v>10</v>
      </c>
      <c r="D457" s="114">
        <v>6.9335553910097351E-3</v>
      </c>
      <c r="E457" s="83" t="s">
        <v>2212</v>
      </c>
    </row>
    <row r="458" spans="1:5" x14ac:dyDescent="0.25">
      <c r="A458" s="83" t="s">
        <v>2273</v>
      </c>
      <c r="B458" s="83" t="s">
        <v>2249</v>
      </c>
      <c r="C458" s="83">
        <v>10</v>
      </c>
      <c r="D458" s="114">
        <v>6.9335553910097351E-3</v>
      </c>
      <c r="E458" s="83" t="s">
        <v>2212</v>
      </c>
    </row>
    <row r="459" spans="1:5" x14ac:dyDescent="0.25">
      <c r="A459" s="83" t="s">
        <v>2275</v>
      </c>
      <c r="B459" s="83" t="s">
        <v>2302</v>
      </c>
      <c r="C459" s="83">
        <v>9</v>
      </c>
      <c r="D459" s="114">
        <v>6.5013396204858537E-3</v>
      </c>
      <c r="E459" s="83" t="s">
        <v>2212</v>
      </c>
    </row>
    <row r="460" spans="1:5" x14ac:dyDescent="0.25">
      <c r="A460" s="83" t="s">
        <v>2302</v>
      </c>
      <c r="B460" s="83" t="s">
        <v>2303</v>
      </c>
      <c r="C460" s="83">
        <v>9</v>
      </c>
      <c r="D460" s="114">
        <v>6.5013396204858537E-3</v>
      </c>
      <c r="E460" s="83" t="s">
        <v>2212</v>
      </c>
    </row>
    <row r="461" spans="1:5" x14ac:dyDescent="0.25">
      <c r="A461" s="83" t="s">
        <v>2303</v>
      </c>
      <c r="B461" s="83" t="s">
        <v>2304</v>
      </c>
      <c r="C461" s="83">
        <v>9</v>
      </c>
      <c r="D461" s="114">
        <v>6.5013396204858537E-3</v>
      </c>
      <c r="E461" s="83" t="s">
        <v>2212</v>
      </c>
    </row>
    <row r="462" spans="1:5" x14ac:dyDescent="0.25">
      <c r="A462" s="83" t="s">
        <v>2304</v>
      </c>
      <c r="B462" s="83" t="s">
        <v>2305</v>
      </c>
      <c r="C462" s="83">
        <v>9</v>
      </c>
      <c r="D462" s="114">
        <v>6.5013396204858537E-3</v>
      </c>
      <c r="E462" s="83" t="s">
        <v>2212</v>
      </c>
    </row>
    <row r="463" spans="1:5" x14ac:dyDescent="0.25">
      <c r="A463" s="83" t="s">
        <v>2305</v>
      </c>
      <c r="B463" s="83" t="s">
        <v>2306</v>
      </c>
      <c r="C463" s="83">
        <v>9</v>
      </c>
      <c r="D463" s="114">
        <v>6.5013396204858537E-3</v>
      </c>
      <c r="E463" s="83" t="s">
        <v>2212</v>
      </c>
    </row>
    <row r="464" spans="1:5" x14ac:dyDescent="0.25">
      <c r="A464" s="83" t="s">
        <v>2244</v>
      </c>
      <c r="B464" s="83" t="s">
        <v>2283</v>
      </c>
      <c r="C464" s="83">
        <v>9</v>
      </c>
      <c r="D464" s="114">
        <v>6.5013396204858537E-3</v>
      </c>
      <c r="E464" s="83" t="s">
        <v>2212</v>
      </c>
    </row>
    <row r="465" spans="1:5" x14ac:dyDescent="0.25">
      <c r="A465" s="83" t="s">
        <v>2283</v>
      </c>
      <c r="B465" s="83" t="s">
        <v>2270</v>
      </c>
      <c r="C465" s="83">
        <v>9</v>
      </c>
      <c r="D465" s="114">
        <v>6.5013396204858537E-3</v>
      </c>
      <c r="E465" s="83" t="s">
        <v>2212</v>
      </c>
    </row>
    <row r="466" spans="1:5" x14ac:dyDescent="0.25">
      <c r="A466" s="83" t="s">
        <v>2271</v>
      </c>
      <c r="B466" s="83" t="s">
        <v>2284</v>
      </c>
      <c r="C466" s="83">
        <v>9</v>
      </c>
      <c r="D466" s="114">
        <v>6.5013396204858537E-3</v>
      </c>
      <c r="E466" s="83" t="s">
        <v>2212</v>
      </c>
    </row>
    <row r="467" spans="1:5" x14ac:dyDescent="0.25">
      <c r="A467" s="83" t="s">
        <v>2249</v>
      </c>
      <c r="B467" s="83" t="s">
        <v>2245</v>
      </c>
      <c r="C467" s="83">
        <v>8</v>
      </c>
      <c r="D467" s="114">
        <v>6.0384613730896201E-3</v>
      </c>
      <c r="E467" s="83" t="s">
        <v>2212</v>
      </c>
    </row>
    <row r="468" spans="1:5" x14ac:dyDescent="0.25">
      <c r="A468" s="83" t="s">
        <v>2253</v>
      </c>
      <c r="B468" s="83" t="s">
        <v>2275</v>
      </c>
      <c r="C468" s="83">
        <v>7</v>
      </c>
      <c r="D468" s="114">
        <v>5.541068811690455E-3</v>
      </c>
      <c r="E468" s="83" t="s">
        <v>2212</v>
      </c>
    </row>
    <row r="469" spans="1:5" x14ac:dyDescent="0.25">
      <c r="A469" s="83" t="s">
        <v>2306</v>
      </c>
      <c r="B469" s="83" t="s">
        <v>2235</v>
      </c>
      <c r="C469" s="83">
        <v>7</v>
      </c>
      <c r="D469" s="114">
        <v>5.541068811690455E-3</v>
      </c>
      <c r="E469" s="83" t="s">
        <v>2212</v>
      </c>
    </row>
    <row r="470" spans="1:5" x14ac:dyDescent="0.25">
      <c r="A470" s="83" t="s">
        <v>2235</v>
      </c>
      <c r="B470" s="83" t="s">
        <v>2242</v>
      </c>
      <c r="C470" s="83">
        <v>7</v>
      </c>
      <c r="D470" s="114">
        <v>5.541068811690455E-3</v>
      </c>
      <c r="E470" s="83" t="s">
        <v>2212</v>
      </c>
    </row>
    <row r="471" spans="1:5" x14ac:dyDescent="0.25">
      <c r="A471" s="83" t="s">
        <v>2242</v>
      </c>
      <c r="B471" s="83" t="s">
        <v>655</v>
      </c>
      <c r="C471" s="83">
        <v>7</v>
      </c>
      <c r="D471" s="114">
        <v>5.541068811690455E-3</v>
      </c>
      <c r="E471" s="83" t="s">
        <v>2212</v>
      </c>
    </row>
    <row r="472" spans="1:5" x14ac:dyDescent="0.25">
      <c r="A472" s="83" t="s">
        <v>2237</v>
      </c>
      <c r="B472" s="83" t="s">
        <v>2235</v>
      </c>
      <c r="C472" s="83">
        <v>7</v>
      </c>
      <c r="D472" s="114">
        <v>5.541068811690455E-3</v>
      </c>
      <c r="E472" s="83" t="s">
        <v>2212</v>
      </c>
    </row>
    <row r="473" spans="1:5" x14ac:dyDescent="0.25">
      <c r="A473" s="83" t="s">
        <v>2319</v>
      </c>
      <c r="B473" s="83" t="s">
        <v>657</v>
      </c>
      <c r="C473" s="83">
        <v>6</v>
      </c>
      <c r="D473" s="114">
        <v>5.0041994982064353E-3</v>
      </c>
      <c r="E473" s="83" t="s">
        <v>2212</v>
      </c>
    </row>
    <row r="474" spans="1:5" x14ac:dyDescent="0.25">
      <c r="A474" s="83" t="s">
        <v>657</v>
      </c>
      <c r="B474" s="83" t="s">
        <v>2320</v>
      </c>
      <c r="C474" s="83">
        <v>6</v>
      </c>
      <c r="D474" s="114">
        <v>5.0041994982064353E-3</v>
      </c>
      <c r="E474" s="83" t="s">
        <v>2212</v>
      </c>
    </row>
    <row r="475" spans="1:5" x14ac:dyDescent="0.25">
      <c r="A475" s="83" t="s">
        <v>2320</v>
      </c>
      <c r="B475" s="83" t="s">
        <v>2268</v>
      </c>
      <c r="C475" s="83">
        <v>6</v>
      </c>
      <c r="D475" s="114">
        <v>5.0041994982064353E-3</v>
      </c>
      <c r="E475" s="83" t="s">
        <v>2212</v>
      </c>
    </row>
    <row r="476" spans="1:5" x14ac:dyDescent="0.25">
      <c r="A476" s="83" t="s">
        <v>2268</v>
      </c>
      <c r="B476" s="83" t="s">
        <v>2333</v>
      </c>
      <c r="C476" s="83">
        <v>6</v>
      </c>
      <c r="D476" s="114">
        <v>5.0041994982064353E-3</v>
      </c>
      <c r="E476" s="83" t="s">
        <v>2212</v>
      </c>
    </row>
    <row r="477" spans="1:5" x14ac:dyDescent="0.25">
      <c r="A477" s="83" t="s">
        <v>2333</v>
      </c>
      <c r="B477" s="83" t="s">
        <v>2334</v>
      </c>
      <c r="C477" s="83">
        <v>6</v>
      </c>
      <c r="D477" s="114">
        <v>5.0041994982064353E-3</v>
      </c>
      <c r="E477" s="83" t="s">
        <v>2212</v>
      </c>
    </row>
    <row r="478" spans="1:5" x14ac:dyDescent="0.25">
      <c r="A478" s="83" t="s">
        <v>2334</v>
      </c>
      <c r="B478" s="83" t="s">
        <v>2335</v>
      </c>
      <c r="C478" s="83">
        <v>6</v>
      </c>
      <c r="D478" s="114">
        <v>5.0041994982064353E-3</v>
      </c>
      <c r="E478" s="83" t="s">
        <v>2212</v>
      </c>
    </row>
    <row r="479" spans="1:5" x14ac:dyDescent="0.25">
      <c r="A479" s="83" t="s">
        <v>2335</v>
      </c>
      <c r="B479" s="83" t="s">
        <v>2336</v>
      </c>
      <c r="C479" s="83">
        <v>6</v>
      </c>
      <c r="D479" s="114">
        <v>5.0041994982064353E-3</v>
      </c>
      <c r="E479" s="83" t="s">
        <v>2212</v>
      </c>
    </row>
    <row r="480" spans="1:5" x14ac:dyDescent="0.25">
      <c r="A480" s="83" t="s">
        <v>2336</v>
      </c>
      <c r="B480" s="83" t="s">
        <v>2337</v>
      </c>
      <c r="C480" s="83">
        <v>6</v>
      </c>
      <c r="D480" s="114">
        <v>5.0041994982064353E-3</v>
      </c>
      <c r="E480" s="83" t="s">
        <v>2212</v>
      </c>
    </row>
    <row r="481" spans="1:5" x14ac:dyDescent="0.25">
      <c r="A481" s="83" t="s">
        <v>2337</v>
      </c>
      <c r="B481" s="83" t="s">
        <v>2338</v>
      </c>
      <c r="C481" s="83">
        <v>6</v>
      </c>
      <c r="D481" s="114">
        <v>5.0041994982064353E-3</v>
      </c>
      <c r="E481" s="83" t="s">
        <v>2212</v>
      </c>
    </row>
    <row r="482" spans="1:5" x14ac:dyDescent="0.25">
      <c r="A482" s="83" t="s">
        <v>2338</v>
      </c>
      <c r="B482" s="83" t="s">
        <v>2339</v>
      </c>
      <c r="C482" s="83">
        <v>6</v>
      </c>
      <c r="D482" s="114">
        <v>5.0041994982064353E-3</v>
      </c>
      <c r="E482" s="83" t="s">
        <v>2212</v>
      </c>
    </row>
    <row r="483" spans="1:5" x14ac:dyDescent="0.25">
      <c r="A483" s="83" t="s">
        <v>2339</v>
      </c>
      <c r="B483" s="83" t="s">
        <v>2301</v>
      </c>
      <c r="C483" s="83">
        <v>6</v>
      </c>
      <c r="D483" s="114">
        <v>5.0041994982064353E-3</v>
      </c>
      <c r="E483" s="83" t="s">
        <v>2212</v>
      </c>
    </row>
    <row r="484" spans="1:5" x14ac:dyDescent="0.25">
      <c r="A484" s="83" t="s">
        <v>2301</v>
      </c>
      <c r="B484" s="83" t="s">
        <v>2340</v>
      </c>
      <c r="C484" s="83">
        <v>6</v>
      </c>
      <c r="D484" s="114">
        <v>5.0041994982064353E-3</v>
      </c>
      <c r="E484" s="83" t="s">
        <v>2212</v>
      </c>
    </row>
    <row r="485" spans="1:5" x14ac:dyDescent="0.25">
      <c r="A485" s="83" t="s">
        <v>2340</v>
      </c>
      <c r="B485" s="83" t="s">
        <v>2341</v>
      </c>
      <c r="C485" s="83">
        <v>6</v>
      </c>
      <c r="D485" s="114">
        <v>5.0041994982064353E-3</v>
      </c>
      <c r="E485" s="83" t="s">
        <v>2212</v>
      </c>
    </row>
    <row r="486" spans="1:5" x14ac:dyDescent="0.25">
      <c r="A486" s="83" t="s">
        <v>2341</v>
      </c>
      <c r="B486" s="83" t="s">
        <v>2342</v>
      </c>
      <c r="C486" s="83">
        <v>6</v>
      </c>
      <c r="D486" s="114">
        <v>5.0041994982064353E-3</v>
      </c>
      <c r="E486" s="83" t="s">
        <v>2212</v>
      </c>
    </row>
    <row r="487" spans="1:5" x14ac:dyDescent="0.25">
      <c r="A487" s="83" t="s">
        <v>2235</v>
      </c>
      <c r="B487" s="83" t="s">
        <v>661</v>
      </c>
      <c r="C487" s="83">
        <v>6</v>
      </c>
      <c r="D487" s="114">
        <v>5.0041994982064353E-3</v>
      </c>
      <c r="E487" s="83" t="s">
        <v>2212</v>
      </c>
    </row>
    <row r="488" spans="1:5" x14ac:dyDescent="0.25">
      <c r="A488" s="83" t="s">
        <v>2236</v>
      </c>
      <c r="B488" s="83" t="s">
        <v>2246</v>
      </c>
      <c r="C488" s="83">
        <v>6</v>
      </c>
      <c r="D488" s="114">
        <v>5.0041994982064353E-3</v>
      </c>
      <c r="E488" s="83" t="s">
        <v>2212</v>
      </c>
    </row>
    <row r="489" spans="1:5" x14ac:dyDescent="0.25">
      <c r="A489" s="83" t="s">
        <v>2246</v>
      </c>
      <c r="B489" s="83" t="s">
        <v>2244</v>
      </c>
      <c r="C489" s="83">
        <v>6</v>
      </c>
      <c r="D489" s="114">
        <v>5.0041994982064353E-3</v>
      </c>
      <c r="E489" s="83" t="s">
        <v>2212</v>
      </c>
    </row>
    <row r="490" spans="1:5" x14ac:dyDescent="0.25">
      <c r="A490" s="83" t="s">
        <v>2235</v>
      </c>
      <c r="B490" s="83" t="s">
        <v>655</v>
      </c>
      <c r="C490" s="83">
        <v>6</v>
      </c>
      <c r="D490" s="114">
        <v>5.0041994982064353E-3</v>
      </c>
      <c r="E490" s="83" t="s">
        <v>2212</v>
      </c>
    </row>
    <row r="491" spans="1:5" x14ac:dyDescent="0.25">
      <c r="A491" s="83" t="s">
        <v>2296</v>
      </c>
      <c r="B491" s="83" t="s">
        <v>2332</v>
      </c>
      <c r="C491" s="83">
        <v>6</v>
      </c>
      <c r="D491" s="114">
        <v>5.0041994982064353E-3</v>
      </c>
      <c r="E491" s="83" t="s">
        <v>2212</v>
      </c>
    </row>
    <row r="492" spans="1:5" x14ac:dyDescent="0.25">
      <c r="A492" s="83" t="s">
        <v>2356</v>
      </c>
      <c r="B492" s="83" t="s">
        <v>2319</v>
      </c>
      <c r="C492" s="83">
        <v>5</v>
      </c>
      <c r="D492" s="114">
        <v>4.4212164896202163E-3</v>
      </c>
      <c r="E492" s="83" t="s">
        <v>2212</v>
      </c>
    </row>
    <row r="493" spans="1:5" x14ac:dyDescent="0.25">
      <c r="A493" s="83" t="s">
        <v>2342</v>
      </c>
      <c r="B493" s="83" t="s">
        <v>662</v>
      </c>
      <c r="C493" s="83">
        <v>5</v>
      </c>
      <c r="D493" s="114">
        <v>4.4212164896202163E-3</v>
      </c>
      <c r="E493" s="83" t="s">
        <v>2212</v>
      </c>
    </row>
    <row r="494" spans="1:5" x14ac:dyDescent="0.25">
      <c r="A494" s="83" t="s">
        <v>644</v>
      </c>
      <c r="B494" s="83" t="s">
        <v>2235</v>
      </c>
      <c r="C494" s="83">
        <v>5</v>
      </c>
      <c r="D494" s="114">
        <v>4.4212164896202163E-3</v>
      </c>
      <c r="E494" s="83" t="s">
        <v>2212</v>
      </c>
    </row>
    <row r="495" spans="1:5" x14ac:dyDescent="0.25">
      <c r="A495" s="83" t="s">
        <v>2236</v>
      </c>
      <c r="B495" s="83" t="s">
        <v>2357</v>
      </c>
      <c r="C495" s="83">
        <v>5</v>
      </c>
      <c r="D495" s="114">
        <v>4.4212164896202163E-3</v>
      </c>
      <c r="E495" s="83" t="s">
        <v>2212</v>
      </c>
    </row>
    <row r="496" spans="1:5" x14ac:dyDescent="0.25">
      <c r="A496" s="83" t="s">
        <v>2358</v>
      </c>
      <c r="B496" s="83" t="s">
        <v>2235</v>
      </c>
      <c r="C496" s="83">
        <v>5</v>
      </c>
      <c r="D496" s="114">
        <v>4.4212164896202163E-3</v>
      </c>
      <c r="E496" s="83" t="s">
        <v>2212</v>
      </c>
    </row>
    <row r="497" spans="1:5" x14ac:dyDescent="0.25">
      <c r="A497" s="83" t="s">
        <v>2236</v>
      </c>
      <c r="B497" s="83" t="s">
        <v>2356</v>
      </c>
      <c r="C497" s="83">
        <v>4</v>
      </c>
      <c r="D497" s="114">
        <v>3.7827817218370899E-3</v>
      </c>
      <c r="E497" s="83" t="s">
        <v>2212</v>
      </c>
    </row>
    <row r="498" spans="1:5" x14ac:dyDescent="0.25">
      <c r="A498" s="83" t="s">
        <v>2236</v>
      </c>
      <c r="B498" s="83" t="s">
        <v>2477</v>
      </c>
      <c r="C498" s="83">
        <v>4</v>
      </c>
      <c r="D498" s="114">
        <v>4.5463327571293698E-3</v>
      </c>
      <c r="E498" s="83" t="s">
        <v>2212</v>
      </c>
    </row>
    <row r="499" spans="1:5" x14ac:dyDescent="0.25">
      <c r="A499" s="83" t="s">
        <v>2321</v>
      </c>
      <c r="B499" s="83" t="s">
        <v>2235</v>
      </c>
      <c r="C499" s="83">
        <v>4</v>
      </c>
      <c r="D499" s="114">
        <v>3.7827817218370899E-3</v>
      </c>
      <c r="E499" s="83" t="s">
        <v>2212</v>
      </c>
    </row>
    <row r="500" spans="1:5" x14ac:dyDescent="0.25">
      <c r="A500" s="83" t="s">
        <v>657</v>
      </c>
      <c r="B500" s="83" t="s">
        <v>2358</v>
      </c>
      <c r="C500" s="83">
        <v>4</v>
      </c>
      <c r="D500" s="114">
        <v>3.7827817218370899E-3</v>
      </c>
      <c r="E500" s="83" t="s">
        <v>2212</v>
      </c>
    </row>
    <row r="501" spans="1:5" x14ac:dyDescent="0.25">
      <c r="A501" s="83" t="s">
        <v>2235</v>
      </c>
      <c r="B501" s="83" t="s">
        <v>2378</v>
      </c>
      <c r="C501" s="83">
        <v>4</v>
      </c>
      <c r="D501" s="114">
        <v>3.7827817218370899E-3</v>
      </c>
      <c r="E501" s="83" t="s">
        <v>2212</v>
      </c>
    </row>
    <row r="502" spans="1:5" x14ac:dyDescent="0.25">
      <c r="A502" s="83" t="s">
        <v>2378</v>
      </c>
      <c r="B502" s="83" t="s">
        <v>2289</v>
      </c>
      <c r="C502" s="83">
        <v>4</v>
      </c>
      <c r="D502" s="114">
        <v>3.7827817218370899E-3</v>
      </c>
      <c r="E502" s="83" t="s">
        <v>2212</v>
      </c>
    </row>
    <row r="503" spans="1:5" x14ac:dyDescent="0.25">
      <c r="A503" s="83" t="s">
        <v>2289</v>
      </c>
      <c r="B503" s="83" t="s">
        <v>2248</v>
      </c>
      <c r="C503" s="83">
        <v>4</v>
      </c>
      <c r="D503" s="114">
        <v>3.7827817218370899E-3</v>
      </c>
      <c r="E503" s="83" t="s">
        <v>2212</v>
      </c>
    </row>
    <row r="504" spans="1:5" x14ac:dyDescent="0.25">
      <c r="A504" s="83" t="s">
        <v>2236</v>
      </c>
      <c r="B504" s="83" t="s">
        <v>2311</v>
      </c>
      <c r="C504" s="83">
        <v>4</v>
      </c>
      <c r="D504" s="114">
        <v>4.5463327571293698E-3</v>
      </c>
      <c r="E504" s="83" t="s">
        <v>2212</v>
      </c>
    </row>
    <row r="505" spans="1:5" x14ac:dyDescent="0.25">
      <c r="A505" s="83" t="s">
        <v>2235</v>
      </c>
      <c r="B505" s="83" t="s">
        <v>2279</v>
      </c>
      <c r="C505" s="83">
        <v>4</v>
      </c>
      <c r="D505" s="114">
        <v>3.7827817218370899E-3</v>
      </c>
      <c r="E505" s="83" t="s">
        <v>2212</v>
      </c>
    </row>
    <row r="506" spans="1:5" x14ac:dyDescent="0.25">
      <c r="A506" s="83" t="s">
        <v>2246</v>
      </c>
      <c r="B506" s="83" t="s">
        <v>2245</v>
      </c>
      <c r="C506" s="83">
        <v>4</v>
      </c>
      <c r="D506" s="114">
        <v>3.7827817218370899E-3</v>
      </c>
      <c r="E506" s="83" t="s">
        <v>2212</v>
      </c>
    </row>
    <row r="507" spans="1:5" x14ac:dyDescent="0.25">
      <c r="A507" s="83" t="s">
        <v>2245</v>
      </c>
      <c r="B507" s="83" t="s">
        <v>2308</v>
      </c>
      <c r="C507" s="83">
        <v>4</v>
      </c>
      <c r="D507" s="114">
        <v>3.7827817218370899E-3</v>
      </c>
      <c r="E507" s="83" t="s">
        <v>2212</v>
      </c>
    </row>
    <row r="508" spans="1:5" x14ac:dyDescent="0.25">
      <c r="A508" s="83" t="s">
        <v>2238</v>
      </c>
      <c r="B508" s="83" t="s">
        <v>645</v>
      </c>
      <c r="C508" s="83">
        <v>3</v>
      </c>
      <c r="D508" s="114">
        <v>3.0747630255724277E-3</v>
      </c>
      <c r="E508" s="83" t="s">
        <v>2212</v>
      </c>
    </row>
    <row r="509" spans="1:5" x14ac:dyDescent="0.25">
      <c r="A509" s="83" t="s">
        <v>2248</v>
      </c>
      <c r="B509" s="83" t="s">
        <v>2254</v>
      </c>
      <c r="C509" s="83">
        <v>3</v>
      </c>
      <c r="D509" s="114">
        <v>3.0747630255724277E-3</v>
      </c>
      <c r="E509" s="83" t="s">
        <v>2212</v>
      </c>
    </row>
    <row r="510" spans="1:5" x14ac:dyDescent="0.25">
      <c r="A510" s="83" t="s">
        <v>2311</v>
      </c>
      <c r="B510" s="83" t="s">
        <v>2321</v>
      </c>
      <c r="C510" s="83">
        <v>3</v>
      </c>
      <c r="D510" s="114">
        <v>3.0747630255724277E-3</v>
      </c>
      <c r="E510" s="83" t="s">
        <v>2212</v>
      </c>
    </row>
    <row r="511" spans="1:5" x14ac:dyDescent="0.25">
      <c r="A511" s="83" t="s">
        <v>2357</v>
      </c>
      <c r="B511" s="83" t="s">
        <v>657</v>
      </c>
      <c r="C511" s="83">
        <v>3</v>
      </c>
      <c r="D511" s="114">
        <v>3.0747630255724277E-3</v>
      </c>
      <c r="E511" s="83" t="s">
        <v>2212</v>
      </c>
    </row>
    <row r="512" spans="1:5" x14ac:dyDescent="0.25">
      <c r="A512" s="83" t="s">
        <v>2235</v>
      </c>
      <c r="B512" s="83" t="s">
        <v>2269</v>
      </c>
      <c r="C512" s="83">
        <v>3</v>
      </c>
      <c r="D512" s="114">
        <v>3.0747630255724277E-3</v>
      </c>
      <c r="E512" s="83" t="s">
        <v>2212</v>
      </c>
    </row>
    <row r="513" spans="1:5" x14ac:dyDescent="0.25">
      <c r="A513" s="83" t="s">
        <v>2413</v>
      </c>
      <c r="B513" s="83" t="s">
        <v>2235</v>
      </c>
      <c r="C513" s="83">
        <v>3</v>
      </c>
      <c r="D513" s="114">
        <v>3.0747630255724277E-3</v>
      </c>
      <c r="E513" s="83" t="s">
        <v>2212</v>
      </c>
    </row>
    <row r="514" spans="1:5" x14ac:dyDescent="0.25">
      <c r="A514" s="83" t="s">
        <v>661</v>
      </c>
      <c r="B514" s="83" t="s">
        <v>2274</v>
      </c>
      <c r="C514" s="83">
        <v>3</v>
      </c>
      <c r="D514" s="114">
        <v>3.0747630255724277E-3</v>
      </c>
      <c r="E514" s="83" t="s">
        <v>2212</v>
      </c>
    </row>
    <row r="515" spans="1:5" x14ac:dyDescent="0.25">
      <c r="A515" s="83" t="s">
        <v>254</v>
      </c>
      <c r="B515" s="83" t="s">
        <v>2245</v>
      </c>
      <c r="C515" s="83">
        <v>3</v>
      </c>
      <c r="D515" s="114">
        <v>3.0747630255724277E-3</v>
      </c>
      <c r="E515" s="83" t="s">
        <v>2212</v>
      </c>
    </row>
    <row r="516" spans="1:5" x14ac:dyDescent="0.25">
      <c r="A516" s="83" t="s">
        <v>2239</v>
      </c>
      <c r="B516" s="83" t="s">
        <v>2240</v>
      </c>
      <c r="C516" s="83">
        <v>3</v>
      </c>
      <c r="D516" s="114">
        <v>3.0747630255724277E-3</v>
      </c>
      <c r="E516" s="83" t="s">
        <v>2212</v>
      </c>
    </row>
    <row r="517" spans="1:5" x14ac:dyDescent="0.25">
      <c r="A517" s="83" t="s">
        <v>2308</v>
      </c>
      <c r="B517" s="83" t="s">
        <v>2235</v>
      </c>
      <c r="C517" s="83">
        <v>3</v>
      </c>
      <c r="D517" s="114">
        <v>3.0747630255724277E-3</v>
      </c>
      <c r="E517" s="83" t="s">
        <v>2212</v>
      </c>
    </row>
    <row r="518" spans="1:5" x14ac:dyDescent="0.25">
      <c r="A518" s="83" t="s">
        <v>2236</v>
      </c>
      <c r="B518" s="83" t="s">
        <v>2478</v>
      </c>
      <c r="C518" s="83">
        <v>2</v>
      </c>
      <c r="D518" s="114">
        <v>2.2731663785646849E-3</v>
      </c>
      <c r="E518" s="83" t="s">
        <v>2212</v>
      </c>
    </row>
    <row r="519" spans="1:5" x14ac:dyDescent="0.25">
      <c r="A519" s="83" t="s">
        <v>2478</v>
      </c>
      <c r="B519" s="83" t="s">
        <v>2375</v>
      </c>
      <c r="C519" s="83">
        <v>2</v>
      </c>
      <c r="D519" s="114">
        <v>2.2731663785646849E-3</v>
      </c>
      <c r="E519" s="83" t="s">
        <v>2212</v>
      </c>
    </row>
    <row r="520" spans="1:5" x14ac:dyDescent="0.25">
      <c r="A520" s="83" t="s">
        <v>2375</v>
      </c>
      <c r="B520" s="83" t="s">
        <v>2375</v>
      </c>
      <c r="C520" s="83">
        <v>2</v>
      </c>
      <c r="D520" s="114">
        <v>2.2731663785646849E-3</v>
      </c>
      <c r="E520" s="83" t="s">
        <v>2212</v>
      </c>
    </row>
    <row r="521" spans="1:5" x14ac:dyDescent="0.25">
      <c r="A521" s="83" t="s">
        <v>2375</v>
      </c>
      <c r="B521" s="83" t="s">
        <v>2244</v>
      </c>
      <c r="C521" s="83">
        <v>2</v>
      </c>
      <c r="D521" s="114">
        <v>2.2731663785646849E-3</v>
      </c>
      <c r="E521" s="83" t="s">
        <v>2212</v>
      </c>
    </row>
    <row r="522" spans="1:5" x14ac:dyDescent="0.25">
      <c r="A522" s="83" t="s">
        <v>2250</v>
      </c>
      <c r="B522" s="83" t="s">
        <v>2479</v>
      </c>
      <c r="C522" s="83">
        <v>2</v>
      </c>
      <c r="D522" s="114">
        <v>2.2731663785646849E-3</v>
      </c>
      <c r="E522" s="83" t="s">
        <v>2212</v>
      </c>
    </row>
    <row r="523" spans="1:5" x14ac:dyDescent="0.25">
      <c r="A523" s="83" t="s">
        <v>2479</v>
      </c>
      <c r="B523" s="83" t="s">
        <v>2480</v>
      </c>
      <c r="C523" s="83">
        <v>2</v>
      </c>
      <c r="D523" s="114">
        <v>2.2731663785646849E-3</v>
      </c>
      <c r="E523" s="83" t="s">
        <v>2212</v>
      </c>
    </row>
    <row r="524" spans="1:5" x14ac:dyDescent="0.25">
      <c r="A524" s="83" t="s">
        <v>2480</v>
      </c>
      <c r="B524" s="83" t="s">
        <v>2273</v>
      </c>
      <c r="C524" s="83">
        <v>2</v>
      </c>
      <c r="D524" s="114">
        <v>2.2731663785646849E-3</v>
      </c>
      <c r="E524" s="83" t="s">
        <v>2212</v>
      </c>
    </row>
    <row r="525" spans="1:5" x14ac:dyDescent="0.25">
      <c r="A525" s="83" t="s">
        <v>2273</v>
      </c>
      <c r="B525" s="83" t="s">
        <v>2481</v>
      </c>
      <c r="C525" s="83">
        <v>2</v>
      </c>
      <c r="D525" s="114">
        <v>2.2731663785646849E-3</v>
      </c>
      <c r="E525" s="83" t="s">
        <v>2212</v>
      </c>
    </row>
    <row r="526" spans="1:5" x14ac:dyDescent="0.25">
      <c r="A526" s="83" t="s">
        <v>2481</v>
      </c>
      <c r="B526" s="83" t="s">
        <v>2411</v>
      </c>
      <c r="C526" s="83">
        <v>2</v>
      </c>
      <c r="D526" s="114">
        <v>2.2731663785646849E-3</v>
      </c>
      <c r="E526" s="83" t="s">
        <v>2212</v>
      </c>
    </row>
    <row r="527" spans="1:5" x14ac:dyDescent="0.25">
      <c r="A527" s="83" t="s">
        <v>2411</v>
      </c>
      <c r="B527" s="83" t="s">
        <v>2482</v>
      </c>
      <c r="C527" s="83">
        <v>2</v>
      </c>
      <c r="D527" s="114">
        <v>2.2731663785646849E-3</v>
      </c>
      <c r="E527" s="83" t="s">
        <v>2212</v>
      </c>
    </row>
    <row r="528" spans="1:5" x14ac:dyDescent="0.25">
      <c r="A528" s="83" t="s">
        <v>2482</v>
      </c>
      <c r="B528" s="83" t="s">
        <v>2235</v>
      </c>
      <c r="C528" s="83">
        <v>2</v>
      </c>
      <c r="D528" s="114">
        <v>2.2731663785646849E-3</v>
      </c>
      <c r="E528" s="83" t="s">
        <v>2212</v>
      </c>
    </row>
    <row r="529" spans="1:5" x14ac:dyDescent="0.25">
      <c r="A529" s="83" t="s">
        <v>2357</v>
      </c>
      <c r="B529" s="83" t="s">
        <v>2483</v>
      </c>
      <c r="C529" s="83">
        <v>2</v>
      </c>
      <c r="D529" s="114">
        <v>2.2731663785646849E-3</v>
      </c>
      <c r="E529" s="83" t="s">
        <v>2212</v>
      </c>
    </row>
    <row r="530" spans="1:5" x14ac:dyDescent="0.25">
      <c r="A530" s="83" t="s">
        <v>2483</v>
      </c>
      <c r="B530" s="83" t="s">
        <v>2236</v>
      </c>
      <c r="C530" s="83">
        <v>2</v>
      </c>
      <c r="D530" s="114">
        <v>2.2731663785646849E-3</v>
      </c>
      <c r="E530" s="83" t="s">
        <v>2212</v>
      </c>
    </row>
    <row r="531" spans="1:5" x14ac:dyDescent="0.25">
      <c r="A531" s="83" t="s">
        <v>2235</v>
      </c>
      <c r="B531" s="83" t="s">
        <v>2512</v>
      </c>
      <c r="C531" s="83">
        <v>2</v>
      </c>
      <c r="D531" s="114">
        <v>2.2731663785646849E-3</v>
      </c>
      <c r="E531" s="83" t="s">
        <v>2212</v>
      </c>
    </row>
    <row r="532" spans="1:5" x14ac:dyDescent="0.25">
      <c r="A532" s="83" t="s">
        <v>2512</v>
      </c>
      <c r="B532" s="83" t="s">
        <v>2238</v>
      </c>
      <c r="C532" s="83">
        <v>2</v>
      </c>
      <c r="D532" s="114">
        <v>2.2731663785646849E-3</v>
      </c>
      <c r="E532" s="83" t="s">
        <v>2212</v>
      </c>
    </row>
    <row r="533" spans="1:5" x14ac:dyDescent="0.25">
      <c r="A533" s="83" t="s">
        <v>2235</v>
      </c>
      <c r="B533" s="83" t="s">
        <v>2484</v>
      </c>
      <c r="C533" s="83">
        <v>2</v>
      </c>
      <c r="D533" s="114">
        <v>2.2731663785646849E-3</v>
      </c>
      <c r="E533" s="83" t="s">
        <v>2212</v>
      </c>
    </row>
    <row r="534" spans="1:5" x14ac:dyDescent="0.25">
      <c r="A534" s="83" t="s">
        <v>2310</v>
      </c>
      <c r="B534" s="83" t="s">
        <v>2377</v>
      </c>
      <c r="C534" s="83">
        <v>2</v>
      </c>
      <c r="D534" s="114">
        <v>2.2731663785646849E-3</v>
      </c>
      <c r="E534" s="83" t="s">
        <v>2212</v>
      </c>
    </row>
    <row r="535" spans="1:5" x14ac:dyDescent="0.25">
      <c r="A535" s="83" t="s">
        <v>2377</v>
      </c>
      <c r="B535" s="83" t="s">
        <v>2256</v>
      </c>
      <c r="C535" s="83">
        <v>2</v>
      </c>
      <c r="D535" s="114">
        <v>2.2731663785646849E-3</v>
      </c>
      <c r="E535" s="83" t="s">
        <v>2212</v>
      </c>
    </row>
    <row r="536" spans="1:5" x14ac:dyDescent="0.25">
      <c r="A536" s="83" t="s">
        <v>2256</v>
      </c>
      <c r="B536" s="83" t="s">
        <v>2488</v>
      </c>
      <c r="C536" s="83">
        <v>2</v>
      </c>
      <c r="D536" s="114">
        <v>2.2731663785646849E-3</v>
      </c>
      <c r="E536" s="83" t="s">
        <v>2212</v>
      </c>
    </row>
    <row r="537" spans="1:5" x14ac:dyDescent="0.25">
      <c r="A537" s="83" t="s">
        <v>2488</v>
      </c>
      <c r="B537" s="83" t="s">
        <v>2489</v>
      </c>
      <c r="C537" s="83">
        <v>2</v>
      </c>
      <c r="D537" s="114">
        <v>2.2731663785646849E-3</v>
      </c>
      <c r="E537" s="83" t="s">
        <v>2212</v>
      </c>
    </row>
    <row r="538" spans="1:5" x14ac:dyDescent="0.25">
      <c r="A538" s="83" t="s">
        <v>2489</v>
      </c>
      <c r="B538" s="83" t="s">
        <v>2412</v>
      </c>
      <c r="C538" s="83">
        <v>2</v>
      </c>
      <c r="D538" s="114">
        <v>2.2731663785646849E-3</v>
      </c>
      <c r="E538" s="83" t="s">
        <v>2212</v>
      </c>
    </row>
    <row r="539" spans="1:5" x14ac:dyDescent="0.25">
      <c r="A539" s="83" t="s">
        <v>2412</v>
      </c>
      <c r="B539" s="83" t="s">
        <v>2490</v>
      </c>
      <c r="C539" s="83">
        <v>2</v>
      </c>
      <c r="D539" s="114">
        <v>2.2731663785646849E-3</v>
      </c>
      <c r="E539" s="83" t="s">
        <v>2212</v>
      </c>
    </row>
    <row r="540" spans="1:5" x14ac:dyDescent="0.25">
      <c r="A540" s="83" t="s">
        <v>2490</v>
      </c>
      <c r="B540" s="83" t="s">
        <v>2491</v>
      </c>
      <c r="C540" s="83">
        <v>2</v>
      </c>
      <c r="D540" s="114">
        <v>2.2731663785646849E-3</v>
      </c>
      <c r="E540" s="83" t="s">
        <v>2212</v>
      </c>
    </row>
    <row r="541" spans="1:5" x14ac:dyDescent="0.25">
      <c r="A541" s="83" t="s">
        <v>2491</v>
      </c>
      <c r="B541" s="83" t="s">
        <v>2492</v>
      </c>
      <c r="C541" s="83">
        <v>2</v>
      </c>
      <c r="D541" s="114">
        <v>2.2731663785646849E-3</v>
      </c>
      <c r="E541" s="83" t="s">
        <v>2212</v>
      </c>
    </row>
    <row r="542" spans="1:5" x14ac:dyDescent="0.25">
      <c r="A542" s="83" t="s">
        <v>2492</v>
      </c>
      <c r="B542" s="83" t="s">
        <v>2311</v>
      </c>
      <c r="C542" s="83">
        <v>2</v>
      </c>
      <c r="D542" s="114">
        <v>2.2731663785646849E-3</v>
      </c>
      <c r="E542" s="83" t="s">
        <v>2212</v>
      </c>
    </row>
    <row r="543" spans="1:5" x14ac:dyDescent="0.25">
      <c r="A543" s="83" t="s">
        <v>2324</v>
      </c>
      <c r="B543" s="83" t="s">
        <v>2269</v>
      </c>
      <c r="C543" s="83">
        <v>2</v>
      </c>
      <c r="D543" s="114">
        <v>2.6549418962108244E-3</v>
      </c>
      <c r="E543" s="83" t="s">
        <v>2212</v>
      </c>
    </row>
    <row r="544" spans="1:5" x14ac:dyDescent="0.25">
      <c r="A544" s="83" t="s">
        <v>2311</v>
      </c>
      <c r="B544" s="83" t="s">
        <v>2235</v>
      </c>
      <c r="C544" s="83">
        <v>2</v>
      </c>
      <c r="D544" s="114">
        <v>2.2731663785646849E-3</v>
      </c>
      <c r="E544" s="83" t="s">
        <v>2212</v>
      </c>
    </row>
    <row r="545" spans="1:5" x14ac:dyDescent="0.25">
      <c r="A545" s="83" t="s">
        <v>2236</v>
      </c>
      <c r="B545" s="83" t="s">
        <v>2493</v>
      </c>
      <c r="C545" s="83">
        <v>2</v>
      </c>
      <c r="D545" s="114">
        <v>2.2731663785646849E-3</v>
      </c>
      <c r="E545" s="83" t="s">
        <v>2212</v>
      </c>
    </row>
    <row r="546" spans="1:5" x14ac:dyDescent="0.25">
      <c r="A546" s="83" t="s">
        <v>2493</v>
      </c>
      <c r="B546" s="83" t="s">
        <v>2235</v>
      </c>
      <c r="C546" s="83">
        <v>2</v>
      </c>
      <c r="D546" s="114">
        <v>2.2731663785646849E-3</v>
      </c>
      <c r="E546" s="83" t="s">
        <v>2212</v>
      </c>
    </row>
    <row r="547" spans="1:5" x14ac:dyDescent="0.25">
      <c r="A547" s="83" t="s">
        <v>2235</v>
      </c>
      <c r="B547" s="83" t="s">
        <v>2275</v>
      </c>
      <c r="C547" s="83">
        <v>2</v>
      </c>
      <c r="D547" s="114">
        <v>2.2731663785646849E-3</v>
      </c>
      <c r="E547" s="83" t="s">
        <v>2212</v>
      </c>
    </row>
    <row r="548" spans="1:5" x14ac:dyDescent="0.25">
      <c r="A548" s="83" t="s">
        <v>2269</v>
      </c>
      <c r="B548" s="83" t="s">
        <v>2279</v>
      </c>
      <c r="C548" s="83">
        <v>2</v>
      </c>
      <c r="D548" s="114">
        <v>2.2731663785646849E-3</v>
      </c>
      <c r="E548" s="83" t="s">
        <v>2212</v>
      </c>
    </row>
    <row r="549" spans="1:5" x14ac:dyDescent="0.25">
      <c r="A549" s="83" t="s">
        <v>2495</v>
      </c>
      <c r="B549" s="83" t="s">
        <v>2379</v>
      </c>
      <c r="C549" s="83">
        <v>2</v>
      </c>
      <c r="D549" s="114">
        <v>2.2731663785646849E-3</v>
      </c>
      <c r="E549" s="83" t="s">
        <v>2212</v>
      </c>
    </row>
    <row r="550" spans="1:5" x14ac:dyDescent="0.25">
      <c r="A550" s="83" t="s">
        <v>2279</v>
      </c>
      <c r="B550" s="83" t="s">
        <v>2415</v>
      </c>
      <c r="C550" s="83">
        <v>2</v>
      </c>
      <c r="D550" s="114">
        <v>2.2731663785646849E-3</v>
      </c>
      <c r="E550" s="83" t="s">
        <v>2212</v>
      </c>
    </row>
    <row r="551" spans="1:5" x14ac:dyDescent="0.25">
      <c r="A551" s="83" t="s">
        <v>2415</v>
      </c>
      <c r="B551" s="83" t="s">
        <v>2496</v>
      </c>
      <c r="C551" s="83">
        <v>2</v>
      </c>
      <c r="D551" s="114">
        <v>2.2731663785646849E-3</v>
      </c>
      <c r="E551" s="83" t="s">
        <v>2212</v>
      </c>
    </row>
    <row r="552" spans="1:5" x14ac:dyDescent="0.25">
      <c r="A552" s="83" t="s">
        <v>2237</v>
      </c>
      <c r="B552" s="83" t="s">
        <v>2413</v>
      </c>
      <c r="C552" s="83">
        <v>2</v>
      </c>
      <c r="D552" s="114">
        <v>2.2731663785646849E-3</v>
      </c>
      <c r="E552" s="83" t="s">
        <v>2212</v>
      </c>
    </row>
    <row r="553" spans="1:5" x14ac:dyDescent="0.25">
      <c r="A553" s="83" t="s">
        <v>2361</v>
      </c>
      <c r="B553" s="83" t="s">
        <v>661</v>
      </c>
      <c r="C553" s="83">
        <v>2</v>
      </c>
      <c r="D553" s="114">
        <v>2.2731663785646849E-3</v>
      </c>
      <c r="E553" s="83" t="s">
        <v>2212</v>
      </c>
    </row>
    <row r="554" spans="1:5" x14ac:dyDescent="0.25">
      <c r="A554" s="83" t="s">
        <v>2274</v>
      </c>
      <c r="B554" s="83" t="s">
        <v>2325</v>
      </c>
      <c r="C554" s="83">
        <v>2</v>
      </c>
      <c r="D554" s="114">
        <v>2.2731663785646849E-3</v>
      </c>
      <c r="E554" s="83" t="s">
        <v>2212</v>
      </c>
    </row>
    <row r="555" spans="1:5" x14ac:dyDescent="0.25">
      <c r="A555" s="83" t="s">
        <v>2325</v>
      </c>
      <c r="B555" s="83" t="s">
        <v>2506</v>
      </c>
      <c r="C555" s="83">
        <v>2</v>
      </c>
      <c r="D555" s="114">
        <v>2.2731663785646849E-3</v>
      </c>
      <c r="E555" s="83" t="s">
        <v>2212</v>
      </c>
    </row>
    <row r="556" spans="1:5" x14ac:dyDescent="0.25">
      <c r="A556" s="83" t="s">
        <v>2506</v>
      </c>
      <c r="B556" s="83" t="s">
        <v>2507</v>
      </c>
      <c r="C556" s="83">
        <v>2</v>
      </c>
      <c r="D556" s="114">
        <v>2.2731663785646849E-3</v>
      </c>
      <c r="E556" s="83" t="s">
        <v>2212</v>
      </c>
    </row>
    <row r="557" spans="1:5" x14ac:dyDescent="0.25">
      <c r="A557" s="83" t="s">
        <v>2507</v>
      </c>
      <c r="B557" s="83" t="s">
        <v>2508</v>
      </c>
      <c r="C557" s="83">
        <v>2</v>
      </c>
      <c r="D557" s="114">
        <v>2.2731663785646849E-3</v>
      </c>
      <c r="E557" s="83" t="s">
        <v>2212</v>
      </c>
    </row>
    <row r="558" spans="1:5" x14ac:dyDescent="0.25">
      <c r="A558" s="83" t="s">
        <v>2508</v>
      </c>
      <c r="B558" s="83" t="s">
        <v>2509</v>
      </c>
      <c r="C558" s="83">
        <v>2</v>
      </c>
      <c r="D558" s="114">
        <v>2.2731663785646849E-3</v>
      </c>
      <c r="E558" s="83" t="s">
        <v>2212</v>
      </c>
    </row>
    <row r="559" spans="1:5" x14ac:dyDescent="0.25">
      <c r="A559" s="83" t="s">
        <v>2509</v>
      </c>
      <c r="B559" s="83" t="s">
        <v>2510</v>
      </c>
      <c r="C559" s="83">
        <v>2</v>
      </c>
      <c r="D559" s="114">
        <v>2.2731663785646849E-3</v>
      </c>
      <c r="E559" s="83" t="s">
        <v>2212</v>
      </c>
    </row>
    <row r="560" spans="1:5" x14ac:dyDescent="0.25">
      <c r="A560" s="83" t="s">
        <v>2510</v>
      </c>
      <c r="B560" s="83" t="s">
        <v>2511</v>
      </c>
      <c r="C560" s="83">
        <v>2</v>
      </c>
      <c r="D560" s="114">
        <v>2.2731663785646849E-3</v>
      </c>
      <c r="E560" s="83" t="s">
        <v>2212</v>
      </c>
    </row>
    <row r="561" spans="1:5" x14ac:dyDescent="0.25">
      <c r="A561" s="83" t="s">
        <v>2511</v>
      </c>
      <c r="B561" s="83" t="s">
        <v>2256</v>
      </c>
      <c r="C561" s="83">
        <v>2</v>
      </c>
      <c r="D561" s="114">
        <v>2.2731663785646849E-3</v>
      </c>
      <c r="E561" s="83" t="s">
        <v>2212</v>
      </c>
    </row>
    <row r="562" spans="1:5" x14ac:dyDescent="0.25">
      <c r="A562" s="83" t="s">
        <v>2256</v>
      </c>
      <c r="B562" s="83" t="s">
        <v>2383</v>
      </c>
      <c r="C562" s="83">
        <v>2</v>
      </c>
      <c r="D562" s="114">
        <v>2.2731663785646849E-3</v>
      </c>
      <c r="E562" s="83" t="s">
        <v>2212</v>
      </c>
    </row>
    <row r="563" spans="1:5" x14ac:dyDescent="0.25">
      <c r="A563" s="83" t="s">
        <v>2383</v>
      </c>
      <c r="B563" s="83" t="s">
        <v>2235</v>
      </c>
      <c r="C563" s="83">
        <v>2</v>
      </c>
      <c r="D563" s="114">
        <v>2.2731663785646849E-3</v>
      </c>
      <c r="E563" s="83" t="s">
        <v>2212</v>
      </c>
    </row>
    <row r="564" spans="1:5" x14ac:dyDescent="0.25">
      <c r="A564" s="83" t="s">
        <v>2362</v>
      </c>
      <c r="B564" s="83" t="s">
        <v>254</v>
      </c>
      <c r="C564" s="83">
        <v>2</v>
      </c>
      <c r="D564" s="114">
        <v>2.2731663785646849E-3</v>
      </c>
      <c r="E564" s="83" t="s">
        <v>2212</v>
      </c>
    </row>
    <row r="565" spans="1:5" x14ac:dyDescent="0.25">
      <c r="A565" s="83" t="s">
        <v>2602</v>
      </c>
      <c r="B565" s="83" t="s">
        <v>2630</v>
      </c>
      <c r="C565" s="83">
        <v>2</v>
      </c>
      <c r="D565" s="114">
        <v>2.6549418962108244E-3</v>
      </c>
      <c r="E565" s="83" t="s">
        <v>2212</v>
      </c>
    </row>
    <row r="566" spans="1:5" x14ac:dyDescent="0.25">
      <c r="A566" s="83" t="s">
        <v>2239</v>
      </c>
      <c r="B566" s="83" t="s">
        <v>2240</v>
      </c>
      <c r="C566" s="83">
        <v>27</v>
      </c>
      <c r="D566" s="114">
        <v>1.137054745441091E-2</v>
      </c>
      <c r="E566" s="83" t="s">
        <v>2213</v>
      </c>
    </row>
    <row r="567" spans="1:5" x14ac:dyDescent="0.25">
      <c r="A567" s="83" t="s">
        <v>2262</v>
      </c>
      <c r="B567" s="83" t="s">
        <v>2239</v>
      </c>
      <c r="C567" s="83">
        <v>15</v>
      </c>
      <c r="D567" s="114">
        <v>9.3729066232890543E-3</v>
      </c>
      <c r="E567" s="83" t="s">
        <v>2213</v>
      </c>
    </row>
    <row r="568" spans="1:5" x14ac:dyDescent="0.25">
      <c r="A568" s="83" t="s">
        <v>2287</v>
      </c>
      <c r="B568" s="83" t="s">
        <v>2263</v>
      </c>
      <c r="C568" s="83">
        <v>14</v>
      </c>
      <c r="D568" s="114">
        <v>1.2446294439182534E-2</v>
      </c>
      <c r="E568" s="83" t="s">
        <v>2213</v>
      </c>
    </row>
    <row r="569" spans="1:5" x14ac:dyDescent="0.25">
      <c r="A569" s="83" t="s">
        <v>2272</v>
      </c>
      <c r="B569" s="83" t="s">
        <v>2235</v>
      </c>
      <c r="C569" s="83">
        <v>12</v>
      </c>
      <c r="D569" s="114">
        <v>8.4264339627147852E-3</v>
      </c>
      <c r="E569" s="83" t="s">
        <v>2213</v>
      </c>
    </row>
    <row r="570" spans="1:5" x14ac:dyDescent="0.25">
      <c r="A570" s="83" t="s">
        <v>2235</v>
      </c>
      <c r="B570" s="83" t="s">
        <v>2277</v>
      </c>
      <c r="C570" s="83">
        <v>11</v>
      </c>
      <c r="D570" s="114">
        <v>8.055974284749844E-3</v>
      </c>
      <c r="E570" s="83" t="s">
        <v>2213</v>
      </c>
    </row>
    <row r="571" spans="1:5" x14ac:dyDescent="0.25">
      <c r="A571" s="83" t="s">
        <v>2277</v>
      </c>
      <c r="B571" s="83" t="s">
        <v>2274</v>
      </c>
      <c r="C571" s="83">
        <v>11</v>
      </c>
      <c r="D571" s="114">
        <v>8.055974284749844E-3</v>
      </c>
      <c r="E571" s="83" t="s">
        <v>2213</v>
      </c>
    </row>
    <row r="572" spans="1:5" x14ac:dyDescent="0.25">
      <c r="A572" s="83" t="s">
        <v>2274</v>
      </c>
      <c r="B572" s="83" t="s">
        <v>2290</v>
      </c>
      <c r="C572" s="83">
        <v>11</v>
      </c>
      <c r="D572" s="114">
        <v>8.055974284749844E-3</v>
      </c>
      <c r="E572" s="83" t="s">
        <v>2213</v>
      </c>
    </row>
    <row r="573" spans="1:5" x14ac:dyDescent="0.25">
      <c r="A573" s="83" t="s">
        <v>2290</v>
      </c>
      <c r="B573" s="83" t="s">
        <v>2259</v>
      </c>
      <c r="C573" s="83">
        <v>11</v>
      </c>
      <c r="D573" s="114">
        <v>8.055974284749844E-3</v>
      </c>
      <c r="E573" s="83" t="s">
        <v>2213</v>
      </c>
    </row>
    <row r="574" spans="1:5" x14ac:dyDescent="0.25">
      <c r="A574" s="83" t="s">
        <v>2259</v>
      </c>
      <c r="B574" s="83" t="s">
        <v>2278</v>
      </c>
      <c r="C574" s="83">
        <v>11</v>
      </c>
      <c r="D574" s="114">
        <v>8.055974284749844E-3</v>
      </c>
      <c r="E574" s="83" t="s">
        <v>2213</v>
      </c>
    </row>
    <row r="575" spans="1:5" x14ac:dyDescent="0.25">
      <c r="A575" s="83" t="s">
        <v>2278</v>
      </c>
      <c r="B575" s="83" t="s">
        <v>2282</v>
      </c>
      <c r="C575" s="83">
        <v>11</v>
      </c>
      <c r="D575" s="114">
        <v>8.055974284749844E-3</v>
      </c>
      <c r="E575" s="83" t="s">
        <v>2213</v>
      </c>
    </row>
    <row r="576" spans="1:5" x14ac:dyDescent="0.25">
      <c r="A576" s="83" t="s">
        <v>2282</v>
      </c>
      <c r="B576" s="83" t="s">
        <v>2241</v>
      </c>
      <c r="C576" s="83">
        <v>11</v>
      </c>
      <c r="D576" s="114">
        <v>8.055974284749844E-3</v>
      </c>
      <c r="E576" s="83" t="s">
        <v>2213</v>
      </c>
    </row>
    <row r="577" spans="1:5" x14ac:dyDescent="0.25">
      <c r="A577" s="83" t="s">
        <v>2241</v>
      </c>
      <c r="B577" s="83" t="s">
        <v>2285</v>
      </c>
      <c r="C577" s="83">
        <v>11</v>
      </c>
      <c r="D577" s="114">
        <v>8.055974284749844E-3</v>
      </c>
      <c r="E577" s="83" t="s">
        <v>2213</v>
      </c>
    </row>
    <row r="578" spans="1:5" x14ac:dyDescent="0.25">
      <c r="A578" s="83" t="s">
        <v>2285</v>
      </c>
      <c r="B578" s="83" t="s">
        <v>2286</v>
      </c>
      <c r="C578" s="83">
        <v>11</v>
      </c>
      <c r="D578" s="114">
        <v>8.055974284749844E-3</v>
      </c>
      <c r="E578" s="83" t="s">
        <v>2213</v>
      </c>
    </row>
    <row r="579" spans="1:5" x14ac:dyDescent="0.25">
      <c r="A579" s="83" t="s">
        <v>2286</v>
      </c>
      <c r="B579" s="83" t="s">
        <v>2249</v>
      </c>
      <c r="C579" s="83">
        <v>11</v>
      </c>
      <c r="D579" s="114">
        <v>8.055974284749844E-3</v>
      </c>
      <c r="E579" s="83" t="s">
        <v>2213</v>
      </c>
    </row>
    <row r="580" spans="1:5" x14ac:dyDescent="0.25">
      <c r="A580" s="83" t="s">
        <v>2249</v>
      </c>
      <c r="B580" s="83" t="s">
        <v>2242</v>
      </c>
      <c r="C580" s="83">
        <v>11</v>
      </c>
      <c r="D580" s="114">
        <v>8.055974284749844E-3</v>
      </c>
      <c r="E580" s="83" t="s">
        <v>2213</v>
      </c>
    </row>
    <row r="581" spans="1:5" x14ac:dyDescent="0.25">
      <c r="A581" s="83" t="s">
        <v>2236</v>
      </c>
      <c r="B581" s="83" t="s">
        <v>2295</v>
      </c>
      <c r="C581" s="83">
        <v>11</v>
      </c>
      <c r="D581" s="114">
        <v>8.055974284749844E-3</v>
      </c>
      <c r="E581" s="83" t="s">
        <v>2213</v>
      </c>
    </row>
    <row r="582" spans="1:5" x14ac:dyDescent="0.25">
      <c r="A582" s="83" t="s">
        <v>2242</v>
      </c>
      <c r="B582" s="83" t="s">
        <v>2262</v>
      </c>
      <c r="C582" s="83">
        <v>10</v>
      </c>
      <c r="D582" s="114">
        <v>7.6539616306551756E-3</v>
      </c>
      <c r="E582" s="83" t="s">
        <v>2213</v>
      </c>
    </row>
    <row r="583" spans="1:5" x14ac:dyDescent="0.25">
      <c r="A583" s="83" t="s">
        <v>2236</v>
      </c>
      <c r="B583" s="83" t="s">
        <v>2272</v>
      </c>
      <c r="C583" s="83">
        <v>10</v>
      </c>
      <c r="D583" s="114">
        <v>7.6539616306551756E-3</v>
      </c>
      <c r="E583" s="83" t="s">
        <v>2213</v>
      </c>
    </row>
    <row r="584" spans="1:5" x14ac:dyDescent="0.25">
      <c r="A584" s="83" t="s">
        <v>2255</v>
      </c>
      <c r="B584" s="83" t="s">
        <v>657</v>
      </c>
      <c r="C584" s="83">
        <v>9</v>
      </c>
      <c r="D584" s="114">
        <v>7.2172306033008119E-3</v>
      </c>
      <c r="E584" s="83" t="s">
        <v>2213</v>
      </c>
    </row>
    <row r="585" spans="1:5" x14ac:dyDescent="0.25">
      <c r="A585" s="83" t="s">
        <v>2235</v>
      </c>
      <c r="B585" s="83" t="s">
        <v>657</v>
      </c>
      <c r="C585" s="83">
        <v>8</v>
      </c>
      <c r="D585" s="114">
        <v>6.7419084139131698E-3</v>
      </c>
      <c r="E585" s="83" t="s">
        <v>2213</v>
      </c>
    </row>
    <row r="586" spans="1:5" x14ac:dyDescent="0.25">
      <c r="A586" s="83" t="s">
        <v>657</v>
      </c>
      <c r="B586" s="83" t="s">
        <v>2299</v>
      </c>
      <c r="C586" s="83">
        <v>8</v>
      </c>
      <c r="D586" s="114">
        <v>6.7419084139131698E-3</v>
      </c>
      <c r="E586" s="83" t="s">
        <v>2213</v>
      </c>
    </row>
    <row r="587" spans="1:5" x14ac:dyDescent="0.25">
      <c r="A587" s="83" t="s">
        <v>2314</v>
      </c>
      <c r="B587" s="83" t="s">
        <v>2243</v>
      </c>
      <c r="C587" s="83">
        <v>7</v>
      </c>
      <c r="D587" s="114">
        <v>6.2231472195912671E-3</v>
      </c>
      <c r="E587" s="83" t="s">
        <v>2213</v>
      </c>
    </row>
    <row r="588" spans="1:5" x14ac:dyDescent="0.25">
      <c r="A588" s="83" t="s">
        <v>2243</v>
      </c>
      <c r="B588" s="83" t="s">
        <v>2251</v>
      </c>
      <c r="C588" s="83">
        <v>7</v>
      </c>
      <c r="D588" s="114">
        <v>6.2231472195912671E-3</v>
      </c>
      <c r="E588" s="83" t="s">
        <v>2213</v>
      </c>
    </row>
    <row r="589" spans="1:5" x14ac:dyDescent="0.25">
      <c r="A589" s="83" t="s">
        <v>2251</v>
      </c>
      <c r="B589" s="83" t="s">
        <v>2235</v>
      </c>
      <c r="C589" s="83">
        <v>7</v>
      </c>
      <c r="D589" s="114">
        <v>6.2231472195912671E-3</v>
      </c>
      <c r="E589" s="83" t="s">
        <v>2213</v>
      </c>
    </row>
    <row r="590" spans="1:5" x14ac:dyDescent="0.25">
      <c r="A590" s="83" t="s">
        <v>2235</v>
      </c>
      <c r="B590" s="83" t="s">
        <v>2255</v>
      </c>
      <c r="C590" s="83">
        <v>7</v>
      </c>
      <c r="D590" s="114">
        <v>6.2231472195912671E-3</v>
      </c>
      <c r="E590" s="83" t="s">
        <v>2213</v>
      </c>
    </row>
    <row r="591" spans="1:5" x14ac:dyDescent="0.25">
      <c r="A591" s="83" t="s">
        <v>2299</v>
      </c>
      <c r="B591" s="83" t="s">
        <v>2247</v>
      </c>
      <c r="C591" s="83">
        <v>7</v>
      </c>
      <c r="D591" s="114">
        <v>6.2231472195912671E-3</v>
      </c>
      <c r="E591" s="83" t="s">
        <v>2213</v>
      </c>
    </row>
    <row r="592" spans="1:5" x14ac:dyDescent="0.25">
      <c r="A592" s="83" t="s">
        <v>2247</v>
      </c>
      <c r="B592" s="83" t="s">
        <v>2287</v>
      </c>
      <c r="C592" s="83">
        <v>7</v>
      </c>
      <c r="D592" s="114">
        <v>6.2231472195912671E-3</v>
      </c>
      <c r="E592" s="83" t="s">
        <v>2213</v>
      </c>
    </row>
    <row r="593" spans="1:5" x14ac:dyDescent="0.25">
      <c r="A593" s="83" t="s">
        <v>2263</v>
      </c>
      <c r="B593" s="83" t="s">
        <v>2300</v>
      </c>
      <c r="C593" s="83">
        <v>7</v>
      </c>
      <c r="D593" s="114">
        <v>6.2231472195912671E-3</v>
      </c>
      <c r="E593" s="83" t="s">
        <v>2213</v>
      </c>
    </row>
    <row r="594" spans="1:5" x14ac:dyDescent="0.25">
      <c r="A594" s="83" t="s">
        <v>2300</v>
      </c>
      <c r="B594" s="83" t="s">
        <v>2291</v>
      </c>
      <c r="C594" s="83">
        <v>7</v>
      </c>
      <c r="D594" s="114">
        <v>6.2231472195912671E-3</v>
      </c>
      <c r="E594" s="83" t="s">
        <v>2213</v>
      </c>
    </row>
    <row r="595" spans="1:5" x14ac:dyDescent="0.25">
      <c r="A595" s="83" t="s">
        <v>2291</v>
      </c>
      <c r="B595" s="83" t="s">
        <v>2242</v>
      </c>
      <c r="C595" s="83">
        <v>7</v>
      </c>
      <c r="D595" s="114">
        <v>6.2231472195912671E-3</v>
      </c>
      <c r="E595" s="83" t="s">
        <v>2213</v>
      </c>
    </row>
    <row r="596" spans="1:5" x14ac:dyDescent="0.25">
      <c r="A596" s="83" t="s">
        <v>2242</v>
      </c>
      <c r="B596" s="83" t="s">
        <v>2287</v>
      </c>
      <c r="C596" s="83">
        <v>7</v>
      </c>
      <c r="D596" s="114">
        <v>6.2231472195912671E-3</v>
      </c>
      <c r="E596" s="83" t="s">
        <v>2213</v>
      </c>
    </row>
    <row r="597" spans="1:5" x14ac:dyDescent="0.25">
      <c r="A597" s="83" t="s">
        <v>2235</v>
      </c>
      <c r="B597" s="83" t="s">
        <v>2237</v>
      </c>
      <c r="C597" s="83">
        <v>7</v>
      </c>
      <c r="D597" s="114">
        <v>6.2231472195912671E-3</v>
      </c>
      <c r="E597" s="83" t="s">
        <v>2213</v>
      </c>
    </row>
    <row r="598" spans="1:5" x14ac:dyDescent="0.25">
      <c r="A598" s="83" t="s">
        <v>2292</v>
      </c>
      <c r="B598" s="83" t="s">
        <v>2254</v>
      </c>
      <c r="C598" s="83">
        <v>6</v>
      </c>
      <c r="D598" s="114">
        <v>5.6547013979446926E-3</v>
      </c>
      <c r="E598" s="83" t="s">
        <v>2213</v>
      </c>
    </row>
    <row r="599" spans="1:5" x14ac:dyDescent="0.25">
      <c r="A599" s="83" t="s">
        <v>2254</v>
      </c>
      <c r="B599" s="83" t="s">
        <v>2346</v>
      </c>
      <c r="C599" s="83">
        <v>6</v>
      </c>
      <c r="D599" s="114">
        <v>5.6547013979446926E-3</v>
      </c>
      <c r="E599" s="83" t="s">
        <v>2213</v>
      </c>
    </row>
    <row r="600" spans="1:5" x14ac:dyDescent="0.25">
      <c r="A600" s="83" t="s">
        <v>2346</v>
      </c>
      <c r="B600" s="83" t="s">
        <v>2313</v>
      </c>
      <c r="C600" s="83">
        <v>6</v>
      </c>
      <c r="D600" s="114">
        <v>5.6547013979446926E-3</v>
      </c>
      <c r="E600" s="83" t="s">
        <v>2213</v>
      </c>
    </row>
    <row r="601" spans="1:5" x14ac:dyDescent="0.25">
      <c r="A601" s="83" t="s">
        <v>2313</v>
      </c>
      <c r="B601" s="83" t="s">
        <v>2347</v>
      </c>
      <c r="C601" s="83">
        <v>6</v>
      </c>
      <c r="D601" s="114">
        <v>5.6547013979446926E-3</v>
      </c>
      <c r="E601" s="83" t="s">
        <v>2213</v>
      </c>
    </row>
    <row r="602" spans="1:5" x14ac:dyDescent="0.25">
      <c r="A602" s="83" t="s">
        <v>2347</v>
      </c>
      <c r="B602" s="83" t="s">
        <v>2348</v>
      </c>
      <c r="C602" s="83">
        <v>6</v>
      </c>
      <c r="D602" s="114">
        <v>5.6547013979446926E-3</v>
      </c>
      <c r="E602" s="83" t="s">
        <v>2213</v>
      </c>
    </row>
    <row r="603" spans="1:5" x14ac:dyDescent="0.25">
      <c r="A603" s="83" t="s">
        <v>2348</v>
      </c>
      <c r="B603" s="83" t="s">
        <v>2297</v>
      </c>
      <c r="C603" s="83">
        <v>6</v>
      </c>
      <c r="D603" s="114">
        <v>5.6547013979446926E-3</v>
      </c>
      <c r="E603" s="83" t="s">
        <v>2213</v>
      </c>
    </row>
    <row r="604" spans="1:5" x14ac:dyDescent="0.25">
      <c r="A604" s="83" t="s">
        <v>2297</v>
      </c>
      <c r="B604" s="83" t="s">
        <v>2293</v>
      </c>
      <c r="C604" s="83">
        <v>6</v>
      </c>
      <c r="D604" s="114">
        <v>5.6547013979446926E-3</v>
      </c>
      <c r="E604" s="83" t="s">
        <v>2213</v>
      </c>
    </row>
    <row r="605" spans="1:5" x14ac:dyDescent="0.25">
      <c r="A605" s="83" t="s">
        <v>2293</v>
      </c>
      <c r="B605" s="83" t="s">
        <v>2275</v>
      </c>
      <c r="C605" s="83">
        <v>6</v>
      </c>
      <c r="D605" s="114">
        <v>5.6547013979446926E-3</v>
      </c>
      <c r="E605" s="83" t="s">
        <v>2213</v>
      </c>
    </row>
    <row r="606" spans="1:5" x14ac:dyDescent="0.25">
      <c r="A606" s="83" t="s">
        <v>2275</v>
      </c>
      <c r="B606" s="83" t="s">
        <v>2262</v>
      </c>
      <c r="C606" s="83">
        <v>6</v>
      </c>
      <c r="D606" s="114">
        <v>5.6547013979446926E-3</v>
      </c>
      <c r="E606" s="83" t="s">
        <v>2213</v>
      </c>
    </row>
    <row r="607" spans="1:5" x14ac:dyDescent="0.25">
      <c r="A607" s="83" t="s">
        <v>2240</v>
      </c>
      <c r="B607" s="83" t="s">
        <v>2235</v>
      </c>
      <c r="C607" s="83">
        <v>6</v>
      </c>
      <c r="D607" s="114">
        <v>5.6547013979446926E-3</v>
      </c>
      <c r="E607" s="83" t="s">
        <v>2213</v>
      </c>
    </row>
    <row r="608" spans="1:5" x14ac:dyDescent="0.25">
      <c r="A608" s="83" t="s">
        <v>2235</v>
      </c>
      <c r="B608" s="83" t="s">
        <v>654</v>
      </c>
      <c r="C608" s="83">
        <v>6</v>
      </c>
      <c r="D608" s="114">
        <v>5.6547013979446926E-3</v>
      </c>
      <c r="E608" s="83" t="s">
        <v>2213</v>
      </c>
    </row>
    <row r="609" spans="1:5" x14ac:dyDescent="0.25">
      <c r="A609" s="83" t="s">
        <v>2295</v>
      </c>
      <c r="B609" s="83" t="s">
        <v>2314</v>
      </c>
      <c r="C609" s="83">
        <v>6</v>
      </c>
      <c r="D609" s="114">
        <v>5.6547013979446926E-3</v>
      </c>
      <c r="E609" s="83" t="s">
        <v>2213</v>
      </c>
    </row>
    <row r="610" spans="1:5" x14ac:dyDescent="0.25">
      <c r="A610" s="83" t="s">
        <v>2371</v>
      </c>
      <c r="B610" s="83" t="s">
        <v>2372</v>
      </c>
      <c r="C610" s="83">
        <v>5</v>
      </c>
      <c r="D610" s="114">
        <v>6.6161667863412306E-3</v>
      </c>
      <c r="E610" s="83" t="s">
        <v>2213</v>
      </c>
    </row>
    <row r="611" spans="1:5" x14ac:dyDescent="0.25">
      <c r="A611" s="83" t="s">
        <v>2295</v>
      </c>
      <c r="B611" s="83" t="s">
        <v>2292</v>
      </c>
      <c r="C611" s="83">
        <v>5</v>
      </c>
      <c r="D611" s="114">
        <v>5.0282178291503376E-3</v>
      </c>
      <c r="E611" s="83" t="s">
        <v>2213</v>
      </c>
    </row>
    <row r="612" spans="1:5" x14ac:dyDescent="0.25">
      <c r="A612" s="83" t="s">
        <v>2236</v>
      </c>
      <c r="B612" s="83" t="s">
        <v>2323</v>
      </c>
      <c r="C612" s="83">
        <v>5</v>
      </c>
      <c r="D612" s="114">
        <v>5.4149297725184804E-3</v>
      </c>
      <c r="E612" s="83" t="s">
        <v>2213</v>
      </c>
    </row>
    <row r="613" spans="1:5" x14ac:dyDescent="0.25">
      <c r="A613" s="83" t="s">
        <v>2354</v>
      </c>
      <c r="B613" s="83" t="s">
        <v>2239</v>
      </c>
      <c r="C613" s="83">
        <v>5</v>
      </c>
      <c r="D613" s="114">
        <v>5.0282178291503376E-3</v>
      </c>
      <c r="E613" s="83" t="s">
        <v>2213</v>
      </c>
    </row>
    <row r="614" spans="1:5" x14ac:dyDescent="0.25">
      <c r="A614" s="83" t="s">
        <v>2239</v>
      </c>
      <c r="B614" s="83" t="s">
        <v>2331</v>
      </c>
      <c r="C614" s="83">
        <v>5</v>
      </c>
      <c r="D614" s="114">
        <v>5.0282178291503376E-3</v>
      </c>
      <c r="E614" s="83" t="s">
        <v>2213</v>
      </c>
    </row>
    <row r="615" spans="1:5" x14ac:dyDescent="0.25">
      <c r="A615" s="83" t="s">
        <v>2350</v>
      </c>
      <c r="B615" s="83" t="s">
        <v>2316</v>
      </c>
      <c r="C615" s="83">
        <v>4</v>
      </c>
      <c r="D615" s="114">
        <v>4.3319438180147848E-3</v>
      </c>
      <c r="E615" s="83" t="s">
        <v>2213</v>
      </c>
    </row>
    <row r="616" spans="1:5" x14ac:dyDescent="0.25">
      <c r="A616" s="83" t="s">
        <v>2242</v>
      </c>
      <c r="B616" s="83" t="s">
        <v>2353</v>
      </c>
      <c r="C616" s="83">
        <v>4</v>
      </c>
      <c r="D616" s="114">
        <v>4.3319438180147848E-3</v>
      </c>
      <c r="E616" s="83" t="s">
        <v>2213</v>
      </c>
    </row>
    <row r="617" spans="1:5" x14ac:dyDescent="0.25">
      <c r="A617" s="83" t="s">
        <v>2235</v>
      </c>
      <c r="B617" s="83" t="s">
        <v>2312</v>
      </c>
      <c r="C617" s="83">
        <v>4</v>
      </c>
      <c r="D617" s="114">
        <v>4.3319438180147848E-3</v>
      </c>
      <c r="E617" s="83" t="s">
        <v>2213</v>
      </c>
    </row>
    <row r="618" spans="1:5" x14ac:dyDescent="0.25">
      <c r="A618" s="83" t="s">
        <v>2312</v>
      </c>
      <c r="B618" s="83" t="s">
        <v>2268</v>
      </c>
      <c r="C618" s="83">
        <v>4</v>
      </c>
      <c r="D618" s="114">
        <v>4.3319438180147848E-3</v>
      </c>
      <c r="E618" s="83" t="s">
        <v>2213</v>
      </c>
    </row>
    <row r="619" spans="1:5" x14ac:dyDescent="0.25">
      <c r="A619" s="83" t="s">
        <v>2268</v>
      </c>
      <c r="B619" s="83" t="s">
        <v>2236</v>
      </c>
      <c r="C619" s="83">
        <v>4</v>
      </c>
      <c r="D619" s="114">
        <v>4.3319438180147848E-3</v>
      </c>
      <c r="E619" s="83" t="s">
        <v>2213</v>
      </c>
    </row>
    <row r="620" spans="1:5" x14ac:dyDescent="0.25">
      <c r="A620" s="83" t="s">
        <v>2236</v>
      </c>
      <c r="B620" s="83" t="s">
        <v>2410</v>
      </c>
      <c r="C620" s="83">
        <v>4</v>
      </c>
      <c r="D620" s="114">
        <v>4.3319438180147848E-3</v>
      </c>
      <c r="E620" s="83" t="s">
        <v>2213</v>
      </c>
    </row>
    <row r="621" spans="1:5" x14ac:dyDescent="0.25">
      <c r="A621" s="83" t="s">
        <v>2246</v>
      </c>
      <c r="B621" s="83" t="s">
        <v>2235</v>
      </c>
      <c r="C621" s="83">
        <v>3</v>
      </c>
      <c r="D621" s="114">
        <v>3.5480929072659959E-3</v>
      </c>
      <c r="E621" s="83" t="s">
        <v>2213</v>
      </c>
    </row>
    <row r="622" spans="1:5" x14ac:dyDescent="0.25">
      <c r="A622" s="83" t="s">
        <v>2343</v>
      </c>
      <c r="B622" s="83" t="s">
        <v>2393</v>
      </c>
      <c r="C622" s="83">
        <v>3</v>
      </c>
      <c r="D622" s="114">
        <v>3.5480929072659959E-3</v>
      </c>
      <c r="E622" s="83" t="s">
        <v>2213</v>
      </c>
    </row>
    <row r="623" spans="1:5" x14ac:dyDescent="0.25">
      <c r="A623" s="83" t="s">
        <v>2310</v>
      </c>
      <c r="B623" s="83" t="s">
        <v>2239</v>
      </c>
      <c r="C623" s="83">
        <v>3</v>
      </c>
      <c r="D623" s="114">
        <v>3.5480929072659959E-3</v>
      </c>
      <c r="E623" s="83" t="s">
        <v>2213</v>
      </c>
    </row>
    <row r="624" spans="1:5" x14ac:dyDescent="0.25">
      <c r="A624" s="83" t="s">
        <v>2235</v>
      </c>
      <c r="B624" s="83" t="s">
        <v>2259</v>
      </c>
      <c r="C624" s="83">
        <v>3</v>
      </c>
      <c r="D624" s="114">
        <v>3.5480929072659959E-3</v>
      </c>
      <c r="E624" s="83" t="s">
        <v>2213</v>
      </c>
    </row>
    <row r="625" spans="1:5" x14ac:dyDescent="0.25">
      <c r="A625" s="83" t="s">
        <v>2259</v>
      </c>
      <c r="B625" s="83" t="s">
        <v>2360</v>
      </c>
      <c r="C625" s="83">
        <v>3</v>
      </c>
      <c r="D625" s="114">
        <v>3.5480929072659959E-3</v>
      </c>
      <c r="E625" s="83" t="s">
        <v>2213</v>
      </c>
    </row>
    <row r="626" spans="1:5" x14ac:dyDescent="0.25">
      <c r="A626" s="83" t="s">
        <v>2360</v>
      </c>
      <c r="B626" s="83" t="s">
        <v>2328</v>
      </c>
      <c r="C626" s="83">
        <v>3</v>
      </c>
      <c r="D626" s="114">
        <v>3.5480929072659959E-3</v>
      </c>
      <c r="E626" s="83" t="s">
        <v>2213</v>
      </c>
    </row>
    <row r="627" spans="1:5" x14ac:dyDescent="0.25">
      <c r="A627" s="83" t="s">
        <v>2328</v>
      </c>
      <c r="B627" s="83" t="s">
        <v>2390</v>
      </c>
      <c r="C627" s="83">
        <v>3</v>
      </c>
      <c r="D627" s="114">
        <v>3.5480929072659959E-3</v>
      </c>
      <c r="E627" s="83" t="s">
        <v>2213</v>
      </c>
    </row>
    <row r="628" spans="1:5" x14ac:dyDescent="0.25">
      <c r="A628" s="83" t="s">
        <v>2390</v>
      </c>
      <c r="B628" s="83" t="s">
        <v>2429</v>
      </c>
      <c r="C628" s="83">
        <v>3</v>
      </c>
      <c r="D628" s="114">
        <v>3.5480929072659959E-3</v>
      </c>
      <c r="E628" s="83" t="s">
        <v>2213</v>
      </c>
    </row>
    <row r="629" spans="1:5" x14ac:dyDescent="0.25">
      <c r="A629" s="83" t="s">
        <v>2429</v>
      </c>
      <c r="B629" s="83" t="s">
        <v>2293</v>
      </c>
      <c r="C629" s="83">
        <v>3</v>
      </c>
      <c r="D629" s="114">
        <v>3.5480929072659959E-3</v>
      </c>
      <c r="E629" s="83" t="s">
        <v>2213</v>
      </c>
    </row>
    <row r="630" spans="1:5" x14ac:dyDescent="0.25">
      <c r="A630" s="83" t="s">
        <v>2293</v>
      </c>
      <c r="B630" s="83" t="s">
        <v>2430</v>
      </c>
      <c r="C630" s="83">
        <v>3</v>
      </c>
      <c r="D630" s="114">
        <v>3.5480929072659959E-3</v>
      </c>
      <c r="E630" s="83" t="s">
        <v>2213</v>
      </c>
    </row>
    <row r="631" spans="1:5" x14ac:dyDescent="0.25">
      <c r="A631" s="83" t="s">
        <v>2430</v>
      </c>
      <c r="B631" s="83" t="s">
        <v>2431</v>
      </c>
      <c r="C631" s="83">
        <v>3</v>
      </c>
      <c r="D631" s="114">
        <v>3.5480929072659959E-3</v>
      </c>
      <c r="E631" s="83" t="s">
        <v>2213</v>
      </c>
    </row>
    <row r="632" spans="1:5" x14ac:dyDescent="0.25">
      <c r="A632" s="83" t="s">
        <v>2431</v>
      </c>
      <c r="B632" s="83" t="s">
        <v>2432</v>
      </c>
      <c r="C632" s="83">
        <v>3</v>
      </c>
      <c r="D632" s="114">
        <v>3.5480929072659959E-3</v>
      </c>
      <c r="E632" s="83" t="s">
        <v>2213</v>
      </c>
    </row>
    <row r="633" spans="1:5" x14ac:dyDescent="0.25">
      <c r="A633" s="83" t="s">
        <v>2432</v>
      </c>
      <c r="B633" s="83" t="s">
        <v>2433</v>
      </c>
      <c r="C633" s="83">
        <v>3</v>
      </c>
      <c r="D633" s="114">
        <v>3.5480929072659959E-3</v>
      </c>
      <c r="E633" s="83" t="s">
        <v>2213</v>
      </c>
    </row>
    <row r="634" spans="1:5" x14ac:dyDescent="0.25">
      <c r="A634" s="83" t="s">
        <v>2433</v>
      </c>
      <c r="B634" s="83" t="s">
        <v>649</v>
      </c>
      <c r="C634" s="83">
        <v>3</v>
      </c>
      <c r="D634" s="114">
        <v>3.5480929072659959E-3</v>
      </c>
      <c r="E634" s="83" t="s">
        <v>2213</v>
      </c>
    </row>
    <row r="635" spans="1:5" x14ac:dyDescent="0.25">
      <c r="A635" s="83" t="s">
        <v>649</v>
      </c>
      <c r="B635" s="83" t="s">
        <v>2434</v>
      </c>
      <c r="C635" s="83">
        <v>3</v>
      </c>
      <c r="D635" s="114">
        <v>3.5480929072659959E-3</v>
      </c>
      <c r="E635" s="83" t="s">
        <v>2213</v>
      </c>
    </row>
    <row r="636" spans="1:5" x14ac:dyDescent="0.25">
      <c r="A636" s="83" t="s">
        <v>2434</v>
      </c>
      <c r="B636" s="83" t="s">
        <v>655</v>
      </c>
      <c r="C636" s="83">
        <v>3</v>
      </c>
      <c r="D636" s="114">
        <v>3.5480929072659959E-3</v>
      </c>
      <c r="E636" s="83" t="s">
        <v>2213</v>
      </c>
    </row>
    <row r="637" spans="1:5" x14ac:dyDescent="0.25">
      <c r="A637" s="83" t="s">
        <v>2323</v>
      </c>
      <c r="B637" s="83" t="s">
        <v>2244</v>
      </c>
      <c r="C637" s="83">
        <v>3</v>
      </c>
      <c r="D637" s="114">
        <v>3.5480929072659959E-3</v>
      </c>
      <c r="E637" s="83" t="s">
        <v>2213</v>
      </c>
    </row>
    <row r="638" spans="1:5" x14ac:dyDescent="0.25">
      <c r="A638" s="83" t="s">
        <v>2244</v>
      </c>
      <c r="B638" s="83" t="s">
        <v>2250</v>
      </c>
      <c r="C638" s="83">
        <v>3</v>
      </c>
      <c r="D638" s="114">
        <v>3.5480929072659959E-3</v>
      </c>
      <c r="E638" s="83" t="s">
        <v>2213</v>
      </c>
    </row>
    <row r="639" spans="1:5" x14ac:dyDescent="0.25">
      <c r="A639" s="83" t="s">
        <v>2250</v>
      </c>
      <c r="B639" s="83" t="s">
        <v>2396</v>
      </c>
      <c r="C639" s="83">
        <v>3</v>
      </c>
      <c r="D639" s="114">
        <v>3.5480929072659959E-3</v>
      </c>
      <c r="E639" s="83" t="s">
        <v>2213</v>
      </c>
    </row>
    <row r="640" spans="1:5" x14ac:dyDescent="0.25">
      <c r="A640" s="83" t="s">
        <v>2396</v>
      </c>
      <c r="B640" s="83" t="s">
        <v>2397</v>
      </c>
      <c r="C640" s="83">
        <v>3</v>
      </c>
      <c r="D640" s="114">
        <v>3.5480929072659959E-3</v>
      </c>
      <c r="E640" s="83" t="s">
        <v>2213</v>
      </c>
    </row>
    <row r="641" spans="1:5" x14ac:dyDescent="0.25">
      <c r="A641" s="83" t="s">
        <v>2397</v>
      </c>
      <c r="B641" s="83" t="s">
        <v>2235</v>
      </c>
      <c r="C641" s="83">
        <v>3</v>
      </c>
      <c r="D641" s="114">
        <v>3.5480929072659959E-3</v>
      </c>
      <c r="E641" s="83" t="s">
        <v>2213</v>
      </c>
    </row>
    <row r="642" spans="1:5" x14ac:dyDescent="0.25">
      <c r="A642" s="83" t="s">
        <v>2235</v>
      </c>
      <c r="B642" s="83" t="s">
        <v>2398</v>
      </c>
      <c r="C642" s="83">
        <v>3</v>
      </c>
      <c r="D642" s="114">
        <v>3.5480929072659959E-3</v>
      </c>
      <c r="E642" s="83" t="s">
        <v>2213</v>
      </c>
    </row>
    <row r="643" spans="1:5" x14ac:dyDescent="0.25">
      <c r="A643" s="83" t="s">
        <v>2398</v>
      </c>
      <c r="B643" s="83" t="s">
        <v>2350</v>
      </c>
      <c r="C643" s="83">
        <v>3</v>
      </c>
      <c r="D643" s="114">
        <v>3.5480929072659959E-3</v>
      </c>
      <c r="E643" s="83" t="s">
        <v>2213</v>
      </c>
    </row>
    <row r="644" spans="1:5" x14ac:dyDescent="0.25">
      <c r="A644" s="83" t="s">
        <v>2316</v>
      </c>
      <c r="B644" s="83" t="s">
        <v>2269</v>
      </c>
      <c r="C644" s="83">
        <v>3</v>
      </c>
      <c r="D644" s="114">
        <v>3.5480929072659959E-3</v>
      </c>
      <c r="E644" s="83" t="s">
        <v>2213</v>
      </c>
    </row>
    <row r="645" spans="1:5" x14ac:dyDescent="0.25">
      <c r="A645" s="83" t="s">
        <v>2269</v>
      </c>
      <c r="B645" s="83" t="s">
        <v>2309</v>
      </c>
      <c r="C645" s="83">
        <v>3</v>
      </c>
      <c r="D645" s="114">
        <v>3.5480929072659959E-3</v>
      </c>
      <c r="E645" s="83" t="s">
        <v>2213</v>
      </c>
    </row>
    <row r="646" spans="1:5" x14ac:dyDescent="0.25">
      <c r="A646" s="83" t="s">
        <v>2309</v>
      </c>
      <c r="B646" s="83" t="s">
        <v>2363</v>
      </c>
      <c r="C646" s="83">
        <v>3</v>
      </c>
      <c r="D646" s="114">
        <v>3.5480929072659959E-3</v>
      </c>
      <c r="E646" s="83" t="s">
        <v>2213</v>
      </c>
    </row>
    <row r="647" spans="1:5" x14ac:dyDescent="0.25">
      <c r="A647" s="83" t="s">
        <v>2330</v>
      </c>
      <c r="B647" s="83" t="s">
        <v>2328</v>
      </c>
      <c r="C647" s="83">
        <v>3</v>
      </c>
      <c r="D647" s="114">
        <v>3.5480929072659959E-3</v>
      </c>
      <c r="E647" s="83" t="s">
        <v>2213</v>
      </c>
    </row>
    <row r="648" spans="1:5" x14ac:dyDescent="0.25">
      <c r="A648" s="83" t="s">
        <v>2328</v>
      </c>
      <c r="B648" s="83" t="s">
        <v>2442</v>
      </c>
      <c r="C648" s="83">
        <v>3</v>
      </c>
      <c r="D648" s="114">
        <v>3.5480929072659959E-3</v>
      </c>
      <c r="E648" s="83" t="s">
        <v>2213</v>
      </c>
    </row>
    <row r="649" spans="1:5" x14ac:dyDescent="0.25">
      <c r="A649" s="83" t="s">
        <v>2442</v>
      </c>
      <c r="B649" s="83" t="s">
        <v>2235</v>
      </c>
      <c r="C649" s="83">
        <v>3</v>
      </c>
      <c r="D649" s="114">
        <v>3.5480929072659959E-3</v>
      </c>
      <c r="E649" s="83" t="s">
        <v>2213</v>
      </c>
    </row>
    <row r="650" spans="1:5" x14ac:dyDescent="0.25">
      <c r="A650" s="83" t="s">
        <v>2235</v>
      </c>
      <c r="B650" s="83" t="s">
        <v>2352</v>
      </c>
      <c r="C650" s="83">
        <v>3</v>
      </c>
      <c r="D650" s="114">
        <v>3.5480929072659959E-3</v>
      </c>
      <c r="E650" s="83" t="s">
        <v>2213</v>
      </c>
    </row>
    <row r="651" spans="1:5" x14ac:dyDescent="0.25">
      <c r="A651" s="83" t="s">
        <v>2352</v>
      </c>
      <c r="B651" s="83" t="s">
        <v>2367</v>
      </c>
      <c r="C651" s="83">
        <v>3</v>
      </c>
      <c r="D651" s="114">
        <v>3.5480929072659959E-3</v>
      </c>
      <c r="E651" s="83" t="s">
        <v>2213</v>
      </c>
    </row>
    <row r="652" spans="1:5" x14ac:dyDescent="0.25">
      <c r="A652" s="83" t="s">
        <v>2367</v>
      </c>
      <c r="B652" s="83" t="s">
        <v>2443</v>
      </c>
      <c r="C652" s="83">
        <v>3</v>
      </c>
      <c r="D652" s="114">
        <v>3.5480929072659959E-3</v>
      </c>
      <c r="E652" s="83" t="s">
        <v>2213</v>
      </c>
    </row>
    <row r="653" spans="1:5" x14ac:dyDescent="0.25">
      <c r="A653" s="83" t="s">
        <v>2443</v>
      </c>
      <c r="B653" s="83" t="s">
        <v>2237</v>
      </c>
      <c r="C653" s="83">
        <v>3</v>
      </c>
      <c r="D653" s="114">
        <v>3.5480929072659959E-3</v>
      </c>
      <c r="E653" s="83" t="s">
        <v>2213</v>
      </c>
    </row>
    <row r="654" spans="1:5" x14ac:dyDescent="0.25">
      <c r="A654" s="83" t="s">
        <v>2237</v>
      </c>
      <c r="B654" s="83" t="s">
        <v>2307</v>
      </c>
      <c r="C654" s="83">
        <v>3</v>
      </c>
      <c r="D654" s="114">
        <v>3.5480929072659959E-3</v>
      </c>
      <c r="E654" s="83" t="s">
        <v>2213</v>
      </c>
    </row>
    <row r="655" spans="1:5" x14ac:dyDescent="0.25">
      <c r="A655" s="83" t="s">
        <v>2329</v>
      </c>
      <c r="B655" s="83" t="s">
        <v>2289</v>
      </c>
      <c r="C655" s="83">
        <v>3</v>
      </c>
      <c r="D655" s="114">
        <v>3.5480929072659959E-3</v>
      </c>
      <c r="E655" s="83" t="s">
        <v>2213</v>
      </c>
    </row>
    <row r="656" spans="1:5" x14ac:dyDescent="0.25">
      <c r="A656" s="83" t="s">
        <v>2365</v>
      </c>
      <c r="B656" s="83" t="s">
        <v>2294</v>
      </c>
      <c r="C656" s="83">
        <v>3</v>
      </c>
      <c r="D656" s="114">
        <v>3.5480929072659959E-3</v>
      </c>
      <c r="E656" s="83" t="s">
        <v>2213</v>
      </c>
    </row>
    <row r="657" spans="1:5" x14ac:dyDescent="0.25">
      <c r="A657" s="83" t="s">
        <v>2294</v>
      </c>
      <c r="B657" s="83" t="s">
        <v>2435</v>
      </c>
      <c r="C657" s="83">
        <v>3</v>
      </c>
      <c r="D657" s="114">
        <v>3.969700071804738E-3</v>
      </c>
      <c r="E657" s="83" t="s">
        <v>2213</v>
      </c>
    </row>
    <row r="658" spans="1:5" x14ac:dyDescent="0.25">
      <c r="A658" s="83" t="s">
        <v>657</v>
      </c>
      <c r="B658" s="83" t="s">
        <v>2407</v>
      </c>
      <c r="C658" s="83">
        <v>3</v>
      </c>
      <c r="D658" s="114">
        <v>3.5480929072659959E-3</v>
      </c>
      <c r="E658" s="83" t="s">
        <v>2213</v>
      </c>
    </row>
    <row r="659" spans="1:5" x14ac:dyDescent="0.25">
      <c r="A659" s="83" t="s">
        <v>2318</v>
      </c>
      <c r="B659" s="83" t="s">
        <v>2354</v>
      </c>
      <c r="C659" s="83">
        <v>3</v>
      </c>
      <c r="D659" s="114">
        <v>3.5480929072659959E-3</v>
      </c>
      <c r="E659" s="83" t="s">
        <v>2213</v>
      </c>
    </row>
    <row r="660" spans="1:5" x14ac:dyDescent="0.25">
      <c r="A660" s="83" t="s">
        <v>2353</v>
      </c>
      <c r="B660" s="83" t="s">
        <v>2366</v>
      </c>
      <c r="C660" s="83">
        <v>3</v>
      </c>
      <c r="D660" s="114">
        <v>3.5480929072659959E-3</v>
      </c>
      <c r="E660" s="83" t="s">
        <v>2213</v>
      </c>
    </row>
    <row r="661" spans="1:5" x14ac:dyDescent="0.25">
      <c r="A661" s="83" t="s">
        <v>2366</v>
      </c>
      <c r="B661" s="83" t="s">
        <v>2239</v>
      </c>
      <c r="C661" s="83">
        <v>3</v>
      </c>
      <c r="D661" s="114">
        <v>3.5480929072659959E-3</v>
      </c>
      <c r="E661" s="83" t="s">
        <v>2213</v>
      </c>
    </row>
    <row r="662" spans="1:5" x14ac:dyDescent="0.25">
      <c r="A662" s="83" t="s">
        <v>2410</v>
      </c>
      <c r="B662" s="83" t="s">
        <v>2288</v>
      </c>
      <c r="C662" s="83">
        <v>3</v>
      </c>
      <c r="D662" s="114">
        <v>3.5480929072659959E-3</v>
      </c>
      <c r="E662" s="83" t="s">
        <v>2213</v>
      </c>
    </row>
    <row r="663" spans="1:5" x14ac:dyDescent="0.25">
      <c r="A663" s="83" t="s">
        <v>2288</v>
      </c>
      <c r="B663" s="83" t="s">
        <v>657</v>
      </c>
      <c r="C663" s="83">
        <v>3</v>
      </c>
      <c r="D663" s="114">
        <v>3.5480929072659959E-3</v>
      </c>
      <c r="E663" s="83" t="s">
        <v>2213</v>
      </c>
    </row>
    <row r="664" spans="1:5" x14ac:dyDescent="0.25">
      <c r="A664" s="83" t="s">
        <v>657</v>
      </c>
      <c r="B664" s="83" t="s">
        <v>2464</v>
      </c>
      <c r="C664" s="83">
        <v>3</v>
      </c>
      <c r="D664" s="114">
        <v>3.5480929072659959E-3</v>
      </c>
      <c r="E664" s="83" t="s">
        <v>2213</v>
      </c>
    </row>
    <row r="665" spans="1:5" x14ac:dyDescent="0.25">
      <c r="A665" s="83" t="s">
        <v>2464</v>
      </c>
      <c r="B665" s="83" t="s">
        <v>2465</v>
      </c>
      <c r="C665" s="83">
        <v>3</v>
      </c>
      <c r="D665" s="114">
        <v>3.5480929072659959E-3</v>
      </c>
      <c r="E665" s="83" t="s">
        <v>2213</v>
      </c>
    </row>
    <row r="666" spans="1:5" x14ac:dyDescent="0.25">
      <c r="A666" s="83" t="s">
        <v>2465</v>
      </c>
      <c r="B666" s="83" t="s">
        <v>2409</v>
      </c>
      <c r="C666" s="83">
        <v>3</v>
      </c>
      <c r="D666" s="114">
        <v>3.5480929072659959E-3</v>
      </c>
      <c r="E666" s="83" t="s">
        <v>2213</v>
      </c>
    </row>
    <row r="667" spans="1:5" x14ac:dyDescent="0.25">
      <c r="A667" s="83" t="s">
        <v>2409</v>
      </c>
      <c r="B667" s="83" t="s">
        <v>2466</v>
      </c>
      <c r="C667" s="83">
        <v>3</v>
      </c>
      <c r="D667" s="114">
        <v>3.5480929072659959E-3</v>
      </c>
      <c r="E667" s="83" t="s">
        <v>2213</v>
      </c>
    </row>
    <row r="668" spans="1:5" x14ac:dyDescent="0.25">
      <c r="A668" s="83" t="s">
        <v>2466</v>
      </c>
      <c r="B668" s="83" t="s">
        <v>2467</v>
      </c>
      <c r="C668" s="83">
        <v>3</v>
      </c>
      <c r="D668" s="114">
        <v>3.5480929072659959E-3</v>
      </c>
      <c r="E668" s="83" t="s">
        <v>2213</v>
      </c>
    </row>
    <row r="669" spans="1:5" x14ac:dyDescent="0.25">
      <c r="A669" s="83" t="s">
        <v>2467</v>
      </c>
      <c r="B669" s="83" t="s">
        <v>2468</v>
      </c>
      <c r="C669" s="83">
        <v>3</v>
      </c>
      <c r="D669" s="114">
        <v>3.5480929072659959E-3</v>
      </c>
      <c r="E669" s="83" t="s">
        <v>2213</v>
      </c>
    </row>
    <row r="670" spans="1:5" x14ac:dyDescent="0.25">
      <c r="A670" s="83" t="s">
        <v>2353</v>
      </c>
      <c r="B670" s="83" t="s">
        <v>2239</v>
      </c>
      <c r="C670" s="83">
        <v>3</v>
      </c>
      <c r="D670" s="114">
        <v>3.5480929072659959E-3</v>
      </c>
      <c r="E670" s="83" t="s">
        <v>2213</v>
      </c>
    </row>
    <row r="671" spans="1:5" x14ac:dyDescent="0.25">
      <c r="A671" s="83" t="s">
        <v>657</v>
      </c>
      <c r="B671" s="83" t="s">
        <v>2241</v>
      </c>
      <c r="C671" s="83">
        <v>3</v>
      </c>
      <c r="D671" s="114">
        <v>3.969700071804738E-3</v>
      </c>
      <c r="E671" s="83" t="s">
        <v>2213</v>
      </c>
    </row>
    <row r="672" spans="1:5" x14ac:dyDescent="0.25">
      <c r="A672" s="83" t="s">
        <v>2308</v>
      </c>
      <c r="B672" s="83" t="s">
        <v>2246</v>
      </c>
      <c r="C672" s="83">
        <v>2</v>
      </c>
      <c r="D672" s="114">
        <v>2.6464667145364926E-3</v>
      </c>
      <c r="E672" s="83" t="s">
        <v>2213</v>
      </c>
    </row>
    <row r="673" spans="1:5" x14ac:dyDescent="0.25">
      <c r="A673" s="83" t="s">
        <v>2236</v>
      </c>
      <c r="B673" s="83" t="s">
        <v>311</v>
      </c>
      <c r="C673" s="83">
        <v>2</v>
      </c>
      <c r="D673" s="114">
        <v>2.6464667145364926E-3</v>
      </c>
      <c r="E673" s="83" t="s">
        <v>2213</v>
      </c>
    </row>
    <row r="674" spans="1:5" x14ac:dyDescent="0.25">
      <c r="A674" s="83" t="s">
        <v>311</v>
      </c>
      <c r="B674" s="83" t="s">
        <v>2235</v>
      </c>
      <c r="C674" s="83">
        <v>2</v>
      </c>
      <c r="D674" s="114">
        <v>2.6464667145364926E-3</v>
      </c>
      <c r="E674" s="83" t="s">
        <v>2213</v>
      </c>
    </row>
    <row r="675" spans="1:5" x14ac:dyDescent="0.25">
      <c r="A675" s="83" t="s">
        <v>2555</v>
      </c>
      <c r="B675" s="83" t="s">
        <v>2235</v>
      </c>
      <c r="C675" s="83">
        <v>2</v>
      </c>
      <c r="D675" s="114">
        <v>2.6464667145364926E-3</v>
      </c>
      <c r="E675" s="83" t="s">
        <v>2213</v>
      </c>
    </row>
    <row r="676" spans="1:5" x14ac:dyDescent="0.25">
      <c r="A676" s="83" t="s">
        <v>2235</v>
      </c>
      <c r="B676" s="83" t="s">
        <v>2556</v>
      </c>
      <c r="C676" s="83">
        <v>2</v>
      </c>
      <c r="D676" s="114">
        <v>2.6464667145364926E-3</v>
      </c>
      <c r="E676" s="83" t="s">
        <v>2213</v>
      </c>
    </row>
    <row r="677" spans="1:5" x14ac:dyDescent="0.25">
      <c r="A677" s="83" t="s">
        <v>2556</v>
      </c>
      <c r="B677" s="83" t="s">
        <v>2557</v>
      </c>
      <c r="C677" s="83">
        <v>2</v>
      </c>
      <c r="D677" s="114">
        <v>2.6464667145364926E-3</v>
      </c>
      <c r="E677" s="83" t="s">
        <v>2213</v>
      </c>
    </row>
    <row r="678" spans="1:5" x14ac:dyDescent="0.25">
      <c r="A678" s="83" t="s">
        <v>2557</v>
      </c>
      <c r="B678" s="83" t="s">
        <v>2558</v>
      </c>
      <c r="C678" s="83">
        <v>2</v>
      </c>
      <c r="D678" s="114">
        <v>2.6464667145364926E-3</v>
      </c>
      <c r="E678" s="83" t="s">
        <v>2213</v>
      </c>
    </row>
    <row r="679" spans="1:5" x14ac:dyDescent="0.25">
      <c r="A679" s="83" t="s">
        <v>2558</v>
      </c>
      <c r="B679" s="83" t="s">
        <v>2309</v>
      </c>
      <c r="C679" s="83">
        <v>2</v>
      </c>
      <c r="D679" s="114">
        <v>2.6464667145364926E-3</v>
      </c>
      <c r="E679" s="83" t="s">
        <v>2213</v>
      </c>
    </row>
    <row r="680" spans="1:5" x14ac:dyDescent="0.25">
      <c r="A680" s="83" t="s">
        <v>2309</v>
      </c>
      <c r="B680" s="83" t="s">
        <v>2559</v>
      </c>
      <c r="C680" s="83">
        <v>2</v>
      </c>
      <c r="D680" s="114">
        <v>2.6464667145364926E-3</v>
      </c>
      <c r="E680" s="83" t="s">
        <v>2213</v>
      </c>
    </row>
    <row r="681" spans="1:5" x14ac:dyDescent="0.25">
      <c r="A681" s="83" t="s">
        <v>2559</v>
      </c>
      <c r="B681" s="83" t="s">
        <v>2560</v>
      </c>
      <c r="C681" s="83">
        <v>2</v>
      </c>
      <c r="D681" s="114">
        <v>2.6464667145364926E-3</v>
      </c>
      <c r="E681" s="83" t="s">
        <v>2213</v>
      </c>
    </row>
    <row r="682" spans="1:5" x14ac:dyDescent="0.25">
      <c r="A682" s="83" t="s">
        <v>2560</v>
      </c>
      <c r="B682" s="83" t="s">
        <v>2561</v>
      </c>
      <c r="C682" s="83">
        <v>2</v>
      </c>
      <c r="D682" s="114">
        <v>2.6464667145364926E-3</v>
      </c>
      <c r="E682" s="83" t="s">
        <v>2213</v>
      </c>
    </row>
    <row r="683" spans="1:5" x14ac:dyDescent="0.25">
      <c r="A683" s="83" t="s">
        <v>2561</v>
      </c>
      <c r="B683" s="83" t="s">
        <v>2312</v>
      </c>
      <c r="C683" s="83">
        <v>2</v>
      </c>
      <c r="D683" s="114">
        <v>2.6464667145364926E-3</v>
      </c>
      <c r="E683" s="83" t="s">
        <v>2213</v>
      </c>
    </row>
    <row r="684" spans="1:5" x14ac:dyDescent="0.25">
      <c r="A684" s="83" t="s">
        <v>2312</v>
      </c>
      <c r="B684" s="83" t="s">
        <v>2368</v>
      </c>
      <c r="C684" s="83">
        <v>2</v>
      </c>
      <c r="D684" s="114">
        <v>2.6464667145364926E-3</v>
      </c>
      <c r="E684" s="83" t="s">
        <v>2213</v>
      </c>
    </row>
    <row r="685" spans="1:5" x14ac:dyDescent="0.25">
      <c r="A685" s="83" t="s">
        <v>2368</v>
      </c>
      <c r="B685" s="83" t="s">
        <v>2456</v>
      </c>
      <c r="C685" s="83">
        <v>2</v>
      </c>
      <c r="D685" s="114">
        <v>2.6464667145364926E-3</v>
      </c>
      <c r="E685" s="83" t="s">
        <v>2213</v>
      </c>
    </row>
    <row r="686" spans="1:5" x14ac:dyDescent="0.25">
      <c r="A686" s="83" t="s">
        <v>2456</v>
      </c>
      <c r="B686" s="83" t="s">
        <v>2394</v>
      </c>
      <c r="C686" s="83">
        <v>2</v>
      </c>
      <c r="D686" s="114">
        <v>2.6464667145364926E-3</v>
      </c>
      <c r="E686" s="83" t="s">
        <v>2213</v>
      </c>
    </row>
    <row r="687" spans="1:5" x14ac:dyDescent="0.25">
      <c r="A687" s="83" t="s">
        <v>2394</v>
      </c>
      <c r="B687" s="83" t="s">
        <v>2343</v>
      </c>
      <c r="C687" s="83">
        <v>2</v>
      </c>
      <c r="D687" s="114">
        <v>2.6464667145364926E-3</v>
      </c>
      <c r="E687" s="83" t="s">
        <v>2213</v>
      </c>
    </row>
    <row r="688" spans="1:5" x14ac:dyDescent="0.25">
      <c r="A688" s="83" t="s">
        <v>2236</v>
      </c>
      <c r="B688" s="83" t="s">
        <v>301</v>
      </c>
      <c r="C688" s="83">
        <v>2</v>
      </c>
      <c r="D688" s="114">
        <v>2.6464667145364926E-3</v>
      </c>
      <c r="E688" s="83" t="s">
        <v>2213</v>
      </c>
    </row>
    <row r="689" spans="1:5" x14ac:dyDescent="0.25">
      <c r="A689" s="83" t="s">
        <v>301</v>
      </c>
      <c r="B689" s="83" t="s">
        <v>2330</v>
      </c>
      <c r="C689" s="83">
        <v>2</v>
      </c>
      <c r="D689" s="114">
        <v>2.6464667145364926E-3</v>
      </c>
      <c r="E689" s="83" t="s">
        <v>2213</v>
      </c>
    </row>
    <row r="690" spans="1:5" x14ac:dyDescent="0.25">
      <c r="A690" s="83" t="s">
        <v>2427</v>
      </c>
      <c r="B690" s="83" t="s">
        <v>2367</v>
      </c>
      <c r="C690" s="83">
        <v>2</v>
      </c>
      <c r="D690" s="114">
        <v>2.6464667145364926E-3</v>
      </c>
      <c r="E690" s="83" t="s">
        <v>2213</v>
      </c>
    </row>
    <row r="691" spans="1:5" x14ac:dyDescent="0.25">
      <c r="A691" s="83" t="s">
        <v>2367</v>
      </c>
      <c r="B691" s="83" t="s">
        <v>2235</v>
      </c>
      <c r="C691" s="83">
        <v>2</v>
      </c>
      <c r="D691" s="114">
        <v>2.6464667145364926E-3</v>
      </c>
      <c r="E691" s="83" t="s">
        <v>2213</v>
      </c>
    </row>
    <row r="692" spans="1:5" x14ac:dyDescent="0.25">
      <c r="A692" s="83" t="s">
        <v>2235</v>
      </c>
      <c r="B692" s="83" t="s">
        <v>2563</v>
      </c>
      <c r="C692" s="83">
        <v>2</v>
      </c>
      <c r="D692" s="114">
        <v>2.6464667145364926E-3</v>
      </c>
      <c r="E692" s="83" t="s">
        <v>2213</v>
      </c>
    </row>
    <row r="693" spans="1:5" x14ac:dyDescent="0.25">
      <c r="A693" s="83" t="s">
        <v>2563</v>
      </c>
      <c r="B693" s="83" t="s">
        <v>2564</v>
      </c>
      <c r="C693" s="83">
        <v>2</v>
      </c>
      <c r="D693" s="114">
        <v>2.6464667145364926E-3</v>
      </c>
      <c r="E693" s="83" t="s">
        <v>2213</v>
      </c>
    </row>
    <row r="694" spans="1:5" x14ac:dyDescent="0.25">
      <c r="A694" s="83" t="s">
        <v>2564</v>
      </c>
      <c r="B694" s="83" t="s">
        <v>2457</v>
      </c>
      <c r="C694" s="83">
        <v>2</v>
      </c>
      <c r="D694" s="114">
        <v>2.6464667145364926E-3</v>
      </c>
      <c r="E694" s="83" t="s">
        <v>2213</v>
      </c>
    </row>
    <row r="695" spans="1:5" x14ac:dyDescent="0.25">
      <c r="A695" s="83" t="s">
        <v>2457</v>
      </c>
      <c r="B695" s="83" t="s">
        <v>2565</v>
      </c>
      <c r="C695" s="83">
        <v>2</v>
      </c>
      <c r="D695" s="114">
        <v>2.6464667145364926E-3</v>
      </c>
      <c r="E695" s="83" t="s">
        <v>2213</v>
      </c>
    </row>
    <row r="696" spans="1:5" x14ac:dyDescent="0.25">
      <c r="A696" s="83" t="s">
        <v>2565</v>
      </c>
      <c r="B696" s="83" t="s">
        <v>2566</v>
      </c>
      <c r="C696" s="83">
        <v>2</v>
      </c>
      <c r="D696" s="114">
        <v>2.6464667145364926E-3</v>
      </c>
      <c r="E696" s="83" t="s">
        <v>2213</v>
      </c>
    </row>
    <row r="697" spans="1:5" x14ac:dyDescent="0.25">
      <c r="A697" s="83" t="s">
        <v>2566</v>
      </c>
      <c r="B697" s="83" t="s">
        <v>2368</v>
      </c>
      <c r="C697" s="83">
        <v>2</v>
      </c>
      <c r="D697" s="114">
        <v>2.6464667145364926E-3</v>
      </c>
      <c r="E697" s="83" t="s">
        <v>2213</v>
      </c>
    </row>
    <row r="698" spans="1:5" x14ac:dyDescent="0.25">
      <c r="A698" s="83" t="s">
        <v>2368</v>
      </c>
      <c r="B698" s="83" t="s">
        <v>2351</v>
      </c>
      <c r="C698" s="83">
        <v>2</v>
      </c>
      <c r="D698" s="114">
        <v>2.6464667145364926E-3</v>
      </c>
      <c r="E698" s="83" t="s">
        <v>2213</v>
      </c>
    </row>
    <row r="699" spans="1:5" x14ac:dyDescent="0.25">
      <c r="A699" s="83" t="s">
        <v>2351</v>
      </c>
      <c r="B699" s="83" t="s">
        <v>2329</v>
      </c>
      <c r="C699" s="83">
        <v>2</v>
      </c>
      <c r="D699" s="114">
        <v>2.6464667145364926E-3</v>
      </c>
      <c r="E699" s="83" t="s">
        <v>2213</v>
      </c>
    </row>
    <row r="700" spans="1:5" x14ac:dyDescent="0.25">
      <c r="A700" s="83" t="s">
        <v>2289</v>
      </c>
      <c r="B700" s="83" t="s">
        <v>2238</v>
      </c>
      <c r="C700" s="83">
        <v>2</v>
      </c>
      <c r="D700" s="114">
        <v>2.6464667145364926E-3</v>
      </c>
      <c r="E700" s="83" t="s">
        <v>2213</v>
      </c>
    </row>
    <row r="701" spans="1:5" x14ac:dyDescent="0.25">
      <c r="A701" s="83" t="s">
        <v>2256</v>
      </c>
      <c r="B701" s="83" t="s">
        <v>2535</v>
      </c>
      <c r="C701" s="83">
        <v>2</v>
      </c>
      <c r="D701" s="114">
        <v>2.6464667145364926E-3</v>
      </c>
      <c r="E701" s="83" t="s">
        <v>2213</v>
      </c>
    </row>
    <row r="702" spans="1:5" x14ac:dyDescent="0.25">
      <c r="A702" s="83" t="s">
        <v>2535</v>
      </c>
      <c r="B702" s="83" t="s">
        <v>2536</v>
      </c>
      <c r="C702" s="83">
        <v>2</v>
      </c>
      <c r="D702" s="114">
        <v>2.6464667145364926E-3</v>
      </c>
      <c r="E702" s="83" t="s">
        <v>2213</v>
      </c>
    </row>
    <row r="703" spans="1:5" x14ac:dyDescent="0.25">
      <c r="A703" s="83" t="s">
        <v>2536</v>
      </c>
      <c r="B703" s="83" t="s">
        <v>2235</v>
      </c>
      <c r="C703" s="83">
        <v>2</v>
      </c>
      <c r="D703" s="114">
        <v>2.6464667145364926E-3</v>
      </c>
      <c r="E703" s="83" t="s">
        <v>2213</v>
      </c>
    </row>
    <row r="704" spans="1:5" x14ac:dyDescent="0.25">
      <c r="A704" s="83" t="s">
        <v>2237</v>
      </c>
      <c r="B704" s="83" t="s">
        <v>2537</v>
      </c>
      <c r="C704" s="83">
        <v>2</v>
      </c>
      <c r="D704" s="114">
        <v>2.6464667145364926E-3</v>
      </c>
      <c r="E704" s="83" t="s">
        <v>2213</v>
      </c>
    </row>
    <row r="705" spans="1:5" x14ac:dyDescent="0.25">
      <c r="A705" s="83" t="s">
        <v>2537</v>
      </c>
      <c r="B705" s="83" t="s">
        <v>2256</v>
      </c>
      <c r="C705" s="83">
        <v>2</v>
      </c>
      <c r="D705" s="114">
        <v>2.6464667145364926E-3</v>
      </c>
      <c r="E705" s="83" t="s">
        <v>2213</v>
      </c>
    </row>
    <row r="706" spans="1:5" x14ac:dyDescent="0.25">
      <c r="A706" s="83" t="s">
        <v>2256</v>
      </c>
      <c r="B706" s="83" t="s">
        <v>2538</v>
      </c>
      <c r="C706" s="83">
        <v>2</v>
      </c>
      <c r="D706" s="114">
        <v>2.6464667145364926E-3</v>
      </c>
      <c r="E706" s="83" t="s">
        <v>2213</v>
      </c>
    </row>
    <row r="707" spans="1:5" x14ac:dyDescent="0.25">
      <c r="A707" s="83" t="s">
        <v>2538</v>
      </c>
      <c r="B707" s="83" t="s">
        <v>2380</v>
      </c>
      <c r="C707" s="83">
        <v>2</v>
      </c>
      <c r="D707" s="114">
        <v>2.6464667145364926E-3</v>
      </c>
      <c r="E707" s="83" t="s">
        <v>2213</v>
      </c>
    </row>
    <row r="708" spans="1:5" x14ac:dyDescent="0.25">
      <c r="A708" s="83" t="s">
        <v>2380</v>
      </c>
      <c r="B708" s="83" t="s">
        <v>2392</v>
      </c>
      <c r="C708" s="83">
        <v>2</v>
      </c>
      <c r="D708" s="114">
        <v>2.6464667145364926E-3</v>
      </c>
      <c r="E708" s="83" t="s">
        <v>2213</v>
      </c>
    </row>
    <row r="709" spans="1:5" x14ac:dyDescent="0.25">
      <c r="A709" s="83" t="s">
        <v>2392</v>
      </c>
      <c r="B709" s="83" t="s">
        <v>2349</v>
      </c>
      <c r="C709" s="83">
        <v>2</v>
      </c>
      <c r="D709" s="114">
        <v>2.6464667145364926E-3</v>
      </c>
      <c r="E709" s="83" t="s">
        <v>2213</v>
      </c>
    </row>
    <row r="710" spans="1:5" x14ac:dyDescent="0.25">
      <c r="A710" s="83" t="s">
        <v>2349</v>
      </c>
      <c r="B710" s="83" t="s">
        <v>2539</v>
      </c>
      <c r="C710" s="83">
        <v>2</v>
      </c>
      <c r="D710" s="114">
        <v>2.6464667145364926E-3</v>
      </c>
      <c r="E710" s="83" t="s">
        <v>2213</v>
      </c>
    </row>
    <row r="711" spans="1:5" x14ac:dyDescent="0.25">
      <c r="A711" s="83" t="s">
        <v>2248</v>
      </c>
      <c r="B711" s="83" t="s">
        <v>2254</v>
      </c>
      <c r="C711" s="83">
        <v>2</v>
      </c>
      <c r="D711" s="114">
        <v>2.6464667145364926E-3</v>
      </c>
      <c r="E711" s="83" t="s">
        <v>2213</v>
      </c>
    </row>
    <row r="712" spans="1:5" x14ac:dyDescent="0.25">
      <c r="A712" s="83" t="s">
        <v>2237</v>
      </c>
      <c r="B712" s="83" t="s">
        <v>2549</v>
      </c>
      <c r="C712" s="83">
        <v>2</v>
      </c>
      <c r="D712" s="114">
        <v>2.6464667145364926E-3</v>
      </c>
      <c r="E712" s="83" t="s">
        <v>2213</v>
      </c>
    </row>
    <row r="713" spans="1:5" x14ac:dyDescent="0.25">
      <c r="A713" s="83" t="s">
        <v>2549</v>
      </c>
      <c r="B713" s="83" t="s">
        <v>2550</v>
      </c>
      <c r="C713" s="83">
        <v>2</v>
      </c>
      <c r="D713" s="114">
        <v>2.6464667145364926E-3</v>
      </c>
      <c r="E713" s="83" t="s">
        <v>2213</v>
      </c>
    </row>
    <row r="714" spans="1:5" x14ac:dyDescent="0.25">
      <c r="A714" s="83" t="s">
        <v>2550</v>
      </c>
      <c r="B714" s="83" t="s">
        <v>2551</v>
      </c>
      <c r="C714" s="83">
        <v>2</v>
      </c>
      <c r="D714" s="114">
        <v>2.6464667145364926E-3</v>
      </c>
      <c r="E714" s="83" t="s">
        <v>2213</v>
      </c>
    </row>
    <row r="715" spans="1:5" x14ac:dyDescent="0.25">
      <c r="A715" s="83" t="s">
        <v>2551</v>
      </c>
      <c r="B715" s="83" t="s">
        <v>2552</v>
      </c>
      <c r="C715" s="83">
        <v>2</v>
      </c>
      <c r="D715" s="114">
        <v>2.6464667145364926E-3</v>
      </c>
      <c r="E715" s="83" t="s">
        <v>2213</v>
      </c>
    </row>
    <row r="716" spans="1:5" x14ac:dyDescent="0.25">
      <c r="A716" s="83" t="s">
        <v>2552</v>
      </c>
      <c r="B716" s="83" t="s">
        <v>2454</v>
      </c>
      <c r="C716" s="83">
        <v>2</v>
      </c>
      <c r="D716" s="114">
        <v>2.6464667145364926E-3</v>
      </c>
      <c r="E716" s="83" t="s">
        <v>2213</v>
      </c>
    </row>
    <row r="717" spans="1:5" x14ac:dyDescent="0.25">
      <c r="A717" s="83" t="s">
        <v>2454</v>
      </c>
      <c r="B717" s="83" t="s">
        <v>2553</v>
      </c>
      <c r="C717" s="83">
        <v>2</v>
      </c>
      <c r="D717" s="114">
        <v>2.6464667145364926E-3</v>
      </c>
      <c r="E717" s="83" t="s">
        <v>2213</v>
      </c>
    </row>
    <row r="718" spans="1:5" x14ac:dyDescent="0.25">
      <c r="A718" s="83" t="s">
        <v>2553</v>
      </c>
      <c r="B718" s="83" t="s">
        <v>2455</v>
      </c>
      <c r="C718" s="83">
        <v>2</v>
      </c>
      <c r="D718" s="114">
        <v>2.6464667145364926E-3</v>
      </c>
      <c r="E718" s="83" t="s">
        <v>2213</v>
      </c>
    </row>
    <row r="719" spans="1:5" x14ac:dyDescent="0.25">
      <c r="A719" s="83" t="s">
        <v>2455</v>
      </c>
      <c r="B719" s="83" t="s">
        <v>2554</v>
      </c>
      <c r="C719" s="83">
        <v>2</v>
      </c>
      <c r="D719" s="114">
        <v>2.6464667145364926E-3</v>
      </c>
      <c r="E719" s="83" t="s">
        <v>2213</v>
      </c>
    </row>
    <row r="720" spans="1:5" x14ac:dyDescent="0.25">
      <c r="A720" s="83" t="s">
        <v>2554</v>
      </c>
      <c r="B720" s="83" t="s">
        <v>2235</v>
      </c>
      <c r="C720" s="83">
        <v>2</v>
      </c>
      <c r="D720" s="114">
        <v>2.6464667145364926E-3</v>
      </c>
      <c r="E720" s="83" t="s">
        <v>2213</v>
      </c>
    </row>
    <row r="721" spans="1:5" x14ac:dyDescent="0.25">
      <c r="A721" s="83" t="s">
        <v>2236</v>
      </c>
      <c r="B721" s="83" t="s">
        <v>2547</v>
      </c>
      <c r="C721" s="83">
        <v>2</v>
      </c>
      <c r="D721" s="114">
        <v>2.6464667145364926E-3</v>
      </c>
      <c r="E721" s="83" t="s">
        <v>2213</v>
      </c>
    </row>
    <row r="722" spans="1:5" x14ac:dyDescent="0.25">
      <c r="A722" s="83" t="s">
        <v>2547</v>
      </c>
      <c r="B722" s="83" t="s">
        <v>2235</v>
      </c>
      <c r="C722" s="83">
        <v>2</v>
      </c>
      <c r="D722" s="114">
        <v>2.6464667145364926E-3</v>
      </c>
      <c r="E722" s="83" t="s">
        <v>2213</v>
      </c>
    </row>
    <row r="723" spans="1:5" x14ac:dyDescent="0.25">
      <c r="A723" s="83" t="s">
        <v>2235</v>
      </c>
      <c r="B723" s="83" t="s">
        <v>2444</v>
      </c>
      <c r="C723" s="83">
        <v>2</v>
      </c>
      <c r="D723" s="114">
        <v>2.6464667145364926E-3</v>
      </c>
      <c r="E723" s="83" t="s">
        <v>2213</v>
      </c>
    </row>
    <row r="724" spans="1:5" x14ac:dyDescent="0.25">
      <c r="A724" s="83" t="s">
        <v>2444</v>
      </c>
      <c r="B724" s="83" t="s">
        <v>657</v>
      </c>
      <c r="C724" s="83">
        <v>2</v>
      </c>
      <c r="D724" s="114">
        <v>2.6464667145364926E-3</v>
      </c>
      <c r="E724" s="83" t="s">
        <v>2213</v>
      </c>
    </row>
    <row r="725" spans="1:5" x14ac:dyDescent="0.25">
      <c r="A725" s="83" t="s">
        <v>657</v>
      </c>
      <c r="B725" s="83" t="s">
        <v>2445</v>
      </c>
      <c r="C725" s="83">
        <v>2</v>
      </c>
      <c r="D725" s="114">
        <v>2.6464667145364926E-3</v>
      </c>
      <c r="E725" s="83" t="s">
        <v>2213</v>
      </c>
    </row>
    <row r="726" spans="1:5" x14ac:dyDescent="0.25">
      <c r="A726" s="83" t="s">
        <v>2445</v>
      </c>
      <c r="B726" s="83" t="s">
        <v>2446</v>
      </c>
      <c r="C726" s="83">
        <v>2</v>
      </c>
      <c r="D726" s="114">
        <v>2.6464667145364926E-3</v>
      </c>
      <c r="E726" s="83" t="s">
        <v>2213</v>
      </c>
    </row>
    <row r="727" spans="1:5" x14ac:dyDescent="0.25">
      <c r="A727" s="83" t="s">
        <v>2446</v>
      </c>
      <c r="B727" s="83" t="s">
        <v>2447</v>
      </c>
      <c r="C727" s="83">
        <v>2</v>
      </c>
      <c r="D727" s="114">
        <v>2.6464667145364926E-3</v>
      </c>
      <c r="E727" s="83" t="s">
        <v>2213</v>
      </c>
    </row>
    <row r="728" spans="1:5" x14ac:dyDescent="0.25">
      <c r="A728" s="83" t="s">
        <v>2447</v>
      </c>
      <c r="B728" s="83" t="s">
        <v>2448</v>
      </c>
      <c r="C728" s="83">
        <v>2</v>
      </c>
      <c r="D728" s="114">
        <v>2.6464667145364926E-3</v>
      </c>
      <c r="E728" s="83" t="s">
        <v>2213</v>
      </c>
    </row>
    <row r="729" spans="1:5" x14ac:dyDescent="0.25">
      <c r="A729" s="83" t="s">
        <v>2448</v>
      </c>
      <c r="B729" s="83" t="s">
        <v>2449</v>
      </c>
      <c r="C729" s="83">
        <v>2</v>
      </c>
      <c r="D729" s="114">
        <v>2.6464667145364926E-3</v>
      </c>
      <c r="E729" s="83" t="s">
        <v>2213</v>
      </c>
    </row>
    <row r="730" spans="1:5" x14ac:dyDescent="0.25">
      <c r="A730" s="83" t="s">
        <v>2449</v>
      </c>
      <c r="B730" s="83" t="s">
        <v>2349</v>
      </c>
      <c r="C730" s="83">
        <v>2</v>
      </c>
      <c r="D730" s="114">
        <v>2.6464667145364926E-3</v>
      </c>
      <c r="E730" s="83" t="s">
        <v>2213</v>
      </c>
    </row>
    <row r="731" spans="1:5" x14ac:dyDescent="0.25">
      <c r="A731" s="83" t="s">
        <v>2349</v>
      </c>
      <c r="B731" s="83" t="s">
        <v>2450</v>
      </c>
      <c r="C731" s="83">
        <v>2</v>
      </c>
      <c r="D731" s="114">
        <v>2.6464667145364926E-3</v>
      </c>
      <c r="E731" s="83" t="s">
        <v>2213</v>
      </c>
    </row>
    <row r="732" spans="1:5" x14ac:dyDescent="0.25">
      <c r="A732" s="83" t="s">
        <v>2450</v>
      </c>
      <c r="B732" s="83" t="s">
        <v>2451</v>
      </c>
      <c r="C732" s="83">
        <v>2</v>
      </c>
      <c r="D732" s="114">
        <v>2.6464667145364926E-3</v>
      </c>
      <c r="E732" s="83" t="s">
        <v>2213</v>
      </c>
    </row>
    <row r="733" spans="1:5" x14ac:dyDescent="0.25">
      <c r="A733" s="83" t="s">
        <v>2545</v>
      </c>
      <c r="B733" s="83" t="s">
        <v>2424</v>
      </c>
      <c r="C733" s="83">
        <v>2</v>
      </c>
      <c r="D733" s="114">
        <v>2.6464667145364926E-3</v>
      </c>
      <c r="E733" s="83" t="s">
        <v>2213</v>
      </c>
    </row>
    <row r="734" spans="1:5" x14ac:dyDescent="0.25">
      <c r="A734" s="83" t="s">
        <v>2407</v>
      </c>
      <c r="B734" s="83" t="s">
        <v>2242</v>
      </c>
      <c r="C734" s="83">
        <v>2</v>
      </c>
      <c r="D734" s="114">
        <v>2.6464667145364926E-3</v>
      </c>
      <c r="E734" s="83" t="s">
        <v>2213</v>
      </c>
    </row>
    <row r="735" spans="1:5" x14ac:dyDescent="0.25">
      <c r="A735" s="83" t="s">
        <v>2253</v>
      </c>
      <c r="B735" s="83" t="s">
        <v>2235</v>
      </c>
      <c r="C735" s="83">
        <v>2</v>
      </c>
      <c r="D735" s="114">
        <v>2.6464667145364926E-3</v>
      </c>
      <c r="E735" s="83" t="s">
        <v>2213</v>
      </c>
    </row>
    <row r="736" spans="1:5" x14ac:dyDescent="0.25">
      <c r="A736" s="83" t="s">
        <v>2587</v>
      </c>
      <c r="B736" s="83" t="s">
        <v>649</v>
      </c>
      <c r="C736" s="83">
        <v>2</v>
      </c>
      <c r="D736" s="114">
        <v>2.6464667145364926E-3</v>
      </c>
      <c r="E736" s="83" t="s">
        <v>2213</v>
      </c>
    </row>
    <row r="737" spans="1:5" x14ac:dyDescent="0.25">
      <c r="A737" s="83" t="s">
        <v>649</v>
      </c>
      <c r="B737" s="83" t="s">
        <v>2588</v>
      </c>
      <c r="C737" s="83">
        <v>2</v>
      </c>
      <c r="D737" s="114">
        <v>2.6464667145364926E-3</v>
      </c>
      <c r="E737" s="83" t="s">
        <v>2213</v>
      </c>
    </row>
    <row r="738" spans="1:5" x14ac:dyDescent="0.25">
      <c r="A738" s="83" t="s">
        <v>657</v>
      </c>
      <c r="B738" s="83" t="s">
        <v>2242</v>
      </c>
      <c r="C738" s="83">
        <v>2</v>
      </c>
      <c r="D738" s="114">
        <v>2.6464667145364926E-3</v>
      </c>
      <c r="E738" s="83" t="s">
        <v>2213</v>
      </c>
    </row>
    <row r="739" spans="1:5" x14ac:dyDescent="0.25">
      <c r="A739" s="83" t="s">
        <v>2240</v>
      </c>
      <c r="B739" s="83" t="s">
        <v>657</v>
      </c>
      <c r="C739" s="83">
        <v>2</v>
      </c>
      <c r="D739" s="114">
        <v>2.6464667145364926E-3</v>
      </c>
      <c r="E739" s="83" t="s">
        <v>2213</v>
      </c>
    </row>
    <row r="740" spans="1:5" x14ac:dyDescent="0.25">
      <c r="A740" s="83" t="s">
        <v>2299</v>
      </c>
      <c r="B740" s="83" t="s">
        <v>2354</v>
      </c>
      <c r="C740" s="83">
        <v>2</v>
      </c>
      <c r="D740" s="114">
        <v>2.6464667145364926E-3</v>
      </c>
      <c r="E740" s="83" t="s">
        <v>2213</v>
      </c>
    </row>
    <row r="741" spans="1:5" x14ac:dyDescent="0.25">
      <c r="A741" s="83" t="s">
        <v>2235</v>
      </c>
      <c r="B741" s="83" t="s">
        <v>2322</v>
      </c>
      <c r="C741" s="83">
        <v>2</v>
      </c>
      <c r="D741" s="114">
        <v>2.6464667145364926E-3</v>
      </c>
      <c r="E741" s="83" t="s">
        <v>2213</v>
      </c>
    </row>
    <row r="742" spans="1:5" x14ac:dyDescent="0.25">
      <c r="A742" s="83" t="s">
        <v>2322</v>
      </c>
      <c r="B742" s="83" t="s">
        <v>657</v>
      </c>
      <c r="C742" s="83">
        <v>2</v>
      </c>
      <c r="D742" s="114">
        <v>2.6464667145364926E-3</v>
      </c>
      <c r="E742" s="83" t="s">
        <v>2213</v>
      </c>
    </row>
    <row r="743" spans="1:5" x14ac:dyDescent="0.25">
      <c r="A743" s="83" t="s">
        <v>2240</v>
      </c>
      <c r="B743" s="83" t="s">
        <v>2408</v>
      </c>
      <c r="C743" s="83">
        <v>2</v>
      </c>
      <c r="D743" s="114">
        <v>3.1269615200655927E-3</v>
      </c>
      <c r="E743" s="83" t="s">
        <v>2213</v>
      </c>
    </row>
    <row r="744" spans="1:5" x14ac:dyDescent="0.25">
      <c r="A744" s="83" t="s">
        <v>2239</v>
      </c>
      <c r="B744" s="83" t="s">
        <v>2240</v>
      </c>
      <c r="C744" s="83">
        <v>6</v>
      </c>
      <c r="D744" s="114">
        <v>1.2313008238501393E-2</v>
      </c>
      <c r="E744" s="83" t="s">
        <v>2214</v>
      </c>
    </row>
    <row r="745" spans="1:5" x14ac:dyDescent="0.25">
      <c r="A745" s="83" t="s">
        <v>2242</v>
      </c>
      <c r="B745" s="83" t="s">
        <v>2239</v>
      </c>
      <c r="C745" s="83">
        <v>3</v>
      </c>
      <c r="D745" s="114">
        <v>8.9267188032750629E-3</v>
      </c>
      <c r="E745" s="83" t="s">
        <v>2214</v>
      </c>
    </row>
    <row r="746" spans="1:5" x14ac:dyDescent="0.25">
      <c r="A746" s="83" t="s">
        <v>2294</v>
      </c>
      <c r="B746" s="83" t="s">
        <v>2453</v>
      </c>
      <c r="C746" s="83">
        <v>2</v>
      </c>
      <c r="D746" s="114">
        <v>7.0314603415842824E-3</v>
      </c>
      <c r="E746" s="83" t="s">
        <v>2214</v>
      </c>
    </row>
    <row r="747" spans="1:5" x14ac:dyDescent="0.25">
      <c r="A747" s="83" t="s">
        <v>2355</v>
      </c>
      <c r="B747" s="83" t="s">
        <v>2263</v>
      </c>
      <c r="C747" s="83">
        <v>2</v>
      </c>
      <c r="D747" s="114">
        <v>7.0314603415842824E-3</v>
      </c>
      <c r="E747" s="83" t="s">
        <v>2214</v>
      </c>
    </row>
    <row r="748" spans="1:5" x14ac:dyDescent="0.25">
      <c r="A748" s="83" t="s">
        <v>657</v>
      </c>
      <c r="B748" s="83" t="s">
        <v>2318</v>
      </c>
      <c r="C748" s="83">
        <v>2</v>
      </c>
      <c r="D748" s="114">
        <v>7.0314603415842824E-3</v>
      </c>
      <c r="E748" s="83" t="s">
        <v>2214</v>
      </c>
    </row>
    <row r="749" spans="1:5" x14ac:dyDescent="0.25">
      <c r="A749" s="83" t="s">
        <v>2318</v>
      </c>
      <c r="B749" s="83" t="s">
        <v>2247</v>
      </c>
      <c r="C749" s="83">
        <v>2</v>
      </c>
      <c r="D749" s="114">
        <v>7.0314603415842824E-3</v>
      </c>
      <c r="E749" s="83" t="s">
        <v>2214</v>
      </c>
    </row>
    <row r="750" spans="1:5" x14ac:dyDescent="0.25">
      <c r="A750" s="83" t="s">
        <v>2255</v>
      </c>
      <c r="B750" s="83" t="s">
        <v>2610</v>
      </c>
      <c r="C750" s="83">
        <v>2</v>
      </c>
      <c r="D750" s="114">
        <v>7.0314603415842824E-3</v>
      </c>
      <c r="E750" s="83" t="s">
        <v>2214</v>
      </c>
    </row>
    <row r="751" spans="1:5" x14ac:dyDescent="0.25">
      <c r="A751" s="83" t="s">
        <v>2235</v>
      </c>
      <c r="B751" s="83" t="s">
        <v>2288</v>
      </c>
      <c r="C751" s="83">
        <v>6</v>
      </c>
      <c r="D751" s="114">
        <v>1.4774090775543021E-2</v>
      </c>
      <c r="E751" s="83" t="s">
        <v>2215</v>
      </c>
    </row>
    <row r="752" spans="1:5" x14ac:dyDescent="0.25">
      <c r="A752" s="83" t="s">
        <v>2255</v>
      </c>
      <c r="B752" s="83" t="s">
        <v>657</v>
      </c>
      <c r="C752" s="83">
        <v>5</v>
      </c>
      <c r="D752" s="114">
        <v>1.3982232735898187E-2</v>
      </c>
      <c r="E752" s="83" t="s">
        <v>2215</v>
      </c>
    </row>
    <row r="753" spans="1:5" x14ac:dyDescent="0.25">
      <c r="A753" s="83" t="s">
        <v>2288</v>
      </c>
      <c r="B753" s="83" t="s">
        <v>2315</v>
      </c>
      <c r="C753" s="83">
        <v>5</v>
      </c>
      <c r="D753" s="114">
        <v>1.3982232735898187E-2</v>
      </c>
      <c r="E753" s="83" t="s">
        <v>2215</v>
      </c>
    </row>
    <row r="754" spans="1:5" x14ac:dyDescent="0.25">
      <c r="A754" s="83" t="s">
        <v>2315</v>
      </c>
      <c r="B754" s="83" t="s">
        <v>2325</v>
      </c>
      <c r="C754" s="83">
        <v>5</v>
      </c>
      <c r="D754" s="114">
        <v>1.3982232735898187E-2</v>
      </c>
      <c r="E754" s="83" t="s">
        <v>2215</v>
      </c>
    </row>
    <row r="755" spans="1:5" x14ac:dyDescent="0.25">
      <c r="A755" s="83" t="s">
        <v>2248</v>
      </c>
      <c r="B755" s="83" t="s">
        <v>2254</v>
      </c>
      <c r="C755" s="83">
        <v>5</v>
      </c>
      <c r="D755" s="114">
        <v>1.3982232735898187E-2</v>
      </c>
      <c r="E755" s="83" t="s">
        <v>2215</v>
      </c>
    </row>
    <row r="756" spans="1:5" x14ac:dyDescent="0.25">
      <c r="A756" s="83" t="s">
        <v>657</v>
      </c>
      <c r="B756" s="83" t="s">
        <v>2235</v>
      </c>
      <c r="C756" s="83">
        <v>4</v>
      </c>
      <c r="D756" s="114">
        <v>1.2821398222609795E-2</v>
      </c>
      <c r="E756" s="83" t="s">
        <v>2215</v>
      </c>
    </row>
    <row r="757" spans="1:5" x14ac:dyDescent="0.25">
      <c r="A757" s="83" t="s">
        <v>2344</v>
      </c>
      <c r="B757" s="83" t="s">
        <v>2373</v>
      </c>
      <c r="C757" s="83">
        <v>4</v>
      </c>
      <c r="D757" s="114">
        <v>1.4930068882665492E-2</v>
      </c>
      <c r="E757" s="83" t="s">
        <v>2215</v>
      </c>
    </row>
    <row r="758" spans="1:5" x14ac:dyDescent="0.25">
      <c r="A758" s="83" t="s">
        <v>2373</v>
      </c>
      <c r="B758" s="83" t="s">
        <v>2374</v>
      </c>
      <c r="C758" s="83">
        <v>4</v>
      </c>
      <c r="D758" s="114">
        <v>1.4930068882665492E-2</v>
      </c>
      <c r="E758" s="83" t="s">
        <v>2215</v>
      </c>
    </row>
    <row r="759" spans="1:5" x14ac:dyDescent="0.25">
      <c r="A759" s="83" t="s">
        <v>2235</v>
      </c>
      <c r="B759" s="83" t="s">
        <v>2344</v>
      </c>
      <c r="C759" s="83">
        <v>3</v>
      </c>
      <c r="D759" s="114">
        <v>1.1197551661999119E-2</v>
      </c>
      <c r="E759" s="83" t="s">
        <v>2215</v>
      </c>
    </row>
    <row r="760" spans="1:5" x14ac:dyDescent="0.25">
      <c r="A760" s="83" t="s">
        <v>2374</v>
      </c>
      <c r="B760" s="83" t="s">
        <v>2288</v>
      </c>
      <c r="C760" s="83">
        <v>3</v>
      </c>
      <c r="D760" s="114">
        <v>1.1197551661999119E-2</v>
      </c>
      <c r="E760" s="83" t="s">
        <v>2215</v>
      </c>
    </row>
    <row r="761" spans="1:5" x14ac:dyDescent="0.25">
      <c r="A761" s="83" t="s">
        <v>2288</v>
      </c>
      <c r="B761" s="83" t="s">
        <v>639</v>
      </c>
      <c r="C761" s="83">
        <v>3</v>
      </c>
      <c r="D761" s="114">
        <v>1.1197551661999119E-2</v>
      </c>
      <c r="E761" s="83" t="s">
        <v>2215</v>
      </c>
    </row>
    <row r="762" spans="1:5" x14ac:dyDescent="0.25">
      <c r="A762" s="83" t="s">
        <v>2235</v>
      </c>
      <c r="B762" s="83" t="s">
        <v>2248</v>
      </c>
      <c r="C762" s="83">
        <v>3</v>
      </c>
      <c r="D762" s="114">
        <v>1.1197551661999119E-2</v>
      </c>
      <c r="E762" s="83" t="s">
        <v>2215</v>
      </c>
    </row>
    <row r="763" spans="1:5" x14ac:dyDescent="0.25">
      <c r="A763" s="83" t="s">
        <v>2254</v>
      </c>
      <c r="B763" s="83" t="s">
        <v>2369</v>
      </c>
      <c r="C763" s="83">
        <v>3</v>
      </c>
      <c r="D763" s="114">
        <v>1.1197551661999119E-2</v>
      </c>
      <c r="E763" s="83" t="s">
        <v>2215</v>
      </c>
    </row>
    <row r="764" spans="1:5" x14ac:dyDescent="0.25">
      <c r="A764" s="83" t="s">
        <v>2369</v>
      </c>
      <c r="B764" s="83" t="s">
        <v>2399</v>
      </c>
      <c r="C764" s="83">
        <v>3</v>
      </c>
      <c r="D764" s="114">
        <v>1.1197551661999119E-2</v>
      </c>
      <c r="E764" s="83" t="s">
        <v>2215</v>
      </c>
    </row>
    <row r="765" spans="1:5" x14ac:dyDescent="0.25">
      <c r="A765" s="83" t="s">
        <v>2399</v>
      </c>
      <c r="B765" s="83" t="s">
        <v>657</v>
      </c>
      <c r="C765" s="83">
        <v>3</v>
      </c>
      <c r="D765" s="114">
        <v>1.1197551661999119E-2</v>
      </c>
      <c r="E765" s="83" t="s">
        <v>2215</v>
      </c>
    </row>
    <row r="766" spans="1:5" x14ac:dyDescent="0.25">
      <c r="A766" s="83" t="s">
        <v>657</v>
      </c>
      <c r="B766" s="83" t="s">
        <v>2252</v>
      </c>
      <c r="C766" s="83">
        <v>3</v>
      </c>
      <c r="D766" s="114">
        <v>1.1197551661999119E-2</v>
      </c>
      <c r="E766" s="83" t="s">
        <v>2215</v>
      </c>
    </row>
    <row r="767" spans="1:5" x14ac:dyDescent="0.25">
      <c r="A767" s="83" t="s">
        <v>2252</v>
      </c>
      <c r="B767" s="83" t="s">
        <v>2400</v>
      </c>
      <c r="C767" s="83">
        <v>3</v>
      </c>
      <c r="D767" s="114">
        <v>1.1197551661999119E-2</v>
      </c>
      <c r="E767" s="83" t="s">
        <v>2215</v>
      </c>
    </row>
    <row r="768" spans="1:5" x14ac:dyDescent="0.25">
      <c r="A768" s="83" t="s">
        <v>2400</v>
      </c>
      <c r="B768" s="83" t="s">
        <v>2401</v>
      </c>
      <c r="C768" s="83">
        <v>3</v>
      </c>
      <c r="D768" s="114">
        <v>1.1197551661999119E-2</v>
      </c>
      <c r="E768" s="83" t="s">
        <v>2215</v>
      </c>
    </row>
    <row r="769" spans="1:5" x14ac:dyDescent="0.25">
      <c r="A769" s="83" t="s">
        <v>2401</v>
      </c>
      <c r="B769" s="83" t="s">
        <v>2402</v>
      </c>
      <c r="C769" s="83">
        <v>3</v>
      </c>
      <c r="D769" s="114">
        <v>1.1197551661999119E-2</v>
      </c>
      <c r="E769" s="83" t="s">
        <v>2215</v>
      </c>
    </row>
    <row r="770" spans="1:5" x14ac:dyDescent="0.25">
      <c r="A770" s="83" t="s">
        <v>2402</v>
      </c>
      <c r="B770" s="83" t="s">
        <v>2370</v>
      </c>
      <c r="C770" s="83">
        <v>3</v>
      </c>
      <c r="D770" s="114">
        <v>1.1197551661999119E-2</v>
      </c>
      <c r="E770" s="83" t="s">
        <v>2215</v>
      </c>
    </row>
    <row r="771" spans="1:5" x14ac:dyDescent="0.25">
      <c r="A771" s="83" t="s">
        <v>2370</v>
      </c>
      <c r="B771" s="83" t="s">
        <v>2403</v>
      </c>
      <c r="C771" s="83">
        <v>3</v>
      </c>
      <c r="D771" s="114">
        <v>1.1197551661999119E-2</v>
      </c>
      <c r="E771" s="83" t="s">
        <v>2215</v>
      </c>
    </row>
    <row r="772" spans="1:5" x14ac:dyDescent="0.25">
      <c r="A772" s="83" t="s">
        <v>2403</v>
      </c>
      <c r="B772" s="83" t="s">
        <v>2404</v>
      </c>
      <c r="C772" s="83">
        <v>3</v>
      </c>
      <c r="D772" s="114">
        <v>1.1197551661999119E-2</v>
      </c>
      <c r="E772" s="83" t="s">
        <v>2215</v>
      </c>
    </row>
    <row r="773" spans="1:5" x14ac:dyDescent="0.25">
      <c r="A773" s="83" t="s">
        <v>2404</v>
      </c>
      <c r="B773" s="83" t="s">
        <v>2405</v>
      </c>
      <c r="C773" s="83">
        <v>3</v>
      </c>
      <c r="D773" s="114">
        <v>1.1197551661999119E-2</v>
      </c>
      <c r="E773" s="83" t="s">
        <v>2215</v>
      </c>
    </row>
    <row r="774" spans="1:5" x14ac:dyDescent="0.25">
      <c r="A774" s="83" t="s">
        <v>2235</v>
      </c>
      <c r="B774" s="83" t="s">
        <v>2351</v>
      </c>
      <c r="C774" s="83">
        <v>3</v>
      </c>
      <c r="D774" s="114">
        <v>1.1197551661999119E-2</v>
      </c>
      <c r="E774" s="83" t="s">
        <v>2215</v>
      </c>
    </row>
    <row r="775" spans="1:5" x14ac:dyDescent="0.25">
      <c r="A775" s="83" t="s">
        <v>2291</v>
      </c>
      <c r="B775" s="83" t="s">
        <v>2316</v>
      </c>
      <c r="C775" s="83">
        <v>3</v>
      </c>
      <c r="D775" s="114">
        <v>1.1197551661999119E-2</v>
      </c>
      <c r="E775" s="83" t="s">
        <v>2215</v>
      </c>
    </row>
    <row r="776" spans="1:5" x14ac:dyDescent="0.25">
      <c r="A776" s="83" t="s">
        <v>2236</v>
      </c>
      <c r="B776" s="83" t="s">
        <v>366</v>
      </c>
      <c r="C776" s="83">
        <v>2</v>
      </c>
      <c r="D776" s="114">
        <v>8.9510366274566378E-3</v>
      </c>
      <c r="E776" s="83" t="s">
        <v>2215</v>
      </c>
    </row>
    <row r="777" spans="1:5" x14ac:dyDescent="0.25">
      <c r="A777" s="83" t="s">
        <v>366</v>
      </c>
      <c r="B777" s="83" t="s">
        <v>2255</v>
      </c>
      <c r="C777" s="83">
        <v>2</v>
      </c>
      <c r="D777" s="114">
        <v>8.9510366274566378E-3</v>
      </c>
      <c r="E777" s="83" t="s">
        <v>2215</v>
      </c>
    </row>
    <row r="778" spans="1:5" x14ac:dyDescent="0.25">
      <c r="A778" s="83" t="s">
        <v>2244</v>
      </c>
      <c r="B778" s="83" t="s">
        <v>2250</v>
      </c>
      <c r="C778" s="83">
        <v>2</v>
      </c>
      <c r="D778" s="114">
        <v>8.9510366274566378E-3</v>
      </c>
      <c r="E778" s="83" t="s">
        <v>2215</v>
      </c>
    </row>
    <row r="779" spans="1:5" x14ac:dyDescent="0.25">
      <c r="A779" s="83" t="s">
        <v>2272</v>
      </c>
      <c r="B779" s="83" t="s">
        <v>2235</v>
      </c>
      <c r="C779" s="83">
        <v>2</v>
      </c>
      <c r="D779" s="114">
        <v>8.9510366274566378E-3</v>
      </c>
      <c r="E779" s="83" t="s">
        <v>2215</v>
      </c>
    </row>
    <row r="780" spans="1:5" x14ac:dyDescent="0.25">
      <c r="A780" s="83" t="s">
        <v>2440</v>
      </c>
      <c r="B780" s="83" t="s">
        <v>2235</v>
      </c>
      <c r="C780" s="83">
        <v>2</v>
      </c>
      <c r="D780" s="114">
        <v>8.9510366274566378E-3</v>
      </c>
      <c r="E780" s="83" t="s">
        <v>2215</v>
      </c>
    </row>
    <row r="781" spans="1:5" x14ac:dyDescent="0.25">
      <c r="A781" s="83" t="s">
        <v>2351</v>
      </c>
      <c r="B781" s="83" t="s">
        <v>2248</v>
      </c>
      <c r="C781" s="83">
        <v>2</v>
      </c>
      <c r="D781" s="114">
        <v>8.9510366274566378E-3</v>
      </c>
      <c r="E781" s="83" t="s">
        <v>2215</v>
      </c>
    </row>
    <row r="782" spans="1:5" x14ac:dyDescent="0.25">
      <c r="A782" s="83" t="s">
        <v>2254</v>
      </c>
      <c r="B782" s="83" t="s">
        <v>2458</v>
      </c>
      <c r="C782" s="83">
        <v>2</v>
      </c>
      <c r="D782" s="114">
        <v>8.9510366274566378E-3</v>
      </c>
      <c r="E782" s="83" t="s">
        <v>2215</v>
      </c>
    </row>
    <row r="783" spans="1:5" x14ac:dyDescent="0.25">
      <c r="A783" s="83" t="s">
        <v>2458</v>
      </c>
      <c r="B783" s="83" t="s">
        <v>2291</v>
      </c>
      <c r="C783" s="83">
        <v>2</v>
      </c>
      <c r="D783" s="114">
        <v>8.9510366274566378E-3</v>
      </c>
      <c r="E783" s="83" t="s">
        <v>2215</v>
      </c>
    </row>
    <row r="784" spans="1:5" x14ac:dyDescent="0.25">
      <c r="A784" s="83" t="s">
        <v>2568</v>
      </c>
      <c r="B784" s="83" t="s">
        <v>2629</v>
      </c>
      <c r="C784" s="83">
        <v>2</v>
      </c>
      <c r="D784" s="114">
        <v>1.1491374143608377E-2</v>
      </c>
      <c r="E784" s="83" t="s">
        <v>2215</v>
      </c>
    </row>
    <row r="785" spans="1:5" x14ac:dyDescent="0.25">
      <c r="A785" s="83" t="s">
        <v>2236</v>
      </c>
      <c r="B785" s="83" t="s">
        <v>2460</v>
      </c>
      <c r="C785" s="83">
        <v>2</v>
      </c>
      <c r="D785" s="114">
        <v>8.9510366274566378E-3</v>
      </c>
      <c r="E785" s="83" t="s">
        <v>2215</v>
      </c>
    </row>
    <row r="786" spans="1:5" x14ac:dyDescent="0.25">
      <c r="A786" s="83" t="s">
        <v>2460</v>
      </c>
      <c r="B786" s="83" t="s">
        <v>2235</v>
      </c>
      <c r="C786" s="83">
        <v>2</v>
      </c>
      <c r="D786" s="114">
        <v>8.9510366274566378E-3</v>
      </c>
      <c r="E786" s="83" t="s">
        <v>2215</v>
      </c>
    </row>
    <row r="787" spans="1:5" x14ac:dyDescent="0.25">
      <c r="A787" s="83" t="s">
        <v>2236</v>
      </c>
      <c r="B787" s="83" t="s">
        <v>276</v>
      </c>
      <c r="C787" s="83">
        <v>2</v>
      </c>
      <c r="D787" s="114">
        <v>1.1491374143608377E-2</v>
      </c>
      <c r="E787" s="83" t="s">
        <v>2215</v>
      </c>
    </row>
    <row r="788" spans="1:5" x14ac:dyDescent="0.25">
      <c r="A788" s="83" t="s">
        <v>2236</v>
      </c>
      <c r="B788" s="83" t="s">
        <v>2323</v>
      </c>
      <c r="C788" s="83">
        <v>2</v>
      </c>
      <c r="D788" s="114">
        <v>1.1491374143608377E-2</v>
      </c>
      <c r="E788" s="83" t="s">
        <v>2215</v>
      </c>
    </row>
    <row r="789" spans="1:5" x14ac:dyDescent="0.25">
      <c r="A789" s="83" t="s">
        <v>2245</v>
      </c>
      <c r="B789" s="83" t="s">
        <v>2235</v>
      </c>
      <c r="C789" s="83">
        <v>15</v>
      </c>
      <c r="D789" s="114">
        <v>7.7762699133796642E-3</v>
      </c>
      <c r="E789" s="83" t="s">
        <v>2216</v>
      </c>
    </row>
    <row r="790" spans="1:5" x14ac:dyDescent="0.25">
      <c r="A790" s="83" t="s">
        <v>2246</v>
      </c>
      <c r="B790" s="83" t="s">
        <v>2245</v>
      </c>
      <c r="C790" s="83">
        <v>12</v>
      </c>
      <c r="D790" s="114">
        <v>1.1046410769279156E-2</v>
      </c>
      <c r="E790" s="83" t="s">
        <v>2216</v>
      </c>
    </row>
    <row r="791" spans="1:5" x14ac:dyDescent="0.25">
      <c r="A791" s="83" t="s">
        <v>254</v>
      </c>
      <c r="B791" s="83" t="s">
        <v>2245</v>
      </c>
      <c r="C791" s="83">
        <v>6</v>
      </c>
      <c r="D791" s="114">
        <v>1.3017728098265666E-2</v>
      </c>
      <c r="E791" s="83" t="s">
        <v>2216</v>
      </c>
    </row>
    <row r="792" spans="1:5" x14ac:dyDescent="0.25">
      <c r="A792" s="83" t="s">
        <v>2236</v>
      </c>
      <c r="B792" s="83" t="s">
        <v>2246</v>
      </c>
      <c r="C792" s="83">
        <v>5</v>
      </c>
      <c r="D792" s="114">
        <v>1.2490871189376813E-2</v>
      </c>
      <c r="E792" s="83" t="s">
        <v>2216</v>
      </c>
    </row>
    <row r="793" spans="1:5" x14ac:dyDescent="0.25">
      <c r="A793" s="83" t="s">
        <v>655</v>
      </c>
      <c r="B793" s="83" t="s">
        <v>662</v>
      </c>
      <c r="C793" s="83">
        <v>5</v>
      </c>
      <c r="D793" s="114">
        <v>1.2490871189376813E-2</v>
      </c>
      <c r="E793" s="83" t="s">
        <v>2216</v>
      </c>
    </row>
    <row r="794" spans="1:5" x14ac:dyDescent="0.25">
      <c r="A794" s="83" t="s">
        <v>662</v>
      </c>
      <c r="B794" s="83" t="s">
        <v>644</v>
      </c>
      <c r="C794" s="83">
        <v>5</v>
      </c>
      <c r="D794" s="114">
        <v>1.2490871189376813E-2</v>
      </c>
      <c r="E794" s="83" t="s">
        <v>2216</v>
      </c>
    </row>
    <row r="795" spans="1:5" x14ac:dyDescent="0.25">
      <c r="A795" s="83" t="s">
        <v>2235</v>
      </c>
      <c r="B795" s="83" t="s">
        <v>655</v>
      </c>
      <c r="C795" s="83">
        <v>4</v>
      </c>
      <c r="D795" s="114">
        <v>1.1601161897693259E-2</v>
      </c>
      <c r="E795" s="83" t="s">
        <v>2216</v>
      </c>
    </row>
    <row r="796" spans="1:5" x14ac:dyDescent="0.25">
      <c r="A796" s="83" t="s">
        <v>2345</v>
      </c>
      <c r="B796" s="83" t="s">
        <v>2426</v>
      </c>
      <c r="C796" s="83">
        <v>3</v>
      </c>
      <c r="D796" s="114">
        <v>1.0256125405945875E-2</v>
      </c>
      <c r="E796" s="83" t="s">
        <v>2216</v>
      </c>
    </row>
    <row r="797" spans="1:5" x14ac:dyDescent="0.25">
      <c r="A797" s="83" t="s">
        <v>2426</v>
      </c>
      <c r="B797" s="83" t="s">
        <v>2327</v>
      </c>
      <c r="C797" s="83">
        <v>3</v>
      </c>
      <c r="D797" s="114">
        <v>1.0256125405945875E-2</v>
      </c>
      <c r="E797" s="83" t="s">
        <v>2216</v>
      </c>
    </row>
    <row r="798" spans="1:5" x14ac:dyDescent="0.25">
      <c r="A798" s="83" t="s">
        <v>2327</v>
      </c>
      <c r="B798" s="83" t="s">
        <v>2364</v>
      </c>
      <c r="C798" s="83">
        <v>3</v>
      </c>
      <c r="D798" s="114">
        <v>1.0256125405945875E-2</v>
      </c>
      <c r="E798" s="83" t="s">
        <v>2216</v>
      </c>
    </row>
    <row r="799" spans="1:5" x14ac:dyDescent="0.25">
      <c r="A799" s="83" t="s">
        <v>2364</v>
      </c>
      <c r="B799" s="83" t="s">
        <v>2359</v>
      </c>
      <c r="C799" s="83">
        <v>3</v>
      </c>
      <c r="D799" s="114">
        <v>1.0256125405945875E-2</v>
      </c>
      <c r="E799" s="83" t="s">
        <v>2216</v>
      </c>
    </row>
    <row r="800" spans="1:5" x14ac:dyDescent="0.25">
      <c r="A800" s="83" t="s">
        <v>2359</v>
      </c>
      <c r="B800" s="83" t="s">
        <v>2327</v>
      </c>
      <c r="C800" s="83">
        <v>3</v>
      </c>
      <c r="D800" s="114">
        <v>1.0256125405945875E-2</v>
      </c>
      <c r="E800" s="83" t="s">
        <v>2216</v>
      </c>
    </row>
    <row r="801" spans="1:5" x14ac:dyDescent="0.25">
      <c r="A801" s="83" t="s">
        <v>2327</v>
      </c>
      <c r="B801" s="83" t="s">
        <v>2246</v>
      </c>
      <c r="C801" s="83">
        <v>3</v>
      </c>
      <c r="D801" s="114">
        <v>1.0256125405945875E-2</v>
      </c>
      <c r="E801" s="83" t="s">
        <v>2216</v>
      </c>
    </row>
    <row r="802" spans="1:5" x14ac:dyDescent="0.25">
      <c r="A802" s="83" t="s">
        <v>2245</v>
      </c>
      <c r="B802" s="83" t="s">
        <v>2308</v>
      </c>
      <c r="C802" s="83">
        <v>3</v>
      </c>
      <c r="D802" s="114">
        <v>1.0256125405945875E-2</v>
      </c>
      <c r="E802" s="83" t="s">
        <v>2216</v>
      </c>
    </row>
    <row r="803" spans="1:5" x14ac:dyDescent="0.25">
      <c r="A803" s="83" t="s">
        <v>2308</v>
      </c>
      <c r="B803" s="83" t="s">
        <v>2235</v>
      </c>
      <c r="C803" s="83">
        <v>3</v>
      </c>
      <c r="D803" s="114">
        <v>1.0256125405945875E-2</v>
      </c>
      <c r="E803" s="83" t="s">
        <v>2216</v>
      </c>
    </row>
    <row r="804" spans="1:5" x14ac:dyDescent="0.25">
      <c r="A804" s="83" t="s">
        <v>2270</v>
      </c>
      <c r="B804" s="83" t="s">
        <v>2271</v>
      </c>
      <c r="C804" s="83">
        <v>3</v>
      </c>
      <c r="D804" s="114">
        <v>1.0256125405945875E-2</v>
      </c>
      <c r="E804" s="83" t="s">
        <v>2216</v>
      </c>
    </row>
    <row r="805" spans="1:5" x14ac:dyDescent="0.25">
      <c r="A805" s="83" t="s">
        <v>2284</v>
      </c>
      <c r="B805" s="83" t="s">
        <v>2273</v>
      </c>
      <c r="C805" s="83">
        <v>3</v>
      </c>
      <c r="D805" s="114">
        <v>1.0256125405945875E-2</v>
      </c>
      <c r="E805" s="83" t="s">
        <v>2216</v>
      </c>
    </row>
    <row r="806" spans="1:5" x14ac:dyDescent="0.25">
      <c r="A806" s="83" t="s">
        <v>2273</v>
      </c>
      <c r="B806" s="83" t="s">
        <v>2249</v>
      </c>
      <c r="C806" s="83">
        <v>3</v>
      </c>
      <c r="D806" s="114">
        <v>1.0256125405945875E-2</v>
      </c>
      <c r="E806" s="83" t="s">
        <v>2216</v>
      </c>
    </row>
    <row r="807" spans="1:5" x14ac:dyDescent="0.25">
      <c r="A807" s="83" t="s">
        <v>318</v>
      </c>
      <c r="B807" s="83" t="s">
        <v>2246</v>
      </c>
      <c r="C807" s="83">
        <v>2</v>
      </c>
      <c r="D807" s="114">
        <v>8.2987551867219917E-3</v>
      </c>
      <c r="E807" s="83" t="s">
        <v>2216</v>
      </c>
    </row>
    <row r="808" spans="1:5" x14ac:dyDescent="0.25">
      <c r="A808" s="83" t="s">
        <v>2236</v>
      </c>
      <c r="B808" s="83" t="s">
        <v>318</v>
      </c>
      <c r="C808" s="83">
        <v>2</v>
      </c>
      <c r="D808" s="114">
        <v>8.2987551867219917E-3</v>
      </c>
      <c r="E808" s="83" t="s">
        <v>2216</v>
      </c>
    </row>
    <row r="809" spans="1:5" x14ac:dyDescent="0.25">
      <c r="A809" s="83" t="s">
        <v>318</v>
      </c>
      <c r="B809" s="83" t="s">
        <v>2345</v>
      </c>
      <c r="C809" s="83">
        <v>2</v>
      </c>
      <c r="D809" s="114">
        <v>8.2987551867219917E-3</v>
      </c>
      <c r="E809" s="83" t="s">
        <v>2216</v>
      </c>
    </row>
    <row r="810" spans="1:5" x14ac:dyDescent="0.25">
      <c r="A810" s="83" t="s">
        <v>2246</v>
      </c>
      <c r="B810" s="83" t="s">
        <v>2419</v>
      </c>
      <c r="C810" s="83">
        <v>2</v>
      </c>
      <c r="D810" s="114">
        <v>8.2987551867219917E-3</v>
      </c>
      <c r="E810" s="83" t="s">
        <v>2216</v>
      </c>
    </row>
    <row r="811" spans="1:5" x14ac:dyDescent="0.25">
      <c r="A811" s="83" t="s">
        <v>2419</v>
      </c>
      <c r="B811" s="83" t="s">
        <v>2385</v>
      </c>
      <c r="C811" s="83">
        <v>2</v>
      </c>
      <c r="D811" s="114">
        <v>8.2987551867219917E-3</v>
      </c>
      <c r="E811" s="83" t="s">
        <v>2216</v>
      </c>
    </row>
    <row r="812" spans="1:5" x14ac:dyDescent="0.25">
      <c r="A812" s="83" t="s">
        <v>2385</v>
      </c>
      <c r="B812" s="83" t="s">
        <v>2386</v>
      </c>
      <c r="C812" s="83">
        <v>2</v>
      </c>
      <c r="D812" s="114">
        <v>8.2987551867219917E-3</v>
      </c>
      <c r="E812" s="83" t="s">
        <v>2216</v>
      </c>
    </row>
    <row r="813" spans="1:5" x14ac:dyDescent="0.25">
      <c r="A813" s="83" t="s">
        <v>2386</v>
      </c>
      <c r="B813" s="83" t="s">
        <v>2244</v>
      </c>
      <c r="C813" s="83">
        <v>2</v>
      </c>
      <c r="D813" s="114">
        <v>8.2987551867219917E-3</v>
      </c>
      <c r="E813" s="83" t="s">
        <v>2216</v>
      </c>
    </row>
    <row r="814" spans="1:5" x14ac:dyDescent="0.25">
      <c r="A814" s="83" t="s">
        <v>2244</v>
      </c>
      <c r="B814" s="83" t="s">
        <v>2345</v>
      </c>
      <c r="C814" s="83">
        <v>2</v>
      </c>
      <c r="D814" s="114">
        <v>8.2987551867219917E-3</v>
      </c>
      <c r="E814" s="83" t="s">
        <v>2216</v>
      </c>
    </row>
    <row r="815" spans="1:5" x14ac:dyDescent="0.25">
      <c r="A815" s="83" t="s">
        <v>2345</v>
      </c>
      <c r="B815" s="83" t="s">
        <v>2270</v>
      </c>
      <c r="C815" s="83">
        <v>2</v>
      </c>
      <c r="D815" s="114">
        <v>8.2987551867219917E-3</v>
      </c>
      <c r="E815" s="83" t="s">
        <v>2216</v>
      </c>
    </row>
    <row r="816" spans="1:5" x14ac:dyDescent="0.25">
      <c r="A816" s="83" t="s">
        <v>2271</v>
      </c>
      <c r="B816" s="83" t="s">
        <v>2387</v>
      </c>
      <c r="C816" s="83">
        <v>2</v>
      </c>
      <c r="D816" s="114">
        <v>8.2987551867219917E-3</v>
      </c>
      <c r="E816" s="83" t="s">
        <v>2216</v>
      </c>
    </row>
    <row r="817" spans="1:5" x14ac:dyDescent="0.25">
      <c r="A817" s="83" t="s">
        <v>2387</v>
      </c>
      <c r="B817" s="83" t="s">
        <v>2420</v>
      </c>
      <c r="C817" s="83">
        <v>2</v>
      </c>
      <c r="D817" s="114">
        <v>8.2987551867219917E-3</v>
      </c>
      <c r="E817" s="83" t="s">
        <v>2216</v>
      </c>
    </row>
    <row r="818" spans="1:5" x14ac:dyDescent="0.25">
      <c r="A818" s="83" t="s">
        <v>2420</v>
      </c>
      <c r="B818" s="83" t="s">
        <v>254</v>
      </c>
      <c r="C818" s="83">
        <v>2</v>
      </c>
      <c r="D818" s="114">
        <v>8.2987551867219917E-3</v>
      </c>
      <c r="E818" s="83" t="s">
        <v>2216</v>
      </c>
    </row>
    <row r="819" spans="1:5" x14ac:dyDescent="0.25">
      <c r="A819" s="83" t="s">
        <v>2421</v>
      </c>
      <c r="B819" s="83" t="s">
        <v>2422</v>
      </c>
      <c r="C819" s="83">
        <v>2</v>
      </c>
      <c r="D819" s="114">
        <v>8.2987551867219917E-3</v>
      </c>
      <c r="E819" s="83" t="s">
        <v>2216</v>
      </c>
    </row>
    <row r="820" spans="1:5" x14ac:dyDescent="0.25">
      <c r="A820" s="83" t="s">
        <v>2423</v>
      </c>
      <c r="B820" s="83" t="s">
        <v>2246</v>
      </c>
      <c r="C820" s="83">
        <v>2</v>
      </c>
      <c r="D820" s="114">
        <v>8.2987551867219917E-3</v>
      </c>
      <c r="E820" s="83" t="s">
        <v>2216</v>
      </c>
    </row>
    <row r="821" spans="1:5" x14ac:dyDescent="0.25">
      <c r="A821" s="83" t="s">
        <v>2246</v>
      </c>
      <c r="B821" s="83" t="s">
        <v>2235</v>
      </c>
      <c r="C821" s="83">
        <v>2</v>
      </c>
      <c r="D821" s="114">
        <v>8.2987551867219917E-3</v>
      </c>
      <c r="E821" s="83" t="s">
        <v>2216</v>
      </c>
    </row>
    <row r="822" spans="1:5" x14ac:dyDescent="0.25">
      <c r="A822" s="83" t="s">
        <v>2246</v>
      </c>
      <c r="B822" s="83" t="s">
        <v>2384</v>
      </c>
      <c r="C822" s="83">
        <v>2</v>
      </c>
      <c r="D822" s="114">
        <v>8.2987551867219917E-3</v>
      </c>
      <c r="E822" s="83" t="s">
        <v>2216</v>
      </c>
    </row>
    <row r="823" spans="1:5" x14ac:dyDescent="0.25">
      <c r="A823" s="83" t="s">
        <v>2384</v>
      </c>
      <c r="B823" s="83" t="s">
        <v>2283</v>
      </c>
      <c r="C823" s="83">
        <v>2</v>
      </c>
      <c r="D823" s="114">
        <v>8.2987551867219917E-3</v>
      </c>
      <c r="E823" s="83" t="s">
        <v>2216</v>
      </c>
    </row>
    <row r="824" spans="1:5" x14ac:dyDescent="0.25">
      <c r="A824" s="83" t="s">
        <v>2283</v>
      </c>
      <c r="B824" s="83" t="s">
        <v>2326</v>
      </c>
      <c r="C824" s="83">
        <v>2</v>
      </c>
      <c r="D824" s="114">
        <v>8.2987551867219917E-3</v>
      </c>
      <c r="E824" s="83" t="s">
        <v>2216</v>
      </c>
    </row>
    <row r="825" spans="1:5" x14ac:dyDescent="0.25">
      <c r="A825" s="83" t="s">
        <v>2326</v>
      </c>
      <c r="B825" s="83" t="s">
        <v>2284</v>
      </c>
      <c r="C825" s="83">
        <v>2</v>
      </c>
      <c r="D825" s="114">
        <v>8.2987551867219917E-3</v>
      </c>
      <c r="E825" s="83" t="s">
        <v>2216</v>
      </c>
    </row>
    <row r="826" spans="1:5" x14ac:dyDescent="0.25">
      <c r="A826" s="83" t="s">
        <v>2249</v>
      </c>
      <c r="B826" s="83" t="s">
        <v>2244</v>
      </c>
      <c r="C826" s="83">
        <v>2</v>
      </c>
      <c r="D826" s="114">
        <v>8.2987551867219917E-3</v>
      </c>
      <c r="E826" s="83" t="s">
        <v>2216</v>
      </c>
    </row>
    <row r="827" spans="1:5" x14ac:dyDescent="0.25">
      <c r="A827" s="83" t="s">
        <v>2244</v>
      </c>
      <c r="B827" s="83" t="s">
        <v>2362</v>
      </c>
      <c r="C827" s="83">
        <v>2</v>
      </c>
      <c r="D827" s="114">
        <v>8.2987551867219917E-3</v>
      </c>
      <c r="E827" s="83" t="s">
        <v>2216</v>
      </c>
    </row>
    <row r="828" spans="1:5" x14ac:dyDescent="0.25">
      <c r="A828" s="83" t="s">
        <v>2362</v>
      </c>
      <c r="B828" s="83" t="s">
        <v>254</v>
      </c>
      <c r="C828" s="83">
        <v>2</v>
      </c>
      <c r="D828" s="114">
        <v>8.2987551867219917E-3</v>
      </c>
      <c r="E828" s="83" t="s">
        <v>2216</v>
      </c>
    </row>
    <row r="829" spans="1:5" x14ac:dyDescent="0.25">
      <c r="A829" s="83" t="s">
        <v>2309</v>
      </c>
      <c r="B829" s="83" t="s">
        <v>2631</v>
      </c>
      <c r="C829" s="83">
        <v>2</v>
      </c>
      <c r="D829" s="114">
        <v>1.0796929424597354E-2</v>
      </c>
      <c r="E829" s="83" t="s">
        <v>2216</v>
      </c>
    </row>
    <row r="830" spans="1:5" x14ac:dyDescent="0.25">
      <c r="A830" s="83" t="s">
        <v>2246</v>
      </c>
      <c r="B830" s="83" t="s">
        <v>254</v>
      </c>
      <c r="C830" s="83">
        <v>2</v>
      </c>
      <c r="D830" s="114">
        <v>8.2987551867219917E-3</v>
      </c>
      <c r="E830" s="83" t="s">
        <v>2216</v>
      </c>
    </row>
    <row r="831" spans="1:5" x14ac:dyDescent="0.25">
      <c r="A831" s="83" t="s">
        <v>2235</v>
      </c>
      <c r="B831" s="83" t="s">
        <v>2237</v>
      </c>
      <c r="C831" s="83">
        <v>2</v>
      </c>
      <c r="D831" s="114">
        <v>7.1873983288033155E-3</v>
      </c>
      <c r="E831" s="83" t="s">
        <v>2217</v>
      </c>
    </row>
    <row r="832" spans="1:5" x14ac:dyDescent="0.25">
      <c r="A832" s="83" t="s">
        <v>2237</v>
      </c>
      <c r="B832" s="83" t="s">
        <v>2611</v>
      </c>
      <c r="C832" s="83">
        <v>2</v>
      </c>
      <c r="D832" s="114">
        <v>7.1873983288033155E-3</v>
      </c>
      <c r="E832" s="83" t="s">
        <v>2217</v>
      </c>
    </row>
    <row r="833" spans="1:5" x14ac:dyDescent="0.25">
      <c r="A833" s="83" t="s">
        <v>2611</v>
      </c>
      <c r="B833" s="83" t="s">
        <v>2612</v>
      </c>
      <c r="C833" s="83">
        <v>2</v>
      </c>
      <c r="D833" s="114">
        <v>7.1873983288033155E-3</v>
      </c>
      <c r="E833" s="83" t="s">
        <v>2217</v>
      </c>
    </row>
    <row r="834" spans="1:5" x14ac:dyDescent="0.25">
      <c r="A834" s="83" t="s">
        <v>2612</v>
      </c>
      <c r="B834" s="83" t="s">
        <v>2475</v>
      </c>
      <c r="C834" s="83">
        <v>2</v>
      </c>
      <c r="D834" s="114">
        <v>7.1873983288033155E-3</v>
      </c>
      <c r="E834" s="83" t="s">
        <v>2217</v>
      </c>
    </row>
    <row r="835" spans="1:5" x14ac:dyDescent="0.25">
      <c r="A835" s="83" t="s">
        <v>2475</v>
      </c>
      <c r="B835" s="83" t="s">
        <v>2613</v>
      </c>
      <c r="C835" s="83">
        <v>2</v>
      </c>
      <c r="D835" s="114">
        <v>7.1873983288033155E-3</v>
      </c>
      <c r="E835" s="83" t="s">
        <v>2217</v>
      </c>
    </row>
    <row r="836" spans="1:5" x14ac:dyDescent="0.25">
      <c r="A836" s="83" t="s">
        <v>2613</v>
      </c>
      <c r="B836" s="83" t="s">
        <v>2247</v>
      </c>
      <c r="C836" s="83">
        <v>2</v>
      </c>
      <c r="D836" s="114">
        <v>7.1873983288033155E-3</v>
      </c>
      <c r="E836" s="83" t="s">
        <v>2217</v>
      </c>
    </row>
    <row r="837" spans="1:5" x14ac:dyDescent="0.25">
      <c r="A837" s="83" t="s">
        <v>2247</v>
      </c>
      <c r="B837" s="83" t="s">
        <v>2279</v>
      </c>
      <c r="C837" s="83">
        <v>2</v>
      </c>
      <c r="D837" s="114">
        <v>7.1873983288033155E-3</v>
      </c>
      <c r="E837" s="83" t="s">
        <v>2217</v>
      </c>
    </row>
    <row r="838" spans="1:5" x14ac:dyDescent="0.25">
      <c r="A838" s="83" t="s">
        <v>2279</v>
      </c>
      <c r="B838" s="83" t="s">
        <v>2614</v>
      </c>
      <c r="C838" s="83">
        <v>2</v>
      </c>
      <c r="D838" s="114">
        <v>7.1873983288033155E-3</v>
      </c>
      <c r="E838" s="83" t="s">
        <v>2217</v>
      </c>
    </row>
    <row r="839" spans="1:5" x14ac:dyDescent="0.25">
      <c r="A839" s="83" t="s">
        <v>2614</v>
      </c>
      <c r="B839" s="83" t="s">
        <v>2242</v>
      </c>
      <c r="C839" s="83">
        <v>2</v>
      </c>
      <c r="D839" s="114">
        <v>7.1873983288033155E-3</v>
      </c>
      <c r="E839" s="83" t="s">
        <v>2217</v>
      </c>
    </row>
    <row r="840" spans="1:5" x14ac:dyDescent="0.25">
      <c r="A840" s="83" t="s">
        <v>2242</v>
      </c>
      <c r="B840" s="83" t="s">
        <v>2240</v>
      </c>
      <c r="C840" s="83">
        <v>2</v>
      </c>
      <c r="D840" s="114">
        <v>7.1873983288033155E-3</v>
      </c>
      <c r="E840" s="83" t="s">
        <v>2217</v>
      </c>
    </row>
    <row r="841" spans="1:5" x14ac:dyDescent="0.25">
      <c r="A841" s="83" t="s">
        <v>2240</v>
      </c>
      <c r="B841" s="83" t="s">
        <v>2615</v>
      </c>
      <c r="C841" s="83">
        <v>2</v>
      </c>
      <c r="D841" s="114">
        <v>7.1873983288033155E-3</v>
      </c>
      <c r="E841" s="83" t="s">
        <v>2217</v>
      </c>
    </row>
    <row r="842" spans="1:5" x14ac:dyDescent="0.25">
      <c r="A842" s="83" t="s">
        <v>2615</v>
      </c>
      <c r="B842" s="83" t="s">
        <v>2238</v>
      </c>
      <c r="C842" s="83">
        <v>2</v>
      </c>
      <c r="D842" s="114">
        <v>7.1873983288033155E-3</v>
      </c>
      <c r="E842" s="83" t="s">
        <v>2217</v>
      </c>
    </row>
    <row r="843" spans="1:5" x14ac:dyDescent="0.25">
      <c r="A843" s="83" t="s">
        <v>2238</v>
      </c>
      <c r="B843" s="83" t="s">
        <v>2241</v>
      </c>
      <c r="C843" s="83">
        <v>2</v>
      </c>
      <c r="D843" s="114">
        <v>7.1873983288033155E-3</v>
      </c>
      <c r="E843" s="83" t="s">
        <v>2217</v>
      </c>
    </row>
    <row r="844" spans="1:5" x14ac:dyDescent="0.25">
      <c r="A844" s="83" t="s">
        <v>2241</v>
      </c>
      <c r="B844" s="83" t="s">
        <v>638</v>
      </c>
      <c r="C844" s="83">
        <v>2</v>
      </c>
      <c r="D844" s="114">
        <v>7.1873983288033155E-3</v>
      </c>
      <c r="E844" s="83" t="s">
        <v>2217</v>
      </c>
    </row>
    <row r="845" spans="1:5" x14ac:dyDescent="0.25">
      <c r="A845" s="83" t="s">
        <v>194</v>
      </c>
      <c r="B845" s="83" t="s">
        <v>2235</v>
      </c>
      <c r="C845" s="83">
        <v>4</v>
      </c>
      <c r="D845" s="114">
        <v>1.4001395147161916E-2</v>
      </c>
      <c r="E845" s="83" t="s">
        <v>2218</v>
      </c>
    </row>
    <row r="846" spans="1:5" x14ac:dyDescent="0.25">
      <c r="A846" s="83" t="s">
        <v>2476</v>
      </c>
      <c r="B846" s="83" t="s">
        <v>2235</v>
      </c>
      <c r="C846" s="83">
        <v>3</v>
      </c>
      <c r="D846" s="114">
        <v>1.4859374381591201E-2</v>
      </c>
      <c r="E846" s="83" t="s">
        <v>2218</v>
      </c>
    </row>
    <row r="847" spans="1:5" x14ac:dyDescent="0.25">
      <c r="A847" s="83" t="s">
        <v>2292</v>
      </c>
      <c r="B847" s="83" t="s">
        <v>2620</v>
      </c>
      <c r="C847" s="83">
        <v>2</v>
      </c>
      <c r="D847" s="114">
        <v>1.4001395147161916E-2</v>
      </c>
      <c r="E847" s="83" t="s">
        <v>2218</v>
      </c>
    </row>
    <row r="848" spans="1:5" x14ac:dyDescent="0.25">
      <c r="A848" s="83" t="s">
        <v>2473</v>
      </c>
      <c r="B848" s="83" t="s">
        <v>2622</v>
      </c>
      <c r="C848" s="83">
        <v>2</v>
      </c>
      <c r="D848" s="114">
        <v>1.4001395147161916E-2</v>
      </c>
      <c r="E848" s="83" t="s">
        <v>2218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9"/>
  <sheetViews>
    <sheetView topLeftCell="A55" workbookViewId="0">
      <selection activeCell="G73" sqref="G73"/>
    </sheetView>
  </sheetViews>
  <sheetFormatPr defaultColWidth="20" defaultRowHeight="15" x14ac:dyDescent="0.25"/>
  <cols>
    <col min="1" max="1" width="23.140625" customWidth="1"/>
    <col min="2" max="2" width="16.7109375" customWidth="1"/>
    <col min="3" max="3" width="15.5703125" customWidth="1"/>
    <col min="4" max="4" width="11.140625" bestFit="1" customWidth="1"/>
    <col min="5" max="5" width="18.7109375" customWidth="1"/>
    <col min="6" max="6" width="11.140625" bestFit="1" customWidth="1"/>
    <col min="7" max="7" width="16.140625" customWidth="1"/>
    <col min="8" max="8" width="11.140625" bestFit="1" customWidth="1"/>
    <col min="9" max="9" width="16" customWidth="1"/>
    <col min="10" max="10" width="11.140625" bestFit="1" customWidth="1"/>
    <col min="11" max="11" width="15.5703125" customWidth="1"/>
    <col min="12" max="12" width="11.140625" bestFit="1" customWidth="1"/>
  </cols>
  <sheetData>
    <row r="1" spans="1:16" ht="30" x14ac:dyDescent="0.25">
      <c r="A1" s="13" t="s">
        <v>2632</v>
      </c>
      <c r="B1" s="13" t="s">
        <v>2633</v>
      </c>
      <c r="C1" s="13" t="s">
        <v>2635</v>
      </c>
      <c r="D1" s="13" t="s">
        <v>2639</v>
      </c>
      <c r="E1" s="13" t="s">
        <v>2638</v>
      </c>
      <c r="F1" s="13" t="s">
        <v>2644</v>
      </c>
      <c r="G1" s="13" t="s">
        <v>2643</v>
      </c>
      <c r="H1" s="13" t="s">
        <v>2651</v>
      </c>
      <c r="I1" s="13" t="s">
        <v>2650</v>
      </c>
      <c r="J1" s="13" t="s">
        <v>2658</v>
      </c>
      <c r="K1" s="13" t="s">
        <v>2657</v>
      </c>
      <c r="L1" s="13" t="s">
        <v>2664</v>
      </c>
      <c r="M1" s="13" t="s">
        <v>2663</v>
      </c>
      <c r="N1" s="13" t="s">
        <v>2668</v>
      </c>
      <c r="O1" s="13" t="s">
        <v>2667</v>
      </c>
      <c r="P1" s="13" t="s">
        <v>2670</v>
      </c>
    </row>
    <row r="2" spans="1:16" x14ac:dyDescent="0.25">
      <c r="A2" s="76" t="s">
        <v>2235</v>
      </c>
      <c r="B2" s="76">
        <v>46</v>
      </c>
      <c r="C2" s="76" t="s">
        <v>2267</v>
      </c>
      <c r="D2" s="76">
        <v>17</v>
      </c>
      <c r="E2" s="76" t="s">
        <v>2235</v>
      </c>
      <c r="F2" s="76">
        <v>20</v>
      </c>
      <c r="G2" s="76" t="s">
        <v>2235</v>
      </c>
      <c r="H2" s="76">
        <v>16</v>
      </c>
      <c r="I2" s="76" t="s">
        <v>2235</v>
      </c>
      <c r="J2" s="76">
        <v>2</v>
      </c>
      <c r="K2" s="76" t="s">
        <v>2246</v>
      </c>
      <c r="L2" s="76">
        <v>7</v>
      </c>
      <c r="M2" s="76" t="s">
        <v>2235</v>
      </c>
      <c r="N2" s="76">
        <v>1</v>
      </c>
      <c r="O2" s="76" t="s">
        <v>194</v>
      </c>
      <c r="P2" s="76">
        <v>4</v>
      </c>
    </row>
    <row r="3" spans="1:16" x14ac:dyDescent="0.25">
      <c r="A3" s="76" t="s">
        <v>2267</v>
      </c>
      <c r="B3" s="76">
        <v>18</v>
      </c>
      <c r="C3" s="76" t="s">
        <v>2235</v>
      </c>
      <c r="D3" s="76">
        <v>6</v>
      </c>
      <c r="E3" s="76" t="s">
        <v>2246</v>
      </c>
      <c r="F3" s="76">
        <v>4</v>
      </c>
      <c r="G3" s="76" t="s">
        <v>2267</v>
      </c>
      <c r="H3" s="76">
        <v>1</v>
      </c>
      <c r="I3" s="76" t="s">
        <v>2272</v>
      </c>
      <c r="J3" s="76">
        <v>1</v>
      </c>
      <c r="K3" s="76" t="s">
        <v>2245</v>
      </c>
      <c r="L3" s="76">
        <v>2</v>
      </c>
      <c r="M3" s="76"/>
      <c r="N3" s="76"/>
      <c r="O3" s="76" t="s">
        <v>2476</v>
      </c>
      <c r="P3" s="76">
        <v>3</v>
      </c>
    </row>
    <row r="4" spans="1:16" x14ac:dyDescent="0.25">
      <c r="A4" s="76" t="s">
        <v>2246</v>
      </c>
      <c r="B4" s="76">
        <v>12</v>
      </c>
      <c r="C4" s="76" t="s">
        <v>2237</v>
      </c>
      <c r="D4" s="76">
        <v>5</v>
      </c>
      <c r="E4" s="76" t="s">
        <v>2272</v>
      </c>
      <c r="F4" s="76">
        <v>3</v>
      </c>
      <c r="G4" s="76" t="s">
        <v>2646</v>
      </c>
      <c r="H4" s="76">
        <v>1</v>
      </c>
      <c r="I4" s="76" t="s">
        <v>2656</v>
      </c>
      <c r="J4" s="76">
        <v>1</v>
      </c>
      <c r="K4" s="76" t="s">
        <v>318</v>
      </c>
      <c r="L4" s="76">
        <v>1</v>
      </c>
      <c r="M4" s="76"/>
      <c r="N4" s="76"/>
      <c r="O4" s="76" t="s">
        <v>2235</v>
      </c>
      <c r="P4" s="76">
        <v>1</v>
      </c>
    </row>
    <row r="5" spans="1:16" x14ac:dyDescent="0.25">
      <c r="A5" s="76" t="s">
        <v>2237</v>
      </c>
      <c r="B5" s="76">
        <v>6</v>
      </c>
      <c r="C5" s="76" t="s">
        <v>2258</v>
      </c>
      <c r="D5" s="76">
        <v>4</v>
      </c>
      <c r="E5" s="76" t="s">
        <v>242</v>
      </c>
      <c r="F5" s="76">
        <v>2</v>
      </c>
      <c r="G5" s="76" t="s">
        <v>2647</v>
      </c>
      <c r="H5" s="76">
        <v>1</v>
      </c>
      <c r="I5" s="76"/>
      <c r="J5" s="76"/>
      <c r="K5" s="76" t="s">
        <v>2662</v>
      </c>
      <c r="L5" s="76">
        <v>1</v>
      </c>
      <c r="M5" s="76"/>
      <c r="N5" s="76"/>
      <c r="O5" s="76"/>
      <c r="P5" s="76"/>
    </row>
    <row r="6" spans="1:16" x14ac:dyDescent="0.25">
      <c r="A6" s="76" t="s">
        <v>2272</v>
      </c>
      <c r="B6" s="76">
        <v>5</v>
      </c>
      <c r="C6" s="76" t="s">
        <v>2257</v>
      </c>
      <c r="D6" s="76">
        <v>2</v>
      </c>
      <c r="E6" s="76" t="s">
        <v>2308</v>
      </c>
      <c r="F6" s="76">
        <v>1</v>
      </c>
      <c r="G6" s="76" t="s">
        <v>2648</v>
      </c>
      <c r="H6" s="76">
        <v>1</v>
      </c>
      <c r="I6" s="76"/>
      <c r="J6" s="76"/>
      <c r="K6" s="76" t="s">
        <v>2423</v>
      </c>
      <c r="L6" s="76">
        <v>1</v>
      </c>
      <c r="M6" s="76"/>
      <c r="N6" s="76"/>
      <c r="O6" s="76"/>
      <c r="P6" s="76"/>
    </row>
    <row r="7" spans="1:16" x14ac:dyDescent="0.25">
      <c r="A7" s="76" t="s">
        <v>2258</v>
      </c>
      <c r="B7" s="76">
        <v>4</v>
      </c>
      <c r="C7" s="76" t="s">
        <v>2531</v>
      </c>
      <c r="D7" s="76">
        <v>1</v>
      </c>
      <c r="E7" s="76" t="s">
        <v>2423</v>
      </c>
      <c r="F7" s="76">
        <v>1</v>
      </c>
      <c r="G7" s="76" t="s">
        <v>2649</v>
      </c>
      <c r="H7" s="76">
        <v>1</v>
      </c>
      <c r="I7" s="76"/>
      <c r="J7" s="76"/>
      <c r="K7" s="76"/>
      <c r="L7" s="76"/>
      <c r="M7" s="76"/>
      <c r="N7" s="76"/>
      <c r="O7" s="76"/>
      <c r="P7" s="76"/>
    </row>
    <row r="8" spans="1:16" x14ac:dyDescent="0.25">
      <c r="A8" s="76" t="s">
        <v>194</v>
      </c>
      <c r="B8" s="76">
        <v>4</v>
      </c>
      <c r="C8" s="76" t="s">
        <v>2321</v>
      </c>
      <c r="D8" s="76">
        <v>1</v>
      </c>
      <c r="E8" s="76" t="s">
        <v>2440</v>
      </c>
      <c r="F8" s="76">
        <v>1</v>
      </c>
      <c r="G8" s="76"/>
      <c r="H8" s="76"/>
      <c r="I8" s="76"/>
      <c r="J8" s="76"/>
      <c r="K8" s="76"/>
      <c r="L8" s="76"/>
      <c r="M8" s="76"/>
      <c r="N8" s="76"/>
      <c r="O8" s="76"/>
      <c r="P8" s="76"/>
    </row>
    <row r="9" spans="1:16" x14ac:dyDescent="0.25">
      <c r="A9" s="76" t="s">
        <v>2476</v>
      </c>
      <c r="B9" s="76">
        <v>3</v>
      </c>
      <c r="C9" s="76" t="s">
        <v>2636</v>
      </c>
      <c r="D9" s="76">
        <v>1</v>
      </c>
      <c r="E9" s="76" t="s">
        <v>2237</v>
      </c>
      <c r="F9" s="76">
        <v>1</v>
      </c>
      <c r="G9" s="76"/>
      <c r="H9" s="76"/>
      <c r="I9" s="76"/>
      <c r="J9" s="76"/>
      <c r="K9" s="76"/>
      <c r="L9" s="76"/>
      <c r="M9" s="76"/>
      <c r="N9" s="76"/>
      <c r="O9" s="76"/>
      <c r="P9" s="76"/>
    </row>
    <row r="10" spans="1:16" x14ac:dyDescent="0.25">
      <c r="A10" s="76" t="s">
        <v>2245</v>
      </c>
      <c r="B10" s="76">
        <v>2</v>
      </c>
      <c r="C10" s="76" t="s">
        <v>2637</v>
      </c>
      <c r="D10" s="76">
        <v>1</v>
      </c>
      <c r="E10" s="76" t="s">
        <v>2323</v>
      </c>
      <c r="F10" s="76">
        <v>1</v>
      </c>
      <c r="G10" s="76"/>
      <c r="H10" s="76"/>
      <c r="I10" s="76"/>
      <c r="J10" s="76"/>
      <c r="K10" s="76"/>
      <c r="L10" s="76"/>
      <c r="M10" s="76"/>
      <c r="N10" s="76"/>
      <c r="O10" s="76"/>
      <c r="P10" s="76"/>
    </row>
    <row r="11" spans="1:16" x14ac:dyDescent="0.25">
      <c r="A11" s="76" t="s">
        <v>2423</v>
      </c>
      <c r="B11" s="76">
        <v>2</v>
      </c>
      <c r="C11" s="76" t="s">
        <v>318</v>
      </c>
      <c r="D11" s="76">
        <v>1</v>
      </c>
      <c r="E11" s="76" t="s">
        <v>2642</v>
      </c>
      <c r="F11" s="76">
        <v>1</v>
      </c>
      <c r="G11" s="76"/>
      <c r="H11" s="76"/>
      <c r="I11" s="76"/>
      <c r="J11" s="76"/>
      <c r="K11" s="76"/>
      <c r="L11" s="76"/>
      <c r="M11" s="76"/>
      <c r="N11" s="76"/>
      <c r="O11" s="76"/>
      <c r="P11" s="76"/>
    </row>
    <row r="14" spans="1:16" ht="30" x14ac:dyDescent="0.25">
      <c r="A14" s="13" t="s">
        <v>2634</v>
      </c>
      <c r="B14" s="13" t="s">
        <v>2633</v>
      </c>
      <c r="C14" s="13" t="s">
        <v>2640</v>
      </c>
      <c r="D14" s="13" t="s">
        <v>2639</v>
      </c>
      <c r="E14" s="13" t="s">
        <v>2641</v>
      </c>
      <c r="F14" s="13" t="s">
        <v>2644</v>
      </c>
      <c r="G14" s="13" t="s">
        <v>2645</v>
      </c>
      <c r="H14" s="13" t="s">
        <v>2651</v>
      </c>
      <c r="I14" s="13" t="s">
        <v>2655</v>
      </c>
      <c r="J14" s="13" t="s">
        <v>2658</v>
      </c>
      <c r="K14" s="13" t="s">
        <v>2661</v>
      </c>
      <c r="L14" s="13" t="s">
        <v>2664</v>
      </c>
      <c r="M14" s="13" t="s">
        <v>2666</v>
      </c>
      <c r="N14" s="13" t="s">
        <v>2668</v>
      </c>
      <c r="O14" s="13" t="s">
        <v>2669</v>
      </c>
      <c r="P14" s="13" t="s">
        <v>2670</v>
      </c>
    </row>
    <row r="15" spans="1:16" x14ac:dyDescent="0.25">
      <c r="A15" s="76" t="s">
        <v>2235</v>
      </c>
      <c r="B15" s="76">
        <v>220</v>
      </c>
      <c r="C15" s="76" t="s">
        <v>2235</v>
      </c>
      <c r="D15" s="76">
        <v>116</v>
      </c>
      <c r="E15" s="76" t="s">
        <v>2235</v>
      </c>
      <c r="F15" s="76">
        <v>54</v>
      </c>
      <c r="G15" s="76" t="s">
        <v>2235</v>
      </c>
      <c r="H15" s="76">
        <v>11</v>
      </c>
      <c r="I15" s="76" t="s">
        <v>2235</v>
      </c>
      <c r="J15" s="76">
        <v>11</v>
      </c>
      <c r="K15" s="76" t="s">
        <v>2235</v>
      </c>
      <c r="L15" s="76">
        <v>20</v>
      </c>
      <c r="M15" s="76" t="s">
        <v>2237</v>
      </c>
      <c r="N15" s="76">
        <v>3</v>
      </c>
      <c r="O15" s="76" t="s">
        <v>2235</v>
      </c>
      <c r="P15" s="76">
        <v>7</v>
      </c>
    </row>
    <row r="16" spans="1:16" x14ac:dyDescent="0.25">
      <c r="A16" s="76" t="s">
        <v>2237</v>
      </c>
      <c r="B16" s="76">
        <v>88</v>
      </c>
      <c r="C16" s="76" t="s">
        <v>2237</v>
      </c>
      <c r="D16" s="76">
        <v>45</v>
      </c>
      <c r="E16" s="76" t="s">
        <v>2237</v>
      </c>
      <c r="F16" s="76">
        <v>32</v>
      </c>
      <c r="G16" s="76" t="s">
        <v>2237</v>
      </c>
      <c r="H16" s="76">
        <v>5</v>
      </c>
      <c r="I16" s="76" t="s">
        <v>2288</v>
      </c>
      <c r="J16" s="76">
        <v>6</v>
      </c>
      <c r="K16" s="76" t="s">
        <v>2245</v>
      </c>
      <c r="L16" s="76">
        <v>18</v>
      </c>
      <c r="M16" s="76" t="s">
        <v>2238</v>
      </c>
      <c r="N16" s="76">
        <v>2</v>
      </c>
      <c r="O16" s="76"/>
      <c r="P16" s="76"/>
    </row>
    <row r="17" spans="1:16" x14ac:dyDescent="0.25">
      <c r="A17" s="76" t="s">
        <v>2238</v>
      </c>
      <c r="B17" s="76">
        <v>54</v>
      </c>
      <c r="C17" s="76" t="s">
        <v>2238</v>
      </c>
      <c r="D17" s="76">
        <v>45</v>
      </c>
      <c r="E17" s="76" t="s">
        <v>2295</v>
      </c>
      <c r="F17" s="76">
        <v>11</v>
      </c>
      <c r="G17" s="76" t="s">
        <v>2623</v>
      </c>
      <c r="H17" s="76">
        <v>2</v>
      </c>
      <c r="I17" s="76" t="s">
        <v>2237</v>
      </c>
      <c r="J17" s="76">
        <v>3</v>
      </c>
      <c r="K17" s="76" t="s">
        <v>2246</v>
      </c>
      <c r="L17" s="76">
        <v>13</v>
      </c>
      <c r="M17" s="76" t="s">
        <v>2272</v>
      </c>
      <c r="N17" s="76">
        <v>1</v>
      </c>
      <c r="O17" s="76"/>
      <c r="P17" s="76"/>
    </row>
    <row r="18" spans="1:16" x14ac:dyDescent="0.25">
      <c r="A18" s="76" t="s">
        <v>2245</v>
      </c>
      <c r="B18" s="76">
        <v>36</v>
      </c>
      <c r="C18" s="76" t="s">
        <v>2253</v>
      </c>
      <c r="D18" s="76">
        <v>19</v>
      </c>
      <c r="E18" s="76" t="s">
        <v>2272</v>
      </c>
      <c r="F18" s="76">
        <v>10</v>
      </c>
      <c r="G18" s="76" t="s">
        <v>2238</v>
      </c>
      <c r="H18" s="76">
        <v>2</v>
      </c>
      <c r="I18" s="76" t="s">
        <v>366</v>
      </c>
      <c r="J18" s="76">
        <v>2</v>
      </c>
      <c r="K18" s="76" t="s">
        <v>254</v>
      </c>
      <c r="L18" s="76">
        <v>6</v>
      </c>
      <c r="M18" s="76" t="s">
        <v>247</v>
      </c>
      <c r="N18" s="76">
        <v>1</v>
      </c>
      <c r="O18" s="76"/>
      <c r="P18" s="76"/>
    </row>
    <row r="19" spans="1:16" x14ac:dyDescent="0.25">
      <c r="A19" s="76" t="s">
        <v>2246</v>
      </c>
      <c r="B19" s="76">
        <v>24</v>
      </c>
      <c r="C19" s="76" t="s">
        <v>2257</v>
      </c>
      <c r="D19" s="76">
        <v>17</v>
      </c>
      <c r="E19" s="76" t="s">
        <v>2238</v>
      </c>
      <c r="F19" s="76">
        <v>4</v>
      </c>
      <c r="G19" s="76" t="s">
        <v>2352</v>
      </c>
      <c r="H19" s="76">
        <v>2</v>
      </c>
      <c r="I19" s="76" t="s">
        <v>2460</v>
      </c>
      <c r="J19" s="76">
        <v>2</v>
      </c>
      <c r="K19" s="76" t="s">
        <v>318</v>
      </c>
      <c r="L19" s="76">
        <v>3</v>
      </c>
      <c r="M19" s="76" t="s">
        <v>2235</v>
      </c>
      <c r="N19" s="76">
        <v>1</v>
      </c>
      <c r="O19" s="76"/>
      <c r="P19" s="76"/>
    </row>
    <row r="20" spans="1:16" x14ac:dyDescent="0.25">
      <c r="A20" s="76" t="s">
        <v>2253</v>
      </c>
      <c r="B20" s="76">
        <v>22</v>
      </c>
      <c r="C20" s="76" t="s">
        <v>2245</v>
      </c>
      <c r="D20" s="76">
        <v>17</v>
      </c>
      <c r="E20" s="76" t="s">
        <v>2323</v>
      </c>
      <c r="F20" s="76">
        <v>4</v>
      </c>
      <c r="G20" s="76" t="s">
        <v>2321</v>
      </c>
      <c r="H20" s="76">
        <v>1</v>
      </c>
      <c r="I20" s="76" t="s">
        <v>2659</v>
      </c>
      <c r="J20" s="76">
        <v>1</v>
      </c>
      <c r="K20" s="76" t="s">
        <v>2308</v>
      </c>
      <c r="L20" s="76">
        <v>3</v>
      </c>
      <c r="M20" s="76"/>
      <c r="N20" s="76"/>
      <c r="O20" s="76"/>
      <c r="P20" s="76"/>
    </row>
    <row r="21" spans="1:16" x14ac:dyDescent="0.25">
      <c r="A21" s="76" t="s">
        <v>2257</v>
      </c>
      <c r="B21" s="76">
        <v>18</v>
      </c>
      <c r="C21" s="76" t="s">
        <v>2258</v>
      </c>
      <c r="D21" s="76">
        <v>16</v>
      </c>
      <c r="E21" s="76" t="s">
        <v>2352</v>
      </c>
      <c r="F21" s="76">
        <v>4</v>
      </c>
      <c r="G21" s="76" t="s">
        <v>2652</v>
      </c>
      <c r="H21" s="76">
        <v>1</v>
      </c>
      <c r="I21" s="76" t="s">
        <v>2272</v>
      </c>
      <c r="J21" s="76">
        <v>1</v>
      </c>
      <c r="K21" s="76" t="s">
        <v>2362</v>
      </c>
      <c r="L21" s="76">
        <v>2</v>
      </c>
      <c r="M21" s="76"/>
      <c r="N21" s="76"/>
      <c r="O21" s="76"/>
      <c r="P21" s="76"/>
    </row>
    <row r="22" spans="1:16" x14ac:dyDescent="0.25">
      <c r="A22" s="76" t="s">
        <v>2258</v>
      </c>
      <c r="B22" s="76">
        <v>16</v>
      </c>
      <c r="C22" s="76" t="s">
        <v>2296</v>
      </c>
      <c r="D22" s="76">
        <v>11</v>
      </c>
      <c r="E22" s="76" t="s">
        <v>2307</v>
      </c>
      <c r="F22" s="76">
        <v>4</v>
      </c>
      <c r="G22" s="76" t="s">
        <v>2653</v>
      </c>
      <c r="H22" s="76">
        <v>1</v>
      </c>
      <c r="I22" s="76" t="s">
        <v>282</v>
      </c>
      <c r="J22" s="76">
        <v>1</v>
      </c>
      <c r="K22" s="76" t="s">
        <v>2423</v>
      </c>
      <c r="L22" s="76">
        <v>1</v>
      </c>
      <c r="M22" s="76"/>
      <c r="N22" s="76"/>
      <c r="O22" s="76"/>
      <c r="P22" s="76"/>
    </row>
    <row r="23" spans="1:16" x14ac:dyDescent="0.25">
      <c r="A23" s="76" t="s">
        <v>2272</v>
      </c>
      <c r="B23" s="76">
        <v>12</v>
      </c>
      <c r="C23" s="76" t="s">
        <v>2246</v>
      </c>
      <c r="D23" s="76">
        <v>9</v>
      </c>
      <c r="E23" s="76" t="s">
        <v>2441</v>
      </c>
      <c r="F23" s="76">
        <v>3</v>
      </c>
      <c r="G23" s="76" t="s">
        <v>2654</v>
      </c>
      <c r="H23" s="76">
        <v>1</v>
      </c>
      <c r="I23" s="76" t="s">
        <v>2660</v>
      </c>
      <c r="J23" s="76">
        <v>1</v>
      </c>
      <c r="K23" s="76" t="s">
        <v>2665</v>
      </c>
      <c r="L23" s="76">
        <v>1</v>
      </c>
      <c r="M23" s="76"/>
      <c r="N23" s="76"/>
      <c r="O23" s="76"/>
      <c r="P23" s="76"/>
    </row>
    <row r="24" spans="1:16" x14ac:dyDescent="0.25">
      <c r="A24" s="76" t="s">
        <v>2295</v>
      </c>
      <c r="B24" s="76">
        <v>11</v>
      </c>
      <c r="C24" s="76" t="s">
        <v>2311</v>
      </c>
      <c r="D24" s="76">
        <v>7</v>
      </c>
      <c r="E24" s="76" t="s">
        <v>2246</v>
      </c>
      <c r="F24" s="76">
        <v>2</v>
      </c>
      <c r="G24" s="76" t="s">
        <v>2311</v>
      </c>
      <c r="H24" s="76">
        <v>1</v>
      </c>
      <c r="I24" s="76" t="s">
        <v>289</v>
      </c>
      <c r="J24" s="76">
        <v>1</v>
      </c>
      <c r="K24" s="76" t="s">
        <v>2307</v>
      </c>
      <c r="L24" s="76">
        <v>1</v>
      </c>
      <c r="M24" s="76"/>
      <c r="N24" s="76"/>
      <c r="O24" s="76"/>
      <c r="P24" s="76"/>
    </row>
    <row r="27" spans="1:16" ht="30" x14ac:dyDescent="0.25">
      <c r="A27" s="13" t="s">
        <v>2671</v>
      </c>
      <c r="B27" s="13" t="s">
        <v>2633</v>
      </c>
      <c r="C27" s="13" t="s">
        <v>2672</v>
      </c>
      <c r="D27" s="13" t="s">
        <v>2639</v>
      </c>
      <c r="E27" s="13" t="s">
        <v>2673</v>
      </c>
      <c r="F27" s="13" t="s">
        <v>2644</v>
      </c>
      <c r="G27" s="13" t="s">
        <v>2674</v>
      </c>
      <c r="H27" s="13" t="s">
        <v>2651</v>
      </c>
      <c r="I27" s="13" t="s">
        <v>2675</v>
      </c>
      <c r="J27" s="13" t="s">
        <v>2658</v>
      </c>
      <c r="K27" s="13" t="s">
        <v>2676</v>
      </c>
      <c r="L27" s="13" t="s">
        <v>2664</v>
      </c>
      <c r="M27" s="13" t="s">
        <v>2677</v>
      </c>
      <c r="N27" s="13" t="s">
        <v>2668</v>
      </c>
      <c r="O27" s="13" t="s">
        <v>2678</v>
      </c>
      <c r="P27" s="13" t="s">
        <v>2670</v>
      </c>
    </row>
    <row r="28" spans="1:16" x14ac:dyDescent="0.25">
      <c r="A28" s="80" t="s">
        <v>615</v>
      </c>
      <c r="B28" s="76">
        <v>19</v>
      </c>
      <c r="C28" s="80" t="s">
        <v>615</v>
      </c>
      <c r="D28" s="76">
        <v>18</v>
      </c>
      <c r="E28" s="80" t="s">
        <v>616</v>
      </c>
      <c r="F28" s="76">
        <v>3</v>
      </c>
      <c r="G28" s="80" t="s">
        <v>608</v>
      </c>
      <c r="H28" s="76">
        <v>1</v>
      </c>
      <c r="I28" s="80" t="s">
        <v>620</v>
      </c>
      <c r="J28" s="76">
        <v>2</v>
      </c>
      <c r="K28" s="76"/>
      <c r="L28" s="76"/>
      <c r="M28" s="76"/>
      <c r="N28" s="76"/>
      <c r="O28" s="80" t="s">
        <v>2679</v>
      </c>
      <c r="P28" s="76">
        <v>1</v>
      </c>
    </row>
    <row r="29" spans="1:16" x14ac:dyDescent="0.25">
      <c r="A29" s="80" t="s">
        <v>616</v>
      </c>
      <c r="B29" s="76">
        <v>4</v>
      </c>
      <c r="C29" s="80" t="s">
        <v>627</v>
      </c>
      <c r="D29" s="76">
        <v>2</v>
      </c>
      <c r="E29" s="80" t="s">
        <v>617</v>
      </c>
      <c r="F29" s="76">
        <v>3</v>
      </c>
      <c r="G29" s="80" t="s">
        <v>609</v>
      </c>
      <c r="H29" s="76">
        <v>1</v>
      </c>
      <c r="I29" s="80" t="s">
        <v>616</v>
      </c>
      <c r="J29" s="76">
        <v>1</v>
      </c>
      <c r="K29" s="76"/>
      <c r="L29" s="76"/>
      <c r="M29" s="76"/>
      <c r="N29" s="76"/>
      <c r="O29" s="80" t="s">
        <v>2680</v>
      </c>
      <c r="P29" s="76">
        <v>1</v>
      </c>
    </row>
    <row r="30" spans="1:16" x14ac:dyDescent="0.25">
      <c r="A30" s="80" t="s">
        <v>612</v>
      </c>
      <c r="B30" s="76">
        <v>3</v>
      </c>
      <c r="C30" s="80" t="s">
        <v>629</v>
      </c>
      <c r="D30" s="76">
        <v>2</v>
      </c>
      <c r="E30" s="80" t="s">
        <v>612</v>
      </c>
      <c r="F30" s="76">
        <v>2</v>
      </c>
      <c r="G30" s="80" t="s">
        <v>611</v>
      </c>
      <c r="H30" s="76">
        <v>1</v>
      </c>
      <c r="I30" s="80" t="s">
        <v>615</v>
      </c>
      <c r="J30" s="76">
        <v>1</v>
      </c>
      <c r="K30" s="76"/>
      <c r="L30" s="76"/>
      <c r="M30" s="76"/>
      <c r="N30" s="76"/>
      <c r="O30" s="76"/>
      <c r="P30" s="76"/>
    </row>
    <row r="31" spans="1:16" x14ac:dyDescent="0.25">
      <c r="A31" s="80" t="s">
        <v>617</v>
      </c>
      <c r="B31" s="76">
        <v>3</v>
      </c>
      <c r="C31" s="80" t="s">
        <v>630</v>
      </c>
      <c r="D31" s="76">
        <v>1</v>
      </c>
      <c r="E31" s="80" t="s">
        <v>628</v>
      </c>
      <c r="F31" s="76">
        <v>1</v>
      </c>
      <c r="G31" s="80" t="s">
        <v>612</v>
      </c>
      <c r="H31" s="76">
        <v>1</v>
      </c>
      <c r="I31" s="80" t="s">
        <v>614</v>
      </c>
      <c r="J31" s="76">
        <v>1</v>
      </c>
      <c r="K31" s="76"/>
      <c r="L31" s="76"/>
      <c r="M31" s="76"/>
      <c r="N31" s="76"/>
      <c r="O31" s="76"/>
      <c r="P31" s="76"/>
    </row>
    <row r="32" spans="1:16" x14ac:dyDescent="0.25">
      <c r="A32" s="80" t="s">
        <v>629</v>
      </c>
      <c r="B32" s="76">
        <v>2</v>
      </c>
      <c r="C32" s="80" t="s">
        <v>631</v>
      </c>
      <c r="D32" s="76">
        <v>1</v>
      </c>
      <c r="E32" s="80" t="s">
        <v>625</v>
      </c>
      <c r="F32" s="76">
        <v>1</v>
      </c>
      <c r="G32" s="76"/>
      <c r="H32" s="76"/>
      <c r="I32" s="80" t="s">
        <v>613</v>
      </c>
      <c r="J32" s="76">
        <v>1</v>
      </c>
      <c r="K32" s="76"/>
      <c r="L32" s="76"/>
      <c r="M32" s="76"/>
      <c r="N32" s="76"/>
      <c r="O32" s="76"/>
      <c r="P32" s="76"/>
    </row>
    <row r="33" spans="1:16" x14ac:dyDescent="0.25">
      <c r="A33" s="80" t="s">
        <v>627</v>
      </c>
      <c r="B33" s="76">
        <v>2</v>
      </c>
      <c r="C33" s="80" t="s">
        <v>626</v>
      </c>
      <c r="D33" s="76">
        <v>1</v>
      </c>
      <c r="E33" s="80" t="s">
        <v>624</v>
      </c>
      <c r="F33" s="76">
        <v>1</v>
      </c>
      <c r="G33" s="76"/>
      <c r="H33" s="76"/>
      <c r="I33" s="76"/>
      <c r="J33" s="76"/>
      <c r="K33" s="76"/>
      <c r="L33" s="76"/>
      <c r="M33" s="76"/>
      <c r="N33" s="76"/>
      <c r="O33" s="76"/>
      <c r="P33" s="76"/>
    </row>
    <row r="34" spans="1:16" x14ac:dyDescent="0.25">
      <c r="A34" s="80" t="s">
        <v>620</v>
      </c>
      <c r="B34" s="76">
        <v>2</v>
      </c>
      <c r="C34" s="76"/>
      <c r="D34" s="76"/>
      <c r="E34" s="80" t="s">
        <v>623</v>
      </c>
      <c r="F34" s="76">
        <v>1</v>
      </c>
      <c r="G34" s="76"/>
      <c r="H34" s="76"/>
      <c r="I34" s="76"/>
      <c r="J34" s="76"/>
      <c r="K34" s="76"/>
      <c r="L34" s="76"/>
      <c r="M34" s="76"/>
      <c r="N34" s="76"/>
      <c r="O34" s="76"/>
      <c r="P34" s="76"/>
    </row>
    <row r="35" spans="1:16" x14ac:dyDescent="0.25">
      <c r="A35" s="80" t="s">
        <v>609</v>
      </c>
      <c r="B35" s="76">
        <v>2</v>
      </c>
      <c r="C35" s="76"/>
      <c r="D35" s="76"/>
      <c r="E35" s="80" t="s">
        <v>622</v>
      </c>
      <c r="F35" s="76">
        <v>1</v>
      </c>
      <c r="G35" s="76"/>
      <c r="H35" s="76"/>
      <c r="I35" s="76"/>
      <c r="J35" s="76"/>
      <c r="K35" s="76"/>
      <c r="L35" s="76"/>
      <c r="M35" s="76"/>
      <c r="N35" s="76"/>
      <c r="O35" s="76"/>
      <c r="P35" s="76"/>
    </row>
    <row r="36" spans="1:16" x14ac:dyDescent="0.25">
      <c r="A36" s="80" t="s">
        <v>611</v>
      </c>
      <c r="B36" s="76">
        <v>2</v>
      </c>
      <c r="C36" s="76"/>
      <c r="D36" s="76"/>
      <c r="E36" s="80" t="s">
        <v>621</v>
      </c>
      <c r="F36" s="76">
        <v>1</v>
      </c>
      <c r="G36" s="76"/>
      <c r="H36" s="76"/>
      <c r="I36" s="76"/>
      <c r="J36" s="76"/>
      <c r="K36" s="76"/>
      <c r="L36" s="76"/>
      <c r="M36" s="76"/>
      <c r="N36" s="76"/>
      <c r="O36" s="76"/>
      <c r="P36" s="76"/>
    </row>
    <row r="37" spans="1:16" x14ac:dyDescent="0.25">
      <c r="A37" s="80" t="s">
        <v>625</v>
      </c>
      <c r="B37" s="76">
        <v>1</v>
      </c>
      <c r="C37" s="76"/>
      <c r="D37" s="76"/>
      <c r="E37" s="80" t="s">
        <v>619</v>
      </c>
      <c r="F37" s="76">
        <v>1</v>
      </c>
      <c r="G37" s="76"/>
      <c r="H37" s="76"/>
      <c r="I37" s="76"/>
      <c r="J37" s="76"/>
      <c r="K37" s="76"/>
      <c r="L37" s="76"/>
      <c r="M37" s="76"/>
      <c r="N37" s="76"/>
      <c r="O37" s="76"/>
      <c r="P37" s="76"/>
    </row>
    <row r="40" spans="1:16" ht="45" x14ac:dyDescent="0.25">
      <c r="A40" s="13" t="s">
        <v>2681</v>
      </c>
      <c r="B40" s="13" t="s">
        <v>2633</v>
      </c>
      <c r="C40" s="13" t="s">
        <v>2682</v>
      </c>
      <c r="D40" s="13" t="s">
        <v>2639</v>
      </c>
      <c r="E40" s="13" t="s">
        <v>2687</v>
      </c>
      <c r="F40" s="13" t="s">
        <v>2644</v>
      </c>
      <c r="G40" s="13" t="s">
        <v>2688</v>
      </c>
      <c r="H40" s="13" t="s">
        <v>2651</v>
      </c>
      <c r="I40" s="13" t="s">
        <v>2690</v>
      </c>
      <c r="J40" s="13" t="s">
        <v>2658</v>
      </c>
      <c r="K40" s="13" t="s">
        <v>2691</v>
      </c>
      <c r="L40" s="13" t="s">
        <v>2664</v>
      </c>
      <c r="M40" s="13" t="s">
        <v>2694</v>
      </c>
      <c r="N40" s="13" t="s">
        <v>2668</v>
      </c>
      <c r="O40" s="13" t="s">
        <v>2695</v>
      </c>
      <c r="P40" s="13" t="s">
        <v>2670</v>
      </c>
    </row>
    <row r="41" spans="1:16" x14ac:dyDescent="0.25">
      <c r="A41" s="76" t="s">
        <v>662</v>
      </c>
      <c r="B41" s="76">
        <v>29</v>
      </c>
      <c r="C41" s="76" t="s">
        <v>662</v>
      </c>
      <c r="D41" s="76">
        <v>24</v>
      </c>
      <c r="E41" s="76" t="s">
        <v>654</v>
      </c>
      <c r="F41" s="76">
        <v>6</v>
      </c>
      <c r="G41" s="76" t="s">
        <v>635</v>
      </c>
      <c r="H41" s="76">
        <v>2</v>
      </c>
      <c r="I41" s="76" t="s">
        <v>639</v>
      </c>
      <c r="J41" s="76">
        <v>4</v>
      </c>
      <c r="K41" s="76" t="s">
        <v>655</v>
      </c>
      <c r="L41" s="76">
        <v>5</v>
      </c>
      <c r="M41" s="76" t="s">
        <v>638</v>
      </c>
      <c r="N41" s="76">
        <v>2</v>
      </c>
      <c r="O41" s="76"/>
      <c r="P41" s="76"/>
    </row>
    <row r="42" spans="1:16" x14ac:dyDescent="0.25">
      <c r="A42" s="76" t="s">
        <v>644</v>
      </c>
      <c r="B42" s="76">
        <v>26</v>
      </c>
      <c r="C42" s="76" t="s">
        <v>644</v>
      </c>
      <c r="D42" s="76">
        <v>19</v>
      </c>
      <c r="E42" s="76" t="s">
        <v>655</v>
      </c>
      <c r="F42" s="76">
        <v>4</v>
      </c>
      <c r="G42" s="76" t="s">
        <v>657</v>
      </c>
      <c r="H42" s="76">
        <v>2</v>
      </c>
      <c r="I42" s="76"/>
      <c r="J42" s="76"/>
      <c r="K42" s="76" t="s">
        <v>662</v>
      </c>
      <c r="L42" s="76">
        <v>5</v>
      </c>
      <c r="M42" s="76"/>
      <c r="N42" s="76"/>
      <c r="O42" s="76"/>
      <c r="P42" s="76"/>
    </row>
    <row r="43" spans="1:16" x14ac:dyDescent="0.25">
      <c r="A43" s="76" t="s">
        <v>655</v>
      </c>
      <c r="B43" s="76">
        <v>23</v>
      </c>
      <c r="C43" s="76" t="s">
        <v>655</v>
      </c>
      <c r="D43" s="76">
        <v>14</v>
      </c>
      <c r="E43" s="76" t="s">
        <v>657</v>
      </c>
      <c r="F43" s="76">
        <v>4</v>
      </c>
      <c r="G43" s="76" t="s">
        <v>641</v>
      </c>
      <c r="H43" s="76">
        <v>2</v>
      </c>
      <c r="I43" s="76"/>
      <c r="J43" s="76"/>
      <c r="K43" s="76" t="s">
        <v>644</v>
      </c>
      <c r="L43" s="76">
        <v>5</v>
      </c>
      <c r="M43" s="76"/>
      <c r="N43" s="76"/>
      <c r="O43" s="76"/>
      <c r="P43" s="76"/>
    </row>
    <row r="44" spans="1:16" x14ac:dyDescent="0.25">
      <c r="A44" s="76" t="s">
        <v>661</v>
      </c>
      <c r="B44" s="76">
        <v>11</v>
      </c>
      <c r="C44" s="76" t="s">
        <v>661</v>
      </c>
      <c r="D44" s="76">
        <v>11</v>
      </c>
      <c r="E44" s="76" t="s">
        <v>649</v>
      </c>
      <c r="F44" s="76">
        <v>4</v>
      </c>
      <c r="G44" s="76" t="s">
        <v>2689</v>
      </c>
      <c r="H44" s="76">
        <v>1</v>
      </c>
      <c r="I44" s="76"/>
      <c r="J44" s="76"/>
      <c r="K44" s="76" t="s">
        <v>2692</v>
      </c>
      <c r="L44" s="76">
        <v>1</v>
      </c>
      <c r="M44" s="76"/>
      <c r="N44" s="76"/>
      <c r="O44" s="76"/>
      <c r="P44" s="76"/>
    </row>
    <row r="45" spans="1:16" x14ac:dyDescent="0.25">
      <c r="A45" s="76" t="s">
        <v>645</v>
      </c>
      <c r="B45" s="76">
        <v>8</v>
      </c>
      <c r="C45" s="76" t="s">
        <v>645</v>
      </c>
      <c r="D45" s="76">
        <v>8</v>
      </c>
      <c r="E45" s="76" t="s">
        <v>2434</v>
      </c>
      <c r="F45" s="76">
        <v>3</v>
      </c>
      <c r="G45" s="76" t="s">
        <v>633</v>
      </c>
      <c r="H45" s="76">
        <v>1</v>
      </c>
      <c r="I45" s="76"/>
      <c r="J45" s="76"/>
      <c r="K45" s="76" t="s">
        <v>2693</v>
      </c>
      <c r="L45" s="76">
        <v>1</v>
      </c>
      <c r="M45" s="76"/>
      <c r="N45" s="76"/>
      <c r="O45" s="76"/>
      <c r="P45" s="76"/>
    </row>
    <row r="46" spans="1:16" x14ac:dyDescent="0.25">
      <c r="A46" s="76" t="s">
        <v>639</v>
      </c>
      <c r="B46" s="76">
        <v>7</v>
      </c>
      <c r="C46" s="76" t="s">
        <v>2244</v>
      </c>
      <c r="D46" s="76">
        <v>1</v>
      </c>
      <c r="E46" s="76" t="s">
        <v>639</v>
      </c>
      <c r="F46" s="76">
        <v>3</v>
      </c>
      <c r="G46" s="76" t="s">
        <v>634</v>
      </c>
      <c r="H46" s="76">
        <v>1</v>
      </c>
      <c r="I46" s="76"/>
      <c r="J46" s="76"/>
      <c r="K46" s="76"/>
      <c r="L46" s="76"/>
      <c r="M46" s="76"/>
      <c r="N46" s="76"/>
      <c r="O46" s="76"/>
      <c r="P46" s="76"/>
    </row>
    <row r="47" spans="1:16" x14ac:dyDescent="0.25">
      <c r="A47" s="76" t="s">
        <v>654</v>
      </c>
      <c r="B47" s="76">
        <v>6</v>
      </c>
      <c r="C47" s="76" t="s">
        <v>2683</v>
      </c>
      <c r="D47" s="76">
        <v>1</v>
      </c>
      <c r="E47" s="76" t="s">
        <v>658</v>
      </c>
      <c r="F47" s="76">
        <v>2</v>
      </c>
      <c r="G47" s="76" t="s">
        <v>658</v>
      </c>
      <c r="H47" s="76">
        <v>1</v>
      </c>
      <c r="I47" s="76"/>
      <c r="J47" s="76"/>
      <c r="K47" s="76"/>
      <c r="L47" s="76"/>
      <c r="M47" s="76"/>
      <c r="N47" s="76"/>
      <c r="O47" s="76"/>
      <c r="P47" s="76"/>
    </row>
    <row r="48" spans="1:16" x14ac:dyDescent="0.25">
      <c r="A48" s="76" t="s">
        <v>657</v>
      </c>
      <c r="B48" s="76">
        <v>6</v>
      </c>
      <c r="C48" s="76" t="s">
        <v>2684</v>
      </c>
      <c r="D48" s="76">
        <v>1</v>
      </c>
      <c r="E48" s="76" t="s">
        <v>644</v>
      </c>
      <c r="F48" s="76">
        <v>2</v>
      </c>
      <c r="G48" s="76" t="s">
        <v>2244</v>
      </c>
      <c r="H48" s="76">
        <v>1</v>
      </c>
      <c r="I48" s="76"/>
      <c r="J48" s="76"/>
      <c r="K48" s="76"/>
      <c r="L48" s="76"/>
      <c r="M48" s="76"/>
      <c r="N48" s="76"/>
      <c r="O48" s="76"/>
      <c r="P48" s="76"/>
    </row>
    <row r="49" spans="1:16" x14ac:dyDescent="0.25">
      <c r="A49" s="76" t="s">
        <v>649</v>
      </c>
      <c r="B49" s="76">
        <v>4</v>
      </c>
      <c r="C49" s="76" t="s">
        <v>2685</v>
      </c>
      <c r="D49" s="76">
        <v>1</v>
      </c>
      <c r="E49" s="76" t="s">
        <v>2449</v>
      </c>
      <c r="F49" s="76">
        <v>2</v>
      </c>
      <c r="G49" s="76" t="s">
        <v>2449</v>
      </c>
      <c r="H49" s="76">
        <v>1</v>
      </c>
      <c r="I49" s="76"/>
      <c r="J49" s="76"/>
      <c r="K49" s="76"/>
      <c r="L49" s="76"/>
      <c r="M49" s="76"/>
      <c r="N49" s="76"/>
      <c r="O49" s="76"/>
      <c r="P49" s="76"/>
    </row>
    <row r="50" spans="1:16" x14ac:dyDescent="0.25">
      <c r="A50" s="76" t="s">
        <v>635</v>
      </c>
      <c r="B50" s="76">
        <v>3</v>
      </c>
      <c r="C50" s="76" t="s">
        <v>2686</v>
      </c>
      <c r="D50" s="76">
        <v>1</v>
      </c>
      <c r="E50" s="76" t="s">
        <v>2451</v>
      </c>
      <c r="F50" s="76">
        <v>2</v>
      </c>
      <c r="G50" s="76" t="s">
        <v>2451</v>
      </c>
      <c r="H50" s="76">
        <v>1</v>
      </c>
      <c r="I50" s="76"/>
      <c r="J50" s="76"/>
      <c r="K50" s="76"/>
      <c r="L50" s="76"/>
      <c r="M50" s="76"/>
      <c r="N50" s="76"/>
      <c r="O50" s="76"/>
      <c r="P50" s="76"/>
    </row>
    <row r="53" spans="1:16" ht="30" x14ac:dyDescent="0.25">
      <c r="A53" s="13" t="s">
        <v>2696</v>
      </c>
      <c r="B53" s="13" t="s">
        <v>2633</v>
      </c>
      <c r="C53" s="13" t="s">
        <v>2697</v>
      </c>
      <c r="D53" s="13" t="s">
        <v>2639</v>
      </c>
      <c r="E53" s="13" t="s">
        <v>2698</v>
      </c>
      <c r="F53" s="13" t="s">
        <v>2644</v>
      </c>
      <c r="G53" s="13" t="s">
        <v>2699</v>
      </c>
      <c r="H53" s="13" t="s">
        <v>2651</v>
      </c>
      <c r="I53" s="13" t="s">
        <v>2700</v>
      </c>
      <c r="J53" s="13" t="s">
        <v>2658</v>
      </c>
      <c r="K53" s="13" t="s">
        <v>2701</v>
      </c>
      <c r="L53" s="13" t="s">
        <v>2664</v>
      </c>
      <c r="M53" s="13" t="s">
        <v>2702</v>
      </c>
      <c r="N53" s="13" t="s">
        <v>2668</v>
      </c>
      <c r="O53" s="13" t="s">
        <v>2703</v>
      </c>
      <c r="P53" s="13" t="s">
        <v>2670</v>
      </c>
    </row>
    <row r="54" spans="1:16" x14ac:dyDescent="0.25">
      <c r="A54" s="83" t="s">
        <v>2235</v>
      </c>
      <c r="B54" s="83">
        <v>297</v>
      </c>
      <c r="C54" s="83" t="s">
        <v>2235</v>
      </c>
      <c r="D54" s="83">
        <v>124</v>
      </c>
      <c r="E54" s="83" t="s">
        <v>2235</v>
      </c>
      <c r="F54" s="83">
        <v>91</v>
      </c>
      <c r="G54" s="83" t="s">
        <v>2235</v>
      </c>
      <c r="H54" s="83">
        <v>28</v>
      </c>
      <c r="I54" s="83" t="s">
        <v>2235</v>
      </c>
      <c r="J54" s="83">
        <v>23</v>
      </c>
      <c r="K54" s="83" t="s">
        <v>2246</v>
      </c>
      <c r="L54" s="83">
        <v>20</v>
      </c>
      <c r="M54" s="83" t="s">
        <v>2235</v>
      </c>
      <c r="N54" s="83">
        <v>3</v>
      </c>
      <c r="O54" s="83" t="s">
        <v>2235</v>
      </c>
      <c r="P54" s="83">
        <v>8</v>
      </c>
    </row>
    <row r="55" spans="1:16" x14ac:dyDescent="0.25">
      <c r="A55" s="83" t="s">
        <v>2236</v>
      </c>
      <c r="B55" s="83">
        <v>127</v>
      </c>
      <c r="C55" s="83" t="s">
        <v>2236</v>
      </c>
      <c r="D55" s="83">
        <v>63</v>
      </c>
      <c r="E55" s="83" t="s">
        <v>2236</v>
      </c>
      <c r="F55" s="83">
        <v>43</v>
      </c>
      <c r="G55" s="83" t="s">
        <v>2239</v>
      </c>
      <c r="H55" s="83">
        <v>9</v>
      </c>
      <c r="I55" s="83" t="s">
        <v>2236</v>
      </c>
      <c r="J55" s="83">
        <v>11</v>
      </c>
      <c r="K55" s="83" t="s">
        <v>2245</v>
      </c>
      <c r="L55" s="83">
        <v>20</v>
      </c>
      <c r="M55" s="83" t="s">
        <v>2242</v>
      </c>
      <c r="N55" s="83">
        <v>3</v>
      </c>
      <c r="O55" s="83" t="s">
        <v>194</v>
      </c>
      <c r="P55" s="83">
        <v>4</v>
      </c>
    </row>
    <row r="56" spans="1:16" x14ac:dyDescent="0.25">
      <c r="A56" s="83" t="s">
        <v>2237</v>
      </c>
      <c r="B56" s="83">
        <v>77</v>
      </c>
      <c r="C56" s="83" t="s">
        <v>2237</v>
      </c>
      <c r="D56" s="83">
        <v>50</v>
      </c>
      <c r="E56" s="83" t="s">
        <v>657</v>
      </c>
      <c r="F56" s="83">
        <v>35</v>
      </c>
      <c r="G56" s="83" t="s">
        <v>2240</v>
      </c>
      <c r="H56" s="83">
        <v>6</v>
      </c>
      <c r="I56" s="83" t="s">
        <v>2288</v>
      </c>
      <c r="J56" s="83">
        <v>9</v>
      </c>
      <c r="K56" s="83" t="s">
        <v>2235</v>
      </c>
      <c r="L56" s="83">
        <v>20</v>
      </c>
      <c r="M56" s="83" t="s">
        <v>2240</v>
      </c>
      <c r="N56" s="83">
        <v>3</v>
      </c>
      <c r="O56" s="83" t="s">
        <v>2476</v>
      </c>
      <c r="P56" s="83">
        <v>3</v>
      </c>
    </row>
    <row r="57" spans="1:16" x14ac:dyDescent="0.25">
      <c r="A57" s="83" t="s">
        <v>657</v>
      </c>
      <c r="B57" s="83">
        <v>62</v>
      </c>
      <c r="C57" s="83" t="s">
        <v>2238</v>
      </c>
      <c r="D57" s="83">
        <v>45</v>
      </c>
      <c r="E57" s="83" t="s">
        <v>2239</v>
      </c>
      <c r="F57" s="83">
        <v>34</v>
      </c>
      <c r="G57" s="83" t="s">
        <v>2237</v>
      </c>
      <c r="H57" s="83">
        <v>5</v>
      </c>
      <c r="I57" s="83" t="s">
        <v>657</v>
      </c>
      <c r="J57" s="83">
        <v>8</v>
      </c>
      <c r="K57" s="83" t="s">
        <v>2236</v>
      </c>
      <c r="L57" s="83">
        <v>7</v>
      </c>
      <c r="M57" s="83" t="s">
        <v>2241</v>
      </c>
      <c r="N57" s="83">
        <v>3</v>
      </c>
      <c r="O57" s="83" t="s">
        <v>2388</v>
      </c>
      <c r="P57" s="83">
        <v>2</v>
      </c>
    </row>
    <row r="58" spans="1:16" x14ac:dyDescent="0.25">
      <c r="A58" s="83" t="s">
        <v>2238</v>
      </c>
      <c r="B58" s="83">
        <v>54</v>
      </c>
      <c r="C58" s="83" t="s">
        <v>2243</v>
      </c>
      <c r="D58" s="83">
        <v>35</v>
      </c>
      <c r="E58" s="83" t="s">
        <v>2240</v>
      </c>
      <c r="F58" s="83">
        <v>30</v>
      </c>
      <c r="G58" s="83" t="s">
        <v>657</v>
      </c>
      <c r="H58" s="83">
        <v>5</v>
      </c>
      <c r="I58" s="83" t="s">
        <v>2255</v>
      </c>
      <c r="J58" s="83">
        <v>6</v>
      </c>
      <c r="K58" s="83" t="s">
        <v>2327</v>
      </c>
      <c r="L58" s="83">
        <v>6</v>
      </c>
      <c r="M58" s="83" t="s">
        <v>2237</v>
      </c>
      <c r="N58" s="83">
        <v>2</v>
      </c>
      <c r="O58" s="83" t="s">
        <v>2292</v>
      </c>
      <c r="P58" s="83">
        <v>2</v>
      </c>
    </row>
    <row r="59" spans="1:16" x14ac:dyDescent="0.25">
      <c r="A59" s="83" t="s">
        <v>2239</v>
      </c>
      <c r="B59" s="83">
        <v>53</v>
      </c>
      <c r="C59" s="83" t="s">
        <v>2244</v>
      </c>
      <c r="D59" s="83">
        <v>27</v>
      </c>
      <c r="E59" s="83" t="s">
        <v>2242</v>
      </c>
      <c r="F59" s="83">
        <v>26</v>
      </c>
      <c r="G59" s="83" t="s">
        <v>2269</v>
      </c>
      <c r="H59" s="83">
        <v>4</v>
      </c>
      <c r="I59" s="83" t="s">
        <v>2248</v>
      </c>
      <c r="J59" s="83">
        <v>6</v>
      </c>
      <c r="K59" s="83" t="s">
        <v>254</v>
      </c>
      <c r="L59" s="83">
        <v>6</v>
      </c>
      <c r="M59" s="83" t="s">
        <v>2611</v>
      </c>
      <c r="N59" s="83">
        <v>2</v>
      </c>
      <c r="O59" s="83" t="s">
        <v>2620</v>
      </c>
      <c r="P59" s="83">
        <v>2</v>
      </c>
    </row>
    <row r="60" spans="1:16" x14ac:dyDescent="0.25">
      <c r="A60" s="83" t="s">
        <v>2240</v>
      </c>
      <c r="B60" s="83">
        <v>47</v>
      </c>
      <c r="C60" s="83" t="s">
        <v>662</v>
      </c>
      <c r="D60" s="83">
        <v>25</v>
      </c>
      <c r="E60" s="83" t="s">
        <v>2241</v>
      </c>
      <c r="F60" s="83">
        <v>20</v>
      </c>
      <c r="G60" s="83" t="s">
        <v>2242</v>
      </c>
      <c r="H60" s="83">
        <v>4</v>
      </c>
      <c r="I60" s="83" t="s">
        <v>2315</v>
      </c>
      <c r="J60" s="83">
        <v>5</v>
      </c>
      <c r="K60" s="83" t="s">
        <v>2345</v>
      </c>
      <c r="L60" s="83">
        <v>5</v>
      </c>
      <c r="M60" s="83" t="s">
        <v>2612</v>
      </c>
      <c r="N60" s="83">
        <v>2</v>
      </c>
      <c r="O60" s="83" t="s">
        <v>2331</v>
      </c>
      <c r="P60" s="83">
        <v>2</v>
      </c>
    </row>
    <row r="61" spans="1:16" x14ac:dyDescent="0.25">
      <c r="A61" s="83" t="s">
        <v>2241</v>
      </c>
      <c r="B61" s="83">
        <v>45</v>
      </c>
      <c r="C61" s="83" t="s">
        <v>2248</v>
      </c>
      <c r="D61" s="83">
        <v>23</v>
      </c>
      <c r="E61" s="83" t="s">
        <v>2237</v>
      </c>
      <c r="F61" s="83">
        <v>18</v>
      </c>
      <c r="G61" s="83" t="s">
        <v>2298</v>
      </c>
      <c r="H61" s="83">
        <v>4</v>
      </c>
      <c r="I61" s="83" t="s">
        <v>2325</v>
      </c>
      <c r="J61" s="83">
        <v>5</v>
      </c>
      <c r="K61" s="83" t="s">
        <v>2244</v>
      </c>
      <c r="L61" s="83">
        <v>5</v>
      </c>
      <c r="M61" s="83" t="s">
        <v>2475</v>
      </c>
      <c r="N61" s="83">
        <v>2</v>
      </c>
      <c r="O61" s="83" t="s">
        <v>2621</v>
      </c>
      <c r="P61" s="83">
        <v>2</v>
      </c>
    </row>
    <row r="62" spans="1:16" x14ac:dyDescent="0.25">
      <c r="A62" s="83" t="s">
        <v>2242</v>
      </c>
      <c r="B62" s="83">
        <v>45</v>
      </c>
      <c r="C62" s="83" t="s">
        <v>2253</v>
      </c>
      <c r="D62" s="83">
        <v>20</v>
      </c>
      <c r="E62" s="83" t="s">
        <v>2262</v>
      </c>
      <c r="F62" s="83">
        <v>17</v>
      </c>
      <c r="G62" s="83" t="s">
        <v>658</v>
      </c>
      <c r="H62" s="83">
        <v>4</v>
      </c>
      <c r="I62" s="83" t="s">
        <v>2254</v>
      </c>
      <c r="J62" s="83">
        <v>5</v>
      </c>
      <c r="K62" s="83" t="s">
        <v>655</v>
      </c>
      <c r="L62" s="83">
        <v>5</v>
      </c>
      <c r="M62" s="83" t="s">
        <v>2613</v>
      </c>
      <c r="N62" s="83">
        <v>2</v>
      </c>
      <c r="O62" s="83" t="s">
        <v>2473</v>
      </c>
      <c r="P62" s="83">
        <v>2</v>
      </c>
    </row>
    <row r="63" spans="1:16" x14ac:dyDescent="0.25">
      <c r="A63" s="83" t="s">
        <v>2243</v>
      </c>
      <c r="B63" s="83">
        <v>43</v>
      </c>
      <c r="C63" s="83" t="s">
        <v>2258</v>
      </c>
      <c r="D63" s="83">
        <v>20</v>
      </c>
      <c r="E63" s="83" t="s">
        <v>2259</v>
      </c>
      <c r="F63" s="83">
        <v>16</v>
      </c>
      <c r="G63" s="83" t="s">
        <v>2247</v>
      </c>
      <c r="H63" s="83">
        <v>4</v>
      </c>
      <c r="I63" s="83" t="s">
        <v>2344</v>
      </c>
      <c r="J63" s="83">
        <v>4</v>
      </c>
      <c r="K63" s="83" t="s">
        <v>662</v>
      </c>
      <c r="L63" s="83">
        <v>5</v>
      </c>
      <c r="M63" s="83" t="s">
        <v>2247</v>
      </c>
      <c r="N63" s="83">
        <v>2</v>
      </c>
      <c r="O63" s="83" t="s">
        <v>2622</v>
      </c>
      <c r="P63" s="83">
        <v>2</v>
      </c>
    </row>
    <row r="66" spans="1:16" ht="45" x14ac:dyDescent="0.25">
      <c r="A66" s="13" t="s">
        <v>2704</v>
      </c>
      <c r="B66" s="13" t="s">
        <v>2633</v>
      </c>
      <c r="C66" s="13" t="s">
        <v>2715</v>
      </c>
      <c r="D66" s="13" t="s">
        <v>2639</v>
      </c>
      <c r="E66" s="13" t="s">
        <v>2721</v>
      </c>
      <c r="F66" s="13" t="s">
        <v>2644</v>
      </c>
      <c r="G66" s="13" t="s">
        <v>2731</v>
      </c>
      <c r="H66" s="13" t="s">
        <v>2651</v>
      </c>
      <c r="I66" s="13" t="s">
        <v>2738</v>
      </c>
      <c r="J66" s="13" t="s">
        <v>2658</v>
      </c>
      <c r="K66" s="13" t="s">
        <v>2749</v>
      </c>
      <c r="L66" s="13" t="s">
        <v>2664</v>
      </c>
      <c r="M66" s="13" t="s">
        <v>2757</v>
      </c>
      <c r="N66" s="13" t="s">
        <v>2668</v>
      </c>
      <c r="O66" s="13" t="s">
        <v>2768</v>
      </c>
      <c r="P66" s="13" t="s">
        <v>2670</v>
      </c>
    </row>
    <row r="67" spans="1:16" x14ac:dyDescent="0.25">
      <c r="A67" s="83" t="s">
        <v>2705</v>
      </c>
      <c r="B67" s="83">
        <v>39</v>
      </c>
      <c r="C67" s="83" t="s">
        <v>2705</v>
      </c>
      <c r="D67" s="83">
        <v>37</v>
      </c>
      <c r="E67" s="83" t="s">
        <v>2706</v>
      </c>
      <c r="F67" s="83">
        <v>27</v>
      </c>
      <c r="G67" s="83" t="s">
        <v>2706</v>
      </c>
      <c r="H67" s="83">
        <v>6</v>
      </c>
      <c r="I67" s="83" t="s">
        <v>2739</v>
      </c>
      <c r="J67" s="83">
        <v>6</v>
      </c>
      <c r="K67" s="83" t="s">
        <v>2707</v>
      </c>
      <c r="L67" s="83">
        <v>15</v>
      </c>
      <c r="M67" s="83" t="s">
        <v>2758</v>
      </c>
      <c r="N67" s="83">
        <v>2</v>
      </c>
      <c r="O67" s="83" t="s">
        <v>2769</v>
      </c>
      <c r="P67" s="83">
        <v>4</v>
      </c>
    </row>
    <row r="68" spans="1:16" x14ac:dyDescent="0.25">
      <c r="A68" s="83" t="s">
        <v>2706</v>
      </c>
      <c r="B68" s="83">
        <v>39</v>
      </c>
      <c r="C68" s="83" t="s">
        <v>2712</v>
      </c>
      <c r="D68" s="83">
        <v>20</v>
      </c>
      <c r="E68" s="83" t="s">
        <v>2722</v>
      </c>
      <c r="F68" s="83">
        <v>15</v>
      </c>
      <c r="G68" s="83" t="s">
        <v>2732</v>
      </c>
      <c r="H68" s="83">
        <v>3</v>
      </c>
      <c r="I68" s="83" t="s">
        <v>2740</v>
      </c>
      <c r="J68" s="83">
        <v>5</v>
      </c>
      <c r="K68" s="83" t="s">
        <v>2750</v>
      </c>
      <c r="L68" s="83">
        <v>12</v>
      </c>
      <c r="M68" s="83" t="s">
        <v>2759</v>
      </c>
      <c r="N68" s="83">
        <v>2</v>
      </c>
      <c r="O68" s="83" t="s">
        <v>2770</v>
      </c>
      <c r="P68" s="83">
        <v>3</v>
      </c>
    </row>
    <row r="69" spans="1:16" x14ac:dyDescent="0.25">
      <c r="A69" s="83" t="s">
        <v>2707</v>
      </c>
      <c r="B69" s="83">
        <v>27</v>
      </c>
      <c r="C69" s="83" t="s">
        <v>2710</v>
      </c>
      <c r="D69" s="83">
        <v>20</v>
      </c>
      <c r="E69" s="83" t="s">
        <v>2723</v>
      </c>
      <c r="F69" s="83">
        <v>14</v>
      </c>
      <c r="G69" s="83" t="s">
        <v>2733</v>
      </c>
      <c r="H69" s="83">
        <v>2</v>
      </c>
      <c r="I69" s="83" t="s">
        <v>2741</v>
      </c>
      <c r="J69" s="83">
        <v>5</v>
      </c>
      <c r="K69" s="83" t="s">
        <v>2751</v>
      </c>
      <c r="L69" s="83">
        <v>6</v>
      </c>
      <c r="M69" s="83" t="s">
        <v>2760</v>
      </c>
      <c r="N69" s="83">
        <v>2</v>
      </c>
      <c r="O69" s="83" t="s">
        <v>2771</v>
      </c>
      <c r="P69" s="83">
        <v>2</v>
      </c>
    </row>
    <row r="70" spans="1:16" x14ac:dyDescent="0.25">
      <c r="A70" s="83" t="s">
        <v>2708</v>
      </c>
      <c r="B70" s="83">
        <v>24</v>
      </c>
      <c r="C70" s="83" t="s">
        <v>2708</v>
      </c>
      <c r="D70" s="83">
        <v>19</v>
      </c>
      <c r="E70" s="83" t="s">
        <v>2724</v>
      </c>
      <c r="F70" s="83">
        <v>12</v>
      </c>
      <c r="G70" s="83" t="s">
        <v>2734</v>
      </c>
      <c r="H70" s="83">
        <v>2</v>
      </c>
      <c r="I70" s="83" t="s">
        <v>2742</v>
      </c>
      <c r="J70" s="83">
        <v>5</v>
      </c>
      <c r="K70" s="83" t="s">
        <v>2752</v>
      </c>
      <c r="L70" s="83">
        <v>5</v>
      </c>
      <c r="M70" s="83" t="s">
        <v>2761</v>
      </c>
      <c r="N70" s="83">
        <v>2</v>
      </c>
      <c r="O70" s="83" t="s">
        <v>2772</v>
      </c>
      <c r="P70" s="83">
        <v>2</v>
      </c>
    </row>
    <row r="71" spans="1:16" x14ac:dyDescent="0.25">
      <c r="A71" s="83" t="s">
        <v>2709</v>
      </c>
      <c r="B71" s="83">
        <v>24</v>
      </c>
      <c r="C71" s="83" t="s">
        <v>2713</v>
      </c>
      <c r="D71" s="83">
        <v>19</v>
      </c>
      <c r="E71" s="83" t="s">
        <v>2725</v>
      </c>
      <c r="F71" s="83">
        <v>11</v>
      </c>
      <c r="G71" s="83" t="s">
        <v>2735</v>
      </c>
      <c r="H71" s="83">
        <v>2</v>
      </c>
      <c r="I71" s="83" t="s">
        <v>2743</v>
      </c>
      <c r="J71" s="83">
        <v>5</v>
      </c>
      <c r="K71" s="83" t="s">
        <v>2714</v>
      </c>
      <c r="L71" s="83">
        <v>5</v>
      </c>
      <c r="M71" s="83" t="s">
        <v>2762</v>
      </c>
      <c r="N71" s="83">
        <v>2</v>
      </c>
      <c r="O71" s="83"/>
      <c r="P71" s="83"/>
    </row>
    <row r="72" spans="1:16" x14ac:dyDescent="0.25">
      <c r="A72" s="83" t="s">
        <v>2710</v>
      </c>
      <c r="B72" s="83">
        <v>21</v>
      </c>
      <c r="C72" s="83" t="s">
        <v>2716</v>
      </c>
      <c r="D72" s="83">
        <v>18</v>
      </c>
      <c r="E72" s="83" t="s">
        <v>2726</v>
      </c>
      <c r="F72" s="83">
        <v>11</v>
      </c>
      <c r="G72" s="83" t="s">
        <v>2736</v>
      </c>
      <c r="H72" s="83">
        <v>2</v>
      </c>
      <c r="I72" s="83" t="s">
        <v>2744</v>
      </c>
      <c r="J72" s="83">
        <v>4</v>
      </c>
      <c r="K72" s="83" t="s">
        <v>2708</v>
      </c>
      <c r="L72" s="83">
        <v>5</v>
      </c>
      <c r="M72" s="83" t="s">
        <v>2763</v>
      </c>
      <c r="N72" s="83">
        <v>2</v>
      </c>
      <c r="O72" s="83"/>
      <c r="P72" s="83"/>
    </row>
    <row r="73" spans="1:16" x14ac:dyDescent="0.25">
      <c r="A73" s="83" t="s">
        <v>2711</v>
      </c>
      <c r="B73" s="83">
        <v>20</v>
      </c>
      <c r="C73" s="83" t="s">
        <v>2717</v>
      </c>
      <c r="D73" s="83">
        <v>18</v>
      </c>
      <c r="E73" s="83" t="s">
        <v>2727</v>
      </c>
      <c r="F73" s="83">
        <v>11</v>
      </c>
      <c r="G73" s="83" t="s">
        <v>2737</v>
      </c>
      <c r="H73" s="83">
        <v>2</v>
      </c>
      <c r="I73" s="83" t="s">
        <v>2745</v>
      </c>
      <c r="J73" s="83">
        <v>4</v>
      </c>
      <c r="K73" s="83" t="s">
        <v>2753</v>
      </c>
      <c r="L73" s="83">
        <v>4</v>
      </c>
      <c r="M73" s="83" t="s">
        <v>2764</v>
      </c>
      <c r="N73" s="83">
        <v>2</v>
      </c>
      <c r="O73" s="83"/>
      <c r="P73" s="83"/>
    </row>
    <row r="74" spans="1:16" x14ac:dyDescent="0.25">
      <c r="A74" s="83" t="s">
        <v>2712</v>
      </c>
      <c r="B74" s="83">
        <v>20</v>
      </c>
      <c r="C74" s="83" t="s">
        <v>2718</v>
      </c>
      <c r="D74" s="83">
        <v>17</v>
      </c>
      <c r="E74" s="83" t="s">
        <v>2728</v>
      </c>
      <c r="F74" s="83">
        <v>11</v>
      </c>
      <c r="G74" s="83"/>
      <c r="H74" s="83"/>
      <c r="I74" s="83" t="s">
        <v>2746</v>
      </c>
      <c r="J74" s="83">
        <v>4</v>
      </c>
      <c r="K74" s="83" t="s">
        <v>2754</v>
      </c>
      <c r="L74" s="83">
        <v>3</v>
      </c>
      <c r="M74" s="83" t="s">
        <v>2765</v>
      </c>
      <c r="N74" s="83">
        <v>2</v>
      </c>
      <c r="O74" s="83"/>
      <c r="P74" s="83"/>
    </row>
    <row r="75" spans="1:16" x14ac:dyDescent="0.25">
      <c r="A75" s="83" t="s">
        <v>2713</v>
      </c>
      <c r="B75" s="83">
        <v>20</v>
      </c>
      <c r="C75" s="83" t="s">
        <v>2719</v>
      </c>
      <c r="D75" s="83">
        <v>17</v>
      </c>
      <c r="E75" s="83" t="s">
        <v>2729</v>
      </c>
      <c r="F75" s="83">
        <v>11</v>
      </c>
      <c r="G75" s="83"/>
      <c r="H75" s="83"/>
      <c r="I75" s="83" t="s">
        <v>2747</v>
      </c>
      <c r="J75" s="83">
        <v>3</v>
      </c>
      <c r="K75" s="83" t="s">
        <v>2755</v>
      </c>
      <c r="L75" s="83">
        <v>3</v>
      </c>
      <c r="M75" s="83" t="s">
        <v>2766</v>
      </c>
      <c r="N75" s="83">
        <v>2</v>
      </c>
      <c r="O75" s="83"/>
      <c r="P75" s="83"/>
    </row>
    <row r="76" spans="1:16" x14ac:dyDescent="0.25">
      <c r="A76" s="83" t="s">
        <v>2714</v>
      </c>
      <c r="B76" s="83">
        <v>19</v>
      </c>
      <c r="C76" s="83" t="s">
        <v>2720</v>
      </c>
      <c r="D76" s="83">
        <v>17</v>
      </c>
      <c r="E76" s="83" t="s">
        <v>2730</v>
      </c>
      <c r="F76" s="83">
        <v>11</v>
      </c>
      <c r="G76" s="83"/>
      <c r="H76" s="83"/>
      <c r="I76" s="83" t="s">
        <v>2748</v>
      </c>
      <c r="J76" s="83">
        <v>3</v>
      </c>
      <c r="K76" s="83" t="s">
        <v>2756</v>
      </c>
      <c r="L76" s="83">
        <v>3</v>
      </c>
      <c r="M76" s="83" t="s">
        <v>2767</v>
      </c>
      <c r="N76" s="83">
        <v>2</v>
      </c>
      <c r="O76" s="83"/>
      <c r="P76" s="83"/>
    </row>
    <row r="79" spans="1:16" ht="30" x14ac:dyDescent="0.25">
      <c r="A79" s="13" t="s">
        <v>2773</v>
      </c>
      <c r="B79" s="13" t="s">
        <v>2633</v>
      </c>
      <c r="C79" s="13" t="s">
        <v>2774</v>
      </c>
      <c r="D79" s="13" t="s">
        <v>2639</v>
      </c>
      <c r="E79" s="13" t="s">
        <v>2775</v>
      </c>
      <c r="F79" s="13" t="s">
        <v>2644</v>
      </c>
      <c r="G79" s="13" t="s">
        <v>2776</v>
      </c>
      <c r="H79" s="13" t="s">
        <v>2651</v>
      </c>
      <c r="I79" s="13" t="s">
        <v>2777</v>
      </c>
      <c r="J79" s="13" t="s">
        <v>2658</v>
      </c>
      <c r="K79" s="13" t="s">
        <v>2778</v>
      </c>
      <c r="L79" s="13" t="s">
        <v>2664</v>
      </c>
      <c r="M79" s="13" t="s">
        <v>2779</v>
      </c>
      <c r="N79" s="13" t="s">
        <v>2668</v>
      </c>
      <c r="O79" s="13" t="s">
        <v>2780</v>
      </c>
      <c r="P79" s="13" t="s">
        <v>2670</v>
      </c>
    </row>
    <row r="80" spans="1:16" x14ac:dyDescent="0.25">
      <c r="A80" s="76" t="s">
        <v>313</v>
      </c>
      <c r="B80" s="76">
        <v>216402</v>
      </c>
      <c r="C80" s="76" t="s">
        <v>217</v>
      </c>
      <c r="D80" s="76">
        <v>213327</v>
      </c>
      <c r="E80" s="76" t="s">
        <v>313</v>
      </c>
      <c r="F80" s="76">
        <v>216402</v>
      </c>
      <c r="G80" s="76" t="s">
        <v>189</v>
      </c>
      <c r="H80" s="76">
        <v>12399</v>
      </c>
      <c r="I80" s="76" t="s">
        <v>286</v>
      </c>
      <c r="J80" s="76">
        <v>60087</v>
      </c>
      <c r="K80" s="76" t="s">
        <v>345</v>
      </c>
      <c r="L80" s="76">
        <v>4785</v>
      </c>
      <c r="M80" s="76" t="s">
        <v>247</v>
      </c>
      <c r="N80" s="76">
        <v>1609</v>
      </c>
      <c r="O80" s="76" t="s">
        <v>194</v>
      </c>
      <c r="P80" s="76">
        <v>7972</v>
      </c>
    </row>
    <row r="81" spans="1:16" x14ac:dyDescent="0.25">
      <c r="A81" s="76" t="s">
        <v>217</v>
      </c>
      <c r="B81" s="76">
        <v>213327</v>
      </c>
      <c r="C81" s="76" t="s">
        <v>230</v>
      </c>
      <c r="D81" s="76">
        <v>99922</v>
      </c>
      <c r="E81" s="76" t="s">
        <v>339</v>
      </c>
      <c r="F81" s="76">
        <v>59034</v>
      </c>
      <c r="G81" s="76" t="s">
        <v>193</v>
      </c>
      <c r="H81" s="76">
        <v>7644</v>
      </c>
      <c r="I81" s="76" t="s">
        <v>330</v>
      </c>
      <c r="J81" s="76">
        <v>47946</v>
      </c>
      <c r="K81" s="76" t="s">
        <v>254</v>
      </c>
      <c r="L81" s="76">
        <v>4429</v>
      </c>
      <c r="M81" s="76" t="s">
        <v>203</v>
      </c>
      <c r="N81" s="76">
        <v>112</v>
      </c>
      <c r="O81" s="76" t="s">
        <v>195</v>
      </c>
      <c r="P81" s="76">
        <v>3909</v>
      </c>
    </row>
    <row r="82" spans="1:16" x14ac:dyDescent="0.25">
      <c r="A82" s="76" t="s">
        <v>230</v>
      </c>
      <c r="B82" s="76">
        <v>99922</v>
      </c>
      <c r="C82" s="76" t="s">
        <v>351</v>
      </c>
      <c r="D82" s="76">
        <v>83340</v>
      </c>
      <c r="E82" s="76" t="s">
        <v>294</v>
      </c>
      <c r="F82" s="76">
        <v>58051</v>
      </c>
      <c r="G82" s="76" t="s">
        <v>211</v>
      </c>
      <c r="H82" s="76">
        <v>5284</v>
      </c>
      <c r="I82" s="76" t="s">
        <v>290</v>
      </c>
      <c r="J82" s="76">
        <v>34855</v>
      </c>
      <c r="K82" s="76" t="s">
        <v>317</v>
      </c>
      <c r="L82" s="76">
        <v>3740</v>
      </c>
      <c r="M82" s="76"/>
      <c r="N82" s="76"/>
      <c r="O82" s="76"/>
      <c r="P82" s="76"/>
    </row>
    <row r="83" spans="1:16" x14ac:dyDescent="0.25">
      <c r="A83" s="76" t="s">
        <v>351</v>
      </c>
      <c r="B83" s="76">
        <v>83340</v>
      </c>
      <c r="C83" s="76" t="s">
        <v>371</v>
      </c>
      <c r="D83" s="76">
        <v>82847</v>
      </c>
      <c r="E83" s="76" t="s">
        <v>332</v>
      </c>
      <c r="F83" s="76">
        <v>53982</v>
      </c>
      <c r="G83" s="76" t="s">
        <v>196</v>
      </c>
      <c r="H83" s="76">
        <v>4584</v>
      </c>
      <c r="I83" s="76" t="s">
        <v>249</v>
      </c>
      <c r="J83" s="76">
        <v>31274</v>
      </c>
      <c r="K83" s="76" t="s">
        <v>347</v>
      </c>
      <c r="L83" s="76">
        <v>3058</v>
      </c>
      <c r="M83" s="76"/>
      <c r="N83" s="76"/>
      <c r="O83" s="76"/>
      <c r="P83" s="76"/>
    </row>
    <row r="84" spans="1:16" x14ac:dyDescent="0.25">
      <c r="A84" s="76" t="s">
        <v>371</v>
      </c>
      <c r="B84" s="76">
        <v>82847</v>
      </c>
      <c r="C84" s="76" t="s">
        <v>322</v>
      </c>
      <c r="D84" s="76">
        <v>78340</v>
      </c>
      <c r="E84" s="76" t="s">
        <v>301</v>
      </c>
      <c r="F84" s="76">
        <v>42551</v>
      </c>
      <c r="G84" s="76" t="s">
        <v>209</v>
      </c>
      <c r="H84" s="76">
        <v>1500</v>
      </c>
      <c r="I84" s="76" t="s">
        <v>280</v>
      </c>
      <c r="J84" s="76">
        <v>21504</v>
      </c>
      <c r="K84" s="76" t="s">
        <v>318</v>
      </c>
      <c r="L84" s="76">
        <v>2050</v>
      </c>
      <c r="M84" s="76"/>
      <c r="N84" s="76"/>
      <c r="O84" s="76"/>
      <c r="P84" s="76"/>
    </row>
    <row r="85" spans="1:16" x14ac:dyDescent="0.25">
      <c r="A85" s="76" t="s">
        <v>322</v>
      </c>
      <c r="B85" s="76">
        <v>78340</v>
      </c>
      <c r="C85" s="76" t="s">
        <v>352</v>
      </c>
      <c r="D85" s="76">
        <v>77847</v>
      </c>
      <c r="E85" s="76" t="s">
        <v>265</v>
      </c>
      <c r="F85" s="76">
        <v>39024</v>
      </c>
      <c r="G85" s="76" t="s">
        <v>208</v>
      </c>
      <c r="H85" s="76">
        <v>1458</v>
      </c>
      <c r="I85" s="76" t="s">
        <v>278</v>
      </c>
      <c r="J85" s="76">
        <v>19615</v>
      </c>
      <c r="K85" s="76" t="s">
        <v>226</v>
      </c>
      <c r="L85" s="76">
        <v>1515</v>
      </c>
      <c r="M85" s="76"/>
      <c r="N85" s="76"/>
      <c r="O85" s="76"/>
      <c r="P85" s="76"/>
    </row>
    <row r="86" spans="1:16" x14ac:dyDescent="0.25">
      <c r="A86" s="76" t="s">
        <v>352</v>
      </c>
      <c r="B86" s="76">
        <v>77847</v>
      </c>
      <c r="C86" s="76" t="s">
        <v>259</v>
      </c>
      <c r="D86" s="76">
        <v>76740</v>
      </c>
      <c r="E86" s="76" t="s">
        <v>276</v>
      </c>
      <c r="F86" s="76">
        <v>38180</v>
      </c>
      <c r="G86" s="76" t="s">
        <v>212</v>
      </c>
      <c r="H86" s="76">
        <v>1153</v>
      </c>
      <c r="I86" s="76" t="s">
        <v>329</v>
      </c>
      <c r="J86" s="76">
        <v>12468</v>
      </c>
      <c r="K86" s="76"/>
      <c r="L86" s="76"/>
      <c r="M86" s="76"/>
      <c r="N86" s="76"/>
      <c r="O86" s="76"/>
      <c r="P86" s="76"/>
    </row>
    <row r="87" spans="1:16" x14ac:dyDescent="0.25">
      <c r="A87" s="76" t="s">
        <v>259</v>
      </c>
      <c r="B87" s="76">
        <v>76740</v>
      </c>
      <c r="C87" s="76" t="s">
        <v>346</v>
      </c>
      <c r="D87" s="76">
        <v>48436</v>
      </c>
      <c r="E87" s="76" t="s">
        <v>304</v>
      </c>
      <c r="F87" s="76">
        <v>32857</v>
      </c>
      <c r="G87" s="76" t="s">
        <v>191</v>
      </c>
      <c r="H87" s="76">
        <v>1038</v>
      </c>
      <c r="I87" s="76" t="s">
        <v>214</v>
      </c>
      <c r="J87" s="76">
        <v>9982</v>
      </c>
      <c r="K87" s="76"/>
      <c r="L87" s="76"/>
      <c r="M87" s="76"/>
      <c r="N87" s="76"/>
      <c r="O87" s="76"/>
      <c r="P87" s="76"/>
    </row>
    <row r="88" spans="1:16" x14ac:dyDescent="0.25">
      <c r="A88" s="76" t="s">
        <v>286</v>
      </c>
      <c r="B88" s="76">
        <v>60087</v>
      </c>
      <c r="C88" s="76" t="s">
        <v>353</v>
      </c>
      <c r="D88" s="76">
        <v>48370</v>
      </c>
      <c r="E88" s="76" t="s">
        <v>296</v>
      </c>
      <c r="F88" s="76">
        <v>30759</v>
      </c>
      <c r="G88" s="76" t="s">
        <v>206</v>
      </c>
      <c r="H88" s="76">
        <v>799</v>
      </c>
      <c r="I88" s="76" t="s">
        <v>366</v>
      </c>
      <c r="J88" s="76">
        <v>7803</v>
      </c>
      <c r="K88" s="76"/>
      <c r="L88" s="76"/>
      <c r="M88" s="76"/>
      <c r="N88" s="76"/>
      <c r="O88" s="76"/>
      <c r="P88" s="76"/>
    </row>
    <row r="89" spans="1:16" x14ac:dyDescent="0.25">
      <c r="A89" s="76" t="s">
        <v>339</v>
      </c>
      <c r="B89" s="76">
        <v>59034</v>
      </c>
      <c r="C89" s="76" t="s">
        <v>255</v>
      </c>
      <c r="D89" s="76">
        <v>44498</v>
      </c>
      <c r="E89" s="76" t="s">
        <v>248</v>
      </c>
      <c r="F89" s="76">
        <v>29569</v>
      </c>
      <c r="G89" s="76" t="s">
        <v>199</v>
      </c>
      <c r="H89" s="76">
        <v>633</v>
      </c>
      <c r="I89" s="76" t="s">
        <v>284</v>
      </c>
      <c r="J89" s="76">
        <v>5976</v>
      </c>
      <c r="K89" s="76"/>
      <c r="L89" s="76"/>
      <c r="M89" s="76"/>
      <c r="N89" s="76"/>
      <c r="O89" s="76"/>
      <c r="P89" s="76"/>
    </row>
  </sheetData>
  <hyperlinks>
    <hyperlink ref="A28" r:id="rId1"/>
    <hyperlink ref="A29" r:id="rId2"/>
    <hyperlink ref="A30" r:id="rId3"/>
    <hyperlink ref="A31" r:id="rId4"/>
    <hyperlink ref="A32" r:id="rId5"/>
    <hyperlink ref="A33" r:id="rId6"/>
    <hyperlink ref="A34" r:id="rId7"/>
    <hyperlink ref="A35" r:id="rId8"/>
    <hyperlink ref="A36" r:id="rId9"/>
    <hyperlink ref="A37" r:id="rId10"/>
    <hyperlink ref="C28" r:id="rId11"/>
    <hyperlink ref="C29" r:id="rId12"/>
    <hyperlink ref="C30" r:id="rId13"/>
    <hyperlink ref="C31" r:id="rId14"/>
    <hyperlink ref="C32" r:id="rId15"/>
    <hyperlink ref="C33" r:id="rId16"/>
    <hyperlink ref="E28" r:id="rId17"/>
    <hyperlink ref="E29" r:id="rId18"/>
    <hyperlink ref="E30" r:id="rId19"/>
    <hyperlink ref="E31" r:id="rId20"/>
    <hyperlink ref="E32" r:id="rId21"/>
    <hyperlink ref="E33" r:id="rId22"/>
    <hyperlink ref="E34" r:id="rId23"/>
    <hyperlink ref="E35" r:id="rId24"/>
    <hyperlink ref="E36" r:id="rId25"/>
    <hyperlink ref="E37" r:id="rId26"/>
    <hyperlink ref="G28" r:id="rId27"/>
    <hyperlink ref="G29" r:id="rId28"/>
    <hyperlink ref="G30" r:id="rId29"/>
    <hyperlink ref="G31" r:id="rId30"/>
    <hyperlink ref="I28" r:id="rId31"/>
    <hyperlink ref="I29" r:id="rId32"/>
    <hyperlink ref="I30" r:id="rId33"/>
    <hyperlink ref="I31" r:id="rId34"/>
    <hyperlink ref="I32" r:id="rId35"/>
    <hyperlink ref="O28" r:id="rId36"/>
    <hyperlink ref="O29" r:id="rId37"/>
  </hyperlinks>
  <pageMargins left="0.7" right="0.7" top="0.75" bottom="0.75" header="0.3" footer="0.3"/>
  <tableParts count="7">
    <tablePart r:id="rId38"/>
    <tablePart r:id="rId39"/>
    <tablePart r:id="rId40"/>
    <tablePart r:id="rId41"/>
    <tablePart r:id="rId42"/>
    <tablePart r:id="rId43"/>
    <tablePart r:id="rId4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RowHeight="15" x14ac:dyDescent="0.25"/>
  <cols>
    <col min="1" max="1" width="48.140625" customWidth="1"/>
    <col min="2" max="2" width="24.7109375" bestFit="1" customWidth="1"/>
  </cols>
  <sheetData>
    <row r="1" spans="1:2" ht="15" customHeight="1" x14ac:dyDescent="0.25">
      <c r="A1" s="13" t="s">
        <v>2786</v>
      </c>
      <c r="B1" s="13" t="s">
        <v>33</v>
      </c>
    </row>
    <row r="2" spans="1:2" x14ac:dyDescent="0.25">
      <c r="A2" s="76" t="s">
        <v>246</v>
      </c>
      <c r="B2" s="76">
        <v>7853.0833830000001</v>
      </c>
    </row>
    <row r="3" spans="1:2" x14ac:dyDescent="0.25">
      <c r="A3" s="76" t="s">
        <v>286</v>
      </c>
      <c r="B3" s="76">
        <v>5144.4605119999997</v>
      </c>
    </row>
    <row r="4" spans="1:2" x14ac:dyDescent="0.25">
      <c r="A4" s="76" t="s">
        <v>376</v>
      </c>
      <c r="B4" s="76">
        <v>4882.7936609999997</v>
      </c>
    </row>
    <row r="5" spans="1:2" x14ac:dyDescent="0.25">
      <c r="A5" s="76" t="s">
        <v>352</v>
      </c>
      <c r="B5" s="76">
        <v>4613.3945940000003</v>
      </c>
    </row>
    <row r="6" spans="1:2" x14ac:dyDescent="0.25">
      <c r="A6" s="76" t="s">
        <v>367</v>
      </c>
      <c r="B6" s="76">
        <v>2517.5455280000001</v>
      </c>
    </row>
    <row r="7" spans="1:2" x14ac:dyDescent="0.25">
      <c r="A7" s="76" t="s">
        <v>280</v>
      </c>
      <c r="B7" s="76">
        <v>2503.717416</v>
      </c>
    </row>
    <row r="8" spans="1:2" x14ac:dyDescent="0.25">
      <c r="A8" s="76" t="s">
        <v>368</v>
      </c>
      <c r="B8" s="76">
        <v>1805.0455079999999</v>
      </c>
    </row>
    <row r="9" spans="1:2" x14ac:dyDescent="0.25">
      <c r="A9" s="76" t="s">
        <v>301</v>
      </c>
      <c r="B9" s="76">
        <v>1787.4124159999999</v>
      </c>
    </row>
    <row r="10" spans="1:2" x14ac:dyDescent="0.25">
      <c r="A10" s="76" t="s">
        <v>319</v>
      </c>
      <c r="B10" s="76">
        <v>1219.9553410000001</v>
      </c>
    </row>
    <row r="11" spans="1:2" x14ac:dyDescent="0.25">
      <c r="A11" s="76" t="s">
        <v>240</v>
      </c>
      <c r="B11" s="76">
        <v>1125.0752279999999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Edges</vt:lpstr>
      <vt:lpstr>Vertices</vt:lpstr>
      <vt:lpstr>Do Not Delete</vt:lpstr>
      <vt:lpstr>Groups</vt:lpstr>
      <vt:lpstr>Group Vertices</vt:lpstr>
      <vt:lpstr>Overall Metrics</vt:lpstr>
      <vt:lpstr>Misc</vt:lpstr>
      <vt:lpstr>Group Edges</vt:lpstr>
      <vt:lpstr>Words</vt:lpstr>
      <vt:lpstr>Word Pairs</vt:lpstr>
      <vt:lpstr>Twitter Search Ntwrk Top Items</vt:lpstr>
      <vt:lpstr>Top Items</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ValidGroupVisibilities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Windows User</cp:lastModifiedBy>
  <dcterms:created xsi:type="dcterms:W3CDTF">2008-01-30T00:41:58Z</dcterms:created>
  <dcterms:modified xsi:type="dcterms:W3CDTF">2012-08-03T06:24:18Z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