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0"/>
  </bookViews>
  <sheets>
    <sheet name="Totals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P44" i="1" l="1"/>
  <c r="P36" i="1"/>
  <c r="P37" i="1"/>
  <c r="P38" i="1"/>
  <c r="P39" i="1"/>
  <c r="P40" i="1"/>
  <c r="P41" i="1"/>
  <c r="P42" i="1"/>
  <c r="P43" i="1"/>
  <c r="P35" i="1"/>
  <c r="P14" i="1"/>
  <c r="P7" i="1"/>
  <c r="P8" i="1"/>
  <c r="P24" i="1" s="1"/>
  <c r="P9" i="1"/>
  <c r="P25" i="1" s="1"/>
  <c r="P10" i="1"/>
  <c r="P26" i="1" s="1"/>
  <c r="P11" i="1"/>
  <c r="P27" i="1" s="1"/>
  <c r="P12" i="1"/>
  <c r="P28" i="1" s="1"/>
  <c r="P13" i="1"/>
  <c r="P29" i="1" s="1"/>
  <c r="P6" i="1"/>
  <c r="P22" i="1" s="1"/>
  <c r="P5" i="1"/>
  <c r="P21" i="1" s="1"/>
  <c r="P23" i="1" l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O14" i="1" l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B21" i="1" l="1"/>
  <c r="O21" i="1" l="1"/>
  <c r="M21" i="1"/>
  <c r="K21" i="1"/>
  <c r="I21" i="1"/>
  <c r="G21" i="1"/>
  <c r="E21" i="1"/>
  <c r="C21" i="1"/>
  <c r="N21" i="1"/>
  <c r="L21" i="1"/>
  <c r="J21" i="1"/>
  <c r="H21" i="1"/>
  <c r="F21" i="1"/>
  <c r="D21" i="1"/>
  <c r="O29" i="1"/>
  <c r="M29" i="1"/>
  <c r="K29" i="1"/>
  <c r="I29" i="1"/>
  <c r="G29" i="1"/>
  <c r="E29" i="1"/>
  <c r="C29" i="1"/>
  <c r="O28" i="1"/>
  <c r="M28" i="1"/>
  <c r="K28" i="1"/>
  <c r="I28" i="1"/>
  <c r="G28" i="1"/>
  <c r="E28" i="1"/>
  <c r="C28" i="1"/>
  <c r="O27" i="1"/>
  <c r="M27" i="1"/>
  <c r="K27" i="1"/>
  <c r="I27" i="1"/>
  <c r="G27" i="1"/>
  <c r="E27" i="1"/>
  <c r="C27" i="1"/>
  <c r="O26" i="1"/>
  <c r="M26" i="1"/>
  <c r="K26" i="1"/>
  <c r="I26" i="1"/>
  <c r="G26" i="1"/>
  <c r="E26" i="1"/>
  <c r="C26" i="1"/>
  <c r="O25" i="1"/>
  <c r="M25" i="1"/>
  <c r="K25" i="1"/>
  <c r="I25" i="1"/>
  <c r="G25" i="1"/>
  <c r="E25" i="1"/>
  <c r="C25" i="1"/>
  <c r="O24" i="1"/>
  <c r="M24" i="1"/>
  <c r="K24" i="1"/>
  <c r="I24" i="1"/>
  <c r="G24" i="1"/>
  <c r="E24" i="1"/>
  <c r="C24" i="1"/>
  <c r="O23" i="1"/>
  <c r="M23" i="1"/>
  <c r="K23" i="1"/>
  <c r="I23" i="1"/>
  <c r="G23" i="1"/>
  <c r="E23" i="1"/>
  <c r="C23" i="1"/>
  <c r="O22" i="1"/>
  <c r="M22" i="1"/>
  <c r="K22" i="1"/>
  <c r="I22" i="1"/>
  <c r="G22" i="1"/>
  <c r="E22" i="1"/>
  <c r="C22" i="1"/>
  <c r="N29" i="1"/>
  <c r="L29" i="1"/>
  <c r="J29" i="1"/>
  <c r="H29" i="1"/>
  <c r="F29" i="1"/>
  <c r="D29" i="1"/>
  <c r="B29" i="1"/>
  <c r="N28" i="1"/>
  <c r="L28" i="1"/>
  <c r="J28" i="1"/>
  <c r="H28" i="1"/>
  <c r="F28" i="1"/>
  <c r="D28" i="1"/>
  <c r="B28" i="1"/>
  <c r="N27" i="1"/>
  <c r="L27" i="1"/>
  <c r="J27" i="1"/>
  <c r="H27" i="1"/>
  <c r="F27" i="1"/>
  <c r="D27" i="1"/>
  <c r="B27" i="1"/>
  <c r="N26" i="1"/>
  <c r="L26" i="1"/>
  <c r="J26" i="1"/>
  <c r="H26" i="1"/>
  <c r="F26" i="1"/>
  <c r="D26" i="1"/>
  <c r="B26" i="1"/>
  <c r="N25" i="1"/>
  <c r="L25" i="1"/>
  <c r="J25" i="1"/>
  <c r="H25" i="1"/>
  <c r="F25" i="1"/>
  <c r="D25" i="1"/>
  <c r="B25" i="1"/>
  <c r="N24" i="1"/>
  <c r="L24" i="1"/>
  <c r="J24" i="1"/>
  <c r="H24" i="1"/>
  <c r="F24" i="1"/>
  <c r="D24" i="1"/>
  <c r="B24" i="1"/>
  <c r="N23" i="1"/>
  <c r="L23" i="1"/>
  <c r="J23" i="1"/>
  <c r="H23" i="1"/>
  <c r="F23" i="1"/>
  <c r="D23" i="1"/>
  <c r="B23" i="1"/>
  <c r="N22" i="1"/>
  <c r="L22" i="1"/>
  <c r="J22" i="1"/>
  <c r="H22" i="1"/>
  <c r="F22" i="1"/>
  <c r="D22" i="1"/>
  <c r="B22" i="1"/>
</calcChain>
</file>

<file path=xl/sharedStrings.xml><?xml version="1.0" encoding="utf-8"?>
<sst xmlns="http://schemas.openxmlformats.org/spreadsheetml/2006/main" count="103" uniqueCount="41">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</sst>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/>
    <xf numFmtId="0" fontId="17" fillId="0" borderId="26" xfId="45" applyFont="1" applyBorder="1" applyAlignment="1">
      <alignment horizontal="center" vertical="center"/>
    </xf>
    <xf numFmtId="164" fontId="25" fillId="0" borderId="18" xfId="1" applyNumberFormat="1" applyFont="1" applyBorder="1" applyAlignment="1" applyProtection="1">
      <alignment horizontal="center" vertical="center"/>
    </xf>
    <xf numFmtId="164" fontId="25" fillId="0" borderId="23" xfId="1" applyNumberFormat="1" applyFont="1" applyBorder="1" applyAlignment="1" applyProtection="1">
      <alignment horizontal="center" vertical="center"/>
    </xf>
    <xf numFmtId="165" fontId="25" fillId="0" borderId="18" xfId="1" applyNumberFormat="1" applyFont="1" applyBorder="1" applyAlignment="1" applyProtection="1">
      <alignment horizontal="center" vertical="center"/>
    </xf>
    <xf numFmtId="165" fontId="25" fillId="0" borderId="17" xfId="1" applyNumberFormat="1" applyFont="1" applyBorder="1" applyAlignment="1" applyProtection="1">
      <alignment horizontal="center" vertical="center"/>
    </xf>
    <xf numFmtId="165" fontId="25" fillId="0" borderId="23" xfId="1" applyNumberFormat="1" applyFont="1" applyBorder="1" applyAlignment="1" applyProtection="1">
      <alignment horizontal="center" vertical="center"/>
    </xf>
    <xf numFmtId="0" fontId="17" fillId="0" borderId="37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7" fillId="0" borderId="27" xfId="47" applyFont="1" applyBorder="1" applyAlignment="1" applyProtection="1"/>
    <xf numFmtId="0" fontId="27" fillId="0" borderId="28" xfId="47" applyFont="1" applyBorder="1" applyAlignment="1" applyProtection="1"/>
    <xf numFmtId="0" fontId="27" fillId="0" borderId="39" xfId="47" applyFont="1" applyBorder="1" applyAlignment="1" applyProtection="1"/>
    <xf numFmtId="0" fontId="27" fillId="0" borderId="12" xfId="47" applyFont="1" applyFill="1" applyBorder="1" applyAlignment="1" applyProtection="1"/>
    <xf numFmtId="9" fontId="25" fillId="0" borderId="22" xfId="1" applyNumberFormat="1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27" fillId="0" borderId="43" xfId="47" applyFont="1" applyBorder="1" applyAlignment="1" applyProtection="1"/>
    <xf numFmtId="0" fontId="27" fillId="0" borderId="26" xfId="47" applyFont="1" applyBorder="1" applyAlignment="1" applyProtection="1"/>
    <xf numFmtId="0" fontId="31" fillId="0" borderId="26" xfId="47" applyFont="1" applyBorder="1" applyAlignment="1" applyProtection="1">
      <alignment horizontal="center" vertical="center"/>
    </xf>
    <xf numFmtId="164" fontId="25" fillId="0" borderId="42" xfId="1" applyNumberFormat="1" applyFont="1" applyBorder="1" applyAlignment="1" applyProtection="1">
      <alignment horizontal="center" vertical="center"/>
    </xf>
    <xf numFmtId="164" fontId="25" fillId="0" borderId="16" xfId="1" applyNumberFormat="1" applyFont="1" applyBorder="1" applyAlignment="1" applyProtection="1">
      <alignment horizontal="center" vertical="center"/>
    </xf>
    <xf numFmtId="164" fontId="25" fillId="0" borderId="17" xfId="1" applyNumberFormat="1" applyFont="1" applyBorder="1" applyAlignment="1" applyProtection="1">
      <alignment horizontal="center" vertical="center"/>
    </xf>
    <xf numFmtId="164" fontId="25" fillId="0" borderId="22" xfId="1" applyNumberFormat="1" applyFont="1" applyBorder="1" applyAlignment="1" applyProtection="1">
      <alignment horizontal="center" vertical="center"/>
    </xf>
    <xf numFmtId="164" fontId="25" fillId="0" borderId="21" xfId="1" applyNumberFormat="1" applyFont="1" applyBorder="1" applyAlignment="1" applyProtection="1">
      <alignment horizontal="center" vertical="center"/>
    </xf>
    <xf numFmtId="164" fontId="25" fillId="0" borderId="45" xfId="1" applyNumberFormat="1" applyFont="1" applyBorder="1" applyAlignment="1" applyProtection="1">
      <alignment horizontal="center" vertical="center"/>
    </xf>
    <xf numFmtId="164" fontId="25" fillId="0" borderId="15" xfId="1" applyNumberFormat="1" applyFont="1" applyBorder="1" applyAlignment="1" applyProtection="1">
      <alignment horizontal="center" vertical="center"/>
    </xf>
    <xf numFmtId="164" fontId="25" fillId="0" borderId="47" xfId="1" applyNumberFormat="1" applyFont="1" applyBorder="1" applyAlignment="1" applyProtection="1">
      <alignment horizontal="center" vertical="center"/>
    </xf>
    <xf numFmtId="164" fontId="25" fillId="0" borderId="32" xfId="1" applyNumberFormat="1" applyFont="1" applyBorder="1" applyAlignment="1" applyProtection="1">
      <alignment horizontal="center" vertical="center"/>
    </xf>
    <xf numFmtId="164" fontId="25" fillId="0" borderId="33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164" fontId="25" fillId="0" borderId="34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164" fontId="27" fillId="0" borderId="59" xfId="1" applyNumberFormat="1" applyFont="1" applyBorder="1" applyAlignment="1" applyProtection="1">
      <alignment horizontal="center" vertical="center"/>
    </xf>
    <xf numFmtId="164" fontId="27" fillId="0" borderId="56" xfId="1" applyNumberFormat="1" applyFont="1" applyBorder="1" applyAlignment="1" applyProtection="1">
      <alignment horizontal="center" vertical="center"/>
    </xf>
    <xf numFmtId="164" fontId="27" fillId="0" borderId="57" xfId="1" applyNumberFormat="1" applyFont="1" applyBorder="1" applyAlignment="1" applyProtection="1">
      <alignment horizontal="center" vertical="center"/>
    </xf>
    <xf numFmtId="164" fontId="27" fillId="0" borderId="58" xfId="1" applyNumberFormat="1" applyFont="1" applyBorder="1" applyAlignment="1" applyProtection="1">
      <alignment horizontal="center" vertical="center"/>
    </xf>
    <xf numFmtId="164" fontId="27" fillId="0" borderId="60" xfId="1" applyNumberFormat="1" applyFont="1" applyBorder="1" applyAlignment="1" applyProtection="1">
      <alignment horizontal="center" vertical="center"/>
    </xf>
    <xf numFmtId="165" fontId="25" fillId="0" borderId="16" xfId="1" applyNumberFormat="1" applyFont="1" applyBorder="1" applyAlignment="1" applyProtection="1">
      <alignment horizontal="center" vertical="center"/>
    </xf>
    <xf numFmtId="165" fontId="25" fillId="0" borderId="42" xfId="1" applyNumberFormat="1" applyFont="1" applyBorder="1" applyAlignment="1" applyProtection="1">
      <alignment horizontal="center" vertical="center"/>
    </xf>
    <xf numFmtId="165" fontId="25" fillId="0" borderId="20" xfId="1" applyNumberFormat="1" applyFont="1" applyBorder="1" applyAlignment="1" applyProtection="1">
      <alignment horizontal="center" vertical="center"/>
    </xf>
    <xf numFmtId="165" fontId="25" fillId="0" borderId="19" xfId="1" applyNumberFormat="1" applyFont="1" applyBorder="1" applyAlignment="1" applyProtection="1">
      <alignment horizontal="center" vertical="center"/>
    </xf>
    <xf numFmtId="0" fontId="32" fillId="0" borderId="0" xfId="58" applyFont="1"/>
    <xf numFmtId="165" fontId="25" fillId="0" borderId="44" xfId="1" applyNumberFormat="1" applyFont="1" applyBorder="1" applyAlignment="1" applyProtection="1">
      <alignment horizontal="center" vertical="center"/>
    </xf>
    <xf numFmtId="165" fontId="25" fillId="0" borderId="22" xfId="1" applyNumberFormat="1" applyFont="1" applyBorder="1" applyAlignment="1" applyProtection="1">
      <alignment horizontal="center" vertical="center"/>
    </xf>
    <xf numFmtId="165" fontId="25" fillId="0" borderId="21" xfId="1" applyNumberFormat="1" applyFont="1" applyBorder="1" applyAlignment="1" applyProtection="1">
      <alignment horizontal="center" vertical="center"/>
    </xf>
    <xf numFmtId="165" fontId="25" fillId="0" borderId="45" xfId="1" applyNumberFormat="1" applyFont="1" applyBorder="1" applyAlignment="1" applyProtection="1">
      <alignment horizontal="center" vertical="center"/>
    </xf>
    <xf numFmtId="165" fontId="25" fillId="0" borderId="46" xfId="1" applyNumberFormat="1" applyFont="1" applyBorder="1" applyAlignment="1" applyProtection="1">
      <alignment horizontal="center" vertical="center"/>
    </xf>
    <xf numFmtId="165" fontId="25" fillId="0" borderId="15" xfId="1" applyNumberFormat="1" applyFont="1" applyBorder="1" applyAlignment="1" applyProtection="1">
      <alignment horizontal="center" vertical="center"/>
    </xf>
    <xf numFmtId="165" fontId="25" fillId="0" borderId="47" xfId="1" applyNumberFormat="1" applyFont="1" applyBorder="1" applyAlignment="1" applyProtection="1">
      <alignment horizontal="center" vertical="center"/>
    </xf>
    <xf numFmtId="165" fontId="25" fillId="0" borderId="48" xfId="1" applyNumberFormat="1" applyFont="1" applyBorder="1" applyAlignment="1" applyProtection="1">
      <alignment horizontal="center" vertical="center"/>
    </xf>
    <xf numFmtId="0" fontId="24" fillId="33" borderId="61" xfId="45" applyFont="1" applyFill="1" applyBorder="1" applyAlignment="1">
      <alignment horizontal="center" vertical="center"/>
    </xf>
    <xf numFmtId="0" fontId="24" fillId="33" borderId="62" xfId="45" applyFont="1" applyFill="1" applyBorder="1" applyAlignment="1">
      <alignment horizontal="center" vertical="center"/>
    </xf>
    <xf numFmtId="0" fontId="24" fillId="33" borderId="63" xfId="45" applyFont="1" applyFill="1" applyBorder="1" applyAlignment="1">
      <alignment horizontal="center" vertical="center"/>
    </xf>
    <xf numFmtId="0" fontId="23" fillId="34" borderId="64" xfId="45" applyFont="1" applyFill="1" applyBorder="1" applyAlignment="1">
      <alignment horizontal="center" vertical="center"/>
    </xf>
    <xf numFmtId="0" fontId="23" fillId="34" borderId="62" xfId="45" applyFont="1" applyFill="1" applyBorder="1" applyAlignment="1">
      <alignment horizontal="center" vertical="center"/>
    </xf>
    <xf numFmtId="0" fontId="23" fillId="34" borderId="63" xfId="45" applyFont="1" applyFill="1" applyBorder="1" applyAlignment="1">
      <alignment horizontal="center" vertical="center"/>
    </xf>
    <xf numFmtId="0" fontId="24" fillId="33" borderId="64" xfId="45" applyFont="1" applyFill="1" applyBorder="1" applyAlignment="1">
      <alignment horizontal="center" vertical="center"/>
    </xf>
    <xf numFmtId="0" fontId="24" fillId="33" borderId="65" xfId="45" applyFont="1" applyFill="1" applyBorder="1" applyAlignment="1">
      <alignment horizontal="center" vertical="center"/>
    </xf>
    <xf numFmtId="0" fontId="23" fillId="34" borderId="61" xfId="45" applyFont="1" applyFill="1" applyBorder="1" applyAlignment="1">
      <alignment horizontal="center" vertical="center"/>
    </xf>
    <xf numFmtId="9" fontId="27" fillId="0" borderId="49" xfId="1" applyNumberFormat="1" applyFont="1" applyBorder="1" applyAlignment="1" applyProtection="1">
      <alignment horizontal="center" vertical="center"/>
    </xf>
    <xf numFmtId="9" fontId="25" fillId="0" borderId="66" xfId="1" applyNumberFormat="1" applyFont="1" applyBorder="1" applyAlignment="1" applyProtection="1">
      <alignment horizontal="center" vertical="center"/>
    </xf>
    <xf numFmtId="164" fontId="25" fillId="0" borderId="67" xfId="1" applyNumberFormat="1" applyFont="1" applyBorder="1" applyAlignment="1" applyProtection="1">
      <alignment horizontal="center" vertical="center"/>
    </xf>
    <xf numFmtId="165" fontId="25" fillId="0" borderId="67" xfId="1" applyNumberFormat="1" applyFont="1" applyBorder="1" applyAlignment="1" applyProtection="1">
      <alignment horizontal="center" vertical="center"/>
    </xf>
    <xf numFmtId="0" fontId="24" fillId="33" borderId="41" xfId="45" applyFont="1" applyFill="1" applyBorder="1" applyAlignment="1">
      <alignment horizontal="center" vertical="center"/>
    </xf>
    <xf numFmtId="0" fontId="24" fillId="33" borderId="53" xfId="45" applyFont="1" applyFill="1" applyBorder="1" applyAlignment="1">
      <alignment horizontal="center" vertical="center"/>
    </xf>
    <xf numFmtId="0" fontId="24" fillId="33" borderId="40" xfId="45" applyFont="1" applyFill="1" applyBorder="1" applyAlignment="1">
      <alignment horizontal="center" vertical="center"/>
    </xf>
    <xf numFmtId="0" fontId="24" fillId="33" borderId="55" xfId="45" applyFont="1" applyFill="1" applyBorder="1" applyAlignment="1">
      <alignment horizontal="center" vertical="center"/>
    </xf>
    <xf numFmtId="0" fontId="23" fillId="35" borderId="10" xfId="10" applyFont="1" applyFill="1" applyBorder="1" applyAlignment="1">
      <alignment horizontal="center" vertical="center" wrapText="1"/>
    </xf>
    <xf numFmtId="0" fontId="23" fillId="35" borderId="11" xfId="10" applyFont="1" applyFill="1" applyBorder="1" applyAlignment="1">
      <alignment horizontal="center" vertical="center" wrapText="1"/>
    </xf>
    <xf numFmtId="0" fontId="23" fillId="35" borderId="12" xfId="10" applyFont="1" applyFill="1" applyBorder="1" applyAlignment="1">
      <alignment horizontal="center" vertical="center" wrapText="1"/>
    </xf>
    <xf numFmtId="0" fontId="23" fillId="34" borderId="41" xfId="45" applyFont="1" applyFill="1" applyBorder="1" applyAlignment="1">
      <alignment horizontal="center" vertical="center"/>
    </xf>
    <xf numFmtId="0" fontId="23" fillId="34" borderId="53" xfId="45" applyFont="1" applyFill="1" applyBorder="1" applyAlignment="1">
      <alignment horizontal="center" vertical="center"/>
    </xf>
    <xf numFmtId="0" fontId="23" fillId="34" borderId="40" xfId="45" applyFont="1" applyFill="1" applyBorder="1" applyAlignment="1">
      <alignment horizontal="center" vertical="center"/>
    </xf>
    <xf numFmtId="0" fontId="23" fillId="34" borderId="55" xfId="45" applyFont="1" applyFill="1" applyBorder="1" applyAlignment="1">
      <alignment horizontal="center" vertical="center"/>
    </xf>
    <xf numFmtId="0" fontId="24" fillId="33" borderId="54" xfId="45" applyFont="1" applyFill="1" applyBorder="1" applyAlignment="1">
      <alignment horizontal="center" vertical="center"/>
    </xf>
    <xf numFmtId="0" fontId="20" fillId="35" borderId="25" xfId="45" applyFont="1" applyFill="1" applyBorder="1" applyAlignment="1">
      <alignment horizontal="center"/>
    </xf>
    <xf numFmtId="0" fontId="20" fillId="35" borderId="0" xfId="45" applyFont="1" applyFill="1" applyBorder="1" applyAlignment="1">
      <alignment horizontal="center"/>
    </xf>
    <xf numFmtId="0" fontId="20" fillId="35" borderId="24" xfId="45" applyFont="1" applyFill="1" applyBorder="1" applyAlignment="1">
      <alignment horizontal="center"/>
    </xf>
    <xf numFmtId="0" fontId="20" fillId="35" borderId="13" xfId="45" applyFont="1" applyFill="1" applyBorder="1" applyAlignment="1">
      <alignment horizontal="center"/>
    </xf>
    <xf numFmtId="0" fontId="20" fillId="35" borderId="14" xfId="45" applyFont="1" applyFill="1" applyBorder="1" applyAlignment="1">
      <alignment horizontal="center"/>
    </xf>
    <xf numFmtId="0" fontId="28" fillId="35" borderId="10" xfId="10" applyFont="1" applyFill="1" applyBorder="1" applyAlignment="1">
      <alignment horizontal="center" vertical="center" wrapText="1"/>
    </xf>
    <xf numFmtId="0" fontId="28" fillId="35" borderId="11" xfId="10" applyFont="1" applyFill="1" applyBorder="1" applyAlignment="1">
      <alignment horizontal="center" vertical="center" wrapText="1"/>
    </xf>
    <xf numFmtId="0" fontId="28" fillId="35" borderId="12" xfId="10" applyFont="1" applyFill="1" applyBorder="1" applyAlignment="1">
      <alignment horizontal="center" vertical="center" wrapText="1"/>
    </xf>
    <xf numFmtId="0" fontId="20" fillId="35" borderId="29" xfId="45" applyFont="1" applyFill="1" applyBorder="1" applyAlignment="1">
      <alignment horizontal="center"/>
    </xf>
    <xf numFmtId="0" fontId="20" fillId="35" borderId="30" xfId="45" applyFont="1" applyFill="1" applyBorder="1" applyAlignment="1">
      <alignment horizontal="center"/>
    </xf>
    <xf numFmtId="0" fontId="20" fillId="35" borderId="31" xfId="45" applyFont="1" applyFill="1" applyBorder="1" applyAlignment="1">
      <alignment horizontal="center"/>
    </xf>
    <xf numFmtId="3" fontId="31" fillId="0" borderId="49" xfId="1" applyNumberFormat="1" applyFont="1" applyFill="1" applyBorder="1" applyAlignment="1" applyProtection="1">
      <alignment horizontal="center" vertical="center"/>
    </xf>
    <xf numFmtId="3" fontId="31" fillId="0" borderId="50" xfId="1" applyNumberFormat="1" applyFont="1" applyFill="1" applyBorder="1" applyAlignment="1" applyProtection="1">
      <alignment horizontal="center" vertical="center"/>
    </xf>
    <xf numFmtId="3" fontId="31" fillId="0" borderId="51" xfId="1" applyNumberFormat="1" applyFont="1" applyFill="1" applyBorder="1" applyAlignment="1" applyProtection="1">
      <alignment horizontal="center" vertical="center"/>
    </xf>
    <xf numFmtId="3" fontId="31" fillId="0" borderId="38" xfId="1" applyNumberFormat="1" applyFont="1" applyFill="1" applyBorder="1" applyAlignment="1" applyProtection="1">
      <alignment horizontal="center" vertical="center"/>
    </xf>
    <xf numFmtId="3" fontId="31" fillId="0" borderId="52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MVC%20Service%20Area/Demographics/All%20Students/Unduplicated%20Headcount/edit/sort.ethnic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1053</v>
          </cell>
          <cell r="C4">
            <v>4173</v>
          </cell>
          <cell r="D4">
            <v>4017</v>
          </cell>
          <cell r="E4">
            <v>1151</v>
          </cell>
          <cell r="F4">
            <v>4449</v>
          </cell>
          <cell r="G4">
            <v>4520</v>
          </cell>
          <cell r="H4">
            <v>599</v>
          </cell>
          <cell r="I4">
            <v>4786</v>
          </cell>
          <cell r="J4">
            <v>4535</v>
          </cell>
          <cell r="K4">
            <v>311</v>
          </cell>
          <cell r="L4">
            <v>4043</v>
          </cell>
          <cell r="M4">
            <v>3941</v>
          </cell>
          <cell r="N4">
            <v>13</v>
          </cell>
          <cell r="O4">
            <v>3573</v>
          </cell>
          <cell r="P4">
            <v>3630</v>
          </cell>
        </row>
        <row r="5">
          <cell r="A5" t="str">
            <v>Hispanic</v>
          </cell>
          <cell r="B5">
            <v>734</v>
          </cell>
          <cell r="C5">
            <v>2349</v>
          </cell>
          <cell r="D5">
            <v>2314</v>
          </cell>
          <cell r="E5">
            <v>846</v>
          </cell>
          <cell r="F5">
            <v>2636</v>
          </cell>
          <cell r="G5">
            <v>2667</v>
          </cell>
          <cell r="H5">
            <v>472</v>
          </cell>
          <cell r="I5">
            <v>3001</v>
          </cell>
          <cell r="J5">
            <v>3037</v>
          </cell>
          <cell r="K5">
            <v>229</v>
          </cell>
          <cell r="L5">
            <v>2908</v>
          </cell>
          <cell r="M5">
            <v>2994</v>
          </cell>
          <cell r="N5">
            <v>16</v>
          </cell>
          <cell r="O5">
            <v>3025</v>
          </cell>
          <cell r="P5">
            <v>3308</v>
          </cell>
        </row>
        <row r="6">
          <cell r="A6" t="str">
            <v>African American</v>
          </cell>
          <cell r="B6">
            <v>144</v>
          </cell>
          <cell r="C6">
            <v>523</v>
          </cell>
          <cell r="D6">
            <v>528</v>
          </cell>
          <cell r="E6">
            <v>181</v>
          </cell>
          <cell r="F6">
            <v>578</v>
          </cell>
          <cell r="G6">
            <v>624</v>
          </cell>
          <cell r="H6">
            <v>96</v>
          </cell>
          <cell r="I6">
            <v>644</v>
          </cell>
          <cell r="J6">
            <v>649</v>
          </cell>
          <cell r="K6">
            <v>69</v>
          </cell>
          <cell r="L6">
            <v>532</v>
          </cell>
          <cell r="M6">
            <v>585</v>
          </cell>
          <cell r="N6">
            <v>2</v>
          </cell>
          <cell r="O6">
            <v>496</v>
          </cell>
          <cell r="P6">
            <v>527</v>
          </cell>
        </row>
        <row r="7">
          <cell r="A7" t="str">
            <v>Asian</v>
          </cell>
          <cell r="B7">
            <v>139</v>
          </cell>
          <cell r="C7">
            <v>288</v>
          </cell>
          <cell r="D7">
            <v>291</v>
          </cell>
          <cell r="E7">
            <v>156</v>
          </cell>
          <cell r="F7">
            <v>301</v>
          </cell>
          <cell r="G7">
            <v>318</v>
          </cell>
          <cell r="H7">
            <v>79</v>
          </cell>
          <cell r="I7">
            <v>322</v>
          </cell>
          <cell r="J7">
            <v>329</v>
          </cell>
          <cell r="K7">
            <v>34</v>
          </cell>
          <cell r="L7">
            <v>303</v>
          </cell>
          <cell r="M7">
            <v>311</v>
          </cell>
          <cell r="N7">
            <v>1</v>
          </cell>
          <cell r="O7">
            <v>265</v>
          </cell>
          <cell r="P7">
            <v>239</v>
          </cell>
        </row>
        <row r="8">
          <cell r="A8" t="str">
            <v>Native American</v>
          </cell>
          <cell r="B8">
            <v>32</v>
          </cell>
          <cell r="C8">
            <v>89</v>
          </cell>
          <cell r="D8">
            <v>92</v>
          </cell>
          <cell r="E8">
            <v>21</v>
          </cell>
          <cell r="F8">
            <v>99</v>
          </cell>
          <cell r="G8">
            <v>99</v>
          </cell>
          <cell r="H8">
            <v>18</v>
          </cell>
          <cell r="I8">
            <v>87</v>
          </cell>
          <cell r="J8">
            <v>91</v>
          </cell>
          <cell r="K8">
            <v>10</v>
          </cell>
          <cell r="L8">
            <v>66</v>
          </cell>
          <cell r="M8">
            <v>66</v>
          </cell>
          <cell r="N8">
            <v>0</v>
          </cell>
          <cell r="O8">
            <v>44</v>
          </cell>
          <cell r="P8">
            <v>52</v>
          </cell>
        </row>
        <row r="9">
          <cell r="A9" t="str">
            <v>Filipino</v>
          </cell>
          <cell r="B9">
            <v>142</v>
          </cell>
          <cell r="C9">
            <v>433</v>
          </cell>
          <cell r="D9">
            <v>439</v>
          </cell>
          <cell r="E9">
            <v>155</v>
          </cell>
          <cell r="F9">
            <v>475</v>
          </cell>
          <cell r="G9">
            <v>416</v>
          </cell>
          <cell r="H9">
            <v>83</v>
          </cell>
          <cell r="I9">
            <v>463</v>
          </cell>
          <cell r="J9">
            <v>428</v>
          </cell>
          <cell r="K9">
            <v>26</v>
          </cell>
          <cell r="L9">
            <v>383</v>
          </cell>
          <cell r="M9">
            <v>373</v>
          </cell>
          <cell r="N9">
            <v>0</v>
          </cell>
          <cell r="O9">
            <v>344</v>
          </cell>
          <cell r="P9">
            <v>364</v>
          </cell>
        </row>
        <row r="10">
          <cell r="A10" t="str">
            <v>Pacific Islander</v>
          </cell>
          <cell r="B10">
            <v>22</v>
          </cell>
          <cell r="C10">
            <v>61</v>
          </cell>
          <cell r="D10">
            <v>61</v>
          </cell>
          <cell r="E10">
            <v>25</v>
          </cell>
          <cell r="F10">
            <v>69</v>
          </cell>
          <cell r="G10">
            <v>73</v>
          </cell>
          <cell r="H10">
            <v>4</v>
          </cell>
          <cell r="I10">
            <v>73</v>
          </cell>
          <cell r="J10">
            <v>64</v>
          </cell>
          <cell r="K10">
            <v>6</v>
          </cell>
          <cell r="L10">
            <v>51</v>
          </cell>
          <cell r="M10">
            <v>42</v>
          </cell>
          <cell r="N10">
            <v>0</v>
          </cell>
          <cell r="O10">
            <v>30</v>
          </cell>
          <cell r="P10">
            <v>29</v>
          </cell>
        </row>
        <row r="11">
          <cell r="A11" t="str">
            <v>Multi-Race</v>
          </cell>
          <cell r="B11">
            <v>32</v>
          </cell>
          <cell r="C11">
            <v>112</v>
          </cell>
          <cell r="D11">
            <v>114</v>
          </cell>
          <cell r="E11">
            <v>43</v>
          </cell>
          <cell r="F11">
            <v>126</v>
          </cell>
          <cell r="G11">
            <v>133</v>
          </cell>
          <cell r="H11">
            <v>25</v>
          </cell>
          <cell r="I11">
            <v>225</v>
          </cell>
          <cell r="J11">
            <v>281</v>
          </cell>
          <cell r="K11">
            <v>25</v>
          </cell>
          <cell r="L11">
            <v>303</v>
          </cell>
          <cell r="M11">
            <v>354</v>
          </cell>
          <cell r="N11">
            <v>3</v>
          </cell>
          <cell r="O11">
            <v>387</v>
          </cell>
          <cell r="P11">
            <v>436</v>
          </cell>
        </row>
        <row r="12">
          <cell r="A12" t="str">
            <v>Unknown</v>
          </cell>
          <cell r="B12">
            <v>213</v>
          </cell>
          <cell r="C12">
            <v>641</v>
          </cell>
          <cell r="D12">
            <v>621</v>
          </cell>
          <cell r="E12">
            <v>243</v>
          </cell>
          <cell r="F12">
            <v>757</v>
          </cell>
          <cell r="G12">
            <v>805</v>
          </cell>
          <cell r="H12">
            <v>127</v>
          </cell>
          <cell r="I12">
            <v>873</v>
          </cell>
          <cell r="J12">
            <v>739</v>
          </cell>
          <cell r="K12">
            <v>53</v>
          </cell>
          <cell r="L12">
            <v>544</v>
          </cell>
          <cell r="M12">
            <v>509</v>
          </cell>
          <cell r="N12">
            <v>2</v>
          </cell>
          <cell r="O12">
            <v>359</v>
          </cell>
          <cell r="P12">
            <v>338</v>
          </cell>
        </row>
        <row r="13">
          <cell r="A13" t="str">
            <v>Term Total</v>
          </cell>
          <cell r="B13">
            <v>2511</v>
          </cell>
          <cell r="C13">
            <v>8669</v>
          </cell>
          <cell r="D13">
            <v>8477</v>
          </cell>
          <cell r="E13">
            <v>2821</v>
          </cell>
          <cell r="F13">
            <v>9490</v>
          </cell>
          <cell r="G13">
            <v>9655</v>
          </cell>
          <cell r="H13">
            <v>1503</v>
          </cell>
          <cell r="I13">
            <v>10474</v>
          </cell>
          <cell r="J13">
            <v>10153</v>
          </cell>
          <cell r="K13">
            <v>763</v>
          </cell>
          <cell r="L13">
            <v>9133</v>
          </cell>
          <cell r="M13">
            <v>9175</v>
          </cell>
          <cell r="N13">
            <v>37</v>
          </cell>
          <cell r="O13">
            <v>8523</v>
          </cell>
          <cell r="P13">
            <v>8923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0.86091127098321341</v>
          </cell>
          <cell r="C4">
            <v>0.68122555410690999</v>
          </cell>
          <cell r="D4">
            <v>0.71060657404269734</v>
          </cell>
          <cell r="E4">
            <v>0.85664089950808153</v>
          </cell>
          <cell r="F4">
            <v>0.70421263791374122</v>
          </cell>
          <cell r="G4">
            <v>0.71259603720177922</v>
          </cell>
          <cell r="H4">
            <v>0.87444608567208271</v>
          </cell>
          <cell r="I4">
            <v>0.72528208070376743</v>
          </cell>
          <cell r="J4">
            <v>0.72502852401203199</v>
          </cell>
          <cell r="K4">
            <v>0.84638554216867468</v>
          </cell>
          <cell r="L4">
            <v>0.74454472752199241</v>
          </cell>
          <cell r="M4">
            <v>0.74028985507246381</v>
          </cell>
          <cell r="N4">
            <v>1</v>
          </cell>
          <cell r="O4">
            <v>0.75701653210303732</v>
          </cell>
          <cell r="P4">
            <v>0.73895429801240664</v>
          </cell>
        </row>
        <row r="5">
          <cell r="A5" t="str">
            <v>Hispanic</v>
          </cell>
          <cell r="B5">
            <v>0.80552486187845307</v>
          </cell>
          <cell r="C5">
            <v>0.60729530461777259</v>
          </cell>
          <cell r="D5">
            <v>0.64073634204275531</v>
          </cell>
          <cell r="E5">
            <v>0.79829545454545459</v>
          </cell>
          <cell r="F5">
            <v>0.64418444597384716</v>
          </cell>
          <cell r="G5">
            <v>0.63695981166974946</v>
          </cell>
          <cell r="H5">
            <v>0.79524680073126142</v>
          </cell>
          <cell r="I5">
            <v>0.67163951895265639</v>
          </cell>
          <cell r="J5">
            <v>0.66413373860182368</v>
          </cell>
          <cell r="K5">
            <v>0.80672268907563027</v>
          </cell>
          <cell r="L5">
            <v>0.68836778771983953</v>
          </cell>
          <cell r="M5">
            <v>0.68058076225045372</v>
          </cell>
          <cell r="N5">
            <v>1</v>
          </cell>
          <cell r="O5">
            <v>0.69884575026232953</v>
          </cell>
          <cell r="P5">
            <v>0.66962428947733255</v>
          </cell>
        </row>
        <row r="6">
          <cell r="A6" t="str">
            <v>African American</v>
          </cell>
          <cell r="B6">
            <v>0.74712643678160917</v>
          </cell>
          <cell r="C6">
            <v>0.52997393570807994</v>
          </cell>
          <cell r="D6">
            <v>0.56429780033840948</v>
          </cell>
          <cell r="E6">
            <v>0.7021276595744681</v>
          </cell>
          <cell r="F6">
            <v>0.53899613899613896</v>
          </cell>
          <cell r="G6">
            <v>0.5757363253856943</v>
          </cell>
          <cell r="H6">
            <v>0.76315789473684215</v>
          </cell>
          <cell r="I6">
            <v>0.59915907498248078</v>
          </cell>
          <cell r="J6">
            <v>0.57476294675419404</v>
          </cell>
          <cell r="K6">
            <v>0.70666666666666667</v>
          </cell>
          <cell r="L6">
            <v>0.64867256637168147</v>
          </cell>
          <cell r="M6">
            <v>0.60047468354430378</v>
          </cell>
          <cell r="N6">
            <v>1</v>
          </cell>
          <cell r="O6">
            <v>0.64783427495291901</v>
          </cell>
          <cell r="P6">
            <v>0.61896697713801863</v>
          </cell>
        </row>
        <row r="7">
          <cell r="A7" t="str">
            <v>Asian</v>
          </cell>
          <cell r="B7">
            <v>0.80571428571428572</v>
          </cell>
          <cell r="C7">
            <v>0.73763118440779607</v>
          </cell>
          <cell r="D7">
            <v>0.72450532724505323</v>
          </cell>
          <cell r="E7">
            <v>0.87254901960784315</v>
          </cell>
          <cell r="F7">
            <v>0.75360230547550433</v>
          </cell>
          <cell r="G7">
            <v>0.73288590604026849</v>
          </cell>
          <cell r="H7">
            <v>0.89247311827956988</v>
          </cell>
          <cell r="I7">
            <v>0.75033921302578022</v>
          </cell>
          <cell r="J7">
            <v>0.7338709677419355</v>
          </cell>
          <cell r="K7">
            <v>0.91428571428571426</v>
          </cell>
          <cell r="L7">
            <v>0.78670360110803328</v>
          </cell>
          <cell r="M7">
            <v>0.78104138851802407</v>
          </cell>
          <cell r="N7">
            <v>1</v>
          </cell>
          <cell r="O7">
            <v>0.79729729729729726</v>
          </cell>
          <cell r="P7">
            <v>0.79629629629629628</v>
          </cell>
        </row>
        <row r="8">
          <cell r="A8" t="str">
            <v>Native American</v>
          </cell>
          <cell r="B8">
            <v>0.76923076923076927</v>
          </cell>
          <cell r="C8">
            <v>0.56521739130434778</v>
          </cell>
          <cell r="D8">
            <v>0.59203980099502485</v>
          </cell>
          <cell r="E8">
            <v>0.8</v>
          </cell>
          <cell r="F8">
            <v>0.60619469026548678</v>
          </cell>
          <cell r="G8">
            <v>0.62</v>
          </cell>
          <cell r="H8">
            <v>0.68181818181818177</v>
          </cell>
          <cell r="I8">
            <v>0.640625</v>
          </cell>
          <cell r="J8">
            <v>0.67052023121387283</v>
          </cell>
          <cell r="K8">
            <v>1</v>
          </cell>
          <cell r="L8">
            <v>0.65079365079365081</v>
          </cell>
          <cell r="M8">
            <v>0.71126760563380287</v>
          </cell>
          <cell r="N8" t="str">
            <v/>
          </cell>
          <cell r="O8">
            <v>0.72916666666666663</v>
          </cell>
          <cell r="P8">
            <v>0.63636363636363635</v>
          </cell>
        </row>
        <row r="9">
          <cell r="A9" t="str">
            <v>Filipino</v>
          </cell>
          <cell r="B9">
            <v>0.85057471264367812</v>
          </cell>
          <cell r="C9">
            <v>0.68738229755178903</v>
          </cell>
          <cell r="D9">
            <v>0.7036688617121355</v>
          </cell>
          <cell r="E9">
            <v>0.86432160804020097</v>
          </cell>
          <cell r="F9">
            <v>0.71691792294807366</v>
          </cell>
          <cell r="G9">
            <v>0.73630831643002026</v>
          </cell>
          <cell r="H9">
            <v>0.87</v>
          </cell>
          <cell r="I9">
            <v>0.7279344858962693</v>
          </cell>
          <cell r="J9">
            <v>0.68653648509763621</v>
          </cell>
          <cell r="K9">
            <v>0.89655172413793105</v>
          </cell>
          <cell r="L9">
            <v>0.76898047722342733</v>
          </cell>
          <cell r="M9">
            <v>0.76795580110497241</v>
          </cell>
          <cell r="N9" t="str">
            <v/>
          </cell>
          <cell r="O9">
            <v>0.79357798165137616</v>
          </cell>
          <cell r="P9">
            <v>0.7893639207507821</v>
          </cell>
        </row>
        <row r="10">
          <cell r="A10" t="str">
            <v>Pacific Islander</v>
          </cell>
          <cell r="B10">
            <v>0.73333333333333328</v>
          </cell>
          <cell r="C10">
            <v>0.660377358490566</v>
          </cell>
          <cell r="D10">
            <v>0.65714285714285714</v>
          </cell>
          <cell r="E10">
            <v>0.7857142857142857</v>
          </cell>
          <cell r="F10">
            <v>0.63428571428571423</v>
          </cell>
          <cell r="G10">
            <v>0.64171122994652408</v>
          </cell>
          <cell r="H10">
            <v>1</v>
          </cell>
          <cell r="I10">
            <v>0.62820512820512819</v>
          </cell>
          <cell r="J10">
            <v>0.74</v>
          </cell>
          <cell r="K10">
            <v>0.7142857142857143</v>
          </cell>
          <cell r="L10">
            <v>0.67200000000000004</v>
          </cell>
          <cell r="M10">
            <v>0.70526315789473681</v>
          </cell>
          <cell r="N10" t="str">
            <v/>
          </cell>
          <cell r="O10">
            <v>0.59375</v>
          </cell>
          <cell r="P10">
            <v>0.6428571428571429</v>
          </cell>
        </row>
        <row r="11">
          <cell r="A11" t="str">
            <v>Multi-Race</v>
          </cell>
          <cell r="B11">
            <v>0.68181818181818177</v>
          </cell>
          <cell r="C11">
            <v>0.54761904761904767</v>
          </cell>
          <cell r="D11">
            <v>0.65354330708661412</v>
          </cell>
          <cell r="E11">
            <v>0.68518518518518523</v>
          </cell>
          <cell r="F11">
            <v>0.48648648648648651</v>
          </cell>
          <cell r="G11">
            <v>0.53136531365313655</v>
          </cell>
          <cell r="H11">
            <v>0.8666666666666667</v>
          </cell>
          <cell r="I11">
            <v>0.66340508806262233</v>
          </cell>
          <cell r="J11">
            <v>0.65282392026578073</v>
          </cell>
          <cell r="K11">
            <v>0.9375</v>
          </cell>
          <cell r="L11">
            <v>0.70386266094420602</v>
          </cell>
          <cell r="M11">
            <v>0.69906323185011709</v>
          </cell>
          <cell r="N11">
            <v>1</v>
          </cell>
          <cell r="O11">
            <v>0.71237113402061858</v>
          </cell>
          <cell r="P11">
            <v>0.660377358490566</v>
          </cell>
        </row>
        <row r="12">
          <cell r="A12" t="str">
            <v>Unknown</v>
          </cell>
          <cell r="B12">
            <v>0.83399209486166004</v>
          </cell>
          <cell r="C12">
            <v>0.67432150313152406</v>
          </cell>
          <cell r="D12">
            <v>0.71281699794379716</v>
          </cell>
          <cell r="E12">
            <v>0.86</v>
          </cell>
          <cell r="F12">
            <v>0.69547325102880664</v>
          </cell>
          <cell r="G12">
            <v>0.71122112211221122</v>
          </cell>
          <cell r="H12">
            <v>0.86111111111111116</v>
          </cell>
          <cell r="I12">
            <v>0.72352634324465315</v>
          </cell>
          <cell r="J12">
            <v>0.71446306641837365</v>
          </cell>
          <cell r="K12">
            <v>0.78947368421052633</v>
          </cell>
          <cell r="L12">
            <v>0.73409461663947795</v>
          </cell>
          <cell r="M12">
            <v>0.75816416593115621</v>
          </cell>
          <cell r="N12">
            <v>1</v>
          </cell>
          <cell r="O12">
            <v>0.7635220125786164</v>
          </cell>
          <cell r="P12">
            <v>0.76933701657458564</v>
          </cell>
        </row>
        <row r="13">
          <cell r="A13" t="str">
            <v>Term Total</v>
          </cell>
          <cell r="B13">
            <v>0.82692939244663377</v>
          </cell>
          <cell r="C13">
            <v>0.65106515316436009</v>
          </cell>
          <cell r="D13">
            <v>0.6805577646996448</v>
          </cell>
          <cell r="E13">
            <v>0.82686313403230371</v>
          </cell>
          <cell r="F13">
            <v>0.67518521991934732</v>
          </cell>
          <cell r="G13">
            <v>0.68046758569299548</v>
          </cell>
          <cell r="H13">
            <v>0.83939919121894857</v>
          </cell>
          <cell r="I13">
            <v>0.70025145235411423</v>
          </cell>
          <cell r="J13">
            <v>0.69274433508812083</v>
          </cell>
          <cell r="K13">
            <v>0.82699386503067485</v>
          </cell>
          <cell r="L13">
            <v>0.72068367599702754</v>
          </cell>
          <cell r="M13">
            <v>0.71387212326414451</v>
          </cell>
          <cell r="N13">
            <v>1</v>
          </cell>
          <cell r="O13">
            <v>0.7306208718626156</v>
          </cell>
          <cell r="P13">
            <v>0.70671378091872794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zoomScaleNormal="100" workbookViewId="0">
      <selection activeCell="S15" sqref="S15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16" ht="15.75" x14ac:dyDescent="0.25">
      <c r="A1" s="69"/>
      <c r="B1" s="77" t="s">
        <v>35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 spans="1:16" ht="16.5" thickBot="1" x14ac:dyDescent="0.3">
      <c r="A2" s="70"/>
      <c r="B2" s="77" t="s">
        <v>40</v>
      </c>
      <c r="C2" s="78"/>
      <c r="D2" s="78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1"/>
    </row>
    <row r="3" spans="1:16" ht="15.75" thickBot="1" x14ac:dyDescent="0.3">
      <c r="A3" s="71"/>
      <c r="B3" s="65" t="s">
        <v>0</v>
      </c>
      <c r="C3" s="66"/>
      <c r="D3" s="67"/>
      <c r="E3" s="75" t="s">
        <v>1</v>
      </c>
      <c r="F3" s="73"/>
      <c r="G3" s="74"/>
      <c r="H3" s="68" t="s">
        <v>2</v>
      </c>
      <c r="I3" s="66"/>
      <c r="J3" s="76"/>
      <c r="K3" s="72" t="s">
        <v>3</v>
      </c>
      <c r="L3" s="73"/>
      <c r="M3" s="74"/>
      <c r="N3" s="68" t="s">
        <v>4</v>
      </c>
      <c r="O3" s="66"/>
      <c r="P3" s="67"/>
    </row>
    <row r="4" spans="1:16" ht="15.75" thickBot="1" x14ac:dyDescent="0.3">
      <c r="A4" s="8" t="s">
        <v>37</v>
      </c>
      <c r="B4" s="52" t="s">
        <v>6</v>
      </c>
      <c r="C4" s="53" t="s">
        <v>7</v>
      </c>
      <c r="D4" s="54" t="s">
        <v>8</v>
      </c>
      <c r="E4" s="55" t="s">
        <v>9</v>
      </c>
      <c r="F4" s="56" t="s">
        <v>10</v>
      </c>
      <c r="G4" s="57" t="s">
        <v>11</v>
      </c>
      <c r="H4" s="58" t="s">
        <v>12</v>
      </c>
      <c r="I4" s="53" t="s">
        <v>13</v>
      </c>
      <c r="J4" s="59" t="s">
        <v>14</v>
      </c>
      <c r="K4" s="60" t="s">
        <v>15</v>
      </c>
      <c r="L4" s="56" t="s">
        <v>16</v>
      </c>
      <c r="M4" s="57" t="s">
        <v>17</v>
      </c>
      <c r="N4" s="58" t="s">
        <v>18</v>
      </c>
      <c r="O4" s="53" t="s">
        <v>19</v>
      </c>
      <c r="P4" s="54" t="s">
        <v>20</v>
      </c>
    </row>
    <row r="5" spans="1:16" x14ac:dyDescent="0.25">
      <c r="A5" s="18" t="s">
        <v>21</v>
      </c>
      <c r="B5" s="3">
        <f>VLOOKUP($A5,'[1]credit ethnic graded seats'!$A:$P,HLOOKUP(B$4,'[1]credit ethnic graded seats'!$1:$2,2,FALSE),FALSE)</f>
        <v>1053</v>
      </c>
      <c r="C5" s="22">
        <f>VLOOKUP($A5,'[1]credit ethnic graded seats'!$A:$P,HLOOKUP(C$4,'[1]credit ethnic graded seats'!$1:$2,2,FALSE),FALSE)</f>
        <v>4173</v>
      </c>
      <c r="D5" s="25">
        <f>VLOOKUP($A5,'[1]credit ethnic graded seats'!$A:$P,HLOOKUP(D$4,'[1]credit ethnic graded seats'!$1:$2,2,FALSE),FALSE)</f>
        <v>4017</v>
      </c>
      <c r="E5" s="3">
        <f>VLOOKUP($A5,'[1]credit ethnic graded seats'!$A:$P,HLOOKUP(E$4,'[1]credit ethnic graded seats'!$1:$2,2,FALSE),FALSE)</f>
        <v>1151</v>
      </c>
      <c r="F5" s="22">
        <f>VLOOKUP($A5,'[1]credit ethnic graded seats'!$A:$P,HLOOKUP(F$4,'[1]credit ethnic graded seats'!$1:$2,2,FALSE),FALSE)</f>
        <v>4449</v>
      </c>
      <c r="G5" s="22">
        <f>VLOOKUP($A5,'[1]credit ethnic graded seats'!$A:$P,HLOOKUP(G$4,'[1]credit ethnic graded seats'!$1:$2,2,FALSE),FALSE)</f>
        <v>4520</v>
      </c>
      <c r="H5" s="22">
        <f>VLOOKUP($A5,'[1]credit ethnic graded seats'!$A:$P,HLOOKUP(H$4,'[1]credit ethnic graded seats'!$1:$2,2,FALSE),FALSE)</f>
        <v>599</v>
      </c>
      <c r="I5" s="22">
        <f>VLOOKUP($A5,'[1]credit ethnic graded seats'!$A:$P,HLOOKUP(I$4,'[1]credit ethnic graded seats'!$1:$2,2,FALSE),FALSE)</f>
        <v>4786</v>
      </c>
      <c r="J5" s="23">
        <f>VLOOKUP($A5,'[1]credit ethnic graded seats'!$A:$P,HLOOKUP(J$4,'[1]credit ethnic graded seats'!$1:$2,2,FALSE),FALSE)</f>
        <v>4535</v>
      </c>
      <c r="K5" s="3">
        <f>VLOOKUP($A5,'[1]credit ethnic graded seats'!$A:$P,HLOOKUP(K$4,'[1]credit ethnic graded seats'!$1:$2,2,FALSE),FALSE)</f>
        <v>311</v>
      </c>
      <c r="L5" s="22">
        <f>VLOOKUP($A5,'[1]credit ethnic graded seats'!$A:$P,HLOOKUP(L$4,'[1]credit ethnic graded seats'!$1:$2,2,FALSE),FALSE)</f>
        <v>4043</v>
      </c>
      <c r="M5" s="23">
        <f>VLOOKUP($A5,'[1]credit ethnic graded seats'!$A:$P,HLOOKUP(M$4,'[1]credit ethnic graded seats'!$1:$2,2,FALSE),FALSE)</f>
        <v>3941</v>
      </c>
      <c r="N5" s="27">
        <f>VLOOKUP($A5,'[1]credit ethnic graded seats'!$A:$P,HLOOKUP(N$4,'[1]credit ethnic graded seats'!$1:$2,2,FALSE),FALSE)</f>
        <v>13</v>
      </c>
      <c r="O5" s="22">
        <f>VLOOKUP($A5,'[1]credit ethnic graded seats'!$A:$P,HLOOKUP(O$4,'[1]credit ethnic graded seats'!$1:$2,2,FALSE),FALSE)</f>
        <v>3573</v>
      </c>
      <c r="P5" s="63">
        <f>VLOOKUP($A5,'[1]credit ethnic graded seats'!$A:$P,HLOOKUP(P$4,'[1]credit ethnic graded seats'!$1:$2,2,FALSE),FALSE)</f>
        <v>3630</v>
      </c>
    </row>
    <row r="6" spans="1:16" x14ac:dyDescent="0.25">
      <c r="A6" s="13" t="s">
        <v>22</v>
      </c>
      <c r="B6" s="24">
        <f>VLOOKUP($A6,'[1]credit ethnic graded seats'!$A:$P,HLOOKUP(B$4,'[1]credit ethnic graded seats'!$1:$2,2,FALSE),FALSE)</f>
        <v>734</v>
      </c>
      <c r="C6" s="21">
        <f>VLOOKUP($A6,'[1]credit ethnic graded seats'!$A:$P,HLOOKUP(C$4,'[1]credit ethnic graded seats'!$1:$2,2,FALSE),FALSE)</f>
        <v>2349</v>
      </c>
      <c r="D6" s="26">
        <f>VLOOKUP($A6,'[1]credit ethnic graded seats'!$A:$P,HLOOKUP(D$4,'[1]credit ethnic graded seats'!$1:$2,2,FALSE),FALSE)</f>
        <v>2314</v>
      </c>
      <c r="E6" s="24">
        <f>VLOOKUP($A6,'[1]credit ethnic graded seats'!$A:$P,HLOOKUP(E$4,'[1]credit ethnic graded seats'!$1:$2,2,FALSE),FALSE)</f>
        <v>846</v>
      </c>
      <c r="F6" s="21">
        <f>VLOOKUP($A6,'[1]credit ethnic graded seats'!$A:$P,HLOOKUP(F$4,'[1]credit ethnic graded seats'!$1:$2,2,FALSE),FALSE)</f>
        <v>2636</v>
      </c>
      <c r="G6" s="21">
        <f>VLOOKUP($A6,'[1]credit ethnic graded seats'!$A:$P,HLOOKUP(G$4,'[1]credit ethnic graded seats'!$1:$2,2,FALSE),FALSE)</f>
        <v>2667</v>
      </c>
      <c r="H6" s="21">
        <f>VLOOKUP($A6,'[1]credit ethnic graded seats'!$A:$P,HLOOKUP(H$4,'[1]credit ethnic graded seats'!$1:$2,2,FALSE),FALSE)</f>
        <v>472</v>
      </c>
      <c r="I6" s="21">
        <f>VLOOKUP($A6,'[1]credit ethnic graded seats'!$A:$P,HLOOKUP(I$4,'[1]credit ethnic graded seats'!$1:$2,2,FALSE),FALSE)</f>
        <v>3001</v>
      </c>
      <c r="J6" s="4">
        <f>VLOOKUP($A6,'[1]credit ethnic graded seats'!$A:$P,HLOOKUP(J$4,'[1]credit ethnic graded seats'!$1:$2,2,FALSE),FALSE)</f>
        <v>3037</v>
      </c>
      <c r="K6" s="24">
        <f>VLOOKUP($A6,'[1]credit ethnic graded seats'!$A:$P,HLOOKUP(K$4,'[1]credit ethnic graded seats'!$1:$2,2,FALSE),FALSE)</f>
        <v>229</v>
      </c>
      <c r="L6" s="21">
        <f>VLOOKUP($A6,'[1]credit ethnic graded seats'!$A:$P,HLOOKUP(L$4,'[1]credit ethnic graded seats'!$1:$2,2,FALSE),FALSE)</f>
        <v>2908</v>
      </c>
      <c r="M6" s="4">
        <f>VLOOKUP($A6,'[1]credit ethnic graded seats'!$A:$P,HLOOKUP(M$4,'[1]credit ethnic graded seats'!$1:$2,2,FALSE),FALSE)</f>
        <v>2994</v>
      </c>
      <c r="N6" s="28">
        <f>VLOOKUP($A6,'[1]credit ethnic graded seats'!$A:$P,HLOOKUP(N$4,'[1]credit ethnic graded seats'!$1:$2,2,FALSE),FALSE)</f>
        <v>16</v>
      </c>
      <c r="O6" s="21">
        <f>VLOOKUP($A6,'[1]credit ethnic graded seats'!$A:$P,HLOOKUP(O$4,'[1]credit ethnic graded seats'!$1:$2,2,FALSE),FALSE)</f>
        <v>3025</v>
      </c>
      <c r="P6" s="21">
        <f>VLOOKUP($A6,'[1]credit ethnic graded seats'!$A:$P,HLOOKUP(P$4,'[1]credit ethnic graded seats'!$1:$2,2,FALSE),FALSE)</f>
        <v>3308</v>
      </c>
    </row>
    <row r="7" spans="1:16" x14ac:dyDescent="0.25">
      <c r="A7" s="13" t="s">
        <v>23</v>
      </c>
      <c r="B7" s="24">
        <f>VLOOKUP($A7,'[1]credit ethnic graded seats'!$A:$P,HLOOKUP(B$4,'[1]credit ethnic graded seats'!$1:$2,2,FALSE),FALSE)</f>
        <v>144</v>
      </c>
      <c r="C7" s="21">
        <f>VLOOKUP($A7,'[1]credit ethnic graded seats'!$A:$P,HLOOKUP(C$4,'[1]credit ethnic graded seats'!$1:$2,2,FALSE),FALSE)</f>
        <v>523</v>
      </c>
      <c r="D7" s="26">
        <f>VLOOKUP($A7,'[1]credit ethnic graded seats'!$A:$P,HLOOKUP(D$4,'[1]credit ethnic graded seats'!$1:$2,2,FALSE),FALSE)</f>
        <v>528</v>
      </c>
      <c r="E7" s="24">
        <f>VLOOKUP($A7,'[1]credit ethnic graded seats'!$A:$P,HLOOKUP(E$4,'[1]credit ethnic graded seats'!$1:$2,2,FALSE),FALSE)</f>
        <v>181</v>
      </c>
      <c r="F7" s="21">
        <f>VLOOKUP($A7,'[1]credit ethnic graded seats'!$A:$P,HLOOKUP(F$4,'[1]credit ethnic graded seats'!$1:$2,2,FALSE),FALSE)</f>
        <v>578</v>
      </c>
      <c r="G7" s="21">
        <f>VLOOKUP($A7,'[1]credit ethnic graded seats'!$A:$P,HLOOKUP(G$4,'[1]credit ethnic graded seats'!$1:$2,2,FALSE),FALSE)</f>
        <v>624</v>
      </c>
      <c r="H7" s="21">
        <f>VLOOKUP($A7,'[1]credit ethnic graded seats'!$A:$P,HLOOKUP(H$4,'[1]credit ethnic graded seats'!$1:$2,2,FALSE),FALSE)</f>
        <v>96</v>
      </c>
      <c r="I7" s="21">
        <f>VLOOKUP($A7,'[1]credit ethnic graded seats'!$A:$P,HLOOKUP(I$4,'[1]credit ethnic graded seats'!$1:$2,2,FALSE),FALSE)</f>
        <v>644</v>
      </c>
      <c r="J7" s="4">
        <f>VLOOKUP($A7,'[1]credit ethnic graded seats'!$A:$P,HLOOKUP(J$4,'[1]credit ethnic graded seats'!$1:$2,2,FALSE),FALSE)</f>
        <v>649</v>
      </c>
      <c r="K7" s="24">
        <f>VLOOKUP($A7,'[1]credit ethnic graded seats'!$A:$P,HLOOKUP(K$4,'[1]credit ethnic graded seats'!$1:$2,2,FALSE),FALSE)</f>
        <v>69</v>
      </c>
      <c r="L7" s="21">
        <f>VLOOKUP($A7,'[1]credit ethnic graded seats'!$A:$P,HLOOKUP(L$4,'[1]credit ethnic graded seats'!$1:$2,2,FALSE),FALSE)</f>
        <v>532</v>
      </c>
      <c r="M7" s="4">
        <f>VLOOKUP($A7,'[1]credit ethnic graded seats'!$A:$P,HLOOKUP(M$4,'[1]credit ethnic graded seats'!$1:$2,2,FALSE),FALSE)</f>
        <v>585</v>
      </c>
      <c r="N7" s="28">
        <f>VLOOKUP($A7,'[1]credit ethnic graded seats'!$A:$P,HLOOKUP(N$4,'[1]credit ethnic graded seats'!$1:$2,2,FALSE),FALSE)</f>
        <v>2</v>
      </c>
      <c r="O7" s="21">
        <f>VLOOKUP($A7,'[1]credit ethnic graded seats'!$A:$P,HLOOKUP(O$4,'[1]credit ethnic graded seats'!$1:$2,2,FALSE),FALSE)</f>
        <v>496</v>
      </c>
      <c r="P7" s="21">
        <f>VLOOKUP($A7,'[1]credit ethnic graded seats'!$A:$P,HLOOKUP(P$4,'[1]credit ethnic graded seats'!$1:$2,2,FALSE),FALSE)</f>
        <v>527</v>
      </c>
    </row>
    <row r="8" spans="1:16" x14ac:dyDescent="0.25">
      <c r="A8" s="13" t="s">
        <v>24</v>
      </c>
      <c r="B8" s="24">
        <f>VLOOKUP($A8,'[1]credit ethnic graded seats'!$A:$P,HLOOKUP(B$4,'[1]credit ethnic graded seats'!$1:$2,2,FALSE),FALSE)</f>
        <v>139</v>
      </c>
      <c r="C8" s="21">
        <f>VLOOKUP($A8,'[1]credit ethnic graded seats'!$A:$P,HLOOKUP(C$4,'[1]credit ethnic graded seats'!$1:$2,2,FALSE),FALSE)</f>
        <v>288</v>
      </c>
      <c r="D8" s="26">
        <f>VLOOKUP($A8,'[1]credit ethnic graded seats'!$A:$P,HLOOKUP(D$4,'[1]credit ethnic graded seats'!$1:$2,2,FALSE),FALSE)</f>
        <v>291</v>
      </c>
      <c r="E8" s="24">
        <f>VLOOKUP($A8,'[1]credit ethnic graded seats'!$A:$P,HLOOKUP(E$4,'[1]credit ethnic graded seats'!$1:$2,2,FALSE),FALSE)</f>
        <v>156</v>
      </c>
      <c r="F8" s="21">
        <f>VLOOKUP($A8,'[1]credit ethnic graded seats'!$A:$P,HLOOKUP(F$4,'[1]credit ethnic graded seats'!$1:$2,2,FALSE),FALSE)</f>
        <v>301</v>
      </c>
      <c r="G8" s="21">
        <f>VLOOKUP($A8,'[1]credit ethnic graded seats'!$A:$P,HLOOKUP(G$4,'[1]credit ethnic graded seats'!$1:$2,2,FALSE),FALSE)</f>
        <v>318</v>
      </c>
      <c r="H8" s="21">
        <f>VLOOKUP($A8,'[1]credit ethnic graded seats'!$A:$P,HLOOKUP(H$4,'[1]credit ethnic graded seats'!$1:$2,2,FALSE),FALSE)</f>
        <v>79</v>
      </c>
      <c r="I8" s="21">
        <f>VLOOKUP($A8,'[1]credit ethnic graded seats'!$A:$P,HLOOKUP(I$4,'[1]credit ethnic graded seats'!$1:$2,2,FALSE),FALSE)</f>
        <v>322</v>
      </c>
      <c r="J8" s="4">
        <f>VLOOKUP($A8,'[1]credit ethnic graded seats'!$A:$P,HLOOKUP(J$4,'[1]credit ethnic graded seats'!$1:$2,2,FALSE),FALSE)</f>
        <v>329</v>
      </c>
      <c r="K8" s="24">
        <f>VLOOKUP($A8,'[1]credit ethnic graded seats'!$A:$P,HLOOKUP(K$4,'[1]credit ethnic graded seats'!$1:$2,2,FALSE),FALSE)</f>
        <v>34</v>
      </c>
      <c r="L8" s="21">
        <f>VLOOKUP($A8,'[1]credit ethnic graded seats'!$A:$P,HLOOKUP(L$4,'[1]credit ethnic graded seats'!$1:$2,2,FALSE),FALSE)</f>
        <v>303</v>
      </c>
      <c r="M8" s="4">
        <f>VLOOKUP($A8,'[1]credit ethnic graded seats'!$A:$P,HLOOKUP(M$4,'[1]credit ethnic graded seats'!$1:$2,2,FALSE),FALSE)</f>
        <v>311</v>
      </c>
      <c r="N8" s="28">
        <f>VLOOKUP($A8,'[1]credit ethnic graded seats'!$A:$P,HLOOKUP(N$4,'[1]credit ethnic graded seats'!$1:$2,2,FALSE),FALSE)</f>
        <v>1</v>
      </c>
      <c r="O8" s="21">
        <f>VLOOKUP($A8,'[1]credit ethnic graded seats'!$A:$P,HLOOKUP(O$4,'[1]credit ethnic graded seats'!$1:$2,2,FALSE),FALSE)</f>
        <v>265</v>
      </c>
      <c r="P8" s="21">
        <f>VLOOKUP($A8,'[1]credit ethnic graded seats'!$A:$P,HLOOKUP(P$4,'[1]credit ethnic graded seats'!$1:$2,2,FALSE),FALSE)</f>
        <v>239</v>
      </c>
    </row>
    <row r="9" spans="1:16" x14ac:dyDescent="0.25">
      <c r="A9" s="13" t="s">
        <v>25</v>
      </c>
      <c r="B9" s="24">
        <f>VLOOKUP($A9,'[1]credit ethnic graded seats'!$A:$P,HLOOKUP(B$4,'[1]credit ethnic graded seats'!$1:$2,2,FALSE),FALSE)</f>
        <v>32</v>
      </c>
      <c r="C9" s="21">
        <f>VLOOKUP($A9,'[1]credit ethnic graded seats'!$A:$P,HLOOKUP(C$4,'[1]credit ethnic graded seats'!$1:$2,2,FALSE),FALSE)</f>
        <v>89</v>
      </c>
      <c r="D9" s="26">
        <f>VLOOKUP($A9,'[1]credit ethnic graded seats'!$A:$P,HLOOKUP(D$4,'[1]credit ethnic graded seats'!$1:$2,2,FALSE),FALSE)</f>
        <v>92</v>
      </c>
      <c r="E9" s="24">
        <f>VLOOKUP($A9,'[1]credit ethnic graded seats'!$A:$P,HLOOKUP(E$4,'[1]credit ethnic graded seats'!$1:$2,2,FALSE),FALSE)</f>
        <v>21</v>
      </c>
      <c r="F9" s="21">
        <f>VLOOKUP($A9,'[1]credit ethnic graded seats'!$A:$P,HLOOKUP(F$4,'[1]credit ethnic graded seats'!$1:$2,2,FALSE),FALSE)</f>
        <v>99</v>
      </c>
      <c r="G9" s="21">
        <f>VLOOKUP($A9,'[1]credit ethnic graded seats'!$A:$P,HLOOKUP(G$4,'[1]credit ethnic graded seats'!$1:$2,2,FALSE),FALSE)</f>
        <v>99</v>
      </c>
      <c r="H9" s="21">
        <f>VLOOKUP($A9,'[1]credit ethnic graded seats'!$A:$P,HLOOKUP(H$4,'[1]credit ethnic graded seats'!$1:$2,2,FALSE),FALSE)</f>
        <v>18</v>
      </c>
      <c r="I9" s="21">
        <f>VLOOKUP($A9,'[1]credit ethnic graded seats'!$A:$P,HLOOKUP(I$4,'[1]credit ethnic graded seats'!$1:$2,2,FALSE),FALSE)</f>
        <v>87</v>
      </c>
      <c r="J9" s="4">
        <f>VLOOKUP($A9,'[1]credit ethnic graded seats'!$A:$P,HLOOKUP(J$4,'[1]credit ethnic graded seats'!$1:$2,2,FALSE),FALSE)</f>
        <v>91</v>
      </c>
      <c r="K9" s="24">
        <f>VLOOKUP($A9,'[1]credit ethnic graded seats'!$A:$P,HLOOKUP(K$4,'[1]credit ethnic graded seats'!$1:$2,2,FALSE),FALSE)</f>
        <v>10</v>
      </c>
      <c r="L9" s="21">
        <f>VLOOKUP($A9,'[1]credit ethnic graded seats'!$A:$P,HLOOKUP(L$4,'[1]credit ethnic graded seats'!$1:$2,2,FALSE),FALSE)</f>
        <v>66</v>
      </c>
      <c r="M9" s="4">
        <f>VLOOKUP($A9,'[1]credit ethnic graded seats'!$A:$P,HLOOKUP(M$4,'[1]credit ethnic graded seats'!$1:$2,2,FALSE),FALSE)</f>
        <v>66</v>
      </c>
      <c r="N9" s="28">
        <f>VLOOKUP($A9,'[1]credit ethnic graded seats'!$A:$P,HLOOKUP(N$4,'[1]credit ethnic graded seats'!$1:$2,2,FALSE),FALSE)</f>
        <v>0</v>
      </c>
      <c r="O9" s="21">
        <f>VLOOKUP($A9,'[1]credit ethnic graded seats'!$A:$P,HLOOKUP(O$4,'[1]credit ethnic graded seats'!$1:$2,2,FALSE),FALSE)</f>
        <v>44</v>
      </c>
      <c r="P9" s="21">
        <f>VLOOKUP($A9,'[1]credit ethnic graded seats'!$A:$P,HLOOKUP(P$4,'[1]credit ethnic graded seats'!$1:$2,2,FALSE),FALSE)</f>
        <v>52</v>
      </c>
    </row>
    <row r="10" spans="1:16" x14ac:dyDescent="0.25">
      <c r="A10" s="13" t="s">
        <v>26</v>
      </c>
      <c r="B10" s="24">
        <f>VLOOKUP($A10,'[1]credit ethnic graded seats'!$A:$P,HLOOKUP(B$4,'[1]credit ethnic graded seats'!$1:$2,2,FALSE),FALSE)</f>
        <v>142</v>
      </c>
      <c r="C10" s="21">
        <f>VLOOKUP($A10,'[1]credit ethnic graded seats'!$A:$P,HLOOKUP(C$4,'[1]credit ethnic graded seats'!$1:$2,2,FALSE),FALSE)</f>
        <v>433</v>
      </c>
      <c r="D10" s="26">
        <f>VLOOKUP($A10,'[1]credit ethnic graded seats'!$A:$P,HLOOKUP(D$4,'[1]credit ethnic graded seats'!$1:$2,2,FALSE),FALSE)</f>
        <v>439</v>
      </c>
      <c r="E10" s="24">
        <f>VLOOKUP($A10,'[1]credit ethnic graded seats'!$A:$P,HLOOKUP(E$4,'[1]credit ethnic graded seats'!$1:$2,2,FALSE),FALSE)</f>
        <v>155</v>
      </c>
      <c r="F10" s="21">
        <f>VLOOKUP($A10,'[1]credit ethnic graded seats'!$A:$P,HLOOKUP(F$4,'[1]credit ethnic graded seats'!$1:$2,2,FALSE),FALSE)</f>
        <v>475</v>
      </c>
      <c r="G10" s="21">
        <f>VLOOKUP($A10,'[1]credit ethnic graded seats'!$A:$P,HLOOKUP(G$4,'[1]credit ethnic graded seats'!$1:$2,2,FALSE),FALSE)</f>
        <v>416</v>
      </c>
      <c r="H10" s="21">
        <f>VLOOKUP($A10,'[1]credit ethnic graded seats'!$A:$P,HLOOKUP(H$4,'[1]credit ethnic graded seats'!$1:$2,2,FALSE),FALSE)</f>
        <v>83</v>
      </c>
      <c r="I10" s="21">
        <f>VLOOKUP($A10,'[1]credit ethnic graded seats'!$A:$P,HLOOKUP(I$4,'[1]credit ethnic graded seats'!$1:$2,2,FALSE),FALSE)</f>
        <v>463</v>
      </c>
      <c r="J10" s="4">
        <f>VLOOKUP($A10,'[1]credit ethnic graded seats'!$A:$P,HLOOKUP(J$4,'[1]credit ethnic graded seats'!$1:$2,2,FALSE),FALSE)</f>
        <v>428</v>
      </c>
      <c r="K10" s="24">
        <f>VLOOKUP($A10,'[1]credit ethnic graded seats'!$A:$P,HLOOKUP(K$4,'[1]credit ethnic graded seats'!$1:$2,2,FALSE),FALSE)</f>
        <v>26</v>
      </c>
      <c r="L10" s="21">
        <f>VLOOKUP($A10,'[1]credit ethnic graded seats'!$A:$P,HLOOKUP(L$4,'[1]credit ethnic graded seats'!$1:$2,2,FALSE),FALSE)</f>
        <v>383</v>
      </c>
      <c r="M10" s="4">
        <f>VLOOKUP($A10,'[1]credit ethnic graded seats'!$A:$P,HLOOKUP(M$4,'[1]credit ethnic graded seats'!$1:$2,2,FALSE),FALSE)</f>
        <v>373</v>
      </c>
      <c r="N10" s="28">
        <f>VLOOKUP($A10,'[1]credit ethnic graded seats'!$A:$P,HLOOKUP(N$4,'[1]credit ethnic graded seats'!$1:$2,2,FALSE),FALSE)</f>
        <v>0</v>
      </c>
      <c r="O10" s="21">
        <f>VLOOKUP($A10,'[1]credit ethnic graded seats'!$A:$P,HLOOKUP(O$4,'[1]credit ethnic graded seats'!$1:$2,2,FALSE),FALSE)</f>
        <v>344</v>
      </c>
      <c r="P10" s="21">
        <f>VLOOKUP($A10,'[1]credit ethnic graded seats'!$A:$P,HLOOKUP(P$4,'[1]credit ethnic graded seats'!$1:$2,2,FALSE),FALSE)</f>
        <v>364</v>
      </c>
    </row>
    <row r="11" spans="1:16" x14ac:dyDescent="0.25">
      <c r="A11" s="13" t="s">
        <v>27</v>
      </c>
      <c r="B11" s="24">
        <f>VLOOKUP($A11,'[1]credit ethnic graded seats'!$A:$P,HLOOKUP(B$4,'[1]credit ethnic graded seats'!$1:$2,2,FALSE),FALSE)</f>
        <v>22</v>
      </c>
      <c r="C11" s="21">
        <f>VLOOKUP($A11,'[1]credit ethnic graded seats'!$A:$P,HLOOKUP(C$4,'[1]credit ethnic graded seats'!$1:$2,2,FALSE),FALSE)</f>
        <v>61</v>
      </c>
      <c r="D11" s="26">
        <f>VLOOKUP($A11,'[1]credit ethnic graded seats'!$A:$P,HLOOKUP(D$4,'[1]credit ethnic graded seats'!$1:$2,2,FALSE),FALSE)</f>
        <v>61</v>
      </c>
      <c r="E11" s="24">
        <f>VLOOKUP($A11,'[1]credit ethnic graded seats'!$A:$P,HLOOKUP(E$4,'[1]credit ethnic graded seats'!$1:$2,2,FALSE),FALSE)</f>
        <v>25</v>
      </c>
      <c r="F11" s="21">
        <f>VLOOKUP($A11,'[1]credit ethnic graded seats'!$A:$P,HLOOKUP(F$4,'[1]credit ethnic graded seats'!$1:$2,2,FALSE),FALSE)</f>
        <v>69</v>
      </c>
      <c r="G11" s="21">
        <f>VLOOKUP($A11,'[1]credit ethnic graded seats'!$A:$P,HLOOKUP(G$4,'[1]credit ethnic graded seats'!$1:$2,2,FALSE),FALSE)</f>
        <v>73</v>
      </c>
      <c r="H11" s="21">
        <f>VLOOKUP($A11,'[1]credit ethnic graded seats'!$A:$P,HLOOKUP(H$4,'[1]credit ethnic graded seats'!$1:$2,2,FALSE),FALSE)</f>
        <v>4</v>
      </c>
      <c r="I11" s="21">
        <f>VLOOKUP($A11,'[1]credit ethnic graded seats'!$A:$P,HLOOKUP(I$4,'[1]credit ethnic graded seats'!$1:$2,2,FALSE),FALSE)</f>
        <v>73</v>
      </c>
      <c r="J11" s="4">
        <f>VLOOKUP($A11,'[1]credit ethnic graded seats'!$A:$P,HLOOKUP(J$4,'[1]credit ethnic graded seats'!$1:$2,2,FALSE),FALSE)</f>
        <v>64</v>
      </c>
      <c r="K11" s="24">
        <f>VLOOKUP($A11,'[1]credit ethnic graded seats'!$A:$P,HLOOKUP(K$4,'[1]credit ethnic graded seats'!$1:$2,2,FALSE),FALSE)</f>
        <v>6</v>
      </c>
      <c r="L11" s="21">
        <f>VLOOKUP($A11,'[1]credit ethnic graded seats'!$A:$P,HLOOKUP(L$4,'[1]credit ethnic graded seats'!$1:$2,2,FALSE),FALSE)</f>
        <v>51</v>
      </c>
      <c r="M11" s="4">
        <f>VLOOKUP($A11,'[1]credit ethnic graded seats'!$A:$P,HLOOKUP(M$4,'[1]credit ethnic graded seats'!$1:$2,2,FALSE),FALSE)</f>
        <v>42</v>
      </c>
      <c r="N11" s="28">
        <f>VLOOKUP($A11,'[1]credit ethnic graded seats'!$A:$P,HLOOKUP(N$4,'[1]credit ethnic graded seats'!$1:$2,2,FALSE),FALSE)</f>
        <v>0</v>
      </c>
      <c r="O11" s="21">
        <f>VLOOKUP($A11,'[1]credit ethnic graded seats'!$A:$P,HLOOKUP(O$4,'[1]credit ethnic graded seats'!$1:$2,2,FALSE),FALSE)</f>
        <v>30</v>
      </c>
      <c r="P11" s="21">
        <f>VLOOKUP($A11,'[1]credit ethnic graded seats'!$A:$P,HLOOKUP(P$4,'[1]credit ethnic graded seats'!$1:$2,2,FALSE),FALSE)</f>
        <v>29</v>
      </c>
    </row>
    <row r="12" spans="1:16" x14ac:dyDescent="0.25">
      <c r="A12" s="13" t="s">
        <v>28</v>
      </c>
      <c r="B12" s="24">
        <f>VLOOKUP($A12,'[1]credit ethnic graded seats'!$A:$P,HLOOKUP(B$4,'[1]credit ethnic graded seats'!$1:$2,2,FALSE),FALSE)</f>
        <v>32</v>
      </c>
      <c r="C12" s="21">
        <f>VLOOKUP($A12,'[1]credit ethnic graded seats'!$A:$P,HLOOKUP(C$4,'[1]credit ethnic graded seats'!$1:$2,2,FALSE),FALSE)</f>
        <v>112</v>
      </c>
      <c r="D12" s="26">
        <f>VLOOKUP($A12,'[1]credit ethnic graded seats'!$A:$P,HLOOKUP(D$4,'[1]credit ethnic graded seats'!$1:$2,2,FALSE),FALSE)</f>
        <v>114</v>
      </c>
      <c r="E12" s="24">
        <f>VLOOKUP($A12,'[1]credit ethnic graded seats'!$A:$P,HLOOKUP(E$4,'[1]credit ethnic graded seats'!$1:$2,2,FALSE),FALSE)</f>
        <v>43</v>
      </c>
      <c r="F12" s="21">
        <f>VLOOKUP($A12,'[1]credit ethnic graded seats'!$A:$P,HLOOKUP(F$4,'[1]credit ethnic graded seats'!$1:$2,2,FALSE),FALSE)</f>
        <v>126</v>
      </c>
      <c r="G12" s="21">
        <f>VLOOKUP($A12,'[1]credit ethnic graded seats'!$A:$P,HLOOKUP(G$4,'[1]credit ethnic graded seats'!$1:$2,2,FALSE),FALSE)</f>
        <v>133</v>
      </c>
      <c r="H12" s="21">
        <f>VLOOKUP($A12,'[1]credit ethnic graded seats'!$A:$P,HLOOKUP(H$4,'[1]credit ethnic graded seats'!$1:$2,2,FALSE),FALSE)</f>
        <v>25</v>
      </c>
      <c r="I12" s="21">
        <f>VLOOKUP($A12,'[1]credit ethnic graded seats'!$A:$P,HLOOKUP(I$4,'[1]credit ethnic graded seats'!$1:$2,2,FALSE),FALSE)</f>
        <v>225</v>
      </c>
      <c r="J12" s="4">
        <f>VLOOKUP($A12,'[1]credit ethnic graded seats'!$A:$P,HLOOKUP(J$4,'[1]credit ethnic graded seats'!$1:$2,2,FALSE),FALSE)</f>
        <v>281</v>
      </c>
      <c r="K12" s="24">
        <f>VLOOKUP($A12,'[1]credit ethnic graded seats'!$A:$P,HLOOKUP(K$4,'[1]credit ethnic graded seats'!$1:$2,2,FALSE),FALSE)</f>
        <v>25</v>
      </c>
      <c r="L12" s="21">
        <f>VLOOKUP($A12,'[1]credit ethnic graded seats'!$A:$P,HLOOKUP(L$4,'[1]credit ethnic graded seats'!$1:$2,2,FALSE),FALSE)</f>
        <v>303</v>
      </c>
      <c r="M12" s="4">
        <f>VLOOKUP($A12,'[1]credit ethnic graded seats'!$A:$P,HLOOKUP(M$4,'[1]credit ethnic graded seats'!$1:$2,2,FALSE),FALSE)</f>
        <v>354</v>
      </c>
      <c r="N12" s="28">
        <f>VLOOKUP($A12,'[1]credit ethnic graded seats'!$A:$P,HLOOKUP(N$4,'[1]credit ethnic graded seats'!$1:$2,2,FALSE),FALSE)</f>
        <v>3</v>
      </c>
      <c r="O12" s="21">
        <f>VLOOKUP($A12,'[1]credit ethnic graded seats'!$A:$P,HLOOKUP(O$4,'[1]credit ethnic graded seats'!$1:$2,2,FALSE),FALSE)</f>
        <v>387</v>
      </c>
      <c r="P12" s="21">
        <f>VLOOKUP($A12,'[1]credit ethnic graded seats'!$A:$P,HLOOKUP(P$4,'[1]credit ethnic graded seats'!$1:$2,2,FALSE),FALSE)</f>
        <v>436</v>
      </c>
    </row>
    <row r="13" spans="1:16" ht="15.75" thickBot="1" x14ac:dyDescent="0.3">
      <c r="A13" s="14" t="s">
        <v>29</v>
      </c>
      <c r="B13" s="29">
        <f>VLOOKUP($A13,'[1]credit ethnic graded seats'!$A:$P,HLOOKUP(B$4,'[1]credit ethnic graded seats'!$1:$2,2,FALSE),FALSE)</f>
        <v>213</v>
      </c>
      <c r="C13" s="30">
        <f>VLOOKUP($A13,'[1]credit ethnic graded seats'!$A:$P,HLOOKUP(C$4,'[1]credit ethnic graded seats'!$1:$2,2,FALSE),FALSE)</f>
        <v>641</v>
      </c>
      <c r="D13" s="31">
        <f>VLOOKUP($A13,'[1]credit ethnic graded seats'!$A:$P,HLOOKUP(D$4,'[1]credit ethnic graded seats'!$1:$2,2,FALSE),FALSE)</f>
        <v>621</v>
      </c>
      <c r="E13" s="29">
        <f>VLOOKUP($A13,'[1]credit ethnic graded seats'!$A:$P,HLOOKUP(E$4,'[1]credit ethnic graded seats'!$1:$2,2,FALSE),FALSE)</f>
        <v>243</v>
      </c>
      <c r="F13" s="30">
        <f>VLOOKUP($A13,'[1]credit ethnic graded seats'!$A:$P,HLOOKUP(F$4,'[1]credit ethnic graded seats'!$1:$2,2,FALSE),FALSE)</f>
        <v>757</v>
      </c>
      <c r="G13" s="30">
        <f>VLOOKUP($A13,'[1]credit ethnic graded seats'!$A:$P,HLOOKUP(G$4,'[1]credit ethnic graded seats'!$1:$2,2,FALSE),FALSE)</f>
        <v>805</v>
      </c>
      <c r="H13" s="30">
        <f>VLOOKUP($A13,'[1]credit ethnic graded seats'!$A:$P,HLOOKUP(H$4,'[1]credit ethnic graded seats'!$1:$2,2,FALSE),FALSE)</f>
        <v>127</v>
      </c>
      <c r="I13" s="30">
        <f>VLOOKUP($A13,'[1]credit ethnic graded seats'!$A:$P,HLOOKUP(I$4,'[1]credit ethnic graded seats'!$1:$2,2,FALSE),FALSE)</f>
        <v>873</v>
      </c>
      <c r="J13" s="32">
        <f>VLOOKUP($A13,'[1]credit ethnic graded seats'!$A:$P,HLOOKUP(J$4,'[1]credit ethnic graded seats'!$1:$2,2,FALSE),FALSE)</f>
        <v>739</v>
      </c>
      <c r="K13" s="29">
        <f>VLOOKUP($A13,'[1]credit ethnic graded seats'!$A:$P,HLOOKUP(K$4,'[1]credit ethnic graded seats'!$1:$2,2,FALSE),FALSE)</f>
        <v>53</v>
      </c>
      <c r="L13" s="30">
        <f>VLOOKUP($A13,'[1]credit ethnic graded seats'!$A:$P,HLOOKUP(L$4,'[1]credit ethnic graded seats'!$1:$2,2,FALSE),FALSE)</f>
        <v>544</v>
      </c>
      <c r="M13" s="32">
        <f>VLOOKUP($A13,'[1]credit ethnic graded seats'!$A:$P,HLOOKUP(M$4,'[1]credit ethnic graded seats'!$1:$2,2,FALSE),FALSE)</f>
        <v>509</v>
      </c>
      <c r="N13" s="33">
        <f>VLOOKUP($A13,'[1]credit ethnic graded seats'!$A:$P,HLOOKUP(N$4,'[1]credit ethnic graded seats'!$1:$2,2,FALSE),FALSE)</f>
        <v>2</v>
      </c>
      <c r="O13" s="30">
        <f>VLOOKUP($A13,'[1]credit ethnic graded seats'!$A:$P,HLOOKUP(O$4,'[1]credit ethnic graded seats'!$1:$2,2,FALSE),FALSE)</f>
        <v>359</v>
      </c>
      <c r="P13" s="21">
        <f>VLOOKUP($A13,'[1]credit ethnic graded seats'!$A:$P,HLOOKUP(P$4,'[1]credit ethnic graded seats'!$1:$2,2,FALSE),FALSE)</f>
        <v>338</v>
      </c>
    </row>
    <row r="14" spans="1:16" ht="15.75" thickBot="1" x14ac:dyDescent="0.3">
      <c r="A14" s="19" t="s">
        <v>30</v>
      </c>
      <c r="B14" s="35">
        <f>VLOOKUP($A14,'[1]credit ethnic graded seats'!$A:$P,HLOOKUP(B$4,'[1]credit ethnic graded seats'!$1:$2,2,FALSE),FALSE)</f>
        <v>2511</v>
      </c>
      <c r="C14" s="36">
        <f>VLOOKUP($A14,'[1]credit ethnic graded seats'!$A:$P,HLOOKUP(C$4,'[1]credit ethnic graded seats'!$1:$2,2,FALSE),FALSE)</f>
        <v>8669</v>
      </c>
      <c r="D14" s="37">
        <f>VLOOKUP($A14,'[1]credit ethnic graded seats'!$A:$P,HLOOKUP(D$4,'[1]credit ethnic graded seats'!$1:$2,2,FALSE),FALSE)</f>
        <v>8477</v>
      </c>
      <c r="E14" s="35">
        <f>VLOOKUP($A14,'[1]credit ethnic graded seats'!$A:$P,HLOOKUP(E$4,'[1]credit ethnic graded seats'!$1:$2,2,FALSE),FALSE)</f>
        <v>2821</v>
      </c>
      <c r="F14" s="36">
        <f>VLOOKUP($A14,'[1]credit ethnic graded seats'!$A:$P,HLOOKUP(F$4,'[1]credit ethnic graded seats'!$1:$2,2,FALSE),FALSE)</f>
        <v>9490</v>
      </c>
      <c r="G14" s="36">
        <f>VLOOKUP($A14,'[1]credit ethnic graded seats'!$A:$P,HLOOKUP(G$4,'[1]credit ethnic graded seats'!$1:$2,2,FALSE),FALSE)</f>
        <v>9655</v>
      </c>
      <c r="H14" s="36">
        <f>VLOOKUP($A14,'[1]credit ethnic graded seats'!$A:$P,HLOOKUP(H$4,'[1]credit ethnic graded seats'!$1:$2,2,FALSE),FALSE)</f>
        <v>1503</v>
      </c>
      <c r="I14" s="36">
        <f>VLOOKUP($A14,'[1]credit ethnic graded seats'!$A:$P,HLOOKUP(I$4,'[1]credit ethnic graded seats'!$1:$2,2,FALSE),FALSE)</f>
        <v>10474</v>
      </c>
      <c r="J14" s="34">
        <f>VLOOKUP($A14,'[1]credit ethnic graded seats'!$A:$P,HLOOKUP(J$4,'[1]credit ethnic graded seats'!$1:$2,2,FALSE),FALSE)</f>
        <v>10153</v>
      </c>
      <c r="K14" s="35">
        <f>VLOOKUP($A14,'[1]credit ethnic graded seats'!$A:$P,HLOOKUP(K$4,'[1]credit ethnic graded seats'!$1:$2,2,FALSE),FALSE)</f>
        <v>763</v>
      </c>
      <c r="L14" s="36">
        <f>VLOOKUP($A14,'[1]credit ethnic graded seats'!$A:$P,HLOOKUP(L$4,'[1]credit ethnic graded seats'!$1:$2,2,FALSE),FALSE)</f>
        <v>9133</v>
      </c>
      <c r="M14" s="34">
        <f>VLOOKUP($A14,'[1]credit ethnic graded seats'!$A:$P,HLOOKUP(M$4,'[1]credit ethnic graded seats'!$1:$2,2,FALSE),FALSE)</f>
        <v>9175</v>
      </c>
      <c r="N14" s="38">
        <f>VLOOKUP($A14,'[1]credit ethnic graded seats'!$A:$P,HLOOKUP(N$4,'[1]credit ethnic graded seats'!$1:$2,2,FALSE),FALSE)</f>
        <v>37</v>
      </c>
      <c r="O14" s="36">
        <f>VLOOKUP($A14,'[1]credit ethnic graded seats'!$A:$P,HLOOKUP(O$4,'[1]credit ethnic graded seats'!$1:$2,2,FALSE),FALSE)</f>
        <v>8523</v>
      </c>
      <c r="P14" s="36">
        <f>VLOOKUP($A14,'[1]credit ethnic graded seats'!$A:$P,HLOOKUP(P$4,'[1]credit ethnic graded seats'!$1:$2,2,FALSE),FALSE)</f>
        <v>8923</v>
      </c>
    </row>
    <row r="15" spans="1:16" ht="15.75" thickBot="1" x14ac:dyDescent="0.3">
      <c r="A15" s="20" t="s">
        <v>5</v>
      </c>
      <c r="B15" s="88">
        <v>13221</v>
      </c>
      <c r="C15" s="89"/>
      <c r="D15" s="90"/>
      <c r="E15" s="88">
        <v>14790</v>
      </c>
      <c r="F15" s="89"/>
      <c r="G15" s="89"/>
      <c r="H15" s="89">
        <v>14991</v>
      </c>
      <c r="I15" s="89"/>
      <c r="J15" s="91"/>
      <c r="K15" s="88">
        <v>12920</v>
      </c>
      <c r="L15" s="89"/>
      <c r="M15" s="91"/>
      <c r="N15" s="92"/>
      <c r="O15" s="89"/>
      <c r="P15" s="91"/>
    </row>
    <row r="16" spans="1:16" ht="15.75" thickBot="1" x14ac:dyDescent="0.3">
      <c r="A16" s="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.75" x14ac:dyDescent="0.25">
      <c r="A17" s="82" t="s">
        <v>31</v>
      </c>
      <c r="B17" s="85" t="s">
        <v>32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7"/>
    </row>
    <row r="18" spans="1:16" ht="16.5" thickBot="1" x14ac:dyDescent="0.3">
      <c r="A18" s="83"/>
      <c r="B18" s="77" t="s">
        <v>40</v>
      </c>
      <c r="C18" s="78"/>
      <c r="D18" s="78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1"/>
    </row>
    <row r="19" spans="1:16" ht="15.75" thickBot="1" x14ac:dyDescent="0.3">
      <c r="A19" s="84"/>
      <c r="B19" s="65" t="s">
        <v>0</v>
      </c>
      <c r="C19" s="66"/>
      <c r="D19" s="67"/>
      <c r="E19" s="75" t="s">
        <v>1</v>
      </c>
      <c r="F19" s="73"/>
      <c r="G19" s="74"/>
      <c r="H19" s="68" t="s">
        <v>2</v>
      </c>
      <c r="I19" s="66"/>
      <c r="J19" s="76"/>
      <c r="K19" s="72" t="s">
        <v>3</v>
      </c>
      <c r="L19" s="73"/>
      <c r="M19" s="74"/>
      <c r="N19" s="68" t="s">
        <v>4</v>
      </c>
      <c r="O19" s="66"/>
      <c r="P19" s="67"/>
    </row>
    <row r="20" spans="1:16" ht="15.75" thickBot="1" x14ac:dyDescent="0.3">
      <c r="A20" s="8" t="s">
        <v>38</v>
      </c>
      <c r="B20" s="52" t="s">
        <v>6</v>
      </c>
      <c r="C20" s="53" t="s">
        <v>7</v>
      </c>
      <c r="D20" s="54" t="s">
        <v>8</v>
      </c>
      <c r="E20" s="55" t="s">
        <v>9</v>
      </c>
      <c r="F20" s="56" t="s">
        <v>10</v>
      </c>
      <c r="G20" s="57" t="s">
        <v>11</v>
      </c>
      <c r="H20" s="58" t="s">
        <v>12</v>
      </c>
      <c r="I20" s="53" t="s">
        <v>13</v>
      </c>
      <c r="J20" s="59" t="s">
        <v>14</v>
      </c>
      <c r="K20" s="60" t="s">
        <v>15</v>
      </c>
      <c r="L20" s="56" t="s">
        <v>16</v>
      </c>
      <c r="M20" s="57" t="s">
        <v>17</v>
      </c>
      <c r="N20" s="58" t="s">
        <v>18</v>
      </c>
      <c r="O20" s="53" t="s">
        <v>19</v>
      </c>
      <c r="P20" s="54" t="s">
        <v>20</v>
      </c>
    </row>
    <row r="21" spans="1:16" x14ac:dyDescent="0.25">
      <c r="A21" s="12" t="s">
        <v>21</v>
      </c>
      <c r="B21" s="5">
        <f>B5/B$14</f>
        <v>0.41935483870967744</v>
      </c>
      <c r="C21" s="39">
        <f t="shared" ref="C21:P22" si="0">C5/C$14</f>
        <v>0.48137040027684852</v>
      </c>
      <c r="D21" s="46">
        <f t="shared" si="0"/>
        <v>0.4738704730447092</v>
      </c>
      <c r="E21" s="5">
        <f t="shared" si="0"/>
        <v>0.40801134349521445</v>
      </c>
      <c r="F21" s="39">
        <f t="shared" si="0"/>
        <v>0.46880927291886199</v>
      </c>
      <c r="G21" s="6">
        <f t="shared" si="0"/>
        <v>0.46815121698601758</v>
      </c>
      <c r="H21" s="49">
        <f t="shared" si="0"/>
        <v>0.3985362608117099</v>
      </c>
      <c r="I21" s="39">
        <f t="shared" si="0"/>
        <v>0.45694099675386673</v>
      </c>
      <c r="J21" s="46">
        <f t="shared" si="0"/>
        <v>0.44666601004629175</v>
      </c>
      <c r="K21" s="5">
        <f t="shared" si="0"/>
        <v>0.4076015727391874</v>
      </c>
      <c r="L21" s="39">
        <f t="shared" si="0"/>
        <v>0.44268038979524799</v>
      </c>
      <c r="M21" s="6">
        <f t="shared" si="0"/>
        <v>0.42953678474114443</v>
      </c>
      <c r="N21" s="49">
        <f t="shared" si="0"/>
        <v>0.35135135135135137</v>
      </c>
      <c r="O21" s="39">
        <f t="shared" si="0"/>
        <v>0.41921858500527981</v>
      </c>
      <c r="P21" s="64">
        <f t="shared" si="0"/>
        <v>0.4068138518435504</v>
      </c>
    </row>
    <row r="22" spans="1:16" x14ac:dyDescent="0.25">
      <c r="A22" s="13" t="s">
        <v>22</v>
      </c>
      <c r="B22" s="45">
        <f t="shared" ref="B22:O22" si="1">B6/B$14</f>
        <v>0.29231381919553961</v>
      </c>
      <c r="C22" s="40">
        <f t="shared" si="1"/>
        <v>0.27096550928596147</v>
      </c>
      <c r="D22" s="47">
        <f t="shared" si="1"/>
        <v>0.27297392945617555</v>
      </c>
      <c r="E22" s="45">
        <f t="shared" si="1"/>
        <v>0.2998936547323644</v>
      </c>
      <c r="F22" s="40">
        <f t="shared" si="1"/>
        <v>0.27776606954689148</v>
      </c>
      <c r="G22" s="7">
        <f t="shared" si="1"/>
        <v>0.27622993267736923</v>
      </c>
      <c r="H22" s="50">
        <f t="shared" si="1"/>
        <v>0.31403858948769131</v>
      </c>
      <c r="I22" s="40">
        <f t="shared" si="1"/>
        <v>0.28651899942715298</v>
      </c>
      <c r="J22" s="47">
        <f t="shared" si="1"/>
        <v>0.29912341179946816</v>
      </c>
      <c r="K22" s="45">
        <f t="shared" si="1"/>
        <v>0.30013106159895153</v>
      </c>
      <c r="L22" s="40">
        <f t="shared" si="1"/>
        <v>0.3184057812328917</v>
      </c>
      <c r="M22" s="7">
        <f t="shared" si="1"/>
        <v>0.32632152588555857</v>
      </c>
      <c r="N22" s="50">
        <f t="shared" si="1"/>
        <v>0.43243243243243246</v>
      </c>
      <c r="O22" s="40">
        <f t="shared" si="1"/>
        <v>0.35492197583010676</v>
      </c>
      <c r="P22" s="40">
        <f t="shared" si="0"/>
        <v>0.37072733385632634</v>
      </c>
    </row>
    <row r="23" spans="1:16" x14ac:dyDescent="0.25">
      <c r="A23" s="13" t="s">
        <v>23</v>
      </c>
      <c r="B23" s="45">
        <f t="shared" ref="B23:P23" si="2">B7/B$14</f>
        <v>5.7347670250896057E-2</v>
      </c>
      <c r="C23" s="40">
        <f t="shared" si="2"/>
        <v>6.0329911177759835E-2</v>
      </c>
      <c r="D23" s="47">
        <f t="shared" si="2"/>
        <v>6.2286186150760883E-2</v>
      </c>
      <c r="E23" s="45">
        <f t="shared" si="2"/>
        <v>6.4161644806806098E-2</v>
      </c>
      <c r="F23" s="40">
        <f t="shared" si="2"/>
        <v>6.0906217070600635E-2</v>
      </c>
      <c r="G23" s="7">
        <f t="shared" si="2"/>
        <v>6.4629725530813045E-2</v>
      </c>
      <c r="H23" s="50">
        <f t="shared" si="2"/>
        <v>6.3872255489021951E-2</v>
      </c>
      <c r="I23" s="40">
        <f t="shared" si="2"/>
        <v>6.1485583349245754E-2</v>
      </c>
      <c r="J23" s="47">
        <f t="shared" si="2"/>
        <v>6.3921993499458291E-2</v>
      </c>
      <c r="K23" s="45">
        <f t="shared" si="2"/>
        <v>9.0432503276539969E-2</v>
      </c>
      <c r="L23" s="40">
        <f t="shared" si="2"/>
        <v>5.8250301105879775E-2</v>
      </c>
      <c r="M23" s="7">
        <f t="shared" si="2"/>
        <v>6.3760217983651224E-2</v>
      </c>
      <c r="N23" s="50">
        <f t="shared" si="2"/>
        <v>5.4054054054054057E-2</v>
      </c>
      <c r="O23" s="40">
        <f t="shared" si="2"/>
        <v>5.8195471078258829E-2</v>
      </c>
      <c r="P23" s="40">
        <f t="shared" si="2"/>
        <v>5.9060853972879079E-2</v>
      </c>
    </row>
    <row r="24" spans="1:16" x14ac:dyDescent="0.25">
      <c r="A24" s="13" t="s">
        <v>24</v>
      </c>
      <c r="B24" s="45">
        <f t="shared" ref="B24:P24" si="3">B8/B$14</f>
        <v>5.5356431700517725E-2</v>
      </c>
      <c r="C24" s="40">
        <f t="shared" si="3"/>
        <v>3.322182489329796E-2</v>
      </c>
      <c r="D24" s="47">
        <f t="shared" si="3"/>
        <v>3.4328182139907987E-2</v>
      </c>
      <c r="E24" s="45">
        <f t="shared" si="3"/>
        <v>5.5299539170506916E-2</v>
      </c>
      <c r="F24" s="40">
        <f t="shared" si="3"/>
        <v>3.1717597471022131E-2</v>
      </c>
      <c r="G24" s="7">
        <f t="shared" si="3"/>
        <v>3.2936302433972033E-2</v>
      </c>
      <c r="H24" s="50">
        <f t="shared" si="3"/>
        <v>5.2561543579507652E-2</v>
      </c>
      <c r="I24" s="40">
        <f t="shared" si="3"/>
        <v>3.0742791674622877E-2</v>
      </c>
      <c r="J24" s="47">
        <f t="shared" si="3"/>
        <v>3.2404215502807053E-2</v>
      </c>
      <c r="K24" s="45">
        <f t="shared" si="3"/>
        <v>4.456094364351245E-2</v>
      </c>
      <c r="L24" s="40">
        <f t="shared" si="3"/>
        <v>3.3176393299025511E-2</v>
      </c>
      <c r="M24" s="7">
        <f t="shared" si="3"/>
        <v>3.3896457765667576E-2</v>
      </c>
      <c r="N24" s="50">
        <f t="shared" si="3"/>
        <v>2.7027027027027029E-2</v>
      </c>
      <c r="O24" s="40">
        <f t="shared" si="3"/>
        <v>3.1092338378505221E-2</v>
      </c>
      <c r="P24" s="40">
        <f t="shared" si="3"/>
        <v>2.6784713661324667E-2</v>
      </c>
    </row>
    <row r="25" spans="1:16" x14ac:dyDescent="0.25">
      <c r="A25" s="13" t="s">
        <v>25</v>
      </c>
      <c r="B25" s="45">
        <f t="shared" ref="B25:P25" si="4">B9/B$14</f>
        <v>1.2743926722421346E-2</v>
      </c>
      <c r="C25" s="40">
        <f t="shared" si="4"/>
        <v>1.0266466720498328E-2</v>
      </c>
      <c r="D25" s="47">
        <f t="shared" si="4"/>
        <v>1.0852896071723487E-2</v>
      </c>
      <c r="E25" s="45">
        <f t="shared" si="4"/>
        <v>7.4441687344913151E-3</v>
      </c>
      <c r="F25" s="40">
        <f t="shared" si="4"/>
        <v>1.0432033719704952E-2</v>
      </c>
      <c r="G25" s="7">
        <f t="shared" si="4"/>
        <v>1.0253754531330917E-2</v>
      </c>
      <c r="H25" s="50">
        <f t="shared" si="4"/>
        <v>1.1976047904191617E-2</v>
      </c>
      <c r="I25" s="40">
        <f t="shared" si="4"/>
        <v>8.3062822226465539E-3</v>
      </c>
      <c r="J25" s="47">
        <f t="shared" si="4"/>
        <v>8.9628681177976958E-3</v>
      </c>
      <c r="K25" s="45">
        <f t="shared" si="4"/>
        <v>1.310615989515072E-2</v>
      </c>
      <c r="L25" s="40">
        <f t="shared" si="4"/>
        <v>7.2265411146392204E-3</v>
      </c>
      <c r="M25" s="7">
        <f t="shared" si="4"/>
        <v>7.1934604904632157E-3</v>
      </c>
      <c r="N25" s="50">
        <f t="shared" si="4"/>
        <v>0</v>
      </c>
      <c r="O25" s="40">
        <f t="shared" si="4"/>
        <v>5.1625014666197349E-3</v>
      </c>
      <c r="P25" s="40">
        <f t="shared" si="4"/>
        <v>5.8276364451417687E-3</v>
      </c>
    </row>
    <row r="26" spans="1:16" x14ac:dyDescent="0.25">
      <c r="A26" s="13" t="s">
        <v>26</v>
      </c>
      <c r="B26" s="45">
        <f t="shared" ref="B26:P26" si="5">B10/B$14</f>
        <v>5.6551174830744726E-2</v>
      </c>
      <c r="C26" s="40">
        <f t="shared" si="5"/>
        <v>4.9948090898604219E-2</v>
      </c>
      <c r="D26" s="47">
        <f t="shared" si="5"/>
        <v>5.1787188863984902E-2</v>
      </c>
      <c r="E26" s="45">
        <f t="shared" si="5"/>
        <v>5.4945054945054944E-2</v>
      </c>
      <c r="F26" s="40">
        <f t="shared" si="5"/>
        <v>5.0052687038988408E-2</v>
      </c>
      <c r="G26" s="7">
        <f t="shared" si="5"/>
        <v>4.3086483687208701E-2</v>
      </c>
      <c r="H26" s="50">
        <f t="shared" si="5"/>
        <v>5.5222887558216902E-2</v>
      </c>
      <c r="I26" s="40">
        <f t="shared" si="5"/>
        <v>4.4204697345808668E-2</v>
      </c>
      <c r="J26" s="47">
        <f t="shared" si="5"/>
        <v>4.2155028070521031E-2</v>
      </c>
      <c r="K26" s="45">
        <f t="shared" si="5"/>
        <v>3.4076015727391877E-2</v>
      </c>
      <c r="L26" s="40">
        <f t="shared" si="5"/>
        <v>4.1935837074345776E-2</v>
      </c>
      <c r="M26" s="7">
        <f t="shared" si="5"/>
        <v>4.0653950953678471E-2</v>
      </c>
      <c r="N26" s="50">
        <f t="shared" si="5"/>
        <v>0</v>
      </c>
      <c r="O26" s="40">
        <f t="shared" si="5"/>
        <v>4.0361375102663383E-2</v>
      </c>
      <c r="P26" s="40">
        <f t="shared" si="5"/>
        <v>4.0793455115992382E-2</v>
      </c>
    </row>
    <row r="27" spans="1:16" x14ac:dyDescent="0.25">
      <c r="A27" s="13" t="s">
        <v>27</v>
      </c>
      <c r="B27" s="45">
        <f t="shared" ref="B27:P27" si="6">B11/B$14</f>
        <v>8.7614496216646756E-3</v>
      </c>
      <c r="C27" s="40">
        <f t="shared" si="6"/>
        <v>7.0365670780943596E-3</v>
      </c>
      <c r="D27" s="47">
        <f t="shared" si="6"/>
        <v>7.1959419605992685E-3</v>
      </c>
      <c r="E27" s="45">
        <f t="shared" si="6"/>
        <v>8.8621056362991855E-3</v>
      </c>
      <c r="F27" s="40">
        <f t="shared" si="6"/>
        <v>7.2708113804004215E-3</v>
      </c>
      <c r="G27" s="7">
        <f t="shared" si="6"/>
        <v>7.5608493008803733E-3</v>
      </c>
      <c r="H27" s="50">
        <f t="shared" si="6"/>
        <v>2.6613439787092482E-3</v>
      </c>
      <c r="I27" s="40">
        <f t="shared" si="6"/>
        <v>6.9696391063586022E-3</v>
      </c>
      <c r="J27" s="47">
        <f t="shared" si="6"/>
        <v>6.3035555993302475E-3</v>
      </c>
      <c r="K27" s="45">
        <f t="shared" si="6"/>
        <v>7.8636959370904317E-3</v>
      </c>
      <c r="L27" s="40">
        <f t="shared" si="6"/>
        <v>5.5841454067666703E-3</v>
      </c>
      <c r="M27" s="7">
        <f t="shared" si="6"/>
        <v>4.5776566757493187E-3</v>
      </c>
      <c r="N27" s="50">
        <f t="shared" si="6"/>
        <v>0</v>
      </c>
      <c r="O27" s="40">
        <f t="shared" si="6"/>
        <v>3.5198873636043647E-3</v>
      </c>
      <c r="P27" s="40">
        <f t="shared" si="6"/>
        <v>3.2500280174829095E-3</v>
      </c>
    </row>
    <row r="28" spans="1:16" x14ac:dyDescent="0.25">
      <c r="A28" s="13" t="s">
        <v>28</v>
      </c>
      <c r="B28" s="45">
        <f t="shared" ref="B28:P28" si="7">B12/B$14</f>
        <v>1.2743926722421346E-2</v>
      </c>
      <c r="C28" s="40">
        <f t="shared" si="7"/>
        <v>1.2919598569615873E-2</v>
      </c>
      <c r="D28" s="47">
        <f t="shared" si="7"/>
        <v>1.3448153828005191E-2</v>
      </c>
      <c r="E28" s="45">
        <f t="shared" si="7"/>
        <v>1.5242821694434599E-2</v>
      </c>
      <c r="F28" s="40">
        <f t="shared" si="7"/>
        <v>1.3277133825079031E-2</v>
      </c>
      <c r="G28" s="7">
        <f t="shared" si="7"/>
        <v>1.3775245986535473E-2</v>
      </c>
      <c r="H28" s="50">
        <f t="shared" si="7"/>
        <v>1.66333998669328E-2</v>
      </c>
      <c r="I28" s="40">
        <f t="shared" si="7"/>
        <v>2.1481764368913501E-2</v>
      </c>
      <c r="J28" s="47">
        <f t="shared" si="7"/>
        <v>2.7676548803309366E-2</v>
      </c>
      <c r="K28" s="45">
        <f t="shared" si="7"/>
        <v>3.2765399737876802E-2</v>
      </c>
      <c r="L28" s="40">
        <f t="shared" si="7"/>
        <v>3.3176393299025511E-2</v>
      </c>
      <c r="M28" s="7">
        <f t="shared" si="7"/>
        <v>3.8583106267029973E-2</v>
      </c>
      <c r="N28" s="50">
        <f t="shared" si="7"/>
        <v>8.1081081081081086E-2</v>
      </c>
      <c r="O28" s="40">
        <f t="shared" si="7"/>
        <v>4.5406546990496302E-2</v>
      </c>
      <c r="P28" s="40">
        <f t="shared" si="7"/>
        <v>4.8862490193880982E-2</v>
      </c>
    </row>
    <row r="29" spans="1:16" ht="15.75" thickBot="1" x14ac:dyDescent="0.3">
      <c r="A29" s="14" t="s">
        <v>29</v>
      </c>
      <c r="B29" s="42">
        <f t="shared" ref="B29:P29" si="8">B13/B$14</f>
        <v>8.4826762246117085E-2</v>
      </c>
      <c r="C29" s="44">
        <f t="shared" si="8"/>
        <v>7.3941631099319408E-2</v>
      </c>
      <c r="D29" s="48">
        <f t="shared" si="8"/>
        <v>7.3257048484133544E-2</v>
      </c>
      <c r="E29" s="42">
        <f t="shared" si="8"/>
        <v>8.6139666784828081E-2</v>
      </c>
      <c r="F29" s="44">
        <f t="shared" si="8"/>
        <v>7.9768177028451001E-2</v>
      </c>
      <c r="G29" s="41">
        <f t="shared" si="8"/>
        <v>8.3376488865872608E-2</v>
      </c>
      <c r="H29" s="51">
        <f t="shared" si="8"/>
        <v>8.4497671324018628E-2</v>
      </c>
      <c r="I29" s="44">
        <f t="shared" si="8"/>
        <v>8.3349245751384374E-2</v>
      </c>
      <c r="J29" s="48">
        <f t="shared" si="8"/>
        <v>7.2786368561016446E-2</v>
      </c>
      <c r="K29" s="42">
        <f t="shared" si="8"/>
        <v>6.9462647444298822E-2</v>
      </c>
      <c r="L29" s="44">
        <f t="shared" si="8"/>
        <v>5.9564217672177816E-2</v>
      </c>
      <c r="M29" s="41">
        <f t="shared" si="8"/>
        <v>5.5476839237057221E-2</v>
      </c>
      <c r="N29" s="51">
        <f t="shared" si="8"/>
        <v>5.4054054054054057E-2</v>
      </c>
      <c r="O29" s="44">
        <f t="shared" si="8"/>
        <v>4.2121318784465567E-2</v>
      </c>
      <c r="P29" s="40">
        <f t="shared" si="8"/>
        <v>3.7879636893421498E-2</v>
      </c>
    </row>
    <row r="30" spans="1:1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x14ac:dyDescent="0.25">
      <c r="A31" s="82" t="s">
        <v>33</v>
      </c>
      <c r="B31" s="85" t="s">
        <v>33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7"/>
    </row>
    <row r="32" spans="1:16" ht="16.5" thickBot="1" x14ac:dyDescent="0.3">
      <c r="A32" s="83"/>
      <c r="B32" s="77" t="s">
        <v>40</v>
      </c>
      <c r="C32" s="78"/>
      <c r="D32" s="78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1"/>
    </row>
    <row r="33" spans="1:16" ht="15.75" thickBot="1" x14ac:dyDescent="0.3">
      <c r="A33" s="84"/>
      <c r="B33" s="65" t="s">
        <v>0</v>
      </c>
      <c r="C33" s="66"/>
      <c r="D33" s="67"/>
      <c r="E33" s="75" t="s">
        <v>1</v>
      </c>
      <c r="F33" s="73"/>
      <c r="G33" s="74"/>
      <c r="H33" s="68" t="s">
        <v>2</v>
      </c>
      <c r="I33" s="66"/>
      <c r="J33" s="76"/>
      <c r="K33" s="72" t="s">
        <v>3</v>
      </c>
      <c r="L33" s="73"/>
      <c r="M33" s="74"/>
      <c r="N33" s="68" t="s">
        <v>4</v>
      </c>
      <c r="O33" s="66"/>
      <c r="P33" s="67"/>
    </row>
    <row r="34" spans="1:16" ht="15.75" thickBot="1" x14ac:dyDescent="0.3">
      <c r="A34" s="2" t="s">
        <v>37</v>
      </c>
      <c r="B34" s="52" t="s">
        <v>6</v>
      </c>
      <c r="C34" s="53" t="s">
        <v>7</v>
      </c>
      <c r="D34" s="54" t="s">
        <v>8</v>
      </c>
      <c r="E34" s="55" t="s">
        <v>9</v>
      </c>
      <c r="F34" s="56" t="s">
        <v>10</v>
      </c>
      <c r="G34" s="57" t="s">
        <v>11</v>
      </c>
      <c r="H34" s="52" t="s">
        <v>12</v>
      </c>
      <c r="I34" s="53" t="s">
        <v>13</v>
      </c>
      <c r="J34" s="54" t="s">
        <v>14</v>
      </c>
      <c r="K34" s="60" t="s">
        <v>15</v>
      </c>
      <c r="L34" s="56" t="s">
        <v>16</v>
      </c>
      <c r="M34" s="57" t="s">
        <v>17</v>
      </c>
      <c r="N34" s="52" t="s">
        <v>18</v>
      </c>
      <c r="O34" s="53" t="s">
        <v>19</v>
      </c>
      <c r="P34" s="54" t="s">
        <v>20</v>
      </c>
    </row>
    <row r="35" spans="1:16" x14ac:dyDescent="0.25">
      <c r="A35" s="12" t="s">
        <v>21</v>
      </c>
      <c r="B35" s="16">
        <f>VLOOKUP($A35,'[2]success rates'!$A:$P,HLOOKUP(B$34,'[2]success rates'!$1:$2,2,FALSE),FALSE)</f>
        <v>0.86091127098321341</v>
      </c>
      <c r="C35" s="16">
        <f>VLOOKUP($A35,'[2]success rates'!$A:$P,HLOOKUP(C$34,'[2]success rates'!$1:$2,2,FALSE),FALSE)</f>
        <v>0.68122555410690999</v>
      </c>
      <c r="D35" s="16">
        <f>VLOOKUP($A35,'[2]success rates'!$A:$P,HLOOKUP(D$34,'[2]success rates'!$1:$2,2,FALSE),FALSE)</f>
        <v>0.71060657404269734</v>
      </c>
      <c r="E35" s="16">
        <f>VLOOKUP($A35,'[2]success rates'!$A:$P,HLOOKUP(E$34,'[2]success rates'!$1:$2,2,FALSE),FALSE)</f>
        <v>0.85664089950808153</v>
      </c>
      <c r="F35" s="16">
        <f>VLOOKUP($A35,'[2]success rates'!$A:$P,HLOOKUP(F$34,'[2]success rates'!$1:$2,2,FALSE),FALSE)</f>
        <v>0.70421263791374122</v>
      </c>
      <c r="G35" s="16">
        <f>VLOOKUP($A35,'[2]success rates'!$A:$P,HLOOKUP(G$34,'[2]success rates'!$1:$2,2,FALSE),FALSE)</f>
        <v>0.71259603720177922</v>
      </c>
      <c r="H35" s="16">
        <f>VLOOKUP($A35,'[2]success rates'!$A:$P,HLOOKUP(H$34,'[2]success rates'!$1:$2,2,FALSE),FALSE)</f>
        <v>0.87444608567208271</v>
      </c>
      <c r="I35" s="16">
        <f>VLOOKUP($A35,'[2]success rates'!$A:$P,HLOOKUP(I$34,'[2]success rates'!$1:$2,2,FALSE),FALSE)</f>
        <v>0.72528208070376743</v>
      </c>
      <c r="J35" s="16">
        <f>VLOOKUP($A35,'[2]success rates'!$A:$P,HLOOKUP(J$34,'[2]success rates'!$1:$2,2,FALSE),FALSE)</f>
        <v>0.72502852401203199</v>
      </c>
      <c r="K35" s="16">
        <f>VLOOKUP($A35,'[2]success rates'!$A:$P,HLOOKUP(K$34,'[2]success rates'!$1:$2,2,FALSE),FALSE)</f>
        <v>0.84638554216867468</v>
      </c>
      <c r="L35" s="16">
        <f>VLOOKUP($A35,'[2]success rates'!$A:$P,HLOOKUP(L$34,'[2]success rates'!$1:$2,2,FALSE),FALSE)</f>
        <v>0.74454472752199241</v>
      </c>
      <c r="M35" s="16">
        <f>VLOOKUP($A35,'[2]success rates'!$A:$P,HLOOKUP(M$34,'[2]success rates'!$1:$2,2,FALSE),FALSE)</f>
        <v>0.74028985507246381</v>
      </c>
      <c r="N35" s="16">
        <f>VLOOKUP($A35,'[2]success rates'!$A:$P,HLOOKUP(N$34,'[2]success rates'!$1:$2,2,FALSE),FALSE)</f>
        <v>1</v>
      </c>
      <c r="O35" s="16">
        <f>VLOOKUP($A35,'[2]success rates'!$A:$P,HLOOKUP(O$34,'[2]success rates'!$1:$2,2,FALSE),FALSE)</f>
        <v>0.75701653210303732</v>
      </c>
      <c r="P35" s="16">
        <f>VLOOKUP($A35,'[2]success rates'!$A:$P,HLOOKUP(P$34,'[2]success rates'!$1:$2,2,FALSE),FALSE)</f>
        <v>0.73895429801240664</v>
      </c>
    </row>
    <row r="36" spans="1:16" x14ac:dyDescent="0.25">
      <c r="A36" s="13" t="s">
        <v>22</v>
      </c>
      <c r="B36" s="16">
        <f>VLOOKUP($A36,'[2]success rates'!$A:$P,HLOOKUP(B$34,'[2]success rates'!$1:$2,2,FALSE),FALSE)</f>
        <v>0.80552486187845307</v>
      </c>
      <c r="C36" s="16">
        <f>VLOOKUP($A36,'[2]success rates'!$A:$P,HLOOKUP(C$34,'[2]success rates'!$1:$2,2,FALSE),FALSE)</f>
        <v>0.60729530461777259</v>
      </c>
      <c r="D36" s="16">
        <f>VLOOKUP($A36,'[2]success rates'!$A:$P,HLOOKUP(D$34,'[2]success rates'!$1:$2,2,FALSE),FALSE)</f>
        <v>0.64073634204275531</v>
      </c>
      <c r="E36" s="16">
        <f>VLOOKUP($A36,'[2]success rates'!$A:$P,HLOOKUP(E$34,'[2]success rates'!$1:$2,2,FALSE),FALSE)</f>
        <v>0.79829545454545459</v>
      </c>
      <c r="F36" s="16">
        <f>VLOOKUP($A36,'[2]success rates'!$A:$P,HLOOKUP(F$34,'[2]success rates'!$1:$2,2,FALSE),FALSE)</f>
        <v>0.64418444597384716</v>
      </c>
      <c r="G36" s="16">
        <f>VLOOKUP($A36,'[2]success rates'!$A:$P,HLOOKUP(G$34,'[2]success rates'!$1:$2,2,FALSE),FALSE)</f>
        <v>0.63695981166974946</v>
      </c>
      <c r="H36" s="16">
        <f>VLOOKUP($A36,'[2]success rates'!$A:$P,HLOOKUP(H$34,'[2]success rates'!$1:$2,2,FALSE),FALSE)</f>
        <v>0.79524680073126142</v>
      </c>
      <c r="I36" s="16">
        <f>VLOOKUP($A36,'[2]success rates'!$A:$P,HLOOKUP(I$34,'[2]success rates'!$1:$2,2,FALSE),FALSE)</f>
        <v>0.67163951895265639</v>
      </c>
      <c r="J36" s="16">
        <f>VLOOKUP($A36,'[2]success rates'!$A:$P,HLOOKUP(J$34,'[2]success rates'!$1:$2,2,FALSE),FALSE)</f>
        <v>0.66413373860182368</v>
      </c>
      <c r="K36" s="16">
        <f>VLOOKUP($A36,'[2]success rates'!$A:$P,HLOOKUP(K$34,'[2]success rates'!$1:$2,2,FALSE),FALSE)</f>
        <v>0.80672268907563027</v>
      </c>
      <c r="L36" s="16">
        <f>VLOOKUP($A36,'[2]success rates'!$A:$P,HLOOKUP(L$34,'[2]success rates'!$1:$2,2,FALSE),FALSE)</f>
        <v>0.68836778771983953</v>
      </c>
      <c r="M36" s="16">
        <f>VLOOKUP($A36,'[2]success rates'!$A:$P,HLOOKUP(M$34,'[2]success rates'!$1:$2,2,FALSE),FALSE)</f>
        <v>0.68058076225045372</v>
      </c>
      <c r="N36" s="16">
        <f>VLOOKUP($A36,'[2]success rates'!$A:$P,HLOOKUP(N$34,'[2]success rates'!$1:$2,2,FALSE),FALSE)</f>
        <v>1</v>
      </c>
      <c r="O36" s="16">
        <f>VLOOKUP($A36,'[2]success rates'!$A:$P,HLOOKUP(O$34,'[2]success rates'!$1:$2,2,FALSE),FALSE)</f>
        <v>0.69884575026232953</v>
      </c>
      <c r="P36" s="16">
        <f>VLOOKUP($A36,'[2]success rates'!$A:$P,HLOOKUP(P$34,'[2]success rates'!$1:$2,2,FALSE),FALSE)</f>
        <v>0.66962428947733255</v>
      </c>
    </row>
    <row r="37" spans="1:16" x14ac:dyDescent="0.25">
      <c r="A37" s="13" t="s">
        <v>23</v>
      </c>
      <c r="B37" s="16">
        <f>VLOOKUP($A37,'[2]success rates'!$A:$P,HLOOKUP(B$34,'[2]success rates'!$1:$2,2,FALSE),FALSE)</f>
        <v>0.74712643678160917</v>
      </c>
      <c r="C37" s="16">
        <f>VLOOKUP($A37,'[2]success rates'!$A:$P,HLOOKUP(C$34,'[2]success rates'!$1:$2,2,FALSE),FALSE)</f>
        <v>0.52997393570807994</v>
      </c>
      <c r="D37" s="16">
        <f>VLOOKUP($A37,'[2]success rates'!$A:$P,HLOOKUP(D$34,'[2]success rates'!$1:$2,2,FALSE),FALSE)</f>
        <v>0.56429780033840948</v>
      </c>
      <c r="E37" s="16">
        <f>VLOOKUP($A37,'[2]success rates'!$A:$P,HLOOKUP(E$34,'[2]success rates'!$1:$2,2,FALSE),FALSE)</f>
        <v>0.7021276595744681</v>
      </c>
      <c r="F37" s="16">
        <f>VLOOKUP($A37,'[2]success rates'!$A:$P,HLOOKUP(F$34,'[2]success rates'!$1:$2,2,FALSE),FALSE)</f>
        <v>0.53899613899613896</v>
      </c>
      <c r="G37" s="16">
        <f>VLOOKUP($A37,'[2]success rates'!$A:$P,HLOOKUP(G$34,'[2]success rates'!$1:$2,2,FALSE),FALSE)</f>
        <v>0.5757363253856943</v>
      </c>
      <c r="H37" s="16">
        <f>VLOOKUP($A37,'[2]success rates'!$A:$P,HLOOKUP(H$34,'[2]success rates'!$1:$2,2,FALSE),FALSE)</f>
        <v>0.76315789473684215</v>
      </c>
      <c r="I37" s="16">
        <f>VLOOKUP($A37,'[2]success rates'!$A:$P,HLOOKUP(I$34,'[2]success rates'!$1:$2,2,FALSE),FALSE)</f>
        <v>0.59915907498248078</v>
      </c>
      <c r="J37" s="16">
        <f>VLOOKUP($A37,'[2]success rates'!$A:$P,HLOOKUP(J$34,'[2]success rates'!$1:$2,2,FALSE),FALSE)</f>
        <v>0.57476294675419404</v>
      </c>
      <c r="K37" s="16">
        <f>VLOOKUP($A37,'[2]success rates'!$A:$P,HLOOKUP(K$34,'[2]success rates'!$1:$2,2,FALSE),FALSE)</f>
        <v>0.70666666666666667</v>
      </c>
      <c r="L37" s="16">
        <f>VLOOKUP($A37,'[2]success rates'!$A:$P,HLOOKUP(L$34,'[2]success rates'!$1:$2,2,FALSE),FALSE)</f>
        <v>0.64867256637168147</v>
      </c>
      <c r="M37" s="16">
        <f>VLOOKUP($A37,'[2]success rates'!$A:$P,HLOOKUP(M$34,'[2]success rates'!$1:$2,2,FALSE),FALSE)</f>
        <v>0.60047468354430378</v>
      </c>
      <c r="N37" s="16">
        <f>VLOOKUP($A37,'[2]success rates'!$A:$P,HLOOKUP(N$34,'[2]success rates'!$1:$2,2,FALSE),FALSE)</f>
        <v>1</v>
      </c>
      <c r="O37" s="16">
        <f>VLOOKUP($A37,'[2]success rates'!$A:$P,HLOOKUP(O$34,'[2]success rates'!$1:$2,2,FALSE),FALSE)</f>
        <v>0.64783427495291901</v>
      </c>
      <c r="P37" s="16">
        <f>VLOOKUP($A37,'[2]success rates'!$A:$P,HLOOKUP(P$34,'[2]success rates'!$1:$2,2,FALSE),FALSE)</f>
        <v>0.61896697713801863</v>
      </c>
    </row>
    <row r="38" spans="1:16" x14ac:dyDescent="0.25">
      <c r="A38" s="13" t="s">
        <v>24</v>
      </c>
      <c r="B38" s="16">
        <f>VLOOKUP($A38,'[2]success rates'!$A:$P,HLOOKUP(B$34,'[2]success rates'!$1:$2,2,FALSE),FALSE)</f>
        <v>0.80571428571428572</v>
      </c>
      <c r="C38" s="16">
        <f>VLOOKUP($A38,'[2]success rates'!$A:$P,HLOOKUP(C$34,'[2]success rates'!$1:$2,2,FALSE),FALSE)</f>
        <v>0.73763118440779607</v>
      </c>
      <c r="D38" s="16">
        <f>VLOOKUP($A38,'[2]success rates'!$A:$P,HLOOKUP(D$34,'[2]success rates'!$1:$2,2,FALSE),FALSE)</f>
        <v>0.72450532724505323</v>
      </c>
      <c r="E38" s="16">
        <f>VLOOKUP($A38,'[2]success rates'!$A:$P,HLOOKUP(E$34,'[2]success rates'!$1:$2,2,FALSE),FALSE)</f>
        <v>0.87254901960784315</v>
      </c>
      <c r="F38" s="16">
        <f>VLOOKUP($A38,'[2]success rates'!$A:$P,HLOOKUP(F$34,'[2]success rates'!$1:$2,2,FALSE),FALSE)</f>
        <v>0.75360230547550433</v>
      </c>
      <c r="G38" s="16">
        <f>VLOOKUP($A38,'[2]success rates'!$A:$P,HLOOKUP(G$34,'[2]success rates'!$1:$2,2,FALSE),FALSE)</f>
        <v>0.73288590604026849</v>
      </c>
      <c r="H38" s="16">
        <f>VLOOKUP($A38,'[2]success rates'!$A:$P,HLOOKUP(H$34,'[2]success rates'!$1:$2,2,FALSE),FALSE)</f>
        <v>0.89247311827956988</v>
      </c>
      <c r="I38" s="16">
        <f>VLOOKUP($A38,'[2]success rates'!$A:$P,HLOOKUP(I$34,'[2]success rates'!$1:$2,2,FALSE),FALSE)</f>
        <v>0.75033921302578022</v>
      </c>
      <c r="J38" s="16">
        <f>VLOOKUP($A38,'[2]success rates'!$A:$P,HLOOKUP(J$34,'[2]success rates'!$1:$2,2,FALSE),FALSE)</f>
        <v>0.7338709677419355</v>
      </c>
      <c r="K38" s="16">
        <f>VLOOKUP($A38,'[2]success rates'!$A:$P,HLOOKUP(K$34,'[2]success rates'!$1:$2,2,FALSE),FALSE)</f>
        <v>0.91428571428571426</v>
      </c>
      <c r="L38" s="16">
        <f>VLOOKUP($A38,'[2]success rates'!$A:$P,HLOOKUP(L$34,'[2]success rates'!$1:$2,2,FALSE),FALSE)</f>
        <v>0.78670360110803328</v>
      </c>
      <c r="M38" s="16">
        <f>VLOOKUP($A38,'[2]success rates'!$A:$P,HLOOKUP(M$34,'[2]success rates'!$1:$2,2,FALSE),FALSE)</f>
        <v>0.78104138851802407</v>
      </c>
      <c r="N38" s="16">
        <f>VLOOKUP($A38,'[2]success rates'!$A:$P,HLOOKUP(N$34,'[2]success rates'!$1:$2,2,FALSE),FALSE)</f>
        <v>1</v>
      </c>
      <c r="O38" s="16">
        <f>VLOOKUP($A38,'[2]success rates'!$A:$P,HLOOKUP(O$34,'[2]success rates'!$1:$2,2,FALSE),FALSE)</f>
        <v>0.79729729729729726</v>
      </c>
      <c r="P38" s="16">
        <f>VLOOKUP($A38,'[2]success rates'!$A:$P,HLOOKUP(P$34,'[2]success rates'!$1:$2,2,FALSE),FALSE)</f>
        <v>0.79629629629629628</v>
      </c>
    </row>
    <row r="39" spans="1:16" x14ac:dyDescent="0.25">
      <c r="A39" s="13" t="s">
        <v>25</v>
      </c>
      <c r="B39" s="16">
        <f>VLOOKUP($A39,'[2]success rates'!$A:$P,HLOOKUP(B$34,'[2]success rates'!$1:$2,2,FALSE),FALSE)</f>
        <v>0.76923076923076927</v>
      </c>
      <c r="C39" s="16">
        <f>VLOOKUP($A39,'[2]success rates'!$A:$P,HLOOKUP(C$34,'[2]success rates'!$1:$2,2,FALSE),FALSE)</f>
        <v>0.56521739130434778</v>
      </c>
      <c r="D39" s="16">
        <f>VLOOKUP($A39,'[2]success rates'!$A:$P,HLOOKUP(D$34,'[2]success rates'!$1:$2,2,FALSE),FALSE)</f>
        <v>0.59203980099502485</v>
      </c>
      <c r="E39" s="16">
        <f>VLOOKUP($A39,'[2]success rates'!$A:$P,HLOOKUP(E$34,'[2]success rates'!$1:$2,2,FALSE),FALSE)</f>
        <v>0.8</v>
      </c>
      <c r="F39" s="16">
        <f>VLOOKUP($A39,'[2]success rates'!$A:$P,HLOOKUP(F$34,'[2]success rates'!$1:$2,2,FALSE),FALSE)</f>
        <v>0.60619469026548678</v>
      </c>
      <c r="G39" s="16">
        <f>VLOOKUP($A39,'[2]success rates'!$A:$P,HLOOKUP(G$34,'[2]success rates'!$1:$2,2,FALSE),FALSE)</f>
        <v>0.62</v>
      </c>
      <c r="H39" s="16">
        <f>VLOOKUP($A39,'[2]success rates'!$A:$P,HLOOKUP(H$34,'[2]success rates'!$1:$2,2,FALSE),FALSE)</f>
        <v>0.68181818181818177</v>
      </c>
      <c r="I39" s="16">
        <f>VLOOKUP($A39,'[2]success rates'!$A:$P,HLOOKUP(I$34,'[2]success rates'!$1:$2,2,FALSE),FALSE)</f>
        <v>0.640625</v>
      </c>
      <c r="J39" s="16">
        <f>VLOOKUP($A39,'[2]success rates'!$A:$P,HLOOKUP(J$34,'[2]success rates'!$1:$2,2,FALSE),FALSE)</f>
        <v>0.67052023121387283</v>
      </c>
      <c r="K39" s="16">
        <f>VLOOKUP($A39,'[2]success rates'!$A:$P,HLOOKUP(K$34,'[2]success rates'!$1:$2,2,FALSE),FALSE)</f>
        <v>1</v>
      </c>
      <c r="L39" s="16">
        <f>VLOOKUP($A39,'[2]success rates'!$A:$P,HLOOKUP(L$34,'[2]success rates'!$1:$2,2,FALSE),FALSE)</f>
        <v>0.65079365079365081</v>
      </c>
      <c r="M39" s="16">
        <f>VLOOKUP($A39,'[2]success rates'!$A:$P,HLOOKUP(M$34,'[2]success rates'!$1:$2,2,FALSE),FALSE)</f>
        <v>0.71126760563380287</v>
      </c>
      <c r="N39" s="16" t="str">
        <f>VLOOKUP($A39,'[2]success rates'!$A:$P,HLOOKUP(N$34,'[2]success rates'!$1:$2,2,FALSE),FALSE)</f>
        <v/>
      </c>
      <c r="O39" s="16">
        <f>VLOOKUP($A39,'[2]success rates'!$A:$P,HLOOKUP(O$34,'[2]success rates'!$1:$2,2,FALSE),FALSE)</f>
        <v>0.72916666666666663</v>
      </c>
      <c r="P39" s="16">
        <f>VLOOKUP($A39,'[2]success rates'!$A:$P,HLOOKUP(P$34,'[2]success rates'!$1:$2,2,FALSE),FALSE)</f>
        <v>0.63636363636363635</v>
      </c>
    </row>
    <row r="40" spans="1:16" x14ac:dyDescent="0.25">
      <c r="A40" s="13" t="s">
        <v>26</v>
      </c>
      <c r="B40" s="16">
        <f>VLOOKUP($A40,'[2]success rates'!$A:$P,HLOOKUP(B$34,'[2]success rates'!$1:$2,2,FALSE),FALSE)</f>
        <v>0.85057471264367812</v>
      </c>
      <c r="C40" s="16">
        <f>VLOOKUP($A40,'[2]success rates'!$A:$P,HLOOKUP(C$34,'[2]success rates'!$1:$2,2,FALSE),FALSE)</f>
        <v>0.68738229755178903</v>
      </c>
      <c r="D40" s="16">
        <f>VLOOKUP($A40,'[2]success rates'!$A:$P,HLOOKUP(D$34,'[2]success rates'!$1:$2,2,FALSE),FALSE)</f>
        <v>0.7036688617121355</v>
      </c>
      <c r="E40" s="16">
        <f>VLOOKUP($A40,'[2]success rates'!$A:$P,HLOOKUP(E$34,'[2]success rates'!$1:$2,2,FALSE),FALSE)</f>
        <v>0.86432160804020097</v>
      </c>
      <c r="F40" s="16">
        <f>VLOOKUP($A40,'[2]success rates'!$A:$P,HLOOKUP(F$34,'[2]success rates'!$1:$2,2,FALSE),FALSE)</f>
        <v>0.71691792294807366</v>
      </c>
      <c r="G40" s="16">
        <f>VLOOKUP($A40,'[2]success rates'!$A:$P,HLOOKUP(G$34,'[2]success rates'!$1:$2,2,FALSE),FALSE)</f>
        <v>0.73630831643002026</v>
      </c>
      <c r="H40" s="16">
        <f>VLOOKUP($A40,'[2]success rates'!$A:$P,HLOOKUP(H$34,'[2]success rates'!$1:$2,2,FALSE),FALSE)</f>
        <v>0.87</v>
      </c>
      <c r="I40" s="16">
        <f>VLOOKUP($A40,'[2]success rates'!$A:$P,HLOOKUP(I$34,'[2]success rates'!$1:$2,2,FALSE),FALSE)</f>
        <v>0.7279344858962693</v>
      </c>
      <c r="J40" s="16">
        <f>VLOOKUP($A40,'[2]success rates'!$A:$P,HLOOKUP(J$34,'[2]success rates'!$1:$2,2,FALSE),FALSE)</f>
        <v>0.68653648509763621</v>
      </c>
      <c r="K40" s="16">
        <f>VLOOKUP($A40,'[2]success rates'!$A:$P,HLOOKUP(K$34,'[2]success rates'!$1:$2,2,FALSE),FALSE)</f>
        <v>0.89655172413793105</v>
      </c>
      <c r="L40" s="16">
        <f>VLOOKUP($A40,'[2]success rates'!$A:$P,HLOOKUP(L$34,'[2]success rates'!$1:$2,2,FALSE),FALSE)</f>
        <v>0.76898047722342733</v>
      </c>
      <c r="M40" s="16">
        <f>VLOOKUP($A40,'[2]success rates'!$A:$P,HLOOKUP(M$34,'[2]success rates'!$1:$2,2,FALSE),FALSE)</f>
        <v>0.76795580110497241</v>
      </c>
      <c r="N40" s="16" t="str">
        <f>VLOOKUP($A40,'[2]success rates'!$A:$P,HLOOKUP(N$34,'[2]success rates'!$1:$2,2,FALSE),FALSE)</f>
        <v/>
      </c>
      <c r="O40" s="16">
        <f>VLOOKUP($A40,'[2]success rates'!$A:$P,HLOOKUP(O$34,'[2]success rates'!$1:$2,2,FALSE),FALSE)</f>
        <v>0.79357798165137616</v>
      </c>
      <c r="P40" s="16">
        <f>VLOOKUP($A40,'[2]success rates'!$A:$P,HLOOKUP(P$34,'[2]success rates'!$1:$2,2,FALSE),FALSE)</f>
        <v>0.7893639207507821</v>
      </c>
    </row>
    <row r="41" spans="1:16" x14ac:dyDescent="0.25">
      <c r="A41" s="13" t="s">
        <v>27</v>
      </c>
      <c r="B41" s="16">
        <f>VLOOKUP($A41,'[2]success rates'!$A:$P,HLOOKUP(B$34,'[2]success rates'!$1:$2,2,FALSE),FALSE)</f>
        <v>0.73333333333333328</v>
      </c>
      <c r="C41" s="16">
        <f>VLOOKUP($A41,'[2]success rates'!$A:$P,HLOOKUP(C$34,'[2]success rates'!$1:$2,2,FALSE),FALSE)</f>
        <v>0.660377358490566</v>
      </c>
      <c r="D41" s="16">
        <f>VLOOKUP($A41,'[2]success rates'!$A:$P,HLOOKUP(D$34,'[2]success rates'!$1:$2,2,FALSE),FALSE)</f>
        <v>0.65714285714285714</v>
      </c>
      <c r="E41" s="16">
        <f>VLOOKUP($A41,'[2]success rates'!$A:$P,HLOOKUP(E$34,'[2]success rates'!$1:$2,2,FALSE),FALSE)</f>
        <v>0.7857142857142857</v>
      </c>
      <c r="F41" s="16">
        <f>VLOOKUP($A41,'[2]success rates'!$A:$P,HLOOKUP(F$34,'[2]success rates'!$1:$2,2,FALSE),FALSE)</f>
        <v>0.63428571428571423</v>
      </c>
      <c r="G41" s="16">
        <f>VLOOKUP($A41,'[2]success rates'!$A:$P,HLOOKUP(G$34,'[2]success rates'!$1:$2,2,FALSE),FALSE)</f>
        <v>0.64171122994652408</v>
      </c>
      <c r="H41" s="16">
        <f>VLOOKUP($A41,'[2]success rates'!$A:$P,HLOOKUP(H$34,'[2]success rates'!$1:$2,2,FALSE),FALSE)</f>
        <v>1</v>
      </c>
      <c r="I41" s="16">
        <f>VLOOKUP($A41,'[2]success rates'!$A:$P,HLOOKUP(I$34,'[2]success rates'!$1:$2,2,FALSE),FALSE)</f>
        <v>0.62820512820512819</v>
      </c>
      <c r="J41" s="16">
        <f>VLOOKUP($A41,'[2]success rates'!$A:$P,HLOOKUP(J$34,'[2]success rates'!$1:$2,2,FALSE),FALSE)</f>
        <v>0.74</v>
      </c>
      <c r="K41" s="16">
        <f>VLOOKUP($A41,'[2]success rates'!$A:$P,HLOOKUP(K$34,'[2]success rates'!$1:$2,2,FALSE),FALSE)</f>
        <v>0.7142857142857143</v>
      </c>
      <c r="L41" s="16">
        <f>VLOOKUP($A41,'[2]success rates'!$A:$P,HLOOKUP(L$34,'[2]success rates'!$1:$2,2,FALSE),FALSE)</f>
        <v>0.67200000000000004</v>
      </c>
      <c r="M41" s="16">
        <f>VLOOKUP($A41,'[2]success rates'!$A:$P,HLOOKUP(M$34,'[2]success rates'!$1:$2,2,FALSE),FALSE)</f>
        <v>0.70526315789473681</v>
      </c>
      <c r="N41" s="16" t="str">
        <f>VLOOKUP($A41,'[2]success rates'!$A:$P,HLOOKUP(N$34,'[2]success rates'!$1:$2,2,FALSE),FALSE)</f>
        <v/>
      </c>
      <c r="O41" s="16">
        <f>VLOOKUP($A41,'[2]success rates'!$A:$P,HLOOKUP(O$34,'[2]success rates'!$1:$2,2,FALSE),FALSE)</f>
        <v>0.59375</v>
      </c>
      <c r="P41" s="16">
        <f>VLOOKUP($A41,'[2]success rates'!$A:$P,HLOOKUP(P$34,'[2]success rates'!$1:$2,2,FALSE),FALSE)</f>
        <v>0.6428571428571429</v>
      </c>
    </row>
    <row r="42" spans="1:16" x14ac:dyDescent="0.25">
      <c r="A42" s="13" t="s">
        <v>28</v>
      </c>
      <c r="B42" s="16">
        <f>VLOOKUP($A42,'[2]success rates'!$A:$P,HLOOKUP(B$34,'[2]success rates'!$1:$2,2,FALSE),FALSE)</f>
        <v>0.68181818181818177</v>
      </c>
      <c r="C42" s="16">
        <f>VLOOKUP($A42,'[2]success rates'!$A:$P,HLOOKUP(C$34,'[2]success rates'!$1:$2,2,FALSE),FALSE)</f>
        <v>0.54761904761904767</v>
      </c>
      <c r="D42" s="16">
        <f>VLOOKUP($A42,'[2]success rates'!$A:$P,HLOOKUP(D$34,'[2]success rates'!$1:$2,2,FALSE),FALSE)</f>
        <v>0.65354330708661412</v>
      </c>
      <c r="E42" s="16">
        <f>VLOOKUP($A42,'[2]success rates'!$A:$P,HLOOKUP(E$34,'[2]success rates'!$1:$2,2,FALSE),FALSE)</f>
        <v>0.68518518518518523</v>
      </c>
      <c r="F42" s="16">
        <f>VLOOKUP($A42,'[2]success rates'!$A:$P,HLOOKUP(F$34,'[2]success rates'!$1:$2,2,FALSE),FALSE)</f>
        <v>0.48648648648648651</v>
      </c>
      <c r="G42" s="16">
        <f>VLOOKUP($A42,'[2]success rates'!$A:$P,HLOOKUP(G$34,'[2]success rates'!$1:$2,2,FALSE),FALSE)</f>
        <v>0.53136531365313655</v>
      </c>
      <c r="H42" s="16">
        <f>VLOOKUP($A42,'[2]success rates'!$A:$P,HLOOKUP(H$34,'[2]success rates'!$1:$2,2,FALSE),FALSE)</f>
        <v>0.8666666666666667</v>
      </c>
      <c r="I42" s="16">
        <f>VLOOKUP($A42,'[2]success rates'!$A:$P,HLOOKUP(I$34,'[2]success rates'!$1:$2,2,FALSE),FALSE)</f>
        <v>0.66340508806262233</v>
      </c>
      <c r="J42" s="16">
        <f>VLOOKUP($A42,'[2]success rates'!$A:$P,HLOOKUP(J$34,'[2]success rates'!$1:$2,2,FALSE),FALSE)</f>
        <v>0.65282392026578073</v>
      </c>
      <c r="K42" s="16">
        <f>VLOOKUP($A42,'[2]success rates'!$A:$P,HLOOKUP(K$34,'[2]success rates'!$1:$2,2,FALSE),FALSE)</f>
        <v>0.9375</v>
      </c>
      <c r="L42" s="16">
        <f>VLOOKUP($A42,'[2]success rates'!$A:$P,HLOOKUP(L$34,'[2]success rates'!$1:$2,2,FALSE),FALSE)</f>
        <v>0.70386266094420602</v>
      </c>
      <c r="M42" s="16">
        <f>VLOOKUP($A42,'[2]success rates'!$A:$P,HLOOKUP(M$34,'[2]success rates'!$1:$2,2,FALSE),FALSE)</f>
        <v>0.69906323185011709</v>
      </c>
      <c r="N42" s="16">
        <f>VLOOKUP($A42,'[2]success rates'!$A:$P,HLOOKUP(N$34,'[2]success rates'!$1:$2,2,FALSE),FALSE)</f>
        <v>1</v>
      </c>
      <c r="O42" s="16">
        <f>VLOOKUP($A42,'[2]success rates'!$A:$P,HLOOKUP(O$34,'[2]success rates'!$1:$2,2,FALSE),FALSE)</f>
        <v>0.71237113402061858</v>
      </c>
      <c r="P42" s="16">
        <f>VLOOKUP($A42,'[2]success rates'!$A:$P,HLOOKUP(P$34,'[2]success rates'!$1:$2,2,FALSE),FALSE)</f>
        <v>0.660377358490566</v>
      </c>
    </row>
    <row r="43" spans="1:16" ht="15.75" thickBot="1" x14ac:dyDescent="0.3">
      <c r="A43" s="14" t="s">
        <v>29</v>
      </c>
      <c r="B43" s="62">
        <f>VLOOKUP($A43,'[2]success rates'!$A:$P,HLOOKUP(B$34,'[2]success rates'!$1:$2,2,FALSE),FALSE)</f>
        <v>0.83399209486166004</v>
      </c>
      <c r="C43" s="62">
        <f>VLOOKUP($A43,'[2]success rates'!$A:$P,HLOOKUP(C$34,'[2]success rates'!$1:$2,2,FALSE),FALSE)</f>
        <v>0.67432150313152406</v>
      </c>
      <c r="D43" s="62">
        <f>VLOOKUP($A43,'[2]success rates'!$A:$P,HLOOKUP(D$34,'[2]success rates'!$1:$2,2,FALSE),FALSE)</f>
        <v>0.71281699794379716</v>
      </c>
      <c r="E43" s="62">
        <f>VLOOKUP($A43,'[2]success rates'!$A:$P,HLOOKUP(E$34,'[2]success rates'!$1:$2,2,FALSE),FALSE)</f>
        <v>0.86</v>
      </c>
      <c r="F43" s="62">
        <f>VLOOKUP($A43,'[2]success rates'!$A:$P,HLOOKUP(F$34,'[2]success rates'!$1:$2,2,FALSE),FALSE)</f>
        <v>0.69547325102880664</v>
      </c>
      <c r="G43" s="62">
        <f>VLOOKUP($A43,'[2]success rates'!$A:$P,HLOOKUP(G$34,'[2]success rates'!$1:$2,2,FALSE),FALSE)</f>
        <v>0.71122112211221122</v>
      </c>
      <c r="H43" s="62">
        <f>VLOOKUP($A43,'[2]success rates'!$A:$P,HLOOKUP(H$34,'[2]success rates'!$1:$2,2,FALSE),FALSE)</f>
        <v>0.86111111111111116</v>
      </c>
      <c r="I43" s="62">
        <f>VLOOKUP($A43,'[2]success rates'!$A:$P,HLOOKUP(I$34,'[2]success rates'!$1:$2,2,FALSE),FALSE)</f>
        <v>0.72352634324465315</v>
      </c>
      <c r="J43" s="62">
        <f>VLOOKUP($A43,'[2]success rates'!$A:$P,HLOOKUP(J$34,'[2]success rates'!$1:$2,2,FALSE),FALSE)</f>
        <v>0.71446306641837365</v>
      </c>
      <c r="K43" s="62">
        <f>VLOOKUP($A43,'[2]success rates'!$A:$P,HLOOKUP(K$34,'[2]success rates'!$1:$2,2,FALSE),FALSE)</f>
        <v>0.78947368421052633</v>
      </c>
      <c r="L43" s="62">
        <f>VLOOKUP($A43,'[2]success rates'!$A:$P,HLOOKUP(L$34,'[2]success rates'!$1:$2,2,FALSE),FALSE)</f>
        <v>0.73409461663947795</v>
      </c>
      <c r="M43" s="62">
        <f>VLOOKUP($A43,'[2]success rates'!$A:$P,HLOOKUP(M$34,'[2]success rates'!$1:$2,2,FALSE),FALSE)</f>
        <v>0.75816416593115621</v>
      </c>
      <c r="N43" s="62">
        <f>VLOOKUP($A43,'[2]success rates'!$A:$P,HLOOKUP(N$34,'[2]success rates'!$1:$2,2,FALSE),FALSE)</f>
        <v>1</v>
      </c>
      <c r="O43" s="62">
        <f>VLOOKUP($A43,'[2]success rates'!$A:$P,HLOOKUP(O$34,'[2]success rates'!$1:$2,2,FALSE),FALSE)</f>
        <v>0.7635220125786164</v>
      </c>
      <c r="P43" s="16">
        <f>VLOOKUP($A43,'[2]success rates'!$A:$P,HLOOKUP(P$34,'[2]success rates'!$1:$2,2,FALSE),FALSE)</f>
        <v>0.76933701657458564</v>
      </c>
    </row>
    <row r="44" spans="1:16" ht="15.75" thickBot="1" x14ac:dyDescent="0.3">
      <c r="A44" s="15" t="s">
        <v>34</v>
      </c>
      <c r="B44" s="61">
        <f>VLOOKUP('[2]success rates'!$A$13,'[2]success rates'!$A:$P,HLOOKUP(B$34,'[2]success rates'!$1:$2,2,FALSE),FALSE)</f>
        <v>0.82692939244663377</v>
      </c>
      <c r="C44" s="61">
        <f>VLOOKUP('[2]success rates'!$A$13,'[2]success rates'!$A:$P,HLOOKUP(C$34,'[2]success rates'!$1:$2,2,FALSE),FALSE)</f>
        <v>0.65106515316436009</v>
      </c>
      <c r="D44" s="61">
        <f>VLOOKUP('[2]success rates'!$A$13,'[2]success rates'!$A:$P,HLOOKUP(D$34,'[2]success rates'!$1:$2,2,FALSE),FALSE)</f>
        <v>0.6805577646996448</v>
      </c>
      <c r="E44" s="61">
        <f>VLOOKUP('[2]success rates'!$A$13,'[2]success rates'!$A:$P,HLOOKUP(E$34,'[2]success rates'!$1:$2,2,FALSE),FALSE)</f>
        <v>0.82686313403230371</v>
      </c>
      <c r="F44" s="61">
        <f>VLOOKUP('[2]success rates'!$A$13,'[2]success rates'!$A:$P,HLOOKUP(F$34,'[2]success rates'!$1:$2,2,FALSE),FALSE)</f>
        <v>0.67518521991934732</v>
      </c>
      <c r="G44" s="61">
        <f>VLOOKUP('[2]success rates'!$A$13,'[2]success rates'!$A:$P,HLOOKUP(G$34,'[2]success rates'!$1:$2,2,FALSE),FALSE)</f>
        <v>0.68046758569299548</v>
      </c>
      <c r="H44" s="61">
        <f>VLOOKUP('[2]success rates'!$A$13,'[2]success rates'!$A:$P,HLOOKUP(H$34,'[2]success rates'!$1:$2,2,FALSE),FALSE)</f>
        <v>0.83939919121894857</v>
      </c>
      <c r="I44" s="61">
        <f>VLOOKUP('[2]success rates'!$A$13,'[2]success rates'!$A:$P,HLOOKUP(I$34,'[2]success rates'!$1:$2,2,FALSE),FALSE)</f>
        <v>0.70025145235411423</v>
      </c>
      <c r="J44" s="61">
        <f>VLOOKUP('[2]success rates'!$A$13,'[2]success rates'!$A:$P,HLOOKUP(J$34,'[2]success rates'!$1:$2,2,FALSE),FALSE)</f>
        <v>0.69274433508812083</v>
      </c>
      <c r="K44" s="61">
        <f>VLOOKUP('[2]success rates'!$A$13,'[2]success rates'!$A:$P,HLOOKUP(K$34,'[2]success rates'!$1:$2,2,FALSE),FALSE)</f>
        <v>0.82699386503067485</v>
      </c>
      <c r="L44" s="61">
        <f>VLOOKUP('[2]success rates'!$A$13,'[2]success rates'!$A:$P,HLOOKUP(L$34,'[2]success rates'!$1:$2,2,FALSE),FALSE)</f>
        <v>0.72068367599702754</v>
      </c>
      <c r="M44" s="61">
        <f>VLOOKUP('[2]success rates'!$A$13,'[2]success rates'!$A:$P,HLOOKUP(M$34,'[2]success rates'!$1:$2,2,FALSE),FALSE)</f>
        <v>0.71387212326414451</v>
      </c>
      <c r="N44" s="61">
        <f>VLOOKUP('[2]success rates'!$A$13,'[2]success rates'!$A:$P,HLOOKUP(N$34,'[2]success rates'!$1:$2,2,FALSE),FALSE)</f>
        <v>1</v>
      </c>
      <c r="O44" s="61">
        <f>VLOOKUP('[2]success rates'!$A$13,'[2]success rates'!$A:$P,HLOOKUP(O$34,'[2]success rates'!$1:$2,2,FALSE),FALSE)</f>
        <v>0.7306208718626156</v>
      </c>
      <c r="P44" s="61">
        <f>VLOOKUP('[2]success rates'!$A$13,'[2]success rates'!$A:$P,HLOOKUP(P$34,'[2]success rates'!$1:$2,2,FALSE),FALSE)</f>
        <v>0.70671378091872794</v>
      </c>
    </row>
    <row r="45" spans="1:16" x14ac:dyDescent="0.25">
      <c r="A45" s="17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43" t="s">
        <v>39</v>
      </c>
    </row>
    <row r="52" spans="1:16" x14ac:dyDescent="0.25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"/>
      <c r="O52" s="9"/>
      <c r="P52" s="1"/>
    </row>
    <row r="53" spans="1:16" x14ac:dyDescent="0.25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x14ac:dyDescent="0.25">
      <c r="A54" s="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"/>
    </row>
    <row r="56" spans="1:16" x14ac:dyDescent="0.25">
      <c r="A56" s="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"/>
    </row>
    <row r="57" spans="1:16" x14ac:dyDescent="0.25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"/>
    </row>
  </sheetData>
  <mergeCells count="29">
    <mergeCell ref="B15:D15"/>
    <mergeCell ref="E15:G15"/>
    <mergeCell ref="H15:J15"/>
    <mergeCell ref="K15:M15"/>
    <mergeCell ref="N15:P15"/>
    <mergeCell ref="A31:A33"/>
    <mergeCell ref="B31:P31"/>
    <mergeCell ref="B32:P32"/>
    <mergeCell ref="B33:D33"/>
    <mergeCell ref="E33:G33"/>
    <mergeCell ref="H33:J33"/>
    <mergeCell ref="K33:M33"/>
    <mergeCell ref="N33:P33"/>
    <mergeCell ref="A17:A19"/>
    <mergeCell ref="B17:P17"/>
    <mergeCell ref="B18:P18"/>
    <mergeCell ref="B19:D19"/>
    <mergeCell ref="E19:G19"/>
    <mergeCell ref="H19:J19"/>
    <mergeCell ref="K19:M19"/>
    <mergeCell ref="N19:P19"/>
    <mergeCell ref="B3:D3"/>
    <mergeCell ref="N3:P3"/>
    <mergeCell ref="A1:A3"/>
    <mergeCell ref="K3:M3"/>
    <mergeCell ref="E3:G3"/>
    <mergeCell ref="H3:J3"/>
    <mergeCell ref="B1:P1"/>
    <mergeCell ref="B2:P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E47171B-E73D-4FAA-82CF-DF957A32A933}"/>
</file>

<file path=customXml/itemProps2.xml><?xml version="1.0" encoding="utf-8"?>
<ds:datastoreItem xmlns:ds="http://schemas.openxmlformats.org/officeDocument/2006/customXml" ds:itemID="{BA6E8D66-1645-4374-BD96-87E0E6BB9120}"/>
</file>

<file path=customXml/itemProps3.xml><?xml version="1.0" encoding="utf-8"?>
<ds:datastoreItem xmlns:ds="http://schemas.openxmlformats.org/officeDocument/2006/customXml" ds:itemID="{ECC91C2A-BE52-4E92-A5B4-A2C646D7BE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2012-03-22T20:23:25Z</dcterms:created>
  <dcterms:modified xsi:type="dcterms:W3CDTF">2012-08-14T15:38:15Z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