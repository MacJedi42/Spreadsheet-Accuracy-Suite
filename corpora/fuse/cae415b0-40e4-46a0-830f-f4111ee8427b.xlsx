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-75" yWindow="300" windowWidth="18195" windowHeight="11820"/>
  </bookViews>
  <sheets>
    <sheet name="2014 Total Numbers" sheetId="1" r:id="rId1"/>
    <sheet name="Sector Totals 2004-2014" sheetId="2" r:id="rId2"/>
    <sheet name="Incident Breakdown Since 2009" sheetId="3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D69" i="3" l="1"/>
  <c r="C69" i="3"/>
  <c r="B69" i="3"/>
  <c r="L10" i="2"/>
  <c r="E13" i="3" l="1"/>
  <c r="E12" i="3"/>
  <c r="E69" i="3" s="1"/>
  <c r="D17" i="1" l="1"/>
  <c r="J10" i="2" l="1"/>
  <c r="I10" i="2"/>
  <c r="H10" i="2"/>
  <c r="G10" i="2"/>
  <c r="F10" i="2"/>
  <c r="E10" i="2"/>
  <c r="D10" i="2"/>
  <c r="C10" i="2"/>
  <c r="B10" i="2"/>
  <c r="K10" i="2"/>
  <c r="C17" i="1"/>
  <c r="B17" i="1" l="1"/>
</calcChain>
</file>

<file path=xl/sharedStrings.xml><?xml version="1.0" encoding="utf-8"?>
<sst xmlns="http://schemas.openxmlformats.org/spreadsheetml/2006/main" count="20" uniqueCount="15">
  <si>
    <t>REPORTED LOSS OF PROPULSION INCIDENTS</t>
  </si>
  <si>
    <t>Total Loss of Propulsion Incidents</t>
  </si>
  <si>
    <t>Loss of Propulsion - Fuel Switching Related</t>
  </si>
  <si>
    <t>Safety Exemptions Used</t>
  </si>
  <si>
    <t>Problems Reported by Pilots</t>
  </si>
  <si>
    <t>Totals</t>
  </si>
  <si>
    <t>San Francisco</t>
  </si>
  <si>
    <t>Los Angeles / Long Beach</t>
  </si>
  <si>
    <t>San Diego</t>
  </si>
  <si>
    <t>Humboldt</t>
  </si>
  <si>
    <t>Total per year</t>
  </si>
  <si>
    <t>Loss of Propulsion-Suspect Fuel Related</t>
  </si>
  <si>
    <t>Monthly Totals in 2014</t>
  </si>
  <si>
    <t>2004 - 2014</t>
  </si>
  <si>
    <t>Monthly Totals in 2009 - 2014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</si>
</sst>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i/>
      <sz val="12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sz val="14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6"/>
      <name val="Arial"/>
      <family val="2"/>
    </font>
    <font>
      <b/>
      <i/>
      <sz val="11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4"/>
      <color theme="2" tint="-9.9978637043366805E-2"/>
      <name val="Arial"/>
      <family val="2"/>
    </font>
    <font>
      <sz val="11"/>
      <color theme="2" tint="-9.9978637043366805E-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8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17" fontId="5" fillId="4" borderId="22" xfId="0" applyNumberFormat="1" applyFont="1" applyFill="1" applyBorder="1" applyAlignment="1">
      <alignment horizontal="left" vertical="top" wrapText="1"/>
    </xf>
    <xf numFmtId="0" fontId="5" fillId="4" borderId="23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center" vertical="center"/>
    </xf>
    <xf numFmtId="17" fontId="5" fillId="0" borderId="22" xfId="0" applyNumberFormat="1" applyFont="1" applyFill="1" applyBorder="1" applyAlignment="1">
      <alignment horizontal="left" vertical="top" wrapText="1"/>
    </xf>
    <xf numFmtId="0" fontId="5" fillId="0" borderId="22" xfId="0" applyFont="1" applyFill="1" applyBorder="1" applyAlignment="1">
      <alignment horizontal="center" vertical="top" wrapText="1"/>
    </xf>
    <xf numFmtId="0" fontId="5" fillId="4" borderId="22" xfId="0" applyFont="1" applyFill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center"/>
    </xf>
    <xf numFmtId="0" fontId="5" fillId="10" borderId="22" xfId="0" applyFont="1" applyFill="1" applyBorder="1" applyAlignment="1">
      <alignment horizontal="center" vertical="top" wrapText="1"/>
    </xf>
    <xf numFmtId="0" fontId="7" fillId="9" borderId="0" xfId="0" applyFont="1" applyFill="1"/>
    <xf numFmtId="0" fontId="7" fillId="9" borderId="0" xfId="0" applyFont="1" applyFill="1" applyAlignment="1">
      <alignment horizontal="center"/>
    </xf>
    <xf numFmtId="0" fontId="0" fillId="0" borderId="0" xfId="0" applyBorder="1"/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Fill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17" fontId="5" fillId="4" borderId="9" xfId="0" applyNumberFormat="1" applyFont="1" applyFill="1" applyBorder="1" applyAlignment="1">
      <alignment horizontal="left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17" fontId="5" fillId="4" borderId="12" xfId="0" applyNumberFormat="1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17" fontId="5" fillId="4" borderId="14" xfId="0" applyNumberFormat="1" applyFont="1" applyFill="1" applyBorder="1" applyAlignment="1">
      <alignment horizontal="left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17" fontId="5" fillId="5" borderId="9" xfId="0" applyNumberFormat="1" applyFont="1" applyFill="1" applyBorder="1" applyAlignment="1">
      <alignment horizontal="left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17" fontId="5" fillId="5" borderId="12" xfId="0" applyNumberFormat="1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17" fontId="5" fillId="5" borderId="14" xfId="0" applyNumberFormat="1" applyFont="1" applyFill="1" applyBorder="1" applyAlignment="1">
      <alignment horizontal="left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17" fontId="5" fillId="6" borderId="9" xfId="0" applyNumberFormat="1" applyFont="1" applyFill="1" applyBorder="1" applyAlignment="1">
      <alignment horizontal="left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17" fontId="5" fillId="6" borderId="12" xfId="0" applyNumberFormat="1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17" fontId="5" fillId="6" borderId="17" xfId="0" applyNumberFormat="1" applyFont="1" applyFill="1" applyBorder="1" applyAlignment="1">
      <alignment horizontal="left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18" xfId="0" applyFont="1" applyFill="1" applyBorder="1" applyAlignment="1">
      <alignment horizontal="center" vertical="center" wrapText="1"/>
    </xf>
    <xf numFmtId="17" fontId="5" fillId="7" borderId="9" xfId="0" applyNumberFormat="1" applyFont="1" applyFill="1" applyBorder="1" applyAlignment="1">
      <alignment horizontal="left" vertical="center" wrapText="1"/>
    </xf>
    <xf numFmtId="0" fontId="5" fillId="7" borderId="10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17" fontId="5" fillId="7" borderId="12" xfId="0" applyNumberFormat="1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17" fontId="5" fillId="7" borderId="14" xfId="0" applyNumberFormat="1" applyFont="1" applyFill="1" applyBorder="1" applyAlignment="1">
      <alignment horizontal="left" vertical="center" wrapText="1"/>
    </xf>
    <xf numFmtId="0" fontId="5" fillId="7" borderId="15" xfId="0" applyFont="1" applyFill="1" applyBorder="1" applyAlignment="1">
      <alignment horizontal="center" vertical="center" wrapText="1"/>
    </xf>
    <xf numFmtId="0" fontId="5" fillId="7" borderId="16" xfId="0" applyFont="1" applyFill="1" applyBorder="1" applyAlignment="1">
      <alignment horizontal="center" vertical="center" wrapText="1"/>
    </xf>
    <xf numFmtId="0" fontId="7" fillId="9" borderId="19" xfId="0" applyFont="1" applyFill="1" applyBorder="1" applyAlignment="1">
      <alignment horizontal="left" vertical="center"/>
    </xf>
    <xf numFmtId="0" fontId="7" fillId="9" borderId="19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16" fillId="4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5" fillId="11" borderId="0" xfId="0" applyFont="1" applyFill="1" applyAlignment="1">
      <alignment horizontal="center" wrapText="1"/>
    </xf>
    <xf numFmtId="0" fontId="0" fillId="9" borderId="0" xfId="0" applyFill="1" applyAlignment="1">
      <alignment horizontal="center"/>
    </xf>
    <xf numFmtId="0" fontId="6" fillId="4" borderId="22" xfId="0" applyFont="1" applyFill="1" applyBorder="1" applyAlignment="1">
      <alignment horizontal="center" vertical="top" wrapText="1"/>
    </xf>
    <xf numFmtId="0" fontId="17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4" fillId="3" borderId="25" xfId="0" applyFont="1" applyFill="1" applyBorder="1" applyAlignment="1">
      <alignment horizontal="center"/>
    </xf>
    <xf numFmtId="0" fontId="20" fillId="2" borderId="0" xfId="0" applyFont="1" applyFill="1"/>
    <xf numFmtId="0" fontId="0" fillId="2" borderId="0" xfId="0" applyFill="1"/>
    <xf numFmtId="0" fontId="5" fillId="0" borderId="1" xfId="0" applyFont="1" applyFill="1" applyBorder="1" applyAlignment="1">
      <alignment horizontal="center" vertical="center"/>
    </xf>
    <xf numFmtId="17" fontId="5" fillId="8" borderId="1" xfId="0" applyNumberFormat="1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/>
    </xf>
    <xf numFmtId="0" fontId="8" fillId="0" borderId="0" xfId="0" applyFont="1" applyAlignment="1"/>
    <xf numFmtId="0" fontId="2" fillId="0" borderId="20" xfId="0" applyFont="1" applyFill="1" applyBorder="1" applyAlignment="1">
      <alignment horizontal="center"/>
    </xf>
    <xf numFmtId="0" fontId="3" fillId="0" borderId="20" xfId="0" applyFont="1" applyBorder="1" applyAlignment="1"/>
    <xf numFmtId="0" fontId="13" fillId="2" borderId="24" xfId="0" applyFont="1" applyFill="1" applyBorder="1" applyAlignment="1">
      <alignment horizontal="center"/>
    </xf>
    <xf numFmtId="0" fontId="13" fillId="2" borderId="0" xfId="0" applyFont="1" applyFill="1" applyBorder="1" applyAlignment="1">
      <alignment horizontal="center"/>
    </xf>
    <xf numFmtId="0" fontId="0" fillId="2" borderId="0" xfId="0" applyFill="1" applyAlignment="1"/>
    <xf numFmtId="0" fontId="2" fillId="0" borderId="24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0" xfId="0" applyAlignment="1"/>
    <xf numFmtId="0" fontId="19" fillId="2" borderId="5" xfId="0" applyFont="1" applyFill="1" applyBorder="1" applyAlignment="1">
      <alignment horizontal="center"/>
    </xf>
    <xf numFmtId="0" fontId="19" fillId="2" borderId="6" xfId="0" applyFont="1" applyFill="1" applyBorder="1" applyAlignment="1">
      <alignment horizontal="center"/>
    </xf>
    <xf numFmtId="0" fontId="20" fillId="0" borderId="6" xfId="0" applyFont="1" applyBorder="1" applyAlignmen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17" fontId="5" fillId="12" borderId="9" xfId="0" applyNumberFormat="1" applyFont="1" applyFill="1" applyBorder="1" applyAlignment="1">
      <alignment horizontal="left" vertical="center" wrapText="1"/>
    </xf>
    <xf numFmtId="0" fontId="5" fillId="12" borderId="10" xfId="0" applyFont="1" applyFill="1" applyBorder="1" applyAlignment="1">
      <alignment horizontal="center" vertical="center" wrapText="1"/>
    </xf>
    <xf numFmtId="0" fontId="5" fillId="12" borderId="11" xfId="0" applyFont="1" applyFill="1" applyBorder="1" applyAlignment="1">
      <alignment horizontal="center" vertical="center" wrapText="1"/>
    </xf>
    <xf numFmtId="17" fontId="5" fillId="12" borderId="12" xfId="0" applyNumberFormat="1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2" borderId="13" xfId="0" applyFont="1" applyFill="1" applyBorder="1" applyAlignment="1">
      <alignment horizontal="center" vertical="center" wrapText="1"/>
    </xf>
    <xf numFmtId="17" fontId="5" fillId="12" borderId="17" xfId="0" applyNumberFormat="1" applyFont="1" applyFill="1" applyBorder="1" applyAlignment="1">
      <alignment horizontal="left" vertical="center" wrapText="1"/>
    </xf>
    <xf numFmtId="0" fontId="5" fillId="12" borderId="8" xfId="0" applyFont="1" applyFill="1" applyBorder="1" applyAlignment="1">
      <alignment horizontal="center" vertical="center" wrapText="1"/>
    </xf>
    <xf numFmtId="0" fontId="5" fillId="12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7661854768154E-2"/>
          <c:y val="0.33089828659058068"/>
          <c:w val="0.54234339457567804"/>
          <c:h val="0.48747884042584566"/>
        </c:manualLayout>
      </c:layout>
      <c:lineChart>
        <c:grouping val="standard"/>
        <c:varyColors val="0"/>
        <c:ser>
          <c:idx val="0"/>
          <c:order val="0"/>
          <c:tx>
            <c:strRef>
              <c:f>'2014 Total Numbers'!$B$4</c:f>
              <c:strCache>
                <c:ptCount val="1"/>
                <c:pt idx="0">
                  <c:v>Total Loss of Propulsion Incidents</c:v>
                </c:pt>
              </c:strCache>
            </c:strRef>
          </c:tx>
          <c:cat>
            <c:numRef>
              <c:f>'2014 Total Numbers'!$A$5:$A$16</c:f>
              <c:numCache>
                <c:formatCode>mmm\-yy</c:formatCode>
                <c:ptCount val="12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</c:numCache>
            </c:numRef>
          </c:cat>
          <c:val>
            <c:numRef>
              <c:f>'2014 Total Numbers'!$B$5:$B$16</c:f>
              <c:numCache>
                <c:formatCode>General</c:formatCode>
                <c:ptCount val="12"/>
                <c:pt idx="0">
                  <c:v>11</c:v>
                </c:pt>
                <c:pt idx="1">
                  <c:v>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'2014 Total Numbers'!$C$4</c:f>
              <c:strCache>
                <c:ptCount val="1"/>
                <c:pt idx="0">
                  <c:v>Loss of Propulsion - Fuel Switching Related</c:v>
                </c:pt>
              </c:strCache>
            </c:strRef>
          </c:tx>
          <c:cat>
            <c:numRef>
              <c:f>'2014 Total Numbers'!$A$5:$A$16</c:f>
              <c:numCache>
                <c:formatCode>mmm\-yy</c:formatCode>
                <c:ptCount val="12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</c:numCache>
            </c:numRef>
          </c:cat>
          <c:val>
            <c:numRef>
              <c:f>'2014 Total Numbers'!$C$5:$C$16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'2014 Total Numbers'!$D$4</c:f>
              <c:strCache>
                <c:ptCount val="1"/>
                <c:pt idx="0">
                  <c:v>Loss of Propulsion-Suspect Fuel Related</c:v>
                </c:pt>
              </c:strCache>
            </c:strRef>
          </c:tx>
          <c:val>
            <c:numRef>
              <c:f>'2014 Total Numbers'!$D$5:$D$16</c:f>
              <c:numCache>
                <c:formatCode>General</c:formatCode>
                <c:ptCount val="12"/>
                <c:pt idx="0">
                  <c:v>0</c:v>
                </c:pt>
                <c:pt idx="1">
                  <c:v>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507776"/>
        <c:axId val="50509312"/>
      </c:lineChart>
      <c:dateAx>
        <c:axId val="505077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50509312"/>
        <c:crosses val="autoZero"/>
        <c:auto val="1"/>
        <c:lblOffset val="100"/>
        <c:baseTimeUnit val="months"/>
      </c:dateAx>
      <c:valAx>
        <c:axId val="505093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5077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Loss of Propulsion </a:t>
            </a:r>
          </a:p>
          <a:p>
            <a:pPr>
              <a:defRPr/>
            </a:pPr>
            <a:r>
              <a:rPr lang="en-US"/>
              <a:t>Total per year</a:t>
            </a:r>
          </a:p>
        </c:rich>
      </c:tx>
      <c:layout>
        <c:manualLayout>
          <c:xMode val="edge"/>
          <c:yMode val="edge"/>
          <c:x val="0.38680242555887412"/>
          <c:y val="3.2407407407407406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4"/>
          <c:order val="0"/>
          <c:tx>
            <c:strRef>
              <c:f>'Sector Totals 2004-2014'!$A$2:$K$2</c:f>
              <c:strCache>
                <c:ptCount val="1"/>
                <c:pt idx="0">
                  <c:v>REPORTED LOSS OF PROPULSION INCIDENTS</c:v>
                </c:pt>
              </c:strCache>
            </c:strRef>
          </c:tx>
          <c:cat>
            <c:numRef>
              <c:f>'Sector Totals 2004-2014'!$B$5:$L$5</c:f>
              <c:numCache>
                <c:formatCode>General</c:formatCode>
                <c:ptCount val="11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</c:numCache>
            </c:numRef>
          </c:cat>
          <c:val>
            <c:numRef>
              <c:f>'Sector Totals 2004-2014'!$B$10:$L$10</c:f>
              <c:numCache>
                <c:formatCode>General</c:formatCode>
                <c:ptCount val="11"/>
                <c:pt idx="0">
                  <c:v>23</c:v>
                </c:pt>
                <c:pt idx="1">
                  <c:v>24</c:v>
                </c:pt>
                <c:pt idx="2">
                  <c:v>20</c:v>
                </c:pt>
                <c:pt idx="3">
                  <c:v>24</c:v>
                </c:pt>
                <c:pt idx="4">
                  <c:v>26</c:v>
                </c:pt>
                <c:pt idx="5">
                  <c:v>65</c:v>
                </c:pt>
                <c:pt idx="6">
                  <c:v>53</c:v>
                </c:pt>
                <c:pt idx="7">
                  <c:v>93</c:v>
                </c:pt>
                <c:pt idx="8">
                  <c:v>63</c:v>
                </c:pt>
                <c:pt idx="9">
                  <c:v>77</c:v>
                </c:pt>
                <c:pt idx="10">
                  <c:v>20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3755008"/>
        <c:axId val="83756544"/>
      </c:lineChart>
      <c:catAx>
        <c:axId val="8375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83756544"/>
        <c:crosses val="autoZero"/>
        <c:auto val="1"/>
        <c:lblAlgn val="ctr"/>
        <c:lblOffset val="100"/>
        <c:noMultiLvlLbl val="0"/>
      </c:catAx>
      <c:valAx>
        <c:axId val="837565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3755008"/>
        <c:crosses val="autoZero"/>
        <c:crossBetween val="between"/>
      </c:valAx>
      <c:spPr>
        <a:effectLst/>
      </c:spPr>
    </c:plotArea>
    <c:legend>
      <c:legendPos val="b"/>
      <c:layout/>
      <c:overlay val="0"/>
    </c:legend>
    <c:plotVisOnly val="1"/>
    <c:dispBlanksAs val="gap"/>
    <c:showDLblsOverMax val="0"/>
  </c:chart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445922400127556E-2"/>
          <c:y val="3.8129857093486048E-2"/>
          <c:w val="0.69158777734944232"/>
          <c:h val="0.81106247745367577"/>
        </c:manualLayout>
      </c:layout>
      <c:lineChart>
        <c:grouping val="standard"/>
        <c:varyColors val="0"/>
        <c:ser>
          <c:idx val="0"/>
          <c:order val="0"/>
          <c:tx>
            <c:strRef>
              <c:f>'Incident Breakdown Since 2009'!$B$5</c:f>
              <c:strCache>
                <c:ptCount val="1"/>
                <c:pt idx="0">
                  <c:v>Total Loss of Propulsion Incidents</c:v>
                </c:pt>
              </c:strCache>
            </c:strRef>
          </c:tx>
          <c:marker>
            <c:symbol val="none"/>
          </c:marker>
          <c:cat>
            <c:numRef>
              <c:f>'[1]Incident Breakdown since 2009'!$A$6:$A$61</c:f>
              <c:numCache>
                <c:formatCode>General</c:formatCode>
                <c:ptCount val="56"/>
                <c:pt idx="0">
                  <c:v>39814</c:v>
                </c:pt>
                <c:pt idx="1">
                  <c:v>39845</c:v>
                </c:pt>
                <c:pt idx="2">
                  <c:v>39873</c:v>
                </c:pt>
                <c:pt idx="3">
                  <c:v>39904</c:v>
                </c:pt>
                <c:pt idx="4">
                  <c:v>39934</c:v>
                </c:pt>
                <c:pt idx="5">
                  <c:v>39965</c:v>
                </c:pt>
                <c:pt idx="6">
                  <c:v>39995</c:v>
                </c:pt>
                <c:pt idx="7">
                  <c:v>40026</c:v>
                </c:pt>
                <c:pt idx="8">
                  <c:v>40057</c:v>
                </c:pt>
                <c:pt idx="9">
                  <c:v>40087</c:v>
                </c:pt>
                <c:pt idx="10">
                  <c:v>40118</c:v>
                </c:pt>
                <c:pt idx="11">
                  <c:v>40148</c:v>
                </c:pt>
                <c:pt idx="12">
                  <c:v>40179</c:v>
                </c:pt>
                <c:pt idx="13">
                  <c:v>40210</c:v>
                </c:pt>
                <c:pt idx="14">
                  <c:v>40238</c:v>
                </c:pt>
                <c:pt idx="15">
                  <c:v>40269</c:v>
                </c:pt>
                <c:pt idx="16">
                  <c:v>40299</c:v>
                </c:pt>
                <c:pt idx="17">
                  <c:v>40330</c:v>
                </c:pt>
                <c:pt idx="18">
                  <c:v>40360</c:v>
                </c:pt>
                <c:pt idx="19">
                  <c:v>40391</c:v>
                </c:pt>
                <c:pt idx="20">
                  <c:v>40422</c:v>
                </c:pt>
                <c:pt idx="21">
                  <c:v>40452</c:v>
                </c:pt>
                <c:pt idx="22">
                  <c:v>40483</c:v>
                </c:pt>
                <c:pt idx="23">
                  <c:v>40513</c:v>
                </c:pt>
                <c:pt idx="24">
                  <c:v>40544</c:v>
                </c:pt>
                <c:pt idx="25">
                  <c:v>40575</c:v>
                </c:pt>
                <c:pt idx="26">
                  <c:v>40603</c:v>
                </c:pt>
                <c:pt idx="27">
                  <c:v>40634</c:v>
                </c:pt>
                <c:pt idx="28">
                  <c:v>40664</c:v>
                </c:pt>
                <c:pt idx="29">
                  <c:v>40695</c:v>
                </c:pt>
                <c:pt idx="30">
                  <c:v>40725</c:v>
                </c:pt>
                <c:pt idx="31">
                  <c:v>40756</c:v>
                </c:pt>
                <c:pt idx="32">
                  <c:v>40787</c:v>
                </c:pt>
                <c:pt idx="33">
                  <c:v>40817</c:v>
                </c:pt>
                <c:pt idx="34">
                  <c:v>40848</c:v>
                </c:pt>
                <c:pt idx="35">
                  <c:v>40878</c:v>
                </c:pt>
                <c:pt idx="36">
                  <c:v>40909</c:v>
                </c:pt>
                <c:pt idx="37">
                  <c:v>40940</c:v>
                </c:pt>
                <c:pt idx="38">
                  <c:v>40969</c:v>
                </c:pt>
                <c:pt idx="39">
                  <c:v>41000</c:v>
                </c:pt>
                <c:pt idx="40">
                  <c:v>41030</c:v>
                </c:pt>
                <c:pt idx="41">
                  <c:v>41061</c:v>
                </c:pt>
                <c:pt idx="42">
                  <c:v>41091</c:v>
                </c:pt>
                <c:pt idx="43">
                  <c:v>41122</c:v>
                </c:pt>
                <c:pt idx="44">
                  <c:v>41153</c:v>
                </c:pt>
                <c:pt idx="45">
                  <c:v>41183</c:v>
                </c:pt>
                <c:pt idx="46">
                  <c:v>41214</c:v>
                </c:pt>
                <c:pt idx="47">
                  <c:v>41244</c:v>
                </c:pt>
                <c:pt idx="48">
                  <c:v>41275</c:v>
                </c:pt>
                <c:pt idx="49">
                  <c:v>41306</c:v>
                </c:pt>
                <c:pt idx="50">
                  <c:v>41334</c:v>
                </c:pt>
                <c:pt idx="51">
                  <c:v>41365</c:v>
                </c:pt>
                <c:pt idx="52">
                  <c:v>41395</c:v>
                </c:pt>
                <c:pt idx="53">
                  <c:v>41426</c:v>
                </c:pt>
                <c:pt idx="54">
                  <c:v>41456</c:v>
                </c:pt>
                <c:pt idx="55">
                  <c:v>41487</c:v>
                </c:pt>
              </c:numCache>
            </c:numRef>
          </c:cat>
          <c:val>
            <c:numRef>
              <c:f>'Incident Breakdown Since 2009'!$B$6:$B$63</c:f>
              <c:numCache>
                <c:formatCode>General</c:formatCode>
                <c:ptCount val="58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  <c:pt idx="6">
                  <c:v>13</c:v>
                </c:pt>
                <c:pt idx="7">
                  <c:v>8</c:v>
                </c:pt>
                <c:pt idx="8">
                  <c:v>9</c:v>
                </c:pt>
                <c:pt idx="9">
                  <c:v>8</c:v>
                </c:pt>
                <c:pt idx="10">
                  <c:v>3</c:v>
                </c:pt>
                <c:pt idx="11">
                  <c:v>5</c:v>
                </c:pt>
                <c:pt idx="12">
                  <c:v>5</c:v>
                </c:pt>
                <c:pt idx="13">
                  <c:v>3</c:v>
                </c:pt>
                <c:pt idx="14">
                  <c:v>3</c:v>
                </c:pt>
                <c:pt idx="15">
                  <c:v>2</c:v>
                </c:pt>
                <c:pt idx="16">
                  <c:v>4</c:v>
                </c:pt>
                <c:pt idx="17">
                  <c:v>2</c:v>
                </c:pt>
                <c:pt idx="18">
                  <c:v>3</c:v>
                </c:pt>
                <c:pt idx="19">
                  <c:v>1</c:v>
                </c:pt>
                <c:pt idx="20">
                  <c:v>7</c:v>
                </c:pt>
                <c:pt idx="21">
                  <c:v>7</c:v>
                </c:pt>
                <c:pt idx="22">
                  <c:v>5</c:v>
                </c:pt>
                <c:pt idx="23">
                  <c:v>12</c:v>
                </c:pt>
                <c:pt idx="24">
                  <c:v>3</c:v>
                </c:pt>
                <c:pt idx="25">
                  <c:v>5</c:v>
                </c:pt>
                <c:pt idx="26">
                  <c:v>6</c:v>
                </c:pt>
                <c:pt idx="27">
                  <c:v>11</c:v>
                </c:pt>
                <c:pt idx="28">
                  <c:v>10</c:v>
                </c:pt>
                <c:pt idx="29">
                  <c:v>15</c:v>
                </c:pt>
                <c:pt idx="30">
                  <c:v>10</c:v>
                </c:pt>
                <c:pt idx="31">
                  <c:v>9</c:v>
                </c:pt>
                <c:pt idx="32">
                  <c:v>5</c:v>
                </c:pt>
                <c:pt idx="33">
                  <c:v>4</c:v>
                </c:pt>
                <c:pt idx="34">
                  <c:v>7</c:v>
                </c:pt>
                <c:pt idx="35">
                  <c:v>8</c:v>
                </c:pt>
                <c:pt idx="36">
                  <c:v>5</c:v>
                </c:pt>
                <c:pt idx="37">
                  <c:v>7</c:v>
                </c:pt>
                <c:pt idx="38">
                  <c:v>6</c:v>
                </c:pt>
                <c:pt idx="39">
                  <c:v>6</c:v>
                </c:pt>
                <c:pt idx="40">
                  <c:v>4</c:v>
                </c:pt>
                <c:pt idx="41">
                  <c:v>5</c:v>
                </c:pt>
                <c:pt idx="42">
                  <c:v>7</c:v>
                </c:pt>
                <c:pt idx="43">
                  <c:v>3</c:v>
                </c:pt>
                <c:pt idx="44">
                  <c:v>5</c:v>
                </c:pt>
                <c:pt idx="45">
                  <c:v>8</c:v>
                </c:pt>
                <c:pt idx="46">
                  <c:v>5</c:v>
                </c:pt>
                <c:pt idx="47">
                  <c:v>2</c:v>
                </c:pt>
                <c:pt idx="48">
                  <c:v>2</c:v>
                </c:pt>
                <c:pt idx="49">
                  <c:v>13</c:v>
                </c:pt>
                <c:pt idx="50">
                  <c:v>9</c:v>
                </c:pt>
                <c:pt idx="51">
                  <c:v>7</c:v>
                </c:pt>
                <c:pt idx="52">
                  <c:v>10</c:v>
                </c:pt>
                <c:pt idx="53">
                  <c:v>7</c:v>
                </c:pt>
                <c:pt idx="54">
                  <c:v>5</c:v>
                </c:pt>
                <c:pt idx="55">
                  <c:v>4</c:v>
                </c:pt>
                <c:pt idx="56">
                  <c:v>5</c:v>
                </c:pt>
                <c:pt idx="57">
                  <c:v>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'Incident Breakdown Since 2009'!$C$5</c:f>
              <c:strCache>
                <c:ptCount val="1"/>
                <c:pt idx="0">
                  <c:v>Loss of Propulsion - Fuel Switching Related</c:v>
                </c:pt>
              </c:strCache>
            </c:strRef>
          </c:tx>
          <c:marker>
            <c:symbol val="none"/>
          </c:marker>
          <c:cat>
            <c:numRef>
              <c:f>'[1]Incident Breakdown since 2009'!$A$6:$A$61</c:f>
              <c:numCache>
                <c:formatCode>General</c:formatCode>
                <c:ptCount val="56"/>
                <c:pt idx="0">
                  <c:v>39814</c:v>
                </c:pt>
                <c:pt idx="1">
                  <c:v>39845</c:v>
                </c:pt>
                <c:pt idx="2">
                  <c:v>39873</c:v>
                </c:pt>
                <c:pt idx="3">
                  <c:v>39904</c:v>
                </c:pt>
                <c:pt idx="4">
                  <c:v>39934</c:v>
                </c:pt>
                <c:pt idx="5">
                  <c:v>39965</c:v>
                </c:pt>
                <c:pt idx="6">
                  <c:v>39995</c:v>
                </c:pt>
                <c:pt idx="7">
                  <c:v>40026</c:v>
                </c:pt>
                <c:pt idx="8">
                  <c:v>40057</c:v>
                </c:pt>
                <c:pt idx="9">
                  <c:v>40087</c:v>
                </c:pt>
                <c:pt idx="10">
                  <c:v>40118</c:v>
                </c:pt>
                <c:pt idx="11">
                  <c:v>40148</c:v>
                </c:pt>
                <c:pt idx="12">
                  <c:v>40179</c:v>
                </c:pt>
                <c:pt idx="13">
                  <c:v>40210</c:v>
                </c:pt>
                <c:pt idx="14">
                  <c:v>40238</c:v>
                </c:pt>
                <c:pt idx="15">
                  <c:v>40269</c:v>
                </c:pt>
                <c:pt idx="16">
                  <c:v>40299</c:v>
                </c:pt>
                <c:pt idx="17">
                  <c:v>40330</c:v>
                </c:pt>
                <c:pt idx="18">
                  <c:v>40360</c:v>
                </c:pt>
                <c:pt idx="19">
                  <c:v>40391</c:v>
                </c:pt>
                <c:pt idx="20">
                  <c:v>40422</c:v>
                </c:pt>
                <c:pt idx="21">
                  <c:v>40452</c:v>
                </c:pt>
                <c:pt idx="22">
                  <c:v>40483</c:v>
                </c:pt>
                <c:pt idx="23">
                  <c:v>40513</c:v>
                </c:pt>
                <c:pt idx="24">
                  <c:v>40544</c:v>
                </c:pt>
                <c:pt idx="25">
                  <c:v>40575</c:v>
                </c:pt>
                <c:pt idx="26">
                  <c:v>40603</c:v>
                </c:pt>
                <c:pt idx="27">
                  <c:v>40634</c:v>
                </c:pt>
                <c:pt idx="28">
                  <c:v>40664</c:v>
                </c:pt>
                <c:pt idx="29">
                  <c:v>40695</c:v>
                </c:pt>
                <c:pt idx="30">
                  <c:v>40725</c:v>
                </c:pt>
                <c:pt idx="31">
                  <c:v>40756</c:v>
                </c:pt>
                <c:pt idx="32">
                  <c:v>40787</c:v>
                </c:pt>
                <c:pt idx="33">
                  <c:v>40817</c:v>
                </c:pt>
                <c:pt idx="34">
                  <c:v>40848</c:v>
                </c:pt>
                <c:pt idx="35">
                  <c:v>40878</c:v>
                </c:pt>
                <c:pt idx="36">
                  <c:v>40909</c:v>
                </c:pt>
                <c:pt idx="37">
                  <c:v>40940</c:v>
                </c:pt>
                <c:pt idx="38">
                  <c:v>40969</c:v>
                </c:pt>
                <c:pt idx="39">
                  <c:v>41000</c:v>
                </c:pt>
                <c:pt idx="40">
                  <c:v>41030</c:v>
                </c:pt>
                <c:pt idx="41">
                  <c:v>41061</c:v>
                </c:pt>
                <c:pt idx="42">
                  <c:v>41091</c:v>
                </c:pt>
                <c:pt idx="43">
                  <c:v>41122</c:v>
                </c:pt>
                <c:pt idx="44">
                  <c:v>41153</c:v>
                </c:pt>
                <c:pt idx="45">
                  <c:v>41183</c:v>
                </c:pt>
                <c:pt idx="46">
                  <c:v>41214</c:v>
                </c:pt>
                <c:pt idx="47">
                  <c:v>41244</c:v>
                </c:pt>
                <c:pt idx="48">
                  <c:v>41275</c:v>
                </c:pt>
                <c:pt idx="49">
                  <c:v>41306</c:v>
                </c:pt>
                <c:pt idx="50">
                  <c:v>41334</c:v>
                </c:pt>
                <c:pt idx="51">
                  <c:v>41365</c:v>
                </c:pt>
                <c:pt idx="52">
                  <c:v>41395</c:v>
                </c:pt>
                <c:pt idx="53">
                  <c:v>41426</c:v>
                </c:pt>
                <c:pt idx="54">
                  <c:v>41456</c:v>
                </c:pt>
                <c:pt idx="55">
                  <c:v>41487</c:v>
                </c:pt>
              </c:numCache>
            </c:numRef>
          </c:cat>
          <c:val>
            <c:numRef>
              <c:f>'Incident Breakdown Since 2009'!$C$6:$C$63</c:f>
              <c:numCache>
                <c:formatCode>General</c:formatCode>
                <c:ptCount val="5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6</c:v>
                </c:pt>
                <c:pt idx="7">
                  <c:v>4</c:v>
                </c:pt>
                <c:pt idx="8">
                  <c:v>5</c:v>
                </c:pt>
                <c:pt idx="9">
                  <c:v>3</c:v>
                </c:pt>
                <c:pt idx="10">
                  <c:v>2</c:v>
                </c:pt>
                <c:pt idx="11">
                  <c:v>4</c:v>
                </c:pt>
                <c:pt idx="12">
                  <c:v>1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  <c:pt idx="25">
                  <c:v>0</c:v>
                </c:pt>
                <c:pt idx="26">
                  <c:v>3</c:v>
                </c:pt>
                <c:pt idx="27">
                  <c:v>4</c:v>
                </c:pt>
                <c:pt idx="28">
                  <c:v>3</c:v>
                </c:pt>
                <c:pt idx="29">
                  <c:v>6</c:v>
                </c:pt>
                <c:pt idx="30">
                  <c:v>4</c:v>
                </c:pt>
                <c:pt idx="31">
                  <c:v>4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1</c:v>
                </c:pt>
                <c:pt idx="36">
                  <c:v>1</c:v>
                </c:pt>
                <c:pt idx="37">
                  <c:v>2</c:v>
                </c:pt>
                <c:pt idx="38">
                  <c:v>0</c:v>
                </c:pt>
                <c:pt idx="39">
                  <c:v>1</c:v>
                </c:pt>
                <c:pt idx="40">
                  <c:v>3</c:v>
                </c:pt>
                <c:pt idx="41">
                  <c:v>2</c:v>
                </c:pt>
                <c:pt idx="42">
                  <c:v>3</c:v>
                </c:pt>
                <c:pt idx="43">
                  <c:v>2</c:v>
                </c:pt>
                <c:pt idx="44">
                  <c:v>1</c:v>
                </c:pt>
                <c:pt idx="45">
                  <c:v>3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3</c:v>
                </c:pt>
                <c:pt idx="50">
                  <c:v>2</c:v>
                </c:pt>
                <c:pt idx="51">
                  <c:v>2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'[1]Incident Breakdown since 2009'!$D$5</c:f>
              <c:strCache>
                <c:ptCount val="1"/>
                <c:pt idx="0">
                  <c:v>Safety Exemptions Used</c:v>
                </c:pt>
              </c:strCache>
            </c:strRef>
          </c:tx>
          <c:marker>
            <c:symbol val="none"/>
          </c:marker>
          <c:cat>
            <c:numRef>
              <c:f>'[1]Incident Breakdown since 2009'!$A$6:$A$61</c:f>
              <c:numCache>
                <c:formatCode>General</c:formatCode>
                <c:ptCount val="56"/>
                <c:pt idx="0">
                  <c:v>39814</c:v>
                </c:pt>
                <c:pt idx="1">
                  <c:v>39845</c:v>
                </c:pt>
                <c:pt idx="2">
                  <c:v>39873</c:v>
                </c:pt>
                <c:pt idx="3">
                  <c:v>39904</c:v>
                </c:pt>
                <c:pt idx="4">
                  <c:v>39934</c:v>
                </c:pt>
                <c:pt idx="5">
                  <c:v>39965</c:v>
                </c:pt>
                <c:pt idx="6">
                  <c:v>39995</c:v>
                </c:pt>
                <c:pt idx="7">
                  <c:v>40026</c:v>
                </c:pt>
                <c:pt idx="8">
                  <c:v>40057</c:v>
                </c:pt>
                <c:pt idx="9">
                  <c:v>40087</c:v>
                </c:pt>
                <c:pt idx="10">
                  <c:v>40118</c:v>
                </c:pt>
                <c:pt idx="11">
                  <c:v>40148</c:v>
                </c:pt>
                <c:pt idx="12">
                  <c:v>40179</c:v>
                </c:pt>
                <c:pt idx="13">
                  <c:v>40210</c:v>
                </c:pt>
                <c:pt idx="14">
                  <c:v>40238</c:v>
                </c:pt>
                <c:pt idx="15">
                  <c:v>40269</c:v>
                </c:pt>
                <c:pt idx="16">
                  <c:v>40299</c:v>
                </c:pt>
                <c:pt idx="17">
                  <c:v>40330</c:v>
                </c:pt>
                <c:pt idx="18">
                  <c:v>40360</c:v>
                </c:pt>
                <c:pt idx="19">
                  <c:v>40391</c:v>
                </c:pt>
                <c:pt idx="20">
                  <c:v>40422</c:v>
                </c:pt>
                <c:pt idx="21">
                  <c:v>40452</c:v>
                </c:pt>
                <c:pt idx="22">
                  <c:v>40483</c:v>
                </c:pt>
                <c:pt idx="23">
                  <c:v>40513</c:v>
                </c:pt>
                <c:pt idx="24">
                  <c:v>40544</c:v>
                </c:pt>
                <c:pt idx="25">
                  <c:v>40575</c:v>
                </c:pt>
                <c:pt idx="26">
                  <c:v>40603</c:v>
                </c:pt>
                <c:pt idx="27">
                  <c:v>40634</c:v>
                </c:pt>
                <c:pt idx="28">
                  <c:v>40664</c:v>
                </c:pt>
                <c:pt idx="29">
                  <c:v>40695</c:v>
                </c:pt>
                <c:pt idx="30">
                  <c:v>40725</c:v>
                </c:pt>
                <c:pt idx="31">
                  <c:v>40756</c:v>
                </c:pt>
                <c:pt idx="32">
                  <c:v>40787</c:v>
                </c:pt>
                <c:pt idx="33">
                  <c:v>40817</c:v>
                </c:pt>
                <c:pt idx="34">
                  <c:v>40848</c:v>
                </c:pt>
                <c:pt idx="35">
                  <c:v>40878</c:v>
                </c:pt>
                <c:pt idx="36">
                  <c:v>40909</c:v>
                </c:pt>
                <c:pt idx="37">
                  <c:v>40940</c:v>
                </c:pt>
                <c:pt idx="38">
                  <c:v>40969</c:v>
                </c:pt>
                <c:pt idx="39">
                  <c:v>41000</c:v>
                </c:pt>
                <c:pt idx="40">
                  <c:v>41030</c:v>
                </c:pt>
                <c:pt idx="41">
                  <c:v>41061</c:v>
                </c:pt>
                <c:pt idx="42">
                  <c:v>41091</c:v>
                </c:pt>
                <c:pt idx="43">
                  <c:v>41122</c:v>
                </c:pt>
                <c:pt idx="44">
                  <c:v>41153</c:v>
                </c:pt>
                <c:pt idx="45">
                  <c:v>41183</c:v>
                </c:pt>
                <c:pt idx="46">
                  <c:v>41214</c:v>
                </c:pt>
                <c:pt idx="47">
                  <c:v>41244</c:v>
                </c:pt>
                <c:pt idx="48">
                  <c:v>41275</c:v>
                </c:pt>
                <c:pt idx="49">
                  <c:v>41306</c:v>
                </c:pt>
                <c:pt idx="50">
                  <c:v>41334</c:v>
                </c:pt>
                <c:pt idx="51">
                  <c:v>41365</c:v>
                </c:pt>
                <c:pt idx="52">
                  <c:v>41395</c:v>
                </c:pt>
                <c:pt idx="53">
                  <c:v>41426</c:v>
                </c:pt>
                <c:pt idx="54">
                  <c:v>41456</c:v>
                </c:pt>
                <c:pt idx="55">
                  <c:v>41487</c:v>
                </c:pt>
              </c:numCache>
            </c:numRef>
          </c:cat>
          <c:val>
            <c:numRef>
              <c:f>'[1]Incident Breakdown since 2009'!$D$6:$D$61</c:f>
              <c:numCache>
                <c:formatCode>General</c:formatCode>
                <c:ptCount val="56"/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4</c:v>
                </c:pt>
                <c:pt idx="12">
                  <c:v>5</c:v>
                </c:pt>
                <c:pt idx="13">
                  <c:v>2</c:v>
                </c:pt>
                <c:pt idx="14">
                  <c:v>5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4</c:v>
                </c:pt>
                <c:pt idx="22">
                  <c:v>4</c:v>
                </c:pt>
                <c:pt idx="23">
                  <c:v>2</c:v>
                </c:pt>
                <c:pt idx="24">
                  <c:v>1</c:v>
                </c:pt>
                <c:pt idx="25">
                  <c:v>2</c:v>
                </c:pt>
                <c:pt idx="26">
                  <c:v>5</c:v>
                </c:pt>
                <c:pt idx="27">
                  <c:v>0</c:v>
                </c:pt>
                <c:pt idx="28">
                  <c:v>6</c:v>
                </c:pt>
                <c:pt idx="29">
                  <c:v>1</c:v>
                </c:pt>
                <c:pt idx="30">
                  <c:v>2</c:v>
                </c:pt>
                <c:pt idx="31">
                  <c:v>1</c:v>
                </c:pt>
                <c:pt idx="32">
                  <c:v>2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2</c:v>
                </c:pt>
                <c:pt idx="40">
                  <c:v>2</c:v>
                </c:pt>
                <c:pt idx="41">
                  <c:v>4</c:v>
                </c:pt>
                <c:pt idx="42">
                  <c:v>3</c:v>
                </c:pt>
                <c:pt idx="43">
                  <c:v>1</c:v>
                </c:pt>
                <c:pt idx="44">
                  <c:v>2</c:v>
                </c:pt>
                <c:pt idx="45">
                  <c:v>1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056000"/>
        <c:axId val="51061888"/>
      </c:lineChart>
      <c:catAx>
        <c:axId val="5105600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1061888"/>
        <c:crosses val="autoZero"/>
        <c:auto val="1"/>
        <c:lblAlgn val="ctr"/>
        <c:lblOffset val="100"/>
        <c:noMultiLvlLbl val="1"/>
      </c:catAx>
      <c:valAx>
        <c:axId val="510618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1056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5122061355233816"/>
          <c:y val="0.34460030811365971"/>
          <c:w val="0.23640577185916278"/>
          <c:h val="0.41039541252995548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752475</xdr:colOff>
      <xdr:row>2</xdr:row>
      <xdr:rowOff>152400</xdr:rowOff>
    </xdr:from>
    <xdr:to>
      <xdr:col>13</xdr:col>
      <xdr:colOff>333375</xdr:colOff>
      <xdr:row>18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0.38958</cdr:x>
      <cdr:y>0.13202</cdr:y>
    </cdr:from>
    <cdr:to>
      <cdr:x>0.58958</cdr:x>
      <cdr:y>0.25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81175" y="447675"/>
          <a:ext cx="914400" cy="4000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0.09792</cdr:x>
      <cdr:y>0.08989</cdr:y>
    </cdr:from>
    <cdr:to>
      <cdr:x>0.73333</cdr:x>
      <cdr:y>0.2809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47675" y="304800"/>
          <a:ext cx="2905125" cy="647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0.18333</cdr:x>
      <cdr:y>0.12921</cdr:y>
    </cdr:from>
    <cdr:to>
      <cdr:x>0.76875</cdr:x>
      <cdr:y>0.29213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838199" y="438150"/>
          <a:ext cx="2676525" cy="5524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r>
            <a:rPr lang="en-US" sz="1600">
              <a:latin typeface="Arial" pitchFamily="34" charset="0"/>
              <a:cs typeface="Arial" pitchFamily="34" charset="0"/>
            </a:rPr>
            <a:t>Loss of Propulsion Incidents</a:t>
          </a:r>
        </a:p>
        <a:p xmlns:a="http://schemas.openxmlformats.org/drawingml/2006/main">
          <a:pPr algn="ctr"/>
          <a:r>
            <a:rPr lang="en-US" sz="1100">
              <a:latin typeface="Arial" pitchFamily="34" charset="0"/>
              <a:cs typeface="Arial" pitchFamily="34" charset="0"/>
            </a:rPr>
            <a:t>Monthly Totals in 2014</a:t>
          </a:r>
        </a:p>
        <a:p xmlns:a="http://schemas.openxmlformats.org/drawingml/2006/main">
          <a:pPr algn="ctr"/>
          <a:endParaRPr lang="en-US" sz="1100">
            <a:latin typeface="Arial" pitchFamily="34" charset="0"/>
            <a:cs typeface="Arial" pitchFamily="34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11</xdr:row>
      <xdr:rowOff>90487</xdr:rowOff>
    </xdr:from>
    <xdr:to>
      <xdr:col>7</xdr:col>
      <xdr:colOff>542925</xdr:colOff>
      <xdr:row>25</xdr:row>
      <xdr:rowOff>166687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238125</xdr:rowOff>
    </xdr:from>
    <xdr:to>
      <xdr:col>16</xdr:col>
      <xdr:colOff>323850</xdr:colOff>
      <xdr:row>16</xdr:row>
      <xdr:rowOff>85725</xdr:rowOff>
    </xdr:to>
    <xdr:graphicFrame macro="">
      <xdr:nvGraphicFramePr>
        <xdr:cNvPr id="3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cowan/AppData/Local/Microsoft/Windows/Temporary%20Internet%20Files/Content.Outlook/XDBTA6KK/D11-PropulsionIncidents-2009-2013_shared-AUG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ed List - Fuel Switching"/>
      <sheetName val="Detailed List - Non-Fuel Switch"/>
      <sheetName val="2013 - Summary"/>
      <sheetName val="2013 Total Numbers"/>
      <sheetName val="Incident Breakdown since 2009"/>
      <sheetName val="Sector Totals 2004-2013"/>
      <sheetName val="2012 - Summary"/>
      <sheetName val="2012 Total Numbers"/>
      <sheetName val="Sheet1"/>
    </sheetNames>
    <sheetDataSet>
      <sheetData sheetId="0"/>
      <sheetData sheetId="1"/>
      <sheetData sheetId="2"/>
      <sheetData sheetId="3"/>
      <sheetData sheetId="4">
        <row r="5">
          <cell r="D5" t="str">
            <v>Safety Exemptions Used</v>
          </cell>
        </row>
        <row r="6">
          <cell r="A6">
            <v>39814</v>
          </cell>
        </row>
        <row r="7">
          <cell r="A7">
            <v>39845</v>
          </cell>
        </row>
        <row r="8">
          <cell r="A8">
            <v>39873</v>
          </cell>
        </row>
        <row r="9">
          <cell r="A9">
            <v>39904</v>
          </cell>
        </row>
        <row r="10">
          <cell r="A10">
            <v>39934</v>
          </cell>
        </row>
        <row r="11">
          <cell r="A11">
            <v>39965</v>
          </cell>
        </row>
        <row r="12">
          <cell r="A12">
            <v>39995</v>
          </cell>
          <cell r="D12">
            <v>1</v>
          </cell>
        </row>
        <row r="13">
          <cell r="A13">
            <v>40026</v>
          </cell>
          <cell r="D13">
            <v>2</v>
          </cell>
        </row>
        <row r="14">
          <cell r="A14">
            <v>40057</v>
          </cell>
          <cell r="D14">
            <v>1</v>
          </cell>
        </row>
        <row r="15">
          <cell r="A15">
            <v>40087</v>
          </cell>
          <cell r="D15">
            <v>1</v>
          </cell>
        </row>
        <row r="16">
          <cell r="A16">
            <v>40118</v>
          </cell>
          <cell r="D16">
            <v>2</v>
          </cell>
        </row>
        <row r="17">
          <cell r="A17">
            <v>40148</v>
          </cell>
          <cell r="D17">
            <v>4</v>
          </cell>
        </row>
        <row r="18">
          <cell r="A18">
            <v>40179</v>
          </cell>
          <cell r="D18">
            <v>5</v>
          </cell>
        </row>
        <row r="19">
          <cell r="A19">
            <v>40210</v>
          </cell>
          <cell r="D19">
            <v>2</v>
          </cell>
        </row>
        <row r="20">
          <cell r="A20">
            <v>40238</v>
          </cell>
          <cell r="D20">
            <v>5</v>
          </cell>
        </row>
        <row r="21">
          <cell r="A21">
            <v>40269</v>
          </cell>
          <cell r="D21">
            <v>2</v>
          </cell>
        </row>
        <row r="22">
          <cell r="A22">
            <v>40299</v>
          </cell>
          <cell r="D22">
            <v>2</v>
          </cell>
        </row>
        <row r="23">
          <cell r="A23">
            <v>40330</v>
          </cell>
          <cell r="D23">
            <v>1</v>
          </cell>
        </row>
        <row r="24">
          <cell r="A24">
            <v>40360</v>
          </cell>
          <cell r="D24">
            <v>1</v>
          </cell>
        </row>
        <row r="25">
          <cell r="A25">
            <v>40391</v>
          </cell>
          <cell r="D25">
            <v>1</v>
          </cell>
        </row>
        <row r="26">
          <cell r="A26">
            <v>40422</v>
          </cell>
          <cell r="D26">
            <v>0</v>
          </cell>
        </row>
        <row r="27">
          <cell r="A27">
            <v>40452</v>
          </cell>
          <cell r="D27">
            <v>4</v>
          </cell>
        </row>
        <row r="28">
          <cell r="A28">
            <v>40483</v>
          </cell>
          <cell r="D28">
            <v>4</v>
          </cell>
        </row>
        <row r="29">
          <cell r="A29">
            <v>40513</v>
          </cell>
          <cell r="D29">
            <v>2</v>
          </cell>
        </row>
        <row r="30">
          <cell r="A30">
            <v>40544</v>
          </cell>
          <cell r="D30">
            <v>1</v>
          </cell>
        </row>
        <row r="31">
          <cell r="A31">
            <v>40575</v>
          </cell>
          <cell r="D31">
            <v>2</v>
          </cell>
        </row>
        <row r="32">
          <cell r="A32">
            <v>40603</v>
          </cell>
          <cell r="D32">
            <v>5</v>
          </cell>
        </row>
        <row r="33">
          <cell r="A33">
            <v>40634</v>
          </cell>
          <cell r="D33">
            <v>0</v>
          </cell>
        </row>
        <row r="34">
          <cell r="A34">
            <v>40664</v>
          </cell>
          <cell r="D34">
            <v>6</v>
          </cell>
        </row>
        <row r="35">
          <cell r="A35">
            <v>40695</v>
          </cell>
          <cell r="D35">
            <v>1</v>
          </cell>
        </row>
        <row r="36">
          <cell r="A36">
            <v>40725</v>
          </cell>
          <cell r="D36">
            <v>2</v>
          </cell>
        </row>
        <row r="37">
          <cell r="A37">
            <v>40756</v>
          </cell>
          <cell r="D37">
            <v>1</v>
          </cell>
        </row>
        <row r="38">
          <cell r="A38">
            <v>40787</v>
          </cell>
          <cell r="D38">
            <v>2</v>
          </cell>
        </row>
        <row r="39">
          <cell r="A39">
            <v>40817</v>
          </cell>
          <cell r="D39">
            <v>0</v>
          </cell>
        </row>
        <row r="40">
          <cell r="A40">
            <v>40848</v>
          </cell>
          <cell r="D40">
            <v>1</v>
          </cell>
        </row>
        <row r="41">
          <cell r="A41">
            <v>40878</v>
          </cell>
          <cell r="D41">
            <v>0</v>
          </cell>
        </row>
        <row r="42">
          <cell r="A42">
            <v>40909</v>
          </cell>
          <cell r="D42">
            <v>0</v>
          </cell>
        </row>
        <row r="43">
          <cell r="A43">
            <v>40940</v>
          </cell>
          <cell r="D43">
            <v>0</v>
          </cell>
        </row>
        <row r="44">
          <cell r="A44">
            <v>40969</v>
          </cell>
          <cell r="D44">
            <v>1</v>
          </cell>
        </row>
        <row r="45">
          <cell r="A45">
            <v>41000</v>
          </cell>
          <cell r="D45">
            <v>2</v>
          </cell>
        </row>
        <row r="46">
          <cell r="A46">
            <v>41030</v>
          </cell>
          <cell r="D46">
            <v>2</v>
          </cell>
        </row>
        <row r="47">
          <cell r="A47">
            <v>41061</v>
          </cell>
          <cell r="D47">
            <v>4</v>
          </cell>
        </row>
        <row r="48">
          <cell r="A48">
            <v>41091</v>
          </cell>
          <cell r="D48">
            <v>3</v>
          </cell>
        </row>
        <row r="49">
          <cell r="A49">
            <v>41122</v>
          </cell>
          <cell r="D49">
            <v>1</v>
          </cell>
        </row>
        <row r="50">
          <cell r="A50">
            <v>41153</v>
          </cell>
          <cell r="D50">
            <v>2</v>
          </cell>
        </row>
        <row r="51">
          <cell r="A51">
            <v>41183</v>
          </cell>
          <cell r="D51">
            <v>1</v>
          </cell>
        </row>
        <row r="52">
          <cell r="A52">
            <v>41214</v>
          </cell>
          <cell r="D52">
            <v>0</v>
          </cell>
        </row>
        <row r="53">
          <cell r="A53">
            <v>41244</v>
          </cell>
          <cell r="D53">
            <v>1</v>
          </cell>
        </row>
        <row r="54">
          <cell r="A54">
            <v>41275</v>
          </cell>
          <cell r="D54">
            <v>0</v>
          </cell>
        </row>
        <row r="55">
          <cell r="A55">
            <v>41306</v>
          </cell>
          <cell r="D55">
            <v>0</v>
          </cell>
        </row>
        <row r="56">
          <cell r="A56">
            <v>41334</v>
          </cell>
          <cell r="D56">
            <v>1</v>
          </cell>
        </row>
        <row r="57">
          <cell r="A57">
            <v>41365</v>
          </cell>
          <cell r="D57">
            <v>0</v>
          </cell>
        </row>
        <row r="58">
          <cell r="A58">
            <v>41395</v>
          </cell>
          <cell r="D58">
            <v>0</v>
          </cell>
        </row>
        <row r="59">
          <cell r="A59">
            <v>41426</v>
          </cell>
          <cell r="D59">
            <v>1</v>
          </cell>
        </row>
        <row r="60">
          <cell r="A60">
            <v>41456</v>
          </cell>
          <cell r="D60">
            <v>0</v>
          </cell>
        </row>
        <row r="61">
          <cell r="A61">
            <v>41487</v>
          </cell>
          <cell r="D61">
            <v>0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tabSelected="1" workbookViewId="0">
      <selection activeCell="B25" sqref="B25"/>
    </sheetView>
  </sheetViews>
  <sheetFormatPr defaultRowHeight="15" x14ac:dyDescent="0.25"/>
  <cols>
    <col min="1" max="1" width="27.85546875" bestFit="1" customWidth="1"/>
    <col min="2" max="2" width="20" customWidth="1"/>
    <col min="3" max="3" width="19.5703125" bestFit="1" customWidth="1"/>
    <col min="4" max="5" width="14.28515625" customWidth="1"/>
    <col min="257" max="257" width="27.85546875" bestFit="1" customWidth="1"/>
    <col min="258" max="258" width="20" customWidth="1"/>
    <col min="259" max="259" width="19.5703125" bestFit="1" customWidth="1"/>
    <col min="260" max="261" width="14.28515625" customWidth="1"/>
    <col min="513" max="513" width="27.85546875" bestFit="1" customWidth="1"/>
    <col min="514" max="514" width="20" customWidth="1"/>
    <col min="515" max="515" width="19.5703125" bestFit="1" customWidth="1"/>
    <col min="516" max="517" width="14.28515625" customWidth="1"/>
    <col min="769" max="769" width="27.85546875" bestFit="1" customWidth="1"/>
    <col min="770" max="770" width="20" customWidth="1"/>
    <col min="771" max="771" width="19.5703125" bestFit="1" customWidth="1"/>
    <col min="772" max="773" width="14.28515625" customWidth="1"/>
    <col min="1025" max="1025" width="27.85546875" bestFit="1" customWidth="1"/>
    <col min="1026" max="1026" width="20" customWidth="1"/>
    <col min="1027" max="1027" width="19.5703125" bestFit="1" customWidth="1"/>
    <col min="1028" max="1029" width="14.28515625" customWidth="1"/>
    <col min="1281" max="1281" width="27.85546875" bestFit="1" customWidth="1"/>
    <col min="1282" max="1282" width="20" customWidth="1"/>
    <col min="1283" max="1283" width="19.5703125" bestFit="1" customWidth="1"/>
    <col min="1284" max="1285" width="14.28515625" customWidth="1"/>
    <col min="1537" max="1537" width="27.85546875" bestFit="1" customWidth="1"/>
    <col min="1538" max="1538" width="20" customWidth="1"/>
    <col min="1539" max="1539" width="19.5703125" bestFit="1" customWidth="1"/>
    <col min="1540" max="1541" width="14.28515625" customWidth="1"/>
    <col min="1793" max="1793" width="27.85546875" bestFit="1" customWidth="1"/>
    <col min="1794" max="1794" width="20" customWidth="1"/>
    <col min="1795" max="1795" width="19.5703125" bestFit="1" customWidth="1"/>
    <col min="1796" max="1797" width="14.28515625" customWidth="1"/>
    <col min="2049" max="2049" width="27.85546875" bestFit="1" customWidth="1"/>
    <col min="2050" max="2050" width="20" customWidth="1"/>
    <col min="2051" max="2051" width="19.5703125" bestFit="1" customWidth="1"/>
    <col min="2052" max="2053" width="14.28515625" customWidth="1"/>
    <col min="2305" max="2305" width="27.85546875" bestFit="1" customWidth="1"/>
    <col min="2306" max="2306" width="20" customWidth="1"/>
    <col min="2307" max="2307" width="19.5703125" bestFit="1" customWidth="1"/>
    <col min="2308" max="2309" width="14.28515625" customWidth="1"/>
    <col min="2561" max="2561" width="27.85546875" bestFit="1" customWidth="1"/>
    <col min="2562" max="2562" width="20" customWidth="1"/>
    <col min="2563" max="2563" width="19.5703125" bestFit="1" customWidth="1"/>
    <col min="2564" max="2565" width="14.28515625" customWidth="1"/>
    <col min="2817" max="2817" width="27.85546875" bestFit="1" customWidth="1"/>
    <col min="2818" max="2818" width="20" customWidth="1"/>
    <col min="2819" max="2819" width="19.5703125" bestFit="1" customWidth="1"/>
    <col min="2820" max="2821" width="14.28515625" customWidth="1"/>
    <col min="3073" max="3073" width="27.85546875" bestFit="1" customWidth="1"/>
    <col min="3074" max="3074" width="20" customWidth="1"/>
    <col min="3075" max="3075" width="19.5703125" bestFit="1" customWidth="1"/>
    <col min="3076" max="3077" width="14.28515625" customWidth="1"/>
    <col min="3329" max="3329" width="27.85546875" bestFit="1" customWidth="1"/>
    <col min="3330" max="3330" width="20" customWidth="1"/>
    <col min="3331" max="3331" width="19.5703125" bestFit="1" customWidth="1"/>
    <col min="3332" max="3333" width="14.28515625" customWidth="1"/>
    <col min="3585" max="3585" width="27.85546875" bestFit="1" customWidth="1"/>
    <col min="3586" max="3586" width="20" customWidth="1"/>
    <col min="3587" max="3587" width="19.5703125" bestFit="1" customWidth="1"/>
    <col min="3588" max="3589" width="14.28515625" customWidth="1"/>
    <col min="3841" max="3841" width="27.85546875" bestFit="1" customWidth="1"/>
    <col min="3842" max="3842" width="20" customWidth="1"/>
    <col min="3843" max="3843" width="19.5703125" bestFit="1" customWidth="1"/>
    <col min="3844" max="3845" width="14.28515625" customWidth="1"/>
    <col min="4097" max="4097" width="27.85546875" bestFit="1" customWidth="1"/>
    <col min="4098" max="4098" width="20" customWidth="1"/>
    <col min="4099" max="4099" width="19.5703125" bestFit="1" customWidth="1"/>
    <col min="4100" max="4101" width="14.28515625" customWidth="1"/>
    <col min="4353" max="4353" width="27.85546875" bestFit="1" customWidth="1"/>
    <col min="4354" max="4354" width="20" customWidth="1"/>
    <col min="4355" max="4355" width="19.5703125" bestFit="1" customWidth="1"/>
    <col min="4356" max="4357" width="14.28515625" customWidth="1"/>
    <col min="4609" max="4609" width="27.85546875" bestFit="1" customWidth="1"/>
    <col min="4610" max="4610" width="20" customWidth="1"/>
    <col min="4611" max="4611" width="19.5703125" bestFit="1" customWidth="1"/>
    <col min="4612" max="4613" width="14.28515625" customWidth="1"/>
    <col min="4865" max="4865" width="27.85546875" bestFit="1" customWidth="1"/>
    <col min="4866" max="4866" width="20" customWidth="1"/>
    <col min="4867" max="4867" width="19.5703125" bestFit="1" customWidth="1"/>
    <col min="4868" max="4869" width="14.28515625" customWidth="1"/>
    <col min="5121" max="5121" width="27.85546875" bestFit="1" customWidth="1"/>
    <col min="5122" max="5122" width="20" customWidth="1"/>
    <col min="5123" max="5123" width="19.5703125" bestFit="1" customWidth="1"/>
    <col min="5124" max="5125" width="14.28515625" customWidth="1"/>
    <col min="5377" max="5377" width="27.85546875" bestFit="1" customWidth="1"/>
    <col min="5378" max="5378" width="20" customWidth="1"/>
    <col min="5379" max="5379" width="19.5703125" bestFit="1" customWidth="1"/>
    <col min="5380" max="5381" width="14.28515625" customWidth="1"/>
    <col min="5633" max="5633" width="27.85546875" bestFit="1" customWidth="1"/>
    <col min="5634" max="5634" width="20" customWidth="1"/>
    <col min="5635" max="5635" width="19.5703125" bestFit="1" customWidth="1"/>
    <col min="5636" max="5637" width="14.28515625" customWidth="1"/>
    <col min="5889" max="5889" width="27.85546875" bestFit="1" customWidth="1"/>
    <col min="5890" max="5890" width="20" customWidth="1"/>
    <col min="5891" max="5891" width="19.5703125" bestFit="1" customWidth="1"/>
    <col min="5892" max="5893" width="14.28515625" customWidth="1"/>
    <col min="6145" max="6145" width="27.85546875" bestFit="1" customWidth="1"/>
    <col min="6146" max="6146" width="20" customWidth="1"/>
    <col min="6147" max="6147" width="19.5703125" bestFit="1" customWidth="1"/>
    <col min="6148" max="6149" width="14.28515625" customWidth="1"/>
    <col min="6401" max="6401" width="27.85546875" bestFit="1" customWidth="1"/>
    <col min="6402" max="6402" width="20" customWidth="1"/>
    <col min="6403" max="6403" width="19.5703125" bestFit="1" customWidth="1"/>
    <col min="6404" max="6405" width="14.28515625" customWidth="1"/>
    <col min="6657" max="6657" width="27.85546875" bestFit="1" customWidth="1"/>
    <col min="6658" max="6658" width="20" customWidth="1"/>
    <col min="6659" max="6659" width="19.5703125" bestFit="1" customWidth="1"/>
    <col min="6660" max="6661" width="14.28515625" customWidth="1"/>
    <col min="6913" max="6913" width="27.85546875" bestFit="1" customWidth="1"/>
    <col min="6914" max="6914" width="20" customWidth="1"/>
    <col min="6915" max="6915" width="19.5703125" bestFit="1" customWidth="1"/>
    <col min="6916" max="6917" width="14.28515625" customWidth="1"/>
    <col min="7169" max="7169" width="27.85546875" bestFit="1" customWidth="1"/>
    <col min="7170" max="7170" width="20" customWidth="1"/>
    <col min="7171" max="7171" width="19.5703125" bestFit="1" customWidth="1"/>
    <col min="7172" max="7173" width="14.28515625" customWidth="1"/>
    <col min="7425" max="7425" width="27.85546875" bestFit="1" customWidth="1"/>
    <col min="7426" max="7426" width="20" customWidth="1"/>
    <col min="7427" max="7427" width="19.5703125" bestFit="1" customWidth="1"/>
    <col min="7428" max="7429" width="14.28515625" customWidth="1"/>
    <col min="7681" max="7681" width="27.85546875" bestFit="1" customWidth="1"/>
    <col min="7682" max="7682" width="20" customWidth="1"/>
    <col min="7683" max="7683" width="19.5703125" bestFit="1" customWidth="1"/>
    <col min="7684" max="7685" width="14.28515625" customWidth="1"/>
    <col min="7937" max="7937" width="27.85546875" bestFit="1" customWidth="1"/>
    <col min="7938" max="7938" width="20" customWidth="1"/>
    <col min="7939" max="7939" width="19.5703125" bestFit="1" customWidth="1"/>
    <col min="7940" max="7941" width="14.28515625" customWidth="1"/>
    <col min="8193" max="8193" width="27.85546875" bestFit="1" customWidth="1"/>
    <col min="8194" max="8194" width="20" customWidth="1"/>
    <col min="8195" max="8195" width="19.5703125" bestFit="1" customWidth="1"/>
    <col min="8196" max="8197" width="14.28515625" customWidth="1"/>
    <col min="8449" max="8449" width="27.85546875" bestFit="1" customWidth="1"/>
    <col min="8450" max="8450" width="20" customWidth="1"/>
    <col min="8451" max="8451" width="19.5703125" bestFit="1" customWidth="1"/>
    <col min="8452" max="8453" width="14.28515625" customWidth="1"/>
    <col min="8705" max="8705" width="27.85546875" bestFit="1" customWidth="1"/>
    <col min="8706" max="8706" width="20" customWidth="1"/>
    <col min="8707" max="8707" width="19.5703125" bestFit="1" customWidth="1"/>
    <col min="8708" max="8709" width="14.28515625" customWidth="1"/>
    <col min="8961" max="8961" width="27.85546875" bestFit="1" customWidth="1"/>
    <col min="8962" max="8962" width="20" customWidth="1"/>
    <col min="8963" max="8963" width="19.5703125" bestFit="1" customWidth="1"/>
    <col min="8964" max="8965" width="14.28515625" customWidth="1"/>
    <col min="9217" max="9217" width="27.85546875" bestFit="1" customWidth="1"/>
    <col min="9218" max="9218" width="20" customWidth="1"/>
    <col min="9219" max="9219" width="19.5703125" bestFit="1" customWidth="1"/>
    <col min="9220" max="9221" width="14.28515625" customWidth="1"/>
    <col min="9473" max="9473" width="27.85546875" bestFit="1" customWidth="1"/>
    <col min="9474" max="9474" width="20" customWidth="1"/>
    <col min="9475" max="9475" width="19.5703125" bestFit="1" customWidth="1"/>
    <col min="9476" max="9477" width="14.28515625" customWidth="1"/>
    <col min="9729" max="9729" width="27.85546875" bestFit="1" customWidth="1"/>
    <col min="9730" max="9730" width="20" customWidth="1"/>
    <col min="9731" max="9731" width="19.5703125" bestFit="1" customWidth="1"/>
    <col min="9732" max="9733" width="14.28515625" customWidth="1"/>
    <col min="9985" max="9985" width="27.85546875" bestFit="1" customWidth="1"/>
    <col min="9986" max="9986" width="20" customWidth="1"/>
    <col min="9987" max="9987" width="19.5703125" bestFit="1" customWidth="1"/>
    <col min="9988" max="9989" width="14.28515625" customWidth="1"/>
    <col min="10241" max="10241" width="27.85546875" bestFit="1" customWidth="1"/>
    <col min="10242" max="10242" width="20" customWidth="1"/>
    <col min="10243" max="10243" width="19.5703125" bestFit="1" customWidth="1"/>
    <col min="10244" max="10245" width="14.28515625" customWidth="1"/>
    <col min="10497" max="10497" width="27.85546875" bestFit="1" customWidth="1"/>
    <col min="10498" max="10498" width="20" customWidth="1"/>
    <col min="10499" max="10499" width="19.5703125" bestFit="1" customWidth="1"/>
    <col min="10500" max="10501" width="14.28515625" customWidth="1"/>
    <col min="10753" max="10753" width="27.85546875" bestFit="1" customWidth="1"/>
    <col min="10754" max="10754" width="20" customWidth="1"/>
    <col min="10755" max="10755" width="19.5703125" bestFit="1" customWidth="1"/>
    <col min="10756" max="10757" width="14.28515625" customWidth="1"/>
    <col min="11009" max="11009" width="27.85546875" bestFit="1" customWidth="1"/>
    <col min="11010" max="11010" width="20" customWidth="1"/>
    <col min="11011" max="11011" width="19.5703125" bestFit="1" customWidth="1"/>
    <col min="11012" max="11013" width="14.28515625" customWidth="1"/>
    <col min="11265" max="11265" width="27.85546875" bestFit="1" customWidth="1"/>
    <col min="11266" max="11266" width="20" customWidth="1"/>
    <col min="11267" max="11267" width="19.5703125" bestFit="1" customWidth="1"/>
    <col min="11268" max="11269" width="14.28515625" customWidth="1"/>
    <col min="11521" max="11521" width="27.85546875" bestFit="1" customWidth="1"/>
    <col min="11522" max="11522" width="20" customWidth="1"/>
    <col min="11523" max="11523" width="19.5703125" bestFit="1" customWidth="1"/>
    <col min="11524" max="11525" width="14.28515625" customWidth="1"/>
    <col min="11777" max="11777" width="27.85546875" bestFit="1" customWidth="1"/>
    <col min="11778" max="11778" width="20" customWidth="1"/>
    <col min="11779" max="11779" width="19.5703125" bestFit="1" customWidth="1"/>
    <col min="11780" max="11781" width="14.28515625" customWidth="1"/>
    <col min="12033" max="12033" width="27.85546875" bestFit="1" customWidth="1"/>
    <col min="12034" max="12034" width="20" customWidth="1"/>
    <col min="12035" max="12035" width="19.5703125" bestFit="1" customWidth="1"/>
    <col min="12036" max="12037" width="14.28515625" customWidth="1"/>
    <col min="12289" max="12289" width="27.85546875" bestFit="1" customWidth="1"/>
    <col min="12290" max="12290" width="20" customWidth="1"/>
    <col min="12291" max="12291" width="19.5703125" bestFit="1" customWidth="1"/>
    <col min="12292" max="12293" width="14.28515625" customWidth="1"/>
    <col min="12545" max="12545" width="27.85546875" bestFit="1" customWidth="1"/>
    <col min="12546" max="12546" width="20" customWidth="1"/>
    <col min="12547" max="12547" width="19.5703125" bestFit="1" customWidth="1"/>
    <col min="12548" max="12549" width="14.28515625" customWidth="1"/>
    <col min="12801" max="12801" width="27.85546875" bestFit="1" customWidth="1"/>
    <col min="12802" max="12802" width="20" customWidth="1"/>
    <col min="12803" max="12803" width="19.5703125" bestFit="1" customWidth="1"/>
    <col min="12804" max="12805" width="14.28515625" customWidth="1"/>
    <col min="13057" max="13057" width="27.85546875" bestFit="1" customWidth="1"/>
    <col min="13058" max="13058" width="20" customWidth="1"/>
    <col min="13059" max="13059" width="19.5703125" bestFit="1" customWidth="1"/>
    <col min="13060" max="13061" width="14.28515625" customWidth="1"/>
    <col min="13313" max="13313" width="27.85546875" bestFit="1" customWidth="1"/>
    <col min="13314" max="13314" width="20" customWidth="1"/>
    <col min="13315" max="13315" width="19.5703125" bestFit="1" customWidth="1"/>
    <col min="13316" max="13317" width="14.28515625" customWidth="1"/>
    <col min="13569" max="13569" width="27.85546875" bestFit="1" customWidth="1"/>
    <col min="13570" max="13570" width="20" customWidth="1"/>
    <col min="13571" max="13571" width="19.5703125" bestFit="1" customWidth="1"/>
    <col min="13572" max="13573" width="14.28515625" customWidth="1"/>
    <col min="13825" max="13825" width="27.85546875" bestFit="1" customWidth="1"/>
    <col min="13826" max="13826" width="20" customWidth="1"/>
    <col min="13827" max="13827" width="19.5703125" bestFit="1" customWidth="1"/>
    <col min="13828" max="13829" width="14.28515625" customWidth="1"/>
    <col min="14081" max="14081" width="27.85546875" bestFit="1" customWidth="1"/>
    <col min="14082" max="14082" width="20" customWidth="1"/>
    <col min="14083" max="14083" width="19.5703125" bestFit="1" customWidth="1"/>
    <col min="14084" max="14085" width="14.28515625" customWidth="1"/>
    <col min="14337" max="14337" width="27.85546875" bestFit="1" customWidth="1"/>
    <col min="14338" max="14338" width="20" customWidth="1"/>
    <col min="14339" max="14339" width="19.5703125" bestFit="1" customWidth="1"/>
    <col min="14340" max="14341" width="14.28515625" customWidth="1"/>
    <col min="14593" max="14593" width="27.85546875" bestFit="1" customWidth="1"/>
    <col min="14594" max="14594" width="20" customWidth="1"/>
    <col min="14595" max="14595" width="19.5703125" bestFit="1" customWidth="1"/>
    <col min="14596" max="14597" width="14.28515625" customWidth="1"/>
    <col min="14849" max="14849" width="27.85546875" bestFit="1" customWidth="1"/>
    <col min="14850" max="14850" width="20" customWidth="1"/>
    <col min="14851" max="14851" width="19.5703125" bestFit="1" customWidth="1"/>
    <col min="14852" max="14853" width="14.28515625" customWidth="1"/>
    <col min="15105" max="15105" width="27.85546875" bestFit="1" customWidth="1"/>
    <col min="15106" max="15106" width="20" customWidth="1"/>
    <col min="15107" max="15107" width="19.5703125" bestFit="1" customWidth="1"/>
    <col min="15108" max="15109" width="14.28515625" customWidth="1"/>
    <col min="15361" max="15361" width="27.85546875" bestFit="1" customWidth="1"/>
    <col min="15362" max="15362" width="20" customWidth="1"/>
    <col min="15363" max="15363" width="19.5703125" bestFit="1" customWidth="1"/>
    <col min="15364" max="15365" width="14.28515625" customWidth="1"/>
    <col min="15617" max="15617" width="27.85546875" bestFit="1" customWidth="1"/>
    <col min="15618" max="15618" width="20" customWidth="1"/>
    <col min="15619" max="15619" width="19.5703125" bestFit="1" customWidth="1"/>
    <col min="15620" max="15621" width="14.28515625" customWidth="1"/>
    <col min="15873" max="15873" width="27.85546875" bestFit="1" customWidth="1"/>
    <col min="15874" max="15874" width="20" customWidth="1"/>
    <col min="15875" max="15875" width="19.5703125" bestFit="1" customWidth="1"/>
    <col min="15876" max="15877" width="14.28515625" customWidth="1"/>
    <col min="16129" max="16129" width="27.85546875" bestFit="1" customWidth="1"/>
    <col min="16130" max="16130" width="20" customWidth="1"/>
    <col min="16131" max="16131" width="19.5703125" bestFit="1" customWidth="1"/>
    <col min="16132" max="16133" width="14.28515625" customWidth="1"/>
  </cols>
  <sheetData>
    <row r="1" spans="1:6" ht="18" x14ac:dyDescent="0.25">
      <c r="A1" s="1"/>
      <c r="B1" s="1"/>
      <c r="C1" s="1"/>
      <c r="D1" s="1"/>
    </row>
    <row r="2" spans="1:6" ht="18" x14ac:dyDescent="0.25">
      <c r="A2" s="85" t="s">
        <v>0</v>
      </c>
      <c r="B2" s="86"/>
      <c r="C2" s="86"/>
      <c r="E2" s="2"/>
      <c r="F2" s="2"/>
    </row>
    <row r="3" spans="1:6" ht="16.5" thickBot="1" x14ac:dyDescent="0.3">
      <c r="A3" s="87" t="s">
        <v>12</v>
      </c>
      <c r="B3" s="88"/>
      <c r="C3" s="88"/>
      <c r="E3" s="3"/>
      <c r="F3" s="3"/>
    </row>
    <row r="4" spans="1:6" ht="60.75" thickBot="1" x14ac:dyDescent="0.3">
      <c r="A4" s="4"/>
      <c r="B4" s="5" t="s">
        <v>1</v>
      </c>
      <c r="C4" s="5" t="s">
        <v>2</v>
      </c>
      <c r="D4" s="75" t="s">
        <v>11</v>
      </c>
      <c r="E4" s="6"/>
      <c r="F4" s="6"/>
    </row>
    <row r="5" spans="1:6" ht="16.5" thickTop="1" thickBot="1" x14ac:dyDescent="0.3">
      <c r="A5" s="7">
        <v>41640</v>
      </c>
      <c r="B5" s="8">
        <v>11</v>
      </c>
      <c r="C5" s="8">
        <v>0</v>
      </c>
      <c r="D5" s="73">
        <v>0</v>
      </c>
      <c r="E5" s="9"/>
      <c r="F5" s="10"/>
    </row>
    <row r="6" spans="1:6" ht="15.75" thickBot="1" x14ac:dyDescent="0.3">
      <c r="A6" s="11">
        <v>41671</v>
      </c>
      <c r="B6" s="12">
        <v>9</v>
      </c>
      <c r="C6" s="12">
        <v>2</v>
      </c>
      <c r="D6" s="74">
        <v>4</v>
      </c>
      <c r="E6" s="10"/>
      <c r="F6" s="10"/>
    </row>
    <row r="7" spans="1:6" ht="15.75" thickBot="1" x14ac:dyDescent="0.3">
      <c r="A7" s="7">
        <v>41699</v>
      </c>
      <c r="B7" s="13"/>
      <c r="C7" s="13"/>
      <c r="D7" s="73"/>
      <c r="E7" s="10"/>
      <c r="F7" s="10"/>
    </row>
    <row r="8" spans="1:6" ht="15.75" thickBot="1" x14ac:dyDescent="0.3">
      <c r="A8" s="11">
        <v>41730</v>
      </c>
      <c r="B8" s="12">
        <v>0</v>
      </c>
      <c r="C8" s="12">
        <v>0</v>
      </c>
      <c r="D8" s="74">
        <v>0</v>
      </c>
      <c r="E8" s="14"/>
      <c r="F8" s="14"/>
    </row>
    <row r="9" spans="1:6" ht="15.75" thickBot="1" x14ac:dyDescent="0.3">
      <c r="A9" s="7">
        <v>41760</v>
      </c>
      <c r="B9" s="13">
        <v>0</v>
      </c>
      <c r="C9" s="13">
        <v>0</v>
      </c>
      <c r="D9" s="73">
        <v>0</v>
      </c>
    </row>
    <row r="10" spans="1:6" ht="15.75" thickBot="1" x14ac:dyDescent="0.3">
      <c r="A10" s="11">
        <v>41791</v>
      </c>
      <c r="B10" s="12">
        <v>0</v>
      </c>
      <c r="C10" s="12">
        <v>0</v>
      </c>
      <c r="D10" s="71">
        <v>0</v>
      </c>
    </row>
    <row r="11" spans="1:6" ht="15.75" thickBot="1" x14ac:dyDescent="0.3">
      <c r="A11" s="7">
        <v>41821</v>
      </c>
      <c r="B11" s="13">
        <v>0</v>
      </c>
      <c r="C11" s="13">
        <v>0</v>
      </c>
      <c r="D11" s="72">
        <v>0</v>
      </c>
    </row>
    <row r="12" spans="1:6" ht="15.75" thickBot="1" x14ac:dyDescent="0.3">
      <c r="A12" s="11">
        <v>41852</v>
      </c>
      <c r="B12" s="12">
        <v>0</v>
      </c>
      <c r="C12" s="12">
        <v>0</v>
      </c>
      <c r="D12" s="71">
        <v>0</v>
      </c>
    </row>
    <row r="13" spans="1:6" ht="15.75" thickBot="1" x14ac:dyDescent="0.3">
      <c r="A13" s="7">
        <v>41883</v>
      </c>
      <c r="B13" s="13">
        <v>0</v>
      </c>
      <c r="C13" s="77">
        <v>0</v>
      </c>
      <c r="D13" s="78">
        <v>0</v>
      </c>
    </row>
    <row r="14" spans="1:6" ht="15.75" thickBot="1" x14ac:dyDescent="0.3">
      <c r="A14" s="11">
        <v>41913</v>
      </c>
      <c r="B14" s="12">
        <v>0</v>
      </c>
      <c r="C14" s="12">
        <v>0</v>
      </c>
      <c r="D14" s="71">
        <v>0</v>
      </c>
    </row>
    <row r="15" spans="1:6" ht="15.75" thickBot="1" x14ac:dyDescent="0.3">
      <c r="A15" s="7">
        <v>41944</v>
      </c>
      <c r="B15" s="13">
        <v>0</v>
      </c>
      <c r="C15" s="13">
        <v>0</v>
      </c>
      <c r="D15" s="79">
        <v>0</v>
      </c>
    </row>
    <row r="16" spans="1:6" ht="15.75" thickBot="1" x14ac:dyDescent="0.3">
      <c r="A16" s="11">
        <v>41974</v>
      </c>
      <c r="B16" s="15">
        <v>0</v>
      </c>
      <c r="C16" s="15">
        <v>0</v>
      </c>
      <c r="D16" s="71">
        <v>0</v>
      </c>
    </row>
    <row r="17" spans="1:4" x14ac:dyDescent="0.25">
      <c r="A17" s="16" t="s">
        <v>5</v>
      </c>
      <c r="B17" s="17">
        <f>SUM(B5:B16)</f>
        <v>20</v>
      </c>
      <c r="C17" s="17">
        <f>SUM(C5:C16)</f>
        <v>2</v>
      </c>
      <c r="D17" s="76">
        <f>SUM(D5:D16)</f>
        <v>4</v>
      </c>
    </row>
    <row r="18" spans="1:4" x14ac:dyDescent="0.25">
      <c r="A18" s="18"/>
      <c r="B18" s="18"/>
      <c r="C18" s="18"/>
    </row>
    <row r="52" spans="1:4" x14ac:dyDescent="0.25">
      <c r="A52" s="19"/>
      <c r="B52" s="19"/>
      <c r="C52" s="20"/>
      <c r="D52" s="19"/>
    </row>
    <row r="53" spans="1:4" x14ac:dyDescent="0.25">
      <c r="A53" s="19"/>
      <c r="B53" s="19"/>
      <c r="C53" s="20"/>
      <c r="D53" s="19"/>
    </row>
    <row r="54" spans="1:4" x14ac:dyDescent="0.25">
      <c r="A54" s="19"/>
      <c r="B54" s="19"/>
      <c r="C54" s="20"/>
      <c r="D54" s="19"/>
    </row>
    <row r="55" spans="1:4" x14ac:dyDescent="0.25">
      <c r="A55" s="19"/>
      <c r="B55" s="19"/>
      <c r="C55" s="20"/>
      <c r="D55" s="19"/>
    </row>
    <row r="56" spans="1:4" x14ac:dyDescent="0.25">
      <c r="A56" s="21"/>
      <c r="B56" s="21"/>
      <c r="C56" s="21"/>
      <c r="D56" s="19"/>
    </row>
    <row r="57" spans="1:4" x14ac:dyDescent="0.25">
      <c r="A57" s="21"/>
      <c r="B57" s="21"/>
      <c r="C57" s="21"/>
      <c r="D57" s="19"/>
    </row>
    <row r="58" spans="1:4" x14ac:dyDescent="0.25">
      <c r="A58" s="21"/>
      <c r="B58" s="21"/>
      <c r="C58" s="21"/>
      <c r="D58" s="19"/>
    </row>
    <row r="59" spans="1:4" x14ac:dyDescent="0.25">
      <c r="A59" s="21"/>
      <c r="B59" s="21"/>
      <c r="C59" s="21"/>
      <c r="D59" s="19"/>
    </row>
    <row r="60" spans="1:4" x14ac:dyDescent="0.25">
      <c r="A60" s="21"/>
      <c r="B60" s="21"/>
      <c r="C60" s="21"/>
      <c r="D60" s="19"/>
    </row>
    <row r="61" spans="1:4" x14ac:dyDescent="0.25">
      <c r="A61" s="21"/>
      <c r="B61" s="21"/>
      <c r="C61" s="21"/>
      <c r="D61" s="19"/>
    </row>
    <row r="62" spans="1:4" x14ac:dyDescent="0.25">
      <c r="A62" s="21"/>
      <c r="B62" s="21"/>
      <c r="C62" s="21"/>
      <c r="D62" s="19"/>
    </row>
    <row r="63" spans="1:4" x14ac:dyDescent="0.25">
      <c r="A63" s="21"/>
      <c r="B63" s="21"/>
      <c r="C63" s="21"/>
      <c r="D63" s="19"/>
    </row>
  </sheetData>
  <mergeCells count="2">
    <mergeCell ref="A2:C2"/>
    <mergeCell ref="A3:C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43"/>
  <sheetViews>
    <sheetView workbookViewId="0">
      <selection activeCell="L9" sqref="L9"/>
    </sheetView>
  </sheetViews>
  <sheetFormatPr defaultRowHeight="15" x14ac:dyDescent="0.25"/>
  <cols>
    <col min="1" max="1" width="27.85546875" bestFit="1" customWidth="1"/>
    <col min="2" max="10" width="9.7109375" customWidth="1"/>
    <col min="257" max="257" width="27.85546875" bestFit="1" customWidth="1"/>
    <col min="258" max="266" width="9.7109375" customWidth="1"/>
    <col min="513" max="513" width="27.85546875" bestFit="1" customWidth="1"/>
    <col min="514" max="522" width="9.7109375" customWidth="1"/>
    <col min="769" max="769" width="27.85546875" bestFit="1" customWidth="1"/>
    <col min="770" max="778" width="9.7109375" customWidth="1"/>
    <col min="1025" max="1025" width="27.85546875" bestFit="1" customWidth="1"/>
    <col min="1026" max="1034" width="9.7109375" customWidth="1"/>
    <col min="1281" max="1281" width="27.85546875" bestFit="1" customWidth="1"/>
    <col min="1282" max="1290" width="9.7109375" customWidth="1"/>
    <col min="1537" max="1537" width="27.85546875" bestFit="1" customWidth="1"/>
    <col min="1538" max="1546" width="9.7109375" customWidth="1"/>
    <col min="1793" max="1793" width="27.85546875" bestFit="1" customWidth="1"/>
    <col min="1794" max="1802" width="9.7109375" customWidth="1"/>
    <col min="2049" max="2049" width="27.85546875" bestFit="1" customWidth="1"/>
    <col min="2050" max="2058" width="9.7109375" customWidth="1"/>
    <col min="2305" max="2305" width="27.85546875" bestFit="1" customWidth="1"/>
    <col min="2306" max="2314" width="9.7109375" customWidth="1"/>
    <col min="2561" max="2561" width="27.85546875" bestFit="1" customWidth="1"/>
    <col min="2562" max="2570" width="9.7109375" customWidth="1"/>
    <col min="2817" max="2817" width="27.85546875" bestFit="1" customWidth="1"/>
    <col min="2818" max="2826" width="9.7109375" customWidth="1"/>
    <col min="3073" max="3073" width="27.85546875" bestFit="1" customWidth="1"/>
    <col min="3074" max="3082" width="9.7109375" customWidth="1"/>
    <col min="3329" max="3329" width="27.85546875" bestFit="1" customWidth="1"/>
    <col min="3330" max="3338" width="9.7109375" customWidth="1"/>
    <col min="3585" max="3585" width="27.85546875" bestFit="1" customWidth="1"/>
    <col min="3586" max="3594" width="9.7109375" customWidth="1"/>
    <col min="3841" max="3841" width="27.85546875" bestFit="1" customWidth="1"/>
    <col min="3842" max="3850" width="9.7109375" customWidth="1"/>
    <col min="4097" max="4097" width="27.85546875" bestFit="1" customWidth="1"/>
    <col min="4098" max="4106" width="9.7109375" customWidth="1"/>
    <col min="4353" max="4353" width="27.85546875" bestFit="1" customWidth="1"/>
    <col min="4354" max="4362" width="9.7109375" customWidth="1"/>
    <col min="4609" max="4609" width="27.85546875" bestFit="1" customWidth="1"/>
    <col min="4610" max="4618" width="9.7109375" customWidth="1"/>
    <col min="4865" max="4865" width="27.85546875" bestFit="1" customWidth="1"/>
    <col min="4866" max="4874" width="9.7109375" customWidth="1"/>
    <col min="5121" max="5121" width="27.85546875" bestFit="1" customWidth="1"/>
    <col min="5122" max="5130" width="9.7109375" customWidth="1"/>
    <col min="5377" max="5377" width="27.85546875" bestFit="1" customWidth="1"/>
    <col min="5378" max="5386" width="9.7109375" customWidth="1"/>
    <col min="5633" max="5633" width="27.85546875" bestFit="1" customWidth="1"/>
    <col min="5634" max="5642" width="9.7109375" customWidth="1"/>
    <col min="5889" max="5889" width="27.85546875" bestFit="1" customWidth="1"/>
    <col min="5890" max="5898" width="9.7109375" customWidth="1"/>
    <col min="6145" max="6145" width="27.85546875" bestFit="1" customWidth="1"/>
    <col min="6146" max="6154" width="9.7109375" customWidth="1"/>
    <col min="6401" max="6401" width="27.85546875" bestFit="1" customWidth="1"/>
    <col min="6402" max="6410" width="9.7109375" customWidth="1"/>
    <col min="6657" max="6657" width="27.85546875" bestFit="1" customWidth="1"/>
    <col min="6658" max="6666" width="9.7109375" customWidth="1"/>
    <col min="6913" max="6913" width="27.85546875" bestFit="1" customWidth="1"/>
    <col min="6914" max="6922" width="9.7109375" customWidth="1"/>
    <col min="7169" max="7169" width="27.85546875" bestFit="1" customWidth="1"/>
    <col min="7170" max="7178" width="9.7109375" customWidth="1"/>
    <col min="7425" max="7425" width="27.85546875" bestFit="1" customWidth="1"/>
    <col min="7426" max="7434" width="9.7109375" customWidth="1"/>
    <col min="7681" max="7681" width="27.85546875" bestFit="1" customWidth="1"/>
    <col min="7682" max="7690" width="9.7109375" customWidth="1"/>
    <col min="7937" max="7937" width="27.85546875" bestFit="1" customWidth="1"/>
    <col min="7938" max="7946" width="9.7109375" customWidth="1"/>
    <col min="8193" max="8193" width="27.85546875" bestFit="1" customWidth="1"/>
    <col min="8194" max="8202" width="9.7109375" customWidth="1"/>
    <col min="8449" max="8449" width="27.85546875" bestFit="1" customWidth="1"/>
    <col min="8450" max="8458" width="9.7109375" customWidth="1"/>
    <col min="8705" max="8705" width="27.85546875" bestFit="1" customWidth="1"/>
    <col min="8706" max="8714" width="9.7109375" customWidth="1"/>
    <col min="8961" max="8961" width="27.85546875" bestFit="1" customWidth="1"/>
    <col min="8962" max="8970" width="9.7109375" customWidth="1"/>
    <col min="9217" max="9217" width="27.85546875" bestFit="1" customWidth="1"/>
    <col min="9218" max="9226" width="9.7109375" customWidth="1"/>
    <col min="9473" max="9473" width="27.85546875" bestFit="1" customWidth="1"/>
    <col min="9474" max="9482" width="9.7109375" customWidth="1"/>
    <col min="9729" max="9729" width="27.85546875" bestFit="1" customWidth="1"/>
    <col min="9730" max="9738" width="9.7109375" customWidth="1"/>
    <col min="9985" max="9985" width="27.85546875" bestFit="1" customWidth="1"/>
    <col min="9986" max="9994" width="9.7109375" customWidth="1"/>
    <col min="10241" max="10241" width="27.85546875" bestFit="1" customWidth="1"/>
    <col min="10242" max="10250" width="9.7109375" customWidth="1"/>
    <col min="10497" max="10497" width="27.85546875" bestFit="1" customWidth="1"/>
    <col min="10498" max="10506" width="9.7109375" customWidth="1"/>
    <col min="10753" max="10753" width="27.85546875" bestFit="1" customWidth="1"/>
    <col min="10754" max="10762" width="9.7109375" customWidth="1"/>
    <col min="11009" max="11009" width="27.85546875" bestFit="1" customWidth="1"/>
    <col min="11010" max="11018" width="9.7109375" customWidth="1"/>
    <col min="11265" max="11265" width="27.85546875" bestFit="1" customWidth="1"/>
    <col min="11266" max="11274" width="9.7109375" customWidth="1"/>
    <col min="11521" max="11521" width="27.85546875" bestFit="1" customWidth="1"/>
    <col min="11522" max="11530" width="9.7109375" customWidth="1"/>
    <col min="11777" max="11777" width="27.85546875" bestFit="1" customWidth="1"/>
    <col min="11778" max="11786" width="9.7109375" customWidth="1"/>
    <col min="12033" max="12033" width="27.85546875" bestFit="1" customWidth="1"/>
    <col min="12034" max="12042" width="9.7109375" customWidth="1"/>
    <col min="12289" max="12289" width="27.85546875" bestFit="1" customWidth="1"/>
    <col min="12290" max="12298" width="9.7109375" customWidth="1"/>
    <col min="12545" max="12545" width="27.85546875" bestFit="1" customWidth="1"/>
    <col min="12546" max="12554" width="9.7109375" customWidth="1"/>
    <col min="12801" max="12801" width="27.85546875" bestFit="1" customWidth="1"/>
    <col min="12802" max="12810" width="9.7109375" customWidth="1"/>
    <col min="13057" max="13057" width="27.85546875" bestFit="1" customWidth="1"/>
    <col min="13058" max="13066" width="9.7109375" customWidth="1"/>
    <col min="13313" max="13313" width="27.85546875" bestFit="1" customWidth="1"/>
    <col min="13314" max="13322" width="9.7109375" customWidth="1"/>
    <col min="13569" max="13569" width="27.85546875" bestFit="1" customWidth="1"/>
    <col min="13570" max="13578" width="9.7109375" customWidth="1"/>
    <col min="13825" max="13825" width="27.85546875" bestFit="1" customWidth="1"/>
    <col min="13826" max="13834" width="9.7109375" customWidth="1"/>
    <col min="14081" max="14081" width="27.85546875" bestFit="1" customWidth="1"/>
    <col min="14082" max="14090" width="9.7109375" customWidth="1"/>
    <col min="14337" max="14337" width="27.85546875" bestFit="1" customWidth="1"/>
    <col min="14338" max="14346" width="9.7109375" customWidth="1"/>
    <col min="14593" max="14593" width="27.85546875" bestFit="1" customWidth="1"/>
    <col min="14594" max="14602" width="9.7109375" customWidth="1"/>
    <col min="14849" max="14849" width="27.85546875" bestFit="1" customWidth="1"/>
    <col min="14850" max="14858" width="9.7109375" customWidth="1"/>
    <col min="15105" max="15105" width="27.85546875" bestFit="1" customWidth="1"/>
    <col min="15106" max="15114" width="9.7109375" customWidth="1"/>
    <col min="15361" max="15361" width="27.85546875" bestFit="1" customWidth="1"/>
    <col min="15362" max="15370" width="9.7109375" customWidth="1"/>
    <col min="15617" max="15617" width="27.85546875" bestFit="1" customWidth="1"/>
    <col min="15618" max="15626" width="9.7109375" customWidth="1"/>
    <col min="15873" max="15873" width="27.85546875" bestFit="1" customWidth="1"/>
    <col min="15874" max="15882" width="9.7109375" customWidth="1"/>
    <col min="16129" max="16129" width="27.85546875" bestFit="1" customWidth="1"/>
    <col min="16130" max="16138" width="9.7109375" customWidth="1"/>
  </cols>
  <sheetData>
    <row r="2" spans="1:12" ht="20.25" x14ac:dyDescent="0.3">
      <c r="A2" s="89" t="s">
        <v>0</v>
      </c>
      <c r="B2" s="90"/>
      <c r="C2" s="90"/>
      <c r="D2" s="90"/>
      <c r="E2" s="90"/>
      <c r="F2" s="90"/>
      <c r="G2" s="90"/>
      <c r="H2" s="90"/>
      <c r="I2" s="90"/>
      <c r="J2" s="91"/>
      <c r="K2" s="91"/>
      <c r="L2" s="82"/>
    </row>
    <row r="3" spans="1:12" ht="15.75" x14ac:dyDescent="0.25">
      <c r="A3" s="92" t="s">
        <v>13</v>
      </c>
      <c r="B3" s="93"/>
      <c r="C3" s="93"/>
      <c r="D3" s="93"/>
      <c r="E3" s="93"/>
      <c r="F3" s="93"/>
      <c r="G3" s="93"/>
      <c r="H3" s="93"/>
      <c r="I3" s="93"/>
      <c r="J3" s="94"/>
      <c r="K3" s="94"/>
    </row>
    <row r="4" spans="1:12" ht="18.75" x14ac:dyDescent="0.3">
      <c r="A4" s="95"/>
      <c r="B4" s="96"/>
      <c r="C4" s="96"/>
      <c r="D4" s="96"/>
      <c r="E4" s="96"/>
      <c r="F4" s="96"/>
      <c r="G4" s="96"/>
      <c r="H4" s="96"/>
      <c r="I4" s="96"/>
      <c r="J4" s="97"/>
      <c r="K4" s="97"/>
      <c r="L4" s="81"/>
    </row>
    <row r="5" spans="1:12" x14ac:dyDescent="0.25">
      <c r="A5" s="22"/>
      <c r="B5" s="23">
        <v>2004</v>
      </c>
      <c r="C5" s="23">
        <v>2005</v>
      </c>
      <c r="D5" s="23">
        <v>2006</v>
      </c>
      <c r="E5" s="23">
        <v>2007</v>
      </c>
      <c r="F5" s="23">
        <v>2008</v>
      </c>
      <c r="G5" s="23">
        <v>2009</v>
      </c>
      <c r="H5" s="23">
        <v>2010</v>
      </c>
      <c r="I5" s="23">
        <v>2011</v>
      </c>
      <c r="J5" s="23">
        <v>2012</v>
      </c>
      <c r="K5" s="23">
        <v>2013</v>
      </c>
      <c r="L5" s="80">
        <v>2014</v>
      </c>
    </row>
    <row r="6" spans="1:12" x14ac:dyDescent="0.25">
      <c r="A6" s="24" t="s">
        <v>6</v>
      </c>
      <c r="B6" s="25">
        <v>15</v>
      </c>
      <c r="C6" s="25">
        <v>11</v>
      </c>
      <c r="D6" s="25">
        <v>10</v>
      </c>
      <c r="E6" s="25">
        <v>10</v>
      </c>
      <c r="F6" s="25">
        <v>12</v>
      </c>
      <c r="G6" s="25">
        <v>37</v>
      </c>
      <c r="H6" s="25">
        <v>26</v>
      </c>
      <c r="I6" s="25">
        <v>54</v>
      </c>
      <c r="J6" s="25">
        <v>37</v>
      </c>
      <c r="K6" s="25">
        <v>39</v>
      </c>
      <c r="L6" s="83">
        <v>8</v>
      </c>
    </row>
    <row r="7" spans="1:12" x14ac:dyDescent="0.25">
      <c r="A7" s="24" t="s">
        <v>7</v>
      </c>
      <c r="B7" s="25">
        <v>8</v>
      </c>
      <c r="C7" s="25">
        <v>12</v>
      </c>
      <c r="D7" s="25">
        <v>6</v>
      </c>
      <c r="E7" s="25">
        <v>14</v>
      </c>
      <c r="F7" s="25">
        <v>14</v>
      </c>
      <c r="G7" s="25">
        <v>28</v>
      </c>
      <c r="H7" s="25">
        <v>25</v>
      </c>
      <c r="I7" s="25">
        <v>38</v>
      </c>
      <c r="J7" s="25">
        <v>26</v>
      </c>
      <c r="K7" s="25">
        <v>37</v>
      </c>
      <c r="L7" s="83">
        <v>10</v>
      </c>
    </row>
    <row r="8" spans="1:12" x14ac:dyDescent="0.25">
      <c r="A8" s="24" t="s">
        <v>8</v>
      </c>
      <c r="B8" s="25">
        <v>0</v>
      </c>
      <c r="C8" s="25">
        <v>1</v>
      </c>
      <c r="D8" s="25">
        <v>3</v>
      </c>
      <c r="E8" s="25">
        <v>0</v>
      </c>
      <c r="F8" s="25">
        <v>0</v>
      </c>
      <c r="G8" s="25">
        <v>0</v>
      </c>
      <c r="H8" s="25">
        <v>2</v>
      </c>
      <c r="I8" s="25">
        <v>1</v>
      </c>
      <c r="J8" s="25">
        <v>0</v>
      </c>
      <c r="K8" s="25">
        <v>1</v>
      </c>
      <c r="L8" s="83">
        <v>2</v>
      </c>
    </row>
    <row r="9" spans="1:12" x14ac:dyDescent="0.25">
      <c r="A9" s="24" t="s">
        <v>9</v>
      </c>
      <c r="B9" s="25">
        <v>0</v>
      </c>
      <c r="C9" s="25">
        <v>0</v>
      </c>
      <c r="D9" s="25">
        <v>1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83">
        <v>0</v>
      </c>
    </row>
    <row r="10" spans="1:12" x14ac:dyDescent="0.25">
      <c r="A10" s="26" t="s">
        <v>10</v>
      </c>
      <c r="B10" s="27">
        <f t="shared" ref="B10:J10" si="0">SUM(B6:B9)</f>
        <v>23</v>
      </c>
      <c r="C10" s="27">
        <f t="shared" si="0"/>
        <v>24</v>
      </c>
      <c r="D10" s="27">
        <f t="shared" si="0"/>
        <v>20</v>
      </c>
      <c r="E10" s="27">
        <f t="shared" si="0"/>
        <v>24</v>
      </c>
      <c r="F10" s="27">
        <f t="shared" si="0"/>
        <v>26</v>
      </c>
      <c r="G10" s="27">
        <f t="shared" si="0"/>
        <v>65</v>
      </c>
      <c r="H10" s="27">
        <f t="shared" si="0"/>
        <v>53</v>
      </c>
      <c r="I10" s="27">
        <f t="shared" si="0"/>
        <v>93</v>
      </c>
      <c r="J10" s="27">
        <f t="shared" si="0"/>
        <v>63</v>
      </c>
      <c r="K10" s="27">
        <f>SUM(K6:K9)</f>
        <v>77</v>
      </c>
      <c r="L10" s="27">
        <f>SUM(L6:L9)</f>
        <v>20</v>
      </c>
    </row>
    <row r="13" spans="1:12" x14ac:dyDescent="0.25">
      <c r="A13" s="19"/>
      <c r="B13" s="20"/>
      <c r="C13" s="20"/>
      <c r="D13" s="19"/>
      <c r="E13" s="20"/>
    </row>
    <row r="14" spans="1:12" x14ac:dyDescent="0.25">
      <c r="A14" s="19"/>
      <c r="B14" s="20"/>
      <c r="C14" s="20"/>
      <c r="D14" s="19"/>
      <c r="E14" s="20"/>
    </row>
    <row r="15" spans="1:12" x14ac:dyDescent="0.25">
      <c r="A15" s="19"/>
      <c r="B15" s="19"/>
      <c r="C15" s="20"/>
      <c r="D15" s="19"/>
      <c r="E15" s="20"/>
    </row>
    <row r="16" spans="1:12" x14ac:dyDescent="0.25">
      <c r="A16" s="19"/>
      <c r="B16" s="19"/>
      <c r="C16" s="20"/>
      <c r="D16" s="19"/>
      <c r="E16" s="20"/>
    </row>
    <row r="17" spans="1:5" x14ac:dyDescent="0.25">
      <c r="A17" s="19"/>
      <c r="B17" s="19"/>
      <c r="C17" s="20"/>
      <c r="D17" s="19"/>
      <c r="E17" s="20"/>
    </row>
    <row r="18" spans="1:5" x14ac:dyDescent="0.25">
      <c r="A18" s="19"/>
      <c r="B18" s="19"/>
      <c r="C18" s="20"/>
      <c r="D18" s="19"/>
      <c r="E18" s="20"/>
    </row>
    <row r="19" spans="1:5" x14ac:dyDescent="0.25">
      <c r="A19" s="19"/>
      <c r="B19" s="19"/>
      <c r="C19" s="20"/>
      <c r="D19" s="19"/>
      <c r="E19" s="20"/>
    </row>
    <row r="20" spans="1:5" x14ac:dyDescent="0.25">
      <c r="A20" s="19"/>
      <c r="B20" s="19"/>
      <c r="C20" s="20"/>
      <c r="D20" s="19"/>
      <c r="E20" s="20"/>
    </row>
    <row r="21" spans="1:5" x14ac:dyDescent="0.25">
      <c r="A21" s="19"/>
      <c r="B21" s="19"/>
      <c r="C21" s="20"/>
      <c r="D21" s="19"/>
      <c r="E21" s="20"/>
    </row>
    <row r="22" spans="1:5" x14ac:dyDescent="0.25">
      <c r="A22" s="19"/>
      <c r="B22" s="19"/>
      <c r="C22" s="20"/>
      <c r="D22" s="19"/>
      <c r="E22" s="20"/>
    </row>
    <row r="23" spans="1:5" x14ac:dyDescent="0.25">
      <c r="A23" s="19"/>
      <c r="B23" s="19"/>
      <c r="C23" s="20"/>
      <c r="D23" s="19"/>
      <c r="E23" s="20"/>
    </row>
    <row r="24" spans="1:5" x14ac:dyDescent="0.25">
      <c r="A24" s="19"/>
      <c r="B24" s="19"/>
      <c r="C24" s="20"/>
      <c r="D24" s="19"/>
      <c r="E24" s="20"/>
    </row>
    <row r="25" spans="1:5" x14ac:dyDescent="0.25">
      <c r="A25" s="19"/>
      <c r="B25" s="19"/>
      <c r="C25" s="20"/>
      <c r="D25" s="19"/>
      <c r="E25" s="20"/>
    </row>
    <row r="26" spans="1:5" x14ac:dyDescent="0.25">
      <c r="A26" s="19"/>
      <c r="B26" s="19"/>
      <c r="C26" s="20"/>
      <c r="D26" s="19"/>
      <c r="E26" s="20"/>
    </row>
    <row r="27" spans="1:5" x14ac:dyDescent="0.25">
      <c r="A27" s="19"/>
      <c r="B27" s="19"/>
      <c r="C27" s="20"/>
      <c r="D27" s="19"/>
      <c r="E27" s="20"/>
    </row>
    <row r="28" spans="1:5" x14ac:dyDescent="0.25">
      <c r="A28" s="19"/>
      <c r="B28" s="19"/>
      <c r="C28" s="20"/>
      <c r="D28" s="19"/>
      <c r="E28" s="20"/>
    </row>
    <row r="29" spans="1:5" x14ac:dyDescent="0.25">
      <c r="A29" s="19"/>
      <c r="B29" s="19"/>
      <c r="C29" s="20"/>
      <c r="D29" s="19"/>
      <c r="E29" s="20"/>
    </row>
    <row r="30" spans="1:5" x14ac:dyDescent="0.25">
      <c r="A30" s="19"/>
      <c r="B30" s="19"/>
      <c r="C30" s="20"/>
      <c r="D30" s="19"/>
      <c r="E30" s="20"/>
    </row>
    <row r="31" spans="1:5" x14ac:dyDescent="0.25">
      <c r="A31" s="19"/>
      <c r="B31" s="19"/>
      <c r="C31" s="20"/>
      <c r="D31" s="19"/>
      <c r="E31" s="20"/>
    </row>
    <row r="32" spans="1:5" x14ac:dyDescent="0.25">
      <c r="A32" s="19"/>
      <c r="B32" s="19"/>
      <c r="C32" s="20"/>
      <c r="D32" s="19"/>
      <c r="E32" s="20"/>
    </row>
    <row r="33" spans="1:5" x14ac:dyDescent="0.25">
      <c r="A33" s="19"/>
      <c r="B33" s="19"/>
      <c r="C33" s="20"/>
      <c r="D33" s="19"/>
      <c r="E33" s="20"/>
    </row>
    <row r="34" spans="1:5" x14ac:dyDescent="0.25">
      <c r="A34" s="19"/>
      <c r="B34" s="19"/>
      <c r="C34" s="20"/>
      <c r="D34" s="19"/>
      <c r="E34" s="20"/>
    </row>
    <row r="35" spans="1:5" x14ac:dyDescent="0.25">
      <c r="A35" s="19"/>
      <c r="B35" s="19"/>
      <c r="C35" s="20"/>
      <c r="D35" s="19"/>
      <c r="E35" s="20"/>
    </row>
    <row r="36" spans="1:5" x14ac:dyDescent="0.25">
      <c r="A36" s="21"/>
      <c r="B36" s="21"/>
      <c r="C36" s="21"/>
      <c r="D36" s="19"/>
      <c r="E36" s="20"/>
    </row>
    <row r="37" spans="1:5" x14ac:dyDescent="0.25">
      <c r="A37" s="21"/>
      <c r="B37" s="21"/>
      <c r="C37" s="21"/>
      <c r="D37" s="19"/>
      <c r="E37" s="20"/>
    </row>
    <row r="38" spans="1:5" x14ac:dyDescent="0.25">
      <c r="A38" s="21"/>
      <c r="B38" s="21"/>
      <c r="C38" s="21"/>
      <c r="D38" s="19"/>
      <c r="E38" s="20"/>
    </row>
    <row r="39" spans="1:5" x14ac:dyDescent="0.25">
      <c r="A39" s="21"/>
      <c r="B39" s="21"/>
      <c r="C39" s="21"/>
      <c r="D39" s="19"/>
      <c r="E39" s="20"/>
    </row>
    <row r="40" spans="1:5" x14ac:dyDescent="0.25">
      <c r="A40" s="21"/>
      <c r="B40" s="21"/>
      <c r="C40" s="21"/>
      <c r="D40" s="19"/>
      <c r="E40" s="20"/>
    </row>
    <row r="41" spans="1:5" x14ac:dyDescent="0.25">
      <c r="A41" s="21"/>
      <c r="B41" s="21"/>
      <c r="C41" s="21"/>
      <c r="D41" s="19"/>
      <c r="E41" s="20"/>
    </row>
    <row r="42" spans="1:5" x14ac:dyDescent="0.25">
      <c r="A42" s="21"/>
      <c r="B42" s="21"/>
      <c r="C42" s="21"/>
      <c r="D42" s="19"/>
      <c r="E42" s="20"/>
    </row>
    <row r="43" spans="1:5" x14ac:dyDescent="0.25">
      <c r="A43" s="21"/>
      <c r="B43" s="21"/>
      <c r="C43" s="21"/>
      <c r="D43" s="19"/>
      <c r="E43" s="20"/>
    </row>
  </sheetData>
  <mergeCells count="3">
    <mergeCell ref="A2:K2"/>
    <mergeCell ref="A3:K3"/>
    <mergeCell ref="A4:K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69"/>
  <sheetViews>
    <sheetView topLeftCell="A41" workbookViewId="0">
      <selection activeCell="H57" sqref="H57"/>
    </sheetView>
  </sheetViews>
  <sheetFormatPr defaultRowHeight="15" x14ac:dyDescent="0.25"/>
  <cols>
    <col min="1" max="1" width="16.5703125" customWidth="1"/>
    <col min="2" max="5" width="17.7109375" customWidth="1"/>
    <col min="6" max="7" width="10.7109375" customWidth="1"/>
    <col min="257" max="257" width="16.5703125" customWidth="1"/>
    <col min="258" max="261" width="17.7109375" customWidth="1"/>
    <col min="262" max="263" width="10.7109375" customWidth="1"/>
    <col min="513" max="513" width="16.5703125" customWidth="1"/>
    <col min="514" max="517" width="17.7109375" customWidth="1"/>
    <col min="518" max="519" width="10.7109375" customWidth="1"/>
    <col min="769" max="769" width="16.5703125" customWidth="1"/>
    <col min="770" max="773" width="17.7109375" customWidth="1"/>
    <col min="774" max="775" width="10.7109375" customWidth="1"/>
    <col min="1025" max="1025" width="16.5703125" customWidth="1"/>
    <col min="1026" max="1029" width="17.7109375" customWidth="1"/>
    <col min="1030" max="1031" width="10.7109375" customWidth="1"/>
    <col min="1281" max="1281" width="16.5703125" customWidth="1"/>
    <col min="1282" max="1285" width="17.7109375" customWidth="1"/>
    <col min="1286" max="1287" width="10.7109375" customWidth="1"/>
    <col min="1537" max="1537" width="16.5703125" customWidth="1"/>
    <col min="1538" max="1541" width="17.7109375" customWidth="1"/>
    <col min="1542" max="1543" width="10.7109375" customWidth="1"/>
    <col min="1793" max="1793" width="16.5703125" customWidth="1"/>
    <col min="1794" max="1797" width="17.7109375" customWidth="1"/>
    <col min="1798" max="1799" width="10.7109375" customWidth="1"/>
    <col min="2049" max="2049" width="16.5703125" customWidth="1"/>
    <col min="2050" max="2053" width="17.7109375" customWidth="1"/>
    <col min="2054" max="2055" width="10.7109375" customWidth="1"/>
    <col min="2305" max="2305" width="16.5703125" customWidth="1"/>
    <col min="2306" max="2309" width="17.7109375" customWidth="1"/>
    <col min="2310" max="2311" width="10.7109375" customWidth="1"/>
    <col min="2561" max="2561" width="16.5703125" customWidth="1"/>
    <col min="2562" max="2565" width="17.7109375" customWidth="1"/>
    <col min="2566" max="2567" width="10.7109375" customWidth="1"/>
    <col min="2817" max="2817" width="16.5703125" customWidth="1"/>
    <col min="2818" max="2821" width="17.7109375" customWidth="1"/>
    <col min="2822" max="2823" width="10.7109375" customWidth="1"/>
    <col min="3073" max="3073" width="16.5703125" customWidth="1"/>
    <col min="3074" max="3077" width="17.7109375" customWidth="1"/>
    <col min="3078" max="3079" width="10.7109375" customWidth="1"/>
    <col min="3329" max="3329" width="16.5703125" customWidth="1"/>
    <col min="3330" max="3333" width="17.7109375" customWidth="1"/>
    <col min="3334" max="3335" width="10.7109375" customWidth="1"/>
    <col min="3585" max="3585" width="16.5703125" customWidth="1"/>
    <col min="3586" max="3589" width="17.7109375" customWidth="1"/>
    <col min="3590" max="3591" width="10.7109375" customWidth="1"/>
    <col min="3841" max="3841" width="16.5703125" customWidth="1"/>
    <col min="3842" max="3845" width="17.7109375" customWidth="1"/>
    <col min="3846" max="3847" width="10.7109375" customWidth="1"/>
    <col min="4097" max="4097" width="16.5703125" customWidth="1"/>
    <col min="4098" max="4101" width="17.7109375" customWidth="1"/>
    <col min="4102" max="4103" width="10.7109375" customWidth="1"/>
    <col min="4353" max="4353" width="16.5703125" customWidth="1"/>
    <col min="4354" max="4357" width="17.7109375" customWidth="1"/>
    <col min="4358" max="4359" width="10.7109375" customWidth="1"/>
    <col min="4609" max="4609" width="16.5703125" customWidth="1"/>
    <col min="4610" max="4613" width="17.7109375" customWidth="1"/>
    <col min="4614" max="4615" width="10.7109375" customWidth="1"/>
    <col min="4865" max="4865" width="16.5703125" customWidth="1"/>
    <col min="4866" max="4869" width="17.7109375" customWidth="1"/>
    <col min="4870" max="4871" width="10.7109375" customWidth="1"/>
    <col min="5121" max="5121" width="16.5703125" customWidth="1"/>
    <col min="5122" max="5125" width="17.7109375" customWidth="1"/>
    <col min="5126" max="5127" width="10.7109375" customWidth="1"/>
    <col min="5377" max="5377" width="16.5703125" customWidth="1"/>
    <col min="5378" max="5381" width="17.7109375" customWidth="1"/>
    <col min="5382" max="5383" width="10.7109375" customWidth="1"/>
    <col min="5633" max="5633" width="16.5703125" customWidth="1"/>
    <col min="5634" max="5637" width="17.7109375" customWidth="1"/>
    <col min="5638" max="5639" width="10.7109375" customWidth="1"/>
    <col min="5889" max="5889" width="16.5703125" customWidth="1"/>
    <col min="5890" max="5893" width="17.7109375" customWidth="1"/>
    <col min="5894" max="5895" width="10.7109375" customWidth="1"/>
    <col min="6145" max="6145" width="16.5703125" customWidth="1"/>
    <col min="6146" max="6149" width="17.7109375" customWidth="1"/>
    <col min="6150" max="6151" width="10.7109375" customWidth="1"/>
    <col min="6401" max="6401" width="16.5703125" customWidth="1"/>
    <col min="6402" max="6405" width="17.7109375" customWidth="1"/>
    <col min="6406" max="6407" width="10.7109375" customWidth="1"/>
    <col min="6657" max="6657" width="16.5703125" customWidth="1"/>
    <col min="6658" max="6661" width="17.7109375" customWidth="1"/>
    <col min="6662" max="6663" width="10.7109375" customWidth="1"/>
    <col min="6913" max="6913" width="16.5703125" customWidth="1"/>
    <col min="6914" max="6917" width="17.7109375" customWidth="1"/>
    <col min="6918" max="6919" width="10.7109375" customWidth="1"/>
    <col min="7169" max="7169" width="16.5703125" customWidth="1"/>
    <col min="7170" max="7173" width="17.7109375" customWidth="1"/>
    <col min="7174" max="7175" width="10.7109375" customWidth="1"/>
    <col min="7425" max="7425" width="16.5703125" customWidth="1"/>
    <col min="7426" max="7429" width="17.7109375" customWidth="1"/>
    <col min="7430" max="7431" width="10.7109375" customWidth="1"/>
    <col min="7681" max="7681" width="16.5703125" customWidth="1"/>
    <col min="7682" max="7685" width="17.7109375" customWidth="1"/>
    <col min="7686" max="7687" width="10.7109375" customWidth="1"/>
    <col min="7937" max="7937" width="16.5703125" customWidth="1"/>
    <col min="7938" max="7941" width="17.7109375" customWidth="1"/>
    <col min="7942" max="7943" width="10.7109375" customWidth="1"/>
    <col min="8193" max="8193" width="16.5703125" customWidth="1"/>
    <col min="8194" max="8197" width="17.7109375" customWidth="1"/>
    <col min="8198" max="8199" width="10.7109375" customWidth="1"/>
    <col min="8449" max="8449" width="16.5703125" customWidth="1"/>
    <col min="8450" max="8453" width="17.7109375" customWidth="1"/>
    <col min="8454" max="8455" width="10.7109375" customWidth="1"/>
    <col min="8705" max="8705" width="16.5703125" customWidth="1"/>
    <col min="8706" max="8709" width="17.7109375" customWidth="1"/>
    <col min="8710" max="8711" width="10.7109375" customWidth="1"/>
    <col min="8961" max="8961" width="16.5703125" customWidth="1"/>
    <col min="8962" max="8965" width="17.7109375" customWidth="1"/>
    <col min="8966" max="8967" width="10.7109375" customWidth="1"/>
    <col min="9217" max="9217" width="16.5703125" customWidth="1"/>
    <col min="9218" max="9221" width="17.7109375" customWidth="1"/>
    <col min="9222" max="9223" width="10.7109375" customWidth="1"/>
    <col min="9473" max="9473" width="16.5703125" customWidth="1"/>
    <col min="9474" max="9477" width="17.7109375" customWidth="1"/>
    <col min="9478" max="9479" width="10.7109375" customWidth="1"/>
    <col min="9729" max="9729" width="16.5703125" customWidth="1"/>
    <col min="9730" max="9733" width="17.7109375" customWidth="1"/>
    <col min="9734" max="9735" width="10.7109375" customWidth="1"/>
    <col min="9985" max="9985" width="16.5703125" customWidth="1"/>
    <col min="9986" max="9989" width="17.7109375" customWidth="1"/>
    <col min="9990" max="9991" width="10.7109375" customWidth="1"/>
    <col min="10241" max="10241" width="16.5703125" customWidth="1"/>
    <col min="10242" max="10245" width="17.7109375" customWidth="1"/>
    <col min="10246" max="10247" width="10.7109375" customWidth="1"/>
    <col min="10497" max="10497" width="16.5703125" customWidth="1"/>
    <col min="10498" max="10501" width="17.7109375" customWidth="1"/>
    <col min="10502" max="10503" width="10.7109375" customWidth="1"/>
    <col min="10753" max="10753" width="16.5703125" customWidth="1"/>
    <col min="10754" max="10757" width="17.7109375" customWidth="1"/>
    <col min="10758" max="10759" width="10.7109375" customWidth="1"/>
    <col min="11009" max="11009" width="16.5703125" customWidth="1"/>
    <col min="11010" max="11013" width="17.7109375" customWidth="1"/>
    <col min="11014" max="11015" width="10.7109375" customWidth="1"/>
    <col min="11265" max="11265" width="16.5703125" customWidth="1"/>
    <col min="11266" max="11269" width="17.7109375" customWidth="1"/>
    <col min="11270" max="11271" width="10.7109375" customWidth="1"/>
    <col min="11521" max="11521" width="16.5703125" customWidth="1"/>
    <col min="11522" max="11525" width="17.7109375" customWidth="1"/>
    <col min="11526" max="11527" width="10.7109375" customWidth="1"/>
    <col min="11777" max="11777" width="16.5703125" customWidth="1"/>
    <col min="11778" max="11781" width="17.7109375" customWidth="1"/>
    <col min="11782" max="11783" width="10.7109375" customWidth="1"/>
    <col min="12033" max="12033" width="16.5703125" customWidth="1"/>
    <col min="12034" max="12037" width="17.7109375" customWidth="1"/>
    <col min="12038" max="12039" width="10.7109375" customWidth="1"/>
    <col min="12289" max="12289" width="16.5703125" customWidth="1"/>
    <col min="12290" max="12293" width="17.7109375" customWidth="1"/>
    <col min="12294" max="12295" width="10.7109375" customWidth="1"/>
    <col min="12545" max="12545" width="16.5703125" customWidth="1"/>
    <col min="12546" max="12549" width="17.7109375" customWidth="1"/>
    <col min="12550" max="12551" width="10.7109375" customWidth="1"/>
    <col min="12801" max="12801" width="16.5703125" customWidth="1"/>
    <col min="12802" max="12805" width="17.7109375" customWidth="1"/>
    <col min="12806" max="12807" width="10.7109375" customWidth="1"/>
    <col min="13057" max="13057" width="16.5703125" customWidth="1"/>
    <col min="13058" max="13061" width="17.7109375" customWidth="1"/>
    <col min="13062" max="13063" width="10.7109375" customWidth="1"/>
    <col min="13313" max="13313" width="16.5703125" customWidth="1"/>
    <col min="13314" max="13317" width="17.7109375" customWidth="1"/>
    <col min="13318" max="13319" width="10.7109375" customWidth="1"/>
    <col min="13569" max="13569" width="16.5703125" customWidth="1"/>
    <col min="13570" max="13573" width="17.7109375" customWidth="1"/>
    <col min="13574" max="13575" width="10.7109375" customWidth="1"/>
    <col min="13825" max="13825" width="16.5703125" customWidth="1"/>
    <col min="13826" max="13829" width="17.7109375" customWidth="1"/>
    <col min="13830" max="13831" width="10.7109375" customWidth="1"/>
    <col min="14081" max="14081" width="16.5703125" customWidth="1"/>
    <col min="14082" max="14085" width="17.7109375" customWidth="1"/>
    <col min="14086" max="14087" width="10.7109375" customWidth="1"/>
    <col min="14337" max="14337" width="16.5703125" customWidth="1"/>
    <col min="14338" max="14341" width="17.7109375" customWidth="1"/>
    <col min="14342" max="14343" width="10.7109375" customWidth="1"/>
    <col min="14593" max="14593" width="16.5703125" customWidth="1"/>
    <col min="14594" max="14597" width="17.7109375" customWidth="1"/>
    <col min="14598" max="14599" width="10.7109375" customWidth="1"/>
    <col min="14849" max="14849" width="16.5703125" customWidth="1"/>
    <col min="14850" max="14853" width="17.7109375" customWidth="1"/>
    <col min="14854" max="14855" width="10.7109375" customWidth="1"/>
    <col min="15105" max="15105" width="16.5703125" customWidth="1"/>
    <col min="15106" max="15109" width="17.7109375" customWidth="1"/>
    <col min="15110" max="15111" width="10.7109375" customWidth="1"/>
    <col min="15361" max="15361" width="16.5703125" customWidth="1"/>
    <col min="15362" max="15365" width="17.7109375" customWidth="1"/>
    <col min="15366" max="15367" width="10.7109375" customWidth="1"/>
    <col min="15617" max="15617" width="16.5703125" customWidth="1"/>
    <col min="15618" max="15621" width="17.7109375" customWidth="1"/>
    <col min="15622" max="15623" width="10.7109375" customWidth="1"/>
    <col min="15873" max="15873" width="16.5703125" customWidth="1"/>
    <col min="15874" max="15877" width="17.7109375" customWidth="1"/>
    <col min="15878" max="15879" width="10.7109375" customWidth="1"/>
    <col min="16129" max="16129" width="16.5703125" customWidth="1"/>
    <col min="16130" max="16133" width="17.7109375" customWidth="1"/>
    <col min="16134" max="16135" width="10.7109375" customWidth="1"/>
  </cols>
  <sheetData>
    <row r="2" spans="1:5" ht="24.75" customHeight="1" x14ac:dyDescent="0.25">
      <c r="A2" s="98" t="s">
        <v>0</v>
      </c>
      <c r="B2" s="99"/>
      <c r="C2" s="99"/>
      <c r="D2" s="99"/>
      <c r="E2" s="99"/>
    </row>
    <row r="3" spans="1:5" x14ac:dyDescent="0.25">
      <c r="A3" s="100" t="s">
        <v>14</v>
      </c>
      <c r="B3" s="101"/>
      <c r="C3" s="101"/>
      <c r="D3" s="101"/>
      <c r="E3" s="102"/>
    </row>
    <row r="4" spans="1:5" x14ac:dyDescent="0.25">
      <c r="A4" s="103"/>
      <c r="B4" s="104"/>
      <c r="C4" s="104"/>
      <c r="D4" s="104"/>
      <c r="E4" s="105"/>
    </row>
    <row r="5" spans="1:5" ht="60.75" thickBot="1" x14ac:dyDescent="0.3">
      <c r="A5" s="28"/>
      <c r="B5" s="29" t="s">
        <v>1</v>
      </c>
      <c r="C5" s="29" t="s">
        <v>2</v>
      </c>
      <c r="D5" s="29" t="s">
        <v>3</v>
      </c>
      <c r="E5" s="29" t="s">
        <v>4</v>
      </c>
    </row>
    <row r="6" spans="1:5" x14ac:dyDescent="0.25">
      <c r="A6" s="30">
        <v>39814</v>
      </c>
      <c r="B6" s="31">
        <v>5</v>
      </c>
      <c r="C6" s="31">
        <v>2</v>
      </c>
      <c r="D6" s="31"/>
      <c r="E6" s="32"/>
    </row>
    <row r="7" spans="1:5" x14ac:dyDescent="0.25">
      <c r="A7" s="33">
        <v>39845</v>
      </c>
      <c r="B7" s="34">
        <v>3</v>
      </c>
      <c r="C7" s="34">
        <v>2</v>
      </c>
      <c r="D7" s="34"/>
      <c r="E7" s="35"/>
    </row>
    <row r="8" spans="1:5" x14ac:dyDescent="0.25">
      <c r="A8" s="33">
        <v>39873</v>
      </c>
      <c r="B8" s="34">
        <v>3</v>
      </c>
      <c r="C8" s="34">
        <v>2</v>
      </c>
      <c r="D8" s="34"/>
      <c r="E8" s="35"/>
    </row>
    <row r="9" spans="1:5" x14ac:dyDescent="0.25">
      <c r="A9" s="33">
        <v>39904</v>
      </c>
      <c r="B9" s="34">
        <v>4</v>
      </c>
      <c r="C9" s="34">
        <v>0</v>
      </c>
      <c r="D9" s="34"/>
      <c r="E9" s="35"/>
    </row>
    <row r="10" spans="1:5" x14ac:dyDescent="0.25">
      <c r="A10" s="33">
        <v>39934</v>
      </c>
      <c r="B10" s="34">
        <v>2</v>
      </c>
      <c r="C10" s="34">
        <v>1</v>
      </c>
      <c r="D10" s="34"/>
      <c r="E10" s="35"/>
    </row>
    <row r="11" spans="1:5" x14ac:dyDescent="0.25">
      <c r="A11" s="33">
        <v>39965</v>
      </c>
      <c r="B11" s="34">
        <v>4</v>
      </c>
      <c r="C11" s="34">
        <v>2</v>
      </c>
      <c r="D11" s="34"/>
      <c r="E11" s="35"/>
    </row>
    <row r="12" spans="1:5" x14ac:dyDescent="0.25">
      <c r="A12" s="33">
        <v>39995</v>
      </c>
      <c r="B12" s="36">
        <v>13</v>
      </c>
      <c r="C12" s="36">
        <v>6</v>
      </c>
      <c r="D12" s="36">
        <v>1</v>
      </c>
      <c r="E12" s="37">
        <f>18+15</f>
        <v>33</v>
      </c>
    </row>
    <row r="13" spans="1:5" x14ac:dyDescent="0.25">
      <c r="A13" s="33">
        <v>40026</v>
      </c>
      <c r="B13" s="36">
        <v>8</v>
      </c>
      <c r="C13" s="36">
        <v>4</v>
      </c>
      <c r="D13" s="36">
        <v>2</v>
      </c>
      <c r="E13" s="37">
        <f>13+12</f>
        <v>25</v>
      </c>
    </row>
    <row r="14" spans="1:5" x14ac:dyDescent="0.25">
      <c r="A14" s="33">
        <v>40057</v>
      </c>
      <c r="B14" s="36">
        <v>9</v>
      </c>
      <c r="C14" s="36">
        <v>5</v>
      </c>
      <c r="D14" s="36">
        <v>1</v>
      </c>
      <c r="E14" s="37">
        <v>14</v>
      </c>
    </row>
    <row r="15" spans="1:5" x14ac:dyDescent="0.25">
      <c r="A15" s="33">
        <v>40087</v>
      </c>
      <c r="B15" s="36">
        <v>8</v>
      </c>
      <c r="C15" s="36">
        <v>3</v>
      </c>
      <c r="D15" s="36">
        <v>1</v>
      </c>
      <c r="E15" s="37">
        <v>14</v>
      </c>
    </row>
    <row r="16" spans="1:5" x14ac:dyDescent="0.25">
      <c r="A16" s="33">
        <v>40118</v>
      </c>
      <c r="B16" s="36">
        <v>3</v>
      </c>
      <c r="C16" s="36">
        <v>2</v>
      </c>
      <c r="D16" s="36">
        <v>2</v>
      </c>
      <c r="E16" s="37">
        <v>4</v>
      </c>
    </row>
    <row r="17" spans="1:5" ht="15.75" thickBot="1" x14ac:dyDescent="0.3">
      <c r="A17" s="38">
        <v>40148</v>
      </c>
      <c r="B17" s="39">
        <v>5</v>
      </c>
      <c r="C17" s="39">
        <v>4</v>
      </c>
      <c r="D17" s="39">
        <v>4</v>
      </c>
      <c r="E17" s="40">
        <v>6</v>
      </c>
    </row>
    <row r="18" spans="1:5" x14ac:dyDescent="0.25">
      <c r="A18" s="41">
        <v>40179</v>
      </c>
      <c r="B18" s="42">
        <v>5</v>
      </c>
      <c r="C18" s="42">
        <v>1</v>
      </c>
      <c r="D18" s="42">
        <v>5</v>
      </c>
      <c r="E18" s="43"/>
    </row>
    <row r="19" spans="1:5" x14ac:dyDescent="0.25">
      <c r="A19" s="44">
        <v>40210</v>
      </c>
      <c r="B19" s="45">
        <v>3</v>
      </c>
      <c r="C19" s="45">
        <v>0</v>
      </c>
      <c r="D19" s="45">
        <v>2</v>
      </c>
      <c r="E19" s="46"/>
    </row>
    <row r="20" spans="1:5" x14ac:dyDescent="0.25">
      <c r="A20" s="44">
        <v>40238</v>
      </c>
      <c r="B20" s="45">
        <v>3</v>
      </c>
      <c r="C20" s="45">
        <v>2</v>
      </c>
      <c r="D20" s="45">
        <v>5</v>
      </c>
      <c r="E20" s="46"/>
    </row>
    <row r="21" spans="1:5" x14ac:dyDescent="0.25">
      <c r="A21" s="44">
        <v>40269</v>
      </c>
      <c r="B21" s="45">
        <v>2</v>
      </c>
      <c r="C21" s="45">
        <v>0</v>
      </c>
      <c r="D21" s="45">
        <v>2</v>
      </c>
      <c r="E21" s="46"/>
    </row>
    <row r="22" spans="1:5" x14ac:dyDescent="0.25">
      <c r="A22" s="44">
        <v>40299</v>
      </c>
      <c r="B22" s="45">
        <v>4</v>
      </c>
      <c r="C22" s="45">
        <v>0</v>
      </c>
      <c r="D22" s="45">
        <v>2</v>
      </c>
      <c r="E22" s="46"/>
    </row>
    <row r="23" spans="1:5" x14ac:dyDescent="0.25">
      <c r="A23" s="44">
        <v>40330</v>
      </c>
      <c r="B23" s="45">
        <v>2</v>
      </c>
      <c r="C23" s="45">
        <v>0</v>
      </c>
      <c r="D23" s="45">
        <v>1</v>
      </c>
      <c r="E23" s="46"/>
    </row>
    <row r="24" spans="1:5" x14ac:dyDescent="0.25">
      <c r="A24" s="44">
        <v>40360</v>
      </c>
      <c r="B24" s="45">
        <v>3</v>
      </c>
      <c r="C24" s="45">
        <v>2</v>
      </c>
      <c r="D24" s="45">
        <v>1</v>
      </c>
      <c r="E24" s="46"/>
    </row>
    <row r="25" spans="1:5" x14ac:dyDescent="0.25">
      <c r="A25" s="44">
        <v>40391</v>
      </c>
      <c r="B25" s="45">
        <v>1</v>
      </c>
      <c r="C25" s="45">
        <v>0</v>
      </c>
      <c r="D25" s="45">
        <v>1</v>
      </c>
      <c r="E25" s="46"/>
    </row>
    <row r="26" spans="1:5" x14ac:dyDescent="0.25">
      <c r="A26" s="44">
        <v>40422</v>
      </c>
      <c r="B26" s="45">
        <v>7</v>
      </c>
      <c r="C26" s="45">
        <v>1</v>
      </c>
      <c r="D26" s="45">
        <v>0</v>
      </c>
      <c r="E26" s="46"/>
    </row>
    <row r="27" spans="1:5" x14ac:dyDescent="0.25">
      <c r="A27" s="44">
        <v>40452</v>
      </c>
      <c r="B27" s="45">
        <v>7</v>
      </c>
      <c r="C27" s="45">
        <v>2</v>
      </c>
      <c r="D27" s="45">
        <v>4</v>
      </c>
      <c r="E27" s="46"/>
    </row>
    <row r="28" spans="1:5" x14ac:dyDescent="0.25">
      <c r="A28" s="44">
        <v>40483</v>
      </c>
      <c r="B28" s="45">
        <v>5</v>
      </c>
      <c r="C28" s="45">
        <v>2</v>
      </c>
      <c r="D28" s="45">
        <v>4</v>
      </c>
      <c r="E28" s="46"/>
    </row>
    <row r="29" spans="1:5" ht="15.75" thickBot="1" x14ac:dyDescent="0.3">
      <c r="A29" s="47">
        <v>40513</v>
      </c>
      <c r="B29" s="48">
        <v>12</v>
      </c>
      <c r="C29" s="48">
        <v>2</v>
      </c>
      <c r="D29" s="48">
        <v>2</v>
      </c>
      <c r="E29" s="49"/>
    </row>
    <row r="30" spans="1:5" x14ac:dyDescent="0.25">
      <c r="A30" s="50">
        <v>40544</v>
      </c>
      <c r="B30" s="51">
        <v>3</v>
      </c>
      <c r="C30" s="51">
        <v>1</v>
      </c>
      <c r="D30" s="51">
        <v>1</v>
      </c>
      <c r="E30" s="52"/>
    </row>
    <row r="31" spans="1:5" x14ac:dyDescent="0.25">
      <c r="A31" s="53">
        <v>40575</v>
      </c>
      <c r="B31" s="54">
        <v>5</v>
      </c>
      <c r="C31" s="54">
        <v>0</v>
      </c>
      <c r="D31" s="54">
        <v>2</v>
      </c>
      <c r="E31" s="55"/>
    </row>
    <row r="32" spans="1:5" x14ac:dyDescent="0.25">
      <c r="A32" s="53">
        <v>40603</v>
      </c>
      <c r="B32" s="54">
        <v>6</v>
      </c>
      <c r="C32" s="54">
        <v>3</v>
      </c>
      <c r="D32" s="54">
        <v>5</v>
      </c>
      <c r="E32" s="55"/>
    </row>
    <row r="33" spans="1:5" x14ac:dyDescent="0.25">
      <c r="A33" s="53">
        <v>40634</v>
      </c>
      <c r="B33" s="54">
        <v>11</v>
      </c>
      <c r="C33" s="54">
        <v>4</v>
      </c>
      <c r="D33" s="54">
        <v>0</v>
      </c>
      <c r="E33" s="55"/>
    </row>
    <row r="34" spans="1:5" x14ac:dyDescent="0.25">
      <c r="A34" s="53">
        <v>40664</v>
      </c>
      <c r="B34" s="54">
        <v>10</v>
      </c>
      <c r="C34" s="54">
        <v>3</v>
      </c>
      <c r="D34" s="54">
        <v>6</v>
      </c>
      <c r="E34" s="55"/>
    </row>
    <row r="35" spans="1:5" x14ac:dyDescent="0.25">
      <c r="A35" s="53">
        <v>40695</v>
      </c>
      <c r="B35" s="54">
        <v>15</v>
      </c>
      <c r="C35" s="54">
        <v>6</v>
      </c>
      <c r="D35" s="54">
        <v>1</v>
      </c>
      <c r="E35" s="55"/>
    </row>
    <row r="36" spans="1:5" x14ac:dyDescent="0.25">
      <c r="A36" s="53">
        <v>40725</v>
      </c>
      <c r="B36" s="54">
        <v>10</v>
      </c>
      <c r="C36" s="54">
        <v>4</v>
      </c>
      <c r="D36" s="54">
        <v>2</v>
      </c>
      <c r="E36" s="55"/>
    </row>
    <row r="37" spans="1:5" x14ac:dyDescent="0.25">
      <c r="A37" s="53">
        <v>40756</v>
      </c>
      <c r="B37" s="54">
        <v>9</v>
      </c>
      <c r="C37" s="54">
        <v>4</v>
      </c>
      <c r="D37" s="54">
        <v>1</v>
      </c>
      <c r="E37" s="55"/>
    </row>
    <row r="38" spans="1:5" x14ac:dyDescent="0.25">
      <c r="A38" s="53">
        <v>40787</v>
      </c>
      <c r="B38" s="54">
        <v>5</v>
      </c>
      <c r="C38" s="54">
        <v>2</v>
      </c>
      <c r="D38" s="54">
        <v>2</v>
      </c>
      <c r="E38" s="55"/>
    </row>
    <row r="39" spans="1:5" x14ac:dyDescent="0.25">
      <c r="A39" s="53">
        <v>40817</v>
      </c>
      <c r="B39" s="54">
        <v>4</v>
      </c>
      <c r="C39" s="54">
        <v>2</v>
      </c>
      <c r="D39" s="54">
        <v>0</v>
      </c>
      <c r="E39" s="55"/>
    </row>
    <row r="40" spans="1:5" x14ac:dyDescent="0.25">
      <c r="A40" s="53">
        <v>40848</v>
      </c>
      <c r="B40" s="54">
        <v>7</v>
      </c>
      <c r="C40" s="54">
        <v>2</v>
      </c>
      <c r="D40" s="54">
        <v>1</v>
      </c>
      <c r="E40" s="55"/>
    </row>
    <row r="41" spans="1:5" ht="15.75" thickBot="1" x14ac:dyDescent="0.3">
      <c r="A41" s="56">
        <v>40878</v>
      </c>
      <c r="B41" s="57">
        <v>8</v>
      </c>
      <c r="C41" s="57">
        <v>1</v>
      </c>
      <c r="D41" s="57">
        <v>0</v>
      </c>
      <c r="E41" s="58"/>
    </row>
    <row r="42" spans="1:5" x14ac:dyDescent="0.25">
      <c r="A42" s="59">
        <v>40909</v>
      </c>
      <c r="B42" s="60">
        <v>5</v>
      </c>
      <c r="C42" s="60">
        <v>1</v>
      </c>
      <c r="D42" s="60">
        <v>0</v>
      </c>
      <c r="E42" s="61"/>
    </row>
    <row r="43" spans="1:5" x14ac:dyDescent="0.25">
      <c r="A43" s="62">
        <v>40940</v>
      </c>
      <c r="B43" s="63">
        <v>7</v>
      </c>
      <c r="C43" s="63">
        <v>2</v>
      </c>
      <c r="D43" s="63">
        <v>0</v>
      </c>
      <c r="E43" s="64"/>
    </row>
    <row r="44" spans="1:5" x14ac:dyDescent="0.25">
      <c r="A44" s="62">
        <v>40969</v>
      </c>
      <c r="B44" s="63">
        <v>6</v>
      </c>
      <c r="C44" s="63">
        <v>0</v>
      </c>
      <c r="D44" s="63">
        <v>1</v>
      </c>
      <c r="E44" s="64"/>
    </row>
    <row r="45" spans="1:5" x14ac:dyDescent="0.25">
      <c r="A45" s="62">
        <v>41000</v>
      </c>
      <c r="B45" s="63">
        <v>6</v>
      </c>
      <c r="C45" s="63">
        <v>1</v>
      </c>
      <c r="D45" s="63">
        <v>2</v>
      </c>
      <c r="E45" s="64"/>
    </row>
    <row r="46" spans="1:5" x14ac:dyDescent="0.25">
      <c r="A46" s="62">
        <v>41030</v>
      </c>
      <c r="B46" s="63">
        <v>4</v>
      </c>
      <c r="C46" s="63">
        <v>3</v>
      </c>
      <c r="D46" s="63">
        <v>2</v>
      </c>
      <c r="E46" s="64"/>
    </row>
    <row r="47" spans="1:5" x14ac:dyDescent="0.25">
      <c r="A47" s="62">
        <v>41061</v>
      </c>
      <c r="B47" s="63">
        <v>5</v>
      </c>
      <c r="C47" s="63">
        <v>2</v>
      </c>
      <c r="D47" s="63">
        <v>4</v>
      </c>
      <c r="E47" s="64"/>
    </row>
    <row r="48" spans="1:5" x14ac:dyDescent="0.25">
      <c r="A48" s="62">
        <v>41091</v>
      </c>
      <c r="B48" s="63">
        <v>7</v>
      </c>
      <c r="C48" s="63">
        <v>3</v>
      </c>
      <c r="D48" s="63">
        <v>3</v>
      </c>
      <c r="E48" s="64"/>
    </row>
    <row r="49" spans="1:5" x14ac:dyDescent="0.25">
      <c r="A49" s="62">
        <v>41122</v>
      </c>
      <c r="B49" s="63">
        <v>3</v>
      </c>
      <c r="C49" s="63">
        <v>2</v>
      </c>
      <c r="D49" s="63">
        <v>1</v>
      </c>
      <c r="E49" s="64"/>
    </row>
    <row r="50" spans="1:5" x14ac:dyDescent="0.25">
      <c r="A50" s="62">
        <v>41153</v>
      </c>
      <c r="B50" s="63">
        <v>5</v>
      </c>
      <c r="C50" s="63">
        <v>1</v>
      </c>
      <c r="D50" s="63">
        <v>2</v>
      </c>
      <c r="E50" s="64"/>
    </row>
    <row r="51" spans="1:5" x14ac:dyDescent="0.25">
      <c r="A51" s="62">
        <v>41183</v>
      </c>
      <c r="B51" s="63">
        <v>8</v>
      </c>
      <c r="C51" s="63">
        <v>3</v>
      </c>
      <c r="D51" s="63">
        <v>1</v>
      </c>
      <c r="E51" s="64"/>
    </row>
    <row r="52" spans="1:5" x14ac:dyDescent="0.25">
      <c r="A52" s="62">
        <v>41214</v>
      </c>
      <c r="B52" s="63">
        <v>5</v>
      </c>
      <c r="C52" s="63">
        <v>1</v>
      </c>
      <c r="D52" s="63">
        <v>0</v>
      </c>
      <c r="E52" s="64"/>
    </row>
    <row r="53" spans="1:5" ht="15.75" thickBot="1" x14ac:dyDescent="0.3">
      <c r="A53" s="65">
        <v>41244</v>
      </c>
      <c r="B53" s="66">
        <v>2</v>
      </c>
      <c r="C53" s="66">
        <v>0</v>
      </c>
      <c r="D53" s="66">
        <v>1</v>
      </c>
      <c r="E53" s="67"/>
    </row>
    <row r="54" spans="1:5" x14ac:dyDescent="0.25">
      <c r="A54" s="106">
        <v>41275</v>
      </c>
      <c r="B54" s="107">
        <v>2</v>
      </c>
      <c r="C54" s="107">
        <v>0</v>
      </c>
      <c r="D54" s="107">
        <v>0</v>
      </c>
      <c r="E54" s="108"/>
    </row>
    <row r="55" spans="1:5" x14ac:dyDescent="0.25">
      <c r="A55" s="109">
        <v>41306</v>
      </c>
      <c r="B55" s="110">
        <v>13</v>
      </c>
      <c r="C55" s="110">
        <v>3</v>
      </c>
      <c r="D55" s="110">
        <v>0</v>
      </c>
      <c r="E55" s="111"/>
    </row>
    <row r="56" spans="1:5" x14ac:dyDescent="0.25">
      <c r="A56" s="109">
        <v>41334</v>
      </c>
      <c r="B56" s="110">
        <v>9</v>
      </c>
      <c r="C56" s="110">
        <v>2</v>
      </c>
      <c r="D56" s="110">
        <v>1</v>
      </c>
      <c r="E56" s="111"/>
    </row>
    <row r="57" spans="1:5" x14ac:dyDescent="0.25">
      <c r="A57" s="109">
        <v>41365</v>
      </c>
      <c r="B57" s="110">
        <v>7</v>
      </c>
      <c r="C57" s="110">
        <v>2</v>
      </c>
      <c r="D57" s="110">
        <v>0</v>
      </c>
      <c r="E57" s="111"/>
    </row>
    <row r="58" spans="1:5" x14ac:dyDescent="0.25">
      <c r="A58" s="109">
        <v>41395</v>
      </c>
      <c r="B58" s="110">
        <v>10</v>
      </c>
      <c r="C58" s="110">
        <v>1</v>
      </c>
      <c r="D58" s="110">
        <v>0</v>
      </c>
      <c r="E58" s="111"/>
    </row>
    <row r="59" spans="1:5" x14ac:dyDescent="0.25">
      <c r="A59" s="109">
        <v>41426</v>
      </c>
      <c r="B59" s="110">
        <v>7</v>
      </c>
      <c r="C59" s="110">
        <v>1</v>
      </c>
      <c r="D59" s="110">
        <v>1</v>
      </c>
      <c r="E59" s="111"/>
    </row>
    <row r="60" spans="1:5" x14ac:dyDescent="0.25">
      <c r="A60" s="109">
        <v>41456</v>
      </c>
      <c r="B60" s="110">
        <v>5</v>
      </c>
      <c r="C60" s="110">
        <v>0</v>
      </c>
      <c r="D60" s="110">
        <v>0</v>
      </c>
      <c r="E60" s="111"/>
    </row>
    <row r="61" spans="1:5" x14ac:dyDescent="0.25">
      <c r="A61" s="109">
        <v>41487</v>
      </c>
      <c r="B61" s="110">
        <v>4</v>
      </c>
      <c r="C61" s="110">
        <v>1</v>
      </c>
      <c r="D61" s="110">
        <v>0</v>
      </c>
      <c r="E61" s="111"/>
    </row>
    <row r="62" spans="1:5" x14ac:dyDescent="0.25">
      <c r="A62" s="109">
        <v>41518</v>
      </c>
      <c r="B62" s="110">
        <v>5</v>
      </c>
      <c r="C62" s="110">
        <v>0</v>
      </c>
      <c r="D62" s="110">
        <v>0</v>
      </c>
      <c r="E62" s="111"/>
    </row>
    <row r="63" spans="1:5" x14ac:dyDescent="0.25">
      <c r="A63" s="109">
        <v>41548</v>
      </c>
      <c r="B63" s="110">
        <v>6</v>
      </c>
      <c r="C63" s="110">
        <v>2</v>
      </c>
      <c r="D63" s="110">
        <v>0</v>
      </c>
      <c r="E63" s="111"/>
    </row>
    <row r="64" spans="1:5" x14ac:dyDescent="0.25">
      <c r="A64" s="109">
        <v>41579</v>
      </c>
      <c r="B64" s="110">
        <v>6</v>
      </c>
      <c r="C64" s="110">
        <v>2</v>
      </c>
      <c r="D64" s="110">
        <v>0</v>
      </c>
      <c r="E64" s="111"/>
    </row>
    <row r="65" spans="1:5" x14ac:dyDescent="0.25">
      <c r="A65" s="112">
        <v>41609</v>
      </c>
      <c r="B65" s="113">
        <v>3</v>
      </c>
      <c r="C65" s="113">
        <v>0</v>
      </c>
      <c r="D65" s="113">
        <v>0</v>
      </c>
      <c r="E65" s="114"/>
    </row>
    <row r="66" spans="1:5" x14ac:dyDescent="0.25">
      <c r="A66" s="84">
        <v>41640</v>
      </c>
      <c r="B66" s="70">
        <v>11</v>
      </c>
      <c r="C66" s="70">
        <v>0</v>
      </c>
      <c r="D66" s="70">
        <v>1</v>
      </c>
      <c r="E66" s="70"/>
    </row>
    <row r="67" spans="1:5" x14ac:dyDescent="0.25">
      <c r="A67" s="84">
        <v>41671</v>
      </c>
      <c r="B67" s="70">
        <v>9</v>
      </c>
      <c r="C67" s="70">
        <v>2</v>
      </c>
      <c r="D67" s="70">
        <v>1</v>
      </c>
      <c r="E67" s="70"/>
    </row>
    <row r="68" spans="1:5" x14ac:dyDescent="0.25">
      <c r="A68" s="84">
        <v>41699</v>
      </c>
      <c r="B68" s="70">
        <v>0</v>
      </c>
      <c r="C68" s="70">
        <v>0</v>
      </c>
      <c r="D68" s="70">
        <v>0</v>
      </c>
      <c r="E68" s="70"/>
    </row>
    <row r="69" spans="1:5" x14ac:dyDescent="0.25">
      <c r="A69" s="68" t="s">
        <v>5</v>
      </c>
      <c r="B69" s="69">
        <f>SUM(B6:B68)</f>
        <v>374</v>
      </c>
      <c r="C69" s="69">
        <f>SUM(C6:C68)</f>
        <v>112</v>
      </c>
      <c r="D69" s="69">
        <f>SUM(D12:D68)</f>
        <v>82</v>
      </c>
      <c r="E69" s="69">
        <f>SUM(E12:E65)</f>
        <v>96</v>
      </c>
    </row>
  </sheetData>
  <mergeCells count="2">
    <mergeCell ref="A2:E2"/>
    <mergeCell ref="A3:E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2014 Total Numbers</vt:lpstr>
      <vt:lpstr>Sector Totals 2004-2014</vt:lpstr>
      <vt:lpstr>Incident Breakdown Since 2009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2014-04-07T18:31:31Z</dcterms:created>
  <dcterms:modified xsi:type="dcterms:W3CDTF">2014-04-07T18:33:32Z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