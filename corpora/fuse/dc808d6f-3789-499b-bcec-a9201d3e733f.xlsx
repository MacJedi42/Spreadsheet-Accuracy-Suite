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defaultThemeVersion="124226"/>
  <bookViews>
    <workbookView xWindow="-15" yWindow="6450" windowWidth="19320" windowHeight="1845"/>
  </bookViews>
  <sheets>
    <sheet name="Automonia Gruppi Continuita" sheetId="12" r:id="rId1"/>
  </sheets>
  <calcPr calcId="145621"/>
</workbook>
</file>

<file path=xl/calcChain.xml><?xml version="1.0" encoding="utf-8"?>
<calcChain xmlns="http://schemas.openxmlformats.org/spreadsheetml/2006/main">
  <c r="Q7" i="12" l="1"/>
  <c r="U6" i="12"/>
  <c r="B6" i="12" s="1"/>
  <c r="U7" i="12"/>
  <c r="V7" i="12"/>
  <c r="U8" i="12"/>
  <c r="V8" i="12" s="1"/>
  <c r="U9" i="12"/>
  <c r="V9" i="12" s="1"/>
  <c r="U10" i="12"/>
  <c r="C10" i="12" s="1"/>
  <c r="W10" i="12" s="1"/>
  <c r="U11" i="12"/>
  <c r="V11" i="12"/>
  <c r="U12" i="12"/>
  <c r="B12" i="12" s="1"/>
  <c r="U13" i="12"/>
  <c r="V13" i="12" s="1"/>
  <c r="U14" i="12"/>
  <c r="V14" i="12" s="1"/>
  <c r="U15" i="12"/>
  <c r="V15" i="12"/>
  <c r="U16" i="12"/>
  <c r="B16" i="12" s="1"/>
  <c r="U17" i="12"/>
  <c r="V17" i="12" s="1"/>
  <c r="U18" i="12"/>
  <c r="V18" i="12" s="1"/>
  <c r="U19" i="12"/>
  <c r="V19" i="12"/>
  <c r="U20" i="12"/>
  <c r="C20" i="12" s="1"/>
  <c r="W20" i="12" s="1"/>
  <c r="U21" i="12"/>
  <c r="V21" i="12" s="1"/>
  <c r="U22" i="12"/>
  <c r="C22" i="12" s="1"/>
  <c r="W22" i="12" s="1"/>
  <c r="U23" i="12"/>
  <c r="V23" i="12"/>
  <c r="U24" i="12"/>
  <c r="B24" i="12" s="1"/>
  <c r="U25" i="12"/>
  <c r="V25" i="12" s="1"/>
  <c r="U26" i="12"/>
  <c r="V26" i="12" s="1"/>
  <c r="U27" i="12"/>
  <c r="V27" i="12"/>
  <c r="U28" i="12"/>
  <c r="V28" i="12" s="1"/>
  <c r="U29" i="12"/>
  <c r="V29" i="12" s="1"/>
  <c r="U30" i="12"/>
  <c r="V30" i="12" s="1"/>
  <c r="A11" i="12"/>
  <c r="V6" i="12"/>
  <c r="M7" i="12"/>
  <c r="E7" i="12"/>
  <c r="N7" i="12"/>
  <c r="F7" i="12"/>
  <c r="R7" i="12" s="1"/>
  <c r="O7" i="12"/>
  <c r="G7" i="12"/>
  <c r="S7" i="12" s="1"/>
  <c r="P7" i="12"/>
  <c r="H7" i="12" s="1"/>
  <c r="T7" i="12" s="1"/>
  <c r="M8" i="12"/>
  <c r="E8" i="12"/>
  <c r="Q8" i="12" s="1"/>
  <c r="N8" i="12"/>
  <c r="F8" i="12" s="1"/>
  <c r="R8" i="12" s="1"/>
  <c r="O8" i="12"/>
  <c r="G8" i="12" s="1"/>
  <c r="S8" i="12"/>
  <c r="P8" i="12"/>
  <c r="H8" i="12"/>
  <c r="T8" i="12" s="1"/>
  <c r="M9" i="12"/>
  <c r="E9" i="12" s="1"/>
  <c r="Q9" i="12"/>
  <c r="N9" i="12"/>
  <c r="F9" i="12"/>
  <c r="R9" i="12" s="1"/>
  <c r="O9" i="12"/>
  <c r="G9" i="12"/>
  <c r="S9" i="12" s="1"/>
  <c r="P9" i="12"/>
  <c r="H9" i="12" s="1"/>
  <c r="T9" i="12"/>
  <c r="M10" i="12"/>
  <c r="E10" i="12"/>
  <c r="Q10" i="12" s="1"/>
  <c r="N10" i="12"/>
  <c r="F10" i="12" s="1"/>
  <c r="R10" i="12" s="1"/>
  <c r="O10" i="12"/>
  <c r="G10" i="12" s="1"/>
  <c r="S10" i="12" s="1"/>
  <c r="P10" i="12"/>
  <c r="H10" i="12"/>
  <c r="T10" i="12" s="1"/>
  <c r="M11" i="12"/>
  <c r="E11" i="12" s="1"/>
  <c r="Q11" i="12" s="1"/>
  <c r="N11" i="12"/>
  <c r="F11" i="12"/>
  <c r="R11" i="12" s="1"/>
  <c r="O11" i="12"/>
  <c r="G11" i="12" s="1"/>
  <c r="S11" i="12" s="1"/>
  <c r="P11" i="12"/>
  <c r="H11" i="12"/>
  <c r="T11" i="12" s="1"/>
  <c r="M12" i="12"/>
  <c r="E12" i="12" s="1"/>
  <c r="Q12" i="12" s="1"/>
  <c r="N12" i="12"/>
  <c r="F12" i="12"/>
  <c r="R12" i="12" s="1"/>
  <c r="O12" i="12"/>
  <c r="G12" i="12" s="1"/>
  <c r="S12" i="12" s="1"/>
  <c r="P12" i="12"/>
  <c r="H12" i="12"/>
  <c r="T12" i="12" s="1"/>
  <c r="M13" i="12"/>
  <c r="E13" i="12" s="1"/>
  <c r="Q13" i="12" s="1"/>
  <c r="N13" i="12"/>
  <c r="F13" i="12"/>
  <c r="R13" i="12" s="1"/>
  <c r="O13" i="12"/>
  <c r="G13" i="12" s="1"/>
  <c r="S13" i="12" s="1"/>
  <c r="P13" i="12"/>
  <c r="H13" i="12"/>
  <c r="T13" i="12" s="1"/>
  <c r="M14" i="12"/>
  <c r="E14" i="12" s="1"/>
  <c r="Q14" i="12" s="1"/>
  <c r="N14" i="12"/>
  <c r="F14" i="12"/>
  <c r="R14" i="12" s="1"/>
  <c r="O14" i="12"/>
  <c r="G14" i="12" s="1"/>
  <c r="S14" i="12" s="1"/>
  <c r="P14" i="12"/>
  <c r="H14" i="12"/>
  <c r="T14" i="12" s="1"/>
  <c r="M15" i="12"/>
  <c r="E15" i="12" s="1"/>
  <c r="Q15" i="12" s="1"/>
  <c r="N15" i="12"/>
  <c r="F15" i="12"/>
  <c r="R15" i="12" s="1"/>
  <c r="O15" i="12"/>
  <c r="G15" i="12" s="1"/>
  <c r="S15" i="12" s="1"/>
  <c r="P15" i="12"/>
  <c r="H15" i="12"/>
  <c r="T15" i="12" s="1"/>
  <c r="M16" i="12"/>
  <c r="E16" i="12" s="1"/>
  <c r="Q16" i="12" s="1"/>
  <c r="N16" i="12"/>
  <c r="F16" i="12"/>
  <c r="R16" i="12" s="1"/>
  <c r="O16" i="12"/>
  <c r="G16" i="12" s="1"/>
  <c r="S16" i="12" s="1"/>
  <c r="P16" i="12"/>
  <c r="H16" i="12"/>
  <c r="T16" i="12" s="1"/>
  <c r="M17" i="12"/>
  <c r="E17" i="12" s="1"/>
  <c r="Q17" i="12" s="1"/>
  <c r="N17" i="12"/>
  <c r="F17" i="12"/>
  <c r="R17" i="12" s="1"/>
  <c r="O17" i="12"/>
  <c r="G17" i="12" s="1"/>
  <c r="S17" i="12" s="1"/>
  <c r="P17" i="12"/>
  <c r="H17" i="12"/>
  <c r="T17" i="12" s="1"/>
  <c r="M18" i="12"/>
  <c r="E18" i="12" s="1"/>
  <c r="Q18" i="12" s="1"/>
  <c r="N18" i="12"/>
  <c r="F18" i="12"/>
  <c r="R18" i="12" s="1"/>
  <c r="O18" i="12"/>
  <c r="G18" i="12" s="1"/>
  <c r="S18" i="12" s="1"/>
  <c r="P18" i="12"/>
  <c r="H18" i="12"/>
  <c r="T18" i="12" s="1"/>
  <c r="M19" i="12"/>
  <c r="E19" i="12" s="1"/>
  <c r="Q19" i="12" s="1"/>
  <c r="N19" i="12"/>
  <c r="F19" i="12"/>
  <c r="R19" i="12" s="1"/>
  <c r="O19" i="12"/>
  <c r="G19" i="12" s="1"/>
  <c r="S19" i="12" s="1"/>
  <c r="P19" i="12"/>
  <c r="H19" i="12"/>
  <c r="T19" i="12" s="1"/>
  <c r="M20" i="12"/>
  <c r="E20" i="12" s="1"/>
  <c r="Q20" i="12" s="1"/>
  <c r="N20" i="12"/>
  <c r="F20" i="12"/>
  <c r="R20" i="12" s="1"/>
  <c r="O20" i="12"/>
  <c r="G20" i="12" s="1"/>
  <c r="S20" i="12" s="1"/>
  <c r="P20" i="12"/>
  <c r="H20" i="12"/>
  <c r="T20" i="12" s="1"/>
  <c r="M21" i="12"/>
  <c r="E21" i="12" s="1"/>
  <c r="Q21" i="12" s="1"/>
  <c r="N21" i="12"/>
  <c r="F21" i="12"/>
  <c r="R21" i="12" s="1"/>
  <c r="O21" i="12"/>
  <c r="G21" i="12" s="1"/>
  <c r="S21" i="12"/>
  <c r="P21" i="12"/>
  <c r="H21" i="12"/>
  <c r="T21" i="12" s="1"/>
  <c r="M22" i="12"/>
  <c r="E22" i="12" s="1"/>
  <c r="Q22" i="12"/>
  <c r="N22" i="12"/>
  <c r="F22" i="12"/>
  <c r="R22" i="12" s="1"/>
  <c r="O22" i="12"/>
  <c r="G22" i="12" s="1"/>
  <c r="S22" i="12"/>
  <c r="P22" i="12"/>
  <c r="H22" i="12"/>
  <c r="T22" i="12" s="1"/>
  <c r="M23" i="12"/>
  <c r="E23" i="12" s="1"/>
  <c r="Q23" i="12" s="1"/>
  <c r="N23" i="12"/>
  <c r="F23" i="12" s="1"/>
  <c r="R23" i="12" s="1"/>
  <c r="O23" i="12"/>
  <c r="G23" i="12" s="1"/>
  <c r="S23" i="12" s="1"/>
  <c r="P23" i="12"/>
  <c r="H23" i="12" s="1"/>
  <c r="T23" i="12" s="1"/>
  <c r="M24" i="12"/>
  <c r="E24" i="12" s="1"/>
  <c r="Q24" i="12"/>
  <c r="N24" i="12"/>
  <c r="F24" i="12"/>
  <c r="R24" i="12" s="1"/>
  <c r="O24" i="12"/>
  <c r="G24" i="12" s="1"/>
  <c r="S24" i="12"/>
  <c r="P24" i="12"/>
  <c r="H24" i="12"/>
  <c r="T24" i="12" s="1"/>
  <c r="M25" i="12"/>
  <c r="E25" i="12" s="1"/>
  <c r="Q25" i="12" s="1"/>
  <c r="N25" i="12"/>
  <c r="F25" i="12"/>
  <c r="R25" i="12" s="1"/>
  <c r="O25" i="12"/>
  <c r="G25" i="12" s="1"/>
  <c r="S25" i="12" s="1"/>
  <c r="P25" i="12"/>
  <c r="H25" i="12"/>
  <c r="T25" i="12" s="1"/>
  <c r="M26" i="12"/>
  <c r="E26" i="12" s="1"/>
  <c r="Q26" i="12" s="1"/>
  <c r="N26" i="12"/>
  <c r="F26" i="12" s="1"/>
  <c r="R26" i="12" s="1"/>
  <c r="O26" i="12"/>
  <c r="G26" i="12"/>
  <c r="S26" i="12" s="1"/>
  <c r="P26" i="12"/>
  <c r="H26" i="12" s="1"/>
  <c r="T26" i="12" s="1"/>
  <c r="M27" i="12"/>
  <c r="E27" i="12"/>
  <c r="Q27" i="12" s="1"/>
  <c r="N27" i="12"/>
  <c r="F27" i="12" s="1"/>
  <c r="R27" i="12" s="1"/>
  <c r="O27" i="12"/>
  <c r="G27" i="12"/>
  <c r="S27" i="12" s="1"/>
  <c r="P27" i="12"/>
  <c r="H27" i="12" s="1"/>
  <c r="T27" i="12" s="1"/>
  <c r="M28" i="12"/>
  <c r="E28" i="12"/>
  <c r="Q28" i="12" s="1"/>
  <c r="N28" i="12"/>
  <c r="F28" i="12" s="1"/>
  <c r="R28" i="12" s="1"/>
  <c r="O28" i="12"/>
  <c r="G28" i="12"/>
  <c r="S28" i="12" s="1"/>
  <c r="P28" i="12"/>
  <c r="H28" i="12" s="1"/>
  <c r="T28" i="12" s="1"/>
  <c r="M29" i="12"/>
  <c r="E29" i="12"/>
  <c r="Q29" i="12" s="1"/>
  <c r="N29" i="12"/>
  <c r="F29" i="12" s="1"/>
  <c r="R29" i="12" s="1"/>
  <c r="O29" i="12"/>
  <c r="G29" i="12"/>
  <c r="S29" i="12" s="1"/>
  <c r="P29" i="12"/>
  <c r="H29" i="12" s="1"/>
  <c r="T29" i="12" s="1"/>
  <c r="M30" i="12"/>
  <c r="E30" i="12"/>
  <c r="Q30" i="12" s="1"/>
  <c r="N30" i="12"/>
  <c r="F30" i="12" s="1"/>
  <c r="R30" i="12" s="1"/>
  <c r="O30" i="12"/>
  <c r="G30" i="12"/>
  <c r="S30" i="12" s="1"/>
  <c r="P30" i="12"/>
  <c r="H30" i="12" s="1"/>
  <c r="T30" i="12" s="1"/>
  <c r="N6" i="12"/>
  <c r="F6" i="12"/>
  <c r="R6" i="12" s="1"/>
  <c r="O6" i="12"/>
  <c r="G6" i="12"/>
  <c r="S6" i="12" s="1"/>
  <c r="P6" i="12"/>
  <c r="H6" i="12" s="1"/>
  <c r="T6" i="12" s="1"/>
  <c r="M6" i="12"/>
  <c r="E6" i="12"/>
  <c r="Q6" i="12" s="1"/>
  <c r="C16" i="12"/>
  <c r="W16" i="12" s="1"/>
  <c r="C12" i="12"/>
  <c r="W12" i="12" s="1"/>
  <c r="B18" i="12"/>
  <c r="A8" i="12"/>
  <c r="B9" i="12"/>
  <c r="C9" i="12"/>
  <c r="W9" i="12" s="1"/>
  <c r="A9" i="12"/>
  <c r="B14" i="12"/>
  <c r="B17" i="12"/>
  <c r="C17" i="12"/>
  <c r="W17" i="12" s="1"/>
  <c r="B20" i="12"/>
  <c r="A10" i="12"/>
  <c r="B27" i="12"/>
  <c r="C27" i="12" s="1"/>
  <c r="W27" i="12" s="1"/>
  <c r="B23" i="12"/>
  <c r="C23" i="12"/>
  <c r="W23" i="12" s="1"/>
  <c r="B21" i="12"/>
  <c r="C21" i="12"/>
  <c r="W21" i="12" s="1"/>
  <c r="B7" i="12"/>
  <c r="C7" i="12"/>
  <c r="W7" i="12" s="1"/>
  <c r="B28" i="12"/>
  <c r="B30" i="12"/>
  <c r="C30" i="12" s="1"/>
  <c r="W30" i="12" s="1"/>
  <c r="C6" i="12"/>
  <c r="W6" i="12" s="1"/>
  <c r="B13" i="12"/>
  <c r="C13" i="12"/>
  <c r="W13" i="12" s="1"/>
  <c r="B29" i="12"/>
  <c r="C29" i="12" s="1"/>
  <c r="W29" i="12" s="1"/>
  <c r="B15" i="12"/>
  <c r="C15" i="12"/>
  <c r="W15" i="12" s="1"/>
  <c r="B11" i="12"/>
  <c r="B19" i="12"/>
  <c r="C19" i="12"/>
  <c r="W19" i="12" s="1"/>
  <c r="B25" i="12"/>
  <c r="B26" i="12"/>
  <c r="B8" i="12"/>
  <c r="C11" i="12"/>
  <c r="W11" i="12"/>
  <c r="X11" i="12" s="1"/>
  <c r="C25" i="12"/>
  <c r="W25" i="12" s="1"/>
  <c r="Z19" i="12" l="1"/>
  <c r="X19" i="12"/>
  <c r="Y19" i="12"/>
  <c r="Z6" i="12"/>
  <c r="Y6" i="12"/>
  <c r="X6" i="12"/>
  <c r="Y17" i="12"/>
  <c r="Z17" i="12"/>
  <c r="X17" i="12"/>
  <c r="Y9" i="12"/>
  <c r="Z9" i="12"/>
  <c r="X9" i="12"/>
  <c r="Z12" i="12"/>
  <c r="X12" i="12"/>
  <c r="Y12" i="12"/>
  <c r="X10" i="12"/>
  <c r="Y10" i="12"/>
  <c r="Z10" i="12"/>
  <c r="Y15" i="12"/>
  <c r="Z15" i="12"/>
  <c r="X15" i="12"/>
  <c r="Y7" i="12"/>
  <c r="X7" i="12"/>
  <c r="Z7" i="12"/>
  <c r="Y23" i="12"/>
  <c r="Z23" i="12"/>
  <c r="X23" i="12"/>
  <c r="Z29" i="12"/>
  <c r="Y29" i="12"/>
  <c r="X29" i="12"/>
  <c r="Y13" i="12"/>
  <c r="X13" i="12"/>
  <c r="Z13" i="12"/>
  <c r="Y22" i="12"/>
  <c r="X22" i="12"/>
  <c r="Z22" i="12"/>
  <c r="X25" i="12"/>
  <c r="Z25" i="12"/>
  <c r="Y25" i="12"/>
  <c r="Y30" i="12"/>
  <c r="Z30" i="12"/>
  <c r="X30" i="12"/>
  <c r="Z21" i="12"/>
  <c r="Y21" i="12"/>
  <c r="X21" i="12"/>
  <c r="Y27" i="12"/>
  <c r="X27" i="12"/>
  <c r="Z27" i="12"/>
  <c r="Z16" i="12"/>
  <c r="X16" i="12"/>
  <c r="Y16" i="12"/>
  <c r="Y20" i="12"/>
  <c r="Z20" i="12"/>
  <c r="X20" i="12"/>
  <c r="Y11" i="12"/>
  <c r="Z11" i="12"/>
  <c r="C8" i="12"/>
  <c r="W8" i="12" s="1"/>
  <c r="C26" i="12"/>
  <c r="W26" i="12" s="1"/>
  <c r="C28" i="12"/>
  <c r="W28" i="12" s="1"/>
  <c r="B10" i="12"/>
  <c r="C14" i="12"/>
  <c r="W14" i="12" s="1"/>
  <c r="C18" i="12"/>
  <c r="W18" i="12" s="1"/>
  <c r="B22" i="12"/>
  <c r="V24" i="12"/>
  <c r="V22" i="12"/>
  <c r="V20" i="12"/>
  <c r="V16" i="12"/>
  <c r="V12" i="12"/>
  <c r="V10" i="12"/>
  <c r="C24" i="12"/>
  <c r="W24" i="12" s="1"/>
  <c r="Z8" i="12" l="1"/>
  <c r="Y8" i="12"/>
  <c r="X8" i="12"/>
  <c r="Y26" i="12"/>
  <c r="X26" i="12"/>
  <c r="Z26" i="12"/>
  <c r="Y14" i="12"/>
  <c r="Z14" i="12"/>
  <c r="X14" i="12"/>
  <c r="X24" i="12"/>
  <c r="Z24" i="12"/>
  <c r="Y24" i="12"/>
  <c r="Y18" i="12"/>
  <c r="Z18" i="12"/>
  <c r="X18" i="12"/>
  <c r="Z28" i="12"/>
  <c r="X28" i="12"/>
  <c r="Y28" i="12"/>
</calcChain>
</file>

<file path=xl/sharedStrings.xml><?xml version="1.0" encoding="utf-8"?>
<sst xmlns="http://schemas.openxmlformats.org/spreadsheetml/2006/main" count="42" uniqueCount="42">
  <si>
    <t>EQP-LS1100RTD</t>
  </si>
  <si>
    <t>EQP-LS3000RTD</t>
  </si>
  <si>
    <t>EQP-LS1100RTDL</t>
  </si>
  <si>
    <t>EQP-LS3000RTDL</t>
  </si>
  <si>
    <t>EQP-LN651T</t>
  </si>
  <si>
    <t>EQP-LN1001T</t>
  </si>
  <si>
    <t>EQP-LN2001T</t>
  </si>
  <si>
    <t>EQP-ON1001T</t>
  </si>
  <si>
    <t>EQP-ON3001T</t>
  </si>
  <si>
    <t>EQP-ON10KTM</t>
  </si>
  <si>
    <t>EQP-ON20KTM</t>
  </si>
  <si>
    <t>EQP-ON1500RTX</t>
  </si>
  <si>
    <t>EQP-ON3000RTX</t>
  </si>
  <si>
    <t>EQP-ON6KCT</t>
  </si>
  <si>
    <t>EQP-ON10KCT</t>
  </si>
  <si>
    <t>EQP-ON10KCTL</t>
  </si>
  <si>
    <t>EQP-LN851T</t>
  </si>
  <si>
    <t>LOAD</t>
  </si>
  <si>
    <t>Load Watts</t>
  </si>
  <si>
    <t>Time @ Load (h:m:s)</t>
  </si>
  <si>
    <t>Time @ Load (sec)</t>
  </si>
  <si>
    <t>Model</t>
  </si>
  <si>
    <t>Batt. Pack</t>
  </si>
  <si>
    <t>Max Load (W)</t>
  </si>
  <si>
    <t>Time</t>
  </si>
  <si>
    <t>&gt;10 min</t>
  </si>
  <si>
    <t>&gt;20 min</t>
  </si>
  <si>
    <t>&gt;30 min</t>
  </si>
  <si>
    <t>EQP-LN1501T</t>
  </si>
  <si>
    <t>Calculated Load</t>
  </si>
  <si>
    <t>Watts</t>
  </si>
  <si>
    <t>Load %</t>
  </si>
  <si>
    <t>1x BB-1</t>
  </si>
  <si>
    <t>2x BB-1</t>
  </si>
  <si>
    <t>1x BB-2</t>
  </si>
  <si>
    <t>2x BB-2</t>
  </si>
  <si>
    <t>3x BB-1</t>
  </si>
  <si>
    <t>4x BB-1</t>
  </si>
  <si>
    <t>3x BB-2</t>
  </si>
  <si>
    <t>4x BB-2</t>
  </si>
  <si>
    <t>1x BB-8</t>
  </si>
  <si>
    <t>2x BB-8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</si>
</sst>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_-;\-* #,##0.00_-;_-* &quot;-&quot;??_-;_-@_-"/>
    <numFmt numFmtId="166" formatCode="_-[$€]\ * #,##0.00_-;\-[$€]\ * #,##0.00_-;_-[$€]\ * &quot;-&quot;??_-;_-@_-"/>
    <numFmt numFmtId="168" formatCode="[&gt;=6000]#,##0,&quot;K&quot;;#,##0"/>
    <numFmt numFmtId="169" formatCode="0.0"/>
    <numFmt numFmtId="170" formatCode="_-* #,##0_-;\-* #,##0_-;_-* &quot;-&quot;??_-;_-@_-"/>
  </numFmts>
  <fonts count="24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  <font>
      <sz val="12"/>
      <name val="新細明體"/>
      <family val="1"/>
      <charset val="136"/>
    </font>
    <font>
      <sz val="12"/>
      <name val="宋体"/>
      <charset val="134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name val="LucidaSans"/>
      <family val="2"/>
    </font>
    <font>
      <sz val="22"/>
      <color theme="1"/>
      <name val="Calibri"/>
      <family val="2"/>
      <scheme val="minor"/>
    </font>
    <font>
      <sz val="2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Verdana"/>
      <family val="2"/>
    </font>
    <font>
      <b/>
      <sz val="12"/>
      <color theme="0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39">
    <border>
      <left/>
      <right/>
      <top/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dotted">
        <color theme="3" tint="-0.24994659260841701"/>
      </left>
      <right style="hair">
        <color theme="6" tint="-0.24994659260841701"/>
      </right>
      <top/>
      <bottom/>
      <diagonal/>
    </border>
    <border>
      <left style="hair">
        <color theme="6" tint="-0.24994659260841701"/>
      </left>
      <right style="hair">
        <color theme="6" tint="-0.24994659260841701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 style="dashed">
        <color theme="2" tint="-0.749961851863155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2" tint="-0.749961851863155"/>
      </top>
      <bottom/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2" tint="-0.749961851863155"/>
      </bottom>
      <diagonal/>
    </border>
    <border>
      <left style="hair">
        <color theme="0" tint="-0.499984740745262"/>
      </left>
      <right style="hair">
        <color theme="0" tint="-0.499984740745262"/>
      </right>
      <top style="dotted">
        <color theme="2" tint="-0.749961851863155"/>
      </top>
      <bottom/>
      <diagonal/>
    </border>
    <border>
      <left style="hair">
        <color theme="0" tint="-0.499984740745262"/>
      </left>
      <right style="hair">
        <color theme="0" tint="-0.499984740745262"/>
      </right>
      <top/>
      <bottom style="dotted">
        <color theme="2" tint="-0.749961851863155"/>
      </bottom>
      <diagonal/>
    </border>
    <border>
      <left style="medium">
        <color theme="0" tint="-0.499984740745262"/>
      </left>
      <right style="hair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 style="dotted">
        <color theme="3" tint="-0.24994659260841701"/>
      </left>
      <right style="hair">
        <color theme="6" tint="-0.24994659260841701"/>
      </right>
      <top style="medium">
        <color theme="0" tint="-0.499984740745262"/>
      </top>
      <bottom/>
      <diagonal/>
    </border>
    <border>
      <left style="hair">
        <color theme="6" tint="-0.24994659260841701"/>
      </left>
      <right style="hair">
        <color theme="6" tint="-0.24994659260841701"/>
      </right>
      <top style="medium">
        <color theme="0" tint="-0.499984740745262"/>
      </top>
      <bottom/>
      <diagonal/>
    </border>
    <border>
      <left style="hair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 style="medium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 style="hair">
        <color theme="0" tint="-0.499984740745262"/>
      </right>
      <top/>
      <bottom/>
      <diagonal/>
    </border>
    <border>
      <left style="medium">
        <color theme="0" tint="-0.499984740745262"/>
      </left>
      <right style="hair">
        <color theme="0" tint="-0.499984740745262"/>
      </right>
      <top style="hair">
        <color theme="2" tint="-0.749961851863155"/>
      </top>
      <bottom/>
      <diagonal/>
    </border>
    <border>
      <left style="medium">
        <color theme="0" tint="-0.499984740745262"/>
      </left>
      <right style="hair">
        <color theme="0" tint="-0.499984740745262"/>
      </right>
      <top/>
      <bottom style="hair">
        <color theme="2" tint="-0.749961851863155"/>
      </bottom>
      <diagonal/>
    </border>
    <border>
      <left style="medium">
        <color theme="0" tint="-0.499984740745262"/>
      </left>
      <right style="hair">
        <color theme="0" tint="-0.499984740745262"/>
      </right>
      <top/>
      <bottom style="dashed">
        <color theme="2" tint="-0.749961851863155"/>
      </bottom>
      <diagonal/>
    </border>
    <border>
      <left style="medium">
        <color theme="0" tint="-0.499984740745262"/>
      </left>
      <right style="hair">
        <color theme="0" tint="-0.499984740745262"/>
      </right>
      <top style="dotted">
        <color theme="2" tint="-0.749961851863155"/>
      </top>
      <bottom/>
      <diagonal/>
    </border>
    <border>
      <left style="medium">
        <color theme="0" tint="-0.499984740745262"/>
      </left>
      <right style="hair">
        <color theme="0" tint="-0.499984740745262"/>
      </right>
      <top/>
      <bottom style="dotted">
        <color theme="2" tint="-0.749961851863155"/>
      </bottom>
      <diagonal/>
    </border>
    <border>
      <left style="medium">
        <color theme="0" tint="-0.499984740745262"/>
      </left>
      <right style="hair">
        <color theme="0" tint="-0.499984740745262"/>
      </right>
      <top/>
      <bottom style="medium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 style="dotted">
        <color theme="3" tint="-0.24994659260841701"/>
      </left>
      <right style="hair">
        <color theme="6" tint="-0.24994659260841701"/>
      </right>
      <top/>
      <bottom style="medium">
        <color theme="0" tint="-0.499984740745262"/>
      </bottom>
      <diagonal/>
    </border>
    <border>
      <left style="hair">
        <color theme="6" tint="-0.24994659260841701"/>
      </left>
      <right style="hair">
        <color theme="6" tint="-0.24994659260841701"/>
      </right>
      <top/>
      <bottom style="medium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thick">
        <color theme="1" tint="0.14993743705557422"/>
      </left>
      <right/>
      <top style="thick">
        <color theme="1" tint="0.14996795556505021"/>
      </top>
      <bottom style="hair">
        <color theme="1" tint="0.14990691854609822"/>
      </bottom>
      <diagonal/>
    </border>
    <border>
      <left/>
      <right/>
      <top style="thick">
        <color theme="1" tint="0.14996795556505021"/>
      </top>
      <bottom style="hair">
        <color theme="1" tint="0.14990691854609822"/>
      </bottom>
      <diagonal/>
    </border>
    <border>
      <left/>
      <right style="thick">
        <color theme="1" tint="0.14996795556505021"/>
      </right>
      <top style="thick">
        <color theme="1" tint="0.14996795556505021"/>
      </top>
      <bottom style="hair">
        <color theme="1" tint="0.14990691854609822"/>
      </bottom>
      <diagonal/>
    </border>
    <border>
      <left/>
      <right/>
      <top style="hair">
        <color theme="1" tint="0.14990691854609822"/>
      </top>
      <bottom style="thick">
        <color theme="1" tint="0.14996795556505021"/>
      </bottom>
      <diagonal/>
    </border>
    <border>
      <left/>
      <right style="thick">
        <color theme="1" tint="0.14996795556505021"/>
      </right>
      <top style="hair">
        <color theme="1" tint="0.14990691854609822"/>
      </top>
      <bottom style="thick">
        <color theme="1" tint="0.14996795556505021"/>
      </bottom>
      <diagonal/>
    </border>
    <border>
      <left style="thick">
        <color theme="1" tint="0.14996795556505021"/>
      </left>
      <right style="thick">
        <color theme="1" tint="0.14996795556505021"/>
      </right>
      <top style="thick">
        <color theme="1" tint="0.14996795556505021"/>
      </top>
      <bottom style="thick">
        <color theme="1" tint="0.14996795556505021"/>
      </bottom>
      <diagonal/>
    </border>
  </borders>
  <cellStyleXfs count="22">
    <xf numFmtId="0" fontId="0" fillId="0" borderId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3" fillId="0" borderId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/>
    <xf numFmtId="0" fontId="5" fillId="0" borderId="0">
      <alignment vertical="center"/>
    </xf>
    <xf numFmtId="0" fontId="4" fillId="0" borderId="0"/>
    <xf numFmtId="0" fontId="6" fillId="0" borderId="0">
      <alignment vertical="center"/>
    </xf>
    <xf numFmtId="0" fontId="4" fillId="0" borderId="0"/>
    <xf numFmtId="0" fontId="3" fillId="0" borderId="0"/>
    <xf numFmtId="0" fontId="3" fillId="0" borderId="0"/>
    <xf numFmtId="0" fontId="3" fillId="0" borderId="0"/>
    <xf numFmtId="9" fontId="7" fillId="0" borderId="0" applyFont="0" applyFill="0" applyBorder="0" applyAlignment="0" applyProtection="0"/>
    <xf numFmtId="0" fontId="5" fillId="0" borderId="0">
      <alignment vertical="center"/>
    </xf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</cellStyleXfs>
  <cellXfs count="102">
    <xf numFmtId="0" fontId="0" fillId="0" borderId="0" xfId="0"/>
    <xf numFmtId="0" fontId="2" fillId="0" borderId="0" xfId="18"/>
    <xf numFmtId="0" fontId="11" fillId="0" borderId="0" xfId="18" applyFont="1" applyAlignment="1">
      <alignment vertical="center"/>
    </xf>
    <xf numFmtId="1" fontId="11" fillId="0" borderId="0" xfId="18" applyNumberFormat="1" applyFont="1" applyAlignment="1">
      <alignment vertical="center"/>
    </xf>
    <xf numFmtId="1" fontId="12" fillId="0" borderId="0" xfId="18" applyNumberFormat="1" applyFont="1" applyAlignment="1">
      <alignment vertical="center" readingOrder="1"/>
    </xf>
    <xf numFmtId="1" fontId="2" fillId="0" borderId="0" xfId="18" applyNumberFormat="1"/>
    <xf numFmtId="0" fontId="2" fillId="0" borderId="0" xfId="18"/>
    <xf numFmtId="0" fontId="0" fillId="0" borderId="0" xfId="0" applyFont="1" applyBorder="1"/>
    <xf numFmtId="0" fontId="10" fillId="0" borderId="0" xfId="0" applyFont="1" applyBorder="1"/>
    <xf numFmtId="0" fontId="2" fillId="0" borderId="0" xfId="18" applyFill="1"/>
    <xf numFmtId="0" fontId="0" fillId="0" borderId="0" xfId="0" applyFill="1"/>
    <xf numFmtId="0" fontId="0" fillId="0" borderId="0" xfId="0" applyFont="1" applyBorder="1" applyProtection="1">
      <protection locked="0"/>
    </xf>
    <xf numFmtId="0" fontId="2" fillId="0" borderId="0" xfId="18" applyProtection="1">
      <protection locked="0"/>
    </xf>
    <xf numFmtId="0" fontId="0" fillId="0" borderId="0" xfId="0" applyProtection="1">
      <protection locked="0"/>
    </xf>
    <xf numFmtId="0" fontId="2" fillId="0" borderId="0" xfId="18" applyFill="1" applyProtection="1">
      <protection locked="0"/>
    </xf>
    <xf numFmtId="0" fontId="0" fillId="0" borderId="0" xfId="0" applyBorder="1" applyProtection="1">
      <protection locked="0"/>
    </xf>
    <xf numFmtId="0" fontId="2" fillId="0" borderId="0" xfId="18" applyBorder="1" applyProtection="1">
      <protection locked="0"/>
    </xf>
    <xf numFmtId="0" fontId="16" fillId="0" borderId="0" xfId="0" applyFont="1" applyBorder="1" applyAlignment="1" applyProtection="1">
      <alignment vertical="center"/>
      <protection locked="0"/>
    </xf>
    <xf numFmtId="1" fontId="12" fillId="0" borderId="0" xfId="18" applyNumberFormat="1" applyFont="1" applyAlignment="1" applyProtection="1">
      <alignment vertical="center" readingOrder="1"/>
      <protection locked="0"/>
    </xf>
    <xf numFmtId="0" fontId="11" fillId="0" borderId="0" xfId="18" applyFont="1" applyAlignment="1" applyProtection="1">
      <alignment vertical="center"/>
      <protection locked="0"/>
    </xf>
    <xf numFmtId="0" fontId="13" fillId="0" borderId="0" xfId="0" applyFont="1" applyBorder="1" applyAlignment="1" applyProtection="1">
      <alignment vertical="center"/>
      <protection locked="0"/>
    </xf>
    <xf numFmtId="0" fontId="0" fillId="0" borderId="0" xfId="0" applyFill="1" applyProtection="1">
      <protection locked="0"/>
    </xf>
    <xf numFmtId="0" fontId="0" fillId="0" borderId="0" xfId="0" applyFont="1" applyBorder="1" applyProtection="1"/>
    <xf numFmtId="0" fontId="9" fillId="5" borderId="0" xfId="18" applyFont="1" applyFill="1" applyBorder="1" applyProtection="1"/>
    <xf numFmtId="0" fontId="9" fillId="0" borderId="0" xfId="18" applyFont="1" applyFill="1" applyBorder="1" applyProtection="1"/>
    <xf numFmtId="0" fontId="2" fillId="0" borderId="0" xfId="18" applyProtection="1"/>
    <xf numFmtId="0" fontId="0" fillId="0" borderId="0" xfId="0" applyProtection="1"/>
    <xf numFmtId="9" fontId="20" fillId="11" borderId="0" xfId="16" applyNumberFormat="1" applyFont="1" applyFill="1" applyBorder="1" applyAlignment="1" applyProtection="1">
      <alignment horizontal="center" vertical="center"/>
    </xf>
    <xf numFmtId="9" fontId="20" fillId="0" borderId="0" xfId="16" applyNumberFormat="1" applyFont="1" applyFill="1" applyBorder="1" applyAlignment="1" applyProtection="1">
      <alignment horizontal="center" vertical="center"/>
    </xf>
    <xf numFmtId="0" fontId="20" fillId="3" borderId="12" xfId="18" applyFont="1" applyFill="1" applyBorder="1" applyAlignment="1" applyProtection="1">
      <alignment horizontal="center" vertical="center"/>
    </xf>
    <xf numFmtId="0" fontId="20" fillId="3" borderId="13" xfId="18" applyFont="1" applyFill="1" applyBorder="1" applyAlignment="1" applyProtection="1">
      <alignment horizontal="center" vertical="center" wrapText="1"/>
    </xf>
    <xf numFmtId="9" fontId="20" fillId="4" borderId="14" xfId="17" applyNumberFormat="1" applyFont="1" applyFill="1" applyBorder="1" applyAlignment="1" applyProtection="1">
      <alignment horizontal="right" vertical="center"/>
    </xf>
    <xf numFmtId="9" fontId="20" fillId="12" borderId="15" xfId="17" applyNumberFormat="1" applyFont="1" applyFill="1" applyBorder="1" applyAlignment="1" applyProtection="1">
      <alignment horizontal="right" vertical="center"/>
    </xf>
    <xf numFmtId="9" fontId="20" fillId="12" borderId="16" xfId="17" applyNumberFormat="1" applyFont="1" applyFill="1" applyBorder="1" applyAlignment="1" applyProtection="1">
      <alignment horizontal="right" vertical="center"/>
    </xf>
    <xf numFmtId="9" fontId="20" fillId="12" borderId="14" xfId="17" applyNumberFormat="1" applyFont="1" applyFill="1" applyBorder="1" applyAlignment="1" applyProtection="1">
      <alignment horizontal="right" vertical="center"/>
    </xf>
    <xf numFmtId="0" fontId="22" fillId="15" borderId="13" xfId="18" applyFont="1" applyFill="1" applyBorder="1" applyAlignment="1" applyProtection="1">
      <alignment horizontal="center" vertical="center" wrapText="1"/>
    </xf>
    <xf numFmtId="9" fontId="22" fillId="2" borderId="14" xfId="15" applyNumberFormat="1" applyFont="1" applyFill="1" applyBorder="1" applyAlignment="1" applyProtection="1">
      <alignment horizontal="center" vertical="center"/>
    </xf>
    <xf numFmtId="0" fontId="9" fillId="5" borderId="13" xfId="0" applyFont="1" applyFill="1" applyBorder="1" applyAlignment="1" applyProtection="1">
      <alignment horizontal="center" vertical="center"/>
    </xf>
    <xf numFmtId="0" fontId="9" fillId="5" borderId="17" xfId="0" applyFont="1" applyFill="1" applyBorder="1" applyAlignment="1" applyProtection="1">
      <alignment horizontal="center" vertical="center"/>
    </xf>
    <xf numFmtId="1" fontId="11" fillId="0" borderId="0" xfId="0" applyNumberFormat="1" applyFont="1" applyAlignment="1" applyProtection="1">
      <alignment vertical="center"/>
    </xf>
    <xf numFmtId="3" fontId="0" fillId="0" borderId="0" xfId="0" quotePrefix="1" applyNumberFormat="1" applyFont="1" applyBorder="1" applyProtection="1"/>
    <xf numFmtId="3" fontId="14" fillId="10" borderId="0" xfId="0" quotePrefix="1" applyNumberFormat="1" applyFont="1" applyFill="1" applyBorder="1" applyAlignment="1" applyProtection="1">
      <alignment horizontal="right" vertical="center"/>
    </xf>
    <xf numFmtId="3" fontId="14" fillId="0" borderId="0" xfId="0" quotePrefix="1" applyNumberFormat="1" applyFont="1" applyFill="1" applyBorder="1" applyAlignment="1" applyProtection="1">
      <alignment horizontal="right" vertical="center"/>
    </xf>
    <xf numFmtId="0" fontId="2" fillId="4" borderId="18" xfId="18" applyFont="1" applyFill="1" applyBorder="1" applyProtection="1"/>
    <xf numFmtId="0" fontId="0" fillId="14" borderId="1" xfId="0" applyFont="1" applyFill="1" applyBorder="1" applyAlignment="1" applyProtection="1">
      <alignment horizontal="center" vertical="center"/>
    </xf>
    <xf numFmtId="170" fontId="22" fillId="13" borderId="2" xfId="19" applyNumberFormat="1" applyFont="1" applyFill="1" applyBorder="1" applyAlignment="1" applyProtection="1">
      <alignment horizontal="right" vertical="center"/>
    </xf>
    <xf numFmtId="170" fontId="2" fillId="7" borderId="0" xfId="15" applyNumberFormat="1" applyBorder="1" applyAlignment="1" applyProtection="1">
      <alignment horizontal="right" vertical="center"/>
    </xf>
    <xf numFmtId="0" fontId="2" fillId="9" borderId="5" xfId="17" applyBorder="1" applyAlignment="1" applyProtection="1">
      <alignment horizontal="right" vertical="center"/>
    </xf>
    <xf numFmtId="0" fontId="2" fillId="9" borderId="6" xfId="17" applyBorder="1" applyAlignment="1" applyProtection="1">
      <alignment horizontal="right" vertical="center"/>
    </xf>
    <xf numFmtId="0" fontId="2" fillId="9" borderId="0" xfId="17" applyBorder="1" applyAlignment="1" applyProtection="1">
      <alignment horizontal="right" vertical="center"/>
    </xf>
    <xf numFmtId="168" fontId="9" fillId="2" borderId="3" xfId="19" applyNumberFormat="1" applyFont="1" applyFill="1" applyBorder="1" applyAlignment="1" applyProtection="1">
      <alignment horizontal="center" vertical="center"/>
    </xf>
    <xf numFmtId="9" fontId="23" fillId="3" borderId="2" xfId="21" applyFont="1" applyFill="1" applyBorder="1" applyAlignment="1" applyProtection="1">
      <alignment horizontal="left" vertical="center"/>
    </xf>
    <xf numFmtId="0" fontId="14" fillId="0" borderId="1" xfId="0" applyFont="1" applyBorder="1" applyAlignment="1" applyProtection="1">
      <alignment horizontal="center" vertical="center"/>
    </xf>
    <xf numFmtId="0" fontId="0" fillId="3" borderId="1" xfId="0" applyFont="1" applyFill="1" applyBorder="1" applyAlignment="1" applyProtection="1">
      <alignment horizontal="center" vertical="center"/>
    </xf>
    <xf numFmtId="0" fontId="0" fillId="3" borderId="19" xfId="0" applyFont="1" applyFill="1" applyBorder="1" applyAlignment="1" applyProtection="1">
      <alignment horizontal="center" vertical="center"/>
    </xf>
    <xf numFmtId="0" fontId="2" fillId="4" borderId="20" xfId="18" applyFont="1" applyFill="1" applyBorder="1" applyProtection="1"/>
    <xf numFmtId="170" fontId="22" fillId="13" borderId="3" xfId="19" applyNumberFormat="1" applyFont="1" applyFill="1" applyBorder="1" applyAlignment="1" applyProtection="1">
      <alignment horizontal="right" vertical="center"/>
    </xf>
    <xf numFmtId="1" fontId="0" fillId="0" borderId="0" xfId="0" applyNumberFormat="1" applyProtection="1"/>
    <xf numFmtId="0" fontId="0" fillId="14" borderId="2" xfId="0" applyFont="1" applyFill="1" applyBorder="1" applyAlignment="1" applyProtection="1">
      <alignment horizontal="center" vertical="center"/>
    </xf>
    <xf numFmtId="3" fontId="0" fillId="0" borderId="0" xfId="0" applyNumberFormat="1" applyFont="1" applyBorder="1" applyAlignment="1" applyProtection="1"/>
    <xf numFmtId="0" fontId="2" fillId="4" borderId="21" xfId="18" applyFont="1" applyFill="1" applyBorder="1" applyProtection="1"/>
    <xf numFmtId="0" fontId="1" fillId="14" borderId="8" xfId="18" applyFont="1" applyFill="1" applyBorder="1" applyAlignment="1" applyProtection="1">
      <alignment horizontal="left" vertical="center" wrapText="1"/>
    </xf>
    <xf numFmtId="0" fontId="1" fillId="14" borderId="3" xfId="18" applyFont="1" applyFill="1" applyBorder="1" applyAlignment="1" applyProtection="1">
      <alignment horizontal="left" vertical="center" wrapText="1"/>
    </xf>
    <xf numFmtId="0" fontId="2" fillId="4" borderId="22" xfId="18" applyFont="1" applyFill="1" applyBorder="1" applyProtection="1"/>
    <xf numFmtId="0" fontId="1" fillId="14" borderId="9" xfId="18" applyFont="1" applyFill="1" applyBorder="1" applyAlignment="1" applyProtection="1">
      <alignment horizontal="left" vertical="center" wrapText="1"/>
    </xf>
    <xf numFmtId="0" fontId="2" fillId="4" borderId="23" xfId="18" applyFont="1" applyFill="1" applyBorder="1" applyProtection="1"/>
    <xf numFmtId="0" fontId="1" fillId="14" borderId="7" xfId="18" applyFont="1" applyFill="1" applyBorder="1" applyAlignment="1" applyProtection="1">
      <alignment horizontal="left" vertical="center" wrapText="1"/>
    </xf>
    <xf numFmtId="0" fontId="0" fillId="14" borderId="4" xfId="0" applyFont="1" applyFill="1" applyBorder="1" applyAlignment="1" applyProtection="1">
      <alignment horizontal="center" vertical="center"/>
    </xf>
    <xf numFmtId="0" fontId="2" fillId="4" borderId="24" xfId="18" applyFont="1" applyFill="1" applyBorder="1" applyProtection="1"/>
    <xf numFmtId="0" fontId="1" fillId="14" borderId="10" xfId="18" applyFont="1" applyFill="1" applyBorder="1" applyAlignment="1" applyProtection="1">
      <alignment horizontal="left" vertical="center" wrapText="1"/>
    </xf>
    <xf numFmtId="0" fontId="2" fillId="4" borderId="25" xfId="18" applyFont="1" applyFill="1" applyBorder="1" applyProtection="1"/>
    <xf numFmtId="0" fontId="1" fillId="14" borderId="11" xfId="18" applyFont="1" applyFill="1" applyBorder="1" applyAlignment="1" applyProtection="1">
      <alignment horizontal="left" vertical="center" wrapText="1"/>
    </xf>
    <xf numFmtId="0" fontId="2" fillId="4" borderId="26" xfId="18" applyFont="1" applyFill="1" applyBorder="1" applyProtection="1"/>
    <xf numFmtId="0" fontId="0" fillId="14" borderId="27" xfId="0" applyFont="1" applyFill="1" applyBorder="1" applyAlignment="1" applyProtection="1">
      <alignment horizontal="center" vertical="center"/>
    </xf>
    <xf numFmtId="170" fontId="22" fillId="13" borderId="28" xfId="19" applyNumberFormat="1" applyFont="1" applyFill="1" applyBorder="1" applyAlignment="1" applyProtection="1">
      <alignment horizontal="right" vertical="center"/>
    </xf>
    <xf numFmtId="170" fontId="2" fillId="7" borderId="29" xfId="15" applyNumberFormat="1" applyBorder="1" applyAlignment="1" applyProtection="1">
      <alignment horizontal="right" vertical="center"/>
    </xf>
    <xf numFmtId="0" fontId="2" fillId="9" borderId="30" xfId="17" applyBorder="1" applyAlignment="1" applyProtection="1">
      <alignment horizontal="right" vertical="center"/>
    </xf>
    <xf numFmtId="0" fontId="2" fillId="9" borderId="31" xfId="17" applyBorder="1" applyAlignment="1" applyProtection="1">
      <alignment horizontal="right" vertical="center"/>
    </xf>
    <xf numFmtId="0" fontId="2" fillId="9" borderId="29" xfId="17" applyBorder="1" applyAlignment="1" applyProtection="1">
      <alignment horizontal="right" vertical="center"/>
    </xf>
    <xf numFmtId="168" fontId="9" fillId="2" borderId="28" xfId="19" applyNumberFormat="1" applyFont="1" applyFill="1" applyBorder="1" applyAlignment="1" applyProtection="1">
      <alignment horizontal="center" vertical="center"/>
    </xf>
    <xf numFmtId="9" fontId="23" fillId="3" borderId="27" xfId="21" applyFont="1" applyFill="1" applyBorder="1" applyAlignment="1" applyProtection="1">
      <alignment horizontal="left" vertical="center"/>
    </xf>
    <xf numFmtId="0" fontId="14" fillId="0" borderId="27" xfId="0" applyFont="1" applyBorder="1" applyAlignment="1" applyProtection="1">
      <alignment horizontal="center" vertical="center"/>
    </xf>
    <xf numFmtId="0" fontId="0" fillId="3" borderId="27" xfId="0" applyFont="1" applyFill="1" applyBorder="1" applyAlignment="1" applyProtection="1">
      <alignment horizontal="center" vertical="center"/>
    </xf>
    <xf numFmtId="0" fontId="0" fillId="3" borderId="32" xfId="0" applyFont="1" applyFill="1" applyBorder="1" applyAlignment="1" applyProtection="1">
      <alignment horizontal="center" vertical="center"/>
    </xf>
    <xf numFmtId="169" fontId="2" fillId="0" borderId="0" xfId="18" applyNumberFormat="1" applyProtection="1"/>
    <xf numFmtId="0" fontId="2" fillId="0" borderId="0" xfId="18" applyFill="1" applyProtection="1"/>
    <xf numFmtId="0" fontId="15" fillId="0" borderId="0" xfId="0" applyFont="1" applyBorder="1" applyAlignment="1" applyProtection="1">
      <alignment vertical="center"/>
    </xf>
    <xf numFmtId="0" fontId="0" fillId="0" borderId="0" xfId="0" applyBorder="1" applyProtection="1"/>
    <xf numFmtId="0" fontId="2" fillId="0" borderId="0" xfId="18" applyBorder="1" applyProtection="1"/>
    <xf numFmtId="0" fontId="2" fillId="0" borderId="0" xfId="18" applyFont="1" applyFill="1" applyBorder="1" applyProtection="1"/>
    <xf numFmtId="0" fontId="17" fillId="0" borderId="0" xfId="18" applyFont="1" applyFill="1" applyBorder="1" applyAlignment="1" applyProtection="1">
      <alignment vertical="top"/>
    </xf>
    <xf numFmtId="0" fontId="16" fillId="0" borderId="0" xfId="0" applyFont="1" applyBorder="1" applyAlignment="1" applyProtection="1">
      <alignment vertical="center"/>
    </xf>
    <xf numFmtId="0" fontId="16" fillId="0" borderId="0" xfId="18" applyFont="1" applyBorder="1" applyAlignment="1" applyProtection="1">
      <alignment horizontal="center" vertical="center" wrapText="1"/>
    </xf>
    <xf numFmtId="0" fontId="16" fillId="0" borderId="0" xfId="18" applyFont="1" applyFill="1" applyBorder="1" applyAlignment="1" applyProtection="1">
      <alignment horizontal="center" vertical="center" wrapText="1"/>
    </xf>
    <xf numFmtId="0" fontId="18" fillId="3" borderId="38" xfId="18" applyFont="1" applyFill="1" applyBorder="1" applyProtection="1">
      <protection locked="0"/>
    </xf>
    <xf numFmtId="0" fontId="22" fillId="2" borderId="0" xfId="18" applyFont="1" applyFill="1" applyBorder="1" applyAlignment="1" applyProtection="1">
      <alignment horizontal="center"/>
    </xf>
    <xf numFmtId="0" fontId="22" fillId="6" borderId="0" xfId="18" applyFont="1" applyFill="1" applyBorder="1" applyAlignment="1" applyProtection="1">
      <alignment horizontal="center"/>
    </xf>
    <xf numFmtId="0" fontId="19" fillId="16" borderId="33" xfId="18" applyFont="1" applyFill="1" applyBorder="1" applyAlignment="1" applyProtection="1">
      <alignment horizontal="center"/>
      <protection locked="0"/>
    </xf>
    <xf numFmtId="0" fontId="19" fillId="16" borderId="34" xfId="18" applyFont="1" applyFill="1" applyBorder="1" applyAlignment="1" applyProtection="1">
      <alignment horizontal="center"/>
      <protection locked="0"/>
    </xf>
    <xf numFmtId="0" fontId="19" fillId="16" borderId="35" xfId="18" applyFont="1" applyFill="1" applyBorder="1" applyAlignment="1" applyProtection="1">
      <alignment horizontal="center"/>
      <protection locked="0"/>
    </xf>
    <xf numFmtId="3" fontId="19" fillId="2" borderId="36" xfId="18" quotePrefix="1" applyNumberFormat="1" applyFont="1" applyFill="1" applyBorder="1" applyAlignment="1" applyProtection="1">
      <alignment horizontal="center"/>
      <protection locked="0"/>
    </xf>
    <xf numFmtId="3" fontId="19" fillId="2" borderId="37" xfId="18" quotePrefix="1" applyNumberFormat="1" applyFont="1" applyFill="1" applyBorder="1" applyAlignment="1" applyProtection="1">
      <alignment horizontal="center"/>
      <protection locked="0"/>
    </xf>
  </cellXfs>
  <cellStyles count="22">
    <cellStyle name="20% - Colore 1" xfId="15" builtinId="30"/>
    <cellStyle name="20% - Colore 2" xfId="16" builtinId="34"/>
    <cellStyle name="20% - Colore 3" xfId="17" builtinId="38"/>
    <cellStyle name="Comma 2" xfId="1"/>
    <cellStyle name="Comma 3" xfId="2"/>
    <cellStyle name="Comma 4" xfId="19"/>
    <cellStyle name="Euro" xfId="3"/>
    <cellStyle name="Hyperlink 2" xfId="4"/>
    <cellStyle name="Normal 2" xfId="5"/>
    <cellStyle name="Normal 2 2" xfId="6"/>
    <cellStyle name="Normal 3" xfId="7"/>
    <cellStyle name="Normal 3 2" xfId="8"/>
    <cellStyle name="Normal 4" xfId="18"/>
    <cellStyle name="Normale" xfId="0" builtinId="0"/>
    <cellStyle name="Normale 2" xfId="9"/>
    <cellStyle name="Normale 3" xfId="10"/>
    <cellStyle name="Normale 4" xfId="11"/>
    <cellStyle name="Normale 5" xfId="12"/>
    <cellStyle name="Percent 2" xfId="13"/>
    <cellStyle name="Percent 3" xfId="20"/>
    <cellStyle name="Percentuale" xfId="21" builtinId="5"/>
    <cellStyle name="一般_複本 測試規範標準格式" xfId="14"/>
  </cellStyles>
  <dxfs count="2">
    <dxf>
      <fill>
        <patternFill>
          <bgColor theme="5" tint="0.79998168889431442"/>
        </patternFill>
      </fill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colors>
    <mruColors>
      <color rgb="FFFFCC99"/>
      <color rgb="FFFFFF66"/>
      <color rgb="FF0099CC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-0.249977111117893"/>
  </sheetPr>
  <dimension ref="A1:AA71"/>
  <sheetViews>
    <sheetView tabSelected="1" topLeftCell="I13" zoomScale="85" zoomScaleNormal="85" workbookViewId="0">
      <selection activeCell="X4" sqref="X4"/>
    </sheetView>
  </sheetViews>
  <sheetFormatPr defaultRowHeight="12.75"/>
  <cols>
    <col min="1" max="3" width="7.25" style="7" hidden="1" customWidth="1"/>
    <col min="4" max="4" width="1.625" style="7" hidden="1" customWidth="1"/>
    <col min="5" max="8" width="9" hidden="1" customWidth="1"/>
    <col min="9" max="9" width="3.5" style="10" customWidth="1"/>
    <col min="10" max="10" width="13.625" bestFit="1" customWidth="1"/>
    <col min="11" max="11" width="6.625" bestFit="1" customWidth="1"/>
    <col min="12" max="12" width="9" customWidth="1"/>
    <col min="13" max="14" width="6.75" bestFit="1" customWidth="1"/>
    <col min="15" max="15" width="7" bestFit="1" customWidth="1"/>
    <col min="16" max="16" width="7.75" bestFit="1" customWidth="1"/>
    <col min="17" max="19" width="7.125" bestFit="1" customWidth="1"/>
    <col min="20" max="20" width="7.75" bestFit="1" customWidth="1"/>
    <col min="21" max="21" width="11.25" customWidth="1"/>
    <col min="22" max="22" width="10.125" bestFit="1" customWidth="1"/>
    <col min="23" max="23" width="9.875" style="7" bestFit="1" customWidth="1"/>
    <col min="24" max="24" width="8.875" style="7" bestFit="1" customWidth="1"/>
    <col min="25" max="26" width="9.25" style="7" bestFit="1" customWidth="1"/>
  </cols>
  <sheetData>
    <row r="1" spans="1:26" ht="15.75" thickBot="1">
      <c r="E1" s="1"/>
      <c r="F1" s="1"/>
      <c r="G1" s="1"/>
      <c r="H1" s="1"/>
      <c r="I1" s="9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6"/>
      <c r="V1" s="6"/>
      <c r="X1" s="8">
        <v>10</v>
      </c>
      <c r="Y1" s="8">
        <v>20</v>
      </c>
      <c r="Z1" s="8">
        <v>30</v>
      </c>
    </row>
    <row r="2" spans="1:26" ht="30" thickTop="1" thickBot="1">
      <c r="E2" s="1"/>
      <c r="F2" s="1"/>
      <c r="G2" s="1"/>
      <c r="H2" s="1"/>
      <c r="I2" s="9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6"/>
      <c r="V2" s="6"/>
      <c r="W2" s="12"/>
      <c r="X2" s="97" t="s">
        <v>30</v>
      </c>
      <c r="Y2" s="98"/>
      <c r="Z2" s="99"/>
    </row>
    <row r="3" spans="1:26" ht="30" thickTop="1" thickBot="1">
      <c r="E3" s="1"/>
      <c r="F3" s="1"/>
      <c r="G3" s="1"/>
      <c r="H3" s="1"/>
      <c r="I3" s="9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6"/>
      <c r="V3" s="6"/>
      <c r="W3" s="94" t="s">
        <v>17</v>
      </c>
      <c r="X3" s="100">
        <v>5000</v>
      </c>
      <c r="Y3" s="100"/>
      <c r="Z3" s="101"/>
    </row>
    <row r="4" spans="1:26" s="26" customFormat="1" ht="17.25" thickTop="1" thickBot="1">
      <c r="A4" s="22"/>
      <c r="B4" s="22"/>
      <c r="C4" s="22"/>
      <c r="D4" s="22"/>
      <c r="E4" s="23" t="s">
        <v>20</v>
      </c>
      <c r="F4" s="23"/>
      <c r="G4" s="23"/>
      <c r="H4" s="23"/>
      <c r="I4" s="24"/>
      <c r="J4" s="25"/>
      <c r="K4" s="25"/>
      <c r="L4" s="25"/>
      <c r="M4" s="95" t="s">
        <v>18</v>
      </c>
      <c r="N4" s="95"/>
      <c r="O4" s="95"/>
      <c r="P4" s="95"/>
      <c r="Q4" s="96" t="s">
        <v>19</v>
      </c>
      <c r="R4" s="96"/>
      <c r="S4" s="96"/>
      <c r="T4" s="96"/>
      <c r="U4" s="25"/>
      <c r="V4" s="25"/>
      <c r="W4" s="22"/>
      <c r="X4" s="22"/>
      <c r="Y4" s="22"/>
      <c r="Z4" s="22"/>
    </row>
    <row r="5" spans="1:26" s="26" customFormat="1" ht="43.5" customHeight="1">
      <c r="A5" s="22"/>
      <c r="B5" s="22"/>
      <c r="C5" s="22"/>
      <c r="D5" s="22"/>
      <c r="E5" s="27">
        <v>0.25</v>
      </c>
      <c r="F5" s="27">
        <v>0.5</v>
      </c>
      <c r="G5" s="27">
        <v>0.75</v>
      </c>
      <c r="H5" s="27">
        <v>1</v>
      </c>
      <c r="I5" s="28"/>
      <c r="J5" s="29" t="s">
        <v>21</v>
      </c>
      <c r="K5" s="30" t="s">
        <v>22</v>
      </c>
      <c r="L5" s="30" t="s">
        <v>23</v>
      </c>
      <c r="M5" s="31">
        <v>0.25</v>
      </c>
      <c r="N5" s="31">
        <v>0.5</v>
      </c>
      <c r="O5" s="31">
        <v>0.75</v>
      </c>
      <c r="P5" s="31">
        <v>1</v>
      </c>
      <c r="Q5" s="32">
        <v>0.25</v>
      </c>
      <c r="R5" s="33">
        <v>0.5</v>
      </c>
      <c r="S5" s="33">
        <v>0.75</v>
      </c>
      <c r="T5" s="34">
        <v>1</v>
      </c>
      <c r="U5" s="35" t="s">
        <v>29</v>
      </c>
      <c r="V5" s="36" t="s">
        <v>31</v>
      </c>
      <c r="W5" s="37" t="s">
        <v>24</v>
      </c>
      <c r="X5" s="37" t="s">
        <v>25</v>
      </c>
      <c r="Y5" s="37" t="s">
        <v>26</v>
      </c>
      <c r="Z5" s="38" t="s">
        <v>27</v>
      </c>
    </row>
    <row r="6" spans="1:26" s="26" customFormat="1" ht="18.75">
      <c r="A6" s="39"/>
      <c r="B6" s="40">
        <f>-0.0000537265660722434*POWER(U6,3) + 0.0586419753086412*POWER(U6,2) - 21.4537037037037*U6  + 2635.00000000001</f>
        <v>-5354404.8948329138</v>
      </c>
      <c r="C6" s="40" t="str">
        <f t="shared" ref="C6:C30" si="0">IF(L6&lt;U6,"00:00:00",IF(B6&lt;0,"00:00:00",B6))</f>
        <v>00:00:00</v>
      </c>
      <c r="D6" s="22"/>
      <c r="E6" s="41">
        <f>-0.0000537265660722434*POWER(M6,3) + 0.0586419753086412*POWER(M6,2) - 21.4537037037037*M6  + 2635.00000000001</f>
        <v>1140.0000000000055</v>
      </c>
      <c r="F6" s="41">
        <f>-0.0000537265660722434*POWER(N6,3) + 0.0586419753086412*POWER(N6,2) - 21.4537037037037*N6  + 2635.00000000001</f>
        <v>359.99999999999591</v>
      </c>
      <c r="G6" s="41">
        <f>-0.0000537265660722434*POWER(O6,3) + 0.0586419753086412*POWER(O6,2) - 21.4537037037037*O6  + 2635.00000000001</f>
        <v>59.999999999987722</v>
      </c>
      <c r="H6" s="41">
        <f>-0.0000537265660722434*POWER(P6,3) + 0.0586419753086412*POWER(P6,2) - 21.4537037037037*P6  + 2635.00000000001</f>
        <v>4.9999999999909051</v>
      </c>
      <c r="I6" s="42"/>
      <c r="J6" s="43" t="s">
        <v>4</v>
      </c>
      <c r="K6" s="44">
        <v>0</v>
      </c>
      <c r="L6" s="45">
        <v>360</v>
      </c>
      <c r="M6" s="46">
        <f>$L6*M$5</f>
        <v>90</v>
      </c>
      <c r="N6" s="46">
        <f t="shared" ref="N6:P21" si="1">$L6*N$5</f>
        <v>180</v>
      </c>
      <c r="O6" s="46">
        <f t="shared" si="1"/>
        <v>270</v>
      </c>
      <c r="P6" s="46">
        <f t="shared" si="1"/>
        <v>360</v>
      </c>
      <c r="Q6" s="47" t="str">
        <f t="shared" ref="Q6:Q30" si="2">TEXT(E6/86400,"hh:mm:ss")</f>
        <v>00:19:00</v>
      </c>
      <c r="R6" s="48" t="str">
        <f t="shared" ref="R6:R30" si="3">TEXT(F6/86400,"hh:mm:ss")</f>
        <v>00:06:00</v>
      </c>
      <c r="S6" s="48" t="str">
        <f t="shared" ref="S6:S30" si="4">TEXT(G6/86400,"hh:mm:ss")</f>
        <v>00:01:00</v>
      </c>
      <c r="T6" s="49" t="str">
        <f t="shared" ref="T6:T30" si="5">TEXT(H6/86400,"hh:mm:ss")</f>
        <v>00:00:05</v>
      </c>
      <c r="U6" s="50">
        <f t="shared" ref="U6:U30" si="6">X$3</f>
        <v>5000</v>
      </c>
      <c r="V6" s="51" t="str">
        <f>IF(U6/L6&gt;1,"",U6/L6)</f>
        <v/>
      </c>
      <c r="W6" s="52" t="str">
        <f t="shared" ref="W6:W30" si="7">IFERROR(TEXT(C6/86400,"hh:mm:ss"),"N/A")</f>
        <v>00:00:00</v>
      </c>
      <c r="X6" s="53">
        <f t="shared" ref="X6:Z30" si="8">IF((MINUTE($W6)+(HOUR($W6)*60))&gt;X$1,1,0)</f>
        <v>0</v>
      </c>
      <c r="Y6" s="53">
        <f t="shared" si="8"/>
        <v>0</v>
      </c>
      <c r="Z6" s="54">
        <f t="shared" si="8"/>
        <v>0</v>
      </c>
    </row>
    <row r="7" spans="1:26" s="26" customFormat="1" ht="18.75">
      <c r="A7" s="39"/>
      <c r="B7" s="40">
        <f xml:space="preserve"> -0.0000385802469135811*POWER(U7,3) + 0.0498263888888896*POWER(U7,2) - 21.5486111111113*U7 + 3135.00000000001</f>
        <v>-3681479.1975309546</v>
      </c>
      <c r="C7" s="40" t="str">
        <f t="shared" si="0"/>
        <v>00:00:00</v>
      </c>
      <c r="D7" s="22"/>
      <c r="E7" s="41">
        <f xml:space="preserve"> -0.0000385802469135811*POWER(M7,3) + 0.0498263888888896*POWER(M7,2) - 21.5486111111113*M7 + 3135.00000000001</f>
        <v>1199.9999999999964</v>
      </c>
      <c r="F7" s="41">
        <f xml:space="preserve"> -0.0000385802469135811*POWER(N7,3) + 0.0498263888888896*POWER(N7,2) - 21.5486111111113*N7 + 3135.00000000001</f>
        <v>299.99999999999454</v>
      </c>
      <c r="G7" s="41">
        <f xml:space="preserve"> -0.0000385802469135811*POWER(O7,3) + 0.0498263888888896*POWER(O7,2) - 21.5486111111113*O7 + 3135.00000000001</f>
        <v>34.999999999994543</v>
      </c>
      <c r="H7" s="41">
        <f xml:space="preserve"> -0.0000385802469135811*POWER(P7,3) + 0.0498263888888896*POWER(P7,2) - 21.5486111111113*P7 + 3135.00000000001</f>
        <v>4.9999999999899956</v>
      </c>
      <c r="I7" s="42"/>
      <c r="J7" s="55" t="s">
        <v>16</v>
      </c>
      <c r="K7" s="44">
        <v>0</v>
      </c>
      <c r="L7" s="56">
        <v>480</v>
      </c>
      <c r="M7" s="46">
        <f t="shared" ref="M7:P30" si="9">$L7*M$5</f>
        <v>120</v>
      </c>
      <c r="N7" s="46">
        <f t="shared" si="1"/>
        <v>240</v>
      </c>
      <c r="O7" s="46">
        <f t="shared" si="1"/>
        <v>360</v>
      </c>
      <c r="P7" s="46">
        <f t="shared" si="1"/>
        <v>480</v>
      </c>
      <c r="Q7" s="47" t="str">
        <f t="shared" si="2"/>
        <v>00:20:00</v>
      </c>
      <c r="R7" s="48" t="str">
        <f t="shared" si="3"/>
        <v>00:05:00</v>
      </c>
      <c r="S7" s="48" t="str">
        <f t="shared" si="4"/>
        <v>00:00:35</v>
      </c>
      <c r="T7" s="49" t="str">
        <f t="shared" si="5"/>
        <v>00:00:05</v>
      </c>
      <c r="U7" s="50">
        <f t="shared" si="6"/>
        <v>5000</v>
      </c>
      <c r="V7" s="51" t="str">
        <f t="shared" ref="V7:V30" si="10">IF(U7/L7&gt;1,"",U7/L7)</f>
        <v/>
      </c>
      <c r="W7" s="52" t="str">
        <f t="shared" si="7"/>
        <v>00:00:00</v>
      </c>
      <c r="X7" s="53">
        <f t="shared" si="8"/>
        <v>0</v>
      </c>
      <c r="Y7" s="53">
        <f t="shared" si="8"/>
        <v>0</v>
      </c>
      <c r="Z7" s="54">
        <f t="shared" si="8"/>
        <v>0</v>
      </c>
    </row>
    <row r="8" spans="1:26" s="26" customFormat="1" ht="18.75">
      <c r="A8" s="39">
        <f>-3.17363944902501E-06*POWER(U9,3)+0.00893620241000497*POWER(U9,2)-8.30549881820485*U9+2630.22715153396</f>
        <v>-212197.1378174923</v>
      </c>
      <c r="B8" s="40">
        <f xml:space="preserve"> -0.0000213081765177713*POWER(U8,3) + 0.0365332279711205*POWER(U8,2) - 20.9252121441664*U8 + 4032.4189877797</f>
        <v>-1850785.0071764525</v>
      </c>
      <c r="C8" s="40" t="str">
        <f t="shared" si="0"/>
        <v>00:00:00</v>
      </c>
      <c r="D8" s="22"/>
      <c r="E8" s="41">
        <f xml:space="preserve"> -0.0000213081765177713*POWER(M8,3) + 0.0365332279711205*POWER(M8,2) - 20.9252121441664*M8 + 4032.4189877797</f>
        <v>1643.7196997574729</v>
      </c>
      <c r="F8" s="41">
        <f xml:space="preserve"> -0.0000213081765177713*POWER(N8,3) + 0.0365332279711205*POWER(N8,2) - 20.9252121441664*N8 + 4032.4189877797</f>
        <v>467.52509595079937</v>
      </c>
      <c r="G8" s="41">
        <f xml:space="preserve"> -0.0000213081765177713*POWER(O8,3) + 0.0365332279711205*POWER(O8,2) - 20.9252121441664*O8 + 4032.4189877797</f>
        <v>72.344601874809996</v>
      </c>
      <c r="H8" s="41">
        <f xml:space="preserve"> -0.0000213081765177713*POWER(P8,3) + 0.0365332279711205*POWER(P8,2) - 20.9252121441664*P8 + 4032.4189877797</f>
        <v>26.687643044637298</v>
      </c>
      <c r="I8" s="42"/>
      <c r="J8" s="55" t="s">
        <v>5</v>
      </c>
      <c r="K8" s="44">
        <v>0</v>
      </c>
      <c r="L8" s="56">
        <v>600</v>
      </c>
      <c r="M8" s="46">
        <f t="shared" si="9"/>
        <v>150</v>
      </c>
      <c r="N8" s="46">
        <f t="shared" si="1"/>
        <v>300</v>
      </c>
      <c r="O8" s="46">
        <f t="shared" si="1"/>
        <v>450</v>
      </c>
      <c r="P8" s="46">
        <f t="shared" si="1"/>
        <v>600</v>
      </c>
      <c r="Q8" s="47" t="str">
        <f t="shared" si="2"/>
        <v>00:27:24</v>
      </c>
      <c r="R8" s="48" t="str">
        <f t="shared" si="3"/>
        <v>00:07:48</v>
      </c>
      <c r="S8" s="48" t="str">
        <f t="shared" si="4"/>
        <v>00:01:12</v>
      </c>
      <c r="T8" s="49" t="str">
        <f t="shared" si="5"/>
        <v>00:00:27</v>
      </c>
      <c r="U8" s="50">
        <f t="shared" si="6"/>
        <v>5000</v>
      </c>
      <c r="V8" s="51" t="str">
        <f t="shared" si="10"/>
        <v/>
      </c>
      <c r="W8" s="52" t="str">
        <f t="shared" si="7"/>
        <v>00:00:00</v>
      </c>
      <c r="X8" s="53">
        <f t="shared" si="8"/>
        <v>0</v>
      </c>
      <c r="Y8" s="53">
        <f t="shared" si="8"/>
        <v>0</v>
      </c>
      <c r="Z8" s="54">
        <f t="shared" si="8"/>
        <v>0</v>
      </c>
    </row>
    <row r="9" spans="1:26" s="26" customFormat="1" ht="18.75">
      <c r="A9" s="39">
        <f>-0.0000690491609400927*POWER(U9,3)+0.0794497319820804*POWER(U9,2)-32.5254391623675*U9+5277.08561752724</f>
        <v>-6802251.9281538874</v>
      </c>
      <c r="B9" s="40">
        <f>IF($L$9&lt;($U9/6),-0.0000690491609400927*POWER(U9,3)+0.0794497319820804*POWER(U9,2)-32.5254391623675*U9+5277.08561752724,-3.17363944902501E-06*POWER(U9,3)+0.00893620241000497*POWER(U9,2)-8.30549881820485*U9+2630.22715153396)</f>
        <v>-212197.1378174923</v>
      </c>
      <c r="C9" s="40" t="str">
        <f t="shared" si="0"/>
        <v>00:00:00</v>
      </c>
      <c r="D9" s="22"/>
      <c r="E9" s="41">
        <f>IF($L$9&lt;($L9/6),-0.0000690491609400927*POWER(M9,3)+0.0794497319820804*POWER(M9,2)-32.5254391623675*M9+5277.08561752724,-3.17363944902501E-06*POWER(M9,3)+0.00893620241000497*POWER(M9,2)-8.30549881820485*M9+2630.22715153396)</f>
        <v>1177.7354275953198</v>
      </c>
      <c r="F9" s="41">
        <f>IF($L$9&lt;($L9/6),-0.0000690491609400927*POWER(N9,3)+0.0794497319820804*POWER(N9,2)-32.5254391623675*N9+5277.08561752724,-3.17363944902501E-06*POWER(N9,3)+0.00893620241000497*POWER(N9,2)-8.30549881820485*N9+2630.22715153396)</f>
        <v>413.13577657538008</v>
      </c>
      <c r="G9" s="41">
        <f>IF($L$9&lt;($L9/6),-0.0000690491609400927*POWER(O9,3)+0.0794497319820804*POWER(O9,2)-32.5254391623675*O9+5277.08561752724,-3.17363944902501E-06*POWER(O9,3)+0.00893620241000497*POWER(O9,2)-8.30549881820485*O9+2630.22715153396)</f>
        <v>119.52977737983656</v>
      </c>
      <c r="H9" s="41">
        <f>IF($L$9&lt;($L9/6),-0.0000690491609400927*POWER(P9,3)+0.0794497319820804*POWER(P9,2)-32.5254391623675*P9+5277.08561752724,-3.17363944902501E-06*POWER(P9,3)+0.00893620241000497*POWER(P9,2)-8.30549881820485*P9+2630.22715153396)</f>
        <v>80.019008914387996</v>
      </c>
      <c r="I9" s="42"/>
      <c r="J9" s="55" t="s">
        <v>28</v>
      </c>
      <c r="K9" s="44">
        <v>0</v>
      </c>
      <c r="L9" s="56">
        <v>900</v>
      </c>
      <c r="M9" s="46">
        <f t="shared" si="9"/>
        <v>225</v>
      </c>
      <c r="N9" s="46">
        <f t="shared" si="1"/>
        <v>450</v>
      </c>
      <c r="O9" s="46">
        <f t="shared" si="1"/>
        <v>675</v>
      </c>
      <c r="P9" s="46">
        <f t="shared" si="1"/>
        <v>900</v>
      </c>
      <c r="Q9" s="47" t="str">
        <f t="shared" si="2"/>
        <v>00:19:38</v>
      </c>
      <c r="R9" s="48" t="str">
        <f t="shared" si="3"/>
        <v>00:06:53</v>
      </c>
      <c r="S9" s="48" t="str">
        <f t="shared" si="4"/>
        <v>00:02:00</v>
      </c>
      <c r="T9" s="49" t="str">
        <f t="shared" si="5"/>
        <v>00:01:20</v>
      </c>
      <c r="U9" s="50">
        <f t="shared" si="6"/>
        <v>5000</v>
      </c>
      <c r="V9" s="51" t="str">
        <f t="shared" si="10"/>
        <v/>
      </c>
      <c r="W9" s="52" t="str">
        <f t="shared" si="7"/>
        <v>00:00:00</v>
      </c>
      <c r="X9" s="53">
        <f t="shared" si="8"/>
        <v>0</v>
      </c>
      <c r="Y9" s="53">
        <f t="shared" si="8"/>
        <v>0</v>
      </c>
      <c r="Z9" s="54">
        <f t="shared" si="8"/>
        <v>0</v>
      </c>
    </row>
    <row r="10" spans="1:26" s="26" customFormat="1" ht="18.75">
      <c r="A10" s="57">
        <f>-2.37435809969231E-06*POWER(U10,3)+0.00701840706698237*POWER(U10,2)-7.04307914865806*U10+2507.44715892864</f>
        <v>-154042.53437134114</v>
      </c>
      <c r="B10" s="40">
        <f>IF($L$10&lt;($U10/6), -0.0000365043554552882*POWER(U10,3) + 0.0511770472430391*POWER(U10,2) - 25.1746434614459*U10+ 4854.51776649745,-2.37435809969231E-06*POWER(U10,3)+0.00701840706698237*POWER(U10,2)-7.04307914865806*U10+2507.44715892864)</f>
        <v>-154042.53437134114</v>
      </c>
      <c r="C10" s="40" t="str">
        <f t="shared" si="0"/>
        <v>00:00:00</v>
      </c>
      <c r="D10" s="22"/>
      <c r="E10" s="41">
        <f>IF($L$10&lt;($L10/6), -0.0000365043554552882*POWER(M10,3) + 0.0511770472430391*POWER(M10,2) - 25.1746434614459*M10+ 4854.51776649745,-2.37435809969231E-06*POWER(M10,3)+0.00701840706698237*POWER(M10,2)-7.04307914865806*M10+2507.44715892864)</f>
        <v>962.07238166794286</v>
      </c>
      <c r="F10" s="41">
        <f>IF($L$10&lt;($L10/6), -0.0000365043554552882*POWER(N10,3) + 0.0511770472430391*POWER(N10,2) - 25.1746434614459*N10+ 4854.51776649745,-2.37435809969231E-06*POWER(N10,3)+0.00701840706698237*POWER(N10,2)-7.04307914865806*N10+2507.44715892864)</f>
        <v>295.36486431391813</v>
      </c>
      <c r="G10" s="41">
        <f>IF($L$10&lt;($L10/6), -0.0000365043554552882*POWER(O10,3) + 0.0511770472430391*POWER(O10,2) - 25.1746434614459*O10+ 4854.51776649745,-2.37435809969231E-06*POWER(O10,3)+0.00701840706698237*POWER(O10,2)-7.04307914865806*O10+2507.44715892864)</f>
        <v>122.67859471641214</v>
      </c>
      <c r="H10" s="41">
        <f>IF($L$10&lt;($L10/6), -0.0000365043554552882*POWER(P10,3) + 0.0511770472430391*POWER(P10,2) - 25.1746434614459*P10+ 4854.51776649745,-2.37435809969231E-06*POWER(P10,3)+0.00701840706698237*POWER(P10,2)-7.04307914865806*P10+2507.44715892864)</f>
        <v>59.367560725269414</v>
      </c>
      <c r="I10" s="42"/>
      <c r="J10" s="55" t="s">
        <v>6</v>
      </c>
      <c r="K10" s="44">
        <v>0</v>
      </c>
      <c r="L10" s="56">
        <v>1200</v>
      </c>
      <c r="M10" s="46">
        <f t="shared" si="9"/>
        <v>300</v>
      </c>
      <c r="N10" s="46">
        <f t="shared" si="1"/>
        <v>600</v>
      </c>
      <c r="O10" s="46">
        <f t="shared" si="1"/>
        <v>900</v>
      </c>
      <c r="P10" s="46">
        <f t="shared" si="1"/>
        <v>1200</v>
      </c>
      <c r="Q10" s="47" t="str">
        <f t="shared" si="2"/>
        <v>00:16:02</v>
      </c>
      <c r="R10" s="48" t="str">
        <f t="shared" si="3"/>
        <v>00:04:55</v>
      </c>
      <c r="S10" s="48" t="str">
        <f t="shared" si="4"/>
        <v>00:02:03</v>
      </c>
      <c r="T10" s="49" t="str">
        <f t="shared" si="5"/>
        <v>00:00:59</v>
      </c>
      <c r="U10" s="50">
        <f t="shared" si="6"/>
        <v>5000</v>
      </c>
      <c r="V10" s="51" t="str">
        <f t="shared" si="10"/>
        <v/>
      </c>
      <c r="W10" s="52" t="str">
        <f t="shared" si="7"/>
        <v>00:00:00</v>
      </c>
      <c r="X10" s="53">
        <f t="shared" si="8"/>
        <v>0</v>
      </c>
      <c r="Y10" s="53">
        <f t="shared" si="8"/>
        <v>0</v>
      </c>
      <c r="Z10" s="54">
        <f t="shared" si="8"/>
        <v>0</v>
      </c>
    </row>
    <row r="11" spans="1:26" s="26" customFormat="1" ht="18.75">
      <c r="A11" s="39">
        <f xml:space="preserve"> -0.0000365043554552882*POWER(N67,3) + 0.0511770472430391*POWER(N67,2) - 25.1746434614459*N67+ 4854.51776649745</f>
        <v>4854.5177664974499</v>
      </c>
      <c r="B11" s="40">
        <f>1044461.61448807*POWER(U11,-1.22660458414812)</f>
        <v>30.319282507879912</v>
      </c>
      <c r="C11" s="40" t="str">
        <f t="shared" si="0"/>
        <v>00:00:00</v>
      </c>
      <c r="D11" s="22"/>
      <c r="E11" s="41">
        <f>1044461.61448807*POWER(M11,-1.22660458414812)</f>
        <v>1398.5116397457036</v>
      </c>
      <c r="F11" s="41">
        <f>1044461.61448807*POWER(N11,-1.22660458414812)</f>
        <v>597.61475650755415</v>
      </c>
      <c r="G11" s="41">
        <f>1044461.61448807*POWER(O11,-1.22660458414812)</f>
        <v>363.4351825242673</v>
      </c>
      <c r="H11" s="41">
        <f>1044461.61448807*POWER(P11,-1.22660458414812)</f>
        <v>255.37391827537721</v>
      </c>
      <c r="I11" s="42"/>
      <c r="J11" s="55" t="s">
        <v>0</v>
      </c>
      <c r="K11" s="44">
        <v>0</v>
      </c>
      <c r="L11" s="56">
        <v>880</v>
      </c>
      <c r="M11" s="46">
        <f t="shared" si="9"/>
        <v>220</v>
      </c>
      <c r="N11" s="46">
        <f t="shared" si="1"/>
        <v>440</v>
      </c>
      <c r="O11" s="46">
        <f t="shared" si="1"/>
        <v>660</v>
      </c>
      <c r="P11" s="46">
        <f t="shared" si="1"/>
        <v>880</v>
      </c>
      <c r="Q11" s="47" t="str">
        <f t="shared" si="2"/>
        <v>00:23:19</v>
      </c>
      <c r="R11" s="48" t="str">
        <f t="shared" si="3"/>
        <v>00:09:58</v>
      </c>
      <c r="S11" s="48" t="str">
        <f t="shared" si="4"/>
        <v>00:06:03</v>
      </c>
      <c r="T11" s="49" t="str">
        <f t="shared" si="5"/>
        <v>00:04:15</v>
      </c>
      <c r="U11" s="50">
        <f t="shared" si="6"/>
        <v>5000</v>
      </c>
      <c r="V11" s="51" t="str">
        <f t="shared" si="10"/>
        <v/>
      </c>
      <c r="W11" s="52" t="str">
        <f t="shared" si="7"/>
        <v>00:00:00</v>
      </c>
      <c r="X11" s="53">
        <f t="shared" si="8"/>
        <v>0</v>
      </c>
      <c r="Y11" s="53">
        <f t="shared" si="8"/>
        <v>0</v>
      </c>
      <c r="Z11" s="54">
        <f t="shared" si="8"/>
        <v>0</v>
      </c>
    </row>
    <row r="12" spans="1:26" s="26" customFormat="1" ht="18.75">
      <c r="A12" s="22"/>
      <c r="B12" s="40">
        <f xml:space="preserve"> -5.86419753086385E-07*POWER(U12,3) + 0.00330555555555537*POWER(U12,2)  - 6.37222222222196*U12 + 4619.99999999992</f>
        <v>-17904.691358023752</v>
      </c>
      <c r="C12" s="40" t="str">
        <f t="shared" si="0"/>
        <v>00:00:00</v>
      </c>
      <c r="D12" s="22"/>
      <c r="E12" s="41">
        <f xml:space="preserve"> -5.86419753086385E-07*POWER(M12,3) + 0.00330555555555537*POWER(M12,2)  - 6.37222222222196*M12 + 4619.99999999992</f>
        <v>1860.0000000000182</v>
      </c>
      <c r="F12" s="41">
        <f xml:space="preserve"> -5.86419753086385E-07*POWER(N12,3) + 0.00330555555555537*POWER(N12,2)  - 6.37222222222196*N12 + 4619.99999999992</f>
        <v>720.00000000002819</v>
      </c>
      <c r="G12" s="41">
        <f xml:space="preserve"> -5.86419753086385E-07*POWER(O12,3) + 0.00330555555555537*POWER(O12,2)  - 6.37222222222196*O12 + 4619.99999999992</f>
        <v>439.99999999999363</v>
      </c>
      <c r="H12" s="41">
        <f xml:space="preserve"> -5.86419753086385E-07*POWER(P12,3) + 0.00330555555555537*POWER(P12,2)  - 6.37222222222196*P12 + 4619.99999999992</f>
        <v>259.9999999999618</v>
      </c>
      <c r="I12" s="42"/>
      <c r="J12" s="55" t="s">
        <v>1</v>
      </c>
      <c r="K12" s="58">
        <v>0</v>
      </c>
      <c r="L12" s="56">
        <v>2400</v>
      </c>
      <c r="M12" s="46">
        <f t="shared" si="9"/>
        <v>600</v>
      </c>
      <c r="N12" s="46">
        <f t="shared" si="1"/>
        <v>1200</v>
      </c>
      <c r="O12" s="46">
        <f t="shared" si="1"/>
        <v>1800</v>
      </c>
      <c r="P12" s="46">
        <f t="shared" si="1"/>
        <v>2400</v>
      </c>
      <c r="Q12" s="47" t="str">
        <f t="shared" si="2"/>
        <v>00:31:00</v>
      </c>
      <c r="R12" s="48" t="str">
        <f t="shared" si="3"/>
        <v>00:12:00</v>
      </c>
      <c r="S12" s="48" t="str">
        <f t="shared" si="4"/>
        <v>00:07:20</v>
      </c>
      <c r="T12" s="49" t="str">
        <f t="shared" si="5"/>
        <v>00:04:20</v>
      </c>
      <c r="U12" s="50">
        <f t="shared" si="6"/>
        <v>5000</v>
      </c>
      <c r="V12" s="51" t="str">
        <f t="shared" si="10"/>
        <v/>
      </c>
      <c r="W12" s="52" t="str">
        <f t="shared" si="7"/>
        <v>00:00:00</v>
      </c>
      <c r="X12" s="53">
        <f t="shared" si="8"/>
        <v>0</v>
      </c>
      <c r="Y12" s="53">
        <f t="shared" si="8"/>
        <v>0</v>
      </c>
      <c r="Z12" s="54">
        <f t="shared" si="8"/>
        <v>0</v>
      </c>
    </row>
    <row r="13" spans="1:26" s="26" customFormat="1" ht="18.75">
      <c r="A13" s="22"/>
      <c r="B13" s="59">
        <f xml:space="preserve"> 1434306.71904987*POWER(U13,-1.00226877986333)</f>
        <v>281.37135362120989</v>
      </c>
      <c r="C13" s="40" t="str">
        <f t="shared" si="0"/>
        <v>00:00:00</v>
      </c>
      <c r="D13" s="22"/>
      <c r="E13" s="41">
        <f xml:space="preserve"> 1434306.71904987*POWER(M13,-1.00226877986333)</f>
        <v>6440.282392482356</v>
      </c>
      <c r="F13" s="41">
        <f xml:space="preserve"> 1434306.71904987*POWER(N13,-1.00226877986333)</f>
        <v>3215.0811871828378</v>
      </c>
      <c r="G13" s="41">
        <f xml:space="preserve"> 1434306.71904987*POWER(O13,-1.00226877986333)</f>
        <v>2141.4166388945787</v>
      </c>
      <c r="H13" s="41">
        <f xml:space="preserve"> 1434306.71904987*POWER(P13,-1.00226877986333)</f>
        <v>1605.0145646164419</v>
      </c>
      <c r="I13" s="42"/>
      <c r="J13" s="60" t="s">
        <v>2</v>
      </c>
      <c r="K13" s="61" t="s">
        <v>32</v>
      </c>
      <c r="L13" s="56">
        <v>880</v>
      </c>
      <c r="M13" s="46">
        <f t="shared" si="9"/>
        <v>220</v>
      </c>
      <c r="N13" s="46">
        <f t="shared" si="1"/>
        <v>440</v>
      </c>
      <c r="O13" s="46">
        <f t="shared" si="1"/>
        <v>660</v>
      </c>
      <c r="P13" s="46">
        <f t="shared" si="1"/>
        <v>880</v>
      </c>
      <c r="Q13" s="47" t="str">
        <f t="shared" si="2"/>
        <v>01:47:20</v>
      </c>
      <c r="R13" s="48" t="str">
        <f t="shared" si="3"/>
        <v>00:53:35</v>
      </c>
      <c r="S13" s="48" t="str">
        <f t="shared" si="4"/>
        <v>00:35:41</v>
      </c>
      <c r="T13" s="49" t="str">
        <f t="shared" si="5"/>
        <v>00:26:45</v>
      </c>
      <c r="U13" s="50">
        <f t="shared" si="6"/>
        <v>5000</v>
      </c>
      <c r="V13" s="51" t="str">
        <f t="shared" si="10"/>
        <v/>
      </c>
      <c r="W13" s="52" t="str">
        <f t="shared" si="7"/>
        <v>00:00:00</v>
      </c>
      <c r="X13" s="53">
        <f t="shared" si="8"/>
        <v>0</v>
      </c>
      <c r="Y13" s="53">
        <f t="shared" si="8"/>
        <v>0</v>
      </c>
      <c r="Z13" s="54">
        <f t="shared" si="8"/>
        <v>0</v>
      </c>
    </row>
    <row r="14" spans="1:26" s="26" customFormat="1" ht="18.75">
      <c r="A14" s="22"/>
      <c r="B14" s="40">
        <f>-0.000152164155929419*POWER(U14,3) + 0.286935669581274*POWER(U14,2) - 180.866127265726*U14 + 44067.4331944102</f>
        <v>-12707390.954779748</v>
      </c>
      <c r="C14" s="40" t="str">
        <f t="shared" si="0"/>
        <v>00:00:00</v>
      </c>
      <c r="D14" s="22"/>
      <c r="E14" s="41">
        <f>-0.000152164155929419*POWER(M14,3) + 0.286935669581274*POWER(M14,2) - 180.866127265726*M14 + 44067.4331944102</f>
        <v>16544.327671347688</v>
      </c>
      <c r="F14" s="41">
        <f>-0.000152164155929419*POWER(N14,3) + 0.286935669581274*POWER(N14,2) - 180.866127265726*N14 + 44067.4331944102</f>
        <v>7075.1313697337828</v>
      </c>
      <c r="G14" s="41">
        <f>-0.000152164155929419*POWER(O14,3) + 0.286935669581274*POWER(O14,2) - 180.866127265726*O14 + 44067.4331944102</f>
        <v>5938.3806955497421</v>
      </c>
      <c r="H14" s="41">
        <f>-0.000152164155929419*POWER(P14,3) + 0.286935669581274*POWER(P14,2) - 180.866127265726*P14 + 44067.4331944102</f>
        <v>3412.6120547768805</v>
      </c>
      <c r="I14" s="42"/>
      <c r="J14" s="55"/>
      <c r="K14" s="62" t="s">
        <v>33</v>
      </c>
      <c r="L14" s="56">
        <v>880</v>
      </c>
      <c r="M14" s="46">
        <f t="shared" si="9"/>
        <v>220</v>
      </c>
      <c r="N14" s="46">
        <f t="shared" si="1"/>
        <v>440</v>
      </c>
      <c r="O14" s="46">
        <f t="shared" si="1"/>
        <v>660</v>
      </c>
      <c r="P14" s="46">
        <f t="shared" si="1"/>
        <v>880</v>
      </c>
      <c r="Q14" s="47" t="str">
        <f t="shared" si="2"/>
        <v>04:35:44</v>
      </c>
      <c r="R14" s="48" t="str">
        <f t="shared" si="3"/>
        <v>01:57:55</v>
      </c>
      <c r="S14" s="48" t="str">
        <f t="shared" si="4"/>
        <v>01:38:58</v>
      </c>
      <c r="T14" s="49" t="str">
        <f t="shared" si="5"/>
        <v>00:56:53</v>
      </c>
      <c r="U14" s="50">
        <f t="shared" si="6"/>
        <v>5000</v>
      </c>
      <c r="V14" s="51" t="str">
        <f t="shared" si="10"/>
        <v/>
      </c>
      <c r="W14" s="52" t="str">
        <f t="shared" si="7"/>
        <v>00:00:00</v>
      </c>
      <c r="X14" s="53">
        <f t="shared" si="8"/>
        <v>0</v>
      </c>
      <c r="Y14" s="53">
        <f t="shared" si="8"/>
        <v>0</v>
      </c>
      <c r="Z14" s="54">
        <f t="shared" si="8"/>
        <v>0</v>
      </c>
    </row>
    <row r="15" spans="1:26" s="26" customFormat="1" ht="18.75">
      <c r="A15" s="22"/>
      <c r="B15" s="59">
        <f xml:space="preserve"> 2478041.76527765*POWER(U15,-0.874441234342221)</f>
        <v>1444.0316940876457</v>
      </c>
      <c r="C15" s="40" t="str">
        <f t="shared" si="0"/>
        <v>00:00:00</v>
      </c>
      <c r="D15" s="22"/>
      <c r="E15" s="41">
        <f xml:space="preserve"> 2478041.76527765*POWER(M15,-0.874441234342221)</f>
        <v>22171.630965761891</v>
      </c>
      <c r="F15" s="41">
        <f xml:space="preserve"> 2478041.76527765*POWER(N15,-0.874441234342221)</f>
        <v>12093.85063109516</v>
      </c>
      <c r="G15" s="41">
        <f xml:space="preserve"> 2478041.76527765*POWER(O15,-0.874441234342221)</f>
        <v>8483.6578030104465</v>
      </c>
      <c r="H15" s="41">
        <f xml:space="preserve"> 2478041.76527765*POWER(P15,-0.874441234342221)</f>
        <v>6596.7732961594802</v>
      </c>
      <c r="I15" s="42"/>
      <c r="J15" s="55"/>
      <c r="K15" s="62" t="s">
        <v>36</v>
      </c>
      <c r="L15" s="56">
        <v>880</v>
      </c>
      <c r="M15" s="46">
        <f t="shared" si="9"/>
        <v>220</v>
      </c>
      <c r="N15" s="46">
        <f t="shared" si="1"/>
        <v>440</v>
      </c>
      <c r="O15" s="46">
        <f t="shared" si="1"/>
        <v>660</v>
      </c>
      <c r="P15" s="46">
        <f t="shared" si="1"/>
        <v>880</v>
      </c>
      <c r="Q15" s="47" t="str">
        <f t="shared" si="2"/>
        <v>06:09:32</v>
      </c>
      <c r="R15" s="48" t="str">
        <f t="shared" si="3"/>
        <v>03:21:34</v>
      </c>
      <c r="S15" s="48" t="str">
        <f t="shared" si="4"/>
        <v>02:21:24</v>
      </c>
      <c r="T15" s="49" t="str">
        <f t="shared" si="5"/>
        <v>01:49:57</v>
      </c>
      <c r="U15" s="50">
        <f t="shared" si="6"/>
        <v>5000</v>
      </c>
      <c r="V15" s="51" t="str">
        <f t="shared" si="10"/>
        <v/>
      </c>
      <c r="W15" s="52" t="str">
        <f t="shared" si="7"/>
        <v>00:00:00</v>
      </c>
      <c r="X15" s="53">
        <f t="shared" si="8"/>
        <v>0</v>
      </c>
      <c r="Y15" s="53">
        <f t="shared" si="8"/>
        <v>0</v>
      </c>
      <c r="Z15" s="54">
        <f t="shared" si="8"/>
        <v>0</v>
      </c>
    </row>
    <row r="16" spans="1:26" s="26" customFormat="1" ht="18.75">
      <c r="A16" s="22"/>
      <c r="B16" s="59">
        <f xml:space="preserve"> 2527493.9656869*POWER(U16,-0.820889739441012)</f>
        <v>2324.0400307068217</v>
      </c>
      <c r="C16" s="40" t="str">
        <f t="shared" si="0"/>
        <v>00:00:00</v>
      </c>
      <c r="D16" s="22"/>
      <c r="E16" s="41">
        <f xml:space="preserve"> 2527493.9656869*POWER(M16,-0.820889739441012)</f>
        <v>30186.960277947586</v>
      </c>
      <c r="F16" s="41">
        <f xml:space="preserve"> 2527493.9656869*POWER(N16,-0.820889739441012)</f>
        <v>17088.618272790631</v>
      </c>
      <c r="G16" s="41">
        <f xml:space="preserve"> 2527493.9656869*POWER(O16,-0.820889739441012)</f>
        <v>12250.545870684304</v>
      </c>
      <c r="H16" s="41">
        <f xml:space="preserve"> 2527493.9656869*POWER(P16,-0.820889739441012)</f>
        <v>9673.7422974807851</v>
      </c>
      <c r="I16" s="42"/>
      <c r="J16" s="63"/>
      <c r="K16" s="64" t="s">
        <v>37</v>
      </c>
      <c r="L16" s="56">
        <v>880</v>
      </c>
      <c r="M16" s="46">
        <f t="shared" si="9"/>
        <v>220</v>
      </c>
      <c r="N16" s="46">
        <f t="shared" si="1"/>
        <v>440</v>
      </c>
      <c r="O16" s="46">
        <f t="shared" si="1"/>
        <v>660</v>
      </c>
      <c r="P16" s="46">
        <f t="shared" si="1"/>
        <v>880</v>
      </c>
      <c r="Q16" s="47" t="str">
        <f t="shared" si="2"/>
        <v>08:23:07</v>
      </c>
      <c r="R16" s="48" t="str">
        <f t="shared" si="3"/>
        <v>04:44:49</v>
      </c>
      <c r="S16" s="48" t="str">
        <f t="shared" si="4"/>
        <v>03:24:11</v>
      </c>
      <c r="T16" s="49" t="str">
        <f t="shared" si="5"/>
        <v>02:41:14</v>
      </c>
      <c r="U16" s="50">
        <f t="shared" si="6"/>
        <v>5000</v>
      </c>
      <c r="V16" s="51" t="str">
        <f t="shared" si="10"/>
        <v/>
      </c>
      <c r="W16" s="52" t="str">
        <f t="shared" si="7"/>
        <v>00:00:00</v>
      </c>
      <c r="X16" s="53">
        <f t="shared" si="8"/>
        <v>0</v>
      </c>
      <c r="Y16" s="53">
        <f t="shared" si="8"/>
        <v>0</v>
      </c>
      <c r="Z16" s="54">
        <f t="shared" si="8"/>
        <v>0</v>
      </c>
    </row>
    <row r="17" spans="1:27" s="26" customFormat="1" ht="18.75">
      <c r="A17" s="22"/>
      <c r="B17" s="40">
        <f xml:space="preserve"> -2.45370370370352E-06*POWER(U17,3)+ 0.0148333333333325*POWER(U17,2) - 30.7166666666654*U17 + 23219.9999999996</f>
        <v>-66242.962962954916</v>
      </c>
      <c r="C17" s="40" t="str">
        <f t="shared" si="0"/>
        <v>00:00:00</v>
      </c>
      <c r="D17" s="22"/>
      <c r="E17" s="41">
        <f xml:space="preserve"> -2.45370370370352E-06*POWER(M17,3)+ 0.0148333333333325*POWER(M17,2) - 30.7166666666654*M17 + 23219.9999999996</f>
        <v>9600.0000000001</v>
      </c>
      <c r="F17" s="41">
        <f xml:space="preserve"> -2.45370370370352E-06*POWER(N17,3)+ 0.0148333333333325*POWER(N17,2) - 30.7166666666654*N17 + 23219.9999999996</f>
        <v>3480.0000000002365</v>
      </c>
      <c r="G17" s="41">
        <f xml:space="preserve"> -2.45370370370352E-06*POWER(O17,3)+ 0.0148333333333325*POWER(O17,2) - 30.7166666666654*O17 + 23219.9999999996</f>
        <v>1680.0000000002474</v>
      </c>
      <c r="H17" s="41">
        <f xml:space="preserve"> -2.45370370370352E-06*POWER(P17,3)+ 0.0148333333333325*POWER(P17,2) - 30.7166666666654*P17 + 23219.9999999996</f>
        <v>1020.0000000003783</v>
      </c>
      <c r="I17" s="42"/>
      <c r="J17" s="55" t="s">
        <v>3</v>
      </c>
      <c r="K17" s="62" t="s">
        <v>34</v>
      </c>
      <c r="L17" s="56">
        <v>2400</v>
      </c>
      <c r="M17" s="46">
        <f t="shared" si="9"/>
        <v>600</v>
      </c>
      <c r="N17" s="46">
        <f t="shared" si="1"/>
        <v>1200</v>
      </c>
      <c r="O17" s="46">
        <f t="shared" si="1"/>
        <v>1800</v>
      </c>
      <c r="P17" s="46">
        <f t="shared" si="1"/>
        <v>2400</v>
      </c>
      <c r="Q17" s="47" t="str">
        <f t="shared" si="2"/>
        <v>02:40:00</v>
      </c>
      <c r="R17" s="48" t="str">
        <f t="shared" si="3"/>
        <v>00:58:00</v>
      </c>
      <c r="S17" s="48" t="str">
        <f t="shared" si="4"/>
        <v>00:28:00</v>
      </c>
      <c r="T17" s="49" t="str">
        <f t="shared" si="5"/>
        <v>00:17:00</v>
      </c>
      <c r="U17" s="50">
        <f t="shared" si="6"/>
        <v>5000</v>
      </c>
      <c r="V17" s="51" t="str">
        <f t="shared" si="10"/>
        <v/>
      </c>
      <c r="W17" s="52" t="str">
        <f t="shared" si="7"/>
        <v>00:00:00</v>
      </c>
      <c r="X17" s="53">
        <f t="shared" si="8"/>
        <v>0</v>
      </c>
      <c r="Y17" s="53">
        <f t="shared" si="8"/>
        <v>0</v>
      </c>
      <c r="Z17" s="54">
        <f t="shared" si="8"/>
        <v>0</v>
      </c>
    </row>
    <row r="18" spans="1:27" s="26" customFormat="1" ht="18.75">
      <c r="A18" s="22"/>
      <c r="B18" s="40">
        <f xml:space="preserve"> -2.40740740740719E-06*POWER(U18,3) + 0.0163333333333321*POWER(U18,2) - 39.0333333333314*U18 + 35339.9999999995</f>
        <v>-52419.259259253689</v>
      </c>
      <c r="C18" s="40" t="str">
        <f t="shared" si="0"/>
        <v>00:00:00</v>
      </c>
      <c r="D18" s="22"/>
      <c r="E18" s="41">
        <f xml:space="preserve"> -2.40740740740719E-06*POWER(M18,3) + 0.0163333333333321*POWER(M18,2) - 39.0333333333314*M18 + 35339.9999999995</f>
        <v>17280.000000000262</v>
      </c>
      <c r="F18" s="41">
        <f xml:space="preserve"> -2.40740740740719E-06*POWER(N18,3) + 0.0163333333333321*POWER(N18,2) - 39.0333333333314*N18 + 35339.9999999995</f>
        <v>7860.0000000004184</v>
      </c>
      <c r="G18" s="41">
        <f xml:space="preserve"> -2.40740740740719E-06*POWER(O18,3) + 0.0163333333333321*POWER(O18,2) - 39.0333333333314*O18 + 35339.9999999995</f>
        <v>3960.0000000002547</v>
      </c>
      <c r="H18" s="41">
        <f xml:space="preserve"> -2.40740740740719E-06*POWER(P18,3) + 0.0163333333333321*POWER(P18,2) - 39.0333333333314*P18 + 35339.9999999995</f>
        <v>2460.0000000000437</v>
      </c>
      <c r="I18" s="42"/>
      <c r="J18" s="55"/>
      <c r="K18" s="62" t="s">
        <v>35</v>
      </c>
      <c r="L18" s="56">
        <v>2400</v>
      </c>
      <c r="M18" s="46">
        <f t="shared" si="9"/>
        <v>600</v>
      </c>
      <c r="N18" s="46">
        <f t="shared" si="1"/>
        <v>1200</v>
      </c>
      <c r="O18" s="46">
        <f t="shared" si="1"/>
        <v>1800</v>
      </c>
      <c r="P18" s="46">
        <f t="shared" si="1"/>
        <v>2400</v>
      </c>
      <c r="Q18" s="47" t="str">
        <f t="shared" si="2"/>
        <v>04:48:00</v>
      </c>
      <c r="R18" s="48" t="str">
        <f t="shared" si="3"/>
        <v>02:11:00</v>
      </c>
      <c r="S18" s="48" t="str">
        <f t="shared" si="4"/>
        <v>01:06:00</v>
      </c>
      <c r="T18" s="49" t="str">
        <f t="shared" si="5"/>
        <v>00:41:00</v>
      </c>
      <c r="U18" s="50">
        <f t="shared" si="6"/>
        <v>5000</v>
      </c>
      <c r="V18" s="51" t="str">
        <f t="shared" si="10"/>
        <v/>
      </c>
      <c r="W18" s="52" t="str">
        <f t="shared" si="7"/>
        <v>00:00:00</v>
      </c>
      <c r="X18" s="53">
        <f t="shared" si="8"/>
        <v>0</v>
      </c>
      <c r="Y18" s="53">
        <f t="shared" si="8"/>
        <v>0</v>
      </c>
      <c r="Z18" s="54">
        <f t="shared" si="8"/>
        <v>0</v>
      </c>
    </row>
    <row r="19" spans="1:27" s="26" customFormat="1" ht="18.75">
      <c r="A19" s="22"/>
      <c r="B19" s="40">
        <f xml:space="preserve"> -1.57407407407382E-06*POWER(U19,3) + 0.0145833333333319*POWER(U19,2)  - 44.7833333333312*U19 + 48959.9999999995</f>
        <v>-7132.5925925865085</v>
      </c>
      <c r="C19" s="40" t="str">
        <f t="shared" si="0"/>
        <v>00:00:00</v>
      </c>
      <c r="D19" s="22"/>
      <c r="E19" s="41">
        <f xml:space="preserve"> -1.57407407407382E-06*POWER(M19,3) + 0.0145833333333319*POWER(M19,2)  - 44.7833333333312*M19 + 48959.9999999995</f>
        <v>27000.000000000317</v>
      </c>
      <c r="F19" s="41">
        <f xml:space="preserve"> -1.57407407407382E-06*POWER(N19,3) + 0.0145833333333319*POWER(N19,2)  - 44.7833333333312*N19 + 48959.9999999995</f>
        <v>13500.000000000437</v>
      </c>
      <c r="G19" s="41">
        <f xml:space="preserve"> -1.57407407407382E-06*POWER(O19,3) + 0.0145833333333319*POWER(O19,2)  - 44.7833333333312*O19 + 48959.9999999995</f>
        <v>6420.0000000001819</v>
      </c>
      <c r="H19" s="41">
        <f xml:space="preserve"> -1.57407407407382E-06*POWER(P19,3) + 0.0145833333333319*POWER(P19,2)  - 44.7833333333312*P19 + 48959.9999999995</f>
        <v>3719.9999999998763</v>
      </c>
      <c r="I19" s="42"/>
      <c r="J19" s="55"/>
      <c r="K19" s="62" t="s">
        <v>38</v>
      </c>
      <c r="L19" s="56">
        <v>2400</v>
      </c>
      <c r="M19" s="46">
        <f t="shared" si="9"/>
        <v>600</v>
      </c>
      <c r="N19" s="46">
        <f t="shared" si="1"/>
        <v>1200</v>
      </c>
      <c r="O19" s="46">
        <f t="shared" si="1"/>
        <v>1800</v>
      </c>
      <c r="P19" s="46">
        <f t="shared" si="1"/>
        <v>2400</v>
      </c>
      <c r="Q19" s="47" t="str">
        <f t="shared" si="2"/>
        <v>07:30:00</v>
      </c>
      <c r="R19" s="48" t="str">
        <f t="shared" si="3"/>
        <v>03:45:00</v>
      </c>
      <c r="S19" s="48" t="str">
        <f t="shared" si="4"/>
        <v>01:47:00</v>
      </c>
      <c r="T19" s="49" t="str">
        <f t="shared" si="5"/>
        <v>01:02:00</v>
      </c>
      <c r="U19" s="50">
        <f t="shared" si="6"/>
        <v>5000</v>
      </c>
      <c r="V19" s="51" t="str">
        <f t="shared" si="10"/>
        <v/>
      </c>
      <c r="W19" s="52" t="str">
        <f t="shared" si="7"/>
        <v>00:00:00</v>
      </c>
      <c r="X19" s="53">
        <f t="shared" si="8"/>
        <v>0</v>
      </c>
      <c r="Y19" s="53">
        <f t="shared" si="8"/>
        <v>0</v>
      </c>
      <c r="Z19" s="54">
        <f t="shared" si="8"/>
        <v>0</v>
      </c>
    </row>
    <row r="20" spans="1:27" s="26" customFormat="1" ht="18.75">
      <c r="A20" s="22"/>
      <c r="B20" s="40">
        <f xml:space="preserve"> -7.36111111111044E-06*POWER(U20,3) + 0.0420833333333303*POWER(U20,2) - 86.1999999999956*U20 + 71759.9999999987</f>
        <v>-227295.55555552675</v>
      </c>
      <c r="C20" s="40" t="str">
        <f t="shared" si="0"/>
        <v>00:00:00</v>
      </c>
      <c r="D20" s="22"/>
      <c r="E20" s="41">
        <f xml:space="preserve"> -7.36111111111044E-06*POWER(M20,3) + 0.0420833333333303*POWER(M20,2) - 86.1999999999956*M20 + 71759.9999999987</f>
        <v>33600.0000000004</v>
      </c>
      <c r="F20" s="41">
        <f xml:space="preserve"> -7.36111111111044E-06*POWER(N20,3) + 0.0420833333333303*POWER(N20,2) - 86.1999999999956*N20 + 71759.9999999987</f>
        <v>16200.000000000779</v>
      </c>
      <c r="G20" s="41">
        <f xml:space="preserve"> -7.36111111111044E-06*POWER(O20,3) + 0.0420833333333303*POWER(O20,2) - 86.1999999999956*O20 + 71759.9999999987</f>
        <v>10020.000000000698</v>
      </c>
      <c r="H20" s="41">
        <f xml:space="preserve"> -7.36111111111044E-06*POWER(P20,3) + 0.0420833333333303*POWER(P20,2) - 86.1999999999956*P20 + 71759.9999999987</f>
        <v>5520.0000000010623</v>
      </c>
      <c r="I20" s="42"/>
      <c r="J20" s="65"/>
      <c r="K20" s="66" t="s">
        <v>39</v>
      </c>
      <c r="L20" s="56">
        <v>2400</v>
      </c>
      <c r="M20" s="46">
        <f t="shared" si="9"/>
        <v>600</v>
      </c>
      <c r="N20" s="46">
        <f t="shared" si="1"/>
        <v>1200</v>
      </c>
      <c r="O20" s="46">
        <f t="shared" si="1"/>
        <v>1800</v>
      </c>
      <c r="P20" s="46">
        <f t="shared" si="1"/>
        <v>2400</v>
      </c>
      <c r="Q20" s="47" t="str">
        <f t="shared" si="2"/>
        <v>09:20:00</v>
      </c>
      <c r="R20" s="48" t="str">
        <f t="shared" si="3"/>
        <v>04:30:00</v>
      </c>
      <c r="S20" s="48" t="str">
        <f t="shared" si="4"/>
        <v>02:47:00</v>
      </c>
      <c r="T20" s="49" t="str">
        <f t="shared" si="5"/>
        <v>01:32:00</v>
      </c>
      <c r="U20" s="50">
        <f t="shared" si="6"/>
        <v>5000</v>
      </c>
      <c r="V20" s="51" t="str">
        <f t="shared" si="10"/>
        <v/>
      </c>
      <c r="W20" s="52" t="str">
        <f t="shared" si="7"/>
        <v>00:00:00</v>
      </c>
      <c r="X20" s="53">
        <f t="shared" si="8"/>
        <v>0</v>
      </c>
      <c r="Y20" s="53">
        <f t="shared" si="8"/>
        <v>0</v>
      </c>
      <c r="Z20" s="54">
        <f t="shared" si="8"/>
        <v>0</v>
      </c>
    </row>
    <row r="21" spans="1:27" s="26" customFormat="1" ht="18.75">
      <c r="A21" s="22"/>
      <c r="B21" s="40">
        <f xml:space="preserve"> -2.77047332832416E-06*POWER(U21,3) + 0.00825413223140418*POWER(U21,2) - 8.46363636363584*U21+ 3294.99999999988</f>
        <v>-178979.04207359484</v>
      </c>
      <c r="C21" s="40" t="str">
        <f t="shared" si="0"/>
        <v>00:00:00</v>
      </c>
      <c r="D21" s="22"/>
      <c r="E21" s="41">
        <f xml:space="preserve"> -2.77047332832416E-06*POWER(M21,3) + 0.00825413223140418*POWER(M21,2) - 8.46363636363584*M21+ 3294.99999999988</f>
        <v>1802.9999999999616</v>
      </c>
      <c r="F21" s="41">
        <f xml:space="preserve"> -2.77047332832416E-06*POWER(N21,3) + 0.00825413223140418*POWER(N21,2) - 8.46363636363584*N21+ 3294.99999999988</f>
        <v>932.99999999999409</v>
      </c>
      <c r="G21" s="41">
        <f xml:space="preserve"> -2.77047332832416E-06*POWER(O21,3) + 0.00825413223140418*POWER(O21,2) - 8.46363636363584*O21+ 3294.99999999988</f>
        <v>508.00000000000273</v>
      </c>
      <c r="H21" s="41">
        <f xml:space="preserve"> -2.77047332832416E-06*POWER(P21,3) + 0.00825413223140418*POWER(P21,2) - 8.46363636363584*P21+ 3294.99999999988</f>
        <v>351.00000000001455</v>
      </c>
      <c r="I21" s="42"/>
      <c r="J21" s="55" t="s">
        <v>7</v>
      </c>
      <c r="K21" s="67">
        <v>0</v>
      </c>
      <c r="L21" s="56">
        <v>880</v>
      </c>
      <c r="M21" s="46">
        <f t="shared" si="9"/>
        <v>220</v>
      </c>
      <c r="N21" s="46">
        <f t="shared" si="1"/>
        <v>440</v>
      </c>
      <c r="O21" s="46">
        <f t="shared" si="1"/>
        <v>660</v>
      </c>
      <c r="P21" s="46">
        <f t="shared" si="1"/>
        <v>880</v>
      </c>
      <c r="Q21" s="47" t="str">
        <f t="shared" si="2"/>
        <v>00:30:03</v>
      </c>
      <c r="R21" s="48" t="str">
        <f t="shared" si="3"/>
        <v>00:15:33</v>
      </c>
      <c r="S21" s="48" t="str">
        <f t="shared" si="4"/>
        <v>00:08:28</v>
      </c>
      <c r="T21" s="49" t="str">
        <f t="shared" si="5"/>
        <v>00:05:51</v>
      </c>
      <c r="U21" s="50">
        <f t="shared" si="6"/>
        <v>5000</v>
      </c>
      <c r="V21" s="51" t="str">
        <f t="shared" si="10"/>
        <v/>
      </c>
      <c r="W21" s="52" t="str">
        <f t="shared" si="7"/>
        <v>00:00:00</v>
      </c>
      <c r="X21" s="53">
        <f t="shared" si="8"/>
        <v>0</v>
      </c>
      <c r="Y21" s="53">
        <f t="shared" si="8"/>
        <v>0</v>
      </c>
      <c r="Z21" s="54">
        <f t="shared" si="8"/>
        <v>0</v>
      </c>
    </row>
    <row r="22" spans="1:27" s="26" customFormat="1" ht="18.75">
      <c r="A22" s="22"/>
      <c r="B22" s="40">
        <f xml:space="preserve"> -5.65586419753047E-07*POWER(U22,3) + 0.00319027777777759*POWER(U22,2) - 6.17055555555526*U22 + 4578.9999999999</f>
        <v>-17215.135802467528</v>
      </c>
      <c r="C22" s="40" t="str">
        <f t="shared" si="0"/>
        <v>00:00:00</v>
      </c>
      <c r="D22" s="22"/>
      <c r="E22" s="41">
        <f xml:space="preserve"> -5.65586419753047E-07*POWER(M22,3) + 0.00319027777777759*POWER(M22,2) - 6.17055555555526*M22 + 4578.9999999999</f>
        <v>1903.0000000000186</v>
      </c>
      <c r="F22" s="41">
        <f xml:space="preserve"> -5.65586419753047E-07*POWER(N22,3) + 0.00319027777777759*POWER(N22,2) - 6.17055555555526*N22 + 4578.9999999999</f>
        <v>791.00000000005321</v>
      </c>
      <c r="G22" s="41">
        <f xml:space="preserve"> -5.65586419753047E-07*POWER(O22,3) + 0.00319027777777759*POWER(O22,2) - 6.17055555555526*O22 + 4578.9999999999</f>
        <v>510.00000000005457</v>
      </c>
      <c r="H22" s="41">
        <f xml:space="preserve"> -5.65586419753047E-07*POWER(P22,3) + 0.00319027777777759*POWER(P22,2) - 6.17055555555526*P22 + 4578.9999999999</f>
        <v>327.00000000007458</v>
      </c>
      <c r="I22" s="42"/>
      <c r="J22" s="55" t="s">
        <v>8</v>
      </c>
      <c r="K22" s="44">
        <v>0</v>
      </c>
      <c r="L22" s="56">
        <v>2400</v>
      </c>
      <c r="M22" s="46">
        <f t="shared" si="9"/>
        <v>600</v>
      </c>
      <c r="N22" s="46">
        <f t="shared" si="9"/>
        <v>1200</v>
      </c>
      <c r="O22" s="46">
        <f t="shared" si="9"/>
        <v>1800</v>
      </c>
      <c r="P22" s="46">
        <f t="shared" si="9"/>
        <v>2400</v>
      </c>
      <c r="Q22" s="47" t="str">
        <f t="shared" si="2"/>
        <v>00:31:43</v>
      </c>
      <c r="R22" s="48" t="str">
        <f t="shared" si="3"/>
        <v>00:13:11</v>
      </c>
      <c r="S22" s="48" t="str">
        <f t="shared" si="4"/>
        <v>00:08:30</v>
      </c>
      <c r="T22" s="49" t="str">
        <f t="shared" si="5"/>
        <v>00:05:27</v>
      </c>
      <c r="U22" s="50">
        <f t="shared" si="6"/>
        <v>5000</v>
      </c>
      <c r="V22" s="51" t="str">
        <f t="shared" si="10"/>
        <v/>
      </c>
      <c r="W22" s="52" t="str">
        <f t="shared" si="7"/>
        <v>00:00:00</v>
      </c>
      <c r="X22" s="53">
        <f t="shared" si="8"/>
        <v>0</v>
      </c>
      <c r="Y22" s="53">
        <f t="shared" si="8"/>
        <v>0</v>
      </c>
      <c r="Z22" s="54">
        <f t="shared" si="8"/>
        <v>0</v>
      </c>
    </row>
    <row r="23" spans="1:27" s="26" customFormat="1" ht="18.75">
      <c r="A23" s="22"/>
      <c r="B23" s="40">
        <f xml:space="preserve"> -9.29126657521723E-06*POWER(U23,3)  + 0.0190617283950617*POWER(U23,2)- 13.6185185185185*U23+ 3854.99999999999</f>
        <v>-749102.7046182038</v>
      </c>
      <c r="C23" s="40" t="str">
        <f t="shared" si="0"/>
        <v>00:00:00</v>
      </c>
      <c r="D23" s="22"/>
      <c r="E23" s="41">
        <f xml:space="preserve"> -2.81799861132258E-06*POWER(M23,3) + 0.00869135802469072*POWER(M23,2) - 9.3382716049377*M23 + 3969.99999999982</f>
        <v>1699.9999999999482</v>
      </c>
      <c r="F23" s="41">
        <f t="shared" ref="F23:H23" si="11" xml:space="preserve"> -2.81799861132258E-06*POWER(N23,3) + 0.00869135802469072*POWER(N23,2) - 9.3382716049377*N23 + 3969.99999999982</f>
        <v>759.99999999998136</v>
      </c>
      <c r="G23" s="41">
        <f t="shared" si="11"/>
        <v>499.99999999997181</v>
      </c>
      <c r="H23" s="41">
        <f t="shared" si="11"/>
        <v>269.99999999996544</v>
      </c>
      <c r="I23" s="42"/>
      <c r="J23" s="55" t="s">
        <v>11</v>
      </c>
      <c r="K23" s="44">
        <v>0</v>
      </c>
      <c r="L23" s="56">
        <v>1350</v>
      </c>
      <c r="M23" s="46">
        <f t="shared" si="9"/>
        <v>337.5</v>
      </c>
      <c r="N23" s="46">
        <f t="shared" si="9"/>
        <v>675</v>
      </c>
      <c r="O23" s="46">
        <f t="shared" si="9"/>
        <v>1012.5</v>
      </c>
      <c r="P23" s="46">
        <f t="shared" si="9"/>
        <v>1350</v>
      </c>
      <c r="Q23" s="47" t="str">
        <f t="shared" si="2"/>
        <v>00:28:20</v>
      </c>
      <c r="R23" s="48" t="str">
        <f t="shared" si="3"/>
        <v>00:12:40</v>
      </c>
      <c r="S23" s="48" t="str">
        <f t="shared" si="4"/>
        <v>00:08:20</v>
      </c>
      <c r="T23" s="49" t="str">
        <f t="shared" si="5"/>
        <v>00:04:30</v>
      </c>
      <c r="U23" s="50">
        <f t="shared" si="6"/>
        <v>5000</v>
      </c>
      <c r="V23" s="51" t="str">
        <f t="shared" si="10"/>
        <v/>
      </c>
      <c r="W23" s="52" t="str">
        <f t="shared" si="7"/>
        <v>00:00:00</v>
      </c>
      <c r="X23" s="53">
        <f t="shared" si="8"/>
        <v>0</v>
      </c>
      <c r="Y23" s="53">
        <f t="shared" si="8"/>
        <v>0</v>
      </c>
      <c r="Z23" s="54">
        <f t="shared" si="8"/>
        <v>0</v>
      </c>
    </row>
    <row r="24" spans="1:27" s="26" customFormat="1" ht="18.75">
      <c r="A24" s="22"/>
      <c r="B24" s="40">
        <f xml:space="preserve"> -4.17280563599686E-07*POWER(U24,3)+ 0.00260082304526731*POWER(U24,2)  - 5.58024691357993*U24  + 4609.9999999998</f>
        <v>-10430.728886177854</v>
      </c>
      <c r="C24" s="40" t="str">
        <f t="shared" si="0"/>
        <v>00:00:00</v>
      </c>
      <c r="D24" s="22"/>
      <c r="E24" s="41">
        <f xml:space="preserve"> -4.17280563599686E-07*POWER(M24,3)+ 0.00260082304526731*POWER(M24,2)  - 5.58024691357993*M24  + 4609.9999999998</f>
        <v>1899.9999999999427</v>
      </c>
      <c r="F24" s="41">
        <f xml:space="preserve"> -4.17280563599686E-07*POWER(N24,3)+ 0.00260082304526731*POWER(N24,2)  - 5.58024691357993*N24  + 4609.9999999998</f>
        <v>789.99999999998863</v>
      </c>
      <c r="G24" s="41">
        <f xml:space="preserve"> -4.17280563599686E-07*POWER(O24,3)+ 0.00260082304526731*POWER(O24,2)  - 5.58024691357993*O24  + 4609.9999999998</f>
        <v>510.00000000000455</v>
      </c>
      <c r="H24" s="41">
        <f xml:space="preserve"> -4.17280563599686E-07*POWER(P24,3)+ 0.00260082304526731*POWER(P24,2)  - 5.58024691357993*P24  + 4609.9999999998</f>
        <v>290.00000000005639</v>
      </c>
      <c r="I24" s="42"/>
      <c r="J24" s="55" t="s">
        <v>12</v>
      </c>
      <c r="K24" s="44">
        <v>0</v>
      </c>
      <c r="L24" s="56">
        <v>2700</v>
      </c>
      <c r="M24" s="46">
        <f t="shared" si="9"/>
        <v>675</v>
      </c>
      <c r="N24" s="46">
        <f t="shared" si="9"/>
        <v>1350</v>
      </c>
      <c r="O24" s="46">
        <f t="shared" si="9"/>
        <v>2025</v>
      </c>
      <c r="P24" s="46">
        <f t="shared" si="9"/>
        <v>2700</v>
      </c>
      <c r="Q24" s="47" t="str">
        <f t="shared" si="2"/>
        <v>00:31:40</v>
      </c>
      <c r="R24" s="48" t="str">
        <f t="shared" si="3"/>
        <v>00:13:10</v>
      </c>
      <c r="S24" s="48" t="str">
        <f t="shared" si="4"/>
        <v>00:08:30</v>
      </c>
      <c r="T24" s="49" t="str">
        <f t="shared" si="5"/>
        <v>00:04:50</v>
      </c>
      <c r="U24" s="50">
        <f t="shared" si="6"/>
        <v>5000</v>
      </c>
      <c r="V24" s="51" t="str">
        <f t="shared" si="10"/>
        <v/>
      </c>
      <c r="W24" s="52" t="str">
        <f t="shared" si="7"/>
        <v>00:00:00</v>
      </c>
      <c r="X24" s="53">
        <f t="shared" si="8"/>
        <v>0</v>
      </c>
      <c r="Y24" s="53">
        <f t="shared" si="8"/>
        <v>0</v>
      </c>
      <c r="Z24" s="54">
        <f t="shared" si="8"/>
        <v>0</v>
      </c>
    </row>
    <row r="25" spans="1:27" s="26" customFormat="1" ht="18.75">
      <c r="A25" s="22"/>
      <c r="B25" s="40">
        <f xml:space="preserve"> 0.000197916666666667*POWER(U25,2) - 1.9825*U25 + 5325</f>
        <v>360.41666666667425</v>
      </c>
      <c r="C25" s="40" t="str">
        <f t="shared" si="0"/>
        <v>00:00:00</v>
      </c>
      <c r="D25" s="22"/>
      <c r="E25" s="41">
        <f xml:space="preserve"> 0.000197916666666667*POWER(M25,2) - 1.9825*M25 + 5325</f>
        <v>3231.0000000000005</v>
      </c>
      <c r="F25" s="41">
        <f xml:space="preserve"> 0.000197916666666667*POWER(N25,2) - 1.9825*N25 + 5325</f>
        <v>1707.0000000000018</v>
      </c>
      <c r="G25" s="41">
        <f xml:space="preserve"> 0.000197916666666667*POWER(O25,2) - 1.9825*O25 + 5325</f>
        <v>753.00000000000364</v>
      </c>
      <c r="H25" s="41">
        <f xml:space="preserve"> 0.000197916666666667*POWER(P25,2) - 1.9825*P25 + 5325</f>
        <v>369.00000000000728</v>
      </c>
      <c r="I25" s="42"/>
      <c r="J25" s="55" t="s">
        <v>13</v>
      </c>
      <c r="K25" s="44">
        <v>0</v>
      </c>
      <c r="L25" s="56">
        <v>4800</v>
      </c>
      <c r="M25" s="46">
        <f t="shared" si="9"/>
        <v>1200</v>
      </c>
      <c r="N25" s="46">
        <f t="shared" si="9"/>
        <v>2400</v>
      </c>
      <c r="O25" s="46">
        <f t="shared" si="9"/>
        <v>3600</v>
      </c>
      <c r="P25" s="46">
        <f t="shared" si="9"/>
        <v>4800</v>
      </c>
      <c r="Q25" s="47" t="str">
        <f t="shared" si="2"/>
        <v>00:53:51</v>
      </c>
      <c r="R25" s="48" t="str">
        <f t="shared" si="3"/>
        <v>00:28:27</v>
      </c>
      <c r="S25" s="48" t="str">
        <f t="shared" si="4"/>
        <v>00:12:33</v>
      </c>
      <c r="T25" s="49" t="str">
        <f t="shared" si="5"/>
        <v>00:06:09</v>
      </c>
      <c r="U25" s="50">
        <f t="shared" si="6"/>
        <v>5000</v>
      </c>
      <c r="V25" s="51" t="str">
        <f t="shared" si="10"/>
        <v/>
      </c>
      <c r="W25" s="52" t="str">
        <f t="shared" si="7"/>
        <v>00:00:00</v>
      </c>
      <c r="X25" s="53">
        <f t="shared" si="8"/>
        <v>0</v>
      </c>
      <c r="Y25" s="53">
        <f t="shared" si="8"/>
        <v>0</v>
      </c>
      <c r="Z25" s="54">
        <f t="shared" si="8"/>
        <v>0</v>
      </c>
    </row>
    <row r="26" spans="1:27" s="26" customFormat="1" ht="18.75">
      <c r="A26" s="22"/>
      <c r="B26" s="40">
        <f xml:space="preserve"> -4.99999999999963E-09*POWER(U26,3) + 0.000164999999999993*POWER(U26,2) - 1.65999999999995*U26  + 5519.9999999999</f>
        <v>720.00000000002274</v>
      </c>
      <c r="C26" s="40">
        <f t="shared" si="0"/>
        <v>720.00000000002274</v>
      </c>
      <c r="D26" s="22"/>
      <c r="E26" s="41">
        <f xml:space="preserve"> -4.99999999999963E-09*POWER(M26,3) + 0.000164999999999993*POWER(M26,2) - 1.65999999999995*M26  + 5519.9999999999</f>
        <v>2819.999999999975</v>
      </c>
      <c r="F26" s="41">
        <f xml:space="preserve"> -4.99999999999963E-09*POWER(N26,3) + 0.000164999999999993*POWER(N26,2) - 1.65999999999995*N26  + 5519.9999999999</f>
        <v>1200.0000000000118</v>
      </c>
      <c r="G26" s="41">
        <f xml:space="preserve"> -4.99999999999963E-09*POWER(O26,3) + 0.000164999999999993*POWER(O26,2) - 1.65999999999995*O26  + 5519.9999999999</f>
        <v>420.00000000002819</v>
      </c>
      <c r="H26" s="41">
        <f xml:space="preserve"> -4.99999999999963E-09*POWER(P26,3) + 0.000164999999999993*POWER(P26,2) - 1.65999999999995*P26  + 5519.9999999999</f>
        <v>240.00000000004184</v>
      </c>
      <c r="I26" s="42"/>
      <c r="J26" s="55" t="s">
        <v>14</v>
      </c>
      <c r="K26" s="58">
        <v>0</v>
      </c>
      <c r="L26" s="56">
        <v>8000</v>
      </c>
      <c r="M26" s="46">
        <f t="shared" si="9"/>
        <v>2000</v>
      </c>
      <c r="N26" s="46">
        <f t="shared" si="9"/>
        <v>4000</v>
      </c>
      <c r="O26" s="46">
        <f t="shared" si="9"/>
        <v>6000</v>
      </c>
      <c r="P26" s="46">
        <f t="shared" si="9"/>
        <v>8000</v>
      </c>
      <c r="Q26" s="47" t="str">
        <f t="shared" si="2"/>
        <v>00:47:00</v>
      </c>
      <c r="R26" s="48" t="str">
        <f t="shared" si="3"/>
        <v>00:20:00</v>
      </c>
      <c r="S26" s="48" t="str">
        <f t="shared" si="4"/>
        <v>00:07:00</v>
      </c>
      <c r="T26" s="49" t="str">
        <f t="shared" si="5"/>
        <v>00:04:00</v>
      </c>
      <c r="U26" s="50">
        <f t="shared" si="6"/>
        <v>5000</v>
      </c>
      <c r="V26" s="51">
        <f t="shared" si="10"/>
        <v>0.625</v>
      </c>
      <c r="W26" s="52" t="str">
        <f t="shared" si="7"/>
        <v>00:12:00</v>
      </c>
      <c r="X26" s="53">
        <f t="shared" si="8"/>
        <v>1</v>
      </c>
      <c r="Y26" s="53">
        <f t="shared" si="8"/>
        <v>0</v>
      </c>
      <c r="Z26" s="54">
        <f t="shared" si="8"/>
        <v>0</v>
      </c>
    </row>
    <row r="27" spans="1:27" s="26" customFormat="1" ht="18.75">
      <c r="A27" s="22"/>
      <c r="B27" s="40">
        <f xml:space="preserve"> -2.49999999999828E-09*POWER(U27,3)  + 0.0000524999999999786*POWER(U27,2)  - 0.784999999999868*U27  + 5219.99999999973</f>
        <v>2295.0000000000696</v>
      </c>
      <c r="C27" s="40">
        <f t="shared" si="0"/>
        <v>2295.0000000000696</v>
      </c>
      <c r="D27" s="22"/>
      <c r="E27" s="41">
        <f xml:space="preserve"> -2.49999999999828E-09*POWER(M27,3)  + 0.0000524999999999786*POWER(M27,2)  - 0.784999999999868*M27  + 5219.99999999973</f>
        <v>3839.9999999999218</v>
      </c>
      <c r="F27" s="41">
        <f xml:space="preserve"> -2.49999999999828E-09*POWER(N27,3)  + 0.0000524999999999786*POWER(N27,2)  - 0.784999999999868*N27  + 5219.99999999973</f>
        <v>2760.0000000000255</v>
      </c>
      <c r="G27" s="41">
        <f xml:space="preserve"> -2.49999999999828E-09*POWER(O27,3)  + 0.0000524999999999786*POWER(O27,2)  - 0.784999999999868*O27  + 5219.99999999973</f>
        <v>1860.0000000001232</v>
      </c>
      <c r="H27" s="41">
        <f xml:space="preserve"> -2.49999999999828E-09*POWER(P27,3)  + 0.0000524999999999786*POWER(P27,2)  - 0.784999999999868*P27  + 5219.99999999973</f>
        <v>1020.0000000002974</v>
      </c>
      <c r="I27" s="42"/>
      <c r="J27" s="68" t="s">
        <v>15</v>
      </c>
      <c r="K27" s="69" t="s">
        <v>40</v>
      </c>
      <c r="L27" s="56">
        <v>8000</v>
      </c>
      <c r="M27" s="46">
        <f t="shared" si="9"/>
        <v>2000</v>
      </c>
      <c r="N27" s="46">
        <f t="shared" si="9"/>
        <v>4000</v>
      </c>
      <c r="O27" s="46">
        <f t="shared" si="9"/>
        <v>6000</v>
      </c>
      <c r="P27" s="46">
        <f t="shared" si="9"/>
        <v>8000</v>
      </c>
      <c r="Q27" s="47" t="str">
        <f t="shared" si="2"/>
        <v>01:04:00</v>
      </c>
      <c r="R27" s="48" t="str">
        <f t="shared" si="3"/>
        <v>00:46:00</v>
      </c>
      <c r="S27" s="48" t="str">
        <f t="shared" si="4"/>
        <v>00:31:00</v>
      </c>
      <c r="T27" s="49" t="str">
        <f t="shared" si="5"/>
        <v>00:17:00</v>
      </c>
      <c r="U27" s="50">
        <f t="shared" si="6"/>
        <v>5000</v>
      </c>
      <c r="V27" s="51">
        <f t="shared" si="10"/>
        <v>0.625</v>
      </c>
      <c r="W27" s="52" t="str">
        <f t="shared" si="7"/>
        <v>00:38:15</v>
      </c>
      <c r="X27" s="53">
        <f t="shared" si="8"/>
        <v>1</v>
      </c>
      <c r="Y27" s="53">
        <f t="shared" si="8"/>
        <v>1</v>
      </c>
      <c r="Z27" s="54">
        <f t="shared" si="8"/>
        <v>1</v>
      </c>
    </row>
    <row r="28" spans="1:27" s="26" customFormat="1" ht="18.75">
      <c r="A28" s="22"/>
      <c r="B28" s="40">
        <f xml:space="preserve"> -7.74999999999971E-08*POWER(U28,3) + 0.00157499999999995*POWER(U28,2) - 11.2099999999997*U28 + 31379.9999999993</f>
        <v>5017.4999999999127</v>
      </c>
      <c r="C28" s="40">
        <f t="shared" si="0"/>
        <v>5017.4999999999127</v>
      </c>
      <c r="D28" s="22"/>
      <c r="E28" s="41">
        <f xml:space="preserve"> -7.74999999999971E-08*POWER(M28,3) + 0.00157499999999995*POWER(M28,2) - 11.2099999999997*M28 + 31379.9999999993</f>
        <v>14639.999999999724</v>
      </c>
      <c r="F28" s="41">
        <f xml:space="preserve"> -7.74999999999971E-08*POWER(N28,3) + 0.00157499999999995*POWER(N28,2) - 11.2099999999997*N28 + 31379.9999999993</f>
        <v>6779.9999999998872</v>
      </c>
      <c r="G28" s="41">
        <f xml:space="preserve"> -7.74999999999971E-08*POWER(O28,3) + 0.00157499999999995*POWER(O28,2) - 11.2099999999997*O28 + 31379.9999999993</f>
        <v>4079.9999999999127</v>
      </c>
      <c r="H28" s="41">
        <f xml:space="preserve"> -7.74999999999971E-08*POWER(P28,3) + 0.00157499999999995*POWER(P28,2) - 11.2099999999997*P28 + 31379.9999999993</f>
        <v>2819.9999999999854</v>
      </c>
      <c r="I28" s="42"/>
      <c r="J28" s="70"/>
      <c r="K28" s="71" t="s">
        <v>41</v>
      </c>
      <c r="L28" s="56">
        <v>8000</v>
      </c>
      <c r="M28" s="46">
        <f t="shared" si="9"/>
        <v>2000</v>
      </c>
      <c r="N28" s="46">
        <f t="shared" si="9"/>
        <v>4000</v>
      </c>
      <c r="O28" s="46">
        <f t="shared" si="9"/>
        <v>6000</v>
      </c>
      <c r="P28" s="46">
        <f t="shared" si="9"/>
        <v>8000</v>
      </c>
      <c r="Q28" s="47" t="str">
        <f t="shared" si="2"/>
        <v>04:04:00</v>
      </c>
      <c r="R28" s="48" t="str">
        <f t="shared" si="3"/>
        <v>01:53:00</v>
      </c>
      <c r="S28" s="48" t="str">
        <f t="shared" si="4"/>
        <v>01:08:00</v>
      </c>
      <c r="T28" s="49" t="str">
        <f t="shared" si="5"/>
        <v>00:47:00</v>
      </c>
      <c r="U28" s="50">
        <f t="shared" si="6"/>
        <v>5000</v>
      </c>
      <c r="V28" s="51">
        <f t="shared" si="10"/>
        <v>0.625</v>
      </c>
      <c r="W28" s="52" t="str">
        <f t="shared" si="7"/>
        <v>01:23:37</v>
      </c>
      <c r="X28" s="53">
        <f t="shared" si="8"/>
        <v>1</v>
      </c>
      <c r="Y28" s="53">
        <f t="shared" si="8"/>
        <v>1</v>
      </c>
      <c r="Z28" s="54">
        <f t="shared" si="8"/>
        <v>1</v>
      </c>
    </row>
    <row r="29" spans="1:27" s="26" customFormat="1" ht="18.75">
      <c r="A29" s="22"/>
      <c r="B29" s="40">
        <f xml:space="preserve"> -1.81250000000001E-08*POWER(U29,3) + 0.000337500000000002*POWER(U29,2) - 2.1025*U29 + 4679.99999999998</f>
        <v>339.37500000001819</v>
      </c>
      <c r="C29" s="40">
        <f t="shared" si="0"/>
        <v>339.37500000001819</v>
      </c>
      <c r="D29" s="22"/>
      <c r="E29" s="41">
        <f xml:space="preserve"> -1.81250000000001E-08*POWER(M29,3) + 0.000337500000000002*POWER(M29,2) - 2.1025*M29 + 4679.99999999998</f>
        <v>1679.9999999999873</v>
      </c>
      <c r="F29" s="41">
        <f xml:space="preserve"> -1.81250000000001E-08*POWER(N29,3) + 0.000337500000000002*POWER(N29,2) - 2.1025*N29 + 4679.99999999998</f>
        <v>510.00000000000637</v>
      </c>
      <c r="G29" s="41">
        <f xml:space="preserve"> -1.81250000000001E-08*POWER(O29,3) + 0.000337500000000002*POWER(O29,2) - 2.1025*O29 + 4679.99999999998</f>
        <v>300.00000000003092</v>
      </c>
      <c r="H29" s="41">
        <f xml:space="preserve"> -1.81250000000001E-08*POWER(P29,3) + 0.000337500000000002*POWER(P29,2) - 2.1025*P29 + 4679.99999999998</f>
        <v>180.00000000006003</v>
      </c>
      <c r="I29" s="42"/>
      <c r="J29" s="55" t="s">
        <v>9</v>
      </c>
      <c r="K29" s="67">
        <v>0</v>
      </c>
      <c r="L29" s="56">
        <v>8000</v>
      </c>
      <c r="M29" s="46">
        <f t="shared" si="9"/>
        <v>2000</v>
      </c>
      <c r="N29" s="46">
        <f t="shared" si="9"/>
        <v>4000</v>
      </c>
      <c r="O29" s="46">
        <f t="shared" si="9"/>
        <v>6000</v>
      </c>
      <c r="P29" s="46">
        <f t="shared" si="9"/>
        <v>8000</v>
      </c>
      <c r="Q29" s="47" t="str">
        <f t="shared" si="2"/>
        <v>00:28:00</v>
      </c>
      <c r="R29" s="48" t="str">
        <f t="shared" si="3"/>
        <v>00:08:30</v>
      </c>
      <c r="S29" s="48" t="str">
        <f t="shared" si="4"/>
        <v>00:05:00</v>
      </c>
      <c r="T29" s="49" t="str">
        <f t="shared" si="5"/>
        <v>00:03:00</v>
      </c>
      <c r="U29" s="50">
        <f t="shared" si="6"/>
        <v>5000</v>
      </c>
      <c r="V29" s="51">
        <f t="shared" si="10"/>
        <v>0.625</v>
      </c>
      <c r="W29" s="52" t="str">
        <f t="shared" si="7"/>
        <v>00:05:39</v>
      </c>
      <c r="X29" s="53">
        <f t="shared" si="8"/>
        <v>0</v>
      </c>
      <c r="Y29" s="53">
        <f t="shared" si="8"/>
        <v>0</v>
      </c>
      <c r="Z29" s="54">
        <f t="shared" si="8"/>
        <v>0</v>
      </c>
    </row>
    <row r="30" spans="1:27" s="26" customFormat="1" ht="19.5" thickBot="1">
      <c r="A30" s="22"/>
      <c r="B30" s="40">
        <f xml:space="preserve"> -8.12499999999942E-10*POWER(U30,3)+ 0.0000466874999999979*POWER(U30,2) - 0.874249999999971*U30 + 5621.9999999999</f>
        <v>2316.3749999999991</v>
      </c>
      <c r="C30" s="40">
        <f t="shared" si="0"/>
        <v>2316.3749999999991</v>
      </c>
      <c r="D30" s="22"/>
      <c r="E30" s="41">
        <f xml:space="preserve"> -8.12499999999942E-10*POWER(M30,3)+ 0.0000466874999999979*POWER(M30,2) - 0.874249999999971*M30 + 5621.9999999999</f>
        <v>2819.9999999999864</v>
      </c>
      <c r="F30" s="41">
        <f xml:space="preserve"> -8.12499999999942E-10*POWER(N30,3)+ 0.0000466874999999979*POWER(N30,2) - 0.874249999999971*N30 + 5621.9999999999</f>
        <v>1200.0000000000273</v>
      </c>
      <c r="G30" s="41">
        <f xml:space="preserve"> -8.12499999999942E-10*POWER(O30,3)+ 0.0000466874999999979*POWER(O30,2) - 0.874249999999971*O30 + 5621.9999999999</f>
        <v>450.00000000004547</v>
      </c>
      <c r="H30" s="41">
        <f xml:space="preserve"> -8.12499999999942E-10*POWER(P30,3)+ 0.0000466874999999979*POWER(P30,2) - 0.874249999999971*P30 + 5621.9999999999</f>
        <v>258.00000000006548</v>
      </c>
      <c r="I30" s="42"/>
      <c r="J30" s="72" t="s">
        <v>10</v>
      </c>
      <c r="K30" s="73">
        <v>0</v>
      </c>
      <c r="L30" s="74">
        <v>16000</v>
      </c>
      <c r="M30" s="75">
        <f t="shared" si="9"/>
        <v>4000</v>
      </c>
      <c r="N30" s="75">
        <f t="shared" si="9"/>
        <v>8000</v>
      </c>
      <c r="O30" s="75">
        <f t="shared" si="9"/>
        <v>12000</v>
      </c>
      <c r="P30" s="75">
        <f t="shared" si="9"/>
        <v>16000</v>
      </c>
      <c r="Q30" s="76" t="str">
        <f t="shared" si="2"/>
        <v>00:47:00</v>
      </c>
      <c r="R30" s="77" t="str">
        <f t="shared" si="3"/>
        <v>00:20:00</v>
      </c>
      <c r="S30" s="77" t="str">
        <f t="shared" si="4"/>
        <v>00:07:30</v>
      </c>
      <c r="T30" s="78" t="str">
        <f t="shared" si="5"/>
        <v>00:04:18</v>
      </c>
      <c r="U30" s="79">
        <f t="shared" si="6"/>
        <v>5000</v>
      </c>
      <c r="V30" s="80">
        <f t="shared" si="10"/>
        <v>0.3125</v>
      </c>
      <c r="W30" s="81" t="str">
        <f t="shared" si="7"/>
        <v>00:38:36</v>
      </c>
      <c r="X30" s="82">
        <f t="shared" si="8"/>
        <v>1</v>
      </c>
      <c r="Y30" s="82">
        <f t="shared" si="8"/>
        <v>1</v>
      </c>
      <c r="Z30" s="83">
        <f t="shared" si="8"/>
        <v>1</v>
      </c>
    </row>
    <row r="31" spans="1:27" s="26" customFormat="1" ht="15">
      <c r="A31" s="22"/>
      <c r="B31" s="22"/>
      <c r="C31" s="22"/>
      <c r="D31" s="22"/>
      <c r="E31" s="84"/>
      <c r="F31" s="25"/>
      <c r="G31" s="25"/>
      <c r="H31" s="25"/>
      <c r="I31" s="8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86"/>
      <c r="X31" s="87"/>
      <c r="Y31" s="87"/>
      <c r="Z31" s="87"/>
      <c r="AA31" s="88"/>
    </row>
    <row r="32" spans="1:27" s="26" customFormat="1" ht="15">
      <c r="A32" s="22"/>
      <c r="B32" s="22"/>
      <c r="C32" s="22"/>
      <c r="D32" s="22"/>
      <c r="E32" s="84"/>
      <c r="F32" s="25"/>
      <c r="G32" s="25"/>
      <c r="H32" s="25"/>
      <c r="I32" s="8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87"/>
      <c r="X32" s="87"/>
      <c r="Y32" s="22"/>
      <c r="Z32" s="22"/>
      <c r="AA32" s="25"/>
    </row>
    <row r="33" spans="1:27" s="26" customFormat="1" ht="15">
      <c r="A33" s="22"/>
      <c r="B33" s="22"/>
      <c r="C33" s="22"/>
      <c r="D33" s="22"/>
      <c r="E33" s="84"/>
      <c r="F33" s="25"/>
      <c r="G33" s="25"/>
      <c r="H33" s="25"/>
      <c r="I33" s="8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87"/>
      <c r="X33" s="87"/>
      <c r="Y33" s="22"/>
      <c r="Z33" s="22"/>
      <c r="AA33" s="25"/>
    </row>
    <row r="34" spans="1:27" s="26" customFormat="1" ht="15">
      <c r="A34" s="22"/>
      <c r="B34" s="22"/>
      <c r="C34" s="22"/>
      <c r="D34" s="22"/>
      <c r="E34" s="25"/>
      <c r="F34" s="25"/>
      <c r="G34" s="25"/>
      <c r="H34" s="25"/>
      <c r="I34" s="8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87"/>
      <c r="X34" s="87"/>
      <c r="Y34" s="22"/>
      <c r="Z34" s="22"/>
      <c r="AA34" s="25"/>
    </row>
    <row r="35" spans="1:27" s="26" customFormat="1" ht="15">
      <c r="A35" s="22"/>
      <c r="B35" s="22"/>
      <c r="C35" s="22"/>
      <c r="D35" s="22"/>
      <c r="E35" s="25"/>
      <c r="F35" s="25"/>
      <c r="G35" s="25"/>
      <c r="H35" s="25"/>
      <c r="I35" s="8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87"/>
      <c r="X35" s="87"/>
      <c r="Y35" s="22"/>
      <c r="Z35" s="22"/>
      <c r="AA35" s="25"/>
    </row>
    <row r="36" spans="1:27" s="26" customFormat="1" ht="15">
      <c r="A36" s="22"/>
      <c r="B36" s="22"/>
      <c r="C36" s="22"/>
      <c r="D36" s="22"/>
      <c r="E36" s="89"/>
      <c r="F36" s="89"/>
      <c r="G36" s="90"/>
      <c r="H36" s="90"/>
      <c r="I36" s="90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89"/>
      <c r="U36" s="25"/>
      <c r="V36" s="25"/>
      <c r="W36" s="91"/>
      <c r="X36" s="87"/>
      <c r="Y36" s="87"/>
      <c r="Z36" s="87"/>
      <c r="AA36" s="88"/>
    </row>
    <row r="37" spans="1:27" s="26" customFormat="1" ht="15">
      <c r="A37" s="22"/>
      <c r="B37" s="22"/>
      <c r="C37" s="22"/>
      <c r="D37" s="22"/>
      <c r="E37" s="89"/>
      <c r="F37" s="89"/>
      <c r="G37" s="89"/>
      <c r="H37" s="92"/>
      <c r="I37" s="93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90"/>
      <c r="U37" s="25"/>
      <c r="V37" s="25"/>
      <c r="W37" s="87"/>
      <c r="X37" s="87"/>
      <c r="Y37" s="22"/>
      <c r="Z37" s="22"/>
      <c r="AA37" s="25"/>
    </row>
    <row r="38" spans="1:27" s="13" customFormat="1" ht="15">
      <c r="A38" s="11"/>
      <c r="B38" s="11"/>
      <c r="C38" s="11"/>
      <c r="D38" s="11"/>
      <c r="E38" s="12"/>
      <c r="F38" s="12"/>
      <c r="G38" s="12"/>
      <c r="H38" s="12"/>
      <c r="I38" s="14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5"/>
      <c r="X38" s="15"/>
      <c r="Y38" s="11"/>
      <c r="Z38" s="11"/>
      <c r="AA38" s="12"/>
    </row>
    <row r="39" spans="1:27" s="13" customFormat="1" ht="15">
      <c r="A39" s="11"/>
      <c r="B39" s="11"/>
      <c r="C39" s="11"/>
      <c r="D39" s="11"/>
      <c r="E39" s="12"/>
      <c r="F39" s="12"/>
      <c r="G39" s="12"/>
      <c r="H39" s="12"/>
      <c r="I39" s="14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5"/>
      <c r="X39" s="15"/>
      <c r="Y39" s="11"/>
      <c r="Z39" s="11"/>
      <c r="AA39" s="12"/>
    </row>
    <row r="40" spans="1:27" s="13" customFormat="1" ht="15">
      <c r="A40" s="11"/>
      <c r="B40" s="11"/>
      <c r="C40" s="11"/>
      <c r="D40" s="11"/>
      <c r="E40" s="18"/>
      <c r="F40" s="12"/>
      <c r="G40" s="12"/>
      <c r="H40" s="12"/>
      <c r="I40" s="14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7"/>
      <c r="X40" s="15"/>
      <c r="Y40" s="15"/>
      <c r="Z40" s="15"/>
      <c r="AA40" s="16"/>
    </row>
    <row r="41" spans="1:27" s="13" customFormat="1" ht="15">
      <c r="A41" s="11"/>
      <c r="B41" s="11"/>
      <c r="C41" s="11"/>
      <c r="D41" s="11"/>
      <c r="E41" s="12"/>
      <c r="F41" s="12"/>
      <c r="G41" s="12"/>
      <c r="H41" s="12"/>
      <c r="I41" s="14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7"/>
      <c r="X41" s="15"/>
      <c r="Y41" s="15"/>
      <c r="Z41" s="15"/>
      <c r="AA41" s="16"/>
    </row>
    <row r="42" spans="1:27" s="13" customFormat="1" ht="15">
      <c r="A42" s="11"/>
      <c r="B42" s="11"/>
      <c r="C42" s="11"/>
      <c r="D42" s="11"/>
      <c r="E42" s="12"/>
      <c r="F42" s="12"/>
      <c r="G42" s="12"/>
      <c r="H42" s="12"/>
      <c r="I42" s="14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7"/>
      <c r="X42" s="15"/>
      <c r="Y42" s="15"/>
      <c r="Z42" s="15"/>
      <c r="AA42" s="16"/>
    </row>
    <row r="43" spans="1:27" s="13" customFormat="1" ht="15.75">
      <c r="A43" s="11"/>
      <c r="B43" s="11"/>
      <c r="C43" s="11"/>
      <c r="D43" s="11"/>
      <c r="E43" s="19"/>
      <c r="F43" s="12"/>
      <c r="G43" s="12"/>
      <c r="H43" s="12"/>
      <c r="I43" s="14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7"/>
      <c r="X43" s="15"/>
      <c r="Y43" s="15"/>
      <c r="Z43" s="15"/>
      <c r="AA43" s="16"/>
    </row>
    <row r="44" spans="1:27" s="13" customFormat="1" ht="15.75">
      <c r="A44" s="11"/>
      <c r="B44" s="11"/>
      <c r="C44" s="11"/>
      <c r="D44" s="11"/>
      <c r="E44" s="19"/>
      <c r="F44" s="12"/>
      <c r="G44" s="12"/>
      <c r="H44" s="12"/>
      <c r="I44" s="14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20"/>
      <c r="X44" s="15"/>
      <c r="Y44" s="15"/>
      <c r="Z44" s="15"/>
      <c r="AA44" s="16"/>
    </row>
    <row r="45" spans="1:27" s="13" customFormat="1" ht="15.75">
      <c r="A45" s="11"/>
      <c r="B45" s="11"/>
      <c r="C45" s="11"/>
      <c r="D45" s="11"/>
      <c r="E45" s="19"/>
      <c r="F45" s="12"/>
      <c r="G45" s="12"/>
      <c r="H45" s="12"/>
      <c r="I45" s="14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20"/>
      <c r="X45" s="15"/>
      <c r="Y45" s="15"/>
      <c r="Z45" s="15"/>
      <c r="AA45" s="16"/>
    </row>
    <row r="46" spans="1:27" s="13" customFormat="1" ht="15">
      <c r="A46" s="11"/>
      <c r="B46" s="11"/>
      <c r="C46" s="11"/>
      <c r="D46" s="11"/>
      <c r="E46" s="12"/>
      <c r="F46" s="12"/>
      <c r="G46" s="12"/>
      <c r="H46" s="12"/>
      <c r="I46" s="14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1"/>
      <c r="X46" s="11"/>
      <c r="Y46" s="11"/>
      <c r="Z46" s="11"/>
      <c r="AA46" s="12"/>
    </row>
    <row r="47" spans="1:27" s="13" customFormat="1">
      <c r="A47" s="11"/>
      <c r="B47" s="11"/>
      <c r="C47" s="11"/>
      <c r="D47" s="11"/>
      <c r="I47" s="21"/>
      <c r="W47" s="11"/>
      <c r="X47" s="11"/>
      <c r="Y47" s="11"/>
      <c r="Z47" s="11"/>
    </row>
    <row r="48" spans="1:27" s="13" customFormat="1">
      <c r="A48" s="11"/>
      <c r="B48" s="11"/>
      <c r="C48" s="11"/>
      <c r="D48" s="11"/>
      <c r="I48" s="21"/>
      <c r="W48" s="11"/>
      <c r="X48" s="11"/>
      <c r="Y48" s="11"/>
      <c r="Z48" s="11"/>
    </row>
    <row r="49" spans="1:26" s="13" customFormat="1">
      <c r="A49" s="11"/>
      <c r="B49" s="11"/>
      <c r="C49" s="11"/>
      <c r="D49" s="11"/>
      <c r="I49" s="21"/>
      <c r="W49" s="11"/>
      <c r="X49" s="11"/>
      <c r="Y49" s="11"/>
      <c r="Z49" s="11"/>
    </row>
    <row r="50" spans="1:26" s="13" customFormat="1">
      <c r="A50" s="11"/>
      <c r="B50" s="11"/>
      <c r="C50" s="11"/>
      <c r="D50" s="11"/>
      <c r="I50" s="21"/>
      <c r="W50" s="11"/>
      <c r="X50" s="11"/>
      <c r="Y50" s="11"/>
      <c r="Z50" s="11"/>
    </row>
    <row r="63" spans="1:26" ht="15.75">
      <c r="K63" s="2"/>
      <c r="L63" s="1"/>
      <c r="M63" s="1"/>
      <c r="N63" s="3"/>
      <c r="U63" s="6"/>
      <c r="V63" s="6"/>
    </row>
    <row r="64" spans="1:26" ht="15">
      <c r="K64" s="4"/>
      <c r="L64" s="1"/>
      <c r="M64" s="1"/>
      <c r="N64" s="4"/>
      <c r="U64" s="6"/>
      <c r="V64" s="6"/>
    </row>
    <row r="65" spans="11:22" ht="15">
      <c r="K65" s="1"/>
      <c r="L65" s="1"/>
      <c r="M65" s="1"/>
      <c r="N65" s="5"/>
      <c r="U65" s="6"/>
      <c r="V65" s="6"/>
    </row>
    <row r="66" spans="11:22" ht="15">
      <c r="K66" s="1"/>
      <c r="L66" s="1"/>
      <c r="M66" s="1"/>
      <c r="N66" s="5"/>
      <c r="U66" s="6"/>
      <c r="V66" s="6"/>
    </row>
    <row r="67" spans="11:22" ht="15.75">
      <c r="K67" s="2"/>
      <c r="L67" s="1"/>
      <c r="M67" s="1"/>
      <c r="N67" s="3"/>
      <c r="U67" s="6"/>
      <c r="V67" s="6"/>
    </row>
    <row r="69" spans="11:22" ht="15">
      <c r="K69" s="1"/>
      <c r="L69" s="1"/>
      <c r="M69" s="1"/>
      <c r="N69" s="1"/>
      <c r="U69" s="6"/>
      <c r="V69" s="6"/>
    </row>
    <row r="70" spans="11:22" ht="15.75">
      <c r="K70" s="2"/>
      <c r="L70" s="1"/>
      <c r="M70" s="1"/>
      <c r="N70" s="2"/>
      <c r="U70" s="6"/>
      <c r="V70" s="6"/>
    </row>
    <row r="71" spans="11:22" ht="15">
      <c r="K71" s="4"/>
      <c r="L71" s="1"/>
      <c r="M71" s="1"/>
      <c r="N71" s="4"/>
      <c r="U71" s="6"/>
      <c r="V71" s="6"/>
    </row>
  </sheetData>
  <sheetProtection password="973C" sheet="1" objects="1" scenarios="1"/>
  <protectedRanges>
    <protectedRange password="973C" sqref="X3" name="LOAD" securityDescriptor="O:WDG:WDD:(A;;CC;;;LA)(A;;CC;;;BA)(A;;CC;;;AN)(A;;CC;;;AU)(A;;CC;;;S-1-5-3)(A;;CC;;;S-1-2-1)(A;;CC;;;CG)(A;;CC;;;CO)(A;;CC;;;S-1-5-1)(A;;CC;;;S-1-5-32-562)(A;;CC;;;ER)(A;;CC;;;WD)(A;;CC;;;LG)(A;;CC;;;BG)(A;;CC;;;S-1-5-21-2182739876-2196646429-3691101384-1002)(A;;CC;;;S-1-5-21-2182739876-2196646429-3691101384-1001)(A;;CC;;;IS)(A;;CC;;;IU)(A;;CC;;;S-1-5-17)(A;;CC;;;LS)(A;;CC;;;S-1-5-21-2182739876-2196646429-3691101384-1000)(A;;CC;;;NU)(A;;CC;;;NS)(A;;CC;;;OW)(A;;CC;;;LU)(A;;CC;;;MU)(A;;CC;;;S-1-5-14)(A;;CC;;;SU)(A;;CC;;;SY)(A;;CC;;;S-1-5-13)(A;;CC;;;S-1-5-65-1)(A;;CC;;;BU)"/>
  </protectedRanges>
  <mergeCells count="4">
    <mergeCell ref="M4:P4"/>
    <mergeCell ref="Q4:T4"/>
    <mergeCell ref="X2:Z2"/>
    <mergeCell ref="X3:Z3"/>
  </mergeCells>
  <conditionalFormatting sqref="W6:W30">
    <cfRule type="cellIs" dxfId="1" priority="17" operator="equal">
      <formula>"00:00:00"</formula>
    </cfRule>
  </conditionalFormatting>
  <conditionalFormatting sqref="V6:V30">
    <cfRule type="cellIs" dxfId="0" priority="1" operator="equal">
      <formula>""</formula>
    </cfRule>
    <cfRule type="dataBar" priority="6">
      <dataBar>
        <cfvo type="min"/>
        <cfvo type="max"/>
        <color theme="6" tint="0.59999389629810485"/>
      </dataBar>
      <extLst>
        <ext xmlns:x14="http://schemas.microsoft.com/office/spreadsheetml/2009/9/main" uri="{B025F937-C7B1-47D3-B67F-A62EFF666E3E}">
          <x14:id>{6A8CCBB7-DED6-4452-8404-989E2CE7F214}</x14:id>
        </ext>
      </extLst>
    </cfRule>
  </conditionalFormatting>
  <conditionalFormatting sqref="Q5:T5">
    <cfRule type="iconSet" priority="2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M5:P5">
    <cfRule type="iconSet" priority="3">
      <iconSet iconSet="4Rating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8CCBB7-DED6-4452-8404-989E2CE7F214}">
            <x14:dataBar minLength="0" maxLength="100" border="1" gradient="0">
              <x14:cfvo type="autoMin"/>
              <x14:cfvo type="autoMax"/>
              <x14:borderColor theme="6" tint="-0.499984740745262"/>
              <x14:negativeFillColor rgb="FFFF0000"/>
              <x14:axisColor rgb="FF000000"/>
            </x14:dataBar>
          </x14:cfRule>
          <xm:sqref>V6:V30</xm:sqref>
        </x14:conditionalFormatting>
        <x14:conditionalFormatting xmlns:xm="http://schemas.microsoft.com/office/excel/2006/main">
          <x14:cfRule type="iconSet" priority="31" id="{3DB6D99E-FCFD-4D08-BF14-9F4C6C1C1BF4}">
            <x14:iconSet iconSet="3Symbols2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3Symbols2" iconId="0"/>
              <x14:cfIcon iconSet="NoIcons" iconId="0"/>
              <x14:cfIcon iconSet="3Symbols2" iconId="2"/>
            </x14:iconSet>
          </x14:cfRule>
          <xm:sqref>X6:Z30</xm:sqref>
        </x14:conditionalFormatting>
        <x14:conditionalFormatting xmlns:xm="http://schemas.microsoft.com/office/excel/2006/main">
          <x14:cfRule type="iconSet" priority="12" id="{B860F2DB-4531-4596-B079-FD0B8A734863}">
            <x14:iconSet iconSet="3Symbols2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3Symbols2" iconId="0"/>
              <x14:cfIcon iconSet="NoIcons" iconId="0"/>
              <x14:cfIcon iconSet="3Symbols2" iconId="2"/>
            </x14:iconSet>
          </x14:cfRule>
          <xm:sqref>K6:K12</xm:sqref>
        </x14:conditionalFormatting>
        <x14:conditionalFormatting xmlns:xm="http://schemas.microsoft.com/office/excel/2006/main">
          <x14:cfRule type="iconSet" priority="11" id="{4374E968-CBA0-409C-A6D3-82969BDBD7F0}">
            <x14:iconSet iconSet="3Symbols2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3Symbols2" iconId="0"/>
              <x14:cfIcon iconSet="NoIcons" iconId="0"/>
              <x14:cfIcon iconSet="3Symbols2" iconId="2"/>
            </x14:iconSet>
          </x14:cfRule>
          <xm:sqref>K21:K26</xm:sqref>
        </x14:conditionalFormatting>
        <x14:conditionalFormatting xmlns:xm="http://schemas.microsoft.com/office/excel/2006/main">
          <x14:cfRule type="iconSet" priority="10" id="{650E273A-8F2F-4DC5-AD30-107C56894761}">
            <x14:iconSet iconSet="3Symbols2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3Symbols2" iconId="0"/>
              <x14:cfIcon iconSet="NoIcons" iconId="0"/>
              <x14:cfIcon iconSet="3Symbols2" iconId="2"/>
            </x14:iconSet>
          </x14:cfRule>
          <xm:sqref>K29:K30</xm:sqref>
        </x14:conditionalFormatting>
        <x14:conditionalFormatting xmlns:xm="http://schemas.microsoft.com/office/excel/2006/main">
          <x14:cfRule type="iconSet" priority="5" id="{7966B626-2892-4AD1-AA54-72D41FAB11DC}">
            <x14:iconSet iconSet="5Quarters" custom="1">
              <x14:cfvo type="percent">
                <xm:f>0</xm:f>
              </x14:cfvo>
              <x14:cfvo type="num">
                <xm:f>0.25</xm:f>
              </x14:cfvo>
              <x14:cfvo type="num">
                <xm:f>0.5</xm:f>
              </x14:cfvo>
              <x14:cfvo type="num">
                <xm:f>0.75</xm:f>
              </x14:cfvo>
              <x14:cfvo type="num">
                <xm:f>1</xm:f>
              </x14:cfvo>
              <x14:cfIcon iconSet="NoIcons" iconId="0"/>
              <x14:cfIcon iconSet="5Quarters" iconId="1"/>
              <x14:cfIcon iconSet="5Quarters" iconId="2"/>
              <x14:cfIcon iconSet="5Quarters" iconId="3"/>
              <x14:cfIcon iconSet="4RedToBlack" iconId="0"/>
            </x14:iconSet>
          </x14:cfRule>
          <xm:sqref>Q5:T5</xm:sqref>
        </x14:conditionalFormatting>
        <x14:conditionalFormatting xmlns:xm="http://schemas.microsoft.com/office/excel/2006/main">
          <x14:cfRule type="iconSet" priority="4" id="{B846237D-0744-4942-9135-FE6755288C17}">
            <x14:iconSet iconSet="5Quarters" custom="1">
              <x14:cfvo type="percent">
                <xm:f>0</xm:f>
              </x14:cfvo>
              <x14:cfvo type="num">
                <xm:f>0.25</xm:f>
              </x14:cfvo>
              <x14:cfvo type="num">
                <xm:f>0.5</xm:f>
              </x14:cfvo>
              <x14:cfvo type="num">
                <xm:f>0.75</xm:f>
              </x14:cfvo>
              <x14:cfvo type="num">
                <xm:f>1</xm:f>
              </x14:cfvo>
              <x14:cfIcon iconSet="NoIcons" iconId="0"/>
              <x14:cfIcon iconSet="5Quarters" iconId="1"/>
              <x14:cfIcon iconSet="5Quarters" iconId="2"/>
              <x14:cfIcon iconSet="5Quarters" iconId="3"/>
              <x14:cfIcon iconSet="4RedToBlack" iconId="0"/>
            </x14:iconSet>
          </x14:cfRule>
          <xm:sqref>M5:P5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Automonia Gruppi Continuita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</dc:creator>
  <cp:lastModifiedBy>elisa</cp:lastModifiedBy>
  <cp:lastPrinted>2012-08-31T14:01:54Z</cp:lastPrinted>
  <dcterms:created xsi:type="dcterms:W3CDTF">2006-03-31T16:05:59Z</dcterms:created>
  <dcterms:modified xsi:type="dcterms:W3CDTF">2012-11-12T09:02:15Z</dcterms:modified>
</cp:coreProperties>
</file>